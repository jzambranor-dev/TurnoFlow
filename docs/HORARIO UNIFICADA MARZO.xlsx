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system-horario\TurnoFlow\docs\"/>
    </mc:Choice>
  </mc:AlternateContent>
  <xr:revisionPtr revIDLastSave="0" documentId="13_ncr:1_{8713E2BF-2CDB-4269-8F84-FA2324AA8B1F}" xr6:coauthVersionLast="47" xr6:coauthVersionMax="47" xr10:uidLastSave="{00000000-0000-0000-0000-000000000000}"/>
  <bookViews>
    <workbookView xWindow="20370" yWindow="-120" windowWidth="21840" windowHeight="13020" firstSheet="46" activeTab="54" xr2:uid="{00000000-000D-0000-FFFF-FFFF00000000}"/>
  </bookViews>
  <sheets>
    <sheet name="26" sheetId="30" state="hidden" r:id="rId1"/>
    <sheet name="27" sheetId="31" state="hidden" r:id="rId2"/>
    <sheet name="28" sheetId="32" state="hidden" r:id="rId3"/>
    <sheet name="29" sheetId="33" state="hidden" r:id="rId4"/>
    <sheet name="30" sheetId="34" state="hidden" r:id="rId5"/>
    <sheet name="Hoja 571" sheetId="36" state="hidden" r:id="rId6"/>
    <sheet name="31." sheetId="39" state="hidden" r:id="rId7"/>
    <sheet name="01-01" sheetId="40" state="hidden" r:id="rId8"/>
    <sheet name="02" sheetId="41" state="hidden" r:id="rId9"/>
    <sheet name="01" sheetId="42" state="hidden" r:id="rId10"/>
    <sheet name="03" sheetId="43" state="hidden" r:id="rId11"/>
    <sheet name="04" sheetId="44" state="hidden" r:id="rId12"/>
    <sheet name="05" sheetId="45" state="hidden" r:id="rId13"/>
    <sheet name="06" sheetId="46" state="hidden" r:id="rId14"/>
    <sheet name="07" sheetId="47" state="hidden" r:id="rId15"/>
    <sheet name="08" sheetId="48" state="hidden" r:id="rId16"/>
    <sheet name="09" sheetId="49" state="hidden" r:id="rId17"/>
    <sheet name="10." sheetId="50" state="hidden" r:id="rId18"/>
    <sheet name="11." sheetId="51" state="hidden" r:id="rId19"/>
    <sheet name="12." sheetId="52" state="hidden" r:id="rId20"/>
    <sheet name="13." sheetId="53" state="hidden" r:id="rId21"/>
    <sheet name="14." sheetId="54" state="hidden" r:id="rId22"/>
    <sheet name="15." sheetId="55" state="hidden" r:id="rId23"/>
    <sheet name="16." sheetId="56" state="hidden" r:id="rId24"/>
    <sheet name="17." sheetId="57" state="hidden" r:id="rId25"/>
    <sheet name="22" sheetId="58" state="hidden" r:id="rId26"/>
    <sheet name="18." sheetId="59" state="hidden" r:id="rId27"/>
    <sheet name="19." sheetId="60" state="hidden" r:id="rId28"/>
    <sheet name="20." sheetId="61" state="hidden" r:id="rId29"/>
    <sheet name="21." sheetId="62" state="hidden" r:id="rId30"/>
    <sheet name="22." sheetId="63" state="hidden" r:id="rId31"/>
    <sheet name="23." sheetId="64" state="hidden" r:id="rId32"/>
    <sheet name="24." sheetId="65" state="hidden" r:id="rId33"/>
    <sheet name="25." sheetId="66" state="hidden" r:id="rId34"/>
    <sheet name="26." sheetId="67" state="hidden" r:id="rId35"/>
    <sheet name="27." sheetId="68" state="hidden" r:id="rId36"/>
    <sheet name="28." sheetId="69" state="hidden" r:id="rId37"/>
    <sheet name="29." sheetId="70" state="hidden" r:id="rId38"/>
    <sheet name="30." sheetId="71" state="hidden" r:id="rId39"/>
    <sheet name="DIM ENE" sheetId="74" state="hidden" r:id="rId40"/>
    <sheet name="01-03" sheetId="113" r:id="rId41"/>
    <sheet name="02-03" sheetId="114" r:id="rId42"/>
    <sheet name="03-03" sheetId="115" r:id="rId43"/>
    <sheet name="05-03" sheetId="117" r:id="rId44"/>
    <sheet name="06-03" sheetId="118" r:id="rId45"/>
    <sheet name="04-03" sheetId="116" r:id="rId46"/>
    <sheet name="07-03" sheetId="119" r:id="rId47"/>
    <sheet name="08-03" sheetId="121" r:id="rId48"/>
    <sheet name="09-03" sheetId="122" r:id="rId49"/>
    <sheet name="10-03" sheetId="123" r:id="rId50"/>
    <sheet name="BREAKS" sheetId="95" r:id="rId51"/>
    <sheet name="HT DIC" sheetId="96" state="hidden" r:id="rId52"/>
    <sheet name="Break DIC" sheetId="97" state="hidden" r:id="rId53"/>
    <sheet name="DIM DIC" sheetId="99" state="hidden" r:id="rId54"/>
    <sheet name="VPN" sheetId="100" r:id="rId55"/>
  </sheets>
  <definedNames>
    <definedName name="_xlnm._FilterDatabase" localSheetId="9" hidden="1">'01'!$A$7:$AG$56</definedName>
    <definedName name="_xlnm._FilterDatabase" localSheetId="40" hidden="1">'01-03'!$A$7:$AF$44</definedName>
    <definedName name="_xlnm._FilterDatabase" localSheetId="41" hidden="1">'02-03'!$A$7:$AF$44</definedName>
    <definedName name="_xlnm._FilterDatabase" localSheetId="42" hidden="1">'03-03'!$A$7:$AF$44</definedName>
    <definedName name="_xlnm._FilterDatabase" localSheetId="45" hidden="1">'04-03'!$A$7:$AF$44</definedName>
    <definedName name="_xlnm._FilterDatabase" localSheetId="43" hidden="1">'05-03'!$A$7:$AF$44</definedName>
    <definedName name="_xlnm._FilterDatabase" localSheetId="44" hidden="1">'06-03'!$A$7:$AL$44</definedName>
    <definedName name="_xlnm._FilterDatabase" localSheetId="46" hidden="1">'07-03'!$A$7:$AF$50</definedName>
    <definedName name="_xlnm._FilterDatabase" localSheetId="47" hidden="1">'08-03'!$A$7:$AF$50</definedName>
    <definedName name="_xlnm._FilterDatabase" localSheetId="48" hidden="1">'09-03'!$A$7:$AF$48</definedName>
    <definedName name="_xlnm._FilterDatabase" localSheetId="49" hidden="1">'10-03'!$A$7:$AF$48</definedName>
    <definedName name="_xlnm._FilterDatabase" localSheetId="24" hidden="1">'17.'!$A$7:$AG$60</definedName>
    <definedName name="_xlnm._FilterDatabase" localSheetId="0" hidden="1">'26'!$A$7:$AF$56</definedName>
    <definedName name="_xlnm._FilterDatabase" localSheetId="3" hidden="1">'29'!$A$7:$AG$56</definedName>
    <definedName name="_xlnm._FilterDatabase" localSheetId="50" hidden="1">BREAKS!$A$2:$DY$2</definedName>
    <definedName name="_xlnm._FilterDatabase" localSheetId="51" hidden="1">'HT DIC'!$A$2:$AM$60</definedName>
    <definedName name="janet">#REF!</definedName>
    <definedName name="Z_49BA5E93_E473_4F11_BE7E_FD55CB28D969_.wvu.FilterData" localSheetId="9" hidden="1">'01'!$G$5:$AD$74</definedName>
    <definedName name="Z_49BA5E93_E473_4F11_BE7E_FD55CB28D969_.wvu.FilterData" localSheetId="7" hidden="1">'01-01'!$G$5:$AD$85</definedName>
    <definedName name="Z_49BA5E93_E473_4F11_BE7E_FD55CB28D969_.wvu.FilterData" localSheetId="40" hidden="1">'01-03'!$G$5:$AD$45</definedName>
    <definedName name="Z_49BA5E93_E473_4F11_BE7E_FD55CB28D969_.wvu.FilterData" localSheetId="8" hidden="1">'02'!$G$5:$AD$85</definedName>
    <definedName name="Z_49BA5E93_E473_4F11_BE7E_FD55CB28D969_.wvu.FilterData" localSheetId="41" hidden="1">'02-03'!$G$5:$AD$45</definedName>
    <definedName name="Z_49BA5E93_E473_4F11_BE7E_FD55CB28D969_.wvu.FilterData" localSheetId="10" hidden="1">'03'!$G$5:$AD$86</definedName>
    <definedName name="Z_49BA5E93_E473_4F11_BE7E_FD55CB28D969_.wvu.FilterData" localSheetId="42" hidden="1">'03-03'!$G$5:$AD$47</definedName>
    <definedName name="Z_49BA5E93_E473_4F11_BE7E_FD55CB28D969_.wvu.FilterData" localSheetId="11" hidden="1">'04'!$G$5:$AD$85</definedName>
    <definedName name="Z_49BA5E93_E473_4F11_BE7E_FD55CB28D969_.wvu.FilterData" localSheetId="45" hidden="1">'04-03'!$G$5:$AD$60</definedName>
    <definedName name="Z_49BA5E93_E473_4F11_BE7E_FD55CB28D969_.wvu.FilterData" localSheetId="12" hidden="1">'05'!$G$5:$AD$84</definedName>
    <definedName name="Z_49BA5E93_E473_4F11_BE7E_FD55CB28D969_.wvu.FilterData" localSheetId="43" hidden="1">'05-03'!$G$5:$AD$45</definedName>
    <definedName name="Z_49BA5E93_E473_4F11_BE7E_FD55CB28D969_.wvu.FilterData" localSheetId="13" hidden="1">'06'!$G$5:$AD$84</definedName>
    <definedName name="Z_49BA5E93_E473_4F11_BE7E_FD55CB28D969_.wvu.FilterData" localSheetId="44" hidden="1">'06-03'!$G$5:$AD$45</definedName>
    <definedName name="Z_49BA5E93_E473_4F11_BE7E_FD55CB28D969_.wvu.FilterData" localSheetId="14" hidden="1">'07'!$G$5:$AD$84</definedName>
    <definedName name="Z_49BA5E93_E473_4F11_BE7E_FD55CB28D969_.wvu.FilterData" localSheetId="46" hidden="1">'07-03'!$G$5:$AD$52</definedName>
    <definedName name="Z_49BA5E93_E473_4F11_BE7E_FD55CB28D969_.wvu.FilterData" localSheetId="15" hidden="1">'08'!$G$5:$AD$84</definedName>
    <definedName name="Z_49BA5E93_E473_4F11_BE7E_FD55CB28D969_.wvu.FilterData" localSheetId="47" hidden="1">'08-03'!$G$5:$AD$51</definedName>
    <definedName name="Z_49BA5E93_E473_4F11_BE7E_FD55CB28D969_.wvu.FilterData" localSheetId="16" hidden="1">'09'!$G$5:$AD$84</definedName>
    <definedName name="Z_49BA5E93_E473_4F11_BE7E_FD55CB28D969_.wvu.FilterData" localSheetId="48" hidden="1">'09-03'!$G$5:$AD$49</definedName>
    <definedName name="Z_49BA5E93_E473_4F11_BE7E_FD55CB28D969_.wvu.FilterData" localSheetId="17" hidden="1">'10.'!$G$5:$AD$84</definedName>
    <definedName name="Z_49BA5E93_E473_4F11_BE7E_FD55CB28D969_.wvu.FilterData" localSheetId="49" hidden="1">'10-03'!$G$5:$AD$49</definedName>
    <definedName name="Z_49BA5E93_E473_4F11_BE7E_FD55CB28D969_.wvu.FilterData" localSheetId="18" hidden="1">'11.'!$G$5:$AD$84</definedName>
    <definedName name="Z_49BA5E93_E473_4F11_BE7E_FD55CB28D969_.wvu.FilterData" localSheetId="19" hidden="1">'12.'!$G$5:$AD$84</definedName>
    <definedName name="Z_49BA5E93_E473_4F11_BE7E_FD55CB28D969_.wvu.FilterData" localSheetId="20" hidden="1">'13.'!$G$5:$AD$84</definedName>
    <definedName name="Z_49BA5E93_E473_4F11_BE7E_FD55CB28D969_.wvu.FilterData" localSheetId="21" hidden="1">'14.'!$G$5:$AD$84</definedName>
    <definedName name="Z_49BA5E93_E473_4F11_BE7E_FD55CB28D969_.wvu.FilterData" localSheetId="22" hidden="1">'15.'!$G$5:$AD$84</definedName>
    <definedName name="Z_49BA5E93_E473_4F11_BE7E_FD55CB28D969_.wvu.FilterData" localSheetId="23" hidden="1">'16.'!$G$5:$AD$84</definedName>
    <definedName name="Z_49BA5E93_E473_4F11_BE7E_FD55CB28D969_.wvu.FilterData" localSheetId="24" hidden="1">'17.'!$G$5:$AD$84</definedName>
    <definedName name="Z_49BA5E93_E473_4F11_BE7E_FD55CB28D969_.wvu.FilterData" localSheetId="26" hidden="1">'18.'!$G$5:$AD$84</definedName>
    <definedName name="Z_49BA5E93_E473_4F11_BE7E_FD55CB28D969_.wvu.FilterData" localSheetId="27" hidden="1">'19.'!$G$5:$AD$84</definedName>
    <definedName name="Z_49BA5E93_E473_4F11_BE7E_FD55CB28D969_.wvu.FilterData" localSheetId="28" hidden="1">'20.'!$G$5:$AD$84</definedName>
    <definedName name="Z_49BA5E93_E473_4F11_BE7E_FD55CB28D969_.wvu.FilterData" localSheetId="29" hidden="1">'21.'!$G$5:$AD$84</definedName>
    <definedName name="Z_49BA5E93_E473_4F11_BE7E_FD55CB28D969_.wvu.FilterData" localSheetId="25" hidden="1">'22'!$G$5:$AD$74</definedName>
    <definedName name="Z_49BA5E93_E473_4F11_BE7E_FD55CB28D969_.wvu.FilterData" localSheetId="30" hidden="1">'22.'!$G$5:$AD$96</definedName>
    <definedName name="Z_49BA5E93_E473_4F11_BE7E_FD55CB28D969_.wvu.FilterData" localSheetId="31" hidden="1">'23.'!$G$5:$AD$96</definedName>
    <definedName name="Z_49BA5E93_E473_4F11_BE7E_FD55CB28D969_.wvu.FilterData" localSheetId="32" hidden="1">'24.'!$G$5:$AD$96</definedName>
    <definedName name="Z_49BA5E93_E473_4F11_BE7E_FD55CB28D969_.wvu.FilterData" localSheetId="33" hidden="1">'25.'!$G$5:$AD$101</definedName>
    <definedName name="Z_49BA5E93_E473_4F11_BE7E_FD55CB28D969_.wvu.FilterData" localSheetId="0" hidden="1">'26'!$G$5:$AD$74</definedName>
    <definedName name="Z_49BA5E93_E473_4F11_BE7E_FD55CB28D969_.wvu.FilterData" localSheetId="34" hidden="1">'26.'!$G$5:$AD$96</definedName>
    <definedName name="Z_49BA5E93_E473_4F11_BE7E_FD55CB28D969_.wvu.FilterData" localSheetId="1" hidden="1">'27'!$G$5:$AD$74</definedName>
    <definedName name="Z_49BA5E93_E473_4F11_BE7E_FD55CB28D969_.wvu.FilterData" localSheetId="35" hidden="1">'27.'!$G$5:$AD$96</definedName>
    <definedName name="Z_49BA5E93_E473_4F11_BE7E_FD55CB28D969_.wvu.FilterData" localSheetId="2" hidden="1">'28'!$G$5:$AD$74</definedName>
    <definedName name="Z_49BA5E93_E473_4F11_BE7E_FD55CB28D969_.wvu.FilterData" localSheetId="36" hidden="1">'28.'!$G$5:$AD$96</definedName>
    <definedName name="Z_49BA5E93_E473_4F11_BE7E_FD55CB28D969_.wvu.FilterData" localSheetId="3" hidden="1">'29'!$G$5:$AD$74</definedName>
    <definedName name="Z_49BA5E93_E473_4F11_BE7E_FD55CB28D969_.wvu.FilterData" localSheetId="37" hidden="1">'29.'!$G$5:$AD$96</definedName>
    <definedName name="Z_49BA5E93_E473_4F11_BE7E_FD55CB28D969_.wvu.FilterData" localSheetId="4" hidden="1">'30'!$G$5:$AD$74</definedName>
    <definedName name="Z_49BA5E93_E473_4F11_BE7E_FD55CB28D969_.wvu.FilterData" localSheetId="38" hidden="1">'30.'!$G$5:$AD$96</definedName>
    <definedName name="Z_49BA5E93_E473_4F11_BE7E_FD55CB28D969_.wvu.FilterData" localSheetId="6" hidden="1">'31.'!$G$5:$AD$96</definedName>
    <definedName name="Z_833D6734_F5E1_4449_B5A1_8C3A51A61651_.wvu.FilterData" localSheetId="9" hidden="1">'01'!$A$7:$AG$74</definedName>
    <definedName name="Z_833D6734_F5E1_4449_B5A1_8C3A51A61651_.wvu.FilterData" localSheetId="7" hidden="1">'01-01'!$A$7:$AG$85</definedName>
    <definedName name="Z_833D6734_F5E1_4449_B5A1_8C3A51A61651_.wvu.FilterData" localSheetId="40" hidden="1">'01-03'!$A$7:$AI$45</definedName>
    <definedName name="Z_833D6734_F5E1_4449_B5A1_8C3A51A61651_.wvu.FilterData" localSheetId="8" hidden="1">'02'!$A$7:$AG$85</definedName>
    <definedName name="Z_833D6734_F5E1_4449_B5A1_8C3A51A61651_.wvu.FilterData" localSheetId="41" hidden="1">'02-03'!$A$7:$AI$45</definedName>
    <definedName name="Z_833D6734_F5E1_4449_B5A1_8C3A51A61651_.wvu.FilterData" localSheetId="10" hidden="1">'03'!$A$7:$AG$86</definedName>
    <definedName name="Z_833D6734_F5E1_4449_B5A1_8C3A51A61651_.wvu.FilterData" localSheetId="42" hidden="1">'03-03'!$A$7:$AI$47</definedName>
    <definedName name="Z_833D6734_F5E1_4449_B5A1_8C3A51A61651_.wvu.FilterData" localSheetId="11" hidden="1">'04'!$A$7:$AG$85</definedName>
    <definedName name="Z_833D6734_F5E1_4449_B5A1_8C3A51A61651_.wvu.FilterData" localSheetId="45" hidden="1">'04-03'!$A$7:$AI$60</definedName>
    <definedName name="Z_833D6734_F5E1_4449_B5A1_8C3A51A61651_.wvu.FilterData" localSheetId="12" hidden="1">'05'!$A$7:$AG$84</definedName>
    <definedName name="Z_833D6734_F5E1_4449_B5A1_8C3A51A61651_.wvu.FilterData" localSheetId="43" hidden="1">'05-03'!$A$7:$AI$45</definedName>
    <definedName name="Z_833D6734_F5E1_4449_B5A1_8C3A51A61651_.wvu.FilterData" localSheetId="13" hidden="1">'06'!$A$7:$AG$84</definedName>
    <definedName name="Z_833D6734_F5E1_4449_B5A1_8C3A51A61651_.wvu.FilterData" localSheetId="44" hidden="1">'06-03'!$A$7:$AI$45</definedName>
    <definedName name="Z_833D6734_F5E1_4449_B5A1_8C3A51A61651_.wvu.FilterData" localSheetId="14" hidden="1">'07'!$A$7:$AG$84</definedName>
    <definedName name="Z_833D6734_F5E1_4449_B5A1_8C3A51A61651_.wvu.FilterData" localSheetId="46" hidden="1">'07-03'!$A$7:$AI$52</definedName>
    <definedName name="Z_833D6734_F5E1_4449_B5A1_8C3A51A61651_.wvu.FilterData" localSheetId="15" hidden="1">'08'!$A$7:$AG$84</definedName>
    <definedName name="Z_833D6734_F5E1_4449_B5A1_8C3A51A61651_.wvu.FilterData" localSheetId="47" hidden="1">'08-03'!$A$7:$AI$51</definedName>
    <definedName name="Z_833D6734_F5E1_4449_B5A1_8C3A51A61651_.wvu.FilterData" localSheetId="16" hidden="1">'09'!$A$7:$AG$84</definedName>
    <definedName name="Z_833D6734_F5E1_4449_B5A1_8C3A51A61651_.wvu.FilterData" localSheetId="48" hidden="1">'09-03'!$A$7:$AI$49</definedName>
    <definedName name="Z_833D6734_F5E1_4449_B5A1_8C3A51A61651_.wvu.FilterData" localSheetId="17" hidden="1">'10.'!$A$7:$AG$84</definedName>
    <definedName name="Z_833D6734_F5E1_4449_B5A1_8C3A51A61651_.wvu.FilterData" localSheetId="49" hidden="1">'10-03'!$A$7:$AI$49</definedName>
    <definedName name="Z_833D6734_F5E1_4449_B5A1_8C3A51A61651_.wvu.FilterData" localSheetId="18" hidden="1">'11.'!$A$7:$AG$84</definedName>
    <definedName name="Z_833D6734_F5E1_4449_B5A1_8C3A51A61651_.wvu.FilterData" localSheetId="19" hidden="1">'12.'!$A$7:$AG$84</definedName>
    <definedName name="Z_833D6734_F5E1_4449_B5A1_8C3A51A61651_.wvu.FilterData" localSheetId="20" hidden="1">'13.'!$A$7:$AG$84</definedName>
    <definedName name="Z_833D6734_F5E1_4449_B5A1_8C3A51A61651_.wvu.FilterData" localSheetId="21" hidden="1">'14.'!$A$7:$AG$84</definedName>
    <definedName name="Z_833D6734_F5E1_4449_B5A1_8C3A51A61651_.wvu.FilterData" localSheetId="22" hidden="1">'15.'!$A$7:$AG$84</definedName>
    <definedName name="Z_833D6734_F5E1_4449_B5A1_8C3A51A61651_.wvu.FilterData" localSheetId="23" hidden="1">'16.'!$A$7:$AG$84</definedName>
    <definedName name="Z_833D6734_F5E1_4449_B5A1_8C3A51A61651_.wvu.FilterData" localSheetId="24" hidden="1">'17.'!$A$7:$AG$84</definedName>
    <definedName name="Z_833D6734_F5E1_4449_B5A1_8C3A51A61651_.wvu.FilterData" localSheetId="26" hidden="1">'18.'!$A$7:$AG$84</definedName>
    <definedName name="Z_833D6734_F5E1_4449_B5A1_8C3A51A61651_.wvu.FilterData" localSheetId="27" hidden="1">'19.'!$A$7:$AG$84</definedName>
    <definedName name="Z_833D6734_F5E1_4449_B5A1_8C3A51A61651_.wvu.FilterData" localSheetId="28" hidden="1">'20.'!$A$7:$AG$84</definedName>
    <definedName name="Z_833D6734_F5E1_4449_B5A1_8C3A51A61651_.wvu.FilterData" localSheetId="29" hidden="1">'21.'!$A$7:$AG$84</definedName>
    <definedName name="Z_833D6734_F5E1_4449_B5A1_8C3A51A61651_.wvu.FilterData" localSheetId="25" hidden="1">'22'!$A$7:$AG$74</definedName>
    <definedName name="Z_833D6734_F5E1_4449_B5A1_8C3A51A61651_.wvu.FilterData" localSheetId="30" hidden="1">'22.'!$A$7:$AG$96</definedName>
    <definedName name="Z_833D6734_F5E1_4449_B5A1_8C3A51A61651_.wvu.FilterData" localSheetId="31" hidden="1">'23.'!$A$7:$AG$96</definedName>
    <definedName name="Z_833D6734_F5E1_4449_B5A1_8C3A51A61651_.wvu.FilterData" localSheetId="32" hidden="1">'24.'!$A$7:$AG$96</definedName>
    <definedName name="Z_833D6734_F5E1_4449_B5A1_8C3A51A61651_.wvu.FilterData" localSheetId="33" hidden="1">'25.'!$A$7:$AI$101</definedName>
    <definedName name="Z_833D6734_F5E1_4449_B5A1_8C3A51A61651_.wvu.FilterData" localSheetId="0" hidden="1">'26'!$A$7:$AG$74</definedName>
    <definedName name="Z_833D6734_F5E1_4449_B5A1_8C3A51A61651_.wvu.FilterData" localSheetId="34" hidden="1">'26.'!$A$7:$AI$96</definedName>
    <definedName name="Z_833D6734_F5E1_4449_B5A1_8C3A51A61651_.wvu.FilterData" localSheetId="1" hidden="1">'27'!$A$7:$AG$74</definedName>
    <definedName name="Z_833D6734_F5E1_4449_B5A1_8C3A51A61651_.wvu.FilterData" localSheetId="35" hidden="1">'27.'!$A$7:$AI$96</definedName>
    <definedName name="Z_833D6734_F5E1_4449_B5A1_8C3A51A61651_.wvu.FilterData" localSheetId="2" hidden="1">'28'!$A$7:$AG$74</definedName>
    <definedName name="Z_833D6734_F5E1_4449_B5A1_8C3A51A61651_.wvu.FilterData" localSheetId="36" hidden="1">'28.'!$A$7:$AI$96</definedName>
    <definedName name="Z_833D6734_F5E1_4449_B5A1_8C3A51A61651_.wvu.FilterData" localSheetId="3" hidden="1">'29'!$A$7:$AG$74</definedName>
    <definedName name="Z_833D6734_F5E1_4449_B5A1_8C3A51A61651_.wvu.FilterData" localSheetId="37" hidden="1">'29.'!$A$7:$AI$96</definedName>
    <definedName name="Z_833D6734_F5E1_4449_B5A1_8C3A51A61651_.wvu.FilterData" localSheetId="4" hidden="1">'30'!$A$7:$AG$74</definedName>
    <definedName name="Z_833D6734_F5E1_4449_B5A1_8C3A51A61651_.wvu.FilterData" localSheetId="38" hidden="1">'30.'!$A$7:$AI$96</definedName>
    <definedName name="Z_833D6734_F5E1_4449_B5A1_8C3A51A61651_.wvu.FilterData" localSheetId="6" hidden="1">'31.'!$A$7:$AI$96</definedName>
    <definedName name="Z_D6F95600_F5D2_44BC_80B6_0F2773D5BD92_.wvu.FilterData" localSheetId="9" hidden="1">'01'!$A$3:$AG$74</definedName>
    <definedName name="Z_D6F95600_F5D2_44BC_80B6_0F2773D5BD92_.wvu.FilterData" localSheetId="7" hidden="1">'01-01'!$A$3:$AG$85</definedName>
    <definedName name="Z_D6F95600_F5D2_44BC_80B6_0F2773D5BD92_.wvu.FilterData" localSheetId="40" hidden="1">'01-03'!$A$3:$AI$45</definedName>
    <definedName name="Z_D6F95600_F5D2_44BC_80B6_0F2773D5BD92_.wvu.FilterData" localSheetId="8" hidden="1">'02'!$A$3:$AG$85</definedName>
    <definedName name="Z_D6F95600_F5D2_44BC_80B6_0F2773D5BD92_.wvu.FilterData" localSheetId="41" hidden="1">'02-03'!$A$3:$AI$45</definedName>
    <definedName name="Z_D6F95600_F5D2_44BC_80B6_0F2773D5BD92_.wvu.FilterData" localSheetId="10" hidden="1">'03'!$A$3:$AG$86</definedName>
    <definedName name="Z_D6F95600_F5D2_44BC_80B6_0F2773D5BD92_.wvu.FilterData" localSheetId="42" hidden="1">'03-03'!$A$3:$AI$47</definedName>
    <definedName name="Z_D6F95600_F5D2_44BC_80B6_0F2773D5BD92_.wvu.FilterData" localSheetId="11" hidden="1">'04'!$A$3:$AG$85</definedName>
    <definedName name="Z_D6F95600_F5D2_44BC_80B6_0F2773D5BD92_.wvu.FilterData" localSheetId="45" hidden="1">'04-03'!$A$3:$AI$60</definedName>
    <definedName name="Z_D6F95600_F5D2_44BC_80B6_0F2773D5BD92_.wvu.FilterData" localSheetId="12" hidden="1">'05'!$A$3:$AG$84</definedName>
    <definedName name="Z_D6F95600_F5D2_44BC_80B6_0F2773D5BD92_.wvu.FilterData" localSheetId="43" hidden="1">'05-03'!$A$3:$AI$45</definedName>
    <definedName name="Z_D6F95600_F5D2_44BC_80B6_0F2773D5BD92_.wvu.FilterData" localSheetId="13" hidden="1">'06'!$A$3:$AG$84</definedName>
    <definedName name="Z_D6F95600_F5D2_44BC_80B6_0F2773D5BD92_.wvu.FilterData" localSheetId="44" hidden="1">'06-03'!$A$3:$AI$45</definedName>
    <definedName name="Z_D6F95600_F5D2_44BC_80B6_0F2773D5BD92_.wvu.FilterData" localSheetId="14" hidden="1">'07'!$A$3:$AG$84</definedName>
    <definedName name="Z_D6F95600_F5D2_44BC_80B6_0F2773D5BD92_.wvu.FilterData" localSheetId="46" hidden="1">'07-03'!$A$3:$AI$52</definedName>
    <definedName name="Z_D6F95600_F5D2_44BC_80B6_0F2773D5BD92_.wvu.FilterData" localSheetId="15" hidden="1">'08'!$A$3:$AG$84</definedName>
    <definedName name="Z_D6F95600_F5D2_44BC_80B6_0F2773D5BD92_.wvu.FilterData" localSheetId="47" hidden="1">'08-03'!$A$3:$AI$51</definedName>
    <definedName name="Z_D6F95600_F5D2_44BC_80B6_0F2773D5BD92_.wvu.FilterData" localSheetId="16" hidden="1">'09'!$A$3:$AG$84</definedName>
    <definedName name="Z_D6F95600_F5D2_44BC_80B6_0F2773D5BD92_.wvu.FilterData" localSheetId="48" hidden="1">'09-03'!$A$3:$AI$49</definedName>
    <definedName name="Z_D6F95600_F5D2_44BC_80B6_0F2773D5BD92_.wvu.FilterData" localSheetId="17" hidden="1">'10.'!$A$3:$AG$84</definedName>
    <definedName name="Z_D6F95600_F5D2_44BC_80B6_0F2773D5BD92_.wvu.FilterData" localSheetId="49" hidden="1">'10-03'!$A$3:$AI$49</definedName>
    <definedName name="Z_D6F95600_F5D2_44BC_80B6_0F2773D5BD92_.wvu.FilterData" localSheetId="18" hidden="1">'11.'!$A$3:$AG$84</definedName>
    <definedName name="Z_D6F95600_F5D2_44BC_80B6_0F2773D5BD92_.wvu.FilterData" localSheetId="19" hidden="1">'12.'!$A$3:$AG$84</definedName>
    <definedName name="Z_D6F95600_F5D2_44BC_80B6_0F2773D5BD92_.wvu.FilterData" localSheetId="20" hidden="1">'13.'!$A$3:$AG$84</definedName>
    <definedName name="Z_D6F95600_F5D2_44BC_80B6_0F2773D5BD92_.wvu.FilterData" localSheetId="21" hidden="1">'14.'!$A$3:$AG$84</definedName>
    <definedName name="Z_D6F95600_F5D2_44BC_80B6_0F2773D5BD92_.wvu.FilterData" localSheetId="22" hidden="1">'15.'!$A$3:$AG$84</definedName>
    <definedName name="Z_D6F95600_F5D2_44BC_80B6_0F2773D5BD92_.wvu.FilterData" localSheetId="23" hidden="1">'16.'!$A$3:$AG$84</definedName>
    <definedName name="Z_D6F95600_F5D2_44BC_80B6_0F2773D5BD92_.wvu.FilterData" localSheetId="24" hidden="1">'17.'!$A$3:$AG$84</definedName>
    <definedName name="Z_D6F95600_F5D2_44BC_80B6_0F2773D5BD92_.wvu.FilterData" localSheetId="26" hidden="1">'18.'!$A$3:$AG$84</definedName>
    <definedName name="Z_D6F95600_F5D2_44BC_80B6_0F2773D5BD92_.wvu.FilterData" localSheetId="27" hidden="1">'19.'!$A$3:$AG$84</definedName>
    <definedName name="Z_D6F95600_F5D2_44BC_80B6_0F2773D5BD92_.wvu.FilterData" localSheetId="28" hidden="1">'20.'!$A$3:$AG$84</definedName>
    <definedName name="Z_D6F95600_F5D2_44BC_80B6_0F2773D5BD92_.wvu.FilterData" localSheetId="29" hidden="1">'21.'!$A$3:$AG$84</definedName>
    <definedName name="Z_D6F95600_F5D2_44BC_80B6_0F2773D5BD92_.wvu.FilterData" localSheetId="25" hidden="1">'22'!$A$3:$AG$74</definedName>
    <definedName name="Z_D6F95600_F5D2_44BC_80B6_0F2773D5BD92_.wvu.FilterData" localSheetId="30" hidden="1">'22.'!$A$3:$AG$96</definedName>
    <definedName name="Z_D6F95600_F5D2_44BC_80B6_0F2773D5BD92_.wvu.FilterData" localSheetId="31" hidden="1">'23.'!$A$3:$AG$96</definedName>
    <definedName name="Z_D6F95600_F5D2_44BC_80B6_0F2773D5BD92_.wvu.FilterData" localSheetId="32" hidden="1">'24.'!$A$3:$AG$96</definedName>
    <definedName name="Z_D6F95600_F5D2_44BC_80B6_0F2773D5BD92_.wvu.FilterData" localSheetId="33" hidden="1">'25.'!$A$3:$AI$101</definedName>
    <definedName name="Z_D6F95600_F5D2_44BC_80B6_0F2773D5BD92_.wvu.FilterData" localSheetId="0" hidden="1">'26'!$A$3:$AG$74</definedName>
    <definedName name="Z_D6F95600_F5D2_44BC_80B6_0F2773D5BD92_.wvu.FilterData" localSheetId="34" hidden="1">'26.'!$A$3:$AI$96</definedName>
    <definedName name="Z_D6F95600_F5D2_44BC_80B6_0F2773D5BD92_.wvu.FilterData" localSheetId="1" hidden="1">'27'!$A$3:$AG$74</definedName>
    <definedName name="Z_D6F95600_F5D2_44BC_80B6_0F2773D5BD92_.wvu.FilterData" localSheetId="35" hidden="1">'27.'!$A$3:$AI$96</definedName>
    <definedName name="Z_D6F95600_F5D2_44BC_80B6_0F2773D5BD92_.wvu.FilterData" localSheetId="2" hidden="1">'28'!$A$3:$AG$74</definedName>
    <definedName name="Z_D6F95600_F5D2_44BC_80B6_0F2773D5BD92_.wvu.FilterData" localSheetId="36" hidden="1">'28.'!$A$3:$AI$96</definedName>
    <definedName name="Z_D6F95600_F5D2_44BC_80B6_0F2773D5BD92_.wvu.FilterData" localSheetId="3" hidden="1">'29'!$A$3:$AG$74</definedName>
    <definedName name="Z_D6F95600_F5D2_44BC_80B6_0F2773D5BD92_.wvu.FilterData" localSheetId="37" hidden="1">'29.'!$A$3:$AI$96</definedName>
    <definedName name="Z_D6F95600_F5D2_44BC_80B6_0F2773D5BD92_.wvu.FilterData" localSheetId="4" hidden="1">'30'!$A$3:$AG$74</definedName>
    <definedName name="Z_D6F95600_F5D2_44BC_80B6_0F2773D5BD92_.wvu.FilterData" localSheetId="38" hidden="1">'30.'!$A$3:$AI$96</definedName>
    <definedName name="Z_D6F95600_F5D2_44BC_80B6_0F2773D5BD92_.wvu.FilterData" localSheetId="6" hidden="1">'31.'!$A$3:$AI$96</definedName>
    <definedName name="Z_D6F95600_F5D2_44BC_80B6_0F2773D5BD92_.wvu.FilterData" localSheetId="51" hidden="1">'HT DIC'!$A$1:$W$15</definedName>
  </definedNames>
  <calcPr calcId="191029"/>
  <customWorkbookViews>
    <customWorkbookView name="Filtro 3" guid="{49BA5E93-E473-4F11-BE7E-FD55CB28D969}" maximized="1" windowWidth="0" windowHeight="0" activeSheetId="0"/>
    <customWorkbookView name="Filtro 2" guid="{833D6734-F5E1-4449-B5A1-8C3A51A61651}" maximized="1" windowWidth="0" windowHeight="0" activeSheetId="0"/>
    <customWorkbookView name="Filtro 1" guid="{D6F95600-F5D2-44BC-80B6-0F2773D5BD92}" maximized="1" windowWidth="0" windowHeight="0" activeSheetId="0"/>
    <customWorkbookView name="Filtro 4" guid="{EA658139-59E3-4328-93B7-F3EF2526807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122" l="1"/>
  <c r="AE43" i="122"/>
  <c r="AE43" i="123"/>
  <c r="F43" i="123"/>
  <c r="AE42" i="123"/>
  <c r="F42" i="123"/>
  <c r="AE41" i="123"/>
  <c r="F41" i="123"/>
  <c r="AE40" i="123"/>
  <c r="F40" i="123"/>
  <c r="AE39" i="123"/>
  <c r="F39" i="123"/>
  <c r="AE38" i="123"/>
  <c r="F38" i="123"/>
  <c r="AE37" i="123"/>
  <c r="F37" i="123"/>
  <c r="AE36" i="123"/>
  <c r="F36" i="123"/>
  <c r="AE35" i="123"/>
  <c r="F35" i="123"/>
  <c r="AE34" i="123"/>
  <c r="F34" i="123"/>
  <c r="AE33" i="123"/>
  <c r="F33" i="123"/>
  <c r="AE32" i="123"/>
  <c r="F32" i="123"/>
  <c r="AE31" i="123"/>
  <c r="F31" i="123"/>
  <c r="AE30" i="123"/>
  <c r="F30" i="123"/>
  <c r="AE29" i="123"/>
  <c r="F29" i="123"/>
  <c r="AE28" i="123"/>
  <c r="F28" i="123"/>
  <c r="AE27" i="123"/>
  <c r="F27" i="123"/>
  <c r="AE26" i="123"/>
  <c r="F26" i="123"/>
  <c r="AE25" i="123"/>
  <c r="F25" i="123"/>
  <c r="AE24" i="123"/>
  <c r="F24" i="123"/>
  <c r="AE23" i="123"/>
  <c r="F23" i="123"/>
  <c r="AE22" i="123"/>
  <c r="F22" i="123"/>
  <c r="AE21" i="123"/>
  <c r="F21" i="123"/>
  <c r="AE20" i="123"/>
  <c r="F20" i="123"/>
  <c r="AE18" i="123"/>
  <c r="F18" i="123"/>
  <c r="AE17" i="123"/>
  <c r="F17" i="123"/>
  <c r="AE16" i="123"/>
  <c r="F16" i="123"/>
  <c r="AE15" i="123"/>
  <c r="F15" i="123"/>
  <c r="AE14" i="123"/>
  <c r="F14" i="123"/>
  <c r="AE13" i="123"/>
  <c r="F13" i="123"/>
  <c r="AE12" i="123"/>
  <c r="F12" i="123"/>
  <c r="AE11" i="123"/>
  <c r="F11" i="123"/>
  <c r="AE10" i="123"/>
  <c r="F10" i="123"/>
  <c r="AE9" i="123"/>
  <c r="F9" i="123"/>
  <c r="AE8" i="123"/>
  <c r="F8" i="123"/>
  <c r="AD7" i="123"/>
  <c r="AD6" i="123" s="1"/>
  <c r="AC7" i="123"/>
  <c r="AC6" i="123" s="1"/>
  <c r="AB7" i="123"/>
  <c r="AB6" i="123" s="1"/>
  <c r="AA7" i="123"/>
  <c r="AA6" i="123" s="1"/>
  <c r="Z7" i="123"/>
  <c r="Z6" i="123" s="1"/>
  <c r="Y7" i="123"/>
  <c r="Y6" i="123" s="1"/>
  <c r="X7" i="123"/>
  <c r="X6" i="123" s="1"/>
  <c r="W7" i="123"/>
  <c r="W6" i="123" s="1"/>
  <c r="V7" i="123"/>
  <c r="V6" i="123" s="1"/>
  <c r="U7" i="123"/>
  <c r="U6" i="123" s="1"/>
  <c r="T7" i="123"/>
  <c r="T6" i="123" s="1"/>
  <c r="S7" i="123"/>
  <c r="S6" i="123" s="1"/>
  <c r="R7" i="123"/>
  <c r="R6" i="123" s="1"/>
  <c r="Q7" i="123"/>
  <c r="Q6" i="123" s="1"/>
  <c r="P7" i="123"/>
  <c r="P6" i="123" s="1"/>
  <c r="O7" i="123"/>
  <c r="O6" i="123" s="1"/>
  <c r="N7" i="123"/>
  <c r="N6" i="123" s="1"/>
  <c r="M7" i="123"/>
  <c r="M6" i="123" s="1"/>
  <c r="L7" i="123"/>
  <c r="L6" i="123" s="1"/>
  <c r="K7" i="123"/>
  <c r="K6" i="123" s="1"/>
  <c r="J7" i="123"/>
  <c r="I7" i="123"/>
  <c r="I6" i="123" s="1"/>
  <c r="H7" i="123"/>
  <c r="H6" i="123" s="1"/>
  <c r="G7" i="123"/>
  <c r="G6" i="123" s="1"/>
  <c r="J6" i="123"/>
  <c r="AE4" i="123"/>
  <c r="AE6" i="123" l="1"/>
  <c r="AE7" i="123"/>
  <c r="AE27" i="121" l="1"/>
  <c r="G7" i="122" l="1"/>
  <c r="G6" i="122" s="1"/>
  <c r="AE18" i="119"/>
  <c r="AE42" i="122"/>
  <c r="F42" i="122"/>
  <c r="AE41" i="122"/>
  <c r="F41" i="122"/>
  <c r="AE40" i="122"/>
  <c r="F40" i="122"/>
  <c r="AE39" i="122"/>
  <c r="F39" i="122"/>
  <c r="AE38" i="122"/>
  <c r="F38" i="122"/>
  <c r="AE37" i="122"/>
  <c r="F37" i="122"/>
  <c r="AE36" i="122"/>
  <c r="F36" i="122"/>
  <c r="AE35" i="122"/>
  <c r="F35" i="122"/>
  <c r="AE34" i="122"/>
  <c r="F34" i="122"/>
  <c r="AE33" i="122"/>
  <c r="F33" i="122"/>
  <c r="AE32" i="122"/>
  <c r="F32" i="122"/>
  <c r="AE31" i="122"/>
  <c r="F31" i="122"/>
  <c r="AE30" i="122"/>
  <c r="F30" i="122"/>
  <c r="AE29" i="122"/>
  <c r="F29" i="122"/>
  <c r="AE28" i="122"/>
  <c r="F28" i="122"/>
  <c r="AE27" i="122"/>
  <c r="F27" i="122"/>
  <c r="AE26" i="122"/>
  <c r="F26" i="122"/>
  <c r="AE25" i="122"/>
  <c r="F25" i="122"/>
  <c r="AE24" i="122"/>
  <c r="F24" i="122"/>
  <c r="AE23" i="122"/>
  <c r="F23" i="122"/>
  <c r="AE22" i="122"/>
  <c r="F22" i="122"/>
  <c r="AE21" i="122"/>
  <c r="F21" i="122"/>
  <c r="AE20" i="122"/>
  <c r="F20" i="122"/>
  <c r="AE18" i="122"/>
  <c r="F18" i="122"/>
  <c r="AE17" i="122"/>
  <c r="F17" i="122"/>
  <c r="AE16" i="122"/>
  <c r="F16" i="122"/>
  <c r="AE15" i="122"/>
  <c r="F15" i="122"/>
  <c r="AE14" i="122"/>
  <c r="F14" i="122"/>
  <c r="AE13" i="122"/>
  <c r="F13" i="122"/>
  <c r="AE12" i="122"/>
  <c r="F12" i="122"/>
  <c r="AE11" i="122"/>
  <c r="F11" i="122"/>
  <c r="AE10" i="122"/>
  <c r="F10" i="122"/>
  <c r="AE9" i="122"/>
  <c r="F9" i="122"/>
  <c r="AE8" i="122"/>
  <c r="F8" i="122"/>
  <c r="AD7" i="122"/>
  <c r="AD6" i="122" s="1"/>
  <c r="AC7" i="122"/>
  <c r="AC6" i="122" s="1"/>
  <c r="AB7" i="122"/>
  <c r="AB6" i="122" s="1"/>
  <c r="AA7" i="122"/>
  <c r="AA6" i="122" s="1"/>
  <c r="Z7" i="122"/>
  <c r="Z6" i="122" s="1"/>
  <c r="Y7" i="122"/>
  <c r="Y6" i="122" s="1"/>
  <c r="X7" i="122"/>
  <c r="X6" i="122" s="1"/>
  <c r="W7" i="122"/>
  <c r="W6" i="122" s="1"/>
  <c r="V7" i="122"/>
  <c r="V6" i="122" s="1"/>
  <c r="U7" i="122"/>
  <c r="U6" i="122" s="1"/>
  <c r="T7" i="122"/>
  <c r="T6" i="122" s="1"/>
  <c r="S7" i="122"/>
  <c r="S6" i="122" s="1"/>
  <c r="R7" i="122"/>
  <c r="R6" i="122" s="1"/>
  <c r="Q7" i="122"/>
  <c r="Q6" i="122" s="1"/>
  <c r="P7" i="122"/>
  <c r="P6" i="122" s="1"/>
  <c r="O7" i="122"/>
  <c r="O6" i="122" s="1"/>
  <c r="N7" i="122"/>
  <c r="N6" i="122" s="1"/>
  <c r="M7" i="122"/>
  <c r="M6" i="122" s="1"/>
  <c r="L7" i="122"/>
  <c r="L6" i="122" s="1"/>
  <c r="K7" i="122"/>
  <c r="K6" i="122" s="1"/>
  <c r="J7" i="122"/>
  <c r="J6" i="122" s="1"/>
  <c r="I7" i="122"/>
  <c r="I6" i="122" s="1"/>
  <c r="H7" i="122"/>
  <c r="H6" i="122" s="1"/>
  <c r="AE4" i="122"/>
  <c r="F13" i="121"/>
  <c r="AE13" i="121"/>
  <c r="AE45" i="121"/>
  <c r="F45" i="121"/>
  <c r="AE44" i="121"/>
  <c r="F44" i="121"/>
  <c r="AE43" i="121"/>
  <c r="F43" i="121"/>
  <c r="AE42" i="121"/>
  <c r="F42" i="121"/>
  <c r="AE41" i="121"/>
  <c r="F41" i="121"/>
  <c r="AE40" i="121"/>
  <c r="F40" i="121"/>
  <c r="AE39" i="121"/>
  <c r="F39" i="121"/>
  <c r="AE38" i="121"/>
  <c r="F38" i="121"/>
  <c r="AE37" i="121"/>
  <c r="F37" i="121"/>
  <c r="AE36" i="121"/>
  <c r="F36" i="121"/>
  <c r="AE35" i="121"/>
  <c r="F35" i="121"/>
  <c r="AE34" i="121"/>
  <c r="F34" i="121"/>
  <c r="AE33" i="121"/>
  <c r="F33" i="121"/>
  <c r="AE32" i="121"/>
  <c r="F32" i="121"/>
  <c r="AE31" i="121"/>
  <c r="F31" i="121"/>
  <c r="AE30" i="121"/>
  <c r="F30" i="121"/>
  <c r="AE29" i="121"/>
  <c r="F29" i="121"/>
  <c r="AE28" i="121"/>
  <c r="F28" i="121"/>
  <c r="F27" i="121"/>
  <c r="AE26" i="121"/>
  <c r="F26" i="121"/>
  <c r="AE25" i="121"/>
  <c r="F25" i="121"/>
  <c r="AE24" i="121"/>
  <c r="F24" i="121"/>
  <c r="AE23" i="121"/>
  <c r="F23" i="121"/>
  <c r="AE22" i="121"/>
  <c r="F22" i="121"/>
  <c r="AE21" i="121"/>
  <c r="F21" i="121"/>
  <c r="AE20" i="121"/>
  <c r="F20" i="121"/>
  <c r="AE19" i="121"/>
  <c r="F19" i="121"/>
  <c r="AE18" i="121"/>
  <c r="F18" i="121"/>
  <c r="AE17" i="121"/>
  <c r="F17" i="121"/>
  <c r="AE16" i="121"/>
  <c r="F16" i="121"/>
  <c r="AE15" i="121"/>
  <c r="F15" i="121"/>
  <c r="AE14" i="121"/>
  <c r="F14" i="121"/>
  <c r="AE12" i="121"/>
  <c r="F12" i="121"/>
  <c r="AE11" i="121"/>
  <c r="F11" i="121"/>
  <c r="AE10" i="121"/>
  <c r="F10" i="121"/>
  <c r="AE9" i="121"/>
  <c r="F9" i="121"/>
  <c r="AE8" i="121"/>
  <c r="F8" i="121"/>
  <c r="AD7" i="121"/>
  <c r="AD6" i="121" s="1"/>
  <c r="AC7" i="121"/>
  <c r="AC6" i="121" s="1"/>
  <c r="AB7" i="121"/>
  <c r="AB6" i="121" s="1"/>
  <c r="AA7" i="121"/>
  <c r="AA6" i="121" s="1"/>
  <c r="Z7" i="121"/>
  <c r="Z6" i="121" s="1"/>
  <c r="Y7" i="121"/>
  <c r="Y6" i="121" s="1"/>
  <c r="X7" i="121"/>
  <c r="X6" i="121" s="1"/>
  <c r="W7" i="121"/>
  <c r="W6" i="121" s="1"/>
  <c r="V7" i="121"/>
  <c r="V6" i="121" s="1"/>
  <c r="U7" i="121"/>
  <c r="U6" i="121" s="1"/>
  <c r="T7" i="121"/>
  <c r="T6" i="121" s="1"/>
  <c r="S7" i="121"/>
  <c r="S6" i="121" s="1"/>
  <c r="R7" i="121"/>
  <c r="R6" i="121" s="1"/>
  <c r="Q7" i="121"/>
  <c r="Q6" i="121" s="1"/>
  <c r="P7" i="121"/>
  <c r="P6" i="121" s="1"/>
  <c r="O7" i="121"/>
  <c r="O6" i="121" s="1"/>
  <c r="N7" i="121"/>
  <c r="N6" i="121" s="1"/>
  <c r="M7" i="121"/>
  <c r="M6" i="121" s="1"/>
  <c r="L7" i="121"/>
  <c r="L6" i="121" s="1"/>
  <c r="K7" i="121"/>
  <c r="K6" i="121" s="1"/>
  <c r="J7" i="121"/>
  <c r="J6" i="121" s="1"/>
  <c r="I7" i="121"/>
  <c r="I6" i="121" s="1"/>
  <c r="H7" i="121"/>
  <c r="H6" i="121" s="1"/>
  <c r="G7" i="121"/>
  <c r="AE4" i="121"/>
  <c r="F44" i="119"/>
  <c r="F43" i="119"/>
  <c r="AE44" i="119"/>
  <c r="AE43" i="119"/>
  <c r="X7" i="119"/>
  <c r="AE39" i="119"/>
  <c r="F39" i="119"/>
  <c r="AE7" i="122" l="1"/>
  <c r="AE6" i="122"/>
  <c r="AE7" i="121"/>
  <c r="G6" i="121"/>
  <c r="AE6" i="121" s="1"/>
  <c r="AE41" i="119"/>
  <c r="F41" i="119"/>
  <c r="AE40" i="119"/>
  <c r="F40" i="119"/>
  <c r="AE42" i="119"/>
  <c r="F42" i="119"/>
  <c r="AE45" i="119"/>
  <c r="F45" i="119"/>
  <c r="AE38" i="119"/>
  <c r="F38" i="119"/>
  <c r="AE37" i="119"/>
  <c r="F37" i="119"/>
  <c r="AE36" i="119"/>
  <c r="F36" i="119"/>
  <c r="AE35" i="119"/>
  <c r="F35" i="119"/>
  <c r="AE34" i="119"/>
  <c r="F34" i="119"/>
  <c r="AE33" i="119"/>
  <c r="F33" i="119"/>
  <c r="AE32" i="119"/>
  <c r="F32" i="119"/>
  <c r="AE31" i="119"/>
  <c r="F31" i="119"/>
  <c r="AE30" i="119"/>
  <c r="F30" i="119"/>
  <c r="AE29" i="119"/>
  <c r="F29" i="119"/>
  <c r="AE28" i="119"/>
  <c r="F28" i="119"/>
  <c r="AE27" i="119"/>
  <c r="F27" i="119"/>
  <c r="AE26" i="119"/>
  <c r="F26" i="119"/>
  <c r="AE25" i="119"/>
  <c r="F25" i="119"/>
  <c r="AE24" i="119"/>
  <c r="F24" i="119"/>
  <c r="AE23" i="119"/>
  <c r="F23" i="119"/>
  <c r="AE22" i="119"/>
  <c r="F22" i="119"/>
  <c r="AE21" i="119"/>
  <c r="F21" i="119"/>
  <c r="AE20" i="119"/>
  <c r="F20" i="119"/>
  <c r="AE19" i="119"/>
  <c r="F19" i="119"/>
  <c r="F18" i="119"/>
  <c r="AE17" i="119"/>
  <c r="F17" i="119"/>
  <c r="AE16" i="119"/>
  <c r="F16" i="119"/>
  <c r="AE15" i="119"/>
  <c r="F15" i="119"/>
  <c r="AE14" i="119"/>
  <c r="F14" i="119"/>
  <c r="AE12" i="119"/>
  <c r="F12" i="119"/>
  <c r="AE11" i="119"/>
  <c r="F11" i="119"/>
  <c r="AE10" i="119"/>
  <c r="F10" i="119"/>
  <c r="AE9" i="119"/>
  <c r="F9" i="119"/>
  <c r="AE8" i="119"/>
  <c r="F8" i="119"/>
  <c r="AD7" i="119"/>
  <c r="AC7" i="119"/>
  <c r="AC6" i="119" s="1"/>
  <c r="AB7" i="119"/>
  <c r="AB6" i="119" s="1"/>
  <c r="AA7" i="119"/>
  <c r="AA6" i="119" s="1"/>
  <c r="Z7" i="119"/>
  <c r="Z6" i="119" s="1"/>
  <c r="Y7" i="119"/>
  <c r="Y6" i="119" s="1"/>
  <c r="X6" i="119"/>
  <c r="W7" i="119"/>
  <c r="W6" i="119" s="1"/>
  <c r="V7" i="119"/>
  <c r="V6" i="119" s="1"/>
  <c r="U7" i="119"/>
  <c r="U6" i="119" s="1"/>
  <c r="T7" i="119"/>
  <c r="T6" i="119" s="1"/>
  <c r="S7" i="119"/>
  <c r="S6" i="119" s="1"/>
  <c r="R7" i="119"/>
  <c r="R6" i="119" s="1"/>
  <c r="Q7" i="119"/>
  <c r="Q6" i="119" s="1"/>
  <c r="P7" i="119"/>
  <c r="P6" i="119" s="1"/>
  <c r="O7" i="119"/>
  <c r="O6" i="119" s="1"/>
  <c r="N7" i="119"/>
  <c r="N6" i="119" s="1"/>
  <c r="M7" i="119"/>
  <c r="M6" i="119" s="1"/>
  <c r="L7" i="119"/>
  <c r="L6" i="119" s="1"/>
  <c r="K7" i="119"/>
  <c r="K6" i="119" s="1"/>
  <c r="J7" i="119"/>
  <c r="J6" i="119" s="1"/>
  <c r="I7" i="119"/>
  <c r="I6" i="119" s="1"/>
  <c r="H7" i="119"/>
  <c r="H6" i="119" s="1"/>
  <c r="G7" i="119"/>
  <c r="G6" i="119" s="1"/>
  <c r="AD6" i="119"/>
  <c r="AE4" i="119"/>
  <c r="AE6" i="119" l="1"/>
  <c r="AE7" i="119"/>
  <c r="AE39" i="118" l="1"/>
  <c r="F39" i="118"/>
  <c r="AE38" i="118"/>
  <c r="F38" i="118"/>
  <c r="AE37" i="118"/>
  <c r="F37" i="118"/>
  <c r="AE36" i="118"/>
  <c r="F36" i="118"/>
  <c r="AE35" i="118"/>
  <c r="F35" i="118"/>
  <c r="AE34" i="118"/>
  <c r="F34" i="118"/>
  <c r="AE33" i="118"/>
  <c r="F33" i="118"/>
  <c r="AE32" i="118"/>
  <c r="F32" i="118"/>
  <c r="AE31" i="118"/>
  <c r="F31" i="118"/>
  <c r="AE30" i="118"/>
  <c r="F30" i="118"/>
  <c r="AE29" i="118"/>
  <c r="F29" i="118"/>
  <c r="AE28" i="118"/>
  <c r="F28" i="118"/>
  <c r="AE27" i="118"/>
  <c r="F27" i="118"/>
  <c r="AE26" i="118"/>
  <c r="F26" i="118"/>
  <c r="AE25" i="118"/>
  <c r="F25" i="118"/>
  <c r="AE24" i="118"/>
  <c r="F24" i="118"/>
  <c r="AE23" i="118"/>
  <c r="F23" i="118"/>
  <c r="AE22" i="118"/>
  <c r="F22" i="118"/>
  <c r="AE21" i="118"/>
  <c r="F21" i="118"/>
  <c r="AE20" i="118"/>
  <c r="F20" i="118"/>
  <c r="AE19" i="118"/>
  <c r="F19" i="118"/>
  <c r="AE18" i="118"/>
  <c r="F18" i="118"/>
  <c r="AE17" i="118"/>
  <c r="F17" i="118"/>
  <c r="AE16" i="118"/>
  <c r="F16" i="118"/>
  <c r="AE15" i="118"/>
  <c r="F15" i="118"/>
  <c r="AE14" i="118"/>
  <c r="F14" i="118"/>
  <c r="AE12" i="118"/>
  <c r="F12" i="118"/>
  <c r="AE11" i="118"/>
  <c r="F11" i="118"/>
  <c r="AE10" i="118"/>
  <c r="F10" i="118"/>
  <c r="AE9" i="118"/>
  <c r="F9" i="118"/>
  <c r="AE8" i="118"/>
  <c r="F8" i="118"/>
  <c r="AD7" i="118"/>
  <c r="AC7" i="118"/>
  <c r="AC6" i="118" s="1"/>
  <c r="AB7" i="118"/>
  <c r="AB6" i="118" s="1"/>
  <c r="AA7" i="118"/>
  <c r="AA6" i="118" s="1"/>
  <c r="Z7" i="118"/>
  <c r="Z6" i="118" s="1"/>
  <c r="Y7" i="118"/>
  <c r="Y6" i="118" s="1"/>
  <c r="X7" i="118"/>
  <c r="X6" i="118" s="1"/>
  <c r="W7" i="118"/>
  <c r="W6" i="118" s="1"/>
  <c r="V7" i="118"/>
  <c r="V6" i="118" s="1"/>
  <c r="U7" i="118"/>
  <c r="U6" i="118" s="1"/>
  <c r="T7" i="118"/>
  <c r="T6" i="118" s="1"/>
  <c r="S7" i="118"/>
  <c r="S6" i="118" s="1"/>
  <c r="R7" i="118"/>
  <c r="R6" i="118" s="1"/>
  <c r="Q7" i="118"/>
  <c r="Q6" i="118" s="1"/>
  <c r="P7" i="118"/>
  <c r="P6" i="118" s="1"/>
  <c r="O7" i="118"/>
  <c r="O6" i="118" s="1"/>
  <c r="N7" i="118"/>
  <c r="N6" i="118" s="1"/>
  <c r="M7" i="118"/>
  <c r="M6" i="118" s="1"/>
  <c r="L7" i="118"/>
  <c r="L6" i="118" s="1"/>
  <c r="K7" i="118"/>
  <c r="K6" i="118" s="1"/>
  <c r="J7" i="118"/>
  <c r="J6" i="118" s="1"/>
  <c r="I7" i="118"/>
  <c r="I6" i="118" s="1"/>
  <c r="H7" i="118"/>
  <c r="H6" i="118" s="1"/>
  <c r="G7" i="118"/>
  <c r="G6" i="118" s="1"/>
  <c r="AD6" i="118"/>
  <c r="AE4" i="118"/>
  <c r="F39" i="117"/>
  <c r="AE39" i="117"/>
  <c r="AE6" i="118" l="1"/>
  <c r="AE7" i="118"/>
  <c r="AE38" i="117" l="1"/>
  <c r="F38" i="117"/>
  <c r="AE37" i="117"/>
  <c r="F37" i="117"/>
  <c r="AE36" i="117"/>
  <c r="F36" i="117"/>
  <c r="AE35" i="117"/>
  <c r="F35" i="117"/>
  <c r="AE34" i="117"/>
  <c r="F34" i="117"/>
  <c r="AE33" i="117"/>
  <c r="F33" i="117"/>
  <c r="AE32" i="117"/>
  <c r="F32" i="117"/>
  <c r="AE31" i="117"/>
  <c r="F31" i="117"/>
  <c r="AE30" i="117"/>
  <c r="F30" i="117"/>
  <c r="AE29" i="117"/>
  <c r="F29" i="117"/>
  <c r="AE28" i="117"/>
  <c r="F28" i="117"/>
  <c r="AE27" i="117"/>
  <c r="F27" i="117"/>
  <c r="AE26" i="117"/>
  <c r="F26" i="117"/>
  <c r="AE25" i="117"/>
  <c r="F25" i="117"/>
  <c r="AE24" i="117"/>
  <c r="F24" i="117"/>
  <c r="AE23" i="117"/>
  <c r="F23" i="117"/>
  <c r="AE22" i="117"/>
  <c r="F22" i="117"/>
  <c r="AE21" i="117"/>
  <c r="F21" i="117"/>
  <c r="AE20" i="117"/>
  <c r="F20" i="117"/>
  <c r="AE19" i="117"/>
  <c r="F19" i="117"/>
  <c r="AE18" i="117"/>
  <c r="F18" i="117"/>
  <c r="AE17" i="117"/>
  <c r="F17" i="117"/>
  <c r="AE16" i="117"/>
  <c r="F16" i="117"/>
  <c r="AE15" i="117"/>
  <c r="F15" i="117"/>
  <c r="AE14" i="117"/>
  <c r="F14" i="117"/>
  <c r="AE12" i="117"/>
  <c r="F12" i="117"/>
  <c r="AE11" i="117"/>
  <c r="F11" i="117"/>
  <c r="AE10" i="117"/>
  <c r="F10" i="117"/>
  <c r="AE9" i="117"/>
  <c r="F9" i="117"/>
  <c r="AE8" i="117"/>
  <c r="F8" i="117"/>
  <c r="AD7" i="117"/>
  <c r="AD6" i="117" s="1"/>
  <c r="AC7" i="117"/>
  <c r="AC6" i="117" s="1"/>
  <c r="AB7" i="117"/>
  <c r="AB6" i="117" s="1"/>
  <c r="AA7" i="117"/>
  <c r="AA6" i="117" s="1"/>
  <c r="Z7" i="117"/>
  <c r="Z6" i="117" s="1"/>
  <c r="Y7" i="117"/>
  <c r="Y6" i="117" s="1"/>
  <c r="X7" i="117"/>
  <c r="X6" i="117" s="1"/>
  <c r="W7" i="117"/>
  <c r="W6" i="117" s="1"/>
  <c r="V7" i="117"/>
  <c r="V6" i="117" s="1"/>
  <c r="U7" i="117"/>
  <c r="U6" i="117" s="1"/>
  <c r="T7" i="117"/>
  <c r="T6" i="117" s="1"/>
  <c r="S7" i="117"/>
  <c r="S6" i="117" s="1"/>
  <c r="R7" i="117"/>
  <c r="R6" i="117" s="1"/>
  <c r="Q7" i="117"/>
  <c r="Q6" i="117" s="1"/>
  <c r="P7" i="117"/>
  <c r="P6" i="117" s="1"/>
  <c r="O7" i="117"/>
  <c r="O6" i="117" s="1"/>
  <c r="N7" i="117"/>
  <c r="N6" i="117" s="1"/>
  <c r="M7" i="117"/>
  <c r="M6" i="117" s="1"/>
  <c r="L7" i="117"/>
  <c r="L6" i="117" s="1"/>
  <c r="K7" i="117"/>
  <c r="K6" i="117" s="1"/>
  <c r="J7" i="117"/>
  <c r="J6" i="117" s="1"/>
  <c r="I7" i="117"/>
  <c r="I6" i="117" s="1"/>
  <c r="H7" i="117"/>
  <c r="H6" i="117" s="1"/>
  <c r="G7" i="117"/>
  <c r="AE4" i="117"/>
  <c r="AE7" i="117" l="1"/>
  <c r="G6" i="117"/>
  <c r="AE6" i="117" s="1"/>
  <c r="AE58" i="116" l="1"/>
  <c r="F58" i="116"/>
  <c r="AE57" i="116"/>
  <c r="F57" i="116"/>
  <c r="AE56" i="116"/>
  <c r="F56" i="116"/>
  <c r="AE55" i="116"/>
  <c r="F55" i="116"/>
  <c r="AE54" i="116"/>
  <c r="F54" i="116"/>
  <c r="AE53" i="116"/>
  <c r="F53" i="116"/>
  <c r="AD52" i="116"/>
  <c r="AC52" i="116"/>
  <c r="AB52" i="116"/>
  <c r="AB50" i="116" s="1"/>
  <c r="AA52" i="116"/>
  <c r="AA50" i="116" s="1"/>
  <c r="Z52" i="116"/>
  <c r="Z50" i="116" s="1"/>
  <c r="Y52" i="116"/>
  <c r="Y50" i="116" s="1"/>
  <c r="X52" i="116"/>
  <c r="X50" i="116" s="1"/>
  <c r="W52" i="116"/>
  <c r="W50" i="116" s="1"/>
  <c r="V52" i="116"/>
  <c r="U52" i="116"/>
  <c r="U50" i="116" s="1"/>
  <c r="T52" i="116"/>
  <c r="T50" i="116" s="1"/>
  <c r="S52" i="116"/>
  <c r="S50" i="116" s="1"/>
  <c r="R52" i="116"/>
  <c r="Q52" i="116"/>
  <c r="Q50" i="116" s="1"/>
  <c r="P52" i="116"/>
  <c r="O52" i="116"/>
  <c r="N52" i="116"/>
  <c r="M52" i="116"/>
  <c r="L52" i="116"/>
  <c r="K52" i="116"/>
  <c r="J52" i="116"/>
  <c r="I52" i="116"/>
  <c r="H52" i="116"/>
  <c r="G52" i="116"/>
  <c r="AD50" i="116"/>
  <c r="AC50" i="116"/>
  <c r="V50" i="116"/>
  <c r="R50" i="116"/>
  <c r="P50" i="116"/>
  <c r="O50" i="116"/>
  <c r="N50" i="116"/>
  <c r="M50" i="116"/>
  <c r="L50" i="116"/>
  <c r="K50" i="116"/>
  <c r="J50" i="116"/>
  <c r="I50" i="116"/>
  <c r="H50" i="116"/>
  <c r="G50" i="116"/>
  <c r="AE49" i="116"/>
  <c r="AE38" i="116"/>
  <c r="F38" i="116"/>
  <c r="AE37" i="116"/>
  <c r="F37" i="116"/>
  <c r="AE36" i="116"/>
  <c r="F36" i="116"/>
  <c r="AE35" i="116"/>
  <c r="F35" i="116"/>
  <c r="AE34" i="116"/>
  <c r="F34" i="116"/>
  <c r="AE33" i="116"/>
  <c r="F33" i="116"/>
  <c r="AE32" i="116"/>
  <c r="F32" i="116"/>
  <c r="AE31" i="116"/>
  <c r="F31" i="116"/>
  <c r="AE30" i="116"/>
  <c r="F30" i="116"/>
  <c r="AE29" i="116"/>
  <c r="F29" i="116"/>
  <c r="AE28" i="116"/>
  <c r="F28" i="116"/>
  <c r="AE27" i="116"/>
  <c r="F27" i="116"/>
  <c r="AE26" i="116"/>
  <c r="F26" i="116"/>
  <c r="AE25" i="116"/>
  <c r="F25" i="116"/>
  <c r="AE24" i="116"/>
  <c r="F24" i="116"/>
  <c r="AE23" i="116"/>
  <c r="F23" i="116"/>
  <c r="AE22" i="116"/>
  <c r="F22" i="116"/>
  <c r="AE21" i="116"/>
  <c r="F21" i="116"/>
  <c r="AE20" i="116"/>
  <c r="F20" i="116"/>
  <c r="AE19" i="116"/>
  <c r="F19" i="116"/>
  <c r="AE18" i="116"/>
  <c r="F18" i="116"/>
  <c r="AE17" i="116"/>
  <c r="F17" i="116"/>
  <c r="AE16" i="116"/>
  <c r="F16" i="116"/>
  <c r="AE15" i="116"/>
  <c r="F15" i="116"/>
  <c r="AE14" i="116"/>
  <c r="F14" i="116"/>
  <c r="AE12" i="116"/>
  <c r="F12" i="116"/>
  <c r="AE11" i="116"/>
  <c r="F11" i="116"/>
  <c r="AE10" i="116"/>
  <c r="F10" i="116"/>
  <c r="AE9" i="116"/>
  <c r="F9" i="116"/>
  <c r="AE8" i="116"/>
  <c r="F8" i="116"/>
  <c r="AD7" i="116"/>
  <c r="AC7" i="116"/>
  <c r="AC6" i="116" s="1"/>
  <c r="AB7" i="116"/>
  <c r="AB6" i="116" s="1"/>
  <c r="AA7" i="116"/>
  <c r="AA6" i="116" s="1"/>
  <c r="Z7" i="116"/>
  <c r="Z6" i="116" s="1"/>
  <c r="Y7" i="116"/>
  <c r="Y6" i="116" s="1"/>
  <c r="X7" i="116"/>
  <c r="X6" i="116" s="1"/>
  <c r="W7" i="116"/>
  <c r="W6" i="116" s="1"/>
  <c r="V7" i="116"/>
  <c r="V6" i="116" s="1"/>
  <c r="U7" i="116"/>
  <c r="U6" i="116" s="1"/>
  <c r="T7" i="116"/>
  <c r="T6" i="116" s="1"/>
  <c r="S7" i="116"/>
  <c r="S6" i="116" s="1"/>
  <c r="R7" i="116"/>
  <c r="R6" i="116" s="1"/>
  <c r="Q7" i="116"/>
  <c r="Q6" i="116" s="1"/>
  <c r="P7" i="116"/>
  <c r="P6" i="116" s="1"/>
  <c r="O7" i="116"/>
  <c r="O6" i="116" s="1"/>
  <c r="N7" i="116"/>
  <c r="N6" i="116" s="1"/>
  <c r="M7" i="116"/>
  <c r="M6" i="116" s="1"/>
  <c r="L7" i="116"/>
  <c r="L6" i="116" s="1"/>
  <c r="K7" i="116"/>
  <c r="K6" i="116" s="1"/>
  <c r="J7" i="116"/>
  <c r="J6" i="116" s="1"/>
  <c r="I7" i="116"/>
  <c r="I6" i="116" s="1"/>
  <c r="H7" i="116"/>
  <c r="H6" i="116" s="1"/>
  <c r="G7" i="116"/>
  <c r="G6" i="116" s="1"/>
  <c r="AD6" i="116"/>
  <c r="AE4" i="116"/>
  <c r="AE52" i="116" l="1"/>
  <c r="AE7" i="116"/>
  <c r="AE6" i="116"/>
  <c r="F28" i="114"/>
  <c r="F27" i="114"/>
  <c r="F26" i="114"/>
  <c r="F25" i="114"/>
  <c r="F24" i="114"/>
  <c r="AE27" i="114"/>
  <c r="AE26" i="114"/>
  <c r="AE25" i="114"/>
  <c r="AE24" i="114"/>
  <c r="AE17" i="114"/>
  <c r="AE16" i="114"/>
  <c r="AE15" i="114"/>
  <c r="AE14" i="114"/>
  <c r="AE13" i="114"/>
  <c r="F16" i="114"/>
  <c r="F15" i="114"/>
  <c r="F14" i="114"/>
  <c r="F13" i="114"/>
  <c r="F24" i="115" l="1"/>
  <c r="AE24" i="115"/>
  <c r="AE38" i="115"/>
  <c r="F38" i="115"/>
  <c r="AE37" i="115"/>
  <c r="F37" i="115"/>
  <c r="AE36" i="115"/>
  <c r="F36" i="115"/>
  <c r="AE35" i="115"/>
  <c r="F35" i="115"/>
  <c r="AE34" i="115"/>
  <c r="F34" i="115"/>
  <c r="AE33" i="115"/>
  <c r="F33" i="115"/>
  <c r="AE32" i="115"/>
  <c r="F32" i="115"/>
  <c r="AE31" i="115"/>
  <c r="F31" i="115"/>
  <c r="AE30" i="115"/>
  <c r="F30" i="115"/>
  <c r="AE29" i="115"/>
  <c r="F29" i="115"/>
  <c r="AE28" i="115"/>
  <c r="F28" i="115"/>
  <c r="AE27" i="115"/>
  <c r="F27" i="115"/>
  <c r="AE26" i="115"/>
  <c r="F26" i="115"/>
  <c r="AE25" i="115"/>
  <c r="F25" i="115"/>
  <c r="AE23" i="115"/>
  <c r="F23" i="115"/>
  <c r="AE22" i="115"/>
  <c r="F22" i="115"/>
  <c r="AE21" i="115"/>
  <c r="F21" i="115"/>
  <c r="AE20" i="115"/>
  <c r="F20" i="115"/>
  <c r="AE19" i="115"/>
  <c r="F19" i="115"/>
  <c r="AE18" i="115"/>
  <c r="F18" i="115"/>
  <c r="AE17" i="115"/>
  <c r="F17" i="115"/>
  <c r="AE16" i="115"/>
  <c r="F16" i="115"/>
  <c r="AE15" i="115"/>
  <c r="F15" i="115"/>
  <c r="AE14" i="115"/>
  <c r="F14" i="115"/>
  <c r="AE12" i="115"/>
  <c r="F12" i="115"/>
  <c r="AE11" i="115"/>
  <c r="F11" i="115"/>
  <c r="AE10" i="115"/>
  <c r="F10" i="115"/>
  <c r="AE9" i="115"/>
  <c r="F9" i="115"/>
  <c r="AE8" i="115"/>
  <c r="F8" i="115"/>
  <c r="AD7" i="115"/>
  <c r="AD6" i="115" s="1"/>
  <c r="AC7" i="115"/>
  <c r="AC6" i="115" s="1"/>
  <c r="AB7" i="115"/>
  <c r="AB6" i="115" s="1"/>
  <c r="AA7" i="115"/>
  <c r="AA6" i="115" s="1"/>
  <c r="Z7" i="115"/>
  <c r="Z6" i="115" s="1"/>
  <c r="Y7" i="115"/>
  <c r="Y6" i="115" s="1"/>
  <c r="X7" i="115"/>
  <c r="X6" i="115" s="1"/>
  <c r="W7" i="115"/>
  <c r="W6" i="115" s="1"/>
  <c r="V7" i="115"/>
  <c r="V6" i="115" s="1"/>
  <c r="U7" i="115"/>
  <c r="U6" i="115" s="1"/>
  <c r="T7" i="115"/>
  <c r="T6" i="115" s="1"/>
  <c r="S7" i="115"/>
  <c r="S6" i="115" s="1"/>
  <c r="R7" i="115"/>
  <c r="R6" i="115" s="1"/>
  <c r="Q7" i="115"/>
  <c r="Q6" i="115" s="1"/>
  <c r="P7" i="115"/>
  <c r="P6" i="115" s="1"/>
  <c r="O7" i="115"/>
  <c r="O6" i="115" s="1"/>
  <c r="N7" i="115"/>
  <c r="N6" i="115" s="1"/>
  <c r="M7" i="115"/>
  <c r="M6" i="115" s="1"/>
  <c r="L7" i="115"/>
  <c r="K7" i="115"/>
  <c r="K6" i="115" s="1"/>
  <c r="J7" i="115"/>
  <c r="J6" i="115" s="1"/>
  <c r="I7" i="115"/>
  <c r="I6" i="115" s="1"/>
  <c r="H7" i="115"/>
  <c r="G7" i="115"/>
  <c r="G6" i="115" s="1"/>
  <c r="L6" i="115"/>
  <c r="H6" i="115"/>
  <c r="AE4" i="115"/>
  <c r="AQ21" i="95"/>
  <c r="BW21" i="95"/>
  <c r="DK62" i="95"/>
  <c r="DK61" i="95"/>
  <c r="DK60" i="95"/>
  <c r="DK59" i="95"/>
  <c r="DK58" i="95"/>
  <c r="DK57" i="95"/>
  <c r="DK56" i="95"/>
  <c r="DK55" i="95"/>
  <c r="DK54" i="95"/>
  <c r="DK53" i="95"/>
  <c r="DK52" i="95"/>
  <c r="DK51" i="95"/>
  <c r="DK50" i="95"/>
  <c r="DK49" i="95"/>
  <c r="DK48" i="95"/>
  <c r="DK47" i="95"/>
  <c r="DK46" i="95"/>
  <c r="DK45" i="95"/>
  <c r="DK44" i="95"/>
  <c r="DK43" i="95"/>
  <c r="DK42" i="95"/>
  <c r="DK41" i="95"/>
  <c r="DK40" i="95"/>
  <c r="DK39" i="95"/>
  <c r="DK38" i="95"/>
  <c r="DK37" i="95"/>
  <c r="DK36" i="95"/>
  <c r="DK35" i="95"/>
  <c r="DK34" i="95"/>
  <c r="DK33" i="95"/>
  <c r="DK32" i="95"/>
  <c r="DK30" i="95"/>
  <c r="DK29" i="95"/>
  <c r="DK28" i="95"/>
  <c r="DK26" i="95"/>
  <c r="DK25" i="95"/>
  <c r="DK24" i="95"/>
  <c r="DK23" i="95"/>
  <c r="DK22" i="95"/>
  <c r="DK21" i="95"/>
  <c r="DK20" i="95"/>
  <c r="DK19" i="95"/>
  <c r="DK18" i="95"/>
  <c r="DK17" i="95"/>
  <c r="DK16" i="95"/>
  <c r="DK15" i="95"/>
  <c r="DK14" i="95"/>
  <c r="DK13" i="95"/>
  <c r="DK12" i="95"/>
  <c r="DK11" i="95"/>
  <c r="DK10" i="95"/>
  <c r="DK9" i="95"/>
  <c r="DK8" i="95"/>
  <c r="DK7" i="95"/>
  <c r="DK6" i="95"/>
  <c r="DK5" i="95"/>
  <c r="DK4" i="95"/>
  <c r="DK3" i="95"/>
  <c r="DG62" i="95"/>
  <c r="DG61" i="95"/>
  <c r="DG60" i="95"/>
  <c r="DG59" i="95"/>
  <c r="DG58" i="95"/>
  <c r="DG57" i="95"/>
  <c r="DG56" i="95"/>
  <c r="DG55" i="95"/>
  <c r="DG54" i="95"/>
  <c r="DG53" i="95"/>
  <c r="DG52" i="95"/>
  <c r="DG51" i="95"/>
  <c r="DG50" i="95"/>
  <c r="DG49" i="95"/>
  <c r="DG48" i="95"/>
  <c r="DG47" i="95"/>
  <c r="DG46" i="95"/>
  <c r="DG45" i="95"/>
  <c r="DG44" i="95"/>
  <c r="DG43" i="95"/>
  <c r="DG42" i="95"/>
  <c r="DG41" i="95"/>
  <c r="DG40" i="95"/>
  <c r="DG39" i="95"/>
  <c r="DG38" i="95"/>
  <c r="DG37" i="95"/>
  <c r="DG36" i="95"/>
  <c r="DG35" i="95"/>
  <c r="DG34" i="95"/>
  <c r="DG33" i="95"/>
  <c r="DG32" i="95"/>
  <c r="DG30" i="95"/>
  <c r="DG29" i="95"/>
  <c r="DG27" i="95"/>
  <c r="DG26" i="95"/>
  <c r="DG25" i="95"/>
  <c r="DG24" i="95"/>
  <c r="DG23" i="95"/>
  <c r="DG22" i="95"/>
  <c r="DG21" i="95"/>
  <c r="DG20" i="95"/>
  <c r="DG19" i="95"/>
  <c r="DG18" i="95"/>
  <c r="DG17" i="95"/>
  <c r="DG16" i="95"/>
  <c r="DG15" i="95"/>
  <c r="DG14" i="95"/>
  <c r="DG13" i="95"/>
  <c r="DG12" i="95"/>
  <c r="DG11" i="95"/>
  <c r="DG10" i="95"/>
  <c r="DG9" i="95"/>
  <c r="DG8" i="95"/>
  <c r="DG6" i="95"/>
  <c r="DG5" i="95"/>
  <c r="DG4" i="95"/>
  <c r="DG3" i="95"/>
  <c r="DC62" i="95"/>
  <c r="DC61" i="95"/>
  <c r="DC60" i="95"/>
  <c r="DC59" i="95"/>
  <c r="DC58" i="95"/>
  <c r="DC57" i="95"/>
  <c r="DC56" i="95"/>
  <c r="DC55" i="95"/>
  <c r="DC54" i="95"/>
  <c r="DC53" i="95"/>
  <c r="DC52" i="95"/>
  <c r="DC51" i="95"/>
  <c r="DC50" i="95"/>
  <c r="DC49" i="95"/>
  <c r="DC48" i="95"/>
  <c r="DC47" i="95"/>
  <c r="DC46" i="95"/>
  <c r="DC45" i="95"/>
  <c r="DC44" i="95"/>
  <c r="DC43" i="95"/>
  <c r="DC42" i="95"/>
  <c r="DC41" i="95"/>
  <c r="DC40" i="95"/>
  <c r="DC39" i="95"/>
  <c r="DC38" i="95"/>
  <c r="DC37" i="95"/>
  <c r="DC36" i="95"/>
  <c r="DC35" i="95"/>
  <c r="DC34" i="95"/>
  <c r="DC33" i="95"/>
  <c r="DC32" i="95"/>
  <c r="DC31" i="95"/>
  <c r="DC30" i="95"/>
  <c r="DC29" i="95"/>
  <c r="DC27" i="95"/>
  <c r="DC26" i="95"/>
  <c r="DC25" i="95"/>
  <c r="DC24" i="95"/>
  <c r="DC23" i="95"/>
  <c r="DC22" i="95"/>
  <c r="DC21" i="95"/>
  <c r="DC20" i="95"/>
  <c r="DC19" i="95"/>
  <c r="DC18" i="95"/>
  <c r="DC17" i="95"/>
  <c r="DC16" i="95"/>
  <c r="DC15" i="95"/>
  <c r="DC14" i="95"/>
  <c r="DC13" i="95"/>
  <c r="DC12" i="95"/>
  <c r="DC11" i="95"/>
  <c r="DC10" i="95"/>
  <c r="DC9" i="95"/>
  <c r="DC8" i="95"/>
  <c r="DC7" i="95"/>
  <c r="DC6" i="95"/>
  <c r="DC5" i="95"/>
  <c r="DC4" i="95"/>
  <c r="DC3" i="95"/>
  <c r="CY62" i="95"/>
  <c r="CY61" i="95"/>
  <c r="CY60" i="95"/>
  <c r="CY59" i="95"/>
  <c r="CY58" i="95"/>
  <c r="CY57" i="95"/>
  <c r="CY56" i="95"/>
  <c r="CY55" i="95"/>
  <c r="CY54" i="95"/>
  <c r="CY53" i="95"/>
  <c r="CY52" i="95"/>
  <c r="CY51" i="95"/>
  <c r="CY49" i="95"/>
  <c r="CY48" i="95"/>
  <c r="CY47" i="95"/>
  <c r="CY46" i="95"/>
  <c r="CY45" i="95"/>
  <c r="CY44" i="95"/>
  <c r="CY43" i="95"/>
  <c r="CY42" i="95"/>
  <c r="CY41" i="95"/>
  <c r="CY40" i="95"/>
  <c r="CY39" i="95"/>
  <c r="CY38" i="95"/>
  <c r="CY37" i="95"/>
  <c r="CY35" i="95"/>
  <c r="CY34" i="95"/>
  <c r="CY33" i="95"/>
  <c r="CY32" i="95"/>
  <c r="CY31" i="95"/>
  <c r="CY30" i="95"/>
  <c r="CY29" i="95"/>
  <c r="CY27" i="95"/>
  <c r="CY26" i="95"/>
  <c r="CY25" i="95"/>
  <c r="CY24" i="95"/>
  <c r="CY23" i="95"/>
  <c r="CY22" i="95"/>
  <c r="CY21" i="95"/>
  <c r="CY20" i="95"/>
  <c r="CY19" i="95"/>
  <c r="CY18" i="95"/>
  <c r="CY17" i="95"/>
  <c r="CY16" i="95"/>
  <c r="CY14" i="95"/>
  <c r="CY13" i="95"/>
  <c r="CY12" i="95"/>
  <c r="CY11" i="95"/>
  <c r="CY10" i="95"/>
  <c r="CY9" i="95"/>
  <c r="CY8" i="95"/>
  <c r="CY6" i="95"/>
  <c r="CY5" i="95"/>
  <c r="CY4" i="95"/>
  <c r="CY3" i="95"/>
  <c r="CU62" i="95"/>
  <c r="CU61" i="95"/>
  <c r="CU60" i="95"/>
  <c r="CU59" i="95"/>
  <c r="CU58" i="95"/>
  <c r="CU57" i="95"/>
  <c r="CU56" i="95"/>
  <c r="CU55" i="95"/>
  <c r="CU54" i="95"/>
  <c r="CU53" i="95"/>
  <c r="CU52" i="95"/>
  <c r="CU51" i="95"/>
  <c r="CU50" i="95"/>
  <c r="CU49" i="95"/>
  <c r="CU48" i="95"/>
  <c r="CU47" i="95"/>
  <c r="CU46" i="95"/>
  <c r="CU45" i="95"/>
  <c r="CU44" i="95"/>
  <c r="CU43" i="95"/>
  <c r="CU42" i="95"/>
  <c r="CU41" i="95"/>
  <c r="CU40" i="95"/>
  <c r="CU39" i="95"/>
  <c r="CU38" i="95"/>
  <c r="CU37" i="95"/>
  <c r="CU35" i="95"/>
  <c r="CU34" i="95"/>
  <c r="CU33" i="95"/>
  <c r="CU32" i="95"/>
  <c r="CU31" i="95"/>
  <c r="CU30" i="95"/>
  <c r="CU29" i="95"/>
  <c r="CU27" i="95"/>
  <c r="CU26" i="95"/>
  <c r="CU25" i="95"/>
  <c r="CU24" i="95"/>
  <c r="CU23" i="95"/>
  <c r="CU22" i="95"/>
  <c r="CU21" i="95"/>
  <c r="CU20" i="95"/>
  <c r="CU19" i="95"/>
  <c r="CU18" i="95"/>
  <c r="CU17" i="95"/>
  <c r="CU16" i="95"/>
  <c r="CU14" i="95"/>
  <c r="CU13" i="95"/>
  <c r="CU12" i="95"/>
  <c r="CU11" i="95"/>
  <c r="CU10" i="95"/>
  <c r="CU9" i="95"/>
  <c r="CU8" i="95"/>
  <c r="CU6" i="95"/>
  <c r="CU5" i="95"/>
  <c r="CU4" i="95"/>
  <c r="CQ62" i="95"/>
  <c r="CQ61" i="95"/>
  <c r="CQ60" i="95"/>
  <c r="CQ59" i="95"/>
  <c r="CQ58" i="95"/>
  <c r="CQ57" i="95"/>
  <c r="CQ56" i="95"/>
  <c r="CQ55" i="95"/>
  <c r="CQ54" i="95"/>
  <c r="CQ53" i="95"/>
  <c r="CQ52" i="95"/>
  <c r="CQ51" i="95"/>
  <c r="CQ50" i="95"/>
  <c r="CQ49" i="95"/>
  <c r="CQ48" i="95"/>
  <c r="CQ47" i="95"/>
  <c r="CQ46" i="95"/>
  <c r="CQ45" i="95"/>
  <c r="CQ44" i="95"/>
  <c r="CQ43" i="95"/>
  <c r="CQ42" i="95"/>
  <c r="CQ41" i="95"/>
  <c r="CQ40" i="95"/>
  <c r="CQ39" i="95"/>
  <c r="CQ38" i="95"/>
  <c r="CQ37" i="95"/>
  <c r="CQ36" i="95"/>
  <c r="CQ35" i="95"/>
  <c r="CQ34" i="95"/>
  <c r="CQ33" i="95"/>
  <c r="CQ32" i="95"/>
  <c r="CQ31" i="95"/>
  <c r="CQ30" i="95"/>
  <c r="CQ29" i="95"/>
  <c r="CQ27" i="95"/>
  <c r="CQ25" i="95"/>
  <c r="CQ24" i="95"/>
  <c r="CQ23" i="95"/>
  <c r="CQ22" i="95"/>
  <c r="CQ21" i="95"/>
  <c r="CQ20" i="95"/>
  <c r="CQ19" i="95"/>
  <c r="CQ18" i="95"/>
  <c r="CQ17" i="95"/>
  <c r="CQ16" i="95"/>
  <c r="CQ15" i="95"/>
  <c r="CQ14" i="95"/>
  <c r="CQ13" i="95"/>
  <c r="CQ12" i="95"/>
  <c r="CQ11" i="95"/>
  <c r="CQ10" i="95"/>
  <c r="CQ9" i="95"/>
  <c r="CQ8" i="95"/>
  <c r="CQ6" i="95"/>
  <c r="CQ5" i="95"/>
  <c r="CQ4" i="95"/>
  <c r="CU3" i="95"/>
  <c r="CQ3" i="95"/>
  <c r="AE6" i="115" l="1"/>
  <c r="AE7" i="115"/>
  <c r="AE32" i="114"/>
  <c r="F31" i="114" l="1"/>
  <c r="AE31" i="114"/>
  <c r="AE38" i="114"/>
  <c r="F38" i="114"/>
  <c r="AE37" i="114"/>
  <c r="F37" i="114"/>
  <c r="AE36" i="114"/>
  <c r="F36" i="114"/>
  <c r="AE35" i="114"/>
  <c r="F35" i="114"/>
  <c r="AE34" i="114"/>
  <c r="F34" i="114"/>
  <c r="AE33" i="114"/>
  <c r="F33" i="114"/>
  <c r="F32" i="114"/>
  <c r="AE30" i="114"/>
  <c r="F30" i="114"/>
  <c r="AE29" i="114"/>
  <c r="F29" i="114"/>
  <c r="AE28" i="114"/>
  <c r="AE23" i="114"/>
  <c r="F23" i="114"/>
  <c r="AE22" i="114"/>
  <c r="F22" i="114"/>
  <c r="AE21" i="114"/>
  <c r="F21" i="114"/>
  <c r="AE20" i="114"/>
  <c r="F20" i="114"/>
  <c r="AE19" i="114"/>
  <c r="F19" i="114"/>
  <c r="AE18" i="114"/>
  <c r="F18" i="114"/>
  <c r="F17" i="114"/>
  <c r="AE12" i="114"/>
  <c r="F12" i="114"/>
  <c r="AE11" i="114"/>
  <c r="F11" i="114"/>
  <c r="AE10" i="114"/>
  <c r="F10" i="114"/>
  <c r="AE9" i="114"/>
  <c r="F9" i="114"/>
  <c r="AE8" i="114"/>
  <c r="F8" i="114"/>
  <c r="AD7" i="114"/>
  <c r="AD6" i="114" s="1"/>
  <c r="AC7" i="114"/>
  <c r="AC6" i="114" s="1"/>
  <c r="AB7" i="114"/>
  <c r="AB6" i="114" s="1"/>
  <c r="AA7" i="114"/>
  <c r="AA6" i="114" s="1"/>
  <c r="Z7" i="114"/>
  <c r="Z6" i="114" s="1"/>
  <c r="Y7" i="114"/>
  <c r="Y6" i="114" s="1"/>
  <c r="X7" i="114"/>
  <c r="X6" i="114" s="1"/>
  <c r="W7" i="114"/>
  <c r="W6" i="114" s="1"/>
  <c r="V7" i="114"/>
  <c r="V6" i="114" s="1"/>
  <c r="U7" i="114"/>
  <c r="U6" i="114" s="1"/>
  <c r="T7" i="114"/>
  <c r="T6" i="114" s="1"/>
  <c r="S7" i="114"/>
  <c r="S6" i="114" s="1"/>
  <c r="R7" i="114"/>
  <c r="R6" i="114" s="1"/>
  <c r="Q7" i="114"/>
  <c r="Q6" i="114" s="1"/>
  <c r="P7" i="114"/>
  <c r="P6" i="114" s="1"/>
  <c r="O7" i="114"/>
  <c r="O6" i="114" s="1"/>
  <c r="N7" i="114"/>
  <c r="N6" i="114" s="1"/>
  <c r="M7" i="114"/>
  <c r="M6" i="114" s="1"/>
  <c r="L7" i="114"/>
  <c r="L6" i="114" s="1"/>
  <c r="K7" i="114"/>
  <c r="K6" i="114" s="1"/>
  <c r="J7" i="114"/>
  <c r="I7" i="114"/>
  <c r="I6" i="114" s="1"/>
  <c r="H7" i="114"/>
  <c r="H6" i="114" s="1"/>
  <c r="G7" i="114"/>
  <c r="G6" i="114" s="1"/>
  <c r="J6" i="114"/>
  <c r="AE4" i="114"/>
  <c r="AE6" i="114" l="1"/>
  <c r="AE7" i="114"/>
  <c r="AE10" i="113" l="1"/>
  <c r="AE30" i="113"/>
  <c r="AE42" i="113"/>
  <c r="AE39" i="113"/>
  <c r="AE43" i="113" l="1"/>
  <c r="F43" i="113"/>
  <c r="AE38" i="113"/>
  <c r="F38" i="113"/>
  <c r="AE37" i="113"/>
  <c r="F37" i="113"/>
  <c r="AE36" i="113"/>
  <c r="F36" i="113"/>
  <c r="AE35" i="113"/>
  <c r="F35" i="113"/>
  <c r="AE34" i="113"/>
  <c r="F34" i="113"/>
  <c r="AE33" i="113"/>
  <c r="F33" i="113"/>
  <c r="AE32" i="113"/>
  <c r="F32" i="113"/>
  <c r="F30" i="113"/>
  <c r="AE29" i="113"/>
  <c r="F29" i="113"/>
  <c r="AE28" i="113"/>
  <c r="F28" i="113"/>
  <c r="AE26" i="113"/>
  <c r="F26" i="113"/>
  <c r="AE25" i="113"/>
  <c r="F25" i="113"/>
  <c r="AE23" i="113"/>
  <c r="F23" i="113"/>
  <c r="AE22" i="113"/>
  <c r="F22" i="113"/>
  <c r="AE21" i="113"/>
  <c r="F21" i="113"/>
  <c r="AE20" i="113"/>
  <c r="F20" i="113"/>
  <c r="AE19" i="113"/>
  <c r="F19" i="113"/>
  <c r="AE18" i="113"/>
  <c r="F18" i="113"/>
  <c r="AE17" i="113"/>
  <c r="F17" i="113"/>
  <c r="AE16" i="113"/>
  <c r="F16" i="113"/>
  <c r="AE15" i="113"/>
  <c r="F15" i="113"/>
  <c r="AE14" i="113"/>
  <c r="F14" i="113"/>
  <c r="AE11" i="113"/>
  <c r="F11" i="113"/>
  <c r="F10" i="113"/>
  <c r="AE9" i="113"/>
  <c r="F9" i="113"/>
  <c r="AE8" i="113"/>
  <c r="F8" i="113"/>
  <c r="AD7" i="113"/>
  <c r="AD6" i="113" s="1"/>
  <c r="AC7" i="113"/>
  <c r="AC6" i="113" s="1"/>
  <c r="AB7" i="113"/>
  <c r="AB6" i="113" s="1"/>
  <c r="AA7" i="113"/>
  <c r="AA6" i="113" s="1"/>
  <c r="Z7" i="113"/>
  <c r="Z6" i="113" s="1"/>
  <c r="Y7" i="113"/>
  <c r="Y6" i="113" s="1"/>
  <c r="X7" i="113"/>
  <c r="X6" i="113" s="1"/>
  <c r="W7" i="113"/>
  <c r="W6" i="113" s="1"/>
  <c r="V7" i="113"/>
  <c r="V6" i="113" s="1"/>
  <c r="U7" i="113"/>
  <c r="U6" i="113" s="1"/>
  <c r="T7" i="113"/>
  <c r="T6" i="113" s="1"/>
  <c r="S7" i="113"/>
  <c r="S6" i="113" s="1"/>
  <c r="R7" i="113"/>
  <c r="R6" i="113" s="1"/>
  <c r="Q7" i="113"/>
  <c r="Q6" i="113" s="1"/>
  <c r="P7" i="113"/>
  <c r="P6" i="113" s="1"/>
  <c r="O7" i="113"/>
  <c r="O6" i="113" s="1"/>
  <c r="N7" i="113"/>
  <c r="N6" i="113" s="1"/>
  <c r="M7" i="113"/>
  <c r="M6" i="113" s="1"/>
  <c r="L7" i="113"/>
  <c r="L6" i="113" s="1"/>
  <c r="K7" i="113"/>
  <c r="K6" i="113" s="1"/>
  <c r="J7" i="113"/>
  <c r="J6" i="113" s="1"/>
  <c r="I7" i="113"/>
  <c r="I6" i="113" s="1"/>
  <c r="H7" i="113"/>
  <c r="H6" i="113" s="1"/>
  <c r="G7" i="113"/>
  <c r="G6" i="113" s="1"/>
  <c r="AE4" i="113"/>
  <c r="AE7" i="113" l="1"/>
  <c r="AE6" i="113"/>
  <c r="CM62" i="95" l="1"/>
  <c r="CM61" i="95"/>
  <c r="CM60" i="95"/>
  <c r="CM59" i="95"/>
  <c r="CM58" i="95"/>
  <c r="CM57" i="95"/>
  <c r="CM56" i="95"/>
  <c r="CM55" i="95"/>
  <c r="CM54" i="95"/>
  <c r="CM53" i="95"/>
  <c r="CM52" i="95"/>
  <c r="CM51" i="95"/>
  <c r="CM50" i="95"/>
  <c r="CM49" i="95"/>
  <c r="CM48" i="95"/>
  <c r="CM47" i="95"/>
  <c r="CM46" i="95"/>
  <c r="CM45" i="95"/>
  <c r="CM44" i="95"/>
  <c r="CM43" i="95"/>
  <c r="CM42" i="95"/>
  <c r="CM41" i="95"/>
  <c r="CM40" i="95"/>
  <c r="CM39" i="95"/>
  <c r="CM38" i="95"/>
  <c r="CM37" i="95"/>
  <c r="CM36" i="95"/>
  <c r="CM34" i="95"/>
  <c r="CM33" i="95"/>
  <c r="CM32" i="95"/>
  <c r="CM31" i="95"/>
  <c r="CM30" i="95"/>
  <c r="CM29" i="95"/>
  <c r="CM28" i="95"/>
  <c r="CM27" i="95"/>
  <c r="CM26" i="95"/>
  <c r="CM25" i="95"/>
  <c r="CM24" i="95"/>
  <c r="CM23" i="95"/>
  <c r="CM22" i="95"/>
  <c r="CM21" i="95"/>
  <c r="CM20" i="95"/>
  <c r="CM19" i="95"/>
  <c r="CM18" i="95"/>
  <c r="CM17" i="95"/>
  <c r="CM16" i="95"/>
  <c r="CM15" i="95"/>
  <c r="CM14" i="95"/>
  <c r="CM13" i="95"/>
  <c r="CM12" i="95"/>
  <c r="CM11" i="95"/>
  <c r="CM10" i="95"/>
  <c r="CM9" i="95"/>
  <c r="CM8" i="95"/>
  <c r="CM7" i="95"/>
  <c r="CM6" i="95"/>
  <c r="CM5" i="95"/>
  <c r="CM4" i="95"/>
  <c r="CM3" i="95"/>
  <c r="CI62" i="95"/>
  <c r="CI61" i="95"/>
  <c r="CI60" i="95"/>
  <c r="CI59" i="95"/>
  <c r="CI58" i="95"/>
  <c r="CI57" i="95"/>
  <c r="CI56" i="95"/>
  <c r="CI55" i="95"/>
  <c r="CI54" i="95"/>
  <c r="CI53" i="95"/>
  <c r="CI52" i="95"/>
  <c r="CI51" i="95"/>
  <c r="CI50" i="95"/>
  <c r="CI49" i="95"/>
  <c r="CI48" i="95"/>
  <c r="CI47" i="95"/>
  <c r="CI46" i="95"/>
  <c r="CI45" i="95"/>
  <c r="CI44" i="95"/>
  <c r="CI43" i="95"/>
  <c r="CI42" i="95"/>
  <c r="CI41" i="95"/>
  <c r="CI40" i="95"/>
  <c r="CI39" i="95"/>
  <c r="CI38" i="95"/>
  <c r="CI37" i="95"/>
  <c r="CI36" i="95"/>
  <c r="CI35" i="95"/>
  <c r="CI34" i="95"/>
  <c r="CI33" i="95"/>
  <c r="CI32" i="95"/>
  <c r="CI31" i="95"/>
  <c r="CI30" i="95"/>
  <c r="CI29" i="95"/>
  <c r="CI28" i="95"/>
  <c r="CI27" i="95"/>
  <c r="CI26" i="95"/>
  <c r="CI25" i="95"/>
  <c r="CI24" i="95"/>
  <c r="CI23" i="95"/>
  <c r="CI22" i="95"/>
  <c r="CI21" i="95"/>
  <c r="CI20" i="95"/>
  <c r="CI19" i="95"/>
  <c r="CI18" i="95"/>
  <c r="CI17" i="95"/>
  <c r="CI16" i="95"/>
  <c r="CI15" i="95"/>
  <c r="CI14" i="95"/>
  <c r="CI13" i="95"/>
  <c r="CI12" i="95"/>
  <c r="CI11" i="95"/>
  <c r="CI10" i="95"/>
  <c r="CI9" i="95"/>
  <c r="CI8" i="95"/>
  <c r="CI7" i="95"/>
  <c r="CI6" i="95"/>
  <c r="CI5" i="95"/>
  <c r="CI4" i="95"/>
  <c r="CI3" i="95"/>
  <c r="CE62" i="95" l="1"/>
  <c r="CE60" i="95"/>
  <c r="CE59" i="95"/>
  <c r="CE58" i="95"/>
  <c r="CE57" i="95"/>
  <c r="CE56" i="95"/>
  <c r="CE55" i="95"/>
  <c r="CE54" i="95"/>
  <c r="CE53" i="95"/>
  <c r="CE52" i="95"/>
  <c r="CE51" i="95"/>
  <c r="CE50" i="95"/>
  <c r="CE48" i="95"/>
  <c r="CE47" i="95"/>
  <c r="CE45" i="95"/>
  <c r="CE44" i="95"/>
  <c r="CE43" i="95"/>
  <c r="CE41" i="95"/>
  <c r="CE40" i="95"/>
  <c r="CE39" i="95"/>
  <c r="CE38" i="95"/>
  <c r="CE37" i="95"/>
  <c r="CE36" i="95"/>
  <c r="CE35" i="95"/>
  <c r="CE34" i="95"/>
  <c r="CE33" i="95"/>
  <c r="CE32" i="95"/>
  <c r="CE31" i="95"/>
  <c r="CE30" i="95"/>
  <c r="CE27" i="95"/>
  <c r="CE26" i="95"/>
  <c r="CE25" i="95"/>
  <c r="CE24" i="95"/>
  <c r="CE23" i="95"/>
  <c r="CE22" i="95"/>
  <c r="CE21" i="95"/>
  <c r="CE19" i="95"/>
  <c r="CE18" i="95"/>
  <c r="CE17" i="95"/>
  <c r="CE16" i="95"/>
  <c r="CE15" i="95"/>
  <c r="CE14" i="95"/>
  <c r="CE13" i="95"/>
  <c r="CE12" i="95"/>
  <c r="CE11" i="95"/>
  <c r="CE10" i="95"/>
  <c r="CE9" i="95"/>
  <c r="CE8" i="95"/>
  <c r="CE7" i="95"/>
  <c r="CE6" i="95"/>
  <c r="CE5" i="95"/>
  <c r="CE4" i="95"/>
  <c r="CE3" i="95"/>
  <c r="CA62" i="95"/>
  <c r="CA60" i="95"/>
  <c r="CA59" i="95"/>
  <c r="CA58" i="95"/>
  <c r="CA57" i="95"/>
  <c r="CA56" i="95"/>
  <c r="CA55" i="95"/>
  <c r="CA54" i="95"/>
  <c r="CA53" i="95"/>
  <c r="CA52" i="95"/>
  <c r="CA51" i="95"/>
  <c r="CA50" i="95"/>
  <c r="CA49" i="95"/>
  <c r="CA48" i="95"/>
  <c r="CA47" i="95"/>
  <c r="CA45" i="95"/>
  <c r="CA44" i="95"/>
  <c r="CA43" i="95"/>
  <c r="CA42" i="95"/>
  <c r="CA41" i="95"/>
  <c r="CA40" i="95"/>
  <c r="CA38" i="95"/>
  <c r="CA37" i="95"/>
  <c r="CA36" i="95"/>
  <c r="CA35" i="95"/>
  <c r="CA34" i="95"/>
  <c r="CA33" i="95"/>
  <c r="CA32" i="95"/>
  <c r="CA31" i="95"/>
  <c r="CA30" i="95"/>
  <c r="CA29" i="95"/>
  <c r="CA28" i="95"/>
  <c r="CA27" i="95"/>
  <c r="CA26" i="95"/>
  <c r="CA25" i="95"/>
  <c r="CA24" i="95"/>
  <c r="CA23" i="95"/>
  <c r="CA22" i="95"/>
  <c r="CA21" i="95"/>
  <c r="CA20" i="95"/>
  <c r="CA19" i="95"/>
  <c r="CA18" i="95"/>
  <c r="CA17" i="95"/>
  <c r="CA16" i="95"/>
  <c r="CA15" i="95"/>
  <c r="CA14" i="95"/>
  <c r="CA13" i="95"/>
  <c r="CA12" i="95"/>
  <c r="CA11" i="95"/>
  <c r="CA9" i="95"/>
  <c r="CA8" i="95"/>
  <c r="CA7" i="95"/>
  <c r="CA6" i="95"/>
  <c r="CA5" i="95"/>
  <c r="CA4" i="95"/>
  <c r="CA3" i="95"/>
  <c r="BW62" i="95"/>
  <c r="BW61" i="95"/>
  <c r="BW58" i="95"/>
  <c r="BW57" i="95"/>
  <c r="BW56" i="95"/>
  <c r="BW55" i="95"/>
  <c r="BW54" i="95"/>
  <c r="BW53" i="95"/>
  <c r="BW52" i="95"/>
  <c r="BW51" i="95"/>
  <c r="BW50" i="95"/>
  <c r="BW49" i="95"/>
  <c r="BW48" i="95"/>
  <c r="BW47" i="95"/>
  <c r="BW46" i="95"/>
  <c r="BW45" i="95"/>
  <c r="BW44" i="95"/>
  <c r="BW43" i="95"/>
  <c r="BW42" i="95"/>
  <c r="BW41" i="95"/>
  <c r="BW40" i="95"/>
  <c r="BW38" i="95"/>
  <c r="BW37" i="95"/>
  <c r="BW36" i="95"/>
  <c r="BW35" i="95"/>
  <c r="BW34" i="95"/>
  <c r="BW33" i="95"/>
  <c r="BW32" i="95"/>
  <c r="BW31" i="95"/>
  <c r="BW30" i="95"/>
  <c r="BW28" i="95"/>
  <c r="BW27" i="95"/>
  <c r="BW25" i="95"/>
  <c r="BW24" i="95"/>
  <c r="BW23" i="95"/>
  <c r="BW22" i="95"/>
  <c r="BW20" i="95"/>
  <c r="BW19" i="95"/>
  <c r="BW18" i="95"/>
  <c r="BW17" i="95"/>
  <c r="BW16" i="95"/>
  <c r="BW15" i="95"/>
  <c r="BW14" i="95"/>
  <c r="BW13" i="95"/>
  <c r="BW12" i="95"/>
  <c r="BW11" i="95"/>
  <c r="BW10" i="95"/>
  <c r="BW9" i="95"/>
  <c r="BW8" i="95"/>
  <c r="BW7" i="95"/>
  <c r="BW6" i="95"/>
  <c r="BW5" i="95"/>
  <c r="BW4" i="95"/>
  <c r="BW3" i="95"/>
  <c r="AM62" i="95" l="1"/>
  <c r="AM61" i="95"/>
  <c r="AM60" i="95"/>
  <c r="AM59" i="95"/>
  <c r="AM58" i="95"/>
  <c r="AM57" i="95"/>
  <c r="AM56" i="95"/>
  <c r="AM55" i="95"/>
  <c r="AM54" i="95"/>
  <c r="AM53" i="95"/>
  <c r="AM52" i="95"/>
  <c r="AM51" i="95"/>
  <c r="AM50" i="95"/>
  <c r="AM49" i="95"/>
  <c r="AM48" i="95"/>
  <c r="AM47" i="95"/>
  <c r="AM45" i="95"/>
  <c r="AM44" i="95"/>
  <c r="AM43" i="95"/>
  <c r="AM42" i="95"/>
  <c r="AM41" i="95"/>
  <c r="AM40" i="95"/>
  <c r="AM39" i="95"/>
  <c r="AM38" i="95"/>
  <c r="AM37" i="95"/>
  <c r="AM36" i="95"/>
  <c r="AM35" i="95"/>
  <c r="AM34" i="95"/>
  <c r="AM33" i="95"/>
  <c r="AM32" i="95"/>
  <c r="AM31" i="95"/>
  <c r="AM30" i="95"/>
  <c r="AM29" i="95"/>
  <c r="AM28" i="95"/>
  <c r="AM27" i="95"/>
  <c r="AM26" i="95"/>
  <c r="AM25" i="95"/>
  <c r="AM24" i="95"/>
  <c r="AM23" i="95"/>
  <c r="AM22" i="95"/>
  <c r="AM21" i="95"/>
  <c r="AM20" i="95"/>
  <c r="AM19" i="95"/>
  <c r="AM18" i="95"/>
  <c r="AM17" i="95"/>
  <c r="AM16" i="95"/>
  <c r="AM15" i="95"/>
  <c r="AM14" i="95"/>
  <c r="AM13" i="95"/>
  <c r="AM12" i="95"/>
  <c r="AM11" i="95"/>
  <c r="AM9" i="95"/>
  <c r="AM8" i="95"/>
  <c r="AM7" i="95"/>
  <c r="AM6" i="95"/>
  <c r="AM5" i="95"/>
  <c r="AM4" i="95"/>
  <c r="AM3" i="95"/>
  <c r="AI62" i="95"/>
  <c r="AI61" i="95"/>
  <c r="AI60" i="95"/>
  <c r="AI59" i="95"/>
  <c r="AI58" i="95"/>
  <c r="AI57" i="95"/>
  <c r="AI56" i="95"/>
  <c r="AI55" i="95"/>
  <c r="AI54" i="95"/>
  <c r="AI53" i="95"/>
  <c r="AI52" i="95"/>
  <c r="AI51" i="95"/>
  <c r="AI50" i="95"/>
  <c r="AI49" i="95"/>
  <c r="AI48" i="95"/>
  <c r="AI47" i="95"/>
  <c r="AI46" i="95"/>
  <c r="AI45" i="95"/>
  <c r="AI44" i="95"/>
  <c r="AI43" i="95"/>
  <c r="AI42" i="95"/>
  <c r="AI41" i="95"/>
  <c r="AI40" i="95"/>
  <c r="AI39" i="95"/>
  <c r="AI38" i="95"/>
  <c r="AI37" i="95"/>
  <c r="AI36" i="95"/>
  <c r="AI35" i="95"/>
  <c r="AI34" i="95"/>
  <c r="AI33" i="95"/>
  <c r="AI32" i="95"/>
  <c r="AI31" i="95"/>
  <c r="AI30" i="95"/>
  <c r="AI29" i="95"/>
  <c r="AI28" i="95"/>
  <c r="AI27" i="95"/>
  <c r="AI26" i="95"/>
  <c r="AI25" i="95"/>
  <c r="AI24" i="95"/>
  <c r="AI23" i="95"/>
  <c r="AI22" i="95"/>
  <c r="AI21" i="95"/>
  <c r="AI20" i="95"/>
  <c r="AI19" i="95"/>
  <c r="AI18" i="95"/>
  <c r="AI17" i="95"/>
  <c r="AI16" i="95"/>
  <c r="AI15" i="95"/>
  <c r="AI14" i="95"/>
  <c r="AI13" i="95"/>
  <c r="AI12" i="95"/>
  <c r="AI10" i="95"/>
  <c r="AI9" i="95"/>
  <c r="AI8" i="95"/>
  <c r="AI7" i="95"/>
  <c r="AI6" i="95"/>
  <c r="AI5" i="95"/>
  <c r="AI4" i="95"/>
  <c r="AI3" i="95"/>
  <c r="AE62" i="95"/>
  <c r="AE61" i="95"/>
  <c r="AE60" i="95"/>
  <c r="AE59" i="95"/>
  <c r="AE58" i="95"/>
  <c r="AE57" i="95"/>
  <c r="AE56" i="95"/>
  <c r="AE55" i="95"/>
  <c r="AE54" i="95"/>
  <c r="AE53" i="95"/>
  <c r="AE51" i="95"/>
  <c r="AE50" i="95"/>
  <c r="AE49" i="95"/>
  <c r="AE48" i="95"/>
  <c r="AE47" i="95"/>
  <c r="AE46" i="95"/>
  <c r="AE45" i="95"/>
  <c r="AE44" i="95"/>
  <c r="AE43" i="95"/>
  <c r="AE42" i="95"/>
  <c r="AE41" i="95"/>
  <c r="AE40" i="95"/>
  <c r="AE39" i="95"/>
  <c r="AE38" i="95"/>
  <c r="AE37" i="95"/>
  <c r="AE35" i="95"/>
  <c r="AE33" i="95"/>
  <c r="AE32" i="95"/>
  <c r="AE31" i="95"/>
  <c r="AE30" i="95"/>
  <c r="AE28" i="95"/>
  <c r="AE27" i="95"/>
  <c r="AE26" i="95"/>
  <c r="AE25" i="95"/>
  <c r="AE24" i="95"/>
  <c r="AE23" i="95"/>
  <c r="AE22" i="95"/>
  <c r="AE21" i="95"/>
  <c r="AE20" i="95"/>
  <c r="AE19" i="95"/>
  <c r="AE18" i="95"/>
  <c r="AE17" i="95"/>
  <c r="AE16" i="95"/>
  <c r="AE15" i="95"/>
  <c r="AE14" i="95"/>
  <c r="AE12" i="95"/>
  <c r="AE10" i="95"/>
  <c r="AE9" i="95"/>
  <c r="AE8" i="95"/>
  <c r="AE7" i="95"/>
  <c r="AE6" i="95"/>
  <c r="AE5" i="95"/>
  <c r="AE4" i="95"/>
  <c r="AE3" i="95"/>
  <c r="N38" i="100" l="1"/>
  <c r="Q11" i="100"/>
  <c r="Q10" i="100"/>
  <c r="Q9" i="100"/>
  <c r="Q8" i="100"/>
  <c r="Q7" i="100"/>
  <c r="Q6" i="100"/>
  <c r="Q5" i="100"/>
  <c r="Q4" i="100"/>
  <c r="E71" i="97"/>
  <c r="DU65" i="97"/>
  <c r="DV65" i="97" s="1"/>
  <c r="DX65" i="97" s="1"/>
  <c r="CG65" i="97"/>
  <c r="CH65" i="97" s="1"/>
  <c r="CJ65" i="97" s="1"/>
  <c r="DU64" i="97"/>
  <c r="DV64" i="97" s="1"/>
  <c r="DX64" i="97" s="1"/>
  <c r="DU63" i="97"/>
  <c r="DV63" i="97" s="1"/>
  <c r="DX63" i="97" s="1"/>
  <c r="DU62" i="97"/>
  <c r="DV62" i="97" s="1"/>
  <c r="DX62" i="97" s="1"/>
  <c r="DU59" i="97"/>
  <c r="DV59" i="97" s="1"/>
  <c r="DX59" i="97" s="1"/>
  <c r="DU58" i="97"/>
  <c r="DV58" i="97" s="1"/>
  <c r="DX58" i="97" s="1"/>
  <c r="Y58" i="97"/>
  <c r="Z58" i="97" s="1"/>
  <c r="AB58" i="97" s="1"/>
  <c r="DU57" i="97"/>
  <c r="DV57" i="97" s="1"/>
  <c r="DX57" i="97" s="1"/>
  <c r="DU56" i="97"/>
  <c r="DV56" i="97" s="1"/>
  <c r="DX56" i="97" s="1"/>
  <c r="CK56" i="97"/>
  <c r="CL56" i="97" s="1"/>
  <c r="CN56" i="97" s="1"/>
  <c r="AS56" i="97"/>
  <c r="AT56" i="97" s="1"/>
  <c r="AV56" i="97" s="1"/>
  <c r="DU55" i="97"/>
  <c r="DV55" i="97" s="1"/>
  <c r="DX55" i="97" s="1"/>
  <c r="DQ55" i="97"/>
  <c r="DR55" i="97" s="1"/>
  <c r="DT55" i="97" s="1"/>
  <c r="DM55" i="97"/>
  <c r="DN55" i="97" s="1"/>
  <c r="DP55" i="97" s="1"/>
  <c r="DI55" i="97"/>
  <c r="DJ55" i="97" s="1"/>
  <c r="DL55" i="97" s="1"/>
  <c r="DE55" i="97"/>
  <c r="DF55" i="97" s="1"/>
  <c r="DH55" i="97" s="1"/>
  <c r="DA55" i="97"/>
  <c r="DB55" i="97" s="1"/>
  <c r="DD55" i="97" s="1"/>
  <c r="CW55" i="97"/>
  <c r="CX55" i="97" s="1"/>
  <c r="CZ55" i="97" s="1"/>
  <c r="CS55" i="97"/>
  <c r="CT55" i="97" s="1"/>
  <c r="CV55" i="97" s="1"/>
  <c r="CO55" i="97"/>
  <c r="CP55" i="97" s="1"/>
  <c r="CR55" i="97" s="1"/>
  <c r="CK55" i="97"/>
  <c r="CL55" i="97" s="1"/>
  <c r="CN55" i="97" s="1"/>
  <c r="CG55" i="97"/>
  <c r="CH55" i="97" s="1"/>
  <c r="CJ55" i="97" s="1"/>
  <c r="CC55" i="97"/>
  <c r="CD55" i="97" s="1"/>
  <c r="CF55" i="97" s="1"/>
  <c r="BY55" i="97"/>
  <c r="BZ55" i="97" s="1"/>
  <c r="CB55" i="97" s="1"/>
  <c r="BU55" i="97"/>
  <c r="BV55" i="97" s="1"/>
  <c r="BX55" i="97" s="1"/>
  <c r="BQ55" i="97"/>
  <c r="BR55" i="97" s="1"/>
  <c r="BT55" i="97" s="1"/>
  <c r="BM55" i="97"/>
  <c r="BN55" i="97" s="1"/>
  <c r="BP55" i="97" s="1"/>
  <c r="BI55" i="97"/>
  <c r="BJ55" i="97" s="1"/>
  <c r="BL55" i="97" s="1"/>
  <c r="BE55" i="97"/>
  <c r="BF55" i="97" s="1"/>
  <c r="BH55" i="97" s="1"/>
  <c r="BA55" i="97"/>
  <c r="BB55" i="97" s="1"/>
  <c r="BD55" i="97" s="1"/>
  <c r="AW55" i="97"/>
  <c r="AX55" i="97" s="1"/>
  <c r="AZ55" i="97" s="1"/>
  <c r="AS55" i="97"/>
  <c r="AT55" i="97" s="1"/>
  <c r="AV55" i="97" s="1"/>
  <c r="AO55" i="97"/>
  <c r="AP55" i="97" s="1"/>
  <c r="AR55" i="97" s="1"/>
  <c r="AK55" i="97"/>
  <c r="AL55" i="97" s="1"/>
  <c r="AN55" i="97" s="1"/>
  <c r="AG55" i="97"/>
  <c r="AH55" i="97" s="1"/>
  <c r="AI55" i="97" s="1"/>
  <c r="AJ55" i="97" s="1"/>
  <c r="AC55" i="97"/>
  <c r="AD55" i="97" s="1"/>
  <c r="AF55" i="97" s="1"/>
  <c r="Y55" i="97"/>
  <c r="Z55" i="97" s="1"/>
  <c r="AB55" i="97" s="1"/>
  <c r="U55" i="97"/>
  <c r="V55" i="97" s="1"/>
  <c r="X55" i="97" s="1"/>
  <c r="Q55" i="97"/>
  <c r="R55" i="97" s="1"/>
  <c r="T55" i="97" s="1"/>
  <c r="M55" i="97"/>
  <c r="N55" i="97" s="1"/>
  <c r="P55" i="97" s="1"/>
  <c r="I55" i="97"/>
  <c r="J55" i="97" s="1"/>
  <c r="L55" i="97" s="1"/>
  <c r="DU54" i="97"/>
  <c r="DV54" i="97" s="1"/>
  <c r="DX54" i="97" s="1"/>
  <c r="DU53" i="97"/>
  <c r="DV53" i="97" s="1"/>
  <c r="DX53" i="97" s="1"/>
  <c r="DU52" i="97"/>
  <c r="DV52" i="97" s="1"/>
  <c r="DX52" i="97" s="1"/>
  <c r="DQ52" i="97"/>
  <c r="DR52" i="97" s="1"/>
  <c r="DT52" i="97" s="1"/>
  <c r="DM52" i="97"/>
  <c r="DN52" i="97" s="1"/>
  <c r="DP52" i="97" s="1"/>
  <c r="DI52" i="97"/>
  <c r="DJ52" i="97" s="1"/>
  <c r="DL52" i="97" s="1"/>
  <c r="DE52" i="97"/>
  <c r="DF52" i="97" s="1"/>
  <c r="DH52" i="97" s="1"/>
  <c r="DA52" i="97"/>
  <c r="DB52" i="97" s="1"/>
  <c r="DC52" i="97" s="1"/>
  <c r="DD52" i="97" s="1"/>
  <c r="CW52" i="97"/>
  <c r="CX52" i="97" s="1"/>
  <c r="CZ52" i="97" s="1"/>
  <c r="CS52" i="97"/>
  <c r="CT52" i="97" s="1"/>
  <c r="CU52" i="97" s="1"/>
  <c r="CV52" i="97" s="1"/>
  <c r="CO52" i="97"/>
  <c r="CP52" i="97" s="1"/>
  <c r="CR52" i="97" s="1"/>
  <c r="CK52" i="97"/>
  <c r="CL52" i="97" s="1"/>
  <c r="CN52" i="97" s="1"/>
  <c r="CG52" i="97"/>
  <c r="CH52" i="97" s="1"/>
  <c r="CC52" i="97"/>
  <c r="CD52" i="97" s="1"/>
  <c r="CF52" i="97" s="1"/>
  <c r="BY52" i="97"/>
  <c r="BZ52" i="97" s="1"/>
  <c r="CB52" i="97" s="1"/>
  <c r="BU52" i="97"/>
  <c r="BV52" i="97" s="1"/>
  <c r="BX52" i="97" s="1"/>
  <c r="BQ52" i="97"/>
  <c r="BR52" i="97" s="1"/>
  <c r="BT52" i="97" s="1"/>
  <c r="BM52" i="97"/>
  <c r="BN52" i="97" s="1"/>
  <c r="BP52" i="97" s="1"/>
  <c r="BI52" i="97"/>
  <c r="BJ52" i="97" s="1"/>
  <c r="BL52" i="97" s="1"/>
  <c r="BE52" i="97"/>
  <c r="BF52" i="97" s="1"/>
  <c r="BH52" i="97" s="1"/>
  <c r="BA52" i="97"/>
  <c r="BB52" i="97" s="1"/>
  <c r="BD52" i="97" s="1"/>
  <c r="AW52" i="97"/>
  <c r="AX52" i="97" s="1"/>
  <c r="AZ52" i="97" s="1"/>
  <c r="AS52" i="97"/>
  <c r="AT52" i="97" s="1"/>
  <c r="AV52" i="97" s="1"/>
  <c r="AO52" i="97"/>
  <c r="AP52" i="97" s="1"/>
  <c r="AR52" i="97" s="1"/>
  <c r="AK52" i="97"/>
  <c r="AL52" i="97" s="1"/>
  <c r="AN52" i="97" s="1"/>
  <c r="AG52" i="97"/>
  <c r="AH52" i="97" s="1"/>
  <c r="AJ52" i="97" s="1"/>
  <c r="AC52" i="97"/>
  <c r="AD52" i="97" s="1"/>
  <c r="AF52" i="97" s="1"/>
  <c r="Y52" i="97"/>
  <c r="Z52" i="97" s="1"/>
  <c r="AB52" i="97" s="1"/>
  <c r="U52" i="97"/>
  <c r="V52" i="97" s="1"/>
  <c r="X52" i="97" s="1"/>
  <c r="Q52" i="97"/>
  <c r="R52" i="97" s="1"/>
  <c r="T52" i="97" s="1"/>
  <c r="M52" i="97"/>
  <c r="N52" i="97" s="1"/>
  <c r="P52" i="97" s="1"/>
  <c r="I52" i="97"/>
  <c r="J52" i="97" s="1"/>
  <c r="L52" i="97" s="1"/>
  <c r="E52" i="97"/>
  <c r="F52" i="97" s="1"/>
  <c r="H52" i="97" s="1"/>
  <c r="DU51" i="97"/>
  <c r="DV51" i="97" s="1"/>
  <c r="DX51" i="97" s="1"/>
  <c r="DQ51" i="97"/>
  <c r="DR51" i="97" s="1"/>
  <c r="DT51" i="97" s="1"/>
  <c r="DM51" i="97"/>
  <c r="DN51" i="97" s="1"/>
  <c r="DP51" i="97" s="1"/>
  <c r="DI51" i="97"/>
  <c r="DJ51" i="97" s="1"/>
  <c r="DL51" i="97" s="1"/>
  <c r="DE51" i="97"/>
  <c r="DF51" i="97" s="1"/>
  <c r="DH51" i="97" s="1"/>
  <c r="DA51" i="97"/>
  <c r="DB51" i="97" s="1"/>
  <c r="DD51" i="97" s="1"/>
  <c r="CW51" i="97"/>
  <c r="CX51" i="97" s="1"/>
  <c r="CZ51" i="97" s="1"/>
  <c r="CS51" i="97"/>
  <c r="CT51" i="97" s="1"/>
  <c r="CV51" i="97" s="1"/>
  <c r="CO51" i="97"/>
  <c r="CP51" i="97" s="1"/>
  <c r="CR51" i="97" s="1"/>
  <c r="CK51" i="97"/>
  <c r="CL51" i="97" s="1"/>
  <c r="CN51" i="97" s="1"/>
  <c r="CG51" i="97"/>
  <c r="CH51" i="97" s="1"/>
  <c r="CJ51" i="97" s="1"/>
  <c r="CC51" i="97"/>
  <c r="CD51" i="97" s="1"/>
  <c r="CF51" i="97" s="1"/>
  <c r="BY51" i="97"/>
  <c r="BZ51" i="97" s="1"/>
  <c r="CB51" i="97" s="1"/>
  <c r="BU51" i="97"/>
  <c r="BV51" i="97" s="1"/>
  <c r="BX51" i="97" s="1"/>
  <c r="BQ51" i="97"/>
  <c r="BR51" i="97" s="1"/>
  <c r="BT51" i="97" s="1"/>
  <c r="BM51" i="97"/>
  <c r="BN51" i="97" s="1"/>
  <c r="BP51" i="97" s="1"/>
  <c r="BI51" i="97"/>
  <c r="BJ51" i="97" s="1"/>
  <c r="BL51" i="97" s="1"/>
  <c r="BE51" i="97"/>
  <c r="BF51" i="97" s="1"/>
  <c r="BH51" i="97" s="1"/>
  <c r="BA51" i="97"/>
  <c r="BB51" i="97" s="1"/>
  <c r="BD51" i="97" s="1"/>
  <c r="AW51" i="97"/>
  <c r="AX51" i="97" s="1"/>
  <c r="AZ51" i="97" s="1"/>
  <c r="AS51" i="97"/>
  <c r="AT51" i="97" s="1"/>
  <c r="AV51" i="97" s="1"/>
  <c r="AO51" i="97"/>
  <c r="AP51" i="97" s="1"/>
  <c r="AR51" i="97" s="1"/>
  <c r="AK51" i="97"/>
  <c r="AL51" i="97" s="1"/>
  <c r="AN51" i="97" s="1"/>
  <c r="AG51" i="97"/>
  <c r="AH51" i="97" s="1"/>
  <c r="AJ51" i="97" s="1"/>
  <c r="AC51" i="97"/>
  <c r="AD51" i="97" s="1"/>
  <c r="AF51" i="97" s="1"/>
  <c r="Y51" i="97"/>
  <c r="Z51" i="97" s="1"/>
  <c r="AB51" i="97" s="1"/>
  <c r="U51" i="97"/>
  <c r="V51" i="97" s="1"/>
  <c r="X51" i="97" s="1"/>
  <c r="Q51" i="97"/>
  <c r="R51" i="97" s="1"/>
  <c r="T51" i="97" s="1"/>
  <c r="M51" i="97"/>
  <c r="N51" i="97" s="1"/>
  <c r="P51" i="97" s="1"/>
  <c r="I51" i="97"/>
  <c r="J51" i="97" s="1"/>
  <c r="L51" i="97" s="1"/>
  <c r="E51" i="97"/>
  <c r="F51" i="97" s="1"/>
  <c r="H51" i="97" s="1"/>
  <c r="DU50" i="97"/>
  <c r="DV50" i="97" s="1"/>
  <c r="DX50" i="97" s="1"/>
  <c r="DQ50" i="97"/>
  <c r="DR50" i="97" s="1"/>
  <c r="DT50" i="97" s="1"/>
  <c r="DM50" i="97"/>
  <c r="DN50" i="97" s="1"/>
  <c r="DP50" i="97" s="1"/>
  <c r="DI50" i="97"/>
  <c r="DJ50" i="97" s="1"/>
  <c r="DL50" i="97" s="1"/>
  <c r="DE50" i="97"/>
  <c r="DF50" i="97" s="1"/>
  <c r="DH50" i="97" s="1"/>
  <c r="DA50" i="97"/>
  <c r="DB50" i="97" s="1"/>
  <c r="DD50" i="97" s="1"/>
  <c r="CW50" i="97"/>
  <c r="CX50" i="97" s="1"/>
  <c r="CZ50" i="97" s="1"/>
  <c r="CS50" i="97"/>
  <c r="CT50" i="97" s="1"/>
  <c r="CV50" i="97" s="1"/>
  <c r="CO50" i="97"/>
  <c r="CP50" i="97" s="1"/>
  <c r="CR50" i="97" s="1"/>
  <c r="CK50" i="97"/>
  <c r="CL50" i="97" s="1"/>
  <c r="CN50" i="97" s="1"/>
  <c r="CG50" i="97"/>
  <c r="CH50" i="97" s="1"/>
  <c r="CJ50" i="97" s="1"/>
  <c r="CC50" i="97"/>
  <c r="CD50" i="97" s="1"/>
  <c r="CE50" i="97" s="1"/>
  <c r="CF50" i="97" s="1"/>
  <c r="BY50" i="97"/>
  <c r="BZ50" i="97" s="1"/>
  <c r="CA50" i="97" s="1"/>
  <c r="CB50" i="97" s="1"/>
  <c r="BU50" i="97"/>
  <c r="BV50" i="97" s="1"/>
  <c r="BX50" i="97" s="1"/>
  <c r="BQ50" i="97"/>
  <c r="BR50" i="97" s="1"/>
  <c r="BT50" i="97" s="1"/>
  <c r="BM50" i="97"/>
  <c r="BN50" i="97" s="1"/>
  <c r="BP50" i="97" s="1"/>
  <c r="BI50" i="97"/>
  <c r="BJ50" i="97" s="1"/>
  <c r="BL50" i="97" s="1"/>
  <c r="BE50" i="97"/>
  <c r="BF50" i="97" s="1"/>
  <c r="BH50" i="97" s="1"/>
  <c r="BA50" i="97"/>
  <c r="BB50" i="97" s="1"/>
  <c r="BD50" i="97" s="1"/>
  <c r="AW50" i="97"/>
  <c r="AX50" i="97" s="1"/>
  <c r="AZ50" i="97" s="1"/>
  <c r="AS50" i="97"/>
  <c r="AT50" i="97" s="1"/>
  <c r="AV50" i="97" s="1"/>
  <c r="AO50" i="97"/>
  <c r="AP50" i="97" s="1"/>
  <c r="AQ50" i="97" s="1"/>
  <c r="AR50" i="97" s="1"/>
  <c r="AK50" i="97"/>
  <c r="AL50" i="97" s="1"/>
  <c r="AN50" i="97" s="1"/>
  <c r="AG50" i="97"/>
  <c r="AH50" i="97" s="1"/>
  <c r="AJ50" i="97" s="1"/>
  <c r="AC50" i="97"/>
  <c r="AD50" i="97" s="1"/>
  <c r="AF50" i="97" s="1"/>
  <c r="Y50" i="97"/>
  <c r="Z50" i="97" s="1"/>
  <c r="AA50" i="97" s="1"/>
  <c r="AB50" i="97" s="1"/>
  <c r="U50" i="97"/>
  <c r="V50" i="97" s="1"/>
  <c r="X50" i="97" s="1"/>
  <c r="Q50" i="97"/>
  <c r="R50" i="97" s="1"/>
  <c r="T50" i="97" s="1"/>
  <c r="M50" i="97"/>
  <c r="N50" i="97" s="1"/>
  <c r="P50" i="97" s="1"/>
  <c r="I50" i="97"/>
  <c r="J50" i="97" s="1"/>
  <c r="L50" i="97" s="1"/>
  <c r="E50" i="97"/>
  <c r="F50" i="97" s="1"/>
  <c r="H50" i="97" s="1"/>
  <c r="DU49" i="97"/>
  <c r="DV49" i="97" s="1"/>
  <c r="DX49" i="97" s="1"/>
  <c r="DQ49" i="97"/>
  <c r="DR49" i="97" s="1"/>
  <c r="DT49" i="97" s="1"/>
  <c r="DM49" i="97"/>
  <c r="DN49" i="97" s="1"/>
  <c r="DP49" i="97" s="1"/>
  <c r="DI49" i="97"/>
  <c r="DJ49" i="97" s="1"/>
  <c r="DL49" i="97" s="1"/>
  <c r="DE49" i="97"/>
  <c r="DF49" i="97" s="1"/>
  <c r="DH49" i="97" s="1"/>
  <c r="DA49" i="97"/>
  <c r="DB49" i="97" s="1"/>
  <c r="DD49" i="97" s="1"/>
  <c r="CW49" i="97"/>
  <c r="CX49" i="97" s="1"/>
  <c r="CZ49" i="97" s="1"/>
  <c r="CS49" i="97"/>
  <c r="CT49" i="97" s="1"/>
  <c r="CV49" i="97" s="1"/>
  <c r="CO49" i="97"/>
  <c r="CP49" i="97" s="1"/>
  <c r="CR49" i="97" s="1"/>
  <c r="CK49" i="97"/>
  <c r="CL49" i="97" s="1"/>
  <c r="CN49" i="97" s="1"/>
  <c r="CG49" i="97"/>
  <c r="CH49" i="97" s="1"/>
  <c r="CC49" i="97"/>
  <c r="CD49" i="97" s="1"/>
  <c r="CF49" i="97" s="1"/>
  <c r="BY49" i="97"/>
  <c r="BZ49" i="97" s="1"/>
  <c r="CB49" i="97" s="1"/>
  <c r="BU49" i="97"/>
  <c r="BV49" i="97" s="1"/>
  <c r="BX49" i="97" s="1"/>
  <c r="BQ49" i="97"/>
  <c r="BR49" i="97" s="1"/>
  <c r="BT49" i="97" s="1"/>
  <c r="BM49" i="97"/>
  <c r="BN49" i="97" s="1"/>
  <c r="BP49" i="97" s="1"/>
  <c r="BI49" i="97"/>
  <c r="BJ49" i="97" s="1"/>
  <c r="BL49" i="97" s="1"/>
  <c r="BE49" i="97"/>
  <c r="BF49" i="97" s="1"/>
  <c r="BH49" i="97" s="1"/>
  <c r="BA49" i="97"/>
  <c r="BB49" i="97" s="1"/>
  <c r="BD49" i="97" s="1"/>
  <c r="AW49" i="97"/>
  <c r="AX49" i="97" s="1"/>
  <c r="AZ49" i="97" s="1"/>
  <c r="AS49" i="97"/>
  <c r="AT49" i="97" s="1"/>
  <c r="AV49" i="97" s="1"/>
  <c r="AO49" i="97"/>
  <c r="AP49" i="97" s="1"/>
  <c r="AR49" i="97" s="1"/>
  <c r="AK49" i="97"/>
  <c r="AL49" i="97" s="1"/>
  <c r="AN49" i="97" s="1"/>
  <c r="AG49" i="97"/>
  <c r="AH49" i="97" s="1"/>
  <c r="AJ49" i="97" s="1"/>
  <c r="AC49" i="97"/>
  <c r="AD49" i="97" s="1"/>
  <c r="AF49" i="97" s="1"/>
  <c r="Y49" i="97"/>
  <c r="Z49" i="97" s="1"/>
  <c r="AB49" i="97" s="1"/>
  <c r="U49" i="97"/>
  <c r="V49" i="97" s="1"/>
  <c r="X49" i="97" s="1"/>
  <c r="Q49" i="97"/>
  <c r="R49" i="97" s="1"/>
  <c r="T49" i="97" s="1"/>
  <c r="M49" i="97"/>
  <c r="N49" i="97" s="1"/>
  <c r="P49" i="97" s="1"/>
  <c r="I49" i="97"/>
  <c r="J49" i="97" s="1"/>
  <c r="L49" i="97" s="1"/>
  <c r="DU48" i="97"/>
  <c r="DV48" i="97" s="1"/>
  <c r="DX48" i="97" s="1"/>
  <c r="DQ48" i="97"/>
  <c r="DR48" i="97" s="1"/>
  <c r="DT48" i="97" s="1"/>
  <c r="DM48" i="97"/>
  <c r="DN48" i="97" s="1"/>
  <c r="DP48" i="97" s="1"/>
  <c r="DI48" i="97"/>
  <c r="DJ48" i="97" s="1"/>
  <c r="DL48" i="97" s="1"/>
  <c r="DE48" i="97"/>
  <c r="DF48" i="97" s="1"/>
  <c r="DH48" i="97" s="1"/>
  <c r="DA48" i="97"/>
  <c r="DB48" i="97" s="1"/>
  <c r="DD48" i="97" s="1"/>
  <c r="CW48" i="97"/>
  <c r="CX48" i="97" s="1"/>
  <c r="CZ48" i="97" s="1"/>
  <c r="CS48" i="97"/>
  <c r="CT48" i="97" s="1"/>
  <c r="CV48" i="97" s="1"/>
  <c r="CO48" i="97"/>
  <c r="CP48" i="97" s="1"/>
  <c r="CR48" i="97" s="1"/>
  <c r="CK48" i="97"/>
  <c r="CL48" i="97" s="1"/>
  <c r="CN48" i="97" s="1"/>
  <c r="CG48" i="97"/>
  <c r="CH48" i="97" s="1"/>
  <c r="CJ48" i="97" s="1"/>
  <c r="CC48" i="97"/>
  <c r="CD48" i="97" s="1"/>
  <c r="CF48" i="97" s="1"/>
  <c r="BY48" i="97"/>
  <c r="BZ48" i="97" s="1"/>
  <c r="CB48" i="97" s="1"/>
  <c r="BU48" i="97"/>
  <c r="BV48" i="97" s="1"/>
  <c r="BX48" i="97" s="1"/>
  <c r="BQ48" i="97"/>
  <c r="BR48" i="97" s="1"/>
  <c r="BT48" i="97" s="1"/>
  <c r="BM48" i="97"/>
  <c r="BN48" i="97" s="1"/>
  <c r="BP48" i="97" s="1"/>
  <c r="BI48" i="97"/>
  <c r="BJ48" i="97" s="1"/>
  <c r="BL48" i="97" s="1"/>
  <c r="BE48" i="97"/>
  <c r="BF48" i="97" s="1"/>
  <c r="BH48" i="97" s="1"/>
  <c r="BA48" i="97"/>
  <c r="BB48" i="97" s="1"/>
  <c r="BD48" i="97" s="1"/>
  <c r="AW48" i="97"/>
  <c r="AX48" i="97" s="1"/>
  <c r="AZ48" i="97" s="1"/>
  <c r="AS48" i="97"/>
  <c r="AT48" i="97" s="1"/>
  <c r="AV48" i="97" s="1"/>
  <c r="AO48" i="97"/>
  <c r="AP48" i="97" s="1"/>
  <c r="AR48" i="97" s="1"/>
  <c r="AK48" i="97"/>
  <c r="AL48" i="97" s="1"/>
  <c r="AN48" i="97" s="1"/>
  <c r="AG48" i="97"/>
  <c r="AH48" i="97" s="1"/>
  <c r="AJ48" i="97" s="1"/>
  <c r="AC48" i="97"/>
  <c r="AD48" i="97" s="1"/>
  <c r="AF48" i="97" s="1"/>
  <c r="Y48" i="97"/>
  <c r="Z48" i="97" s="1"/>
  <c r="AB48" i="97" s="1"/>
  <c r="U48" i="97"/>
  <c r="V48" i="97" s="1"/>
  <c r="X48" i="97" s="1"/>
  <c r="Q48" i="97"/>
  <c r="R48" i="97" s="1"/>
  <c r="T48" i="97" s="1"/>
  <c r="M48" i="97"/>
  <c r="N48" i="97" s="1"/>
  <c r="P48" i="97" s="1"/>
  <c r="I48" i="97"/>
  <c r="J48" i="97" s="1"/>
  <c r="L48" i="97" s="1"/>
  <c r="E48" i="97"/>
  <c r="F48" i="97" s="1"/>
  <c r="H48" i="97" s="1"/>
  <c r="DU47" i="97"/>
  <c r="DV47" i="97" s="1"/>
  <c r="DX47" i="97" s="1"/>
  <c r="DQ47" i="97"/>
  <c r="DR47" i="97" s="1"/>
  <c r="DT47" i="97" s="1"/>
  <c r="DM47" i="97"/>
  <c r="DN47" i="97" s="1"/>
  <c r="DP47" i="97" s="1"/>
  <c r="DI47" i="97"/>
  <c r="DJ47" i="97" s="1"/>
  <c r="DL47" i="97" s="1"/>
  <c r="DE47" i="97"/>
  <c r="DF47" i="97" s="1"/>
  <c r="DH47" i="97" s="1"/>
  <c r="DA47" i="97"/>
  <c r="DB47" i="97" s="1"/>
  <c r="DD47" i="97" s="1"/>
  <c r="CW47" i="97"/>
  <c r="CX47" i="97" s="1"/>
  <c r="CZ47" i="97" s="1"/>
  <c r="CS47" i="97"/>
  <c r="CT47" i="97" s="1"/>
  <c r="CV47" i="97" s="1"/>
  <c r="CO47" i="97"/>
  <c r="CP47" i="97" s="1"/>
  <c r="CR47" i="97" s="1"/>
  <c r="CK47" i="97"/>
  <c r="CL47" i="97" s="1"/>
  <c r="CN47" i="97" s="1"/>
  <c r="CG47" i="97"/>
  <c r="CH47" i="97" s="1"/>
  <c r="CJ47" i="97" s="1"/>
  <c r="CC47" i="97"/>
  <c r="CD47" i="97" s="1"/>
  <c r="CF47" i="97" s="1"/>
  <c r="BY47" i="97"/>
  <c r="BZ47" i="97" s="1"/>
  <c r="CB47" i="97" s="1"/>
  <c r="BU47" i="97"/>
  <c r="BV47" i="97" s="1"/>
  <c r="BX47" i="97" s="1"/>
  <c r="BQ47" i="97"/>
  <c r="BR47" i="97" s="1"/>
  <c r="BT47" i="97" s="1"/>
  <c r="BM47" i="97"/>
  <c r="BN47" i="97" s="1"/>
  <c r="BP47" i="97" s="1"/>
  <c r="BI47" i="97"/>
  <c r="BJ47" i="97" s="1"/>
  <c r="BL47" i="97" s="1"/>
  <c r="BE47" i="97"/>
  <c r="BF47" i="97" s="1"/>
  <c r="BH47" i="97" s="1"/>
  <c r="BA47" i="97"/>
  <c r="BB47" i="97" s="1"/>
  <c r="BD47" i="97" s="1"/>
  <c r="AW47" i="97"/>
  <c r="AX47" i="97" s="1"/>
  <c r="AZ47" i="97" s="1"/>
  <c r="AS47" i="97"/>
  <c r="AT47" i="97" s="1"/>
  <c r="AV47" i="97" s="1"/>
  <c r="AO47" i="97"/>
  <c r="AP47" i="97" s="1"/>
  <c r="AR47" i="97" s="1"/>
  <c r="AK47" i="97"/>
  <c r="AL47" i="97" s="1"/>
  <c r="AN47" i="97" s="1"/>
  <c r="AG47" i="97"/>
  <c r="AH47" i="97" s="1"/>
  <c r="AJ47" i="97" s="1"/>
  <c r="AC47" i="97"/>
  <c r="AD47" i="97" s="1"/>
  <c r="AF47" i="97" s="1"/>
  <c r="Y47" i="97"/>
  <c r="Z47" i="97" s="1"/>
  <c r="AB47" i="97" s="1"/>
  <c r="U47" i="97"/>
  <c r="V47" i="97" s="1"/>
  <c r="X47" i="97" s="1"/>
  <c r="Q47" i="97"/>
  <c r="R47" i="97" s="1"/>
  <c r="T47" i="97" s="1"/>
  <c r="M47" i="97"/>
  <c r="N47" i="97" s="1"/>
  <c r="P47" i="97" s="1"/>
  <c r="I47" i="97"/>
  <c r="J47" i="97" s="1"/>
  <c r="L47" i="97" s="1"/>
  <c r="E47" i="97"/>
  <c r="F47" i="97" s="1"/>
  <c r="H47" i="97" s="1"/>
  <c r="DU46" i="97"/>
  <c r="DV46" i="97" s="1"/>
  <c r="DX46" i="97" s="1"/>
  <c r="DQ46" i="97"/>
  <c r="DR46" i="97" s="1"/>
  <c r="DT46" i="97" s="1"/>
  <c r="DM46" i="97"/>
  <c r="DN46" i="97" s="1"/>
  <c r="DO46" i="97" s="1"/>
  <c r="DP46" i="97" s="1"/>
  <c r="DI46" i="97"/>
  <c r="DJ46" i="97" s="1"/>
  <c r="DL46" i="97" s="1"/>
  <c r="DE46" i="97"/>
  <c r="DF46" i="97" s="1"/>
  <c r="DH46" i="97" s="1"/>
  <c r="DA46" i="97"/>
  <c r="DB46" i="97" s="1"/>
  <c r="DD46" i="97" s="1"/>
  <c r="CW46" i="97"/>
  <c r="CX46" i="97" s="1"/>
  <c r="CZ46" i="97" s="1"/>
  <c r="CS46" i="97"/>
  <c r="CT46" i="97" s="1"/>
  <c r="CV46" i="97" s="1"/>
  <c r="CO46" i="97"/>
  <c r="CP46" i="97" s="1"/>
  <c r="CR46" i="97" s="1"/>
  <c r="CK46" i="97"/>
  <c r="CL46" i="97" s="1"/>
  <c r="CN46" i="97" s="1"/>
  <c r="CG46" i="97"/>
  <c r="CH46" i="97" s="1"/>
  <c r="CJ46" i="97" s="1"/>
  <c r="CC46" i="97"/>
  <c r="CD46" i="97" s="1"/>
  <c r="CF46" i="97" s="1"/>
  <c r="BY46" i="97"/>
  <c r="BZ46" i="97" s="1"/>
  <c r="CB46" i="97" s="1"/>
  <c r="BU46" i="97"/>
  <c r="BV46" i="97" s="1"/>
  <c r="BX46" i="97" s="1"/>
  <c r="BQ46" i="97"/>
  <c r="BR46" i="97" s="1"/>
  <c r="BT46" i="97" s="1"/>
  <c r="BM46" i="97"/>
  <c r="BN46" i="97" s="1"/>
  <c r="BP46" i="97" s="1"/>
  <c r="BI46" i="97"/>
  <c r="BJ46" i="97" s="1"/>
  <c r="BL46" i="97" s="1"/>
  <c r="BE46" i="97"/>
  <c r="BF46" i="97" s="1"/>
  <c r="BH46" i="97" s="1"/>
  <c r="BA46" i="97"/>
  <c r="BB46" i="97" s="1"/>
  <c r="BD46" i="97" s="1"/>
  <c r="AW46" i="97"/>
  <c r="AX46" i="97" s="1"/>
  <c r="AZ46" i="97" s="1"/>
  <c r="AS46" i="97"/>
  <c r="AT46" i="97" s="1"/>
  <c r="AV46" i="97" s="1"/>
  <c r="AO46" i="97"/>
  <c r="AP46" i="97" s="1"/>
  <c r="AR46" i="97" s="1"/>
  <c r="AK46" i="97"/>
  <c r="AL46" i="97" s="1"/>
  <c r="AN46" i="97" s="1"/>
  <c r="AG46" i="97"/>
  <c r="AH46" i="97" s="1"/>
  <c r="AJ46" i="97" s="1"/>
  <c r="AC46" i="97"/>
  <c r="AD46" i="97" s="1"/>
  <c r="AF46" i="97" s="1"/>
  <c r="Y46" i="97"/>
  <c r="Z46" i="97" s="1"/>
  <c r="AB46" i="97" s="1"/>
  <c r="U46" i="97"/>
  <c r="V46" i="97" s="1"/>
  <c r="X46" i="97" s="1"/>
  <c r="Q46" i="97"/>
  <c r="R46" i="97" s="1"/>
  <c r="T46" i="97" s="1"/>
  <c r="M46" i="97"/>
  <c r="N46" i="97" s="1"/>
  <c r="P46" i="97" s="1"/>
  <c r="I46" i="97"/>
  <c r="J46" i="97" s="1"/>
  <c r="L46" i="97" s="1"/>
  <c r="DU45" i="97"/>
  <c r="DV45" i="97" s="1"/>
  <c r="DX45" i="97" s="1"/>
  <c r="DQ45" i="97"/>
  <c r="DR45" i="97" s="1"/>
  <c r="DT45" i="97" s="1"/>
  <c r="DM45" i="97"/>
  <c r="DN45" i="97" s="1"/>
  <c r="DP45" i="97" s="1"/>
  <c r="DI45" i="97"/>
  <c r="DJ45" i="97" s="1"/>
  <c r="DL45" i="97" s="1"/>
  <c r="DE45" i="97"/>
  <c r="DF45" i="97" s="1"/>
  <c r="DH45" i="97" s="1"/>
  <c r="DA45" i="97"/>
  <c r="DB45" i="97" s="1"/>
  <c r="DD45" i="97" s="1"/>
  <c r="CW45" i="97"/>
  <c r="CX45" i="97" s="1"/>
  <c r="CZ45" i="97" s="1"/>
  <c r="CS45" i="97"/>
  <c r="CT45" i="97" s="1"/>
  <c r="CV45" i="97" s="1"/>
  <c r="CO45" i="97"/>
  <c r="CP45" i="97" s="1"/>
  <c r="CR45" i="97" s="1"/>
  <c r="CK45" i="97"/>
  <c r="CL45" i="97" s="1"/>
  <c r="CN45" i="97" s="1"/>
  <c r="CG45" i="97"/>
  <c r="CH45" i="97" s="1"/>
  <c r="CJ45" i="97" s="1"/>
  <c r="CC45" i="97"/>
  <c r="CD45" i="97" s="1"/>
  <c r="CF45" i="97" s="1"/>
  <c r="BY45" i="97"/>
  <c r="BZ45" i="97" s="1"/>
  <c r="CB45" i="97" s="1"/>
  <c r="BU45" i="97"/>
  <c r="BV45" i="97" s="1"/>
  <c r="BX45" i="97" s="1"/>
  <c r="BQ45" i="97"/>
  <c r="BR45" i="97" s="1"/>
  <c r="BT45" i="97" s="1"/>
  <c r="BM45" i="97"/>
  <c r="BN45" i="97" s="1"/>
  <c r="BP45" i="97" s="1"/>
  <c r="BI45" i="97"/>
  <c r="BJ45" i="97" s="1"/>
  <c r="BL45" i="97" s="1"/>
  <c r="BE45" i="97"/>
  <c r="BF45" i="97" s="1"/>
  <c r="BH45" i="97" s="1"/>
  <c r="BA45" i="97"/>
  <c r="BB45" i="97" s="1"/>
  <c r="BD45" i="97" s="1"/>
  <c r="AW45" i="97"/>
  <c r="AX45" i="97" s="1"/>
  <c r="AZ45" i="97" s="1"/>
  <c r="AS45" i="97"/>
  <c r="AT45" i="97" s="1"/>
  <c r="AV45" i="97" s="1"/>
  <c r="AO45" i="97"/>
  <c r="AP45" i="97" s="1"/>
  <c r="AR45" i="97" s="1"/>
  <c r="AK45" i="97"/>
  <c r="AL45" i="97" s="1"/>
  <c r="AN45" i="97" s="1"/>
  <c r="AG45" i="97"/>
  <c r="AH45" i="97" s="1"/>
  <c r="AJ45" i="97" s="1"/>
  <c r="AC45" i="97"/>
  <c r="AD45" i="97" s="1"/>
  <c r="AF45" i="97" s="1"/>
  <c r="Y45" i="97"/>
  <c r="Z45" i="97" s="1"/>
  <c r="AB45" i="97" s="1"/>
  <c r="U45" i="97"/>
  <c r="V45" i="97" s="1"/>
  <c r="X45" i="97" s="1"/>
  <c r="Q45" i="97"/>
  <c r="R45" i="97" s="1"/>
  <c r="T45" i="97" s="1"/>
  <c r="M45" i="97"/>
  <c r="N45" i="97" s="1"/>
  <c r="P45" i="97" s="1"/>
  <c r="I45" i="97"/>
  <c r="J45" i="97" s="1"/>
  <c r="L45" i="97" s="1"/>
  <c r="DU44" i="97"/>
  <c r="DV44" i="97" s="1"/>
  <c r="DX44" i="97" s="1"/>
  <c r="DQ44" i="97"/>
  <c r="DR44" i="97" s="1"/>
  <c r="DT44" i="97" s="1"/>
  <c r="DM44" i="97"/>
  <c r="DN44" i="97" s="1"/>
  <c r="DP44" i="97" s="1"/>
  <c r="DI44" i="97"/>
  <c r="DJ44" i="97" s="1"/>
  <c r="DL44" i="97" s="1"/>
  <c r="DE44" i="97"/>
  <c r="DF44" i="97" s="1"/>
  <c r="DH44" i="97" s="1"/>
  <c r="DA44" i="97"/>
  <c r="DB44" i="97" s="1"/>
  <c r="DD44" i="97" s="1"/>
  <c r="CW44" i="97"/>
  <c r="CX44" i="97" s="1"/>
  <c r="CZ44" i="97" s="1"/>
  <c r="CS44" i="97"/>
  <c r="CT44" i="97" s="1"/>
  <c r="CV44" i="97" s="1"/>
  <c r="CO44" i="97"/>
  <c r="CP44" i="97" s="1"/>
  <c r="CR44" i="97" s="1"/>
  <c r="CK44" i="97"/>
  <c r="CL44" i="97" s="1"/>
  <c r="CN44" i="97" s="1"/>
  <c r="CG44" i="97"/>
  <c r="CH44" i="97" s="1"/>
  <c r="CJ44" i="97" s="1"/>
  <c r="CC44" i="97"/>
  <c r="CD44" i="97" s="1"/>
  <c r="CF44" i="97" s="1"/>
  <c r="BY44" i="97"/>
  <c r="BZ44" i="97" s="1"/>
  <c r="CB44" i="97" s="1"/>
  <c r="BU44" i="97"/>
  <c r="BV44" i="97" s="1"/>
  <c r="BX44" i="97" s="1"/>
  <c r="BQ44" i="97"/>
  <c r="BR44" i="97" s="1"/>
  <c r="BT44" i="97" s="1"/>
  <c r="BM44" i="97"/>
  <c r="BN44" i="97" s="1"/>
  <c r="BP44" i="97" s="1"/>
  <c r="BI44" i="97"/>
  <c r="BJ44" i="97" s="1"/>
  <c r="BL44" i="97" s="1"/>
  <c r="BE44" i="97"/>
  <c r="BF44" i="97" s="1"/>
  <c r="BH44" i="97" s="1"/>
  <c r="BA44" i="97"/>
  <c r="BB44" i="97" s="1"/>
  <c r="BD44" i="97" s="1"/>
  <c r="AW44" i="97"/>
  <c r="AX44" i="97" s="1"/>
  <c r="AZ44" i="97" s="1"/>
  <c r="AS44" i="97"/>
  <c r="AT44" i="97" s="1"/>
  <c r="AV44" i="97" s="1"/>
  <c r="AO44" i="97"/>
  <c r="AP44" i="97" s="1"/>
  <c r="AR44" i="97" s="1"/>
  <c r="AK44" i="97"/>
  <c r="AL44" i="97" s="1"/>
  <c r="AN44" i="97" s="1"/>
  <c r="AG44" i="97"/>
  <c r="AH44" i="97" s="1"/>
  <c r="AJ44" i="97" s="1"/>
  <c r="AC44" i="97"/>
  <c r="AD44" i="97" s="1"/>
  <c r="AF44" i="97" s="1"/>
  <c r="Y44" i="97"/>
  <c r="Z44" i="97" s="1"/>
  <c r="AB44" i="97" s="1"/>
  <c r="U44" i="97"/>
  <c r="V44" i="97" s="1"/>
  <c r="X44" i="97" s="1"/>
  <c r="Q44" i="97"/>
  <c r="R44" i="97" s="1"/>
  <c r="T44" i="97" s="1"/>
  <c r="M44" i="97"/>
  <c r="N44" i="97" s="1"/>
  <c r="P44" i="97" s="1"/>
  <c r="I44" i="97"/>
  <c r="J44" i="97" s="1"/>
  <c r="L44" i="97" s="1"/>
  <c r="DU43" i="97"/>
  <c r="DV43" i="97" s="1"/>
  <c r="DX43" i="97" s="1"/>
  <c r="DQ43" i="97"/>
  <c r="DR43" i="97" s="1"/>
  <c r="DT43" i="97" s="1"/>
  <c r="DM43" i="97"/>
  <c r="DN43" i="97" s="1"/>
  <c r="DP43" i="97" s="1"/>
  <c r="DI43" i="97"/>
  <c r="DJ43" i="97" s="1"/>
  <c r="DL43" i="97" s="1"/>
  <c r="DE43" i="97"/>
  <c r="DF43" i="97" s="1"/>
  <c r="DH43" i="97" s="1"/>
  <c r="DA43" i="97"/>
  <c r="DB43" i="97" s="1"/>
  <c r="DD43" i="97" s="1"/>
  <c r="CW43" i="97"/>
  <c r="CX43" i="97" s="1"/>
  <c r="CZ43" i="97" s="1"/>
  <c r="CS43" i="97"/>
  <c r="CT43" i="97" s="1"/>
  <c r="CV43" i="97" s="1"/>
  <c r="CO43" i="97"/>
  <c r="CP43" i="97" s="1"/>
  <c r="CR43" i="97" s="1"/>
  <c r="CK43" i="97"/>
  <c r="CL43" i="97" s="1"/>
  <c r="CN43" i="97" s="1"/>
  <c r="CG43" i="97"/>
  <c r="CH43" i="97" s="1"/>
  <c r="CJ43" i="97" s="1"/>
  <c r="CC43" i="97"/>
  <c r="CD43" i="97" s="1"/>
  <c r="CF43" i="97" s="1"/>
  <c r="BY43" i="97"/>
  <c r="BZ43" i="97" s="1"/>
  <c r="CB43" i="97" s="1"/>
  <c r="BU43" i="97"/>
  <c r="BV43" i="97" s="1"/>
  <c r="BX43" i="97" s="1"/>
  <c r="BQ43" i="97"/>
  <c r="BR43" i="97" s="1"/>
  <c r="BT43" i="97" s="1"/>
  <c r="BM43" i="97"/>
  <c r="BN43" i="97" s="1"/>
  <c r="BP43" i="97" s="1"/>
  <c r="BI43" i="97"/>
  <c r="BJ43" i="97" s="1"/>
  <c r="BL43" i="97" s="1"/>
  <c r="BE43" i="97"/>
  <c r="BF43" i="97" s="1"/>
  <c r="BH43" i="97" s="1"/>
  <c r="BA43" i="97"/>
  <c r="BB43" i="97" s="1"/>
  <c r="BD43" i="97" s="1"/>
  <c r="AW43" i="97"/>
  <c r="AX43" i="97" s="1"/>
  <c r="AZ43" i="97" s="1"/>
  <c r="AS43" i="97"/>
  <c r="AT43" i="97" s="1"/>
  <c r="AV43" i="97" s="1"/>
  <c r="AO43" i="97"/>
  <c r="AP43" i="97" s="1"/>
  <c r="AR43" i="97" s="1"/>
  <c r="AK43" i="97"/>
  <c r="AL43" i="97" s="1"/>
  <c r="AN43" i="97" s="1"/>
  <c r="AG43" i="97"/>
  <c r="AH43" i="97" s="1"/>
  <c r="AJ43" i="97" s="1"/>
  <c r="AC43" i="97"/>
  <c r="AD43" i="97" s="1"/>
  <c r="AF43" i="97" s="1"/>
  <c r="Y43" i="97"/>
  <c r="Z43" i="97" s="1"/>
  <c r="AB43" i="97" s="1"/>
  <c r="U43" i="97"/>
  <c r="V43" i="97" s="1"/>
  <c r="X43" i="97" s="1"/>
  <c r="Q43" i="97"/>
  <c r="R43" i="97" s="1"/>
  <c r="T43" i="97" s="1"/>
  <c r="M43" i="97"/>
  <c r="N43" i="97" s="1"/>
  <c r="P43" i="97" s="1"/>
  <c r="I43" i="97"/>
  <c r="J43" i="97" s="1"/>
  <c r="L43" i="97" s="1"/>
  <c r="DU42" i="97"/>
  <c r="DV42" i="97" s="1"/>
  <c r="DX42" i="97" s="1"/>
  <c r="DQ42" i="97"/>
  <c r="DR42" i="97" s="1"/>
  <c r="DT42" i="97" s="1"/>
  <c r="DM42" i="97"/>
  <c r="DN42" i="97" s="1"/>
  <c r="DP42" i="97" s="1"/>
  <c r="DI42" i="97"/>
  <c r="DJ42" i="97" s="1"/>
  <c r="DL42" i="97" s="1"/>
  <c r="DE42" i="97"/>
  <c r="DF42" i="97" s="1"/>
  <c r="DH42" i="97" s="1"/>
  <c r="DA42" i="97"/>
  <c r="DB42" i="97" s="1"/>
  <c r="DD42" i="97" s="1"/>
  <c r="CW42" i="97"/>
  <c r="CX42" i="97" s="1"/>
  <c r="CZ42" i="97" s="1"/>
  <c r="CS42" i="97"/>
  <c r="CT42" i="97" s="1"/>
  <c r="CV42" i="97" s="1"/>
  <c r="CO42" i="97"/>
  <c r="CP42" i="97" s="1"/>
  <c r="CR42" i="97" s="1"/>
  <c r="CK42" i="97"/>
  <c r="CL42" i="97" s="1"/>
  <c r="CN42" i="97" s="1"/>
  <c r="CG42" i="97"/>
  <c r="CH42" i="97" s="1"/>
  <c r="CJ42" i="97" s="1"/>
  <c r="CC42" i="97"/>
  <c r="CD42" i="97" s="1"/>
  <c r="CF42" i="97" s="1"/>
  <c r="BY42" i="97"/>
  <c r="BZ42" i="97" s="1"/>
  <c r="CB42" i="97" s="1"/>
  <c r="BU42" i="97"/>
  <c r="BV42" i="97" s="1"/>
  <c r="BX42" i="97" s="1"/>
  <c r="BQ42" i="97"/>
  <c r="BR42" i="97" s="1"/>
  <c r="BT42" i="97" s="1"/>
  <c r="BM42" i="97"/>
  <c r="BN42" i="97" s="1"/>
  <c r="BP42" i="97" s="1"/>
  <c r="BI42" i="97"/>
  <c r="BJ42" i="97" s="1"/>
  <c r="BL42" i="97" s="1"/>
  <c r="BE42" i="97"/>
  <c r="BF42" i="97" s="1"/>
  <c r="BH42" i="97" s="1"/>
  <c r="BA42" i="97"/>
  <c r="BB42" i="97" s="1"/>
  <c r="BD42" i="97" s="1"/>
  <c r="AW42" i="97"/>
  <c r="AX42" i="97" s="1"/>
  <c r="AZ42" i="97" s="1"/>
  <c r="AS42" i="97"/>
  <c r="AT42" i="97" s="1"/>
  <c r="AV42" i="97" s="1"/>
  <c r="AO42" i="97"/>
  <c r="AP42" i="97" s="1"/>
  <c r="AR42" i="97" s="1"/>
  <c r="AK42" i="97"/>
  <c r="AL42" i="97" s="1"/>
  <c r="AN42" i="97" s="1"/>
  <c r="AG42" i="97"/>
  <c r="AH42" i="97" s="1"/>
  <c r="AJ42" i="97" s="1"/>
  <c r="AC42" i="97"/>
  <c r="AD42" i="97" s="1"/>
  <c r="AF42" i="97" s="1"/>
  <c r="Y42" i="97"/>
  <c r="Z42" i="97" s="1"/>
  <c r="AB42" i="97" s="1"/>
  <c r="U42" i="97"/>
  <c r="V42" i="97" s="1"/>
  <c r="X42" i="97" s="1"/>
  <c r="Q42" i="97"/>
  <c r="R42" i="97" s="1"/>
  <c r="T42" i="97" s="1"/>
  <c r="M42" i="97"/>
  <c r="N42" i="97" s="1"/>
  <c r="P42" i="97" s="1"/>
  <c r="I42" i="97"/>
  <c r="J42" i="97" s="1"/>
  <c r="L42" i="97" s="1"/>
  <c r="DU41" i="97"/>
  <c r="DV41" i="97" s="1"/>
  <c r="DX41" i="97" s="1"/>
  <c r="DQ41" i="97"/>
  <c r="DR41" i="97" s="1"/>
  <c r="DT41" i="97" s="1"/>
  <c r="DM41" i="97"/>
  <c r="DN41" i="97" s="1"/>
  <c r="DP41" i="97" s="1"/>
  <c r="DI41" i="97"/>
  <c r="DJ41" i="97" s="1"/>
  <c r="DL41" i="97" s="1"/>
  <c r="DE41" i="97"/>
  <c r="DF41" i="97" s="1"/>
  <c r="DH41" i="97" s="1"/>
  <c r="DA41" i="97"/>
  <c r="DB41" i="97" s="1"/>
  <c r="DD41" i="97" s="1"/>
  <c r="CW41" i="97"/>
  <c r="CX41" i="97" s="1"/>
  <c r="CZ41" i="97" s="1"/>
  <c r="CS41" i="97"/>
  <c r="CT41" i="97" s="1"/>
  <c r="CV41" i="97" s="1"/>
  <c r="CO41" i="97"/>
  <c r="CP41" i="97" s="1"/>
  <c r="CR41" i="97" s="1"/>
  <c r="CK41" i="97"/>
  <c r="CL41" i="97" s="1"/>
  <c r="CN41" i="97" s="1"/>
  <c r="CG41" i="97"/>
  <c r="CH41" i="97" s="1"/>
  <c r="CJ41" i="97" s="1"/>
  <c r="CC41" i="97"/>
  <c r="CD41" i="97" s="1"/>
  <c r="CF41" i="97" s="1"/>
  <c r="BY41" i="97"/>
  <c r="BZ41" i="97" s="1"/>
  <c r="CB41" i="97" s="1"/>
  <c r="BU41" i="97"/>
  <c r="BV41" i="97" s="1"/>
  <c r="BX41" i="97" s="1"/>
  <c r="BQ41" i="97"/>
  <c r="BR41" i="97" s="1"/>
  <c r="BT41" i="97" s="1"/>
  <c r="BM41" i="97"/>
  <c r="BN41" i="97" s="1"/>
  <c r="BP41" i="97" s="1"/>
  <c r="BI41" i="97"/>
  <c r="BJ41" i="97" s="1"/>
  <c r="BL41" i="97" s="1"/>
  <c r="BE41" i="97"/>
  <c r="BF41" i="97" s="1"/>
  <c r="BH41" i="97" s="1"/>
  <c r="BA41" i="97"/>
  <c r="BB41" i="97" s="1"/>
  <c r="BD41" i="97" s="1"/>
  <c r="AW41" i="97"/>
  <c r="AX41" i="97" s="1"/>
  <c r="AZ41" i="97" s="1"/>
  <c r="AS41" i="97"/>
  <c r="AT41" i="97" s="1"/>
  <c r="AV41" i="97" s="1"/>
  <c r="AO41" i="97"/>
  <c r="AP41" i="97" s="1"/>
  <c r="AR41" i="97" s="1"/>
  <c r="AK41" i="97"/>
  <c r="AL41" i="97" s="1"/>
  <c r="AN41" i="97" s="1"/>
  <c r="AG41" i="97"/>
  <c r="AH41" i="97" s="1"/>
  <c r="AJ41" i="97" s="1"/>
  <c r="AC41" i="97"/>
  <c r="AD41" i="97" s="1"/>
  <c r="AF41" i="97" s="1"/>
  <c r="Y41" i="97"/>
  <c r="Z41" i="97" s="1"/>
  <c r="AB41" i="97" s="1"/>
  <c r="U41" i="97"/>
  <c r="V41" i="97" s="1"/>
  <c r="X41" i="97" s="1"/>
  <c r="Q41" i="97"/>
  <c r="R41" i="97" s="1"/>
  <c r="T41" i="97" s="1"/>
  <c r="M41" i="97"/>
  <c r="N41" i="97" s="1"/>
  <c r="P41" i="97" s="1"/>
  <c r="I41" i="97"/>
  <c r="J41" i="97" s="1"/>
  <c r="L41" i="97" s="1"/>
  <c r="DU40" i="97"/>
  <c r="DV40" i="97" s="1"/>
  <c r="DX40" i="97" s="1"/>
  <c r="DQ40" i="97"/>
  <c r="DR40" i="97" s="1"/>
  <c r="DT40" i="97" s="1"/>
  <c r="DM40" i="97"/>
  <c r="DN40" i="97" s="1"/>
  <c r="DP40" i="97" s="1"/>
  <c r="DI40" i="97"/>
  <c r="DJ40" i="97" s="1"/>
  <c r="DL40" i="97" s="1"/>
  <c r="DE40" i="97"/>
  <c r="DF40" i="97" s="1"/>
  <c r="DH40" i="97" s="1"/>
  <c r="DA40" i="97"/>
  <c r="DB40" i="97" s="1"/>
  <c r="DD40" i="97" s="1"/>
  <c r="CW40" i="97"/>
  <c r="CX40" i="97" s="1"/>
  <c r="CZ40" i="97" s="1"/>
  <c r="CS40" i="97"/>
  <c r="CT40" i="97" s="1"/>
  <c r="CV40" i="97" s="1"/>
  <c r="CO40" i="97"/>
  <c r="CP40" i="97" s="1"/>
  <c r="CR40" i="97" s="1"/>
  <c r="CK40" i="97"/>
  <c r="CL40" i="97" s="1"/>
  <c r="CN40" i="97" s="1"/>
  <c r="CG40" i="97"/>
  <c r="CH40" i="97" s="1"/>
  <c r="CJ40" i="97" s="1"/>
  <c r="CC40" i="97"/>
  <c r="CD40" i="97" s="1"/>
  <c r="CF40" i="97" s="1"/>
  <c r="BY40" i="97"/>
  <c r="BZ40" i="97" s="1"/>
  <c r="CB40" i="97" s="1"/>
  <c r="BU40" i="97"/>
  <c r="BV40" i="97" s="1"/>
  <c r="BX40" i="97" s="1"/>
  <c r="BQ40" i="97"/>
  <c r="BR40" i="97" s="1"/>
  <c r="BT40" i="97" s="1"/>
  <c r="BM40" i="97"/>
  <c r="BN40" i="97" s="1"/>
  <c r="BP40" i="97" s="1"/>
  <c r="BI40" i="97"/>
  <c r="BJ40" i="97" s="1"/>
  <c r="BL40" i="97" s="1"/>
  <c r="BE40" i="97"/>
  <c r="BF40" i="97" s="1"/>
  <c r="BH40" i="97" s="1"/>
  <c r="BA40" i="97"/>
  <c r="BB40" i="97" s="1"/>
  <c r="BD40" i="97" s="1"/>
  <c r="AW40" i="97"/>
  <c r="AX40" i="97" s="1"/>
  <c r="AZ40" i="97" s="1"/>
  <c r="AS40" i="97"/>
  <c r="AT40" i="97" s="1"/>
  <c r="AV40" i="97" s="1"/>
  <c r="AO40" i="97"/>
  <c r="AP40" i="97" s="1"/>
  <c r="AR40" i="97" s="1"/>
  <c r="AK40" i="97"/>
  <c r="AL40" i="97" s="1"/>
  <c r="AN40" i="97" s="1"/>
  <c r="AG40" i="97"/>
  <c r="AH40" i="97" s="1"/>
  <c r="AJ40" i="97" s="1"/>
  <c r="AC40" i="97"/>
  <c r="AD40" i="97" s="1"/>
  <c r="AF40" i="97" s="1"/>
  <c r="Y40" i="97"/>
  <c r="Z40" i="97" s="1"/>
  <c r="AB40" i="97" s="1"/>
  <c r="U40" i="97"/>
  <c r="V40" i="97" s="1"/>
  <c r="X40" i="97" s="1"/>
  <c r="Q40" i="97"/>
  <c r="R40" i="97" s="1"/>
  <c r="T40" i="97" s="1"/>
  <c r="M40" i="97"/>
  <c r="N40" i="97" s="1"/>
  <c r="P40" i="97" s="1"/>
  <c r="I40" i="97"/>
  <c r="J40" i="97" s="1"/>
  <c r="L40" i="97" s="1"/>
  <c r="DU39" i="97"/>
  <c r="DV39" i="97" s="1"/>
  <c r="DX39" i="97" s="1"/>
  <c r="DQ39" i="97"/>
  <c r="DR39" i="97" s="1"/>
  <c r="DT39" i="97" s="1"/>
  <c r="DM39" i="97"/>
  <c r="DN39" i="97" s="1"/>
  <c r="DP39" i="97" s="1"/>
  <c r="DI39" i="97"/>
  <c r="DJ39" i="97" s="1"/>
  <c r="DL39" i="97" s="1"/>
  <c r="DE39" i="97"/>
  <c r="DF39" i="97" s="1"/>
  <c r="DH39" i="97" s="1"/>
  <c r="DA39" i="97"/>
  <c r="DB39" i="97" s="1"/>
  <c r="DD39" i="97" s="1"/>
  <c r="CW39" i="97"/>
  <c r="CX39" i="97" s="1"/>
  <c r="CZ39" i="97" s="1"/>
  <c r="CS39" i="97"/>
  <c r="CT39" i="97" s="1"/>
  <c r="CV39" i="97" s="1"/>
  <c r="CO39" i="97"/>
  <c r="CP39" i="97" s="1"/>
  <c r="CR39" i="97" s="1"/>
  <c r="CK39" i="97"/>
  <c r="CL39" i="97" s="1"/>
  <c r="CN39" i="97" s="1"/>
  <c r="CG39" i="97"/>
  <c r="CH39" i="97" s="1"/>
  <c r="CJ39" i="97" s="1"/>
  <c r="CC39" i="97"/>
  <c r="CD39" i="97" s="1"/>
  <c r="CF39" i="97" s="1"/>
  <c r="BY39" i="97"/>
  <c r="BZ39" i="97" s="1"/>
  <c r="CB39" i="97" s="1"/>
  <c r="BU39" i="97"/>
  <c r="BV39" i="97" s="1"/>
  <c r="BX39" i="97" s="1"/>
  <c r="BQ39" i="97"/>
  <c r="BR39" i="97" s="1"/>
  <c r="BT39" i="97" s="1"/>
  <c r="BM39" i="97"/>
  <c r="BN39" i="97" s="1"/>
  <c r="BP39" i="97" s="1"/>
  <c r="BI39" i="97"/>
  <c r="BJ39" i="97" s="1"/>
  <c r="BL39" i="97" s="1"/>
  <c r="BE39" i="97"/>
  <c r="BF39" i="97" s="1"/>
  <c r="BH39" i="97" s="1"/>
  <c r="BA39" i="97"/>
  <c r="BB39" i="97" s="1"/>
  <c r="BD39" i="97" s="1"/>
  <c r="AW39" i="97"/>
  <c r="AX39" i="97" s="1"/>
  <c r="AY39" i="97" s="1"/>
  <c r="AZ39" i="97" s="1"/>
  <c r="AS39" i="97"/>
  <c r="AT39" i="97" s="1"/>
  <c r="AV39" i="97" s="1"/>
  <c r="AO39" i="97"/>
  <c r="AP39" i="97" s="1"/>
  <c r="AR39" i="97" s="1"/>
  <c r="AK39" i="97"/>
  <c r="AL39" i="97" s="1"/>
  <c r="AN39" i="97" s="1"/>
  <c r="AG39" i="97"/>
  <c r="AH39" i="97" s="1"/>
  <c r="AJ39" i="97" s="1"/>
  <c r="AC39" i="97"/>
  <c r="AD39" i="97" s="1"/>
  <c r="AF39" i="97" s="1"/>
  <c r="Y39" i="97"/>
  <c r="Z39" i="97" s="1"/>
  <c r="AB39" i="97" s="1"/>
  <c r="U39" i="97"/>
  <c r="V39" i="97" s="1"/>
  <c r="X39" i="97" s="1"/>
  <c r="Q39" i="97"/>
  <c r="R39" i="97" s="1"/>
  <c r="S39" i="97" s="1"/>
  <c r="T39" i="97" s="1"/>
  <c r="M39" i="97"/>
  <c r="N39" i="97" s="1"/>
  <c r="P39" i="97" s="1"/>
  <c r="I39" i="97"/>
  <c r="J39" i="97" s="1"/>
  <c r="K39" i="97" s="1"/>
  <c r="L39" i="97" s="1"/>
  <c r="DU38" i="97"/>
  <c r="DV38" i="97" s="1"/>
  <c r="DX38" i="97" s="1"/>
  <c r="DQ38" i="97"/>
  <c r="DR38" i="97" s="1"/>
  <c r="DT38" i="97" s="1"/>
  <c r="DM38" i="97"/>
  <c r="DN38" i="97" s="1"/>
  <c r="DP38" i="97" s="1"/>
  <c r="DI38" i="97"/>
  <c r="DJ38" i="97" s="1"/>
  <c r="DL38" i="97" s="1"/>
  <c r="DE38" i="97"/>
  <c r="DF38" i="97" s="1"/>
  <c r="DH38" i="97" s="1"/>
  <c r="DA38" i="97"/>
  <c r="DB38" i="97" s="1"/>
  <c r="DD38" i="97" s="1"/>
  <c r="CW38" i="97"/>
  <c r="CX38" i="97" s="1"/>
  <c r="CZ38" i="97" s="1"/>
  <c r="CS38" i="97"/>
  <c r="CT38" i="97" s="1"/>
  <c r="CV38" i="97" s="1"/>
  <c r="CO38" i="97"/>
  <c r="CP38" i="97" s="1"/>
  <c r="CR38" i="97" s="1"/>
  <c r="CK38" i="97"/>
  <c r="CL38" i="97" s="1"/>
  <c r="CN38" i="97" s="1"/>
  <c r="CG38" i="97"/>
  <c r="CH38" i="97" s="1"/>
  <c r="CJ38" i="97" s="1"/>
  <c r="CC38" i="97"/>
  <c r="CD38" i="97" s="1"/>
  <c r="CF38" i="97" s="1"/>
  <c r="BY38" i="97"/>
  <c r="BZ38" i="97" s="1"/>
  <c r="CB38" i="97" s="1"/>
  <c r="BU38" i="97"/>
  <c r="BV38" i="97" s="1"/>
  <c r="BX38" i="97" s="1"/>
  <c r="BQ38" i="97"/>
  <c r="BR38" i="97" s="1"/>
  <c r="BT38" i="97" s="1"/>
  <c r="BM38" i="97"/>
  <c r="BN38" i="97" s="1"/>
  <c r="BP38" i="97" s="1"/>
  <c r="BI38" i="97"/>
  <c r="BJ38" i="97" s="1"/>
  <c r="BL38" i="97" s="1"/>
  <c r="BE38" i="97"/>
  <c r="BF38" i="97" s="1"/>
  <c r="BH38" i="97" s="1"/>
  <c r="BA38" i="97"/>
  <c r="BB38" i="97" s="1"/>
  <c r="BD38" i="97" s="1"/>
  <c r="AW38" i="97"/>
  <c r="AX38" i="97" s="1"/>
  <c r="AZ38" i="97" s="1"/>
  <c r="AS38" i="97"/>
  <c r="AT38" i="97" s="1"/>
  <c r="AV38" i="97" s="1"/>
  <c r="AO38" i="97"/>
  <c r="AP38" i="97" s="1"/>
  <c r="AR38" i="97" s="1"/>
  <c r="AK38" i="97"/>
  <c r="AL38" i="97" s="1"/>
  <c r="AN38" i="97" s="1"/>
  <c r="AG38" i="97"/>
  <c r="AH38" i="97" s="1"/>
  <c r="AJ38" i="97" s="1"/>
  <c r="AC38" i="97"/>
  <c r="AD38" i="97" s="1"/>
  <c r="AF38" i="97" s="1"/>
  <c r="Y38" i="97"/>
  <c r="Z38" i="97" s="1"/>
  <c r="AB38" i="97" s="1"/>
  <c r="U38" i="97"/>
  <c r="V38" i="97" s="1"/>
  <c r="X38" i="97" s="1"/>
  <c r="Q38" i="97"/>
  <c r="R38" i="97" s="1"/>
  <c r="T38" i="97" s="1"/>
  <c r="M38" i="97"/>
  <c r="N38" i="97" s="1"/>
  <c r="P38" i="97" s="1"/>
  <c r="I38" i="97"/>
  <c r="J38" i="97" s="1"/>
  <c r="L38" i="97" s="1"/>
  <c r="DU37" i="97"/>
  <c r="DV37" i="97" s="1"/>
  <c r="DX37" i="97" s="1"/>
  <c r="DU36" i="97"/>
  <c r="DV36" i="97" s="1"/>
  <c r="DX36" i="97" s="1"/>
  <c r="DU35" i="97"/>
  <c r="DV35" i="97" s="1"/>
  <c r="DX35" i="97" s="1"/>
  <c r="DU34" i="97"/>
  <c r="DV34" i="97" s="1"/>
  <c r="DX34" i="97" s="1"/>
  <c r="DU33" i="97"/>
  <c r="DV33" i="97" s="1"/>
  <c r="DX33" i="97" s="1"/>
  <c r="CC33" i="97"/>
  <c r="CD33" i="97" s="1"/>
  <c r="CF33" i="97" s="1"/>
  <c r="BM33" i="97"/>
  <c r="BN33" i="97" s="1"/>
  <c r="BP33" i="97" s="1"/>
  <c r="E33" i="97"/>
  <c r="F33" i="97" s="1"/>
  <c r="H33" i="97" s="1"/>
  <c r="DU32" i="97"/>
  <c r="DV32" i="97" s="1"/>
  <c r="DX32" i="97" s="1"/>
  <c r="DU31" i="97"/>
  <c r="DV31" i="97" s="1"/>
  <c r="DX31" i="97" s="1"/>
  <c r="DU30" i="97"/>
  <c r="DV30" i="97" s="1"/>
  <c r="DX30" i="97" s="1"/>
  <c r="DU29" i="97"/>
  <c r="DV29" i="97" s="1"/>
  <c r="DX29" i="97" s="1"/>
  <c r="DU28" i="97"/>
  <c r="DV28" i="97" s="1"/>
  <c r="DX28" i="97" s="1"/>
  <c r="DU27" i="97"/>
  <c r="DV27" i="97" s="1"/>
  <c r="DX27" i="97" s="1"/>
  <c r="DU26" i="97"/>
  <c r="DV26" i="97" s="1"/>
  <c r="DX26" i="97" s="1"/>
  <c r="DU25" i="97"/>
  <c r="DV25" i="97" s="1"/>
  <c r="DX25" i="97" s="1"/>
  <c r="CC25" i="97"/>
  <c r="CD25" i="97" s="1"/>
  <c r="CF25" i="97" s="1"/>
  <c r="DU24" i="97"/>
  <c r="DV24" i="97" s="1"/>
  <c r="DX24" i="97" s="1"/>
  <c r="DU23" i="97"/>
  <c r="DV23" i="97" s="1"/>
  <c r="DX23" i="97" s="1"/>
  <c r="DL23" i="97"/>
  <c r="DU22" i="97"/>
  <c r="DV22" i="97" s="1"/>
  <c r="DX22" i="97" s="1"/>
  <c r="AS22" i="97"/>
  <c r="AT22" i="97" s="1"/>
  <c r="AV22" i="97" s="1"/>
  <c r="AO22" i="97"/>
  <c r="AP22" i="97" s="1"/>
  <c r="AR22" i="97" s="1"/>
  <c r="AK22" i="97"/>
  <c r="AL22" i="97" s="1"/>
  <c r="AN22" i="97" s="1"/>
  <c r="AG22" i="97"/>
  <c r="AH22" i="97" s="1"/>
  <c r="AJ22" i="97" s="1"/>
  <c r="AC22" i="97"/>
  <c r="AD22" i="97" s="1"/>
  <c r="AF22" i="97" s="1"/>
  <c r="Y22" i="97"/>
  <c r="Z22" i="97" s="1"/>
  <c r="AB22" i="97" s="1"/>
  <c r="U22" i="97"/>
  <c r="V22" i="97" s="1"/>
  <c r="X22" i="97" s="1"/>
  <c r="Q22" i="97"/>
  <c r="R22" i="97" s="1"/>
  <c r="T22" i="97" s="1"/>
  <c r="M22" i="97"/>
  <c r="N22" i="97" s="1"/>
  <c r="P22" i="97" s="1"/>
  <c r="I22" i="97"/>
  <c r="J22" i="97" s="1"/>
  <c r="L22" i="97" s="1"/>
  <c r="DU21" i="97"/>
  <c r="DV21" i="97" s="1"/>
  <c r="DX21" i="97" s="1"/>
  <c r="DU20" i="97"/>
  <c r="DV20" i="97" s="1"/>
  <c r="DX20" i="97" s="1"/>
  <c r="I20" i="97"/>
  <c r="J20" i="97" s="1"/>
  <c r="L20" i="97" s="1"/>
  <c r="DU19" i="97"/>
  <c r="DV19" i="97" s="1"/>
  <c r="DX19" i="97" s="1"/>
  <c r="BE19" i="97"/>
  <c r="BF19" i="97" s="1"/>
  <c r="BG19" i="97" s="1"/>
  <c r="BH19" i="97" s="1"/>
  <c r="E19" i="97"/>
  <c r="F19" i="97" s="1"/>
  <c r="H19" i="97" s="1"/>
  <c r="DU18" i="97"/>
  <c r="DV18" i="97" s="1"/>
  <c r="DX18" i="97" s="1"/>
  <c r="DU17" i="97"/>
  <c r="DV17" i="97" s="1"/>
  <c r="DX17" i="97" s="1"/>
  <c r="CK17" i="97"/>
  <c r="CL17" i="97" s="1"/>
  <c r="CM17" i="97" s="1"/>
  <c r="CN17" i="97" s="1"/>
  <c r="AS17" i="97"/>
  <c r="AT17" i="97" s="1"/>
  <c r="AV17" i="97" s="1"/>
  <c r="DU16" i="97"/>
  <c r="DV16" i="97" s="1"/>
  <c r="DX16" i="97" s="1"/>
  <c r="E16" i="97"/>
  <c r="F16" i="97" s="1"/>
  <c r="H16" i="97" s="1"/>
  <c r="DU15" i="97"/>
  <c r="DV15" i="97" s="1"/>
  <c r="DX15" i="97" s="1"/>
  <c r="DU14" i="97"/>
  <c r="DV14" i="97" s="1"/>
  <c r="DX14" i="97" s="1"/>
  <c r="DU13" i="97"/>
  <c r="DV13" i="97" s="1"/>
  <c r="DX13" i="97" s="1"/>
  <c r="AC13" i="97"/>
  <c r="AD13" i="97" s="1"/>
  <c r="AF13" i="97" s="1"/>
  <c r="DU12" i="97"/>
  <c r="DV12" i="97" s="1"/>
  <c r="DX12" i="97" s="1"/>
  <c r="DQ12" i="97"/>
  <c r="DR12" i="97" s="1"/>
  <c r="DT12" i="97" s="1"/>
  <c r="DM12" i="97"/>
  <c r="DN12" i="97" s="1"/>
  <c r="DP12" i="97" s="1"/>
  <c r="DI12" i="97"/>
  <c r="DJ12" i="97" s="1"/>
  <c r="DL12" i="97" s="1"/>
  <c r="DE12" i="97"/>
  <c r="DF12" i="97" s="1"/>
  <c r="DH12" i="97" s="1"/>
  <c r="DA12" i="97"/>
  <c r="DB12" i="97" s="1"/>
  <c r="DD12" i="97" s="1"/>
  <c r="CW12" i="97"/>
  <c r="CX12" i="97" s="1"/>
  <c r="CZ12" i="97" s="1"/>
  <c r="CS12" i="97"/>
  <c r="CT12" i="97" s="1"/>
  <c r="CV12" i="97" s="1"/>
  <c r="CO12" i="97"/>
  <c r="CP12" i="97" s="1"/>
  <c r="CR12" i="97" s="1"/>
  <c r="CK12" i="97"/>
  <c r="CL12" i="97" s="1"/>
  <c r="CN12" i="97" s="1"/>
  <c r="DU11" i="97"/>
  <c r="DV11" i="97" s="1"/>
  <c r="DX11" i="97" s="1"/>
  <c r="DU10" i="97"/>
  <c r="DV10" i="97" s="1"/>
  <c r="DX10" i="97" s="1"/>
  <c r="DU9" i="97"/>
  <c r="DV9" i="97" s="1"/>
  <c r="DX9" i="97" s="1"/>
  <c r="CG9" i="97"/>
  <c r="CH9" i="97" s="1"/>
  <c r="CJ9" i="97" s="1"/>
  <c r="E9" i="97"/>
  <c r="F9" i="97" s="1"/>
  <c r="H9" i="97" s="1"/>
  <c r="DU8" i="97"/>
  <c r="DV8" i="97" s="1"/>
  <c r="DX8" i="97" s="1"/>
  <c r="DU7" i="97"/>
  <c r="DV7" i="97" s="1"/>
  <c r="DX7" i="97" s="1"/>
  <c r="DY7" i="97" s="1"/>
  <c r="DU6" i="97"/>
  <c r="DV6" i="97" s="1"/>
  <c r="DX6" i="97" s="1"/>
  <c r="DU5" i="97"/>
  <c r="DV5" i="97" s="1"/>
  <c r="DX5" i="97" s="1"/>
  <c r="DU4" i="97"/>
  <c r="DV4" i="97" s="1"/>
  <c r="DX4" i="97" s="1"/>
  <c r="CC4" i="97"/>
  <c r="CD4" i="97" s="1"/>
  <c r="CF4" i="97" s="1"/>
  <c r="BY4" i="97"/>
  <c r="BZ4" i="97" s="1"/>
  <c r="CB4" i="97" s="1"/>
  <c r="BU4" i="97"/>
  <c r="BV4" i="97" s="1"/>
  <c r="BX4" i="97" s="1"/>
  <c r="BQ4" i="97"/>
  <c r="BR4" i="97" s="1"/>
  <c r="BT4" i="97" s="1"/>
  <c r="BM4" i="97"/>
  <c r="BN4" i="97" s="1"/>
  <c r="BP4" i="97" s="1"/>
  <c r="BI4" i="97"/>
  <c r="BJ4" i="97" s="1"/>
  <c r="BL4" i="97" s="1"/>
  <c r="BE4" i="97"/>
  <c r="BF4" i="97" s="1"/>
  <c r="BH4" i="97" s="1"/>
  <c r="DU3" i="97"/>
  <c r="DV3" i="97" s="1"/>
  <c r="DX3" i="97" s="1"/>
  <c r="CG3" i="97"/>
  <c r="CH3" i="97" s="1"/>
  <c r="CJ3" i="97" s="1"/>
  <c r="T68" i="96"/>
  <c r="O68" i="96"/>
  <c r="K68" i="96"/>
  <c r="J68" i="96"/>
  <c r="AI65" i="96"/>
  <c r="AI64" i="96"/>
  <c r="H64" i="96"/>
  <c r="G64" i="96"/>
  <c r="F64" i="96"/>
  <c r="E64" i="96"/>
  <c r="D64" i="96"/>
  <c r="C64" i="96"/>
  <c r="B64" i="96"/>
  <c r="AE49" i="96"/>
  <c r="DQ30" i="97" s="1"/>
  <c r="DR30" i="97" s="1"/>
  <c r="DT30" i="97" s="1"/>
  <c r="Y49" i="96"/>
  <c r="CS30" i="97" s="1"/>
  <c r="CT30" i="97" s="1"/>
  <c r="CV30" i="97" s="1"/>
  <c r="U49" i="96"/>
  <c r="CC30" i="97" s="1"/>
  <c r="CD30" i="97" s="1"/>
  <c r="CE30" i="97" s="1"/>
  <c r="CF30" i="97" s="1"/>
  <c r="T49" i="96"/>
  <c r="BY30" i="97" s="1"/>
  <c r="BZ30" i="97" s="1"/>
  <c r="CB30" i="97" s="1"/>
  <c r="S49" i="96"/>
  <c r="BU30" i="97" s="1"/>
  <c r="BV30" i="97" s="1"/>
  <c r="BX30" i="97" s="1"/>
  <c r="R49" i="96"/>
  <c r="BQ30" i="97" s="1"/>
  <c r="BR30" i="97" s="1"/>
  <c r="BT30" i="97" s="1"/>
  <c r="Q49" i="96"/>
  <c r="BM30" i="97" s="1"/>
  <c r="BN30" i="97" s="1"/>
  <c r="BP30" i="97" s="1"/>
  <c r="P49" i="96"/>
  <c r="BI30" i="97" s="1"/>
  <c r="BJ30" i="97" s="1"/>
  <c r="BL30" i="97" s="1"/>
  <c r="O49" i="96"/>
  <c r="BE30" i="97" s="1"/>
  <c r="BF30" i="97" s="1"/>
  <c r="BG30" i="97" s="1"/>
  <c r="BH30" i="97" s="1"/>
  <c r="N49" i="96"/>
  <c r="BA30" i="97" s="1"/>
  <c r="BB30" i="97" s="1"/>
  <c r="BD30" i="97" s="1"/>
  <c r="F49" i="96"/>
  <c r="U30" i="97" s="1"/>
  <c r="V30" i="97" s="1"/>
  <c r="X30" i="97" s="1"/>
  <c r="AE48" i="96"/>
  <c r="AD48" i="96"/>
  <c r="AC48" i="96"/>
  <c r="AB48" i="96"/>
  <c r="AA48" i="96"/>
  <c r="Z48" i="96"/>
  <c r="Y48" i="96"/>
  <c r="X48" i="96"/>
  <c r="W48" i="96"/>
  <c r="V48" i="96"/>
  <c r="U48" i="96"/>
  <c r="T48" i="96"/>
  <c r="S48" i="96"/>
  <c r="R48" i="96"/>
  <c r="Q48" i="96"/>
  <c r="P48" i="96"/>
  <c r="O48" i="96"/>
  <c r="N48" i="96"/>
  <c r="L48" i="96"/>
  <c r="K48" i="96"/>
  <c r="J48" i="96"/>
  <c r="I48" i="96"/>
  <c r="H48" i="96"/>
  <c r="G48" i="96"/>
  <c r="F48" i="96"/>
  <c r="E48" i="96"/>
  <c r="D48" i="96"/>
  <c r="C48" i="96"/>
  <c r="B48" i="96"/>
  <c r="AE47" i="96"/>
  <c r="DQ54" i="97" s="1"/>
  <c r="DR54" i="97" s="1"/>
  <c r="DT54" i="97" s="1"/>
  <c r="AD47" i="96"/>
  <c r="DM54" i="97" s="1"/>
  <c r="DN54" i="97" s="1"/>
  <c r="DP54" i="97" s="1"/>
  <c r="AC47" i="96"/>
  <c r="DI54" i="97" s="1"/>
  <c r="DJ54" i="97" s="1"/>
  <c r="DL54" i="97" s="1"/>
  <c r="AB47" i="96"/>
  <c r="DE54" i="97" s="1"/>
  <c r="DF54" i="97" s="1"/>
  <c r="DH54" i="97" s="1"/>
  <c r="AA47" i="96"/>
  <c r="DA54" i="97" s="1"/>
  <c r="DB54" i="97" s="1"/>
  <c r="DD54" i="97" s="1"/>
  <c r="Z47" i="96"/>
  <c r="CW54" i="97" s="1"/>
  <c r="CX54" i="97" s="1"/>
  <c r="CZ54" i="97" s="1"/>
  <c r="Y47" i="96"/>
  <c r="CS54" i="97" s="1"/>
  <c r="CT54" i="97" s="1"/>
  <c r="CV54" i="97" s="1"/>
  <c r="X47" i="96"/>
  <c r="CO54" i="97" s="1"/>
  <c r="CP54" i="97" s="1"/>
  <c r="CR54" i="97" s="1"/>
  <c r="W47" i="96"/>
  <c r="CK54" i="97" s="1"/>
  <c r="CL54" i="97" s="1"/>
  <c r="CN54" i="97" s="1"/>
  <c r="V47" i="96"/>
  <c r="CG54" i="97" s="1"/>
  <c r="CH54" i="97" s="1"/>
  <c r="CJ54" i="97" s="1"/>
  <c r="U47" i="96"/>
  <c r="CC54" i="97" s="1"/>
  <c r="CD54" i="97" s="1"/>
  <c r="CF54" i="97" s="1"/>
  <c r="T47" i="96"/>
  <c r="BY54" i="97" s="1"/>
  <c r="BZ54" i="97" s="1"/>
  <c r="CB54" i="97" s="1"/>
  <c r="S47" i="96"/>
  <c r="BU54" i="97" s="1"/>
  <c r="BV54" i="97" s="1"/>
  <c r="BX54" i="97" s="1"/>
  <c r="R47" i="96"/>
  <c r="BQ54" i="97" s="1"/>
  <c r="BR54" i="97" s="1"/>
  <c r="BT54" i="97" s="1"/>
  <c r="Q47" i="96"/>
  <c r="BM54" i="97" s="1"/>
  <c r="BN54" i="97" s="1"/>
  <c r="BP54" i="97" s="1"/>
  <c r="P47" i="96"/>
  <c r="BI54" i="97" s="1"/>
  <c r="BJ54" i="97" s="1"/>
  <c r="BL54" i="97" s="1"/>
  <c r="O47" i="96"/>
  <c r="BE54" i="97" s="1"/>
  <c r="BF54" i="97" s="1"/>
  <c r="BH54" i="97" s="1"/>
  <c r="N47" i="96"/>
  <c r="BA54" i="97" s="1"/>
  <c r="BB54" i="97" s="1"/>
  <c r="BD54" i="97" s="1"/>
  <c r="L47" i="96"/>
  <c r="AS54" i="97" s="1"/>
  <c r="AT54" i="97" s="1"/>
  <c r="AV54" i="97" s="1"/>
  <c r="K47" i="96"/>
  <c r="AO54" i="97" s="1"/>
  <c r="AP54" i="97" s="1"/>
  <c r="AR54" i="97" s="1"/>
  <c r="J47" i="96"/>
  <c r="AK54" i="97" s="1"/>
  <c r="AL54" i="97" s="1"/>
  <c r="AN54" i="97" s="1"/>
  <c r="I47" i="96"/>
  <c r="AG54" i="97" s="1"/>
  <c r="AH54" i="97" s="1"/>
  <c r="AJ54" i="97" s="1"/>
  <c r="F47" i="96"/>
  <c r="U54" i="97" s="1"/>
  <c r="V54" i="97" s="1"/>
  <c r="X54" i="97" s="1"/>
  <c r="E47" i="96"/>
  <c r="Q54" i="97" s="1"/>
  <c r="R54" i="97" s="1"/>
  <c r="T54" i="97" s="1"/>
  <c r="D47" i="96"/>
  <c r="M54" i="97" s="1"/>
  <c r="N54" i="97" s="1"/>
  <c r="P54" i="97" s="1"/>
  <c r="C47" i="96"/>
  <c r="I54" i="97" s="1"/>
  <c r="J54" i="97" s="1"/>
  <c r="L54" i="97" s="1"/>
  <c r="B47" i="96"/>
  <c r="AE46" i="96"/>
  <c r="DQ53" i="97" s="1"/>
  <c r="DR53" i="97" s="1"/>
  <c r="DT53" i="97" s="1"/>
  <c r="AD46" i="96"/>
  <c r="DM53" i="97" s="1"/>
  <c r="DN53" i="97" s="1"/>
  <c r="DP53" i="97" s="1"/>
  <c r="AC46" i="96"/>
  <c r="DI53" i="97" s="1"/>
  <c r="DJ53" i="97" s="1"/>
  <c r="DL53" i="97" s="1"/>
  <c r="AB46" i="96"/>
  <c r="DE53" i="97" s="1"/>
  <c r="DF53" i="97" s="1"/>
  <c r="DH53" i="97" s="1"/>
  <c r="AA46" i="96"/>
  <c r="DA53" i="97" s="1"/>
  <c r="DB53" i="97" s="1"/>
  <c r="DD53" i="97" s="1"/>
  <c r="Z46" i="96"/>
  <c r="CW53" i="97" s="1"/>
  <c r="CX53" i="97" s="1"/>
  <c r="CZ53" i="97" s="1"/>
  <c r="Y46" i="96"/>
  <c r="CS53" i="97" s="1"/>
  <c r="CT53" i="97" s="1"/>
  <c r="CV53" i="97" s="1"/>
  <c r="X46" i="96"/>
  <c r="CO53" i="97" s="1"/>
  <c r="CP53" i="97" s="1"/>
  <c r="CR53" i="97" s="1"/>
  <c r="W46" i="96"/>
  <c r="CK53" i="97" s="1"/>
  <c r="CL53" i="97" s="1"/>
  <c r="CN53" i="97" s="1"/>
  <c r="U46" i="96"/>
  <c r="CC53" i="97" s="1"/>
  <c r="CD53" i="97" s="1"/>
  <c r="CF53" i="97" s="1"/>
  <c r="T46" i="96"/>
  <c r="BY53" i="97" s="1"/>
  <c r="BZ53" i="97" s="1"/>
  <c r="CB53" i="97" s="1"/>
  <c r="S46" i="96"/>
  <c r="BU53" i="97" s="1"/>
  <c r="BV53" i="97" s="1"/>
  <c r="BX53" i="97" s="1"/>
  <c r="R46" i="96"/>
  <c r="BQ53" i="97" s="1"/>
  <c r="BR53" i="97" s="1"/>
  <c r="BT53" i="97" s="1"/>
  <c r="Q46" i="96"/>
  <c r="BM53" i="97" s="1"/>
  <c r="BN53" i="97" s="1"/>
  <c r="BP53" i="97" s="1"/>
  <c r="P46" i="96"/>
  <c r="BI53" i="97" s="1"/>
  <c r="BJ53" i="97" s="1"/>
  <c r="BL53" i="97" s="1"/>
  <c r="O46" i="96"/>
  <c r="BE53" i="97" s="1"/>
  <c r="BF53" i="97" s="1"/>
  <c r="BH53" i="97" s="1"/>
  <c r="M46" i="96"/>
  <c r="AW53" i="97" s="1"/>
  <c r="AX53" i="97" s="1"/>
  <c r="AZ53" i="97" s="1"/>
  <c r="L46" i="96"/>
  <c r="AS53" i="97" s="1"/>
  <c r="AT53" i="97" s="1"/>
  <c r="AV53" i="97" s="1"/>
  <c r="K46" i="96"/>
  <c r="AO53" i="97" s="1"/>
  <c r="AP53" i="97" s="1"/>
  <c r="AR53" i="97" s="1"/>
  <c r="J46" i="96"/>
  <c r="AK53" i="97" s="1"/>
  <c r="AL53" i="97" s="1"/>
  <c r="AN53" i="97" s="1"/>
  <c r="I46" i="96"/>
  <c r="AG53" i="97" s="1"/>
  <c r="AH53" i="97" s="1"/>
  <c r="AJ53" i="97" s="1"/>
  <c r="H46" i="96"/>
  <c r="AC53" i="97" s="1"/>
  <c r="AD53" i="97" s="1"/>
  <c r="AF53" i="97" s="1"/>
  <c r="F46" i="96"/>
  <c r="U53" i="97" s="1"/>
  <c r="V53" i="97" s="1"/>
  <c r="X53" i="97" s="1"/>
  <c r="E46" i="96"/>
  <c r="Q53" i="97" s="1"/>
  <c r="R53" i="97" s="1"/>
  <c r="T53" i="97" s="1"/>
  <c r="D46" i="96"/>
  <c r="M53" i="97" s="1"/>
  <c r="N53" i="97" s="1"/>
  <c r="P53" i="97" s="1"/>
  <c r="C46" i="96"/>
  <c r="I53" i="97" s="1"/>
  <c r="J53" i="97" s="1"/>
  <c r="L53" i="97" s="1"/>
  <c r="B46" i="96"/>
  <c r="AE45" i="96"/>
  <c r="DQ37" i="97" s="1"/>
  <c r="DR37" i="97" s="1"/>
  <c r="DT37" i="97" s="1"/>
  <c r="AD45" i="96"/>
  <c r="DM37" i="97" s="1"/>
  <c r="DN37" i="97" s="1"/>
  <c r="DP37" i="97" s="1"/>
  <c r="AC45" i="96"/>
  <c r="DI37" i="97" s="1"/>
  <c r="DJ37" i="97" s="1"/>
  <c r="DL37" i="97" s="1"/>
  <c r="AB45" i="96"/>
  <c r="DE37" i="97" s="1"/>
  <c r="DF37" i="97" s="1"/>
  <c r="DH37" i="97" s="1"/>
  <c r="AA45" i="96"/>
  <c r="DA37" i="97" s="1"/>
  <c r="DB37" i="97" s="1"/>
  <c r="DD37" i="97" s="1"/>
  <c r="Z45" i="96"/>
  <c r="CW37" i="97" s="1"/>
  <c r="CX37" i="97" s="1"/>
  <c r="CZ37" i="97" s="1"/>
  <c r="Y45" i="96"/>
  <c r="CS37" i="97" s="1"/>
  <c r="CT37" i="97" s="1"/>
  <c r="CV37" i="97" s="1"/>
  <c r="X45" i="96"/>
  <c r="CO37" i="97" s="1"/>
  <c r="CP37" i="97" s="1"/>
  <c r="CR37" i="97" s="1"/>
  <c r="W45" i="96"/>
  <c r="CK37" i="97" s="1"/>
  <c r="CL37" i="97" s="1"/>
  <c r="CN37" i="97" s="1"/>
  <c r="U45" i="96"/>
  <c r="CC37" i="97" s="1"/>
  <c r="CD37" i="97" s="1"/>
  <c r="CF37" i="97" s="1"/>
  <c r="T45" i="96"/>
  <c r="BY37" i="97" s="1"/>
  <c r="BZ37" i="97" s="1"/>
  <c r="CB37" i="97" s="1"/>
  <c r="S45" i="96"/>
  <c r="BU37" i="97" s="1"/>
  <c r="BV37" i="97" s="1"/>
  <c r="BX37" i="97" s="1"/>
  <c r="R45" i="96"/>
  <c r="BQ37" i="97" s="1"/>
  <c r="BR37" i="97" s="1"/>
  <c r="BT37" i="97" s="1"/>
  <c r="Q45" i="96"/>
  <c r="BM37" i="97" s="1"/>
  <c r="BN37" i="97" s="1"/>
  <c r="BP37" i="97" s="1"/>
  <c r="P45" i="96"/>
  <c r="BI37" i="97" s="1"/>
  <c r="BJ37" i="97" s="1"/>
  <c r="BL37" i="97" s="1"/>
  <c r="N45" i="96"/>
  <c r="BA37" i="97" s="1"/>
  <c r="BB37" i="97" s="1"/>
  <c r="BD37" i="97" s="1"/>
  <c r="M45" i="96"/>
  <c r="AW37" i="97" s="1"/>
  <c r="AX37" i="97" s="1"/>
  <c r="AZ37" i="97" s="1"/>
  <c r="L45" i="96"/>
  <c r="AS37" i="97" s="1"/>
  <c r="AT37" i="97" s="1"/>
  <c r="AV37" i="97" s="1"/>
  <c r="K45" i="96"/>
  <c r="AO37" i="97" s="1"/>
  <c r="AP37" i="97" s="1"/>
  <c r="AR37" i="97" s="1"/>
  <c r="J45" i="96"/>
  <c r="AK37" i="97" s="1"/>
  <c r="AL37" i="97" s="1"/>
  <c r="AN37" i="97" s="1"/>
  <c r="I45" i="96"/>
  <c r="AG37" i="97" s="1"/>
  <c r="AH37" i="97" s="1"/>
  <c r="AJ37" i="97" s="1"/>
  <c r="H45" i="96"/>
  <c r="AC37" i="97" s="1"/>
  <c r="AD37" i="97" s="1"/>
  <c r="AF37" i="97" s="1"/>
  <c r="G45" i="96"/>
  <c r="Y37" i="97" s="1"/>
  <c r="Z37" i="97" s="1"/>
  <c r="AB37" i="97" s="1"/>
  <c r="F45" i="96"/>
  <c r="U37" i="97" s="1"/>
  <c r="V37" i="97" s="1"/>
  <c r="X37" i="97" s="1"/>
  <c r="E45" i="96"/>
  <c r="Q37" i="97" s="1"/>
  <c r="R37" i="97" s="1"/>
  <c r="T37" i="97" s="1"/>
  <c r="D45" i="96"/>
  <c r="M37" i="97" s="1"/>
  <c r="N37" i="97" s="1"/>
  <c r="P37" i="97" s="1"/>
  <c r="C45" i="96"/>
  <c r="I37" i="97" s="1"/>
  <c r="J37" i="97" s="1"/>
  <c r="L37" i="97" s="1"/>
  <c r="B45" i="96"/>
  <c r="AE44" i="96"/>
  <c r="AD44" i="96"/>
  <c r="AC44" i="96"/>
  <c r="AB44" i="96"/>
  <c r="AA44" i="96"/>
  <c r="Z44" i="96"/>
  <c r="Y44" i="96"/>
  <c r="X44" i="96"/>
  <c r="W44" i="96"/>
  <c r="U44" i="96"/>
  <c r="T44" i="96"/>
  <c r="S44" i="96"/>
  <c r="R44" i="96"/>
  <c r="Q44" i="96"/>
  <c r="P44" i="96"/>
  <c r="N44" i="96"/>
  <c r="M44" i="96"/>
  <c r="L44" i="96"/>
  <c r="K44" i="96"/>
  <c r="J44" i="96"/>
  <c r="I44" i="96"/>
  <c r="H44" i="96"/>
  <c r="G44" i="96"/>
  <c r="AE43" i="96"/>
  <c r="DQ35" i="97" s="1"/>
  <c r="DR35" i="97" s="1"/>
  <c r="DT35" i="97" s="1"/>
  <c r="AD43" i="96"/>
  <c r="DM35" i="97" s="1"/>
  <c r="DN35" i="97" s="1"/>
  <c r="DP35" i="97" s="1"/>
  <c r="AC43" i="96"/>
  <c r="DI35" i="97" s="1"/>
  <c r="DJ35" i="97" s="1"/>
  <c r="DL35" i="97" s="1"/>
  <c r="AB43" i="96"/>
  <c r="DE35" i="97" s="1"/>
  <c r="DF35" i="97" s="1"/>
  <c r="DH35" i="97" s="1"/>
  <c r="AA43" i="96"/>
  <c r="DA35" i="97" s="1"/>
  <c r="DB35" i="97" s="1"/>
  <c r="DD35" i="97" s="1"/>
  <c r="Z43" i="96"/>
  <c r="CW35" i="97" s="1"/>
  <c r="CX35" i="97" s="1"/>
  <c r="CZ35" i="97" s="1"/>
  <c r="Y43" i="96"/>
  <c r="CS35" i="97" s="1"/>
  <c r="CT35" i="97" s="1"/>
  <c r="CV35" i="97" s="1"/>
  <c r="X43" i="96"/>
  <c r="CO35" i="97" s="1"/>
  <c r="CP35" i="97" s="1"/>
  <c r="CR35" i="97" s="1"/>
  <c r="W43" i="96"/>
  <c r="CK35" i="97" s="1"/>
  <c r="CL35" i="97" s="1"/>
  <c r="CN35" i="97" s="1"/>
  <c r="U43" i="96"/>
  <c r="CC35" i="97" s="1"/>
  <c r="CD35" i="97" s="1"/>
  <c r="CF35" i="97" s="1"/>
  <c r="T43" i="96"/>
  <c r="BY35" i="97" s="1"/>
  <c r="BZ35" i="97" s="1"/>
  <c r="CA35" i="97" s="1"/>
  <c r="CB35" i="97" s="1"/>
  <c r="S43" i="96"/>
  <c r="BU35" i="97" s="1"/>
  <c r="BV35" i="97" s="1"/>
  <c r="BX35" i="97" s="1"/>
  <c r="R43" i="96"/>
  <c r="BQ35" i="97" s="1"/>
  <c r="BR35" i="97" s="1"/>
  <c r="BT35" i="97" s="1"/>
  <c r="Q43" i="96"/>
  <c r="BM35" i="97" s="1"/>
  <c r="BN35" i="97" s="1"/>
  <c r="BP35" i="97" s="1"/>
  <c r="P43" i="96"/>
  <c r="BI35" i="97" s="1"/>
  <c r="BJ35" i="97" s="1"/>
  <c r="BL35" i="97" s="1"/>
  <c r="N43" i="96"/>
  <c r="BA35" i="97" s="1"/>
  <c r="BB35" i="97" s="1"/>
  <c r="BD35" i="97" s="1"/>
  <c r="M43" i="96"/>
  <c r="AW35" i="97" s="1"/>
  <c r="AX35" i="97" s="1"/>
  <c r="AZ35" i="97" s="1"/>
  <c r="L43" i="96"/>
  <c r="AS35" i="97" s="1"/>
  <c r="AT35" i="97" s="1"/>
  <c r="AV35" i="97" s="1"/>
  <c r="K43" i="96"/>
  <c r="AO35" i="97" s="1"/>
  <c r="AP35" i="97" s="1"/>
  <c r="AR35" i="97" s="1"/>
  <c r="J43" i="96"/>
  <c r="AK35" i="97" s="1"/>
  <c r="AL35" i="97" s="1"/>
  <c r="AN35" i="97" s="1"/>
  <c r="I43" i="96"/>
  <c r="AG35" i="97" s="1"/>
  <c r="AH35" i="97" s="1"/>
  <c r="AJ35" i="97" s="1"/>
  <c r="H43" i="96"/>
  <c r="AC35" i="97" s="1"/>
  <c r="AD35" i="97" s="1"/>
  <c r="AF35" i="97" s="1"/>
  <c r="G43" i="96"/>
  <c r="Y35" i="97" s="1"/>
  <c r="Z35" i="97" s="1"/>
  <c r="AB35" i="97" s="1"/>
  <c r="F43" i="96"/>
  <c r="U35" i="97" s="1"/>
  <c r="V35" i="97" s="1"/>
  <c r="X35" i="97" s="1"/>
  <c r="E43" i="96"/>
  <c r="Q35" i="97" s="1"/>
  <c r="R35" i="97" s="1"/>
  <c r="T35" i="97" s="1"/>
  <c r="D43" i="96"/>
  <c r="M35" i="97" s="1"/>
  <c r="N35" i="97" s="1"/>
  <c r="P35" i="97" s="1"/>
  <c r="C43" i="96"/>
  <c r="I35" i="97" s="1"/>
  <c r="J35" i="97" s="1"/>
  <c r="L35" i="97" s="1"/>
  <c r="B43" i="96"/>
  <c r="AE42" i="96"/>
  <c r="DQ34" i="97" s="1"/>
  <c r="DR34" i="97" s="1"/>
  <c r="DT34" i="97" s="1"/>
  <c r="AD42" i="96"/>
  <c r="DM34" i="97" s="1"/>
  <c r="DN34" i="97" s="1"/>
  <c r="DP34" i="97" s="1"/>
  <c r="AC42" i="96"/>
  <c r="DI34" i="97" s="1"/>
  <c r="DJ34" i="97" s="1"/>
  <c r="DL34" i="97" s="1"/>
  <c r="AB42" i="96"/>
  <c r="DE34" i="97" s="1"/>
  <c r="DF34" i="97" s="1"/>
  <c r="DH34" i="97" s="1"/>
  <c r="AA42" i="96"/>
  <c r="DA34" i="97" s="1"/>
  <c r="DB34" i="97" s="1"/>
  <c r="DD34" i="97" s="1"/>
  <c r="Z42" i="96"/>
  <c r="CW34" i="97" s="1"/>
  <c r="CX34" i="97" s="1"/>
  <c r="CZ34" i="97" s="1"/>
  <c r="Y42" i="96"/>
  <c r="CS34" i="97" s="1"/>
  <c r="CT34" i="97" s="1"/>
  <c r="CV34" i="97" s="1"/>
  <c r="X42" i="96"/>
  <c r="CO34" i="97" s="1"/>
  <c r="CP34" i="97" s="1"/>
  <c r="CR34" i="97" s="1"/>
  <c r="W42" i="96"/>
  <c r="CK34" i="97" s="1"/>
  <c r="CL34" i="97" s="1"/>
  <c r="CN34" i="97" s="1"/>
  <c r="U42" i="96"/>
  <c r="CC34" i="97" s="1"/>
  <c r="CD34" i="97" s="1"/>
  <c r="CF34" i="97" s="1"/>
  <c r="T42" i="96"/>
  <c r="BY34" i="97" s="1"/>
  <c r="BZ34" i="97" s="1"/>
  <c r="CB34" i="97" s="1"/>
  <c r="S42" i="96"/>
  <c r="BU34" i="97" s="1"/>
  <c r="BV34" i="97" s="1"/>
  <c r="BX34" i="97" s="1"/>
  <c r="R42" i="96"/>
  <c r="BQ34" i="97" s="1"/>
  <c r="BR34" i="97" s="1"/>
  <c r="BT34" i="97" s="1"/>
  <c r="Q42" i="96"/>
  <c r="BM34" i="97" s="1"/>
  <c r="BN34" i="97" s="1"/>
  <c r="BP34" i="97" s="1"/>
  <c r="P42" i="96"/>
  <c r="BI34" i="97" s="1"/>
  <c r="BJ34" i="97" s="1"/>
  <c r="BL34" i="97" s="1"/>
  <c r="M42" i="96"/>
  <c r="AW34" i="97" s="1"/>
  <c r="AX34" i="97" s="1"/>
  <c r="AZ34" i="97" s="1"/>
  <c r="L42" i="96"/>
  <c r="AS34" i="97" s="1"/>
  <c r="AT34" i="97" s="1"/>
  <c r="AV34" i="97" s="1"/>
  <c r="K42" i="96"/>
  <c r="AO34" i="97" s="1"/>
  <c r="AP34" i="97" s="1"/>
  <c r="AR34" i="97" s="1"/>
  <c r="J42" i="96"/>
  <c r="AK34" i="97" s="1"/>
  <c r="AL34" i="97" s="1"/>
  <c r="AN34" i="97" s="1"/>
  <c r="I42" i="96"/>
  <c r="AG34" i="97" s="1"/>
  <c r="AH34" i="97" s="1"/>
  <c r="AJ34" i="97" s="1"/>
  <c r="H42" i="96"/>
  <c r="AC34" i="97" s="1"/>
  <c r="AD34" i="97" s="1"/>
  <c r="AF34" i="97" s="1"/>
  <c r="G42" i="96"/>
  <c r="Y34" i="97" s="1"/>
  <c r="Z34" i="97" s="1"/>
  <c r="AB34" i="97" s="1"/>
  <c r="F42" i="96"/>
  <c r="U34" i="97" s="1"/>
  <c r="V34" i="97" s="1"/>
  <c r="X34" i="97" s="1"/>
  <c r="E42" i="96"/>
  <c r="Q34" i="97" s="1"/>
  <c r="R34" i="97" s="1"/>
  <c r="T34" i="97" s="1"/>
  <c r="D42" i="96"/>
  <c r="M34" i="97" s="1"/>
  <c r="N34" i="97" s="1"/>
  <c r="P34" i="97" s="1"/>
  <c r="C42" i="96"/>
  <c r="I34" i="97" s="1"/>
  <c r="J34" i="97" s="1"/>
  <c r="L34" i="97" s="1"/>
  <c r="B42" i="96"/>
  <c r="AE41" i="96"/>
  <c r="DQ33" i="97" s="1"/>
  <c r="DR33" i="97" s="1"/>
  <c r="DT33" i="97" s="1"/>
  <c r="AD41" i="96"/>
  <c r="DM33" i="97" s="1"/>
  <c r="DN33" i="97" s="1"/>
  <c r="DP33" i="97" s="1"/>
  <c r="AC41" i="96"/>
  <c r="DI33" i="97" s="1"/>
  <c r="DJ33" i="97" s="1"/>
  <c r="DL33" i="97" s="1"/>
  <c r="AB41" i="96"/>
  <c r="DE33" i="97" s="1"/>
  <c r="DF33" i="97" s="1"/>
  <c r="DH33" i="97" s="1"/>
  <c r="AA41" i="96"/>
  <c r="DA33" i="97" s="1"/>
  <c r="DB33" i="97" s="1"/>
  <c r="DD33" i="97" s="1"/>
  <c r="Z41" i="96"/>
  <c r="CW33" i="97" s="1"/>
  <c r="CX33" i="97" s="1"/>
  <c r="CZ33" i="97" s="1"/>
  <c r="Y41" i="96"/>
  <c r="CS33" i="97" s="1"/>
  <c r="CT33" i="97" s="1"/>
  <c r="CV33" i="97" s="1"/>
  <c r="X41" i="96"/>
  <c r="CO33" i="97" s="1"/>
  <c r="CP33" i="97" s="1"/>
  <c r="CR33" i="97" s="1"/>
  <c r="W41" i="96"/>
  <c r="CK33" i="97" s="1"/>
  <c r="CL33" i="97" s="1"/>
  <c r="CN33" i="97" s="1"/>
  <c r="T41" i="96"/>
  <c r="BY33" i="97" s="1"/>
  <c r="BZ33" i="97" s="1"/>
  <c r="CB33" i="97" s="1"/>
  <c r="S41" i="96"/>
  <c r="BU33" i="97" s="1"/>
  <c r="BV33" i="97" s="1"/>
  <c r="BX33" i="97" s="1"/>
  <c r="R41" i="96"/>
  <c r="BQ33" i="97" s="1"/>
  <c r="BR33" i="97" s="1"/>
  <c r="BT33" i="97" s="1"/>
  <c r="P41" i="96"/>
  <c r="BI33" i="97" s="1"/>
  <c r="BJ33" i="97" s="1"/>
  <c r="BL33" i="97" s="1"/>
  <c r="N41" i="96"/>
  <c r="BA33" i="97" s="1"/>
  <c r="BB33" i="97" s="1"/>
  <c r="BD33" i="97" s="1"/>
  <c r="M41" i="96"/>
  <c r="AW33" i="97" s="1"/>
  <c r="AX33" i="97" s="1"/>
  <c r="AZ33" i="97" s="1"/>
  <c r="L41" i="96"/>
  <c r="AS33" i="97" s="1"/>
  <c r="AT33" i="97" s="1"/>
  <c r="AV33" i="97" s="1"/>
  <c r="K41" i="96"/>
  <c r="AO33" i="97" s="1"/>
  <c r="AP33" i="97" s="1"/>
  <c r="AR33" i="97" s="1"/>
  <c r="J41" i="96"/>
  <c r="AK33" i="97" s="1"/>
  <c r="AL33" i="97" s="1"/>
  <c r="AN33" i="97" s="1"/>
  <c r="I41" i="96"/>
  <c r="AG33" i="97" s="1"/>
  <c r="AH33" i="97" s="1"/>
  <c r="AJ33" i="97" s="1"/>
  <c r="G41" i="96"/>
  <c r="Y33" i="97" s="1"/>
  <c r="Z33" i="97" s="1"/>
  <c r="AA33" i="97" s="1"/>
  <c r="AB33" i="97" s="1"/>
  <c r="E41" i="96"/>
  <c r="Q33" i="97" s="1"/>
  <c r="R33" i="97" s="1"/>
  <c r="T33" i="97" s="1"/>
  <c r="C41" i="96"/>
  <c r="I33" i="97" s="1"/>
  <c r="J33" i="97" s="1"/>
  <c r="L33" i="97" s="1"/>
  <c r="AE35" i="96"/>
  <c r="DQ36" i="97" s="1"/>
  <c r="DR36" i="97" s="1"/>
  <c r="DT36" i="97" s="1"/>
  <c r="AD35" i="96"/>
  <c r="DM36" i="97" s="1"/>
  <c r="DN36" i="97" s="1"/>
  <c r="DP36" i="97" s="1"/>
  <c r="AC35" i="96"/>
  <c r="DI36" i="97" s="1"/>
  <c r="DJ36" i="97" s="1"/>
  <c r="DL36" i="97" s="1"/>
  <c r="AB35" i="96"/>
  <c r="DE36" i="97" s="1"/>
  <c r="DF36" i="97" s="1"/>
  <c r="DH36" i="97" s="1"/>
  <c r="AA35" i="96"/>
  <c r="DA36" i="97" s="1"/>
  <c r="DB36" i="97" s="1"/>
  <c r="DD36" i="97" s="1"/>
  <c r="Z35" i="96"/>
  <c r="CW36" i="97" s="1"/>
  <c r="CX36" i="97" s="1"/>
  <c r="CZ36" i="97" s="1"/>
  <c r="Y35" i="96"/>
  <c r="CS36" i="97" s="1"/>
  <c r="CT36" i="97" s="1"/>
  <c r="CV36" i="97" s="1"/>
  <c r="X35" i="96"/>
  <c r="CO36" i="97" s="1"/>
  <c r="CP36" i="97" s="1"/>
  <c r="CR36" i="97" s="1"/>
  <c r="W35" i="96"/>
  <c r="CK36" i="97" s="1"/>
  <c r="CL36" i="97" s="1"/>
  <c r="CN36" i="97" s="1"/>
  <c r="U35" i="96"/>
  <c r="CC36" i="97" s="1"/>
  <c r="CD36" i="97" s="1"/>
  <c r="CF36" i="97" s="1"/>
  <c r="T35" i="96"/>
  <c r="BY36" i="97" s="1"/>
  <c r="BZ36" i="97" s="1"/>
  <c r="CB36" i="97" s="1"/>
  <c r="S35" i="96"/>
  <c r="BU36" i="97" s="1"/>
  <c r="BV36" i="97" s="1"/>
  <c r="BW36" i="97" s="1"/>
  <c r="BX36" i="97" s="1"/>
  <c r="R35" i="96"/>
  <c r="BQ36" i="97" s="1"/>
  <c r="BR36" i="97" s="1"/>
  <c r="BT36" i="97" s="1"/>
  <c r="Q35" i="96"/>
  <c r="BM36" i="97" s="1"/>
  <c r="BN36" i="97" s="1"/>
  <c r="BP36" i="97" s="1"/>
  <c r="P35" i="96"/>
  <c r="BI36" i="97" s="1"/>
  <c r="BJ36" i="97" s="1"/>
  <c r="BL36" i="97" s="1"/>
  <c r="N35" i="96"/>
  <c r="BA36" i="97" s="1"/>
  <c r="BB36" i="97" s="1"/>
  <c r="BD36" i="97" s="1"/>
  <c r="M35" i="96"/>
  <c r="AW36" i="97" s="1"/>
  <c r="AX36" i="97" s="1"/>
  <c r="AZ36" i="97" s="1"/>
  <c r="L35" i="96"/>
  <c r="AS36" i="97" s="1"/>
  <c r="AT36" i="97" s="1"/>
  <c r="AV36" i="97" s="1"/>
  <c r="K35" i="96"/>
  <c r="AO36" i="97" s="1"/>
  <c r="AP36" i="97" s="1"/>
  <c r="AR36" i="97" s="1"/>
  <c r="Z30" i="96"/>
  <c r="CW24" i="97" s="1"/>
  <c r="CX24" i="97" s="1"/>
  <c r="CZ24" i="97" s="1"/>
  <c r="H29" i="96"/>
  <c r="AC23" i="97" s="1"/>
  <c r="AD23" i="97" s="1"/>
  <c r="AF23" i="97" s="1"/>
  <c r="Z21" i="96"/>
  <c r="CW17" i="97" s="1"/>
  <c r="CX17" i="97" s="1"/>
  <c r="CZ17" i="97" s="1"/>
  <c r="Z19" i="96"/>
  <c r="CW15" i="97" s="1"/>
  <c r="CX15" i="97" s="1"/>
  <c r="CY15" i="97" s="1"/>
  <c r="CZ15" i="97" s="1"/>
  <c r="U19" i="96"/>
  <c r="CC15" i="97" s="1"/>
  <c r="CD15" i="97" s="1"/>
  <c r="CE15" i="97" s="1"/>
  <c r="CF15" i="97" s="1"/>
  <c r="T19" i="96"/>
  <c r="BY15" i="97" s="1"/>
  <c r="BZ15" i="97" s="1"/>
  <c r="CB15" i="97" s="1"/>
  <c r="M19" i="96"/>
  <c r="AW15" i="97" s="1"/>
  <c r="AX15" i="97" s="1"/>
  <c r="AZ15" i="97" s="1"/>
  <c r="G19" i="96"/>
  <c r="Y15" i="97" s="1"/>
  <c r="Z15" i="97" s="1"/>
  <c r="AB15" i="97" s="1"/>
  <c r="F19" i="96"/>
  <c r="U15" i="97" s="1"/>
  <c r="V15" i="97" s="1"/>
  <c r="X15" i="97" s="1"/>
  <c r="M15" i="96"/>
  <c r="AW58" i="97" s="1"/>
  <c r="AX58" i="97" s="1"/>
  <c r="AZ58" i="97" s="1"/>
  <c r="AI14" i="96"/>
  <c r="T11" i="96"/>
  <c r="BY10" i="97" s="1"/>
  <c r="BZ10" i="97" s="1"/>
  <c r="CB10" i="97" s="1"/>
  <c r="N10" i="96"/>
  <c r="BA9" i="97" s="1"/>
  <c r="BB9" i="97" s="1"/>
  <c r="BD9" i="97" s="1"/>
  <c r="M10" i="96"/>
  <c r="AW9" i="97" s="1"/>
  <c r="AX9" i="97" s="1"/>
  <c r="AZ9" i="97" s="1"/>
  <c r="H10" i="96"/>
  <c r="AC9" i="97" s="1"/>
  <c r="AD9" i="97" s="1"/>
  <c r="AF9" i="97" s="1"/>
  <c r="H8" i="96"/>
  <c r="AC7" i="97" s="1"/>
  <c r="AD7" i="97" s="1"/>
  <c r="AF7" i="97" s="1"/>
  <c r="DU62" i="95"/>
  <c r="DV62" i="95" s="1"/>
  <c r="DX62" i="95" s="1"/>
  <c r="DQ62" i="95"/>
  <c r="DR62" i="95" s="1"/>
  <c r="DT62" i="95" s="1"/>
  <c r="DM62" i="95"/>
  <c r="DN62" i="95" s="1"/>
  <c r="DP62" i="95" s="1"/>
  <c r="DI62" i="95"/>
  <c r="DJ62" i="95" s="1"/>
  <c r="DL62" i="95" s="1"/>
  <c r="DE62" i="95"/>
  <c r="DF62" i="95" s="1"/>
  <c r="DH62" i="95" s="1"/>
  <c r="DA62" i="95"/>
  <c r="DB62" i="95" s="1"/>
  <c r="DD62" i="95" s="1"/>
  <c r="CW62" i="95"/>
  <c r="CX62" i="95" s="1"/>
  <c r="CZ62" i="95" s="1"/>
  <c r="CS62" i="95"/>
  <c r="CT62" i="95" s="1"/>
  <c r="CV62" i="95" s="1"/>
  <c r="CO62" i="95"/>
  <c r="CP62" i="95" s="1"/>
  <c r="CR62" i="95" s="1"/>
  <c r="CK62" i="95"/>
  <c r="CL62" i="95" s="1"/>
  <c r="CN62" i="95" s="1"/>
  <c r="CG62" i="95"/>
  <c r="CH62" i="95" s="1"/>
  <c r="CJ62" i="95" s="1"/>
  <c r="CC62" i="95"/>
  <c r="CD62" i="95" s="1"/>
  <c r="CF62" i="95" s="1"/>
  <c r="BY62" i="95"/>
  <c r="BZ62" i="95" s="1"/>
  <c r="CB62" i="95" s="1"/>
  <c r="BU62" i="95"/>
  <c r="BV62" i="95" s="1"/>
  <c r="BX62" i="95" s="1"/>
  <c r="BS62" i="95"/>
  <c r="BO62" i="95"/>
  <c r="BK62" i="95"/>
  <c r="BG62" i="95"/>
  <c r="BC62" i="95"/>
  <c r="AY62" i="95"/>
  <c r="AU62" i="95"/>
  <c r="AQ62" i="95"/>
  <c r="AA62" i="95"/>
  <c r="W62" i="95"/>
  <c r="S62" i="95"/>
  <c r="O62" i="95"/>
  <c r="K62" i="95"/>
  <c r="G62" i="95"/>
  <c r="DU61" i="95"/>
  <c r="DV61" i="95" s="1"/>
  <c r="DX61" i="95" s="1"/>
  <c r="DQ61" i="95"/>
  <c r="DR61" i="95" s="1"/>
  <c r="DT61" i="95" s="1"/>
  <c r="DM61" i="95"/>
  <c r="DN61" i="95" s="1"/>
  <c r="DP61" i="95" s="1"/>
  <c r="DI61" i="95"/>
  <c r="DJ61" i="95" s="1"/>
  <c r="DL61" i="95" s="1"/>
  <c r="DE61" i="95"/>
  <c r="DF61" i="95" s="1"/>
  <c r="DH61" i="95" s="1"/>
  <c r="DA61" i="95"/>
  <c r="DB61" i="95" s="1"/>
  <c r="DD61" i="95" s="1"/>
  <c r="CW61" i="95"/>
  <c r="CX61" i="95" s="1"/>
  <c r="CZ61" i="95" s="1"/>
  <c r="CS61" i="95"/>
  <c r="CT61" i="95" s="1"/>
  <c r="CV61" i="95" s="1"/>
  <c r="CO61" i="95"/>
  <c r="CP61" i="95" s="1"/>
  <c r="CR61" i="95" s="1"/>
  <c r="CK61" i="95"/>
  <c r="CL61" i="95" s="1"/>
  <c r="CN61" i="95" s="1"/>
  <c r="CG61" i="95"/>
  <c r="CH61" i="95" s="1"/>
  <c r="CJ61" i="95" s="1"/>
  <c r="CC61" i="95"/>
  <c r="CD61" i="95" s="1"/>
  <c r="CF61" i="95" s="1"/>
  <c r="BY61" i="95"/>
  <c r="BZ61" i="95" s="1"/>
  <c r="CB61" i="95" s="1"/>
  <c r="BU61" i="95"/>
  <c r="BV61" i="95" s="1"/>
  <c r="BX61" i="95" s="1"/>
  <c r="BS61" i="95"/>
  <c r="BO61" i="95"/>
  <c r="BK61" i="95"/>
  <c r="BC61" i="95"/>
  <c r="AQ61" i="95"/>
  <c r="AA61" i="95"/>
  <c r="W61" i="95"/>
  <c r="S61" i="95"/>
  <c r="O61" i="95"/>
  <c r="DU60" i="95"/>
  <c r="DV60" i="95" s="1"/>
  <c r="DX60" i="95" s="1"/>
  <c r="DQ60" i="95"/>
  <c r="DR60" i="95" s="1"/>
  <c r="DT60" i="95" s="1"/>
  <c r="DM60" i="95"/>
  <c r="DN60" i="95" s="1"/>
  <c r="DP60" i="95" s="1"/>
  <c r="DI60" i="95"/>
  <c r="DJ60" i="95" s="1"/>
  <c r="DL60" i="95" s="1"/>
  <c r="DE60" i="95"/>
  <c r="DF60" i="95" s="1"/>
  <c r="DH60" i="95" s="1"/>
  <c r="DA60" i="95"/>
  <c r="DB60" i="95" s="1"/>
  <c r="DD60" i="95" s="1"/>
  <c r="CW60" i="95"/>
  <c r="CX60" i="95" s="1"/>
  <c r="CZ60" i="95" s="1"/>
  <c r="CS60" i="95"/>
  <c r="CT60" i="95" s="1"/>
  <c r="CV60" i="95" s="1"/>
  <c r="CO60" i="95"/>
  <c r="CP60" i="95" s="1"/>
  <c r="CR60" i="95" s="1"/>
  <c r="CK60" i="95"/>
  <c r="CL60" i="95" s="1"/>
  <c r="CN60" i="95" s="1"/>
  <c r="CG60" i="95"/>
  <c r="CH60" i="95" s="1"/>
  <c r="CJ60" i="95" s="1"/>
  <c r="CC60" i="95"/>
  <c r="CD60" i="95" s="1"/>
  <c r="CF60" i="95" s="1"/>
  <c r="BY60" i="95"/>
  <c r="BZ60" i="95" s="1"/>
  <c r="CB60" i="95" s="1"/>
  <c r="BU60" i="95"/>
  <c r="BV60" i="95" s="1"/>
  <c r="BX60" i="95" s="1"/>
  <c r="BS60" i="95"/>
  <c r="BO60" i="95"/>
  <c r="BK60" i="95"/>
  <c r="BG60" i="95"/>
  <c r="BC60" i="95"/>
  <c r="AY60" i="95"/>
  <c r="AU60" i="95"/>
  <c r="AQ60" i="95"/>
  <c r="AA60" i="95"/>
  <c r="W60" i="95"/>
  <c r="S60" i="95"/>
  <c r="O60" i="95"/>
  <c r="K60" i="95"/>
  <c r="DU59" i="95"/>
  <c r="DV59" i="95" s="1"/>
  <c r="DX59" i="95" s="1"/>
  <c r="DQ59" i="95"/>
  <c r="DR59" i="95" s="1"/>
  <c r="DT59" i="95" s="1"/>
  <c r="DM59" i="95"/>
  <c r="DN59" i="95" s="1"/>
  <c r="DP59" i="95" s="1"/>
  <c r="DI59" i="95"/>
  <c r="DJ59" i="95" s="1"/>
  <c r="DL59" i="95" s="1"/>
  <c r="DE59" i="95"/>
  <c r="DF59" i="95" s="1"/>
  <c r="DH59" i="95" s="1"/>
  <c r="DA59" i="95"/>
  <c r="DB59" i="95" s="1"/>
  <c r="DD59" i="95" s="1"/>
  <c r="CW59" i="95"/>
  <c r="CX59" i="95" s="1"/>
  <c r="CZ59" i="95" s="1"/>
  <c r="CS59" i="95"/>
  <c r="CT59" i="95" s="1"/>
  <c r="CV59" i="95" s="1"/>
  <c r="CO59" i="95"/>
  <c r="CP59" i="95" s="1"/>
  <c r="CR59" i="95" s="1"/>
  <c r="CK59" i="95"/>
  <c r="CL59" i="95" s="1"/>
  <c r="CN59" i="95" s="1"/>
  <c r="CG59" i="95"/>
  <c r="CH59" i="95" s="1"/>
  <c r="CJ59" i="95" s="1"/>
  <c r="CC59" i="95"/>
  <c r="CD59" i="95" s="1"/>
  <c r="CF59" i="95" s="1"/>
  <c r="BY59" i="95"/>
  <c r="BZ59" i="95" s="1"/>
  <c r="CB59" i="95" s="1"/>
  <c r="BU59" i="95"/>
  <c r="BV59" i="95" s="1"/>
  <c r="BX59" i="95" s="1"/>
  <c r="BS59" i="95"/>
  <c r="BK59" i="95"/>
  <c r="BG59" i="95"/>
  <c r="BC59" i="95"/>
  <c r="AY59" i="95"/>
  <c r="AU59" i="95"/>
  <c r="AQ59" i="95"/>
  <c r="AA59" i="95"/>
  <c r="W59" i="95"/>
  <c r="S59" i="95"/>
  <c r="O59" i="95"/>
  <c r="K59" i="95"/>
  <c r="G59" i="95"/>
  <c r="DU58" i="95"/>
  <c r="DV58" i="95" s="1"/>
  <c r="DX58" i="95" s="1"/>
  <c r="DQ58" i="95"/>
  <c r="DR58" i="95" s="1"/>
  <c r="DT58" i="95" s="1"/>
  <c r="DM58" i="95"/>
  <c r="DN58" i="95" s="1"/>
  <c r="DP58" i="95" s="1"/>
  <c r="DI58" i="95"/>
  <c r="DJ58" i="95" s="1"/>
  <c r="DL58" i="95" s="1"/>
  <c r="DE58" i="95"/>
  <c r="DF58" i="95" s="1"/>
  <c r="DH58" i="95" s="1"/>
  <c r="DA58" i="95"/>
  <c r="DB58" i="95" s="1"/>
  <c r="DD58" i="95" s="1"/>
  <c r="CW58" i="95"/>
  <c r="CX58" i="95" s="1"/>
  <c r="CZ58" i="95" s="1"/>
  <c r="CS58" i="95"/>
  <c r="CT58" i="95" s="1"/>
  <c r="CV58" i="95" s="1"/>
  <c r="CO58" i="95"/>
  <c r="CP58" i="95" s="1"/>
  <c r="CR58" i="95" s="1"/>
  <c r="CK58" i="95"/>
  <c r="CL58" i="95" s="1"/>
  <c r="CN58" i="95" s="1"/>
  <c r="CG58" i="95"/>
  <c r="CH58" i="95" s="1"/>
  <c r="CJ58" i="95" s="1"/>
  <c r="CC58" i="95"/>
  <c r="CD58" i="95" s="1"/>
  <c r="CF58" i="95" s="1"/>
  <c r="BY58" i="95"/>
  <c r="BZ58" i="95" s="1"/>
  <c r="CB58" i="95" s="1"/>
  <c r="BU58" i="95"/>
  <c r="BV58" i="95" s="1"/>
  <c r="BX58" i="95" s="1"/>
  <c r="BS58" i="95"/>
  <c r="BK58" i="95"/>
  <c r="BG58" i="95"/>
  <c r="BC58" i="95"/>
  <c r="AY58" i="95"/>
  <c r="AU58" i="95"/>
  <c r="AQ58" i="95"/>
  <c r="AA58" i="95"/>
  <c r="W58" i="95"/>
  <c r="S58" i="95"/>
  <c r="O58" i="95"/>
  <c r="K58" i="95"/>
  <c r="G58" i="95"/>
  <c r="DU57" i="95"/>
  <c r="DV57" i="95" s="1"/>
  <c r="DX57" i="95" s="1"/>
  <c r="DQ57" i="95"/>
  <c r="DR57" i="95" s="1"/>
  <c r="DT57" i="95" s="1"/>
  <c r="DM57" i="95"/>
  <c r="DN57" i="95" s="1"/>
  <c r="DP57" i="95" s="1"/>
  <c r="DI57" i="95"/>
  <c r="DJ57" i="95" s="1"/>
  <c r="DL57" i="95" s="1"/>
  <c r="DE57" i="95"/>
  <c r="DF57" i="95" s="1"/>
  <c r="DH57" i="95" s="1"/>
  <c r="DA57" i="95"/>
  <c r="DB57" i="95" s="1"/>
  <c r="DD57" i="95" s="1"/>
  <c r="CW57" i="95"/>
  <c r="CX57" i="95" s="1"/>
  <c r="CZ57" i="95" s="1"/>
  <c r="CS57" i="95"/>
  <c r="CT57" i="95" s="1"/>
  <c r="CV57" i="95" s="1"/>
  <c r="CO57" i="95"/>
  <c r="CP57" i="95" s="1"/>
  <c r="CR57" i="95" s="1"/>
  <c r="CK57" i="95"/>
  <c r="CL57" i="95" s="1"/>
  <c r="CN57" i="95" s="1"/>
  <c r="CG57" i="95"/>
  <c r="CH57" i="95" s="1"/>
  <c r="CJ57" i="95" s="1"/>
  <c r="CC57" i="95"/>
  <c r="CD57" i="95" s="1"/>
  <c r="CF57" i="95" s="1"/>
  <c r="BY57" i="95"/>
  <c r="BZ57" i="95" s="1"/>
  <c r="CB57" i="95" s="1"/>
  <c r="BU57" i="95"/>
  <c r="BV57" i="95" s="1"/>
  <c r="BX57" i="95" s="1"/>
  <c r="BS57" i="95"/>
  <c r="BO57" i="95"/>
  <c r="BK57" i="95"/>
  <c r="BG57" i="95"/>
  <c r="AA57" i="95"/>
  <c r="W57" i="95"/>
  <c r="S57" i="95"/>
  <c r="K57" i="95"/>
  <c r="G57" i="95"/>
  <c r="DU56" i="95"/>
  <c r="DV56" i="95" s="1"/>
  <c r="DX56" i="95" s="1"/>
  <c r="DQ56" i="95"/>
  <c r="DR56" i="95" s="1"/>
  <c r="DT56" i="95" s="1"/>
  <c r="DM56" i="95"/>
  <c r="DN56" i="95" s="1"/>
  <c r="DP56" i="95" s="1"/>
  <c r="DI56" i="95"/>
  <c r="DJ56" i="95" s="1"/>
  <c r="DL56" i="95" s="1"/>
  <c r="DE56" i="95"/>
  <c r="DF56" i="95" s="1"/>
  <c r="DH56" i="95" s="1"/>
  <c r="DA56" i="95"/>
  <c r="DB56" i="95" s="1"/>
  <c r="DD56" i="95" s="1"/>
  <c r="CW56" i="95"/>
  <c r="CX56" i="95" s="1"/>
  <c r="CZ56" i="95" s="1"/>
  <c r="CS56" i="95"/>
  <c r="CT56" i="95" s="1"/>
  <c r="CV56" i="95" s="1"/>
  <c r="CO56" i="95"/>
  <c r="CP56" i="95" s="1"/>
  <c r="CR56" i="95" s="1"/>
  <c r="CK56" i="95"/>
  <c r="CL56" i="95" s="1"/>
  <c r="CN56" i="95" s="1"/>
  <c r="CG56" i="95"/>
  <c r="CH56" i="95" s="1"/>
  <c r="CJ56" i="95" s="1"/>
  <c r="CC56" i="95"/>
  <c r="CD56" i="95" s="1"/>
  <c r="CF56" i="95" s="1"/>
  <c r="BY56" i="95"/>
  <c r="BZ56" i="95" s="1"/>
  <c r="CB56" i="95" s="1"/>
  <c r="BU56" i="95"/>
  <c r="BV56" i="95" s="1"/>
  <c r="BX56" i="95" s="1"/>
  <c r="BS56" i="95"/>
  <c r="BO56" i="95"/>
  <c r="BK56" i="95"/>
  <c r="BG56" i="95"/>
  <c r="BC56" i="95"/>
  <c r="AY56" i="95"/>
  <c r="AU56" i="95"/>
  <c r="AQ56" i="95"/>
  <c r="AA56" i="95"/>
  <c r="W56" i="95"/>
  <c r="S56" i="95"/>
  <c r="O56" i="95"/>
  <c r="K56" i="95"/>
  <c r="G56" i="95"/>
  <c r="DU55" i="95"/>
  <c r="DV55" i="95" s="1"/>
  <c r="DX55" i="95" s="1"/>
  <c r="DQ55" i="95"/>
  <c r="DR55" i="95" s="1"/>
  <c r="DT55" i="95" s="1"/>
  <c r="DM55" i="95"/>
  <c r="DN55" i="95" s="1"/>
  <c r="DP55" i="95" s="1"/>
  <c r="DI55" i="95"/>
  <c r="DJ55" i="95" s="1"/>
  <c r="DL55" i="95" s="1"/>
  <c r="DE55" i="95"/>
  <c r="DF55" i="95" s="1"/>
  <c r="DH55" i="95" s="1"/>
  <c r="DA55" i="95"/>
  <c r="DB55" i="95" s="1"/>
  <c r="DD55" i="95" s="1"/>
  <c r="CW55" i="95"/>
  <c r="CX55" i="95" s="1"/>
  <c r="CZ55" i="95" s="1"/>
  <c r="CS55" i="95"/>
  <c r="CT55" i="95" s="1"/>
  <c r="CV55" i="95" s="1"/>
  <c r="CO55" i="95"/>
  <c r="CP55" i="95" s="1"/>
  <c r="CR55" i="95" s="1"/>
  <c r="CK55" i="95"/>
  <c r="CL55" i="95" s="1"/>
  <c r="CN55" i="95" s="1"/>
  <c r="CG55" i="95"/>
  <c r="CH55" i="95" s="1"/>
  <c r="CJ55" i="95" s="1"/>
  <c r="CC55" i="95"/>
  <c r="CD55" i="95" s="1"/>
  <c r="CF55" i="95" s="1"/>
  <c r="BY55" i="95"/>
  <c r="BZ55" i="95" s="1"/>
  <c r="CB55" i="95" s="1"/>
  <c r="BU55" i="95"/>
  <c r="BV55" i="95" s="1"/>
  <c r="BX55" i="95" s="1"/>
  <c r="BS55" i="95"/>
  <c r="BO55" i="95"/>
  <c r="BK55" i="95"/>
  <c r="BG55" i="95"/>
  <c r="BC55" i="95"/>
  <c r="AY55" i="95"/>
  <c r="AU55" i="95"/>
  <c r="AQ55" i="95"/>
  <c r="AA55" i="95"/>
  <c r="W55" i="95"/>
  <c r="S55" i="95"/>
  <c r="O55" i="95"/>
  <c r="K55" i="95"/>
  <c r="G55" i="95"/>
  <c r="DU54" i="95"/>
  <c r="DV54" i="95" s="1"/>
  <c r="DX54" i="95" s="1"/>
  <c r="DQ54" i="95"/>
  <c r="DR54" i="95" s="1"/>
  <c r="DT54" i="95" s="1"/>
  <c r="DM54" i="95"/>
  <c r="DN54" i="95" s="1"/>
  <c r="DP54" i="95" s="1"/>
  <c r="DI54" i="95"/>
  <c r="DJ54" i="95" s="1"/>
  <c r="DL54" i="95" s="1"/>
  <c r="DE54" i="95"/>
  <c r="DF54" i="95" s="1"/>
  <c r="DH54" i="95" s="1"/>
  <c r="DA54" i="95"/>
  <c r="DB54" i="95" s="1"/>
  <c r="DD54" i="95" s="1"/>
  <c r="CW54" i="95"/>
  <c r="CX54" i="95" s="1"/>
  <c r="CZ54" i="95" s="1"/>
  <c r="CS54" i="95"/>
  <c r="CT54" i="95" s="1"/>
  <c r="CV54" i="95" s="1"/>
  <c r="CO54" i="95"/>
  <c r="CP54" i="95" s="1"/>
  <c r="CR54" i="95" s="1"/>
  <c r="CK54" i="95"/>
  <c r="CL54" i="95" s="1"/>
  <c r="CN54" i="95" s="1"/>
  <c r="CG54" i="95"/>
  <c r="CH54" i="95" s="1"/>
  <c r="CJ54" i="95" s="1"/>
  <c r="CC54" i="95"/>
  <c r="CD54" i="95" s="1"/>
  <c r="CF54" i="95" s="1"/>
  <c r="BY54" i="95"/>
  <c r="BZ54" i="95" s="1"/>
  <c r="CB54" i="95" s="1"/>
  <c r="BU54" i="95"/>
  <c r="BV54" i="95" s="1"/>
  <c r="BX54" i="95" s="1"/>
  <c r="BS54" i="95"/>
  <c r="BK54" i="95"/>
  <c r="BG54" i="95"/>
  <c r="BC54" i="95"/>
  <c r="AY54" i="95"/>
  <c r="AU54" i="95"/>
  <c r="AQ54" i="95"/>
  <c r="AA54" i="95"/>
  <c r="W54" i="95"/>
  <c r="S54" i="95"/>
  <c r="O54" i="95"/>
  <c r="K54" i="95"/>
  <c r="G54" i="95"/>
  <c r="DU53" i="95"/>
  <c r="DV53" i="95" s="1"/>
  <c r="DX53" i="95" s="1"/>
  <c r="DQ53" i="95"/>
  <c r="DR53" i="95" s="1"/>
  <c r="DT53" i="95" s="1"/>
  <c r="DM53" i="95"/>
  <c r="DN53" i="95" s="1"/>
  <c r="DP53" i="95" s="1"/>
  <c r="DI53" i="95"/>
  <c r="DJ53" i="95" s="1"/>
  <c r="DL53" i="95" s="1"/>
  <c r="DE53" i="95"/>
  <c r="DF53" i="95" s="1"/>
  <c r="DH53" i="95" s="1"/>
  <c r="DA53" i="95"/>
  <c r="DB53" i="95" s="1"/>
  <c r="DD53" i="95" s="1"/>
  <c r="CW53" i="95"/>
  <c r="CX53" i="95" s="1"/>
  <c r="CZ53" i="95" s="1"/>
  <c r="CS53" i="95"/>
  <c r="CT53" i="95" s="1"/>
  <c r="CV53" i="95" s="1"/>
  <c r="CO53" i="95"/>
  <c r="CP53" i="95" s="1"/>
  <c r="CR53" i="95" s="1"/>
  <c r="CK53" i="95"/>
  <c r="CL53" i="95" s="1"/>
  <c r="CN53" i="95" s="1"/>
  <c r="CG53" i="95"/>
  <c r="CH53" i="95" s="1"/>
  <c r="CJ53" i="95" s="1"/>
  <c r="CC53" i="95"/>
  <c r="CD53" i="95" s="1"/>
  <c r="CF53" i="95" s="1"/>
  <c r="BY53" i="95"/>
  <c r="BZ53" i="95" s="1"/>
  <c r="CB53" i="95" s="1"/>
  <c r="BU53" i="95"/>
  <c r="BV53" i="95" s="1"/>
  <c r="BX53" i="95" s="1"/>
  <c r="BS53" i="95"/>
  <c r="BO53" i="95"/>
  <c r="BK53" i="95"/>
  <c r="BC53" i="95"/>
  <c r="AA53" i="95"/>
  <c r="W53" i="95"/>
  <c r="S53" i="95"/>
  <c r="O53" i="95"/>
  <c r="K53" i="95"/>
  <c r="G53" i="95"/>
  <c r="DU52" i="95"/>
  <c r="DV52" i="95" s="1"/>
  <c r="DX52" i="95" s="1"/>
  <c r="DQ52" i="95"/>
  <c r="DR52" i="95" s="1"/>
  <c r="DT52" i="95" s="1"/>
  <c r="DM52" i="95"/>
  <c r="DN52" i="95" s="1"/>
  <c r="DP52" i="95" s="1"/>
  <c r="DI52" i="95"/>
  <c r="DJ52" i="95" s="1"/>
  <c r="DL52" i="95" s="1"/>
  <c r="DE52" i="95"/>
  <c r="DF52" i="95" s="1"/>
  <c r="DH52" i="95" s="1"/>
  <c r="DA52" i="95"/>
  <c r="DB52" i="95" s="1"/>
  <c r="DD52" i="95" s="1"/>
  <c r="CW52" i="95"/>
  <c r="CX52" i="95" s="1"/>
  <c r="CZ52" i="95" s="1"/>
  <c r="CS52" i="95"/>
  <c r="CT52" i="95" s="1"/>
  <c r="CV52" i="95" s="1"/>
  <c r="CO52" i="95"/>
  <c r="CP52" i="95" s="1"/>
  <c r="CR52" i="95" s="1"/>
  <c r="CK52" i="95"/>
  <c r="CL52" i="95" s="1"/>
  <c r="CN52" i="95" s="1"/>
  <c r="CG52" i="95"/>
  <c r="CH52" i="95" s="1"/>
  <c r="CJ52" i="95" s="1"/>
  <c r="CC52" i="95"/>
  <c r="CD52" i="95" s="1"/>
  <c r="CF52" i="95" s="1"/>
  <c r="BY52" i="95"/>
  <c r="BZ52" i="95" s="1"/>
  <c r="CB52" i="95" s="1"/>
  <c r="BU52" i="95"/>
  <c r="BV52" i="95" s="1"/>
  <c r="BX52" i="95" s="1"/>
  <c r="BS52" i="95"/>
  <c r="BO52" i="95"/>
  <c r="BG52" i="95"/>
  <c r="BC52" i="95"/>
  <c r="AY52" i="95"/>
  <c r="AU52" i="95"/>
  <c r="AO52" i="95"/>
  <c r="AP52" i="95" s="1"/>
  <c r="AQ52" i="95" s="1"/>
  <c r="AA52" i="95"/>
  <c r="W52" i="95"/>
  <c r="S52" i="95"/>
  <c r="O52" i="95"/>
  <c r="K52" i="95"/>
  <c r="G52" i="95"/>
  <c r="DU51" i="95"/>
  <c r="DV51" i="95" s="1"/>
  <c r="DX51" i="95" s="1"/>
  <c r="DQ51" i="95"/>
  <c r="DR51" i="95" s="1"/>
  <c r="DT51" i="95" s="1"/>
  <c r="DM51" i="95"/>
  <c r="DN51" i="95" s="1"/>
  <c r="DP51" i="95" s="1"/>
  <c r="DI51" i="95"/>
  <c r="DJ51" i="95" s="1"/>
  <c r="DL51" i="95" s="1"/>
  <c r="DE51" i="95"/>
  <c r="DF51" i="95" s="1"/>
  <c r="DH51" i="95" s="1"/>
  <c r="DA51" i="95"/>
  <c r="DB51" i="95" s="1"/>
  <c r="DD51" i="95" s="1"/>
  <c r="CW51" i="95"/>
  <c r="CX51" i="95" s="1"/>
  <c r="CZ51" i="95" s="1"/>
  <c r="CS51" i="95"/>
  <c r="CT51" i="95" s="1"/>
  <c r="CV51" i="95" s="1"/>
  <c r="CO51" i="95"/>
  <c r="CP51" i="95" s="1"/>
  <c r="CR51" i="95" s="1"/>
  <c r="CK51" i="95"/>
  <c r="CL51" i="95" s="1"/>
  <c r="CN51" i="95" s="1"/>
  <c r="CG51" i="95"/>
  <c r="CH51" i="95" s="1"/>
  <c r="CJ51" i="95" s="1"/>
  <c r="CC51" i="95"/>
  <c r="CD51" i="95" s="1"/>
  <c r="CF51" i="95" s="1"/>
  <c r="BY51" i="95"/>
  <c r="BZ51" i="95" s="1"/>
  <c r="CB51" i="95" s="1"/>
  <c r="BU51" i="95"/>
  <c r="BV51" i="95" s="1"/>
  <c r="BX51" i="95" s="1"/>
  <c r="BS51" i="95"/>
  <c r="BO51" i="95"/>
  <c r="BK51" i="95"/>
  <c r="BG51" i="95"/>
  <c r="BC51" i="95"/>
  <c r="AY51" i="95"/>
  <c r="AU51" i="95"/>
  <c r="AQ51" i="95"/>
  <c r="AA51" i="95"/>
  <c r="W51" i="95"/>
  <c r="S51" i="95"/>
  <c r="O51" i="95"/>
  <c r="K51" i="95"/>
  <c r="G51" i="95"/>
  <c r="DU50" i="95"/>
  <c r="DV50" i="95" s="1"/>
  <c r="DX50" i="95" s="1"/>
  <c r="DQ50" i="95"/>
  <c r="DR50" i="95" s="1"/>
  <c r="DT50" i="95" s="1"/>
  <c r="DM50" i="95"/>
  <c r="DN50" i="95" s="1"/>
  <c r="DP50" i="95" s="1"/>
  <c r="DI50" i="95"/>
  <c r="DJ50" i="95" s="1"/>
  <c r="DL50" i="95" s="1"/>
  <c r="DE50" i="95"/>
  <c r="DF50" i="95" s="1"/>
  <c r="DH50" i="95" s="1"/>
  <c r="DA50" i="95"/>
  <c r="DB50" i="95" s="1"/>
  <c r="DD50" i="95" s="1"/>
  <c r="CW50" i="95"/>
  <c r="CX50" i="95" s="1"/>
  <c r="CZ50" i="95" s="1"/>
  <c r="CS50" i="95"/>
  <c r="CT50" i="95" s="1"/>
  <c r="CO50" i="95"/>
  <c r="CP50" i="95" s="1"/>
  <c r="CR50" i="95" s="1"/>
  <c r="CK50" i="95"/>
  <c r="CL50" i="95" s="1"/>
  <c r="CN50" i="95" s="1"/>
  <c r="CG50" i="95"/>
  <c r="CH50" i="95" s="1"/>
  <c r="CJ50" i="95" s="1"/>
  <c r="CC50" i="95"/>
  <c r="CD50" i="95" s="1"/>
  <c r="CF50" i="95" s="1"/>
  <c r="BY50" i="95"/>
  <c r="BZ50" i="95" s="1"/>
  <c r="CB50" i="95" s="1"/>
  <c r="BU50" i="95"/>
  <c r="BV50" i="95" s="1"/>
  <c r="BX50" i="95" s="1"/>
  <c r="BS50" i="95"/>
  <c r="BO50" i="95"/>
  <c r="BK50" i="95"/>
  <c r="BG50" i="95"/>
  <c r="AY50" i="95"/>
  <c r="AU50" i="95"/>
  <c r="AA50" i="95"/>
  <c r="W50" i="95"/>
  <c r="S50" i="95"/>
  <c r="O50" i="95"/>
  <c r="K50" i="95"/>
  <c r="G50" i="95"/>
  <c r="DU49" i="95"/>
  <c r="DV49" i="95" s="1"/>
  <c r="DX49" i="95" s="1"/>
  <c r="DQ49" i="95"/>
  <c r="DR49" i="95" s="1"/>
  <c r="DT49" i="95" s="1"/>
  <c r="DM49" i="95"/>
  <c r="DN49" i="95" s="1"/>
  <c r="DP49" i="95" s="1"/>
  <c r="DI49" i="95"/>
  <c r="DJ49" i="95" s="1"/>
  <c r="DL49" i="95" s="1"/>
  <c r="DE49" i="95"/>
  <c r="DF49" i="95" s="1"/>
  <c r="DH49" i="95" s="1"/>
  <c r="DA49" i="95"/>
  <c r="DB49" i="95" s="1"/>
  <c r="DD49" i="95" s="1"/>
  <c r="CW49" i="95"/>
  <c r="CX49" i="95" s="1"/>
  <c r="CZ49" i="95" s="1"/>
  <c r="CS49" i="95"/>
  <c r="CT49" i="95" s="1"/>
  <c r="CV49" i="95" s="1"/>
  <c r="CO49" i="95"/>
  <c r="CP49" i="95" s="1"/>
  <c r="CR49" i="95" s="1"/>
  <c r="CK49" i="95"/>
  <c r="CL49" i="95" s="1"/>
  <c r="CN49" i="95" s="1"/>
  <c r="CG49" i="95"/>
  <c r="CH49" i="95" s="1"/>
  <c r="CJ49" i="95" s="1"/>
  <c r="BY49" i="95"/>
  <c r="BZ49" i="95" s="1"/>
  <c r="CB49" i="95" s="1"/>
  <c r="BU49" i="95"/>
  <c r="BV49" i="95" s="1"/>
  <c r="BX49" i="95" s="1"/>
  <c r="BS49" i="95"/>
  <c r="BK49" i="95"/>
  <c r="BG49" i="95"/>
  <c r="BC49" i="95"/>
  <c r="AY49" i="95"/>
  <c r="AU49" i="95"/>
  <c r="AQ49" i="95"/>
  <c r="AA49" i="95"/>
  <c r="W49" i="95"/>
  <c r="S49" i="95"/>
  <c r="O49" i="95"/>
  <c r="K49" i="95"/>
  <c r="G49" i="95"/>
  <c r="DU48" i="95"/>
  <c r="DV48" i="95" s="1"/>
  <c r="DX48" i="95" s="1"/>
  <c r="DQ48" i="95"/>
  <c r="DR48" i="95" s="1"/>
  <c r="DT48" i="95" s="1"/>
  <c r="DM48" i="95"/>
  <c r="DN48" i="95" s="1"/>
  <c r="DP48" i="95" s="1"/>
  <c r="DI48" i="95"/>
  <c r="DJ48" i="95" s="1"/>
  <c r="DL48" i="95" s="1"/>
  <c r="DE48" i="95"/>
  <c r="DF48" i="95" s="1"/>
  <c r="DH48" i="95" s="1"/>
  <c r="DA48" i="95"/>
  <c r="DB48" i="95" s="1"/>
  <c r="DD48" i="95" s="1"/>
  <c r="CW48" i="95"/>
  <c r="CX48" i="95" s="1"/>
  <c r="CZ48" i="95" s="1"/>
  <c r="CS48" i="95"/>
  <c r="CT48" i="95" s="1"/>
  <c r="CV48" i="95" s="1"/>
  <c r="CO48" i="95"/>
  <c r="CP48" i="95" s="1"/>
  <c r="CR48" i="95" s="1"/>
  <c r="CK48" i="95"/>
  <c r="CL48" i="95" s="1"/>
  <c r="CN48" i="95" s="1"/>
  <c r="CG48" i="95"/>
  <c r="CH48" i="95" s="1"/>
  <c r="CJ48" i="95" s="1"/>
  <c r="CC48" i="95"/>
  <c r="CD48" i="95" s="1"/>
  <c r="CF48" i="95" s="1"/>
  <c r="BY48" i="95"/>
  <c r="BZ48" i="95" s="1"/>
  <c r="CB48" i="95" s="1"/>
  <c r="BU48" i="95"/>
  <c r="BV48" i="95" s="1"/>
  <c r="BX48" i="95" s="1"/>
  <c r="BS48" i="95"/>
  <c r="BO48" i="95"/>
  <c r="BK48" i="95"/>
  <c r="BG48" i="95"/>
  <c r="BC48" i="95"/>
  <c r="AY48" i="95"/>
  <c r="AU48" i="95"/>
  <c r="AQ48" i="95"/>
  <c r="AA48" i="95"/>
  <c r="W48" i="95"/>
  <c r="S48" i="95"/>
  <c r="O48" i="95"/>
  <c r="K48" i="95"/>
  <c r="G48" i="95"/>
  <c r="DU47" i="95"/>
  <c r="DV47" i="95" s="1"/>
  <c r="DX47" i="95" s="1"/>
  <c r="DQ47" i="95"/>
  <c r="DR47" i="95" s="1"/>
  <c r="DT47" i="95" s="1"/>
  <c r="DM47" i="95"/>
  <c r="DN47" i="95" s="1"/>
  <c r="DP47" i="95" s="1"/>
  <c r="DI47" i="95"/>
  <c r="DJ47" i="95" s="1"/>
  <c r="DL47" i="95" s="1"/>
  <c r="DE47" i="95"/>
  <c r="DF47" i="95" s="1"/>
  <c r="DH47" i="95" s="1"/>
  <c r="DA47" i="95"/>
  <c r="DB47" i="95" s="1"/>
  <c r="DD47" i="95" s="1"/>
  <c r="CW47" i="95"/>
  <c r="CX47" i="95" s="1"/>
  <c r="CZ47" i="95" s="1"/>
  <c r="CS47" i="95"/>
  <c r="CT47" i="95" s="1"/>
  <c r="CV47" i="95" s="1"/>
  <c r="CO47" i="95"/>
  <c r="CP47" i="95" s="1"/>
  <c r="CR47" i="95" s="1"/>
  <c r="CK47" i="95"/>
  <c r="CL47" i="95" s="1"/>
  <c r="CN47" i="95" s="1"/>
  <c r="CG47" i="95"/>
  <c r="CH47" i="95" s="1"/>
  <c r="CJ47" i="95" s="1"/>
  <c r="CC47" i="95"/>
  <c r="CD47" i="95" s="1"/>
  <c r="CF47" i="95" s="1"/>
  <c r="BY47" i="95"/>
  <c r="BZ47" i="95" s="1"/>
  <c r="CB47" i="95" s="1"/>
  <c r="BU47" i="95"/>
  <c r="BV47" i="95" s="1"/>
  <c r="BX47" i="95" s="1"/>
  <c r="BO47" i="95"/>
  <c r="BK47" i="95"/>
  <c r="BG47" i="95"/>
  <c r="BC47" i="95"/>
  <c r="AY47" i="95"/>
  <c r="AU47" i="95"/>
  <c r="AQ47" i="95"/>
  <c r="AA47" i="95"/>
  <c r="W47" i="95"/>
  <c r="S47" i="95"/>
  <c r="O47" i="95"/>
  <c r="K47" i="95"/>
  <c r="G47" i="95"/>
  <c r="DU46" i="95"/>
  <c r="DV46" i="95" s="1"/>
  <c r="DX46" i="95" s="1"/>
  <c r="DQ46" i="95"/>
  <c r="DR46" i="95" s="1"/>
  <c r="DT46" i="95" s="1"/>
  <c r="DM46" i="95"/>
  <c r="DN46" i="95" s="1"/>
  <c r="DP46" i="95" s="1"/>
  <c r="DI46" i="95"/>
  <c r="DJ46" i="95" s="1"/>
  <c r="DL46" i="95" s="1"/>
  <c r="DE46" i="95"/>
  <c r="DF46" i="95" s="1"/>
  <c r="DH46" i="95" s="1"/>
  <c r="DA46" i="95"/>
  <c r="DB46" i="95" s="1"/>
  <c r="DD46" i="95" s="1"/>
  <c r="CW46" i="95"/>
  <c r="CX46" i="95" s="1"/>
  <c r="CZ46" i="95" s="1"/>
  <c r="CS46" i="95"/>
  <c r="CT46" i="95" s="1"/>
  <c r="CV46" i="95" s="1"/>
  <c r="CO46" i="95"/>
  <c r="CP46" i="95" s="1"/>
  <c r="CR46" i="95" s="1"/>
  <c r="CK46" i="95"/>
  <c r="CL46" i="95" s="1"/>
  <c r="CN46" i="95" s="1"/>
  <c r="CG46" i="95"/>
  <c r="CH46" i="95" s="1"/>
  <c r="CJ46" i="95" s="1"/>
  <c r="CC46" i="95"/>
  <c r="CD46" i="95" s="1"/>
  <c r="CF46" i="95" s="1"/>
  <c r="BY46" i="95"/>
  <c r="BZ46" i="95" s="1"/>
  <c r="CB46" i="95" s="1"/>
  <c r="BU46" i="95"/>
  <c r="BV46" i="95" s="1"/>
  <c r="BX46" i="95" s="1"/>
  <c r="BS46" i="95"/>
  <c r="BO46" i="95"/>
  <c r="BK46" i="95"/>
  <c r="BG46" i="95"/>
  <c r="BC46" i="95"/>
  <c r="AO46" i="95"/>
  <c r="AP46" i="95" s="1"/>
  <c r="AA46" i="95"/>
  <c r="S46" i="95"/>
  <c r="O46" i="95"/>
  <c r="K46" i="95"/>
  <c r="G46" i="95"/>
  <c r="DU45" i="95"/>
  <c r="DV45" i="95" s="1"/>
  <c r="DX45" i="95" s="1"/>
  <c r="DQ45" i="95"/>
  <c r="DR45" i="95" s="1"/>
  <c r="DT45" i="95" s="1"/>
  <c r="DM45" i="95"/>
  <c r="DN45" i="95" s="1"/>
  <c r="DP45" i="95" s="1"/>
  <c r="DI45" i="95"/>
  <c r="DJ45" i="95" s="1"/>
  <c r="DL45" i="95" s="1"/>
  <c r="DE45" i="95"/>
  <c r="DF45" i="95" s="1"/>
  <c r="DH45" i="95" s="1"/>
  <c r="DA45" i="95"/>
  <c r="DB45" i="95" s="1"/>
  <c r="DD45" i="95" s="1"/>
  <c r="CW45" i="95"/>
  <c r="CX45" i="95" s="1"/>
  <c r="CZ45" i="95" s="1"/>
  <c r="CS45" i="95"/>
  <c r="CT45" i="95" s="1"/>
  <c r="CV45" i="95" s="1"/>
  <c r="CO45" i="95"/>
  <c r="CP45" i="95" s="1"/>
  <c r="CR45" i="95" s="1"/>
  <c r="CK45" i="95"/>
  <c r="CL45" i="95" s="1"/>
  <c r="CN45" i="95" s="1"/>
  <c r="CG45" i="95"/>
  <c r="CH45" i="95" s="1"/>
  <c r="CJ45" i="95" s="1"/>
  <c r="BY45" i="95"/>
  <c r="BZ45" i="95" s="1"/>
  <c r="CB45" i="95" s="1"/>
  <c r="BU45" i="95"/>
  <c r="BV45" i="95" s="1"/>
  <c r="BX45" i="95" s="1"/>
  <c r="BS45" i="95"/>
  <c r="BO45" i="95"/>
  <c r="BG45" i="95"/>
  <c r="BC45" i="95"/>
  <c r="AY45" i="95"/>
  <c r="AU45" i="95"/>
  <c r="AQ45" i="95"/>
  <c r="AA45" i="95"/>
  <c r="W45" i="95"/>
  <c r="S45" i="95"/>
  <c r="O45" i="95"/>
  <c r="K45" i="95"/>
  <c r="G45" i="95"/>
  <c r="DU44" i="95"/>
  <c r="DV44" i="95" s="1"/>
  <c r="DX44" i="95" s="1"/>
  <c r="DQ44" i="95"/>
  <c r="DR44" i="95" s="1"/>
  <c r="DT44" i="95" s="1"/>
  <c r="DM44" i="95"/>
  <c r="DN44" i="95" s="1"/>
  <c r="DP44" i="95" s="1"/>
  <c r="DI44" i="95"/>
  <c r="DJ44" i="95" s="1"/>
  <c r="DL44" i="95" s="1"/>
  <c r="DE44" i="95"/>
  <c r="DF44" i="95" s="1"/>
  <c r="DH44" i="95" s="1"/>
  <c r="DA44" i="95"/>
  <c r="DB44" i="95" s="1"/>
  <c r="DD44" i="95" s="1"/>
  <c r="CW44" i="95"/>
  <c r="CX44" i="95" s="1"/>
  <c r="CZ44" i="95" s="1"/>
  <c r="CS44" i="95"/>
  <c r="CT44" i="95" s="1"/>
  <c r="CV44" i="95" s="1"/>
  <c r="CO44" i="95"/>
  <c r="CP44" i="95" s="1"/>
  <c r="CR44" i="95" s="1"/>
  <c r="CK44" i="95"/>
  <c r="CL44" i="95" s="1"/>
  <c r="CN44" i="95" s="1"/>
  <c r="CG44" i="95"/>
  <c r="CH44" i="95" s="1"/>
  <c r="CJ44" i="95" s="1"/>
  <c r="CC44" i="95"/>
  <c r="CD44" i="95" s="1"/>
  <c r="CF44" i="95" s="1"/>
  <c r="BY44" i="95"/>
  <c r="BZ44" i="95" s="1"/>
  <c r="CB44" i="95" s="1"/>
  <c r="BU44" i="95"/>
  <c r="BV44" i="95" s="1"/>
  <c r="BX44" i="95" s="1"/>
  <c r="BS44" i="95"/>
  <c r="BO44" i="95"/>
  <c r="BK44" i="95"/>
  <c r="BC44" i="95"/>
  <c r="AY44" i="95"/>
  <c r="AU44" i="95"/>
  <c r="AQ44" i="95"/>
  <c r="AA44" i="95"/>
  <c r="W44" i="95"/>
  <c r="S44" i="95"/>
  <c r="O44" i="95"/>
  <c r="K44" i="95"/>
  <c r="G44" i="95"/>
  <c r="DU43" i="95"/>
  <c r="DV43" i="95" s="1"/>
  <c r="DX43" i="95" s="1"/>
  <c r="DQ43" i="95"/>
  <c r="DR43" i="95" s="1"/>
  <c r="DT43" i="95" s="1"/>
  <c r="DM43" i="95"/>
  <c r="DN43" i="95" s="1"/>
  <c r="DP43" i="95" s="1"/>
  <c r="DI43" i="95"/>
  <c r="DJ43" i="95" s="1"/>
  <c r="DL43" i="95" s="1"/>
  <c r="DE43" i="95"/>
  <c r="DF43" i="95" s="1"/>
  <c r="DH43" i="95" s="1"/>
  <c r="DA43" i="95"/>
  <c r="DB43" i="95" s="1"/>
  <c r="DD43" i="95" s="1"/>
  <c r="CW43" i="95"/>
  <c r="CX43" i="95" s="1"/>
  <c r="CZ43" i="95" s="1"/>
  <c r="CS43" i="95"/>
  <c r="CT43" i="95" s="1"/>
  <c r="CV43" i="95" s="1"/>
  <c r="CO43" i="95"/>
  <c r="CP43" i="95" s="1"/>
  <c r="CR43" i="95" s="1"/>
  <c r="CK43" i="95"/>
  <c r="CL43" i="95" s="1"/>
  <c r="CN43" i="95" s="1"/>
  <c r="CG43" i="95"/>
  <c r="CH43" i="95" s="1"/>
  <c r="CJ43" i="95" s="1"/>
  <c r="CC43" i="95"/>
  <c r="CD43" i="95" s="1"/>
  <c r="CF43" i="95" s="1"/>
  <c r="BY43" i="95"/>
  <c r="BZ43" i="95" s="1"/>
  <c r="CB43" i="95" s="1"/>
  <c r="BU43" i="95"/>
  <c r="BV43" i="95" s="1"/>
  <c r="BX43" i="95" s="1"/>
  <c r="BS43" i="95"/>
  <c r="BO43" i="95"/>
  <c r="BK43" i="95"/>
  <c r="BG43" i="95"/>
  <c r="BC43" i="95"/>
  <c r="AY43" i="95"/>
  <c r="AU43" i="95"/>
  <c r="AQ43" i="95"/>
  <c r="AA43" i="95"/>
  <c r="W43" i="95"/>
  <c r="S43" i="95"/>
  <c r="O43" i="95"/>
  <c r="K43" i="95"/>
  <c r="G43" i="95"/>
  <c r="DU42" i="95"/>
  <c r="DV42" i="95" s="1"/>
  <c r="DX42" i="95" s="1"/>
  <c r="DQ42" i="95"/>
  <c r="DR42" i="95" s="1"/>
  <c r="DT42" i="95" s="1"/>
  <c r="DM42" i="95"/>
  <c r="DN42" i="95" s="1"/>
  <c r="DP42" i="95" s="1"/>
  <c r="DI42" i="95"/>
  <c r="DJ42" i="95" s="1"/>
  <c r="DL42" i="95" s="1"/>
  <c r="DE42" i="95"/>
  <c r="DF42" i="95" s="1"/>
  <c r="DH42" i="95" s="1"/>
  <c r="DA42" i="95"/>
  <c r="DB42" i="95" s="1"/>
  <c r="DD42" i="95" s="1"/>
  <c r="CW42" i="95"/>
  <c r="CX42" i="95" s="1"/>
  <c r="CZ42" i="95" s="1"/>
  <c r="CS42" i="95"/>
  <c r="CT42" i="95" s="1"/>
  <c r="CV42" i="95" s="1"/>
  <c r="CO42" i="95"/>
  <c r="CP42" i="95" s="1"/>
  <c r="CR42" i="95" s="1"/>
  <c r="CK42" i="95"/>
  <c r="CL42" i="95" s="1"/>
  <c r="CN42" i="95" s="1"/>
  <c r="CG42" i="95"/>
  <c r="CH42" i="95" s="1"/>
  <c r="CJ42" i="95" s="1"/>
  <c r="CC42" i="95"/>
  <c r="CD42" i="95" s="1"/>
  <c r="CF42" i="95" s="1"/>
  <c r="BY42" i="95"/>
  <c r="BZ42" i="95" s="1"/>
  <c r="CB42" i="95" s="1"/>
  <c r="BU42" i="95"/>
  <c r="BV42" i="95" s="1"/>
  <c r="BX42" i="95" s="1"/>
  <c r="BS42" i="95"/>
  <c r="BO42" i="95"/>
  <c r="BC42" i="95"/>
  <c r="AY42" i="95"/>
  <c r="AU42" i="95"/>
  <c r="AQ42" i="95"/>
  <c r="AA42" i="95"/>
  <c r="W42" i="95"/>
  <c r="O42" i="95"/>
  <c r="K42" i="95"/>
  <c r="G42" i="95"/>
  <c r="DU41" i="95"/>
  <c r="DV41" i="95" s="1"/>
  <c r="DX41" i="95" s="1"/>
  <c r="DQ41" i="95"/>
  <c r="DR41" i="95" s="1"/>
  <c r="DT41" i="95" s="1"/>
  <c r="DM41" i="95"/>
  <c r="DN41" i="95" s="1"/>
  <c r="DP41" i="95" s="1"/>
  <c r="DI41" i="95"/>
  <c r="DJ41" i="95" s="1"/>
  <c r="DL41" i="95" s="1"/>
  <c r="DE41" i="95"/>
  <c r="DF41" i="95" s="1"/>
  <c r="DH41" i="95" s="1"/>
  <c r="DA41" i="95"/>
  <c r="DB41" i="95" s="1"/>
  <c r="DD41" i="95" s="1"/>
  <c r="CW41" i="95"/>
  <c r="CX41" i="95" s="1"/>
  <c r="CZ41" i="95" s="1"/>
  <c r="CS41" i="95"/>
  <c r="CT41" i="95" s="1"/>
  <c r="CV41" i="95" s="1"/>
  <c r="CO41" i="95"/>
  <c r="CP41" i="95" s="1"/>
  <c r="CR41" i="95" s="1"/>
  <c r="CK41" i="95"/>
  <c r="CL41" i="95" s="1"/>
  <c r="CN41" i="95" s="1"/>
  <c r="CG41" i="95"/>
  <c r="CH41" i="95" s="1"/>
  <c r="CJ41" i="95" s="1"/>
  <c r="CC41" i="95"/>
  <c r="CD41" i="95" s="1"/>
  <c r="CF41" i="95" s="1"/>
  <c r="BY41" i="95"/>
  <c r="BZ41" i="95" s="1"/>
  <c r="CB41" i="95" s="1"/>
  <c r="BU41" i="95"/>
  <c r="BV41" i="95" s="1"/>
  <c r="BX41" i="95" s="1"/>
  <c r="BS41" i="95"/>
  <c r="BO41" i="95"/>
  <c r="BK41" i="95"/>
  <c r="BG41" i="95"/>
  <c r="BC41" i="95"/>
  <c r="AY41" i="95"/>
  <c r="AU41" i="95"/>
  <c r="AQ41" i="95"/>
  <c r="AA41" i="95"/>
  <c r="W41" i="95"/>
  <c r="S41" i="95"/>
  <c r="O41" i="95"/>
  <c r="K41" i="95"/>
  <c r="G41" i="95"/>
  <c r="DU40" i="95"/>
  <c r="DV40" i="95" s="1"/>
  <c r="DX40" i="95" s="1"/>
  <c r="DQ40" i="95"/>
  <c r="DR40" i="95" s="1"/>
  <c r="DT40" i="95" s="1"/>
  <c r="DM40" i="95"/>
  <c r="DN40" i="95" s="1"/>
  <c r="DP40" i="95" s="1"/>
  <c r="DI40" i="95"/>
  <c r="DJ40" i="95" s="1"/>
  <c r="DL40" i="95" s="1"/>
  <c r="DE40" i="95"/>
  <c r="DF40" i="95" s="1"/>
  <c r="DH40" i="95" s="1"/>
  <c r="DA40" i="95"/>
  <c r="DB40" i="95" s="1"/>
  <c r="DD40" i="95" s="1"/>
  <c r="CW40" i="95"/>
  <c r="CX40" i="95" s="1"/>
  <c r="CZ40" i="95" s="1"/>
  <c r="CS40" i="95"/>
  <c r="CT40" i="95" s="1"/>
  <c r="CV40" i="95" s="1"/>
  <c r="CO40" i="95"/>
  <c r="CP40" i="95" s="1"/>
  <c r="CR40" i="95" s="1"/>
  <c r="CK40" i="95"/>
  <c r="CL40" i="95" s="1"/>
  <c r="CN40" i="95" s="1"/>
  <c r="CG40" i="95"/>
  <c r="CH40" i="95" s="1"/>
  <c r="CJ40" i="95" s="1"/>
  <c r="CC40" i="95"/>
  <c r="CD40" i="95" s="1"/>
  <c r="CF40" i="95" s="1"/>
  <c r="BY40" i="95"/>
  <c r="BZ40" i="95" s="1"/>
  <c r="CB40" i="95" s="1"/>
  <c r="BU40" i="95"/>
  <c r="BV40" i="95" s="1"/>
  <c r="BX40" i="95" s="1"/>
  <c r="BS40" i="95"/>
  <c r="BO40" i="95"/>
  <c r="BK40" i="95"/>
  <c r="BG40" i="95"/>
  <c r="BC40" i="95"/>
  <c r="AY40" i="95"/>
  <c r="AU40" i="95"/>
  <c r="AQ40" i="95"/>
  <c r="AA40" i="95"/>
  <c r="W40" i="95"/>
  <c r="S40" i="95"/>
  <c r="O40" i="95"/>
  <c r="K40" i="95"/>
  <c r="G40" i="95"/>
  <c r="DU39" i="95"/>
  <c r="DV39" i="95" s="1"/>
  <c r="DX39" i="95" s="1"/>
  <c r="DQ39" i="95"/>
  <c r="DR39" i="95" s="1"/>
  <c r="DT39" i="95" s="1"/>
  <c r="DM39" i="95"/>
  <c r="DN39" i="95" s="1"/>
  <c r="DP39" i="95" s="1"/>
  <c r="DI39" i="95"/>
  <c r="DJ39" i="95" s="1"/>
  <c r="DL39" i="95" s="1"/>
  <c r="DE39" i="95"/>
  <c r="DF39" i="95" s="1"/>
  <c r="DH39" i="95" s="1"/>
  <c r="DA39" i="95"/>
  <c r="DB39" i="95" s="1"/>
  <c r="DD39" i="95" s="1"/>
  <c r="CW39" i="95"/>
  <c r="CX39" i="95" s="1"/>
  <c r="CZ39" i="95" s="1"/>
  <c r="CS39" i="95"/>
  <c r="CT39" i="95" s="1"/>
  <c r="CV39" i="95" s="1"/>
  <c r="CO39" i="95"/>
  <c r="CP39" i="95" s="1"/>
  <c r="CR39" i="95" s="1"/>
  <c r="CK39" i="95"/>
  <c r="CL39" i="95" s="1"/>
  <c r="CN39" i="95" s="1"/>
  <c r="CG39" i="95"/>
  <c r="CH39" i="95" s="1"/>
  <c r="CJ39" i="95" s="1"/>
  <c r="CC39" i="95"/>
  <c r="CD39" i="95" s="1"/>
  <c r="CF39" i="95" s="1"/>
  <c r="BY39" i="95"/>
  <c r="BZ39" i="95" s="1"/>
  <c r="CB39" i="95" s="1"/>
  <c r="BU39" i="95"/>
  <c r="BV39" i="95" s="1"/>
  <c r="BX39" i="95" s="1"/>
  <c r="BO39" i="95"/>
  <c r="BK39" i="95"/>
  <c r="BG39" i="95"/>
  <c r="BC39" i="95"/>
  <c r="AY39" i="95"/>
  <c r="AU39" i="95"/>
  <c r="AQ39" i="95"/>
  <c r="AA39" i="95"/>
  <c r="W39" i="95"/>
  <c r="S39" i="95"/>
  <c r="O39" i="95"/>
  <c r="K39" i="95"/>
  <c r="G39" i="95"/>
  <c r="DU38" i="95"/>
  <c r="DV38" i="95" s="1"/>
  <c r="DX38" i="95" s="1"/>
  <c r="DQ38" i="95"/>
  <c r="DR38" i="95" s="1"/>
  <c r="DT38" i="95" s="1"/>
  <c r="DM38" i="95"/>
  <c r="DN38" i="95" s="1"/>
  <c r="DP38" i="95" s="1"/>
  <c r="DI38" i="95"/>
  <c r="DJ38" i="95" s="1"/>
  <c r="DL38" i="95" s="1"/>
  <c r="DE38" i="95"/>
  <c r="DF38" i="95" s="1"/>
  <c r="DH38" i="95" s="1"/>
  <c r="DA38" i="95"/>
  <c r="DB38" i="95" s="1"/>
  <c r="DD38" i="95" s="1"/>
  <c r="CW38" i="95"/>
  <c r="CX38" i="95" s="1"/>
  <c r="CZ38" i="95" s="1"/>
  <c r="CS38" i="95"/>
  <c r="CT38" i="95" s="1"/>
  <c r="CV38" i="95" s="1"/>
  <c r="CO38" i="95"/>
  <c r="CP38" i="95" s="1"/>
  <c r="CR38" i="95" s="1"/>
  <c r="CK38" i="95"/>
  <c r="CL38" i="95" s="1"/>
  <c r="CN38" i="95" s="1"/>
  <c r="CG38" i="95"/>
  <c r="CH38" i="95" s="1"/>
  <c r="CJ38" i="95" s="1"/>
  <c r="CC38" i="95"/>
  <c r="CD38" i="95" s="1"/>
  <c r="CF38" i="95" s="1"/>
  <c r="BY38" i="95"/>
  <c r="BZ38" i="95" s="1"/>
  <c r="CB38" i="95" s="1"/>
  <c r="BU38" i="95"/>
  <c r="BV38" i="95" s="1"/>
  <c r="BX38" i="95" s="1"/>
  <c r="BS38" i="95"/>
  <c r="BO38" i="95"/>
  <c r="BK38" i="95"/>
  <c r="BG38" i="95"/>
  <c r="BE38" i="95"/>
  <c r="BF38" i="95" s="1"/>
  <c r="BC38" i="95"/>
  <c r="AY38" i="95"/>
  <c r="AU38" i="95"/>
  <c r="AQ38" i="95"/>
  <c r="AA38" i="95"/>
  <c r="W38" i="95"/>
  <c r="S38" i="95"/>
  <c r="O38" i="95"/>
  <c r="K38" i="95"/>
  <c r="G38" i="95"/>
  <c r="DU37" i="95"/>
  <c r="DV37" i="95" s="1"/>
  <c r="DX37" i="95" s="1"/>
  <c r="DQ37" i="95"/>
  <c r="DR37" i="95" s="1"/>
  <c r="DT37" i="95" s="1"/>
  <c r="DM37" i="95"/>
  <c r="DN37" i="95" s="1"/>
  <c r="DP37" i="95" s="1"/>
  <c r="DI37" i="95"/>
  <c r="DJ37" i="95" s="1"/>
  <c r="DL37" i="95" s="1"/>
  <c r="DE37" i="95"/>
  <c r="DF37" i="95" s="1"/>
  <c r="DH37" i="95" s="1"/>
  <c r="DA37" i="95"/>
  <c r="DB37" i="95" s="1"/>
  <c r="DD37" i="95" s="1"/>
  <c r="CW37" i="95"/>
  <c r="CX37" i="95" s="1"/>
  <c r="CZ37" i="95" s="1"/>
  <c r="CS37" i="95"/>
  <c r="CT37" i="95" s="1"/>
  <c r="CV37" i="95" s="1"/>
  <c r="CO37" i="95"/>
  <c r="CP37" i="95" s="1"/>
  <c r="CR37" i="95" s="1"/>
  <c r="CK37" i="95"/>
  <c r="CL37" i="95" s="1"/>
  <c r="CN37" i="95" s="1"/>
  <c r="CG37" i="95"/>
  <c r="CH37" i="95" s="1"/>
  <c r="CJ37" i="95" s="1"/>
  <c r="CC37" i="95"/>
  <c r="CD37" i="95" s="1"/>
  <c r="CF37" i="95" s="1"/>
  <c r="BY37" i="95"/>
  <c r="BZ37" i="95" s="1"/>
  <c r="CB37" i="95" s="1"/>
  <c r="BU37" i="95"/>
  <c r="BV37" i="95" s="1"/>
  <c r="BX37" i="95" s="1"/>
  <c r="BS37" i="95"/>
  <c r="BO37" i="95"/>
  <c r="BK37" i="95"/>
  <c r="BG37" i="95"/>
  <c r="BC37" i="95"/>
  <c r="AY37" i="95"/>
  <c r="AU37" i="95"/>
  <c r="AQ37" i="95"/>
  <c r="AA37" i="95"/>
  <c r="W37" i="95"/>
  <c r="S37" i="95"/>
  <c r="O37" i="95"/>
  <c r="K37" i="95"/>
  <c r="G37" i="95"/>
  <c r="DU36" i="95"/>
  <c r="DV36" i="95" s="1"/>
  <c r="DX36" i="95" s="1"/>
  <c r="DQ36" i="95"/>
  <c r="DR36" i="95" s="1"/>
  <c r="DT36" i="95" s="1"/>
  <c r="DM36" i="95"/>
  <c r="DN36" i="95" s="1"/>
  <c r="DP36" i="95" s="1"/>
  <c r="DI36" i="95"/>
  <c r="DJ36" i="95" s="1"/>
  <c r="DL36" i="95" s="1"/>
  <c r="DE36" i="95"/>
  <c r="DF36" i="95" s="1"/>
  <c r="DH36" i="95" s="1"/>
  <c r="DA36" i="95"/>
  <c r="DB36" i="95" s="1"/>
  <c r="DD36" i="95" s="1"/>
  <c r="CW36" i="95"/>
  <c r="CX36" i="95" s="1"/>
  <c r="CZ36" i="95" s="1"/>
  <c r="CS36" i="95"/>
  <c r="CT36" i="95" s="1"/>
  <c r="CV36" i="95" s="1"/>
  <c r="CO36" i="95"/>
  <c r="CP36" i="95" s="1"/>
  <c r="CR36" i="95" s="1"/>
  <c r="CK36" i="95"/>
  <c r="CL36" i="95" s="1"/>
  <c r="CN36" i="95" s="1"/>
  <c r="CG36" i="95"/>
  <c r="CH36" i="95" s="1"/>
  <c r="CJ36" i="95" s="1"/>
  <c r="CC36" i="95"/>
  <c r="CD36" i="95" s="1"/>
  <c r="CF36" i="95" s="1"/>
  <c r="BY36" i="95"/>
  <c r="BZ36" i="95" s="1"/>
  <c r="CB36" i="95" s="1"/>
  <c r="BU36" i="95"/>
  <c r="BV36" i="95" s="1"/>
  <c r="BX36" i="95" s="1"/>
  <c r="BO36" i="95"/>
  <c r="BK36" i="95"/>
  <c r="BC36" i="95"/>
  <c r="AY36" i="95"/>
  <c r="AU36" i="95"/>
  <c r="AQ36" i="95"/>
  <c r="AA36" i="95"/>
  <c r="W36" i="95"/>
  <c r="K36" i="95"/>
  <c r="G36" i="95"/>
  <c r="DU35" i="95"/>
  <c r="DV35" i="95" s="1"/>
  <c r="DX35" i="95" s="1"/>
  <c r="DQ35" i="95"/>
  <c r="DR35" i="95" s="1"/>
  <c r="DT35" i="95" s="1"/>
  <c r="DM35" i="95"/>
  <c r="DN35" i="95" s="1"/>
  <c r="DP35" i="95" s="1"/>
  <c r="DI35" i="95"/>
  <c r="DJ35" i="95" s="1"/>
  <c r="DL35" i="95" s="1"/>
  <c r="DE35" i="95"/>
  <c r="DF35" i="95" s="1"/>
  <c r="DH35" i="95" s="1"/>
  <c r="DA35" i="95"/>
  <c r="DB35" i="95" s="1"/>
  <c r="DD35" i="95" s="1"/>
  <c r="CW35" i="95"/>
  <c r="CX35" i="95" s="1"/>
  <c r="CZ35" i="95" s="1"/>
  <c r="CS35" i="95"/>
  <c r="CT35" i="95" s="1"/>
  <c r="CV35" i="95" s="1"/>
  <c r="CO35" i="95"/>
  <c r="CP35" i="95" s="1"/>
  <c r="CR35" i="95" s="1"/>
  <c r="CK35" i="95"/>
  <c r="CL35" i="95" s="1"/>
  <c r="CN35" i="95" s="1"/>
  <c r="CG35" i="95"/>
  <c r="CH35" i="95" s="1"/>
  <c r="CJ35" i="95" s="1"/>
  <c r="CC35" i="95"/>
  <c r="CD35" i="95" s="1"/>
  <c r="CF35" i="95" s="1"/>
  <c r="BY35" i="95"/>
  <c r="BZ35" i="95" s="1"/>
  <c r="CB35" i="95" s="1"/>
  <c r="BU35" i="95"/>
  <c r="BV35" i="95" s="1"/>
  <c r="BX35" i="95" s="1"/>
  <c r="BS35" i="95"/>
  <c r="BO35" i="95"/>
  <c r="BG35" i="95"/>
  <c r="BC35" i="95"/>
  <c r="AY35" i="95"/>
  <c r="AU35" i="95"/>
  <c r="AQ35" i="95"/>
  <c r="AA35" i="95"/>
  <c r="W35" i="95"/>
  <c r="S35" i="95"/>
  <c r="O35" i="95"/>
  <c r="K35" i="95"/>
  <c r="G35" i="95"/>
  <c r="DU34" i="95"/>
  <c r="DV34" i="95" s="1"/>
  <c r="DX34" i="95" s="1"/>
  <c r="DQ34" i="95"/>
  <c r="DR34" i="95" s="1"/>
  <c r="DT34" i="95" s="1"/>
  <c r="DM34" i="95"/>
  <c r="DN34" i="95" s="1"/>
  <c r="DP34" i="95" s="1"/>
  <c r="DI34" i="95"/>
  <c r="DJ34" i="95" s="1"/>
  <c r="DL34" i="95" s="1"/>
  <c r="DE34" i="95"/>
  <c r="DF34" i="95" s="1"/>
  <c r="DH34" i="95" s="1"/>
  <c r="DA34" i="95"/>
  <c r="DB34" i="95" s="1"/>
  <c r="DD34" i="95" s="1"/>
  <c r="CW34" i="95"/>
  <c r="CX34" i="95" s="1"/>
  <c r="CZ34" i="95" s="1"/>
  <c r="CS34" i="95"/>
  <c r="CT34" i="95" s="1"/>
  <c r="CV34" i="95" s="1"/>
  <c r="CO34" i="95"/>
  <c r="CP34" i="95" s="1"/>
  <c r="CR34" i="95" s="1"/>
  <c r="CK34" i="95"/>
  <c r="CL34" i="95" s="1"/>
  <c r="CN34" i="95" s="1"/>
  <c r="CG34" i="95"/>
  <c r="CH34" i="95" s="1"/>
  <c r="CJ34" i="95" s="1"/>
  <c r="CC34" i="95"/>
  <c r="CD34" i="95" s="1"/>
  <c r="CF34" i="95" s="1"/>
  <c r="BY34" i="95"/>
  <c r="BZ34" i="95" s="1"/>
  <c r="CB34" i="95" s="1"/>
  <c r="BU34" i="95"/>
  <c r="BV34" i="95" s="1"/>
  <c r="BX34" i="95" s="1"/>
  <c r="BS34" i="95"/>
  <c r="BO34" i="95"/>
  <c r="BK34" i="95"/>
  <c r="BG34" i="95"/>
  <c r="BC34" i="95"/>
  <c r="AY34" i="95"/>
  <c r="AU34" i="95"/>
  <c r="AQ34" i="95"/>
  <c r="AA34" i="95"/>
  <c r="W34" i="95"/>
  <c r="S34" i="95"/>
  <c r="O34" i="95"/>
  <c r="K34" i="95"/>
  <c r="G34" i="95"/>
  <c r="DU33" i="95"/>
  <c r="DV33" i="95" s="1"/>
  <c r="DX33" i="95" s="1"/>
  <c r="DQ33" i="95"/>
  <c r="DR33" i="95" s="1"/>
  <c r="DT33" i="95" s="1"/>
  <c r="DM33" i="95"/>
  <c r="DN33" i="95" s="1"/>
  <c r="DP33" i="95" s="1"/>
  <c r="DI33" i="95"/>
  <c r="DJ33" i="95" s="1"/>
  <c r="DL33" i="95" s="1"/>
  <c r="DE33" i="95"/>
  <c r="DF33" i="95" s="1"/>
  <c r="DH33" i="95" s="1"/>
  <c r="DA33" i="95"/>
  <c r="DB33" i="95" s="1"/>
  <c r="DD33" i="95" s="1"/>
  <c r="CW33" i="95"/>
  <c r="CX33" i="95" s="1"/>
  <c r="CZ33" i="95" s="1"/>
  <c r="CS33" i="95"/>
  <c r="CT33" i="95" s="1"/>
  <c r="CV33" i="95" s="1"/>
  <c r="CO33" i="95"/>
  <c r="CP33" i="95" s="1"/>
  <c r="CR33" i="95" s="1"/>
  <c r="CK33" i="95"/>
  <c r="CL33" i="95" s="1"/>
  <c r="CN33" i="95" s="1"/>
  <c r="CG33" i="95"/>
  <c r="CH33" i="95" s="1"/>
  <c r="CJ33" i="95" s="1"/>
  <c r="BY33" i="95"/>
  <c r="BZ33" i="95" s="1"/>
  <c r="CB33" i="95" s="1"/>
  <c r="BU33" i="95"/>
  <c r="BV33" i="95" s="1"/>
  <c r="BX33" i="95" s="1"/>
  <c r="BS33" i="95"/>
  <c r="BO33" i="95"/>
  <c r="BK33" i="95"/>
  <c r="BG33" i="95"/>
  <c r="BC33" i="95"/>
  <c r="AY33" i="95"/>
  <c r="AU33" i="95"/>
  <c r="AQ33" i="95"/>
  <c r="AA33" i="95"/>
  <c r="W33" i="95"/>
  <c r="S33" i="95"/>
  <c r="O33" i="95"/>
  <c r="K33" i="95"/>
  <c r="G33" i="95"/>
  <c r="DU32" i="95"/>
  <c r="DV32" i="95" s="1"/>
  <c r="DX32" i="95" s="1"/>
  <c r="DQ32" i="95"/>
  <c r="DR32" i="95" s="1"/>
  <c r="DT32" i="95" s="1"/>
  <c r="DM32" i="95"/>
  <c r="DN32" i="95" s="1"/>
  <c r="DP32" i="95" s="1"/>
  <c r="DI32" i="95"/>
  <c r="DJ32" i="95" s="1"/>
  <c r="DL32" i="95" s="1"/>
  <c r="DE32" i="95"/>
  <c r="DF32" i="95" s="1"/>
  <c r="DH32" i="95" s="1"/>
  <c r="DA32" i="95"/>
  <c r="DB32" i="95" s="1"/>
  <c r="DD32" i="95" s="1"/>
  <c r="CW32" i="95"/>
  <c r="CX32" i="95" s="1"/>
  <c r="CZ32" i="95" s="1"/>
  <c r="CS32" i="95"/>
  <c r="CT32" i="95" s="1"/>
  <c r="CV32" i="95" s="1"/>
  <c r="CO32" i="95"/>
  <c r="CP32" i="95" s="1"/>
  <c r="CR32" i="95" s="1"/>
  <c r="CK32" i="95"/>
  <c r="CL32" i="95" s="1"/>
  <c r="CN32" i="95" s="1"/>
  <c r="CG32" i="95"/>
  <c r="CH32" i="95" s="1"/>
  <c r="CJ32" i="95" s="1"/>
  <c r="BY32" i="95"/>
  <c r="BZ32" i="95" s="1"/>
  <c r="CB32" i="95" s="1"/>
  <c r="BU32" i="95"/>
  <c r="BV32" i="95" s="1"/>
  <c r="BX32" i="95" s="1"/>
  <c r="BS32" i="95"/>
  <c r="BO32" i="95"/>
  <c r="BI32" i="95"/>
  <c r="BJ32" i="95" s="1"/>
  <c r="BL32" i="95" s="1"/>
  <c r="BG32" i="95"/>
  <c r="BC32" i="95"/>
  <c r="AY32" i="95"/>
  <c r="AU32" i="95"/>
  <c r="AQ32" i="95"/>
  <c r="AA32" i="95"/>
  <c r="W32" i="95"/>
  <c r="S32" i="95"/>
  <c r="O32" i="95"/>
  <c r="K32" i="95"/>
  <c r="DU31" i="95"/>
  <c r="DV31" i="95" s="1"/>
  <c r="DX31" i="95" s="1"/>
  <c r="DQ31" i="95"/>
  <c r="DR31" i="95" s="1"/>
  <c r="DT31" i="95" s="1"/>
  <c r="DM31" i="95"/>
  <c r="DN31" i="95" s="1"/>
  <c r="DP31" i="95" s="1"/>
  <c r="DI31" i="95"/>
  <c r="DJ31" i="95" s="1"/>
  <c r="DL31" i="95" s="1"/>
  <c r="DE31" i="95"/>
  <c r="DF31" i="95" s="1"/>
  <c r="DH31" i="95" s="1"/>
  <c r="DA31" i="95"/>
  <c r="DB31" i="95" s="1"/>
  <c r="DD31" i="95" s="1"/>
  <c r="CW31" i="95"/>
  <c r="CX31" i="95" s="1"/>
  <c r="CZ31" i="95" s="1"/>
  <c r="CS31" i="95"/>
  <c r="CT31" i="95" s="1"/>
  <c r="CV31" i="95" s="1"/>
  <c r="CO31" i="95"/>
  <c r="CP31" i="95" s="1"/>
  <c r="CR31" i="95" s="1"/>
  <c r="CK31" i="95"/>
  <c r="CL31" i="95" s="1"/>
  <c r="CN31" i="95" s="1"/>
  <c r="CG31" i="95"/>
  <c r="CH31" i="95" s="1"/>
  <c r="CJ31" i="95" s="1"/>
  <c r="BY31" i="95"/>
  <c r="BZ31" i="95" s="1"/>
  <c r="CB31" i="95" s="1"/>
  <c r="BU31" i="95"/>
  <c r="BV31" i="95" s="1"/>
  <c r="BX31" i="95" s="1"/>
  <c r="BS31" i="95"/>
  <c r="BO31" i="95"/>
  <c r="BK31" i="95"/>
  <c r="BG31" i="95"/>
  <c r="AY31" i="95"/>
  <c r="AU31" i="95"/>
  <c r="AQ31" i="95"/>
  <c r="AA31" i="95"/>
  <c r="W31" i="95"/>
  <c r="S31" i="95"/>
  <c r="O31" i="95"/>
  <c r="K31" i="95"/>
  <c r="G31" i="95"/>
  <c r="DU30" i="95"/>
  <c r="DV30" i="95" s="1"/>
  <c r="DX30" i="95" s="1"/>
  <c r="DQ30" i="95"/>
  <c r="DR30" i="95" s="1"/>
  <c r="DT30" i="95" s="1"/>
  <c r="DM30" i="95"/>
  <c r="DN30" i="95" s="1"/>
  <c r="DP30" i="95" s="1"/>
  <c r="DI30" i="95"/>
  <c r="DJ30" i="95" s="1"/>
  <c r="DL30" i="95" s="1"/>
  <c r="DE30" i="95"/>
  <c r="DF30" i="95" s="1"/>
  <c r="DH30" i="95" s="1"/>
  <c r="DA30" i="95"/>
  <c r="DB30" i="95" s="1"/>
  <c r="DD30" i="95" s="1"/>
  <c r="CW30" i="95"/>
  <c r="CX30" i="95" s="1"/>
  <c r="CZ30" i="95" s="1"/>
  <c r="CS30" i="95"/>
  <c r="CT30" i="95" s="1"/>
  <c r="CV30" i="95" s="1"/>
  <c r="CO30" i="95"/>
  <c r="CP30" i="95" s="1"/>
  <c r="CR30" i="95" s="1"/>
  <c r="CK30" i="95"/>
  <c r="CL30" i="95" s="1"/>
  <c r="CN30" i="95" s="1"/>
  <c r="CG30" i="95"/>
  <c r="CH30" i="95" s="1"/>
  <c r="CJ30" i="95" s="1"/>
  <c r="BY30" i="95"/>
  <c r="BZ30" i="95" s="1"/>
  <c r="CB30" i="95" s="1"/>
  <c r="BU30" i="95"/>
  <c r="BV30" i="95" s="1"/>
  <c r="BX30" i="95" s="1"/>
  <c r="BS30" i="95"/>
  <c r="BO30" i="95"/>
  <c r="BK30" i="95"/>
  <c r="BG30" i="95"/>
  <c r="BC30" i="95"/>
  <c r="AY30" i="95"/>
  <c r="AU30" i="95"/>
  <c r="AQ30" i="95"/>
  <c r="AA30" i="95"/>
  <c r="W30" i="95"/>
  <c r="S30" i="95"/>
  <c r="O30" i="95"/>
  <c r="K30" i="95"/>
  <c r="G30" i="95"/>
  <c r="DU29" i="95"/>
  <c r="DV29" i="95" s="1"/>
  <c r="DX29" i="95" s="1"/>
  <c r="DQ29" i="95"/>
  <c r="DR29" i="95" s="1"/>
  <c r="DT29" i="95" s="1"/>
  <c r="DM29" i="95"/>
  <c r="DN29" i="95" s="1"/>
  <c r="DP29" i="95" s="1"/>
  <c r="DI29" i="95"/>
  <c r="DJ29" i="95" s="1"/>
  <c r="DL29" i="95" s="1"/>
  <c r="DE29" i="95"/>
  <c r="DF29" i="95" s="1"/>
  <c r="DH29" i="95" s="1"/>
  <c r="DA29" i="95"/>
  <c r="DB29" i="95" s="1"/>
  <c r="DD29" i="95" s="1"/>
  <c r="CW29" i="95"/>
  <c r="CX29" i="95" s="1"/>
  <c r="CZ29" i="95" s="1"/>
  <c r="CS29" i="95"/>
  <c r="CT29" i="95" s="1"/>
  <c r="CV29" i="95" s="1"/>
  <c r="CO29" i="95"/>
  <c r="CP29" i="95" s="1"/>
  <c r="CR29" i="95" s="1"/>
  <c r="CK29" i="95"/>
  <c r="CL29" i="95" s="1"/>
  <c r="CN29" i="95" s="1"/>
  <c r="CG29" i="95"/>
  <c r="CH29" i="95" s="1"/>
  <c r="CJ29" i="95" s="1"/>
  <c r="BY29" i="95"/>
  <c r="BZ29" i="95" s="1"/>
  <c r="CB29" i="95" s="1"/>
  <c r="BU29" i="95"/>
  <c r="BV29" i="95" s="1"/>
  <c r="BX29" i="95" s="1"/>
  <c r="BS29" i="95"/>
  <c r="BO29" i="95"/>
  <c r="BK29" i="95"/>
  <c r="BG29" i="95"/>
  <c r="BC29" i="95"/>
  <c r="AY29" i="95"/>
  <c r="AU29" i="95"/>
  <c r="AQ29" i="95"/>
  <c r="AA29" i="95"/>
  <c r="W29" i="95"/>
  <c r="S29" i="95"/>
  <c r="K29" i="95"/>
  <c r="G29" i="95"/>
  <c r="DU28" i="95"/>
  <c r="DV28" i="95" s="1"/>
  <c r="DX28" i="95" s="1"/>
  <c r="DQ28" i="95"/>
  <c r="DR28" i="95" s="1"/>
  <c r="DT28" i="95" s="1"/>
  <c r="DM28" i="95"/>
  <c r="DN28" i="95" s="1"/>
  <c r="DP28" i="95" s="1"/>
  <c r="DI28" i="95"/>
  <c r="DJ28" i="95" s="1"/>
  <c r="DL28" i="95" s="1"/>
  <c r="DE28" i="95"/>
  <c r="DF28" i="95" s="1"/>
  <c r="DH28" i="95" s="1"/>
  <c r="DA28" i="95"/>
  <c r="DB28" i="95" s="1"/>
  <c r="DD28" i="95" s="1"/>
  <c r="CW28" i="95"/>
  <c r="CX28" i="95" s="1"/>
  <c r="CZ28" i="95" s="1"/>
  <c r="CS28" i="95"/>
  <c r="CT28" i="95" s="1"/>
  <c r="CV28" i="95" s="1"/>
  <c r="CO28" i="95"/>
  <c r="CP28" i="95" s="1"/>
  <c r="CR28" i="95" s="1"/>
  <c r="CK28" i="95"/>
  <c r="CL28" i="95" s="1"/>
  <c r="CN28" i="95" s="1"/>
  <c r="CG28" i="95"/>
  <c r="CH28" i="95" s="1"/>
  <c r="CJ28" i="95" s="1"/>
  <c r="BY28" i="95"/>
  <c r="BZ28" i="95" s="1"/>
  <c r="CB28" i="95" s="1"/>
  <c r="BU28" i="95"/>
  <c r="BV28" i="95" s="1"/>
  <c r="BX28" i="95" s="1"/>
  <c r="BS28" i="95"/>
  <c r="BO28" i="95"/>
  <c r="BK28" i="95"/>
  <c r="BG28" i="95"/>
  <c r="BC28" i="95"/>
  <c r="AY28" i="95"/>
  <c r="AU28" i="95"/>
  <c r="AQ28" i="95"/>
  <c r="AA28" i="95"/>
  <c r="W28" i="95"/>
  <c r="S28" i="95"/>
  <c r="O28" i="95"/>
  <c r="K28" i="95"/>
  <c r="G28" i="95"/>
  <c r="DU27" i="95"/>
  <c r="DV27" i="95" s="1"/>
  <c r="DX27" i="95" s="1"/>
  <c r="DQ27" i="95"/>
  <c r="DR27" i="95" s="1"/>
  <c r="DT27" i="95" s="1"/>
  <c r="DM27" i="95"/>
  <c r="DN27" i="95" s="1"/>
  <c r="DP27" i="95" s="1"/>
  <c r="DI27" i="95"/>
  <c r="DJ27" i="95" s="1"/>
  <c r="DL27" i="95" s="1"/>
  <c r="DE27" i="95"/>
  <c r="DF27" i="95" s="1"/>
  <c r="DH27" i="95" s="1"/>
  <c r="DA27" i="95"/>
  <c r="DB27" i="95" s="1"/>
  <c r="DD27" i="95" s="1"/>
  <c r="CW27" i="95"/>
  <c r="CX27" i="95" s="1"/>
  <c r="CZ27" i="95" s="1"/>
  <c r="CS27" i="95"/>
  <c r="CT27" i="95" s="1"/>
  <c r="CV27" i="95" s="1"/>
  <c r="CO27" i="95"/>
  <c r="CP27" i="95" s="1"/>
  <c r="CR27" i="95" s="1"/>
  <c r="CK27" i="95"/>
  <c r="CL27" i="95" s="1"/>
  <c r="CN27" i="95" s="1"/>
  <c r="CG27" i="95"/>
  <c r="CH27" i="95" s="1"/>
  <c r="CJ27" i="95" s="1"/>
  <c r="CC27" i="95"/>
  <c r="CD27" i="95" s="1"/>
  <c r="CF27" i="95" s="1"/>
  <c r="BY27" i="95"/>
  <c r="BZ27" i="95" s="1"/>
  <c r="CB27" i="95" s="1"/>
  <c r="BU27" i="95"/>
  <c r="BV27" i="95" s="1"/>
  <c r="BX27" i="95" s="1"/>
  <c r="BS27" i="95"/>
  <c r="BO27" i="95"/>
  <c r="BK27" i="95"/>
  <c r="BG27" i="95"/>
  <c r="BC27" i="95"/>
  <c r="AY27" i="95"/>
  <c r="AU27" i="95"/>
  <c r="AQ27" i="95"/>
  <c r="W27" i="95"/>
  <c r="S27" i="95"/>
  <c r="O27" i="95"/>
  <c r="K27" i="95"/>
  <c r="G27" i="95"/>
  <c r="DU26" i="95"/>
  <c r="DV26" i="95" s="1"/>
  <c r="DX26" i="95" s="1"/>
  <c r="DQ26" i="95"/>
  <c r="DR26" i="95" s="1"/>
  <c r="DT26" i="95" s="1"/>
  <c r="DM26" i="95"/>
  <c r="DN26" i="95" s="1"/>
  <c r="DP26" i="95" s="1"/>
  <c r="DI26" i="95"/>
  <c r="DJ26" i="95" s="1"/>
  <c r="DL26" i="95" s="1"/>
  <c r="DE26" i="95"/>
  <c r="DF26" i="95" s="1"/>
  <c r="DH26" i="95" s="1"/>
  <c r="DA26" i="95"/>
  <c r="DB26" i="95" s="1"/>
  <c r="DD26" i="95" s="1"/>
  <c r="CW26" i="95"/>
  <c r="CX26" i="95" s="1"/>
  <c r="CZ26" i="95" s="1"/>
  <c r="CS26" i="95"/>
  <c r="CT26" i="95" s="1"/>
  <c r="CV26" i="95" s="1"/>
  <c r="CO26" i="95"/>
  <c r="CP26" i="95" s="1"/>
  <c r="CR26" i="95" s="1"/>
  <c r="CK26" i="95"/>
  <c r="CL26" i="95" s="1"/>
  <c r="CN26" i="95" s="1"/>
  <c r="CG26" i="95"/>
  <c r="CH26" i="95" s="1"/>
  <c r="CJ26" i="95" s="1"/>
  <c r="BY26" i="95"/>
  <c r="BZ26" i="95" s="1"/>
  <c r="CB26" i="95" s="1"/>
  <c r="BU26" i="95"/>
  <c r="BV26" i="95" s="1"/>
  <c r="BX26" i="95" s="1"/>
  <c r="BS26" i="95"/>
  <c r="BO26" i="95"/>
  <c r="BK26" i="95"/>
  <c r="AQ26" i="95"/>
  <c r="AA26" i="95"/>
  <c r="W26" i="95"/>
  <c r="S26" i="95"/>
  <c r="O26" i="95"/>
  <c r="K26" i="95"/>
  <c r="G26" i="95"/>
  <c r="DU25" i="95"/>
  <c r="DV25" i="95" s="1"/>
  <c r="DX25" i="95" s="1"/>
  <c r="DQ25" i="95"/>
  <c r="DR25" i="95" s="1"/>
  <c r="DT25" i="95" s="1"/>
  <c r="DM25" i="95"/>
  <c r="DN25" i="95" s="1"/>
  <c r="DP25" i="95" s="1"/>
  <c r="DI25" i="95"/>
  <c r="DJ25" i="95" s="1"/>
  <c r="DL25" i="95" s="1"/>
  <c r="DE25" i="95"/>
  <c r="DF25" i="95" s="1"/>
  <c r="DH25" i="95" s="1"/>
  <c r="DA25" i="95"/>
  <c r="DB25" i="95" s="1"/>
  <c r="DD25" i="95" s="1"/>
  <c r="CW25" i="95"/>
  <c r="CX25" i="95" s="1"/>
  <c r="CZ25" i="95" s="1"/>
  <c r="CS25" i="95"/>
  <c r="CT25" i="95" s="1"/>
  <c r="CV25" i="95" s="1"/>
  <c r="CO25" i="95"/>
  <c r="CP25" i="95" s="1"/>
  <c r="CR25" i="95" s="1"/>
  <c r="CK25" i="95"/>
  <c r="CL25" i="95" s="1"/>
  <c r="CN25" i="95" s="1"/>
  <c r="CG25" i="95"/>
  <c r="CH25" i="95" s="1"/>
  <c r="CJ25" i="95" s="1"/>
  <c r="BY25" i="95"/>
  <c r="BZ25" i="95" s="1"/>
  <c r="CB25" i="95" s="1"/>
  <c r="BU25" i="95"/>
  <c r="BV25" i="95" s="1"/>
  <c r="BX25" i="95" s="1"/>
  <c r="BS25" i="95"/>
  <c r="BO25" i="95"/>
  <c r="BK25" i="95"/>
  <c r="BG25" i="95"/>
  <c r="BC25" i="95"/>
  <c r="AY25" i="95"/>
  <c r="AU25" i="95"/>
  <c r="AS25" i="95"/>
  <c r="AT25" i="95" s="1"/>
  <c r="AQ25" i="95"/>
  <c r="AA25" i="95"/>
  <c r="S25" i="95"/>
  <c r="K25" i="95"/>
  <c r="G25" i="95"/>
  <c r="DU24" i="95"/>
  <c r="DV24" i="95" s="1"/>
  <c r="DX24" i="95" s="1"/>
  <c r="DQ24" i="95"/>
  <c r="DR24" i="95" s="1"/>
  <c r="DT24" i="95" s="1"/>
  <c r="DM24" i="95"/>
  <c r="DN24" i="95" s="1"/>
  <c r="DP24" i="95" s="1"/>
  <c r="DI24" i="95"/>
  <c r="DJ24" i="95" s="1"/>
  <c r="DL24" i="95" s="1"/>
  <c r="DE24" i="95"/>
  <c r="DF24" i="95" s="1"/>
  <c r="DH24" i="95" s="1"/>
  <c r="DA24" i="95"/>
  <c r="DB24" i="95" s="1"/>
  <c r="DD24" i="95" s="1"/>
  <c r="CW24" i="95"/>
  <c r="CX24" i="95" s="1"/>
  <c r="CZ24" i="95" s="1"/>
  <c r="CS24" i="95"/>
  <c r="CT24" i="95" s="1"/>
  <c r="CV24" i="95" s="1"/>
  <c r="CO24" i="95"/>
  <c r="CP24" i="95" s="1"/>
  <c r="CR24" i="95" s="1"/>
  <c r="CK24" i="95"/>
  <c r="CL24" i="95" s="1"/>
  <c r="CN24" i="95" s="1"/>
  <c r="CG24" i="95"/>
  <c r="CH24" i="95" s="1"/>
  <c r="CJ24" i="95" s="1"/>
  <c r="BY24" i="95"/>
  <c r="BZ24" i="95" s="1"/>
  <c r="CB24" i="95" s="1"/>
  <c r="BU24" i="95"/>
  <c r="BV24" i="95" s="1"/>
  <c r="BX24" i="95" s="1"/>
  <c r="BS24" i="95"/>
  <c r="BO24" i="95"/>
  <c r="BK24" i="95"/>
  <c r="BG24" i="95"/>
  <c r="BC24" i="95"/>
  <c r="AY24" i="95"/>
  <c r="AA24" i="95"/>
  <c r="W24" i="95"/>
  <c r="S24" i="95"/>
  <c r="O24" i="95"/>
  <c r="G24" i="95"/>
  <c r="DU23" i="95"/>
  <c r="DV23" i="95" s="1"/>
  <c r="DX23" i="95" s="1"/>
  <c r="DQ23" i="95"/>
  <c r="DR23" i="95" s="1"/>
  <c r="DT23" i="95" s="1"/>
  <c r="DM23" i="95"/>
  <c r="DN23" i="95" s="1"/>
  <c r="DP23" i="95" s="1"/>
  <c r="DI23" i="95"/>
  <c r="DJ23" i="95" s="1"/>
  <c r="DL23" i="95" s="1"/>
  <c r="DE23" i="95"/>
  <c r="DF23" i="95" s="1"/>
  <c r="DH23" i="95" s="1"/>
  <c r="DA23" i="95"/>
  <c r="DB23" i="95" s="1"/>
  <c r="DD23" i="95" s="1"/>
  <c r="CW23" i="95"/>
  <c r="CX23" i="95" s="1"/>
  <c r="CZ23" i="95" s="1"/>
  <c r="CS23" i="95"/>
  <c r="CT23" i="95" s="1"/>
  <c r="CV23" i="95" s="1"/>
  <c r="CO23" i="95"/>
  <c r="CP23" i="95" s="1"/>
  <c r="CR23" i="95" s="1"/>
  <c r="CK23" i="95"/>
  <c r="CL23" i="95" s="1"/>
  <c r="CN23" i="95" s="1"/>
  <c r="CG23" i="95"/>
  <c r="CH23" i="95" s="1"/>
  <c r="CJ23" i="95" s="1"/>
  <c r="BY23" i="95"/>
  <c r="BZ23" i="95" s="1"/>
  <c r="CB23" i="95" s="1"/>
  <c r="BU23" i="95"/>
  <c r="BV23" i="95" s="1"/>
  <c r="BX23" i="95" s="1"/>
  <c r="BS23" i="95"/>
  <c r="BO23" i="95"/>
  <c r="BK23" i="95"/>
  <c r="BG23" i="95"/>
  <c r="BC23" i="95"/>
  <c r="AY23" i="95"/>
  <c r="AU23" i="95"/>
  <c r="AQ23" i="95"/>
  <c r="AA23" i="95"/>
  <c r="W23" i="95"/>
  <c r="S23" i="95"/>
  <c r="O23" i="95"/>
  <c r="K23" i="95"/>
  <c r="G23" i="95"/>
  <c r="DU22" i="95"/>
  <c r="DV22" i="95" s="1"/>
  <c r="DX22" i="95" s="1"/>
  <c r="DQ22" i="95"/>
  <c r="DR22" i="95" s="1"/>
  <c r="DT22" i="95" s="1"/>
  <c r="DM22" i="95"/>
  <c r="DN22" i="95" s="1"/>
  <c r="DP22" i="95" s="1"/>
  <c r="DI22" i="95"/>
  <c r="DJ22" i="95" s="1"/>
  <c r="DL22" i="95" s="1"/>
  <c r="DE22" i="95"/>
  <c r="DF22" i="95" s="1"/>
  <c r="DH22" i="95" s="1"/>
  <c r="DA22" i="95"/>
  <c r="DB22" i="95" s="1"/>
  <c r="DD22" i="95" s="1"/>
  <c r="CW22" i="95"/>
  <c r="CX22" i="95" s="1"/>
  <c r="CZ22" i="95" s="1"/>
  <c r="CS22" i="95"/>
  <c r="CT22" i="95" s="1"/>
  <c r="CV22" i="95" s="1"/>
  <c r="CO22" i="95"/>
  <c r="CP22" i="95" s="1"/>
  <c r="CR22" i="95" s="1"/>
  <c r="CK22" i="95"/>
  <c r="CL22" i="95" s="1"/>
  <c r="CN22" i="95" s="1"/>
  <c r="CG22" i="95"/>
  <c r="CH22" i="95" s="1"/>
  <c r="CJ22" i="95" s="1"/>
  <c r="BY22" i="95"/>
  <c r="BZ22" i="95" s="1"/>
  <c r="CB22" i="95" s="1"/>
  <c r="BU22" i="95"/>
  <c r="BV22" i="95" s="1"/>
  <c r="BX22" i="95" s="1"/>
  <c r="BS22" i="95"/>
  <c r="BO22" i="95"/>
  <c r="BG22" i="95"/>
  <c r="AY22" i="95"/>
  <c r="AU22" i="95"/>
  <c r="AQ22" i="95"/>
  <c r="AA22" i="95"/>
  <c r="W22" i="95"/>
  <c r="S22" i="95"/>
  <c r="O22" i="95"/>
  <c r="K22" i="95"/>
  <c r="G22" i="95"/>
  <c r="DU21" i="95"/>
  <c r="DV21" i="95" s="1"/>
  <c r="DX21" i="95" s="1"/>
  <c r="DQ21" i="95"/>
  <c r="DR21" i="95" s="1"/>
  <c r="DT21" i="95" s="1"/>
  <c r="DM21" i="95"/>
  <c r="DN21" i="95" s="1"/>
  <c r="DP21" i="95" s="1"/>
  <c r="DI21" i="95"/>
  <c r="DJ21" i="95" s="1"/>
  <c r="DL21" i="95" s="1"/>
  <c r="DE21" i="95"/>
  <c r="DF21" i="95" s="1"/>
  <c r="DH21" i="95" s="1"/>
  <c r="DA21" i="95"/>
  <c r="DB21" i="95" s="1"/>
  <c r="DD21" i="95" s="1"/>
  <c r="CW21" i="95"/>
  <c r="CX21" i="95" s="1"/>
  <c r="CZ21" i="95" s="1"/>
  <c r="CS21" i="95"/>
  <c r="CT21" i="95" s="1"/>
  <c r="CV21" i="95" s="1"/>
  <c r="CO21" i="95"/>
  <c r="CP21" i="95" s="1"/>
  <c r="CR21" i="95" s="1"/>
  <c r="CK21" i="95"/>
  <c r="CL21" i="95" s="1"/>
  <c r="CN21" i="95" s="1"/>
  <c r="CG21" i="95"/>
  <c r="CH21" i="95" s="1"/>
  <c r="CJ21" i="95" s="1"/>
  <c r="BY21" i="95"/>
  <c r="BZ21" i="95" s="1"/>
  <c r="CB21" i="95" s="1"/>
  <c r="BU21" i="95"/>
  <c r="BV21" i="95" s="1"/>
  <c r="BX21" i="95" s="1"/>
  <c r="BS21" i="95"/>
  <c r="BO21" i="95"/>
  <c r="BK21" i="95"/>
  <c r="BG21" i="95"/>
  <c r="BC21" i="95"/>
  <c r="AA21" i="95"/>
  <c r="W21" i="95"/>
  <c r="S21" i="95"/>
  <c r="O21" i="95"/>
  <c r="K21" i="95"/>
  <c r="G21" i="95"/>
  <c r="DU20" i="95"/>
  <c r="DV20" i="95" s="1"/>
  <c r="DX20" i="95" s="1"/>
  <c r="DQ20" i="95"/>
  <c r="DR20" i="95" s="1"/>
  <c r="DT20" i="95" s="1"/>
  <c r="DM20" i="95"/>
  <c r="DN20" i="95" s="1"/>
  <c r="DP20" i="95" s="1"/>
  <c r="DI20" i="95"/>
  <c r="DJ20" i="95" s="1"/>
  <c r="DL20" i="95" s="1"/>
  <c r="DE20" i="95"/>
  <c r="DF20" i="95" s="1"/>
  <c r="DH20" i="95" s="1"/>
  <c r="DA20" i="95"/>
  <c r="DB20" i="95" s="1"/>
  <c r="DD20" i="95" s="1"/>
  <c r="CW20" i="95"/>
  <c r="CX20" i="95" s="1"/>
  <c r="CZ20" i="95" s="1"/>
  <c r="CS20" i="95"/>
  <c r="CT20" i="95" s="1"/>
  <c r="CV20" i="95" s="1"/>
  <c r="CO20" i="95"/>
  <c r="CP20" i="95" s="1"/>
  <c r="CR20" i="95" s="1"/>
  <c r="CK20" i="95"/>
  <c r="CL20" i="95" s="1"/>
  <c r="CN20" i="95" s="1"/>
  <c r="CG20" i="95"/>
  <c r="CH20" i="95" s="1"/>
  <c r="CJ20" i="95" s="1"/>
  <c r="BY20" i="95"/>
  <c r="BZ20" i="95" s="1"/>
  <c r="CB20" i="95" s="1"/>
  <c r="BU20" i="95"/>
  <c r="BV20" i="95" s="1"/>
  <c r="BX20" i="95" s="1"/>
  <c r="BS20" i="95"/>
  <c r="BO20" i="95"/>
  <c r="BK20" i="95"/>
  <c r="BG20" i="95"/>
  <c r="BC20" i="95"/>
  <c r="AY20" i="95"/>
  <c r="AQ20" i="95"/>
  <c r="AA20" i="95"/>
  <c r="W20" i="95"/>
  <c r="S20" i="95"/>
  <c r="O20" i="95"/>
  <c r="K20" i="95"/>
  <c r="G20" i="95"/>
  <c r="DU19" i="95"/>
  <c r="DV19" i="95" s="1"/>
  <c r="DX19" i="95" s="1"/>
  <c r="DQ19" i="95"/>
  <c r="DR19" i="95" s="1"/>
  <c r="DT19" i="95" s="1"/>
  <c r="DM19" i="95"/>
  <c r="DN19" i="95" s="1"/>
  <c r="DP19" i="95" s="1"/>
  <c r="DI19" i="95"/>
  <c r="DJ19" i="95" s="1"/>
  <c r="DL19" i="95" s="1"/>
  <c r="DE19" i="95"/>
  <c r="DF19" i="95" s="1"/>
  <c r="DH19" i="95" s="1"/>
  <c r="DA19" i="95"/>
  <c r="DB19" i="95" s="1"/>
  <c r="DD19" i="95" s="1"/>
  <c r="CW19" i="95"/>
  <c r="CX19" i="95" s="1"/>
  <c r="CZ19" i="95" s="1"/>
  <c r="CS19" i="95"/>
  <c r="CT19" i="95" s="1"/>
  <c r="CV19" i="95" s="1"/>
  <c r="CO19" i="95"/>
  <c r="CP19" i="95" s="1"/>
  <c r="CR19" i="95" s="1"/>
  <c r="CK19" i="95"/>
  <c r="CL19" i="95" s="1"/>
  <c r="CN19" i="95" s="1"/>
  <c r="CG19" i="95"/>
  <c r="CH19" i="95" s="1"/>
  <c r="CJ19" i="95" s="1"/>
  <c r="BY19" i="95"/>
  <c r="BZ19" i="95" s="1"/>
  <c r="CB19" i="95" s="1"/>
  <c r="BU19" i="95"/>
  <c r="BV19" i="95" s="1"/>
  <c r="BX19" i="95" s="1"/>
  <c r="BS19" i="95"/>
  <c r="BO19" i="95"/>
  <c r="BK19" i="95"/>
  <c r="BG19" i="95"/>
  <c r="BC19" i="95"/>
  <c r="AU19" i="95"/>
  <c r="AQ19" i="95"/>
  <c r="AA19" i="95"/>
  <c r="W19" i="95"/>
  <c r="S19" i="95"/>
  <c r="O19" i="95"/>
  <c r="K19" i="95"/>
  <c r="G19" i="95"/>
  <c r="DU18" i="95"/>
  <c r="DV18" i="95" s="1"/>
  <c r="DX18" i="95" s="1"/>
  <c r="DQ18" i="95"/>
  <c r="DR18" i="95" s="1"/>
  <c r="DT18" i="95" s="1"/>
  <c r="DM18" i="95"/>
  <c r="DN18" i="95" s="1"/>
  <c r="DP18" i="95" s="1"/>
  <c r="DI18" i="95"/>
  <c r="DJ18" i="95" s="1"/>
  <c r="DL18" i="95" s="1"/>
  <c r="DE18" i="95"/>
  <c r="DF18" i="95" s="1"/>
  <c r="DH18" i="95" s="1"/>
  <c r="DA18" i="95"/>
  <c r="DB18" i="95" s="1"/>
  <c r="DD18" i="95" s="1"/>
  <c r="CW18" i="95"/>
  <c r="CX18" i="95" s="1"/>
  <c r="CZ18" i="95" s="1"/>
  <c r="CS18" i="95"/>
  <c r="CT18" i="95" s="1"/>
  <c r="CV18" i="95" s="1"/>
  <c r="CO18" i="95"/>
  <c r="CP18" i="95" s="1"/>
  <c r="CR18" i="95" s="1"/>
  <c r="CK18" i="95"/>
  <c r="CL18" i="95" s="1"/>
  <c r="CN18" i="95" s="1"/>
  <c r="CG18" i="95"/>
  <c r="CH18" i="95" s="1"/>
  <c r="CJ18" i="95" s="1"/>
  <c r="BY18" i="95"/>
  <c r="BZ18" i="95" s="1"/>
  <c r="CB18" i="95" s="1"/>
  <c r="BU18" i="95"/>
  <c r="BV18" i="95" s="1"/>
  <c r="BX18" i="95" s="1"/>
  <c r="BS18" i="95"/>
  <c r="BO18" i="95"/>
  <c r="BK18" i="95"/>
  <c r="BG18" i="95"/>
  <c r="BC18" i="95"/>
  <c r="AY18" i="95"/>
  <c r="AU18" i="95"/>
  <c r="AQ18" i="95"/>
  <c r="AA18" i="95"/>
  <c r="W18" i="95"/>
  <c r="G18" i="95"/>
  <c r="DU17" i="95"/>
  <c r="DV17" i="95" s="1"/>
  <c r="DX17" i="95" s="1"/>
  <c r="DQ17" i="95"/>
  <c r="DR17" i="95" s="1"/>
  <c r="DT17" i="95" s="1"/>
  <c r="DM17" i="95"/>
  <c r="DN17" i="95" s="1"/>
  <c r="DP17" i="95" s="1"/>
  <c r="DI17" i="95"/>
  <c r="DJ17" i="95" s="1"/>
  <c r="DL17" i="95" s="1"/>
  <c r="DE17" i="95"/>
  <c r="DF17" i="95" s="1"/>
  <c r="DH17" i="95" s="1"/>
  <c r="DA17" i="95"/>
  <c r="DB17" i="95" s="1"/>
  <c r="DD17" i="95" s="1"/>
  <c r="CW17" i="95"/>
  <c r="CX17" i="95" s="1"/>
  <c r="CZ17" i="95" s="1"/>
  <c r="CS17" i="95"/>
  <c r="CT17" i="95" s="1"/>
  <c r="CV17" i="95" s="1"/>
  <c r="CO17" i="95"/>
  <c r="CP17" i="95" s="1"/>
  <c r="CR17" i="95" s="1"/>
  <c r="CK17" i="95"/>
  <c r="CL17" i="95" s="1"/>
  <c r="CN17" i="95" s="1"/>
  <c r="CG17" i="95"/>
  <c r="CH17" i="95" s="1"/>
  <c r="CJ17" i="95" s="1"/>
  <c r="BY17" i="95"/>
  <c r="BZ17" i="95" s="1"/>
  <c r="CB17" i="95" s="1"/>
  <c r="BU17" i="95"/>
  <c r="BV17" i="95" s="1"/>
  <c r="BX17" i="95" s="1"/>
  <c r="BS17" i="95"/>
  <c r="BO17" i="95"/>
  <c r="BK17" i="95"/>
  <c r="BG17" i="95"/>
  <c r="BC17" i="95"/>
  <c r="AY17" i="95"/>
  <c r="AU17" i="95"/>
  <c r="AQ17" i="95"/>
  <c r="AA17" i="95"/>
  <c r="W17" i="95"/>
  <c r="S17" i="95"/>
  <c r="O17" i="95"/>
  <c r="K17" i="95"/>
  <c r="G17" i="95"/>
  <c r="DU16" i="95"/>
  <c r="DV16" i="95" s="1"/>
  <c r="DX16" i="95" s="1"/>
  <c r="DQ16" i="95"/>
  <c r="DR16" i="95" s="1"/>
  <c r="DT16" i="95" s="1"/>
  <c r="DM16" i="95"/>
  <c r="DN16" i="95" s="1"/>
  <c r="DP16" i="95" s="1"/>
  <c r="DI16" i="95"/>
  <c r="DJ16" i="95" s="1"/>
  <c r="DL16" i="95" s="1"/>
  <c r="DE16" i="95"/>
  <c r="DF16" i="95" s="1"/>
  <c r="DH16" i="95" s="1"/>
  <c r="DA16" i="95"/>
  <c r="DB16" i="95" s="1"/>
  <c r="DD16" i="95" s="1"/>
  <c r="CW16" i="95"/>
  <c r="CX16" i="95" s="1"/>
  <c r="CZ16" i="95" s="1"/>
  <c r="CS16" i="95"/>
  <c r="CT16" i="95" s="1"/>
  <c r="CV16" i="95" s="1"/>
  <c r="CO16" i="95"/>
  <c r="CP16" i="95" s="1"/>
  <c r="CR16" i="95" s="1"/>
  <c r="CK16" i="95"/>
  <c r="CL16" i="95" s="1"/>
  <c r="CN16" i="95" s="1"/>
  <c r="CG16" i="95"/>
  <c r="CH16" i="95" s="1"/>
  <c r="CJ16" i="95" s="1"/>
  <c r="BY16" i="95"/>
  <c r="BZ16" i="95" s="1"/>
  <c r="CB16" i="95" s="1"/>
  <c r="BU16" i="95"/>
  <c r="BV16" i="95" s="1"/>
  <c r="BX16" i="95" s="1"/>
  <c r="BS16" i="95"/>
  <c r="BO16" i="95"/>
  <c r="BK16" i="95"/>
  <c r="BG16" i="95"/>
  <c r="BC16" i="95"/>
  <c r="AY16" i="95"/>
  <c r="AU16" i="95"/>
  <c r="AQ16" i="95"/>
  <c r="AA16" i="95"/>
  <c r="W16" i="95"/>
  <c r="S16" i="95"/>
  <c r="O16" i="95"/>
  <c r="K16" i="95"/>
  <c r="G16" i="95"/>
  <c r="DU15" i="95"/>
  <c r="DV15" i="95" s="1"/>
  <c r="DX15" i="95" s="1"/>
  <c r="DQ15" i="95"/>
  <c r="DR15" i="95" s="1"/>
  <c r="DT15" i="95" s="1"/>
  <c r="DM15" i="95"/>
  <c r="DN15" i="95" s="1"/>
  <c r="DP15" i="95" s="1"/>
  <c r="DI15" i="95"/>
  <c r="DJ15" i="95" s="1"/>
  <c r="DL15" i="95" s="1"/>
  <c r="DE15" i="95"/>
  <c r="DF15" i="95" s="1"/>
  <c r="DH15" i="95" s="1"/>
  <c r="DA15" i="95"/>
  <c r="DB15" i="95" s="1"/>
  <c r="DD15" i="95" s="1"/>
  <c r="CW15" i="95"/>
  <c r="CX15" i="95" s="1"/>
  <c r="CZ15" i="95" s="1"/>
  <c r="CS15" i="95"/>
  <c r="CT15" i="95" s="1"/>
  <c r="CV15" i="95" s="1"/>
  <c r="CO15" i="95"/>
  <c r="CP15" i="95" s="1"/>
  <c r="CR15" i="95" s="1"/>
  <c r="CK15" i="95"/>
  <c r="CL15" i="95" s="1"/>
  <c r="CN15" i="95" s="1"/>
  <c r="CG15" i="95"/>
  <c r="CH15" i="95" s="1"/>
  <c r="CJ15" i="95" s="1"/>
  <c r="BY15" i="95"/>
  <c r="BZ15" i="95" s="1"/>
  <c r="CB15" i="95" s="1"/>
  <c r="BU15" i="95"/>
  <c r="BV15" i="95" s="1"/>
  <c r="BX15" i="95" s="1"/>
  <c r="BS15" i="95"/>
  <c r="BO15" i="95"/>
  <c r="BK15" i="95"/>
  <c r="BG15" i="95"/>
  <c r="BC15" i="95"/>
  <c r="AY15" i="95"/>
  <c r="AU15" i="95"/>
  <c r="AQ15" i="95"/>
  <c r="AA15" i="95"/>
  <c r="W15" i="95"/>
  <c r="S15" i="95"/>
  <c r="O15" i="95"/>
  <c r="K15" i="95"/>
  <c r="G15" i="95"/>
  <c r="DU14" i="95"/>
  <c r="DV14" i="95" s="1"/>
  <c r="DX14" i="95" s="1"/>
  <c r="DQ14" i="95"/>
  <c r="DR14" i="95" s="1"/>
  <c r="DT14" i="95" s="1"/>
  <c r="DM14" i="95"/>
  <c r="DN14" i="95" s="1"/>
  <c r="DP14" i="95" s="1"/>
  <c r="DI14" i="95"/>
  <c r="DJ14" i="95" s="1"/>
  <c r="DL14" i="95" s="1"/>
  <c r="DE14" i="95"/>
  <c r="DF14" i="95" s="1"/>
  <c r="DH14" i="95" s="1"/>
  <c r="DA14" i="95"/>
  <c r="DB14" i="95" s="1"/>
  <c r="DD14" i="95" s="1"/>
  <c r="CW14" i="95"/>
  <c r="CX14" i="95" s="1"/>
  <c r="CZ14" i="95" s="1"/>
  <c r="CS14" i="95"/>
  <c r="CT14" i="95" s="1"/>
  <c r="CV14" i="95" s="1"/>
  <c r="CO14" i="95"/>
  <c r="CP14" i="95" s="1"/>
  <c r="CR14" i="95" s="1"/>
  <c r="CK14" i="95"/>
  <c r="CL14" i="95" s="1"/>
  <c r="CN14" i="95" s="1"/>
  <c r="CG14" i="95"/>
  <c r="CH14" i="95" s="1"/>
  <c r="CJ14" i="95" s="1"/>
  <c r="BY14" i="95"/>
  <c r="BZ14" i="95" s="1"/>
  <c r="CB14" i="95" s="1"/>
  <c r="BU14" i="95"/>
  <c r="BV14" i="95" s="1"/>
  <c r="BX14" i="95" s="1"/>
  <c r="BS14" i="95"/>
  <c r="BO14" i="95"/>
  <c r="BK14" i="95"/>
  <c r="BG14" i="95"/>
  <c r="BC14" i="95"/>
  <c r="AY14" i="95"/>
  <c r="AU14" i="95"/>
  <c r="AQ14" i="95"/>
  <c r="AA14" i="95"/>
  <c r="W14" i="95"/>
  <c r="S14" i="95"/>
  <c r="O14" i="95"/>
  <c r="K14" i="95"/>
  <c r="G14" i="95"/>
  <c r="DU13" i="95"/>
  <c r="DV13" i="95" s="1"/>
  <c r="DX13" i="95" s="1"/>
  <c r="DQ13" i="95"/>
  <c r="DR13" i="95" s="1"/>
  <c r="DT13" i="95" s="1"/>
  <c r="DM13" i="95"/>
  <c r="DN13" i="95" s="1"/>
  <c r="DP13" i="95" s="1"/>
  <c r="DI13" i="95"/>
  <c r="DJ13" i="95" s="1"/>
  <c r="DL13" i="95" s="1"/>
  <c r="DE13" i="95"/>
  <c r="DF13" i="95" s="1"/>
  <c r="DH13" i="95" s="1"/>
  <c r="DA13" i="95"/>
  <c r="DB13" i="95" s="1"/>
  <c r="DD13" i="95" s="1"/>
  <c r="CW13" i="95"/>
  <c r="CX13" i="95" s="1"/>
  <c r="CZ13" i="95" s="1"/>
  <c r="CS13" i="95"/>
  <c r="CT13" i="95" s="1"/>
  <c r="CV13" i="95" s="1"/>
  <c r="CO13" i="95"/>
  <c r="CP13" i="95" s="1"/>
  <c r="CR13" i="95" s="1"/>
  <c r="CK13" i="95"/>
  <c r="CL13" i="95" s="1"/>
  <c r="CN13" i="95" s="1"/>
  <c r="CG13" i="95"/>
  <c r="CH13" i="95" s="1"/>
  <c r="CJ13" i="95" s="1"/>
  <c r="BY13" i="95"/>
  <c r="BZ13" i="95" s="1"/>
  <c r="CB13" i="95" s="1"/>
  <c r="BU13" i="95"/>
  <c r="BV13" i="95" s="1"/>
  <c r="BX13" i="95" s="1"/>
  <c r="BS13" i="95"/>
  <c r="BK13" i="95"/>
  <c r="BG13" i="95"/>
  <c r="BC13" i="95"/>
  <c r="AY13" i="95"/>
  <c r="AU13" i="95"/>
  <c r="AQ13" i="95"/>
  <c r="AA13" i="95"/>
  <c r="W13" i="95"/>
  <c r="S13" i="95"/>
  <c r="O13" i="95"/>
  <c r="K13" i="95"/>
  <c r="G13" i="95"/>
  <c r="DU12" i="95"/>
  <c r="DV12" i="95" s="1"/>
  <c r="DX12" i="95" s="1"/>
  <c r="DQ12" i="95"/>
  <c r="DR12" i="95" s="1"/>
  <c r="DT12" i="95" s="1"/>
  <c r="DM12" i="95"/>
  <c r="DN12" i="95" s="1"/>
  <c r="DP12" i="95" s="1"/>
  <c r="DI12" i="95"/>
  <c r="DJ12" i="95" s="1"/>
  <c r="DL12" i="95" s="1"/>
  <c r="DE12" i="95"/>
  <c r="DF12" i="95" s="1"/>
  <c r="DH12" i="95" s="1"/>
  <c r="DA12" i="95"/>
  <c r="DB12" i="95" s="1"/>
  <c r="DD12" i="95" s="1"/>
  <c r="CW12" i="95"/>
  <c r="CX12" i="95" s="1"/>
  <c r="CZ12" i="95" s="1"/>
  <c r="CS12" i="95"/>
  <c r="CT12" i="95" s="1"/>
  <c r="CV12" i="95" s="1"/>
  <c r="CO12" i="95"/>
  <c r="CP12" i="95" s="1"/>
  <c r="CR12" i="95" s="1"/>
  <c r="CK12" i="95"/>
  <c r="CL12" i="95" s="1"/>
  <c r="CN12" i="95" s="1"/>
  <c r="CG12" i="95"/>
  <c r="CH12" i="95" s="1"/>
  <c r="CJ12" i="95" s="1"/>
  <c r="BY12" i="95"/>
  <c r="BZ12" i="95" s="1"/>
  <c r="CB12" i="95" s="1"/>
  <c r="BU12" i="95"/>
  <c r="BV12" i="95" s="1"/>
  <c r="BX12" i="95" s="1"/>
  <c r="BS12" i="95"/>
  <c r="BO12" i="95"/>
  <c r="BG12" i="95"/>
  <c r="BC12" i="95"/>
  <c r="AY12" i="95"/>
  <c r="AU12" i="95"/>
  <c r="AQ12" i="95"/>
  <c r="AA12" i="95"/>
  <c r="W12" i="95"/>
  <c r="O12" i="95"/>
  <c r="K12" i="95"/>
  <c r="G12" i="95"/>
  <c r="DU11" i="95"/>
  <c r="DV11" i="95" s="1"/>
  <c r="DX11" i="95" s="1"/>
  <c r="DQ11" i="95"/>
  <c r="DR11" i="95" s="1"/>
  <c r="DT11" i="95" s="1"/>
  <c r="DM11" i="95"/>
  <c r="DN11" i="95" s="1"/>
  <c r="DP11" i="95" s="1"/>
  <c r="DI11" i="95"/>
  <c r="DJ11" i="95" s="1"/>
  <c r="DL11" i="95" s="1"/>
  <c r="DE11" i="95"/>
  <c r="DF11" i="95" s="1"/>
  <c r="DH11" i="95" s="1"/>
  <c r="DA11" i="95"/>
  <c r="DB11" i="95" s="1"/>
  <c r="DD11" i="95" s="1"/>
  <c r="CW11" i="95"/>
  <c r="CX11" i="95" s="1"/>
  <c r="CZ11" i="95" s="1"/>
  <c r="CS11" i="95"/>
  <c r="CT11" i="95" s="1"/>
  <c r="CV11" i="95" s="1"/>
  <c r="CO11" i="95"/>
  <c r="CP11" i="95" s="1"/>
  <c r="CR11" i="95" s="1"/>
  <c r="CK11" i="95"/>
  <c r="CL11" i="95" s="1"/>
  <c r="CN11" i="95" s="1"/>
  <c r="CG11" i="95"/>
  <c r="CH11" i="95" s="1"/>
  <c r="CJ11" i="95" s="1"/>
  <c r="BY11" i="95"/>
  <c r="BZ11" i="95" s="1"/>
  <c r="CB11" i="95" s="1"/>
  <c r="BU11" i="95"/>
  <c r="BV11" i="95" s="1"/>
  <c r="BX11" i="95" s="1"/>
  <c r="BS11" i="95"/>
  <c r="BO11" i="95"/>
  <c r="BK11" i="95"/>
  <c r="BC11" i="95"/>
  <c r="AY11" i="95"/>
  <c r="AU11" i="95"/>
  <c r="AQ11" i="95"/>
  <c r="AA11" i="95"/>
  <c r="W11" i="95"/>
  <c r="O11" i="95"/>
  <c r="K11" i="95"/>
  <c r="G11" i="95"/>
  <c r="DU10" i="95"/>
  <c r="DV10" i="95" s="1"/>
  <c r="DX10" i="95" s="1"/>
  <c r="DQ10" i="95"/>
  <c r="DR10" i="95" s="1"/>
  <c r="DT10" i="95" s="1"/>
  <c r="DM10" i="95"/>
  <c r="DN10" i="95" s="1"/>
  <c r="DP10" i="95" s="1"/>
  <c r="DI10" i="95"/>
  <c r="DJ10" i="95" s="1"/>
  <c r="DL10" i="95" s="1"/>
  <c r="DE10" i="95"/>
  <c r="DF10" i="95" s="1"/>
  <c r="DH10" i="95" s="1"/>
  <c r="DA10" i="95"/>
  <c r="DB10" i="95" s="1"/>
  <c r="DD10" i="95" s="1"/>
  <c r="CW10" i="95"/>
  <c r="CX10" i="95" s="1"/>
  <c r="CZ10" i="95" s="1"/>
  <c r="CS10" i="95"/>
  <c r="CT10" i="95" s="1"/>
  <c r="CV10" i="95" s="1"/>
  <c r="CO10" i="95"/>
  <c r="CP10" i="95" s="1"/>
  <c r="CR10" i="95" s="1"/>
  <c r="CK10" i="95"/>
  <c r="CL10" i="95" s="1"/>
  <c r="CN10" i="95" s="1"/>
  <c r="CG10" i="95"/>
  <c r="CH10" i="95" s="1"/>
  <c r="CJ10" i="95" s="1"/>
  <c r="BY10" i="95"/>
  <c r="BZ10" i="95" s="1"/>
  <c r="BU10" i="95"/>
  <c r="BV10" i="95" s="1"/>
  <c r="BX10" i="95" s="1"/>
  <c r="BO10" i="95"/>
  <c r="BK10" i="95"/>
  <c r="BG10" i="95"/>
  <c r="BC10" i="95"/>
  <c r="AY10" i="95"/>
  <c r="AU10" i="95"/>
  <c r="AQ10" i="95"/>
  <c r="AA10" i="95"/>
  <c r="W10" i="95"/>
  <c r="O10" i="95"/>
  <c r="K10" i="95"/>
  <c r="DU9" i="95"/>
  <c r="DV9" i="95" s="1"/>
  <c r="DX9" i="95" s="1"/>
  <c r="DQ9" i="95"/>
  <c r="DR9" i="95" s="1"/>
  <c r="DT9" i="95" s="1"/>
  <c r="DM9" i="95"/>
  <c r="DN9" i="95" s="1"/>
  <c r="DP9" i="95" s="1"/>
  <c r="DI9" i="95"/>
  <c r="DJ9" i="95" s="1"/>
  <c r="DL9" i="95" s="1"/>
  <c r="DE9" i="95"/>
  <c r="DF9" i="95" s="1"/>
  <c r="DH9" i="95" s="1"/>
  <c r="DA9" i="95"/>
  <c r="DB9" i="95" s="1"/>
  <c r="DD9" i="95" s="1"/>
  <c r="CW9" i="95"/>
  <c r="CX9" i="95" s="1"/>
  <c r="CZ9" i="95" s="1"/>
  <c r="CS9" i="95"/>
  <c r="CT9" i="95" s="1"/>
  <c r="CV9" i="95" s="1"/>
  <c r="CO9" i="95"/>
  <c r="CP9" i="95" s="1"/>
  <c r="CR9" i="95" s="1"/>
  <c r="CK9" i="95"/>
  <c r="CL9" i="95" s="1"/>
  <c r="CN9" i="95" s="1"/>
  <c r="CG9" i="95"/>
  <c r="CH9" i="95" s="1"/>
  <c r="CJ9" i="95" s="1"/>
  <c r="BY9" i="95"/>
  <c r="BZ9" i="95" s="1"/>
  <c r="CB9" i="95" s="1"/>
  <c r="BU9" i="95"/>
  <c r="BV9" i="95" s="1"/>
  <c r="BX9" i="95" s="1"/>
  <c r="BS9" i="95"/>
  <c r="BO9" i="95"/>
  <c r="BK9" i="95"/>
  <c r="BG9" i="95"/>
  <c r="BC9" i="95"/>
  <c r="AY9" i="95"/>
  <c r="AU9" i="95"/>
  <c r="AQ9" i="95"/>
  <c r="AA9" i="95"/>
  <c r="W9" i="95"/>
  <c r="S9" i="95"/>
  <c r="O9" i="95"/>
  <c r="K9" i="95"/>
  <c r="G9" i="95"/>
  <c r="DU8" i="95"/>
  <c r="DV8" i="95" s="1"/>
  <c r="DX8" i="95" s="1"/>
  <c r="DQ8" i="95"/>
  <c r="DR8" i="95" s="1"/>
  <c r="DT8" i="95" s="1"/>
  <c r="DM8" i="95"/>
  <c r="DN8" i="95" s="1"/>
  <c r="DP8" i="95" s="1"/>
  <c r="DI8" i="95"/>
  <c r="DJ8" i="95" s="1"/>
  <c r="DL8" i="95" s="1"/>
  <c r="DE8" i="95"/>
  <c r="DF8" i="95" s="1"/>
  <c r="DH8" i="95" s="1"/>
  <c r="DA8" i="95"/>
  <c r="DB8" i="95" s="1"/>
  <c r="DD8" i="95" s="1"/>
  <c r="CW8" i="95"/>
  <c r="CX8" i="95" s="1"/>
  <c r="CZ8" i="95" s="1"/>
  <c r="CS8" i="95"/>
  <c r="CT8" i="95" s="1"/>
  <c r="CV8" i="95" s="1"/>
  <c r="CO8" i="95"/>
  <c r="CP8" i="95" s="1"/>
  <c r="CR8" i="95" s="1"/>
  <c r="CK8" i="95"/>
  <c r="CL8" i="95" s="1"/>
  <c r="CN8" i="95" s="1"/>
  <c r="CG8" i="95"/>
  <c r="CH8" i="95" s="1"/>
  <c r="CJ8" i="95" s="1"/>
  <c r="BY8" i="95"/>
  <c r="BZ8" i="95" s="1"/>
  <c r="CB8" i="95" s="1"/>
  <c r="BU8" i="95"/>
  <c r="BV8" i="95" s="1"/>
  <c r="BX8" i="95" s="1"/>
  <c r="BS8" i="95"/>
  <c r="BO8" i="95"/>
  <c r="BK8" i="95"/>
  <c r="BG8" i="95"/>
  <c r="BC8" i="95"/>
  <c r="AY8" i="95"/>
  <c r="AU8" i="95"/>
  <c r="AA8" i="95"/>
  <c r="W8" i="95"/>
  <c r="S8" i="95"/>
  <c r="O8" i="95"/>
  <c r="K8" i="95"/>
  <c r="G8" i="95"/>
  <c r="DU7" i="95"/>
  <c r="DV7" i="95" s="1"/>
  <c r="DX7" i="95" s="1"/>
  <c r="DQ7" i="95"/>
  <c r="DR7" i="95" s="1"/>
  <c r="DT7" i="95" s="1"/>
  <c r="DM7" i="95"/>
  <c r="DN7" i="95" s="1"/>
  <c r="DP7" i="95" s="1"/>
  <c r="DI7" i="95"/>
  <c r="DJ7" i="95" s="1"/>
  <c r="DL7" i="95" s="1"/>
  <c r="DE7" i="95"/>
  <c r="DF7" i="95" s="1"/>
  <c r="DH7" i="95" s="1"/>
  <c r="DA7" i="95"/>
  <c r="DB7" i="95" s="1"/>
  <c r="DD7" i="95" s="1"/>
  <c r="CW7" i="95"/>
  <c r="CX7" i="95" s="1"/>
  <c r="CZ7" i="95" s="1"/>
  <c r="CS7" i="95"/>
  <c r="CT7" i="95" s="1"/>
  <c r="CV7" i="95" s="1"/>
  <c r="CO7" i="95"/>
  <c r="CP7" i="95" s="1"/>
  <c r="CR7" i="95" s="1"/>
  <c r="CK7" i="95"/>
  <c r="CL7" i="95" s="1"/>
  <c r="CN7" i="95" s="1"/>
  <c r="CG7" i="95"/>
  <c r="CH7" i="95" s="1"/>
  <c r="CJ7" i="95" s="1"/>
  <c r="BY7" i="95"/>
  <c r="BZ7" i="95" s="1"/>
  <c r="CB7" i="95" s="1"/>
  <c r="BU7" i="95"/>
  <c r="BV7" i="95" s="1"/>
  <c r="BX7" i="95" s="1"/>
  <c r="BO7" i="95"/>
  <c r="BK7" i="95"/>
  <c r="BG7" i="95"/>
  <c r="BC7" i="95"/>
  <c r="AY7" i="95"/>
  <c r="AU7" i="95"/>
  <c r="AQ7" i="95"/>
  <c r="AA7" i="95"/>
  <c r="W7" i="95"/>
  <c r="S7" i="95"/>
  <c r="O7" i="95"/>
  <c r="K7" i="95"/>
  <c r="G7" i="95"/>
  <c r="DU6" i="95"/>
  <c r="DV6" i="95" s="1"/>
  <c r="DX6" i="95" s="1"/>
  <c r="DQ6" i="95"/>
  <c r="DR6" i="95" s="1"/>
  <c r="DT6" i="95" s="1"/>
  <c r="DM6" i="95"/>
  <c r="DN6" i="95" s="1"/>
  <c r="DP6" i="95" s="1"/>
  <c r="DI6" i="95"/>
  <c r="DJ6" i="95" s="1"/>
  <c r="DL6" i="95" s="1"/>
  <c r="DE6" i="95"/>
  <c r="DF6" i="95" s="1"/>
  <c r="DH6" i="95" s="1"/>
  <c r="DA6" i="95"/>
  <c r="DB6" i="95" s="1"/>
  <c r="DD6" i="95" s="1"/>
  <c r="CW6" i="95"/>
  <c r="CX6" i="95" s="1"/>
  <c r="CZ6" i="95" s="1"/>
  <c r="CS6" i="95"/>
  <c r="CT6" i="95" s="1"/>
  <c r="CV6" i="95" s="1"/>
  <c r="CO6" i="95"/>
  <c r="CP6" i="95" s="1"/>
  <c r="CR6" i="95" s="1"/>
  <c r="CK6" i="95"/>
  <c r="CL6" i="95" s="1"/>
  <c r="CN6" i="95" s="1"/>
  <c r="CG6" i="95"/>
  <c r="CH6" i="95" s="1"/>
  <c r="CJ6" i="95" s="1"/>
  <c r="CC6" i="95"/>
  <c r="CD6" i="95" s="1"/>
  <c r="CF6" i="95" s="1"/>
  <c r="BY6" i="95"/>
  <c r="BZ6" i="95" s="1"/>
  <c r="CB6" i="95" s="1"/>
  <c r="BU6" i="95"/>
  <c r="BV6" i="95" s="1"/>
  <c r="BX6" i="95" s="1"/>
  <c r="BS6" i="95"/>
  <c r="BO6" i="95"/>
  <c r="BK6" i="95"/>
  <c r="BG6" i="95"/>
  <c r="BC6" i="95"/>
  <c r="AY6" i="95"/>
  <c r="AU6" i="95"/>
  <c r="AQ6" i="95"/>
  <c r="AA6" i="95"/>
  <c r="W6" i="95"/>
  <c r="S6" i="95"/>
  <c r="K6" i="95"/>
  <c r="G6" i="95"/>
  <c r="DU5" i="95"/>
  <c r="DV5" i="95" s="1"/>
  <c r="DX5" i="95" s="1"/>
  <c r="DQ5" i="95"/>
  <c r="DR5" i="95" s="1"/>
  <c r="DT5" i="95" s="1"/>
  <c r="DM5" i="95"/>
  <c r="DN5" i="95" s="1"/>
  <c r="DP5" i="95" s="1"/>
  <c r="DI5" i="95"/>
  <c r="DJ5" i="95" s="1"/>
  <c r="DL5" i="95" s="1"/>
  <c r="DE5" i="95"/>
  <c r="DF5" i="95" s="1"/>
  <c r="DH5" i="95" s="1"/>
  <c r="DA5" i="95"/>
  <c r="DB5" i="95" s="1"/>
  <c r="DD5" i="95" s="1"/>
  <c r="CW5" i="95"/>
  <c r="CX5" i="95" s="1"/>
  <c r="CZ5" i="95" s="1"/>
  <c r="CS5" i="95"/>
  <c r="CT5" i="95" s="1"/>
  <c r="CV5" i="95" s="1"/>
  <c r="CO5" i="95"/>
  <c r="CP5" i="95" s="1"/>
  <c r="CR5" i="95" s="1"/>
  <c r="CK5" i="95"/>
  <c r="CL5" i="95" s="1"/>
  <c r="CN5" i="95" s="1"/>
  <c r="CG5" i="95"/>
  <c r="CH5" i="95" s="1"/>
  <c r="CJ5" i="95" s="1"/>
  <c r="BY5" i="95"/>
  <c r="BZ5" i="95" s="1"/>
  <c r="CB5" i="95" s="1"/>
  <c r="BU5" i="95"/>
  <c r="BV5" i="95" s="1"/>
  <c r="BX5" i="95" s="1"/>
  <c r="BS5" i="95"/>
  <c r="BO5" i="95"/>
  <c r="BG5" i="95"/>
  <c r="BC5" i="95"/>
  <c r="AY5" i="95"/>
  <c r="AU5" i="95"/>
  <c r="AQ5" i="95"/>
  <c r="AA5" i="95"/>
  <c r="W5" i="95"/>
  <c r="S5" i="95"/>
  <c r="O5" i="95"/>
  <c r="K5" i="95"/>
  <c r="G5" i="95"/>
  <c r="DU4" i="95"/>
  <c r="DV4" i="95" s="1"/>
  <c r="DX4" i="95" s="1"/>
  <c r="DQ4" i="95"/>
  <c r="DR4" i="95" s="1"/>
  <c r="DT4" i="95" s="1"/>
  <c r="DM4" i="95"/>
  <c r="DN4" i="95" s="1"/>
  <c r="DP4" i="95" s="1"/>
  <c r="DI4" i="95"/>
  <c r="DJ4" i="95" s="1"/>
  <c r="DL4" i="95" s="1"/>
  <c r="DE4" i="95"/>
  <c r="DF4" i="95" s="1"/>
  <c r="DH4" i="95" s="1"/>
  <c r="DA4" i="95"/>
  <c r="DB4" i="95" s="1"/>
  <c r="DD4" i="95" s="1"/>
  <c r="CW4" i="95"/>
  <c r="CX4" i="95" s="1"/>
  <c r="CZ4" i="95" s="1"/>
  <c r="CS4" i="95"/>
  <c r="CT4" i="95" s="1"/>
  <c r="CV4" i="95" s="1"/>
  <c r="CO4" i="95"/>
  <c r="CP4" i="95" s="1"/>
  <c r="CR4" i="95" s="1"/>
  <c r="CK4" i="95"/>
  <c r="CL4" i="95" s="1"/>
  <c r="CN4" i="95" s="1"/>
  <c r="CG4" i="95"/>
  <c r="CH4" i="95" s="1"/>
  <c r="CJ4" i="95" s="1"/>
  <c r="BY4" i="95"/>
  <c r="BZ4" i="95" s="1"/>
  <c r="CB4" i="95" s="1"/>
  <c r="BU4" i="95"/>
  <c r="BV4" i="95" s="1"/>
  <c r="BX4" i="95" s="1"/>
  <c r="BS4" i="95"/>
  <c r="BO4" i="95"/>
  <c r="BK4" i="95"/>
  <c r="BI4" i="95"/>
  <c r="BJ4" i="95" s="1"/>
  <c r="BG4" i="95"/>
  <c r="BC4" i="95"/>
  <c r="AY4" i="95"/>
  <c r="AU4" i="95"/>
  <c r="AQ4" i="95"/>
  <c r="AA4" i="95"/>
  <c r="W4" i="95"/>
  <c r="S4" i="95"/>
  <c r="O4" i="95"/>
  <c r="K4" i="95"/>
  <c r="DU3" i="95"/>
  <c r="DV3" i="95" s="1"/>
  <c r="DX3" i="95" s="1"/>
  <c r="DQ3" i="95"/>
  <c r="DR3" i="95" s="1"/>
  <c r="DT3" i="95" s="1"/>
  <c r="DM3" i="95"/>
  <c r="DN3" i="95" s="1"/>
  <c r="DP3" i="95" s="1"/>
  <c r="DI3" i="95"/>
  <c r="DJ3" i="95" s="1"/>
  <c r="DL3" i="95" s="1"/>
  <c r="DE3" i="95"/>
  <c r="DF3" i="95" s="1"/>
  <c r="DH3" i="95" s="1"/>
  <c r="DA3" i="95"/>
  <c r="DB3" i="95" s="1"/>
  <c r="DD3" i="95" s="1"/>
  <c r="CW3" i="95"/>
  <c r="CX3" i="95" s="1"/>
  <c r="CZ3" i="95" s="1"/>
  <c r="CS3" i="95"/>
  <c r="CT3" i="95" s="1"/>
  <c r="CV3" i="95" s="1"/>
  <c r="CO3" i="95"/>
  <c r="CP3" i="95" s="1"/>
  <c r="CR3" i="95" s="1"/>
  <c r="CK3" i="95"/>
  <c r="CL3" i="95" s="1"/>
  <c r="CN3" i="95" s="1"/>
  <c r="CG3" i="95"/>
  <c r="CH3" i="95" s="1"/>
  <c r="CJ3" i="95" s="1"/>
  <c r="BY3" i="95"/>
  <c r="BZ3" i="95" s="1"/>
  <c r="CB3" i="95" s="1"/>
  <c r="BU3" i="95"/>
  <c r="BV3" i="95" s="1"/>
  <c r="BX3" i="95" s="1"/>
  <c r="BS3" i="95"/>
  <c r="BO3" i="95"/>
  <c r="BK3" i="95"/>
  <c r="BG3" i="95"/>
  <c r="BC3" i="95"/>
  <c r="AY3" i="95"/>
  <c r="AU3" i="95"/>
  <c r="AQ3" i="95"/>
  <c r="AA3" i="95"/>
  <c r="W3" i="95"/>
  <c r="S3" i="95"/>
  <c r="O3" i="95"/>
  <c r="K3" i="95"/>
  <c r="G3" i="95"/>
  <c r="BI62" i="95"/>
  <c r="BJ62" i="95" s="1"/>
  <c r="BE62" i="95"/>
  <c r="BF62" i="95" s="1"/>
  <c r="AS62" i="95"/>
  <c r="AT62" i="95" s="1"/>
  <c r="AC62" i="95"/>
  <c r="AD62" i="95" s="1"/>
  <c r="Y62" i="95"/>
  <c r="Z62" i="95" s="1"/>
  <c r="M62" i="95"/>
  <c r="N62" i="95" s="1"/>
  <c r="AS61" i="95"/>
  <c r="AT61" i="95" s="1"/>
  <c r="Y61" i="95"/>
  <c r="Z61" i="95" s="1"/>
  <c r="M61" i="95"/>
  <c r="N61" i="95" s="1"/>
  <c r="BI60" i="95"/>
  <c r="BJ60" i="95" s="1"/>
  <c r="BE60" i="95"/>
  <c r="BF60" i="95" s="1"/>
  <c r="AS60" i="95"/>
  <c r="AT60" i="95" s="1"/>
  <c r="AC60" i="95"/>
  <c r="AD60" i="95" s="1"/>
  <c r="Y60" i="95"/>
  <c r="Z60" i="95" s="1"/>
  <c r="M60" i="95"/>
  <c r="N60" i="95" s="1"/>
  <c r="AS59" i="95"/>
  <c r="AT59" i="95" s="1"/>
  <c r="AV59" i="95" s="1"/>
  <c r="Y59" i="95"/>
  <c r="Z59" i="95" s="1"/>
  <c r="M59" i="95"/>
  <c r="N59" i="95" s="1"/>
  <c r="P59" i="95" s="1"/>
  <c r="BI58" i="95"/>
  <c r="BJ58" i="95" s="1"/>
  <c r="BE58" i="95"/>
  <c r="BF58" i="95" s="1"/>
  <c r="AS58" i="95"/>
  <c r="AT58" i="95" s="1"/>
  <c r="M58" i="95"/>
  <c r="N58" i="95" s="1"/>
  <c r="P58" i="95" s="1"/>
  <c r="AS57" i="95"/>
  <c r="AT57" i="95" s="1"/>
  <c r="AV57" i="95" s="1"/>
  <c r="Y57" i="95"/>
  <c r="Z57" i="95" s="1"/>
  <c r="M57" i="95"/>
  <c r="N57" i="95" s="1"/>
  <c r="P57" i="95" s="1"/>
  <c r="BI56" i="95"/>
  <c r="BJ56" i="95" s="1"/>
  <c r="BE56" i="95"/>
  <c r="BF56" i="95" s="1"/>
  <c r="AS56" i="95"/>
  <c r="AT56" i="95" s="1"/>
  <c r="AC56" i="95"/>
  <c r="AD56" i="95" s="1"/>
  <c r="Y56" i="95"/>
  <c r="Z56" i="95" s="1"/>
  <c r="M56" i="95"/>
  <c r="N56" i="95" s="1"/>
  <c r="AS55" i="95"/>
  <c r="AT55" i="95" s="1"/>
  <c r="Y55" i="95"/>
  <c r="Z55" i="95" s="1"/>
  <c r="M55" i="95"/>
  <c r="N55" i="95" s="1"/>
  <c r="BI54" i="95"/>
  <c r="BJ54" i="95" s="1"/>
  <c r="BE54" i="95"/>
  <c r="BF54" i="95" s="1"/>
  <c r="AS54" i="95"/>
  <c r="AT54" i="95" s="1"/>
  <c r="AC54" i="95"/>
  <c r="AD54" i="95" s="1"/>
  <c r="Y54" i="95"/>
  <c r="Z54" i="95" s="1"/>
  <c r="M54" i="95"/>
  <c r="N54" i="95" s="1"/>
  <c r="AS53" i="95"/>
  <c r="AT53" i="95" s="1"/>
  <c r="AV53" i="95" s="1"/>
  <c r="Y53" i="95"/>
  <c r="Z53" i="95" s="1"/>
  <c r="M53" i="95"/>
  <c r="N53" i="95" s="1"/>
  <c r="BI52" i="95"/>
  <c r="BJ52" i="95" s="1"/>
  <c r="BE52" i="95"/>
  <c r="BF52" i="95" s="1"/>
  <c r="AS52" i="95"/>
  <c r="AT52" i="95" s="1"/>
  <c r="U52" i="95"/>
  <c r="V52" i="95" s="1"/>
  <c r="I52" i="95"/>
  <c r="J52" i="95" s="1"/>
  <c r="BQ51" i="95"/>
  <c r="BR51" i="95" s="1"/>
  <c r="BA51" i="95"/>
  <c r="BB51" i="95" s="1"/>
  <c r="BD51" i="95" s="1"/>
  <c r="AO51" i="95"/>
  <c r="AP51" i="95" s="1"/>
  <c r="Y51" i="95"/>
  <c r="Z51" i="95" s="1"/>
  <c r="I51" i="95"/>
  <c r="J51" i="95" s="1"/>
  <c r="BE50" i="95"/>
  <c r="BF50" i="95" s="1"/>
  <c r="AO50" i="95"/>
  <c r="AP50" i="95" s="1"/>
  <c r="U50" i="95"/>
  <c r="V50" i="95" s="1"/>
  <c r="I50" i="95"/>
  <c r="J50" i="95" s="1"/>
  <c r="BQ49" i="95"/>
  <c r="BR49" i="95" s="1"/>
  <c r="BA49" i="95"/>
  <c r="BB49" i="95" s="1"/>
  <c r="AO49" i="95"/>
  <c r="AP49" i="95" s="1"/>
  <c r="Y49" i="95"/>
  <c r="Z49" i="95" s="1"/>
  <c r="I49" i="95"/>
  <c r="J49" i="95" s="1"/>
  <c r="BE48" i="95"/>
  <c r="BF48" i="95" s="1"/>
  <c r="AO48" i="95"/>
  <c r="AP48" i="95" s="1"/>
  <c r="U48" i="95"/>
  <c r="V48" i="95" s="1"/>
  <c r="I48" i="95"/>
  <c r="J48" i="95" s="1"/>
  <c r="L48" i="95" s="1"/>
  <c r="BQ47" i="95"/>
  <c r="BR47" i="95" s="1"/>
  <c r="BT47" i="95" s="1"/>
  <c r="BA47" i="95"/>
  <c r="BB47" i="95" s="1"/>
  <c r="AO47" i="95"/>
  <c r="AP47" i="95" s="1"/>
  <c r="AR47" i="95" s="1"/>
  <c r="Y47" i="95"/>
  <c r="Z47" i="95" s="1"/>
  <c r="AB47" i="95" s="1"/>
  <c r="I47" i="95"/>
  <c r="J47" i="95" s="1"/>
  <c r="BA46" i="95"/>
  <c r="BB46" i="95" s="1"/>
  <c r="AK46" i="95"/>
  <c r="AL46" i="95" s="1"/>
  <c r="BQ45" i="95"/>
  <c r="BR45" i="95" s="1"/>
  <c r="BT45" i="95" s="1"/>
  <c r="AK45" i="95"/>
  <c r="AL45" i="95" s="1"/>
  <c r="U45" i="95"/>
  <c r="V45" i="95" s="1"/>
  <c r="Q45" i="95"/>
  <c r="R45" i="95" s="1"/>
  <c r="BQ44" i="95"/>
  <c r="BR44" i="95" s="1"/>
  <c r="BT44" i="95" s="1"/>
  <c r="BA44" i="95"/>
  <c r="BB44" i="95" s="1"/>
  <c r="AW44" i="95"/>
  <c r="AX44" i="95" s="1"/>
  <c r="AZ44" i="95" s="1"/>
  <c r="AK44" i="95"/>
  <c r="AL44" i="95" s="1"/>
  <c r="BQ20" i="95"/>
  <c r="BR20" i="95" s="1"/>
  <c r="BI20" i="95"/>
  <c r="BJ20" i="95" s="1"/>
  <c r="BA20" i="95"/>
  <c r="BB20" i="95" s="1"/>
  <c r="AW20" i="95"/>
  <c r="AX20" i="95" s="1"/>
  <c r="BA43" i="95"/>
  <c r="BB43" i="95" s="1"/>
  <c r="AK43" i="95"/>
  <c r="AL43" i="95" s="1"/>
  <c r="AG43" i="95"/>
  <c r="AH43" i="95" s="1"/>
  <c r="U43" i="95"/>
  <c r="V43" i="95" s="1"/>
  <c r="Q43" i="95"/>
  <c r="R43" i="95" s="1"/>
  <c r="BM42" i="95"/>
  <c r="BN42" i="95" s="1"/>
  <c r="BP42" i="95" s="1"/>
  <c r="BA42" i="95"/>
  <c r="BB42" i="95" s="1"/>
  <c r="AW42" i="95"/>
  <c r="AX42" i="95" s="1"/>
  <c r="BA41" i="95"/>
  <c r="BB41" i="95" s="1"/>
  <c r="BD41" i="95" s="1"/>
  <c r="AK41" i="95"/>
  <c r="AL41" i="95" s="1"/>
  <c r="AG41" i="95"/>
  <c r="AH41" i="95" s="1"/>
  <c r="U41" i="95"/>
  <c r="V41" i="95" s="1"/>
  <c r="X41" i="95" s="1"/>
  <c r="Q41" i="95"/>
  <c r="R41" i="95" s="1"/>
  <c r="BM40" i="95"/>
  <c r="BN40" i="95" s="1"/>
  <c r="BA40" i="95"/>
  <c r="BB40" i="95" s="1"/>
  <c r="BD40" i="95" s="1"/>
  <c r="AW40" i="95"/>
  <c r="AX40" i="95" s="1"/>
  <c r="AZ40" i="95" s="1"/>
  <c r="BA39" i="95"/>
  <c r="BB39" i="95" s="1"/>
  <c r="AK39" i="95"/>
  <c r="AL39" i="95" s="1"/>
  <c r="AG39" i="95"/>
  <c r="AH39" i="95" s="1"/>
  <c r="U39" i="95"/>
  <c r="V39" i="95" s="1"/>
  <c r="X39" i="95" s="1"/>
  <c r="Q39" i="95"/>
  <c r="R39" i="95" s="1"/>
  <c r="T39" i="95" s="1"/>
  <c r="BQ38" i="95"/>
  <c r="BR38" i="95" s="1"/>
  <c r="BM38" i="95"/>
  <c r="BN38" i="95" s="1"/>
  <c r="BA38" i="95"/>
  <c r="BB38" i="95" s="1"/>
  <c r="AW38" i="95"/>
  <c r="AX38" i="95" s="1"/>
  <c r="AS38" i="95"/>
  <c r="AT38" i="95" s="1"/>
  <c r="AO38" i="95"/>
  <c r="AP38" i="95" s="1"/>
  <c r="AK38" i="95"/>
  <c r="AL38" i="95" s="1"/>
  <c r="AG38" i="95"/>
  <c r="AH38" i="95" s="1"/>
  <c r="AC38" i="95"/>
  <c r="AD38" i="95" s="1"/>
  <c r="Y38" i="95"/>
  <c r="Z38" i="95" s="1"/>
  <c r="U38" i="95"/>
  <c r="V38" i="95" s="1"/>
  <c r="Q38" i="95"/>
  <c r="R38" i="95" s="1"/>
  <c r="M38" i="95"/>
  <c r="N38" i="95" s="1"/>
  <c r="I38" i="95"/>
  <c r="J38" i="95" s="1"/>
  <c r="BQ37" i="95"/>
  <c r="BR37" i="95" s="1"/>
  <c r="BT37" i="95" s="1"/>
  <c r="BM37" i="95"/>
  <c r="BN37" i="95" s="1"/>
  <c r="BP37" i="95" s="1"/>
  <c r="BE37" i="95"/>
  <c r="BF37" i="95" s="1"/>
  <c r="BA37" i="95"/>
  <c r="BB37" i="95" s="1"/>
  <c r="BD37" i="95" s="1"/>
  <c r="AW37" i="95"/>
  <c r="AX37" i="95" s="1"/>
  <c r="AZ37" i="95" s="1"/>
  <c r="AS37" i="95"/>
  <c r="AT37" i="95" s="1"/>
  <c r="AV37" i="95" s="1"/>
  <c r="AO37" i="95"/>
  <c r="AP37" i="95" s="1"/>
  <c r="AK37" i="95"/>
  <c r="AL37" i="95" s="1"/>
  <c r="AG37" i="95"/>
  <c r="AH37" i="95" s="1"/>
  <c r="AC37" i="95"/>
  <c r="AD37" i="95" s="1"/>
  <c r="Y37" i="95"/>
  <c r="Z37" i="95" s="1"/>
  <c r="AB37" i="95" s="1"/>
  <c r="U37" i="95"/>
  <c r="V37" i="95" s="1"/>
  <c r="Q37" i="95"/>
  <c r="R37" i="95" s="1"/>
  <c r="M37" i="95"/>
  <c r="N37" i="95" s="1"/>
  <c r="I37" i="95"/>
  <c r="J37" i="95" s="1"/>
  <c r="L37" i="95" s="1"/>
  <c r="BQ36" i="95"/>
  <c r="BR36" i="95" s="1"/>
  <c r="BT36" i="95" s="1"/>
  <c r="BM36" i="95"/>
  <c r="BN36" i="95" s="1"/>
  <c r="BP36" i="95" s="1"/>
  <c r="BI36" i="95"/>
  <c r="BJ36" i="95" s="1"/>
  <c r="BL36" i="95" s="1"/>
  <c r="BE36" i="95"/>
  <c r="BF36" i="95" s="1"/>
  <c r="BH36" i="95" s="1"/>
  <c r="BA36" i="95"/>
  <c r="BB36" i="95" s="1"/>
  <c r="AW36" i="95"/>
  <c r="AX36" i="95" s="1"/>
  <c r="AS36" i="95"/>
  <c r="AT36" i="95" s="1"/>
  <c r="AO36" i="95"/>
  <c r="AP36" i="95" s="1"/>
  <c r="AK36" i="95"/>
  <c r="AL36" i="95" s="1"/>
  <c r="AG36" i="95"/>
  <c r="AH36" i="95" s="1"/>
  <c r="AC36" i="95"/>
  <c r="AD36" i="95" s="1"/>
  <c r="Y36" i="95"/>
  <c r="Z36" i="95" s="1"/>
  <c r="U36" i="95"/>
  <c r="V36" i="95" s="1"/>
  <c r="Q36" i="95"/>
  <c r="R36" i="95" s="1"/>
  <c r="M36" i="95"/>
  <c r="N36" i="95" s="1"/>
  <c r="P36" i="95" s="1"/>
  <c r="I36" i="95"/>
  <c r="J36" i="95" s="1"/>
  <c r="L36" i="95" s="1"/>
  <c r="BM33" i="95"/>
  <c r="BN33" i="95" s="1"/>
  <c r="AK33" i="95"/>
  <c r="AL33" i="95" s="1"/>
  <c r="U33" i="95"/>
  <c r="V33" i="95" s="1"/>
  <c r="Q33" i="95"/>
  <c r="R33" i="95" s="1"/>
  <c r="BQ32" i="95"/>
  <c r="BR32" i="95" s="1"/>
  <c r="BM32" i="95"/>
  <c r="BN32" i="95" s="1"/>
  <c r="BE32" i="95"/>
  <c r="BF32" i="95" s="1"/>
  <c r="AC32" i="95"/>
  <c r="AD32" i="95" s="1"/>
  <c r="Y32" i="95"/>
  <c r="Z32" i="95" s="1"/>
  <c r="I32" i="95"/>
  <c r="J32" i="95" s="1"/>
  <c r="BE31" i="95"/>
  <c r="BF31" i="95" s="1"/>
  <c r="AO31" i="95"/>
  <c r="AP31" i="95" s="1"/>
  <c r="BM30" i="95"/>
  <c r="BN30" i="95" s="1"/>
  <c r="BI30" i="95"/>
  <c r="BJ30" i="95" s="1"/>
  <c r="BE30" i="95"/>
  <c r="BF30" i="95" s="1"/>
  <c r="BH30" i="95" s="1"/>
  <c r="AS30" i="95"/>
  <c r="AT30" i="95" s="1"/>
  <c r="AO30" i="95"/>
  <c r="AP30" i="95" s="1"/>
  <c r="AR30" i="95" s="1"/>
  <c r="AC30" i="95"/>
  <c r="AD30" i="95" s="1"/>
  <c r="M30" i="95"/>
  <c r="N30" i="95" s="1"/>
  <c r="P30" i="95" s="1"/>
  <c r="I30" i="95"/>
  <c r="J30" i="95" s="1"/>
  <c r="AO29" i="95"/>
  <c r="AP29" i="95" s="1"/>
  <c r="AC29" i="95"/>
  <c r="AD29" i="95" s="1"/>
  <c r="BM28" i="95"/>
  <c r="BN28" i="95" s="1"/>
  <c r="BE28" i="95"/>
  <c r="BF28" i="95" s="1"/>
  <c r="AS28" i="95"/>
  <c r="AT28" i="95" s="1"/>
  <c r="AV28" i="95" s="1"/>
  <c r="AO28" i="95"/>
  <c r="AP28" i="95" s="1"/>
  <c r="AR28" i="95" s="1"/>
  <c r="AC28" i="95"/>
  <c r="AD28" i="95" s="1"/>
  <c r="M28" i="95"/>
  <c r="N28" i="95" s="1"/>
  <c r="I28" i="95"/>
  <c r="J28" i="95" s="1"/>
  <c r="BQ27" i="95"/>
  <c r="BR27" i="95" s="1"/>
  <c r="BE27" i="95"/>
  <c r="BF27" i="95" s="1"/>
  <c r="AS27" i="95"/>
  <c r="AT27" i="95" s="1"/>
  <c r="AO27" i="95"/>
  <c r="AP27" i="95" s="1"/>
  <c r="M27" i="95"/>
  <c r="N27" i="95" s="1"/>
  <c r="BM26" i="95"/>
  <c r="BN26" i="95" s="1"/>
  <c r="BI26" i="95"/>
  <c r="BJ26" i="95" s="1"/>
  <c r="BE26" i="95"/>
  <c r="BF26" i="95" s="1"/>
  <c r="AC26" i="95"/>
  <c r="AD26" i="95" s="1"/>
  <c r="Y26" i="95"/>
  <c r="Z26" i="95" s="1"/>
  <c r="I26" i="95"/>
  <c r="J26" i="95" s="1"/>
  <c r="BE25" i="95"/>
  <c r="BF25" i="95" s="1"/>
  <c r="AO25" i="95"/>
  <c r="AP25" i="95" s="1"/>
  <c r="AK25" i="95"/>
  <c r="AL25" i="95" s="1"/>
  <c r="U25" i="95"/>
  <c r="V25" i="95" s="1"/>
  <c r="W25" i="95" s="1"/>
  <c r="X25" i="95" s="1"/>
  <c r="BQ24" i="95"/>
  <c r="BR24" i="95" s="1"/>
  <c r="BE24" i="95"/>
  <c r="BF24" i="95" s="1"/>
  <c r="BH24" i="95" s="1"/>
  <c r="BA24" i="95"/>
  <c r="BB24" i="95" s="1"/>
  <c r="BD24" i="95" s="1"/>
  <c r="AC24" i="95"/>
  <c r="AD24" i="95" s="1"/>
  <c r="Y24" i="95"/>
  <c r="Z24" i="95" s="1"/>
  <c r="I24" i="95"/>
  <c r="J24" i="95" s="1"/>
  <c r="L24" i="95" s="1"/>
  <c r="BQ23" i="95"/>
  <c r="BR23" i="95" s="1"/>
  <c r="BE23" i="95"/>
  <c r="BF23" i="95" s="1"/>
  <c r="AO23" i="95"/>
  <c r="AP23" i="95" s="1"/>
  <c r="AK23" i="95"/>
  <c r="AL23" i="95" s="1"/>
  <c r="U23" i="95"/>
  <c r="V23" i="95" s="1"/>
  <c r="BQ22" i="95"/>
  <c r="BR22" i="95" s="1"/>
  <c r="BT22" i="95" s="1"/>
  <c r="BM22" i="95"/>
  <c r="BN22" i="95" s="1"/>
  <c r="BE22" i="95"/>
  <c r="BF22" i="95" s="1"/>
  <c r="BA22" i="95"/>
  <c r="BB22" i="95" s="1"/>
  <c r="AO22" i="95"/>
  <c r="AP22" i="95" s="1"/>
  <c r="AK22" i="95"/>
  <c r="AL22" i="95" s="1"/>
  <c r="AC22" i="95"/>
  <c r="AD22" i="95" s="1"/>
  <c r="I22" i="95"/>
  <c r="J22" i="95" s="1"/>
  <c r="L22" i="95" s="1"/>
  <c r="BQ21" i="95"/>
  <c r="BR21" i="95" s="1"/>
  <c r="BA21" i="95"/>
  <c r="BB21" i="95" s="1"/>
  <c r="AO21" i="95"/>
  <c r="AP21" i="95" s="1"/>
  <c r="AR21" i="95" s="1"/>
  <c r="AK21" i="95"/>
  <c r="AL21" i="95" s="1"/>
  <c r="AC21" i="95"/>
  <c r="AD21" i="95" s="1"/>
  <c r="U21" i="95"/>
  <c r="V21" i="95" s="1"/>
  <c r="I21" i="95"/>
  <c r="J21" i="95" s="1"/>
  <c r="BQ19" i="95"/>
  <c r="BR19" i="95" s="1"/>
  <c r="BI19" i="95"/>
  <c r="BJ19" i="95" s="1"/>
  <c r="AO19" i="95"/>
  <c r="AP19" i="95" s="1"/>
  <c r="AK19" i="95"/>
  <c r="AL19" i="95" s="1"/>
  <c r="U19" i="95"/>
  <c r="V19" i="95" s="1"/>
  <c r="I19" i="95"/>
  <c r="J19" i="95" s="1"/>
  <c r="BQ34" i="95"/>
  <c r="BR34" i="95" s="1"/>
  <c r="BM34" i="95"/>
  <c r="BN34" i="95" s="1"/>
  <c r="BP34" i="95" s="1"/>
  <c r="BI34" i="95"/>
  <c r="BJ34" i="95" s="1"/>
  <c r="BL34" i="95" s="1"/>
  <c r="BE34" i="95"/>
  <c r="BF34" i="95" s="1"/>
  <c r="BA34" i="95"/>
  <c r="BB34" i="95" s="1"/>
  <c r="AW34" i="95"/>
  <c r="AX34" i="95" s="1"/>
  <c r="AZ34" i="95" s="1"/>
  <c r="AS34" i="95"/>
  <c r="AT34" i="95" s="1"/>
  <c r="AV34" i="95" s="1"/>
  <c r="AO34" i="95"/>
  <c r="AP34" i="95" s="1"/>
  <c r="AK34" i="95"/>
  <c r="AL34" i="95" s="1"/>
  <c r="AG34" i="95"/>
  <c r="AH34" i="95" s="1"/>
  <c r="AC34" i="95"/>
  <c r="AD34" i="95" s="1"/>
  <c r="AE34" i="95" s="1"/>
  <c r="Y34" i="95"/>
  <c r="Z34" i="95" s="1"/>
  <c r="U34" i="95"/>
  <c r="V34" i="95" s="1"/>
  <c r="X34" i="95" s="1"/>
  <c r="Q34" i="95"/>
  <c r="R34" i="95" s="1"/>
  <c r="T34" i="95" s="1"/>
  <c r="M34" i="95"/>
  <c r="N34" i="95" s="1"/>
  <c r="P34" i="95" s="1"/>
  <c r="I34" i="95"/>
  <c r="J34" i="95" s="1"/>
  <c r="BQ18" i="95"/>
  <c r="BR18" i="95" s="1"/>
  <c r="BI18" i="95"/>
  <c r="BJ18" i="95" s="1"/>
  <c r="BA18" i="95"/>
  <c r="BB18" i="95" s="1"/>
  <c r="AS18" i="95"/>
  <c r="AT18" i="95" s="1"/>
  <c r="AO18" i="95"/>
  <c r="AP18" i="95" s="1"/>
  <c r="AC18" i="95"/>
  <c r="AD18" i="95" s="1"/>
  <c r="Y18" i="95"/>
  <c r="Z18" i="95" s="1"/>
  <c r="U18" i="95"/>
  <c r="V18" i="95" s="1"/>
  <c r="BQ17" i="95"/>
  <c r="BR17" i="95" s="1"/>
  <c r="BI17" i="95"/>
  <c r="BJ17" i="95" s="1"/>
  <c r="BA17" i="95"/>
  <c r="BB17" i="95" s="1"/>
  <c r="AO17" i="95"/>
  <c r="AP17" i="95" s="1"/>
  <c r="AR17" i="95" s="1"/>
  <c r="AK17" i="95"/>
  <c r="AL17" i="95" s="1"/>
  <c r="AC17" i="95"/>
  <c r="AD17" i="95" s="1"/>
  <c r="U17" i="95"/>
  <c r="V17" i="95" s="1"/>
  <c r="X17" i="95" s="1"/>
  <c r="M17" i="95"/>
  <c r="N17" i="95" s="1"/>
  <c r="P17" i="95" s="1"/>
  <c r="I17" i="95"/>
  <c r="J17" i="95" s="1"/>
  <c r="BQ16" i="95"/>
  <c r="BR16" i="95" s="1"/>
  <c r="BI16" i="95"/>
  <c r="BJ16" i="95" s="1"/>
  <c r="BA16" i="95"/>
  <c r="BB16" i="95" s="1"/>
  <c r="AS16" i="95"/>
  <c r="AT16" i="95" s="1"/>
  <c r="AO16" i="95"/>
  <c r="AP16" i="95" s="1"/>
  <c r="AC16" i="95"/>
  <c r="AD16" i="95" s="1"/>
  <c r="Y16" i="95"/>
  <c r="Z16" i="95" s="1"/>
  <c r="U16" i="95"/>
  <c r="V16" i="95" s="1"/>
  <c r="BQ15" i="95"/>
  <c r="BR15" i="95" s="1"/>
  <c r="BI15" i="95"/>
  <c r="BJ15" i="95" s="1"/>
  <c r="BA15" i="95"/>
  <c r="BB15" i="95" s="1"/>
  <c r="AO15" i="95"/>
  <c r="AP15" i="95" s="1"/>
  <c r="AK15" i="95"/>
  <c r="AL15" i="95" s="1"/>
  <c r="AC15" i="95"/>
  <c r="AD15" i="95" s="1"/>
  <c r="U15" i="95"/>
  <c r="V15" i="95" s="1"/>
  <c r="M15" i="95"/>
  <c r="N15" i="95" s="1"/>
  <c r="I15" i="95"/>
  <c r="J15" i="95" s="1"/>
  <c r="BQ14" i="95"/>
  <c r="BR14" i="95" s="1"/>
  <c r="BI14" i="95"/>
  <c r="BJ14" i="95" s="1"/>
  <c r="BA14" i="95"/>
  <c r="BB14" i="95" s="1"/>
  <c r="AS14" i="95"/>
  <c r="AT14" i="95" s="1"/>
  <c r="AO14" i="95"/>
  <c r="AP14" i="95" s="1"/>
  <c r="AC14" i="95"/>
  <c r="AD14" i="95" s="1"/>
  <c r="Y14" i="95"/>
  <c r="Z14" i="95" s="1"/>
  <c r="U14" i="95"/>
  <c r="V14" i="95" s="1"/>
  <c r="BI13" i="95"/>
  <c r="BJ13" i="95" s="1"/>
  <c r="BL13" i="95" s="1"/>
  <c r="BA13" i="95"/>
  <c r="BB13" i="95" s="1"/>
  <c r="AO13" i="95"/>
  <c r="AP13" i="95" s="1"/>
  <c r="AK13" i="95"/>
  <c r="AL13" i="95" s="1"/>
  <c r="AC13" i="95"/>
  <c r="AD13" i="95" s="1"/>
  <c r="AE13" i="95" s="1"/>
  <c r="U13" i="95"/>
  <c r="V13" i="95" s="1"/>
  <c r="M13" i="95"/>
  <c r="N13" i="95" s="1"/>
  <c r="I13" i="95"/>
  <c r="J13" i="95" s="1"/>
  <c r="BQ12" i="95"/>
  <c r="BR12" i="95" s="1"/>
  <c r="BI12" i="95"/>
  <c r="BJ12" i="95" s="1"/>
  <c r="BL12" i="95" s="1"/>
  <c r="BA12" i="95"/>
  <c r="BB12" i="95" s="1"/>
  <c r="AS12" i="95"/>
  <c r="AT12" i="95" s="1"/>
  <c r="AO12" i="95"/>
  <c r="AP12" i="95" s="1"/>
  <c r="AC12" i="95"/>
  <c r="AD12" i="95" s="1"/>
  <c r="Y12" i="95"/>
  <c r="Z12" i="95" s="1"/>
  <c r="U12" i="95"/>
  <c r="V12" i="95" s="1"/>
  <c r="BI11" i="95"/>
  <c r="BJ11" i="95" s="1"/>
  <c r="BA11" i="95"/>
  <c r="BB11" i="95" s="1"/>
  <c r="AO11" i="95"/>
  <c r="AP11" i="95" s="1"/>
  <c r="AK11" i="95"/>
  <c r="AL11" i="95" s="1"/>
  <c r="AC11" i="95"/>
  <c r="AD11" i="95" s="1"/>
  <c r="AE11" i="95" s="1"/>
  <c r="U11" i="95"/>
  <c r="V11" i="95" s="1"/>
  <c r="M11" i="95"/>
  <c r="N11" i="95" s="1"/>
  <c r="I11" i="95"/>
  <c r="J11" i="95" s="1"/>
  <c r="BQ35" i="95"/>
  <c r="BR35" i="95" s="1"/>
  <c r="BM35" i="95"/>
  <c r="BN35" i="95" s="1"/>
  <c r="BE35" i="95"/>
  <c r="BF35" i="95" s="1"/>
  <c r="BA35" i="95"/>
  <c r="BB35" i="95" s="1"/>
  <c r="AW35" i="95"/>
  <c r="AX35" i="95" s="1"/>
  <c r="AZ35" i="95" s="1"/>
  <c r="AS35" i="95"/>
  <c r="AT35" i="95" s="1"/>
  <c r="AO35" i="95"/>
  <c r="AP35" i="95" s="1"/>
  <c r="AK35" i="95"/>
  <c r="AL35" i="95" s="1"/>
  <c r="AG35" i="95"/>
  <c r="AH35" i="95" s="1"/>
  <c r="AC35" i="95"/>
  <c r="AD35" i="95" s="1"/>
  <c r="Y35" i="95"/>
  <c r="Z35" i="95" s="1"/>
  <c r="U35" i="95"/>
  <c r="V35" i="95" s="1"/>
  <c r="X35" i="95" s="1"/>
  <c r="Q35" i="95"/>
  <c r="R35" i="95" s="1"/>
  <c r="T35" i="95" s="1"/>
  <c r="M35" i="95"/>
  <c r="N35" i="95" s="1"/>
  <c r="I35" i="95"/>
  <c r="J35" i="95" s="1"/>
  <c r="BQ10" i="95"/>
  <c r="BR10" i="95" s="1"/>
  <c r="BT10" i="95" s="1"/>
  <c r="BI10" i="95"/>
  <c r="BJ10" i="95" s="1"/>
  <c r="BE10" i="95"/>
  <c r="BF10" i="95" s="1"/>
  <c r="BA10" i="95"/>
  <c r="BB10" i="95" s="1"/>
  <c r="AK10" i="95"/>
  <c r="AL10" i="95" s="1"/>
  <c r="AM10" i="95" s="1"/>
  <c r="AC10" i="95"/>
  <c r="AD10" i="95" s="1"/>
  <c r="I10" i="95"/>
  <c r="J10" i="95" s="1"/>
  <c r="BQ9" i="95"/>
  <c r="BR9" i="95" s="1"/>
  <c r="BI9" i="95"/>
  <c r="BJ9" i="95" s="1"/>
  <c r="AO9" i="95"/>
  <c r="AP9" i="95" s="1"/>
  <c r="AK9" i="95"/>
  <c r="AL9" i="95" s="1"/>
  <c r="U9" i="95"/>
  <c r="V9" i="95" s="1"/>
  <c r="I9" i="95"/>
  <c r="J9" i="95" s="1"/>
  <c r="BQ8" i="95"/>
  <c r="BR8" i="95" s="1"/>
  <c r="BI8" i="95"/>
  <c r="BJ8" i="95" s="1"/>
  <c r="BE8" i="95"/>
  <c r="BF8" i="95" s="1"/>
  <c r="BA8" i="95"/>
  <c r="BB8" i="95" s="1"/>
  <c r="AK8" i="95"/>
  <c r="AL8" i="95" s="1"/>
  <c r="AC8" i="95"/>
  <c r="AD8" i="95" s="1"/>
  <c r="I8" i="95"/>
  <c r="J8" i="95" s="1"/>
  <c r="BQ7" i="95"/>
  <c r="BR7" i="95" s="1"/>
  <c r="BT7" i="95" s="1"/>
  <c r="BI7" i="95"/>
  <c r="BJ7" i="95" s="1"/>
  <c r="AO7" i="95"/>
  <c r="AP7" i="95" s="1"/>
  <c r="AK7" i="95"/>
  <c r="AL7" i="95" s="1"/>
  <c r="U7" i="95"/>
  <c r="V7" i="95" s="1"/>
  <c r="I7" i="95"/>
  <c r="J7" i="95" s="1"/>
  <c r="BQ6" i="95"/>
  <c r="BR6" i="95" s="1"/>
  <c r="BM6" i="95"/>
  <c r="BN6" i="95" s="1"/>
  <c r="BI6" i="95"/>
  <c r="BJ6" i="95" s="1"/>
  <c r="BE6" i="95"/>
  <c r="BF6" i="95" s="1"/>
  <c r="BA6" i="95"/>
  <c r="BB6" i="95" s="1"/>
  <c r="AW6" i="95"/>
  <c r="AX6" i="95" s="1"/>
  <c r="AS6" i="95"/>
  <c r="AT6" i="95" s="1"/>
  <c r="AO6" i="95"/>
  <c r="AP6" i="95" s="1"/>
  <c r="AC6" i="95"/>
  <c r="AD6" i="95" s="1"/>
  <c r="Y6" i="95"/>
  <c r="Z6" i="95" s="1"/>
  <c r="U6" i="95"/>
  <c r="V6" i="95" s="1"/>
  <c r="BI5" i="95"/>
  <c r="BJ5" i="95" s="1"/>
  <c r="BL5" i="95" s="1"/>
  <c r="BA5" i="95"/>
  <c r="BB5" i="95" s="1"/>
  <c r="AK5" i="95"/>
  <c r="AL5" i="95" s="1"/>
  <c r="AC5" i="95"/>
  <c r="AD5" i="95" s="1"/>
  <c r="U5" i="95"/>
  <c r="V5" i="95" s="1"/>
  <c r="M5" i="95"/>
  <c r="N5" i="95" s="1"/>
  <c r="I5" i="95"/>
  <c r="J5" i="95" s="1"/>
  <c r="BQ4" i="95"/>
  <c r="BR4" i="95" s="1"/>
  <c r="BE4" i="95"/>
  <c r="BF4" i="95" s="1"/>
  <c r="BA4" i="95"/>
  <c r="BB4" i="95" s="1"/>
  <c r="AW4" i="95"/>
  <c r="AX4" i="95" s="1"/>
  <c r="AO4" i="95"/>
  <c r="AP4" i="95" s="1"/>
  <c r="AK4" i="95"/>
  <c r="AL4" i="95" s="1"/>
  <c r="BQ3" i="95"/>
  <c r="BR3" i="95" s="1"/>
  <c r="BM3" i="95"/>
  <c r="BN3" i="95" s="1"/>
  <c r="BA3" i="95"/>
  <c r="BB3" i="95" s="1"/>
  <c r="AW3" i="95"/>
  <c r="AX3" i="95" s="1"/>
  <c r="AK3" i="95"/>
  <c r="AL3" i="95" s="1"/>
  <c r="AG3" i="95"/>
  <c r="AH3" i="95" s="1"/>
  <c r="U3" i="95"/>
  <c r="V3" i="95" s="1"/>
  <c r="I3" i="95"/>
  <c r="J3" i="95" s="1"/>
  <c r="CC45" i="95"/>
  <c r="CD45" i="95" s="1"/>
  <c r="CF45" i="95" s="1"/>
  <c r="CC33" i="95"/>
  <c r="CD33" i="95" s="1"/>
  <c r="CF33" i="95" s="1"/>
  <c r="CC32" i="95"/>
  <c r="CD32" i="95" s="1"/>
  <c r="CF32" i="95" s="1"/>
  <c r="CC31" i="95"/>
  <c r="CD31" i="95" s="1"/>
  <c r="CF31" i="95" s="1"/>
  <c r="CC30" i="95"/>
  <c r="CD30" i="95" s="1"/>
  <c r="CF30" i="95" s="1"/>
  <c r="CC29" i="95"/>
  <c r="CD29" i="95" s="1"/>
  <c r="CF29" i="95" s="1"/>
  <c r="CC28" i="95"/>
  <c r="CD28" i="95" s="1"/>
  <c r="CF28" i="95" s="1"/>
  <c r="CC26" i="95"/>
  <c r="CD26" i="95" s="1"/>
  <c r="CF26" i="95" s="1"/>
  <c r="CC25" i="95"/>
  <c r="CD25" i="95" s="1"/>
  <c r="CF25" i="95" s="1"/>
  <c r="CC24" i="95"/>
  <c r="CD24" i="95" s="1"/>
  <c r="CF24" i="95" s="1"/>
  <c r="CC23" i="95"/>
  <c r="CD23" i="95" s="1"/>
  <c r="CF23" i="95" s="1"/>
  <c r="CC22" i="95"/>
  <c r="CD22" i="95" s="1"/>
  <c r="CF22" i="95" s="1"/>
  <c r="CC21" i="95"/>
  <c r="CD21" i="95" s="1"/>
  <c r="CF21" i="95" s="1"/>
  <c r="CC20" i="95"/>
  <c r="CD20" i="95" s="1"/>
  <c r="CC19" i="95"/>
  <c r="CD19" i="95" s="1"/>
  <c r="CF19" i="95" s="1"/>
  <c r="CC18" i="95"/>
  <c r="CD18" i="95" s="1"/>
  <c r="CF18" i="95" s="1"/>
  <c r="CC17" i="95"/>
  <c r="CD17" i="95" s="1"/>
  <c r="CF17" i="95" s="1"/>
  <c r="CC16" i="95"/>
  <c r="CD16" i="95" s="1"/>
  <c r="CF16" i="95" s="1"/>
  <c r="CC15" i="95"/>
  <c r="CD15" i="95" s="1"/>
  <c r="CF15" i="95" s="1"/>
  <c r="CC14" i="95"/>
  <c r="CD14" i="95" s="1"/>
  <c r="CF14" i="95" s="1"/>
  <c r="CC13" i="95"/>
  <c r="CD13" i="95" s="1"/>
  <c r="CF13" i="95" s="1"/>
  <c r="CC12" i="95"/>
  <c r="CD12" i="95" s="1"/>
  <c r="CF12" i="95" s="1"/>
  <c r="CC11" i="95"/>
  <c r="CD11" i="95" s="1"/>
  <c r="CF11" i="95" s="1"/>
  <c r="CC10" i="95"/>
  <c r="CD10" i="95" s="1"/>
  <c r="CF10" i="95" s="1"/>
  <c r="CC9" i="95"/>
  <c r="CD9" i="95" s="1"/>
  <c r="CF9" i="95" s="1"/>
  <c r="CC8" i="95"/>
  <c r="CD8" i="95" s="1"/>
  <c r="CF8" i="95" s="1"/>
  <c r="CC7" i="95"/>
  <c r="CD7" i="95" s="1"/>
  <c r="CF7" i="95" s="1"/>
  <c r="CC5" i="95"/>
  <c r="CD5" i="95" s="1"/>
  <c r="CF5" i="95" s="1"/>
  <c r="CC4" i="95"/>
  <c r="CD4" i="95" s="1"/>
  <c r="CF4" i="95" s="1"/>
  <c r="CC3" i="95"/>
  <c r="CD3" i="95" s="1"/>
  <c r="CF3" i="95" s="1"/>
  <c r="BQ62" i="95"/>
  <c r="BR62" i="95" s="1"/>
  <c r="BT62" i="95" s="1"/>
  <c r="BQ61" i="95"/>
  <c r="BR61" i="95" s="1"/>
  <c r="BQ60" i="95"/>
  <c r="BR60" i="95" s="1"/>
  <c r="BQ59" i="95"/>
  <c r="BR59" i="95" s="1"/>
  <c r="BQ58" i="95"/>
  <c r="BR58" i="95" s="1"/>
  <c r="BQ57" i="95"/>
  <c r="BR57" i="95" s="1"/>
  <c r="BT57" i="95" s="1"/>
  <c r="BQ56" i="95"/>
  <c r="BR56" i="95" s="1"/>
  <c r="BQ55" i="95"/>
  <c r="BR55" i="95" s="1"/>
  <c r="BQ54" i="95"/>
  <c r="BR54" i="95" s="1"/>
  <c r="BT54" i="95" s="1"/>
  <c r="BQ53" i="95"/>
  <c r="BR53" i="95" s="1"/>
  <c r="BQ52" i="95"/>
  <c r="BR52" i="95" s="1"/>
  <c r="BQ50" i="95"/>
  <c r="BR50" i="95" s="1"/>
  <c r="BQ48" i="95"/>
  <c r="BR48" i="95" s="1"/>
  <c r="BQ46" i="95"/>
  <c r="BR46" i="95" s="1"/>
  <c r="BQ43" i="95"/>
  <c r="BR43" i="95" s="1"/>
  <c r="BQ42" i="95"/>
  <c r="BR42" i="95" s="1"/>
  <c r="BQ41" i="95"/>
  <c r="BR41" i="95" s="1"/>
  <c r="BT41" i="95" s="1"/>
  <c r="BQ40" i="95"/>
  <c r="BR40" i="95" s="1"/>
  <c r="BT40" i="95" s="1"/>
  <c r="BQ39" i="95"/>
  <c r="BR39" i="95" s="1"/>
  <c r="BT39" i="95" s="1"/>
  <c r="BQ33" i="95"/>
  <c r="BR33" i="95" s="1"/>
  <c r="BQ31" i="95"/>
  <c r="BR31" i="95" s="1"/>
  <c r="BQ30" i="95"/>
  <c r="BR30" i="95" s="1"/>
  <c r="BT30" i="95" s="1"/>
  <c r="BQ29" i="95"/>
  <c r="BR29" i="95" s="1"/>
  <c r="BQ28" i="95"/>
  <c r="BR28" i="95" s="1"/>
  <c r="BQ26" i="95"/>
  <c r="BR26" i="95" s="1"/>
  <c r="BQ25" i="95"/>
  <c r="BR25" i="95" s="1"/>
  <c r="BQ13" i="95"/>
  <c r="BR13" i="95" s="1"/>
  <c r="BQ11" i="95"/>
  <c r="BR11" i="95" s="1"/>
  <c r="BQ5" i="95"/>
  <c r="BR5" i="95" s="1"/>
  <c r="BM62" i="95"/>
  <c r="BN62" i="95" s="1"/>
  <c r="BP62" i="95" s="1"/>
  <c r="BM61" i="95"/>
  <c r="BN61" i="95" s="1"/>
  <c r="BM60" i="95"/>
  <c r="BN60" i="95" s="1"/>
  <c r="BM59" i="95"/>
  <c r="BN59" i="95" s="1"/>
  <c r="BP59" i="95" s="1"/>
  <c r="BM58" i="95"/>
  <c r="BN58" i="95" s="1"/>
  <c r="BO58" i="95" s="1"/>
  <c r="BM57" i="95"/>
  <c r="BN57" i="95" s="1"/>
  <c r="BM56" i="95"/>
  <c r="BN56" i="95" s="1"/>
  <c r="BM55" i="95"/>
  <c r="BN55" i="95" s="1"/>
  <c r="BM54" i="95"/>
  <c r="BN54" i="95" s="1"/>
  <c r="BP54" i="95" s="1"/>
  <c r="BM53" i="95"/>
  <c r="BN53" i="95" s="1"/>
  <c r="BP53" i="95" s="1"/>
  <c r="BM52" i="95"/>
  <c r="BN52" i="95" s="1"/>
  <c r="BM51" i="95"/>
  <c r="BN51" i="95" s="1"/>
  <c r="BM50" i="95"/>
  <c r="BN50" i="95" s="1"/>
  <c r="BM49" i="95"/>
  <c r="BN49" i="95" s="1"/>
  <c r="BP49" i="95" s="1"/>
  <c r="BM48" i="95"/>
  <c r="BN48" i="95" s="1"/>
  <c r="BM47" i="95"/>
  <c r="BN47" i="95" s="1"/>
  <c r="BM46" i="95"/>
  <c r="BN46" i="95" s="1"/>
  <c r="BM45" i="95"/>
  <c r="BN45" i="95" s="1"/>
  <c r="BM44" i="95"/>
  <c r="BN44" i="95" s="1"/>
  <c r="BM43" i="95"/>
  <c r="BN43" i="95" s="1"/>
  <c r="BM41" i="95"/>
  <c r="BN41" i="95" s="1"/>
  <c r="BP41" i="95" s="1"/>
  <c r="BM39" i="95"/>
  <c r="BN39" i="95" s="1"/>
  <c r="BP39" i="95" s="1"/>
  <c r="BM31" i="95"/>
  <c r="BN31" i="95" s="1"/>
  <c r="BP31" i="95" s="1"/>
  <c r="BM29" i="95"/>
  <c r="BN29" i="95" s="1"/>
  <c r="BM27" i="95"/>
  <c r="BN27" i="95" s="1"/>
  <c r="BM25" i="95"/>
  <c r="BN25" i="95" s="1"/>
  <c r="BP25" i="95" s="1"/>
  <c r="BM24" i="95"/>
  <c r="BN24" i="95" s="1"/>
  <c r="BM23" i="95"/>
  <c r="BN23" i="95" s="1"/>
  <c r="BM21" i="95"/>
  <c r="BN21" i="95" s="1"/>
  <c r="BP21" i="95" s="1"/>
  <c r="BM20" i="95"/>
  <c r="BN20" i="95" s="1"/>
  <c r="BM19" i="95"/>
  <c r="BN19" i="95" s="1"/>
  <c r="BP19" i="95" s="1"/>
  <c r="BM18" i="95"/>
  <c r="BN18" i="95" s="1"/>
  <c r="BM17" i="95"/>
  <c r="BN17" i="95" s="1"/>
  <c r="BM16" i="95"/>
  <c r="BN16" i="95" s="1"/>
  <c r="BM15" i="95"/>
  <c r="BN15" i="95" s="1"/>
  <c r="BM14" i="95"/>
  <c r="BN14" i="95" s="1"/>
  <c r="BM13" i="95"/>
  <c r="BN13" i="95" s="1"/>
  <c r="BM12" i="95"/>
  <c r="BN12" i="95" s="1"/>
  <c r="BM11" i="95"/>
  <c r="BN11" i="95" s="1"/>
  <c r="BM10" i="95"/>
  <c r="BN10" i="95" s="1"/>
  <c r="BP10" i="95" s="1"/>
  <c r="BM9" i="95"/>
  <c r="BN9" i="95" s="1"/>
  <c r="BM8" i="95"/>
  <c r="BN8" i="95" s="1"/>
  <c r="BM7" i="95"/>
  <c r="BN7" i="95" s="1"/>
  <c r="BM5" i="95"/>
  <c r="BN5" i="95" s="1"/>
  <c r="BM4" i="95"/>
  <c r="BN4" i="95" s="1"/>
  <c r="BI61" i="95"/>
  <c r="BJ61" i="95" s="1"/>
  <c r="BI59" i="95"/>
  <c r="BJ59" i="95" s="1"/>
  <c r="BL59" i="95" s="1"/>
  <c r="BI57" i="95"/>
  <c r="BJ57" i="95" s="1"/>
  <c r="BI55" i="95"/>
  <c r="BJ55" i="95" s="1"/>
  <c r="BI53" i="95"/>
  <c r="BJ53" i="95" s="1"/>
  <c r="BI51" i="95"/>
  <c r="BJ51" i="95" s="1"/>
  <c r="BL51" i="95" s="1"/>
  <c r="BI50" i="95"/>
  <c r="BJ50" i="95" s="1"/>
  <c r="BI49" i="95"/>
  <c r="BJ49" i="95" s="1"/>
  <c r="BI48" i="95"/>
  <c r="BJ48" i="95" s="1"/>
  <c r="BL48" i="95" s="1"/>
  <c r="BI47" i="95"/>
  <c r="BJ47" i="95" s="1"/>
  <c r="BI46" i="95"/>
  <c r="BJ46" i="95" s="1"/>
  <c r="BI45" i="95"/>
  <c r="BJ45" i="95" s="1"/>
  <c r="BL45" i="95" s="1"/>
  <c r="BI44" i="95"/>
  <c r="BJ44" i="95" s="1"/>
  <c r="BI43" i="95"/>
  <c r="BJ43" i="95" s="1"/>
  <c r="BI42" i="95"/>
  <c r="BJ42" i="95" s="1"/>
  <c r="BL42" i="95" s="1"/>
  <c r="BI41" i="95"/>
  <c r="BJ41" i="95" s="1"/>
  <c r="BL41" i="95" s="1"/>
  <c r="BI40" i="95"/>
  <c r="BJ40" i="95" s="1"/>
  <c r="BI39" i="95"/>
  <c r="BJ39" i="95" s="1"/>
  <c r="BI38" i="95"/>
  <c r="BJ38" i="95" s="1"/>
  <c r="BI37" i="95"/>
  <c r="BJ37" i="95" s="1"/>
  <c r="BL37" i="95" s="1"/>
  <c r="BI33" i="95"/>
  <c r="BJ33" i="95" s="1"/>
  <c r="BI31" i="95"/>
  <c r="BJ31" i="95" s="1"/>
  <c r="BI29" i="95"/>
  <c r="BJ29" i="95" s="1"/>
  <c r="BI28" i="95"/>
  <c r="BJ28" i="95" s="1"/>
  <c r="BL28" i="95" s="1"/>
  <c r="BI27" i="95"/>
  <c r="BJ27" i="95" s="1"/>
  <c r="BI25" i="95"/>
  <c r="BJ25" i="95" s="1"/>
  <c r="BI24" i="95"/>
  <c r="BJ24" i="95" s="1"/>
  <c r="BI23" i="95"/>
  <c r="BJ23" i="95" s="1"/>
  <c r="BI22" i="95"/>
  <c r="BJ22" i="95" s="1"/>
  <c r="BI21" i="95"/>
  <c r="BJ21" i="95" s="1"/>
  <c r="BI3" i="95"/>
  <c r="BJ3" i="95" s="1"/>
  <c r="BE61" i="95"/>
  <c r="BF61" i="95" s="1"/>
  <c r="BE59" i="95"/>
  <c r="BF59" i="95" s="1"/>
  <c r="BE57" i="95"/>
  <c r="BF57" i="95" s="1"/>
  <c r="BH57" i="95" s="1"/>
  <c r="BE55" i="95"/>
  <c r="BF55" i="95" s="1"/>
  <c r="BE53" i="95"/>
  <c r="BF53" i="95" s="1"/>
  <c r="BH53" i="95" s="1"/>
  <c r="BE51" i="95"/>
  <c r="BF51" i="95" s="1"/>
  <c r="BE49" i="95"/>
  <c r="BF49" i="95" s="1"/>
  <c r="BE47" i="95"/>
  <c r="BF47" i="95" s="1"/>
  <c r="BH47" i="95" s="1"/>
  <c r="BE46" i="95"/>
  <c r="BF46" i="95" s="1"/>
  <c r="BE45" i="95"/>
  <c r="BF45" i="95" s="1"/>
  <c r="BE44" i="95"/>
  <c r="BF44" i="95" s="1"/>
  <c r="BH44" i="95" s="1"/>
  <c r="BE43" i="95"/>
  <c r="BF43" i="95" s="1"/>
  <c r="BE42" i="95"/>
  <c r="BF42" i="95" s="1"/>
  <c r="BH42" i="95" s="1"/>
  <c r="BE41" i="95"/>
  <c r="BF41" i="95" s="1"/>
  <c r="BE40" i="95"/>
  <c r="BF40" i="95" s="1"/>
  <c r="BE39" i="95"/>
  <c r="BF39" i="95" s="1"/>
  <c r="BE33" i="95"/>
  <c r="BF33" i="95" s="1"/>
  <c r="BE29" i="95"/>
  <c r="BF29" i="95" s="1"/>
  <c r="BE21" i="95"/>
  <c r="BF21" i="95" s="1"/>
  <c r="BH21" i="95" s="1"/>
  <c r="BE20" i="95"/>
  <c r="BF20" i="95" s="1"/>
  <c r="BE19" i="95"/>
  <c r="BF19" i="95" s="1"/>
  <c r="BH19" i="95" s="1"/>
  <c r="BE18" i="95"/>
  <c r="BF18" i="95" s="1"/>
  <c r="BE17" i="95"/>
  <c r="BF17" i="95" s="1"/>
  <c r="BH17" i="95" s="1"/>
  <c r="BE16" i="95"/>
  <c r="BF16" i="95" s="1"/>
  <c r="BE15" i="95"/>
  <c r="BF15" i="95" s="1"/>
  <c r="BE14" i="95"/>
  <c r="BF14" i="95" s="1"/>
  <c r="BE13" i="95"/>
  <c r="BF13" i="95" s="1"/>
  <c r="BE12" i="95"/>
  <c r="BF12" i="95" s="1"/>
  <c r="BH12" i="95" s="1"/>
  <c r="BE11" i="95"/>
  <c r="BF11" i="95" s="1"/>
  <c r="BH11" i="95" s="1"/>
  <c r="BE9" i="95"/>
  <c r="BF9" i="95" s="1"/>
  <c r="BE7" i="95"/>
  <c r="BF7" i="95" s="1"/>
  <c r="BE5" i="95"/>
  <c r="BF5" i="95" s="1"/>
  <c r="BE3" i="95"/>
  <c r="BF3" i="95" s="1"/>
  <c r="BA62" i="95"/>
  <c r="BB62" i="95" s="1"/>
  <c r="BA61" i="95"/>
  <c r="BB61" i="95" s="1"/>
  <c r="BA60" i="95"/>
  <c r="BB60" i="95" s="1"/>
  <c r="BA59" i="95"/>
  <c r="BB59" i="95" s="1"/>
  <c r="BA58" i="95"/>
  <c r="BB58" i="95" s="1"/>
  <c r="BA57" i="95"/>
  <c r="BB57" i="95" s="1"/>
  <c r="BD57" i="95" s="1"/>
  <c r="BA56" i="95"/>
  <c r="BB56" i="95" s="1"/>
  <c r="BA55" i="95"/>
  <c r="BB55" i="95" s="1"/>
  <c r="BA54" i="95"/>
  <c r="BB54" i="95" s="1"/>
  <c r="BA53" i="95"/>
  <c r="BB53" i="95" s="1"/>
  <c r="BA52" i="95"/>
  <c r="BB52" i="95" s="1"/>
  <c r="BA50" i="95"/>
  <c r="BB50" i="95" s="1"/>
  <c r="BC50" i="95" s="1"/>
  <c r="BA48" i="95"/>
  <c r="BB48" i="95" s="1"/>
  <c r="BA45" i="95"/>
  <c r="BB45" i="95" s="1"/>
  <c r="BA33" i="95"/>
  <c r="BB33" i="95" s="1"/>
  <c r="BA32" i="95"/>
  <c r="BB32" i="95" s="1"/>
  <c r="BA31" i="95"/>
  <c r="BB31" i="95" s="1"/>
  <c r="BD31" i="95" s="1"/>
  <c r="BA30" i="95"/>
  <c r="BB30" i="95" s="1"/>
  <c r="BA29" i="95"/>
  <c r="BB29" i="95" s="1"/>
  <c r="BA28" i="95"/>
  <c r="BB28" i="95" s="1"/>
  <c r="BA27" i="95"/>
  <c r="BB27" i="95" s="1"/>
  <c r="BA26" i="95"/>
  <c r="BB26" i="95" s="1"/>
  <c r="BA25" i="95"/>
  <c r="BB25" i="95" s="1"/>
  <c r="BA23" i="95"/>
  <c r="BB23" i="95" s="1"/>
  <c r="BA19" i="95"/>
  <c r="BB19" i="95" s="1"/>
  <c r="BA9" i="95"/>
  <c r="BB9" i="95" s="1"/>
  <c r="BA7" i="95"/>
  <c r="BB7" i="95" s="1"/>
  <c r="AW62" i="95"/>
  <c r="AX62" i="95" s="1"/>
  <c r="AW61" i="95"/>
  <c r="AX61" i="95" s="1"/>
  <c r="AW60" i="95"/>
  <c r="AX60" i="95" s="1"/>
  <c r="AW59" i="95"/>
  <c r="AX59" i="95" s="1"/>
  <c r="AW58" i="95"/>
  <c r="AX58" i="95" s="1"/>
  <c r="AW57" i="95"/>
  <c r="AX57" i="95" s="1"/>
  <c r="AZ57" i="95" s="1"/>
  <c r="AW56" i="95"/>
  <c r="AX56" i="95" s="1"/>
  <c r="AW55" i="95"/>
  <c r="AX55" i="95" s="1"/>
  <c r="AW54" i="95"/>
  <c r="AX54" i="95" s="1"/>
  <c r="AW53" i="95"/>
  <c r="AX53" i="95" s="1"/>
  <c r="AZ53" i="95" s="1"/>
  <c r="AW52" i="95"/>
  <c r="AX52" i="95" s="1"/>
  <c r="AW51" i="95"/>
  <c r="AX51" i="95" s="1"/>
  <c r="AW50" i="95"/>
  <c r="AX50" i="95" s="1"/>
  <c r="AW49" i="95"/>
  <c r="AX49" i="95" s="1"/>
  <c r="AW48" i="95"/>
  <c r="AX48" i="95" s="1"/>
  <c r="AW47" i="95"/>
  <c r="AX47" i="95" s="1"/>
  <c r="AW46" i="95"/>
  <c r="AX46" i="95" s="1"/>
  <c r="AW45" i="95"/>
  <c r="AX45" i="95" s="1"/>
  <c r="AW43" i="95"/>
  <c r="AX43" i="95" s="1"/>
  <c r="AW41" i="95"/>
  <c r="AX41" i="95" s="1"/>
  <c r="AZ41" i="95" s="1"/>
  <c r="AW39" i="95"/>
  <c r="AX39" i="95" s="1"/>
  <c r="AZ39" i="95" s="1"/>
  <c r="AW33" i="95"/>
  <c r="AX33" i="95" s="1"/>
  <c r="AW32" i="95"/>
  <c r="AX32" i="95" s="1"/>
  <c r="AW31" i="95"/>
  <c r="AX31" i="95" s="1"/>
  <c r="AW30" i="95"/>
  <c r="AX30" i="95" s="1"/>
  <c r="AZ30" i="95" s="1"/>
  <c r="AW29" i="95"/>
  <c r="AX29" i="95" s="1"/>
  <c r="AW28" i="95"/>
  <c r="AX28" i="95" s="1"/>
  <c r="AW27" i="95"/>
  <c r="AX27" i="95" s="1"/>
  <c r="AW26" i="95"/>
  <c r="AX26" i="95" s="1"/>
  <c r="AW25" i="95"/>
  <c r="AX25" i="95" s="1"/>
  <c r="AZ25" i="95" s="1"/>
  <c r="AW24" i="95"/>
  <c r="AX24" i="95" s="1"/>
  <c r="AW23" i="95"/>
  <c r="AX23" i="95" s="1"/>
  <c r="AW22" i="95"/>
  <c r="AX22" i="95" s="1"/>
  <c r="AW21" i="95"/>
  <c r="AX21" i="95" s="1"/>
  <c r="AZ21" i="95" s="1"/>
  <c r="AW19" i="95"/>
  <c r="AX19" i="95" s="1"/>
  <c r="AZ19" i="95" s="1"/>
  <c r="AW18" i="95"/>
  <c r="AX18" i="95" s="1"/>
  <c r="AW17" i="95"/>
  <c r="AX17" i="95" s="1"/>
  <c r="AW16" i="95"/>
  <c r="AX16" i="95" s="1"/>
  <c r="AW15" i="95"/>
  <c r="AX15" i="95" s="1"/>
  <c r="AZ15" i="95" s="1"/>
  <c r="AW14" i="95"/>
  <c r="AX14" i="95" s="1"/>
  <c r="AW13" i="95"/>
  <c r="AX13" i="95" s="1"/>
  <c r="AZ13" i="95" s="1"/>
  <c r="AW12" i="95"/>
  <c r="AX12" i="95" s="1"/>
  <c r="AW11" i="95"/>
  <c r="AX11" i="95" s="1"/>
  <c r="AW10" i="95"/>
  <c r="AX10" i="95" s="1"/>
  <c r="AW9" i="95"/>
  <c r="AX9" i="95" s="1"/>
  <c r="AW8" i="95"/>
  <c r="AX8" i="95" s="1"/>
  <c r="AW7" i="95"/>
  <c r="AX7" i="95" s="1"/>
  <c r="AW5" i="95"/>
  <c r="AX5" i="95" s="1"/>
  <c r="AS51" i="95"/>
  <c r="AT51" i="95" s="1"/>
  <c r="AV51" i="95" s="1"/>
  <c r="AS50" i="95"/>
  <c r="AT50" i="95" s="1"/>
  <c r="AS49" i="95"/>
  <c r="AT49" i="95" s="1"/>
  <c r="AS48" i="95"/>
  <c r="AT48" i="95" s="1"/>
  <c r="AV48" i="95" s="1"/>
  <c r="AS47" i="95"/>
  <c r="AT47" i="95" s="1"/>
  <c r="AS46" i="95"/>
  <c r="AT46" i="95" s="1"/>
  <c r="AS45" i="95"/>
  <c r="AT45" i="95" s="1"/>
  <c r="AS44" i="95"/>
  <c r="AT44" i="95" s="1"/>
  <c r="AV44" i="95" s="1"/>
  <c r="AS43" i="95"/>
  <c r="AT43" i="95" s="1"/>
  <c r="AS42" i="95"/>
  <c r="AT42" i="95" s="1"/>
  <c r="AS41" i="95"/>
  <c r="AT41" i="95" s="1"/>
  <c r="AS40" i="95"/>
  <c r="AT40" i="95" s="1"/>
  <c r="AS39" i="95"/>
  <c r="AT39" i="95" s="1"/>
  <c r="AV39" i="95" s="1"/>
  <c r="AS33" i="95"/>
  <c r="AT33" i="95" s="1"/>
  <c r="AS32" i="95"/>
  <c r="AT32" i="95" s="1"/>
  <c r="AS31" i="95"/>
  <c r="AT31" i="95" s="1"/>
  <c r="AS29" i="95"/>
  <c r="AT29" i="95" s="1"/>
  <c r="AV29" i="95" s="1"/>
  <c r="AS26" i="95"/>
  <c r="AT26" i="95" s="1"/>
  <c r="AS24" i="95"/>
  <c r="AT24" i="95" s="1"/>
  <c r="AS23" i="95"/>
  <c r="AT23" i="95" s="1"/>
  <c r="AS22" i="95"/>
  <c r="AT22" i="95" s="1"/>
  <c r="AV22" i="95" s="1"/>
  <c r="AS21" i="95"/>
  <c r="AT21" i="95" s="1"/>
  <c r="AS20" i="95"/>
  <c r="AT20" i="95" s="1"/>
  <c r="AU20" i="95" s="1"/>
  <c r="AS19" i="95"/>
  <c r="AT19" i="95" s="1"/>
  <c r="AS17" i="95"/>
  <c r="AT17" i="95" s="1"/>
  <c r="AS15" i="95"/>
  <c r="AT15" i="95" s="1"/>
  <c r="AS13" i="95"/>
  <c r="AT13" i="95" s="1"/>
  <c r="AS11" i="95"/>
  <c r="AT11" i="95" s="1"/>
  <c r="AS10" i="95"/>
  <c r="AT10" i="95" s="1"/>
  <c r="AS9" i="95"/>
  <c r="AT9" i="95" s="1"/>
  <c r="AS8" i="95"/>
  <c r="AT8" i="95" s="1"/>
  <c r="AS7" i="95"/>
  <c r="AT7" i="95" s="1"/>
  <c r="AS5" i="95"/>
  <c r="AT5" i="95" s="1"/>
  <c r="AS4" i="95"/>
  <c r="AT4" i="95" s="1"/>
  <c r="AS3" i="95"/>
  <c r="AT3" i="95" s="1"/>
  <c r="AO62" i="95"/>
  <c r="AP62" i="95" s="1"/>
  <c r="AO61" i="95"/>
  <c r="AP61" i="95" s="1"/>
  <c r="AO60" i="95"/>
  <c r="AP60" i="95" s="1"/>
  <c r="AO59" i="95"/>
  <c r="AP59" i="95" s="1"/>
  <c r="AR59" i="95" s="1"/>
  <c r="AO58" i="95"/>
  <c r="AP58" i="95" s="1"/>
  <c r="AO57" i="95"/>
  <c r="AP57" i="95" s="1"/>
  <c r="AR57" i="95" s="1"/>
  <c r="AO56" i="95"/>
  <c r="AP56" i="95" s="1"/>
  <c r="AO55" i="95"/>
  <c r="AP55" i="95" s="1"/>
  <c r="AO54" i="95"/>
  <c r="AP54" i="95" s="1"/>
  <c r="AO53" i="95"/>
  <c r="AP53" i="95" s="1"/>
  <c r="AR53" i="95" s="1"/>
  <c r="AO45" i="95"/>
  <c r="AP45" i="95" s="1"/>
  <c r="AO44" i="95"/>
  <c r="AP44" i="95" s="1"/>
  <c r="AO43" i="95"/>
  <c r="AP43" i="95" s="1"/>
  <c r="AO42" i="95"/>
  <c r="AP42" i="95" s="1"/>
  <c r="AR42" i="95" s="1"/>
  <c r="AO41" i="95"/>
  <c r="AP41" i="95" s="1"/>
  <c r="AO40" i="95"/>
  <c r="AP40" i="95" s="1"/>
  <c r="AO39" i="95"/>
  <c r="AP39" i="95" s="1"/>
  <c r="AO33" i="95"/>
  <c r="AP33" i="95" s="1"/>
  <c r="AO32" i="95"/>
  <c r="AP32" i="95" s="1"/>
  <c r="AO26" i="95"/>
  <c r="AP26" i="95" s="1"/>
  <c r="AO24" i="95"/>
  <c r="AP24" i="95" s="1"/>
  <c r="AO20" i="95"/>
  <c r="AP20" i="95" s="1"/>
  <c r="AO10" i="95"/>
  <c r="AP10" i="95" s="1"/>
  <c r="AO8" i="95"/>
  <c r="AP8" i="95" s="1"/>
  <c r="AQ8" i="95" s="1"/>
  <c r="AO5" i="95"/>
  <c r="AP5" i="95" s="1"/>
  <c r="AO3" i="95"/>
  <c r="AP3" i="95" s="1"/>
  <c r="AK62" i="95"/>
  <c r="AL62" i="95" s="1"/>
  <c r="AK61" i="95"/>
  <c r="AL61" i="95" s="1"/>
  <c r="AK60" i="95"/>
  <c r="AL60" i="95" s="1"/>
  <c r="AK59" i="95"/>
  <c r="AL59" i="95" s="1"/>
  <c r="AK58" i="95"/>
  <c r="AL58" i="95" s="1"/>
  <c r="AK57" i="95"/>
  <c r="AL57" i="95" s="1"/>
  <c r="AK56" i="95"/>
  <c r="AL56" i="95" s="1"/>
  <c r="AK55" i="95"/>
  <c r="AL55" i="95" s="1"/>
  <c r="AK54" i="95"/>
  <c r="AL54" i="95" s="1"/>
  <c r="AK53" i="95"/>
  <c r="AL53" i="95" s="1"/>
  <c r="AK52" i="95"/>
  <c r="AL52" i="95" s="1"/>
  <c r="AK51" i="95"/>
  <c r="AL51" i="95" s="1"/>
  <c r="AK50" i="95"/>
  <c r="AL50" i="95" s="1"/>
  <c r="AK49" i="95"/>
  <c r="AL49" i="95" s="1"/>
  <c r="AK48" i="95"/>
  <c r="AL48" i="95" s="1"/>
  <c r="AK47" i="95"/>
  <c r="AL47" i="95" s="1"/>
  <c r="AK42" i="95"/>
  <c r="AL42" i="95" s="1"/>
  <c r="AK40" i="95"/>
  <c r="AL40" i="95" s="1"/>
  <c r="AK32" i="95"/>
  <c r="AL32" i="95" s="1"/>
  <c r="AK31" i="95"/>
  <c r="AL31" i="95" s="1"/>
  <c r="AK30" i="95"/>
  <c r="AL30" i="95" s="1"/>
  <c r="AK29" i="95"/>
  <c r="AL29" i="95" s="1"/>
  <c r="AK28" i="95"/>
  <c r="AL28" i="95" s="1"/>
  <c r="AK27" i="95"/>
  <c r="AL27" i="95" s="1"/>
  <c r="AK26" i="95"/>
  <c r="AL26" i="95" s="1"/>
  <c r="AK24" i="95"/>
  <c r="AL24" i="95" s="1"/>
  <c r="AK20" i="95"/>
  <c r="AL20" i="95" s="1"/>
  <c r="AK18" i="95"/>
  <c r="AL18" i="95" s="1"/>
  <c r="AK16" i="95"/>
  <c r="AL16" i="95" s="1"/>
  <c r="AK14" i="95"/>
  <c r="AL14" i="95" s="1"/>
  <c r="AK12" i="95"/>
  <c r="AL12" i="95" s="1"/>
  <c r="AK6" i="95"/>
  <c r="AL6" i="95" s="1"/>
  <c r="AG62" i="95"/>
  <c r="AH62" i="95" s="1"/>
  <c r="AG61" i="95"/>
  <c r="AH61" i="95" s="1"/>
  <c r="AG60" i="95"/>
  <c r="AH60" i="95" s="1"/>
  <c r="AG59" i="95"/>
  <c r="AH59" i="95" s="1"/>
  <c r="AG58" i="95"/>
  <c r="AH58" i="95" s="1"/>
  <c r="AG57" i="95"/>
  <c r="AH57" i="95" s="1"/>
  <c r="AG56" i="95"/>
  <c r="AH56" i="95" s="1"/>
  <c r="AG55" i="95"/>
  <c r="AH55" i="95" s="1"/>
  <c r="AG54" i="95"/>
  <c r="AH54" i="95" s="1"/>
  <c r="AG53" i="95"/>
  <c r="AH53" i="95" s="1"/>
  <c r="AG52" i="95"/>
  <c r="AH52" i="95" s="1"/>
  <c r="AG51" i="95"/>
  <c r="AH51" i="95" s="1"/>
  <c r="AG50" i="95"/>
  <c r="AH50" i="95" s="1"/>
  <c r="AG49" i="95"/>
  <c r="AH49" i="95" s="1"/>
  <c r="AG48" i="95"/>
  <c r="AH48" i="95" s="1"/>
  <c r="AG47" i="95"/>
  <c r="AH47" i="95" s="1"/>
  <c r="AG46" i="95"/>
  <c r="AH46" i="95" s="1"/>
  <c r="AG45" i="95"/>
  <c r="AH45" i="95" s="1"/>
  <c r="AG44" i="95"/>
  <c r="AH44" i="95" s="1"/>
  <c r="AJ44" i="95" s="1"/>
  <c r="AG42" i="95"/>
  <c r="AH42" i="95" s="1"/>
  <c r="AG40" i="95"/>
  <c r="AH40" i="95" s="1"/>
  <c r="AG33" i="95"/>
  <c r="AH33" i="95" s="1"/>
  <c r="AG32" i="95"/>
  <c r="AH32" i="95" s="1"/>
  <c r="AG31" i="95"/>
  <c r="AH31" i="95" s="1"/>
  <c r="AG30" i="95"/>
  <c r="AH30" i="95" s="1"/>
  <c r="AG29" i="95"/>
  <c r="AH29" i="95" s="1"/>
  <c r="AG28" i="95"/>
  <c r="AH28" i="95" s="1"/>
  <c r="AG27" i="95"/>
  <c r="AH27" i="95" s="1"/>
  <c r="AG26" i="95"/>
  <c r="AH26" i="95" s="1"/>
  <c r="AG25" i="95"/>
  <c r="AH25" i="95" s="1"/>
  <c r="AG24" i="95"/>
  <c r="AH24" i="95" s="1"/>
  <c r="AG23" i="95"/>
  <c r="AH23" i="95" s="1"/>
  <c r="AG22" i="95"/>
  <c r="AH22" i="95" s="1"/>
  <c r="AG21" i="95"/>
  <c r="AH21" i="95" s="1"/>
  <c r="AG20" i="95"/>
  <c r="AH20" i="95" s="1"/>
  <c r="AG19" i="95"/>
  <c r="AH19" i="95" s="1"/>
  <c r="AG18" i="95"/>
  <c r="AH18" i="95" s="1"/>
  <c r="AG17" i="95"/>
  <c r="AH17" i="95" s="1"/>
  <c r="AG16" i="95"/>
  <c r="AH16" i="95" s="1"/>
  <c r="AG15" i="95"/>
  <c r="AH15" i="95" s="1"/>
  <c r="AG14" i="95"/>
  <c r="AH14" i="95" s="1"/>
  <c r="AG13" i="95"/>
  <c r="AH13" i="95" s="1"/>
  <c r="AG12" i="95"/>
  <c r="AH12" i="95" s="1"/>
  <c r="AG11" i="95"/>
  <c r="AH11" i="95" s="1"/>
  <c r="AI11" i="95" s="1"/>
  <c r="AG10" i="95"/>
  <c r="AH10" i="95" s="1"/>
  <c r="AG9" i="95"/>
  <c r="AH9" i="95" s="1"/>
  <c r="AG8" i="95"/>
  <c r="AH8" i="95" s="1"/>
  <c r="AG7" i="95"/>
  <c r="AH7" i="95" s="1"/>
  <c r="AG6" i="95"/>
  <c r="AH6" i="95" s="1"/>
  <c r="AG5" i="95"/>
  <c r="AH5" i="95" s="1"/>
  <c r="AG4" i="95"/>
  <c r="AH4" i="95" s="1"/>
  <c r="AC61" i="95"/>
  <c r="AD61" i="95" s="1"/>
  <c r="AC59" i="95"/>
  <c r="AD59" i="95" s="1"/>
  <c r="AC57" i="95"/>
  <c r="AD57" i="95" s="1"/>
  <c r="AC55" i="95"/>
  <c r="AD55" i="95" s="1"/>
  <c r="AC53" i="95"/>
  <c r="AD53" i="95" s="1"/>
  <c r="AC52" i="95"/>
  <c r="AD52" i="95" s="1"/>
  <c r="AE52" i="95" s="1"/>
  <c r="AC51" i="95"/>
  <c r="AD51" i="95" s="1"/>
  <c r="AC50" i="95"/>
  <c r="AD50" i="95" s="1"/>
  <c r="AC49" i="95"/>
  <c r="AD49" i="95" s="1"/>
  <c r="AC48" i="95"/>
  <c r="AD48" i="95" s="1"/>
  <c r="AC47" i="95"/>
  <c r="AD47" i="95" s="1"/>
  <c r="AC46" i="95"/>
  <c r="AD46" i="95" s="1"/>
  <c r="AC45" i="95"/>
  <c r="AD45" i="95" s="1"/>
  <c r="AC44" i="95"/>
  <c r="AD44" i="95" s="1"/>
  <c r="AC43" i="95"/>
  <c r="AD43" i="95" s="1"/>
  <c r="AC42" i="95"/>
  <c r="AD42" i="95" s="1"/>
  <c r="AC41" i="95"/>
  <c r="AD41" i="95" s="1"/>
  <c r="AC40" i="95"/>
  <c r="AD40" i="95" s="1"/>
  <c r="AC39" i="95"/>
  <c r="AD39" i="95" s="1"/>
  <c r="AC33" i="95"/>
  <c r="AD33" i="95" s="1"/>
  <c r="AC31" i="95"/>
  <c r="AD31" i="95" s="1"/>
  <c r="AC27" i="95"/>
  <c r="AD27" i="95" s="1"/>
  <c r="AC25" i="95"/>
  <c r="AD25" i="95" s="1"/>
  <c r="AC23" i="95"/>
  <c r="AD23" i="95" s="1"/>
  <c r="AC20" i="95"/>
  <c r="AD20" i="95" s="1"/>
  <c r="AC19" i="95"/>
  <c r="AD19" i="95" s="1"/>
  <c r="AC9" i="95"/>
  <c r="AD9" i="95" s="1"/>
  <c r="AC7" i="95"/>
  <c r="AD7" i="95" s="1"/>
  <c r="AC4" i="95"/>
  <c r="AD4" i="95" s="1"/>
  <c r="AC3" i="95"/>
  <c r="AD3" i="95" s="1"/>
  <c r="Y52" i="95"/>
  <c r="Z52" i="95" s="1"/>
  <c r="Y50" i="95"/>
  <c r="Z50" i="95" s="1"/>
  <c r="Y48" i="95"/>
  <c r="Z48" i="95" s="1"/>
  <c r="Y46" i="95"/>
  <c r="Z46" i="95" s="1"/>
  <c r="Y45" i="95"/>
  <c r="Z45" i="95" s="1"/>
  <c r="Y44" i="95"/>
  <c r="Z44" i="95" s="1"/>
  <c r="Y43" i="95"/>
  <c r="Z43" i="95" s="1"/>
  <c r="Y42" i="95"/>
  <c r="Z42" i="95" s="1"/>
  <c r="Y41" i="95"/>
  <c r="Z41" i="95" s="1"/>
  <c r="AB41" i="95" s="1"/>
  <c r="Y40" i="95"/>
  <c r="Z40" i="95" s="1"/>
  <c r="AB40" i="95" s="1"/>
  <c r="Y39" i="95"/>
  <c r="Z39" i="95" s="1"/>
  <c r="Y33" i="95"/>
  <c r="Z33" i="95" s="1"/>
  <c r="Y31" i="95"/>
  <c r="Z31" i="95" s="1"/>
  <c r="Y30" i="95"/>
  <c r="Z30" i="95" s="1"/>
  <c r="AB30" i="95" s="1"/>
  <c r="Y29" i="95"/>
  <c r="Z29" i="95" s="1"/>
  <c r="Y28" i="95"/>
  <c r="Z28" i="95" s="1"/>
  <c r="Y27" i="95"/>
  <c r="Z27" i="95" s="1"/>
  <c r="Y25" i="95"/>
  <c r="Z25" i="95" s="1"/>
  <c r="Y23" i="95"/>
  <c r="Z23" i="95" s="1"/>
  <c r="Y22" i="95"/>
  <c r="Z22" i="95" s="1"/>
  <c r="Y21" i="95"/>
  <c r="Z21" i="95" s="1"/>
  <c r="Y20" i="95"/>
  <c r="Z20" i="95" s="1"/>
  <c r="Y19" i="95"/>
  <c r="Z19" i="95" s="1"/>
  <c r="AB19" i="95" s="1"/>
  <c r="Y17" i="95"/>
  <c r="Z17" i="95" s="1"/>
  <c r="Y15" i="95"/>
  <c r="Z15" i="95" s="1"/>
  <c r="Y13" i="95"/>
  <c r="Z13" i="95" s="1"/>
  <c r="AB13" i="95" s="1"/>
  <c r="Y11" i="95"/>
  <c r="Z11" i="95" s="1"/>
  <c r="Y10" i="95"/>
  <c r="Z10" i="95" s="1"/>
  <c r="Y9" i="95"/>
  <c r="Z9" i="95" s="1"/>
  <c r="Y8" i="95"/>
  <c r="Z8" i="95" s="1"/>
  <c r="Y7" i="95"/>
  <c r="Z7" i="95" s="1"/>
  <c r="Y5" i="95"/>
  <c r="Z5" i="95" s="1"/>
  <c r="Y4" i="95"/>
  <c r="Z4" i="95" s="1"/>
  <c r="Y3" i="95"/>
  <c r="Z3" i="95" s="1"/>
  <c r="U62" i="95"/>
  <c r="V62" i="95" s="1"/>
  <c r="U61" i="95"/>
  <c r="V61" i="95" s="1"/>
  <c r="U60" i="95"/>
  <c r="V60" i="95" s="1"/>
  <c r="U59" i="95"/>
  <c r="V59" i="95" s="1"/>
  <c r="U58" i="95"/>
  <c r="V58" i="95" s="1"/>
  <c r="U57" i="95"/>
  <c r="V57" i="95" s="1"/>
  <c r="U56" i="95"/>
  <c r="V56" i="95" s="1"/>
  <c r="U55" i="95"/>
  <c r="V55" i="95" s="1"/>
  <c r="U54" i="95"/>
  <c r="V54" i="95" s="1"/>
  <c r="U53" i="95"/>
  <c r="V53" i="95" s="1"/>
  <c r="X53" i="95" s="1"/>
  <c r="U51" i="95"/>
  <c r="V51" i="95" s="1"/>
  <c r="U49" i="95"/>
  <c r="V49" i="95" s="1"/>
  <c r="U47" i="95"/>
  <c r="V47" i="95" s="1"/>
  <c r="U46" i="95"/>
  <c r="V46" i="95" s="1"/>
  <c r="U44" i="95"/>
  <c r="V44" i="95" s="1"/>
  <c r="X44" i="95" s="1"/>
  <c r="U42" i="95"/>
  <c r="V42" i="95" s="1"/>
  <c r="U40" i="95"/>
  <c r="V40" i="95" s="1"/>
  <c r="X40" i="95" s="1"/>
  <c r="U32" i="95"/>
  <c r="V32" i="95" s="1"/>
  <c r="U31" i="95"/>
  <c r="V31" i="95" s="1"/>
  <c r="U30" i="95"/>
  <c r="V30" i="95" s="1"/>
  <c r="U29" i="95"/>
  <c r="V29" i="95" s="1"/>
  <c r="U28" i="95"/>
  <c r="V28" i="95" s="1"/>
  <c r="U27" i="95"/>
  <c r="V27" i="95" s="1"/>
  <c r="U26" i="95"/>
  <c r="V26" i="95" s="1"/>
  <c r="U24" i="95"/>
  <c r="V24" i="95" s="1"/>
  <c r="X24" i="95" s="1"/>
  <c r="U22" i="95"/>
  <c r="V22" i="95" s="1"/>
  <c r="U20" i="95"/>
  <c r="V20" i="95" s="1"/>
  <c r="U10" i="95"/>
  <c r="V10" i="95" s="1"/>
  <c r="U8" i="95"/>
  <c r="V8" i="95" s="1"/>
  <c r="U4" i="95"/>
  <c r="V4" i="95" s="1"/>
  <c r="Q62" i="95"/>
  <c r="R62" i="95" s="1"/>
  <c r="Q61" i="95"/>
  <c r="R61" i="95" s="1"/>
  <c r="Q60" i="95"/>
  <c r="R60" i="95" s="1"/>
  <c r="Q59" i="95"/>
  <c r="R59" i="95" s="1"/>
  <c r="T59" i="95" s="1"/>
  <c r="Q58" i="95"/>
  <c r="R58" i="95" s="1"/>
  <c r="Q57" i="95"/>
  <c r="R57" i="95" s="1"/>
  <c r="Q56" i="95"/>
  <c r="R56" i="95" s="1"/>
  <c r="Q55" i="95"/>
  <c r="R55" i="95" s="1"/>
  <c r="Q54" i="95"/>
  <c r="R54" i="95" s="1"/>
  <c r="Q53" i="95"/>
  <c r="R53" i="95" s="1"/>
  <c r="T53" i="95" s="1"/>
  <c r="Q52" i="95"/>
  <c r="R52" i="95" s="1"/>
  <c r="Q51" i="95"/>
  <c r="R51" i="95" s="1"/>
  <c r="T51" i="95" s="1"/>
  <c r="Q50" i="95"/>
  <c r="R50" i="95" s="1"/>
  <c r="Q49" i="95"/>
  <c r="R49" i="95" s="1"/>
  <c r="Q48" i="95"/>
  <c r="R48" i="95" s="1"/>
  <c r="T48" i="95" s="1"/>
  <c r="Q47" i="95"/>
  <c r="R47" i="95" s="1"/>
  <c r="Q46" i="95"/>
  <c r="R46" i="95" s="1"/>
  <c r="Q44" i="95"/>
  <c r="R44" i="95" s="1"/>
  <c r="T44" i="95" s="1"/>
  <c r="Q42" i="95"/>
  <c r="R42" i="95" s="1"/>
  <c r="T42" i="95" s="1"/>
  <c r="Q40" i="95"/>
  <c r="R40" i="95" s="1"/>
  <c r="Q32" i="95"/>
  <c r="R32" i="95" s="1"/>
  <c r="Q31" i="95"/>
  <c r="R31" i="95" s="1"/>
  <c r="T31" i="95" s="1"/>
  <c r="Q30" i="95"/>
  <c r="R30" i="95" s="1"/>
  <c r="Q29" i="95"/>
  <c r="R29" i="95" s="1"/>
  <c r="Q28" i="95"/>
  <c r="R28" i="95" s="1"/>
  <c r="T28" i="95" s="1"/>
  <c r="Q27" i="95"/>
  <c r="R27" i="95" s="1"/>
  <c r="Q26" i="95"/>
  <c r="R26" i="95" s="1"/>
  <c r="Q25" i="95"/>
  <c r="R25" i="95" s="1"/>
  <c r="Q24" i="95"/>
  <c r="R24" i="95" s="1"/>
  <c r="Q23" i="95"/>
  <c r="R23" i="95" s="1"/>
  <c r="Q22" i="95"/>
  <c r="R22" i="95" s="1"/>
  <c r="T22" i="95" s="1"/>
  <c r="Q21" i="95"/>
  <c r="R21" i="95" s="1"/>
  <c r="T21" i="95" s="1"/>
  <c r="Q20" i="95"/>
  <c r="R20" i="95" s="1"/>
  <c r="Q19" i="95"/>
  <c r="R19" i="95" s="1"/>
  <c r="T19" i="95" s="1"/>
  <c r="Q18" i="95"/>
  <c r="R18" i="95" s="1"/>
  <c r="T18" i="95" s="1"/>
  <c r="Q17" i="95"/>
  <c r="R17" i="95" s="1"/>
  <c r="Q16" i="95"/>
  <c r="R16" i="95" s="1"/>
  <c r="Q15" i="95"/>
  <c r="R15" i="95" s="1"/>
  <c r="T15" i="95" s="1"/>
  <c r="Q14" i="95"/>
  <c r="R14" i="95" s="1"/>
  <c r="Q13" i="95"/>
  <c r="R13" i="95" s="1"/>
  <c r="Q12" i="95"/>
  <c r="R12" i="95" s="1"/>
  <c r="S12" i="95" s="1"/>
  <c r="T12" i="95" s="1"/>
  <c r="Q11" i="95"/>
  <c r="R11" i="95" s="1"/>
  <c r="S11" i="95" s="1"/>
  <c r="Q10" i="95"/>
  <c r="R10" i="95" s="1"/>
  <c r="S10" i="95" s="1"/>
  <c r="Q9" i="95"/>
  <c r="R9" i="95" s="1"/>
  <c r="Q8" i="95"/>
  <c r="R8" i="95" s="1"/>
  <c r="Q7" i="95"/>
  <c r="R7" i="95" s="1"/>
  <c r="Q6" i="95"/>
  <c r="R6" i="95" s="1"/>
  <c r="Q5" i="95"/>
  <c r="R5" i="95" s="1"/>
  <c r="Q4" i="95"/>
  <c r="R4" i="95" s="1"/>
  <c r="Q3" i="95"/>
  <c r="R3" i="95" s="1"/>
  <c r="AG240" i="74"/>
  <c r="AF240" i="74"/>
  <c r="AE240" i="74"/>
  <c r="AD240" i="74"/>
  <c r="AC240" i="74"/>
  <c r="AB240" i="74"/>
  <c r="AA240" i="74"/>
  <c r="Z240" i="74"/>
  <c r="Y240" i="74"/>
  <c r="X240" i="74"/>
  <c r="W240" i="74"/>
  <c r="V240" i="74"/>
  <c r="U240" i="74"/>
  <c r="T240" i="74"/>
  <c r="S240" i="74"/>
  <c r="R240" i="74"/>
  <c r="Q240" i="74"/>
  <c r="P240" i="74"/>
  <c r="O240" i="74"/>
  <c r="N240" i="74"/>
  <c r="M240" i="74"/>
  <c r="L240" i="74"/>
  <c r="K240" i="74"/>
  <c r="J240" i="74"/>
  <c r="I240" i="74"/>
  <c r="AH240" i="74" s="1"/>
  <c r="H240" i="74"/>
  <c r="G240" i="74"/>
  <c r="F240" i="74"/>
  <c r="E240" i="74"/>
  <c r="D240" i="74"/>
  <c r="C240" i="74"/>
  <c r="AG210" i="74"/>
  <c r="AF210" i="74"/>
  <c r="AE210" i="74"/>
  <c r="AD210" i="74"/>
  <c r="AC210" i="74"/>
  <c r="AB210" i="74"/>
  <c r="AA210" i="74"/>
  <c r="Z210" i="74"/>
  <c r="Y210" i="74"/>
  <c r="X210" i="74"/>
  <c r="W210" i="74"/>
  <c r="V210" i="74"/>
  <c r="U210" i="74"/>
  <c r="T210" i="74"/>
  <c r="S210" i="74"/>
  <c r="R210" i="74"/>
  <c r="Q210" i="74"/>
  <c r="P210" i="74"/>
  <c r="O210" i="74"/>
  <c r="N210" i="74"/>
  <c r="M210" i="74"/>
  <c r="L210" i="74"/>
  <c r="K210" i="74"/>
  <c r="J210" i="74"/>
  <c r="I210" i="74"/>
  <c r="AH210" i="74" s="1"/>
  <c r="H210" i="74"/>
  <c r="AG181" i="74"/>
  <c r="AF181" i="74"/>
  <c r="AE181" i="74"/>
  <c r="AD181" i="74"/>
  <c r="AC181" i="74"/>
  <c r="AB181" i="74"/>
  <c r="AA181" i="74"/>
  <c r="Z181" i="74"/>
  <c r="AH181" i="74" s="1"/>
  <c r="Y181" i="74"/>
  <c r="X181" i="74"/>
  <c r="W181" i="74"/>
  <c r="AG151" i="74"/>
  <c r="AF151" i="74"/>
  <c r="AE151" i="74"/>
  <c r="AD151" i="74"/>
  <c r="AC151" i="74"/>
  <c r="AB151" i="74"/>
  <c r="AA151" i="74"/>
  <c r="Z151" i="74"/>
  <c r="Y151" i="74"/>
  <c r="X151" i="74"/>
  <c r="X152" i="74" s="1"/>
  <c r="X153" i="74" s="1"/>
  <c r="W151" i="74"/>
  <c r="V151" i="74"/>
  <c r="U151" i="74"/>
  <c r="AG120" i="74"/>
  <c r="AF120" i="74"/>
  <c r="AE120" i="74"/>
  <c r="AD120" i="74"/>
  <c r="AC120" i="74"/>
  <c r="AB120" i="74"/>
  <c r="AA120" i="74"/>
  <c r="Z120" i="74"/>
  <c r="AH120" i="74" s="1"/>
  <c r="Y120" i="74"/>
  <c r="X120" i="74"/>
  <c r="W120" i="74"/>
  <c r="AG59" i="74"/>
  <c r="AF59" i="74"/>
  <c r="AE59" i="74"/>
  <c r="AD59" i="74"/>
  <c r="AC59" i="74"/>
  <c r="AB59" i="74"/>
  <c r="AA59" i="74"/>
  <c r="Z59" i="74"/>
  <c r="Y59" i="74"/>
  <c r="X59" i="74"/>
  <c r="W59" i="74"/>
  <c r="V59" i="74"/>
  <c r="U59" i="74"/>
  <c r="T59" i="74"/>
  <c r="S59" i="74"/>
  <c r="R59" i="74"/>
  <c r="Q59" i="74"/>
  <c r="P59" i="74"/>
  <c r="O59" i="74"/>
  <c r="N59" i="74"/>
  <c r="M59" i="74"/>
  <c r="L59" i="74"/>
  <c r="K59" i="74"/>
  <c r="J59" i="74"/>
  <c r="I59" i="74"/>
  <c r="H59" i="74"/>
  <c r="G59" i="74"/>
  <c r="F59" i="74"/>
  <c r="AH59" i="74" s="1"/>
  <c r="E59" i="74"/>
  <c r="D59" i="74"/>
  <c r="C59" i="74"/>
  <c r="M30" i="74"/>
  <c r="L30" i="74"/>
  <c r="AG28" i="74"/>
  <c r="AF28" i="74"/>
  <c r="AE28" i="74"/>
  <c r="AD28" i="74"/>
  <c r="AC28" i="74"/>
  <c r="AB28" i="74"/>
  <c r="AA28" i="74"/>
  <c r="Z28" i="74"/>
  <c r="Y28" i="74"/>
  <c r="X28" i="74"/>
  <c r="W28" i="74"/>
  <c r="V28" i="74"/>
  <c r="U28" i="74"/>
  <c r="U29" i="74" s="1"/>
  <c r="M52" i="95"/>
  <c r="N52" i="95" s="1"/>
  <c r="M51" i="95"/>
  <c r="N51" i="95" s="1"/>
  <c r="P51" i="95" s="1"/>
  <c r="M50" i="95"/>
  <c r="N50" i="95" s="1"/>
  <c r="M49" i="95"/>
  <c r="N49" i="95" s="1"/>
  <c r="M48" i="95"/>
  <c r="N48" i="95" s="1"/>
  <c r="M47" i="95"/>
  <c r="N47" i="95" s="1"/>
  <c r="P47" i="95" s="1"/>
  <c r="M46" i="95"/>
  <c r="N46" i="95" s="1"/>
  <c r="M45" i="95"/>
  <c r="N45" i="95" s="1"/>
  <c r="M44" i="95"/>
  <c r="N44" i="95" s="1"/>
  <c r="M43" i="95"/>
  <c r="N43" i="95" s="1"/>
  <c r="M42" i="95"/>
  <c r="N42" i="95" s="1"/>
  <c r="M41" i="95"/>
  <c r="N41" i="95" s="1"/>
  <c r="M40" i="95"/>
  <c r="N40" i="95" s="1"/>
  <c r="M39" i="95"/>
  <c r="N39" i="95" s="1"/>
  <c r="M33" i="95"/>
  <c r="N33" i="95" s="1"/>
  <c r="M31" i="95"/>
  <c r="N31" i="95" s="1"/>
  <c r="M29" i="95"/>
  <c r="N29" i="95" s="1"/>
  <c r="P29" i="95" s="1"/>
  <c r="M26" i="95"/>
  <c r="N26" i="95" s="1"/>
  <c r="M25" i="95"/>
  <c r="N25" i="95" s="1"/>
  <c r="O25" i="95" s="1"/>
  <c r="P25" i="95" s="1"/>
  <c r="M24" i="95"/>
  <c r="N24" i="95" s="1"/>
  <c r="M23" i="95"/>
  <c r="N23" i="95" s="1"/>
  <c r="M22" i="95"/>
  <c r="N22" i="95" s="1"/>
  <c r="P22" i="95" s="1"/>
  <c r="M21" i="95"/>
  <c r="N21" i="95" s="1"/>
  <c r="M20" i="95"/>
  <c r="N20" i="95" s="1"/>
  <c r="M18" i="95"/>
  <c r="N18" i="95" s="1"/>
  <c r="P18" i="95" s="1"/>
  <c r="M16" i="95"/>
  <c r="N16" i="95" s="1"/>
  <c r="M14" i="95"/>
  <c r="N14" i="95" s="1"/>
  <c r="M12" i="95"/>
  <c r="N12" i="95" s="1"/>
  <c r="M10" i="95"/>
  <c r="N10" i="95" s="1"/>
  <c r="M9" i="95"/>
  <c r="N9" i="95" s="1"/>
  <c r="M8" i="95"/>
  <c r="N8" i="95" s="1"/>
  <c r="M7" i="95"/>
  <c r="N7" i="95" s="1"/>
  <c r="M6" i="95"/>
  <c r="N6" i="95" s="1"/>
  <c r="M4" i="95"/>
  <c r="N4" i="95" s="1"/>
  <c r="P4" i="95" s="1"/>
  <c r="M3" i="95"/>
  <c r="N3" i="95" s="1"/>
  <c r="I62" i="95"/>
  <c r="J62" i="95" s="1"/>
  <c r="I61" i="95"/>
  <c r="J61" i="95" s="1"/>
  <c r="I59" i="95"/>
  <c r="J59" i="95" s="1"/>
  <c r="I57" i="95"/>
  <c r="J57" i="95" s="1"/>
  <c r="L57" i="95" s="1"/>
  <c r="I55" i="95"/>
  <c r="J55" i="95" s="1"/>
  <c r="I53" i="95"/>
  <c r="J53" i="95" s="1"/>
  <c r="I46" i="95"/>
  <c r="J46" i="95" s="1"/>
  <c r="I45" i="95"/>
  <c r="J45" i="95" s="1"/>
  <c r="I44" i="95"/>
  <c r="J44" i="95" s="1"/>
  <c r="I43" i="95"/>
  <c r="J43" i="95" s="1"/>
  <c r="I42" i="95"/>
  <c r="J42" i="95" s="1"/>
  <c r="I41" i="95"/>
  <c r="J41" i="95" s="1"/>
  <c r="I40" i="95"/>
  <c r="J40" i="95" s="1"/>
  <c r="L40" i="95" s="1"/>
  <c r="I39" i="95"/>
  <c r="J39" i="95" s="1"/>
  <c r="I33" i="95"/>
  <c r="J33" i="95" s="1"/>
  <c r="I20" i="95"/>
  <c r="J20" i="95" s="1"/>
  <c r="I18" i="95"/>
  <c r="J18" i="95" s="1"/>
  <c r="L18" i="95" s="1"/>
  <c r="I16" i="95"/>
  <c r="J16" i="95" s="1"/>
  <c r="I14" i="95"/>
  <c r="J14" i="95" s="1"/>
  <c r="AE94" i="71"/>
  <c r="F94" i="71"/>
  <c r="F93" i="71"/>
  <c r="F92" i="71"/>
  <c r="AE91" i="71"/>
  <c r="F91" i="71"/>
  <c r="AE90" i="71"/>
  <c r="F90" i="71"/>
  <c r="AE89" i="71"/>
  <c r="F89" i="71"/>
  <c r="AE88" i="71"/>
  <c r="F88" i="71"/>
  <c r="AE87" i="71"/>
  <c r="F87" i="71"/>
  <c r="AE86" i="71"/>
  <c r="F86" i="71"/>
  <c r="AE85" i="71"/>
  <c r="F85" i="71"/>
  <c r="AE84" i="71"/>
  <c r="F84" i="71"/>
  <c r="AE83" i="71"/>
  <c r="F83" i="71"/>
  <c r="AE82" i="71"/>
  <c r="F82" i="71"/>
  <c r="AE81" i="71"/>
  <c r="F81" i="71"/>
  <c r="AE80" i="71"/>
  <c r="F80" i="71"/>
  <c r="AE79" i="71"/>
  <c r="F79" i="71"/>
  <c r="AE78" i="71"/>
  <c r="F78" i="71"/>
  <c r="AD77" i="71"/>
  <c r="AD75" i="71" s="1"/>
  <c r="AC77" i="71"/>
  <c r="AC75" i="71" s="1"/>
  <c r="AB77" i="71"/>
  <c r="AA77" i="71"/>
  <c r="Z77" i="71"/>
  <c r="Y77" i="71"/>
  <c r="Y75" i="71" s="1"/>
  <c r="X77" i="71"/>
  <c r="W77" i="71"/>
  <c r="W75" i="71" s="1"/>
  <c r="V77" i="71"/>
  <c r="V75" i="71" s="1"/>
  <c r="U77" i="71"/>
  <c r="U75" i="71" s="1"/>
  <c r="T77" i="71"/>
  <c r="S77" i="71"/>
  <c r="S75" i="71" s="1"/>
  <c r="R77" i="71"/>
  <c r="R75" i="71" s="1"/>
  <c r="Q77" i="71"/>
  <c r="Q75" i="71" s="1"/>
  <c r="P77" i="71"/>
  <c r="O77" i="71"/>
  <c r="N77" i="71"/>
  <c r="N75" i="71" s="1"/>
  <c r="M77" i="71"/>
  <c r="M75" i="71" s="1"/>
  <c r="L77" i="71"/>
  <c r="K77" i="71"/>
  <c r="J77" i="71"/>
  <c r="I77" i="71"/>
  <c r="I75" i="71" s="1"/>
  <c r="H77" i="71"/>
  <c r="G77" i="71"/>
  <c r="G75" i="71" s="1"/>
  <c r="AI75" i="71"/>
  <c r="AB75" i="71"/>
  <c r="AA75" i="71"/>
  <c r="Z75" i="71"/>
  <c r="X75" i="71"/>
  <c r="T75" i="71"/>
  <c r="P75" i="71"/>
  <c r="O75" i="71"/>
  <c r="L75" i="71"/>
  <c r="K75" i="71"/>
  <c r="J75" i="71"/>
  <c r="H75" i="71"/>
  <c r="AE74" i="71"/>
  <c r="AE68" i="71"/>
  <c r="F68" i="71"/>
  <c r="AE67" i="71"/>
  <c r="F67" i="71"/>
  <c r="AE66" i="71"/>
  <c r="F66" i="71"/>
  <c r="AE65" i="71"/>
  <c r="F65" i="71"/>
  <c r="AE64" i="71"/>
  <c r="F64" i="71"/>
  <c r="AE63" i="71"/>
  <c r="F63" i="71"/>
  <c r="AE62" i="71"/>
  <c r="F62" i="71"/>
  <c r="AE61" i="71"/>
  <c r="F61" i="71"/>
  <c r="AE60" i="71"/>
  <c r="F60" i="71"/>
  <c r="AE59" i="71"/>
  <c r="F59" i="71"/>
  <c r="AD58" i="71"/>
  <c r="AC58" i="71"/>
  <c r="AB58" i="71"/>
  <c r="AA58" i="71"/>
  <c r="Z58" i="71"/>
  <c r="Y58" i="71"/>
  <c r="X58" i="71"/>
  <c r="W58" i="71"/>
  <c r="V58" i="71"/>
  <c r="U58" i="71"/>
  <c r="T58" i="71"/>
  <c r="S58" i="71"/>
  <c r="R58" i="71"/>
  <c r="Q58" i="71"/>
  <c r="P58" i="71"/>
  <c r="O58" i="71"/>
  <c r="N58" i="71"/>
  <c r="M58" i="71"/>
  <c r="L58" i="71"/>
  <c r="K58" i="71"/>
  <c r="J58" i="71"/>
  <c r="I58" i="71"/>
  <c r="H58" i="71"/>
  <c r="G58" i="71"/>
  <c r="AD56" i="71"/>
  <c r="AC56" i="71"/>
  <c r="AB56" i="71"/>
  <c r="AA56" i="71"/>
  <c r="Z56" i="71"/>
  <c r="Y56" i="71"/>
  <c r="X56" i="71"/>
  <c r="W56" i="71"/>
  <c r="V56" i="71"/>
  <c r="U56" i="71"/>
  <c r="T56" i="71"/>
  <c r="S56" i="71"/>
  <c r="R56" i="71"/>
  <c r="Q56" i="71"/>
  <c r="P56" i="71"/>
  <c r="O56" i="71"/>
  <c r="N56" i="71"/>
  <c r="M56" i="71"/>
  <c r="L56" i="71"/>
  <c r="K56" i="71"/>
  <c r="J56" i="71"/>
  <c r="I56" i="71"/>
  <c r="H56" i="71"/>
  <c r="G56" i="71"/>
  <c r="AE55" i="71"/>
  <c r="F49" i="71"/>
  <c r="F48" i="71"/>
  <c r="F47" i="71"/>
  <c r="AE46" i="71"/>
  <c r="F46" i="71"/>
  <c r="AE45" i="71"/>
  <c r="F45" i="71"/>
  <c r="AE44" i="71"/>
  <c r="F44" i="71"/>
  <c r="AE43" i="71"/>
  <c r="F43" i="71"/>
  <c r="AE42" i="71"/>
  <c r="F42" i="71"/>
  <c r="AE41" i="71"/>
  <c r="F41" i="71"/>
  <c r="AE40" i="71"/>
  <c r="F40" i="71"/>
  <c r="AE39" i="71"/>
  <c r="F39" i="71"/>
  <c r="AE38" i="71"/>
  <c r="F38" i="71"/>
  <c r="AE37" i="71"/>
  <c r="F37" i="71"/>
  <c r="AE36" i="71"/>
  <c r="F36" i="71"/>
  <c r="AE35" i="71"/>
  <c r="F35" i="71"/>
  <c r="AE34" i="71"/>
  <c r="F34" i="71"/>
  <c r="F33" i="71"/>
  <c r="AE32" i="71"/>
  <c r="F32" i="71"/>
  <c r="F31" i="71"/>
  <c r="AE30" i="71"/>
  <c r="F30" i="71"/>
  <c r="AE29" i="71"/>
  <c r="F29" i="71"/>
  <c r="AE28" i="71"/>
  <c r="F28" i="71"/>
  <c r="F27" i="71"/>
  <c r="AE26" i="71"/>
  <c r="F26" i="71"/>
  <c r="AE25" i="71"/>
  <c r="F25" i="71"/>
  <c r="AE24" i="71"/>
  <c r="F24" i="71"/>
  <c r="AE23" i="71"/>
  <c r="F23" i="71"/>
  <c r="AE22" i="71"/>
  <c r="F22" i="71"/>
  <c r="AE21" i="71"/>
  <c r="F21" i="71"/>
  <c r="AE20" i="71"/>
  <c r="F20" i="71"/>
  <c r="AE19" i="71"/>
  <c r="F19" i="71"/>
  <c r="AE18" i="71"/>
  <c r="F18" i="71"/>
  <c r="AE16" i="71"/>
  <c r="F16" i="71"/>
  <c r="AE15" i="71"/>
  <c r="F15" i="71"/>
  <c r="AE14" i="71"/>
  <c r="F14" i="71"/>
  <c r="AE13" i="71"/>
  <c r="F13" i="71"/>
  <c r="AE12" i="71"/>
  <c r="F12" i="71"/>
  <c r="F11" i="71"/>
  <c r="AE10" i="71"/>
  <c r="F10" i="71"/>
  <c r="AE9" i="71"/>
  <c r="F9" i="71"/>
  <c r="AE8" i="71"/>
  <c r="F8" i="71"/>
  <c r="AD7" i="71"/>
  <c r="AC7" i="71"/>
  <c r="AC6" i="71" s="1"/>
  <c r="AB7" i="71"/>
  <c r="AA7" i="71"/>
  <c r="Z7" i="71"/>
  <c r="Y7" i="71"/>
  <c r="Y6" i="71" s="1"/>
  <c r="X7" i="71"/>
  <c r="W7" i="71"/>
  <c r="W6" i="71" s="1"/>
  <c r="V7" i="71"/>
  <c r="U7" i="71"/>
  <c r="U6" i="71" s="1"/>
  <c r="T7" i="71"/>
  <c r="S7" i="71"/>
  <c r="S6" i="71" s="1"/>
  <c r="R7" i="71"/>
  <c r="Q7" i="71"/>
  <c r="Q6" i="71" s="1"/>
  <c r="P7" i="71"/>
  <c r="O7" i="71"/>
  <c r="O6" i="71" s="1"/>
  <c r="N7" i="71"/>
  <c r="M7" i="71"/>
  <c r="M6" i="71" s="1"/>
  <c r="L7" i="71"/>
  <c r="K7" i="71"/>
  <c r="J7" i="71"/>
  <c r="I7" i="71"/>
  <c r="I6" i="71" s="1"/>
  <c r="H7" i="71"/>
  <c r="G7" i="71"/>
  <c r="G6" i="71" s="1"/>
  <c r="AE6" i="71" s="1"/>
  <c r="AD6" i="71"/>
  <c r="AB6" i="71"/>
  <c r="AA6" i="71"/>
  <c r="Z6" i="71"/>
  <c r="X6" i="71"/>
  <c r="V6" i="71"/>
  <c r="T6" i="71"/>
  <c r="R6" i="71"/>
  <c r="P6" i="71"/>
  <c r="N6" i="71"/>
  <c r="L6" i="71"/>
  <c r="K6" i="71"/>
  <c r="J6" i="71"/>
  <c r="H6" i="71"/>
  <c r="AE4" i="71"/>
  <c r="AI3" i="71" s="1"/>
  <c r="AE94" i="70"/>
  <c r="F94" i="70"/>
  <c r="AE93" i="70"/>
  <c r="F93" i="70"/>
  <c r="AE92" i="70"/>
  <c r="F92" i="70"/>
  <c r="AE91" i="70"/>
  <c r="F91" i="70"/>
  <c r="AE90" i="70"/>
  <c r="F90" i="70"/>
  <c r="AE89" i="70"/>
  <c r="F89" i="70"/>
  <c r="AE88" i="70"/>
  <c r="F88" i="70"/>
  <c r="AE87" i="70"/>
  <c r="F87" i="70"/>
  <c r="AE86" i="70"/>
  <c r="F86" i="70"/>
  <c r="AE85" i="70"/>
  <c r="F85" i="70"/>
  <c r="AE84" i="70"/>
  <c r="F84" i="70"/>
  <c r="AE83" i="70"/>
  <c r="F83" i="70"/>
  <c r="AE82" i="70"/>
  <c r="F82" i="70"/>
  <c r="AE81" i="70"/>
  <c r="F81" i="70"/>
  <c r="AE80" i="70"/>
  <c r="F80" i="70"/>
  <c r="AE79" i="70"/>
  <c r="F79" i="70"/>
  <c r="AE78" i="70"/>
  <c r="F78" i="70"/>
  <c r="AD77" i="70"/>
  <c r="AC77" i="70"/>
  <c r="AB77" i="70"/>
  <c r="AA77" i="70"/>
  <c r="AA75" i="70" s="1"/>
  <c r="Z77" i="70"/>
  <c r="Y77" i="70"/>
  <c r="X77" i="70"/>
  <c r="X75" i="70" s="1"/>
  <c r="W77" i="70"/>
  <c r="W75" i="70" s="1"/>
  <c r="V77" i="70"/>
  <c r="U77" i="70"/>
  <c r="T77" i="70"/>
  <c r="S77" i="70"/>
  <c r="S75" i="70" s="1"/>
  <c r="R77" i="70"/>
  <c r="Q77" i="70"/>
  <c r="P77" i="70"/>
  <c r="O77" i="70"/>
  <c r="O75" i="70" s="1"/>
  <c r="N77" i="70"/>
  <c r="M77" i="70"/>
  <c r="L77" i="70"/>
  <c r="K77" i="70"/>
  <c r="K75" i="70" s="1"/>
  <c r="J77" i="70"/>
  <c r="I77" i="70"/>
  <c r="H77" i="70"/>
  <c r="H75" i="70" s="1"/>
  <c r="G77" i="70"/>
  <c r="G75" i="70" s="1"/>
  <c r="AD75" i="70"/>
  <c r="AC75" i="70"/>
  <c r="AB75" i="70"/>
  <c r="Z75" i="70"/>
  <c r="Y75" i="70"/>
  <c r="V75" i="70"/>
  <c r="U75" i="70"/>
  <c r="T75" i="70"/>
  <c r="R75" i="70"/>
  <c r="Q75" i="70"/>
  <c r="P75" i="70"/>
  <c r="N75" i="70"/>
  <c r="M75" i="70"/>
  <c r="L75" i="70"/>
  <c r="J75" i="70"/>
  <c r="I75" i="70"/>
  <c r="AE74" i="70"/>
  <c r="AI75" i="70" s="1"/>
  <c r="AE68" i="70"/>
  <c r="F68" i="70"/>
  <c r="AE67" i="70"/>
  <c r="F67" i="70"/>
  <c r="AE66" i="70"/>
  <c r="F66" i="70"/>
  <c r="AE65" i="70"/>
  <c r="F65" i="70"/>
  <c r="AE64" i="70"/>
  <c r="F64" i="70"/>
  <c r="AE63" i="70"/>
  <c r="F63" i="70"/>
  <c r="AE62" i="70"/>
  <c r="F62" i="70"/>
  <c r="AE61" i="70"/>
  <c r="F61" i="70"/>
  <c r="AE60" i="70"/>
  <c r="F60" i="70"/>
  <c r="AE59" i="70"/>
  <c r="F59" i="70"/>
  <c r="AD58" i="70"/>
  <c r="AC58" i="70"/>
  <c r="AB58" i="70"/>
  <c r="AA58" i="70"/>
  <c r="Z58" i="70"/>
  <c r="Y58" i="70"/>
  <c r="X58" i="70"/>
  <c r="W58" i="70"/>
  <c r="V58" i="70"/>
  <c r="U58" i="70"/>
  <c r="T58" i="70"/>
  <c r="S58" i="70"/>
  <c r="R58" i="70"/>
  <c r="Q58" i="70"/>
  <c r="P58" i="70"/>
  <c r="O58" i="70"/>
  <c r="N58" i="70"/>
  <c r="M58" i="70"/>
  <c r="L58" i="70"/>
  <c r="K58" i="70"/>
  <c r="J58" i="70"/>
  <c r="I58" i="70"/>
  <c r="H58" i="70"/>
  <c r="G58" i="70"/>
  <c r="AE58" i="70" s="1"/>
  <c r="AD56" i="70"/>
  <c r="AC56" i="70"/>
  <c r="AB56" i="70"/>
  <c r="AA56" i="70"/>
  <c r="Z56" i="70"/>
  <c r="Y56" i="70"/>
  <c r="X56" i="70"/>
  <c r="W56" i="70"/>
  <c r="V56" i="70"/>
  <c r="U56" i="70"/>
  <c r="T56" i="70"/>
  <c r="S56" i="70"/>
  <c r="R56" i="70"/>
  <c r="Q56" i="70"/>
  <c r="P56" i="70"/>
  <c r="O56" i="70"/>
  <c r="N56" i="70"/>
  <c r="M56" i="70"/>
  <c r="L56" i="70"/>
  <c r="K56" i="70"/>
  <c r="J56" i="70"/>
  <c r="I56" i="70"/>
  <c r="H56" i="70"/>
  <c r="G56" i="70"/>
  <c r="AE55" i="70"/>
  <c r="F49" i="70"/>
  <c r="F48" i="70"/>
  <c r="F47" i="70"/>
  <c r="AE46" i="70"/>
  <c r="F46" i="70"/>
  <c r="AE45" i="70"/>
  <c r="F45" i="70"/>
  <c r="AE44" i="70"/>
  <c r="F44" i="70"/>
  <c r="AE43" i="70"/>
  <c r="F43" i="70"/>
  <c r="AE42" i="70"/>
  <c r="F42" i="70"/>
  <c r="AE41" i="70"/>
  <c r="F41" i="70"/>
  <c r="AE40" i="70"/>
  <c r="F40" i="70"/>
  <c r="AE39" i="70"/>
  <c r="F39" i="70"/>
  <c r="AE38" i="70"/>
  <c r="F38" i="70"/>
  <c r="AE37" i="70"/>
  <c r="F37" i="70"/>
  <c r="AE36" i="70"/>
  <c r="F36" i="70"/>
  <c r="AE35" i="70"/>
  <c r="F35" i="70"/>
  <c r="AE34" i="70"/>
  <c r="F34" i="70"/>
  <c r="F33" i="70"/>
  <c r="AE32" i="70"/>
  <c r="F32" i="70"/>
  <c r="F31" i="70"/>
  <c r="F30" i="70"/>
  <c r="AE29" i="70"/>
  <c r="F29" i="70"/>
  <c r="AE28" i="70"/>
  <c r="F28" i="70"/>
  <c r="F27" i="70"/>
  <c r="AE26" i="70"/>
  <c r="F26" i="70"/>
  <c r="AE25" i="70"/>
  <c r="F25" i="70"/>
  <c r="AE24" i="70"/>
  <c r="F24" i="70"/>
  <c r="AE23" i="70"/>
  <c r="F23" i="70"/>
  <c r="AE22" i="70"/>
  <c r="F22" i="70"/>
  <c r="AE21" i="70"/>
  <c r="F21" i="70"/>
  <c r="AE20" i="70"/>
  <c r="F20" i="70"/>
  <c r="AE19" i="70"/>
  <c r="F19" i="70"/>
  <c r="AE18" i="70"/>
  <c r="F18" i="70"/>
  <c r="F17" i="70"/>
  <c r="AE16" i="70"/>
  <c r="F16" i="70"/>
  <c r="AE15" i="70"/>
  <c r="F15" i="70"/>
  <c r="AE14" i="70"/>
  <c r="F14" i="70"/>
  <c r="AE13" i="70"/>
  <c r="F13" i="70"/>
  <c r="AE12" i="70"/>
  <c r="F12" i="70"/>
  <c r="F11" i="70"/>
  <c r="AE10" i="70"/>
  <c r="F10" i="70"/>
  <c r="AE9" i="70"/>
  <c r="F9" i="70"/>
  <c r="AE8" i="70"/>
  <c r="F8" i="70"/>
  <c r="AD7" i="70"/>
  <c r="AC7" i="70"/>
  <c r="AB7" i="70"/>
  <c r="AA7" i="70"/>
  <c r="AA6" i="70" s="1"/>
  <c r="Z7" i="70"/>
  <c r="Y7" i="70"/>
  <c r="Y6" i="70" s="1"/>
  <c r="X7" i="70"/>
  <c r="X6" i="70" s="1"/>
  <c r="W7" i="70"/>
  <c r="W6" i="70" s="1"/>
  <c r="V7" i="70"/>
  <c r="U7" i="70"/>
  <c r="T7" i="70"/>
  <c r="T6" i="70" s="1"/>
  <c r="S7" i="70"/>
  <c r="S6" i="70" s="1"/>
  <c r="R7" i="70"/>
  <c r="Q7" i="70"/>
  <c r="P7" i="70"/>
  <c r="O7" i="70"/>
  <c r="O6" i="70" s="1"/>
  <c r="N7" i="70"/>
  <c r="M7" i="70"/>
  <c r="L7" i="70"/>
  <c r="K7" i="70"/>
  <c r="K6" i="70" s="1"/>
  <c r="J7" i="70"/>
  <c r="I7" i="70"/>
  <c r="I6" i="70" s="1"/>
  <c r="H7" i="70"/>
  <c r="H6" i="70" s="1"/>
  <c r="G7" i="70"/>
  <c r="G6" i="70" s="1"/>
  <c r="AD6" i="70"/>
  <c r="AC6" i="70"/>
  <c r="AB6" i="70"/>
  <c r="Z6" i="70"/>
  <c r="V6" i="70"/>
  <c r="U6" i="70"/>
  <c r="R6" i="70"/>
  <c r="Q6" i="70"/>
  <c r="P6" i="70"/>
  <c r="N6" i="70"/>
  <c r="M6" i="70"/>
  <c r="L6" i="70"/>
  <c r="J6" i="70"/>
  <c r="AE4" i="70"/>
  <c r="AI3" i="70"/>
  <c r="AE94" i="69"/>
  <c r="F94" i="69"/>
  <c r="AE93" i="69"/>
  <c r="F93" i="69"/>
  <c r="AE92" i="69"/>
  <c r="F92" i="69"/>
  <c r="AE91" i="69"/>
  <c r="F91" i="69"/>
  <c r="AE90" i="69"/>
  <c r="F90" i="69"/>
  <c r="AE89" i="69"/>
  <c r="F89" i="69"/>
  <c r="AE88" i="69"/>
  <c r="F88" i="69"/>
  <c r="AE87" i="69"/>
  <c r="F87" i="69"/>
  <c r="AE86" i="69"/>
  <c r="F86" i="69"/>
  <c r="AE85" i="69"/>
  <c r="F85" i="69"/>
  <c r="AE84" i="69"/>
  <c r="F84" i="69"/>
  <c r="AE83" i="69"/>
  <c r="F83" i="69"/>
  <c r="AE82" i="69"/>
  <c r="F82" i="69"/>
  <c r="AE81" i="69"/>
  <c r="F81" i="69"/>
  <c r="AE80" i="69"/>
  <c r="F80" i="69"/>
  <c r="AE79" i="69"/>
  <c r="F79" i="69"/>
  <c r="AE78" i="69"/>
  <c r="F78" i="69"/>
  <c r="AD77" i="69"/>
  <c r="AD75" i="69" s="1"/>
  <c r="AC77" i="69"/>
  <c r="AC75" i="69" s="1"/>
  <c r="AB77" i="69"/>
  <c r="AA77" i="69"/>
  <c r="Z77" i="69"/>
  <c r="Y77" i="69"/>
  <c r="Y75" i="69" s="1"/>
  <c r="X77" i="69"/>
  <c r="W77" i="69"/>
  <c r="W75" i="69" s="1"/>
  <c r="V77" i="69"/>
  <c r="V75" i="69" s="1"/>
  <c r="U77" i="69"/>
  <c r="U75" i="69" s="1"/>
  <c r="T77" i="69"/>
  <c r="S77" i="69"/>
  <c r="S75" i="69" s="1"/>
  <c r="R77" i="69"/>
  <c r="R75" i="69" s="1"/>
  <c r="Q77" i="69"/>
  <c r="Q75" i="69" s="1"/>
  <c r="P77" i="69"/>
  <c r="O77" i="69"/>
  <c r="N77" i="69"/>
  <c r="N75" i="69" s="1"/>
  <c r="M77" i="69"/>
  <c r="M75" i="69" s="1"/>
  <c r="L77" i="69"/>
  <c r="K77" i="69"/>
  <c r="J77" i="69"/>
  <c r="I77" i="69"/>
  <c r="I75" i="69" s="1"/>
  <c r="H77" i="69"/>
  <c r="G77" i="69"/>
  <c r="G75" i="69" s="1"/>
  <c r="AI75" i="69"/>
  <c r="AB75" i="69"/>
  <c r="AA75" i="69"/>
  <c r="Z75" i="69"/>
  <c r="X75" i="69"/>
  <c r="T75" i="69"/>
  <c r="P75" i="69"/>
  <c r="O75" i="69"/>
  <c r="L75" i="69"/>
  <c r="K75" i="69"/>
  <c r="J75" i="69"/>
  <c r="H75" i="69"/>
  <c r="AE74" i="69"/>
  <c r="AE68" i="69"/>
  <c r="F68" i="69"/>
  <c r="AE67" i="69"/>
  <c r="F67" i="69"/>
  <c r="AE66" i="69"/>
  <c r="F66" i="69"/>
  <c r="AE65" i="69"/>
  <c r="F65" i="69"/>
  <c r="AE64" i="69"/>
  <c r="F64" i="69"/>
  <c r="AE63" i="69"/>
  <c r="F63" i="69"/>
  <c r="AE62" i="69"/>
  <c r="F62" i="69"/>
  <c r="AE61" i="69"/>
  <c r="F61" i="69"/>
  <c r="AE60" i="69"/>
  <c r="F60" i="69"/>
  <c r="AE59" i="69"/>
  <c r="F59" i="69"/>
  <c r="AD58" i="69"/>
  <c r="AC58" i="69"/>
  <c r="AB58" i="69"/>
  <c r="AA58" i="69"/>
  <c r="Z58" i="69"/>
  <c r="Y58" i="69"/>
  <c r="X58" i="69"/>
  <c r="W58" i="69"/>
  <c r="V58" i="69"/>
  <c r="U58" i="69"/>
  <c r="T58" i="69"/>
  <c r="S58" i="69"/>
  <c r="R58" i="69"/>
  <c r="Q58" i="69"/>
  <c r="P58" i="69"/>
  <c r="O58" i="69"/>
  <c r="N58" i="69"/>
  <c r="M58" i="69"/>
  <c r="L58" i="69"/>
  <c r="K58" i="69"/>
  <c r="J58" i="69"/>
  <c r="I58" i="69"/>
  <c r="H58" i="69"/>
  <c r="G58" i="69"/>
  <c r="AD56" i="69"/>
  <c r="AC56" i="69"/>
  <c r="AB56" i="69"/>
  <c r="AA56" i="69"/>
  <c r="Z56" i="69"/>
  <c r="Y56" i="69"/>
  <c r="X56" i="69"/>
  <c r="W56" i="69"/>
  <c r="V56" i="69"/>
  <c r="U56" i="69"/>
  <c r="T56" i="69"/>
  <c r="S56" i="69"/>
  <c r="R56" i="69"/>
  <c r="Q56" i="69"/>
  <c r="P56" i="69"/>
  <c r="O56" i="69"/>
  <c r="N56" i="69"/>
  <c r="M56" i="69"/>
  <c r="L56" i="69"/>
  <c r="K56" i="69"/>
  <c r="J56" i="69"/>
  <c r="I56" i="69"/>
  <c r="H56" i="69"/>
  <c r="G56" i="69"/>
  <c r="AE55" i="69"/>
  <c r="F49" i="69"/>
  <c r="F48" i="69"/>
  <c r="F47" i="69"/>
  <c r="AE46" i="69"/>
  <c r="F46" i="69"/>
  <c r="AE45" i="69"/>
  <c r="F45" i="69"/>
  <c r="AE44" i="69"/>
  <c r="F44" i="69"/>
  <c r="AE43" i="69"/>
  <c r="F43" i="69"/>
  <c r="AE42" i="69"/>
  <c r="F42" i="69"/>
  <c r="AE41" i="69"/>
  <c r="F41" i="69"/>
  <c r="AE40" i="69"/>
  <c r="F40" i="69"/>
  <c r="AE39" i="69"/>
  <c r="F39" i="69"/>
  <c r="AE38" i="69"/>
  <c r="F38" i="69"/>
  <c r="AE37" i="69"/>
  <c r="F37" i="69"/>
  <c r="AE36" i="69"/>
  <c r="F36" i="69"/>
  <c r="AE35" i="69"/>
  <c r="F35" i="69"/>
  <c r="AE34" i="69"/>
  <c r="F34" i="69"/>
  <c r="F33" i="69"/>
  <c r="AE32" i="69"/>
  <c r="F32" i="69"/>
  <c r="F31" i="69"/>
  <c r="F30" i="69"/>
  <c r="AE29" i="69"/>
  <c r="F29" i="69"/>
  <c r="AE28" i="69"/>
  <c r="F28" i="69"/>
  <c r="F27" i="69"/>
  <c r="AE26" i="69"/>
  <c r="F26" i="69"/>
  <c r="AE25" i="69"/>
  <c r="F25" i="69"/>
  <c r="AE24" i="69"/>
  <c r="F24" i="69"/>
  <c r="AE23" i="69"/>
  <c r="F23" i="69"/>
  <c r="AE22" i="69"/>
  <c r="F22" i="69"/>
  <c r="AE21" i="69"/>
  <c r="F21" i="69"/>
  <c r="AE20" i="69"/>
  <c r="F20" i="69"/>
  <c r="AE19" i="69"/>
  <c r="F19" i="69"/>
  <c r="AE18" i="69"/>
  <c r="F18" i="69"/>
  <c r="F17" i="69"/>
  <c r="AE16" i="69"/>
  <c r="F16" i="69"/>
  <c r="AE15" i="69"/>
  <c r="F15" i="69"/>
  <c r="AE14" i="69"/>
  <c r="F14" i="69"/>
  <c r="AE13" i="69"/>
  <c r="F13" i="69"/>
  <c r="AE12" i="69"/>
  <c r="F12" i="69"/>
  <c r="F11" i="69"/>
  <c r="AE10" i="69"/>
  <c r="F10" i="69"/>
  <c r="AE9" i="69"/>
  <c r="F9" i="69"/>
  <c r="AE8" i="69"/>
  <c r="F8" i="69"/>
  <c r="AD7" i="69"/>
  <c r="AC7" i="69"/>
  <c r="AC6" i="69" s="1"/>
  <c r="AB7" i="69"/>
  <c r="AA7" i="69"/>
  <c r="Z7" i="69"/>
  <c r="Y7" i="69"/>
  <c r="Y6" i="69" s="1"/>
  <c r="X7" i="69"/>
  <c r="W7" i="69"/>
  <c r="W6" i="69" s="1"/>
  <c r="V7" i="69"/>
  <c r="U7" i="69"/>
  <c r="U6" i="69" s="1"/>
  <c r="T7" i="69"/>
  <c r="S7" i="69"/>
  <c r="S6" i="69" s="1"/>
  <c r="R7" i="69"/>
  <c r="Q7" i="69"/>
  <c r="Q6" i="69" s="1"/>
  <c r="P7" i="69"/>
  <c r="O7" i="69"/>
  <c r="O6" i="69" s="1"/>
  <c r="N7" i="69"/>
  <c r="M7" i="69"/>
  <c r="M6" i="69" s="1"/>
  <c r="L7" i="69"/>
  <c r="K7" i="69"/>
  <c r="J7" i="69"/>
  <c r="I7" i="69"/>
  <c r="I6" i="69" s="1"/>
  <c r="H7" i="69"/>
  <c r="G7" i="69"/>
  <c r="G6" i="69" s="1"/>
  <c r="AE6" i="69" s="1"/>
  <c r="AD6" i="69"/>
  <c r="AB6" i="69"/>
  <c r="AA6" i="69"/>
  <c r="Z6" i="69"/>
  <c r="X6" i="69"/>
  <c r="V6" i="69"/>
  <c r="T6" i="69"/>
  <c r="R6" i="69"/>
  <c r="P6" i="69"/>
  <c r="N6" i="69"/>
  <c r="L6" i="69"/>
  <c r="K6" i="69"/>
  <c r="J6" i="69"/>
  <c r="H6" i="69"/>
  <c r="AE4" i="69"/>
  <c r="AI3" i="69" s="1"/>
  <c r="AE94" i="68"/>
  <c r="F94" i="68"/>
  <c r="AE93" i="68"/>
  <c r="F93" i="68"/>
  <c r="AE92" i="68"/>
  <c r="F92" i="68"/>
  <c r="AE91" i="68"/>
  <c r="F91" i="68"/>
  <c r="AE90" i="68"/>
  <c r="F90" i="68"/>
  <c r="AE89" i="68"/>
  <c r="F89" i="68"/>
  <c r="AE88" i="68"/>
  <c r="F88" i="68"/>
  <c r="AE87" i="68"/>
  <c r="F87" i="68"/>
  <c r="AE86" i="68"/>
  <c r="F86" i="68"/>
  <c r="AE85" i="68"/>
  <c r="F85" i="68"/>
  <c r="AE84" i="68"/>
  <c r="F84" i="68"/>
  <c r="AE83" i="68"/>
  <c r="F83" i="68"/>
  <c r="AE82" i="68"/>
  <c r="F82" i="68"/>
  <c r="AE81" i="68"/>
  <c r="F81" i="68"/>
  <c r="AE80" i="68"/>
  <c r="F80" i="68"/>
  <c r="AE79" i="68"/>
  <c r="F79" i="68"/>
  <c r="AE78" i="68"/>
  <c r="F78" i="68"/>
  <c r="AD77" i="68"/>
  <c r="AC77" i="68"/>
  <c r="AB77" i="68"/>
  <c r="AA77" i="68"/>
  <c r="AA75" i="68" s="1"/>
  <c r="Z77" i="68"/>
  <c r="Y77" i="68"/>
  <c r="X77" i="68"/>
  <c r="X75" i="68" s="1"/>
  <c r="W77" i="68"/>
  <c r="W75" i="68" s="1"/>
  <c r="V77" i="68"/>
  <c r="U77" i="68"/>
  <c r="T77" i="68"/>
  <c r="S77" i="68"/>
  <c r="S75" i="68" s="1"/>
  <c r="R77" i="68"/>
  <c r="Q77" i="68"/>
  <c r="P77" i="68"/>
  <c r="O77" i="68"/>
  <c r="O75" i="68" s="1"/>
  <c r="N77" i="68"/>
  <c r="M77" i="68"/>
  <c r="L77" i="68"/>
  <c r="K77" i="68"/>
  <c r="K75" i="68" s="1"/>
  <c r="J77" i="68"/>
  <c r="I77" i="68"/>
  <c r="H77" i="68"/>
  <c r="H75" i="68" s="1"/>
  <c r="G77" i="68"/>
  <c r="G75" i="68" s="1"/>
  <c r="AD75" i="68"/>
  <c r="AC75" i="68"/>
  <c r="AB75" i="68"/>
  <c r="Z75" i="68"/>
  <c r="Y75" i="68"/>
  <c r="V75" i="68"/>
  <c r="U75" i="68"/>
  <c r="T75" i="68"/>
  <c r="R75" i="68"/>
  <c r="Q75" i="68"/>
  <c r="P75" i="68"/>
  <c r="N75" i="68"/>
  <c r="M75" i="68"/>
  <c r="L75" i="68"/>
  <c r="J75" i="68"/>
  <c r="I75" i="68"/>
  <c r="AE74" i="68"/>
  <c r="AI75" i="68" s="1"/>
  <c r="AE68" i="68"/>
  <c r="F68" i="68"/>
  <c r="AE67" i="68"/>
  <c r="F67" i="68"/>
  <c r="AE66" i="68"/>
  <c r="F66" i="68"/>
  <c r="AE65" i="68"/>
  <c r="F65" i="68"/>
  <c r="AE64" i="68"/>
  <c r="F64" i="68"/>
  <c r="AE63" i="68"/>
  <c r="F63" i="68"/>
  <c r="AE62" i="68"/>
  <c r="F62" i="68"/>
  <c r="AE61" i="68"/>
  <c r="F61" i="68"/>
  <c r="AE60" i="68"/>
  <c r="F60" i="68"/>
  <c r="AE59" i="68"/>
  <c r="F59" i="68"/>
  <c r="AD58" i="68"/>
  <c r="AC58" i="68"/>
  <c r="AB58" i="68"/>
  <c r="AA58" i="68"/>
  <c r="Z58" i="68"/>
  <c r="Y58" i="68"/>
  <c r="X58" i="68"/>
  <c r="W58" i="68"/>
  <c r="V58" i="68"/>
  <c r="U58" i="68"/>
  <c r="T58" i="68"/>
  <c r="S58" i="68"/>
  <c r="R58" i="68"/>
  <c r="Q58" i="68"/>
  <c r="P58" i="68"/>
  <c r="O58" i="68"/>
  <c r="N58" i="68"/>
  <c r="M58" i="68"/>
  <c r="L58" i="68"/>
  <c r="K58" i="68"/>
  <c r="J58" i="68"/>
  <c r="I58" i="68"/>
  <c r="H58" i="68"/>
  <c r="G58" i="68"/>
  <c r="AE58" i="68" s="1"/>
  <c r="AD56" i="68"/>
  <c r="AC56" i="68"/>
  <c r="AB56" i="68"/>
  <c r="AA56" i="68"/>
  <c r="Z56" i="68"/>
  <c r="Y56" i="68"/>
  <c r="X56" i="68"/>
  <c r="W56" i="68"/>
  <c r="V56" i="68"/>
  <c r="U56" i="68"/>
  <c r="T56" i="68"/>
  <c r="S56" i="68"/>
  <c r="R56" i="68"/>
  <c r="Q56" i="68"/>
  <c r="P56" i="68"/>
  <c r="O56" i="68"/>
  <c r="N56" i="68"/>
  <c r="M56" i="68"/>
  <c r="L56" i="68"/>
  <c r="K56" i="68"/>
  <c r="J56" i="68"/>
  <c r="I56" i="68"/>
  <c r="H56" i="68"/>
  <c r="G56" i="68"/>
  <c r="AE55" i="68"/>
  <c r="F49" i="68"/>
  <c r="F48" i="68"/>
  <c r="F47" i="68"/>
  <c r="AE46" i="68"/>
  <c r="F46" i="68"/>
  <c r="AE45" i="68"/>
  <c r="F45" i="68"/>
  <c r="AE44" i="68"/>
  <c r="F44" i="68"/>
  <c r="AE43" i="68"/>
  <c r="F43" i="68"/>
  <c r="AE42" i="68"/>
  <c r="F42" i="68"/>
  <c r="AE41" i="68"/>
  <c r="F41" i="68"/>
  <c r="AE40" i="68"/>
  <c r="F40" i="68"/>
  <c r="AE39" i="68"/>
  <c r="F39" i="68"/>
  <c r="AE38" i="68"/>
  <c r="F38" i="68"/>
  <c r="AE37" i="68"/>
  <c r="F37" i="68"/>
  <c r="AE36" i="68"/>
  <c r="F36" i="68"/>
  <c r="AE35" i="68"/>
  <c r="F35" i="68"/>
  <c r="AE34" i="68"/>
  <c r="F34" i="68"/>
  <c r="F33" i="68"/>
  <c r="AE32" i="68"/>
  <c r="F32" i="68"/>
  <c r="F31" i="68"/>
  <c r="F30" i="68"/>
  <c r="AE29" i="68"/>
  <c r="F29" i="68"/>
  <c r="AE28" i="68"/>
  <c r="F28" i="68"/>
  <c r="F27" i="68"/>
  <c r="AE26" i="68"/>
  <c r="F26" i="68"/>
  <c r="AE25" i="68"/>
  <c r="F25" i="68"/>
  <c r="AE24" i="68"/>
  <c r="F24" i="68"/>
  <c r="AE23" i="68"/>
  <c r="F23" i="68"/>
  <c r="AE22" i="68"/>
  <c r="F22" i="68"/>
  <c r="AE21" i="68"/>
  <c r="F21" i="68"/>
  <c r="AE20" i="68"/>
  <c r="F20" i="68"/>
  <c r="AE19" i="68"/>
  <c r="F19" i="68"/>
  <c r="AE18" i="68"/>
  <c r="F18" i="68"/>
  <c r="F17" i="68"/>
  <c r="AE16" i="68"/>
  <c r="F16" i="68"/>
  <c r="AE15" i="68"/>
  <c r="F15" i="68"/>
  <c r="AE14" i="68"/>
  <c r="F14" i="68"/>
  <c r="AE13" i="68"/>
  <c r="F13" i="68"/>
  <c r="AE12" i="68"/>
  <c r="F12" i="68"/>
  <c r="F11" i="68"/>
  <c r="AE10" i="68"/>
  <c r="F10" i="68"/>
  <c r="AE9" i="68"/>
  <c r="F9" i="68"/>
  <c r="AE8" i="68"/>
  <c r="F8" i="68"/>
  <c r="AD7" i="68"/>
  <c r="AC7" i="68"/>
  <c r="AB7" i="68"/>
  <c r="AA7" i="68"/>
  <c r="AA6" i="68" s="1"/>
  <c r="Z7" i="68"/>
  <c r="Y7" i="68"/>
  <c r="Y6" i="68" s="1"/>
  <c r="X7" i="68"/>
  <c r="X6" i="68" s="1"/>
  <c r="W7" i="68"/>
  <c r="W6" i="68" s="1"/>
  <c r="V7" i="68"/>
  <c r="U7" i="68"/>
  <c r="T7" i="68"/>
  <c r="T6" i="68" s="1"/>
  <c r="S7" i="68"/>
  <c r="S6" i="68" s="1"/>
  <c r="R7" i="68"/>
  <c r="Q7" i="68"/>
  <c r="P7" i="68"/>
  <c r="O7" i="68"/>
  <c r="O6" i="68" s="1"/>
  <c r="N7" i="68"/>
  <c r="M7" i="68"/>
  <c r="L7" i="68"/>
  <c r="K7" i="68"/>
  <c r="K6" i="68" s="1"/>
  <c r="J7" i="68"/>
  <c r="I7" i="68"/>
  <c r="I6" i="68" s="1"/>
  <c r="H7" i="68"/>
  <c r="H6" i="68" s="1"/>
  <c r="G7" i="68"/>
  <c r="G6" i="68" s="1"/>
  <c r="AD6" i="68"/>
  <c r="AC6" i="68"/>
  <c r="AB6" i="68"/>
  <c r="Z6" i="68"/>
  <c r="V6" i="68"/>
  <c r="U6" i="68"/>
  <c r="R6" i="68"/>
  <c r="Q6" i="68"/>
  <c r="P6" i="68"/>
  <c r="N6" i="68"/>
  <c r="M6" i="68"/>
  <c r="L6" i="68"/>
  <c r="J6" i="68"/>
  <c r="AE4" i="68"/>
  <c r="AI3" i="68"/>
  <c r="AE94" i="67"/>
  <c r="F94" i="67"/>
  <c r="AE93" i="67"/>
  <c r="F93" i="67"/>
  <c r="AE92" i="67"/>
  <c r="F92" i="67"/>
  <c r="AE91" i="67"/>
  <c r="F91" i="67"/>
  <c r="AE90" i="67"/>
  <c r="F90" i="67"/>
  <c r="AE89" i="67"/>
  <c r="F89" i="67"/>
  <c r="AE88" i="67"/>
  <c r="F88" i="67"/>
  <c r="AE87" i="67"/>
  <c r="F87" i="67"/>
  <c r="AE86" i="67"/>
  <c r="F86" i="67"/>
  <c r="AE85" i="67"/>
  <c r="F85" i="67"/>
  <c r="AE84" i="67"/>
  <c r="F84" i="67"/>
  <c r="AE83" i="67"/>
  <c r="F83" i="67"/>
  <c r="AE82" i="67"/>
  <c r="F82" i="67"/>
  <c r="AE81" i="67"/>
  <c r="F81" i="67"/>
  <c r="AE80" i="67"/>
  <c r="F80" i="67"/>
  <c r="AE79" i="67"/>
  <c r="F79" i="67"/>
  <c r="AE78" i="67"/>
  <c r="F78" i="67"/>
  <c r="AD77" i="67"/>
  <c r="AD75" i="67" s="1"/>
  <c r="AC77" i="67"/>
  <c r="AC75" i="67" s="1"/>
  <c r="AB77" i="67"/>
  <c r="AA77" i="67"/>
  <c r="Z77" i="67"/>
  <c r="Y77" i="67"/>
  <c r="Y75" i="67" s="1"/>
  <c r="X77" i="67"/>
  <c r="W77" i="67"/>
  <c r="W75" i="67" s="1"/>
  <c r="V77" i="67"/>
  <c r="V75" i="67" s="1"/>
  <c r="U77" i="67"/>
  <c r="U75" i="67" s="1"/>
  <c r="T77" i="67"/>
  <c r="S77" i="67"/>
  <c r="S75" i="67" s="1"/>
  <c r="R77" i="67"/>
  <c r="R75" i="67" s="1"/>
  <c r="Q77" i="67"/>
  <c r="Q75" i="67" s="1"/>
  <c r="P77" i="67"/>
  <c r="O77" i="67"/>
  <c r="N77" i="67"/>
  <c r="N75" i="67" s="1"/>
  <c r="M77" i="67"/>
  <c r="M75" i="67" s="1"/>
  <c r="L77" i="67"/>
  <c r="K77" i="67"/>
  <c r="J77" i="67"/>
  <c r="I77" i="67"/>
  <c r="I75" i="67" s="1"/>
  <c r="H77" i="67"/>
  <c r="G77" i="67"/>
  <c r="G75" i="67" s="1"/>
  <c r="AI75" i="67"/>
  <c r="AB75" i="67"/>
  <c r="AA75" i="67"/>
  <c r="Z75" i="67"/>
  <c r="X75" i="67"/>
  <c r="T75" i="67"/>
  <c r="P75" i="67"/>
  <c r="O75" i="67"/>
  <c r="L75" i="67"/>
  <c r="K75" i="67"/>
  <c r="J75" i="67"/>
  <c r="H75" i="67"/>
  <c r="AE74" i="67"/>
  <c r="AE68" i="67"/>
  <c r="F68" i="67"/>
  <c r="AE67" i="67"/>
  <c r="F67" i="67"/>
  <c r="AE66" i="67"/>
  <c r="F66" i="67"/>
  <c r="AE65" i="67"/>
  <c r="F65" i="67"/>
  <c r="AE64" i="67"/>
  <c r="F64" i="67"/>
  <c r="AE63" i="67"/>
  <c r="F63" i="67"/>
  <c r="AE62" i="67"/>
  <c r="F62" i="67"/>
  <c r="AE61" i="67"/>
  <c r="F61" i="67"/>
  <c r="AE60" i="67"/>
  <c r="F60" i="67"/>
  <c r="AE59" i="67"/>
  <c r="F59" i="67"/>
  <c r="AD58" i="67"/>
  <c r="AC58" i="67"/>
  <c r="AB58" i="67"/>
  <c r="AA58" i="67"/>
  <c r="Z58" i="67"/>
  <c r="Y58" i="67"/>
  <c r="X58" i="67"/>
  <c r="W58" i="67"/>
  <c r="V58" i="67"/>
  <c r="U58" i="67"/>
  <c r="T58" i="67"/>
  <c r="S58" i="67"/>
  <c r="R58" i="67"/>
  <c r="Q58" i="67"/>
  <c r="P58" i="67"/>
  <c r="O58" i="67"/>
  <c r="N58" i="67"/>
  <c r="M58" i="67"/>
  <c r="L58" i="67"/>
  <c r="K58" i="67"/>
  <c r="J58" i="67"/>
  <c r="I58" i="67"/>
  <c r="H58" i="67"/>
  <c r="G58" i="67"/>
  <c r="AD56" i="67"/>
  <c r="AC56" i="67"/>
  <c r="AB56" i="67"/>
  <c r="AA56" i="67"/>
  <c r="Z56" i="67"/>
  <c r="Y56" i="67"/>
  <c r="X56" i="67"/>
  <c r="W56" i="67"/>
  <c r="V56" i="67"/>
  <c r="U56" i="67"/>
  <c r="T56" i="67"/>
  <c r="S56" i="67"/>
  <c r="R56" i="67"/>
  <c r="Q56" i="67"/>
  <c r="P56" i="67"/>
  <c r="O56" i="67"/>
  <c r="N56" i="67"/>
  <c r="M56" i="67"/>
  <c r="L56" i="67"/>
  <c r="K56" i="67"/>
  <c r="J56" i="67"/>
  <c r="I56" i="67"/>
  <c r="H56" i="67"/>
  <c r="G56" i="67"/>
  <c r="AE55" i="67"/>
  <c r="F49" i="67"/>
  <c r="F48" i="67"/>
  <c r="F47" i="67"/>
  <c r="AE46" i="67"/>
  <c r="F46" i="67"/>
  <c r="AE45" i="67"/>
  <c r="F45" i="67"/>
  <c r="AE44" i="67"/>
  <c r="F44" i="67"/>
  <c r="AE43" i="67"/>
  <c r="F43" i="67"/>
  <c r="AE42" i="67"/>
  <c r="F42" i="67"/>
  <c r="AE41" i="67"/>
  <c r="F41" i="67"/>
  <c r="AE40" i="67"/>
  <c r="F40" i="67"/>
  <c r="AE39" i="67"/>
  <c r="F39" i="67"/>
  <c r="AE38" i="67"/>
  <c r="F38" i="67"/>
  <c r="AE37" i="67"/>
  <c r="F37" i="67"/>
  <c r="AE36" i="67"/>
  <c r="F36" i="67"/>
  <c r="AE35" i="67"/>
  <c r="F35" i="67"/>
  <c r="AE34" i="67"/>
  <c r="F34" i="67"/>
  <c r="F33" i="67"/>
  <c r="AE32" i="67"/>
  <c r="F32" i="67"/>
  <c r="F31" i="67"/>
  <c r="F30" i="67"/>
  <c r="AE29" i="67"/>
  <c r="F29" i="67"/>
  <c r="AE28" i="67"/>
  <c r="F28" i="67"/>
  <c r="AE27" i="67"/>
  <c r="F27" i="67"/>
  <c r="AE26" i="67"/>
  <c r="F26" i="67"/>
  <c r="AE25" i="67"/>
  <c r="F25" i="67"/>
  <c r="AE24" i="67"/>
  <c r="F24" i="67"/>
  <c r="AE23" i="67"/>
  <c r="F23" i="67"/>
  <c r="AE22" i="67"/>
  <c r="F22" i="67"/>
  <c r="AE21" i="67"/>
  <c r="F21" i="67"/>
  <c r="AE20" i="67"/>
  <c r="F20" i="67"/>
  <c r="AE19" i="67"/>
  <c r="F19" i="67"/>
  <c r="AE18" i="67"/>
  <c r="F18" i="67"/>
  <c r="F17" i="67"/>
  <c r="AE16" i="67"/>
  <c r="F16" i="67"/>
  <c r="AE15" i="67"/>
  <c r="F15" i="67"/>
  <c r="AE14" i="67"/>
  <c r="F14" i="67"/>
  <c r="AE13" i="67"/>
  <c r="F13" i="67"/>
  <c r="AE12" i="67"/>
  <c r="F12" i="67"/>
  <c r="F11" i="67"/>
  <c r="AE10" i="67"/>
  <c r="F10" i="67"/>
  <c r="AE9" i="67"/>
  <c r="F9" i="67"/>
  <c r="AE8" i="67"/>
  <c r="F8" i="67"/>
  <c r="AD7" i="67"/>
  <c r="AD6" i="67" s="1"/>
  <c r="AC7" i="67"/>
  <c r="AB7" i="67"/>
  <c r="AA7" i="67"/>
  <c r="Z7" i="67"/>
  <c r="Z6" i="67" s="1"/>
  <c r="Y7" i="67"/>
  <c r="X7" i="67"/>
  <c r="X6" i="67" s="1"/>
  <c r="W7" i="67"/>
  <c r="V7" i="67"/>
  <c r="V6" i="67" s="1"/>
  <c r="U7" i="67"/>
  <c r="T7" i="67"/>
  <c r="T6" i="67" s="1"/>
  <c r="S7" i="67"/>
  <c r="R7" i="67"/>
  <c r="R6" i="67" s="1"/>
  <c r="Q7" i="67"/>
  <c r="P7" i="67"/>
  <c r="P6" i="67" s="1"/>
  <c r="O7" i="67"/>
  <c r="N7" i="67"/>
  <c r="N6" i="67" s="1"/>
  <c r="M7" i="67"/>
  <c r="L7" i="67"/>
  <c r="K7" i="67"/>
  <c r="J7" i="67"/>
  <c r="J6" i="67" s="1"/>
  <c r="I7" i="67"/>
  <c r="H7" i="67"/>
  <c r="H6" i="67" s="1"/>
  <c r="G7" i="67"/>
  <c r="AE7" i="67" s="1"/>
  <c r="AC6" i="67"/>
  <c r="AB6" i="67"/>
  <c r="AA6" i="67"/>
  <c r="Y6" i="67"/>
  <c r="W6" i="67"/>
  <c r="U6" i="67"/>
  <c r="S6" i="67"/>
  <c r="Q6" i="67"/>
  <c r="O6" i="67"/>
  <c r="M6" i="67"/>
  <c r="L6" i="67"/>
  <c r="K6" i="67"/>
  <c r="I6" i="67"/>
  <c r="G6" i="67"/>
  <c r="AE6" i="67" s="1"/>
  <c r="AE4" i="67"/>
  <c r="AI3" i="67"/>
  <c r="AE99" i="66"/>
  <c r="F99" i="66"/>
  <c r="AE98" i="66"/>
  <c r="F98" i="66"/>
  <c r="AE97" i="66"/>
  <c r="F97" i="66"/>
  <c r="AE96" i="66"/>
  <c r="F96" i="66"/>
  <c r="AE95" i="66"/>
  <c r="F95" i="66"/>
  <c r="AE94" i="66"/>
  <c r="F94" i="66"/>
  <c r="AE93" i="66"/>
  <c r="F93" i="66"/>
  <c r="AE92" i="66"/>
  <c r="F92" i="66"/>
  <c r="AE91" i="66"/>
  <c r="F91" i="66"/>
  <c r="AE90" i="66"/>
  <c r="F90" i="66"/>
  <c r="AE89" i="66"/>
  <c r="F89" i="66"/>
  <c r="AE88" i="66"/>
  <c r="F88" i="66"/>
  <c r="AE87" i="66"/>
  <c r="F87" i="66"/>
  <c r="AE86" i="66"/>
  <c r="F86" i="66"/>
  <c r="AE85" i="66"/>
  <c r="F85" i="66"/>
  <c r="AE84" i="66"/>
  <c r="F84" i="66"/>
  <c r="AE83" i="66"/>
  <c r="F83" i="66"/>
  <c r="AD82" i="66"/>
  <c r="AC82" i="66"/>
  <c r="AB82" i="66"/>
  <c r="AB80" i="66" s="1"/>
  <c r="AA82" i="66"/>
  <c r="Z82" i="66"/>
  <c r="Y82" i="66"/>
  <c r="X82" i="66"/>
  <c r="X80" i="66" s="1"/>
  <c r="W82" i="66"/>
  <c r="V82" i="66"/>
  <c r="U82" i="66"/>
  <c r="U80" i="66" s="1"/>
  <c r="T82" i="66"/>
  <c r="T80" i="66" s="1"/>
  <c r="S82" i="66"/>
  <c r="R82" i="66"/>
  <c r="Q82" i="66"/>
  <c r="P82" i="66"/>
  <c r="P80" i="66" s="1"/>
  <c r="O82" i="66"/>
  <c r="N82" i="66"/>
  <c r="M82" i="66"/>
  <c r="L82" i="66"/>
  <c r="L80" i="66" s="1"/>
  <c r="K82" i="66"/>
  <c r="J82" i="66"/>
  <c r="I82" i="66"/>
  <c r="H82" i="66"/>
  <c r="H80" i="66" s="1"/>
  <c r="G82" i="66"/>
  <c r="AE82" i="66" s="1"/>
  <c r="AD80" i="66"/>
  <c r="AC80" i="66"/>
  <c r="AA80" i="66"/>
  <c r="Z80" i="66"/>
  <c r="Y80" i="66"/>
  <c r="W80" i="66"/>
  <c r="V80" i="66"/>
  <c r="S80" i="66"/>
  <c r="R80" i="66"/>
  <c r="Q80" i="66"/>
  <c r="O80" i="66"/>
  <c r="N80" i="66"/>
  <c r="M80" i="66"/>
  <c r="K80" i="66"/>
  <c r="J80" i="66"/>
  <c r="I80" i="66"/>
  <c r="G80" i="66"/>
  <c r="AE79" i="66"/>
  <c r="AI80" i="66" s="1"/>
  <c r="AE73" i="66"/>
  <c r="F73" i="66"/>
  <c r="AE72" i="66"/>
  <c r="F72" i="66"/>
  <c r="AE71" i="66"/>
  <c r="F71" i="66"/>
  <c r="AE70" i="66"/>
  <c r="F70" i="66"/>
  <c r="AE68" i="66"/>
  <c r="F68" i="66"/>
  <c r="AE67" i="66"/>
  <c r="F67" i="66"/>
  <c r="AE66" i="66"/>
  <c r="F66" i="66"/>
  <c r="AE65" i="66"/>
  <c r="F65" i="66"/>
  <c r="AE64" i="66"/>
  <c r="F64" i="66"/>
  <c r="AD63" i="66"/>
  <c r="AC63" i="66"/>
  <c r="AB63" i="66"/>
  <c r="AA63" i="66"/>
  <c r="Z63" i="66"/>
  <c r="Y63" i="66"/>
  <c r="X63" i="66"/>
  <c r="W63" i="66"/>
  <c r="V63" i="66"/>
  <c r="U63" i="66"/>
  <c r="T63" i="66"/>
  <c r="S63" i="66"/>
  <c r="R63" i="66"/>
  <c r="Q63" i="66"/>
  <c r="P63" i="66"/>
  <c r="O63" i="66"/>
  <c r="N63" i="66"/>
  <c r="M63" i="66"/>
  <c r="L63" i="66"/>
  <c r="K63" i="66"/>
  <c r="J63" i="66"/>
  <c r="I63" i="66"/>
  <c r="H63" i="66"/>
  <c r="G63" i="66"/>
  <c r="AE63" i="66" s="1"/>
  <c r="AD61" i="66"/>
  <c r="AC61" i="66"/>
  <c r="AB61" i="66"/>
  <c r="AA61" i="66"/>
  <c r="Z61" i="66"/>
  <c r="Y61" i="66"/>
  <c r="X61" i="66"/>
  <c r="W61" i="66"/>
  <c r="V61" i="66"/>
  <c r="U61" i="66"/>
  <c r="T61" i="66"/>
  <c r="S61" i="66"/>
  <c r="R61" i="66"/>
  <c r="Q61" i="66"/>
  <c r="P61" i="66"/>
  <c r="O61" i="66"/>
  <c r="N61" i="66"/>
  <c r="M61" i="66"/>
  <c r="L61" i="66"/>
  <c r="K61" i="66"/>
  <c r="J61" i="66"/>
  <c r="I61" i="66"/>
  <c r="H61" i="66"/>
  <c r="G61" i="66"/>
  <c r="AE60" i="66"/>
  <c r="AE54" i="66"/>
  <c r="F54" i="66"/>
  <c r="AE48" i="66"/>
  <c r="F48" i="66"/>
  <c r="AE47" i="66"/>
  <c r="F47" i="66"/>
  <c r="AE46" i="66"/>
  <c r="F46" i="66"/>
  <c r="AE45" i="66"/>
  <c r="F45" i="66"/>
  <c r="AE44" i="66"/>
  <c r="F44" i="66"/>
  <c r="AE43" i="66"/>
  <c r="F43" i="66"/>
  <c r="AE42" i="66"/>
  <c r="F42" i="66"/>
  <c r="AE41" i="66"/>
  <c r="F41" i="66"/>
  <c r="AE40" i="66"/>
  <c r="F40" i="66"/>
  <c r="AE39" i="66"/>
  <c r="F39" i="66"/>
  <c r="AE38" i="66"/>
  <c r="F38" i="66"/>
  <c r="AE37" i="66"/>
  <c r="F37" i="66"/>
  <c r="AE36" i="66"/>
  <c r="F36" i="66"/>
  <c r="AE35" i="66"/>
  <c r="F35" i="66"/>
  <c r="AE34" i="66"/>
  <c r="F34" i="66"/>
  <c r="AE33" i="66"/>
  <c r="F33" i="66"/>
  <c r="AE32" i="66"/>
  <c r="F32" i="66"/>
  <c r="AE31" i="66"/>
  <c r="F31" i="66"/>
  <c r="AE30" i="66"/>
  <c r="F30" i="66"/>
  <c r="AE29" i="66"/>
  <c r="F29" i="66"/>
  <c r="AE28" i="66"/>
  <c r="F28" i="66"/>
  <c r="AE27" i="66"/>
  <c r="F27" i="66"/>
  <c r="AE26" i="66"/>
  <c r="F26" i="66"/>
  <c r="AE25" i="66"/>
  <c r="F25" i="66"/>
  <c r="AE24" i="66"/>
  <c r="F24" i="66"/>
  <c r="AE23" i="66"/>
  <c r="F23" i="66"/>
  <c r="AE22" i="66"/>
  <c r="F22" i="66"/>
  <c r="AE21" i="66"/>
  <c r="F21" i="66"/>
  <c r="AE20" i="66"/>
  <c r="F20" i="66"/>
  <c r="AE19" i="66"/>
  <c r="F19" i="66"/>
  <c r="AE18" i="66"/>
  <c r="F18" i="66"/>
  <c r="AE17" i="66"/>
  <c r="F17" i="66"/>
  <c r="AE16" i="66"/>
  <c r="F16" i="66"/>
  <c r="AE15" i="66"/>
  <c r="F15" i="66"/>
  <c r="AE14" i="66"/>
  <c r="F14" i="66"/>
  <c r="AE13" i="66"/>
  <c r="F13" i="66"/>
  <c r="AE12" i="66"/>
  <c r="F12" i="66"/>
  <c r="AE11" i="66"/>
  <c r="F11" i="66"/>
  <c r="AE10" i="66"/>
  <c r="F10" i="66"/>
  <c r="AE9" i="66"/>
  <c r="F9" i="66"/>
  <c r="AE8" i="66"/>
  <c r="F8" i="66"/>
  <c r="AD7" i="66"/>
  <c r="AC7" i="66"/>
  <c r="AB7" i="66"/>
  <c r="AB6" i="66" s="1"/>
  <c r="AA7" i="66"/>
  <c r="Z7" i="66"/>
  <c r="Y7" i="66"/>
  <c r="X7" i="66"/>
  <c r="X6" i="66" s="1"/>
  <c r="W7" i="66"/>
  <c r="V7" i="66"/>
  <c r="U7" i="66"/>
  <c r="T7" i="66"/>
  <c r="T6" i="66" s="1"/>
  <c r="S7" i="66"/>
  <c r="R7" i="66"/>
  <c r="Q7" i="66"/>
  <c r="P7" i="66"/>
  <c r="P6" i="66" s="1"/>
  <c r="O7" i="66"/>
  <c r="N7" i="66"/>
  <c r="M7" i="66"/>
  <c r="L7" i="66"/>
  <c r="L6" i="66" s="1"/>
  <c r="K7" i="66"/>
  <c r="J7" i="66"/>
  <c r="I7" i="66"/>
  <c r="H7" i="66"/>
  <c r="H6" i="66" s="1"/>
  <c r="G7" i="66"/>
  <c r="AE7" i="66" s="1"/>
  <c r="AD6" i="66"/>
  <c r="AC6" i="66"/>
  <c r="AA6" i="66"/>
  <c r="Z6" i="66"/>
  <c r="Y6" i="66"/>
  <c r="W6" i="66"/>
  <c r="V6" i="66"/>
  <c r="U6" i="66"/>
  <c r="S6" i="66"/>
  <c r="R6" i="66"/>
  <c r="Q6" i="66"/>
  <c r="O6" i="66"/>
  <c r="N6" i="66"/>
  <c r="M6" i="66"/>
  <c r="K6" i="66"/>
  <c r="J6" i="66"/>
  <c r="I6" i="66"/>
  <c r="G6" i="66"/>
  <c r="AE4" i="66"/>
  <c r="AI3" i="66"/>
  <c r="AE94" i="65"/>
  <c r="F94" i="65"/>
  <c r="AE93" i="65"/>
  <c r="F93" i="65"/>
  <c r="F92" i="65"/>
  <c r="AE91" i="65"/>
  <c r="F91" i="65"/>
  <c r="AE90" i="65"/>
  <c r="F90" i="65"/>
  <c r="AE89" i="65"/>
  <c r="F89" i="65"/>
  <c r="AE88" i="65"/>
  <c r="F88" i="65"/>
  <c r="AE87" i="65"/>
  <c r="F87" i="65"/>
  <c r="AE86" i="65"/>
  <c r="F86" i="65"/>
  <c r="AE85" i="65"/>
  <c r="F85" i="65"/>
  <c r="AE84" i="65"/>
  <c r="F84" i="65"/>
  <c r="AE83" i="65"/>
  <c r="F83" i="65"/>
  <c r="AE82" i="65"/>
  <c r="F82" i="65"/>
  <c r="AE81" i="65"/>
  <c r="F81" i="65"/>
  <c r="AE80" i="65"/>
  <c r="F80" i="65"/>
  <c r="AE79" i="65"/>
  <c r="F79" i="65"/>
  <c r="AE78" i="65"/>
  <c r="F78" i="65"/>
  <c r="AD77" i="65"/>
  <c r="AC77" i="65"/>
  <c r="AC75" i="65" s="1"/>
  <c r="AB77" i="65"/>
  <c r="AA77" i="65"/>
  <c r="Z77" i="65"/>
  <c r="Y77" i="65"/>
  <c r="Y75" i="65" s="1"/>
  <c r="X77" i="65"/>
  <c r="W77" i="65"/>
  <c r="V77" i="65"/>
  <c r="U77" i="65"/>
  <c r="U75" i="65" s="1"/>
  <c r="T77" i="65"/>
  <c r="S77" i="65"/>
  <c r="R77" i="65"/>
  <c r="Q77" i="65"/>
  <c r="Q75" i="65" s="1"/>
  <c r="P77" i="65"/>
  <c r="O77" i="65"/>
  <c r="N77" i="65"/>
  <c r="M77" i="65"/>
  <c r="M75" i="65" s="1"/>
  <c r="L77" i="65"/>
  <c r="K77" i="65"/>
  <c r="J77" i="65"/>
  <c r="I77" i="65"/>
  <c r="I75" i="65" s="1"/>
  <c r="H77" i="65"/>
  <c r="G77" i="65"/>
  <c r="AE77" i="65" s="1"/>
  <c r="AD75" i="65"/>
  <c r="AB75" i="65"/>
  <c r="AA75" i="65"/>
  <c r="Z75" i="65"/>
  <c r="X75" i="65"/>
  <c r="W75" i="65"/>
  <c r="V75" i="65"/>
  <c r="T75" i="65"/>
  <c r="S75" i="65"/>
  <c r="R75" i="65"/>
  <c r="P75" i="65"/>
  <c r="O75" i="65"/>
  <c r="N75" i="65"/>
  <c r="L75" i="65"/>
  <c r="K75" i="65"/>
  <c r="J75" i="65"/>
  <c r="H75" i="65"/>
  <c r="G75" i="65"/>
  <c r="AE74" i="65"/>
  <c r="AG75" i="65" s="1"/>
  <c r="AE68" i="65"/>
  <c r="F68" i="65"/>
  <c r="AE67" i="65"/>
  <c r="F67" i="65"/>
  <c r="AE66" i="65"/>
  <c r="F66" i="65"/>
  <c r="AE65" i="65"/>
  <c r="F65" i="65"/>
  <c r="AE64" i="65"/>
  <c r="F64" i="65"/>
  <c r="AE63" i="65"/>
  <c r="F63" i="65"/>
  <c r="AE62" i="65"/>
  <c r="F62" i="65"/>
  <c r="AE61" i="65"/>
  <c r="F61" i="65"/>
  <c r="AE60" i="65"/>
  <c r="F60" i="65"/>
  <c r="AE59" i="65"/>
  <c r="F59" i="65"/>
  <c r="AD58" i="65"/>
  <c r="AC58" i="65"/>
  <c r="AB58" i="65"/>
  <c r="AA58" i="65"/>
  <c r="Z58" i="65"/>
  <c r="Y58" i="65"/>
  <c r="X58" i="65"/>
  <c r="W58" i="65"/>
  <c r="V58" i="65"/>
  <c r="U58" i="65"/>
  <c r="T58" i="65"/>
  <c r="S58" i="65"/>
  <c r="R58" i="65"/>
  <c r="Q58" i="65"/>
  <c r="P58" i="65"/>
  <c r="O58" i="65"/>
  <c r="N58" i="65"/>
  <c r="M58" i="65"/>
  <c r="L58" i="65"/>
  <c r="K58" i="65"/>
  <c r="J58" i="65"/>
  <c r="I58" i="65"/>
  <c r="H58" i="65"/>
  <c r="G58" i="65"/>
  <c r="AE58" i="65" s="1"/>
  <c r="AD56" i="65"/>
  <c r="AC56" i="65"/>
  <c r="AB56" i="65"/>
  <c r="AA56" i="65"/>
  <c r="Z56" i="65"/>
  <c r="Y56" i="65"/>
  <c r="X56" i="65"/>
  <c r="W56" i="65"/>
  <c r="V56" i="65"/>
  <c r="U56" i="65"/>
  <c r="T56" i="65"/>
  <c r="S56" i="65"/>
  <c r="R56" i="65"/>
  <c r="Q56" i="65"/>
  <c r="P56" i="65"/>
  <c r="O56" i="65"/>
  <c r="N56" i="65"/>
  <c r="M56" i="65"/>
  <c r="L56" i="65"/>
  <c r="K56" i="65"/>
  <c r="J56" i="65"/>
  <c r="I56" i="65"/>
  <c r="H56" i="65"/>
  <c r="G56" i="65"/>
  <c r="AE55" i="65"/>
  <c r="AE49" i="65"/>
  <c r="F49" i="65"/>
  <c r="AE48" i="65"/>
  <c r="F48" i="65"/>
  <c r="AE47" i="65"/>
  <c r="F47" i="65"/>
  <c r="AE46" i="65"/>
  <c r="F46" i="65"/>
  <c r="AE45" i="65"/>
  <c r="F45" i="65"/>
  <c r="AE44" i="65"/>
  <c r="F44" i="65"/>
  <c r="AE43" i="65"/>
  <c r="F43" i="65"/>
  <c r="AE42" i="65"/>
  <c r="F42" i="65"/>
  <c r="AE41" i="65"/>
  <c r="F41" i="65"/>
  <c r="AE40" i="65"/>
  <c r="F40" i="65"/>
  <c r="AE39" i="65"/>
  <c r="F39" i="65"/>
  <c r="AE38" i="65"/>
  <c r="F38" i="65"/>
  <c r="AE37" i="65"/>
  <c r="F37" i="65"/>
  <c r="AE36" i="65"/>
  <c r="F36" i="65"/>
  <c r="AE35" i="65"/>
  <c r="F35" i="65"/>
  <c r="AE34" i="65"/>
  <c r="F34" i="65"/>
  <c r="AE33" i="65"/>
  <c r="F33" i="65"/>
  <c r="AE32" i="65"/>
  <c r="F32" i="65"/>
  <c r="AE30" i="65"/>
  <c r="F30" i="65"/>
  <c r="AE29" i="65"/>
  <c r="F29" i="65"/>
  <c r="AE28" i="65"/>
  <c r="F28" i="65"/>
  <c r="AE27" i="65"/>
  <c r="F27" i="65"/>
  <c r="AE26" i="65"/>
  <c r="F26" i="65"/>
  <c r="AE25" i="65"/>
  <c r="F25" i="65"/>
  <c r="AE24" i="65"/>
  <c r="F24" i="65"/>
  <c r="AE23" i="65"/>
  <c r="F23" i="65"/>
  <c r="AE22" i="65"/>
  <c r="F22" i="65"/>
  <c r="AE21" i="65"/>
  <c r="F21" i="65"/>
  <c r="AE20" i="65"/>
  <c r="F20" i="65"/>
  <c r="AE19" i="65"/>
  <c r="F19" i="65"/>
  <c r="AE18" i="65"/>
  <c r="F18" i="65"/>
  <c r="AE17" i="65"/>
  <c r="AE16" i="65"/>
  <c r="F16" i="65"/>
  <c r="AE15" i="65"/>
  <c r="F15" i="65"/>
  <c r="AE14" i="65"/>
  <c r="F14" i="65"/>
  <c r="AE13" i="65"/>
  <c r="F13" i="65"/>
  <c r="AE12" i="65"/>
  <c r="F12" i="65"/>
  <c r="AE11" i="65"/>
  <c r="F11" i="65"/>
  <c r="AE10" i="65"/>
  <c r="F10" i="65"/>
  <c r="AE9" i="65"/>
  <c r="F9" i="65"/>
  <c r="AE8" i="65"/>
  <c r="F8" i="65"/>
  <c r="AD7" i="65"/>
  <c r="AC7" i="65"/>
  <c r="AB7" i="65"/>
  <c r="AA7" i="65"/>
  <c r="AA6" i="65" s="1"/>
  <c r="Z7" i="65"/>
  <c r="Y7" i="65"/>
  <c r="X7" i="65"/>
  <c r="W7" i="65"/>
  <c r="W6" i="65" s="1"/>
  <c r="V7" i="65"/>
  <c r="U7" i="65"/>
  <c r="T7" i="65"/>
  <c r="S7" i="65"/>
  <c r="S6" i="65" s="1"/>
  <c r="R7" i="65"/>
  <c r="Q7" i="65"/>
  <c r="P7" i="65"/>
  <c r="O7" i="65"/>
  <c r="O6" i="65" s="1"/>
  <c r="N7" i="65"/>
  <c r="M7" i="65"/>
  <c r="L7" i="65"/>
  <c r="K7" i="65"/>
  <c r="K6" i="65" s="1"/>
  <c r="J7" i="65"/>
  <c r="I7" i="65"/>
  <c r="H7" i="65"/>
  <c r="G7" i="65"/>
  <c r="AE7" i="65" s="1"/>
  <c r="AD6" i="65"/>
  <c r="AC6" i="65"/>
  <c r="AB6" i="65"/>
  <c r="Z6" i="65"/>
  <c r="Y6" i="65"/>
  <c r="X6" i="65"/>
  <c r="V6" i="65"/>
  <c r="U6" i="65"/>
  <c r="T6" i="65"/>
  <c r="R6" i="65"/>
  <c r="Q6" i="65"/>
  <c r="P6" i="65"/>
  <c r="N6" i="65"/>
  <c r="M6" i="65"/>
  <c r="L6" i="65"/>
  <c r="J6" i="65"/>
  <c r="I6" i="65"/>
  <c r="H6" i="65"/>
  <c r="AE4" i="65"/>
  <c r="AG3" i="65"/>
  <c r="AE94" i="64"/>
  <c r="F94" i="64"/>
  <c r="AE93" i="64"/>
  <c r="F93" i="64"/>
  <c r="F92" i="64"/>
  <c r="AE91" i="64"/>
  <c r="F91" i="64"/>
  <c r="AE90" i="64"/>
  <c r="F90" i="64"/>
  <c r="AE89" i="64"/>
  <c r="F89" i="64"/>
  <c r="AE88" i="64"/>
  <c r="F88" i="64"/>
  <c r="AE87" i="64"/>
  <c r="F87" i="64"/>
  <c r="AE86" i="64"/>
  <c r="F86" i="64"/>
  <c r="AE85" i="64"/>
  <c r="F85" i="64"/>
  <c r="AE84" i="64"/>
  <c r="F84" i="64"/>
  <c r="AE83" i="64"/>
  <c r="F83" i="64"/>
  <c r="AE82" i="64"/>
  <c r="F82" i="64"/>
  <c r="AE81" i="64"/>
  <c r="F81" i="64"/>
  <c r="AE80" i="64"/>
  <c r="F80" i="64"/>
  <c r="AE79" i="64"/>
  <c r="F79" i="64"/>
  <c r="AE78" i="64"/>
  <c r="F78" i="64"/>
  <c r="AD77" i="64"/>
  <c r="AC77" i="64"/>
  <c r="AB77" i="64"/>
  <c r="AB75" i="64" s="1"/>
  <c r="AA77" i="64"/>
  <c r="Z77" i="64"/>
  <c r="Y77" i="64"/>
  <c r="X77" i="64"/>
  <c r="X75" i="64" s="1"/>
  <c r="W77" i="64"/>
  <c r="V77" i="64"/>
  <c r="U77" i="64"/>
  <c r="T77" i="64"/>
  <c r="T75" i="64" s="1"/>
  <c r="S77" i="64"/>
  <c r="R77" i="64"/>
  <c r="Q77" i="64"/>
  <c r="P77" i="64"/>
  <c r="P75" i="64" s="1"/>
  <c r="O77" i="64"/>
  <c r="N77" i="64"/>
  <c r="M77" i="64"/>
  <c r="L77" i="64"/>
  <c r="L75" i="64" s="1"/>
  <c r="K77" i="64"/>
  <c r="J77" i="64"/>
  <c r="I77" i="64"/>
  <c r="H77" i="64"/>
  <c r="H75" i="64" s="1"/>
  <c r="G77" i="64"/>
  <c r="AE77" i="64" s="1"/>
  <c r="AD75" i="64"/>
  <c r="AC75" i="64"/>
  <c r="AA75" i="64"/>
  <c r="Z75" i="64"/>
  <c r="Y75" i="64"/>
  <c r="W75" i="64"/>
  <c r="V75" i="64"/>
  <c r="U75" i="64"/>
  <c r="S75" i="64"/>
  <c r="R75" i="64"/>
  <c r="Q75" i="64"/>
  <c r="O75" i="64"/>
  <c r="N75" i="64"/>
  <c r="M75" i="64"/>
  <c r="K75" i="64"/>
  <c r="J75" i="64"/>
  <c r="I75" i="64"/>
  <c r="G75" i="64"/>
  <c r="AE74" i="64"/>
  <c r="AG75" i="64" s="1"/>
  <c r="AE68" i="64"/>
  <c r="F68" i="64"/>
  <c r="AE67" i="64"/>
  <c r="F67" i="64"/>
  <c r="AE66" i="64"/>
  <c r="F66" i="64"/>
  <c r="AE65" i="64"/>
  <c r="F65" i="64"/>
  <c r="AE64" i="64"/>
  <c r="F64" i="64"/>
  <c r="AE63" i="64"/>
  <c r="F63" i="64"/>
  <c r="AE62" i="64"/>
  <c r="F62" i="64"/>
  <c r="AE61" i="64"/>
  <c r="F61" i="64"/>
  <c r="AE60" i="64"/>
  <c r="F60" i="64"/>
  <c r="AE59" i="64"/>
  <c r="F59" i="64"/>
  <c r="AD58" i="64"/>
  <c r="AC58" i="64"/>
  <c r="AB58" i="64"/>
  <c r="AA58" i="64"/>
  <c r="Z58" i="64"/>
  <c r="Y58" i="64"/>
  <c r="X58" i="64"/>
  <c r="W58" i="64"/>
  <c r="V58" i="64"/>
  <c r="U58" i="64"/>
  <c r="T58" i="64"/>
  <c r="S58" i="64"/>
  <c r="R58" i="64"/>
  <c r="Q58" i="64"/>
  <c r="P58" i="64"/>
  <c r="O58" i="64"/>
  <c r="N58" i="64"/>
  <c r="M58" i="64"/>
  <c r="L58" i="64"/>
  <c r="K58" i="64"/>
  <c r="J58" i="64"/>
  <c r="I58" i="64"/>
  <c r="H58" i="64"/>
  <c r="G58" i="64"/>
  <c r="AE58" i="64" s="1"/>
  <c r="AD56" i="64"/>
  <c r="AC56" i="64"/>
  <c r="AB56" i="64"/>
  <c r="AA56" i="64"/>
  <c r="Z56" i="64"/>
  <c r="Y56" i="64"/>
  <c r="X56" i="64"/>
  <c r="W56" i="64"/>
  <c r="V56" i="64"/>
  <c r="U56" i="64"/>
  <c r="T56" i="64"/>
  <c r="S56" i="64"/>
  <c r="R56" i="64"/>
  <c r="Q56" i="64"/>
  <c r="P56" i="64"/>
  <c r="O56" i="64"/>
  <c r="N56" i="64"/>
  <c r="M56" i="64"/>
  <c r="L56" i="64"/>
  <c r="K56" i="64"/>
  <c r="J56" i="64"/>
  <c r="I56" i="64"/>
  <c r="H56" i="64"/>
  <c r="G56" i="64"/>
  <c r="AE55" i="64"/>
  <c r="AE49" i="64"/>
  <c r="F49" i="64"/>
  <c r="AE48" i="64"/>
  <c r="F48" i="64"/>
  <c r="AE47" i="64"/>
  <c r="F47" i="64"/>
  <c r="AE46" i="64"/>
  <c r="F46" i="64"/>
  <c r="AE45" i="64"/>
  <c r="F45" i="64"/>
  <c r="AE44" i="64"/>
  <c r="F44" i="64"/>
  <c r="AE43" i="64"/>
  <c r="F43" i="64"/>
  <c r="AE42" i="64"/>
  <c r="F42" i="64"/>
  <c r="AE41" i="64"/>
  <c r="F41" i="64"/>
  <c r="AE40" i="64"/>
  <c r="F40" i="64"/>
  <c r="AE39" i="64"/>
  <c r="F39" i="64"/>
  <c r="AE38" i="64"/>
  <c r="F38" i="64"/>
  <c r="AE37" i="64"/>
  <c r="F37" i="64"/>
  <c r="AE36" i="64"/>
  <c r="F36" i="64"/>
  <c r="AE35" i="64"/>
  <c r="F35" i="64"/>
  <c r="AE34" i="64"/>
  <c r="F34" i="64"/>
  <c r="AE33" i="64"/>
  <c r="F33" i="64"/>
  <c r="AE32" i="64"/>
  <c r="F32" i="64"/>
  <c r="AE31" i="64"/>
  <c r="F31" i="64"/>
  <c r="AE30" i="64"/>
  <c r="F30" i="64"/>
  <c r="AE29" i="64"/>
  <c r="F29" i="64"/>
  <c r="AE28" i="64"/>
  <c r="F28" i="64"/>
  <c r="AE27" i="64"/>
  <c r="F27" i="64"/>
  <c r="AE26" i="64"/>
  <c r="F26" i="64"/>
  <c r="AE25" i="64"/>
  <c r="F25" i="64"/>
  <c r="AE24" i="64"/>
  <c r="F24" i="64"/>
  <c r="AE23" i="64"/>
  <c r="F23" i="64"/>
  <c r="AE22" i="64"/>
  <c r="F22" i="64"/>
  <c r="AE21" i="64"/>
  <c r="F21" i="64"/>
  <c r="AE20" i="64"/>
  <c r="F20" i="64"/>
  <c r="AE19" i="64"/>
  <c r="F19" i="64"/>
  <c r="AE18" i="64"/>
  <c r="F18" i="64"/>
  <c r="AE17" i="64"/>
  <c r="AE16" i="64"/>
  <c r="F16" i="64"/>
  <c r="AE15" i="64"/>
  <c r="F15" i="64"/>
  <c r="AE14" i="64"/>
  <c r="F14" i="64"/>
  <c r="AE13" i="64"/>
  <c r="F13" i="64"/>
  <c r="AE12" i="64"/>
  <c r="F12" i="64"/>
  <c r="AE11" i="64"/>
  <c r="F11" i="64"/>
  <c r="AE10" i="64"/>
  <c r="F10" i="64"/>
  <c r="AE9" i="64"/>
  <c r="F9" i="64"/>
  <c r="AE8" i="64"/>
  <c r="F8" i="64"/>
  <c r="AD7" i="64"/>
  <c r="AC7" i="64"/>
  <c r="AB7" i="64"/>
  <c r="AB6" i="64" s="1"/>
  <c r="AA7" i="64"/>
  <c r="Z7" i="64"/>
  <c r="Y7" i="64"/>
  <c r="X7" i="64"/>
  <c r="X6" i="64" s="1"/>
  <c r="W7" i="64"/>
  <c r="V7" i="64"/>
  <c r="U7" i="64"/>
  <c r="T7" i="64"/>
  <c r="T6" i="64" s="1"/>
  <c r="S7" i="64"/>
  <c r="R7" i="64"/>
  <c r="Q7" i="64"/>
  <c r="P7" i="64"/>
  <c r="P6" i="64" s="1"/>
  <c r="O7" i="64"/>
  <c r="N7" i="64"/>
  <c r="M7" i="64"/>
  <c r="L7" i="64"/>
  <c r="L6" i="64" s="1"/>
  <c r="K7" i="64"/>
  <c r="J7" i="64"/>
  <c r="I7" i="64"/>
  <c r="H7" i="64"/>
  <c r="H6" i="64" s="1"/>
  <c r="G7" i="64"/>
  <c r="AE7" i="64" s="1"/>
  <c r="AD6" i="64"/>
  <c r="AC6" i="64"/>
  <c r="AA6" i="64"/>
  <c r="Z6" i="64"/>
  <c r="Y6" i="64"/>
  <c r="W6" i="64"/>
  <c r="V6" i="64"/>
  <c r="U6" i="64"/>
  <c r="S6" i="64"/>
  <c r="R6" i="64"/>
  <c r="Q6" i="64"/>
  <c r="O6" i="64"/>
  <c r="N6" i="64"/>
  <c r="M6" i="64"/>
  <c r="K6" i="64"/>
  <c r="J6" i="64"/>
  <c r="I6" i="64"/>
  <c r="G6" i="64"/>
  <c r="AE6" i="64" s="1"/>
  <c r="AE4" i="64"/>
  <c r="AG3" i="64"/>
  <c r="AE94" i="63"/>
  <c r="F94" i="63"/>
  <c r="AE93" i="63"/>
  <c r="F93" i="63"/>
  <c r="AE92" i="63"/>
  <c r="F92" i="63"/>
  <c r="AE91" i="63"/>
  <c r="F91" i="63"/>
  <c r="AE90" i="63"/>
  <c r="F90" i="63"/>
  <c r="AE89" i="63"/>
  <c r="F89" i="63"/>
  <c r="AE88" i="63"/>
  <c r="F88" i="63"/>
  <c r="AE87" i="63"/>
  <c r="F87" i="63"/>
  <c r="AE86" i="63"/>
  <c r="F86" i="63"/>
  <c r="AE85" i="63"/>
  <c r="F85" i="63"/>
  <c r="AE84" i="63"/>
  <c r="F84" i="63"/>
  <c r="AE83" i="63"/>
  <c r="F83" i="63"/>
  <c r="AE82" i="63"/>
  <c r="F82" i="63"/>
  <c r="AE81" i="63"/>
  <c r="F81" i="63"/>
  <c r="AE80" i="63"/>
  <c r="F80" i="63"/>
  <c r="AE79" i="63"/>
  <c r="F79" i="63"/>
  <c r="AE78" i="63"/>
  <c r="F78" i="63"/>
  <c r="AD77" i="63"/>
  <c r="AD75" i="63" s="1"/>
  <c r="AC77" i="63"/>
  <c r="AB77" i="63"/>
  <c r="AA77" i="63"/>
  <c r="Z77" i="63"/>
  <c r="Z75" i="63" s="1"/>
  <c r="Y77" i="63"/>
  <c r="X77" i="63"/>
  <c r="W77" i="63"/>
  <c r="V77" i="63"/>
  <c r="V75" i="63" s="1"/>
  <c r="U77" i="63"/>
  <c r="T77" i="63"/>
  <c r="S77" i="63"/>
  <c r="R77" i="63"/>
  <c r="R75" i="63" s="1"/>
  <c r="Q77" i="63"/>
  <c r="P77" i="63"/>
  <c r="O77" i="63"/>
  <c r="N77" i="63"/>
  <c r="N75" i="63" s="1"/>
  <c r="M77" i="63"/>
  <c r="L77" i="63"/>
  <c r="K77" i="63"/>
  <c r="J77" i="63"/>
  <c r="J75" i="63" s="1"/>
  <c r="I77" i="63"/>
  <c r="H77" i="63"/>
  <c r="G77" i="63"/>
  <c r="AE77" i="63" s="1"/>
  <c r="AG75" i="63"/>
  <c r="AC75" i="63"/>
  <c r="AB75" i="63"/>
  <c r="AA75" i="63"/>
  <c r="Y75" i="63"/>
  <c r="X75" i="63"/>
  <c r="W75" i="63"/>
  <c r="U75" i="63"/>
  <c r="T75" i="63"/>
  <c r="S75" i="63"/>
  <c r="Q75" i="63"/>
  <c r="P75" i="63"/>
  <c r="O75" i="63"/>
  <c r="M75" i="63"/>
  <c r="L75" i="63"/>
  <c r="K75" i="63"/>
  <c r="I75" i="63"/>
  <c r="H75" i="63"/>
  <c r="G75" i="63"/>
  <c r="AE74" i="63"/>
  <c r="AE68" i="63"/>
  <c r="F68" i="63"/>
  <c r="AE67" i="63"/>
  <c r="F67" i="63"/>
  <c r="AE66" i="63"/>
  <c r="F66" i="63"/>
  <c r="AE65" i="63"/>
  <c r="F65" i="63"/>
  <c r="AE64" i="63"/>
  <c r="F64" i="63"/>
  <c r="AE63" i="63"/>
  <c r="F63" i="63"/>
  <c r="AE62" i="63"/>
  <c r="F62" i="63"/>
  <c r="AE61" i="63"/>
  <c r="F61" i="63"/>
  <c r="AE60" i="63"/>
  <c r="F60" i="63"/>
  <c r="AE59" i="63"/>
  <c r="F59" i="63"/>
  <c r="AD58" i="63"/>
  <c r="AC58" i="63"/>
  <c r="AB58" i="63"/>
  <c r="AA58" i="63"/>
  <c r="Z58" i="63"/>
  <c r="Y58" i="63"/>
  <c r="X58" i="63"/>
  <c r="W58" i="63"/>
  <c r="V58" i="63"/>
  <c r="U58" i="63"/>
  <c r="T58" i="63"/>
  <c r="S58" i="63"/>
  <c r="R58" i="63"/>
  <c r="Q58" i="63"/>
  <c r="P58" i="63"/>
  <c r="O58" i="63"/>
  <c r="N58" i="63"/>
  <c r="M58" i="63"/>
  <c r="L58" i="63"/>
  <c r="K58" i="63"/>
  <c r="J58" i="63"/>
  <c r="I58" i="63"/>
  <c r="H58" i="63"/>
  <c r="G58" i="63"/>
  <c r="AE58" i="63" s="1"/>
  <c r="AD56" i="63"/>
  <c r="AC56" i="63"/>
  <c r="AB56" i="63"/>
  <c r="AA56" i="63"/>
  <c r="Z56" i="63"/>
  <c r="Y56" i="63"/>
  <c r="X56" i="63"/>
  <c r="W56" i="63"/>
  <c r="V56" i="63"/>
  <c r="U56" i="63"/>
  <c r="T56" i="63"/>
  <c r="S56" i="63"/>
  <c r="R56" i="63"/>
  <c r="Q56" i="63"/>
  <c r="P56" i="63"/>
  <c r="O56" i="63"/>
  <c r="N56" i="63"/>
  <c r="M56" i="63"/>
  <c r="L56" i="63"/>
  <c r="K56" i="63"/>
  <c r="J56" i="63"/>
  <c r="I56" i="63"/>
  <c r="H56" i="63"/>
  <c r="G56" i="63"/>
  <c r="AE55" i="63"/>
  <c r="AE49" i="63"/>
  <c r="F49" i="63"/>
  <c r="AE48" i="63"/>
  <c r="F48" i="63"/>
  <c r="AE47" i="63"/>
  <c r="F47" i="63"/>
  <c r="AE46" i="63"/>
  <c r="F46" i="63"/>
  <c r="AE45" i="63"/>
  <c r="F45" i="63"/>
  <c r="AE44" i="63"/>
  <c r="F44" i="63"/>
  <c r="AE43" i="63"/>
  <c r="F43" i="63"/>
  <c r="AE42" i="63"/>
  <c r="F42" i="63"/>
  <c r="AE41" i="63"/>
  <c r="F41" i="63"/>
  <c r="AE40" i="63"/>
  <c r="F40" i="63"/>
  <c r="AE39" i="63"/>
  <c r="F39" i="63"/>
  <c r="AE38" i="63"/>
  <c r="F38" i="63"/>
  <c r="AE37" i="63"/>
  <c r="F37" i="63"/>
  <c r="AE36" i="63"/>
  <c r="F36" i="63"/>
  <c r="AE35" i="63"/>
  <c r="F35" i="63"/>
  <c r="AE34" i="63"/>
  <c r="F34" i="63"/>
  <c r="AE33" i="63"/>
  <c r="F33" i="63"/>
  <c r="AE32" i="63"/>
  <c r="F32" i="63"/>
  <c r="AE31" i="63"/>
  <c r="F31" i="63"/>
  <c r="AE30" i="63"/>
  <c r="F30" i="63"/>
  <c r="AE29" i="63"/>
  <c r="F29" i="63"/>
  <c r="AE28" i="63"/>
  <c r="F28" i="63"/>
  <c r="AE27" i="63"/>
  <c r="F27" i="63"/>
  <c r="AE26" i="63"/>
  <c r="F26" i="63"/>
  <c r="AE25" i="63"/>
  <c r="F25" i="63"/>
  <c r="AE24" i="63"/>
  <c r="F24" i="63"/>
  <c r="AE23" i="63"/>
  <c r="F23" i="63"/>
  <c r="AE22" i="63"/>
  <c r="F22" i="63"/>
  <c r="AE21" i="63"/>
  <c r="F21" i="63"/>
  <c r="AE20" i="63"/>
  <c r="F20" i="63"/>
  <c r="AE19" i="63"/>
  <c r="F19" i="63"/>
  <c r="AE18" i="63"/>
  <c r="F18" i="63"/>
  <c r="AE17" i="63"/>
  <c r="AE16" i="63"/>
  <c r="F16" i="63"/>
  <c r="AE15" i="63"/>
  <c r="F15" i="63"/>
  <c r="AE14" i="63"/>
  <c r="F14" i="63"/>
  <c r="AE13" i="63"/>
  <c r="F13" i="63"/>
  <c r="AE12" i="63"/>
  <c r="F12" i="63"/>
  <c r="AE11" i="63"/>
  <c r="F11" i="63"/>
  <c r="AE10" i="63"/>
  <c r="F10" i="63"/>
  <c r="AE9" i="63"/>
  <c r="F9" i="63"/>
  <c r="AE8" i="63"/>
  <c r="F8" i="63"/>
  <c r="AD7" i="63"/>
  <c r="AD6" i="63" s="1"/>
  <c r="AC7" i="63"/>
  <c r="AB7" i="63"/>
  <c r="AA7" i="63"/>
  <c r="Z7" i="63"/>
  <c r="Z6" i="63" s="1"/>
  <c r="Y7" i="63"/>
  <c r="X7" i="63"/>
  <c r="W7" i="63"/>
  <c r="V7" i="63"/>
  <c r="V6" i="63" s="1"/>
  <c r="U7" i="63"/>
  <c r="T7" i="63"/>
  <c r="S7" i="63"/>
  <c r="R7" i="63"/>
  <c r="R6" i="63" s="1"/>
  <c r="Q7" i="63"/>
  <c r="P7" i="63"/>
  <c r="O7" i="63"/>
  <c r="N7" i="63"/>
  <c r="N6" i="63" s="1"/>
  <c r="M7" i="63"/>
  <c r="L7" i="63"/>
  <c r="K7" i="63"/>
  <c r="J7" i="63"/>
  <c r="J6" i="63" s="1"/>
  <c r="I7" i="63"/>
  <c r="H7" i="63"/>
  <c r="G7" i="63"/>
  <c r="AE7" i="63" s="1"/>
  <c r="AC6" i="63"/>
  <c r="AB6" i="63"/>
  <c r="AA6" i="63"/>
  <c r="Y6" i="63"/>
  <c r="X6" i="63"/>
  <c r="W6" i="63"/>
  <c r="U6" i="63"/>
  <c r="T6" i="63"/>
  <c r="S6" i="63"/>
  <c r="Q6" i="63"/>
  <c r="P6" i="63"/>
  <c r="O6" i="63"/>
  <c r="M6" i="63"/>
  <c r="L6" i="63"/>
  <c r="K6" i="63"/>
  <c r="I6" i="63"/>
  <c r="H6" i="63"/>
  <c r="G6" i="63"/>
  <c r="AE6" i="63" s="1"/>
  <c r="AE4" i="63"/>
  <c r="AG3" i="63"/>
  <c r="AE82" i="62"/>
  <c r="F82" i="62"/>
  <c r="AE81" i="62"/>
  <c r="F81" i="62"/>
  <c r="F80" i="62"/>
  <c r="AE79" i="62"/>
  <c r="F79" i="62"/>
  <c r="AE78" i="62"/>
  <c r="F78" i="62"/>
  <c r="AE77" i="62"/>
  <c r="F77" i="62"/>
  <c r="AE76" i="62"/>
  <c r="F76" i="62"/>
  <c r="AE75" i="62"/>
  <c r="F75" i="62"/>
  <c r="AE74" i="62"/>
  <c r="F74" i="62"/>
  <c r="AE73" i="62"/>
  <c r="F73" i="62"/>
  <c r="AE72" i="62"/>
  <c r="F72" i="62"/>
  <c r="AE71" i="62"/>
  <c r="F71" i="62"/>
  <c r="AE70" i="62"/>
  <c r="F70" i="62"/>
  <c r="AE69" i="62"/>
  <c r="F69" i="62"/>
  <c r="AE68" i="62"/>
  <c r="F68" i="62"/>
  <c r="AE67" i="62"/>
  <c r="F67" i="62"/>
  <c r="AE66" i="62"/>
  <c r="F66" i="62"/>
  <c r="AD65" i="62"/>
  <c r="AC65" i="62"/>
  <c r="AB65" i="62"/>
  <c r="AA65" i="62"/>
  <c r="AA63" i="62" s="1"/>
  <c r="Z65" i="62"/>
  <c r="Y65" i="62"/>
  <c r="X65" i="62"/>
  <c r="W65" i="62"/>
  <c r="W63" i="62" s="1"/>
  <c r="V65" i="62"/>
  <c r="U65" i="62"/>
  <c r="T65" i="62"/>
  <c r="S65" i="62"/>
  <c r="S63" i="62" s="1"/>
  <c r="R65" i="62"/>
  <c r="Q65" i="62"/>
  <c r="P65" i="62"/>
  <c r="O65" i="62"/>
  <c r="O63" i="62" s="1"/>
  <c r="N65" i="62"/>
  <c r="M65" i="62"/>
  <c r="L65" i="62"/>
  <c r="K65" i="62"/>
  <c r="K63" i="62" s="1"/>
  <c r="J65" i="62"/>
  <c r="I65" i="62"/>
  <c r="H65" i="62"/>
  <c r="G65" i="62"/>
  <c r="G63" i="62" s="1"/>
  <c r="AD63" i="62"/>
  <c r="AC63" i="62"/>
  <c r="AB63" i="62"/>
  <c r="Z63" i="62"/>
  <c r="Y63" i="62"/>
  <c r="X63" i="62"/>
  <c r="V63" i="62"/>
  <c r="U63" i="62"/>
  <c r="T63" i="62"/>
  <c r="R63" i="62"/>
  <c r="Q63" i="62"/>
  <c r="P63" i="62"/>
  <c r="N63" i="62"/>
  <c r="M63" i="62"/>
  <c r="L63" i="62"/>
  <c r="J63" i="62"/>
  <c r="I63" i="62"/>
  <c r="H63" i="62"/>
  <c r="AE62" i="62"/>
  <c r="AG63" i="62" s="1"/>
  <c r="AE59" i="62"/>
  <c r="F59" i="62"/>
  <c r="AE58" i="62"/>
  <c r="F58" i="62"/>
  <c r="AE56" i="62"/>
  <c r="F56" i="62"/>
  <c r="AE55" i="62"/>
  <c r="F55" i="62"/>
  <c r="AE54" i="62"/>
  <c r="F54" i="62"/>
  <c r="AE53" i="62"/>
  <c r="F53" i="62"/>
  <c r="AE52" i="62"/>
  <c r="F52" i="62"/>
  <c r="AE51" i="62"/>
  <c r="F51" i="62"/>
  <c r="AE50" i="62"/>
  <c r="F50" i="62"/>
  <c r="AE49" i="62"/>
  <c r="F49" i="62"/>
  <c r="AE48" i="62"/>
  <c r="F48" i="62"/>
  <c r="AE47" i="62"/>
  <c r="F47" i="62"/>
  <c r="AE46" i="62"/>
  <c r="F46" i="62"/>
  <c r="AE45" i="62"/>
  <c r="F45" i="62"/>
  <c r="AE44" i="62"/>
  <c r="F44" i="62"/>
  <c r="AE43" i="62"/>
  <c r="F43" i="62"/>
  <c r="AE42" i="62"/>
  <c r="F42" i="62"/>
  <c r="AE41" i="62"/>
  <c r="F41" i="62"/>
  <c r="AE40" i="62"/>
  <c r="F40" i="62"/>
  <c r="AE39" i="62"/>
  <c r="F39" i="62"/>
  <c r="AE38" i="62"/>
  <c r="F38" i="62"/>
  <c r="AE37" i="62"/>
  <c r="F37" i="62"/>
  <c r="AE36" i="62"/>
  <c r="F36" i="62"/>
  <c r="AE35" i="62"/>
  <c r="F35" i="62"/>
  <c r="AE34" i="62"/>
  <c r="F34" i="62"/>
  <c r="AE33" i="62"/>
  <c r="F33" i="62"/>
  <c r="AE32" i="62"/>
  <c r="F32" i="62"/>
  <c r="AE31" i="62"/>
  <c r="F31" i="62"/>
  <c r="AE30" i="62"/>
  <c r="F30" i="62"/>
  <c r="AE29" i="62"/>
  <c r="F29" i="62"/>
  <c r="AE28" i="62"/>
  <c r="F28" i="62"/>
  <c r="AE27" i="62"/>
  <c r="F27" i="62"/>
  <c r="AE26" i="62"/>
  <c r="F26" i="62"/>
  <c r="AE25" i="62"/>
  <c r="AE24" i="62"/>
  <c r="F24" i="62"/>
  <c r="AE23" i="62"/>
  <c r="F23" i="62"/>
  <c r="AE22" i="62"/>
  <c r="F22" i="62"/>
  <c r="AE21" i="62"/>
  <c r="F21" i="62"/>
  <c r="AE20" i="62"/>
  <c r="F20" i="62"/>
  <c r="AE19" i="62"/>
  <c r="F19" i="62"/>
  <c r="AE18" i="62"/>
  <c r="F18" i="62"/>
  <c r="AE17" i="62"/>
  <c r="F17" i="62"/>
  <c r="AE16" i="62"/>
  <c r="F16" i="62"/>
  <c r="AE15" i="62"/>
  <c r="F15" i="62"/>
  <c r="AE14" i="62"/>
  <c r="F14" i="62"/>
  <c r="AE13" i="62"/>
  <c r="F13" i="62"/>
  <c r="AE12" i="62"/>
  <c r="F12" i="62"/>
  <c r="AE11" i="62"/>
  <c r="F11" i="62"/>
  <c r="AE10" i="62"/>
  <c r="F10" i="62"/>
  <c r="AE9" i="62"/>
  <c r="F9" i="62"/>
  <c r="AE8" i="62"/>
  <c r="F8" i="62"/>
  <c r="AD7" i="62"/>
  <c r="AC7" i="62"/>
  <c r="AB7" i="62"/>
  <c r="AA7" i="62"/>
  <c r="AA6" i="62" s="1"/>
  <c r="Z7" i="62"/>
  <c r="Y7" i="62"/>
  <c r="X7" i="62"/>
  <c r="W7" i="62"/>
  <c r="W6" i="62" s="1"/>
  <c r="V7" i="62"/>
  <c r="U7" i="62"/>
  <c r="T7" i="62"/>
  <c r="S7" i="62"/>
  <c r="S6" i="62" s="1"/>
  <c r="R7" i="62"/>
  <c r="Q7" i="62"/>
  <c r="P7" i="62"/>
  <c r="O7" i="62"/>
  <c r="O6" i="62" s="1"/>
  <c r="N7" i="62"/>
  <c r="M7" i="62"/>
  <c r="L7" i="62"/>
  <c r="K7" i="62"/>
  <c r="K6" i="62" s="1"/>
  <c r="J7" i="62"/>
  <c r="I7" i="62"/>
  <c r="H7" i="62"/>
  <c r="G7" i="62"/>
  <c r="G6" i="62" s="1"/>
  <c r="AE6" i="62" s="1"/>
  <c r="AD6" i="62"/>
  <c r="AC6" i="62"/>
  <c r="AB6" i="62"/>
  <c r="Z6" i="62"/>
  <c r="Y6" i="62"/>
  <c r="X6" i="62"/>
  <c r="V6" i="62"/>
  <c r="U6" i="62"/>
  <c r="T6" i="62"/>
  <c r="R6" i="62"/>
  <c r="Q6" i="62"/>
  <c r="P6" i="62"/>
  <c r="N6" i="62"/>
  <c r="M6" i="62"/>
  <c r="L6" i="62"/>
  <c r="J6" i="62"/>
  <c r="I6" i="62"/>
  <c r="H6" i="62"/>
  <c r="AE4" i="62"/>
  <c r="AG3" i="62"/>
  <c r="AE82" i="61"/>
  <c r="F82" i="61"/>
  <c r="AE81" i="61"/>
  <c r="F81" i="61"/>
  <c r="F80" i="61"/>
  <c r="AE79" i="61"/>
  <c r="F79" i="61"/>
  <c r="AE78" i="61"/>
  <c r="F78" i="61"/>
  <c r="AE77" i="61"/>
  <c r="F77" i="61"/>
  <c r="AE76" i="61"/>
  <c r="F76" i="61"/>
  <c r="AE75" i="61"/>
  <c r="F75" i="61"/>
  <c r="AE74" i="61"/>
  <c r="F74" i="61"/>
  <c r="AE73" i="61"/>
  <c r="F73" i="61"/>
  <c r="AE72" i="61"/>
  <c r="F72" i="61"/>
  <c r="AE71" i="61"/>
  <c r="F71" i="61"/>
  <c r="AE70" i="61"/>
  <c r="F70" i="61"/>
  <c r="AE69" i="61"/>
  <c r="F69" i="61"/>
  <c r="AE68" i="61"/>
  <c r="F68" i="61"/>
  <c r="AE67" i="61"/>
  <c r="F67" i="61"/>
  <c r="AE66" i="61"/>
  <c r="F66" i="61"/>
  <c r="AD65" i="61"/>
  <c r="AC65" i="61"/>
  <c r="AB65" i="61"/>
  <c r="AB63" i="61" s="1"/>
  <c r="AA65" i="61"/>
  <c r="Z65" i="61"/>
  <c r="Y65" i="61"/>
  <c r="X65" i="61"/>
  <c r="X63" i="61" s="1"/>
  <c r="W65" i="61"/>
  <c r="V65" i="61"/>
  <c r="U65" i="61"/>
  <c r="T65" i="61"/>
  <c r="T63" i="61" s="1"/>
  <c r="S65" i="61"/>
  <c r="R65" i="61"/>
  <c r="Q65" i="61"/>
  <c r="P65" i="61"/>
  <c r="P63" i="61" s="1"/>
  <c r="O65" i="61"/>
  <c r="N65" i="61"/>
  <c r="M65" i="61"/>
  <c r="L65" i="61"/>
  <c r="L63" i="61" s="1"/>
  <c r="K65" i="61"/>
  <c r="J65" i="61"/>
  <c r="I65" i="61"/>
  <c r="H65" i="61"/>
  <c r="H63" i="61" s="1"/>
  <c r="G65" i="61"/>
  <c r="AE65" i="61" s="1"/>
  <c r="AD63" i="61"/>
  <c r="AC63" i="61"/>
  <c r="AA63" i="61"/>
  <c r="Z63" i="61"/>
  <c r="Y63" i="61"/>
  <c r="W63" i="61"/>
  <c r="V63" i="61"/>
  <c r="U63" i="61"/>
  <c r="S63" i="61"/>
  <c r="R63" i="61"/>
  <c r="Q63" i="61"/>
  <c r="O63" i="61"/>
  <c r="N63" i="61"/>
  <c r="M63" i="61"/>
  <c r="K63" i="61"/>
  <c r="J63" i="61"/>
  <c r="I63" i="61"/>
  <c r="G63" i="61"/>
  <c r="AE62" i="61"/>
  <c r="AG63" i="61" s="1"/>
  <c r="AE59" i="61"/>
  <c r="F59" i="61"/>
  <c r="AE56" i="61"/>
  <c r="F56" i="61"/>
  <c r="AE55" i="61"/>
  <c r="F55" i="61"/>
  <c r="AE54" i="61"/>
  <c r="F54" i="61"/>
  <c r="AE53" i="61"/>
  <c r="F53" i="61"/>
  <c r="AE52" i="61"/>
  <c r="F52" i="61"/>
  <c r="AE51" i="61"/>
  <c r="F51" i="61"/>
  <c r="AE50" i="61"/>
  <c r="F50" i="61"/>
  <c r="AE49" i="61"/>
  <c r="F49" i="61"/>
  <c r="AE48" i="61"/>
  <c r="F48" i="61"/>
  <c r="AE47" i="61"/>
  <c r="F47" i="61"/>
  <c r="AE46" i="61"/>
  <c r="F46" i="61"/>
  <c r="AE45" i="61"/>
  <c r="F45" i="61"/>
  <c r="AE44" i="61"/>
  <c r="F44" i="61"/>
  <c r="AE43" i="61"/>
  <c r="F43" i="61"/>
  <c r="AE42" i="61"/>
  <c r="F42" i="61"/>
  <c r="AE41" i="61"/>
  <c r="F41" i="61"/>
  <c r="AE40" i="61"/>
  <c r="F40" i="61"/>
  <c r="AE39" i="61"/>
  <c r="F39" i="61"/>
  <c r="AE38" i="61"/>
  <c r="F38" i="61"/>
  <c r="AE37" i="61"/>
  <c r="F37" i="61"/>
  <c r="AE36" i="61"/>
  <c r="F36" i="61"/>
  <c r="AE35" i="61"/>
  <c r="F35" i="61"/>
  <c r="AE34" i="61"/>
  <c r="F34" i="61"/>
  <c r="AE33" i="61"/>
  <c r="F33" i="61"/>
  <c r="AE32" i="61"/>
  <c r="F32" i="61"/>
  <c r="AE31" i="61"/>
  <c r="F31" i="61"/>
  <c r="AE30" i="61"/>
  <c r="F30" i="61"/>
  <c r="AE29" i="61"/>
  <c r="F29" i="61"/>
  <c r="AE28" i="61"/>
  <c r="F28" i="61"/>
  <c r="AE27" i="61"/>
  <c r="F27" i="61"/>
  <c r="AE26" i="61"/>
  <c r="F26" i="61"/>
  <c r="AE25" i="61"/>
  <c r="F25" i="61"/>
  <c r="AE24" i="61"/>
  <c r="F24" i="61"/>
  <c r="AE23" i="61"/>
  <c r="F23" i="61"/>
  <c r="AE22" i="61"/>
  <c r="F22" i="61"/>
  <c r="AE21" i="61"/>
  <c r="F21" i="61"/>
  <c r="AE20" i="61"/>
  <c r="AE19" i="61"/>
  <c r="F19" i="61"/>
  <c r="AE18" i="61"/>
  <c r="F18" i="61"/>
  <c r="AE17" i="61"/>
  <c r="F17" i="61"/>
  <c r="AE16" i="61"/>
  <c r="F16" i="61"/>
  <c r="AE15" i="61"/>
  <c r="F15" i="61"/>
  <c r="AE14" i="61"/>
  <c r="F14" i="61"/>
  <c r="AE13" i="61"/>
  <c r="F13" i="61"/>
  <c r="AE12" i="61"/>
  <c r="F12" i="61"/>
  <c r="AE11" i="61"/>
  <c r="F11" i="61"/>
  <c r="AE10" i="61"/>
  <c r="F10" i="61"/>
  <c r="AE9" i="61"/>
  <c r="F9" i="61"/>
  <c r="AE8" i="61"/>
  <c r="F8" i="61"/>
  <c r="AD7" i="61"/>
  <c r="AD6" i="61" s="1"/>
  <c r="AC7" i="61"/>
  <c r="AB7" i="61"/>
  <c r="AA7" i="61"/>
  <c r="Z7" i="61"/>
  <c r="Z6" i="61" s="1"/>
  <c r="Y7" i="61"/>
  <c r="X7" i="61"/>
  <c r="W7" i="61"/>
  <c r="V7" i="61"/>
  <c r="V6" i="61" s="1"/>
  <c r="U7" i="61"/>
  <c r="T7" i="61"/>
  <c r="S7" i="61"/>
  <c r="R7" i="61"/>
  <c r="R6" i="61" s="1"/>
  <c r="Q7" i="61"/>
  <c r="P7" i="61"/>
  <c r="O7" i="61"/>
  <c r="N7" i="61"/>
  <c r="N6" i="61" s="1"/>
  <c r="M7" i="61"/>
  <c r="L7" i="61"/>
  <c r="K7" i="61"/>
  <c r="J7" i="61"/>
  <c r="J6" i="61" s="1"/>
  <c r="I7" i="61"/>
  <c r="H7" i="61"/>
  <c r="G7" i="61"/>
  <c r="AE7" i="61" s="1"/>
  <c r="AC6" i="61"/>
  <c r="AB6" i="61"/>
  <c r="AA6" i="61"/>
  <c r="Y6" i="61"/>
  <c r="X6" i="61"/>
  <c r="W6" i="61"/>
  <c r="U6" i="61"/>
  <c r="T6" i="61"/>
  <c r="S6" i="61"/>
  <c r="Q6" i="61"/>
  <c r="P6" i="61"/>
  <c r="O6" i="61"/>
  <c r="M6" i="61"/>
  <c r="L6" i="61"/>
  <c r="K6" i="61"/>
  <c r="I6" i="61"/>
  <c r="H6" i="61"/>
  <c r="G6" i="61"/>
  <c r="AE6" i="61" s="1"/>
  <c r="AE4" i="61"/>
  <c r="AG3" i="61"/>
  <c r="AE82" i="60"/>
  <c r="F82" i="60"/>
  <c r="AE81" i="60"/>
  <c r="F81" i="60"/>
  <c r="F80" i="60"/>
  <c r="AE79" i="60"/>
  <c r="F79" i="60"/>
  <c r="AE78" i="60"/>
  <c r="F78" i="60"/>
  <c r="AE77" i="60"/>
  <c r="F77" i="60"/>
  <c r="AE76" i="60"/>
  <c r="F76" i="60"/>
  <c r="AE75" i="60"/>
  <c r="F75" i="60"/>
  <c r="AE74" i="60"/>
  <c r="F74" i="60"/>
  <c r="AE73" i="60"/>
  <c r="F73" i="60"/>
  <c r="AE72" i="60"/>
  <c r="F72" i="60"/>
  <c r="AE71" i="60"/>
  <c r="F71" i="60"/>
  <c r="AE70" i="60"/>
  <c r="F70" i="60"/>
  <c r="AE69" i="60"/>
  <c r="F69" i="60"/>
  <c r="AE68" i="60"/>
  <c r="F68" i="60"/>
  <c r="AE67" i="60"/>
  <c r="F67" i="60"/>
  <c r="AE66" i="60"/>
  <c r="F66" i="60"/>
  <c r="AD65" i="60"/>
  <c r="AC65" i="60"/>
  <c r="AB65" i="60"/>
  <c r="AA65" i="60"/>
  <c r="AA63" i="60" s="1"/>
  <c r="Z65" i="60"/>
  <c r="Y65" i="60"/>
  <c r="X65" i="60"/>
  <c r="W65" i="60"/>
  <c r="W63" i="60" s="1"/>
  <c r="V65" i="60"/>
  <c r="U65" i="60"/>
  <c r="T65" i="60"/>
  <c r="S65" i="60"/>
  <c r="S63" i="60" s="1"/>
  <c r="R65" i="60"/>
  <c r="Q65" i="60"/>
  <c r="P65" i="60"/>
  <c r="O65" i="60"/>
  <c r="O63" i="60" s="1"/>
  <c r="N65" i="60"/>
  <c r="M65" i="60"/>
  <c r="L65" i="60"/>
  <c r="K65" i="60"/>
  <c r="K63" i="60" s="1"/>
  <c r="J65" i="60"/>
  <c r="I65" i="60"/>
  <c r="H65" i="60"/>
  <c r="G65" i="60"/>
  <c r="G63" i="60" s="1"/>
  <c r="AD63" i="60"/>
  <c r="AC63" i="60"/>
  <c r="AB63" i="60"/>
  <c r="Z63" i="60"/>
  <c r="Y63" i="60"/>
  <c r="X63" i="60"/>
  <c r="V63" i="60"/>
  <c r="U63" i="60"/>
  <c r="T63" i="60"/>
  <c r="R63" i="60"/>
  <c r="Q63" i="60"/>
  <c r="P63" i="60"/>
  <c r="N63" i="60"/>
  <c r="M63" i="60"/>
  <c r="L63" i="60"/>
  <c r="J63" i="60"/>
  <c r="I63" i="60"/>
  <c r="H63" i="60"/>
  <c r="AE62" i="60"/>
  <c r="AG63" i="60" s="1"/>
  <c r="F59" i="60"/>
  <c r="F58" i="60"/>
  <c r="AE56" i="60"/>
  <c r="F56" i="60"/>
  <c r="AE55" i="60"/>
  <c r="F55" i="60"/>
  <c r="AE54" i="60"/>
  <c r="F54" i="60"/>
  <c r="AE53" i="60"/>
  <c r="F53" i="60"/>
  <c r="AE52" i="60"/>
  <c r="F52" i="60"/>
  <c r="AE51" i="60"/>
  <c r="F51" i="60"/>
  <c r="AE50" i="60"/>
  <c r="F50" i="60"/>
  <c r="AE49" i="60"/>
  <c r="F49" i="60"/>
  <c r="AE48" i="60"/>
  <c r="F48" i="60"/>
  <c r="AE47" i="60"/>
  <c r="F47" i="60"/>
  <c r="AE46" i="60"/>
  <c r="F46" i="60"/>
  <c r="AE45" i="60"/>
  <c r="F45" i="60"/>
  <c r="AE44" i="60"/>
  <c r="F44" i="60"/>
  <c r="AE43" i="60"/>
  <c r="F43" i="60"/>
  <c r="F42" i="60"/>
  <c r="AE41" i="60"/>
  <c r="F41" i="60"/>
  <c r="F40" i="60"/>
  <c r="AE39" i="60"/>
  <c r="F39" i="60"/>
  <c r="AE38" i="60"/>
  <c r="F38" i="60"/>
  <c r="AE37" i="60"/>
  <c r="F37" i="60"/>
  <c r="AE36" i="60"/>
  <c r="F36" i="60"/>
  <c r="F35" i="60"/>
  <c r="AE34" i="60"/>
  <c r="F34" i="60"/>
  <c r="AE33" i="60"/>
  <c r="F33" i="60"/>
  <c r="AE32" i="60"/>
  <c r="F32" i="60"/>
  <c r="AE31" i="60"/>
  <c r="F31" i="60"/>
  <c r="AE30" i="60"/>
  <c r="F30" i="60"/>
  <c r="AE29" i="60"/>
  <c r="F29" i="60"/>
  <c r="AE28" i="60"/>
  <c r="F28" i="60"/>
  <c r="AE27" i="60"/>
  <c r="F27" i="60"/>
  <c r="AE26" i="60"/>
  <c r="F26" i="60"/>
  <c r="AE25" i="60"/>
  <c r="F25" i="60"/>
  <c r="AE24" i="60"/>
  <c r="F24" i="60"/>
  <c r="AE23" i="60"/>
  <c r="F23" i="60"/>
  <c r="F22" i="60"/>
  <c r="F21" i="60"/>
  <c r="AE19" i="60"/>
  <c r="F19" i="60"/>
  <c r="AE18" i="60"/>
  <c r="F18" i="60"/>
  <c r="AE17" i="60"/>
  <c r="F17" i="60"/>
  <c r="AE16" i="60"/>
  <c r="F16" i="60"/>
  <c r="AE15" i="60"/>
  <c r="F15" i="60"/>
  <c r="AE14" i="60"/>
  <c r="F14" i="60"/>
  <c r="AE13" i="60"/>
  <c r="F13" i="60"/>
  <c r="F12" i="60"/>
  <c r="AE11" i="60"/>
  <c r="F11" i="60"/>
  <c r="AE10" i="60"/>
  <c r="F10" i="60"/>
  <c r="AE9" i="60"/>
  <c r="F9" i="60"/>
  <c r="AE8" i="60"/>
  <c r="F8" i="60"/>
  <c r="AD7" i="60"/>
  <c r="AD6" i="60" s="1"/>
  <c r="AC7" i="60"/>
  <c r="AB7" i="60"/>
  <c r="AA7" i="60"/>
  <c r="Z7" i="60"/>
  <c r="Z6" i="60" s="1"/>
  <c r="Y7" i="60"/>
  <c r="X7" i="60"/>
  <c r="W7" i="60"/>
  <c r="V7" i="60"/>
  <c r="V6" i="60" s="1"/>
  <c r="U7" i="60"/>
  <c r="T7" i="60"/>
  <c r="S7" i="60"/>
  <c r="R7" i="60"/>
  <c r="R6" i="60" s="1"/>
  <c r="Q7" i="60"/>
  <c r="P7" i="60"/>
  <c r="O7" i="60"/>
  <c r="N7" i="60"/>
  <c r="N6" i="60" s="1"/>
  <c r="M7" i="60"/>
  <c r="L7" i="60"/>
  <c r="K7" i="60"/>
  <c r="J7" i="60"/>
  <c r="J6" i="60" s="1"/>
  <c r="I7" i="60"/>
  <c r="H7" i="60"/>
  <c r="G7" i="60"/>
  <c r="AE7" i="60" s="1"/>
  <c r="AC6" i="60"/>
  <c r="AB6" i="60"/>
  <c r="AA6" i="60"/>
  <c r="Y6" i="60"/>
  <c r="X6" i="60"/>
  <c r="W6" i="60"/>
  <c r="U6" i="60"/>
  <c r="T6" i="60"/>
  <c r="S6" i="60"/>
  <c r="Q6" i="60"/>
  <c r="P6" i="60"/>
  <c r="O6" i="60"/>
  <c r="M6" i="60"/>
  <c r="L6" i="60"/>
  <c r="K6" i="60"/>
  <c r="I6" i="60"/>
  <c r="H6" i="60"/>
  <c r="G6" i="60"/>
  <c r="AE6" i="60" s="1"/>
  <c r="AE4" i="60"/>
  <c r="AG3" i="60"/>
  <c r="AE82" i="59"/>
  <c r="F82" i="59"/>
  <c r="AE81" i="59"/>
  <c r="F81" i="59"/>
  <c r="F80" i="59"/>
  <c r="AE79" i="59"/>
  <c r="F79" i="59"/>
  <c r="AE78" i="59"/>
  <c r="F78" i="59"/>
  <c r="AE77" i="59"/>
  <c r="F77" i="59"/>
  <c r="AE76" i="59"/>
  <c r="F76" i="59"/>
  <c r="AE75" i="59"/>
  <c r="F75" i="59"/>
  <c r="AE74" i="59"/>
  <c r="F74" i="59"/>
  <c r="AE73" i="59"/>
  <c r="F73" i="59"/>
  <c r="AE72" i="59"/>
  <c r="F72" i="59"/>
  <c r="AE71" i="59"/>
  <c r="F71" i="59"/>
  <c r="AE70" i="59"/>
  <c r="F70" i="59"/>
  <c r="AE69" i="59"/>
  <c r="F69" i="59"/>
  <c r="AE68" i="59"/>
  <c r="F68" i="59"/>
  <c r="AE67" i="59"/>
  <c r="F67" i="59"/>
  <c r="AE66" i="59"/>
  <c r="F66" i="59"/>
  <c r="AD65" i="59"/>
  <c r="AC65" i="59"/>
  <c r="AB65" i="59"/>
  <c r="AA65" i="59"/>
  <c r="Z65" i="59"/>
  <c r="Y65" i="59"/>
  <c r="X65" i="59"/>
  <c r="W65" i="59"/>
  <c r="V65" i="59"/>
  <c r="U65" i="59"/>
  <c r="T65" i="59"/>
  <c r="S65" i="59"/>
  <c r="R65" i="59"/>
  <c r="Q65" i="59"/>
  <c r="P65" i="59"/>
  <c r="O65" i="59"/>
  <c r="N65" i="59"/>
  <c r="M65" i="59"/>
  <c r="L65" i="59"/>
  <c r="K65" i="59"/>
  <c r="J65" i="59"/>
  <c r="I65" i="59"/>
  <c r="H65" i="59"/>
  <c r="G65" i="59"/>
  <c r="AE65" i="59" s="1"/>
  <c r="AD63" i="59"/>
  <c r="AC63" i="59"/>
  <c r="AB63" i="59"/>
  <c r="AA63" i="59"/>
  <c r="Z63" i="59"/>
  <c r="Y63" i="59"/>
  <c r="X63" i="59"/>
  <c r="W63" i="59"/>
  <c r="V63" i="59"/>
  <c r="U63" i="59"/>
  <c r="T63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AE62" i="59"/>
  <c r="AE59" i="59"/>
  <c r="F59" i="59"/>
  <c r="AE58" i="59"/>
  <c r="F58" i="59"/>
  <c r="AE56" i="59"/>
  <c r="F56" i="59"/>
  <c r="AE55" i="59"/>
  <c r="F55" i="59"/>
  <c r="AE54" i="59"/>
  <c r="F54" i="59"/>
  <c r="AE53" i="59"/>
  <c r="F53" i="59"/>
  <c r="AE52" i="59"/>
  <c r="F52" i="59"/>
  <c r="AE51" i="59"/>
  <c r="F51" i="59"/>
  <c r="AE50" i="59"/>
  <c r="F50" i="59"/>
  <c r="AE49" i="59"/>
  <c r="F49" i="59"/>
  <c r="AE48" i="59"/>
  <c r="F48" i="59"/>
  <c r="AE47" i="59"/>
  <c r="F47" i="59"/>
  <c r="AE46" i="59"/>
  <c r="F46" i="59"/>
  <c r="AE45" i="59"/>
  <c r="F45" i="59"/>
  <c r="AE44" i="59"/>
  <c r="F44" i="59"/>
  <c r="AE43" i="59"/>
  <c r="F43" i="59"/>
  <c r="AE42" i="59"/>
  <c r="F42" i="59"/>
  <c r="AE41" i="59"/>
  <c r="F41" i="59"/>
  <c r="AE40" i="59"/>
  <c r="F40" i="59"/>
  <c r="AE39" i="59"/>
  <c r="F39" i="59"/>
  <c r="AE38" i="59"/>
  <c r="F38" i="59"/>
  <c r="AE37" i="59"/>
  <c r="F37" i="59"/>
  <c r="AE36" i="59"/>
  <c r="F36" i="59"/>
  <c r="AE35" i="59"/>
  <c r="F35" i="59"/>
  <c r="AE34" i="59"/>
  <c r="F34" i="59"/>
  <c r="AE33" i="59"/>
  <c r="F33" i="59"/>
  <c r="AE32" i="59"/>
  <c r="F32" i="59"/>
  <c r="AE31" i="59"/>
  <c r="F31" i="59"/>
  <c r="AE30" i="59"/>
  <c r="F30" i="59"/>
  <c r="AE29" i="59"/>
  <c r="F29" i="59"/>
  <c r="AE28" i="59"/>
  <c r="F28" i="59"/>
  <c r="AE27" i="59"/>
  <c r="F27" i="59"/>
  <c r="AE26" i="59"/>
  <c r="F26" i="59"/>
  <c r="AE25" i="59"/>
  <c r="F25" i="59"/>
  <c r="AE24" i="59"/>
  <c r="F24" i="59"/>
  <c r="AE23" i="59"/>
  <c r="F23" i="59"/>
  <c r="F22" i="59"/>
  <c r="AE21" i="59"/>
  <c r="F21" i="59"/>
  <c r="AE19" i="59"/>
  <c r="F19" i="59"/>
  <c r="AE18" i="59"/>
  <c r="F18" i="59"/>
  <c r="AE17" i="59"/>
  <c r="F17" i="59"/>
  <c r="AE16" i="59"/>
  <c r="F16" i="59"/>
  <c r="AE15" i="59"/>
  <c r="F15" i="59"/>
  <c r="AE14" i="59"/>
  <c r="F14" i="59"/>
  <c r="AE13" i="59"/>
  <c r="F13" i="59"/>
  <c r="AE12" i="59"/>
  <c r="F12" i="59"/>
  <c r="AE11" i="59"/>
  <c r="F11" i="59"/>
  <c r="AE10" i="59"/>
  <c r="F10" i="59"/>
  <c r="AE9" i="59"/>
  <c r="F9" i="59"/>
  <c r="AE8" i="59"/>
  <c r="F8" i="59"/>
  <c r="AD7" i="59"/>
  <c r="AC7" i="59"/>
  <c r="AB7" i="59"/>
  <c r="AB6" i="59" s="1"/>
  <c r="AA7" i="59"/>
  <c r="Z7" i="59"/>
  <c r="Y7" i="59"/>
  <c r="X7" i="59"/>
  <c r="X6" i="59" s="1"/>
  <c r="W7" i="59"/>
  <c r="V7" i="59"/>
  <c r="U7" i="59"/>
  <c r="T7" i="59"/>
  <c r="T6" i="59" s="1"/>
  <c r="S7" i="59"/>
  <c r="R7" i="59"/>
  <c r="Q7" i="59"/>
  <c r="P7" i="59"/>
  <c r="P6" i="59" s="1"/>
  <c r="O7" i="59"/>
  <c r="N7" i="59"/>
  <c r="M7" i="59"/>
  <c r="L7" i="59"/>
  <c r="L6" i="59" s="1"/>
  <c r="K7" i="59"/>
  <c r="J7" i="59"/>
  <c r="I7" i="59"/>
  <c r="H7" i="59"/>
  <c r="H6" i="59" s="1"/>
  <c r="G7" i="59"/>
  <c r="AE7" i="59" s="1"/>
  <c r="AD6" i="59"/>
  <c r="AC6" i="59"/>
  <c r="AA6" i="59"/>
  <c r="Z6" i="59"/>
  <c r="Y6" i="59"/>
  <c r="W6" i="59"/>
  <c r="V6" i="59"/>
  <c r="U6" i="59"/>
  <c r="S6" i="59"/>
  <c r="R6" i="59"/>
  <c r="Q6" i="59"/>
  <c r="O6" i="59"/>
  <c r="N6" i="59"/>
  <c r="M6" i="59"/>
  <c r="K6" i="59"/>
  <c r="J6" i="59"/>
  <c r="I6" i="59"/>
  <c r="G6" i="59"/>
  <c r="AE6" i="59" s="1"/>
  <c r="AE4" i="59"/>
  <c r="AG3" i="59"/>
  <c r="AE72" i="58"/>
  <c r="F72" i="58"/>
  <c r="W60" i="96" s="1"/>
  <c r="AE71" i="58"/>
  <c r="F71" i="58"/>
  <c r="W59" i="96" s="1"/>
  <c r="AE70" i="58"/>
  <c r="F70" i="58"/>
  <c r="W58" i="96" s="1"/>
  <c r="AE69" i="58"/>
  <c r="F69" i="58"/>
  <c r="W57" i="96" s="1"/>
  <c r="AE68" i="58"/>
  <c r="F68" i="58"/>
  <c r="W56" i="96" s="1"/>
  <c r="AE67" i="58"/>
  <c r="F67" i="58"/>
  <c r="W55" i="96" s="1"/>
  <c r="AE66" i="58"/>
  <c r="F66" i="58"/>
  <c r="W54" i="96" s="1"/>
  <c r="AE65" i="58"/>
  <c r="F65" i="58"/>
  <c r="W53" i="96" s="1"/>
  <c r="AE64" i="58"/>
  <c r="F64" i="58"/>
  <c r="W52" i="96" s="1"/>
  <c r="AE63" i="58"/>
  <c r="F63" i="58"/>
  <c r="W51" i="96" s="1"/>
  <c r="AE62" i="58"/>
  <c r="F62" i="58"/>
  <c r="W50" i="96" s="1"/>
  <c r="AD61" i="58"/>
  <c r="AC61" i="58"/>
  <c r="AB61" i="58"/>
  <c r="AA61" i="58"/>
  <c r="Z61" i="58"/>
  <c r="Y61" i="58"/>
  <c r="X61" i="58"/>
  <c r="W61" i="58"/>
  <c r="V61" i="58"/>
  <c r="U61" i="58"/>
  <c r="T61" i="58"/>
  <c r="S61" i="58"/>
  <c r="R61" i="58"/>
  <c r="Q61" i="58"/>
  <c r="P61" i="58"/>
  <c r="O61" i="58"/>
  <c r="N61" i="58"/>
  <c r="M61" i="58"/>
  <c r="L61" i="58"/>
  <c r="K61" i="58"/>
  <c r="J61" i="58"/>
  <c r="I61" i="58"/>
  <c r="H61" i="58"/>
  <c r="G61" i="58"/>
  <c r="AE61" i="58" s="1"/>
  <c r="AD59" i="58"/>
  <c r="AC59" i="58"/>
  <c r="AB59" i="58"/>
  <c r="AA59" i="58"/>
  <c r="Z59" i="58"/>
  <c r="Y59" i="58"/>
  <c r="X59" i="58"/>
  <c r="W59" i="58"/>
  <c r="V59" i="58"/>
  <c r="U59" i="58"/>
  <c r="T59" i="58"/>
  <c r="S59" i="58"/>
  <c r="R59" i="58"/>
  <c r="Q59" i="58"/>
  <c r="P59" i="58"/>
  <c r="O59" i="58"/>
  <c r="N59" i="58"/>
  <c r="M59" i="58"/>
  <c r="L59" i="58"/>
  <c r="K59" i="58"/>
  <c r="J59" i="58"/>
  <c r="I59" i="58"/>
  <c r="H59" i="58"/>
  <c r="G59" i="58"/>
  <c r="AE58" i="58"/>
  <c r="AE55" i="58"/>
  <c r="F55" i="58"/>
  <c r="W49" i="96" s="1"/>
  <c r="AE44" i="58"/>
  <c r="F44" i="58"/>
  <c r="W40" i="96" s="1"/>
  <c r="AE43" i="58"/>
  <c r="F43" i="58"/>
  <c r="W39" i="96" s="1"/>
  <c r="AE42" i="58"/>
  <c r="F42" i="58"/>
  <c r="W38" i="96" s="1"/>
  <c r="AE41" i="58"/>
  <c r="F41" i="58"/>
  <c r="W37" i="96" s="1"/>
  <c r="AE40" i="58"/>
  <c r="F40" i="58"/>
  <c r="W36" i="96" s="1"/>
  <c r="AE39" i="58"/>
  <c r="F39" i="58"/>
  <c r="W34" i="96" s="1"/>
  <c r="AE38" i="58"/>
  <c r="F38" i="58"/>
  <c r="W33" i="96" s="1"/>
  <c r="AE37" i="58"/>
  <c r="F37" i="58"/>
  <c r="W32" i="96" s="1"/>
  <c r="AE36" i="58"/>
  <c r="F36" i="58"/>
  <c r="W31" i="96" s="1"/>
  <c r="AE35" i="58"/>
  <c r="F35" i="58"/>
  <c r="W30" i="96" s="1"/>
  <c r="AE34" i="58"/>
  <c r="F34" i="58"/>
  <c r="W29" i="96" s="1"/>
  <c r="AE33" i="58"/>
  <c r="F33" i="58"/>
  <c r="W28" i="96" s="1"/>
  <c r="AE32" i="58"/>
  <c r="F32" i="58"/>
  <c r="W27" i="96" s="1"/>
  <c r="AE31" i="58"/>
  <c r="F31" i="58"/>
  <c r="W26" i="96" s="1"/>
  <c r="AE30" i="58"/>
  <c r="F30" i="58"/>
  <c r="W25" i="96" s="1"/>
  <c r="AE29" i="58"/>
  <c r="F29" i="58"/>
  <c r="W24" i="96" s="1"/>
  <c r="AE28" i="58"/>
  <c r="F28" i="58"/>
  <c r="W23" i="96" s="1"/>
  <c r="AE27" i="58"/>
  <c r="F27" i="58"/>
  <c r="W22" i="96" s="1"/>
  <c r="AE26" i="58"/>
  <c r="F26" i="58"/>
  <c r="AE25" i="58"/>
  <c r="F25" i="58"/>
  <c r="W20" i="96" s="1"/>
  <c r="AE24" i="58"/>
  <c r="F24" i="58"/>
  <c r="W19" i="96" s="1"/>
  <c r="AE23" i="58"/>
  <c r="F23" i="58"/>
  <c r="W18" i="96" s="1"/>
  <c r="AE22" i="58"/>
  <c r="F22" i="58"/>
  <c r="W17" i="96" s="1"/>
  <c r="AE21" i="58"/>
  <c r="F21" i="58"/>
  <c r="W16" i="96" s="1"/>
  <c r="AE20" i="58"/>
  <c r="F20" i="58"/>
  <c r="W15" i="96" s="1"/>
  <c r="AE19" i="58"/>
  <c r="F19" i="58"/>
  <c r="AE18" i="58"/>
  <c r="F18" i="58"/>
  <c r="W13" i="96" s="1"/>
  <c r="AE17" i="58"/>
  <c r="F17" i="58"/>
  <c r="AE16" i="58"/>
  <c r="F16" i="58"/>
  <c r="W11" i="96" s="1"/>
  <c r="AE15" i="58"/>
  <c r="F15" i="58"/>
  <c r="W10" i="96" s="1"/>
  <c r="AE14" i="58"/>
  <c r="F14" i="58"/>
  <c r="W9" i="96" s="1"/>
  <c r="AE13" i="58"/>
  <c r="F13" i="58"/>
  <c r="W8" i="96" s="1"/>
  <c r="AE12" i="58"/>
  <c r="F12" i="58"/>
  <c r="W7" i="96" s="1"/>
  <c r="AE11" i="58"/>
  <c r="F11" i="58"/>
  <c r="W6" i="96" s="1"/>
  <c r="AE10" i="58"/>
  <c r="F10" i="58"/>
  <c r="W5" i="96" s="1"/>
  <c r="AE9" i="58"/>
  <c r="F9" i="58"/>
  <c r="W4" i="96" s="1"/>
  <c r="AE8" i="58"/>
  <c r="F8" i="58"/>
  <c r="W3" i="96" s="1"/>
  <c r="AD7" i="58"/>
  <c r="AC7" i="58"/>
  <c r="AB7" i="58"/>
  <c r="AB6" i="58" s="1"/>
  <c r="AA7" i="58"/>
  <c r="Z7" i="58"/>
  <c r="Y7" i="58"/>
  <c r="X7" i="58"/>
  <c r="X6" i="58" s="1"/>
  <c r="W7" i="58"/>
  <c r="V7" i="58"/>
  <c r="U7" i="58"/>
  <c r="T7" i="58"/>
  <c r="T6" i="58" s="1"/>
  <c r="S7" i="58"/>
  <c r="R7" i="58"/>
  <c r="Q7" i="58"/>
  <c r="P7" i="58"/>
  <c r="P6" i="58" s="1"/>
  <c r="O7" i="58"/>
  <c r="N7" i="58"/>
  <c r="M7" i="58"/>
  <c r="L7" i="58"/>
  <c r="L6" i="58" s="1"/>
  <c r="K7" i="58"/>
  <c r="J7" i="58"/>
  <c r="I7" i="58"/>
  <c r="H7" i="58"/>
  <c r="H6" i="58" s="1"/>
  <c r="G7" i="58"/>
  <c r="AE7" i="58" s="1"/>
  <c r="AD6" i="58"/>
  <c r="AC6" i="58"/>
  <c r="AA6" i="58"/>
  <c r="Z6" i="58"/>
  <c r="Y6" i="58"/>
  <c r="W6" i="58"/>
  <c r="V6" i="58"/>
  <c r="U6" i="58"/>
  <c r="S6" i="58"/>
  <c r="R6" i="58"/>
  <c r="Q6" i="58"/>
  <c r="O6" i="58"/>
  <c r="N6" i="58"/>
  <c r="M6" i="58"/>
  <c r="K6" i="58"/>
  <c r="J6" i="58"/>
  <c r="I6" i="58"/>
  <c r="G6" i="58"/>
  <c r="AE4" i="58"/>
  <c r="AF4" i="58" s="1"/>
  <c r="AE82" i="57"/>
  <c r="F82" i="57"/>
  <c r="AE81" i="57"/>
  <c r="F81" i="57"/>
  <c r="F80" i="57"/>
  <c r="AE79" i="57"/>
  <c r="F79" i="57"/>
  <c r="AE78" i="57"/>
  <c r="F78" i="57"/>
  <c r="AE77" i="57"/>
  <c r="F77" i="57"/>
  <c r="AE76" i="57"/>
  <c r="F76" i="57"/>
  <c r="AE75" i="57"/>
  <c r="F75" i="57"/>
  <c r="AE74" i="57"/>
  <c r="F74" i="57"/>
  <c r="AE73" i="57"/>
  <c r="F73" i="57"/>
  <c r="AE72" i="57"/>
  <c r="F72" i="57"/>
  <c r="AE71" i="57"/>
  <c r="F71" i="57"/>
  <c r="AE70" i="57"/>
  <c r="F70" i="57"/>
  <c r="AE69" i="57"/>
  <c r="F69" i="57"/>
  <c r="AE68" i="57"/>
  <c r="F68" i="57"/>
  <c r="AE67" i="57"/>
  <c r="F67" i="57"/>
  <c r="AE66" i="57"/>
  <c r="F66" i="57"/>
  <c r="AD65" i="57"/>
  <c r="AC65" i="57"/>
  <c r="AB65" i="57"/>
  <c r="AA65" i="57"/>
  <c r="Z65" i="57"/>
  <c r="Y65" i="57"/>
  <c r="X65" i="57"/>
  <c r="W65" i="57"/>
  <c r="V65" i="57"/>
  <c r="U65" i="57"/>
  <c r="T65" i="57"/>
  <c r="S65" i="57"/>
  <c r="R65" i="57"/>
  <c r="Q65" i="57"/>
  <c r="P65" i="57"/>
  <c r="O65" i="57"/>
  <c r="N65" i="57"/>
  <c r="M65" i="57"/>
  <c r="L65" i="57"/>
  <c r="K65" i="57"/>
  <c r="J65" i="57"/>
  <c r="I65" i="57"/>
  <c r="H65" i="57"/>
  <c r="G65" i="57"/>
  <c r="AE65" i="57" s="1"/>
  <c r="AD63" i="57"/>
  <c r="AC63" i="57"/>
  <c r="AB63" i="57"/>
  <c r="AA63" i="57"/>
  <c r="Z63" i="57"/>
  <c r="Y63" i="57"/>
  <c r="X63" i="57"/>
  <c r="W63" i="57"/>
  <c r="V63" i="57"/>
  <c r="U63" i="57"/>
  <c r="T63" i="57"/>
  <c r="S63" i="57"/>
  <c r="R63" i="57"/>
  <c r="Q63" i="57"/>
  <c r="P63" i="57"/>
  <c r="O63" i="57"/>
  <c r="N63" i="57"/>
  <c r="M63" i="57"/>
  <c r="L63" i="57"/>
  <c r="K63" i="57"/>
  <c r="J63" i="57"/>
  <c r="I63" i="57"/>
  <c r="H63" i="57"/>
  <c r="G63" i="57"/>
  <c r="AE62" i="57"/>
  <c r="F59" i="57"/>
  <c r="F58" i="57"/>
  <c r="AE57" i="57"/>
  <c r="F57" i="57"/>
  <c r="AE56" i="57"/>
  <c r="F56" i="57"/>
  <c r="AE55" i="57"/>
  <c r="F55" i="57"/>
  <c r="AE54" i="57"/>
  <c r="F54" i="57"/>
  <c r="AE53" i="57"/>
  <c r="F53" i="57"/>
  <c r="AE52" i="57"/>
  <c r="F52" i="57"/>
  <c r="AE51" i="57"/>
  <c r="F51" i="57"/>
  <c r="AE50" i="57"/>
  <c r="F50" i="57"/>
  <c r="AE49" i="57"/>
  <c r="F49" i="57"/>
  <c r="AE48" i="57"/>
  <c r="F48" i="57"/>
  <c r="AE47" i="57"/>
  <c r="F47" i="57"/>
  <c r="AE46" i="57"/>
  <c r="F46" i="57"/>
  <c r="AE45" i="57"/>
  <c r="F45" i="57"/>
  <c r="AE44" i="57"/>
  <c r="F44" i="57"/>
  <c r="AE43" i="57"/>
  <c r="F43" i="57"/>
  <c r="AE42" i="57"/>
  <c r="F42" i="57"/>
  <c r="AE41" i="57"/>
  <c r="F41" i="57"/>
  <c r="F40" i="57"/>
  <c r="F39" i="57"/>
  <c r="AE38" i="57"/>
  <c r="F38" i="57"/>
  <c r="AE37" i="57"/>
  <c r="F37" i="57"/>
  <c r="AE36" i="57"/>
  <c r="F36" i="57"/>
  <c r="AE35" i="57"/>
  <c r="F35" i="57"/>
  <c r="AE34" i="57"/>
  <c r="F34" i="57"/>
  <c r="F33" i="57"/>
  <c r="AE32" i="57"/>
  <c r="F32" i="57"/>
  <c r="AE31" i="57"/>
  <c r="F31" i="57"/>
  <c r="AE30" i="57"/>
  <c r="F30" i="57"/>
  <c r="AE29" i="57"/>
  <c r="F29" i="57"/>
  <c r="AE28" i="57"/>
  <c r="F28" i="57"/>
  <c r="AE27" i="57"/>
  <c r="F27" i="57"/>
  <c r="AE26" i="57"/>
  <c r="F26" i="57"/>
  <c r="AE25" i="57"/>
  <c r="F25" i="57"/>
  <c r="AE24" i="57"/>
  <c r="F24" i="57"/>
  <c r="AE23" i="57"/>
  <c r="F23" i="57"/>
  <c r="AE22" i="57"/>
  <c r="F22" i="57"/>
  <c r="AE21" i="57"/>
  <c r="F21" i="57"/>
  <c r="AE20" i="57"/>
  <c r="F20" i="57"/>
  <c r="AE19" i="57"/>
  <c r="F19" i="57"/>
  <c r="AE18" i="57"/>
  <c r="F18" i="57"/>
  <c r="AE17" i="57"/>
  <c r="F17" i="57"/>
  <c r="AE16" i="57"/>
  <c r="F16" i="57"/>
  <c r="AE15" i="57"/>
  <c r="F15" i="57"/>
  <c r="AE14" i="57"/>
  <c r="F14" i="57"/>
  <c r="AE13" i="57"/>
  <c r="F13" i="57"/>
  <c r="AE12" i="57"/>
  <c r="F12" i="57"/>
  <c r="AE11" i="57"/>
  <c r="F11" i="57"/>
  <c r="AE10" i="57"/>
  <c r="F10" i="57"/>
  <c r="AE9" i="57"/>
  <c r="F9" i="57"/>
  <c r="AE8" i="57"/>
  <c r="F8" i="57"/>
  <c r="AD7" i="57"/>
  <c r="AD6" i="57" s="1"/>
  <c r="AC7" i="57"/>
  <c r="AB7" i="57"/>
  <c r="AA7" i="57"/>
  <c r="Z7" i="57"/>
  <c r="Z6" i="57" s="1"/>
  <c r="Y7" i="57"/>
  <c r="X7" i="57"/>
  <c r="W7" i="57"/>
  <c r="V7" i="57"/>
  <c r="V6" i="57" s="1"/>
  <c r="U7" i="57"/>
  <c r="T7" i="57"/>
  <c r="S7" i="57"/>
  <c r="R7" i="57"/>
  <c r="R6" i="57" s="1"/>
  <c r="Q7" i="57"/>
  <c r="P7" i="57"/>
  <c r="O7" i="57"/>
  <c r="N7" i="57"/>
  <c r="N6" i="57" s="1"/>
  <c r="M7" i="57"/>
  <c r="L7" i="57"/>
  <c r="K7" i="57"/>
  <c r="J7" i="57"/>
  <c r="J6" i="57" s="1"/>
  <c r="I7" i="57"/>
  <c r="H7" i="57"/>
  <c r="G7" i="57"/>
  <c r="AE7" i="57" s="1"/>
  <c r="AC6" i="57"/>
  <c r="AB6" i="57"/>
  <c r="AA6" i="57"/>
  <c r="Y6" i="57"/>
  <c r="X6" i="57"/>
  <c r="W6" i="57"/>
  <c r="U6" i="57"/>
  <c r="T6" i="57"/>
  <c r="S6" i="57"/>
  <c r="Q6" i="57"/>
  <c r="P6" i="57"/>
  <c r="O6" i="57"/>
  <c r="M6" i="57"/>
  <c r="L6" i="57"/>
  <c r="K6" i="57"/>
  <c r="I6" i="57"/>
  <c r="H6" i="57"/>
  <c r="G6" i="57"/>
  <c r="AE6" i="57" s="1"/>
  <c r="AE4" i="57"/>
  <c r="AG3" i="57"/>
  <c r="AE82" i="56"/>
  <c r="F82" i="56"/>
  <c r="AE81" i="56"/>
  <c r="F81" i="56"/>
  <c r="F80" i="56"/>
  <c r="AE79" i="56"/>
  <c r="F79" i="56"/>
  <c r="AE78" i="56"/>
  <c r="F78" i="56"/>
  <c r="AE77" i="56"/>
  <c r="F77" i="56"/>
  <c r="AE76" i="56"/>
  <c r="F76" i="56"/>
  <c r="AE75" i="56"/>
  <c r="F75" i="56"/>
  <c r="AE74" i="56"/>
  <c r="F74" i="56"/>
  <c r="AE73" i="56"/>
  <c r="F73" i="56"/>
  <c r="AE72" i="56"/>
  <c r="F72" i="56"/>
  <c r="AE71" i="56"/>
  <c r="F71" i="56"/>
  <c r="AE70" i="56"/>
  <c r="F70" i="56"/>
  <c r="AE69" i="56"/>
  <c r="F69" i="56"/>
  <c r="AE68" i="56"/>
  <c r="F68" i="56"/>
  <c r="AE67" i="56"/>
  <c r="F67" i="56"/>
  <c r="AE66" i="56"/>
  <c r="F66" i="56"/>
  <c r="AD65" i="56"/>
  <c r="AC65" i="56"/>
  <c r="AB65" i="56"/>
  <c r="AA65" i="56"/>
  <c r="Z65" i="56"/>
  <c r="Y65" i="56"/>
  <c r="X65" i="56"/>
  <c r="W65" i="56"/>
  <c r="V65" i="56"/>
  <c r="U65" i="56"/>
  <c r="T65" i="56"/>
  <c r="S65" i="56"/>
  <c r="R65" i="56"/>
  <c r="Q65" i="56"/>
  <c r="P65" i="56"/>
  <c r="O65" i="56"/>
  <c r="N65" i="56"/>
  <c r="M65" i="56"/>
  <c r="L65" i="56"/>
  <c r="K65" i="56"/>
  <c r="J65" i="56"/>
  <c r="I65" i="56"/>
  <c r="H65" i="56"/>
  <c r="G65" i="56"/>
  <c r="AE65" i="56" s="1"/>
  <c r="AD63" i="56"/>
  <c r="AC63" i="56"/>
  <c r="AB63" i="56"/>
  <c r="AA63" i="56"/>
  <c r="Z63" i="56"/>
  <c r="Y63" i="56"/>
  <c r="X63" i="56"/>
  <c r="W63" i="56"/>
  <c r="V63" i="56"/>
  <c r="U63" i="56"/>
  <c r="T63" i="56"/>
  <c r="S63" i="56"/>
  <c r="R63" i="56"/>
  <c r="Q63" i="56"/>
  <c r="P63" i="56"/>
  <c r="O63" i="56"/>
  <c r="N63" i="56"/>
  <c r="M63" i="56"/>
  <c r="L63" i="56"/>
  <c r="K63" i="56"/>
  <c r="J63" i="56"/>
  <c r="I63" i="56"/>
  <c r="H63" i="56"/>
  <c r="G63" i="56"/>
  <c r="AE62" i="56"/>
  <c r="AE56" i="56"/>
  <c r="F56" i="56"/>
  <c r="AE55" i="56"/>
  <c r="F55" i="56"/>
  <c r="AE54" i="56"/>
  <c r="F54" i="56"/>
  <c r="AE53" i="56"/>
  <c r="F53" i="56"/>
  <c r="AE52" i="56"/>
  <c r="F52" i="56"/>
  <c r="AE51" i="56"/>
  <c r="F51" i="56"/>
  <c r="AE50" i="56"/>
  <c r="F50" i="56"/>
  <c r="AE49" i="56"/>
  <c r="F49" i="56"/>
  <c r="AE48" i="56"/>
  <c r="F48" i="56"/>
  <c r="AE47" i="56"/>
  <c r="F47" i="56"/>
  <c r="AE46" i="56"/>
  <c r="F46" i="56"/>
  <c r="AE45" i="56"/>
  <c r="F45" i="56"/>
  <c r="AE44" i="56"/>
  <c r="F44" i="56"/>
  <c r="AE43" i="56"/>
  <c r="F43" i="56"/>
  <c r="AE41" i="56"/>
  <c r="F41" i="56"/>
  <c r="AE38" i="56"/>
  <c r="F38" i="56"/>
  <c r="AE37" i="56"/>
  <c r="F37" i="56"/>
  <c r="AE36" i="56"/>
  <c r="F36" i="56"/>
  <c r="AE34" i="56"/>
  <c r="F34" i="56"/>
  <c r="AE33" i="56"/>
  <c r="AE32" i="56"/>
  <c r="F32" i="56"/>
  <c r="AE31" i="56"/>
  <c r="F31" i="56"/>
  <c r="AE30" i="56"/>
  <c r="F30" i="56"/>
  <c r="AE29" i="56"/>
  <c r="AE28" i="56"/>
  <c r="F28" i="56"/>
  <c r="AE27" i="56"/>
  <c r="F27" i="56"/>
  <c r="AE26" i="56"/>
  <c r="F26" i="56"/>
  <c r="AE25" i="56"/>
  <c r="F25" i="56"/>
  <c r="AE24" i="56"/>
  <c r="F24" i="56"/>
  <c r="AE23" i="56"/>
  <c r="F23" i="56"/>
  <c r="AE22" i="56"/>
  <c r="F22" i="56"/>
  <c r="AE21" i="56"/>
  <c r="F21" i="56"/>
  <c r="AE19" i="56"/>
  <c r="F19" i="56"/>
  <c r="AE18" i="56"/>
  <c r="F18" i="56"/>
  <c r="AE17" i="56"/>
  <c r="F17" i="56"/>
  <c r="AE16" i="56"/>
  <c r="F16" i="56"/>
  <c r="AE15" i="56"/>
  <c r="AE14" i="56"/>
  <c r="F14" i="56"/>
  <c r="AE13" i="56"/>
  <c r="F13" i="56"/>
  <c r="AE11" i="56"/>
  <c r="F11" i="56"/>
  <c r="AE10" i="56"/>
  <c r="F10" i="56"/>
  <c r="AE9" i="56"/>
  <c r="F9" i="56"/>
  <c r="AE8" i="56"/>
  <c r="F8" i="56"/>
  <c r="AD7" i="56"/>
  <c r="AC7" i="56"/>
  <c r="AB7" i="56"/>
  <c r="AB6" i="56" s="1"/>
  <c r="AA7" i="56"/>
  <c r="Z7" i="56"/>
  <c r="Y7" i="56"/>
  <c r="X7" i="56"/>
  <c r="X6" i="56" s="1"/>
  <c r="W7" i="56"/>
  <c r="V7" i="56"/>
  <c r="U7" i="56"/>
  <c r="T7" i="56"/>
  <c r="T6" i="56" s="1"/>
  <c r="S7" i="56"/>
  <c r="R7" i="56"/>
  <c r="Q7" i="56"/>
  <c r="P7" i="56"/>
  <c r="P6" i="56" s="1"/>
  <c r="O7" i="56"/>
  <c r="N7" i="56"/>
  <c r="M7" i="56"/>
  <c r="L7" i="56"/>
  <c r="L6" i="56" s="1"/>
  <c r="K7" i="56"/>
  <c r="J7" i="56"/>
  <c r="I7" i="56"/>
  <c r="H7" i="56"/>
  <c r="H6" i="56" s="1"/>
  <c r="G7" i="56"/>
  <c r="AE7" i="56" s="1"/>
  <c r="AD6" i="56"/>
  <c r="AC6" i="56"/>
  <c r="AA6" i="56"/>
  <c r="Z6" i="56"/>
  <c r="Y6" i="56"/>
  <c r="W6" i="56"/>
  <c r="V6" i="56"/>
  <c r="U6" i="56"/>
  <c r="S6" i="56"/>
  <c r="R6" i="56"/>
  <c r="Q6" i="56"/>
  <c r="O6" i="56"/>
  <c r="N6" i="56"/>
  <c r="M6" i="56"/>
  <c r="K6" i="56"/>
  <c r="J6" i="56"/>
  <c r="I6" i="56"/>
  <c r="G6" i="56"/>
  <c r="AE6" i="56" s="1"/>
  <c r="AE4" i="56"/>
  <c r="AE82" i="55"/>
  <c r="F82" i="55"/>
  <c r="AE81" i="55"/>
  <c r="F81" i="55"/>
  <c r="F80" i="55"/>
  <c r="AE79" i="55"/>
  <c r="F79" i="55"/>
  <c r="AE78" i="55"/>
  <c r="F78" i="55"/>
  <c r="AE77" i="55"/>
  <c r="F77" i="55"/>
  <c r="AE76" i="55"/>
  <c r="F76" i="55"/>
  <c r="AE75" i="55"/>
  <c r="F75" i="55"/>
  <c r="AE74" i="55"/>
  <c r="F74" i="55"/>
  <c r="AE73" i="55"/>
  <c r="F73" i="55"/>
  <c r="AE72" i="55"/>
  <c r="F72" i="55"/>
  <c r="AE71" i="55"/>
  <c r="F71" i="55"/>
  <c r="AE70" i="55"/>
  <c r="F70" i="55"/>
  <c r="AE69" i="55"/>
  <c r="F69" i="55"/>
  <c r="AE68" i="55"/>
  <c r="F68" i="55"/>
  <c r="AE67" i="55"/>
  <c r="F67" i="55"/>
  <c r="AE66" i="55"/>
  <c r="F66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G65" i="55"/>
  <c r="AE65" i="55" s="1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AE62" i="55"/>
  <c r="AE59" i="55"/>
  <c r="AE58" i="55"/>
  <c r="AE57" i="55"/>
  <c r="AE56" i="55"/>
  <c r="F56" i="55"/>
  <c r="AE55" i="55"/>
  <c r="F55" i="55"/>
  <c r="AE54" i="55"/>
  <c r="F54" i="55"/>
  <c r="AE53" i="55"/>
  <c r="F53" i="55"/>
  <c r="AE52" i="55"/>
  <c r="F52" i="55"/>
  <c r="AE51" i="55"/>
  <c r="F51" i="55"/>
  <c r="AE50" i="55"/>
  <c r="F50" i="55"/>
  <c r="AE49" i="55"/>
  <c r="F49" i="55"/>
  <c r="AE48" i="55"/>
  <c r="F48" i="55"/>
  <c r="AE47" i="55"/>
  <c r="F47" i="55"/>
  <c r="AE46" i="55"/>
  <c r="F46" i="55"/>
  <c r="AE45" i="55"/>
  <c r="F45" i="55"/>
  <c r="AE44" i="55"/>
  <c r="F44" i="55"/>
  <c r="AE43" i="55"/>
  <c r="F43" i="55"/>
  <c r="AE42" i="55"/>
  <c r="AE41" i="55"/>
  <c r="F41" i="55"/>
  <c r="AE40" i="55"/>
  <c r="AE39" i="55"/>
  <c r="AE38" i="55"/>
  <c r="F38" i="55"/>
  <c r="AE37" i="55"/>
  <c r="F37" i="55"/>
  <c r="AE36" i="55"/>
  <c r="F36" i="55"/>
  <c r="AE35" i="55"/>
  <c r="AE34" i="55"/>
  <c r="F34" i="55"/>
  <c r="AE33" i="55"/>
  <c r="AE32" i="55"/>
  <c r="F32" i="55"/>
  <c r="AE31" i="55"/>
  <c r="F31" i="55"/>
  <c r="AE30" i="55"/>
  <c r="F30" i="55"/>
  <c r="AE29" i="55"/>
  <c r="AE28" i="55"/>
  <c r="F28" i="55"/>
  <c r="AE27" i="55"/>
  <c r="F27" i="55"/>
  <c r="AE26" i="55"/>
  <c r="F26" i="55"/>
  <c r="AE25" i="55"/>
  <c r="F25" i="55"/>
  <c r="AE24" i="55"/>
  <c r="F24" i="55"/>
  <c r="AE23" i="55"/>
  <c r="F23" i="55"/>
  <c r="AE22" i="55"/>
  <c r="F22" i="55"/>
  <c r="AE21" i="55"/>
  <c r="F21" i="55"/>
  <c r="AE20" i="55"/>
  <c r="AE19" i="55"/>
  <c r="F19" i="55"/>
  <c r="AE18" i="55"/>
  <c r="F18" i="55"/>
  <c r="AE17" i="55"/>
  <c r="F17" i="55"/>
  <c r="AE16" i="55"/>
  <c r="F16" i="55"/>
  <c r="AE15" i="55"/>
  <c r="AE14" i="55"/>
  <c r="F14" i="55"/>
  <c r="AE13" i="55"/>
  <c r="F13" i="55"/>
  <c r="F12" i="55"/>
  <c r="AE11" i="55"/>
  <c r="F11" i="55"/>
  <c r="AE10" i="55"/>
  <c r="F10" i="55"/>
  <c r="AE9" i="55"/>
  <c r="F9" i="55"/>
  <c r="AE8" i="55"/>
  <c r="F8" i="55"/>
  <c r="AD7" i="55"/>
  <c r="AD6" i="55" s="1"/>
  <c r="AC7" i="55"/>
  <c r="AB7" i="55"/>
  <c r="AA7" i="55"/>
  <c r="Z7" i="55"/>
  <c r="Z6" i="55" s="1"/>
  <c r="Y7" i="55"/>
  <c r="X7" i="55"/>
  <c r="W7" i="55"/>
  <c r="V7" i="55"/>
  <c r="V6" i="55" s="1"/>
  <c r="U7" i="55"/>
  <c r="T7" i="55"/>
  <c r="S7" i="55"/>
  <c r="R7" i="55"/>
  <c r="R6" i="55" s="1"/>
  <c r="Q7" i="55"/>
  <c r="P7" i="55"/>
  <c r="O7" i="55"/>
  <c r="N7" i="55"/>
  <c r="N6" i="55" s="1"/>
  <c r="M7" i="55"/>
  <c r="L7" i="55"/>
  <c r="K7" i="55"/>
  <c r="J7" i="55"/>
  <c r="J6" i="55" s="1"/>
  <c r="I7" i="55"/>
  <c r="H7" i="55"/>
  <c r="G7" i="55"/>
  <c r="AE7" i="55" s="1"/>
  <c r="AC6" i="55"/>
  <c r="AB6" i="55"/>
  <c r="AA6" i="55"/>
  <c r="Y6" i="55"/>
  <c r="X6" i="55"/>
  <c r="W6" i="55"/>
  <c r="U6" i="55"/>
  <c r="T6" i="55"/>
  <c r="S6" i="55"/>
  <c r="Q6" i="55"/>
  <c r="P6" i="55"/>
  <c r="O6" i="55"/>
  <c r="M6" i="55"/>
  <c r="L6" i="55"/>
  <c r="K6" i="55"/>
  <c r="I6" i="55"/>
  <c r="H6" i="55"/>
  <c r="G6" i="55"/>
  <c r="AE4" i="55"/>
  <c r="AE82" i="54"/>
  <c r="F82" i="54"/>
  <c r="AE81" i="54"/>
  <c r="F81" i="54"/>
  <c r="F80" i="54"/>
  <c r="AE79" i="54"/>
  <c r="F79" i="54"/>
  <c r="AE78" i="54"/>
  <c r="F78" i="54"/>
  <c r="AE77" i="54"/>
  <c r="F77" i="54"/>
  <c r="AE76" i="54"/>
  <c r="F76" i="54"/>
  <c r="AE75" i="54"/>
  <c r="F75" i="54"/>
  <c r="AE74" i="54"/>
  <c r="F74" i="54"/>
  <c r="AE73" i="54"/>
  <c r="F73" i="54"/>
  <c r="AE72" i="54"/>
  <c r="F72" i="54"/>
  <c r="AE71" i="54"/>
  <c r="F71" i="54"/>
  <c r="AE70" i="54"/>
  <c r="F70" i="54"/>
  <c r="AE69" i="54"/>
  <c r="F69" i="54"/>
  <c r="AE68" i="54"/>
  <c r="F68" i="54"/>
  <c r="AE67" i="54"/>
  <c r="F67" i="54"/>
  <c r="AE66" i="54"/>
  <c r="F66" i="54"/>
  <c r="AD65" i="54"/>
  <c r="AC65" i="54"/>
  <c r="AB65" i="54"/>
  <c r="AA65" i="54"/>
  <c r="Z65" i="54"/>
  <c r="Y65" i="54"/>
  <c r="X65" i="54"/>
  <c r="W65" i="54"/>
  <c r="V65" i="54"/>
  <c r="U65" i="54"/>
  <c r="T65" i="54"/>
  <c r="S65" i="54"/>
  <c r="R65" i="54"/>
  <c r="Q65" i="54"/>
  <c r="P65" i="54"/>
  <c r="O65" i="54"/>
  <c r="N65" i="54"/>
  <c r="M65" i="54"/>
  <c r="L65" i="54"/>
  <c r="K65" i="54"/>
  <c r="J65" i="54"/>
  <c r="I65" i="54"/>
  <c r="H65" i="54"/>
  <c r="G65" i="54"/>
  <c r="AE65" i="54" s="1"/>
  <c r="AD63" i="54"/>
  <c r="AC63" i="54"/>
  <c r="AB63" i="54"/>
  <c r="AA63" i="54"/>
  <c r="Z63" i="54"/>
  <c r="Y63" i="54"/>
  <c r="X63" i="54"/>
  <c r="W63" i="54"/>
  <c r="V63" i="54"/>
  <c r="U63" i="54"/>
  <c r="T63" i="54"/>
  <c r="S63" i="54"/>
  <c r="R63" i="54"/>
  <c r="Q63" i="54"/>
  <c r="P63" i="54"/>
  <c r="O63" i="54"/>
  <c r="N63" i="54"/>
  <c r="M63" i="54"/>
  <c r="L63" i="54"/>
  <c r="K63" i="54"/>
  <c r="J63" i="54"/>
  <c r="I63" i="54"/>
  <c r="H63" i="54"/>
  <c r="G63" i="54"/>
  <c r="AE62" i="54"/>
  <c r="AE59" i="54"/>
  <c r="AE58" i="54"/>
  <c r="AE57" i="54"/>
  <c r="AE56" i="54"/>
  <c r="F56" i="54"/>
  <c r="AE55" i="54"/>
  <c r="F55" i="54"/>
  <c r="AE54" i="54"/>
  <c r="F54" i="54"/>
  <c r="AE53" i="54"/>
  <c r="F53" i="54"/>
  <c r="AE52" i="54"/>
  <c r="F52" i="54"/>
  <c r="AE51" i="54"/>
  <c r="F51" i="54"/>
  <c r="AE50" i="54"/>
  <c r="F50" i="54"/>
  <c r="AE49" i="54"/>
  <c r="F49" i="54"/>
  <c r="AE48" i="54"/>
  <c r="F48" i="54"/>
  <c r="AE47" i="54"/>
  <c r="F47" i="54"/>
  <c r="AE46" i="54"/>
  <c r="F46" i="54"/>
  <c r="AE45" i="54"/>
  <c r="F45" i="54"/>
  <c r="AE44" i="54"/>
  <c r="F44" i="54"/>
  <c r="AE43" i="54"/>
  <c r="F43" i="54"/>
  <c r="AE42" i="54"/>
  <c r="AE41" i="54"/>
  <c r="F41" i="54"/>
  <c r="AE40" i="54"/>
  <c r="AE39" i="54"/>
  <c r="AE38" i="54"/>
  <c r="F38" i="54"/>
  <c r="AE37" i="54"/>
  <c r="F37" i="54"/>
  <c r="AE36" i="54"/>
  <c r="F36" i="54"/>
  <c r="AE35" i="54"/>
  <c r="AE34" i="54"/>
  <c r="F34" i="54"/>
  <c r="AE33" i="54"/>
  <c r="AE32" i="54"/>
  <c r="F32" i="54"/>
  <c r="AE31" i="54"/>
  <c r="F31" i="54"/>
  <c r="AE30" i="54"/>
  <c r="F30" i="54"/>
  <c r="AE29" i="54"/>
  <c r="AE28" i="54"/>
  <c r="F28" i="54"/>
  <c r="AE27" i="54"/>
  <c r="F27" i="54"/>
  <c r="AE26" i="54"/>
  <c r="F26" i="54"/>
  <c r="AE25" i="54"/>
  <c r="F25" i="54"/>
  <c r="AE24" i="54"/>
  <c r="F24" i="54"/>
  <c r="AE23" i="54"/>
  <c r="F23" i="54"/>
  <c r="AE22" i="54"/>
  <c r="F22" i="54"/>
  <c r="AE21" i="54"/>
  <c r="F21" i="54"/>
  <c r="AE20" i="54"/>
  <c r="AE19" i="54"/>
  <c r="F19" i="54"/>
  <c r="AE18" i="54"/>
  <c r="F18" i="54"/>
  <c r="AE17" i="54"/>
  <c r="F17" i="54"/>
  <c r="AE16" i="54"/>
  <c r="F16" i="54"/>
  <c r="AE15" i="54"/>
  <c r="AE14" i="54"/>
  <c r="F14" i="54"/>
  <c r="AE13" i="54"/>
  <c r="F13" i="54"/>
  <c r="F12" i="54"/>
  <c r="AE11" i="54"/>
  <c r="F11" i="54"/>
  <c r="AE10" i="54"/>
  <c r="F10" i="54"/>
  <c r="AE9" i="54"/>
  <c r="F9" i="54"/>
  <c r="AE8" i="54"/>
  <c r="F8" i="54"/>
  <c r="AD7" i="54"/>
  <c r="AC7" i="54"/>
  <c r="AB7" i="54"/>
  <c r="AB6" i="54" s="1"/>
  <c r="AA7" i="54"/>
  <c r="Z7" i="54"/>
  <c r="Y7" i="54"/>
  <c r="X7" i="54"/>
  <c r="X6" i="54" s="1"/>
  <c r="W7" i="54"/>
  <c r="V7" i="54"/>
  <c r="U7" i="54"/>
  <c r="T7" i="54"/>
  <c r="T6" i="54" s="1"/>
  <c r="S7" i="54"/>
  <c r="R7" i="54"/>
  <c r="Q7" i="54"/>
  <c r="P7" i="54"/>
  <c r="P6" i="54" s="1"/>
  <c r="O7" i="54"/>
  <c r="N7" i="54"/>
  <c r="M7" i="54"/>
  <c r="L7" i="54"/>
  <c r="L6" i="54" s="1"/>
  <c r="K7" i="54"/>
  <c r="J7" i="54"/>
  <c r="I7" i="54"/>
  <c r="H7" i="54"/>
  <c r="H6" i="54" s="1"/>
  <c r="G7" i="54"/>
  <c r="AE7" i="54" s="1"/>
  <c r="AD6" i="54"/>
  <c r="AC6" i="54"/>
  <c r="AA6" i="54"/>
  <c r="Z6" i="54"/>
  <c r="Y6" i="54"/>
  <c r="W6" i="54"/>
  <c r="V6" i="54"/>
  <c r="U6" i="54"/>
  <c r="S6" i="54"/>
  <c r="R6" i="54"/>
  <c r="Q6" i="54"/>
  <c r="O6" i="54"/>
  <c r="N6" i="54"/>
  <c r="M6" i="54"/>
  <c r="K6" i="54"/>
  <c r="J6" i="54"/>
  <c r="I6" i="54"/>
  <c r="G6" i="54"/>
  <c r="AE4" i="54"/>
  <c r="AE82" i="53"/>
  <c r="F82" i="53"/>
  <c r="AE81" i="53"/>
  <c r="F81" i="53"/>
  <c r="F80" i="53"/>
  <c r="AE79" i="53"/>
  <c r="F79" i="53"/>
  <c r="AE78" i="53"/>
  <c r="F78" i="53"/>
  <c r="AE77" i="53"/>
  <c r="F77" i="53"/>
  <c r="AE76" i="53"/>
  <c r="F76" i="53"/>
  <c r="AE75" i="53"/>
  <c r="F75" i="53"/>
  <c r="AE74" i="53"/>
  <c r="F74" i="53"/>
  <c r="AE73" i="53"/>
  <c r="F73" i="53"/>
  <c r="AE72" i="53"/>
  <c r="F72" i="53"/>
  <c r="AE71" i="53"/>
  <c r="F71" i="53"/>
  <c r="AE70" i="53"/>
  <c r="F70" i="53"/>
  <c r="AE69" i="53"/>
  <c r="F69" i="53"/>
  <c r="AE68" i="53"/>
  <c r="F68" i="53"/>
  <c r="AE67" i="53"/>
  <c r="F67" i="53"/>
  <c r="AE66" i="53"/>
  <c r="F66" i="53"/>
  <c r="AD65" i="53"/>
  <c r="AC65" i="53"/>
  <c r="AB65" i="53"/>
  <c r="AA65" i="53"/>
  <c r="Z65" i="53"/>
  <c r="Y65" i="53"/>
  <c r="X65" i="53"/>
  <c r="W65" i="53"/>
  <c r="V65" i="53"/>
  <c r="U65" i="53"/>
  <c r="T65" i="53"/>
  <c r="S65" i="53"/>
  <c r="R65" i="53"/>
  <c r="Q65" i="53"/>
  <c r="P65" i="53"/>
  <c r="O65" i="53"/>
  <c r="N65" i="53"/>
  <c r="M65" i="53"/>
  <c r="L65" i="53"/>
  <c r="K65" i="53"/>
  <c r="J65" i="53"/>
  <c r="I65" i="53"/>
  <c r="H65" i="53"/>
  <c r="G65" i="53"/>
  <c r="AE65" i="53" s="1"/>
  <c r="AD63" i="53"/>
  <c r="AC63" i="53"/>
  <c r="AB63" i="53"/>
  <c r="AA63" i="53"/>
  <c r="Z63" i="53"/>
  <c r="Y63" i="53"/>
  <c r="X63" i="53"/>
  <c r="W63" i="53"/>
  <c r="V63" i="53"/>
  <c r="U63" i="53"/>
  <c r="T63" i="53"/>
  <c r="S63" i="53"/>
  <c r="R63" i="53"/>
  <c r="Q63" i="53"/>
  <c r="P63" i="53"/>
  <c r="O63" i="53"/>
  <c r="N63" i="53"/>
  <c r="M63" i="53"/>
  <c r="L63" i="53"/>
  <c r="K63" i="53"/>
  <c r="J63" i="53"/>
  <c r="I63" i="53"/>
  <c r="H63" i="53"/>
  <c r="G63" i="53"/>
  <c r="AE62" i="53"/>
  <c r="AE56" i="53"/>
  <c r="F56" i="53"/>
  <c r="AE55" i="53"/>
  <c r="F55" i="53"/>
  <c r="AE54" i="53"/>
  <c r="F54" i="53"/>
  <c r="AE53" i="53"/>
  <c r="F53" i="53"/>
  <c r="AE52" i="53"/>
  <c r="F52" i="53"/>
  <c r="AE51" i="53"/>
  <c r="F51" i="53"/>
  <c r="AE50" i="53"/>
  <c r="F50" i="53"/>
  <c r="AE49" i="53"/>
  <c r="F49" i="53"/>
  <c r="AE48" i="53"/>
  <c r="F48" i="53"/>
  <c r="AE47" i="53"/>
  <c r="F47" i="53"/>
  <c r="AE46" i="53"/>
  <c r="F46" i="53"/>
  <c r="AE45" i="53"/>
  <c r="F45" i="53"/>
  <c r="AE44" i="53"/>
  <c r="F44" i="53"/>
  <c r="AE43" i="53"/>
  <c r="F43" i="53"/>
  <c r="AE41" i="53"/>
  <c r="F41" i="53"/>
  <c r="AE38" i="53"/>
  <c r="F38" i="53"/>
  <c r="AE37" i="53"/>
  <c r="F37" i="53"/>
  <c r="AE36" i="53"/>
  <c r="F36" i="53"/>
  <c r="AE34" i="53"/>
  <c r="F34" i="53"/>
  <c r="AE33" i="53"/>
  <c r="AE32" i="53"/>
  <c r="F32" i="53"/>
  <c r="AE31" i="53"/>
  <c r="F31" i="53"/>
  <c r="AE30" i="53"/>
  <c r="F30" i="53"/>
  <c r="AE29" i="53"/>
  <c r="AE28" i="53"/>
  <c r="F28" i="53"/>
  <c r="AE27" i="53"/>
  <c r="F27" i="53"/>
  <c r="AE26" i="53"/>
  <c r="F26" i="53"/>
  <c r="AE25" i="53"/>
  <c r="F25" i="53"/>
  <c r="AE24" i="53"/>
  <c r="F24" i="53"/>
  <c r="AE23" i="53"/>
  <c r="F23" i="53"/>
  <c r="AE22" i="53"/>
  <c r="F22" i="53"/>
  <c r="AE21" i="53"/>
  <c r="F21" i="53"/>
  <c r="F20" i="53"/>
  <c r="AE19" i="53"/>
  <c r="F19" i="53"/>
  <c r="AE18" i="53"/>
  <c r="F18" i="53"/>
  <c r="AE17" i="53"/>
  <c r="F17" i="53"/>
  <c r="AE16" i="53"/>
  <c r="F16" i="53"/>
  <c r="AE15" i="53"/>
  <c r="AE14" i="53"/>
  <c r="F14" i="53"/>
  <c r="AE13" i="53"/>
  <c r="F13" i="53"/>
  <c r="F12" i="53"/>
  <c r="AE11" i="53"/>
  <c r="F11" i="53"/>
  <c r="AE10" i="53"/>
  <c r="F10" i="53"/>
  <c r="AE9" i="53"/>
  <c r="F9" i="53"/>
  <c r="AE8" i="53"/>
  <c r="F8" i="53"/>
  <c r="AD7" i="53"/>
  <c r="AC7" i="53"/>
  <c r="AB7" i="53"/>
  <c r="AA7" i="53"/>
  <c r="AA6" i="53" s="1"/>
  <c r="Z7" i="53"/>
  <c r="Y7" i="53"/>
  <c r="X7" i="53"/>
  <c r="W7" i="53"/>
  <c r="W6" i="53" s="1"/>
  <c r="V7" i="53"/>
  <c r="U7" i="53"/>
  <c r="T7" i="53"/>
  <c r="S7" i="53"/>
  <c r="S6" i="53" s="1"/>
  <c r="R7" i="53"/>
  <c r="Q7" i="53"/>
  <c r="P7" i="53"/>
  <c r="O7" i="53"/>
  <c r="O6" i="53" s="1"/>
  <c r="N7" i="53"/>
  <c r="M7" i="53"/>
  <c r="L7" i="53"/>
  <c r="K7" i="53"/>
  <c r="K6" i="53" s="1"/>
  <c r="J7" i="53"/>
  <c r="I7" i="53"/>
  <c r="H7" i="53"/>
  <c r="G7" i="53"/>
  <c r="AE7" i="53" s="1"/>
  <c r="AD6" i="53"/>
  <c r="AC6" i="53"/>
  <c r="AB6" i="53"/>
  <c r="Z6" i="53"/>
  <c r="Y6" i="53"/>
  <c r="X6" i="53"/>
  <c r="V6" i="53"/>
  <c r="U6" i="53"/>
  <c r="T6" i="53"/>
  <c r="R6" i="53"/>
  <c r="Q6" i="53"/>
  <c r="P6" i="53"/>
  <c r="N6" i="53"/>
  <c r="M6" i="53"/>
  <c r="L6" i="53"/>
  <c r="J6" i="53"/>
  <c r="I6" i="53"/>
  <c r="H6" i="53"/>
  <c r="AE4" i="53"/>
  <c r="AE82" i="52"/>
  <c r="F82" i="52"/>
  <c r="AE81" i="52"/>
  <c r="F81" i="52"/>
  <c r="AE80" i="52"/>
  <c r="F80" i="52"/>
  <c r="AE79" i="52"/>
  <c r="F79" i="52"/>
  <c r="AE78" i="52"/>
  <c r="F78" i="52"/>
  <c r="AE77" i="52"/>
  <c r="F77" i="52"/>
  <c r="AE76" i="52"/>
  <c r="F76" i="52"/>
  <c r="AE75" i="52"/>
  <c r="F75" i="52"/>
  <c r="AE74" i="52"/>
  <c r="F74" i="52"/>
  <c r="AE73" i="52"/>
  <c r="F73" i="52"/>
  <c r="AE72" i="52"/>
  <c r="F72" i="52"/>
  <c r="AE71" i="52"/>
  <c r="F71" i="52"/>
  <c r="AE70" i="52"/>
  <c r="F70" i="52"/>
  <c r="AE69" i="52"/>
  <c r="F69" i="52"/>
  <c r="AE68" i="52"/>
  <c r="F68" i="52"/>
  <c r="AE67" i="52"/>
  <c r="F67" i="52"/>
  <c r="AE66" i="52"/>
  <c r="F66" i="52"/>
  <c r="AD65" i="52"/>
  <c r="AC65" i="52"/>
  <c r="AB65" i="52"/>
  <c r="AA65" i="52"/>
  <c r="Z65" i="52"/>
  <c r="Y65" i="52"/>
  <c r="X65" i="52"/>
  <c r="W65" i="52"/>
  <c r="V65" i="52"/>
  <c r="U65" i="52"/>
  <c r="T65" i="52"/>
  <c r="S65" i="52"/>
  <c r="R65" i="52"/>
  <c r="Q65" i="52"/>
  <c r="P65" i="52"/>
  <c r="O65" i="52"/>
  <c r="N65" i="52"/>
  <c r="M65" i="52"/>
  <c r="L65" i="52"/>
  <c r="K65" i="52"/>
  <c r="J65" i="52"/>
  <c r="I65" i="52"/>
  <c r="H65" i="52"/>
  <c r="G65" i="52"/>
  <c r="AE65" i="52" s="1"/>
  <c r="AD63" i="52"/>
  <c r="AC63" i="52"/>
  <c r="AB63" i="52"/>
  <c r="AA63" i="52"/>
  <c r="Z63" i="52"/>
  <c r="Y63" i="52"/>
  <c r="X63" i="52"/>
  <c r="W63" i="52"/>
  <c r="V63" i="52"/>
  <c r="U63" i="52"/>
  <c r="T63" i="52"/>
  <c r="S63" i="52"/>
  <c r="R63" i="52"/>
  <c r="Q63" i="52"/>
  <c r="P63" i="52"/>
  <c r="O63" i="52"/>
  <c r="N63" i="52"/>
  <c r="M63" i="52"/>
  <c r="L63" i="52"/>
  <c r="K63" i="52"/>
  <c r="J63" i="52"/>
  <c r="I63" i="52"/>
  <c r="H63" i="52"/>
  <c r="G63" i="52"/>
  <c r="AE62" i="52"/>
  <c r="AE59" i="52"/>
  <c r="AE56" i="52"/>
  <c r="F56" i="52"/>
  <c r="AE55" i="52"/>
  <c r="F55" i="52"/>
  <c r="AE54" i="52"/>
  <c r="F54" i="52"/>
  <c r="AE53" i="52"/>
  <c r="F53" i="52"/>
  <c r="AE52" i="52"/>
  <c r="F52" i="52"/>
  <c r="AE51" i="52"/>
  <c r="F51" i="52"/>
  <c r="AE50" i="52"/>
  <c r="F50" i="52"/>
  <c r="AE49" i="52"/>
  <c r="F49" i="52"/>
  <c r="AE48" i="52"/>
  <c r="F48" i="52"/>
  <c r="AE47" i="52"/>
  <c r="F47" i="52"/>
  <c r="AE46" i="52"/>
  <c r="F46" i="52"/>
  <c r="AE45" i="52"/>
  <c r="F45" i="52"/>
  <c r="AE44" i="52"/>
  <c r="F44" i="52"/>
  <c r="AE43" i="52"/>
  <c r="F43" i="52"/>
  <c r="AE41" i="52"/>
  <c r="F41" i="52"/>
  <c r="AE38" i="52"/>
  <c r="F38" i="52"/>
  <c r="AE37" i="52"/>
  <c r="F37" i="52"/>
  <c r="AE36" i="52"/>
  <c r="F36" i="52"/>
  <c r="AE34" i="52"/>
  <c r="F34" i="52"/>
  <c r="AE33" i="52"/>
  <c r="AE32" i="52"/>
  <c r="F32" i="52"/>
  <c r="AE31" i="52"/>
  <c r="F31" i="52"/>
  <c r="AE30" i="52"/>
  <c r="F30" i="52"/>
  <c r="AE29" i="52"/>
  <c r="AE28" i="52"/>
  <c r="F28" i="52"/>
  <c r="AE27" i="52"/>
  <c r="F27" i="52"/>
  <c r="AE26" i="52"/>
  <c r="F26" i="52"/>
  <c r="AE25" i="52"/>
  <c r="F25" i="52"/>
  <c r="AE24" i="52"/>
  <c r="F24" i="52"/>
  <c r="AE23" i="52"/>
  <c r="F23" i="52"/>
  <c r="AE22" i="52"/>
  <c r="F22" i="52"/>
  <c r="AE21" i="52"/>
  <c r="F21" i="52"/>
  <c r="AE19" i="52"/>
  <c r="F19" i="52"/>
  <c r="AE18" i="52"/>
  <c r="F18" i="52"/>
  <c r="AE17" i="52"/>
  <c r="F17" i="52"/>
  <c r="AE16" i="52"/>
  <c r="F16" i="52"/>
  <c r="AE15" i="52"/>
  <c r="AE14" i="52"/>
  <c r="F14" i="52"/>
  <c r="AE13" i="52"/>
  <c r="F13" i="52"/>
  <c r="AE12" i="52"/>
  <c r="F12" i="52"/>
  <c r="AE11" i="52"/>
  <c r="F11" i="52"/>
  <c r="AE10" i="52"/>
  <c r="F10" i="52"/>
  <c r="AE9" i="52"/>
  <c r="F9" i="52"/>
  <c r="AE8" i="52"/>
  <c r="F8" i="52"/>
  <c r="AD7" i="52"/>
  <c r="AC7" i="52"/>
  <c r="AB7" i="52"/>
  <c r="AB6" i="52" s="1"/>
  <c r="AA7" i="52"/>
  <c r="Z7" i="52"/>
  <c r="Y7" i="52"/>
  <c r="X7" i="52"/>
  <c r="X6" i="52" s="1"/>
  <c r="W7" i="52"/>
  <c r="V7" i="52"/>
  <c r="U7" i="52"/>
  <c r="T7" i="52"/>
  <c r="T6" i="52" s="1"/>
  <c r="S7" i="52"/>
  <c r="R7" i="52"/>
  <c r="Q7" i="52"/>
  <c r="P7" i="52"/>
  <c r="P6" i="52" s="1"/>
  <c r="O7" i="52"/>
  <c r="N7" i="52"/>
  <c r="M7" i="52"/>
  <c r="L7" i="52"/>
  <c r="L6" i="52" s="1"/>
  <c r="K7" i="52"/>
  <c r="J7" i="52"/>
  <c r="I7" i="52"/>
  <c r="H7" i="52"/>
  <c r="H6" i="52" s="1"/>
  <c r="G7" i="52"/>
  <c r="AE7" i="52" s="1"/>
  <c r="AD6" i="52"/>
  <c r="AC6" i="52"/>
  <c r="AA6" i="52"/>
  <c r="Z6" i="52"/>
  <c r="Y6" i="52"/>
  <c r="W6" i="52"/>
  <c r="V6" i="52"/>
  <c r="U6" i="52"/>
  <c r="S6" i="52"/>
  <c r="R6" i="52"/>
  <c r="Q6" i="52"/>
  <c r="O6" i="52"/>
  <c r="N6" i="52"/>
  <c r="M6" i="52"/>
  <c r="K6" i="52"/>
  <c r="J6" i="52"/>
  <c r="I6" i="52"/>
  <c r="G6" i="52"/>
  <c r="AE6" i="52" s="1"/>
  <c r="AE4" i="52"/>
  <c r="AE82" i="51"/>
  <c r="F82" i="51"/>
  <c r="AE81" i="51"/>
  <c r="F81" i="51"/>
  <c r="AE80" i="51"/>
  <c r="F80" i="51"/>
  <c r="AE79" i="51"/>
  <c r="F79" i="51"/>
  <c r="AE78" i="51"/>
  <c r="F78" i="51"/>
  <c r="AE77" i="51"/>
  <c r="F77" i="51"/>
  <c r="AE76" i="51"/>
  <c r="F76" i="51"/>
  <c r="AE75" i="51"/>
  <c r="F75" i="51"/>
  <c r="AE74" i="51"/>
  <c r="F74" i="51"/>
  <c r="AE73" i="51"/>
  <c r="F73" i="51"/>
  <c r="AE72" i="51"/>
  <c r="F72" i="51"/>
  <c r="AE71" i="51"/>
  <c r="F71" i="51"/>
  <c r="AE70" i="51"/>
  <c r="F70" i="51"/>
  <c r="AE69" i="51"/>
  <c r="F69" i="51"/>
  <c r="AE68" i="51"/>
  <c r="F68" i="51"/>
  <c r="AE67" i="51"/>
  <c r="F67" i="51"/>
  <c r="AE66" i="51"/>
  <c r="F66" i="51"/>
  <c r="AD65" i="51"/>
  <c r="AC65" i="51"/>
  <c r="AB65" i="51"/>
  <c r="AA65" i="51"/>
  <c r="Z65" i="51"/>
  <c r="Y65" i="51"/>
  <c r="X65" i="51"/>
  <c r="W65" i="51"/>
  <c r="V65" i="51"/>
  <c r="U65" i="51"/>
  <c r="T65" i="51"/>
  <c r="S65" i="51"/>
  <c r="R65" i="51"/>
  <c r="Q65" i="51"/>
  <c r="P65" i="51"/>
  <c r="O65" i="51"/>
  <c r="N65" i="51"/>
  <c r="M65" i="51"/>
  <c r="L65" i="51"/>
  <c r="K65" i="51"/>
  <c r="J65" i="51"/>
  <c r="I65" i="51"/>
  <c r="H65" i="51"/>
  <c r="G65" i="51"/>
  <c r="AE65" i="51" s="1"/>
  <c r="AD63" i="51"/>
  <c r="AC63" i="51"/>
  <c r="AB63" i="51"/>
  <c r="AA63" i="51"/>
  <c r="Z63" i="51"/>
  <c r="Y63" i="51"/>
  <c r="X63" i="51"/>
  <c r="W63" i="51"/>
  <c r="V63" i="51"/>
  <c r="U63" i="51"/>
  <c r="T63" i="51"/>
  <c r="S63" i="51"/>
  <c r="R63" i="51"/>
  <c r="Q63" i="51"/>
  <c r="P63" i="51"/>
  <c r="O63" i="51"/>
  <c r="N63" i="51"/>
  <c r="M63" i="51"/>
  <c r="L63" i="51"/>
  <c r="K63" i="51"/>
  <c r="J63" i="51"/>
  <c r="I63" i="51"/>
  <c r="H63" i="51"/>
  <c r="G63" i="51"/>
  <c r="AE62" i="51"/>
  <c r="AE59" i="51"/>
  <c r="AE58" i="51"/>
  <c r="AE56" i="51"/>
  <c r="F56" i="51"/>
  <c r="AE55" i="51"/>
  <c r="F55" i="51"/>
  <c r="AE54" i="51"/>
  <c r="F54" i="51"/>
  <c r="AE53" i="51"/>
  <c r="F53" i="51"/>
  <c r="AE52" i="51"/>
  <c r="F52" i="51"/>
  <c r="AE51" i="51"/>
  <c r="F51" i="51"/>
  <c r="AE50" i="51"/>
  <c r="F50" i="51"/>
  <c r="AE49" i="51"/>
  <c r="F49" i="51"/>
  <c r="AE48" i="51"/>
  <c r="F48" i="51"/>
  <c r="AE47" i="51"/>
  <c r="F47" i="51"/>
  <c r="AE46" i="51"/>
  <c r="F46" i="51"/>
  <c r="AE45" i="51"/>
  <c r="F45" i="51"/>
  <c r="AE44" i="51"/>
  <c r="F44" i="51"/>
  <c r="AE43" i="51"/>
  <c r="F43" i="51"/>
  <c r="AE42" i="51"/>
  <c r="AE41" i="51"/>
  <c r="F41" i="51"/>
  <c r="AE40" i="51"/>
  <c r="AE39" i="51"/>
  <c r="AE38" i="51"/>
  <c r="F38" i="51"/>
  <c r="AE37" i="51"/>
  <c r="F37" i="51"/>
  <c r="AE36" i="51"/>
  <c r="F36" i="51"/>
  <c r="AE35" i="51"/>
  <c r="F35" i="51"/>
  <c r="AE34" i="51"/>
  <c r="F34" i="51"/>
  <c r="AE32" i="51"/>
  <c r="F32" i="51"/>
  <c r="AE31" i="51"/>
  <c r="F31" i="51"/>
  <c r="AE30" i="51"/>
  <c r="F30" i="51"/>
  <c r="AE29" i="51"/>
  <c r="AE28" i="51"/>
  <c r="F28" i="51"/>
  <c r="AE27" i="51"/>
  <c r="F27" i="51"/>
  <c r="AE26" i="51"/>
  <c r="F26" i="51"/>
  <c r="AE25" i="51"/>
  <c r="F25" i="51"/>
  <c r="AE24" i="51"/>
  <c r="F24" i="51"/>
  <c r="AE23" i="51"/>
  <c r="F23" i="51"/>
  <c r="AE22" i="51"/>
  <c r="F22" i="51"/>
  <c r="AE21" i="51"/>
  <c r="F21" i="51"/>
  <c r="AE20" i="51"/>
  <c r="AE19" i="51"/>
  <c r="F19" i="51"/>
  <c r="AE18" i="51"/>
  <c r="F18" i="51"/>
  <c r="AE17" i="51"/>
  <c r="F17" i="51"/>
  <c r="AE16" i="51"/>
  <c r="F16" i="51"/>
  <c r="AE14" i="51"/>
  <c r="F14" i="51"/>
  <c r="AE13" i="51"/>
  <c r="F13" i="51"/>
  <c r="AE12" i="51"/>
  <c r="F12" i="51"/>
  <c r="AE11" i="51"/>
  <c r="F11" i="51"/>
  <c r="AE10" i="51"/>
  <c r="F10" i="51"/>
  <c r="AE9" i="51"/>
  <c r="F9" i="51"/>
  <c r="AE8" i="51"/>
  <c r="F8" i="51"/>
  <c r="AD7" i="51"/>
  <c r="AD6" i="51" s="1"/>
  <c r="AC7" i="51"/>
  <c r="AB7" i="51"/>
  <c r="AA7" i="51"/>
  <c r="Z7" i="51"/>
  <c r="Z6" i="51" s="1"/>
  <c r="Y7" i="51"/>
  <c r="X7" i="51"/>
  <c r="W7" i="51"/>
  <c r="V7" i="51"/>
  <c r="V6" i="51" s="1"/>
  <c r="U7" i="51"/>
  <c r="T7" i="51"/>
  <c r="S7" i="51"/>
  <c r="R7" i="51"/>
  <c r="R6" i="51" s="1"/>
  <c r="Q7" i="51"/>
  <c r="P7" i="51"/>
  <c r="O7" i="51"/>
  <c r="N7" i="51"/>
  <c r="N6" i="51" s="1"/>
  <c r="M7" i="51"/>
  <c r="L7" i="51"/>
  <c r="K7" i="51"/>
  <c r="J7" i="51"/>
  <c r="J6" i="51" s="1"/>
  <c r="I7" i="51"/>
  <c r="H7" i="51"/>
  <c r="G7" i="51"/>
  <c r="AE7" i="51" s="1"/>
  <c r="AC6" i="51"/>
  <c r="AB6" i="51"/>
  <c r="AA6" i="51"/>
  <c r="Y6" i="51"/>
  <c r="X6" i="51"/>
  <c r="W6" i="51"/>
  <c r="U6" i="51"/>
  <c r="T6" i="51"/>
  <c r="S6" i="51"/>
  <c r="Q6" i="51"/>
  <c r="P6" i="51"/>
  <c r="O6" i="51"/>
  <c r="M6" i="51"/>
  <c r="L6" i="51"/>
  <c r="K6" i="51"/>
  <c r="I6" i="51"/>
  <c r="H6" i="51"/>
  <c r="G6" i="51"/>
  <c r="AE4" i="51"/>
  <c r="AE82" i="50"/>
  <c r="F82" i="50"/>
  <c r="F81" i="50"/>
  <c r="F80" i="50"/>
  <c r="AE79" i="50"/>
  <c r="F79" i="50"/>
  <c r="AE78" i="50"/>
  <c r="F78" i="50"/>
  <c r="AE77" i="50"/>
  <c r="F77" i="50"/>
  <c r="AE76" i="50"/>
  <c r="F76" i="50"/>
  <c r="AE75" i="50"/>
  <c r="F75" i="50"/>
  <c r="AE74" i="50"/>
  <c r="F74" i="50"/>
  <c r="AE73" i="50"/>
  <c r="F73" i="50"/>
  <c r="AE72" i="50"/>
  <c r="F72" i="50"/>
  <c r="AE71" i="50"/>
  <c r="F71" i="50"/>
  <c r="AE70" i="50"/>
  <c r="F70" i="50"/>
  <c r="AE69" i="50"/>
  <c r="F69" i="50"/>
  <c r="AE68" i="50"/>
  <c r="F68" i="50"/>
  <c r="AE67" i="50"/>
  <c r="F67" i="50"/>
  <c r="AE66" i="50"/>
  <c r="F66" i="50"/>
  <c r="AD65" i="50"/>
  <c r="AC65" i="50"/>
  <c r="AB65" i="50"/>
  <c r="AA65" i="50"/>
  <c r="Z65" i="50"/>
  <c r="Y65" i="50"/>
  <c r="X65" i="50"/>
  <c r="W65" i="50"/>
  <c r="V65" i="50"/>
  <c r="U65" i="50"/>
  <c r="T65" i="50"/>
  <c r="S65" i="50"/>
  <c r="R65" i="50"/>
  <c r="Q65" i="50"/>
  <c r="P65" i="50"/>
  <c r="O65" i="50"/>
  <c r="N65" i="50"/>
  <c r="M65" i="50"/>
  <c r="L65" i="50"/>
  <c r="K65" i="50"/>
  <c r="J65" i="50"/>
  <c r="I65" i="50"/>
  <c r="H65" i="50"/>
  <c r="G65" i="50"/>
  <c r="AE65" i="50" s="1"/>
  <c r="AD63" i="50"/>
  <c r="AC63" i="50"/>
  <c r="AB63" i="50"/>
  <c r="AA63" i="50"/>
  <c r="Z63" i="50"/>
  <c r="Y63" i="50"/>
  <c r="X63" i="50"/>
  <c r="W63" i="50"/>
  <c r="V63" i="50"/>
  <c r="U63" i="50"/>
  <c r="T63" i="50"/>
  <c r="S63" i="50"/>
  <c r="R63" i="50"/>
  <c r="Q63" i="50"/>
  <c r="P63" i="50"/>
  <c r="O63" i="50"/>
  <c r="N63" i="50"/>
  <c r="M63" i="50"/>
  <c r="L63" i="50"/>
  <c r="K63" i="50"/>
  <c r="J63" i="50"/>
  <c r="I63" i="50"/>
  <c r="H63" i="50"/>
  <c r="G63" i="50"/>
  <c r="AE62" i="50"/>
  <c r="AE57" i="50"/>
  <c r="AE56" i="50"/>
  <c r="F56" i="50"/>
  <c r="AE55" i="50"/>
  <c r="F55" i="50"/>
  <c r="AE54" i="50"/>
  <c r="F54" i="50"/>
  <c r="AE53" i="50"/>
  <c r="F53" i="50"/>
  <c r="AE52" i="50"/>
  <c r="F52" i="50"/>
  <c r="AE51" i="50"/>
  <c r="F51" i="50"/>
  <c r="AE50" i="50"/>
  <c r="F50" i="50"/>
  <c r="AE49" i="50"/>
  <c r="F49" i="50"/>
  <c r="AE48" i="50"/>
  <c r="F48" i="50"/>
  <c r="AE47" i="50"/>
  <c r="F47" i="50"/>
  <c r="AE46" i="50"/>
  <c r="F46" i="50"/>
  <c r="AE45" i="50"/>
  <c r="F45" i="50"/>
  <c r="AE44" i="50"/>
  <c r="F44" i="50"/>
  <c r="AE43" i="50"/>
  <c r="F43" i="50"/>
  <c r="AE41" i="50"/>
  <c r="F41" i="50"/>
  <c r="AE38" i="50"/>
  <c r="F38" i="50"/>
  <c r="AE37" i="50"/>
  <c r="F37" i="50"/>
  <c r="AE36" i="50"/>
  <c r="F36" i="50"/>
  <c r="AE35" i="50"/>
  <c r="F35" i="50"/>
  <c r="AE34" i="50"/>
  <c r="F34" i="50"/>
  <c r="AE33" i="50"/>
  <c r="F33" i="50"/>
  <c r="AE32" i="50"/>
  <c r="F32" i="50"/>
  <c r="AE31" i="50"/>
  <c r="F31" i="50"/>
  <c r="AE30" i="50"/>
  <c r="F30" i="50"/>
  <c r="AE29" i="50"/>
  <c r="AE28" i="50"/>
  <c r="F28" i="50"/>
  <c r="AE27" i="50"/>
  <c r="F27" i="50"/>
  <c r="AE26" i="50"/>
  <c r="F26" i="50"/>
  <c r="AE25" i="50"/>
  <c r="F25" i="50"/>
  <c r="AE24" i="50"/>
  <c r="F24" i="50"/>
  <c r="AE23" i="50"/>
  <c r="F23" i="50"/>
  <c r="AE21" i="50"/>
  <c r="F21" i="50"/>
  <c r="AE19" i="50"/>
  <c r="F19" i="50"/>
  <c r="AE18" i="50"/>
  <c r="F18" i="50"/>
  <c r="AE17" i="50"/>
  <c r="F17" i="50"/>
  <c r="AE16" i="50"/>
  <c r="F16" i="50"/>
  <c r="AE15" i="50"/>
  <c r="F15" i="50"/>
  <c r="AE14" i="50"/>
  <c r="F14" i="50"/>
  <c r="AE13" i="50"/>
  <c r="F13" i="50"/>
  <c r="AE12" i="50"/>
  <c r="F12" i="50"/>
  <c r="AE11" i="50"/>
  <c r="F11" i="50"/>
  <c r="AE10" i="50"/>
  <c r="F10" i="50"/>
  <c r="AE9" i="50"/>
  <c r="F9" i="50"/>
  <c r="AE8" i="50"/>
  <c r="F8" i="50"/>
  <c r="AD7" i="50"/>
  <c r="AC7" i="50"/>
  <c r="AB7" i="50"/>
  <c r="AA7" i="50"/>
  <c r="AA6" i="50" s="1"/>
  <c r="Z7" i="50"/>
  <c r="Y7" i="50"/>
  <c r="X7" i="50"/>
  <c r="W7" i="50"/>
  <c r="W6" i="50" s="1"/>
  <c r="V7" i="50"/>
  <c r="U7" i="50"/>
  <c r="T7" i="50"/>
  <c r="S7" i="50"/>
  <c r="S6" i="50" s="1"/>
  <c r="R7" i="50"/>
  <c r="Q7" i="50"/>
  <c r="P7" i="50"/>
  <c r="O7" i="50"/>
  <c r="O6" i="50" s="1"/>
  <c r="N7" i="50"/>
  <c r="M7" i="50"/>
  <c r="L7" i="50"/>
  <c r="K7" i="50"/>
  <c r="K6" i="50" s="1"/>
  <c r="J7" i="50"/>
  <c r="I7" i="50"/>
  <c r="H7" i="50"/>
  <c r="G7" i="50"/>
  <c r="G6" i="50" s="1"/>
  <c r="AE6" i="50" s="1"/>
  <c r="AD6" i="50"/>
  <c r="AC6" i="50"/>
  <c r="AB6" i="50"/>
  <c r="Z6" i="50"/>
  <c r="Y6" i="50"/>
  <c r="X6" i="50"/>
  <c r="V6" i="50"/>
  <c r="U6" i="50"/>
  <c r="T6" i="50"/>
  <c r="R6" i="50"/>
  <c r="Q6" i="50"/>
  <c r="P6" i="50"/>
  <c r="N6" i="50"/>
  <c r="M6" i="50"/>
  <c r="L6" i="50"/>
  <c r="J6" i="50"/>
  <c r="I6" i="50"/>
  <c r="H6" i="50"/>
  <c r="AE4" i="50"/>
  <c r="AE82" i="49"/>
  <c r="F82" i="49"/>
  <c r="AE81" i="49"/>
  <c r="F81" i="49"/>
  <c r="AE80" i="49"/>
  <c r="F80" i="49"/>
  <c r="AE79" i="49"/>
  <c r="F79" i="49"/>
  <c r="AE78" i="49"/>
  <c r="F78" i="49"/>
  <c r="AE77" i="49"/>
  <c r="F77" i="49"/>
  <c r="AE76" i="49"/>
  <c r="F76" i="49"/>
  <c r="AE75" i="49"/>
  <c r="F75" i="49"/>
  <c r="AE74" i="49"/>
  <c r="F74" i="49"/>
  <c r="AE73" i="49"/>
  <c r="F73" i="49"/>
  <c r="AE72" i="49"/>
  <c r="F72" i="49"/>
  <c r="AE71" i="49"/>
  <c r="F71" i="49"/>
  <c r="AE70" i="49"/>
  <c r="F70" i="49"/>
  <c r="AE69" i="49"/>
  <c r="F69" i="49"/>
  <c r="AE68" i="49"/>
  <c r="F68" i="49"/>
  <c r="AE67" i="49"/>
  <c r="F67" i="49"/>
  <c r="AE66" i="49"/>
  <c r="F66" i="49"/>
  <c r="AD65" i="49"/>
  <c r="AC65" i="49"/>
  <c r="AB65" i="49"/>
  <c r="AA65" i="49"/>
  <c r="Z65" i="49"/>
  <c r="Y65" i="49"/>
  <c r="X65" i="49"/>
  <c r="W65" i="49"/>
  <c r="V65" i="49"/>
  <c r="U65" i="49"/>
  <c r="T65" i="49"/>
  <c r="S65" i="49"/>
  <c r="R65" i="49"/>
  <c r="Q65" i="49"/>
  <c r="P65" i="49"/>
  <c r="O65" i="49"/>
  <c r="N65" i="49"/>
  <c r="M65" i="49"/>
  <c r="L65" i="49"/>
  <c r="K65" i="49"/>
  <c r="J65" i="49"/>
  <c r="I65" i="49"/>
  <c r="H65" i="49"/>
  <c r="G65" i="49"/>
  <c r="AE65" i="49" s="1"/>
  <c r="AD63" i="49"/>
  <c r="AC63" i="49"/>
  <c r="AB63" i="49"/>
  <c r="AA63" i="49"/>
  <c r="Z63" i="49"/>
  <c r="Y63" i="49"/>
  <c r="X63" i="49"/>
  <c r="W63" i="49"/>
  <c r="V63" i="49"/>
  <c r="U63" i="49"/>
  <c r="T63" i="49"/>
  <c r="S63" i="49"/>
  <c r="R63" i="49"/>
  <c r="Q63" i="49"/>
  <c r="P63" i="49"/>
  <c r="O63" i="49"/>
  <c r="N63" i="49"/>
  <c r="M63" i="49"/>
  <c r="L63" i="49"/>
  <c r="K63" i="49"/>
  <c r="J63" i="49"/>
  <c r="I63" i="49"/>
  <c r="H63" i="49"/>
  <c r="G63" i="49"/>
  <c r="AE62" i="49"/>
  <c r="AE56" i="49"/>
  <c r="F56" i="49"/>
  <c r="AE55" i="49"/>
  <c r="F55" i="49"/>
  <c r="AE54" i="49"/>
  <c r="F54" i="49"/>
  <c r="AE53" i="49"/>
  <c r="F53" i="49"/>
  <c r="AE52" i="49"/>
  <c r="F52" i="49"/>
  <c r="AE51" i="49"/>
  <c r="F51" i="49"/>
  <c r="AE50" i="49"/>
  <c r="F50" i="49"/>
  <c r="AE49" i="49"/>
  <c r="F49" i="49"/>
  <c r="AE48" i="49"/>
  <c r="F48" i="49"/>
  <c r="AE47" i="49"/>
  <c r="F47" i="49"/>
  <c r="AE46" i="49"/>
  <c r="F46" i="49"/>
  <c r="AE45" i="49"/>
  <c r="F45" i="49"/>
  <c r="AE44" i="49"/>
  <c r="F44" i="49"/>
  <c r="AE43" i="49"/>
  <c r="F43" i="49"/>
  <c r="AE41" i="49"/>
  <c r="F41" i="49"/>
  <c r="AE38" i="49"/>
  <c r="F38" i="49"/>
  <c r="AE37" i="49"/>
  <c r="F37" i="49"/>
  <c r="AE36" i="49"/>
  <c r="F36" i="49"/>
  <c r="AE35" i="49"/>
  <c r="F35" i="49"/>
  <c r="AE34" i="49"/>
  <c r="F34" i="49"/>
  <c r="AE33" i="49"/>
  <c r="F33" i="49"/>
  <c r="AE32" i="49"/>
  <c r="F32" i="49"/>
  <c r="AE31" i="49"/>
  <c r="F31" i="49"/>
  <c r="AE30" i="49"/>
  <c r="F30" i="49"/>
  <c r="AE28" i="49"/>
  <c r="F28" i="49"/>
  <c r="AE27" i="49"/>
  <c r="F27" i="49"/>
  <c r="AE26" i="49"/>
  <c r="F26" i="49"/>
  <c r="AE25" i="49"/>
  <c r="F25" i="49"/>
  <c r="AE24" i="49"/>
  <c r="F24" i="49"/>
  <c r="AE23" i="49"/>
  <c r="F23" i="49"/>
  <c r="AE22" i="49"/>
  <c r="F22" i="49"/>
  <c r="AE21" i="49"/>
  <c r="F21" i="49"/>
  <c r="AE19" i="49"/>
  <c r="F19" i="49"/>
  <c r="AE18" i="49"/>
  <c r="F18" i="49"/>
  <c r="AE17" i="49"/>
  <c r="F17" i="49"/>
  <c r="AE16" i="49"/>
  <c r="F16" i="49"/>
  <c r="AE15" i="49"/>
  <c r="F15" i="49"/>
  <c r="AE14" i="49"/>
  <c r="F14" i="49"/>
  <c r="AE13" i="49"/>
  <c r="F13" i="49"/>
  <c r="AE12" i="49"/>
  <c r="F12" i="49"/>
  <c r="AE11" i="49"/>
  <c r="F11" i="49"/>
  <c r="AE10" i="49"/>
  <c r="F10" i="49"/>
  <c r="AE9" i="49"/>
  <c r="F9" i="49"/>
  <c r="AE8" i="49"/>
  <c r="F8" i="49"/>
  <c r="AD7" i="49"/>
  <c r="AD6" i="49" s="1"/>
  <c r="AC7" i="49"/>
  <c r="AB7" i="49"/>
  <c r="AA7" i="49"/>
  <c r="Z7" i="49"/>
  <c r="Z6" i="49" s="1"/>
  <c r="Y7" i="49"/>
  <c r="X7" i="49"/>
  <c r="W7" i="49"/>
  <c r="V7" i="49"/>
  <c r="V6" i="49" s="1"/>
  <c r="U7" i="49"/>
  <c r="T7" i="49"/>
  <c r="S7" i="49"/>
  <c r="R7" i="49"/>
  <c r="R6" i="49" s="1"/>
  <c r="Q7" i="49"/>
  <c r="P7" i="49"/>
  <c r="O7" i="49"/>
  <c r="N7" i="49"/>
  <c r="N6" i="49" s="1"/>
  <c r="M7" i="49"/>
  <c r="L7" i="49"/>
  <c r="K7" i="49"/>
  <c r="J7" i="49"/>
  <c r="J6" i="49" s="1"/>
  <c r="I7" i="49"/>
  <c r="H7" i="49"/>
  <c r="G7" i="49"/>
  <c r="AE7" i="49" s="1"/>
  <c r="AC6" i="49"/>
  <c r="AB6" i="49"/>
  <c r="AA6" i="49"/>
  <c r="Y6" i="49"/>
  <c r="X6" i="49"/>
  <c r="W6" i="49"/>
  <c r="U6" i="49"/>
  <c r="T6" i="49"/>
  <c r="S6" i="49"/>
  <c r="Q6" i="49"/>
  <c r="P6" i="49"/>
  <c r="O6" i="49"/>
  <c r="M6" i="49"/>
  <c r="L6" i="49"/>
  <c r="K6" i="49"/>
  <c r="I6" i="49"/>
  <c r="H6" i="49"/>
  <c r="G6" i="49"/>
  <c r="AE6" i="49" s="1"/>
  <c r="AE4" i="49"/>
  <c r="AE82" i="48"/>
  <c r="F82" i="48"/>
  <c r="AE81" i="48"/>
  <c r="F81" i="48"/>
  <c r="AE80" i="48"/>
  <c r="F80" i="48"/>
  <c r="AE79" i="48"/>
  <c r="F79" i="48"/>
  <c r="AE78" i="48"/>
  <c r="F78" i="48"/>
  <c r="AE77" i="48"/>
  <c r="F77" i="48"/>
  <c r="AE76" i="48"/>
  <c r="F76" i="48"/>
  <c r="AE75" i="48"/>
  <c r="F75" i="48"/>
  <c r="AE74" i="48"/>
  <c r="F74" i="48"/>
  <c r="AE73" i="48"/>
  <c r="F73" i="48"/>
  <c r="AE72" i="48"/>
  <c r="F72" i="48"/>
  <c r="AE71" i="48"/>
  <c r="F71" i="48"/>
  <c r="AE70" i="48"/>
  <c r="F70" i="48"/>
  <c r="AE69" i="48"/>
  <c r="F69" i="48"/>
  <c r="AE68" i="48"/>
  <c r="F68" i="48"/>
  <c r="AE67" i="48"/>
  <c r="F67" i="48"/>
  <c r="AE66" i="48"/>
  <c r="F66" i="48"/>
  <c r="AD65" i="48"/>
  <c r="AC65" i="48"/>
  <c r="AB65" i="48"/>
  <c r="AA65" i="48"/>
  <c r="Z65" i="48"/>
  <c r="Y65" i="48"/>
  <c r="X65" i="48"/>
  <c r="W65" i="48"/>
  <c r="V65" i="48"/>
  <c r="U65" i="48"/>
  <c r="T65" i="48"/>
  <c r="S65" i="48"/>
  <c r="R65" i="48"/>
  <c r="Q65" i="48"/>
  <c r="P65" i="48"/>
  <c r="O65" i="48"/>
  <c r="N65" i="48"/>
  <c r="M65" i="48"/>
  <c r="L65" i="48"/>
  <c r="K65" i="48"/>
  <c r="J65" i="48"/>
  <c r="I65" i="48"/>
  <c r="H65" i="48"/>
  <c r="G65" i="48"/>
  <c r="AE65" i="48" s="1"/>
  <c r="AD63" i="48"/>
  <c r="AC63" i="48"/>
  <c r="AB63" i="48"/>
  <c r="AA63" i="48"/>
  <c r="Z63" i="48"/>
  <c r="Y63" i="48"/>
  <c r="X63" i="48"/>
  <c r="W63" i="48"/>
  <c r="V63" i="48"/>
  <c r="U63" i="48"/>
  <c r="T63" i="48"/>
  <c r="S63" i="48"/>
  <c r="R63" i="48"/>
  <c r="Q63" i="48"/>
  <c r="P63" i="48"/>
  <c r="O63" i="48"/>
  <c r="N63" i="48"/>
  <c r="M63" i="48"/>
  <c r="L63" i="48"/>
  <c r="K63" i="48"/>
  <c r="J63" i="48"/>
  <c r="I63" i="48"/>
  <c r="H63" i="48"/>
  <c r="G63" i="48"/>
  <c r="AE62" i="48"/>
  <c r="AE56" i="48"/>
  <c r="F56" i="48"/>
  <c r="AE55" i="48"/>
  <c r="F55" i="48"/>
  <c r="AE54" i="48"/>
  <c r="F54" i="48"/>
  <c r="AE53" i="48"/>
  <c r="F53" i="48"/>
  <c r="AE52" i="48"/>
  <c r="F52" i="48"/>
  <c r="AE51" i="48"/>
  <c r="F51" i="48"/>
  <c r="AE50" i="48"/>
  <c r="F50" i="48"/>
  <c r="AE49" i="48"/>
  <c r="F49" i="48"/>
  <c r="AE48" i="48"/>
  <c r="F48" i="48"/>
  <c r="AE47" i="48"/>
  <c r="F47" i="48"/>
  <c r="AE46" i="48"/>
  <c r="F46" i="48"/>
  <c r="AE45" i="48"/>
  <c r="F45" i="48"/>
  <c r="AE44" i="48"/>
  <c r="F44" i="48"/>
  <c r="AE43" i="48"/>
  <c r="F43" i="48"/>
  <c r="AE41" i="48"/>
  <c r="F41" i="48"/>
  <c r="AE38" i="48"/>
  <c r="F38" i="48"/>
  <c r="AE37" i="48"/>
  <c r="F37" i="48"/>
  <c r="AE36" i="48"/>
  <c r="F36" i="48"/>
  <c r="AE35" i="48"/>
  <c r="F35" i="48"/>
  <c r="AE34" i="48"/>
  <c r="F34" i="48"/>
  <c r="AE33" i="48"/>
  <c r="F33" i="48"/>
  <c r="AE32" i="48"/>
  <c r="F32" i="48"/>
  <c r="AE31" i="48"/>
  <c r="F31" i="48"/>
  <c r="AE30" i="48"/>
  <c r="F30" i="48"/>
  <c r="AE29" i="48"/>
  <c r="F29" i="48"/>
  <c r="AE28" i="48"/>
  <c r="F28" i="48"/>
  <c r="AE27" i="48"/>
  <c r="F27" i="48"/>
  <c r="AE26" i="48"/>
  <c r="F26" i="48"/>
  <c r="AE25" i="48"/>
  <c r="F25" i="48"/>
  <c r="AE24" i="48"/>
  <c r="F24" i="48"/>
  <c r="AE23" i="48"/>
  <c r="F23" i="48"/>
  <c r="AE22" i="48"/>
  <c r="F22" i="48"/>
  <c r="AE21" i="48"/>
  <c r="F21" i="48"/>
  <c r="AE19" i="48"/>
  <c r="F19" i="48"/>
  <c r="AE18" i="48"/>
  <c r="F18" i="48"/>
  <c r="AE17" i="48"/>
  <c r="F17" i="48"/>
  <c r="AE16" i="48"/>
  <c r="F16" i="48"/>
  <c r="AE15" i="48"/>
  <c r="F15" i="48"/>
  <c r="AE14" i="48"/>
  <c r="F14" i="48"/>
  <c r="AE13" i="48"/>
  <c r="F13" i="48"/>
  <c r="AE12" i="48"/>
  <c r="F12" i="48"/>
  <c r="AE11" i="48"/>
  <c r="F11" i="48"/>
  <c r="AE10" i="48"/>
  <c r="F10" i="48"/>
  <c r="AE9" i="48"/>
  <c r="F9" i="48"/>
  <c r="AE8" i="48"/>
  <c r="F8" i="48"/>
  <c r="AD7" i="48"/>
  <c r="AC7" i="48"/>
  <c r="AB7" i="48"/>
  <c r="AA7" i="48"/>
  <c r="AA6" i="48" s="1"/>
  <c r="Z7" i="48"/>
  <c r="Y7" i="48"/>
  <c r="X7" i="48"/>
  <c r="W7" i="48"/>
  <c r="W6" i="48" s="1"/>
  <c r="V7" i="48"/>
  <c r="U7" i="48"/>
  <c r="T7" i="48"/>
  <c r="S7" i="48"/>
  <c r="S6" i="48" s="1"/>
  <c r="R7" i="48"/>
  <c r="Q7" i="48"/>
  <c r="P7" i="48"/>
  <c r="O7" i="48"/>
  <c r="O6" i="48" s="1"/>
  <c r="N7" i="48"/>
  <c r="M7" i="48"/>
  <c r="L7" i="48"/>
  <c r="K7" i="48"/>
  <c r="K6" i="48" s="1"/>
  <c r="J7" i="48"/>
  <c r="I7" i="48"/>
  <c r="H7" i="48"/>
  <c r="G7" i="48"/>
  <c r="AE7" i="48" s="1"/>
  <c r="AD6" i="48"/>
  <c r="AC6" i="48"/>
  <c r="AB6" i="48"/>
  <c r="Z6" i="48"/>
  <c r="Y6" i="48"/>
  <c r="X6" i="48"/>
  <c r="V6" i="48"/>
  <c r="U6" i="48"/>
  <c r="T6" i="48"/>
  <c r="R6" i="48"/>
  <c r="Q6" i="48"/>
  <c r="P6" i="48"/>
  <c r="N6" i="48"/>
  <c r="M6" i="48"/>
  <c r="L6" i="48"/>
  <c r="J6" i="48"/>
  <c r="I6" i="48"/>
  <c r="H6" i="48"/>
  <c r="AE4" i="48"/>
  <c r="AE82" i="47"/>
  <c r="F82" i="47"/>
  <c r="AE81" i="47"/>
  <c r="F81" i="47"/>
  <c r="AE80" i="47"/>
  <c r="F80" i="47"/>
  <c r="AE79" i="47"/>
  <c r="F79" i="47"/>
  <c r="AE78" i="47"/>
  <c r="F78" i="47"/>
  <c r="AE77" i="47"/>
  <c r="F77" i="47"/>
  <c r="AE76" i="47"/>
  <c r="F76" i="47"/>
  <c r="AE75" i="47"/>
  <c r="F75" i="47"/>
  <c r="AE74" i="47"/>
  <c r="F74" i="47"/>
  <c r="AE73" i="47"/>
  <c r="F73" i="47"/>
  <c r="AE72" i="47"/>
  <c r="F72" i="47"/>
  <c r="AE71" i="47"/>
  <c r="F71" i="47"/>
  <c r="AE70" i="47"/>
  <c r="F70" i="47"/>
  <c r="AE69" i="47"/>
  <c r="F69" i="47"/>
  <c r="AE68" i="47"/>
  <c r="F68" i="47"/>
  <c r="AE67" i="47"/>
  <c r="F67" i="47"/>
  <c r="AE66" i="47"/>
  <c r="F66" i="47"/>
  <c r="AD65" i="47"/>
  <c r="AC65" i="47"/>
  <c r="AB65" i="47"/>
  <c r="AA65" i="47"/>
  <c r="Z65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AE65" i="47" s="1"/>
  <c r="AD63" i="47"/>
  <c r="AC63" i="47"/>
  <c r="AB63" i="47"/>
  <c r="AA63" i="47"/>
  <c r="Z63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AE62" i="47"/>
  <c r="AE56" i="47"/>
  <c r="F56" i="47"/>
  <c r="AE55" i="47"/>
  <c r="F55" i="47"/>
  <c r="AE54" i="47"/>
  <c r="F54" i="47"/>
  <c r="AE53" i="47"/>
  <c r="F53" i="47"/>
  <c r="AE52" i="47"/>
  <c r="F52" i="47"/>
  <c r="AE51" i="47"/>
  <c r="F51" i="47"/>
  <c r="AE50" i="47"/>
  <c r="F50" i="47"/>
  <c r="AE49" i="47"/>
  <c r="F49" i="47"/>
  <c r="AE48" i="47"/>
  <c r="F48" i="47"/>
  <c r="AE47" i="47"/>
  <c r="F47" i="47"/>
  <c r="AE46" i="47"/>
  <c r="F46" i="47"/>
  <c r="AE45" i="47"/>
  <c r="F45" i="47"/>
  <c r="AE44" i="47"/>
  <c r="F44" i="47"/>
  <c r="AE43" i="47"/>
  <c r="F43" i="47"/>
  <c r="AE42" i="47"/>
  <c r="F42" i="47"/>
  <c r="AE41" i="47"/>
  <c r="F41" i="47"/>
  <c r="F40" i="47"/>
  <c r="F39" i="47"/>
  <c r="AE38" i="47"/>
  <c r="F38" i="47"/>
  <c r="AE37" i="47"/>
  <c r="F37" i="47"/>
  <c r="AE36" i="47"/>
  <c r="F36" i="47"/>
  <c r="AE35" i="47"/>
  <c r="F35" i="47"/>
  <c r="AE34" i="47"/>
  <c r="F34" i="47"/>
  <c r="AE33" i="47"/>
  <c r="F33" i="47"/>
  <c r="AE32" i="47"/>
  <c r="F32" i="47"/>
  <c r="AE31" i="47"/>
  <c r="F31" i="47"/>
  <c r="AE30" i="47"/>
  <c r="F30" i="47"/>
  <c r="AE29" i="47"/>
  <c r="F29" i="47"/>
  <c r="AE28" i="47"/>
  <c r="F28" i="47"/>
  <c r="AE27" i="47"/>
  <c r="F27" i="47"/>
  <c r="AE26" i="47"/>
  <c r="F26" i="47"/>
  <c r="AE25" i="47"/>
  <c r="F25" i="47"/>
  <c r="AE24" i="47"/>
  <c r="F24" i="47"/>
  <c r="AE23" i="47"/>
  <c r="F23" i="47"/>
  <c r="AE22" i="47"/>
  <c r="F22" i="47"/>
  <c r="AE21" i="47"/>
  <c r="F21" i="47"/>
  <c r="AE19" i="47"/>
  <c r="F19" i="47"/>
  <c r="AE18" i="47"/>
  <c r="F18" i="47"/>
  <c r="AE17" i="47"/>
  <c r="F17" i="47"/>
  <c r="AE16" i="47"/>
  <c r="F16" i="47"/>
  <c r="AE15" i="47"/>
  <c r="F15" i="47"/>
  <c r="AE14" i="47"/>
  <c r="F14" i="47"/>
  <c r="AE13" i="47"/>
  <c r="F13" i="47"/>
  <c r="AE12" i="47"/>
  <c r="F12" i="47"/>
  <c r="AE11" i="47"/>
  <c r="F11" i="47"/>
  <c r="AE10" i="47"/>
  <c r="F10" i="47"/>
  <c r="AE9" i="47"/>
  <c r="F9" i="47"/>
  <c r="AE8" i="47"/>
  <c r="F8" i="47"/>
  <c r="AD7" i="47"/>
  <c r="AC7" i="47"/>
  <c r="AB7" i="47"/>
  <c r="AB6" i="47" s="1"/>
  <c r="AA7" i="47"/>
  <c r="Z7" i="47"/>
  <c r="Y7" i="47"/>
  <c r="X7" i="47"/>
  <c r="X6" i="47" s="1"/>
  <c r="W7" i="47"/>
  <c r="V7" i="47"/>
  <c r="U7" i="47"/>
  <c r="T7" i="47"/>
  <c r="T6" i="47" s="1"/>
  <c r="S7" i="47"/>
  <c r="R7" i="47"/>
  <c r="Q7" i="47"/>
  <c r="P7" i="47"/>
  <c r="P6" i="47" s="1"/>
  <c r="O7" i="47"/>
  <c r="N7" i="47"/>
  <c r="M7" i="47"/>
  <c r="L7" i="47"/>
  <c r="L6" i="47" s="1"/>
  <c r="K7" i="47"/>
  <c r="J7" i="47"/>
  <c r="I7" i="47"/>
  <c r="H7" i="47"/>
  <c r="H6" i="47" s="1"/>
  <c r="G7" i="47"/>
  <c r="AE7" i="47" s="1"/>
  <c r="AD6" i="47"/>
  <c r="AC6" i="47"/>
  <c r="AA6" i="47"/>
  <c r="Z6" i="47"/>
  <c r="Y6" i="47"/>
  <c r="W6" i="47"/>
  <c r="V6" i="47"/>
  <c r="U6" i="47"/>
  <c r="S6" i="47"/>
  <c r="R6" i="47"/>
  <c r="Q6" i="47"/>
  <c r="O6" i="47"/>
  <c r="N6" i="47"/>
  <c r="M6" i="47"/>
  <c r="K6" i="47"/>
  <c r="J6" i="47"/>
  <c r="I6" i="47"/>
  <c r="G6" i="47"/>
  <c r="AE4" i="47"/>
  <c r="AE82" i="46"/>
  <c r="F82" i="46"/>
  <c r="AE81" i="46"/>
  <c r="F81" i="46"/>
  <c r="AE79" i="46"/>
  <c r="F79" i="46"/>
  <c r="AE78" i="46"/>
  <c r="F78" i="46"/>
  <c r="AE77" i="46"/>
  <c r="F77" i="46"/>
  <c r="AE76" i="46"/>
  <c r="F76" i="46"/>
  <c r="AE75" i="46"/>
  <c r="F75" i="46"/>
  <c r="AE74" i="46"/>
  <c r="F74" i="46"/>
  <c r="AE73" i="46"/>
  <c r="F73" i="46"/>
  <c r="AE72" i="46"/>
  <c r="F72" i="46"/>
  <c r="AE71" i="46"/>
  <c r="F71" i="46"/>
  <c r="AE70" i="46"/>
  <c r="F70" i="46"/>
  <c r="AE69" i="46"/>
  <c r="F69" i="46"/>
  <c r="AE68" i="46"/>
  <c r="F68" i="46"/>
  <c r="AE67" i="46"/>
  <c r="F67" i="46"/>
  <c r="AE66" i="46"/>
  <c r="F66" i="46"/>
  <c r="AD65" i="46"/>
  <c r="AC65" i="46"/>
  <c r="AB65" i="46"/>
  <c r="AA65" i="46"/>
  <c r="Z65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AE65" i="46" s="1"/>
  <c r="AD63" i="46"/>
  <c r="AC63" i="46"/>
  <c r="AB63" i="46"/>
  <c r="AA63" i="46"/>
  <c r="Z63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AE62" i="46"/>
  <c r="AE56" i="46"/>
  <c r="F56" i="46"/>
  <c r="AE55" i="46"/>
  <c r="F55" i="46"/>
  <c r="AE54" i="46"/>
  <c r="F54" i="46"/>
  <c r="AE53" i="46"/>
  <c r="F53" i="46"/>
  <c r="AE52" i="46"/>
  <c r="F52" i="46"/>
  <c r="AE51" i="46"/>
  <c r="F51" i="46"/>
  <c r="AE50" i="46"/>
  <c r="F50" i="46"/>
  <c r="AE49" i="46"/>
  <c r="F49" i="46"/>
  <c r="AE48" i="46"/>
  <c r="F48" i="46"/>
  <c r="AE47" i="46"/>
  <c r="F47" i="46"/>
  <c r="AE46" i="46"/>
  <c r="F46" i="46"/>
  <c r="AE45" i="46"/>
  <c r="F45" i="46"/>
  <c r="AE44" i="46"/>
  <c r="F44" i="46"/>
  <c r="AE43" i="46"/>
  <c r="F43" i="46"/>
  <c r="F42" i="46"/>
  <c r="AE41" i="46"/>
  <c r="F41" i="46"/>
  <c r="AE37" i="46"/>
  <c r="F37" i="46"/>
  <c r="AE36" i="46"/>
  <c r="F36" i="46"/>
  <c r="AE35" i="46"/>
  <c r="F35" i="46"/>
  <c r="AE34" i="46"/>
  <c r="F34" i="46"/>
  <c r="AE33" i="46"/>
  <c r="F33" i="46"/>
  <c r="AE32" i="46"/>
  <c r="F32" i="46"/>
  <c r="AE31" i="46"/>
  <c r="F31" i="46"/>
  <c r="AE30" i="46"/>
  <c r="F30" i="46"/>
  <c r="AE29" i="46"/>
  <c r="F29" i="46"/>
  <c r="AE28" i="46"/>
  <c r="F28" i="46"/>
  <c r="AE27" i="46"/>
  <c r="F27" i="46"/>
  <c r="AE26" i="46"/>
  <c r="F26" i="46"/>
  <c r="AE25" i="46"/>
  <c r="F25" i="46"/>
  <c r="AE24" i="46"/>
  <c r="F24" i="46"/>
  <c r="AE23" i="46"/>
  <c r="F23" i="46"/>
  <c r="AE22" i="46"/>
  <c r="F22" i="46"/>
  <c r="AE21" i="46"/>
  <c r="F21" i="46"/>
  <c r="AE19" i="46"/>
  <c r="F19" i="46"/>
  <c r="AE18" i="46"/>
  <c r="F18" i="46"/>
  <c r="AE17" i="46"/>
  <c r="F17" i="46"/>
  <c r="AE16" i="46"/>
  <c r="F16" i="46"/>
  <c r="AE15" i="46"/>
  <c r="F15" i="46"/>
  <c r="AE14" i="46"/>
  <c r="F14" i="46"/>
  <c r="AE13" i="46"/>
  <c r="F13" i="46"/>
  <c r="AE12" i="46"/>
  <c r="F12" i="46"/>
  <c r="AE11" i="46"/>
  <c r="F11" i="46"/>
  <c r="AE10" i="46"/>
  <c r="F10" i="46"/>
  <c r="AE9" i="46"/>
  <c r="F9" i="46"/>
  <c r="AE8" i="46"/>
  <c r="F8" i="46"/>
  <c r="AD7" i="46"/>
  <c r="AD6" i="46" s="1"/>
  <c r="AC7" i="46"/>
  <c r="AB7" i="46"/>
  <c r="AA7" i="46"/>
  <c r="Z7" i="46"/>
  <c r="Z6" i="46" s="1"/>
  <c r="Y7" i="46"/>
  <c r="X7" i="46"/>
  <c r="W7" i="46"/>
  <c r="V7" i="46"/>
  <c r="V6" i="46" s="1"/>
  <c r="U7" i="46"/>
  <c r="T7" i="46"/>
  <c r="S7" i="46"/>
  <c r="R7" i="46"/>
  <c r="R6" i="46" s="1"/>
  <c r="Q7" i="46"/>
  <c r="P7" i="46"/>
  <c r="O7" i="46"/>
  <c r="N7" i="46"/>
  <c r="N6" i="46" s="1"/>
  <c r="M7" i="46"/>
  <c r="L7" i="46"/>
  <c r="K7" i="46"/>
  <c r="J7" i="46"/>
  <c r="J6" i="46" s="1"/>
  <c r="I7" i="46"/>
  <c r="H7" i="46"/>
  <c r="G7" i="46"/>
  <c r="AE7" i="46" s="1"/>
  <c r="AC6" i="46"/>
  <c r="AB6" i="46"/>
  <c r="AA6" i="46"/>
  <c r="Y6" i="46"/>
  <c r="X6" i="46"/>
  <c r="W6" i="46"/>
  <c r="U6" i="46"/>
  <c r="T6" i="46"/>
  <c r="S6" i="46"/>
  <c r="Q6" i="46"/>
  <c r="P6" i="46"/>
  <c r="O6" i="46"/>
  <c r="M6" i="46"/>
  <c r="L6" i="46"/>
  <c r="K6" i="46"/>
  <c r="I6" i="46"/>
  <c r="H6" i="46"/>
  <c r="G6" i="46"/>
  <c r="AE6" i="46" s="1"/>
  <c r="AE4" i="46"/>
  <c r="AE82" i="45"/>
  <c r="F82" i="45"/>
  <c r="AE81" i="45"/>
  <c r="F81" i="45"/>
  <c r="AE80" i="45"/>
  <c r="F80" i="45"/>
  <c r="AE79" i="45"/>
  <c r="F79" i="45"/>
  <c r="AE78" i="45"/>
  <c r="F78" i="45"/>
  <c r="AE77" i="45"/>
  <c r="F77" i="45"/>
  <c r="AE76" i="45"/>
  <c r="F76" i="45"/>
  <c r="AE75" i="45"/>
  <c r="F75" i="45"/>
  <c r="AE74" i="45"/>
  <c r="F74" i="45"/>
  <c r="AE73" i="45"/>
  <c r="F73" i="45"/>
  <c r="AE72" i="45"/>
  <c r="F72" i="45"/>
  <c r="AE71" i="45"/>
  <c r="F71" i="45"/>
  <c r="AE70" i="45"/>
  <c r="F70" i="45"/>
  <c r="AE69" i="45"/>
  <c r="F69" i="45"/>
  <c r="AE68" i="45"/>
  <c r="F68" i="45"/>
  <c r="AE67" i="45"/>
  <c r="F67" i="45"/>
  <c r="AE66" i="45"/>
  <c r="F66" i="45"/>
  <c r="AD65" i="45"/>
  <c r="AC65" i="45"/>
  <c r="AB65" i="45"/>
  <c r="AA65" i="45"/>
  <c r="Z65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AE65" i="45" s="1"/>
  <c r="AD63" i="45"/>
  <c r="AC63" i="45"/>
  <c r="AB63" i="45"/>
  <c r="AA63" i="45"/>
  <c r="Z63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AE62" i="45"/>
  <c r="AE56" i="45"/>
  <c r="F56" i="45"/>
  <c r="AE55" i="45"/>
  <c r="F55" i="45"/>
  <c r="AE54" i="45"/>
  <c r="F54" i="45"/>
  <c r="AE53" i="45"/>
  <c r="F53" i="45"/>
  <c r="AE52" i="45"/>
  <c r="F52" i="45"/>
  <c r="AE51" i="45"/>
  <c r="F51" i="45"/>
  <c r="AE50" i="45"/>
  <c r="F50" i="45"/>
  <c r="AE49" i="45"/>
  <c r="F49" i="45"/>
  <c r="AE48" i="45"/>
  <c r="F48" i="45"/>
  <c r="AE47" i="45"/>
  <c r="F47" i="45"/>
  <c r="AE46" i="45"/>
  <c r="F46" i="45"/>
  <c r="AE45" i="45"/>
  <c r="F45" i="45"/>
  <c r="AE44" i="45"/>
  <c r="F44" i="45"/>
  <c r="AE43" i="45"/>
  <c r="F43" i="45"/>
  <c r="AE42" i="45"/>
  <c r="F42" i="45"/>
  <c r="AE41" i="45"/>
  <c r="F41" i="45"/>
  <c r="AE40" i="45"/>
  <c r="F40" i="45"/>
  <c r="AE39" i="45"/>
  <c r="F39" i="45"/>
  <c r="AE38" i="45"/>
  <c r="F38" i="45"/>
  <c r="AE37" i="45"/>
  <c r="F37" i="45"/>
  <c r="AE36" i="45"/>
  <c r="F36" i="45"/>
  <c r="AE35" i="45"/>
  <c r="F35" i="45"/>
  <c r="AE34" i="45"/>
  <c r="F34" i="45"/>
  <c r="AE33" i="45"/>
  <c r="F33" i="45"/>
  <c r="AE32" i="45"/>
  <c r="F32" i="45"/>
  <c r="AE31" i="45"/>
  <c r="F31" i="45"/>
  <c r="AE30" i="45"/>
  <c r="F30" i="45"/>
  <c r="AE29" i="45"/>
  <c r="F29" i="45"/>
  <c r="AE28" i="45"/>
  <c r="F28" i="45"/>
  <c r="AE27" i="45"/>
  <c r="F27" i="45"/>
  <c r="AE26" i="45"/>
  <c r="F26" i="45"/>
  <c r="AE25" i="45"/>
  <c r="F25" i="45"/>
  <c r="AE24" i="45"/>
  <c r="F24" i="45"/>
  <c r="AE23" i="45"/>
  <c r="F23" i="45"/>
  <c r="AE22" i="45"/>
  <c r="F22" i="45"/>
  <c r="AE21" i="45"/>
  <c r="F21" i="45"/>
  <c r="AE19" i="45"/>
  <c r="F19" i="45"/>
  <c r="AE18" i="45"/>
  <c r="F18" i="45"/>
  <c r="AE17" i="45"/>
  <c r="F17" i="45"/>
  <c r="AE16" i="45"/>
  <c r="F16" i="45"/>
  <c r="AE15" i="45"/>
  <c r="F15" i="45"/>
  <c r="AE14" i="45"/>
  <c r="F14" i="45"/>
  <c r="AE13" i="45"/>
  <c r="F13" i="45"/>
  <c r="AE12" i="45"/>
  <c r="F12" i="45"/>
  <c r="AE11" i="45"/>
  <c r="F11" i="45"/>
  <c r="AE10" i="45"/>
  <c r="F10" i="45"/>
  <c r="AE9" i="45"/>
  <c r="F9" i="45"/>
  <c r="AE8" i="45"/>
  <c r="F8" i="45"/>
  <c r="AD7" i="45"/>
  <c r="AC7" i="45"/>
  <c r="AC6" i="45" s="1"/>
  <c r="AB7" i="45"/>
  <c r="AA7" i="45"/>
  <c r="Z7" i="45"/>
  <c r="Y7" i="45"/>
  <c r="Y6" i="45" s="1"/>
  <c r="X7" i="45"/>
  <c r="W7" i="45"/>
  <c r="V7" i="45"/>
  <c r="U7" i="45"/>
  <c r="U6" i="45" s="1"/>
  <c r="T7" i="45"/>
  <c r="S7" i="45"/>
  <c r="R7" i="45"/>
  <c r="Q7" i="45"/>
  <c r="Q6" i="45" s="1"/>
  <c r="P7" i="45"/>
  <c r="O7" i="45"/>
  <c r="N7" i="45"/>
  <c r="M7" i="45"/>
  <c r="M6" i="45" s="1"/>
  <c r="L7" i="45"/>
  <c r="K7" i="45"/>
  <c r="J7" i="45"/>
  <c r="I7" i="45"/>
  <c r="I6" i="45" s="1"/>
  <c r="H7" i="45"/>
  <c r="G7" i="45"/>
  <c r="AE7" i="45" s="1"/>
  <c r="AD6" i="45"/>
  <c r="AB6" i="45"/>
  <c r="AA6" i="45"/>
  <c r="Z6" i="45"/>
  <c r="X6" i="45"/>
  <c r="W6" i="45"/>
  <c r="V6" i="45"/>
  <c r="T6" i="45"/>
  <c r="S6" i="45"/>
  <c r="R6" i="45"/>
  <c r="P6" i="45"/>
  <c r="O6" i="45"/>
  <c r="N6" i="45"/>
  <c r="L6" i="45"/>
  <c r="K6" i="45"/>
  <c r="J6" i="45"/>
  <c r="H6" i="45"/>
  <c r="G6" i="45"/>
  <c r="AE6" i="45" s="1"/>
  <c r="AE4" i="45"/>
  <c r="F83" i="44"/>
  <c r="AE82" i="44"/>
  <c r="F82" i="44"/>
  <c r="AE81" i="44"/>
  <c r="F81" i="44"/>
  <c r="F80" i="44"/>
  <c r="AE79" i="44"/>
  <c r="F79" i="44"/>
  <c r="F78" i="44"/>
  <c r="AE77" i="44"/>
  <c r="F77" i="44"/>
  <c r="F76" i="44"/>
  <c r="AE75" i="44"/>
  <c r="F75" i="44"/>
  <c r="AE74" i="44"/>
  <c r="F74" i="44"/>
  <c r="AE73" i="44"/>
  <c r="F73" i="44"/>
  <c r="F72" i="44"/>
  <c r="F71" i="44"/>
  <c r="AE70" i="44"/>
  <c r="F70" i="44"/>
  <c r="F69" i="44"/>
  <c r="F68" i="44"/>
  <c r="F67" i="44"/>
  <c r="AD66" i="44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L66" i="44"/>
  <c r="K66" i="44"/>
  <c r="J66" i="44"/>
  <c r="I66" i="44"/>
  <c r="H66" i="44"/>
  <c r="G66" i="44"/>
  <c r="AE66" i="44" s="1"/>
  <c r="AD64" i="44"/>
  <c r="AC64" i="44"/>
  <c r="AB64" i="44"/>
  <c r="AA64" i="44"/>
  <c r="Z64" i="44"/>
  <c r="Y64" i="44"/>
  <c r="X64" i="44"/>
  <c r="W64" i="44"/>
  <c r="V64" i="44"/>
  <c r="U64" i="44"/>
  <c r="T64" i="44"/>
  <c r="S64" i="44"/>
  <c r="R64" i="44"/>
  <c r="Q64" i="44"/>
  <c r="P64" i="44"/>
  <c r="O64" i="44"/>
  <c r="N64" i="44"/>
  <c r="M64" i="44"/>
  <c r="L64" i="44"/>
  <c r="K64" i="44"/>
  <c r="J64" i="44"/>
  <c r="I64" i="44"/>
  <c r="H64" i="44"/>
  <c r="G64" i="44"/>
  <c r="AE63" i="44"/>
  <c r="AE60" i="44"/>
  <c r="AE59" i="44"/>
  <c r="AE57" i="44"/>
  <c r="F57" i="44"/>
  <c r="AE56" i="44"/>
  <c r="F56" i="44"/>
  <c r="AE55" i="44"/>
  <c r="F55" i="44"/>
  <c r="AE54" i="44"/>
  <c r="F54" i="44"/>
  <c r="AE53" i="44"/>
  <c r="F53" i="44"/>
  <c r="AE52" i="44"/>
  <c r="F52" i="44"/>
  <c r="AE51" i="44"/>
  <c r="F51" i="44"/>
  <c r="AE50" i="44"/>
  <c r="F50" i="44"/>
  <c r="AE49" i="44"/>
  <c r="F49" i="44"/>
  <c r="AE48" i="44"/>
  <c r="F48" i="44"/>
  <c r="AE47" i="44"/>
  <c r="F47" i="44"/>
  <c r="AE46" i="44"/>
  <c r="F46" i="44"/>
  <c r="AE45" i="44"/>
  <c r="F45" i="44"/>
  <c r="AE44" i="44"/>
  <c r="F44" i="44"/>
  <c r="AE43" i="44"/>
  <c r="F43" i="44"/>
  <c r="AE42" i="44"/>
  <c r="F42" i="44"/>
  <c r="AE41" i="44"/>
  <c r="F41" i="44"/>
  <c r="AE40" i="44"/>
  <c r="F40" i="44"/>
  <c r="AE39" i="44"/>
  <c r="F39" i="44"/>
  <c r="AE37" i="44"/>
  <c r="F37" i="44"/>
  <c r="AE36" i="44"/>
  <c r="F36" i="44"/>
  <c r="AE34" i="44"/>
  <c r="F34" i="44"/>
  <c r="AE33" i="44"/>
  <c r="AE32" i="44"/>
  <c r="F32" i="44"/>
  <c r="AE31" i="44"/>
  <c r="F31" i="44"/>
  <c r="AE30" i="44"/>
  <c r="F30" i="44"/>
  <c r="AE29" i="44"/>
  <c r="F29" i="44"/>
  <c r="AE28" i="44"/>
  <c r="F28" i="44"/>
  <c r="AE27" i="44"/>
  <c r="F27" i="44"/>
  <c r="AE26" i="44"/>
  <c r="F26" i="44"/>
  <c r="AE25" i="44"/>
  <c r="F25" i="44"/>
  <c r="AE24" i="44"/>
  <c r="F24" i="44"/>
  <c r="AE23" i="44"/>
  <c r="F23" i="44"/>
  <c r="AE22" i="44"/>
  <c r="AE21" i="44"/>
  <c r="F21" i="44"/>
  <c r="AE20" i="44"/>
  <c r="AE19" i="44"/>
  <c r="F19" i="44"/>
  <c r="AE18" i="44"/>
  <c r="AE17" i="44"/>
  <c r="F17" i="44"/>
  <c r="AE16" i="44"/>
  <c r="F16" i="44"/>
  <c r="AE14" i="44"/>
  <c r="F14" i="44"/>
  <c r="AE13" i="44"/>
  <c r="F13" i="44"/>
  <c r="F12" i="44"/>
  <c r="AE11" i="44"/>
  <c r="F11" i="44"/>
  <c r="AE10" i="44"/>
  <c r="F10" i="44"/>
  <c r="AE9" i="44"/>
  <c r="F9" i="44"/>
  <c r="AE8" i="44"/>
  <c r="F8" i="44"/>
  <c r="AD7" i="44"/>
  <c r="AD6" i="44" s="1"/>
  <c r="AC7" i="44"/>
  <c r="AB7" i="44"/>
  <c r="AA7" i="44"/>
  <c r="Z7" i="44"/>
  <c r="Z6" i="44" s="1"/>
  <c r="Y7" i="44"/>
  <c r="X7" i="44"/>
  <c r="W7" i="44"/>
  <c r="V7" i="44"/>
  <c r="V6" i="44" s="1"/>
  <c r="U7" i="44"/>
  <c r="T7" i="44"/>
  <c r="S7" i="44"/>
  <c r="R7" i="44"/>
  <c r="R6" i="44" s="1"/>
  <c r="Q7" i="44"/>
  <c r="P7" i="44"/>
  <c r="O7" i="44"/>
  <c r="N7" i="44"/>
  <c r="N6" i="44" s="1"/>
  <c r="M7" i="44"/>
  <c r="L7" i="44"/>
  <c r="K7" i="44"/>
  <c r="J7" i="44"/>
  <c r="J6" i="44" s="1"/>
  <c r="I7" i="44"/>
  <c r="H7" i="44"/>
  <c r="G7" i="44"/>
  <c r="AE7" i="44" s="1"/>
  <c r="AC6" i="44"/>
  <c r="AB6" i="44"/>
  <c r="AA6" i="44"/>
  <c r="Y6" i="44"/>
  <c r="X6" i="44"/>
  <c r="W6" i="44"/>
  <c r="U6" i="44"/>
  <c r="T6" i="44"/>
  <c r="S6" i="44"/>
  <c r="Q6" i="44"/>
  <c r="P6" i="44"/>
  <c r="O6" i="44"/>
  <c r="M6" i="44"/>
  <c r="L6" i="44"/>
  <c r="K6" i="44"/>
  <c r="I6" i="44"/>
  <c r="H6" i="44"/>
  <c r="G6" i="44"/>
  <c r="AE4" i="44"/>
  <c r="AF4" i="44" s="1"/>
  <c r="F84" i="43"/>
  <c r="AE83" i="43"/>
  <c r="F83" i="43"/>
  <c r="AE82" i="43"/>
  <c r="F82" i="43"/>
  <c r="AE81" i="43"/>
  <c r="F81" i="43"/>
  <c r="F80" i="43"/>
  <c r="F79" i="43"/>
  <c r="F78" i="43"/>
  <c r="AE77" i="43"/>
  <c r="F77" i="43"/>
  <c r="F76" i="43"/>
  <c r="AE75" i="43"/>
  <c r="F75" i="43"/>
  <c r="AE74" i="43"/>
  <c r="F74" i="43"/>
  <c r="AE73" i="43"/>
  <c r="F73" i="43"/>
  <c r="F72" i="43"/>
  <c r="F71" i="43"/>
  <c r="AE70" i="43"/>
  <c r="F70" i="43"/>
  <c r="F69" i="43"/>
  <c r="F68" i="43"/>
  <c r="F67" i="43"/>
  <c r="AD66" i="43"/>
  <c r="AC66" i="43"/>
  <c r="AB66" i="43"/>
  <c r="AA66" i="43"/>
  <c r="Z66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AE66" i="43" s="1"/>
  <c r="AD64" i="43"/>
  <c r="AC64" i="43"/>
  <c r="AB64" i="43"/>
  <c r="AA64" i="43"/>
  <c r="Z64" i="43"/>
  <c r="Y64" i="43"/>
  <c r="X64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AE63" i="43"/>
  <c r="AE60" i="43"/>
  <c r="AE59" i="43"/>
  <c r="AE57" i="43"/>
  <c r="F57" i="43"/>
  <c r="AE56" i="43"/>
  <c r="F56" i="43"/>
  <c r="AE55" i="43"/>
  <c r="F55" i="43"/>
  <c r="AE54" i="43"/>
  <c r="F54" i="43"/>
  <c r="AE53" i="43"/>
  <c r="F53" i="43"/>
  <c r="AE52" i="43"/>
  <c r="F52" i="43"/>
  <c r="AE51" i="43"/>
  <c r="F51" i="43"/>
  <c r="AE50" i="43"/>
  <c r="F50" i="43"/>
  <c r="AE49" i="43"/>
  <c r="F49" i="43"/>
  <c r="AE48" i="43"/>
  <c r="F48" i="43"/>
  <c r="AE47" i="43"/>
  <c r="F47" i="43"/>
  <c r="AE46" i="43"/>
  <c r="F46" i="43"/>
  <c r="AE45" i="43"/>
  <c r="F45" i="43"/>
  <c r="AE44" i="43"/>
  <c r="F44" i="43"/>
  <c r="AE43" i="43"/>
  <c r="F43" i="43"/>
  <c r="AE42" i="43"/>
  <c r="F42" i="43"/>
  <c r="AE41" i="43"/>
  <c r="F41" i="43"/>
  <c r="AE40" i="43"/>
  <c r="F40" i="43"/>
  <c r="AE39" i="43"/>
  <c r="F39" i="43"/>
  <c r="AE38" i="43"/>
  <c r="F38" i="43"/>
  <c r="AE37" i="43"/>
  <c r="F37" i="43"/>
  <c r="AE36" i="43"/>
  <c r="F36" i="43"/>
  <c r="AE34" i="43"/>
  <c r="F34" i="43"/>
  <c r="AE32" i="43"/>
  <c r="F32" i="43"/>
  <c r="AE31" i="43"/>
  <c r="F31" i="43"/>
  <c r="AE30" i="43"/>
  <c r="F30" i="43"/>
  <c r="AE29" i="43"/>
  <c r="F29" i="43"/>
  <c r="AE28" i="43"/>
  <c r="F28" i="43"/>
  <c r="AE27" i="43"/>
  <c r="F27" i="43"/>
  <c r="AE26" i="43"/>
  <c r="F26" i="43"/>
  <c r="AE25" i="43"/>
  <c r="F25" i="43"/>
  <c r="AE24" i="43"/>
  <c r="F24" i="43"/>
  <c r="AE23" i="43"/>
  <c r="F23" i="43"/>
  <c r="AE22" i="43"/>
  <c r="AE21" i="43"/>
  <c r="F21" i="43"/>
  <c r="AE20" i="43"/>
  <c r="AE19" i="43"/>
  <c r="F19" i="43"/>
  <c r="AE18" i="43"/>
  <c r="AE17" i="43"/>
  <c r="F17" i="43"/>
  <c r="AE16" i="43"/>
  <c r="F16" i="43"/>
  <c r="AE14" i="43"/>
  <c r="F14" i="43"/>
  <c r="AE13" i="43"/>
  <c r="F13" i="43"/>
  <c r="AE12" i="43"/>
  <c r="F12" i="43"/>
  <c r="AE11" i="43"/>
  <c r="F11" i="43"/>
  <c r="AE10" i="43"/>
  <c r="F10" i="43"/>
  <c r="AE9" i="43"/>
  <c r="F9" i="43"/>
  <c r="AE8" i="43"/>
  <c r="F8" i="43"/>
  <c r="AD7" i="43"/>
  <c r="AC7" i="43"/>
  <c r="AB7" i="43"/>
  <c r="AA7" i="43"/>
  <c r="AA6" i="43" s="1"/>
  <c r="Z7" i="43"/>
  <c r="Y7" i="43"/>
  <c r="X7" i="43"/>
  <c r="W7" i="43"/>
  <c r="W6" i="43" s="1"/>
  <c r="V7" i="43"/>
  <c r="U7" i="43"/>
  <c r="T7" i="43"/>
  <c r="S7" i="43"/>
  <c r="S6" i="43" s="1"/>
  <c r="R7" i="43"/>
  <c r="Q7" i="43"/>
  <c r="P7" i="43"/>
  <c r="O7" i="43"/>
  <c r="O6" i="43" s="1"/>
  <c r="N7" i="43"/>
  <c r="M7" i="43"/>
  <c r="L7" i="43"/>
  <c r="K7" i="43"/>
  <c r="K6" i="43" s="1"/>
  <c r="J7" i="43"/>
  <c r="I7" i="43"/>
  <c r="H7" i="43"/>
  <c r="G7" i="43"/>
  <c r="G6" i="43" s="1"/>
  <c r="AE6" i="43" s="1"/>
  <c r="AD6" i="43"/>
  <c r="AC6" i="43"/>
  <c r="AB6" i="43"/>
  <c r="Z6" i="43"/>
  <c r="Y6" i="43"/>
  <c r="X6" i="43"/>
  <c r="V6" i="43"/>
  <c r="U6" i="43"/>
  <c r="T6" i="43"/>
  <c r="R6" i="43"/>
  <c r="Q6" i="43"/>
  <c r="P6" i="43"/>
  <c r="N6" i="43"/>
  <c r="M6" i="43"/>
  <c r="L6" i="43"/>
  <c r="J6" i="43"/>
  <c r="I6" i="43"/>
  <c r="H6" i="43"/>
  <c r="AE4" i="43"/>
  <c r="AF4" i="43" s="1"/>
  <c r="AE72" i="42"/>
  <c r="F72" i="42"/>
  <c r="AE71" i="42"/>
  <c r="F71" i="42"/>
  <c r="AE70" i="42"/>
  <c r="F70" i="42"/>
  <c r="AE69" i="42"/>
  <c r="F69" i="42"/>
  <c r="AE68" i="42"/>
  <c r="F68" i="42"/>
  <c r="AE67" i="42"/>
  <c r="F67" i="42"/>
  <c r="AE66" i="42"/>
  <c r="F66" i="42"/>
  <c r="AE65" i="42"/>
  <c r="F65" i="42"/>
  <c r="AE64" i="42"/>
  <c r="F64" i="42"/>
  <c r="AE63" i="42"/>
  <c r="F63" i="42"/>
  <c r="AE62" i="42"/>
  <c r="F62" i="42"/>
  <c r="AD61" i="42"/>
  <c r="AC61" i="42"/>
  <c r="AB61" i="42"/>
  <c r="AA61" i="42"/>
  <c r="Z61" i="42"/>
  <c r="Y61" i="42"/>
  <c r="X61" i="42"/>
  <c r="W61" i="42"/>
  <c r="V61" i="42"/>
  <c r="U61" i="42"/>
  <c r="T61" i="42"/>
  <c r="S61" i="42"/>
  <c r="R61" i="42"/>
  <c r="Q61" i="42"/>
  <c r="P61" i="42"/>
  <c r="O61" i="42"/>
  <c r="N61" i="42"/>
  <c r="M61" i="42"/>
  <c r="L61" i="42"/>
  <c r="K61" i="42"/>
  <c r="J61" i="42"/>
  <c r="I61" i="42"/>
  <c r="H61" i="42"/>
  <c r="G61" i="42"/>
  <c r="AE61" i="42" s="1"/>
  <c r="AD59" i="42"/>
  <c r="AC59" i="42"/>
  <c r="AB59" i="42"/>
  <c r="AA59" i="42"/>
  <c r="Z59" i="42"/>
  <c r="Y59" i="42"/>
  <c r="X59" i="42"/>
  <c r="W59" i="42"/>
  <c r="V59" i="42"/>
  <c r="U59" i="42"/>
  <c r="T59" i="42"/>
  <c r="S59" i="42"/>
  <c r="R59" i="42"/>
  <c r="Q59" i="42"/>
  <c r="P59" i="42"/>
  <c r="O59" i="42"/>
  <c r="N59" i="42"/>
  <c r="M59" i="42"/>
  <c r="L59" i="42"/>
  <c r="K59" i="42"/>
  <c r="J59" i="42"/>
  <c r="I59" i="42"/>
  <c r="H59" i="42"/>
  <c r="G59" i="42"/>
  <c r="AE58" i="42"/>
  <c r="AE45" i="42"/>
  <c r="F45" i="42"/>
  <c r="AE44" i="42"/>
  <c r="F44" i="42"/>
  <c r="AE43" i="42"/>
  <c r="F43" i="42"/>
  <c r="AE42" i="42"/>
  <c r="F42" i="42"/>
  <c r="AE41" i="42"/>
  <c r="F41" i="42"/>
  <c r="AE40" i="42"/>
  <c r="F40" i="42"/>
  <c r="AE39" i="42"/>
  <c r="F39" i="42"/>
  <c r="AE38" i="42"/>
  <c r="F38" i="42"/>
  <c r="AE37" i="42"/>
  <c r="F37" i="42"/>
  <c r="AE36" i="42"/>
  <c r="F36" i="42"/>
  <c r="AE35" i="42"/>
  <c r="F35" i="42"/>
  <c r="AE34" i="42"/>
  <c r="F34" i="42"/>
  <c r="AE33" i="42"/>
  <c r="F33" i="42"/>
  <c r="AE32" i="42"/>
  <c r="F32" i="42"/>
  <c r="AE31" i="42"/>
  <c r="F31" i="42"/>
  <c r="AE30" i="42"/>
  <c r="F30" i="42"/>
  <c r="AE29" i="42"/>
  <c r="F29" i="42"/>
  <c r="AE28" i="42"/>
  <c r="F28" i="42"/>
  <c r="AE27" i="42"/>
  <c r="F27" i="42"/>
  <c r="AE26" i="42"/>
  <c r="F26" i="42"/>
  <c r="AE25" i="42"/>
  <c r="F25" i="42"/>
  <c r="AE24" i="42"/>
  <c r="F24" i="42"/>
  <c r="AE23" i="42"/>
  <c r="F23" i="42"/>
  <c r="AE22" i="42"/>
  <c r="F22" i="42"/>
  <c r="AE21" i="42"/>
  <c r="F21" i="42"/>
  <c r="AE20" i="42"/>
  <c r="F20" i="42"/>
  <c r="AE19" i="42"/>
  <c r="F19" i="42"/>
  <c r="AE18" i="42"/>
  <c r="F18" i="42"/>
  <c r="AE17" i="42"/>
  <c r="F17" i="42"/>
  <c r="AE16" i="42"/>
  <c r="F16" i="42"/>
  <c r="AE15" i="42"/>
  <c r="F15" i="42"/>
  <c r="AE14" i="42"/>
  <c r="F14" i="42"/>
  <c r="AE13" i="42"/>
  <c r="F13" i="42"/>
  <c r="AE12" i="42"/>
  <c r="F12" i="42"/>
  <c r="AE11" i="42"/>
  <c r="F11" i="42"/>
  <c r="AE10" i="42"/>
  <c r="F10" i="42"/>
  <c r="AE9" i="42"/>
  <c r="F9" i="42"/>
  <c r="AE8" i="42"/>
  <c r="F8" i="42"/>
  <c r="AD7" i="42"/>
  <c r="AC7" i="42"/>
  <c r="AB7" i="42"/>
  <c r="AA7" i="42"/>
  <c r="AA6" i="42" s="1"/>
  <c r="Z7" i="42"/>
  <c r="Y7" i="42"/>
  <c r="X7" i="42"/>
  <c r="W7" i="42"/>
  <c r="W6" i="42" s="1"/>
  <c r="V7" i="42"/>
  <c r="U7" i="42"/>
  <c r="T7" i="42"/>
  <c r="S7" i="42"/>
  <c r="S6" i="42" s="1"/>
  <c r="R7" i="42"/>
  <c r="Q7" i="42"/>
  <c r="P7" i="42"/>
  <c r="O7" i="42"/>
  <c r="O6" i="42" s="1"/>
  <c r="N7" i="42"/>
  <c r="M7" i="42"/>
  <c r="L7" i="42"/>
  <c r="K7" i="42"/>
  <c r="K6" i="42" s="1"/>
  <c r="J7" i="42"/>
  <c r="I7" i="42"/>
  <c r="H7" i="42"/>
  <c r="G7" i="42"/>
  <c r="G6" i="42" s="1"/>
  <c r="AE6" i="42" s="1"/>
  <c r="AD6" i="42"/>
  <c r="AC6" i="42"/>
  <c r="AB6" i="42"/>
  <c r="Z6" i="42"/>
  <c r="Y6" i="42"/>
  <c r="X6" i="42"/>
  <c r="V6" i="42"/>
  <c r="U6" i="42"/>
  <c r="T6" i="42"/>
  <c r="R6" i="42"/>
  <c r="Q6" i="42"/>
  <c r="P6" i="42"/>
  <c r="N6" i="42"/>
  <c r="M6" i="42"/>
  <c r="L6" i="42"/>
  <c r="J6" i="42"/>
  <c r="I6" i="42"/>
  <c r="H6" i="42"/>
  <c r="AE4" i="42"/>
  <c r="AF4" i="42" s="1"/>
  <c r="AE83" i="41"/>
  <c r="F83" i="41"/>
  <c r="AE82" i="41"/>
  <c r="F82" i="41"/>
  <c r="AE81" i="41"/>
  <c r="F81" i="41"/>
  <c r="AE80" i="41"/>
  <c r="F80" i="41"/>
  <c r="AE79" i="41"/>
  <c r="F79" i="41"/>
  <c r="AE78" i="41"/>
  <c r="F78" i="41"/>
  <c r="F77" i="41"/>
  <c r="AE76" i="41"/>
  <c r="F76" i="41"/>
  <c r="AE75" i="41"/>
  <c r="F75" i="41"/>
  <c r="AE74" i="41"/>
  <c r="F74" i="41"/>
  <c r="AE73" i="41"/>
  <c r="F73" i="41"/>
  <c r="AE72" i="41"/>
  <c r="F72" i="41"/>
  <c r="AE71" i="41"/>
  <c r="F71" i="41"/>
  <c r="F70" i="41"/>
  <c r="AE69" i="41"/>
  <c r="F69" i="41"/>
  <c r="AE68" i="41"/>
  <c r="F68" i="41"/>
  <c r="AE67" i="41"/>
  <c r="F67" i="41"/>
  <c r="AD66" i="41"/>
  <c r="AC66" i="41"/>
  <c r="AB66" i="41"/>
  <c r="AA66" i="41"/>
  <c r="Z66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AE66" i="41" s="1"/>
  <c r="AD64" i="41"/>
  <c r="AC64" i="41"/>
  <c r="AB64" i="41"/>
  <c r="AA64" i="41"/>
  <c r="Z64" i="41"/>
  <c r="Y64" i="41"/>
  <c r="X64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AE63" i="41"/>
  <c r="AE60" i="41"/>
  <c r="AE57" i="41"/>
  <c r="F57" i="41"/>
  <c r="AE56" i="41"/>
  <c r="F56" i="41"/>
  <c r="AE55" i="41"/>
  <c r="F55" i="41"/>
  <c r="AE54" i="41"/>
  <c r="F54" i="41"/>
  <c r="AE53" i="41"/>
  <c r="F53" i="41"/>
  <c r="AE52" i="41"/>
  <c r="F52" i="41"/>
  <c r="AE51" i="41"/>
  <c r="F51" i="41"/>
  <c r="AE50" i="41"/>
  <c r="F50" i="41"/>
  <c r="AE49" i="41"/>
  <c r="F49" i="41"/>
  <c r="AE48" i="41"/>
  <c r="F48" i="41"/>
  <c r="AE47" i="41"/>
  <c r="F47" i="41"/>
  <c r="AE46" i="41"/>
  <c r="F46" i="41"/>
  <c r="AE45" i="41"/>
  <c r="F45" i="41"/>
  <c r="AE44" i="41"/>
  <c r="F44" i="41"/>
  <c r="AE43" i="41"/>
  <c r="F43" i="41"/>
  <c r="AE42" i="41"/>
  <c r="F42" i="41"/>
  <c r="AE41" i="41"/>
  <c r="AE40" i="41"/>
  <c r="F40" i="41"/>
  <c r="AE39" i="41"/>
  <c r="F39" i="41"/>
  <c r="AE38" i="41"/>
  <c r="F38" i="41"/>
  <c r="AE37" i="41"/>
  <c r="F37" i="41"/>
  <c r="AE36" i="41"/>
  <c r="F36" i="41"/>
  <c r="AE35" i="41"/>
  <c r="F35" i="41"/>
  <c r="AE34" i="41"/>
  <c r="F34" i="41"/>
  <c r="AE33" i="41"/>
  <c r="F33" i="41"/>
  <c r="AE32" i="41"/>
  <c r="F32" i="41"/>
  <c r="AE31" i="41"/>
  <c r="F31" i="41"/>
  <c r="AE30" i="41"/>
  <c r="F30" i="41"/>
  <c r="AE29" i="41"/>
  <c r="F29" i="41"/>
  <c r="AE28" i="41"/>
  <c r="F28" i="41"/>
  <c r="AE27" i="41"/>
  <c r="F27" i="41"/>
  <c r="AE26" i="41"/>
  <c r="F26" i="41"/>
  <c r="AE25" i="41"/>
  <c r="F25" i="41"/>
  <c r="AE24" i="41"/>
  <c r="F24" i="41"/>
  <c r="AE23" i="41"/>
  <c r="F23" i="41"/>
  <c r="AE21" i="41"/>
  <c r="F21" i="41"/>
  <c r="AE19" i="41"/>
  <c r="F19" i="41"/>
  <c r="AE17" i="41"/>
  <c r="F17" i="41"/>
  <c r="AE16" i="41"/>
  <c r="F16" i="41"/>
  <c r="AE15" i="41"/>
  <c r="F15" i="41"/>
  <c r="AE14" i="41"/>
  <c r="F14" i="41"/>
  <c r="AE13" i="41"/>
  <c r="F13" i="41"/>
  <c r="AE12" i="41"/>
  <c r="F12" i="41"/>
  <c r="F11" i="41"/>
  <c r="AE10" i="41"/>
  <c r="F10" i="41"/>
  <c r="AE9" i="41"/>
  <c r="F9" i="41"/>
  <c r="F8" i="41"/>
  <c r="AD7" i="41"/>
  <c r="AC7" i="41"/>
  <c r="AC6" i="41" s="1"/>
  <c r="AB7" i="41"/>
  <c r="AA7" i="41"/>
  <c r="Z7" i="41"/>
  <c r="Y7" i="41"/>
  <c r="Y6" i="41" s="1"/>
  <c r="X7" i="41"/>
  <c r="W7" i="41"/>
  <c r="V7" i="41"/>
  <c r="U7" i="41"/>
  <c r="U6" i="41" s="1"/>
  <c r="T7" i="41"/>
  <c r="S7" i="41"/>
  <c r="R7" i="41"/>
  <c r="Q7" i="41"/>
  <c r="Q6" i="41" s="1"/>
  <c r="P7" i="41"/>
  <c r="O7" i="41"/>
  <c r="N7" i="41"/>
  <c r="M7" i="41"/>
  <c r="M6" i="41" s="1"/>
  <c r="L7" i="41"/>
  <c r="K7" i="41"/>
  <c r="J7" i="41"/>
  <c r="I7" i="41"/>
  <c r="I6" i="41" s="1"/>
  <c r="H7" i="41"/>
  <c r="G7" i="41"/>
  <c r="AE7" i="41" s="1"/>
  <c r="AD6" i="41"/>
  <c r="AB6" i="41"/>
  <c r="AA6" i="41"/>
  <c r="Z6" i="41"/>
  <c r="X6" i="41"/>
  <c r="W6" i="41"/>
  <c r="V6" i="41"/>
  <c r="T6" i="41"/>
  <c r="S6" i="41"/>
  <c r="R6" i="41"/>
  <c r="P6" i="41"/>
  <c r="O6" i="41"/>
  <c r="N6" i="41"/>
  <c r="L6" i="41"/>
  <c r="K6" i="41"/>
  <c r="J6" i="41"/>
  <c r="H6" i="41"/>
  <c r="G6" i="41"/>
  <c r="AE6" i="41" s="1"/>
  <c r="AF4" i="41"/>
  <c r="AE4" i="41"/>
  <c r="AE83" i="40"/>
  <c r="F83" i="40"/>
  <c r="AE82" i="40"/>
  <c r="F82" i="40"/>
  <c r="AE81" i="40"/>
  <c r="F81" i="40"/>
  <c r="AE80" i="40"/>
  <c r="F80" i="40"/>
  <c r="AE79" i="40"/>
  <c r="F79" i="40"/>
  <c r="AE78" i="40"/>
  <c r="F78" i="40"/>
  <c r="AE77" i="40"/>
  <c r="F77" i="40"/>
  <c r="AE76" i="40"/>
  <c r="F76" i="40"/>
  <c r="AE75" i="40"/>
  <c r="F75" i="40"/>
  <c r="AE74" i="40"/>
  <c r="F74" i="40"/>
  <c r="AE73" i="40"/>
  <c r="F73" i="40"/>
  <c r="AE72" i="40"/>
  <c r="F72" i="40"/>
  <c r="AE71" i="40"/>
  <c r="F71" i="40"/>
  <c r="AE70" i="40"/>
  <c r="F70" i="40"/>
  <c r="AE69" i="40"/>
  <c r="F69" i="40"/>
  <c r="AE68" i="40"/>
  <c r="F68" i="40"/>
  <c r="AE67" i="40"/>
  <c r="F67" i="40"/>
  <c r="AD66" i="40"/>
  <c r="AC66" i="40"/>
  <c r="AB66" i="40"/>
  <c r="AA66" i="40"/>
  <c r="Z66" i="40"/>
  <c r="Y66" i="40"/>
  <c r="X66" i="40"/>
  <c r="W66" i="40"/>
  <c r="V66" i="40"/>
  <c r="U66" i="40"/>
  <c r="T66" i="40"/>
  <c r="S66" i="40"/>
  <c r="R66" i="40"/>
  <c r="Q66" i="40"/>
  <c r="P66" i="40"/>
  <c r="O66" i="40"/>
  <c r="N66" i="40"/>
  <c r="M66" i="40"/>
  <c r="L66" i="40"/>
  <c r="K66" i="40"/>
  <c r="J66" i="40"/>
  <c r="I66" i="40"/>
  <c r="H66" i="40"/>
  <c r="G66" i="40"/>
  <c r="AE66" i="40" s="1"/>
  <c r="AD64" i="40"/>
  <c r="AC64" i="40"/>
  <c r="AB64" i="40"/>
  <c r="AA64" i="40"/>
  <c r="Z64" i="40"/>
  <c r="Y64" i="40"/>
  <c r="X64" i="40"/>
  <c r="W64" i="40"/>
  <c r="V64" i="40"/>
  <c r="U64" i="40"/>
  <c r="T64" i="40"/>
  <c r="S64" i="40"/>
  <c r="R64" i="40"/>
  <c r="Q64" i="40"/>
  <c r="P64" i="40"/>
  <c r="O64" i="40"/>
  <c r="N64" i="40"/>
  <c r="M64" i="40"/>
  <c r="L64" i="40"/>
  <c r="K64" i="40"/>
  <c r="J64" i="40"/>
  <c r="I64" i="40"/>
  <c r="H64" i="40"/>
  <c r="G64" i="40"/>
  <c r="AE63" i="40"/>
  <c r="AE60" i="40"/>
  <c r="AE57" i="40"/>
  <c r="F57" i="40"/>
  <c r="AE56" i="40"/>
  <c r="F56" i="40"/>
  <c r="AE55" i="40"/>
  <c r="F55" i="40"/>
  <c r="AE54" i="40"/>
  <c r="F54" i="40"/>
  <c r="AE53" i="40"/>
  <c r="F53" i="40"/>
  <c r="AE52" i="40"/>
  <c r="F52" i="40"/>
  <c r="AE51" i="40"/>
  <c r="F51" i="40"/>
  <c r="AE50" i="40"/>
  <c r="F50" i="40"/>
  <c r="AE49" i="40"/>
  <c r="F49" i="40"/>
  <c r="AE48" i="40"/>
  <c r="F48" i="40"/>
  <c r="AE47" i="40"/>
  <c r="F47" i="40"/>
  <c r="AE46" i="40"/>
  <c r="F46" i="40"/>
  <c r="AE45" i="40"/>
  <c r="F45" i="40"/>
  <c r="AE44" i="40"/>
  <c r="F44" i="40"/>
  <c r="AE43" i="40"/>
  <c r="F43" i="40"/>
  <c r="AE42" i="40"/>
  <c r="F42" i="40"/>
  <c r="AE41" i="40"/>
  <c r="F41" i="40"/>
  <c r="AE40" i="40"/>
  <c r="F40" i="40"/>
  <c r="AE39" i="40"/>
  <c r="F39" i="40"/>
  <c r="AE38" i="40"/>
  <c r="F38" i="40"/>
  <c r="AE37" i="40"/>
  <c r="F37" i="40"/>
  <c r="AE36" i="40"/>
  <c r="F36" i="40"/>
  <c r="AE35" i="40"/>
  <c r="F35" i="40"/>
  <c r="AE34" i="40"/>
  <c r="F34" i="40"/>
  <c r="AE33" i="40"/>
  <c r="F33" i="40"/>
  <c r="AE32" i="40"/>
  <c r="F32" i="40"/>
  <c r="AE31" i="40"/>
  <c r="F31" i="40"/>
  <c r="AE30" i="40"/>
  <c r="F30" i="40"/>
  <c r="AE29" i="40"/>
  <c r="F29" i="40"/>
  <c r="AE28" i="40"/>
  <c r="F28" i="40"/>
  <c r="AE27" i="40"/>
  <c r="F27" i="40"/>
  <c r="AE26" i="40"/>
  <c r="F26" i="40"/>
  <c r="AE25" i="40"/>
  <c r="F25" i="40"/>
  <c r="AE24" i="40"/>
  <c r="F24" i="40"/>
  <c r="AE23" i="40"/>
  <c r="F23" i="40"/>
  <c r="AE21" i="40"/>
  <c r="F21" i="40"/>
  <c r="AE19" i="40"/>
  <c r="F19" i="40"/>
  <c r="AE17" i="40"/>
  <c r="F17" i="40"/>
  <c r="AE16" i="40"/>
  <c r="F16" i="40"/>
  <c r="AE15" i="40"/>
  <c r="F15" i="40"/>
  <c r="AE14" i="40"/>
  <c r="F14" i="40"/>
  <c r="AE13" i="40"/>
  <c r="F13" i="40"/>
  <c r="AE12" i="40"/>
  <c r="F12" i="40"/>
  <c r="AE11" i="40"/>
  <c r="F11" i="40"/>
  <c r="AE10" i="40"/>
  <c r="F10" i="40"/>
  <c r="AE9" i="40"/>
  <c r="F9" i="40"/>
  <c r="F8" i="40"/>
  <c r="AD7" i="40"/>
  <c r="AC7" i="40"/>
  <c r="AB7" i="40"/>
  <c r="AA7" i="40"/>
  <c r="AA6" i="40" s="1"/>
  <c r="Z7" i="40"/>
  <c r="Y7" i="40"/>
  <c r="X7" i="40"/>
  <c r="W7" i="40"/>
  <c r="W6" i="40" s="1"/>
  <c r="V7" i="40"/>
  <c r="U7" i="40"/>
  <c r="T7" i="40"/>
  <c r="S7" i="40"/>
  <c r="S6" i="40" s="1"/>
  <c r="R7" i="40"/>
  <c r="Q7" i="40"/>
  <c r="P7" i="40"/>
  <c r="O7" i="40"/>
  <c r="O6" i="40" s="1"/>
  <c r="N7" i="40"/>
  <c r="M7" i="40"/>
  <c r="L7" i="40"/>
  <c r="K7" i="40"/>
  <c r="K6" i="40" s="1"/>
  <c r="J7" i="40"/>
  <c r="I7" i="40"/>
  <c r="H7" i="40"/>
  <c r="G7" i="40"/>
  <c r="AE7" i="40" s="1"/>
  <c r="AD6" i="40"/>
  <c r="AC6" i="40"/>
  <c r="AB6" i="40"/>
  <c r="Z6" i="40"/>
  <c r="Y6" i="40"/>
  <c r="X6" i="40"/>
  <c r="V6" i="40"/>
  <c r="U6" i="40"/>
  <c r="T6" i="40"/>
  <c r="R6" i="40"/>
  <c r="Q6" i="40"/>
  <c r="P6" i="40"/>
  <c r="N6" i="40"/>
  <c r="M6" i="40"/>
  <c r="L6" i="40"/>
  <c r="J6" i="40"/>
  <c r="I6" i="40"/>
  <c r="H6" i="40"/>
  <c r="AE4" i="40"/>
  <c r="AF4" i="40" s="1"/>
  <c r="AE94" i="39"/>
  <c r="F94" i="39"/>
  <c r="F93" i="39"/>
  <c r="F92" i="39"/>
  <c r="AE91" i="39"/>
  <c r="F91" i="39"/>
  <c r="AE90" i="39"/>
  <c r="F90" i="39"/>
  <c r="AE89" i="39"/>
  <c r="F89" i="39"/>
  <c r="AE88" i="39"/>
  <c r="F88" i="39"/>
  <c r="AE87" i="39"/>
  <c r="F87" i="39"/>
  <c r="AE86" i="39"/>
  <c r="F86" i="39"/>
  <c r="AE85" i="39"/>
  <c r="F85" i="39"/>
  <c r="AE84" i="39"/>
  <c r="F84" i="39"/>
  <c r="AE83" i="39"/>
  <c r="F83" i="39"/>
  <c r="AE82" i="39"/>
  <c r="F82" i="39"/>
  <c r="AE81" i="39"/>
  <c r="F81" i="39"/>
  <c r="AE80" i="39"/>
  <c r="F80" i="39"/>
  <c r="AE79" i="39"/>
  <c r="F79" i="39"/>
  <c r="AE78" i="39"/>
  <c r="F78" i="39"/>
  <c r="AD77" i="39"/>
  <c r="AC77" i="39"/>
  <c r="AB77" i="39"/>
  <c r="AA77" i="39"/>
  <c r="AA75" i="39" s="1"/>
  <c r="Z77" i="39"/>
  <c r="Y77" i="39"/>
  <c r="X77" i="39"/>
  <c r="W77" i="39"/>
  <c r="W75" i="39" s="1"/>
  <c r="V77" i="39"/>
  <c r="U77" i="39"/>
  <c r="T77" i="39"/>
  <c r="S77" i="39"/>
  <c r="S75" i="39" s="1"/>
  <c r="R77" i="39"/>
  <c r="Q77" i="39"/>
  <c r="P77" i="39"/>
  <c r="O77" i="39"/>
  <c r="O75" i="39" s="1"/>
  <c r="N77" i="39"/>
  <c r="M77" i="39"/>
  <c r="L77" i="39"/>
  <c r="K77" i="39"/>
  <c r="K75" i="39" s="1"/>
  <c r="J77" i="39"/>
  <c r="I77" i="39"/>
  <c r="H77" i="39"/>
  <c r="G77" i="39"/>
  <c r="G75" i="39" s="1"/>
  <c r="AD75" i="39"/>
  <c r="AC75" i="39"/>
  <c r="AB75" i="39"/>
  <c r="Z75" i="39"/>
  <c r="Y75" i="39"/>
  <c r="X75" i="39"/>
  <c r="V75" i="39"/>
  <c r="U75" i="39"/>
  <c r="T75" i="39"/>
  <c r="R75" i="39"/>
  <c r="Q75" i="39"/>
  <c r="P75" i="39"/>
  <c r="N75" i="39"/>
  <c r="M75" i="39"/>
  <c r="L75" i="39"/>
  <c r="J75" i="39"/>
  <c r="I75" i="39"/>
  <c r="H75" i="39"/>
  <c r="AE74" i="39"/>
  <c r="AI75" i="39" s="1"/>
  <c r="AE68" i="39"/>
  <c r="F68" i="39"/>
  <c r="AE67" i="39"/>
  <c r="F67" i="39"/>
  <c r="AE66" i="39"/>
  <c r="F66" i="39"/>
  <c r="AE65" i="39"/>
  <c r="F65" i="39"/>
  <c r="AE64" i="39"/>
  <c r="F64" i="39"/>
  <c r="AE63" i="39"/>
  <c r="F63" i="39"/>
  <c r="AE62" i="39"/>
  <c r="F62" i="39"/>
  <c r="AE61" i="39"/>
  <c r="F61" i="39"/>
  <c r="AE60" i="39"/>
  <c r="F60" i="39"/>
  <c r="AE59" i="39"/>
  <c r="F59" i="39"/>
  <c r="AD58" i="39"/>
  <c r="AC58" i="39"/>
  <c r="AB58" i="39"/>
  <c r="AA58" i="39"/>
  <c r="Z58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AE58" i="39" s="1"/>
  <c r="AD56" i="39"/>
  <c r="AC56" i="39"/>
  <c r="AB56" i="39"/>
  <c r="AA56" i="39"/>
  <c r="Z56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AE55" i="39"/>
  <c r="F49" i="39"/>
  <c r="F48" i="39"/>
  <c r="AE47" i="39"/>
  <c r="F47" i="39"/>
  <c r="AE46" i="39"/>
  <c r="F46" i="39"/>
  <c r="AE45" i="39"/>
  <c r="F45" i="39"/>
  <c r="AE44" i="39"/>
  <c r="F44" i="39"/>
  <c r="AE43" i="39"/>
  <c r="F43" i="39"/>
  <c r="AE42" i="39"/>
  <c r="F42" i="39"/>
  <c r="AE41" i="39"/>
  <c r="F41" i="39"/>
  <c r="AE40" i="39"/>
  <c r="F40" i="39"/>
  <c r="AE39" i="39"/>
  <c r="F39" i="39"/>
  <c r="AE38" i="39"/>
  <c r="F38" i="39"/>
  <c r="AE37" i="39"/>
  <c r="F37" i="39"/>
  <c r="AE36" i="39"/>
  <c r="F36" i="39"/>
  <c r="AE35" i="39"/>
  <c r="F35" i="39"/>
  <c r="AE34" i="39"/>
  <c r="F34" i="39"/>
  <c r="AE33" i="39"/>
  <c r="F33" i="39"/>
  <c r="AE32" i="39"/>
  <c r="F32" i="39"/>
  <c r="F31" i="39"/>
  <c r="AE30" i="39"/>
  <c r="F30" i="39"/>
  <c r="AE29" i="39"/>
  <c r="F29" i="39"/>
  <c r="AE28" i="39"/>
  <c r="F28" i="39"/>
  <c r="AE27" i="39"/>
  <c r="F27" i="39"/>
  <c r="AE26" i="39"/>
  <c r="F26" i="39"/>
  <c r="AE25" i="39"/>
  <c r="F25" i="39"/>
  <c r="AE24" i="39"/>
  <c r="F24" i="39"/>
  <c r="AE23" i="39"/>
  <c r="F23" i="39"/>
  <c r="AE22" i="39"/>
  <c r="F22" i="39"/>
  <c r="AE21" i="39"/>
  <c r="F21" i="39"/>
  <c r="AE20" i="39"/>
  <c r="F20" i="39"/>
  <c r="AE19" i="39"/>
  <c r="F19" i="39"/>
  <c r="AE18" i="39"/>
  <c r="F18" i="39"/>
  <c r="AE16" i="39"/>
  <c r="F16" i="39"/>
  <c r="AE15" i="39"/>
  <c r="F15" i="39"/>
  <c r="AE14" i="39"/>
  <c r="F14" i="39"/>
  <c r="AE13" i="39"/>
  <c r="F13" i="39"/>
  <c r="AE12" i="39"/>
  <c r="F12" i="39"/>
  <c r="AE11" i="39"/>
  <c r="F11" i="39"/>
  <c r="AE10" i="39"/>
  <c r="F10" i="39"/>
  <c r="AE9" i="39"/>
  <c r="F9" i="39"/>
  <c r="AE8" i="39"/>
  <c r="F8" i="39"/>
  <c r="AD7" i="39"/>
  <c r="AC7" i="39"/>
  <c r="AB7" i="39"/>
  <c r="AA7" i="39"/>
  <c r="AA6" i="39" s="1"/>
  <c r="Z7" i="39"/>
  <c r="Y7" i="39"/>
  <c r="X7" i="39"/>
  <c r="W7" i="39"/>
  <c r="W6" i="39" s="1"/>
  <c r="V7" i="39"/>
  <c r="U7" i="39"/>
  <c r="T7" i="39"/>
  <c r="S7" i="39"/>
  <c r="S6" i="39" s="1"/>
  <c r="R7" i="39"/>
  <c r="Q7" i="39"/>
  <c r="P7" i="39"/>
  <c r="O7" i="39"/>
  <c r="O6" i="39" s="1"/>
  <c r="N7" i="39"/>
  <c r="M7" i="39"/>
  <c r="L7" i="39"/>
  <c r="K7" i="39"/>
  <c r="K6" i="39" s="1"/>
  <c r="J7" i="39"/>
  <c r="I7" i="39"/>
  <c r="H7" i="39"/>
  <c r="G7" i="39"/>
  <c r="AE7" i="39" s="1"/>
  <c r="AD6" i="39"/>
  <c r="AC6" i="39"/>
  <c r="AB6" i="39"/>
  <c r="Z6" i="39"/>
  <c r="Y6" i="39"/>
  <c r="X6" i="39"/>
  <c r="V6" i="39"/>
  <c r="U6" i="39"/>
  <c r="T6" i="39"/>
  <c r="R6" i="39"/>
  <c r="Q6" i="39"/>
  <c r="P6" i="39"/>
  <c r="N6" i="39"/>
  <c r="M6" i="39"/>
  <c r="L6" i="39"/>
  <c r="J6" i="39"/>
  <c r="I6" i="39"/>
  <c r="H6" i="39"/>
  <c r="AE4" i="39"/>
  <c r="AI3" i="39"/>
  <c r="AE72" i="34"/>
  <c r="F72" i="34"/>
  <c r="AE60" i="96" s="1"/>
  <c r="AE71" i="34"/>
  <c r="F71" i="34"/>
  <c r="AE59" i="96" s="1"/>
  <c r="AE70" i="34"/>
  <c r="F70" i="34"/>
  <c r="AE58" i="96" s="1"/>
  <c r="AE69" i="34"/>
  <c r="F69" i="34"/>
  <c r="AE57" i="96" s="1"/>
  <c r="DQ65" i="97" s="1"/>
  <c r="DR65" i="97" s="1"/>
  <c r="DT65" i="97" s="1"/>
  <c r="AE68" i="34"/>
  <c r="F68" i="34"/>
  <c r="AE56" i="96" s="1"/>
  <c r="DQ64" i="97" s="1"/>
  <c r="DR64" i="97" s="1"/>
  <c r="DT64" i="97" s="1"/>
  <c r="AE67" i="34"/>
  <c r="F67" i="34"/>
  <c r="AE55" i="96" s="1"/>
  <c r="DQ63" i="97" s="1"/>
  <c r="DR63" i="97" s="1"/>
  <c r="DT63" i="97" s="1"/>
  <c r="AE66" i="34"/>
  <c r="F66" i="34"/>
  <c r="AE54" i="96" s="1"/>
  <c r="DQ62" i="97" s="1"/>
  <c r="DR62" i="97" s="1"/>
  <c r="DT62" i="97" s="1"/>
  <c r="AE65" i="34"/>
  <c r="F65" i="34"/>
  <c r="AE53" i="96" s="1"/>
  <c r="AE64" i="34"/>
  <c r="F64" i="34"/>
  <c r="AE52" i="96" s="1"/>
  <c r="AE63" i="34"/>
  <c r="F63" i="34"/>
  <c r="AE51" i="96" s="1"/>
  <c r="DQ59" i="97" s="1"/>
  <c r="DR59" i="97" s="1"/>
  <c r="DT59" i="97" s="1"/>
  <c r="AE62" i="34"/>
  <c r="F62" i="34"/>
  <c r="AE50" i="96" s="1"/>
  <c r="DQ57" i="97" s="1"/>
  <c r="DR57" i="97" s="1"/>
  <c r="DT57" i="97" s="1"/>
  <c r="AD61" i="34"/>
  <c r="AC61" i="34"/>
  <c r="AB61" i="34"/>
  <c r="AA61" i="34"/>
  <c r="Z61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AE61" i="34" s="1"/>
  <c r="AD59" i="34"/>
  <c r="AC59" i="34"/>
  <c r="AB59" i="34"/>
  <c r="AA59" i="34"/>
  <c r="Z59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AE58" i="34"/>
  <c r="AE45" i="34"/>
  <c r="F45" i="34"/>
  <c r="AE40" i="96" s="1"/>
  <c r="DQ32" i="97" s="1"/>
  <c r="DR32" i="97" s="1"/>
  <c r="DT32" i="97" s="1"/>
  <c r="AE44" i="34"/>
  <c r="F44" i="34"/>
  <c r="AE39" i="96" s="1"/>
  <c r="DQ31" i="97" s="1"/>
  <c r="DR31" i="97" s="1"/>
  <c r="DT31" i="97" s="1"/>
  <c r="AE43" i="34"/>
  <c r="AE42" i="34"/>
  <c r="F42" i="34"/>
  <c r="AE38" i="96" s="1"/>
  <c r="DQ29" i="97" s="1"/>
  <c r="DR29" i="97" s="1"/>
  <c r="DT29" i="97" s="1"/>
  <c r="AE41" i="34"/>
  <c r="F41" i="34"/>
  <c r="AE37" i="96" s="1"/>
  <c r="DQ28" i="97" s="1"/>
  <c r="DR28" i="97" s="1"/>
  <c r="DT28" i="97" s="1"/>
  <c r="AE40" i="34"/>
  <c r="F40" i="34"/>
  <c r="AE36" i="96" s="1"/>
  <c r="DQ27" i="97" s="1"/>
  <c r="DR27" i="97" s="1"/>
  <c r="DT27" i="97" s="1"/>
  <c r="AE39" i="34"/>
  <c r="F39" i="34"/>
  <c r="AE34" i="96" s="1"/>
  <c r="DQ26" i="97" s="1"/>
  <c r="DR26" i="97" s="1"/>
  <c r="DT26" i="97" s="1"/>
  <c r="AE38" i="34"/>
  <c r="F38" i="34"/>
  <c r="AE33" i="96" s="1"/>
  <c r="AE37" i="34"/>
  <c r="F37" i="34"/>
  <c r="AE32" i="96" s="1"/>
  <c r="DQ25" i="97" s="1"/>
  <c r="DR25" i="97" s="1"/>
  <c r="DT25" i="97" s="1"/>
  <c r="AE36" i="34"/>
  <c r="F36" i="34"/>
  <c r="AE31" i="96" s="1"/>
  <c r="AE35" i="34"/>
  <c r="F35" i="34"/>
  <c r="AE30" i="96" s="1"/>
  <c r="DQ24" i="97" s="1"/>
  <c r="DR24" i="97" s="1"/>
  <c r="DT24" i="97" s="1"/>
  <c r="AE34" i="34"/>
  <c r="F34" i="34"/>
  <c r="AE29" i="96" s="1"/>
  <c r="DQ23" i="97" s="1"/>
  <c r="DR23" i="97" s="1"/>
  <c r="DT23" i="97" s="1"/>
  <c r="AE33" i="34"/>
  <c r="F33" i="34"/>
  <c r="AE28" i="96" s="1"/>
  <c r="DQ22" i="97" s="1"/>
  <c r="DR22" i="97" s="1"/>
  <c r="DT22" i="97" s="1"/>
  <c r="AE32" i="34"/>
  <c r="F32" i="34"/>
  <c r="AE27" i="96" s="1"/>
  <c r="AE31" i="34"/>
  <c r="F31" i="34"/>
  <c r="AE26" i="96" s="1"/>
  <c r="DQ21" i="97" s="1"/>
  <c r="DR21" i="97" s="1"/>
  <c r="DT21" i="97" s="1"/>
  <c r="AE30" i="34"/>
  <c r="F30" i="34"/>
  <c r="AE25" i="96" s="1"/>
  <c r="DQ20" i="97" s="1"/>
  <c r="DR20" i="97" s="1"/>
  <c r="DS20" i="97" s="1"/>
  <c r="DT20" i="97" s="1"/>
  <c r="AE29" i="34"/>
  <c r="F29" i="34"/>
  <c r="AE24" i="96" s="1"/>
  <c r="DQ19" i="97" s="1"/>
  <c r="DR19" i="97" s="1"/>
  <c r="DT19" i="97" s="1"/>
  <c r="AE28" i="34"/>
  <c r="F28" i="34"/>
  <c r="AE23" i="96" s="1"/>
  <c r="AE27" i="34"/>
  <c r="F27" i="34"/>
  <c r="AE22" i="96" s="1"/>
  <c r="DQ18" i="97" s="1"/>
  <c r="DR18" i="97" s="1"/>
  <c r="DS18" i="97" s="1"/>
  <c r="DT18" i="97" s="1"/>
  <c r="AE26" i="34"/>
  <c r="F26" i="34"/>
  <c r="AE21" i="96" s="1"/>
  <c r="DQ17" i="97" s="1"/>
  <c r="DR17" i="97" s="1"/>
  <c r="DT17" i="97" s="1"/>
  <c r="AE25" i="34"/>
  <c r="F25" i="34"/>
  <c r="AE20" i="96" s="1"/>
  <c r="DQ16" i="97" s="1"/>
  <c r="DR16" i="97" s="1"/>
  <c r="DT16" i="97" s="1"/>
  <c r="AE24" i="34"/>
  <c r="F24" i="34"/>
  <c r="AE19" i="96" s="1"/>
  <c r="DQ15" i="97" s="1"/>
  <c r="DR15" i="97" s="1"/>
  <c r="DT15" i="97" s="1"/>
  <c r="AE23" i="34"/>
  <c r="F23" i="34"/>
  <c r="AE18" i="96" s="1"/>
  <c r="AE22" i="34"/>
  <c r="F22" i="34"/>
  <c r="AE17" i="96" s="1"/>
  <c r="DQ14" i="97" s="1"/>
  <c r="DR14" i="97" s="1"/>
  <c r="DT14" i="97" s="1"/>
  <c r="AE21" i="34"/>
  <c r="F21" i="34"/>
  <c r="AE16" i="96" s="1"/>
  <c r="DQ13" i="97" s="1"/>
  <c r="DR13" i="97" s="1"/>
  <c r="DT13" i="97" s="1"/>
  <c r="AE20" i="34"/>
  <c r="F20" i="34"/>
  <c r="AE15" i="96" s="1"/>
  <c r="DQ58" i="97" s="1"/>
  <c r="DR58" i="97" s="1"/>
  <c r="DT58" i="97" s="1"/>
  <c r="AE19" i="34"/>
  <c r="F19" i="34"/>
  <c r="AE18" i="34"/>
  <c r="F18" i="34"/>
  <c r="AE13" i="96" s="1"/>
  <c r="DQ11" i="97" s="1"/>
  <c r="DR11" i="97" s="1"/>
  <c r="DT11" i="97" s="1"/>
  <c r="AE17" i="34"/>
  <c r="F17" i="34"/>
  <c r="AE12" i="96" s="1"/>
  <c r="DQ56" i="97" s="1"/>
  <c r="DR56" i="97" s="1"/>
  <c r="DT56" i="97" s="1"/>
  <c r="AE16" i="34"/>
  <c r="F16" i="34"/>
  <c r="AE11" i="96" s="1"/>
  <c r="DQ10" i="97" s="1"/>
  <c r="DR10" i="97" s="1"/>
  <c r="DT10" i="97" s="1"/>
  <c r="AE15" i="34"/>
  <c r="F15" i="34"/>
  <c r="AE10" i="96" s="1"/>
  <c r="DQ9" i="97" s="1"/>
  <c r="DR9" i="97" s="1"/>
  <c r="DT9" i="97" s="1"/>
  <c r="AE14" i="34"/>
  <c r="F14" i="34"/>
  <c r="AE9" i="96" s="1"/>
  <c r="DQ8" i="97" s="1"/>
  <c r="DR8" i="97" s="1"/>
  <c r="DT8" i="97" s="1"/>
  <c r="AE13" i="34"/>
  <c r="F13" i="34"/>
  <c r="AE8" i="96" s="1"/>
  <c r="DQ7" i="97" s="1"/>
  <c r="DR7" i="97" s="1"/>
  <c r="DT7" i="97" s="1"/>
  <c r="AE12" i="34"/>
  <c r="F12" i="34"/>
  <c r="AE7" i="96" s="1"/>
  <c r="DQ6" i="97" s="1"/>
  <c r="DR6" i="97" s="1"/>
  <c r="DT6" i="97" s="1"/>
  <c r="AE11" i="34"/>
  <c r="F11" i="34"/>
  <c r="AE6" i="96" s="1"/>
  <c r="DQ5" i="97" s="1"/>
  <c r="DR5" i="97" s="1"/>
  <c r="DT5" i="97" s="1"/>
  <c r="AE10" i="34"/>
  <c r="F10" i="34"/>
  <c r="AE5" i="96" s="1"/>
  <c r="DQ4" i="97" s="1"/>
  <c r="DR4" i="97" s="1"/>
  <c r="DT4" i="97" s="1"/>
  <c r="AE9" i="34"/>
  <c r="F9" i="34"/>
  <c r="AE4" i="96" s="1"/>
  <c r="DQ3" i="97" s="1"/>
  <c r="DR3" i="97" s="1"/>
  <c r="DT3" i="97" s="1"/>
  <c r="AE8" i="34"/>
  <c r="F8" i="34"/>
  <c r="AE3" i="96" s="1"/>
  <c r="AD7" i="34"/>
  <c r="AD6" i="34" s="1"/>
  <c r="AC7" i="34"/>
  <c r="AB7" i="34"/>
  <c r="AA7" i="34"/>
  <c r="Z7" i="34"/>
  <c r="Z6" i="34" s="1"/>
  <c r="Y7" i="34"/>
  <c r="X7" i="34"/>
  <c r="W7" i="34"/>
  <c r="V7" i="34"/>
  <c r="V6" i="34" s="1"/>
  <c r="U7" i="34"/>
  <c r="T7" i="34"/>
  <c r="S7" i="34"/>
  <c r="R7" i="34"/>
  <c r="R6" i="34" s="1"/>
  <c r="Q7" i="34"/>
  <c r="P7" i="34"/>
  <c r="O7" i="34"/>
  <c r="N7" i="34"/>
  <c r="N6" i="34" s="1"/>
  <c r="M7" i="34"/>
  <c r="L7" i="34"/>
  <c r="K7" i="34"/>
  <c r="J7" i="34"/>
  <c r="J6" i="34" s="1"/>
  <c r="I7" i="34"/>
  <c r="H7" i="34"/>
  <c r="G7" i="34"/>
  <c r="AE7" i="34" s="1"/>
  <c r="AC6" i="34"/>
  <c r="AB6" i="34"/>
  <c r="AA6" i="34"/>
  <c r="Y6" i="34"/>
  <c r="X6" i="34"/>
  <c r="W6" i="34"/>
  <c r="U6" i="34"/>
  <c r="T6" i="34"/>
  <c r="S6" i="34"/>
  <c r="Q6" i="34"/>
  <c r="P6" i="34"/>
  <c r="O6" i="34"/>
  <c r="M6" i="34"/>
  <c r="L6" i="34"/>
  <c r="K6" i="34"/>
  <c r="I6" i="34"/>
  <c r="H6" i="34"/>
  <c r="G6" i="34"/>
  <c r="AE4" i="34"/>
  <c r="AF4" i="34" s="1"/>
  <c r="AE72" i="33"/>
  <c r="F72" i="33"/>
  <c r="AD60" i="96" s="1"/>
  <c r="AE71" i="33"/>
  <c r="F71" i="33"/>
  <c r="AD59" i="96" s="1"/>
  <c r="AE70" i="33"/>
  <c r="F70" i="33"/>
  <c r="AD58" i="96" s="1"/>
  <c r="AE69" i="33"/>
  <c r="F69" i="33"/>
  <c r="AD57" i="96" s="1"/>
  <c r="DM65" i="97" s="1"/>
  <c r="DN65" i="97" s="1"/>
  <c r="DP65" i="97" s="1"/>
  <c r="AE68" i="33"/>
  <c r="F68" i="33"/>
  <c r="AD56" i="96" s="1"/>
  <c r="DM64" i="97" s="1"/>
  <c r="DN64" i="97" s="1"/>
  <c r="DP64" i="97" s="1"/>
  <c r="AE67" i="33"/>
  <c r="F67" i="33"/>
  <c r="AD55" i="96" s="1"/>
  <c r="DM63" i="97" s="1"/>
  <c r="DN63" i="97" s="1"/>
  <c r="DP63" i="97" s="1"/>
  <c r="AE66" i="33"/>
  <c r="F66" i="33"/>
  <c r="AD54" i="96" s="1"/>
  <c r="DM62" i="97" s="1"/>
  <c r="DN62" i="97" s="1"/>
  <c r="DP62" i="97" s="1"/>
  <c r="AE65" i="33"/>
  <c r="F65" i="33"/>
  <c r="AD53" i="96" s="1"/>
  <c r="AE64" i="33"/>
  <c r="F64" i="33"/>
  <c r="AD52" i="96" s="1"/>
  <c r="AE63" i="33"/>
  <c r="F63" i="33"/>
  <c r="AD51" i="96" s="1"/>
  <c r="DM59" i="97" s="1"/>
  <c r="DN59" i="97" s="1"/>
  <c r="DP59" i="97" s="1"/>
  <c r="AE62" i="33"/>
  <c r="F62" i="33"/>
  <c r="AD50" i="96" s="1"/>
  <c r="DM57" i="97" s="1"/>
  <c r="DN57" i="97" s="1"/>
  <c r="DP57" i="97" s="1"/>
  <c r="AD61" i="33"/>
  <c r="AC61" i="33"/>
  <c r="AB61" i="33"/>
  <c r="AA61" i="33"/>
  <c r="Z61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AE61" i="33" s="1"/>
  <c r="AD59" i="33"/>
  <c r="AC59" i="33"/>
  <c r="AB59" i="33"/>
  <c r="AA59" i="33"/>
  <c r="Z59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AE58" i="33"/>
  <c r="AE45" i="33"/>
  <c r="F45" i="33"/>
  <c r="AD40" i="96" s="1"/>
  <c r="DM32" i="97" s="1"/>
  <c r="DN32" i="97" s="1"/>
  <c r="DP32" i="97" s="1"/>
  <c r="AE44" i="33"/>
  <c r="F44" i="33"/>
  <c r="AD39" i="96" s="1"/>
  <c r="DM31" i="97" s="1"/>
  <c r="DN31" i="97" s="1"/>
  <c r="DP31" i="97" s="1"/>
  <c r="AE43" i="33"/>
  <c r="F43" i="33"/>
  <c r="AD49" i="96" s="1"/>
  <c r="DM30" i="97" s="1"/>
  <c r="DN30" i="97" s="1"/>
  <c r="DP30" i="97" s="1"/>
  <c r="AE42" i="33"/>
  <c r="F42" i="33"/>
  <c r="AD38" i="96" s="1"/>
  <c r="DM29" i="97" s="1"/>
  <c r="DN29" i="97" s="1"/>
  <c r="DP29" i="97" s="1"/>
  <c r="AE41" i="33"/>
  <c r="F41" i="33"/>
  <c r="AD37" i="96" s="1"/>
  <c r="DM28" i="97" s="1"/>
  <c r="DN28" i="97" s="1"/>
  <c r="DP28" i="97" s="1"/>
  <c r="AE40" i="33"/>
  <c r="F40" i="33"/>
  <c r="AD36" i="96" s="1"/>
  <c r="DM27" i="97" s="1"/>
  <c r="DN27" i="97" s="1"/>
  <c r="DP27" i="97" s="1"/>
  <c r="AE39" i="33"/>
  <c r="F39" i="33"/>
  <c r="AD34" i="96" s="1"/>
  <c r="DM26" i="97" s="1"/>
  <c r="DN26" i="97" s="1"/>
  <c r="DP26" i="97" s="1"/>
  <c r="AE38" i="33"/>
  <c r="F38" i="33"/>
  <c r="AD33" i="96" s="1"/>
  <c r="AE37" i="33"/>
  <c r="F37" i="33"/>
  <c r="AD32" i="96" s="1"/>
  <c r="DM25" i="97" s="1"/>
  <c r="DN25" i="97" s="1"/>
  <c r="DP25" i="97" s="1"/>
  <c r="AE36" i="33"/>
  <c r="F36" i="33"/>
  <c r="AD31" i="96" s="1"/>
  <c r="AE35" i="33"/>
  <c r="F35" i="33"/>
  <c r="AD30" i="96" s="1"/>
  <c r="DM24" i="97" s="1"/>
  <c r="DN24" i="97" s="1"/>
  <c r="DP24" i="97" s="1"/>
  <c r="AE34" i="33"/>
  <c r="F34" i="33"/>
  <c r="AD29" i="96" s="1"/>
  <c r="DM23" i="97" s="1"/>
  <c r="DN23" i="97" s="1"/>
  <c r="DP23" i="97" s="1"/>
  <c r="AE33" i="33"/>
  <c r="F33" i="33"/>
  <c r="AD28" i="96" s="1"/>
  <c r="DM22" i="97" s="1"/>
  <c r="DN22" i="97" s="1"/>
  <c r="DP22" i="97" s="1"/>
  <c r="AE32" i="33"/>
  <c r="F32" i="33"/>
  <c r="AD27" i="96" s="1"/>
  <c r="AE31" i="33"/>
  <c r="F31" i="33"/>
  <c r="AD26" i="96" s="1"/>
  <c r="DM21" i="97" s="1"/>
  <c r="DN21" i="97" s="1"/>
  <c r="DP21" i="97" s="1"/>
  <c r="AE30" i="33"/>
  <c r="F30" i="33"/>
  <c r="AD25" i="96" s="1"/>
  <c r="DM20" i="97" s="1"/>
  <c r="DN20" i="97" s="1"/>
  <c r="DP20" i="97" s="1"/>
  <c r="AE29" i="33"/>
  <c r="F29" i="33"/>
  <c r="AD24" i="96" s="1"/>
  <c r="DM19" i="97" s="1"/>
  <c r="DN19" i="97" s="1"/>
  <c r="DP19" i="97" s="1"/>
  <c r="AE28" i="33"/>
  <c r="F28" i="33"/>
  <c r="AD23" i="96" s="1"/>
  <c r="AE27" i="33"/>
  <c r="F27" i="33"/>
  <c r="AD22" i="96" s="1"/>
  <c r="DM18" i="97" s="1"/>
  <c r="DN18" i="97" s="1"/>
  <c r="DP18" i="97" s="1"/>
  <c r="AE26" i="33"/>
  <c r="F26" i="33"/>
  <c r="AD21" i="96" s="1"/>
  <c r="DM17" i="97" s="1"/>
  <c r="DN17" i="97" s="1"/>
  <c r="DP17" i="97" s="1"/>
  <c r="AE25" i="33"/>
  <c r="F25" i="33"/>
  <c r="AD20" i="96" s="1"/>
  <c r="DM16" i="97" s="1"/>
  <c r="DN16" i="97" s="1"/>
  <c r="DP16" i="97" s="1"/>
  <c r="AE24" i="33"/>
  <c r="F24" i="33"/>
  <c r="AD19" i="96" s="1"/>
  <c r="DM15" i="97" s="1"/>
  <c r="DN15" i="97" s="1"/>
  <c r="DP15" i="97" s="1"/>
  <c r="AE23" i="33"/>
  <c r="F23" i="33"/>
  <c r="AD18" i="96" s="1"/>
  <c r="AE22" i="33"/>
  <c r="F22" i="33"/>
  <c r="AD17" i="96" s="1"/>
  <c r="DM14" i="97" s="1"/>
  <c r="DN14" i="97" s="1"/>
  <c r="DP14" i="97" s="1"/>
  <c r="AE21" i="33"/>
  <c r="F21" i="33"/>
  <c r="AD16" i="96" s="1"/>
  <c r="DM13" i="97" s="1"/>
  <c r="DN13" i="97" s="1"/>
  <c r="DP13" i="97" s="1"/>
  <c r="AE20" i="33"/>
  <c r="F20" i="33"/>
  <c r="AD15" i="96" s="1"/>
  <c r="DM58" i="97" s="1"/>
  <c r="DN58" i="97" s="1"/>
  <c r="DP58" i="97" s="1"/>
  <c r="AE19" i="33"/>
  <c r="F19" i="33"/>
  <c r="AE18" i="33"/>
  <c r="F18" i="33"/>
  <c r="AD13" i="96" s="1"/>
  <c r="DM11" i="97" s="1"/>
  <c r="DN11" i="97" s="1"/>
  <c r="DP11" i="97" s="1"/>
  <c r="AE17" i="33"/>
  <c r="F17" i="33"/>
  <c r="AD12" i="96" s="1"/>
  <c r="DM56" i="97" s="1"/>
  <c r="DN56" i="97" s="1"/>
  <c r="DP56" i="97" s="1"/>
  <c r="AE16" i="33"/>
  <c r="F16" i="33"/>
  <c r="AD11" i="96" s="1"/>
  <c r="DM10" i="97" s="1"/>
  <c r="DN10" i="97" s="1"/>
  <c r="DP10" i="97" s="1"/>
  <c r="AE15" i="33"/>
  <c r="F15" i="33"/>
  <c r="AD10" i="96" s="1"/>
  <c r="DM9" i="97" s="1"/>
  <c r="DN9" i="97" s="1"/>
  <c r="DP9" i="97" s="1"/>
  <c r="AE14" i="33"/>
  <c r="F14" i="33"/>
  <c r="AD9" i="96" s="1"/>
  <c r="DM8" i="97" s="1"/>
  <c r="DN8" i="97" s="1"/>
  <c r="DP8" i="97" s="1"/>
  <c r="AE13" i="33"/>
  <c r="F13" i="33"/>
  <c r="AD8" i="96" s="1"/>
  <c r="DM7" i="97" s="1"/>
  <c r="DN7" i="97" s="1"/>
  <c r="DP7" i="97" s="1"/>
  <c r="AE12" i="33"/>
  <c r="F12" i="33"/>
  <c r="AD7" i="96" s="1"/>
  <c r="DM6" i="97" s="1"/>
  <c r="DN6" i="97" s="1"/>
  <c r="DP6" i="97" s="1"/>
  <c r="AE11" i="33"/>
  <c r="F11" i="33"/>
  <c r="AD6" i="96" s="1"/>
  <c r="DM5" i="97" s="1"/>
  <c r="DN5" i="97" s="1"/>
  <c r="DP5" i="97" s="1"/>
  <c r="AE10" i="33"/>
  <c r="F10" i="33"/>
  <c r="AD5" i="96" s="1"/>
  <c r="DM4" i="97" s="1"/>
  <c r="DN4" i="97" s="1"/>
  <c r="DP4" i="97" s="1"/>
  <c r="AE9" i="33"/>
  <c r="F9" i="33"/>
  <c r="AD4" i="96" s="1"/>
  <c r="DM3" i="97" s="1"/>
  <c r="DN3" i="97" s="1"/>
  <c r="DO3" i="97" s="1"/>
  <c r="DP3" i="97" s="1"/>
  <c r="AE8" i="33"/>
  <c r="F8" i="33"/>
  <c r="AD3" i="96" s="1"/>
  <c r="AD7" i="33"/>
  <c r="AD6" i="33" s="1"/>
  <c r="AC7" i="33"/>
  <c r="AB7" i="33"/>
  <c r="AA7" i="33"/>
  <c r="Z7" i="33"/>
  <c r="Z6" i="33" s="1"/>
  <c r="Y7" i="33"/>
  <c r="X7" i="33"/>
  <c r="W7" i="33"/>
  <c r="V7" i="33"/>
  <c r="V6" i="33" s="1"/>
  <c r="U7" i="33"/>
  <c r="T7" i="33"/>
  <c r="S7" i="33"/>
  <c r="R7" i="33"/>
  <c r="R6" i="33" s="1"/>
  <c r="Q7" i="33"/>
  <c r="P7" i="33"/>
  <c r="O7" i="33"/>
  <c r="N7" i="33"/>
  <c r="N6" i="33" s="1"/>
  <c r="M7" i="33"/>
  <c r="L7" i="33"/>
  <c r="K7" i="33"/>
  <c r="J7" i="33"/>
  <c r="J6" i="33" s="1"/>
  <c r="I7" i="33"/>
  <c r="H7" i="33"/>
  <c r="G7" i="33"/>
  <c r="AE7" i="33" s="1"/>
  <c r="AC6" i="33"/>
  <c r="AB6" i="33"/>
  <c r="AA6" i="33"/>
  <c r="Y6" i="33"/>
  <c r="X6" i="33"/>
  <c r="W6" i="33"/>
  <c r="U6" i="33"/>
  <c r="T6" i="33"/>
  <c r="S6" i="33"/>
  <c r="Q6" i="33"/>
  <c r="P6" i="33"/>
  <c r="O6" i="33"/>
  <c r="M6" i="33"/>
  <c r="L6" i="33"/>
  <c r="K6" i="33"/>
  <c r="I6" i="33"/>
  <c r="H6" i="33"/>
  <c r="G6" i="33"/>
  <c r="AE4" i="33"/>
  <c r="AF4" i="33" s="1"/>
  <c r="AE72" i="32"/>
  <c r="F72" i="32"/>
  <c r="AC60" i="96" s="1"/>
  <c r="AE71" i="32"/>
  <c r="F71" i="32"/>
  <c r="AC59" i="96" s="1"/>
  <c r="AE70" i="32"/>
  <c r="F70" i="32"/>
  <c r="AC58" i="96" s="1"/>
  <c r="AE69" i="32"/>
  <c r="F69" i="32"/>
  <c r="AC57" i="96" s="1"/>
  <c r="DI65" i="97" s="1"/>
  <c r="DJ65" i="97" s="1"/>
  <c r="DL65" i="97" s="1"/>
  <c r="AE68" i="32"/>
  <c r="F68" i="32"/>
  <c r="AC56" i="96" s="1"/>
  <c r="DI64" i="97" s="1"/>
  <c r="DJ64" i="97" s="1"/>
  <c r="DL64" i="97" s="1"/>
  <c r="AE67" i="32"/>
  <c r="F67" i="32"/>
  <c r="AC55" i="96" s="1"/>
  <c r="DI63" i="97" s="1"/>
  <c r="DJ63" i="97" s="1"/>
  <c r="DL63" i="97" s="1"/>
  <c r="AE66" i="32"/>
  <c r="F66" i="32"/>
  <c r="AC54" i="96" s="1"/>
  <c r="DI62" i="97" s="1"/>
  <c r="DJ62" i="97" s="1"/>
  <c r="DL62" i="97" s="1"/>
  <c r="AE65" i="32"/>
  <c r="F65" i="32"/>
  <c r="AC53" i="96" s="1"/>
  <c r="AE64" i="32"/>
  <c r="F64" i="32"/>
  <c r="AC52" i="96" s="1"/>
  <c r="AE63" i="32"/>
  <c r="F63" i="32"/>
  <c r="AC51" i="96" s="1"/>
  <c r="DI59" i="97" s="1"/>
  <c r="DJ59" i="97" s="1"/>
  <c r="DL59" i="97" s="1"/>
  <c r="AE62" i="32"/>
  <c r="F62" i="32"/>
  <c r="AC50" i="96" s="1"/>
  <c r="DI57" i="97" s="1"/>
  <c r="DJ57" i="97" s="1"/>
  <c r="DL57" i="97" s="1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AE61" i="32" s="1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AE58" i="32"/>
  <c r="AE55" i="32"/>
  <c r="AE51" i="32"/>
  <c r="AE50" i="32"/>
  <c r="AE49" i="32"/>
  <c r="AE48" i="32"/>
  <c r="AE47" i="32"/>
  <c r="AE46" i="32"/>
  <c r="AE45" i="32"/>
  <c r="F45" i="32"/>
  <c r="AC40" i="96" s="1"/>
  <c r="DI32" i="97" s="1"/>
  <c r="DJ32" i="97" s="1"/>
  <c r="DL32" i="97" s="1"/>
  <c r="AE44" i="32"/>
  <c r="F44" i="32"/>
  <c r="AC39" i="96" s="1"/>
  <c r="DI31" i="97" s="1"/>
  <c r="DJ31" i="97" s="1"/>
  <c r="DL31" i="97" s="1"/>
  <c r="AE43" i="32"/>
  <c r="F43" i="32"/>
  <c r="AC49" i="96" s="1"/>
  <c r="DI30" i="97" s="1"/>
  <c r="DJ30" i="97" s="1"/>
  <c r="DL30" i="97" s="1"/>
  <c r="AE42" i="32"/>
  <c r="F42" i="32"/>
  <c r="AC38" i="96" s="1"/>
  <c r="DI29" i="97" s="1"/>
  <c r="DJ29" i="97" s="1"/>
  <c r="DL29" i="97" s="1"/>
  <c r="AE41" i="32"/>
  <c r="F41" i="32"/>
  <c r="AC37" i="96" s="1"/>
  <c r="DI28" i="97" s="1"/>
  <c r="DJ28" i="97" s="1"/>
  <c r="DL28" i="97" s="1"/>
  <c r="AE40" i="32"/>
  <c r="F40" i="32"/>
  <c r="AC36" i="96" s="1"/>
  <c r="DI27" i="97" s="1"/>
  <c r="DJ27" i="97" s="1"/>
  <c r="DL27" i="97" s="1"/>
  <c r="AE39" i="32"/>
  <c r="F39" i="32"/>
  <c r="AC34" i="96" s="1"/>
  <c r="DI26" i="97" s="1"/>
  <c r="DJ26" i="97" s="1"/>
  <c r="DL26" i="97" s="1"/>
  <c r="AE38" i="32"/>
  <c r="F38" i="32"/>
  <c r="AC33" i="96" s="1"/>
  <c r="AE37" i="32"/>
  <c r="F37" i="32"/>
  <c r="AC32" i="96" s="1"/>
  <c r="DI25" i="97" s="1"/>
  <c r="DJ25" i="97" s="1"/>
  <c r="DL25" i="97" s="1"/>
  <c r="AE36" i="32"/>
  <c r="F36" i="32"/>
  <c r="AC31" i="96" s="1"/>
  <c r="AE35" i="32"/>
  <c r="F35" i="32"/>
  <c r="AC29" i="96" s="1"/>
  <c r="DI23" i="97" s="1"/>
  <c r="AE34" i="32"/>
  <c r="F34" i="32"/>
  <c r="AC30" i="96" s="1"/>
  <c r="DI24" i="97" s="1"/>
  <c r="DJ24" i="97" s="1"/>
  <c r="DL24" i="97" s="1"/>
  <c r="AE33" i="32"/>
  <c r="F33" i="32"/>
  <c r="AC28" i="96" s="1"/>
  <c r="DI22" i="97" s="1"/>
  <c r="DJ22" i="97" s="1"/>
  <c r="DL22" i="97" s="1"/>
  <c r="AE32" i="32"/>
  <c r="F32" i="32"/>
  <c r="AC27" i="96" s="1"/>
  <c r="AE31" i="32"/>
  <c r="F31" i="32"/>
  <c r="AC26" i="96" s="1"/>
  <c r="DI21" i="97" s="1"/>
  <c r="DJ21" i="97" s="1"/>
  <c r="DL21" i="97" s="1"/>
  <c r="AE30" i="32"/>
  <c r="F30" i="32"/>
  <c r="AC25" i="96" s="1"/>
  <c r="DI20" i="97" s="1"/>
  <c r="DJ20" i="97" s="1"/>
  <c r="DL20" i="97" s="1"/>
  <c r="AE29" i="32"/>
  <c r="F29" i="32"/>
  <c r="AC24" i="96" s="1"/>
  <c r="DI19" i="97" s="1"/>
  <c r="DJ19" i="97" s="1"/>
  <c r="DL19" i="97" s="1"/>
  <c r="AE28" i="32"/>
  <c r="F28" i="32"/>
  <c r="AC23" i="96" s="1"/>
  <c r="AE27" i="32"/>
  <c r="F27" i="32"/>
  <c r="AC22" i="96" s="1"/>
  <c r="DI18" i="97" s="1"/>
  <c r="DJ18" i="97" s="1"/>
  <c r="DL18" i="97" s="1"/>
  <c r="AE26" i="32"/>
  <c r="F26" i="32"/>
  <c r="AC21" i="96" s="1"/>
  <c r="DI17" i="97" s="1"/>
  <c r="DJ17" i="97" s="1"/>
  <c r="DL17" i="97" s="1"/>
  <c r="AE25" i="32"/>
  <c r="F25" i="32"/>
  <c r="AC20" i="96" s="1"/>
  <c r="DI16" i="97" s="1"/>
  <c r="DJ16" i="97" s="1"/>
  <c r="DL16" i="97" s="1"/>
  <c r="AE24" i="32"/>
  <c r="F24" i="32"/>
  <c r="AC19" i="96" s="1"/>
  <c r="DI15" i="97" s="1"/>
  <c r="DJ15" i="97" s="1"/>
  <c r="DL15" i="97" s="1"/>
  <c r="AE23" i="32"/>
  <c r="F23" i="32"/>
  <c r="AC18" i="96" s="1"/>
  <c r="AE22" i="32"/>
  <c r="F22" i="32"/>
  <c r="AC17" i="96" s="1"/>
  <c r="DI14" i="97" s="1"/>
  <c r="DJ14" i="97" s="1"/>
  <c r="DL14" i="97" s="1"/>
  <c r="AE21" i="32"/>
  <c r="F21" i="32"/>
  <c r="AC16" i="96" s="1"/>
  <c r="DI13" i="97" s="1"/>
  <c r="DJ13" i="97" s="1"/>
  <c r="DL13" i="97" s="1"/>
  <c r="AE20" i="32"/>
  <c r="F20" i="32"/>
  <c r="AC15" i="96" s="1"/>
  <c r="DI58" i="97" s="1"/>
  <c r="DJ58" i="97" s="1"/>
  <c r="DL58" i="97" s="1"/>
  <c r="AE19" i="32"/>
  <c r="F19" i="32"/>
  <c r="AE18" i="32"/>
  <c r="F18" i="32"/>
  <c r="AC13" i="96" s="1"/>
  <c r="DI11" i="97" s="1"/>
  <c r="DJ11" i="97" s="1"/>
  <c r="DL11" i="97" s="1"/>
  <c r="AE17" i="32"/>
  <c r="F17" i="32"/>
  <c r="AC12" i="96" s="1"/>
  <c r="DI56" i="97" s="1"/>
  <c r="DJ56" i="97" s="1"/>
  <c r="DL56" i="97" s="1"/>
  <c r="AE16" i="32"/>
  <c r="F16" i="32"/>
  <c r="AC11" i="96" s="1"/>
  <c r="DI10" i="97" s="1"/>
  <c r="DJ10" i="97" s="1"/>
  <c r="DL10" i="97" s="1"/>
  <c r="AE15" i="32"/>
  <c r="F15" i="32"/>
  <c r="AC10" i="96" s="1"/>
  <c r="DI9" i="97" s="1"/>
  <c r="DJ9" i="97" s="1"/>
  <c r="DL9" i="97" s="1"/>
  <c r="AE14" i="32"/>
  <c r="F14" i="32"/>
  <c r="AC9" i="96" s="1"/>
  <c r="DI8" i="97" s="1"/>
  <c r="DJ8" i="97" s="1"/>
  <c r="DL8" i="97" s="1"/>
  <c r="AE13" i="32"/>
  <c r="F13" i="32"/>
  <c r="AC8" i="96" s="1"/>
  <c r="DI7" i="97" s="1"/>
  <c r="DJ7" i="97" s="1"/>
  <c r="DL7" i="97" s="1"/>
  <c r="AE12" i="32"/>
  <c r="F12" i="32"/>
  <c r="AC7" i="96" s="1"/>
  <c r="DI6" i="97" s="1"/>
  <c r="DJ6" i="97" s="1"/>
  <c r="DL6" i="97" s="1"/>
  <c r="AE11" i="32"/>
  <c r="F11" i="32"/>
  <c r="AC6" i="96" s="1"/>
  <c r="DI5" i="97" s="1"/>
  <c r="DJ5" i="97" s="1"/>
  <c r="DL5" i="97" s="1"/>
  <c r="AE10" i="32"/>
  <c r="F10" i="32"/>
  <c r="AC5" i="96" s="1"/>
  <c r="DI4" i="97" s="1"/>
  <c r="DJ4" i="97" s="1"/>
  <c r="DL4" i="97" s="1"/>
  <c r="AE9" i="32"/>
  <c r="F9" i="32"/>
  <c r="AC4" i="96" s="1"/>
  <c r="DI3" i="97" s="1"/>
  <c r="DJ3" i="97" s="1"/>
  <c r="DK3" i="97" s="1"/>
  <c r="DL3" i="97" s="1"/>
  <c r="AE8" i="32"/>
  <c r="F8" i="32"/>
  <c r="AC3" i="96" s="1"/>
  <c r="AD7" i="32"/>
  <c r="AC7" i="32"/>
  <c r="AC6" i="32" s="1"/>
  <c r="AB7" i="32"/>
  <c r="AA7" i="32"/>
  <c r="Z7" i="32"/>
  <c r="Y7" i="32"/>
  <c r="Y6" i="32" s="1"/>
  <c r="X7" i="32"/>
  <c r="W7" i="32"/>
  <c r="V7" i="32"/>
  <c r="U7" i="32"/>
  <c r="U6" i="32" s="1"/>
  <c r="T7" i="32"/>
  <c r="S7" i="32"/>
  <c r="R7" i="32"/>
  <c r="Q7" i="32"/>
  <c r="Q6" i="32" s="1"/>
  <c r="P7" i="32"/>
  <c r="O7" i="32"/>
  <c r="N7" i="32"/>
  <c r="M7" i="32"/>
  <c r="M6" i="32" s="1"/>
  <c r="L7" i="32"/>
  <c r="K7" i="32"/>
  <c r="J7" i="32"/>
  <c r="I7" i="32"/>
  <c r="I6" i="32" s="1"/>
  <c r="H7" i="32"/>
  <c r="G7" i="32"/>
  <c r="AE7" i="32" s="1"/>
  <c r="AD6" i="32"/>
  <c r="AB6" i="32"/>
  <c r="AA6" i="32"/>
  <c r="Z6" i="32"/>
  <c r="X6" i="32"/>
  <c r="W6" i="32"/>
  <c r="V6" i="32"/>
  <c r="T6" i="32"/>
  <c r="S6" i="32"/>
  <c r="R6" i="32"/>
  <c r="P6" i="32"/>
  <c r="O6" i="32"/>
  <c r="N6" i="32"/>
  <c r="L6" i="32"/>
  <c r="K6" i="32"/>
  <c r="J6" i="32"/>
  <c r="H6" i="32"/>
  <c r="G6" i="32"/>
  <c r="AE6" i="32" s="1"/>
  <c r="AF4" i="32"/>
  <c r="AE4" i="32"/>
  <c r="AE72" i="31"/>
  <c r="F72" i="31"/>
  <c r="AB60" i="96" s="1"/>
  <c r="AE71" i="31"/>
  <c r="F71" i="31"/>
  <c r="AB59" i="96" s="1"/>
  <c r="AE70" i="31"/>
  <c r="F70" i="31"/>
  <c r="AB58" i="96" s="1"/>
  <c r="AE69" i="31"/>
  <c r="F69" i="31"/>
  <c r="AB57" i="96" s="1"/>
  <c r="DE65" i="97" s="1"/>
  <c r="DF65" i="97" s="1"/>
  <c r="DH65" i="97" s="1"/>
  <c r="AE68" i="31"/>
  <c r="F68" i="31"/>
  <c r="AB56" i="96" s="1"/>
  <c r="DE64" i="97" s="1"/>
  <c r="DF64" i="97" s="1"/>
  <c r="DH64" i="97" s="1"/>
  <c r="AE67" i="31"/>
  <c r="F67" i="31"/>
  <c r="AB55" i="96" s="1"/>
  <c r="DE63" i="97" s="1"/>
  <c r="DF63" i="97" s="1"/>
  <c r="DH63" i="97" s="1"/>
  <c r="AE66" i="31"/>
  <c r="F66" i="31"/>
  <c r="AB54" i="96" s="1"/>
  <c r="DE62" i="97" s="1"/>
  <c r="DF62" i="97" s="1"/>
  <c r="DH62" i="97" s="1"/>
  <c r="AE65" i="31"/>
  <c r="F65" i="31"/>
  <c r="AB53" i="96" s="1"/>
  <c r="AE64" i="31"/>
  <c r="F64" i="31"/>
  <c r="AB52" i="96" s="1"/>
  <c r="AE63" i="31"/>
  <c r="F63" i="31"/>
  <c r="AB51" i="96" s="1"/>
  <c r="DE59" i="97" s="1"/>
  <c r="DF59" i="97" s="1"/>
  <c r="DH59" i="97" s="1"/>
  <c r="AE62" i="31"/>
  <c r="F62" i="31"/>
  <c r="AB50" i="96" s="1"/>
  <c r="DE57" i="97" s="1"/>
  <c r="DF57" i="97" s="1"/>
  <c r="DH57" i="97" s="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AE61" i="31" s="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AE58" i="31"/>
  <c r="AE52" i="31"/>
  <c r="AE45" i="31"/>
  <c r="F45" i="31"/>
  <c r="AB40" i="96" s="1"/>
  <c r="DE32" i="97" s="1"/>
  <c r="DF32" i="97" s="1"/>
  <c r="DH32" i="97" s="1"/>
  <c r="AE44" i="31"/>
  <c r="F44" i="31"/>
  <c r="AB39" i="96" s="1"/>
  <c r="DE31" i="97" s="1"/>
  <c r="DF31" i="97" s="1"/>
  <c r="DH31" i="97" s="1"/>
  <c r="AE43" i="31"/>
  <c r="F43" i="31"/>
  <c r="AB49" i="96" s="1"/>
  <c r="DE30" i="97" s="1"/>
  <c r="DF30" i="97" s="1"/>
  <c r="DH30" i="97" s="1"/>
  <c r="AE42" i="31"/>
  <c r="F42" i="31"/>
  <c r="AB38" i="96" s="1"/>
  <c r="DE29" i="97" s="1"/>
  <c r="DF29" i="97" s="1"/>
  <c r="DH29" i="97" s="1"/>
  <c r="AE41" i="31"/>
  <c r="F41" i="31"/>
  <c r="AB37" i="96" s="1"/>
  <c r="DE28" i="97" s="1"/>
  <c r="DF28" i="97" s="1"/>
  <c r="DH28" i="97" s="1"/>
  <c r="AE40" i="31"/>
  <c r="F40" i="31"/>
  <c r="AB36" i="96" s="1"/>
  <c r="DE27" i="97" s="1"/>
  <c r="DF27" i="97" s="1"/>
  <c r="DH27" i="97" s="1"/>
  <c r="AE39" i="31"/>
  <c r="F39" i="31"/>
  <c r="AB34" i="96" s="1"/>
  <c r="DE26" i="97" s="1"/>
  <c r="DF26" i="97" s="1"/>
  <c r="DH26" i="97" s="1"/>
  <c r="AE38" i="31"/>
  <c r="F38" i="31"/>
  <c r="AB33" i="96" s="1"/>
  <c r="AE37" i="31"/>
  <c r="F37" i="31"/>
  <c r="AB32" i="96" s="1"/>
  <c r="DE25" i="97" s="1"/>
  <c r="DF25" i="97" s="1"/>
  <c r="DH25" i="97" s="1"/>
  <c r="AE36" i="31"/>
  <c r="F36" i="31"/>
  <c r="AB31" i="96" s="1"/>
  <c r="AE35" i="31"/>
  <c r="F35" i="31"/>
  <c r="AB29" i="96" s="1"/>
  <c r="DE23" i="97" s="1"/>
  <c r="DF23" i="97" s="1"/>
  <c r="DH23" i="97" s="1"/>
  <c r="AE34" i="31"/>
  <c r="F34" i="31"/>
  <c r="AB30" i="96" s="1"/>
  <c r="DE24" i="97" s="1"/>
  <c r="DF24" i="97" s="1"/>
  <c r="DH24" i="97" s="1"/>
  <c r="AE33" i="31"/>
  <c r="F33" i="31"/>
  <c r="AB28" i="96" s="1"/>
  <c r="DE22" i="97" s="1"/>
  <c r="DF22" i="97" s="1"/>
  <c r="DH22" i="97" s="1"/>
  <c r="AE32" i="31"/>
  <c r="F32" i="31"/>
  <c r="AB27" i="96" s="1"/>
  <c r="AE31" i="31"/>
  <c r="F31" i="31"/>
  <c r="AB26" i="96" s="1"/>
  <c r="DE21" i="97" s="1"/>
  <c r="DF21" i="97" s="1"/>
  <c r="DH21" i="97" s="1"/>
  <c r="AE30" i="31"/>
  <c r="F30" i="31"/>
  <c r="AB25" i="96" s="1"/>
  <c r="DE20" i="97" s="1"/>
  <c r="DF20" i="97" s="1"/>
  <c r="DG20" i="97" s="1"/>
  <c r="DH20" i="97" s="1"/>
  <c r="AE29" i="31"/>
  <c r="F29" i="31"/>
  <c r="AB24" i="96" s="1"/>
  <c r="DE19" i="97" s="1"/>
  <c r="DF19" i="97" s="1"/>
  <c r="DH19" i="97" s="1"/>
  <c r="AE28" i="31"/>
  <c r="F28" i="31"/>
  <c r="AB23" i="96" s="1"/>
  <c r="AE27" i="31"/>
  <c r="F27" i="31"/>
  <c r="AB22" i="96" s="1"/>
  <c r="DE18" i="97" s="1"/>
  <c r="DF18" i="97" s="1"/>
  <c r="DH18" i="97" s="1"/>
  <c r="AE26" i="31"/>
  <c r="F26" i="31"/>
  <c r="AB21" i="96" s="1"/>
  <c r="DE17" i="97" s="1"/>
  <c r="DF17" i="97" s="1"/>
  <c r="DH17" i="97" s="1"/>
  <c r="AE25" i="31"/>
  <c r="F25" i="31"/>
  <c r="AB20" i="96" s="1"/>
  <c r="DE16" i="97" s="1"/>
  <c r="DF16" i="97" s="1"/>
  <c r="DH16" i="97" s="1"/>
  <c r="AE24" i="31"/>
  <c r="F24" i="31"/>
  <c r="AB19" i="96" s="1"/>
  <c r="DE15" i="97" s="1"/>
  <c r="DF15" i="97" s="1"/>
  <c r="DH15" i="97" s="1"/>
  <c r="AE23" i="31"/>
  <c r="F23" i="31"/>
  <c r="AB18" i="96" s="1"/>
  <c r="AE22" i="31"/>
  <c r="F22" i="31"/>
  <c r="AB17" i="96" s="1"/>
  <c r="DE14" i="97" s="1"/>
  <c r="DF14" i="97" s="1"/>
  <c r="DH14" i="97" s="1"/>
  <c r="F21" i="31"/>
  <c r="AB16" i="96" s="1"/>
  <c r="DE13" i="97" s="1"/>
  <c r="DF13" i="97" s="1"/>
  <c r="DH13" i="97" s="1"/>
  <c r="AE20" i="31"/>
  <c r="F20" i="31"/>
  <c r="AB15" i="96" s="1"/>
  <c r="DE58" i="97" s="1"/>
  <c r="DF58" i="97" s="1"/>
  <c r="DH58" i="97" s="1"/>
  <c r="AE19" i="31"/>
  <c r="F19" i="31"/>
  <c r="AE18" i="31"/>
  <c r="F18" i="31"/>
  <c r="AB13" i="96" s="1"/>
  <c r="DE11" i="97" s="1"/>
  <c r="DF11" i="97" s="1"/>
  <c r="DH11" i="97" s="1"/>
  <c r="AE17" i="31"/>
  <c r="F17" i="31"/>
  <c r="AB12" i="96" s="1"/>
  <c r="DE56" i="97" s="1"/>
  <c r="DF56" i="97" s="1"/>
  <c r="DH56" i="97" s="1"/>
  <c r="AE16" i="31"/>
  <c r="F16" i="31"/>
  <c r="AB11" i="96" s="1"/>
  <c r="DE10" i="97" s="1"/>
  <c r="DF10" i="97" s="1"/>
  <c r="DH10" i="97" s="1"/>
  <c r="AE15" i="31"/>
  <c r="F15" i="31"/>
  <c r="AB10" i="96" s="1"/>
  <c r="DE9" i="97" s="1"/>
  <c r="DF9" i="97" s="1"/>
  <c r="DH9" i="97" s="1"/>
  <c r="AE14" i="31"/>
  <c r="F14" i="31"/>
  <c r="AB9" i="96" s="1"/>
  <c r="DE8" i="97" s="1"/>
  <c r="DF8" i="97" s="1"/>
  <c r="DH8" i="97" s="1"/>
  <c r="AE13" i="31"/>
  <c r="F13" i="31"/>
  <c r="AB8" i="96" s="1"/>
  <c r="DE7" i="97" s="1"/>
  <c r="DF7" i="97" s="1"/>
  <c r="DG7" i="97" s="1"/>
  <c r="DH7" i="97" s="1"/>
  <c r="AE12" i="31"/>
  <c r="F12" i="31"/>
  <c r="AB7" i="96" s="1"/>
  <c r="DE6" i="97" s="1"/>
  <c r="DF6" i="97" s="1"/>
  <c r="DH6" i="97" s="1"/>
  <c r="AE11" i="31"/>
  <c r="F11" i="31"/>
  <c r="AB6" i="96" s="1"/>
  <c r="DE5" i="97" s="1"/>
  <c r="DF5" i="97" s="1"/>
  <c r="DG5" i="97" s="1"/>
  <c r="DH5" i="97" s="1"/>
  <c r="AE10" i="31"/>
  <c r="F10" i="31"/>
  <c r="AB5" i="96" s="1"/>
  <c r="DE4" i="97" s="1"/>
  <c r="DF4" i="97" s="1"/>
  <c r="DH4" i="97" s="1"/>
  <c r="AE9" i="31"/>
  <c r="F9" i="31"/>
  <c r="AB4" i="96" s="1"/>
  <c r="DE3" i="97" s="1"/>
  <c r="DF3" i="97" s="1"/>
  <c r="DH3" i="97" s="1"/>
  <c r="AE8" i="31"/>
  <c r="F8" i="31"/>
  <c r="AB3" i="96" s="1"/>
  <c r="AD7" i="31"/>
  <c r="AC7" i="31"/>
  <c r="AC6" i="31" s="1"/>
  <c r="AB7" i="31"/>
  <c r="AA7" i="31"/>
  <c r="Z7" i="31"/>
  <c r="Y7" i="31"/>
  <c r="Y6" i="31" s="1"/>
  <c r="X7" i="31"/>
  <c r="W7" i="31"/>
  <c r="V7" i="31"/>
  <c r="U7" i="31"/>
  <c r="U6" i="31" s="1"/>
  <c r="T7" i="31"/>
  <c r="S7" i="31"/>
  <c r="R7" i="31"/>
  <c r="Q7" i="31"/>
  <c r="Q6" i="31" s="1"/>
  <c r="P7" i="31"/>
  <c r="O7" i="31"/>
  <c r="N7" i="31"/>
  <c r="M7" i="31"/>
  <c r="M6" i="31" s="1"/>
  <c r="L7" i="31"/>
  <c r="K7" i="31"/>
  <c r="J7" i="31"/>
  <c r="I7" i="31"/>
  <c r="I6" i="31" s="1"/>
  <c r="H7" i="31"/>
  <c r="G7" i="31"/>
  <c r="AE7" i="31" s="1"/>
  <c r="AD6" i="31"/>
  <c r="AB6" i="31"/>
  <c r="AA6" i="31"/>
  <c r="Z6" i="31"/>
  <c r="X6" i="31"/>
  <c r="W6" i="31"/>
  <c r="V6" i="31"/>
  <c r="T6" i="31"/>
  <c r="S6" i="31"/>
  <c r="R6" i="31"/>
  <c r="P6" i="31"/>
  <c r="O6" i="31"/>
  <c r="N6" i="31"/>
  <c r="L6" i="31"/>
  <c r="K6" i="31"/>
  <c r="J6" i="31"/>
  <c r="H6" i="31"/>
  <c r="G6" i="31"/>
  <c r="AE6" i="31" s="1"/>
  <c r="AF4" i="31"/>
  <c r="AE4" i="31"/>
  <c r="AE72" i="30"/>
  <c r="F72" i="30"/>
  <c r="AA60" i="96" s="1"/>
  <c r="AE71" i="30"/>
  <c r="F71" i="30"/>
  <c r="AA59" i="96" s="1"/>
  <c r="AE70" i="30"/>
  <c r="F70" i="30"/>
  <c r="AA58" i="96" s="1"/>
  <c r="AE69" i="30"/>
  <c r="F69" i="30"/>
  <c r="AA57" i="96" s="1"/>
  <c r="DA65" i="97" s="1"/>
  <c r="DB65" i="97" s="1"/>
  <c r="DD65" i="97" s="1"/>
  <c r="AE68" i="30"/>
  <c r="F68" i="30"/>
  <c r="AA56" i="96" s="1"/>
  <c r="DA64" i="97" s="1"/>
  <c r="DB64" i="97" s="1"/>
  <c r="DD64" i="97" s="1"/>
  <c r="AE67" i="30"/>
  <c r="F67" i="30"/>
  <c r="AA55" i="96" s="1"/>
  <c r="DA63" i="97" s="1"/>
  <c r="DB63" i="97" s="1"/>
  <c r="DD63" i="97" s="1"/>
  <c r="AE66" i="30"/>
  <c r="F66" i="30"/>
  <c r="AA54" i="96" s="1"/>
  <c r="DA62" i="97" s="1"/>
  <c r="DB62" i="97" s="1"/>
  <c r="DD62" i="97" s="1"/>
  <c r="AE65" i="30"/>
  <c r="F65" i="30"/>
  <c r="AA53" i="96" s="1"/>
  <c r="AE64" i="30"/>
  <c r="F64" i="30"/>
  <c r="AA52" i="96" s="1"/>
  <c r="AE63" i="30"/>
  <c r="F63" i="30"/>
  <c r="AA51" i="96" s="1"/>
  <c r="DA59" i="97" s="1"/>
  <c r="DB59" i="97" s="1"/>
  <c r="DD59" i="97" s="1"/>
  <c r="AE62" i="30"/>
  <c r="F62" i="30"/>
  <c r="AA50" i="96" s="1"/>
  <c r="DA57" i="97" s="1"/>
  <c r="DB57" i="97" s="1"/>
  <c r="DD57" i="97" s="1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AE61" i="30" s="1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AE58" i="30"/>
  <c r="AE45" i="30"/>
  <c r="F45" i="30"/>
  <c r="AA40" i="96" s="1"/>
  <c r="DA32" i="97" s="1"/>
  <c r="DB32" i="97" s="1"/>
  <c r="DD32" i="97" s="1"/>
  <c r="AE44" i="30"/>
  <c r="F44" i="30"/>
  <c r="AA39" i="96" s="1"/>
  <c r="DA31" i="97" s="1"/>
  <c r="DB31" i="97" s="1"/>
  <c r="DD31" i="97" s="1"/>
  <c r="AE43" i="30"/>
  <c r="F43" i="30"/>
  <c r="AA49" i="96" s="1"/>
  <c r="DA30" i="97" s="1"/>
  <c r="DB30" i="97" s="1"/>
  <c r="DD30" i="97" s="1"/>
  <c r="AE42" i="30"/>
  <c r="F42" i="30"/>
  <c r="AA38" i="96" s="1"/>
  <c r="DA29" i="97" s="1"/>
  <c r="DB29" i="97" s="1"/>
  <c r="DD29" i="97" s="1"/>
  <c r="AE41" i="30"/>
  <c r="F41" i="30"/>
  <c r="AA37" i="96" s="1"/>
  <c r="DA28" i="97" s="1"/>
  <c r="DB28" i="97" s="1"/>
  <c r="DD28" i="97" s="1"/>
  <c r="AE40" i="30"/>
  <c r="F40" i="30"/>
  <c r="AA36" i="96" s="1"/>
  <c r="DA27" i="97" s="1"/>
  <c r="DB27" i="97" s="1"/>
  <c r="DD27" i="97" s="1"/>
  <c r="AE39" i="30"/>
  <c r="F39" i="30"/>
  <c r="AA34" i="96" s="1"/>
  <c r="DA26" i="97" s="1"/>
  <c r="DB26" i="97" s="1"/>
  <c r="DD26" i="97" s="1"/>
  <c r="AE38" i="30"/>
  <c r="F38" i="30"/>
  <c r="AA33" i="96" s="1"/>
  <c r="AE37" i="30"/>
  <c r="F37" i="30"/>
  <c r="AA32" i="96" s="1"/>
  <c r="DA25" i="97" s="1"/>
  <c r="DB25" i="97" s="1"/>
  <c r="DD25" i="97" s="1"/>
  <c r="AE36" i="30"/>
  <c r="F36" i="30"/>
  <c r="AA31" i="96" s="1"/>
  <c r="AE35" i="30"/>
  <c r="F35" i="30"/>
  <c r="AA29" i="96" s="1"/>
  <c r="DA23" i="97" s="1"/>
  <c r="DB23" i="97" s="1"/>
  <c r="DD23" i="97" s="1"/>
  <c r="AE34" i="30"/>
  <c r="F34" i="30"/>
  <c r="AA30" i="96" s="1"/>
  <c r="DA24" i="97" s="1"/>
  <c r="DB24" i="97" s="1"/>
  <c r="DD24" i="97" s="1"/>
  <c r="AE33" i="30"/>
  <c r="F33" i="30"/>
  <c r="AA28" i="96" s="1"/>
  <c r="DA22" i="97" s="1"/>
  <c r="DB22" i="97" s="1"/>
  <c r="DD22" i="97" s="1"/>
  <c r="AE32" i="30"/>
  <c r="F32" i="30"/>
  <c r="AA27" i="96" s="1"/>
  <c r="AE31" i="30"/>
  <c r="F31" i="30"/>
  <c r="AA26" i="96" s="1"/>
  <c r="DA21" i="97" s="1"/>
  <c r="DB21" i="97" s="1"/>
  <c r="DD21" i="97" s="1"/>
  <c r="AE30" i="30"/>
  <c r="F30" i="30"/>
  <c r="AA25" i="96" s="1"/>
  <c r="DA20" i="97" s="1"/>
  <c r="DB20" i="97" s="1"/>
  <c r="DD20" i="97" s="1"/>
  <c r="AE29" i="30"/>
  <c r="F29" i="30"/>
  <c r="AA24" i="96" s="1"/>
  <c r="DA19" i="97" s="1"/>
  <c r="DB19" i="97" s="1"/>
  <c r="DD19" i="97" s="1"/>
  <c r="AE28" i="30"/>
  <c r="F28" i="30"/>
  <c r="AA23" i="96" s="1"/>
  <c r="AE27" i="30"/>
  <c r="F27" i="30"/>
  <c r="AA22" i="96" s="1"/>
  <c r="DA18" i="97" s="1"/>
  <c r="DB18" i="97" s="1"/>
  <c r="DD18" i="97" s="1"/>
  <c r="AE26" i="30"/>
  <c r="F26" i="30"/>
  <c r="AA21" i="96" s="1"/>
  <c r="DA17" i="97" s="1"/>
  <c r="DB17" i="97" s="1"/>
  <c r="DD17" i="97" s="1"/>
  <c r="AE25" i="30"/>
  <c r="F25" i="30"/>
  <c r="AA20" i="96" s="1"/>
  <c r="DA16" i="97" s="1"/>
  <c r="DB16" i="97" s="1"/>
  <c r="DD16" i="97" s="1"/>
  <c r="AE24" i="30"/>
  <c r="F24" i="30"/>
  <c r="AA19" i="96" s="1"/>
  <c r="DA15" i="97" s="1"/>
  <c r="DB15" i="97" s="1"/>
  <c r="DC15" i="97" s="1"/>
  <c r="DD15" i="97" s="1"/>
  <c r="AE23" i="30"/>
  <c r="F23" i="30"/>
  <c r="AA18" i="96" s="1"/>
  <c r="AE22" i="30"/>
  <c r="F22" i="30"/>
  <c r="AA17" i="96" s="1"/>
  <c r="DA14" i="97" s="1"/>
  <c r="DB14" i="97" s="1"/>
  <c r="DD14" i="97" s="1"/>
  <c r="AE21" i="30"/>
  <c r="F21" i="30"/>
  <c r="AA16" i="96" s="1"/>
  <c r="DA13" i="97" s="1"/>
  <c r="DB13" i="97" s="1"/>
  <c r="DD13" i="97" s="1"/>
  <c r="AE20" i="30"/>
  <c r="F20" i="30"/>
  <c r="AA15" i="96" s="1"/>
  <c r="DA58" i="97" s="1"/>
  <c r="DB58" i="97" s="1"/>
  <c r="DD58" i="97" s="1"/>
  <c r="AE19" i="30"/>
  <c r="F19" i="30"/>
  <c r="AE18" i="30"/>
  <c r="F18" i="30"/>
  <c r="AA13" i="96" s="1"/>
  <c r="DA11" i="97" s="1"/>
  <c r="DB11" i="97" s="1"/>
  <c r="DD11" i="97" s="1"/>
  <c r="AE17" i="30"/>
  <c r="F17" i="30"/>
  <c r="AA12" i="96" s="1"/>
  <c r="DA56" i="97" s="1"/>
  <c r="DB56" i="97" s="1"/>
  <c r="DD56" i="97" s="1"/>
  <c r="AE16" i="30"/>
  <c r="F16" i="30"/>
  <c r="AA11" i="96" s="1"/>
  <c r="DA10" i="97" s="1"/>
  <c r="DB10" i="97" s="1"/>
  <c r="DD10" i="97" s="1"/>
  <c r="AE15" i="30"/>
  <c r="F15" i="30"/>
  <c r="AA10" i="96" s="1"/>
  <c r="DA9" i="97" s="1"/>
  <c r="DB9" i="97" s="1"/>
  <c r="DD9" i="97" s="1"/>
  <c r="AE14" i="30"/>
  <c r="F14" i="30"/>
  <c r="AA9" i="96" s="1"/>
  <c r="DA8" i="97" s="1"/>
  <c r="DB8" i="97" s="1"/>
  <c r="DD8" i="97" s="1"/>
  <c r="AE13" i="30"/>
  <c r="F13" i="30"/>
  <c r="AA8" i="96" s="1"/>
  <c r="DA7" i="97" s="1"/>
  <c r="DB7" i="97" s="1"/>
  <c r="DD7" i="97" s="1"/>
  <c r="AE12" i="30"/>
  <c r="F12" i="30"/>
  <c r="AA7" i="96" s="1"/>
  <c r="DA6" i="97" s="1"/>
  <c r="DB6" i="97" s="1"/>
  <c r="DD6" i="97" s="1"/>
  <c r="AE11" i="30"/>
  <c r="F11" i="30"/>
  <c r="AA6" i="96" s="1"/>
  <c r="DA5" i="97" s="1"/>
  <c r="DB5" i="97" s="1"/>
  <c r="DD5" i="97" s="1"/>
  <c r="AE10" i="30"/>
  <c r="F10" i="30"/>
  <c r="AA5" i="96" s="1"/>
  <c r="DA4" i="97" s="1"/>
  <c r="DB4" i="97" s="1"/>
  <c r="DD4" i="97" s="1"/>
  <c r="AE9" i="30"/>
  <c r="F9" i="30"/>
  <c r="AA4" i="96" s="1"/>
  <c r="DA3" i="97" s="1"/>
  <c r="DB3" i="97" s="1"/>
  <c r="DC3" i="97" s="1"/>
  <c r="DD3" i="97" s="1"/>
  <c r="AE8" i="30"/>
  <c r="F8" i="30"/>
  <c r="AA3" i="96" s="1"/>
  <c r="AD7" i="30"/>
  <c r="AC7" i="30"/>
  <c r="AC6" i="30" s="1"/>
  <c r="AB7" i="30"/>
  <c r="AA7" i="30"/>
  <c r="Z7" i="30"/>
  <c r="Y7" i="30"/>
  <c r="Y6" i="30" s="1"/>
  <c r="X7" i="30"/>
  <c r="W7" i="30"/>
  <c r="V7" i="30"/>
  <c r="U7" i="30"/>
  <c r="U6" i="30" s="1"/>
  <c r="T7" i="30"/>
  <c r="S7" i="30"/>
  <c r="R7" i="30"/>
  <c r="Q7" i="30"/>
  <c r="Q6" i="30" s="1"/>
  <c r="P7" i="30"/>
  <c r="O7" i="30"/>
  <c r="N7" i="30"/>
  <c r="M7" i="30"/>
  <c r="M6" i="30" s="1"/>
  <c r="L7" i="30"/>
  <c r="K7" i="30"/>
  <c r="J7" i="30"/>
  <c r="I7" i="30"/>
  <c r="I6" i="30" s="1"/>
  <c r="H7" i="30"/>
  <c r="G7" i="30"/>
  <c r="AE7" i="30" s="1"/>
  <c r="AD6" i="30"/>
  <c r="AB6" i="30"/>
  <c r="AA6" i="30"/>
  <c r="Z6" i="30"/>
  <c r="X6" i="30"/>
  <c r="W6" i="30"/>
  <c r="V6" i="30"/>
  <c r="T6" i="30"/>
  <c r="S6" i="30"/>
  <c r="R6" i="30"/>
  <c r="P6" i="30"/>
  <c r="O6" i="30"/>
  <c r="N6" i="30"/>
  <c r="L6" i="30"/>
  <c r="K6" i="30"/>
  <c r="J6" i="30"/>
  <c r="H6" i="30"/>
  <c r="G6" i="30"/>
  <c r="AE6" i="30" s="1"/>
  <c r="AF4" i="30"/>
  <c r="AE4" i="30"/>
  <c r="Z60" i="96"/>
  <c r="Z59" i="96"/>
  <c r="Z58" i="96"/>
  <c r="Z57" i="96"/>
  <c r="CW65" i="97" s="1"/>
  <c r="CX65" i="97" s="1"/>
  <c r="CZ65" i="97" s="1"/>
  <c r="Z56" i="96"/>
  <c r="CW64" i="97" s="1"/>
  <c r="CX64" i="97" s="1"/>
  <c r="CZ64" i="97" s="1"/>
  <c r="Z55" i="96"/>
  <c r="CW63" i="97" s="1"/>
  <c r="CX63" i="97" s="1"/>
  <c r="CZ63" i="97" s="1"/>
  <c r="Z54" i="96"/>
  <c r="CW62" i="97" s="1"/>
  <c r="CX62" i="97" s="1"/>
  <c r="CZ62" i="97" s="1"/>
  <c r="Z53" i="96"/>
  <c r="Z52" i="96"/>
  <c r="Z51" i="96"/>
  <c r="CW59" i="97" s="1"/>
  <c r="CX59" i="97" s="1"/>
  <c r="CZ59" i="97" s="1"/>
  <c r="Z50" i="96"/>
  <c r="CW57" i="97" s="1"/>
  <c r="CX57" i="97" s="1"/>
  <c r="CZ57" i="97" s="1"/>
  <c r="Z40" i="96"/>
  <c r="CW32" i="97" s="1"/>
  <c r="CX32" i="97" s="1"/>
  <c r="CZ32" i="97" s="1"/>
  <c r="Z39" i="96"/>
  <c r="CW31" i="97" s="1"/>
  <c r="CX31" i="97" s="1"/>
  <c r="CZ31" i="97" s="1"/>
  <c r="Z49" i="96"/>
  <c r="CW30" i="97" s="1"/>
  <c r="CX30" i="97" s="1"/>
  <c r="CZ30" i="97" s="1"/>
  <c r="Z38" i="96"/>
  <c r="CW29" i="97" s="1"/>
  <c r="CX29" i="97" s="1"/>
  <c r="CZ29" i="97" s="1"/>
  <c r="Z37" i="96"/>
  <c r="CW28" i="97" s="1"/>
  <c r="CX28" i="97" s="1"/>
  <c r="CZ28" i="97" s="1"/>
  <c r="Z36" i="96"/>
  <c r="CW27" i="97" s="1"/>
  <c r="CX27" i="97" s="1"/>
  <c r="CZ27" i="97" s="1"/>
  <c r="Z34" i="96"/>
  <c r="CW26" i="97" s="1"/>
  <c r="CX26" i="97" s="1"/>
  <c r="CZ26" i="97" s="1"/>
  <c r="Z33" i="96"/>
  <c r="Z32" i="96"/>
  <c r="CW25" i="97" s="1"/>
  <c r="CX25" i="97" s="1"/>
  <c r="CZ25" i="97" s="1"/>
  <c r="Z31" i="96"/>
  <c r="Z29" i="96"/>
  <c r="CW23" i="97" s="1"/>
  <c r="CX23" i="97" s="1"/>
  <c r="CZ23" i="97" s="1"/>
  <c r="Z28" i="96"/>
  <c r="CW22" i="97" s="1"/>
  <c r="CX22" i="97" s="1"/>
  <c r="CZ22" i="97" s="1"/>
  <c r="Z27" i="96"/>
  <c r="Z26" i="96"/>
  <c r="CW21" i="97" s="1"/>
  <c r="CX21" i="97" s="1"/>
  <c r="CZ21" i="97" s="1"/>
  <c r="Z25" i="96"/>
  <c r="CW20" i="97" s="1"/>
  <c r="CX20" i="97" s="1"/>
  <c r="CZ20" i="97" s="1"/>
  <c r="Z24" i="96"/>
  <c r="CW19" i="97" s="1"/>
  <c r="CX19" i="97" s="1"/>
  <c r="CZ19" i="97" s="1"/>
  <c r="Z23" i="96"/>
  <c r="Z22" i="96"/>
  <c r="CW18" i="97" s="1"/>
  <c r="CX18" i="97" s="1"/>
  <c r="CZ18" i="97" s="1"/>
  <c r="Z20" i="96"/>
  <c r="CW16" i="97" s="1"/>
  <c r="CX16" i="97" s="1"/>
  <c r="CZ16" i="97" s="1"/>
  <c r="Z18" i="96"/>
  <c r="Z17" i="96"/>
  <c r="CW14" i="97" s="1"/>
  <c r="CX14" i="97" s="1"/>
  <c r="CZ14" i="97" s="1"/>
  <c r="Z16" i="96"/>
  <c r="CW13" i="97" s="1"/>
  <c r="CX13" i="97" s="1"/>
  <c r="CZ13" i="97" s="1"/>
  <c r="Z15" i="96"/>
  <c r="CW58" i="97" s="1"/>
  <c r="CX58" i="97" s="1"/>
  <c r="CZ58" i="97" s="1"/>
  <c r="Z13" i="96"/>
  <c r="CW11" i="97" s="1"/>
  <c r="CX11" i="97" s="1"/>
  <c r="CZ11" i="97" s="1"/>
  <c r="Z12" i="96"/>
  <c r="CW56" i="97" s="1"/>
  <c r="CX56" i="97" s="1"/>
  <c r="CY56" i="97" s="1"/>
  <c r="CZ56" i="97" s="1"/>
  <c r="Z11" i="96"/>
  <c r="CW10" i="97" s="1"/>
  <c r="CX10" i="97" s="1"/>
  <c r="CZ10" i="97" s="1"/>
  <c r="Z10" i="96"/>
  <c r="CW9" i="97" s="1"/>
  <c r="CX9" i="97" s="1"/>
  <c r="CZ9" i="97" s="1"/>
  <c r="Z9" i="96"/>
  <c r="CW8" i="97" s="1"/>
  <c r="CX8" i="97" s="1"/>
  <c r="CZ8" i="97" s="1"/>
  <c r="Z8" i="96"/>
  <c r="CW7" i="97" s="1"/>
  <c r="CX7" i="97" s="1"/>
  <c r="CZ7" i="97" s="1"/>
  <c r="Z7" i="96"/>
  <c r="CW6" i="97" s="1"/>
  <c r="CX6" i="97" s="1"/>
  <c r="CZ6" i="97" s="1"/>
  <c r="Z6" i="96"/>
  <c r="CW5" i="97" s="1"/>
  <c r="CX5" i="97" s="1"/>
  <c r="CZ5" i="97" s="1"/>
  <c r="Z5" i="96"/>
  <c r="CW4" i="97" s="1"/>
  <c r="CX4" i="97" s="1"/>
  <c r="CZ4" i="97" s="1"/>
  <c r="Z4" i="96"/>
  <c r="CW3" i="97" s="1"/>
  <c r="CX3" i="97" s="1"/>
  <c r="CZ3" i="97" s="1"/>
  <c r="Z3" i="96"/>
  <c r="Y60" i="96"/>
  <c r="Y59" i="96"/>
  <c r="Y58" i="96"/>
  <c r="Y57" i="96"/>
  <c r="CS65" i="97" s="1"/>
  <c r="CT65" i="97" s="1"/>
  <c r="CV65" i="97" s="1"/>
  <c r="Y56" i="96"/>
  <c r="CS64" i="97" s="1"/>
  <c r="CT64" i="97" s="1"/>
  <c r="CV64" i="97" s="1"/>
  <c r="Y55" i="96"/>
  <c r="CS63" i="97" s="1"/>
  <c r="CT63" i="97" s="1"/>
  <c r="CV63" i="97" s="1"/>
  <c r="Y54" i="96"/>
  <c r="CS62" i="97" s="1"/>
  <c r="CT62" i="97" s="1"/>
  <c r="CV62" i="97" s="1"/>
  <c r="Y53" i="96"/>
  <c r="Y52" i="96"/>
  <c r="Y51" i="96"/>
  <c r="CS59" i="97" s="1"/>
  <c r="CT59" i="97" s="1"/>
  <c r="CV59" i="97" s="1"/>
  <c r="Y50" i="96"/>
  <c r="CS57" i="97" s="1"/>
  <c r="CT57" i="97" s="1"/>
  <c r="CV57" i="97" s="1"/>
  <c r="Y40" i="96"/>
  <c r="CS32" i="97" s="1"/>
  <c r="CT32" i="97" s="1"/>
  <c r="CV32" i="97" s="1"/>
  <c r="Y39" i="96"/>
  <c r="CS31" i="97" s="1"/>
  <c r="CT31" i="97" s="1"/>
  <c r="CV31" i="97" s="1"/>
  <c r="Y38" i="96"/>
  <c r="CS29" i="97" s="1"/>
  <c r="CT29" i="97" s="1"/>
  <c r="CV29" i="97" s="1"/>
  <c r="Y37" i="96"/>
  <c r="CS28" i="97" s="1"/>
  <c r="CT28" i="97" s="1"/>
  <c r="CV28" i="97" s="1"/>
  <c r="Y36" i="96"/>
  <c r="CS27" i="97" s="1"/>
  <c r="CT27" i="97" s="1"/>
  <c r="CV27" i="97" s="1"/>
  <c r="Y34" i="96"/>
  <c r="CS26" i="97" s="1"/>
  <c r="CT26" i="97" s="1"/>
  <c r="CV26" i="97" s="1"/>
  <c r="Y33" i="96"/>
  <c r="Y32" i="96"/>
  <c r="CS25" i="97" s="1"/>
  <c r="CT25" i="97" s="1"/>
  <c r="CV25" i="97" s="1"/>
  <c r="Y31" i="96"/>
  <c r="Y30" i="96"/>
  <c r="CS24" i="97" s="1"/>
  <c r="CT24" i="97" s="1"/>
  <c r="CV24" i="97" s="1"/>
  <c r="Y29" i="96"/>
  <c r="CS23" i="97" s="1"/>
  <c r="CT23" i="97" s="1"/>
  <c r="CV23" i="97" s="1"/>
  <c r="Y28" i="96"/>
  <c r="CS22" i="97" s="1"/>
  <c r="CT22" i="97" s="1"/>
  <c r="CV22" i="97" s="1"/>
  <c r="Y27" i="96"/>
  <c r="Y26" i="96"/>
  <c r="CS21" i="97" s="1"/>
  <c r="CT21" i="97" s="1"/>
  <c r="CV21" i="97" s="1"/>
  <c r="Y25" i="96"/>
  <c r="CS20" i="97" s="1"/>
  <c r="CT20" i="97" s="1"/>
  <c r="CV20" i="97" s="1"/>
  <c r="Y24" i="96"/>
  <c r="CS19" i="97" s="1"/>
  <c r="CT19" i="97" s="1"/>
  <c r="CV19" i="97" s="1"/>
  <c r="Y23" i="96"/>
  <c r="Y22" i="96"/>
  <c r="CS18" i="97" s="1"/>
  <c r="CT18" i="97" s="1"/>
  <c r="CV18" i="97" s="1"/>
  <c r="Y21" i="96"/>
  <c r="CS17" i="97" s="1"/>
  <c r="CT17" i="97" s="1"/>
  <c r="CV17" i="97" s="1"/>
  <c r="Y20" i="96"/>
  <c r="CS16" i="97" s="1"/>
  <c r="CT16" i="97" s="1"/>
  <c r="CV16" i="97" s="1"/>
  <c r="Y19" i="96"/>
  <c r="CS15" i="97" s="1"/>
  <c r="CT15" i="97" s="1"/>
  <c r="CV15" i="97" s="1"/>
  <c r="Y18" i="96"/>
  <c r="Y17" i="96"/>
  <c r="CS14" i="97" s="1"/>
  <c r="CT14" i="97" s="1"/>
  <c r="CV14" i="97" s="1"/>
  <c r="Y16" i="96"/>
  <c r="CS13" i="97" s="1"/>
  <c r="CT13" i="97" s="1"/>
  <c r="CV13" i="97" s="1"/>
  <c r="Y15" i="96"/>
  <c r="CS58" i="97" s="1"/>
  <c r="CT58" i="97" s="1"/>
  <c r="CV58" i="97" s="1"/>
  <c r="Y13" i="96"/>
  <c r="CS11" i="97" s="1"/>
  <c r="CT11" i="97" s="1"/>
  <c r="CV11" i="97" s="1"/>
  <c r="Y12" i="96"/>
  <c r="CS56" i="97" s="1"/>
  <c r="CT56" i="97" s="1"/>
  <c r="CV56" i="97" s="1"/>
  <c r="Y11" i="96"/>
  <c r="CS10" i="97" s="1"/>
  <c r="CT10" i="97" s="1"/>
  <c r="CU10" i="97" s="1"/>
  <c r="CV10" i="97" s="1"/>
  <c r="Y10" i="96"/>
  <c r="CS9" i="97" s="1"/>
  <c r="CT9" i="97" s="1"/>
  <c r="CV9" i="97" s="1"/>
  <c r="Y9" i="96"/>
  <c r="CS8" i="97" s="1"/>
  <c r="CT8" i="97" s="1"/>
  <c r="CV8" i="97" s="1"/>
  <c r="Y8" i="96"/>
  <c r="CS7" i="97" s="1"/>
  <c r="CT7" i="97" s="1"/>
  <c r="CV7" i="97" s="1"/>
  <c r="Y7" i="96"/>
  <c r="CS6" i="97" s="1"/>
  <c r="CT6" i="97" s="1"/>
  <c r="CV6" i="97" s="1"/>
  <c r="Y6" i="96"/>
  <c r="CS5" i="97" s="1"/>
  <c r="CT5" i="97" s="1"/>
  <c r="CV5" i="97" s="1"/>
  <c r="Y5" i="96"/>
  <c r="CS4" i="97" s="1"/>
  <c r="CT4" i="97" s="1"/>
  <c r="CV4" i="97" s="1"/>
  <c r="Y4" i="96"/>
  <c r="CS3" i="97" s="1"/>
  <c r="CT3" i="97" s="1"/>
  <c r="CV3" i="97" s="1"/>
  <c r="Y3" i="96"/>
  <c r="X60" i="96"/>
  <c r="X59" i="96"/>
  <c r="X58" i="96"/>
  <c r="X57" i="96"/>
  <c r="CO65" i="97" s="1"/>
  <c r="CP65" i="97" s="1"/>
  <c r="CR65" i="97" s="1"/>
  <c r="X56" i="96"/>
  <c r="CO64" i="97" s="1"/>
  <c r="CP64" i="97" s="1"/>
  <c r="CR64" i="97" s="1"/>
  <c r="X55" i="96"/>
  <c r="CO63" i="97" s="1"/>
  <c r="CP63" i="97" s="1"/>
  <c r="CR63" i="97" s="1"/>
  <c r="X54" i="96"/>
  <c r="CO62" i="97" s="1"/>
  <c r="CP62" i="97" s="1"/>
  <c r="CR62" i="97" s="1"/>
  <c r="X53" i="96"/>
  <c r="X52" i="96"/>
  <c r="X51" i="96"/>
  <c r="CO59" i="97" s="1"/>
  <c r="CP59" i="97" s="1"/>
  <c r="CR59" i="97" s="1"/>
  <c r="X50" i="96"/>
  <c r="CO57" i="97" s="1"/>
  <c r="CP57" i="97" s="1"/>
  <c r="CR57" i="97" s="1"/>
  <c r="X40" i="96"/>
  <c r="CO32" i="97" s="1"/>
  <c r="CP32" i="97" s="1"/>
  <c r="CR32" i="97" s="1"/>
  <c r="X39" i="96"/>
  <c r="CO31" i="97" s="1"/>
  <c r="CP31" i="97" s="1"/>
  <c r="CR31" i="97" s="1"/>
  <c r="X49" i="96"/>
  <c r="CO30" i="97" s="1"/>
  <c r="CP30" i="97" s="1"/>
  <c r="CR30" i="97" s="1"/>
  <c r="X38" i="96"/>
  <c r="CO29" i="97" s="1"/>
  <c r="CP29" i="97" s="1"/>
  <c r="CR29" i="97" s="1"/>
  <c r="X37" i="96"/>
  <c r="CO28" i="97" s="1"/>
  <c r="CP28" i="97" s="1"/>
  <c r="CR28" i="97" s="1"/>
  <c r="X36" i="96"/>
  <c r="CO27" i="97" s="1"/>
  <c r="CP27" i="97" s="1"/>
  <c r="CR27" i="97" s="1"/>
  <c r="X34" i="96"/>
  <c r="CO26" i="97" s="1"/>
  <c r="CP26" i="97" s="1"/>
  <c r="CR26" i="97" s="1"/>
  <c r="X33" i="96"/>
  <c r="X32" i="96"/>
  <c r="CO25" i="97" s="1"/>
  <c r="CP25" i="97" s="1"/>
  <c r="CR25" i="97" s="1"/>
  <c r="X31" i="96"/>
  <c r="X30" i="96"/>
  <c r="CO24" i="97" s="1"/>
  <c r="CP24" i="97" s="1"/>
  <c r="CR24" i="97" s="1"/>
  <c r="X29" i="96"/>
  <c r="CO23" i="97" s="1"/>
  <c r="CP23" i="97" s="1"/>
  <c r="CR23" i="97" s="1"/>
  <c r="X28" i="96"/>
  <c r="CO22" i="97" s="1"/>
  <c r="CP22" i="97" s="1"/>
  <c r="CR22" i="97" s="1"/>
  <c r="X27" i="96"/>
  <c r="X26" i="96"/>
  <c r="CO21" i="97" s="1"/>
  <c r="CP21" i="97" s="1"/>
  <c r="CR21" i="97" s="1"/>
  <c r="X25" i="96"/>
  <c r="CO20" i="97" s="1"/>
  <c r="CP20" i="97" s="1"/>
  <c r="CQ20" i="97" s="1"/>
  <c r="CR20" i="97" s="1"/>
  <c r="X24" i="96"/>
  <c r="CO19" i="97" s="1"/>
  <c r="CP19" i="97" s="1"/>
  <c r="CR19" i="97" s="1"/>
  <c r="X23" i="96"/>
  <c r="X22" i="96"/>
  <c r="CO18" i="97" s="1"/>
  <c r="CP18" i="97" s="1"/>
  <c r="CR18" i="97" s="1"/>
  <c r="X21" i="96"/>
  <c r="X20" i="96"/>
  <c r="CO16" i="97" s="1"/>
  <c r="CP16" i="97" s="1"/>
  <c r="CR16" i="97" s="1"/>
  <c r="X19" i="96"/>
  <c r="CO15" i="97" s="1"/>
  <c r="CP15" i="97" s="1"/>
  <c r="CR15" i="97" s="1"/>
  <c r="X18" i="96"/>
  <c r="X17" i="96"/>
  <c r="CO14" i="97" s="1"/>
  <c r="CP14" i="97" s="1"/>
  <c r="CR14" i="97" s="1"/>
  <c r="X16" i="96"/>
  <c r="CO13" i="97" s="1"/>
  <c r="CP13" i="97" s="1"/>
  <c r="CR13" i="97" s="1"/>
  <c r="X15" i="96"/>
  <c r="CO58" i="97" s="1"/>
  <c r="CP58" i="97" s="1"/>
  <c r="CR58" i="97" s="1"/>
  <c r="X13" i="96"/>
  <c r="CO11" i="97" s="1"/>
  <c r="CP11" i="97" s="1"/>
  <c r="CR11" i="97" s="1"/>
  <c r="X12" i="96"/>
  <c r="X11" i="96"/>
  <c r="CO10" i="97" s="1"/>
  <c r="CP10" i="97" s="1"/>
  <c r="CQ10" i="97" s="1"/>
  <c r="CR10" i="97" s="1"/>
  <c r="X10" i="96"/>
  <c r="CO9" i="97" s="1"/>
  <c r="CP9" i="97" s="1"/>
  <c r="CR9" i="97" s="1"/>
  <c r="X9" i="96"/>
  <c r="CO8" i="97" s="1"/>
  <c r="CP8" i="97" s="1"/>
  <c r="CR8" i="97" s="1"/>
  <c r="X8" i="96"/>
  <c r="CO7" i="97" s="1"/>
  <c r="CP7" i="97" s="1"/>
  <c r="CQ7" i="97" s="1"/>
  <c r="CR7" i="97" s="1"/>
  <c r="X7" i="96"/>
  <c r="CO6" i="97" s="1"/>
  <c r="CP6" i="97" s="1"/>
  <c r="CR6" i="97" s="1"/>
  <c r="X6" i="96"/>
  <c r="CO5" i="97" s="1"/>
  <c r="CP5" i="97" s="1"/>
  <c r="CR5" i="97" s="1"/>
  <c r="X5" i="96"/>
  <c r="CO4" i="97" s="1"/>
  <c r="CP4" i="97" s="1"/>
  <c r="CR4" i="97" s="1"/>
  <c r="X4" i="96"/>
  <c r="CO3" i="97" s="1"/>
  <c r="CP3" i="97" s="1"/>
  <c r="CR3" i="97" s="1"/>
  <c r="X3" i="96"/>
  <c r="V60" i="96"/>
  <c r="V59" i="96"/>
  <c r="V58" i="96"/>
  <c r="V56" i="96"/>
  <c r="CG64" i="97" s="1"/>
  <c r="CH64" i="97" s="1"/>
  <c r="CJ64" i="97" s="1"/>
  <c r="V55" i="96"/>
  <c r="CG63" i="97" s="1"/>
  <c r="CH63" i="97" s="1"/>
  <c r="CJ63" i="97" s="1"/>
  <c r="V54" i="96"/>
  <c r="CG62" i="97" s="1"/>
  <c r="CH62" i="97" s="1"/>
  <c r="CJ62" i="97" s="1"/>
  <c r="V53" i="96"/>
  <c r="V52" i="96"/>
  <c r="V51" i="96"/>
  <c r="CG59" i="97" s="1"/>
  <c r="CH59" i="97" s="1"/>
  <c r="CJ59" i="97" s="1"/>
  <c r="V50" i="96"/>
  <c r="CG57" i="97" s="1"/>
  <c r="CH57" i="97" s="1"/>
  <c r="CJ57" i="97" s="1"/>
  <c r="V49" i="96"/>
  <c r="CG30" i="97" s="1"/>
  <c r="CH30" i="97" s="1"/>
  <c r="CJ30" i="97" s="1"/>
  <c r="V46" i="96"/>
  <c r="CG53" i="97" s="1"/>
  <c r="CH53" i="97" s="1"/>
  <c r="CJ53" i="97" s="1"/>
  <c r="V45" i="96"/>
  <c r="CG37" i="97" s="1"/>
  <c r="CH37" i="97" s="1"/>
  <c r="CJ37" i="97" s="1"/>
  <c r="V35" i="96"/>
  <c r="CG36" i="97" s="1"/>
  <c r="CH36" i="97" s="1"/>
  <c r="CJ36" i="97" s="1"/>
  <c r="V44" i="96"/>
  <c r="V43" i="96"/>
  <c r="CG35" i="97" s="1"/>
  <c r="CH35" i="97" s="1"/>
  <c r="CJ35" i="97" s="1"/>
  <c r="V42" i="96"/>
  <c r="CG34" i="97" s="1"/>
  <c r="CH34" i="97" s="1"/>
  <c r="CJ34" i="97" s="1"/>
  <c r="V41" i="96"/>
  <c r="CG33" i="97" s="1"/>
  <c r="CH33" i="97" s="1"/>
  <c r="CJ33" i="97" s="1"/>
  <c r="V40" i="96"/>
  <c r="CG32" i="97" s="1"/>
  <c r="CH32" i="97" s="1"/>
  <c r="CJ32" i="97" s="1"/>
  <c r="V39" i="96"/>
  <c r="CG31" i="97" s="1"/>
  <c r="CH31" i="97" s="1"/>
  <c r="CJ31" i="97" s="1"/>
  <c r="V38" i="96"/>
  <c r="CG29" i="97" s="1"/>
  <c r="CH29" i="97" s="1"/>
  <c r="CJ29" i="97" s="1"/>
  <c r="V37" i="96"/>
  <c r="CG28" i="97" s="1"/>
  <c r="CH28" i="97" s="1"/>
  <c r="CJ28" i="97" s="1"/>
  <c r="V36" i="96"/>
  <c r="CG27" i="97" s="1"/>
  <c r="CH27" i="97" s="1"/>
  <c r="CJ27" i="97" s="1"/>
  <c r="V34" i="96"/>
  <c r="CG26" i="97" s="1"/>
  <c r="CH26" i="97" s="1"/>
  <c r="CJ26" i="97" s="1"/>
  <c r="V33" i="96"/>
  <c r="V32" i="96"/>
  <c r="CG25" i="97" s="1"/>
  <c r="CH25" i="97" s="1"/>
  <c r="CJ25" i="97" s="1"/>
  <c r="V31" i="96"/>
  <c r="V30" i="96"/>
  <c r="CG24" i="97" s="1"/>
  <c r="CH24" i="97" s="1"/>
  <c r="CJ24" i="97" s="1"/>
  <c r="V29" i="96"/>
  <c r="CG23" i="97" s="1"/>
  <c r="CH23" i="97" s="1"/>
  <c r="CJ23" i="97" s="1"/>
  <c r="V28" i="96"/>
  <c r="CG22" i="97" s="1"/>
  <c r="CH22" i="97" s="1"/>
  <c r="CJ22" i="97" s="1"/>
  <c r="V27" i="96"/>
  <c r="V26" i="96"/>
  <c r="CG21" i="97" s="1"/>
  <c r="CH21" i="97" s="1"/>
  <c r="CJ21" i="97" s="1"/>
  <c r="V25" i="96"/>
  <c r="CG20" i="97" s="1"/>
  <c r="CH20" i="97" s="1"/>
  <c r="CJ20" i="97" s="1"/>
  <c r="V24" i="96"/>
  <c r="CG19" i="97" s="1"/>
  <c r="CH19" i="97" s="1"/>
  <c r="CJ19" i="97" s="1"/>
  <c r="V23" i="96"/>
  <c r="V22" i="96"/>
  <c r="CG18" i="97" s="1"/>
  <c r="CH18" i="97" s="1"/>
  <c r="CJ18" i="97" s="1"/>
  <c r="V21" i="96"/>
  <c r="CG17" i="97" s="1"/>
  <c r="CH17" i="97" s="1"/>
  <c r="CJ17" i="97" s="1"/>
  <c r="V20" i="96"/>
  <c r="CG16" i="97" s="1"/>
  <c r="CH16" i="97" s="1"/>
  <c r="V19" i="96"/>
  <c r="CG15" i="97" s="1"/>
  <c r="CH15" i="97" s="1"/>
  <c r="CI15" i="97" s="1"/>
  <c r="CJ15" i="97" s="1"/>
  <c r="V18" i="96"/>
  <c r="V17" i="96"/>
  <c r="CG14" i="97" s="1"/>
  <c r="CH14" i="97" s="1"/>
  <c r="CJ14" i="97" s="1"/>
  <c r="V16" i="96"/>
  <c r="CG13" i="97" s="1"/>
  <c r="CH13" i="97" s="1"/>
  <c r="CJ13" i="97" s="1"/>
  <c r="V15" i="96"/>
  <c r="CG58" i="97" s="1"/>
  <c r="CH58" i="97" s="1"/>
  <c r="CJ58" i="97" s="1"/>
  <c r="V14" i="96"/>
  <c r="CG12" i="97" s="1"/>
  <c r="CH12" i="97" s="1"/>
  <c r="CJ12" i="97" s="1"/>
  <c r="V13" i="96"/>
  <c r="CG11" i="97" s="1"/>
  <c r="CH11" i="97" s="1"/>
  <c r="CJ11" i="97" s="1"/>
  <c r="V12" i="96"/>
  <c r="CG56" i="97" s="1"/>
  <c r="CH56" i="97" s="1"/>
  <c r="CJ56" i="97" s="1"/>
  <c r="V11" i="96"/>
  <c r="CG10" i="97" s="1"/>
  <c r="CH10" i="97" s="1"/>
  <c r="CJ10" i="97" s="1"/>
  <c r="V9" i="96"/>
  <c r="CG8" i="97" s="1"/>
  <c r="CH8" i="97" s="1"/>
  <c r="CJ8" i="97" s="1"/>
  <c r="V8" i="96"/>
  <c r="CG7" i="97" s="1"/>
  <c r="CH7" i="97" s="1"/>
  <c r="CI7" i="97" s="1"/>
  <c r="CJ7" i="97" s="1"/>
  <c r="V7" i="96"/>
  <c r="CG6" i="97" s="1"/>
  <c r="CH6" i="97" s="1"/>
  <c r="CJ6" i="97" s="1"/>
  <c r="V6" i="96"/>
  <c r="CG5" i="97" s="1"/>
  <c r="CH5" i="97" s="1"/>
  <c r="CJ5" i="97" s="1"/>
  <c r="V5" i="96"/>
  <c r="CG4" i="97" s="1"/>
  <c r="CH4" i="97" s="1"/>
  <c r="CJ4" i="97" s="1"/>
  <c r="U68" i="96"/>
  <c r="U60" i="96"/>
  <c r="U59" i="96"/>
  <c r="U58" i="96"/>
  <c r="U57" i="96"/>
  <c r="CC65" i="97" s="1"/>
  <c r="CD65" i="97" s="1"/>
  <c r="CF65" i="97" s="1"/>
  <c r="U56" i="96"/>
  <c r="CC64" i="97" s="1"/>
  <c r="CD64" i="97" s="1"/>
  <c r="CF64" i="97" s="1"/>
  <c r="U55" i="96"/>
  <c r="CC63" i="97" s="1"/>
  <c r="CD63" i="97" s="1"/>
  <c r="CF63" i="97" s="1"/>
  <c r="U54" i="96"/>
  <c r="CC62" i="97" s="1"/>
  <c r="CD62" i="97" s="1"/>
  <c r="CF62" i="97" s="1"/>
  <c r="U53" i="96"/>
  <c r="U52" i="96"/>
  <c r="U51" i="96"/>
  <c r="CC59" i="97" s="1"/>
  <c r="CD59" i="97" s="1"/>
  <c r="CF59" i="97" s="1"/>
  <c r="U50" i="96"/>
  <c r="CC57" i="97" s="1"/>
  <c r="CD57" i="97" s="1"/>
  <c r="CF57" i="97" s="1"/>
  <c r="U40" i="96"/>
  <c r="CC32" i="97" s="1"/>
  <c r="CD32" i="97" s="1"/>
  <c r="CF32" i="97" s="1"/>
  <c r="U39" i="96"/>
  <c r="CC31" i="97" s="1"/>
  <c r="CD31" i="97" s="1"/>
  <c r="CF31" i="97" s="1"/>
  <c r="U38" i="96"/>
  <c r="CC29" i="97" s="1"/>
  <c r="CD29" i="97" s="1"/>
  <c r="CF29" i="97" s="1"/>
  <c r="U37" i="96"/>
  <c r="CC28" i="97" s="1"/>
  <c r="CD28" i="97" s="1"/>
  <c r="CF28" i="97" s="1"/>
  <c r="U36" i="96"/>
  <c r="CC27" i="97" s="1"/>
  <c r="CD27" i="97" s="1"/>
  <c r="CF27" i="97" s="1"/>
  <c r="U34" i="96"/>
  <c r="CC26" i="97" s="1"/>
  <c r="CD26" i="97" s="1"/>
  <c r="CF26" i="97" s="1"/>
  <c r="U31" i="96"/>
  <c r="U30" i="96"/>
  <c r="CC24" i="97" s="1"/>
  <c r="CD24" i="97" s="1"/>
  <c r="CF24" i="97" s="1"/>
  <c r="U29" i="96"/>
  <c r="CC23" i="97" s="1"/>
  <c r="CD23" i="97" s="1"/>
  <c r="CF23" i="97" s="1"/>
  <c r="U28" i="96"/>
  <c r="CC22" i="97" s="1"/>
  <c r="CD22" i="97" s="1"/>
  <c r="CF22" i="97" s="1"/>
  <c r="U27" i="96"/>
  <c r="U26" i="96"/>
  <c r="CC21" i="97" s="1"/>
  <c r="CD21" i="97" s="1"/>
  <c r="CF21" i="97" s="1"/>
  <c r="U25" i="96"/>
  <c r="CC20" i="97" s="1"/>
  <c r="CD20" i="97" s="1"/>
  <c r="CF20" i="97" s="1"/>
  <c r="U24" i="96"/>
  <c r="CC19" i="97" s="1"/>
  <c r="CD19" i="97" s="1"/>
  <c r="CF19" i="97" s="1"/>
  <c r="U23" i="96"/>
  <c r="U22" i="96"/>
  <c r="CC18" i="97" s="1"/>
  <c r="CD18" i="97" s="1"/>
  <c r="CF18" i="97" s="1"/>
  <c r="U21" i="96"/>
  <c r="CC17" i="97" s="1"/>
  <c r="CD17" i="97" s="1"/>
  <c r="CF17" i="97" s="1"/>
  <c r="U20" i="96"/>
  <c r="CC16" i="97" s="1"/>
  <c r="CD16" i="97" s="1"/>
  <c r="CF16" i="97" s="1"/>
  <c r="U18" i="96"/>
  <c r="U17" i="96"/>
  <c r="CC14" i="97" s="1"/>
  <c r="CD14" i="97" s="1"/>
  <c r="CF14" i="97" s="1"/>
  <c r="U16" i="96"/>
  <c r="CC13" i="97" s="1"/>
  <c r="CD13" i="97" s="1"/>
  <c r="CF13" i="97" s="1"/>
  <c r="U15" i="96"/>
  <c r="CC58" i="97" s="1"/>
  <c r="CD58" i="97" s="1"/>
  <c r="CF58" i="97" s="1"/>
  <c r="U14" i="96"/>
  <c r="CC12" i="97" s="1"/>
  <c r="CD12" i="97" s="1"/>
  <c r="CF12" i="97" s="1"/>
  <c r="U13" i="96"/>
  <c r="CC11" i="97" s="1"/>
  <c r="CD11" i="97" s="1"/>
  <c r="CF11" i="97" s="1"/>
  <c r="U12" i="96"/>
  <c r="CC56" i="97" s="1"/>
  <c r="CD56" i="97" s="1"/>
  <c r="CF56" i="97" s="1"/>
  <c r="U11" i="96"/>
  <c r="CC10" i="97" s="1"/>
  <c r="CD10" i="97" s="1"/>
  <c r="CF10" i="97" s="1"/>
  <c r="U10" i="96"/>
  <c r="CC9" i="97" s="1"/>
  <c r="CD9" i="97" s="1"/>
  <c r="CE9" i="97" s="1"/>
  <c r="CF9" i="97" s="1"/>
  <c r="U9" i="96"/>
  <c r="CC8" i="97" s="1"/>
  <c r="CD8" i="97" s="1"/>
  <c r="CF8" i="97" s="1"/>
  <c r="U8" i="96"/>
  <c r="CC7" i="97" s="1"/>
  <c r="CD7" i="97" s="1"/>
  <c r="CF7" i="97" s="1"/>
  <c r="U7" i="96"/>
  <c r="CC6" i="97" s="1"/>
  <c r="CD6" i="97" s="1"/>
  <c r="CF6" i="97" s="1"/>
  <c r="U6" i="96"/>
  <c r="CC5" i="97" s="1"/>
  <c r="CD5" i="97" s="1"/>
  <c r="CF5" i="97" s="1"/>
  <c r="U4" i="96"/>
  <c r="CC3" i="97" s="1"/>
  <c r="CD3" i="97" s="1"/>
  <c r="CF3" i="97" s="1"/>
  <c r="T60" i="96"/>
  <c r="T59" i="96"/>
  <c r="T58" i="96"/>
  <c r="T57" i="96"/>
  <c r="BY65" i="97" s="1"/>
  <c r="BZ65" i="97" s="1"/>
  <c r="CB65" i="97" s="1"/>
  <c r="T56" i="96"/>
  <c r="BY64" i="97" s="1"/>
  <c r="BZ64" i="97" s="1"/>
  <c r="CB64" i="97" s="1"/>
  <c r="T55" i="96"/>
  <c r="BY63" i="97" s="1"/>
  <c r="BZ63" i="97" s="1"/>
  <c r="CB63" i="97" s="1"/>
  <c r="T54" i="96"/>
  <c r="BY62" i="97" s="1"/>
  <c r="BZ62" i="97" s="1"/>
  <c r="CB62" i="97" s="1"/>
  <c r="T53" i="96"/>
  <c r="T52" i="96"/>
  <c r="T51" i="96"/>
  <c r="BY59" i="97" s="1"/>
  <c r="BZ59" i="97" s="1"/>
  <c r="CB59" i="97" s="1"/>
  <c r="T50" i="96"/>
  <c r="BY57" i="97" s="1"/>
  <c r="BZ57" i="97" s="1"/>
  <c r="CB57" i="97" s="1"/>
  <c r="T40" i="96"/>
  <c r="BY32" i="97" s="1"/>
  <c r="BZ32" i="97" s="1"/>
  <c r="CB32" i="97" s="1"/>
  <c r="T39" i="96"/>
  <c r="BY31" i="97" s="1"/>
  <c r="BZ31" i="97" s="1"/>
  <c r="CB31" i="97" s="1"/>
  <c r="T38" i="96"/>
  <c r="BY29" i="97" s="1"/>
  <c r="BZ29" i="97" s="1"/>
  <c r="CA29" i="97" s="1"/>
  <c r="CB29" i="97" s="1"/>
  <c r="T37" i="96"/>
  <c r="BY28" i="97" s="1"/>
  <c r="BZ28" i="97" s="1"/>
  <c r="CB28" i="97" s="1"/>
  <c r="T36" i="96"/>
  <c r="BY27" i="97" s="1"/>
  <c r="BZ27" i="97" s="1"/>
  <c r="CB27" i="97" s="1"/>
  <c r="T34" i="96"/>
  <c r="BY26" i="97" s="1"/>
  <c r="BZ26" i="97" s="1"/>
  <c r="CB26" i="97" s="1"/>
  <c r="T33" i="96"/>
  <c r="T32" i="96"/>
  <c r="BY25" i="97" s="1"/>
  <c r="BZ25" i="97" s="1"/>
  <c r="CB25" i="97" s="1"/>
  <c r="T31" i="96"/>
  <c r="T30" i="96"/>
  <c r="BY24" i="97" s="1"/>
  <c r="BZ24" i="97" s="1"/>
  <c r="CB24" i="97" s="1"/>
  <c r="T29" i="96"/>
  <c r="BY23" i="97" s="1"/>
  <c r="BZ23" i="97" s="1"/>
  <c r="CB23" i="97" s="1"/>
  <c r="T28" i="96"/>
  <c r="BY22" i="97" s="1"/>
  <c r="BZ22" i="97" s="1"/>
  <c r="CB22" i="97" s="1"/>
  <c r="T27" i="96"/>
  <c r="T26" i="96"/>
  <c r="BY21" i="97" s="1"/>
  <c r="BZ21" i="97" s="1"/>
  <c r="CB21" i="97" s="1"/>
  <c r="T25" i="96"/>
  <c r="BY20" i="97" s="1"/>
  <c r="BZ20" i="97" s="1"/>
  <c r="CB20" i="97" s="1"/>
  <c r="T24" i="96"/>
  <c r="BY19" i="97" s="1"/>
  <c r="BZ19" i="97" s="1"/>
  <c r="CB19" i="97" s="1"/>
  <c r="T23" i="96"/>
  <c r="T22" i="96"/>
  <c r="BY18" i="97" s="1"/>
  <c r="BZ18" i="97" s="1"/>
  <c r="CB18" i="97" s="1"/>
  <c r="T21" i="96"/>
  <c r="BY17" i="97" s="1"/>
  <c r="BZ17" i="97" s="1"/>
  <c r="CB17" i="97" s="1"/>
  <c r="T20" i="96"/>
  <c r="BY16" i="97" s="1"/>
  <c r="BZ16" i="97" s="1"/>
  <c r="CB16" i="97" s="1"/>
  <c r="T18" i="96"/>
  <c r="T17" i="96"/>
  <c r="BY14" i="97" s="1"/>
  <c r="BZ14" i="97" s="1"/>
  <c r="CB14" i="97" s="1"/>
  <c r="T16" i="96"/>
  <c r="BY13" i="97" s="1"/>
  <c r="BZ13" i="97" s="1"/>
  <c r="CB13" i="97" s="1"/>
  <c r="T15" i="96"/>
  <c r="BY58" i="97" s="1"/>
  <c r="BZ58" i="97" s="1"/>
  <c r="CB58" i="97" s="1"/>
  <c r="T14" i="96"/>
  <c r="BY12" i="97" s="1"/>
  <c r="BZ12" i="97" s="1"/>
  <c r="CB12" i="97" s="1"/>
  <c r="T13" i="96"/>
  <c r="BY11" i="97" s="1"/>
  <c r="BZ11" i="97" s="1"/>
  <c r="CB11" i="97" s="1"/>
  <c r="T12" i="96"/>
  <c r="BY56" i="97" s="1"/>
  <c r="BZ56" i="97" s="1"/>
  <c r="CB56" i="97" s="1"/>
  <c r="T10" i="96"/>
  <c r="BY9" i="97" s="1"/>
  <c r="BZ9" i="97" s="1"/>
  <c r="CB9" i="97" s="1"/>
  <c r="T9" i="96"/>
  <c r="BY8" i="97" s="1"/>
  <c r="BZ8" i="97" s="1"/>
  <c r="CB8" i="97" s="1"/>
  <c r="T8" i="96"/>
  <c r="BY7" i="97" s="1"/>
  <c r="BZ7" i="97" s="1"/>
  <c r="CB7" i="97" s="1"/>
  <c r="T7" i="96"/>
  <c r="BY6" i="97" s="1"/>
  <c r="BZ6" i="97" s="1"/>
  <c r="CB6" i="97" s="1"/>
  <c r="T6" i="96"/>
  <c r="BY5" i="97" s="1"/>
  <c r="BZ5" i="97" s="1"/>
  <c r="CA5" i="97" s="1"/>
  <c r="CB5" i="97" s="1"/>
  <c r="T4" i="96"/>
  <c r="BY3" i="97" s="1"/>
  <c r="BZ3" i="97" s="1"/>
  <c r="CA3" i="97" s="1"/>
  <c r="CB3" i="97" s="1"/>
  <c r="S68" i="96"/>
  <c r="S60" i="96"/>
  <c r="S59" i="96"/>
  <c r="S58" i="96"/>
  <c r="S57" i="96"/>
  <c r="BU65" i="97" s="1"/>
  <c r="BV65" i="97" s="1"/>
  <c r="BX65" i="97" s="1"/>
  <c r="S56" i="96"/>
  <c r="BU64" i="97" s="1"/>
  <c r="BV64" i="97" s="1"/>
  <c r="BX64" i="97" s="1"/>
  <c r="S55" i="96"/>
  <c r="BU63" i="97" s="1"/>
  <c r="BV63" i="97" s="1"/>
  <c r="BX63" i="97" s="1"/>
  <c r="S67" i="96"/>
  <c r="S54" i="96"/>
  <c r="BU62" i="97" s="1"/>
  <c r="BV62" i="97" s="1"/>
  <c r="BX62" i="97" s="1"/>
  <c r="S53" i="96"/>
  <c r="S52" i="96"/>
  <c r="S51" i="96"/>
  <c r="BU59" i="97" s="1"/>
  <c r="BV59" i="97" s="1"/>
  <c r="BX59" i="97" s="1"/>
  <c r="S50" i="96"/>
  <c r="BU57" i="97" s="1"/>
  <c r="BV57" i="97" s="1"/>
  <c r="BX57" i="97" s="1"/>
  <c r="S40" i="96"/>
  <c r="BU32" i="97" s="1"/>
  <c r="BV32" i="97" s="1"/>
  <c r="BX32" i="97" s="1"/>
  <c r="S39" i="96"/>
  <c r="BU31" i="97" s="1"/>
  <c r="BV31" i="97" s="1"/>
  <c r="BX31" i="97" s="1"/>
  <c r="S38" i="96"/>
  <c r="BU29" i="97" s="1"/>
  <c r="BV29" i="97" s="1"/>
  <c r="BX29" i="97" s="1"/>
  <c r="S37" i="96"/>
  <c r="BU28" i="97" s="1"/>
  <c r="BV28" i="97" s="1"/>
  <c r="BX28" i="97" s="1"/>
  <c r="S36" i="96"/>
  <c r="BU27" i="97" s="1"/>
  <c r="BV27" i="97" s="1"/>
  <c r="BX27" i="97" s="1"/>
  <c r="S34" i="96"/>
  <c r="BU26" i="97" s="1"/>
  <c r="BV26" i="97" s="1"/>
  <c r="BX26" i="97" s="1"/>
  <c r="S33" i="96"/>
  <c r="S32" i="96"/>
  <c r="BU25" i="97" s="1"/>
  <c r="BV25" i="97" s="1"/>
  <c r="BX25" i="97" s="1"/>
  <c r="S66" i="96"/>
  <c r="S31" i="96"/>
  <c r="S30" i="96"/>
  <c r="BU24" i="97" s="1"/>
  <c r="BV24" i="97" s="1"/>
  <c r="BX24" i="97" s="1"/>
  <c r="S29" i="96"/>
  <c r="BU23" i="97" s="1"/>
  <c r="BV23" i="97" s="1"/>
  <c r="BX23" i="97" s="1"/>
  <c r="S28" i="96"/>
  <c r="BU22" i="97" s="1"/>
  <c r="BV22" i="97" s="1"/>
  <c r="BW22" i="97" s="1"/>
  <c r="BX22" i="97" s="1"/>
  <c r="S27" i="96"/>
  <c r="S26" i="96"/>
  <c r="BU21" i="97" s="1"/>
  <c r="BV21" i="97" s="1"/>
  <c r="BX21" i="97" s="1"/>
  <c r="S25" i="96"/>
  <c r="BU20" i="97" s="1"/>
  <c r="BV20" i="97" s="1"/>
  <c r="BX20" i="97" s="1"/>
  <c r="S24" i="96"/>
  <c r="BU19" i="97" s="1"/>
  <c r="BV19" i="97" s="1"/>
  <c r="BX19" i="97" s="1"/>
  <c r="S23" i="96"/>
  <c r="S22" i="96"/>
  <c r="BU18" i="97" s="1"/>
  <c r="BV18" i="97" s="1"/>
  <c r="BX18" i="97" s="1"/>
  <c r="S21" i="96"/>
  <c r="BU17" i="97" s="1"/>
  <c r="BV17" i="97" s="1"/>
  <c r="BX17" i="97" s="1"/>
  <c r="S20" i="96"/>
  <c r="BU16" i="97" s="1"/>
  <c r="BV16" i="97" s="1"/>
  <c r="BX16" i="97" s="1"/>
  <c r="S19" i="96"/>
  <c r="BU15" i="97" s="1"/>
  <c r="BV15" i="97" s="1"/>
  <c r="BX15" i="97" s="1"/>
  <c r="S18" i="96"/>
  <c r="S17" i="96"/>
  <c r="BU14" i="97" s="1"/>
  <c r="BV14" i="97" s="1"/>
  <c r="BX14" i="97" s="1"/>
  <c r="S16" i="96"/>
  <c r="BU13" i="97" s="1"/>
  <c r="BV13" i="97" s="1"/>
  <c r="BX13" i="97" s="1"/>
  <c r="S15" i="96"/>
  <c r="BU58" i="97" s="1"/>
  <c r="BV58" i="97" s="1"/>
  <c r="BX58" i="97" s="1"/>
  <c r="S14" i="96"/>
  <c r="BU12" i="97" s="1"/>
  <c r="BV12" i="97" s="1"/>
  <c r="BX12" i="97" s="1"/>
  <c r="S13" i="96"/>
  <c r="BU11" i="97" s="1"/>
  <c r="BV11" i="97" s="1"/>
  <c r="BX11" i="97" s="1"/>
  <c r="S12" i="96"/>
  <c r="BU56" i="97" s="1"/>
  <c r="BV56" i="97" s="1"/>
  <c r="BX56" i="97" s="1"/>
  <c r="S11" i="96"/>
  <c r="BU10" i="97" s="1"/>
  <c r="BV10" i="97" s="1"/>
  <c r="BX10" i="97" s="1"/>
  <c r="S10" i="96"/>
  <c r="BU9" i="97" s="1"/>
  <c r="BV9" i="97" s="1"/>
  <c r="BX9" i="97" s="1"/>
  <c r="S9" i="96"/>
  <c r="BU8" i="97" s="1"/>
  <c r="BV8" i="97" s="1"/>
  <c r="BX8" i="97" s="1"/>
  <c r="S8" i="96"/>
  <c r="BU7" i="97" s="1"/>
  <c r="BV7" i="97" s="1"/>
  <c r="BX7" i="97" s="1"/>
  <c r="S7" i="96"/>
  <c r="BU6" i="97" s="1"/>
  <c r="BV6" i="97" s="1"/>
  <c r="BX6" i="97" s="1"/>
  <c r="S6" i="96"/>
  <c r="BU5" i="97" s="1"/>
  <c r="BV5" i="97" s="1"/>
  <c r="BX5" i="97" s="1"/>
  <c r="S4" i="96"/>
  <c r="BU3" i="97" s="1"/>
  <c r="BV3" i="97" s="1"/>
  <c r="BX3" i="97" s="1"/>
  <c r="R68" i="96"/>
  <c r="R60" i="96"/>
  <c r="R59" i="96"/>
  <c r="R58" i="96"/>
  <c r="R57" i="96"/>
  <c r="BQ65" i="97" s="1"/>
  <c r="BR65" i="97" s="1"/>
  <c r="BT65" i="97" s="1"/>
  <c r="R56" i="96"/>
  <c r="BQ64" i="97" s="1"/>
  <c r="BR64" i="97" s="1"/>
  <c r="BT64" i="97" s="1"/>
  <c r="R55" i="96"/>
  <c r="BQ63" i="97" s="1"/>
  <c r="BR63" i="97" s="1"/>
  <c r="BT63" i="97" s="1"/>
  <c r="R67" i="96"/>
  <c r="R54" i="96"/>
  <c r="BQ62" i="97" s="1"/>
  <c r="BR62" i="97" s="1"/>
  <c r="BT62" i="97" s="1"/>
  <c r="R53" i="96"/>
  <c r="R52" i="96"/>
  <c r="R51" i="96"/>
  <c r="BQ59" i="97" s="1"/>
  <c r="BR59" i="97" s="1"/>
  <c r="BT59" i="97" s="1"/>
  <c r="R50" i="96"/>
  <c r="BQ57" i="97" s="1"/>
  <c r="BR57" i="97" s="1"/>
  <c r="BT57" i="97" s="1"/>
  <c r="R40" i="96"/>
  <c r="BQ32" i="97" s="1"/>
  <c r="BR32" i="97" s="1"/>
  <c r="BT32" i="97" s="1"/>
  <c r="R39" i="96"/>
  <c r="BQ31" i="97" s="1"/>
  <c r="BR31" i="97" s="1"/>
  <c r="BT31" i="97" s="1"/>
  <c r="R38" i="96"/>
  <c r="BQ29" i="97" s="1"/>
  <c r="BR29" i="97" s="1"/>
  <c r="BT29" i="97" s="1"/>
  <c r="R37" i="96"/>
  <c r="BQ28" i="97" s="1"/>
  <c r="BR28" i="97" s="1"/>
  <c r="BT28" i="97" s="1"/>
  <c r="R36" i="96"/>
  <c r="BQ27" i="97" s="1"/>
  <c r="BR27" i="97" s="1"/>
  <c r="BT27" i="97" s="1"/>
  <c r="R34" i="96"/>
  <c r="BQ26" i="97" s="1"/>
  <c r="BR26" i="97" s="1"/>
  <c r="BT26" i="97" s="1"/>
  <c r="R33" i="96"/>
  <c r="R32" i="96"/>
  <c r="BQ25" i="97" s="1"/>
  <c r="BR25" i="97" s="1"/>
  <c r="BT25" i="97" s="1"/>
  <c r="R66" i="96"/>
  <c r="R31" i="96"/>
  <c r="R30" i="96"/>
  <c r="BQ24" i="97" s="1"/>
  <c r="BR24" i="97" s="1"/>
  <c r="BT24" i="97" s="1"/>
  <c r="R29" i="96"/>
  <c r="BQ23" i="97" s="1"/>
  <c r="BR23" i="97" s="1"/>
  <c r="BT23" i="97" s="1"/>
  <c r="R28" i="96"/>
  <c r="BQ22" i="97" s="1"/>
  <c r="BR22" i="97" s="1"/>
  <c r="BT22" i="97" s="1"/>
  <c r="R27" i="96"/>
  <c r="R26" i="96"/>
  <c r="BQ21" i="97" s="1"/>
  <c r="BR21" i="97" s="1"/>
  <c r="BT21" i="97" s="1"/>
  <c r="R25" i="96"/>
  <c r="BQ20" i="97" s="1"/>
  <c r="BR20" i="97" s="1"/>
  <c r="BT20" i="97" s="1"/>
  <c r="R24" i="96"/>
  <c r="BQ19" i="97" s="1"/>
  <c r="BR19" i="97" s="1"/>
  <c r="BT19" i="97" s="1"/>
  <c r="R23" i="96"/>
  <c r="R22" i="96"/>
  <c r="BQ18" i="97" s="1"/>
  <c r="BR18" i="97" s="1"/>
  <c r="BT18" i="97" s="1"/>
  <c r="R21" i="96"/>
  <c r="BQ17" i="97" s="1"/>
  <c r="BR17" i="97" s="1"/>
  <c r="BT17" i="97" s="1"/>
  <c r="R20" i="96"/>
  <c r="BQ16" i="97" s="1"/>
  <c r="BR16" i="97" s="1"/>
  <c r="BS16" i="97" s="1"/>
  <c r="BT16" i="97" s="1"/>
  <c r="R19" i="96"/>
  <c r="BQ15" i="97" s="1"/>
  <c r="BR15" i="97" s="1"/>
  <c r="BT15" i="97" s="1"/>
  <c r="R18" i="96"/>
  <c r="R17" i="96"/>
  <c r="BQ14" i="97" s="1"/>
  <c r="BR14" i="97" s="1"/>
  <c r="BT14" i="97" s="1"/>
  <c r="R16" i="96"/>
  <c r="BQ13" i="97" s="1"/>
  <c r="BR13" i="97" s="1"/>
  <c r="BT13" i="97" s="1"/>
  <c r="R15" i="96"/>
  <c r="BQ58" i="97" s="1"/>
  <c r="BR58" i="97" s="1"/>
  <c r="BT58" i="97" s="1"/>
  <c r="R14" i="96"/>
  <c r="BQ12" i="97" s="1"/>
  <c r="BR12" i="97" s="1"/>
  <c r="BT12" i="97" s="1"/>
  <c r="R13" i="96"/>
  <c r="BQ11" i="97" s="1"/>
  <c r="BR11" i="97" s="1"/>
  <c r="BT11" i="97" s="1"/>
  <c r="R12" i="96"/>
  <c r="BQ56" i="97" s="1"/>
  <c r="BR56" i="97" s="1"/>
  <c r="BT56" i="97" s="1"/>
  <c r="R11" i="96"/>
  <c r="BQ10" i="97" s="1"/>
  <c r="BR10" i="97" s="1"/>
  <c r="BT10" i="97" s="1"/>
  <c r="R10" i="96"/>
  <c r="BQ9" i="97" s="1"/>
  <c r="BR9" i="97" s="1"/>
  <c r="BT9" i="97" s="1"/>
  <c r="R9" i="96"/>
  <c r="BQ8" i="97" s="1"/>
  <c r="BR8" i="97" s="1"/>
  <c r="BT8" i="97" s="1"/>
  <c r="R8" i="96"/>
  <c r="BQ7" i="97" s="1"/>
  <c r="BR7" i="97" s="1"/>
  <c r="BT7" i="97" s="1"/>
  <c r="R7" i="96"/>
  <c r="BQ6" i="97" s="1"/>
  <c r="BR6" i="97" s="1"/>
  <c r="BT6" i="97" s="1"/>
  <c r="R6" i="96"/>
  <c r="BQ5" i="97" s="1"/>
  <c r="BR5" i="97" s="1"/>
  <c r="BT5" i="97" s="1"/>
  <c r="R4" i="96"/>
  <c r="BQ3" i="97" s="1"/>
  <c r="BR3" i="97" s="1"/>
  <c r="BS3" i="97" s="1"/>
  <c r="BT3" i="97" s="1"/>
  <c r="Q68" i="96"/>
  <c r="Q60" i="96"/>
  <c r="Q59" i="96"/>
  <c r="Q58" i="96"/>
  <c r="Q57" i="96"/>
  <c r="BM65" i="97" s="1"/>
  <c r="BN65" i="97" s="1"/>
  <c r="BP65" i="97" s="1"/>
  <c r="Q56" i="96"/>
  <c r="BM64" i="97" s="1"/>
  <c r="BN64" i="97" s="1"/>
  <c r="BP64" i="97" s="1"/>
  <c r="Q55" i="96"/>
  <c r="BM63" i="97" s="1"/>
  <c r="BN63" i="97" s="1"/>
  <c r="BP63" i="97" s="1"/>
  <c r="Q67" i="96"/>
  <c r="Q54" i="96"/>
  <c r="BM62" i="97" s="1"/>
  <c r="BN62" i="97" s="1"/>
  <c r="BP62" i="97" s="1"/>
  <c r="Q53" i="96"/>
  <c r="Q52" i="96"/>
  <c r="Q51" i="96"/>
  <c r="BM59" i="97" s="1"/>
  <c r="BN59" i="97" s="1"/>
  <c r="BP59" i="97" s="1"/>
  <c r="Q50" i="96"/>
  <c r="BM57" i="97" s="1"/>
  <c r="BN57" i="97" s="1"/>
  <c r="BP57" i="97" s="1"/>
  <c r="Q40" i="96"/>
  <c r="BM32" i="97" s="1"/>
  <c r="BN32" i="97" s="1"/>
  <c r="BP32" i="97" s="1"/>
  <c r="Q39" i="96"/>
  <c r="BM31" i="97" s="1"/>
  <c r="BN31" i="97" s="1"/>
  <c r="BP31" i="97" s="1"/>
  <c r="Q38" i="96"/>
  <c r="BM29" i="97" s="1"/>
  <c r="BN29" i="97" s="1"/>
  <c r="BP29" i="97" s="1"/>
  <c r="Q37" i="96"/>
  <c r="BM28" i="97" s="1"/>
  <c r="BN28" i="97" s="1"/>
  <c r="BP28" i="97" s="1"/>
  <c r="Q36" i="96"/>
  <c r="BM27" i="97" s="1"/>
  <c r="BN27" i="97" s="1"/>
  <c r="BP27" i="97" s="1"/>
  <c r="Q34" i="96"/>
  <c r="BM26" i="97" s="1"/>
  <c r="BN26" i="97" s="1"/>
  <c r="BP26" i="97" s="1"/>
  <c r="Q33" i="96"/>
  <c r="Q32" i="96"/>
  <c r="BM25" i="97" s="1"/>
  <c r="BN25" i="97" s="1"/>
  <c r="BP25" i="97" s="1"/>
  <c r="Q66" i="96"/>
  <c r="Q31" i="96"/>
  <c r="Q30" i="96"/>
  <c r="BM24" i="97" s="1"/>
  <c r="BN24" i="97" s="1"/>
  <c r="BP24" i="97" s="1"/>
  <c r="Q29" i="96"/>
  <c r="BM23" i="97" s="1"/>
  <c r="BN23" i="97" s="1"/>
  <c r="BP23" i="97" s="1"/>
  <c r="Q28" i="96"/>
  <c r="BM22" i="97" s="1"/>
  <c r="BN22" i="97" s="1"/>
  <c r="BP22" i="97" s="1"/>
  <c r="Q27" i="96"/>
  <c r="Q26" i="96"/>
  <c r="BM21" i="97" s="1"/>
  <c r="BN21" i="97" s="1"/>
  <c r="BP21" i="97" s="1"/>
  <c r="Q25" i="96"/>
  <c r="BM20" i="97" s="1"/>
  <c r="BN20" i="97" s="1"/>
  <c r="BP20" i="97" s="1"/>
  <c r="Q24" i="96"/>
  <c r="BM19" i="97" s="1"/>
  <c r="BN19" i="97" s="1"/>
  <c r="BP19" i="97" s="1"/>
  <c r="Q23" i="96"/>
  <c r="Q22" i="96"/>
  <c r="BM18" i="97" s="1"/>
  <c r="BN18" i="97" s="1"/>
  <c r="BP18" i="97" s="1"/>
  <c r="Q21" i="96"/>
  <c r="BM17" i="97" s="1"/>
  <c r="BN17" i="97" s="1"/>
  <c r="BO17" i="97" s="1"/>
  <c r="BP17" i="97" s="1"/>
  <c r="Q20" i="96"/>
  <c r="BM16" i="97" s="1"/>
  <c r="BN16" i="97" s="1"/>
  <c r="BP16" i="97" s="1"/>
  <c r="Q19" i="96"/>
  <c r="BM15" i="97" s="1"/>
  <c r="BN15" i="97" s="1"/>
  <c r="BO15" i="97" s="1"/>
  <c r="BP15" i="97" s="1"/>
  <c r="Q18" i="96"/>
  <c r="Q17" i="96"/>
  <c r="BM14" i="97" s="1"/>
  <c r="BN14" i="97" s="1"/>
  <c r="BP14" i="97" s="1"/>
  <c r="Q16" i="96"/>
  <c r="BM13" i="97" s="1"/>
  <c r="BN13" i="97" s="1"/>
  <c r="BO13" i="97" s="1"/>
  <c r="BP13" i="97" s="1"/>
  <c r="Q15" i="96"/>
  <c r="BM58" i="97" s="1"/>
  <c r="BN58" i="97" s="1"/>
  <c r="BP58" i="97" s="1"/>
  <c r="Q14" i="96"/>
  <c r="BM12" i="97" s="1"/>
  <c r="BN12" i="97" s="1"/>
  <c r="BP12" i="97" s="1"/>
  <c r="Q13" i="96"/>
  <c r="BM11" i="97" s="1"/>
  <c r="BN11" i="97" s="1"/>
  <c r="BP11" i="97" s="1"/>
  <c r="Q12" i="96"/>
  <c r="BM56" i="97" s="1"/>
  <c r="BN56" i="97" s="1"/>
  <c r="BP56" i="97" s="1"/>
  <c r="Q11" i="96"/>
  <c r="BM10" i="97" s="1"/>
  <c r="BN10" i="97" s="1"/>
  <c r="BP10" i="97" s="1"/>
  <c r="Q10" i="96"/>
  <c r="BM9" i="97" s="1"/>
  <c r="BN9" i="97" s="1"/>
  <c r="BP9" i="97" s="1"/>
  <c r="Q9" i="96"/>
  <c r="BM8" i="97" s="1"/>
  <c r="BN8" i="97" s="1"/>
  <c r="BP8" i="97" s="1"/>
  <c r="Q8" i="96"/>
  <c r="BM7" i="97" s="1"/>
  <c r="BN7" i="97" s="1"/>
  <c r="BP7" i="97" s="1"/>
  <c r="Q7" i="96"/>
  <c r="BM6" i="97" s="1"/>
  <c r="BN6" i="97" s="1"/>
  <c r="BP6" i="97" s="1"/>
  <c r="Q6" i="96"/>
  <c r="BM5" i="97" s="1"/>
  <c r="BN5" i="97" s="1"/>
  <c r="BP5" i="97" s="1"/>
  <c r="Q4" i="96"/>
  <c r="BM3" i="97" s="1"/>
  <c r="BN3" i="97" s="1"/>
  <c r="BP3" i="97" s="1"/>
  <c r="P68" i="96"/>
  <c r="P60" i="96"/>
  <c r="P59" i="96"/>
  <c r="P58" i="96"/>
  <c r="P57" i="96"/>
  <c r="BI65" i="97" s="1"/>
  <c r="BJ65" i="97" s="1"/>
  <c r="BL65" i="97" s="1"/>
  <c r="P56" i="96"/>
  <c r="BI64" i="97" s="1"/>
  <c r="BJ64" i="97" s="1"/>
  <c r="BL64" i="97" s="1"/>
  <c r="P55" i="96"/>
  <c r="BI63" i="97" s="1"/>
  <c r="BJ63" i="97" s="1"/>
  <c r="BL63" i="97" s="1"/>
  <c r="P67" i="96"/>
  <c r="P54" i="96"/>
  <c r="BI62" i="97" s="1"/>
  <c r="BJ62" i="97" s="1"/>
  <c r="BL62" i="97" s="1"/>
  <c r="P53" i="96"/>
  <c r="P52" i="96"/>
  <c r="P51" i="96"/>
  <c r="BI59" i="97" s="1"/>
  <c r="BJ59" i="97" s="1"/>
  <c r="BL59" i="97" s="1"/>
  <c r="P50" i="96"/>
  <c r="BI57" i="97" s="1"/>
  <c r="BJ57" i="97" s="1"/>
  <c r="BL57" i="97" s="1"/>
  <c r="P40" i="96"/>
  <c r="BI32" i="97" s="1"/>
  <c r="BJ32" i="97" s="1"/>
  <c r="BL32" i="97" s="1"/>
  <c r="P39" i="96"/>
  <c r="BI31" i="97" s="1"/>
  <c r="BJ31" i="97" s="1"/>
  <c r="BL31" i="97" s="1"/>
  <c r="P38" i="96"/>
  <c r="BI29" i="97" s="1"/>
  <c r="BJ29" i="97" s="1"/>
  <c r="BL29" i="97" s="1"/>
  <c r="P37" i="96"/>
  <c r="BI28" i="97" s="1"/>
  <c r="BJ28" i="97" s="1"/>
  <c r="BL28" i="97" s="1"/>
  <c r="P36" i="96"/>
  <c r="BI27" i="97" s="1"/>
  <c r="BJ27" i="97" s="1"/>
  <c r="BL27" i="97" s="1"/>
  <c r="P34" i="96"/>
  <c r="BI26" i="97" s="1"/>
  <c r="BJ26" i="97" s="1"/>
  <c r="BL26" i="97" s="1"/>
  <c r="P33" i="96"/>
  <c r="P32" i="96"/>
  <c r="BI25" i="97" s="1"/>
  <c r="BJ25" i="97" s="1"/>
  <c r="BL25" i="97" s="1"/>
  <c r="P66" i="96"/>
  <c r="P31" i="96"/>
  <c r="P30" i="96"/>
  <c r="BI24" i="97" s="1"/>
  <c r="BJ24" i="97" s="1"/>
  <c r="BL24" i="97" s="1"/>
  <c r="P29" i="96"/>
  <c r="BI23" i="97" s="1"/>
  <c r="BJ23" i="97" s="1"/>
  <c r="BL23" i="97" s="1"/>
  <c r="P28" i="96"/>
  <c r="BI22" i="97" s="1"/>
  <c r="BJ22" i="97" s="1"/>
  <c r="BL22" i="97" s="1"/>
  <c r="P27" i="96"/>
  <c r="P26" i="96"/>
  <c r="BI21" i="97" s="1"/>
  <c r="BJ21" i="97" s="1"/>
  <c r="BL21" i="97" s="1"/>
  <c r="P25" i="96"/>
  <c r="BI20" i="97" s="1"/>
  <c r="BJ20" i="97" s="1"/>
  <c r="BL20" i="97" s="1"/>
  <c r="P24" i="96"/>
  <c r="BI19" i="97" s="1"/>
  <c r="BJ19" i="97" s="1"/>
  <c r="BL19" i="97" s="1"/>
  <c r="P23" i="96"/>
  <c r="P22" i="96"/>
  <c r="BI18" i="97" s="1"/>
  <c r="BJ18" i="97" s="1"/>
  <c r="BL18" i="97" s="1"/>
  <c r="P21" i="96"/>
  <c r="BI17" i="97" s="1"/>
  <c r="BJ17" i="97" s="1"/>
  <c r="BK17" i="97" s="1"/>
  <c r="BL17" i="97" s="1"/>
  <c r="P20" i="96"/>
  <c r="BI16" i="97" s="1"/>
  <c r="BJ16" i="97" s="1"/>
  <c r="BL16" i="97" s="1"/>
  <c r="P19" i="96"/>
  <c r="BI15" i="97" s="1"/>
  <c r="BJ15" i="97" s="1"/>
  <c r="BK15" i="97" s="1"/>
  <c r="BL15" i="97" s="1"/>
  <c r="P18" i="96"/>
  <c r="P17" i="96"/>
  <c r="BI14" i="97" s="1"/>
  <c r="BJ14" i="97" s="1"/>
  <c r="BL14" i="97" s="1"/>
  <c r="P16" i="96"/>
  <c r="BI13" i="97" s="1"/>
  <c r="BJ13" i="97" s="1"/>
  <c r="BK13" i="97" s="1"/>
  <c r="BL13" i="97" s="1"/>
  <c r="P15" i="96"/>
  <c r="BI58" i="97" s="1"/>
  <c r="BJ58" i="97" s="1"/>
  <c r="BL58" i="97" s="1"/>
  <c r="P14" i="96"/>
  <c r="BI12" i="97" s="1"/>
  <c r="BJ12" i="97" s="1"/>
  <c r="BL12" i="97" s="1"/>
  <c r="P13" i="96"/>
  <c r="BI11" i="97" s="1"/>
  <c r="BJ11" i="97" s="1"/>
  <c r="BL11" i="97" s="1"/>
  <c r="P12" i="96"/>
  <c r="BI56" i="97" s="1"/>
  <c r="BJ56" i="97" s="1"/>
  <c r="BL56" i="97" s="1"/>
  <c r="P11" i="96"/>
  <c r="BI10" i="97" s="1"/>
  <c r="BJ10" i="97" s="1"/>
  <c r="BL10" i="97" s="1"/>
  <c r="P10" i="96"/>
  <c r="BI9" i="97" s="1"/>
  <c r="BJ9" i="97" s="1"/>
  <c r="BL9" i="97" s="1"/>
  <c r="P9" i="96"/>
  <c r="BI8" i="97" s="1"/>
  <c r="BJ8" i="97" s="1"/>
  <c r="BL8" i="97" s="1"/>
  <c r="P8" i="96"/>
  <c r="BI7" i="97" s="1"/>
  <c r="BJ7" i="97" s="1"/>
  <c r="BL7" i="97" s="1"/>
  <c r="P7" i="96"/>
  <c r="BI6" i="97" s="1"/>
  <c r="BJ6" i="97" s="1"/>
  <c r="BL6" i="97" s="1"/>
  <c r="P6" i="96"/>
  <c r="BI5" i="97" s="1"/>
  <c r="BJ5" i="97" s="1"/>
  <c r="BL5" i="97" s="1"/>
  <c r="P4" i="96"/>
  <c r="BI3" i="97" s="1"/>
  <c r="BJ3" i="97" s="1"/>
  <c r="BK3" i="97" s="1"/>
  <c r="BL3" i="97" s="1"/>
  <c r="P3" i="96"/>
  <c r="O60" i="96"/>
  <c r="O59" i="96"/>
  <c r="O58" i="96"/>
  <c r="O57" i="96"/>
  <c r="BE65" i="97" s="1"/>
  <c r="BF65" i="97" s="1"/>
  <c r="BH65" i="97" s="1"/>
  <c r="O56" i="96"/>
  <c r="BE64" i="97" s="1"/>
  <c r="BF64" i="97" s="1"/>
  <c r="BH64" i="97" s="1"/>
  <c r="O55" i="96"/>
  <c r="BE63" i="97" s="1"/>
  <c r="BF63" i="97" s="1"/>
  <c r="BH63" i="97" s="1"/>
  <c r="O67" i="96"/>
  <c r="O54" i="96"/>
  <c r="BE62" i="97" s="1"/>
  <c r="BF62" i="97" s="1"/>
  <c r="BH62" i="97" s="1"/>
  <c r="O53" i="96"/>
  <c r="O52" i="96"/>
  <c r="O51" i="96"/>
  <c r="BE59" i="97" s="1"/>
  <c r="BF59" i="97" s="1"/>
  <c r="BH59" i="97" s="1"/>
  <c r="O50" i="96"/>
  <c r="BE57" i="97" s="1"/>
  <c r="BF57" i="97" s="1"/>
  <c r="BH57" i="97" s="1"/>
  <c r="O45" i="96"/>
  <c r="BE37" i="97" s="1"/>
  <c r="BF37" i="97" s="1"/>
  <c r="BH37" i="97" s="1"/>
  <c r="O35" i="96"/>
  <c r="BE36" i="97" s="1"/>
  <c r="BF36" i="97" s="1"/>
  <c r="BH36" i="97" s="1"/>
  <c r="O44" i="96"/>
  <c r="O43" i="96"/>
  <c r="BE35" i="97" s="1"/>
  <c r="BF35" i="97" s="1"/>
  <c r="BH35" i="97" s="1"/>
  <c r="O42" i="96"/>
  <c r="BE34" i="97" s="1"/>
  <c r="BF34" i="97" s="1"/>
  <c r="BG34" i="97" s="1"/>
  <c r="BH34" i="97" s="1"/>
  <c r="O41" i="96"/>
  <c r="BE33" i="97" s="1"/>
  <c r="BF33" i="97" s="1"/>
  <c r="BH33" i="97" s="1"/>
  <c r="O40" i="96"/>
  <c r="BE32" i="97" s="1"/>
  <c r="BF32" i="97" s="1"/>
  <c r="BH32" i="97" s="1"/>
  <c r="O39" i="96"/>
  <c r="BE31" i="97" s="1"/>
  <c r="BF31" i="97" s="1"/>
  <c r="BH31" i="97" s="1"/>
  <c r="O38" i="96"/>
  <c r="BE29" i="97" s="1"/>
  <c r="BF29" i="97" s="1"/>
  <c r="BH29" i="97" s="1"/>
  <c r="O37" i="96"/>
  <c r="BE28" i="97" s="1"/>
  <c r="BF28" i="97" s="1"/>
  <c r="BH28" i="97" s="1"/>
  <c r="O36" i="96"/>
  <c r="BE27" i="97" s="1"/>
  <c r="BF27" i="97" s="1"/>
  <c r="BH27" i="97" s="1"/>
  <c r="O34" i="96"/>
  <c r="BE26" i="97" s="1"/>
  <c r="BF26" i="97" s="1"/>
  <c r="BH26" i="97" s="1"/>
  <c r="O33" i="96"/>
  <c r="O32" i="96"/>
  <c r="BE25" i="97" s="1"/>
  <c r="BF25" i="97" s="1"/>
  <c r="BH25" i="97" s="1"/>
  <c r="O66" i="96"/>
  <c r="O31" i="96"/>
  <c r="O30" i="96"/>
  <c r="BE24" i="97" s="1"/>
  <c r="BF24" i="97" s="1"/>
  <c r="BH24" i="97" s="1"/>
  <c r="O29" i="96"/>
  <c r="BE23" i="97" s="1"/>
  <c r="BF23" i="97" s="1"/>
  <c r="BH23" i="97" s="1"/>
  <c r="O28" i="96"/>
  <c r="BE22" i="97" s="1"/>
  <c r="BF22" i="97" s="1"/>
  <c r="BG22" i="97" s="1"/>
  <c r="BH22" i="97" s="1"/>
  <c r="O27" i="96"/>
  <c r="O26" i="96"/>
  <c r="BE21" i="97" s="1"/>
  <c r="BF21" i="97" s="1"/>
  <c r="BH21" i="97" s="1"/>
  <c r="O25" i="96"/>
  <c r="BE20" i="97" s="1"/>
  <c r="BF20" i="97" s="1"/>
  <c r="BH20" i="97" s="1"/>
  <c r="O23" i="96"/>
  <c r="O22" i="96"/>
  <c r="BE18" i="97" s="1"/>
  <c r="BF18" i="97" s="1"/>
  <c r="BH18" i="97" s="1"/>
  <c r="O21" i="96"/>
  <c r="BE17" i="97" s="1"/>
  <c r="BF17" i="97" s="1"/>
  <c r="BH17" i="97" s="1"/>
  <c r="O20" i="96"/>
  <c r="BE16" i="97" s="1"/>
  <c r="BF16" i="97" s="1"/>
  <c r="BH16" i="97" s="1"/>
  <c r="O19" i="96"/>
  <c r="BE15" i="97" s="1"/>
  <c r="BF15" i="97" s="1"/>
  <c r="BH15" i="97" s="1"/>
  <c r="O18" i="96"/>
  <c r="O17" i="96"/>
  <c r="BE14" i="97" s="1"/>
  <c r="BF14" i="97" s="1"/>
  <c r="BH14" i="97" s="1"/>
  <c r="O16" i="96"/>
  <c r="BE13" i="97" s="1"/>
  <c r="BF13" i="97" s="1"/>
  <c r="BH13" i="97" s="1"/>
  <c r="O15" i="96"/>
  <c r="BE58" i="97" s="1"/>
  <c r="BF58" i="97" s="1"/>
  <c r="BH58" i="97" s="1"/>
  <c r="O14" i="96"/>
  <c r="BE12" i="97" s="1"/>
  <c r="BF12" i="97" s="1"/>
  <c r="BH12" i="97" s="1"/>
  <c r="O13" i="96"/>
  <c r="BE11" i="97" s="1"/>
  <c r="BF11" i="97" s="1"/>
  <c r="BH11" i="97" s="1"/>
  <c r="O12" i="96"/>
  <c r="BE56" i="97" s="1"/>
  <c r="BF56" i="97" s="1"/>
  <c r="BH56" i="97" s="1"/>
  <c r="O11" i="96"/>
  <c r="BE10" i="97" s="1"/>
  <c r="BF10" i="97" s="1"/>
  <c r="BH10" i="97" s="1"/>
  <c r="O10" i="96"/>
  <c r="BE9" i="97" s="1"/>
  <c r="BF9" i="97" s="1"/>
  <c r="BG9" i="97" s="1"/>
  <c r="BH9" i="97" s="1"/>
  <c r="O9" i="96"/>
  <c r="BE8" i="97" s="1"/>
  <c r="BF8" i="97" s="1"/>
  <c r="BH8" i="97" s="1"/>
  <c r="O8" i="96"/>
  <c r="BE7" i="97" s="1"/>
  <c r="BF7" i="97" s="1"/>
  <c r="BH7" i="97" s="1"/>
  <c r="O7" i="96"/>
  <c r="BE6" i="97" s="1"/>
  <c r="BF6" i="97" s="1"/>
  <c r="BH6" i="97" s="1"/>
  <c r="O6" i="96"/>
  <c r="BE5" i="97" s="1"/>
  <c r="BF5" i="97" s="1"/>
  <c r="BH5" i="97" s="1"/>
  <c r="O4" i="96"/>
  <c r="BE3" i="97" s="1"/>
  <c r="BF3" i="97" s="1"/>
  <c r="BH3" i="97" s="1"/>
  <c r="O3" i="96"/>
  <c r="N68" i="96"/>
  <c r="N60" i="96"/>
  <c r="N59" i="96"/>
  <c r="N58" i="96"/>
  <c r="N57" i="96"/>
  <c r="BA65" i="97" s="1"/>
  <c r="BB65" i="97" s="1"/>
  <c r="BD65" i="97" s="1"/>
  <c r="N56" i="96"/>
  <c r="BA64" i="97" s="1"/>
  <c r="BB64" i="97" s="1"/>
  <c r="BD64" i="97" s="1"/>
  <c r="N55" i="96"/>
  <c r="BA63" i="97" s="1"/>
  <c r="BB63" i="97" s="1"/>
  <c r="BD63" i="97" s="1"/>
  <c r="N67" i="96"/>
  <c r="N54" i="96"/>
  <c r="BA62" i="97" s="1"/>
  <c r="BB62" i="97" s="1"/>
  <c r="BD62" i="97" s="1"/>
  <c r="N53" i="96"/>
  <c r="N52" i="96"/>
  <c r="N51" i="96"/>
  <c r="BA59" i="97" s="1"/>
  <c r="BB59" i="97" s="1"/>
  <c r="BD59" i="97" s="1"/>
  <c r="N50" i="96"/>
  <c r="BA57" i="97" s="1"/>
  <c r="BB57" i="97" s="1"/>
  <c r="BD57" i="97" s="1"/>
  <c r="N46" i="96"/>
  <c r="BA53" i="97" s="1"/>
  <c r="BB53" i="97" s="1"/>
  <c r="BD53" i="97" s="1"/>
  <c r="N42" i="96"/>
  <c r="BA34" i="97" s="1"/>
  <c r="BB34" i="97" s="1"/>
  <c r="BD34" i="97" s="1"/>
  <c r="N40" i="96"/>
  <c r="BA32" i="97" s="1"/>
  <c r="BB32" i="97" s="1"/>
  <c r="BD32" i="97" s="1"/>
  <c r="N39" i="96"/>
  <c r="BA31" i="97" s="1"/>
  <c r="BB31" i="97" s="1"/>
  <c r="BD31" i="97" s="1"/>
  <c r="N38" i="96"/>
  <c r="BA29" i="97" s="1"/>
  <c r="BB29" i="97" s="1"/>
  <c r="BC29" i="97" s="1"/>
  <c r="BD29" i="97" s="1"/>
  <c r="N37" i="96"/>
  <c r="BA28" i="97" s="1"/>
  <c r="BB28" i="97" s="1"/>
  <c r="BD28" i="97" s="1"/>
  <c r="N36" i="96"/>
  <c r="BA27" i="97" s="1"/>
  <c r="BB27" i="97" s="1"/>
  <c r="BD27" i="97" s="1"/>
  <c r="N34" i="96"/>
  <c r="BA26" i="97" s="1"/>
  <c r="BB26" i="97" s="1"/>
  <c r="BD26" i="97" s="1"/>
  <c r="N33" i="96"/>
  <c r="N32" i="96"/>
  <c r="BA25" i="97" s="1"/>
  <c r="BB25" i="97" s="1"/>
  <c r="BD25" i="97" s="1"/>
  <c r="N66" i="96"/>
  <c r="N31" i="96"/>
  <c r="N30" i="96"/>
  <c r="BA24" i="97" s="1"/>
  <c r="BB24" i="97" s="1"/>
  <c r="BD24" i="97" s="1"/>
  <c r="N29" i="96"/>
  <c r="BA23" i="97" s="1"/>
  <c r="BB23" i="97" s="1"/>
  <c r="BD23" i="97" s="1"/>
  <c r="N28" i="96"/>
  <c r="BA22" i="97" s="1"/>
  <c r="BB22" i="97" s="1"/>
  <c r="BD22" i="97" s="1"/>
  <c r="N27" i="96"/>
  <c r="N26" i="96"/>
  <c r="BA21" i="97" s="1"/>
  <c r="BB21" i="97" s="1"/>
  <c r="BD21" i="97" s="1"/>
  <c r="N25" i="96"/>
  <c r="BA20" i="97" s="1"/>
  <c r="BB20" i="97" s="1"/>
  <c r="BC20" i="97" s="1"/>
  <c r="BD20" i="97" s="1"/>
  <c r="N24" i="96"/>
  <c r="BA19" i="97" s="1"/>
  <c r="BB19" i="97" s="1"/>
  <c r="BD19" i="97" s="1"/>
  <c r="N23" i="96"/>
  <c r="N22" i="96"/>
  <c r="BA18" i="97" s="1"/>
  <c r="BB18" i="97" s="1"/>
  <c r="BD18" i="97" s="1"/>
  <c r="N21" i="96"/>
  <c r="BA17" i="97" s="1"/>
  <c r="BB17" i="97" s="1"/>
  <c r="BC17" i="97" s="1"/>
  <c r="BD17" i="97" s="1"/>
  <c r="N20" i="96"/>
  <c r="BA16" i="97" s="1"/>
  <c r="BB16" i="97" s="1"/>
  <c r="BD16" i="97" s="1"/>
  <c r="N19" i="96"/>
  <c r="BA15" i="97" s="1"/>
  <c r="BB15" i="97" s="1"/>
  <c r="BD15" i="97" s="1"/>
  <c r="N18" i="96"/>
  <c r="N17" i="96"/>
  <c r="BA14" i="97" s="1"/>
  <c r="BB14" i="97" s="1"/>
  <c r="BD14" i="97" s="1"/>
  <c r="N16" i="96"/>
  <c r="BA13" i="97" s="1"/>
  <c r="BB13" i="97" s="1"/>
  <c r="BD13" i="97" s="1"/>
  <c r="N15" i="96"/>
  <c r="BA58" i="97" s="1"/>
  <c r="BB58" i="97" s="1"/>
  <c r="BD58" i="97" s="1"/>
  <c r="N14" i="96"/>
  <c r="BA12" i="97" s="1"/>
  <c r="BB12" i="97" s="1"/>
  <c r="BD12" i="97" s="1"/>
  <c r="N13" i="96"/>
  <c r="BA11" i="97" s="1"/>
  <c r="BB11" i="97" s="1"/>
  <c r="BD11" i="97" s="1"/>
  <c r="N12" i="96"/>
  <c r="BA56" i="97" s="1"/>
  <c r="BB56" i="97" s="1"/>
  <c r="BD56" i="97" s="1"/>
  <c r="N11" i="96"/>
  <c r="BA10" i="97" s="1"/>
  <c r="BB10" i="97" s="1"/>
  <c r="BD10" i="97" s="1"/>
  <c r="N9" i="96"/>
  <c r="BA8" i="97" s="1"/>
  <c r="BB8" i="97" s="1"/>
  <c r="BD8" i="97" s="1"/>
  <c r="N8" i="96"/>
  <c r="BA7" i="97" s="1"/>
  <c r="BB7" i="97" s="1"/>
  <c r="BC7" i="97" s="1"/>
  <c r="BD7" i="97" s="1"/>
  <c r="N7" i="96"/>
  <c r="BA6" i="97" s="1"/>
  <c r="BB6" i="97" s="1"/>
  <c r="BD6" i="97" s="1"/>
  <c r="N6" i="96"/>
  <c r="BA5" i="97" s="1"/>
  <c r="BB5" i="97" s="1"/>
  <c r="BD5" i="97" s="1"/>
  <c r="N5" i="96"/>
  <c r="BA4" i="97" s="1"/>
  <c r="BB4" i="97" s="1"/>
  <c r="BD4" i="97" s="1"/>
  <c r="N4" i="96"/>
  <c r="BA3" i="97" s="1"/>
  <c r="BB3" i="97" s="1"/>
  <c r="BD3" i="97" s="1"/>
  <c r="N3" i="96"/>
  <c r="M68" i="96"/>
  <c r="M60" i="96"/>
  <c r="M59" i="96"/>
  <c r="M58" i="96"/>
  <c r="M57" i="96"/>
  <c r="AW65" i="97" s="1"/>
  <c r="AX65" i="97" s="1"/>
  <c r="AZ65" i="97" s="1"/>
  <c r="M56" i="96"/>
  <c r="AW64" i="97" s="1"/>
  <c r="AX64" i="97" s="1"/>
  <c r="AZ64" i="97" s="1"/>
  <c r="M55" i="96"/>
  <c r="AW63" i="97" s="1"/>
  <c r="AX63" i="97" s="1"/>
  <c r="AZ63" i="97" s="1"/>
  <c r="M67" i="96"/>
  <c r="M54" i="96"/>
  <c r="AW62" i="97" s="1"/>
  <c r="AX62" i="97" s="1"/>
  <c r="AZ62" i="97" s="1"/>
  <c r="M53" i="96"/>
  <c r="M52" i="96"/>
  <c r="M51" i="96"/>
  <c r="AW59" i="97" s="1"/>
  <c r="AX59" i="97" s="1"/>
  <c r="AZ59" i="97" s="1"/>
  <c r="M50" i="96"/>
  <c r="AW57" i="97" s="1"/>
  <c r="AX57" i="97" s="1"/>
  <c r="AZ57" i="97" s="1"/>
  <c r="M48" i="96"/>
  <c r="M47" i="96"/>
  <c r="AW54" i="97" s="1"/>
  <c r="AX54" i="97" s="1"/>
  <c r="AZ54" i="97" s="1"/>
  <c r="M40" i="96"/>
  <c r="AW32" i="97" s="1"/>
  <c r="AX32" i="97" s="1"/>
  <c r="AZ32" i="97" s="1"/>
  <c r="M39" i="96"/>
  <c r="AW31" i="97" s="1"/>
  <c r="AX31" i="97" s="1"/>
  <c r="AZ31" i="97" s="1"/>
  <c r="M49" i="96"/>
  <c r="AW30" i="97" s="1"/>
  <c r="AX30" i="97" s="1"/>
  <c r="AZ30" i="97" s="1"/>
  <c r="M38" i="96"/>
  <c r="AW29" i="97" s="1"/>
  <c r="AX29" i="97" s="1"/>
  <c r="AZ29" i="97" s="1"/>
  <c r="M37" i="96"/>
  <c r="AW28" i="97" s="1"/>
  <c r="AX28" i="97" s="1"/>
  <c r="AZ28" i="97" s="1"/>
  <c r="M36" i="96"/>
  <c r="AW27" i="97" s="1"/>
  <c r="AX27" i="97" s="1"/>
  <c r="AZ27" i="97" s="1"/>
  <c r="M34" i="96"/>
  <c r="AW26" i="97" s="1"/>
  <c r="AX26" i="97" s="1"/>
  <c r="AZ26" i="97" s="1"/>
  <c r="M33" i="96"/>
  <c r="M32" i="96"/>
  <c r="AW25" i="97" s="1"/>
  <c r="AX25" i="97" s="1"/>
  <c r="AZ25" i="97" s="1"/>
  <c r="M66" i="96"/>
  <c r="M31" i="96"/>
  <c r="M30" i="96"/>
  <c r="AW24" i="97" s="1"/>
  <c r="AX24" i="97" s="1"/>
  <c r="AY24" i="97" s="1"/>
  <c r="AZ24" i="97" s="1"/>
  <c r="M29" i="96"/>
  <c r="AW23" i="97" s="1"/>
  <c r="AX23" i="97" s="1"/>
  <c r="AZ23" i="97" s="1"/>
  <c r="M28" i="96"/>
  <c r="M27" i="96"/>
  <c r="M26" i="96"/>
  <c r="AW21" i="97" s="1"/>
  <c r="AX21" i="97" s="1"/>
  <c r="AZ21" i="97" s="1"/>
  <c r="M25" i="96"/>
  <c r="AW20" i="97" s="1"/>
  <c r="AX20" i="97" s="1"/>
  <c r="AY20" i="97" s="1"/>
  <c r="AZ20" i="97" s="1"/>
  <c r="M24" i="96"/>
  <c r="AW19" i="97" s="1"/>
  <c r="AX19" i="97" s="1"/>
  <c r="AZ19" i="97" s="1"/>
  <c r="M23" i="96"/>
  <c r="M22" i="96"/>
  <c r="AW18" i="97" s="1"/>
  <c r="AX18" i="97" s="1"/>
  <c r="AZ18" i="97" s="1"/>
  <c r="M21" i="96"/>
  <c r="AW17" i="97" s="1"/>
  <c r="AX17" i="97" s="1"/>
  <c r="AZ17" i="97" s="1"/>
  <c r="M20" i="96"/>
  <c r="AW16" i="97" s="1"/>
  <c r="AX16" i="97" s="1"/>
  <c r="AZ16" i="97" s="1"/>
  <c r="M18" i="96"/>
  <c r="M17" i="96"/>
  <c r="AW14" i="97" s="1"/>
  <c r="AX14" i="97" s="1"/>
  <c r="AZ14" i="97" s="1"/>
  <c r="M16" i="96"/>
  <c r="AW13" i="97" s="1"/>
  <c r="AX13" i="97" s="1"/>
  <c r="AZ13" i="97" s="1"/>
  <c r="M14" i="96"/>
  <c r="AW12" i="97" s="1"/>
  <c r="AX12" i="97" s="1"/>
  <c r="AZ12" i="97" s="1"/>
  <c r="M13" i="96"/>
  <c r="AW11" i="97" s="1"/>
  <c r="AX11" i="97" s="1"/>
  <c r="AZ11" i="97" s="1"/>
  <c r="M12" i="96"/>
  <c r="AW56" i="97" s="1"/>
  <c r="AX56" i="97" s="1"/>
  <c r="AZ56" i="97" s="1"/>
  <c r="M11" i="96"/>
  <c r="AW10" i="97" s="1"/>
  <c r="AX10" i="97" s="1"/>
  <c r="AZ10" i="97" s="1"/>
  <c r="M9" i="96"/>
  <c r="AW8" i="97" s="1"/>
  <c r="AX8" i="97" s="1"/>
  <c r="AZ8" i="97" s="1"/>
  <c r="M8" i="96"/>
  <c r="AW7" i="97" s="1"/>
  <c r="AX7" i="97" s="1"/>
  <c r="AZ7" i="97" s="1"/>
  <c r="M7" i="96"/>
  <c r="AW6" i="97" s="1"/>
  <c r="AX6" i="97" s="1"/>
  <c r="AZ6" i="97" s="1"/>
  <c r="M6" i="96"/>
  <c r="AW5" i="97" s="1"/>
  <c r="AX5" i="97" s="1"/>
  <c r="AZ5" i="97" s="1"/>
  <c r="M5" i="96"/>
  <c r="AW4" i="97" s="1"/>
  <c r="AX4" i="97" s="1"/>
  <c r="AZ4" i="97" s="1"/>
  <c r="M4" i="96"/>
  <c r="AW3" i="97" s="1"/>
  <c r="AX3" i="97" s="1"/>
  <c r="AZ3" i="97" s="1"/>
  <c r="M3" i="96"/>
  <c r="L68" i="96"/>
  <c r="L60" i="96"/>
  <c r="L59" i="96"/>
  <c r="L58" i="96"/>
  <c r="L57" i="96"/>
  <c r="AS65" i="97" s="1"/>
  <c r="AT65" i="97" s="1"/>
  <c r="AV65" i="97" s="1"/>
  <c r="L56" i="96"/>
  <c r="AS64" i="97" s="1"/>
  <c r="AT64" i="97" s="1"/>
  <c r="AV64" i="97" s="1"/>
  <c r="L55" i="96"/>
  <c r="AS63" i="97" s="1"/>
  <c r="AT63" i="97" s="1"/>
  <c r="AV63" i="97" s="1"/>
  <c r="L67" i="96"/>
  <c r="L54" i="96"/>
  <c r="AS62" i="97" s="1"/>
  <c r="AT62" i="97" s="1"/>
  <c r="AV62" i="97" s="1"/>
  <c r="L53" i="96"/>
  <c r="L52" i="96"/>
  <c r="L51" i="96"/>
  <c r="AS59" i="97" s="1"/>
  <c r="AT59" i="97" s="1"/>
  <c r="AV59" i="97" s="1"/>
  <c r="L50" i="96"/>
  <c r="AS57" i="97" s="1"/>
  <c r="AT57" i="97" s="1"/>
  <c r="AV57" i="97" s="1"/>
  <c r="L40" i="96"/>
  <c r="AS32" i="97" s="1"/>
  <c r="AT32" i="97" s="1"/>
  <c r="AV32" i="97" s="1"/>
  <c r="L39" i="96"/>
  <c r="AS31" i="97" s="1"/>
  <c r="AT31" i="97" s="1"/>
  <c r="AV31" i="97" s="1"/>
  <c r="L49" i="96"/>
  <c r="AS30" i="97" s="1"/>
  <c r="AT30" i="97" s="1"/>
  <c r="AV30" i="97" s="1"/>
  <c r="L38" i="96"/>
  <c r="AS29" i="97" s="1"/>
  <c r="AT29" i="97" s="1"/>
  <c r="AV29" i="97" s="1"/>
  <c r="L37" i="96"/>
  <c r="AS28" i="97" s="1"/>
  <c r="AT28" i="97" s="1"/>
  <c r="AV28" i="97" s="1"/>
  <c r="L36" i="96"/>
  <c r="L34" i="96"/>
  <c r="AS26" i="97" s="1"/>
  <c r="AT26" i="97" s="1"/>
  <c r="AV26" i="97" s="1"/>
  <c r="L33" i="96"/>
  <c r="L32" i="96"/>
  <c r="AS25" i="97" s="1"/>
  <c r="AT25" i="97" s="1"/>
  <c r="AV25" i="97" s="1"/>
  <c r="L66" i="96"/>
  <c r="L31" i="96"/>
  <c r="L30" i="96"/>
  <c r="AS24" i="97" s="1"/>
  <c r="AT24" i="97" s="1"/>
  <c r="AV24" i="97" s="1"/>
  <c r="L29" i="96"/>
  <c r="AS23" i="97" s="1"/>
  <c r="AT23" i="97" s="1"/>
  <c r="AV23" i="97" s="1"/>
  <c r="L27" i="96"/>
  <c r="L26" i="96"/>
  <c r="AS21" i="97" s="1"/>
  <c r="AT21" i="97" s="1"/>
  <c r="AV21" i="97" s="1"/>
  <c r="L25" i="96"/>
  <c r="AS20" i="97" s="1"/>
  <c r="AT20" i="97" s="1"/>
  <c r="AV20" i="97" s="1"/>
  <c r="L24" i="96"/>
  <c r="AS19" i="97" s="1"/>
  <c r="AT19" i="97" s="1"/>
  <c r="AV19" i="97" s="1"/>
  <c r="L23" i="96"/>
  <c r="L22" i="96"/>
  <c r="AS18" i="97" s="1"/>
  <c r="AT18" i="97" s="1"/>
  <c r="AV18" i="97" s="1"/>
  <c r="L20" i="96"/>
  <c r="AS16" i="97" s="1"/>
  <c r="AT16" i="97" s="1"/>
  <c r="AV16" i="97" s="1"/>
  <c r="L19" i="96"/>
  <c r="AS15" i="97" s="1"/>
  <c r="AT15" i="97" s="1"/>
  <c r="AV15" i="97" s="1"/>
  <c r="L18" i="96"/>
  <c r="L17" i="96"/>
  <c r="AS14" i="97" s="1"/>
  <c r="AT14" i="97" s="1"/>
  <c r="AV14" i="97" s="1"/>
  <c r="L16" i="96"/>
  <c r="AS13" i="97" s="1"/>
  <c r="AT13" i="97" s="1"/>
  <c r="AV13" i="97" s="1"/>
  <c r="L15" i="96"/>
  <c r="AS58" i="97" s="1"/>
  <c r="AT58" i="97" s="1"/>
  <c r="AV58" i="97" s="1"/>
  <c r="L14" i="96"/>
  <c r="AS12" i="97" s="1"/>
  <c r="AT12" i="97" s="1"/>
  <c r="AV12" i="97" s="1"/>
  <c r="L13" i="96"/>
  <c r="AS11" i="97" s="1"/>
  <c r="AT11" i="97" s="1"/>
  <c r="AV11" i="97" s="1"/>
  <c r="L11" i="96"/>
  <c r="AS10" i="97" s="1"/>
  <c r="AT10" i="97" s="1"/>
  <c r="AV10" i="97" s="1"/>
  <c r="L10" i="96"/>
  <c r="AS9" i="97" s="1"/>
  <c r="AT9" i="97" s="1"/>
  <c r="AV9" i="97" s="1"/>
  <c r="L9" i="96"/>
  <c r="AS8" i="97" s="1"/>
  <c r="AT8" i="97" s="1"/>
  <c r="AV8" i="97" s="1"/>
  <c r="L8" i="96"/>
  <c r="AS7" i="97" s="1"/>
  <c r="AT7" i="97" s="1"/>
  <c r="AV7" i="97" s="1"/>
  <c r="L7" i="96"/>
  <c r="AS6" i="97" s="1"/>
  <c r="AT6" i="97" s="1"/>
  <c r="AV6" i="97" s="1"/>
  <c r="L6" i="96"/>
  <c r="AS5" i="97" s="1"/>
  <c r="AT5" i="97" s="1"/>
  <c r="AV5" i="97" s="1"/>
  <c r="L5" i="96"/>
  <c r="AS4" i="97" s="1"/>
  <c r="AT4" i="97" s="1"/>
  <c r="AV4" i="97" s="1"/>
  <c r="L4" i="96"/>
  <c r="AS3" i="97" s="1"/>
  <c r="AT3" i="97" s="1"/>
  <c r="AV3" i="97" s="1"/>
  <c r="L3" i="96"/>
  <c r="K60" i="96"/>
  <c r="K59" i="96"/>
  <c r="K58" i="96"/>
  <c r="K57" i="96"/>
  <c r="AO65" i="97" s="1"/>
  <c r="AP65" i="97" s="1"/>
  <c r="AR65" i="97" s="1"/>
  <c r="K56" i="96"/>
  <c r="AO64" i="97" s="1"/>
  <c r="AP64" i="97" s="1"/>
  <c r="AR64" i="97" s="1"/>
  <c r="K55" i="96"/>
  <c r="AO63" i="97" s="1"/>
  <c r="AP63" i="97" s="1"/>
  <c r="AR63" i="97" s="1"/>
  <c r="K67" i="96"/>
  <c r="K54" i="96"/>
  <c r="AO62" i="97" s="1"/>
  <c r="AP62" i="97" s="1"/>
  <c r="AR62" i="97" s="1"/>
  <c r="K53" i="96"/>
  <c r="K52" i="96"/>
  <c r="K51" i="96"/>
  <c r="AO59" i="97" s="1"/>
  <c r="AP59" i="97" s="1"/>
  <c r="AR59" i="97" s="1"/>
  <c r="K50" i="96"/>
  <c r="AO57" i="97" s="1"/>
  <c r="AP57" i="97" s="1"/>
  <c r="AR57" i="97" s="1"/>
  <c r="K40" i="96"/>
  <c r="AO32" i="97" s="1"/>
  <c r="AP32" i="97" s="1"/>
  <c r="AR32" i="97" s="1"/>
  <c r="K39" i="96"/>
  <c r="AO31" i="97" s="1"/>
  <c r="AP31" i="97" s="1"/>
  <c r="AR31" i="97" s="1"/>
  <c r="K49" i="96"/>
  <c r="AO30" i="97" s="1"/>
  <c r="AP30" i="97" s="1"/>
  <c r="AR30" i="97" s="1"/>
  <c r="K38" i="96"/>
  <c r="AO29" i="97" s="1"/>
  <c r="AP29" i="97" s="1"/>
  <c r="AR29" i="97" s="1"/>
  <c r="K37" i="96"/>
  <c r="AO28" i="97" s="1"/>
  <c r="AP28" i="97" s="1"/>
  <c r="AR28" i="97" s="1"/>
  <c r="K36" i="96"/>
  <c r="K34" i="96"/>
  <c r="AO26" i="97" s="1"/>
  <c r="AP26" i="97" s="1"/>
  <c r="AR26" i="97" s="1"/>
  <c r="K33" i="96"/>
  <c r="K32" i="96"/>
  <c r="AO25" i="97" s="1"/>
  <c r="AP25" i="97" s="1"/>
  <c r="AR25" i="97" s="1"/>
  <c r="K66" i="96"/>
  <c r="K31" i="96"/>
  <c r="K30" i="96"/>
  <c r="AO24" i="97" s="1"/>
  <c r="AP24" i="97" s="1"/>
  <c r="AR24" i="97" s="1"/>
  <c r="K29" i="96"/>
  <c r="AO23" i="97" s="1"/>
  <c r="AP23" i="97" s="1"/>
  <c r="AR23" i="97" s="1"/>
  <c r="K27" i="96"/>
  <c r="K26" i="96"/>
  <c r="AO21" i="97" s="1"/>
  <c r="AP21" i="97" s="1"/>
  <c r="AR21" i="97" s="1"/>
  <c r="K25" i="96"/>
  <c r="AO20" i="97" s="1"/>
  <c r="AP20" i="97" s="1"/>
  <c r="AR20" i="97" s="1"/>
  <c r="K24" i="96"/>
  <c r="AO19" i="97" s="1"/>
  <c r="AP19" i="97" s="1"/>
  <c r="AR19" i="97" s="1"/>
  <c r="K23" i="96"/>
  <c r="K22" i="96"/>
  <c r="AO18" i="97" s="1"/>
  <c r="AP18" i="97" s="1"/>
  <c r="AR18" i="97" s="1"/>
  <c r="K21" i="96"/>
  <c r="AO17" i="97" s="1"/>
  <c r="AP17" i="97" s="1"/>
  <c r="AR17" i="97" s="1"/>
  <c r="K20" i="96"/>
  <c r="AO16" i="97" s="1"/>
  <c r="AP16" i="97" s="1"/>
  <c r="AR16" i="97" s="1"/>
  <c r="K19" i="96"/>
  <c r="AO15" i="97" s="1"/>
  <c r="AP15" i="97" s="1"/>
  <c r="AR15" i="97" s="1"/>
  <c r="K18" i="96"/>
  <c r="K17" i="96"/>
  <c r="AO14" i="97" s="1"/>
  <c r="AP14" i="97" s="1"/>
  <c r="AR14" i="97" s="1"/>
  <c r="K16" i="96"/>
  <c r="AO13" i="97" s="1"/>
  <c r="AP13" i="97" s="1"/>
  <c r="AR13" i="97" s="1"/>
  <c r="K15" i="96"/>
  <c r="AO58" i="97" s="1"/>
  <c r="AP58" i="97" s="1"/>
  <c r="AR58" i="97" s="1"/>
  <c r="K14" i="96"/>
  <c r="AO12" i="97" s="1"/>
  <c r="AP12" i="97" s="1"/>
  <c r="AR12" i="97" s="1"/>
  <c r="K13" i="96"/>
  <c r="AO11" i="97" s="1"/>
  <c r="AP11" i="97" s="1"/>
  <c r="AR11" i="97" s="1"/>
  <c r="K12" i="96"/>
  <c r="AO56" i="97" s="1"/>
  <c r="AP56" i="97" s="1"/>
  <c r="AR56" i="97" s="1"/>
  <c r="K11" i="96"/>
  <c r="AO10" i="97" s="1"/>
  <c r="AP10" i="97" s="1"/>
  <c r="AR10" i="97" s="1"/>
  <c r="K10" i="96"/>
  <c r="AO9" i="97" s="1"/>
  <c r="AP9" i="97" s="1"/>
  <c r="AR9" i="97" s="1"/>
  <c r="K9" i="96"/>
  <c r="AO8" i="97" s="1"/>
  <c r="AP8" i="97" s="1"/>
  <c r="AR8" i="97" s="1"/>
  <c r="K8" i="96"/>
  <c r="AO7" i="97" s="1"/>
  <c r="AP7" i="97" s="1"/>
  <c r="AQ7" i="97" s="1"/>
  <c r="AR7" i="97" s="1"/>
  <c r="K7" i="96"/>
  <c r="AO6" i="97" s="1"/>
  <c r="AP6" i="97" s="1"/>
  <c r="AR6" i="97" s="1"/>
  <c r="K6" i="96"/>
  <c r="AO5" i="97" s="1"/>
  <c r="AP5" i="97" s="1"/>
  <c r="AR5" i="97" s="1"/>
  <c r="K5" i="96"/>
  <c r="AO4" i="97" s="1"/>
  <c r="AP4" i="97" s="1"/>
  <c r="AR4" i="97" s="1"/>
  <c r="K4" i="96"/>
  <c r="AO3" i="97" s="1"/>
  <c r="AP3" i="97" s="1"/>
  <c r="AR3" i="97" s="1"/>
  <c r="K3" i="96"/>
  <c r="J60" i="96"/>
  <c r="J59" i="96"/>
  <c r="J58" i="96"/>
  <c r="J57" i="96"/>
  <c r="AK65" i="97" s="1"/>
  <c r="AL65" i="97" s="1"/>
  <c r="AN65" i="97" s="1"/>
  <c r="J56" i="96"/>
  <c r="AK64" i="97" s="1"/>
  <c r="AL64" i="97" s="1"/>
  <c r="AN64" i="97" s="1"/>
  <c r="J55" i="96"/>
  <c r="AK63" i="97" s="1"/>
  <c r="AL63" i="97" s="1"/>
  <c r="AN63" i="97" s="1"/>
  <c r="J67" i="96"/>
  <c r="J54" i="96"/>
  <c r="AK62" i="97" s="1"/>
  <c r="AL62" i="97" s="1"/>
  <c r="AN62" i="97" s="1"/>
  <c r="J53" i="96"/>
  <c r="J52" i="96"/>
  <c r="J51" i="96"/>
  <c r="AK59" i="97" s="1"/>
  <c r="AL59" i="97" s="1"/>
  <c r="AN59" i="97" s="1"/>
  <c r="J50" i="96"/>
  <c r="AK57" i="97" s="1"/>
  <c r="AL57" i="97" s="1"/>
  <c r="AN57" i="97" s="1"/>
  <c r="J35" i="96"/>
  <c r="AK36" i="97" s="1"/>
  <c r="AL36" i="97" s="1"/>
  <c r="AN36" i="97" s="1"/>
  <c r="J40" i="96"/>
  <c r="AK32" i="97" s="1"/>
  <c r="AL32" i="97" s="1"/>
  <c r="AN32" i="97" s="1"/>
  <c r="J39" i="96"/>
  <c r="AK31" i="97" s="1"/>
  <c r="AL31" i="97" s="1"/>
  <c r="AN31" i="97" s="1"/>
  <c r="J49" i="96"/>
  <c r="AK30" i="97" s="1"/>
  <c r="AL30" i="97" s="1"/>
  <c r="AN30" i="97" s="1"/>
  <c r="J38" i="96"/>
  <c r="AK29" i="97" s="1"/>
  <c r="AL29" i="97" s="1"/>
  <c r="AN29" i="97" s="1"/>
  <c r="J37" i="96"/>
  <c r="AK28" i="97" s="1"/>
  <c r="AL28" i="97" s="1"/>
  <c r="AN28" i="97" s="1"/>
  <c r="J36" i="96"/>
  <c r="J34" i="96"/>
  <c r="AK26" i="97" s="1"/>
  <c r="AL26" i="97" s="1"/>
  <c r="AN26" i="97" s="1"/>
  <c r="J33" i="96"/>
  <c r="J32" i="96"/>
  <c r="AK25" i="97" s="1"/>
  <c r="AL25" i="97" s="1"/>
  <c r="AN25" i="97" s="1"/>
  <c r="J66" i="96"/>
  <c r="J31" i="96"/>
  <c r="J30" i="96"/>
  <c r="AK24" i="97" s="1"/>
  <c r="AL24" i="97" s="1"/>
  <c r="AN24" i="97" s="1"/>
  <c r="J29" i="96"/>
  <c r="AK23" i="97" s="1"/>
  <c r="AL23" i="97" s="1"/>
  <c r="AN23" i="97" s="1"/>
  <c r="J27" i="96"/>
  <c r="J26" i="96"/>
  <c r="AK21" i="97" s="1"/>
  <c r="AL21" i="97" s="1"/>
  <c r="AN21" i="97" s="1"/>
  <c r="J25" i="96"/>
  <c r="AK20" i="97" s="1"/>
  <c r="AL20" i="97" s="1"/>
  <c r="AN20" i="97" s="1"/>
  <c r="J24" i="96"/>
  <c r="AK19" i="97" s="1"/>
  <c r="AL19" i="97" s="1"/>
  <c r="AN19" i="97" s="1"/>
  <c r="J23" i="96"/>
  <c r="J22" i="96"/>
  <c r="AK18" i="97" s="1"/>
  <c r="AL18" i="97" s="1"/>
  <c r="AN18" i="97" s="1"/>
  <c r="J21" i="96"/>
  <c r="AK17" i="97" s="1"/>
  <c r="AL17" i="97" s="1"/>
  <c r="AM17" i="97" s="1"/>
  <c r="AN17" i="97" s="1"/>
  <c r="J20" i="96"/>
  <c r="AK16" i="97" s="1"/>
  <c r="AL16" i="97" s="1"/>
  <c r="AN16" i="97" s="1"/>
  <c r="J19" i="96"/>
  <c r="AK15" i="97" s="1"/>
  <c r="AL15" i="97" s="1"/>
  <c r="AM15" i="97" s="1"/>
  <c r="AN15" i="97" s="1"/>
  <c r="J18" i="96"/>
  <c r="J17" i="96"/>
  <c r="AK14" i="97" s="1"/>
  <c r="AL14" i="97" s="1"/>
  <c r="AN14" i="97" s="1"/>
  <c r="J16" i="96"/>
  <c r="AK13" i="97" s="1"/>
  <c r="AL13" i="97" s="1"/>
  <c r="AN13" i="97" s="1"/>
  <c r="J15" i="96"/>
  <c r="AK58" i="97" s="1"/>
  <c r="AL58" i="97" s="1"/>
  <c r="AN58" i="97" s="1"/>
  <c r="J14" i="96"/>
  <c r="AK12" i="97" s="1"/>
  <c r="AL12" i="97" s="1"/>
  <c r="AN12" i="97" s="1"/>
  <c r="J13" i="96"/>
  <c r="AK11" i="97" s="1"/>
  <c r="AL11" i="97" s="1"/>
  <c r="AN11" i="97" s="1"/>
  <c r="J12" i="96"/>
  <c r="AK56" i="97" s="1"/>
  <c r="AL56" i="97" s="1"/>
  <c r="AN56" i="97" s="1"/>
  <c r="J11" i="96"/>
  <c r="AK10" i="97" s="1"/>
  <c r="AL10" i="97" s="1"/>
  <c r="AN10" i="97" s="1"/>
  <c r="J10" i="96"/>
  <c r="AK9" i="97" s="1"/>
  <c r="AL9" i="97" s="1"/>
  <c r="AN9" i="97" s="1"/>
  <c r="J9" i="96"/>
  <c r="AK8" i="97" s="1"/>
  <c r="AL8" i="97" s="1"/>
  <c r="AN8" i="97" s="1"/>
  <c r="J8" i="96"/>
  <c r="AK7" i="97" s="1"/>
  <c r="AL7" i="97" s="1"/>
  <c r="AN7" i="97" s="1"/>
  <c r="J7" i="96"/>
  <c r="AK6" i="97" s="1"/>
  <c r="AL6" i="97" s="1"/>
  <c r="AN6" i="97" s="1"/>
  <c r="J6" i="96"/>
  <c r="AK5" i="97" s="1"/>
  <c r="AL5" i="97" s="1"/>
  <c r="AN5" i="97" s="1"/>
  <c r="J5" i="96"/>
  <c r="AK4" i="97" s="1"/>
  <c r="AL4" i="97" s="1"/>
  <c r="AN4" i="97" s="1"/>
  <c r="J4" i="96"/>
  <c r="AK3" i="97" s="1"/>
  <c r="AL3" i="97" s="1"/>
  <c r="AN3" i="97" s="1"/>
  <c r="J3" i="96"/>
  <c r="I68" i="96"/>
  <c r="I60" i="96"/>
  <c r="I59" i="96"/>
  <c r="I58" i="96"/>
  <c r="I57" i="96"/>
  <c r="AG65" i="97" s="1"/>
  <c r="AH65" i="97" s="1"/>
  <c r="AJ65" i="97" s="1"/>
  <c r="I56" i="96"/>
  <c r="AG64" i="97" s="1"/>
  <c r="AH64" i="97" s="1"/>
  <c r="AJ64" i="97" s="1"/>
  <c r="I55" i="96"/>
  <c r="AG63" i="97" s="1"/>
  <c r="AH63" i="97" s="1"/>
  <c r="AJ63" i="97" s="1"/>
  <c r="I67" i="96"/>
  <c r="I54" i="96"/>
  <c r="AG62" i="97" s="1"/>
  <c r="AH62" i="97" s="1"/>
  <c r="AJ62" i="97" s="1"/>
  <c r="I53" i="96"/>
  <c r="I52" i="96"/>
  <c r="I51" i="96"/>
  <c r="AG59" i="97" s="1"/>
  <c r="AH59" i="97" s="1"/>
  <c r="AJ59" i="97" s="1"/>
  <c r="I50" i="96"/>
  <c r="AG57" i="97" s="1"/>
  <c r="AH57" i="97" s="1"/>
  <c r="AJ57" i="97" s="1"/>
  <c r="I35" i="96"/>
  <c r="AG36" i="97" s="1"/>
  <c r="AH36" i="97" s="1"/>
  <c r="AJ36" i="97" s="1"/>
  <c r="I40" i="96"/>
  <c r="AG32" i="97" s="1"/>
  <c r="AH32" i="97" s="1"/>
  <c r="AJ32" i="97" s="1"/>
  <c r="I39" i="96"/>
  <c r="AG31" i="97" s="1"/>
  <c r="AH31" i="97" s="1"/>
  <c r="AJ31" i="97" s="1"/>
  <c r="I49" i="96"/>
  <c r="AG30" i="97" s="1"/>
  <c r="AH30" i="97" s="1"/>
  <c r="AJ30" i="97" s="1"/>
  <c r="I38" i="96"/>
  <c r="AG29" i="97" s="1"/>
  <c r="AH29" i="97" s="1"/>
  <c r="AJ29" i="97" s="1"/>
  <c r="I37" i="96"/>
  <c r="AG28" i="97" s="1"/>
  <c r="AH28" i="97" s="1"/>
  <c r="AJ28" i="97" s="1"/>
  <c r="I36" i="96"/>
  <c r="I34" i="96"/>
  <c r="AG26" i="97" s="1"/>
  <c r="AH26" i="97" s="1"/>
  <c r="AJ26" i="97" s="1"/>
  <c r="I33" i="96"/>
  <c r="I32" i="96"/>
  <c r="AG25" i="97" s="1"/>
  <c r="AH25" i="97" s="1"/>
  <c r="AJ25" i="97" s="1"/>
  <c r="I66" i="96"/>
  <c r="I31" i="96"/>
  <c r="I30" i="96"/>
  <c r="AG24" i="97" s="1"/>
  <c r="AH24" i="97" s="1"/>
  <c r="AJ24" i="97" s="1"/>
  <c r="I29" i="96"/>
  <c r="AG23" i="97" s="1"/>
  <c r="AH23" i="97" s="1"/>
  <c r="AJ23" i="97" s="1"/>
  <c r="I27" i="96"/>
  <c r="I26" i="96"/>
  <c r="AG21" i="97" s="1"/>
  <c r="AH21" i="97" s="1"/>
  <c r="AJ21" i="97" s="1"/>
  <c r="I25" i="96"/>
  <c r="AG20" i="97" s="1"/>
  <c r="AH20" i="97" s="1"/>
  <c r="AJ20" i="97" s="1"/>
  <c r="I24" i="96"/>
  <c r="AG19" i="97" s="1"/>
  <c r="AH19" i="97" s="1"/>
  <c r="AJ19" i="97" s="1"/>
  <c r="I23" i="96"/>
  <c r="I22" i="96"/>
  <c r="AG18" i="97" s="1"/>
  <c r="AH18" i="97" s="1"/>
  <c r="AJ18" i="97" s="1"/>
  <c r="I21" i="96"/>
  <c r="AG17" i="97" s="1"/>
  <c r="AH17" i="97" s="1"/>
  <c r="AI17" i="97" s="1"/>
  <c r="AJ17" i="97" s="1"/>
  <c r="I20" i="96"/>
  <c r="AG16" i="97" s="1"/>
  <c r="AH16" i="97" s="1"/>
  <c r="AJ16" i="97" s="1"/>
  <c r="I19" i="96"/>
  <c r="AG15" i="97" s="1"/>
  <c r="AH15" i="97" s="1"/>
  <c r="AI15" i="97" s="1"/>
  <c r="AJ15" i="97" s="1"/>
  <c r="I18" i="96"/>
  <c r="I17" i="96"/>
  <c r="AG14" i="97" s="1"/>
  <c r="AH14" i="97" s="1"/>
  <c r="AJ14" i="97" s="1"/>
  <c r="I16" i="96"/>
  <c r="AG13" i="97" s="1"/>
  <c r="AH13" i="97" s="1"/>
  <c r="AJ13" i="97" s="1"/>
  <c r="I15" i="96"/>
  <c r="AG58" i="97" s="1"/>
  <c r="AH58" i="97" s="1"/>
  <c r="AJ58" i="97" s="1"/>
  <c r="I14" i="96"/>
  <c r="AG12" i="97" s="1"/>
  <c r="AH12" i="97" s="1"/>
  <c r="AJ12" i="97" s="1"/>
  <c r="I13" i="96"/>
  <c r="AG11" i="97" s="1"/>
  <c r="AH11" i="97" s="1"/>
  <c r="AJ11" i="97" s="1"/>
  <c r="I12" i="96"/>
  <c r="AG56" i="97" s="1"/>
  <c r="AH56" i="97" s="1"/>
  <c r="AJ56" i="97" s="1"/>
  <c r="I11" i="96"/>
  <c r="AG10" i="97" s="1"/>
  <c r="AH10" i="97" s="1"/>
  <c r="AJ10" i="97" s="1"/>
  <c r="I10" i="96"/>
  <c r="AG9" i="97" s="1"/>
  <c r="AH9" i="97" s="1"/>
  <c r="AJ9" i="97" s="1"/>
  <c r="I9" i="96"/>
  <c r="AG8" i="97" s="1"/>
  <c r="AH8" i="97" s="1"/>
  <c r="AJ8" i="97" s="1"/>
  <c r="I8" i="96"/>
  <c r="AG7" i="97" s="1"/>
  <c r="AH7" i="97" s="1"/>
  <c r="AJ7" i="97" s="1"/>
  <c r="I7" i="96"/>
  <c r="AG6" i="97" s="1"/>
  <c r="AH6" i="97" s="1"/>
  <c r="AJ6" i="97" s="1"/>
  <c r="I6" i="96"/>
  <c r="AG5" i="97" s="1"/>
  <c r="AH5" i="97" s="1"/>
  <c r="AJ5" i="97" s="1"/>
  <c r="I5" i="96"/>
  <c r="AG4" i="97" s="1"/>
  <c r="AH4" i="97" s="1"/>
  <c r="AJ4" i="97" s="1"/>
  <c r="I4" i="96"/>
  <c r="AG3" i="97" s="1"/>
  <c r="AH3" i="97" s="1"/>
  <c r="AJ3" i="97" s="1"/>
  <c r="I3" i="96"/>
  <c r="H60" i="96"/>
  <c r="H59" i="96"/>
  <c r="H58" i="96"/>
  <c r="H57" i="96"/>
  <c r="AC65" i="97" s="1"/>
  <c r="AD65" i="97" s="1"/>
  <c r="AF65" i="97" s="1"/>
  <c r="H56" i="96"/>
  <c r="AC64" i="97" s="1"/>
  <c r="AD64" i="97" s="1"/>
  <c r="AF64" i="97" s="1"/>
  <c r="H55" i="96"/>
  <c r="AC63" i="97" s="1"/>
  <c r="AD63" i="97" s="1"/>
  <c r="AF63" i="97" s="1"/>
  <c r="H54" i="96"/>
  <c r="AC62" i="97" s="1"/>
  <c r="AD62" i="97" s="1"/>
  <c r="AF62" i="97" s="1"/>
  <c r="H53" i="96"/>
  <c r="H52" i="96"/>
  <c r="H51" i="96"/>
  <c r="AC59" i="97" s="1"/>
  <c r="AD59" i="97" s="1"/>
  <c r="AF59" i="97" s="1"/>
  <c r="H50" i="96"/>
  <c r="AC57" i="97" s="1"/>
  <c r="AD57" i="97" s="1"/>
  <c r="AF57" i="97" s="1"/>
  <c r="H47" i="96"/>
  <c r="AC54" i="97" s="1"/>
  <c r="AD54" i="97" s="1"/>
  <c r="AF54" i="97" s="1"/>
  <c r="H41" i="96"/>
  <c r="AC33" i="97" s="1"/>
  <c r="AD33" i="97" s="1"/>
  <c r="AF33" i="97" s="1"/>
  <c r="H40" i="96"/>
  <c r="AC32" i="97" s="1"/>
  <c r="AD32" i="97" s="1"/>
  <c r="AF32" i="97" s="1"/>
  <c r="H39" i="96"/>
  <c r="AC31" i="97" s="1"/>
  <c r="AD31" i="97" s="1"/>
  <c r="AF31" i="97" s="1"/>
  <c r="H49" i="96"/>
  <c r="AC30" i="97" s="1"/>
  <c r="AD30" i="97" s="1"/>
  <c r="AF30" i="97" s="1"/>
  <c r="H38" i="96"/>
  <c r="AC29" i="97" s="1"/>
  <c r="AD29" i="97" s="1"/>
  <c r="AF29" i="97" s="1"/>
  <c r="H37" i="96"/>
  <c r="AC28" i="97" s="1"/>
  <c r="AD28" i="97" s="1"/>
  <c r="AF28" i="97" s="1"/>
  <c r="H36" i="96"/>
  <c r="H35" i="96"/>
  <c r="AC36" i="97" s="1"/>
  <c r="AD36" i="97" s="1"/>
  <c r="AF36" i="97" s="1"/>
  <c r="H34" i="96"/>
  <c r="AC26" i="97" s="1"/>
  <c r="AD26" i="97" s="1"/>
  <c r="AF26" i="97" s="1"/>
  <c r="H33" i="96"/>
  <c r="H32" i="96"/>
  <c r="AC25" i="97" s="1"/>
  <c r="AD25" i="97" s="1"/>
  <c r="AF25" i="97" s="1"/>
  <c r="H66" i="96"/>
  <c r="H31" i="96"/>
  <c r="H30" i="96"/>
  <c r="AC24" i="97" s="1"/>
  <c r="AD24" i="97" s="1"/>
  <c r="AF24" i="97" s="1"/>
  <c r="H27" i="96"/>
  <c r="H26" i="96"/>
  <c r="AC21" i="97" s="1"/>
  <c r="AD21" i="97" s="1"/>
  <c r="AF21" i="97" s="1"/>
  <c r="H25" i="96"/>
  <c r="AC20" i="97" s="1"/>
  <c r="AD20" i="97" s="1"/>
  <c r="AF20" i="97" s="1"/>
  <c r="H24" i="96"/>
  <c r="AC19" i="97" s="1"/>
  <c r="AD19" i="97" s="1"/>
  <c r="AF19" i="97" s="1"/>
  <c r="H23" i="96"/>
  <c r="H22" i="96"/>
  <c r="AC18" i="97" s="1"/>
  <c r="AD18" i="97" s="1"/>
  <c r="AF18" i="97" s="1"/>
  <c r="H21" i="96"/>
  <c r="AC17" i="97" s="1"/>
  <c r="AD17" i="97" s="1"/>
  <c r="AF17" i="97" s="1"/>
  <c r="H20" i="96"/>
  <c r="AC16" i="97" s="1"/>
  <c r="AD16" i="97" s="1"/>
  <c r="AF16" i="97" s="1"/>
  <c r="H19" i="96"/>
  <c r="AC15" i="97" s="1"/>
  <c r="AD15" i="97" s="1"/>
  <c r="AF15" i="97" s="1"/>
  <c r="H18" i="96"/>
  <c r="H17" i="96"/>
  <c r="AC14" i="97" s="1"/>
  <c r="AD14" i="97" s="1"/>
  <c r="AF14" i="97" s="1"/>
  <c r="H15" i="96"/>
  <c r="AC58" i="97" s="1"/>
  <c r="AD58" i="97" s="1"/>
  <c r="AF58" i="97" s="1"/>
  <c r="H14" i="96"/>
  <c r="AC12" i="97" s="1"/>
  <c r="AD12" i="97" s="1"/>
  <c r="AF12" i="97" s="1"/>
  <c r="H13" i="96"/>
  <c r="AC11" i="97" s="1"/>
  <c r="AD11" i="97" s="1"/>
  <c r="AF11" i="97" s="1"/>
  <c r="H12" i="96"/>
  <c r="AC56" i="97" s="1"/>
  <c r="AD56" i="97" s="1"/>
  <c r="AF56" i="97" s="1"/>
  <c r="H11" i="96"/>
  <c r="AC10" i="97" s="1"/>
  <c r="AD10" i="97" s="1"/>
  <c r="AF10" i="97" s="1"/>
  <c r="H9" i="96"/>
  <c r="AC8" i="97" s="1"/>
  <c r="AD8" i="97" s="1"/>
  <c r="AF8" i="97" s="1"/>
  <c r="H7" i="96"/>
  <c r="AC6" i="97" s="1"/>
  <c r="AD6" i="97" s="1"/>
  <c r="AF6" i="97" s="1"/>
  <c r="H6" i="96"/>
  <c r="AC5" i="97" s="1"/>
  <c r="AD5" i="97" s="1"/>
  <c r="AF5" i="97" s="1"/>
  <c r="H5" i="96"/>
  <c r="AC4" i="97" s="1"/>
  <c r="AD4" i="97" s="1"/>
  <c r="AF4" i="97" s="1"/>
  <c r="H4" i="96"/>
  <c r="AC3" i="97" s="1"/>
  <c r="AD3" i="97" s="1"/>
  <c r="AF3" i="97" s="1"/>
  <c r="H3" i="96"/>
  <c r="G68" i="96"/>
  <c r="G59" i="96"/>
  <c r="G58" i="96"/>
  <c r="G57" i="96"/>
  <c r="Y65" i="97" s="1"/>
  <c r="Z65" i="97" s="1"/>
  <c r="AB65" i="97" s="1"/>
  <c r="G56" i="96"/>
  <c r="Y64" i="97" s="1"/>
  <c r="Z64" i="97" s="1"/>
  <c r="AB64" i="97" s="1"/>
  <c r="G55" i="96"/>
  <c r="Y63" i="97" s="1"/>
  <c r="Z63" i="97" s="1"/>
  <c r="AB63" i="97" s="1"/>
  <c r="G67" i="96"/>
  <c r="G54" i="96"/>
  <c r="Y62" i="97" s="1"/>
  <c r="Z62" i="97" s="1"/>
  <c r="AB62" i="97" s="1"/>
  <c r="G53" i="96"/>
  <c r="G52" i="96"/>
  <c r="G51" i="96"/>
  <c r="Y59" i="97" s="1"/>
  <c r="Z59" i="97" s="1"/>
  <c r="AB59" i="97" s="1"/>
  <c r="G50" i="96"/>
  <c r="Y57" i="97" s="1"/>
  <c r="Z57" i="97" s="1"/>
  <c r="AB57" i="97" s="1"/>
  <c r="G47" i="96"/>
  <c r="Y54" i="97" s="1"/>
  <c r="Z54" i="97" s="1"/>
  <c r="AB54" i="97" s="1"/>
  <c r="G46" i="96"/>
  <c r="Y53" i="97" s="1"/>
  <c r="Z53" i="97" s="1"/>
  <c r="AB53" i="97" s="1"/>
  <c r="G40" i="96"/>
  <c r="Y32" i="97" s="1"/>
  <c r="Z32" i="97" s="1"/>
  <c r="AB32" i="97" s="1"/>
  <c r="G39" i="96"/>
  <c r="Y31" i="97" s="1"/>
  <c r="Z31" i="97" s="1"/>
  <c r="AB31" i="97" s="1"/>
  <c r="G49" i="96"/>
  <c r="Y30" i="97" s="1"/>
  <c r="Z30" i="97" s="1"/>
  <c r="AB30" i="97" s="1"/>
  <c r="G38" i="96"/>
  <c r="Y29" i="97" s="1"/>
  <c r="Z29" i="97" s="1"/>
  <c r="AB29" i="97" s="1"/>
  <c r="G37" i="96"/>
  <c r="Y28" i="97" s="1"/>
  <c r="Z28" i="97" s="1"/>
  <c r="AB28" i="97" s="1"/>
  <c r="G36" i="96"/>
  <c r="G35" i="96"/>
  <c r="Y36" i="97" s="1"/>
  <c r="Z36" i="97" s="1"/>
  <c r="AB36" i="97" s="1"/>
  <c r="G34" i="96"/>
  <c r="Y26" i="97" s="1"/>
  <c r="Z26" i="97" s="1"/>
  <c r="AB26" i="97" s="1"/>
  <c r="G33" i="96"/>
  <c r="G32" i="96"/>
  <c r="Y25" i="97" s="1"/>
  <c r="Z25" i="97" s="1"/>
  <c r="AB25" i="97" s="1"/>
  <c r="G31" i="96"/>
  <c r="G29" i="96"/>
  <c r="Y23" i="97" s="1"/>
  <c r="Z23" i="97" s="1"/>
  <c r="AB23" i="97" s="1"/>
  <c r="G30" i="96"/>
  <c r="Y24" i="97" s="1"/>
  <c r="Z24" i="97" s="1"/>
  <c r="AB24" i="97" s="1"/>
  <c r="G27" i="96"/>
  <c r="G26" i="96"/>
  <c r="Y21" i="97" s="1"/>
  <c r="Z21" i="97" s="1"/>
  <c r="AB21" i="97" s="1"/>
  <c r="G25" i="96"/>
  <c r="Y20" i="97" s="1"/>
  <c r="Z20" i="97" s="1"/>
  <c r="AB20" i="97" s="1"/>
  <c r="G24" i="96"/>
  <c r="Y19" i="97" s="1"/>
  <c r="Z19" i="97" s="1"/>
  <c r="AB19" i="97" s="1"/>
  <c r="G23" i="96"/>
  <c r="G22" i="96"/>
  <c r="Y18" i="97" s="1"/>
  <c r="Z18" i="97" s="1"/>
  <c r="AB18" i="97" s="1"/>
  <c r="G21" i="96"/>
  <c r="Y17" i="97" s="1"/>
  <c r="Z17" i="97" s="1"/>
  <c r="AB17" i="97" s="1"/>
  <c r="G20" i="96"/>
  <c r="Y16" i="97" s="1"/>
  <c r="Z16" i="97" s="1"/>
  <c r="AB16" i="97" s="1"/>
  <c r="G18" i="96"/>
  <c r="G17" i="96"/>
  <c r="Y14" i="97" s="1"/>
  <c r="Z14" i="97" s="1"/>
  <c r="AB14" i="97" s="1"/>
  <c r="G16" i="96"/>
  <c r="Y13" i="97" s="1"/>
  <c r="Z13" i="97" s="1"/>
  <c r="AB13" i="97" s="1"/>
  <c r="G14" i="96"/>
  <c r="Y12" i="97" s="1"/>
  <c r="Z12" i="97" s="1"/>
  <c r="AB12" i="97" s="1"/>
  <c r="G13" i="96"/>
  <c r="Y11" i="97" s="1"/>
  <c r="Z11" i="97" s="1"/>
  <c r="AB11" i="97" s="1"/>
  <c r="G12" i="96"/>
  <c r="Y56" i="97" s="1"/>
  <c r="Z56" i="97" s="1"/>
  <c r="AB56" i="97" s="1"/>
  <c r="G11" i="96"/>
  <c r="Y10" i="97" s="1"/>
  <c r="Z10" i="97" s="1"/>
  <c r="AB10" i="97" s="1"/>
  <c r="G10" i="96"/>
  <c r="Y9" i="97" s="1"/>
  <c r="Z9" i="97" s="1"/>
  <c r="AB9" i="97" s="1"/>
  <c r="G9" i="96"/>
  <c r="Y8" i="97" s="1"/>
  <c r="Z8" i="97" s="1"/>
  <c r="AB8" i="97" s="1"/>
  <c r="G8" i="96"/>
  <c r="Y7" i="97" s="1"/>
  <c r="Z7" i="97" s="1"/>
  <c r="AB7" i="97" s="1"/>
  <c r="G7" i="96"/>
  <c r="Y6" i="97" s="1"/>
  <c r="Z6" i="97" s="1"/>
  <c r="AB6" i="97" s="1"/>
  <c r="G6" i="96"/>
  <c r="Y5" i="97" s="1"/>
  <c r="Z5" i="97" s="1"/>
  <c r="AB5" i="97" s="1"/>
  <c r="G5" i="96"/>
  <c r="Y4" i="97" s="1"/>
  <c r="Z4" i="97" s="1"/>
  <c r="AB4" i="97" s="1"/>
  <c r="G4" i="96"/>
  <c r="Y3" i="97" s="1"/>
  <c r="Z3" i="97" s="1"/>
  <c r="AB3" i="97" s="1"/>
  <c r="G3" i="96"/>
  <c r="F68" i="96"/>
  <c r="F60" i="96"/>
  <c r="F59" i="96"/>
  <c r="F58" i="96"/>
  <c r="F57" i="96"/>
  <c r="U65" i="97" s="1"/>
  <c r="V65" i="97" s="1"/>
  <c r="X65" i="97" s="1"/>
  <c r="F29" i="96"/>
  <c r="U23" i="97" s="1"/>
  <c r="V23" i="97" s="1"/>
  <c r="X23" i="97" s="1"/>
  <c r="F56" i="96"/>
  <c r="U64" i="97" s="1"/>
  <c r="V64" i="97" s="1"/>
  <c r="X64" i="97" s="1"/>
  <c r="F55" i="96"/>
  <c r="U63" i="97" s="1"/>
  <c r="V63" i="97" s="1"/>
  <c r="X63" i="97" s="1"/>
  <c r="F67" i="96"/>
  <c r="F54" i="96"/>
  <c r="U62" i="97" s="1"/>
  <c r="V62" i="97" s="1"/>
  <c r="X62" i="97" s="1"/>
  <c r="F53" i="96"/>
  <c r="F52" i="96"/>
  <c r="F51" i="96"/>
  <c r="U59" i="97" s="1"/>
  <c r="V59" i="97" s="1"/>
  <c r="X59" i="97" s="1"/>
  <c r="F50" i="96"/>
  <c r="U57" i="97" s="1"/>
  <c r="V57" i="97" s="1"/>
  <c r="X57" i="97" s="1"/>
  <c r="F44" i="96"/>
  <c r="F41" i="96"/>
  <c r="U33" i="97" s="1"/>
  <c r="V33" i="97" s="1"/>
  <c r="X33" i="97" s="1"/>
  <c r="F40" i="96"/>
  <c r="U32" i="97" s="1"/>
  <c r="V32" i="97" s="1"/>
  <c r="X32" i="97" s="1"/>
  <c r="F39" i="96"/>
  <c r="U31" i="97" s="1"/>
  <c r="V31" i="97" s="1"/>
  <c r="X31" i="97" s="1"/>
  <c r="F38" i="96"/>
  <c r="U29" i="97" s="1"/>
  <c r="V29" i="97" s="1"/>
  <c r="X29" i="97" s="1"/>
  <c r="F37" i="96"/>
  <c r="U28" i="97" s="1"/>
  <c r="V28" i="97" s="1"/>
  <c r="X28" i="97" s="1"/>
  <c r="F36" i="96"/>
  <c r="F35" i="96"/>
  <c r="U36" i="97" s="1"/>
  <c r="V36" i="97" s="1"/>
  <c r="X36" i="97" s="1"/>
  <c r="F34" i="96"/>
  <c r="U26" i="97" s="1"/>
  <c r="V26" i="97" s="1"/>
  <c r="X26" i="97" s="1"/>
  <c r="F33" i="96"/>
  <c r="F32" i="96"/>
  <c r="U25" i="97" s="1"/>
  <c r="V25" i="97" s="1"/>
  <c r="X25" i="97" s="1"/>
  <c r="F66" i="96"/>
  <c r="F31" i="96"/>
  <c r="F30" i="96"/>
  <c r="U24" i="97" s="1"/>
  <c r="V24" i="97" s="1"/>
  <c r="X24" i="97" s="1"/>
  <c r="F27" i="96"/>
  <c r="F26" i="96"/>
  <c r="U21" i="97" s="1"/>
  <c r="V21" i="97" s="1"/>
  <c r="X21" i="97" s="1"/>
  <c r="F25" i="96"/>
  <c r="U20" i="97" s="1"/>
  <c r="V20" i="97" s="1"/>
  <c r="X20" i="97" s="1"/>
  <c r="F24" i="96"/>
  <c r="U19" i="97" s="1"/>
  <c r="V19" i="97" s="1"/>
  <c r="X19" i="97" s="1"/>
  <c r="F23" i="96"/>
  <c r="F22" i="96"/>
  <c r="U18" i="97" s="1"/>
  <c r="V18" i="97" s="1"/>
  <c r="X18" i="97" s="1"/>
  <c r="F21" i="96"/>
  <c r="U17" i="97" s="1"/>
  <c r="V17" i="97" s="1"/>
  <c r="X17" i="97" s="1"/>
  <c r="F20" i="96"/>
  <c r="U16" i="97" s="1"/>
  <c r="V16" i="97" s="1"/>
  <c r="F18" i="96"/>
  <c r="F17" i="96"/>
  <c r="U14" i="97" s="1"/>
  <c r="V14" i="97" s="1"/>
  <c r="X14" i="97" s="1"/>
  <c r="F16" i="96"/>
  <c r="U13" i="97" s="1"/>
  <c r="V13" i="97" s="1"/>
  <c r="X13" i="97" s="1"/>
  <c r="F15" i="96"/>
  <c r="U58" i="97" s="1"/>
  <c r="V58" i="97" s="1"/>
  <c r="X58" i="97" s="1"/>
  <c r="F14" i="96"/>
  <c r="U12" i="97" s="1"/>
  <c r="V12" i="97" s="1"/>
  <c r="X12" i="97" s="1"/>
  <c r="F13" i="96"/>
  <c r="U11" i="97" s="1"/>
  <c r="V11" i="97" s="1"/>
  <c r="X11" i="97" s="1"/>
  <c r="F12" i="96"/>
  <c r="U56" i="97" s="1"/>
  <c r="V56" i="97" s="1"/>
  <c r="X56" i="97" s="1"/>
  <c r="F11" i="96"/>
  <c r="U10" i="97" s="1"/>
  <c r="V10" i="97" s="1"/>
  <c r="X10" i="97" s="1"/>
  <c r="F10" i="96"/>
  <c r="U9" i="97" s="1"/>
  <c r="V9" i="97" s="1"/>
  <c r="W9" i="97" s="1"/>
  <c r="X9" i="97" s="1"/>
  <c r="F9" i="96"/>
  <c r="U8" i="97" s="1"/>
  <c r="V8" i="97" s="1"/>
  <c r="X8" i="97" s="1"/>
  <c r="F8" i="96"/>
  <c r="U7" i="97" s="1"/>
  <c r="V7" i="97" s="1"/>
  <c r="X7" i="97" s="1"/>
  <c r="F7" i="96"/>
  <c r="U6" i="97" s="1"/>
  <c r="V6" i="97" s="1"/>
  <c r="X6" i="97" s="1"/>
  <c r="F6" i="96"/>
  <c r="U5" i="97" s="1"/>
  <c r="V5" i="97" s="1"/>
  <c r="X5" i="97" s="1"/>
  <c r="F5" i="96"/>
  <c r="U4" i="97" s="1"/>
  <c r="V4" i="97" s="1"/>
  <c r="X4" i="97" s="1"/>
  <c r="F4" i="96"/>
  <c r="U3" i="97" s="1"/>
  <c r="V3" i="97" s="1"/>
  <c r="X3" i="97" s="1"/>
  <c r="F3" i="96"/>
  <c r="E68" i="96"/>
  <c r="E60" i="96"/>
  <c r="E59" i="96"/>
  <c r="E58" i="96"/>
  <c r="E57" i="96"/>
  <c r="Q65" i="97" s="1"/>
  <c r="R65" i="97" s="1"/>
  <c r="T65" i="97" s="1"/>
  <c r="E44" i="96"/>
  <c r="E29" i="96"/>
  <c r="Q23" i="97" s="1"/>
  <c r="R23" i="97" s="1"/>
  <c r="T23" i="97" s="1"/>
  <c r="E56" i="96"/>
  <c r="Q64" i="97" s="1"/>
  <c r="R64" i="97" s="1"/>
  <c r="T64" i="97" s="1"/>
  <c r="E27" i="96"/>
  <c r="E55" i="96"/>
  <c r="Q63" i="97" s="1"/>
  <c r="R63" i="97" s="1"/>
  <c r="T63" i="97" s="1"/>
  <c r="E67" i="96"/>
  <c r="E54" i="96"/>
  <c r="Q62" i="97" s="1"/>
  <c r="R62" i="97" s="1"/>
  <c r="T62" i="97" s="1"/>
  <c r="E53" i="96"/>
  <c r="E52" i="96"/>
  <c r="E51" i="96"/>
  <c r="Q59" i="97" s="1"/>
  <c r="R59" i="97" s="1"/>
  <c r="T59" i="97" s="1"/>
  <c r="E50" i="96"/>
  <c r="Q57" i="97" s="1"/>
  <c r="R57" i="97" s="1"/>
  <c r="T57" i="97" s="1"/>
  <c r="E8" i="96"/>
  <c r="Q7" i="97" s="1"/>
  <c r="R7" i="97" s="1"/>
  <c r="S7" i="97" s="1"/>
  <c r="T7" i="97" s="1"/>
  <c r="E65" i="96"/>
  <c r="E40" i="96"/>
  <c r="Q32" i="97" s="1"/>
  <c r="R32" i="97" s="1"/>
  <c r="T32" i="97" s="1"/>
  <c r="E39" i="96"/>
  <c r="Q31" i="97" s="1"/>
  <c r="R31" i="97" s="1"/>
  <c r="T31" i="97" s="1"/>
  <c r="E49" i="96"/>
  <c r="Q30" i="97" s="1"/>
  <c r="R30" i="97" s="1"/>
  <c r="T30" i="97" s="1"/>
  <c r="E38" i="96"/>
  <c r="Q29" i="97" s="1"/>
  <c r="R29" i="97" s="1"/>
  <c r="T29" i="97" s="1"/>
  <c r="E37" i="96"/>
  <c r="Q28" i="97" s="1"/>
  <c r="R28" i="97" s="1"/>
  <c r="T28" i="97" s="1"/>
  <c r="E36" i="96"/>
  <c r="E35" i="96"/>
  <c r="Q36" i="97" s="1"/>
  <c r="R36" i="97" s="1"/>
  <c r="T36" i="97" s="1"/>
  <c r="E34" i="96"/>
  <c r="Q26" i="97" s="1"/>
  <c r="R26" i="97" s="1"/>
  <c r="T26" i="97" s="1"/>
  <c r="E33" i="96"/>
  <c r="E32" i="96"/>
  <c r="Q25" i="97" s="1"/>
  <c r="R25" i="97" s="1"/>
  <c r="T25" i="97" s="1"/>
  <c r="E66" i="96"/>
  <c r="E31" i="96"/>
  <c r="E30" i="96"/>
  <c r="Q24" i="97" s="1"/>
  <c r="R24" i="97" s="1"/>
  <c r="T24" i="97" s="1"/>
  <c r="E26" i="96"/>
  <c r="Q21" i="97" s="1"/>
  <c r="R21" i="97" s="1"/>
  <c r="T21" i="97" s="1"/>
  <c r="E25" i="96"/>
  <c r="Q20" i="97" s="1"/>
  <c r="R20" i="97" s="1"/>
  <c r="T20" i="97" s="1"/>
  <c r="E24" i="96"/>
  <c r="Q19" i="97" s="1"/>
  <c r="R19" i="97" s="1"/>
  <c r="T19" i="97" s="1"/>
  <c r="E23" i="96"/>
  <c r="E22" i="96"/>
  <c r="Q18" i="97" s="1"/>
  <c r="R18" i="97" s="1"/>
  <c r="T18" i="97" s="1"/>
  <c r="E21" i="96"/>
  <c r="Q17" i="97" s="1"/>
  <c r="R17" i="97" s="1"/>
  <c r="T17" i="97" s="1"/>
  <c r="E20" i="96"/>
  <c r="Q16" i="97" s="1"/>
  <c r="R16" i="97" s="1"/>
  <c r="T16" i="97" s="1"/>
  <c r="E19" i="96"/>
  <c r="Q15" i="97" s="1"/>
  <c r="R15" i="97" s="1"/>
  <c r="T15" i="97" s="1"/>
  <c r="E18" i="96"/>
  <c r="E17" i="96"/>
  <c r="Q14" i="97" s="1"/>
  <c r="R14" i="97" s="1"/>
  <c r="T14" i="97" s="1"/>
  <c r="E16" i="96"/>
  <c r="Q13" i="97" s="1"/>
  <c r="R13" i="97" s="1"/>
  <c r="T13" i="97" s="1"/>
  <c r="E15" i="96"/>
  <c r="Q58" i="97" s="1"/>
  <c r="R58" i="97" s="1"/>
  <c r="T58" i="97" s="1"/>
  <c r="E14" i="96"/>
  <c r="Q12" i="97" s="1"/>
  <c r="R12" i="97" s="1"/>
  <c r="T12" i="97" s="1"/>
  <c r="E13" i="96"/>
  <c r="Q11" i="97" s="1"/>
  <c r="R11" i="97" s="1"/>
  <c r="T11" i="97" s="1"/>
  <c r="E12" i="96"/>
  <c r="Q56" i="97" s="1"/>
  <c r="R56" i="97" s="1"/>
  <c r="T56" i="97" s="1"/>
  <c r="E11" i="96"/>
  <c r="Q10" i="97" s="1"/>
  <c r="R10" i="97" s="1"/>
  <c r="T10" i="97" s="1"/>
  <c r="E10" i="96"/>
  <c r="Q9" i="97" s="1"/>
  <c r="R9" i="97" s="1"/>
  <c r="T9" i="97" s="1"/>
  <c r="E9" i="96"/>
  <c r="Q8" i="97" s="1"/>
  <c r="R8" i="97" s="1"/>
  <c r="T8" i="97" s="1"/>
  <c r="E7" i="96"/>
  <c r="Q6" i="97" s="1"/>
  <c r="R6" i="97" s="1"/>
  <c r="T6" i="97" s="1"/>
  <c r="E6" i="96"/>
  <c r="Q5" i="97" s="1"/>
  <c r="R5" i="97" s="1"/>
  <c r="T5" i="97" s="1"/>
  <c r="E5" i="96"/>
  <c r="Q4" i="97" s="1"/>
  <c r="R4" i="97" s="1"/>
  <c r="T4" i="97" s="1"/>
  <c r="E4" i="96"/>
  <c r="Q3" i="97" s="1"/>
  <c r="R3" i="97" s="1"/>
  <c r="T3" i="97" s="1"/>
  <c r="E3" i="96"/>
  <c r="D68" i="96"/>
  <c r="D60" i="96"/>
  <c r="D59" i="96"/>
  <c r="D58" i="96"/>
  <c r="D57" i="96"/>
  <c r="M65" i="97" s="1"/>
  <c r="N65" i="97" s="1"/>
  <c r="P65" i="97" s="1"/>
  <c r="D44" i="96"/>
  <c r="D29" i="96"/>
  <c r="M23" i="97" s="1"/>
  <c r="N23" i="97" s="1"/>
  <c r="P23" i="97" s="1"/>
  <c r="D56" i="96"/>
  <c r="M64" i="97" s="1"/>
  <c r="N64" i="97" s="1"/>
  <c r="P64" i="97" s="1"/>
  <c r="D67" i="96"/>
  <c r="D54" i="96"/>
  <c r="M62" i="97" s="1"/>
  <c r="N62" i="97" s="1"/>
  <c r="P62" i="97" s="1"/>
  <c r="D53" i="96"/>
  <c r="D52" i="96"/>
  <c r="D51" i="96"/>
  <c r="M59" i="97" s="1"/>
  <c r="N59" i="97" s="1"/>
  <c r="P59" i="97" s="1"/>
  <c r="D50" i="96"/>
  <c r="M57" i="97" s="1"/>
  <c r="N57" i="97" s="1"/>
  <c r="P57" i="97" s="1"/>
  <c r="D27" i="96"/>
  <c r="D55" i="96"/>
  <c r="M63" i="97" s="1"/>
  <c r="N63" i="97" s="1"/>
  <c r="P63" i="97" s="1"/>
  <c r="D8" i="96"/>
  <c r="M7" i="97" s="1"/>
  <c r="N7" i="97" s="1"/>
  <c r="P7" i="97" s="1"/>
  <c r="D65" i="96"/>
  <c r="D40" i="96"/>
  <c r="M32" i="97" s="1"/>
  <c r="N32" i="97" s="1"/>
  <c r="P32" i="97" s="1"/>
  <c r="D39" i="96"/>
  <c r="M31" i="97" s="1"/>
  <c r="N31" i="97" s="1"/>
  <c r="P31" i="97" s="1"/>
  <c r="D49" i="96"/>
  <c r="M30" i="97" s="1"/>
  <c r="N30" i="97" s="1"/>
  <c r="P30" i="97" s="1"/>
  <c r="D38" i="96"/>
  <c r="M29" i="97" s="1"/>
  <c r="N29" i="97" s="1"/>
  <c r="P29" i="97" s="1"/>
  <c r="D37" i="96"/>
  <c r="M28" i="97" s="1"/>
  <c r="N28" i="97" s="1"/>
  <c r="P28" i="97" s="1"/>
  <c r="D36" i="96"/>
  <c r="D35" i="96"/>
  <c r="M36" i="97" s="1"/>
  <c r="N36" i="97" s="1"/>
  <c r="P36" i="97" s="1"/>
  <c r="D34" i="96"/>
  <c r="M26" i="97" s="1"/>
  <c r="N26" i="97" s="1"/>
  <c r="P26" i="97" s="1"/>
  <c r="D33" i="96"/>
  <c r="D32" i="96"/>
  <c r="M25" i="97" s="1"/>
  <c r="N25" i="97" s="1"/>
  <c r="P25" i="97" s="1"/>
  <c r="D66" i="96"/>
  <c r="D31" i="96"/>
  <c r="D30" i="96"/>
  <c r="M24" i="97" s="1"/>
  <c r="N24" i="97" s="1"/>
  <c r="P24" i="97" s="1"/>
  <c r="D26" i="96"/>
  <c r="M21" i="97" s="1"/>
  <c r="N21" i="97" s="1"/>
  <c r="P21" i="97" s="1"/>
  <c r="D25" i="96"/>
  <c r="M20" i="97" s="1"/>
  <c r="N20" i="97" s="1"/>
  <c r="P20" i="97" s="1"/>
  <c r="D24" i="96"/>
  <c r="M19" i="97" s="1"/>
  <c r="N19" i="97" s="1"/>
  <c r="P19" i="97" s="1"/>
  <c r="D23" i="96"/>
  <c r="D22" i="96"/>
  <c r="M18" i="97" s="1"/>
  <c r="N18" i="97" s="1"/>
  <c r="P18" i="97" s="1"/>
  <c r="D21" i="96"/>
  <c r="M17" i="97" s="1"/>
  <c r="N17" i="97" s="1"/>
  <c r="P17" i="97" s="1"/>
  <c r="D20" i="96"/>
  <c r="M16" i="97" s="1"/>
  <c r="N16" i="97" s="1"/>
  <c r="D19" i="96"/>
  <c r="M15" i="97" s="1"/>
  <c r="N15" i="97" s="1"/>
  <c r="P15" i="97" s="1"/>
  <c r="D18" i="96"/>
  <c r="D17" i="96"/>
  <c r="M14" i="97" s="1"/>
  <c r="N14" i="97" s="1"/>
  <c r="P14" i="97" s="1"/>
  <c r="D16" i="96"/>
  <c r="M13" i="97" s="1"/>
  <c r="N13" i="97" s="1"/>
  <c r="P13" i="97" s="1"/>
  <c r="D15" i="96"/>
  <c r="M58" i="97" s="1"/>
  <c r="N58" i="97" s="1"/>
  <c r="P58" i="97" s="1"/>
  <c r="D14" i="96"/>
  <c r="M12" i="97" s="1"/>
  <c r="N12" i="97" s="1"/>
  <c r="P12" i="97" s="1"/>
  <c r="D13" i="96"/>
  <c r="M11" i="97" s="1"/>
  <c r="N11" i="97" s="1"/>
  <c r="P11" i="97" s="1"/>
  <c r="D12" i="96"/>
  <c r="M56" i="97" s="1"/>
  <c r="N56" i="97" s="1"/>
  <c r="D11" i="96"/>
  <c r="M10" i="97" s="1"/>
  <c r="N10" i="97" s="1"/>
  <c r="P10" i="97" s="1"/>
  <c r="D10" i="96"/>
  <c r="M9" i="97" s="1"/>
  <c r="N9" i="97" s="1"/>
  <c r="P9" i="97" s="1"/>
  <c r="D9" i="96"/>
  <c r="M8" i="97" s="1"/>
  <c r="N8" i="97" s="1"/>
  <c r="P8" i="97" s="1"/>
  <c r="D7" i="96"/>
  <c r="M6" i="97" s="1"/>
  <c r="N6" i="97" s="1"/>
  <c r="P6" i="97" s="1"/>
  <c r="D6" i="96"/>
  <c r="M5" i="97" s="1"/>
  <c r="N5" i="97" s="1"/>
  <c r="P5" i="97" s="1"/>
  <c r="D5" i="96"/>
  <c r="M4" i="97" s="1"/>
  <c r="N4" i="97" s="1"/>
  <c r="P4" i="97" s="1"/>
  <c r="D41" i="96"/>
  <c r="M33" i="97" s="1"/>
  <c r="N33" i="97" s="1"/>
  <c r="P33" i="97" s="1"/>
  <c r="D4" i="96"/>
  <c r="M3" i="97" s="1"/>
  <c r="N3" i="97" s="1"/>
  <c r="P3" i="97" s="1"/>
  <c r="D3" i="96"/>
  <c r="C68" i="96"/>
  <c r="C60" i="96"/>
  <c r="C59" i="96"/>
  <c r="C58" i="96"/>
  <c r="C57" i="96"/>
  <c r="I65" i="97" s="1"/>
  <c r="J65" i="97" s="1"/>
  <c r="L65" i="97" s="1"/>
  <c r="C44" i="96"/>
  <c r="C29" i="96"/>
  <c r="I23" i="97" s="1"/>
  <c r="J23" i="97" s="1"/>
  <c r="L23" i="97" s="1"/>
  <c r="C56" i="96"/>
  <c r="I64" i="97" s="1"/>
  <c r="J64" i="97" s="1"/>
  <c r="L64" i="97" s="1"/>
  <c r="C27" i="96"/>
  <c r="C67" i="96"/>
  <c r="C54" i="96"/>
  <c r="I62" i="97" s="1"/>
  <c r="J62" i="97" s="1"/>
  <c r="L62" i="97" s="1"/>
  <c r="C53" i="96"/>
  <c r="C52" i="96"/>
  <c r="C51" i="96"/>
  <c r="I59" i="97" s="1"/>
  <c r="J59" i="97" s="1"/>
  <c r="L59" i="97" s="1"/>
  <c r="C50" i="96"/>
  <c r="I57" i="97" s="1"/>
  <c r="J57" i="97" s="1"/>
  <c r="L57" i="97" s="1"/>
  <c r="C55" i="96"/>
  <c r="I63" i="97" s="1"/>
  <c r="J63" i="97" s="1"/>
  <c r="L63" i="97" s="1"/>
  <c r="C8" i="96"/>
  <c r="I7" i="97" s="1"/>
  <c r="J7" i="97" s="1"/>
  <c r="L7" i="97" s="1"/>
  <c r="C65" i="96"/>
  <c r="C40" i="96"/>
  <c r="I32" i="97" s="1"/>
  <c r="J32" i="97" s="1"/>
  <c r="L32" i="97" s="1"/>
  <c r="C39" i="96"/>
  <c r="I31" i="97" s="1"/>
  <c r="J31" i="97" s="1"/>
  <c r="L31" i="97" s="1"/>
  <c r="C49" i="96"/>
  <c r="I30" i="97" s="1"/>
  <c r="J30" i="97" s="1"/>
  <c r="L30" i="97" s="1"/>
  <c r="C38" i="96"/>
  <c r="I29" i="97" s="1"/>
  <c r="J29" i="97" s="1"/>
  <c r="L29" i="97" s="1"/>
  <c r="C37" i="96"/>
  <c r="I28" i="97" s="1"/>
  <c r="J28" i="97" s="1"/>
  <c r="L28" i="97" s="1"/>
  <c r="C36" i="96"/>
  <c r="C35" i="96"/>
  <c r="I36" i="97" s="1"/>
  <c r="J36" i="97" s="1"/>
  <c r="L36" i="97" s="1"/>
  <c r="C34" i="96"/>
  <c r="I26" i="97" s="1"/>
  <c r="J26" i="97" s="1"/>
  <c r="L26" i="97" s="1"/>
  <c r="C33" i="96"/>
  <c r="C32" i="96"/>
  <c r="I25" i="97" s="1"/>
  <c r="J25" i="97" s="1"/>
  <c r="L25" i="97" s="1"/>
  <c r="C66" i="96"/>
  <c r="C31" i="96"/>
  <c r="C30" i="96"/>
  <c r="I24" i="97" s="1"/>
  <c r="J24" i="97" s="1"/>
  <c r="L24" i="97" s="1"/>
  <c r="C26" i="96"/>
  <c r="I21" i="97" s="1"/>
  <c r="J21" i="97" s="1"/>
  <c r="L21" i="97" s="1"/>
  <c r="C24" i="96"/>
  <c r="I19" i="97" s="1"/>
  <c r="J19" i="97" s="1"/>
  <c r="L19" i="97" s="1"/>
  <c r="C23" i="96"/>
  <c r="C22" i="96"/>
  <c r="I18" i="97" s="1"/>
  <c r="J18" i="97" s="1"/>
  <c r="L18" i="97" s="1"/>
  <c r="C21" i="96"/>
  <c r="I17" i="97" s="1"/>
  <c r="J17" i="97" s="1"/>
  <c r="L17" i="97" s="1"/>
  <c r="C20" i="96"/>
  <c r="I16" i="97" s="1"/>
  <c r="J16" i="97" s="1"/>
  <c r="L16" i="97" s="1"/>
  <c r="C19" i="96"/>
  <c r="I15" i="97" s="1"/>
  <c r="J15" i="97" s="1"/>
  <c r="L15" i="97" s="1"/>
  <c r="C18" i="96"/>
  <c r="C17" i="96"/>
  <c r="I14" i="97" s="1"/>
  <c r="J14" i="97" s="1"/>
  <c r="L14" i="97" s="1"/>
  <c r="C16" i="96"/>
  <c r="I13" i="97" s="1"/>
  <c r="J13" i="97" s="1"/>
  <c r="L13" i="97" s="1"/>
  <c r="C15" i="96"/>
  <c r="I58" i="97" s="1"/>
  <c r="J58" i="97" s="1"/>
  <c r="L58" i="97" s="1"/>
  <c r="C14" i="96"/>
  <c r="I12" i="97" s="1"/>
  <c r="J12" i="97" s="1"/>
  <c r="L12" i="97" s="1"/>
  <c r="C13" i="96"/>
  <c r="I11" i="97" s="1"/>
  <c r="J11" i="97" s="1"/>
  <c r="L11" i="97" s="1"/>
  <c r="C12" i="96"/>
  <c r="I56" i="97" s="1"/>
  <c r="J56" i="97" s="1"/>
  <c r="L56" i="97" s="1"/>
  <c r="C11" i="96"/>
  <c r="I10" i="97" s="1"/>
  <c r="J10" i="97" s="1"/>
  <c r="L10" i="97" s="1"/>
  <c r="C10" i="96"/>
  <c r="I9" i="97" s="1"/>
  <c r="J9" i="97" s="1"/>
  <c r="K9" i="97" s="1"/>
  <c r="L9" i="97" s="1"/>
  <c r="C9" i="96"/>
  <c r="I8" i="97" s="1"/>
  <c r="J8" i="97" s="1"/>
  <c r="L8" i="97" s="1"/>
  <c r="C7" i="96"/>
  <c r="I6" i="97" s="1"/>
  <c r="J6" i="97" s="1"/>
  <c r="L6" i="97" s="1"/>
  <c r="C6" i="96"/>
  <c r="I5" i="97" s="1"/>
  <c r="J5" i="97" s="1"/>
  <c r="L5" i="97" s="1"/>
  <c r="C5" i="96"/>
  <c r="I4" i="97" s="1"/>
  <c r="J4" i="97" s="1"/>
  <c r="L4" i="97" s="1"/>
  <c r="C4" i="96"/>
  <c r="I3" i="97" s="1"/>
  <c r="J3" i="97" s="1"/>
  <c r="L3" i="97" s="1"/>
  <c r="C3" i="96"/>
  <c r="B68" i="96"/>
  <c r="B60" i="96"/>
  <c r="B59" i="96"/>
  <c r="B58" i="96"/>
  <c r="B57" i="96"/>
  <c r="B44" i="96"/>
  <c r="B29" i="96"/>
  <c r="B56" i="96"/>
  <c r="B27" i="96"/>
  <c r="B55" i="96"/>
  <c r="B67" i="96"/>
  <c r="B54" i="96"/>
  <c r="B53" i="96"/>
  <c r="B52" i="96"/>
  <c r="B51" i="96"/>
  <c r="B50" i="96"/>
  <c r="B8" i="96"/>
  <c r="B65" i="96"/>
  <c r="B40" i="96"/>
  <c r="B39" i="96"/>
  <c r="B49" i="96"/>
  <c r="B38" i="96"/>
  <c r="B37" i="96"/>
  <c r="B36" i="96"/>
  <c r="B35" i="96"/>
  <c r="B34" i="96"/>
  <c r="B33" i="96"/>
  <c r="B32" i="96"/>
  <c r="B66" i="96"/>
  <c r="B31" i="96"/>
  <c r="B30" i="96"/>
  <c r="B26" i="96"/>
  <c r="B25" i="96"/>
  <c r="B24" i="96"/>
  <c r="B23" i="96"/>
  <c r="B22" i="96"/>
  <c r="B21" i="96"/>
  <c r="B20" i="96"/>
  <c r="B19" i="96"/>
  <c r="B18" i="96"/>
  <c r="B17" i="96"/>
  <c r="B16" i="96"/>
  <c r="B15" i="96"/>
  <c r="B14" i="96"/>
  <c r="B13" i="96"/>
  <c r="B12" i="96"/>
  <c r="B11" i="96"/>
  <c r="B10" i="96"/>
  <c r="B9" i="96"/>
  <c r="B7" i="96"/>
  <c r="B6" i="96"/>
  <c r="B5" i="96"/>
  <c r="B41" i="96"/>
  <c r="B4" i="96"/>
  <c r="B3" i="96"/>
  <c r="T13" i="95" l="1"/>
  <c r="T25" i="95"/>
  <c r="T40" i="95"/>
  <c r="AB17" i="95"/>
  <c r="AB42" i="95"/>
  <c r="AV15" i="95"/>
  <c r="BH51" i="95"/>
  <c r="BH59" i="95"/>
  <c r="BL40" i="95"/>
  <c r="BL44" i="95"/>
  <c r="BL53" i="95"/>
  <c r="BP45" i="95"/>
  <c r="BP57" i="95"/>
  <c r="BT13" i="95"/>
  <c r="BD4" i="95"/>
  <c r="BD5" i="95"/>
  <c r="BH10" i="95"/>
  <c r="P35" i="95"/>
  <c r="AV35" i="95"/>
  <c r="X13" i="95"/>
  <c r="BD15" i="95"/>
  <c r="L34" i="95"/>
  <c r="AB34" i="95"/>
  <c r="AR34" i="95"/>
  <c r="BH34" i="95"/>
  <c r="L19" i="95"/>
  <c r="BL19" i="95"/>
  <c r="P28" i="95"/>
  <c r="BH28" i="95"/>
  <c r="L30" i="95"/>
  <c r="AV30" i="95"/>
  <c r="AR37" i="95"/>
  <c r="BH37" i="95"/>
  <c r="BP40" i="95"/>
  <c r="BD44" i="95"/>
  <c r="L47" i="95"/>
  <c r="BH48" i="95"/>
  <c r="AR51" i="95"/>
  <c r="P53" i="95"/>
  <c r="P56" i="95"/>
  <c r="AZ31" i="95"/>
  <c r="AZ47" i="95"/>
  <c r="BH39" i="95"/>
  <c r="BL29" i="95"/>
  <c r="BL57" i="95"/>
  <c r="BP47" i="95"/>
  <c r="BT31" i="95"/>
  <c r="BT48" i="95"/>
  <c r="BP32" i="95"/>
  <c r="T37" i="95"/>
  <c r="AZ42" i="95"/>
  <c r="BT51" i="95"/>
  <c r="L59" i="95"/>
  <c r="T57" i="95"/>
  <c r="X42" i="95"/>
  <c r="X59" i="95"/>
  <c r="AB44" i="95"/>
  <c r="AR39" i="95"/>
  <c r="AV40" i="95"/>
  <c r="BD25" i="95"/>
  <c r="BL24" i="95"/>
  <c r="BP51" i="95"/>
  <c r="L51" i="95"/>
  <c r="P44" i="95"/>
  <c r="P48" i="95"/>
  <c r="T24" i="95"/>
  <c r="AB21" i="95"/>
  <c r="AR44" i="95"/>
  <c r="AV41" i="95"/>
  <c r="AZ24" i="95"/>
  <c r="BD30" i="95"/>
  <c r="BL25" i="95"/>
  <c r="BL39" i="95"/>
  <c r="BP24" i="95"/>
  <c r="BP44" i="95"/>
  <c r="BT28" i="95"/>
  <c r="AR35" i="95"/>
  <c r="BH35" i="95"/>
  <c r="L17" i="95"/>
  <c r="BT17" i="95"/>
  <c r="AR19" i="95"/>
  <c r="BP22" i="95"/>
  <c r="BT24" i="95"/>
  <c r="BH25" i="95"/>
  <c r="L28" i="95"/>
  <c r="BP30" i="95"/>
  <c r="BT32" i="95"/>
  <c r="X37" i="95"/>
  <c r="BD42" i="95"/>
  <c r="BD47" i="95"/>
  <c r="AR48" i="95"/>
  <c r="AB57" i="95"/>
  <c r="X31" i="95"/>
  <c r="X51" i="95"/>
  <c r="AV32" i="95"/>
  <c r="AZ48" i="95"/>
  <c r="BH13" i="95"/>
  <c r="BH40" i="95"/>
  <c r="BL47" i="95"/>
  <c r="BP48" i="95"/>
  <c r="BT42" i="95"/>
  <c r="BT19" i="95"/>
  <c r="BP28" i="95"/>
  <c r="BT49" i="95"/>
  <c r="AB53" i="95"/>
  <c r="T17" i="95"/>
  <c r="AB5" i="95"/>
  <c r="AR41" i="95"/>
  <c r="AV42" i="95"/>
  <c r="BD19" i="95"/>
  <c r="BH41" i="95"/>
  <c r="BT15" i="95"/>
  <c r="BL17" i="95"/>
  <c r="L21" i="95"/>
  <c r="BH22" i="95"/>
  <c r="BL30" i="95"/>
  <c r="AV47" i="95"/>
  <c r="BH15" i="95"/>
  <c r="BT25" i="95"/>
  <c r="BT53" i="95"/>
  <c r="L35" i="95"/>
  <c r="AB35" i="95"/>
  <c r="BT34" i="95"/>
  <c r="AB24" i="95"/>
  <c r="BD39" i="95"/>
  <c r="BD59" i="95"/>
  <c r="BD28" i="95"/>
  <c r="BD53" i="95"/>
  <c r="BD35" i="95"/>
  <c r="BD48" i="95"/>
  <c r="BD34" i="95"/>
  <c r="AZ12" i="95"/>
  <c r="AZ22" i="95"/>
  <c r="AZ28" i="95"/>
  <c r="AZ51" i="95"/>
  <c r="AZ59" i="95"/>
  <c r="AV17" i="95"/>
  <c r="AV19" i="95"/>
  <c r="AV12" i="95"/>
  <c r="AR10" i="95"/>
  <c r="AR25" i="95"/>
  <c r="AR40" i="95"/>
  <c r="AR13" i="95"/>
  <c r="AB22" i="95"/>
  <c r="AB28" i="95"/>
  <c r="AB39" i="95"/>
  <c r="X19" i="95"/>
  <c r="X57" i="95"/>
  <c r="X48" i="95"/>
  <c r="X22" i="95"/>
  <c r="X28" i="95"/>
  <c r="X30" i="95"/>
  <c r="X47" i="95"/>
  <c r="T30" i="95"/>
  <c r="T47" i="95"/>
  <c r="P37" i="95"/>
  <c r="P40" i="95"/>
  <c r="P24" i="95"/>
  <c r="P39" i="95"/>
  <c r="P13" i="95"/>
  <c r="L39" i="95"/>
  <c r="L53" i="95"/>
  <c r="L44" i="95"/>
  <c r="L13" i="95"/>
  <c r="L15" i="95"/>
  <c r="AI48" i="96"/>
  <c r="AI44" i="96"/>
  <c r="AI3" i="96"/>
  <c r="AI23" i="96"/>
  <c r="AI27" i="96"/>
  <c r="AI31" i="96"/>
  <c r="AI33" i="96"/>
  <c r="AI68" i="96"/>
  <c r="AI66" i="96"/>
  <c r="AI67" i="96"/>
  <c r="AK64" i="96"/>
  <c r="AL64" i="96" s="1"/>
  <c r="DT84" i="97"/>
  <c r="AR84" i="97"/>
  <c r="AN84" i="97"/>
  <c r="BH84" i="97"/>
  <c r="DP84" i="97"/>
  <c r="P84" i="97"/>
  <c r="BL84" i="97"/>
  <c r="BT84" i="97"/>
  <c r="CB84" i="97"/>
  <c r="CV84" i="97"/>
  <c r="CZ84" i="97"/>
  <c r="DD84" i="97"/>
  <c r="BP84" i="97"/>
  <c r="BX84" i="97"/>
  <c r="AZ5" i="95"/>
  <c r="CA10" i="95"/>
  <c r="CB10" i="95" s="1"/>
  <c r="CB75" i="95" s="1"/>
  <c r="BH5" i="95"/>
  <c r="BD13" i="95"/>
  <c r="X15" i="95"/>
  <c r="BP7" i="95"/>
  <c r="BP15" i="95"/>
  <c r="BT11" i="95"/>
  <c r="AV4" i="95"/>
  <c r="X5" i="95"/>
  <c r="L5" i="95"/>
  <c r="T5" i="95"/>
  <c r="AZ10" i="95"/>
  <c r="AR12" i="95"/>
  <c r="BL15" i="95"/>
  <c r="BD17" i="95"/>
  <c r="AR22" i="95"/>
  <c r="CE20" i="95"/>
  <c r="CF20" i="95" s="1"/>
  <c r="CC49" i="95"/>
  <c r="CD49" i="95" s="1"/>
  <c r="CE49" i="95" s="1"/>
  <c r="CF49" i="95" s="1"/>
  <c r="AR5" i="95"/>
  <c r="AZ17" i="95"/>
  <c r="AV13" i="95"/>
  <c r="BP17" i="95"/>
  <c r="BL10" i="95"/>
  <c r="BD12" i="95"/>
  <c r="P15" i="95"/>
  <c r="AR15" i="95"/>
  <c r="AV25" i="95"/>
  <c r="X4" i="95"/>
  <c r="AV5" i="95"/>
  <c r="BL7" i="95"/>
  <c r="P5" i="95"/>
  <c r="BO13" i="95"/>
  <c r="BP13" i="95" s="1"/>
  <c r="BK22" i="95"/>
  <c r="BL22" i="95" s="1"/>
  <c r="AQ24" i="95"/>
  <c r="AR24" i="95" s="1"/>
  <c r="BC22" i="95"/>
  <c r="BD22" i="95" s="1"/>
  <c r="AU24" i="95"/>
  <c r="AV24" i="95" s="1"/>
  <c r="AB15" i="95"/>
  <c r="AB25" i="95"/>
  <c r="AB48" i="95"/>
  <c r="AB51" i="95"/>
  <c r="AB59" i="95"/>
  <c r="AF59" i="95"/>
  <c r="AN28" i="95"/>
  <c r="AF30" i="95"/>
  <c r="AF40" i="95"/>
  <c r="AF19" i="95"/>
  <c r="AJ40" i="95"/>
  <c r="AN44" i="95"/>
  <c r="AF42" i="95"/>
  <c r="AF51" i="95"/>
  <c r="AJ21" i="95"/>
  <c r="AJ25" i="95"/>
  <c r="AJ57" i="95"/>
  <c r="AN24" i="95"/>
  <c r="AN40" i="95"/>
  <c r="AN35" i="95"/>
  <c r="AF47" i="95"/>
  <c r="AF57" i="95"/>
  <c r="AJ13" i="95"/>
  <c r="AJ17" i="95"/>
  <c r="AN53" i="95"/>
  <c r="AF44" i="95"/>
  <c r="AJ22" i="95"/>
  <c r="AN30" i="95"/>
  <c r="AN34" i="95"/>
  <c r="AJ39" i="95"/>
  <c r="AF48" i="95"/>
  <c r="AF22" i="95"/>
  <c r="AN17" i="95"/>
  <c r="AF53" i="95"/>
  <c r="AJ42" i="95"/>
  <c r="AJ59" i="95"/>
  <c r="AN47" i="95"/>
  <c r="AN51" i="95"/>
  <c r="AN59" i="95"/>
  <c r="AN5" i="95"/>
  <c r="AF15" i="95"/>
  <c r="AF34" i="95"/>
  <c r="AF29" i="95"/>
  <c r="AF41" i="95"/>
  <c r="AJ51" i="95"/>
  <c r="AN31" i="95"/>
  <c r="AF28" i="95"/>
  <c r="AJ24" i="95"/>
  <c r="AN12" i="95"/>
  <c r="AF37" i="95"/>
  <c r="AN48" i="95"/>
  <c r="AF25" i="95"/>
  <c r="AJ53" i="95"/>
  <c r="AN57" i="95"/>
  <c r="AN4" i="95"/>
  <c r="AN13" i="95"/>
  <c r="AN15" i="95"/>
  <c r="AJ34" i="95"/>
  <c r="AJ47" i="95"/>
  <c r="AN22" i="95"/>
  <c r="AN25" i="95"/>
  <c r="AN39" i="95"/>
  <c r="AN41" i="95"/>
  <c r="AF4" i="95"/>
  <c r="AN42" i="95"/>
  <c r="AJ12" i="95"/>
  <c r="AJ28" i="95"/>
  <c r="AJ48" i="95"/>
  <c r="AF13" i="95"/>
  <c r="AF5" i="95"/>
  <c r="AF35" i="95"/>
  <c r="AN19" i="95"/>
  <c r="AN37" i="95"/>
  <c r="AF39" i="95"/>
  <c r="AJ5" i="95"/>
  <c r="AF17" i="95"/>
  <c r="AF24" i="95"/>
  <c r="AJ37" i="95"/>
  <c r="DT75" i="95"/>
  <c r="AR46" i="95"/>
  <c r="AF32" i="95"/>
  <c r="DH75" i="95"/>
  <c r="CR75" i="95"/>
  <c r="AJ30" i="95"/>
  <c r="AJ41" i="95"/>
  <c r="AJ15" i="95"/>
  <c r="AJ19" i="95"/>
  <c r="AJ31" i="95"/>
  <c r="AJ35" i="95"/>
  <c r="AF12" i="95"/>
  <c r="CN75" i="95"/>
  <c r="AR4" i="95"/>
  <c r="BX75" i="95"/>
  <c r="DD75" i="95"/>
  <c r="BP4" i="95"/>
  <c r="BH4" i="95"/>
  <c r="BT4" i="95"/>
  <c r="AZ4" i="95"/>
  <c r="T7" i="95"/>
  <c r="AJ7" i="95"/>
  <c r="AZ7" i="95"/>
  <c r="AF10" i="95"/>
  <c r="BL4" i="95"/>
  <c r="X7" i="95"/>
  <c r="AN7" i="95"/>
  <c r="T10" i="95"/>
  <c r="AJ10" i="95"/>
  <c r="L7" i="95"/>
  <c r="AR7" i="95"/>
  <c r="AN10" i="95"/>
  <c r="BD10" i="95"/>
  <c r="L10" i="95"/>
  <c r="AJ4" i="95"/>
  <c r="P7" i="95"/>
  <c r="AF7" i="95"/>
  <c r="AV7" i="95"/>
  <c r="AB10" i="95"/>
  <c r="AE6" i="34"/>
  <c r="AE6" i="47"/>
  <c r="AE6" i="58"/>
  <c r="AE6" i="66"/>
  <c r="I4" i="95"/>
  <c r="J4" i="95" s="1"/>
  <c r="L4" i="95" s="1"/>
  <c r="I6" i="95"/>
  <c r="J6" i="95" s="1"/>
  <c r="L6" i="95" s="1"/>
  <c r="I12" i="95"/>
  <c r="J12" i="95" s="1"/>
  <c r="I23" i="95"/>
  <c r="J23" i="95" s="1"/>
  <c r="L23" i="95" s="1"/>
  <c r="I25" i="95"/>
  <c r="J25" i="95" s="1"/>
  <c r="L25" i="95" s="1"/>
  <c r="I27" i="95"/>
  <c r="J27" i="95" s="1"/>
  <c r="L27" i="95" s="1"/>
  <c r="I29" i="95"/>
  <c r="J29" i="95" s="1"/>
  <c r="L29" i="95" s="1"/>
  <c r="I31" i="95"/>
  <c r="J31" i="95" s="1"/>
  <c r="L31" i="95" s="1"/>
  <c r="BI35" i="95"/>
  <c r="BJ35" i="95" s="1"/>
  <c r="BL35" i="95" s="1"/>
  <c r="AB4" i="95"/>
  <c r="P10" i="95"/>
  <c r="AV10" i="95"/>
  <c r="AE6" i="44"/>
  <c r="AE6" i="54"/>
  <c r="I54" i="95"/>
  <c r="J54" i="95" s="1"/>
  <c r="L54" i="95" s="1"/>
  <c r="I56" i="95"/>
  <c r="J56" i="95" s="1"/>
  <c r="L56" i="95" s="1"/>
  <c r="I58" i="95"/>
  <c r="J58" i="95" s="1"/>
  <c r="I60" i="95"/>
  <c r="J60" i="95" s="1"/>
  <c r="L60" i="95" s="1"/>
  <c r="M19" i="95"/>
  <c r="N19" i="95" s="1"/>
  <c r="P19" i="95" s="1"/>
  <c r="M32" i="95"/>
  <c r="N32" i="95" s="1"/>
  <c r="P32" i="95" s="1"/>
  <c r="BD7" i="95"/>
  <c r="AE6" i="33"/>
  <c r="AE6" i="51"/>
  <c r="AE6" i="55"/>
  <c r="DX75" i="95"/>
  <c r="T4" i="95"/>
  <c r="AB7" i="95"/>
  <c r="BH7" i="95"/>
  <c r="X10" i="95"/>
  <c r="T84" i="97"/>
  <c r="AE77" i="39"/>
  <c r="AE7" i="42"/>
  <c r="AE7" i="43"/>
  <c r="AE7" i="50"/>
  <c r="CK4" i="97"/>
  <c r="CL4" i="97" s="1"/>
  <c r="CN4" i="97" s="1"/>
  <c r="AI5" i="96"/>
  <c r="CK8" i="97"/>
  <c r="CL8" i="97" s="1"/>
  <c r="CN8" i="97" s="1"/>
  <c r="AI9" i="96"/>
  <c r="CK11" i="97"/>
  <c r="CL11" i="97" s="1"/>
  <c r="CN11" i="97" s="1"/>
  <c r="AI13" i="96"/>
  <c r="CK14" i="97"/>
  <c r="CL14" i="97" s="1"/>
  <c r="CN14" i="97" s="1"/>
  <c r="AI17" i="96"/>
  <c r="CK27" i="97"/>
  <c r="CL27" i="97" s="1"/>
  <c r="CN27" i="97" s="1"/>
  <c r="DY27" i="97" s="1"/>
  <c r="AI36" i="96"/>
  <c r="CK32" i="97"/>
  <c r="CL32" i="97" s="1"/>
  <c r="CN32" i="97" s="1"/>
  <c r="AI40" i="96"/>
  <c r="AI53" i="96"/>
  <c r="AI59" i="96"/>
  <c r="AE65" i="60"/>
  <c r="AE7" i="62"/>
  <c r="AE65" i="62"/>
  <c r="AE6" i="68"/>
  <c r="L3" i="95"/>
  <c r="AB3" i="95"/>
  <c r="AR3" i="95"/>
  <c r="BH3" i="95"/>
  <c r="CV75" i="95"/>
  <c r="DL75" i="95"/>
  <c r="AJ5" i="96"/>
  <c r="AK5" i="96"/>
  <c r="AL5" i="96" s="1"/>
  <c r="AF5" i="96"/>
  <c r="AJ10" i="96"/>
  <c r="AK10" i="96"/>
  <c r="AL10" i="96" s="1"/>
  <c r="AF10" i="96"/>
  <c r="AK14" i="96"/>
  <c r="AL14" i="96" s="1"/>
  <c r="AF14" i="96"/>
  <c r="AJ14" i="96"/>
  <c r="AK18" i="96"/>
  <c r="AL18" i="96" s="1"/>
  <c r="AF18" i="96"/>
  <c r="AJ18" i="96"/>
  <c r="AK22" i="96"/>
  <c r="AL22" i="96" s="1"/>
  <c r="AF22" i="96"/>
  <c r="AJ22" i="96"/>
  <c r="AK25" i="96"/>
  <c r="AL25" i="96" s="1"/>
  <c r="AF25" i="96"/>
  <c r="AJ25" i="96"/>
  <c r="AJ66" i="96"/>
  <c r="AK66" i="96"/>
  <c r="AL66" i="96" s="1"/>
  <c r="AF66" i="96"/>
  <c r="AJ35" i="96"/>
  <c r="AF35" i="96"/>
  <c r="AK35" i="96"/>
  <c r="AL35" i="96" s="1"/>
  <c r="AK49" i="96"/>
  <c r="AL49" i="96" s="1"/>
  <c r="AF49" i="96"/>
  <c r="AJ49" i="96"/>
  <c r="AK50" i="96"/>
  <c r="AL50" i="96" s="1"/>
  <c r="AF50" i="96"/>
  <c r="AJ50" i="96"/>
  <c r="AJ55" i="96"/>
  <c r="AK55" i="96"/>
  <c r="AL55" i="96" s="1"/>
  <c r="AF55" i="96"/>
  <c r="AK56" i="96"/>
  <c r="AL56" i="96" s="1"/>
  <c r="AF56" i="96"/>
  <c r="AJ56" i="96"/>
  <c r="AK60" i="96"/>
  <c r="AL60" i="96" s="1"/>
  <c r="AF60" i="96"/>
  <c r="AJ60" i="96"/>
  <c r="AW22" i="97"/>
  <c r="AX22" i="97" s="1"/>
  <c r="AZ22" i="97" s="1"/>
  <c r="AZ84" i="97" s="1"/>
  <c r="AK28" i="96"/>
  <c r="AL28" i="96" s="1"/>
  <c r="AF28" i="96"/>
  <c r="AJ28" i="96"/>
  <c r="DH84" i="97"/>
  <c r="DL84" i="97"/>
  <c r="AE58" i="69"/>
  <c r="AE58" i="71"/>
  <c r="AE77" i="71"/>
  <c r="AH151" i="74"/>
  <c r="AH152" i="74" s="1"/>
  <c r="AK3" i="96"/>
  <c r="AL3" i="96" s="1"/>
  <c r="AF3" i="96"/>
  <c r="AJ3" i="96"/>
  <c r="AK41" i="96"/>
  <c r="AL41" i="96" s="1"/>
  <c r="AF41" i="96"/>
  <c r="AJ41" i="96"/>
  <c r="AK6" i="96"/>
  <c r="AL6" i="96" s="1"/>
  <c r="AF6" i="96"/>
  <c r="AJ6" i="96"/>
  <c r="AJ9" i="96"/>
  <c r="AK9" i="96"/>
  <c r="AL9" i="96" s="1"/>
  <c r="AF9" i="96"/>
  <c r="AK11" i="96"/>
  <c r="AL11" i="96" s="1"/>
  <c r="AF11" i="96"/>
  <c r="AJ11" i="96"/>
  <c r="AK13" i="96"/>
  <c r="AL13" i="96" s="1"/>
  <c r="AF13" i="96"/>
  <c r="AJ13" i="96"/>
  <c r="AK15" i="96"/>
  <c r="AL15" i="96" s="1"/>
  <c r="AF15" i="96"/>
  <c r="AJ15" i="96"/>
  <c r="AK17" i="96"/>
  <c r="AL17" i="96" s="1"/>
  <c r="AF17" i="96"/>
  <c r="AJ17" i="96"/>
  <c r="AJ19" i="96"/>
  <c r="AK19" i="96"/>
  <c r="AL19" i="96" s="1"/>
  <c r="AF19" i="96"/>
  <c r="AJ21" i="96"/>
  <c r="AK21" i="96"/>
  <c r="AL21" i="96" s="1"/>
  <c r="AF21" i="96"/>
  <c r="AK23" i="96"/>
  <c r="AL23" i="96" s="1"/>
  <c r="AF23" i="96"/>
  <c r="AJ23" i="96"/>
  <c r="AK26" i="96"/>
  <c r="AL26" i="96" s="1"/>
  <c r="AF26" i="96"/>
  <c r="AJ26" i="96"/>
  <c r="AK31" i="96"/>
  <c r="AL31" i="96" s="1"/>
  <c r="AF31" i="96"/>
  <c r="AJ31" i="96"/>
  <c r="AK32" i="96"/>
  <c r="AL32" i="96" s="1"/>
  <c r="AF32" i="96"/>
  <c r="AJ32" i="96"/>
  <c r="AK34" i="96"/>
  <c r="AL34" i="96" s="1"/>
  <c r="AF34" i="96"/>
  <c r="AJ34" i="96"/>
  <c r="AK36" i="96"/>
  <c r="AL36" i="96" s="1"/>
  <c r="AF36" i="96"/>
  <c r="AJ36" i="96"/>
  <c r="AK38" i="96"/>
  <c r="AL38" i="96" s="1"/>
  <c r="AF38" i="96"/>
  <c r="AJ38" i="96"/>
  <c r="AJ39" i="96"/>
  <c r="AF39" i="96"/>
  <c r="AK39" i="96"/>
  <c r="AL39" i="96" s="1"/>
  <c r="AJ65" i="96"/>
  <c r="AK65" i="96"/>
  <c r="AL65" i="96" s="1"/>
  <c r="AF65" i="96"/>
  <c r="AK8" i="96"/>
  <c r="AL8" i="96" s="1"/>
  <c r="AF8" i="96"/>
  <c r="AJ8" i="96"/>
  <c r="AJ51" i="96"/>
  <c r="AK51" i="96"/>
  <c r="AL51" i="96" s="1"/>
  <c r="AF51" i="96"/>
  <c r="AK53" i="96"/>
  <c r="AL53" i="96" s="1"/>
  <c r="AF53" i="96"/>
  <c r="AJ53" i="96"/>
  <c r="AJ67" i="96"/>
  <c r="AK67" i="96"/>
  <c r="AL67" i="96" s="1"/>
  <c r="AF67" i="96"/>
  <c r="AJ27" i="96"/>
  <c r="AK27" i="96"/>
  <c r="AL27" i="96" s="1"/>
  <c r="AF27" i="96"/>
  <c r="AK29" i="96"/>
  <c r="AL29" i="96" s="1"/>
  <c r="AF29" i="96"/>
  <c r="AJ29" i="96"/>
  <c r="AK57" i="96"/>
  <c r="AL57" i="96" s="1"/>
  <c r="AF57" i="96"/>
  <c r="AJ57" i="96"/>
  <c r="AK59" i="96"/>
  <c r="AL59" i="96" s="1"/>
  <c r="AF59" i="96"/>
  <c r="AJ59" i="96"/>
  <c r="AK68" i="96"/>
  <c r="AL68" i="96" s="1"/>
  <c r="AF68" i="96"/>
  <c r="AJ68" i="96"/>
  <c r="L84" i="97"/>
  <c r="AV84" i="97"/>
  <c r="BD84" i="97"/>
  <c r="CF84" i="97"/>
  <c r="CO17" i="97"/>
  <c r="CP17" i="97" s="1"/>
  <c r="CR17" i="97" s="1"/>
  <c r="AI21" i="96"/>
  <c r="G6" i="39"/>
  <c r="AE6" i="39" s="1"/>
  <c r="G6" i="40"/>
  <c r="AE6" i="40" s="1"/>
  <c r="G6" i="48"/>
  <c r="AE6" i="48" s="1"/>
  <c r="G6" i="53"/>
  <c r="AE6" i="53" s="1"/>
  <c r="G6" i="65"/>
  <c r="AE6" i="65" s="1"/>
  <c r="P3" i="95"/>
  <c r="AF3" i="95"/>
  <c r="AV3" i="95"/>
  <c r="BL3" i="95"/>
  <c r="BP5" i="95"/>
  <c r="T6" i="95"/>
  <c r="AB6" i="95"/>
  <c r="AJ6" i="95"/>
  <c r="AR6" i="95"/>
  <c r="AZ6" i="95"/>
  <c r="BH6" i="95"/>
  <c r="BP6" i="95"/>
  <c r="T8" i="95"/>
  <c r="AJ8" i="95"/>
  <c r="AZ8" i="95"/>
  <c r="BP8" i="95"/>
  <c r="L9" i="95"/>
  <c r="T9" i="95"/>
  <c r="AB9" i="95"/>
  <c r="AJ9" i="95"/>
  <c r="AR9" i="95"/>
  <c r="AZ9" i="95"/>
  <c r="BH9" i="95"/>
  <c r="BP9" i="95"/>
  <c r="L11" i="95"/>
  <c r="T11" i="95"/>
  <c r="AB11" i="95"/>
  <c r="AJ11" i="95"/>
  <c r="AR11" i="95"/>
  <c r="AZ11" i="95"/>
  <c r="BL11" i="95"/>
  <c r="AB12" i="95"/>
  <c r="P14" i="95"/>
  <c r="AF14" i="95"/>
  <c r="AV14" i="95"/>
  <c r="BL14" i="95"/>
  <c r="P16" i="95"/>
  <c r="AF16" i="95"/>
  <c r="AV16" i="95"/>
  <c r="BL16" i="95"/>
  <c r="AB18" i="95"/>
  <c r="AR18" i="95"/>
  <c r="BH18" i="95"/>
  <c r="L20" i="95"/>
  <c r="AB20" i="95"/>
  <c r="AR20" i="95"/>
  <c r="BH20" i="95"/>
  <c r="P21" i="95"/>
  <c r="AF21" i="95"/>
  <c r="AV21" i="95"/>
  <c r="BL21" i="95"/>
  <c r="P8" i="95"/>
  <c r="AF8" i="95"/>
  <c r="AV8" i="95"/>
  <c r="BL8" i="95"/>
  <c r="BP11" i="95"/>
  <c r="BP12" i="95"/>
  <c r="T14" i="95"/>
  <c r="AJ14" i="95"/>
  <c r="AZ14" i="95"/>
  <c r="BP14" i="95"/>
  <c r="T16" i="95"/>
  <c r="AJ16" i="95"/>
  <c r="AZ16" i="95"/>
  <c r="BP16" i="95"/>
  <c r="AF18" i="95"/>
  <c r="AV18" i="95"/>
  <c r="BL18" i="95"/>
  <c r="P20" i="95"/>
  <c r="AF20" i="95"/>
  <c r="AV20" i="95"/>
  <c r="BL20" i="95"/>
  <c r="CK6" i="97"/>
  <c r="CL6" i="97" s="1"/>
  <c r="CN6" i="97" s="1"/>
  <c r="AI7" i="96"/>
  <c r="CK10" i="97"/>
  <c r="CL10" i="97" s="1"/>
  <c r="CN10" i="97" s="1"/>
  <c r="AI11" i="96"/>
  <c r="CK58" i="97"/>
  <c r="CL58" i="97" s="1"/>
  <c r="CN58" i="97" s="1"/>
  <c r="AI15" i="96"/>
  <c r="CK15" i="97"/>
  <c r="CL15" i="97" s="1"/>
  <c r="CN15" i="97" s="1"/>
  <c r="AI19" i="96"/>
  <c r="CK20" i="97"/>
  <c r="CL20" i="97" s="1"/>
  <c r="CN20" i="97" s="1"/>
  <c r="AI25" i="96"/>
  <c r="CK23" i="97"/>
  <c r="CL23" i="97" s="1"/>
  <c r="CN23" i="97" s="1"/>
  <c r="AI29" i="96"/>
  <c r="CK29" i="97"/>
  <c r="CL29" i="97" s="1"/>
  <c r="CN29" i="97" s="1"/>
  <c r="AI38" i="96"/>
  <c r="CK59" i="97"/>
  <c r="CL59" i="97" s="1"/>
  <c r="CN59" i="97" s="1"/>
  <c r="AI51" i="96"/>
  <c r="CK63" i="97"/>
  <c r="CL63" i="97" s="1"/>
  <c r="CN63" i="97" s="1"/>
  <c r="AI55" i="96"/>
  <c r="CK65" i="97"/>
  <c r="CL65" i="97" s="1"/>
  <c r="CN65" i="97" s="1"/>
  <c r="AI57" i="96"/>
  <c r="AE7" i="68"/>
  <c r="AE7" i="69"/>
  <c r="AE6" i="70"/>
  <c r="AE7" i="70"/>
  <c r="AE7" i="71"/>
  <c r="AN6" i="95"/>
  <c r="AV6" i="95"/>
  <c r="BD6" i="95"/>
  <c r="BL6" i="95"/>
  <c r="BT6" i="95"/>
  <c r="L8" i="95"/>
  <c r="AB8" i="95"/>
  <c r="AR8" i="95"/>
  <c r="BH8" i="95"/>
  <c r="P9" i="95"/>
  <c r="X9" i="95"/>
  <c r="AF9" i="95"/>
  <c r="AN9" i="95"/>
  <c r="AV9" i="95"/>
  <c r="BD9" i="95"/>
  <c r="BL9" i="95"/>
  <c r="BT9" i="95"/>
  <c r="P11" i="95"/>
  <c r="X11" i="95"/>
  <c r="AF11" i="95"/>
  <c r="AN11" i="95"/>
  <c r="AV11" i="95"/>
  <c r="BD11" i="95"/>
  <c r="P12" i="95"/>
  <c r="BT12" i="95"/>
  <c r="X14" i="95"/>
  <c r="AN14" i="95"/>
  <c r="BD14" i="95"/>
  <c r="BT14" i="95"/>
  <c r="X16" i="95"/>
  <c r="AN16" i="95"/>
  <c r="BD16" i="95"/>
  <c r="BT16" i="95"/>
  <c r="AJ18" i="95"/>
  <c r="AZ18" i="95"/>
  <c r="BP18" i="95"/>
  <c r="T20" i="95"/>
  <c r="AJ20" i="95"/>
  <c r="AZ20" i="95"/>
  <c r="BP20" i="95"/>
  <c r="X21" i="95"/>
  <c r="AN21" i="95"/>
  <c r="BD21" i="95"/>
  <c r="BT21" i="95"/>
  <c r="AK4" i="96"/>
  <c r="AL4" i="96" s="1"/>
  <c r="AF4" i="96"/>
  <c r="AJ4" i="96"/>
  <c r="AK7" i="96"/>
  <c r="AL7" i="96" s="1"/>
  <c r="AF7" i="96"/>
  <c r="AJ7" i="96"/>
  <c r="AJ12" i="96"/>
  <c r="AK12" i="96"/>
  <c r="AL12" i="96" s="1"/>
  <c r="AF12" i="96"/>
  <c r="AK16" i="96"/>
  <c r="AL16" i="96" s="1"/>
  <c r="AF16" i="96"/>
  <c r="AJ16" i="96"/>
  <c r="AK20" i="96"/>
  <c r="AL20" i="96" s="1"/>
  <c r="AF20" i="96"/>
  <c r="AJ20" i="96"/>
  <c r="AK24" i="96"/>
  <c r="AL24" i="96" s="1"/>
  <c r="AF24" i="96"/>
  <c r="AJ24" i="96"/>
  <c r="AJ30" i="96"/>
  <c r="AK30" i="96"/>
  <c r="AL30" i="96" s="1"/>
  <c r="AF30" i="96"/>
  <c r="AK33" i="96"/>
  <c r="AL33" i="96" s="1"/>
  <c r="AF33" i="96"/>
  <c r="AJ33" i="96"/>
  <c r="AJ37" i="96"/>
  <c r="AF37" i="96"/>
  <c r="AK37" i="96"/>
  <c r="AL37" i="96" s="1"/>
  <c r="AK40" i="96"/>
  <c r="AL40" i="96" s="1"/>
  <c r="AF40" i="96"/>
  <c r="AJ40" i="96"/>
  <c r="AK52" i="96"/>
  <c r="AL52" i="96" s="1"/>
  <c r="AF52" i="96"/>
  <c r="AJ52" i="96"/>
  <c r="AK54" i="96"/>
  <c r="AL54" i="96" s="1"/>
  <c r="AF54" i="96"/>
  <c r="AJ54" i="96"/>
  <c r="AK44" i="96"/>
  <c r="AL44" i="96" s="1"/>
  <c r="AF44" i="96"/>
  <c r="AJ44" i="96"/>
  <c r="AK58" i="96"/>
  <c r="AL58" i="96" s="1"/>
  <c r="AF58" i="96"/>
  <c r="AJ58" i="96"/>
  <c r="CO56" i="97"/>
  <c r="CP56" i="97" s="1"/>
  <c r="CR56" i="97" s="1"/>
  <c r="AI12" i="96"/>
  <c r="AE58" i="67"/>
  <c r="AE77" i="67"/>
  <c r="AE77" i="68"/>
  <c r="AE77" i="69"/>
  <c r="AE77" i="70"/>
  <c r="AC58" i="95"/>
  <c r="AD58" i="95" s="1"/>
  <c r="AF58" i="95" s="1"/>
  <c r="Y58" i="95"/>
  <c r="Z58" i="95" s="1"/>
  <c r="AB58" i="95" s="1"/>
  <c r="X3" i="95"/>
  <c r="AN3" i="95"/>
  <c r="BD3" i="95"/>
  <c r="BT3" i="95"/>
  <c r="CJ75" i="95"/>
  <c r="CZ75" i="95"/>
  <c r="DP75" i="95"/>
  <c r="P6" i="95"/>
  <c r="X6" i="95"/>
  <c r="AF6" i="95"/>
  <c r="X84" i="97"/>
  <c r="AB84" i="97"/>
  <c r="AF84" i="97"/>
  <c r="AJ84" i="97"/>
  <c r="CK3" i="97"/>
  <c r="CL3" i="97" s="1"/>
  <c r="CN3" i="97" s="1"/>
  <c r="AI4" i="96"/>
  <c r="CK5" i="97"/>
  <c r="CL5" i="97" s="1"/>
  <c r="CN5" i="97" s="1"/>
  <c r="AI6" i="96"/>
  <c r="CK7" i="97"/>
  <c r="CL7" i="97" s="1"/>
  <c r="CM7" i="97" s="1"/>
  <c r="CN7" i="97" s="1"/>
  <c r="AI8" i="96"/>
  <c r="CK9" i="97"/>
  <c r="CL9" i="97" s="1"/>
  <c r="CN9" i="97" s="1"/>
  <c r="DY9" i="97" s="1"/>
  <c r="AI10" i="96"/>
  <c r="CK13" i="97"/>
  <c r="CL13" i="97" s="1"/>
  <c r="CN13" i="97" s="1"/>
  <c r="AI16" i="96"/>
  <c r="AI18" i="96"/>
  <c r="CK16" i="97"/>
  <c r="CL16" i="97" s="1"/>
  <c r="CN16" i="97" s="1"/>
  <c r="DY16" i="97" s="1"/>
  <c r="AI20" i="96"/>
  <c r="CK18" i="97"/>
  <c r="CL18" i="97" s="1"/>
  <c r="CN18" i="97" s="1"/>
  <c r="AI22" i="96"/>
  <c r="CK19" i="97"/>
  <c r="CL19" i="97" s="1"/>
  <c r="CN19" i="97" s="1"/>
  <c r="DY19" i="97" s="1"/>
  <c r="AI24" i="96"/>
  <c r="CK21" i="97"/>
  <c r="CL21" i="97" s="1"/>
  <c r="CM21" i="97" s="1"/>
  <c r="CN21" i="97" s="1"/>
  <c r="AI26" i="96"/>
  <c r="CK22" i="97"/>
  <c r="CL22" i="97" s="1"/>
  <c r="CN22" i="97" s="1"/>
  <c r="AI28" i="96"/>
  <c r="CK24" i="97"/>
  <c r="CL24" i="97" s="1"/>
  <c r="CN24" i="97" s="1"/>
  <c r="AI30" i="96"/>
  <c r="CK25" i="97"/>
  <c r="CL25" i="97" s="1"/>
  <c r="CN25" i="97" s="1"/>
  <c r="AI32" i="96"/>
  <c r="CK26" i="97"/>
  <c r="CL26" i="97" s="1"/>
  <c r="CN26" i="97" s="1"/>
  <c r="AI34" i="96"/>
  <c r="CK28" i="97"/>
  <c r="CL28" i="97" s="1"/>
  <c r="CN28" i="97" s="1"/>
  <c r="AI37" i="96"/>
  <c r="CK31" i="97"/>
  <c r="CL31" i="97" s="1"/>
  <c r="CN31" i="97" s="1"/>
  <c r="AI39" i="96"/>
  <c r="CK30" i="97"/>
  <c r="CL30" i="97" s="1"/>
  <c r="CN30" i="97" s="1"/>
  <c r="AI49" i="96"/>
  <c r="CK57" i="97"/>
  <c r="CL57" i="97" s="1"/>
  <c r="CN57" i="97" s="1"/>
  <c r="AI50" i="96"/>
  <c r="AI52" i="96"/>
  <c r="CK62" i="97"/>
  <c r="CL62" i="97" s="1"/>
  <c r="CN62" i="97" s="1"/>
  <c r="AI54" i="96"/>
  <c r="CK64" i="97"/>
  <c r="CL64" i="97" s="1"/>
  <c r="CN64" i="97" s="1"/>
  <c r="AI56" i="96"/>
  <c r="AI58" i="96"/>
  <c r="AI60" i="96"/>
  <c r="AH28" i="74"/>
  <c r="T3" i="95"/>
  <c r="AJ3" i="95"/>
  <c r="AZ3" i="95"/>
  <c r="BP3" i="95"/>
  <c r="BT5" i="95"/>
  <c r="X8" i="95"/>
  <c r="AN8" i="95"/>
  <c r="BD8" i="95"/>
  <c r="BT8" i="95"/>
  <c r="X12" i="95"/>
  <c r="L14" i="95"/>
  <c r="AB14" i="95"/>
  <c r="AR14" i="95"/>
  <c r="BH14" i="95"/>
  <c r="L16" i="95"/>
  <c r="AB16" i="95"/>
  <c r="AR16" i="95"/>
  <c r="BH16" i="95"/>
  <c r="X18" i="95"/>
  <c r="AN18" i="95"/>
  <c r="BD18" i="95"/>
  <c r="BT18" i="95"/>
  <c r="X20" i="95"/>
  <c r="AN20" i="95"/>
  <c r="BD20" i="95"/>
  <c r="BT20" i="95"/>
  <c r="P23" i="95"/>
  <c r="AF23" i="95"/>
  <c r="AV23" i="95"/>
  <c r="BL23" i="95"/>
  <c r="P26" i="95"/>
  <c r="X26" i="95"/>
  <c r="AF26" i="95"/>
  <c r="AN26" i="95"/>
  <c r="AV26" i="95"/>
  <c r="BD26" i="95"/>
  <c r="BL26" i="95"/>
  <c r="BT26" i="95"/>
  <c r="AB27" i="95"/>
  <c r="AR27" i="95"/>
  <c r="BH27" i="95"/>
  <c r="AB29" i="95"/>
  <c r="BH29" i="95"/>
  <c r="P31" i="95"/>
  <c r="AV31" i="95"/>
  <c r="T32" i="95"/>
  <c r="AN32" i="95"/>
  <c r="AZ32" i="95"/>
  <c r="X33" i="95"/>
  <c r="AN33" i="95"/>
  <c r="BD33" i="95"/>
  <c r="BT33" i="95"/>
  <c r="L38" i="95"/>
  <c r="AB38" i="95"/>
  <c r="AR38" i="95"/>
  <c r="BT38" i="95"/>
  <c r="X43" i="95"/>
  <c r="AN43" i="95"/>
  <c r="BD43" i="95"/>
  <c r="BT43" i="95"/>
  <c r="X45" i="95"/>
  <c r="AN45" i="95"/>
  <c r="BD45" i="95"/>
  <c r="T46" i="95"/>
  <c r="AJ46" i="95"/>
  <c r="AV46" i="95"/>
  <c r="BL46" i="95"/>
  <c r="L49" i="95"/>
  <c r="AB49" i="95"/>
  <c r="AR49" i="95"/>
  <c r="BH49" i="95"/>
  <c r="X50" i="95"/>
  <c r="AN50" i="95"/>
  <c r="BD50" i="95"/>
  <c r="BT50" i="95"/>
  <c r="X52" i="95"/>
  <c r="AN52" i="95"/>
  <c r="AZ52" i="95"/>
  <c r="BP52" i="95"/>
  <c r="T54" i="95"/>
  <c r="AJ54" i="95"/>
  <c r="AZ54" i="95"/>
  <c r="P55" i="95"/>
  <c r="AF55" i="95"/>
  <c r="AV55" i="95"/>
  <c r="BL55" i="95"/>
  <c r="X56" i="95"/>
  <c r="AN56" i="95"/>
  <c r="BD56" i="95"/>
  <c r="BT56" i="95"/>
  <c r="X58" i="95"/>
  <c r="AN58" i="95"/>
  <c r="BD58" i="95"/>
  <c r="BT58" i="95"/>
  <c r="P60" i="95"/>
  <c r="AF60" i="95"/>
  <c r="AV60" i="95"/>
  <c r="BL60" i="95"/>
  <c r="L61" i="95"/>
  <c r="AB61" i="95"/>
  <c r="AR61" i="95"/>
  <c r="BH61" i="95"/>
  <c r="T62" i="95"/>
  <c r="AJ62" i="95"/>
  <c r="AZ62" i="95"/>
  <c r="AB23" i="95"/>
  <c r="AR23" i="95"/>
  <c r="BH23" i="95"/>
  <c r="P27" i="95"/>
  <c r="AF27" i="95"/>
  <c r="AV27" i="95"/>
  <c r="BL27" i="95"/>
  <c r="T29" i="95"/>
  <c r="AN29" i="95"/>
  <c r="AZ29" i="95"/>
  <c r="BT29" i="95"/>
  <c r="AB31" i="95"/>
  <c r="BH31" i="95"/>
  <c r="L32" i="95"/>
  <c r="AR32" i="95"/>
  <c r="X23" i="95"/>
  <c r="AN23" i="95"/>
  <c r="BD23" i="95"/>
  <c r="BT23" i="95"/>
  <c r="L26" i="95"/>
  <c r="T26" i="95"/>
  <c r="AB26" i="95"/>
  <c r="AJ26" i="95"/>
  <c r="AR26" i="95"/>
  <c r="AZ26" i="95"/>
  <c r="BH26" i="95"/>
  <c r="BP26" i="95"/>
  <c r="T27" i="95"/>
  <c r="AJ27" i="95"/>
  <c r="AZ27" i="95"/>
  <c r="BP27" i="95"/>
  <c r="AR29" i="95"/>
  <c r="AF31" i="95"/>
  <c r="BL31" i="95"/>
  <c r="X32" i="95"/>
  <c r="AJ32" i="95"/>
  <c r="BD32" i="95"/>
  <c r="P33" i="95"/>
  <c r="AF33" i="95"/>
  <c r="AV33" i="95"/>
  <c r="BL33" i="95"/>
  <c r="AF36" i="95"/>
  <c r="AV36" i="95"/>
  <c r="P41" i="95"/>
  <c r="T23" i="95"/>
  <c r="AJ23" i="95"/>
  <c r="AZ23" i="95"/>
  <c r="BP23" i="95"/>
  <c r="X27" i="95"/>
  <c r="AN27" i="95"/>
  <c r="BD27" i="95"/>
  <c r="BT27" i="95"/>
  <c r="X29" i="95"/>
  <c r="AJ29" i="95"/>
  <c r="BD29" i="95"/>
  <c r="BP29" i="95"/>
  <c r="AR31" i="95"/>
  <c r="AB32" i="95"/>
  <c r="BH32" i="95"/>
  <c r="BP35" i="95"/>
  <c r="T36" i="95"/>
  <c r="AJ36" i="95"/>
  <c r="AZ36" i="95"/>
  <c r="P38" i="95"/>
  <c r="AF38" i="95"/>
  <c r="AV38" i="95"/>
  <c r="BH38" i="95"/>
  <c r="P42" i="95"/>
  <c r="L43" i="95"/>
  <c r="AB43" i="95"/>
  <c r="AR43" i="95"/>
  <c r="BH43" i="95"/>
  <c r="L45" i="95"/>
  <c r="AB45" i="95"/>
  <c r="AR45" i="95"/>
  <c r="BH45" i="95"/>
  <c r="X46" i="95"/>
  <c r="AN46" i="95"/>
  <c r="AZ46" i="95"/>
  <c r="BP46" i="95"/>
  <c r="P49" i="95"/>
  <c r="AF49" i="95"/>
  <c r="AV49" i="95"/>
  <c r="BL49" i="95"/>
  <c r="L50" i="95"/>
  <c r="AB50" i="95"/>
  <c r="AR50" i="95"/>
  <c r="BH50" i="95"/>
  <c r="L52" i="95"/>
  <c r="AB52" i="95"/>
  <c r="BD52" i="95"/>
  <c r="BT52" i="95"/>
  <c r="X54" i="95"/>
  <c r="AN54" i="95"/>
  <c r="BD54" i="95"/>
  <c r="T55" i="95"/>
  <c r="AJ55" i="95"/>
  <c r="AZ55" i="95"/>
  <c r="BP55" i="95"/>
  <c r="AB56" i="95"/>
  <c r="AR56" i="95"/>
  <c r="BH56" i="95"/>
  <c r="AR58" i="95"/>
  <c r="BH58" i="95"/>
  <c r="BT59" i="95"/>
  <c r="T60" i="95"/>
  <c r="AJ60" i="95"/>
  <c r="AZ60" i="95"/>
  <c r="BP60" i="95"/>
  <c r="P61" i="95"/>
  <c r="AF61" i="95"/>
  <c r="AV61" i="95"/>
  <c r="BL61" i="95"/>
  <c r="X62" i="95"/>
  <c r="AN62" i="95"/>
  <c r="BD62" i="95"/>
  <c r="L33" i="95"/>
  <c r="T33" i="95"/>
  <c r="AB33" i="95"/>
  <c r="AJ33" i="95"/>
  <c r="AR33" i="95"/>
  <c r="AZ33" i="95"/>
  <c r="BH33" i="95"/>
  <c r="BP33" i="95"/>
  <c r="X36" i="95"/>
  <c r="AN36" i="95"/>
  <c r="BD36" i="95"/>
  <c r="T38" i="95"/>
  <c r="AJ38" i="95"/>
  <c r="AZ38" i="95"/>
  <c r="BL38" i="95"/>
  <c r="P43" i="95"/>
  <c r="AF43" i="95"/>
  <c r="AV43" i="95"/>
  <c r="BL43" i="95"/>
  <c r="P45" i="95"/>
  <c r="AF45" i="95"/>
  <c r="AV45" i="95"/>
  <c r="L46" i="95"/>
  <c r="AB46" i="95"/>
  <c r="BD46" i="95"/>
  <c r="BT46" i="95"/>
  <c r="T49" i="95"/>
  <c r="AJ49" i="95"/>
  <c r="AZ49" i="95"/>
  <c r="P50" i="95"/>
  <c r="AF50" i="95"/>
  <c r="AV50" i="95"/>
  <c r="BL50" i="95"/>
  <c r="P52" i="95"/>
  <c r="AF52" i="95"/>
  <c r="AR52" i="95"/>
  <c r="BH52" i="95"/>
  <c r="AB54" i="95"/>
  <c r="AR54" i="95"/>
  <c r="BH54" i="95"/>
  <c r="X55" i="95"/>
  <c r="AN55" i="95"/>
  <c r="BD55" i="95"/>
  <c r="BT55" i="95"/>
  <c r="AF56" i="95"/>
  <c r="AV56" i="95"/>
  <c r="BL56" i="95"/>
  <c r="AV58" i="95"/>
  <c r="BL58" i="95"/>
  <c r="X60" i="95"/>
  <c r="AN60" i="95"/>
  <c r="BD60" i="95"/>
  <c r="BT60" i="95"/>
  <c r="T61" i="95"/>
  <c r="AJ61" i="95"/>
  <c r="AZ61" i="95"/>
  <c r="BP61" i="95"/>
  <c r="L62" i="95"/>
  <c r="AB62" i="95"/>
  <c r="AR62" i="95"/>
  <c r="BH62" i="95"/>
  <c r="BT35" i="95"/>
  <c r="AB36" i="95"/>
  <c r="AR36" i="95"/>
  <c r="X38" i="95"/>
  <c r="AN38" i="95"/>
  <c r="BD38" i="95"/>
  <c r="BP38" i="95"/>
  <c r="L41" i="95"/>
  <c r="L42" i="95"/>
  <c r="T43" i="95"/>
  <c r="AJ43" i="95"/>
  <c r="AZ43" i="95"/>
  <c r="BP43" i="95"/>
  <c r="T45" i="95"/>
  <c r="AJ45" i="95"/>
  <c r="AZ45" i="95"/>
  <c r="P46" i="95"/>
  <c r="AF46" i="95"/>
  <c r="BH46" i="95"/>
  <c r="X49" i="95"/>
  <c r="AN49" i="95"/>
  <c r="BD49" i="95"/>
  <c r="T50" i="95"/>
  <c r="AJ50" i="95"/>
  <c r="AZ50" i="95"/>
  <c r="BP50" i="95"/>
  <c r="T52" i="95"/>
  <c r="AJ52" i="95"/>
  <c r="AV52" i="95"/>
  <c r="BL52" i="95"/>
  <c r="P54" i="95"/>
  <c r="AF54" i="95"/>
  <c r="AV54" i="95"/>
  <c r="BL54" i="95"/>
  <c r="L55" i="95"/>
  <c r="AB55" i="95"/>
  <c r="AR55" i="95"/>
  <c r="BH55" i="95"/>
  <c r="AJ56" i="95"/>
  <c r="AZ56" i="95"/>
  <c r="BP56" i="95"/>
  <c r="AJ58" i="95"/>
  <c r="AZ58" i="95"/>
  <c r="BP58" i="95"/>
  <c r="AB60" i="95"/>
  <c r="AR60" i="95"/>
  <c r="BH60" i="95"/>
  <c r="X61" i="95"/>
  <c r="AN61" i="95"/>
  <c r="BD61" i="95"/>
  <c r="BT61" i="95"/>
  <c r="P62" i="95"/>
  <c r="AF62" i="95"/>
  <c r="AV62" i="95"/>
  <c r="BL62" i="95"/>
  <c r="AJ47" i="96"/>
  <c r="AJ48" i="96"/>
  <c r="CJ84" i="97"/>
  <c r="AI35" i="96"/>
  <c r="AK45" i="96"/>
  <c r="AL45" i="96" s="1"/>
  <c r="AK46" i="96"/>
  <c r="AL46" i="96" s="1"/>
  <c r="DX84" i="97"/>
  <c r="AJ43" i="96"/>
  <c r="AK42" i="96"/>
  <c r="AL42" i="96" s="1"/>
  <c r="AK48" i="96"/>
  <c r="AL48" i="96" s="1"/>
  <c r="AI41" i="96"/>
  <c r="AF43" i="96"/>
  <c r="AK43" i="96"/>
  <c r="AL43" i="96" s="1"/>
  <c r="AI45" i="96"/>
  <c r="AF47" i="96"/>
  <c r="AK47" i="96"/>
  <c r="AL47" i="96" s="1"/>
  <c r="AJ64" i="96"/>
  <c r="AI42" i="96"/>
  <c r="AJ45" i="96"/>
  <c r="AI46" i="96"/>
  <c r="AF48" i="96"/>
  <c r="AF64" i="96"/>
  <c r="AJ42" i="96"/>
  <c r="AI43" i="96"/>
  <c r="AF45" i="96"/>
  <c r="AJ46" i="96"/>
  <c r="AI47" i="96"/>
  <c r="AF42" i="96"/>
  <c r="AF46" i="96"/>
  <c r="DY33" i="97"/>
  <c r="DY51" i="97"/>
  <c r="DY47" i="97"/>
  <c r="DY50" i="97"/>
  <c r="DY52" i="97"/>
  <c r="DY48" i="97"/>
  <c r="CR84" i="97" l="1"/>
  <c r="CF75" i="95"/>
  <c r="DY35" i="95"/>
  <c r="DY31" i="95"/>
  <c r="DY18" i="95"/>
  <c r="T75" i="95"/>
  <c r="X75" i="95"/>
  <c r="AM52" i="96"/>
  <c r="AH52" i="96"/>
  <c r="AF75" i="95"/>
  <c r="AM59" i="96"/>
  <c r="AH59" i="96"/>
  <c r="AM27" i="96"/>
  <c r="AH27" i="96"/>
  <c r="AH34" i="96"/>
  <c r="AM34" i="96"/>
  <c r="AH23" i="96"/>
  <c r="AM23" i="96"/>
  <c r="AM15" i="96"/>
  <c r="AH15" i="96"/>
  <c r="AM9" i="96"/>
  <c r="AH9" i="96"/>
  <c r="AM6" i="96"/>
  <c r="AH6" i="96"/>
  <c r="AM14" i="96"/>
  <c r="AH14" i="96"/>
  <c r="AR75" i="95"/>
  <c r="AM46" i="96"/>
  <c r="AH46" i="96"/>
  <c r="AM43" i="96"/>
  <c r="AH43" i="96"/>
  <c r="BP75" i="95"/>
  <c r="CN84" i="97"/>
  <c r="BT75" i="95"/>
  <c r="AM54" i="96"/>
  <c r="AH54" i="96"/>
  <c r="AM33" i="96"/>
  <c r="AH33" i="96"/>
  <c r="AM16" i="96"/>
  <c r="AH16" i="96"/>
  <c r="P75" i="95"/>
  <c r="AH68" i="96"/>
  <c r="AM68" i="96"/>
  <c r="AM51" i="96"/>
  <c r="AH51" i="96"/>
  <c r="AM8" i="96"/>
  <c r="AH8" i="96"/>
  <c r="AM36" i="96"/>
  <c r="AH36" i="96"/>
  <c r="AM26" i="96"/>
  <c r="AH26" i="96"/>
  <c r="AM19" i="96"/>
  <c r="AH19" i="96"/>
  <c r="AH17" i="96"/>
  <c r="AM17" i="96"/>
  <c r="AM56" i="96"/>
  <c r="AH56" i="96"/>
  <c r="AM35" i="96"/>
  <c r="AH35" i="96"/>
  <c r="AM18" i="96"/>
  <c r="AH18" i="96"/>
  <c r="AM5" i="96"/>
  <c r="AH5" i="96"/>
  <c r="AB75" i="95"/>
  <c r="AM42" i="96"/>
  <c r="AH42" i="96"/>
  <c r="AM64" i="96"/>
  <c r="AH64" i="96"/>
  <c r="AM47" i="96"/>
  <c r="AH47" i="96"/>
  <c r="AZ75" i="95"/>
  <c r="BD75" i="95"/>
  <c r="AM44" i="96"/>
  <c r="AH44" i="96"/>
  <c r="AH37" i="96"/>
  <c r="AM37" i="96"/>
  <c r="AM20" i="96"/>
  <c r="AH20" i="96"/>
  <c r="AH4" i="96"/>
  <c r="AM4" i="96"/>
  <c r="BL75" i="95"/>
  <c r="AM29" i="96"/>
  <c r="AH29" i="96"/>
  <c r="AM38" i="96"/>
  <c r="AH38" i="96"/>
  <c r="AM31" i="96"/>
  <c r="AH31" i="96"/>
  <c r="AM21" i="96"/>
  <c r="AH21" i="96"/>
  <c r="AM11" i="96"/>
  <c r="AH11" i="96"/>
  <c r="AH3" i="96"/>
  <c r="AM3" i="96"/>
  <c r="AH28" i="96"/>
  <c r="AM28" i="96"/>
  <c r="AM60" i="96"/>
  <c r="AH60" i="96"/>
  <c r="AH49" i="96"/>
  <c r="AM49" i="96"/>
  <c r="AM22" i="96"/>
  <c r="AH22" i="96"/>
  <c r="AM10" i="96"/>
  <c r="AH10" i="96"/>
  <c r="L75" i="95"/>
  <c r="AH45" i="96"/>
  <c r="AM45" i="96"/>
  <c r="AM48" i="96"/>
  <c r="AH48" i="96"/>
  <c r="AJ75" i="95"/>
  <c r="AN75" i="95"/>
  <c r="AH58" i="96"/>
  <c r="AM58" i="96"/>
  <c r="AM40" i="96"/>
  <c r="AH40" i="96"/>
  <c r="AM30" i="96"/>
  <c r="AH30" i="96"/>
  <c r="AH24" i="96"/>
  <c r="AM24" i="96"/>
  <c r="AM12" i="96"/>
  <c r="AH12" i="96"/>
  <c r="AH7" i="96"/>
  <c r="AM7" i="96"/>
  <c r="AV75" i="95"/>
  <c r="AM57" i="96"/>
  <c r="AH57" i="96"/>
  <c r="AM67" i="96"/>
  <c r="AH67" i="96"/>
  <c r="AH53" i="96"/>
  <c r="AM53" i="96"/>
  <c r="AM65" i="96"/>
  <c r="AH65" i="96"/>
  <c r="AH39" i="96"/>
  <c r="AM39" i="96"/>
  <c r="AM32" i="96"/>
  <c r="AH32" i="96"/>
  <c r="AM13" i="96"/>
  <c r="AH13" i="96"/>
  <c r="AH41" i="96"/>
  <c r="AM41" i="96"/>
  <c r="AM55" i="96"/>
  <c r="AH55" i="96"/>
  <c r="AM50" i="96"/>
  <c r="AH50" i="96"/>
  <c r="AM66" i="96"/>
  <c r="AH66" i="96"/>
  <c r="AH25" i="96"/>
  <c r="AM25" i="96"/>
  <c r="BH75" i="95"/>
  <c r="E4" i="97" l="1"/>
  <c r="F4" i="97" s="1"/>
  <c r="H4" i="97" s="1"/>
  <c r="DY4" i="97" s="1"/>
  <c r="E3" i="95"/>
  <c r="F3" i="95" s="1"/>
  <c r="H3" i="95" s="1"/>
  <c r="DY3" i="95" l="1"/>
  <c r="E10" i="97"/>
  <c r="F10" i="97" s="1"/>
  <c r="H10" i="97" s="1"/>
  <c r="DY10" i="97" s="1"/>
  <c r="E6" i="97"/>
  <c r="F6" i="97" s="1"/>
  <c r="H6" i="97" s="1"/>
  <c r="DY6" i="97" s="1"/>
  <c r="E12" i="97"/>
  <c r="F12" i="97" s="1"/>
  <c r="H12" i="97" s="1"/>
  <c r="DY12" i="97" s="1"/>
  <c r="E45" i="97"/>
  <c r="F45" i="97" s="1"/>
  <c r="H45" i="97" s="1"/>
  <c r="DY45" i="97" s="1"/>
  <c r="E55" i="95"/>
  <c r="F55" i="95" s="1"/>
  <c r="H55" i="95" s="1"/>
  <c r="DY55" i="95" s="1"/>
  <c r="E23" i="95"/>
  <c r="F23" i="95" s="1"/>
  <c r="H23" i="95" s="1"/>
  <c r="DY23" i="95" s="1"/>
  <c r="E42" i="95"/>
  <c r="F42" i="95" s="1"/>
  <c r="H42" i="95" s="1"/>
  <c r="DY42" i="95" s="1"/>
  <c r="E20" i="97"/>
  <c r="F20" i="97" s="1"/>
  <c r="H20" i="97" s="1"/>
  <c r="DY20" i="97" s="1"/>
  <c r="E29" i="95"/>
  <c r="F29" i="95" s="1"/>
  <c r="H29" i="95" s="1"/>
  <c r="DY29" i="95" s="1"/>
  <c r="E42" i="97"/>
  <c r="F42" i="97" s="1"/>
  <c r="H42" i="97" s="1"/>
  <c r="DY42" i="97" s="1"/>
  <c r="E38" i="97"/>
  <c r="F38" i="97" s="1"/>
  <c r="H38" i="97" s="1"/>
  <c r="DY38" i="97" s="1"/>
  <c r="E59" i="95"/>
  <c r="F59" i="95" s="1"/>
  <c r="H59" i="95" s="1"/>
  <c r="DY59" i="95" s="1"/>
  <c r="E31" i="95"/>
  <c r="F31" i="95" s="1"/>
  <c r="E30" i="95"/>
  <c r="F30" i="95" s="1"/>
  <c r="H30" i="95" s="1"/>
  <c r="DY30" i="95" s="1"/>
  <c r="E8" i="97"/>
  <c r="F8" i="97" s="1"/>
  <c r="H8" i="97" s="1"/>
  <c r="DY8" i="97" s="1"/>
  <c r="E64" i="97"/>
  <c r="F64" i="97" s="1"/>
  <c r="H64" i="97" s="1"/>
  <c r="DY64" i="97" s="1"/>
  <c r="E55" i="97"/>
  <c r="F55" i="97" s="1"/>
  <c r="H55" i="97" s="1"/>
  <c r="DY55" i="97" s="1"/>
  <c r="E12" i="95"/>
  <c r="F12" i="95" s="1"/>
  <c r="H12" i="95" s="1"/>
  <c r="DY12" i="95" s="1"/>
  <c r="E28" i="97"/>
  <c r="F28" i="97" s="1"/>
  <c r="H28" i="97" s="1"/>
  <c r="DY28" i="97" s="1"/>
  <c r="E47" i="95"/>
  <c r="F47" i="95" s="1"/>
  <c r="H47" i="95" s="1"/>
  <c r="DY47" i="95" s="1"/>
  <c r="E34" i="95"/>
  <c r="F34" i="95" s="1"/>
  <c r="H34" i="95" s="1"/>
  <c r="DY34" i="95" s="1"/>
  <c r="E25" i="95"/>
  <c r="F25" i="95" s="1"/>
  <c r="H25" i="95" s="1"/>
  <c r="DY25" i="95" s="1"/>
  <c r="E28" i="95"/>
  <c r="F28" i="95" s="1"/>
  <c r="H28" i="95" s="1"/>
  <c r="DY28" i="95" s="1"/>
  <c r="E36" i="97"/>
  <c r="F36" i="97" s="1"/>
  <c r="H36" i="97" s="1"/>
  <c r="DY36" i="97" s="1"/>
  <c r="E25" i="97"/>
  <c r="F25" i="97" s="1"/>
  <c r="H25" i="97" s="1"/>
  <c r="DY25" i="97" s="1"/>
  <c r="E24" i="97"/>
  <c r="F24" i="97" s="1"/>
  <c r="H24" i="97" s="1"/>
  <c r="DY24" i="97" s="1"/>
  <c r="E35" i="95"/>
  <c r="F35" i="95" s="1"/>
  <c r="E43" i="97"/>
  <c r="F43" i="97" s="1"/>
  <c r="H43" i="97" s="1"/>
  <c r="DY43" i="97" s="1"/>
  <c r="E49" i="95"/>
  <c r="F49" i="95" s="1"/>
  <c r="H49" i="95" s="1"/>
  <c r="DY49" i="95" s="1"/>
  <c r="E17" i="97"/>
  <c r="F17" i="97" s="1"/>
  <c r="H17" i="97" s="1"/>
  <c r="DY17" i="97" s="1"/>
  <c r="E59" i="97"/>
  <c r="F59" i="97" s="1"/>
  <c r="H59" i="97" s="1"/>
  <c r="DY59" i="97" s="1"/>
  <c r="E36" i="95"/>
  <c r="F36" i="95" s="1"/>
  <c r="H36" i="95" s="1"/>
  <c r="DY36" i="95" s="1"/>
  <c r="E18" i="95"/>
  <c r="F18" i="95" s="1"/>
  <c r="E56" i="97"/>
  <c r="F56" i="97" s="1"/>
  <c r="H56" i="97" s="1"/>
  <c r="DY56" i="97" s="1"/>
  <c r="E57" i="97"/>
  <c r="F57" i="97" s="1"/>
  <c r="H57" i="97" s="1"/>
  <c r="DY57" i="97" s="1"/>
  <c r="E65" i="97"/>
  <c r="F65" i="97" s="1"/>
  <c r="H65" i="97" s="1"/>
  <c r="DY65" i="97" s="1"/>
  <c r="E54" i="95"/>
  <c r="F54" i="95" s="1"/>
  <c r="H54" i="95" s="1"/>
  <c r="DY54" i="95" s="1"/>
  <c r="E23" i="97"/>
  <c r="F23" i="97" s="1"/>
  <c r="H23" i="97" s="1"/>
  <c r="DY23" i="97" s="1"/>
  <c r="E32" i="95"/>
  <c r="F32" i="95" s="1"/>
  <c r="H32" i="95" s="1"/>
  <c r="DY32" i="95" s="1"/>
  <c r="E9" i="95"/>
  <c r="F9" i="95" s="1"/>
  <c r="H9" i="95" s="1"/>
  <c r="DY9" i="95" s="1"/>
  <c r="E16" i="95"/>
  <c r="F16" i="95" s="1"/>
  <c r="H16" i="95" s="1"/>
  <c r="DY16" i="95" s="1"/>
  <c r="E52" i="95"/>
  <c r="F52" i="95" s="1"/>
  <c r="H52" i="95" s="1"/>
  <c r="DY52" i="95" s="1"/>
  <c r="E31" i="97"/>
  <c r="F31" i="97" s="1"/>
  <c r="H31" i="97" s="1"/>
  <c r="DY31" i="97" s="1"/>
  <c r="E26" i="97"/>
  <c r="F26" i="97" s="1"/>
  <c r="H26" i="97" s="1"/>
  <c r="DY26" i="97" s="1"/>
  <c r="E18" i="97"/>
  <c r="F18" i="97" s="1"/>
  <c r="H18" i="97" s="1"/>
  <c r="DY18" i="97" s="1"/>
  <c r="E46" i="97"/>
  <c r="F46" i="97" s="1"/>
  <c r="H46" i="97" s="1"/>
  <c r="DY46" i="97" s="1"/>
  <c r="E8" i="95"/>
  <c r="F8" i="95" s="1"/>
  <c r="H8" i="95" s="1"/>
  <c r="DY8" i="95" s="1"/>
  <c r="E17" i="95"/>
  <c r="F17" i="95" s="1"/>
  <c r="H17" i="95" s="1"/>
  <c r="DY17" i="95" s="1"/>
  <c r="E54" i="97"/>
  <c r="F54" i="97" s="1"/>
  <c r="H54" i="97" s="1"/>
  <c r="DY54" i="97" s="1"/>
  <c r="E49" i="97"/>
  <c r="F49" i="97" s="1"/>
  <c r="H49" i="97" s="1"/>
  <c r="DY49" i="97" s="1"/>
  <c r="E39" i="97"/>
  <c r="F39" i="97" s="1"/>
  <c r="H39" i="97" s="1"/>
  <c r="DY39" i="97" s="1"/>
  <c r="E56" i="95"/>
  <c r="F56" i="95" s="1"/>
  <c r="H56" i="95" s="1"/>
  <c r="DY56" i="95" s="1"/>
  <c r="E30" i="97"/>
  <c r="F30" i="97" s="1"/>
  <c r="H30" i="97" s="1"/>
  <c r="DY30" i="97" s="1"/>
  <c r="E40" i="97"/>
  <c r="F40" i="97" s="1"/>
  <c r="H40" i="97" s="1"/>
  <c r="DY40" i="97" s="1"/>
  <c r="E14" i="97"/>
  <c r="F14" i="97" s="1"/>
  <c r="H14" i="97" s="1"/>
  <c r="DY14" i="97" s="1"/>
  <c r="E15" i="97"/>
  <c r="F15" i="97" s="1"/>
  <c r="H15" i="97" s="1"/>
  <c r="DY15" i="97" s="1"/>
  <c r="E3" i="97"/>
  <c r="F3" i="97" s="1"/>
  <c r="H3" i="97" s="1"/>
  <c r="DY3" i="97" s="1"/>
  <c r="E34" i="97"/>
  <c r="F34" i="97" s="1"/>
  <c r="H34" i="97" s="1"/>
  <c r="DY34" i="97" s="1"/>
  <c r="E61" i="95"/>
  <c r="F61" i="95" s="1"/>
  <c r="H61" i="95" s="1"/>
  <c r="DY61" i="95" s="1"/>
  <c r="E41" i="95"/>
  <c r="F41" i="95" s="1"/>
  <c r="H41" i="95" s="1"/>
  <c r="DY41" i="95" s="1"/>
  <c r="E29" i="97"/>
  <c r="F29" i="97" s="1"/>
  <c r="H29" i="97" s="1"/>
  <c r="DY29" i="97" s="1"/>
  <c r="E5" i="95"/>
  <c r="F5" i="95" s="1"/>
  <c r="H5" i="95" s="1"/>
  <c r="DY5" i="95" s="1"/>
  <c r="E63" i="97"/>
  <c r="F63" i="97" s="1"/>
  <c r="H63" i="97" s="1"/>
  <c r="DY63" i="97" s="1"/>
  <c r="E48" i="95"/>
  <c r="F48" i="95" s="1"/>
  <c r="H48" i="95" s="1"/>
  <c r="DY48" i="95" s="1"/>
  <c r="E7" i="97"/>
  <c r="F7" i="97" s="1"/>
  <c r="H7" i="97" s="1"/>
  <c r="E44" i="95"/>
  <c r="F44" i="95" s="1"/>
  <c r="H44" i="95" s="1"/>
  <c r="DY44" i="95" s="1"/>
  <c r="E72" i="97"/>
  <c r="E53" i="95"/>
  <c r="F53" i="95" s="1"/>
  <c r="H53" i="95" s="1"/>
  <c r="DY53" i="95" s="1"/>
  <c r="E13" i="97"/>
  <c r="F13" i="97" s="1"/>
  <c r="H13" i="97" s="1"/>
  <c r="DY13" i="97" s="1"/>
  <c r="E50" i="95"/>
  <c r="F50" i="95" s="1"/>
  <c r="H50" i="95" s="1"/>
  <c r="DY50" i="95" s="1"/>
  <c r="E13" i="95"/>
  <c r="F13" i="95" s="1"/>
  <c r="H13" i="95" s="1"/>
  <c r="DY13" i="95" s="1"/>
  <c r="E37" i="97"/>
  <c r="F37" i="97" s="1"/>
  <c r="H37" i="97" s="1"/>
  <c r="DY37" i="97" s="1"/>
  <c r="E53" i="97"/>
  <c r="F53" i="97" s="1"/>
  <c r="H53" i="97" s="1"/>
  <c r="DY53" i="97" s="1"/>
  <c r="E57" i="95"/>
  <c r="F57" i="95" s="1"/>
  <c r="H57" i="95" s="1"/>
  <c r="DY57" i="95" s="1"/>
  <c r="E15" i="95"/>
  <c r="F15" i="95" s="1"/>
  <c r="H15" i="95" s="1"/>
  <c r="DY15" i="95" s="1"/>
  <c r="E6" i="95"/>
  <c r="F6" i="95" s="1"/>
  <c r="H6" i="95" s="1"/>
  <c r="DY6" i="95" s="1"/>
  <c r="E22" i="97"/>
  <c r="F22" i="97" s="1"/>
  <c r="H22" i="97" s="1"/>
  <c r="DY22" i="97" s="1"/>
  <c r="E58" i="97"/>
  <c r="F58" i="97" s="1"/>
  <c r="H58" i="97" s="1"/>
  <c r="DY58" i="97" s="1"/>
  <c r="E62" i="95"/>
  <c r="F62" i="95" s="1"/>
  <c r="H62" i="95" s="1"/>
  <c r="DY62" i="95" s="1"/>
  <c r="E5" i="97"/>
  <c r="F5" i="97" s="1"/>
  <c r="H5" i="97" s="1"/>
  <c r="DY5" i="97" s="1"/>
  <c r="E19" i="95"/>
  <c r="F19" i="95" s="1"/>
  <c r="H19" i="95" s="1"/>
  <c r="DY19" i="95" s="1"/>
  <c r="E45" i="95"/>
  <c r="F45" i="95" s="1"/>
  <c r="H45" i="95" s="1"/>
  <c r="DY45" i="95" s="1"/>
  <c r="E62" i="97"/>
  <c r="F62" i="97" s="1"/>
  <c r="H62" i="97" s="1"/>
  <c r="DY62" i="97" s="1"/>
  <c r="E61" i="97"/>
  <c r="E43" i="95"/>
  <c r="F43" i="95" s="1"/>
  <c r="H43" i="95" s="1"/>
  <c r="DY43" i="95" s="1"/>
  <c r="E60" i="95"/>
  <c r="F60" i="95" s="1"/>
  <c r="H60" i="95" s="1"/>
  <c r="DY60" i="95" s="1"/>
  <c r="E70" i="97"/>
  <c r="E40" i="95"/>
  <c r="F40" i="95" s="1"/>
  <c r="H40" i="95" s="1"/>
  <c r="DY40" i="95" s="1"/>
  <c r="E68" i="97"/>
  <c r="E38" i="95"/>
  <c r="F38" i="95" s="1"/>
  <c r="H38" i="95" s="1"/>
  <c r="DY38" i="95" s="1"/>
  <c r="E24" i="95"/>
  <c r="F24" i="95" s="1"/>
  <c r="H24" i="95" s="1"/>
  <c r="DY24" i="95" s="1"/>
  <c r="E39" i="95"/>
  <c r="F39" i="95" s="1"/>
  <c r="H39" i="95" s="1"/>
  <c r="DY39" i="95" s="1"/>
  <c r="E21" i="95"/>
  <c r="F21" i="95" s="1"/>
  <c r="H21" i="95" s="1"/>
  <c r="DY21" i="95" s="1"/>
  <c r="E26" i="95"/>
  <c r="F26" i="95" s="1"/>
  <c r="H26" i="95" s="1"/>
  <c r="DY26" i="95" s="1"/>
  <c r="E4" i="95"/>
  <c r="F4" i="95" s="1"/>
  <c r="H4" i="95" s="1"/>
  <c r="E58" i="95"/>
  <c r="F58" i="95" s="1"/>
  <c r="H58" i="95" s="1"/>
  <c r="DY58" i="95" s="1"/>
  <c r="E11" i="95"/>
  <c r="F11" i="95" s="1"/>
  <c r="H11" i="95" s="1"/>
  <c r="DY11" i="95" s="1"/>
  <c r="E27" i="95"/>
  <c r="F27" i="95" s="1"/>
  <c r="H27" i="95" s="1"/>
  <c r="DY27" i="95" s="1"/>
  <c r="E35" i="97"/>
  <c r="F35" i="97" s="1"/>
  <c r="H35" i="97" s="1"/>
  <c r="DY35" i="97" s="1"/>
  <c r="E14" i="95"/>
  <c r="F14" i="95" s="1"/>
  <c r="H14" i="95" s="1"/>
  <c r="DY14" i="95" s="1"/>
  <c r="E60" i="97"/>
  <c r="E11" i="97"/>
  <c r="F11" i="97" s="1"/>
  <c r="H11" i="97" s="1"/>
  <c r="DY11" i="97" s="1"/>
  <c r="E20" i="95"/>
  <c r="F20" i="95" s="1"/>
  <c r="H20" i="95" s="1"/>
  <c r="DY20" i="95" s="1"/>
  <c r="E27" i="97"/>
  <c r="E32" i="97"/>
  <c r="F32" i="97" s="1"/>
  <c r="H32" i="97" s="1"/>
  <c r="DY32" i="97" s="1"/>
  <c r="E66" i="97"/>
  <c r="E7" i="95"/>
  <c r="F7" i="95" s="1"/>
  <c r="H7" i="95" s="1"/>
  <c r="DY7" i="95" s="1"/>
  <c r="E10" i="95"/>
  <c r="F10" i="95" s="1"/>
  <c r="G10" i="95" s="1"/>
  <c r="H10" i="95" s="1"/>
  <c r="DY10" i="95" s="1"/>
  <c r="E44" i="97"/>
  <c r="F44" i="97" s="1"/>
  <c r="H44" i="97" s="1"/>
  <c r="DY44" i="97" s="1"/>
  <c r="E37" i="95"/>
  <c r="F37" i="95" s="1"/>
  <c r="H37" i="95" s="1"/>
  <c r="DY37" i="95" s="1"/>
  <c r="E33" i="95"/>
  <c r="F33" i="95" s="1"/>
  <c r="H33" i="95" s="1"/>
  <c r="DY33" i="95" s="1"/>
  <c r="E67" i="97"/>
  <c r="E51" i="95"/>
  <c r="F51" i="95" s="1"/>
  <c r="H51" i="95" s="1"/>
  <c r="DY51" i="95" s="1"/>
  <c r="E46" i="95"/>
  <c r="F46" i="95" s="1"/>
  <c r="H46" i="95" s="1"/>
  <c r="DY46" i="95" s="1"/>
  <c r="E41" i="97"/>
  <c r="F41" i="97" s="1"/>
  <c r="H41" i="97" s="1"/>
  <c r="DY41" i="97" s="1"/>
  <c r="E21" i="97"/>
  <c r="F21" i="97" s="1"/>
  <c r="H21" i="97" s="1"/>
  <c r="DY21" i="97" s="1"/>
  <c r="E22" i="95"/>
  <c r="F22" i="95" s="1"/>
  <c r="H22" i="95" s="1"/>
  <c r="DY22" i="95" s="1"/>
  <c r="E69" i="97"/>
  <c r="DY4" i="95" l="1"/>
  <c r="DY75" i="95" s="1"/>
  <c r="H75" i="95"/>
  <c r="H84" i="97"/>
  <c r="DY84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STEFANO HERRERA JARAMILLO</author>
  </authors>
  <commentList>
    <comment ref="N25" authorId="0" shapeId="0" xr:uid="{7E71FCC2-13AE-45F3-99B7-84989052DBC8}">
      <text>
        <r>
          <rPr>
            <b/>
            <sz val="9"/>
            <color indexed="81"/>
            <rFont val="Tahoma"/>
            <family val="2"/>
          </rPr>
          <t>40 min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STEFANO HERRERA JARAMILLO</author>
  </authors>
  <commentList>
    <comment ref="O11" authorId="0" shapeId="0" xr:uid="{BD96926B-E86F-4CA1-AC13-208A6834C53A}">
      <text>
        <r>
          <rPr>
            <b/>
            <sz val="9"/>
            <color indexed="81"/>
            <rFont val="Tahoma"/>
            <charset val="1"/>
          </rPr>
          <t>MARCACION</t>
        </r>
      </text>
    </comment>
    <comment ref="P19" authorId="0" shapeId="0" xr:uid="{05680CF1-EBA9-434F-98F4-B22C05D01BCA}">
      <text>
        <r>
          <rPr>
            <b/>
            <sz val="9"/>
            <color indexed="81"/>
            <rFont val="Tahoma"/>
            <charset val="1"/>
          </rPr>
          <t>POTENCIALES</t>
        </r>
      </text>
    </comment>
    <comment ref="P30" authorId="0" shapeId="0" xr:uid="{D8879569-0575-4544-8385-10A80D861900}">
      <text>
        <r>
          <rPr>
            <b/>
            <sz val="9"/>
            <color indexed="81"/>
            <rFont val="Tahoma"/>
            <charset val="1"/>
          </rPr>
          <t>POTENCIALES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STEFANO HERRERA JARAMILLO</author>
  </authors>
  <commentList>
    <comment ref="AA19" authorId="0" shapeId="0" xr:uid="{C3657C52-3C92-48BA-9067-6B45D67AD677}">
      <text>
        <r>
          <rPr>
            <b/>
            <sz val="9"/>
            <color indexed="81"/>
            <rFont val="Tahoma"/>
            <charset val="1"/>
          </rPr>
          <t>NTGWULLC</t>
        </r>
      </text>
    </comment>
    <comment ref="Z30" authorId="0" shapeId="0" xr:uid="{579E99A7-3965-4744-ACC9-3AE987F184BC}">
      <text>
        <r>
          <rPr>
            <b/>
            <sz val="9"/>
            <color indexed="81"/>
            <rFont val="Tahoma"/>
            <charset val="1"/>
          </rPr>
          <t>NTGMPALR</t>
        </r>
      </text>
    </comment>
    <comment ref="Z43" authorId="0" shapeId="0" xr:uid="{1293576D-81C4-4988-ADF3-923FD112B047}">
      <text>
        <r>
          <rPr>
            <b/>
            <sz val="9"/>
            <color indexed="81"/>
            <rFont val="Tahoma"/>
            <charset val="1"/>
          </rPr>
          <t>NTGEMOR1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STEFANO HERRERA JARAMILLO</author>
  </authors>
  <commentList>
    <comment ref="AB58" authorId="0" shapeId="0" xr:uid="{665FB29B-7527-44FD-BECE-04EF193104A4}">
      <text>
        <r>
          <rPr>
            <sz val="9"/>
            <color indexed="81"/>
            <rFont val="Tahoma"/>
            <charset val="1"/>
          </rPr>
          <t xml:space="preserve">NTGMZUNO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STEFANO HERRERA JARAMILLO</author>
  </authors>
  <commentList>
    <comment ref="AA30" authorId="0" shapeId="0" xr:uid="{AA35369A-E7B1-41B3-89D2-9CF7ECD1EA20}">
      <text>
        <r>
          <rPr>
            <b/>
            <sz val="9"/>
            <color indexed="81"/>
            <rFont val="Tahoma"/>
            <charset val="1"/>
          </rPr>
          <t>NTGMPALR</t>
        </r>
      </text>
    </comment>
    <comment ref="V39" authorId="0" shapeId="0" xr:uid="{89C325AA-34B2-4444-9832-068FA523D1BD}">
      <text>
        <r>
          <rPr>
            <sz val="9"/>
            <color indexed="81"/>
            <rFont val="Tahoma"/>
            <charset val="1"/>
          </rPr>
          <t xml:space="preserve">NTGKNARM
</t>
        </r>
      </text>
    </comment>
    <comment ref="O49" authorId="0" shapeId="0" xr:uid="{F862FDAC-C1C9-4960-9209-3122CB180866}">
      <text>
        <r>
          <rPr>
            <b/>
            <sz val="9"/>
            <color indexed="81"/>
            <rFont val="Tahoma"/>
            <charset val="1"/>
          </rPr>
          <t>NTGMCHUA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STEFANO HERRERA JARAMILLO</author>
  </authors>
  <commentList>
    <comment ref="M19" authorId="0" shapeId="0" xr:uid="{C81C10EF-68B3-4036-884E-56AF0CE67920}">
      <text>
        <r>
          <rPr>
            <sz val="9"/>
            <color indexed="81"/>
            <rFont val="Tahoma"/>
            <charset val="1"/>
          </rPr>
          <t xml:space="preserve">NTGMCAIA
</t>
        </r>
      </text>
    </comment>
    <comment ref="P19" authorId="0" shapeId="0" xr:uid="{FE411F57-0746-4BF3-9E3D-BF613F94B537}">
      <text>
        <r>
          <rPr>
            <b/>
            <sz val="9"/>
            <color indexed="81"/>
            <rFont val="Tahoma"/>
            <charset val="1"/>
          </rPr>
          <t>POTENCIALES</t>
        </r>
      </text>
    </comment>
    <comment ref="P30" authorId="0" shapeId="0" xr:uid="{5D02C311-9E7C-40E5-9305-13ACFD1E51DA}">
      <text>
        <r>
          <rPr>
            <b/>
            <sz val="9"/>
            <color indexed="81"/>
            <rFont val="Tahoma"/>
            <charset val="1"/>
          </rPr>
          <t>POTENCIALES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43" authorId="0" shapeId="0" xr:uid="{8BD35DAD-B379-4874-AA90-4BACEF7E0FA3}">
      <text>
        <r>
          <rPr>
            <b/>
            <sz val="9"/>
            <color indexed="81"/>
            <rFont val="Tahoma"/>
            <charset val="1"/>
          </rPr>
          <t>NTGASAMU</t>
        </r>
      </text>
    </comment>
    <comment ref="O47" authorId="0" shapeId="0" xr:uid="{9CE01BEB-CDE9-458E-9090-0362F88770D4}">
      <text>
        <r>
          <rPr>
            <sz val="9"/>
            <color indexed="81"/>
            <rFont val="Tahoma"/>
            <charset val="1"/>
          </rPr>
          <t xml:space="preserve">NTGWENRJ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STEFANO HERRERA JARAMILLO</author>
  </authors>
  <commentList>
    <comment ref="P19" authorId="0" shapeId="0" xr:uid="{8930A64A-5E83-4E92-BD07-DB2D0F61DCB5}">
      <text>
        <r>
          <rPr>
            <b/>
            <sz val="9"/>
            <color indexed="81"/>
            <rFont val="Tahoma"/>
            <charset val="1"/>
          </rPr>
          <t>POTENCIALES</t>
        </r>
      </text>
    </comment>
    <comment ref="P30" authorId="0" shapeId="0" xr:uid="{5101323C-4018-43E6-9814-0E9C4DB55301}">
      <text>
        <r>
          <rPr>
            <b/>
            <sz val="9"/>
            <color indexed="81"/>
            <rFont val="Tahoma"/>
            <charset val="1"/>
          </rPr>
          <t>POTENCIALES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38" authorId="0" shapeId="0" xr:uid="{BC831576-9332-43DA-A714-49E315147AE1}">
      <text>
        <r>
          <rPr>
            <b/>
            <sz val="9"/>
            <color indexed="81"/>
            <rFont val="Tahoma"/>
            <charset val="1"/>
          </rPr>
          <t>POTENCIALES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43" authorId="0" shapeId="0" xr:uid="{620FD536-5299-4C25-B18B-7287E62C3652}">
      <text>
        <r>
          <rPr>
            <b/>
            <sz val="9"/>
            <color indexed="81"/>
            <rFont val="Tahoma"/>
            <charset val="1"/>
          </rPr>
          <t>NTGASAMU</t>
        </r>
      </text>
    </comment>
    <comment ref="O47" authorId="0" shapeId="0" xr:uid="{3CE93487-5070-4E9D-BF43-E30F62FCA8A4}">
      <text>
        <r>
          <rPr>
            <sz val="9"/>
            <color indexed="81"/>
            <rFont val="Tahoma"/>
            <charset val="1"/>
          </rPr>
          <t xml:space="preserve">NTGWENRJ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tc={a9b2265a-efa8-4ad9-8da6-f20686307afe}</author>
    <author>tc={9c1c0c03-3732-4bd0-9d62-a7c78916b272}</author>
    <author>CARLOS STEFANO HERRERA JARAMILLO</author>
    <author>tc={0dbeba10-a2ef-44e6-b838-124340fe631e}</author>
    <author>tc={34289b9c-2171-4e55-a522-8c7870cc2438}</author>
    <author>tc={57f425d1-b81c-457b-b22f-ced2eb03353f}</author>
    <author>tc={8e035719-4927-4789-9306-61f985bb25fc}</author>
    <author>tc={23d2049e-bd0f-4126-86cd-54f95fd68091}</author>
    <author>tc={46055ee5-02ac-425b-82e5-8bdce40d397b}</author>
    <author>tc={76a471c8-7df2-4499-964b-fb779e3052e5}</author>
    <author>tc={4af28d93-a54f-494b-891e-3be8cad12e37}</author>
    <author>tc={d1fa41f3-f5e5-478f-918b-983e3e24a4c1}</author>
    <author>tc={29f934a1-fdbc-4dfc-918d-763b6bb68aaa}</author>
    <author>tc={2b841044-c54f-41d3-90b0-56e98b49f70b}</author>
    <author>tc={96727976-1a27-4036-84ae-4b7871c635e0}</author>
    <author>tc={df44788a-9125-451a-b755-b13de8f72d4e}</author>
    <author>tc={551053bb-2407-4265-866d-655a1d52cd10}</author>
    <author>tc={17f004e9-7c56-4388-86aa-31289d7e854f}</author>
    <author>tc={4d104a14-8241-437d-8563-7738d335b9b2}</author>
    <author>tc={9824047e-4687-44cb-b7b0-863297c80a26}</author>
    <author>tc={ea6cd460-f042-4c6a-bece-0be7793bea60}</author>
    <author>tc={cb530c7b-7ec7-46f9-841a-ffd7043e2055}</author>
    <author>tc={83ee3b1e-f3f4-4ab3-9a88-f726706e6ea5}</author>
    <author>tc={85a63be5-4cb3-46a0-b048-b1fecfca6d35}</author>
    <author>tc={fb31200b-a862-48d2-8627-15197c6ce935}</author>
    <author>tc={b8fca848-af5f-4151-bcb2-850cac3ab2f9}</author>
    <author>tc={59fc6a98-4e1c-4e4f-8ba6-b3856e61ec9e}</author>
  </authors>
  <commentList>
    <comment ref="BL5" authorId="0" shapeId="0" xr:uid="{A9B2265A-EFA8-4AD9-8DA6-F20686307A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BT7" authorId="1" shapeId="0" xr:uid="{9C1C0C03-3732-4BD0-9D62-A7C78916B2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AR8" authorId="2" shapeId="0" xr:uid="{154A66BD-2FE6-4F8A-9844-E9C64E57BD4F}">
      <text>
        <r>
          <rPr>
            <b/>
            <sz val="9"/>
            <color indexed="81"/>
            <rFont val="Tahoma"/>
            <charset val="1"/>
          </rPr>
          <t>SE JUSTIFICA PARA CUBRIR ADHERENCIA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T10" authorId="3" shapeId="0" xr:uid="{0DBEBA10-A2EF-44E6-B838-124340FE63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BH11" authorId="4" shapeId="0" xr:uid="{34289B9C-2171-4E55-A522-8C7870CC24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L12" authorId="5" shapeId="0" xr:uid="{57F425D1-B81C-457B-B22F-CED2EB0335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AUT SUP UIO B.A.</t>
      </text>
    </comment>
    <comment ref="T12" authorId="6" shapeId="0" xr:uid="{8E035719-4927-4789-9306-61F985BB25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uso de usuario por PAME J</t>
      </text>
    </comment>
    <comment ref="BL12" authorId="7" shapeId="0" xr:uid="{23D2049E-BD0F-4126-86CD-54F95FD680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AF13" authorId="2" shapeId="0" xr:uid="{40BA2FC4-E4FD-4CE5-802A-83328ED170FA}">
      <text>
        <r>
          <rPr>
            <b/>
            <sz val="9"/>
            <color indexed="81"/>
            <rFont val="Tahoma"/>
            <family val="2"/>
          </rPr>
          <t>se justifica por utilizar usuario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13" authorId="2" shapeId="0" xr:uid="{89B25EB4-8BFF-46E7-AB41-87B2145B696D}">
      <text>
        <r>
          <rPr>
            <b/>
            <sz val="9"/>
            <color indexed="81"/>
            <rFont val="Tahoma"/>
            <family val="2"/>
          </rPr>
          <t>se justifica por cambio de usuario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8" authorId="8" shapeId="0" xr:uid="{46055EE5-02AC-425B-82E5-8BDCE40D39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POR AUT SUP UIO B.A.</t>
      </text>
    </comment>
    <comment ref="AZ19" authorId="2" shapeId="0" xr:uid="{AD0B59AA-B532-44D8-A75B-86D17A504264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AUT POR SUP UIO B.A.</t>
        </r>
      </text>
    </comment>
    <comment ref="P29" authorId="2" shapeId="0" xr:uid="{A365BACA-DC5C-4155-B341-3C454688BC1D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POR AUT SUP UIO B.A.</t>
        </r>
      </text>
    </comment>
    <comment ref="AF29" authorId="2" shapeId="0" xr:uid="{187F3F1E-3D7A-437C-B59E-51561CD9903A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POR AUT SUP UIO B.A.</t>
        </r>
      </text>
    </comment>
    <comment ref="BX29" authorId="2" shapeId="0" xr:uid="{5DED9303-6D08-409C-9C33-B52D7B8ECC51}">
      <text>
        <r>
          <rPr>
            <b/>
            <sz val="9"/>
            <color indexed="81"/>
            <rFont val="Tahoma"/>
            <family val="2"/>
          </rPr>
          <t>SE JUSTIFICA EXCESO DE BK POR AUT SUP UIO B.A.</t>
        </r>
      </text>
    </comment>
    <comment ref="CF29" authorId="2" shapeId="0" xr:uid="{CFC37053-ABCC-4EF2-8BC5-E4B31146AA69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POR AUTR SUP UIO B.A.</t>
        </r>
      </text>
    </comment>
    <comment ref="H31" authorId="9" shapeId="0" xr:uid="{76A471C8-7DF2-4499-964B-FB779E3052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POR AUT SUP UIO B.A.</t>
      </text>
    </comment>
    <comment ref="BL32" authorId="10" shapeId="0" xr:uid="{4AF28D93-A54F-494B-891E-3BE8CAD12E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AF34" authorId="2" shapeId="0" xr:uid="{41013612-81D6-4C42-B53C-066AA874DBA5}">
      <text>
        <r>
          <rPr>
            <sz val="9"/>
            <color indexed="81"/>
            <rFont val="Tahoma"/>
            <family val="2"/>
          </rPr>
          <t xml:space="preserve">Se justifica Stefy
</t>
        </r>
      </text>
    </comment>
    <comment ref="H35" authorId="11" shapeId="0" xr:uid="{D1FA41F3-F5E5-478F-918B-983E3E24A4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POR AUT SUP UIO B.A.</t>
      </text>
    </comment>
    <comment ref="BL35" authorId="12" shapeId="0" xr:uid="{29F934A1-FDBC-4DFC-918D-763B6BB68A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BH36" authorId="13" shapeId="0" xr:uid="{2B841044-C54F-41D3-90B0-56E98B49F7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BT36" authorId="14" shapeId="0" xr:uid="{96727976-1A27-4036-84AE-4B7871C635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BT39" authorId="15" shapeId="0" xr:uid="{DF44788A-9125-451A-B755-B13DE8F72D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T41" authorId="16" shapeId="0" xr:uid="{551053BB-2407-4265-866D-655A1D52CD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POR AUT SUP UIO B.A.</t>
      </text>
    </comment>
    <comment ref="DD43" authorId="17" shapeId="0" xr:uid="{17F004E9-7C56-4388-86AA-31289D7E85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AUT SUP UIO B.A.</t>
      </text>
    </comment>
    <comment ref="DH43" authorId="18" shapeId="0" xr:uid="{4D104A14-8241-437D-8563-7738D335B9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AUT SUP UIO B.A.</t>
      </text>
    </comment>
    <comment ref="BL45" authorId="19" shapeId="0" xr:uid="{9824047E-4687-44CB-B7B0-863297C80A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BT47" authorId="20" shapeId="0" xr:uid="{EA6CD460-F042-4C6A-BECE-0BE7793BEA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BP49" authorId="21" shapeId="0" xr:uid="{CB530C7B-7EC7-46F9-841A-FFD7043E20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CF49" authorId="2" shapeId="0" xr:uid="{E5495F60-8E74-49E3-B6E6-BA3A30B5304C}">
      <text>
        <r>
          <rPr>
            <b/>
            <sz val="9"/>
            <color indexed="81"/>
            <rFont val="Tahoma"/>
            <family val="2"/>
          </rPr>
          <t>se justifica por cubrir adherencia</t>
        </r>
      </text>
    </comment>
    <comment ref="AF52" authorId="2" shapeId="0" xr:uid="{2AC1E78F-D259-42A1-B772-F6DFBB324C3A}">
      <text>
        <r>
          <rPr>
            <b/>
            <sz val="9"/>
            <color indexed="81"/>
            <rFont val="Tahoma"/>
            <family val="2"/>
          </rPr>
          <t>se justifica para cubrir adherencia</t>
        </r>
      </text>
    </comment>
    <comment ref="AR52" authorId="2" shapeId="0" xr:uid="{74B4606C-21D3-4D23-A84F-54D42EADB6E1}">
      <text>
        <r>
          <rPr>
            <b/>
            <sz val="9"/>
            <color indexed="81"/>
            <rFont val="Tahoma"/>
            <family val="2"/>
          </rPr>
          <t>se justifica para cubrir adherencia</t>
        </r>
      </text>
    </comment>
    <comment ref="BL52" authorId="2" shapeId="0" xr:uid="{85D66C16-C860-41C7-A987-900910808DCF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POR AUT SUP UIO B.A.</t>
        </r>
      </text>
    </comment>
    <comment ref="BP54" authorId="22" shapeId="0" xr:uid="{83EE3B1E-F3F4-4AB3-9A88-F726706E6E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T56" authorId="23" shapeId="0" xr:uid="{85A63BE5-4CB3-46A0-B048-B1FECFCA6D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POR CAPACITACION DE STI</t>
      </text>
    </comment>
    <comment ref="P57" authorId="2" shapeId="0" xr:uid="{7953C9FE-658C-4ACD-B905-DEF3C2652C19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AUT POR SUP UIO B.A.</t>
        </r>
      </text>
    </comment>
    <comment ref="AR57" authorId="2" shapeId="0" xr:uid="{EDBBCE51-DE4D-4BB6-AA5C-FE79EC92DDF3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AUT POR SUP UIO B.A.</t>
        </r>
      </text>
    </comment>
    <comment ref="AV57" authorId="2" shapeId="0" xr:uid="{55885C1C-D6F7-4A43-9B1C-59EEA5F05A0E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AUT POR SUP UIO B.A.</t>
        </r>
      </text>
    </comment>
    <comment ref="AZ57" authorId="2" shapeId="0" xr:uid="{86FFA99D-B372-4663-930D-5F13DA225966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AUT POR SUP UIO B.A.</t>
        </r>
      </text>
    </comment>
    <comment ref="BD57" authorId="2" shapeId="0" xr:uid="{F38DF567-6D53-4BE6-BA34-A3A729DD57D2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AUT POR SUP UIO B.A.</t>
        </r>
      </text>
    </comment>
    <comment ref="L58" authorId="24" shapeId="0" xr:uid="{FB31200B-A862-48D2-8627-15197C6CE9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POR AUT SUP UIO B.A.</t>
      </text>
    </comment>
    <comment ref="T58" authorId="25" shapeId="0" xr:uid="{B8FCA848-AF5F-4151-BCB2-850CAC3AB2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EXCESO DE BK POR AUT SUP UIO B.A.</t>
      </text>
    </comment>
    <comment ref="BP58" authorId="2" shapeId="0" xr:uid="{0A1CC172-A6A8-48E0-864E-6182C37A4CC0}">
      <text>
        <r>
          <rPr>
            <sz val="9"/>
            <color indexed="81"/>
            <rFont val="Tahoma"/>
            <family val="2"/>
          </rPr>
          <t xml:space="preserve">SE JUSTIFICA PARA CUBRIR
</t>
        </r>
      </text>
    </comment>
    <comment ref="BP59" authorId="26" shapeId="0" xr:uid="{59FC6A98-4E1C-4E4F-8BA6-B3856E61EC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JUSTIFICA POR FI AUT SUP UIO B.A.</t>
      </text>
    </comment>
    <comment ref="BX59" authorId="2" shapeId="0" xr:uid="{A4A0CCE8-F8EF-4A88-BC27-8C80EFA1D523}">
      <text>
        <r>
          <rPr>
            <b/>
            <sz val="9"/>
            <color indexed="81"/>
            <rFont val="Tahoma"/>
            <family val="2"/>
          </rPr>
          <t>CARLOS STEFANO HERRERA JARAMILLO:</t>
        </r>
        <r>
          <rPr>
            <sz val="9"/>
            <color indexed="81"/>
            <rFont val="Tahoma"/>
            <family val="2"/>
          </rPr>
          <t xml:space="preserve">
SE JUSTIFICA EXCESO DE BK AUT POR SUP UIO B.A.</t>
        </r>
      </text>
    </comment>
  </commentList>
</comments>
</file>

<file path=xl/sharedStrings.xml><?xml version="1.0" encoding="utf-8"?>
<sst xmlns="http://schemas.openxmlformats.org/spreadsheetml/2006/main" count="24456" uniqueCount="944">
  <si>
    <t>Nomenclatura</t>
  </si>
  <si>
    <t>ATRASO</t>
  </si>
  <si>
    <t>REPOSO</t>
  </si>
  <si>
    <t xml:space="preserve">FALTA </t>
  </si>
  <si>
    <t>PAGO POR SOPORTE O ADICIONAL</t>
  </si>
  <si>
    <t>LUNES</t>
  </si>
  <si>
    <t>VACACIONES</t>
  </si>
  <si>
    <t>CAPACITACIÓN</t>
  </si>
  <si>
    <t>DIMENSIONAMIENTO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</si>
  <si>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</si>
  <si>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</si>
  <si>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</si>
  <si>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</si>
  <si>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</si>
  <si>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</si>
  <si>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</si>
  <si>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</si>
  <si>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</si>
  <si>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</si>
  <si>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</si>
  <si>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</si>
  <si>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</si>
  <si>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</si>
  <si>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</si>
  <si>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</si>
  <si>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</si>
  <si>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</si>
  <si>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</si>
  <si>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</si>
  <si>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</si>
  <si>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</si>
  <si>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</si>
  <si>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</si>
  <si>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GESTIÓN</t>
  </si>
  <si>
    <t>USUARIO</t>
  </si>
  <si>
    <t>CONTACTO</t>
  </si>
  <si>
    <t>N°</t>
  </si>
  <si>
    <t>ASESORES</t>
  </si>
  <si>
    <t>HT</t>
  </si>
  <si>
    <t>HORARIO ASISTENCIA</t>
  </si>
  <si>
    <t>FECHA</t>
  </si>
  <si>
    <t>UNIFICADA</t>
  </si>
  <si>
    <t>NTGLQUIS</t>
  </si>
  <si>
    <t>QUISHPE SIERRA JOSE LUIS</t>
  </si>
  <si>
    <t>18:00 A 22:00</t>
  </si>
  <si>
    <t>NTGBACUC</t>
  </si>
  <si>
    <t>ACUÑA CAISAGUANO BYRON DANILO</t>
  </si>
  <si>
    <t>C</t>
  </si>
  <si>
    <t>09:00 A 23:00</t>
  </si>
  <si>
    <t>NTGAALED</t>
  </si>
  <si>
    <t>ALENCASTRO DELGADO ANGELO JOSUE</t>
  </si>
  <si>
    <t>06:00 A 13:00 - 14:00 A 18:00</t>
  </si>
  <si>
    <t>NTGBALED</t>
  </si>
  <si>
    <t>ALENCASTRO DELGADO BRIGITTE SCARLET</t>
  </si>
  <si>
    <t>00:00 A 06:00 - 17:00 A 00:00</t>
  </si>
  <si>
    <t>NTGBALEE</t>
  </si>
  <si>
    <t>ALENCASTRO DELGADO BRITANY SAMANTA</t>
  </si>
  <si>
    <t>NTGOAQUO</t>
  </si>
  <si>
    <t>AQUINO ORELLANA OTILDA FRANCISCA</t>
  </si>
  <si>
    <t>NTGIARIN</t>
  </si>
  <si>
    <t>ARIAS NARVAEZ ISIS ESCARLETH</t>
  </si>
  <si>
    <t>07:00 A 17:00</t>
  </si>
  <si>
    <t>NTGJBELL</t>
  </si>
  <si>
    <t>BELTRAN VILLALBA JENNIFER MIGREY</t>
  </si>
  <si>
    <t>NTGJBEND_1</t>
  </si>
  <si>
    <t>BENALCAZAR DUARTE JEANNETH GISSELA</t>
  </si>
  <si>
    <t>08:00 A 20:00</t>
  </si>
  <si>
    <t>NTGJBERO</t>
  </si>
  <si>
    <t>BERMEJO MALDONADO JONATHAN MAURICIO</t>
  </si>
  <si>
    <t>09:00 A 21:00</t>
  </si>
  <si>
    <t>NTGMCABU</t>
  </si>
  <si>
    <t>CABASCANGO BUSE MARITZA ELIZABETH</t>
  </si>
  <si>
    <t>NTGMCAR9</t>
  </si>
  <si>
    <t>CARVAJAL RENGEL MARIA BELEN</t>
  </si>
  <si>
    <t>17:00 A 00:00</t>
  </si>
  <si>
    <t>14:00 A 00:00</t>
  </si>
  <si>
    <t>NTGTCHII</t>
  </si>
  <si>
    <t>CHINGA PITIUR TATIANA LIZBETH</t>
  </si>
  <si>
    <t>14:00 A 22:00</t>
  </si>
  <si>
    <t>NTGCCOLT</t>
  </si>
  <si>
    <t>COLCHA TOAPANTA CINTHYA VANESSA</t>
  </si>
  <si>
    <t>14:00 A 23:00</t>
  </si>
  <si>
    <t>NTGADELN</t>
  </si>
  <si>
    <t>DEL CASTILLO MANCHENO ANDRES DARIO</t>
  </si>
  <si>
    <t>06:00 A 18:00</t>
  </si>
  <si>
    <t>NTGYGOMR</t>
  </si>
  <si>
    <t>GOMEZ ROSALES YANINA BELEN</t>
  </si>
  <si>
    <t>08:00 A 15:00</t>
  </si>
  <si>
    <t>NTGCGUAH</t>
  </si>
  <si>
    <t>GUANOLUISA REMACHE CHRISTIAN ALEXANDER</t>
  </si>
  <si>
    <t>NTGLJACC</t>
  </si>
  <si>
    <t>JACOME CAMACHO LUIS HUMBERTO</t>
  </si>
  <si>
    <t>NTGMJIM0</t>
  </si>
  <si>
    <t>JIMENEZ SILVA MIRIAN PAMELA</t>
  </si>
  <si>
    <t>NTGELECS</t>
  </si>
  <si>
    <t>LECHON SANDOVAL ERICK FERNANDO</t>
  </si>
  <si>
    <t>10:00 A 22:00</t>
  </si>
  <si>
    <t>NTGJMEN13</t>
  </si>
  <si>
    <t>MENDOZA PALACIOS JHON HENRY</t>
  </si>
  <si>
    <t>MORALES MARTINEZ JOSUE JAVIER</t>
  </si>
  <si>
    <t>14:00 A 21:00</t>
  </si>
  <si>
    <t>NTGJMOR48</t>
  </si>
  <si>
    <t>MORENO NORIEGA JORGE OSVALDO</t>
  </si>
  <si>
    <t>NTGTMORC</t>
  </si>
  <si>
    <t>MOROCHO CALDERON TANIA DENISSE</t>
  </si>
  <si>
    <t>NTGJQUI50</t>
  </si>
  <si>
    <t>QUISPE PALACIOS JOSELYN YADIRA</t>
  </si>
  <si>
    <t>NTGRQUIV</t>
  </si>
  <si>
    <t>QUITIAQUEZ VELASCO RICHARD DAVID</t>
  </si>
  <si>
    <t>NTGIRIVC</t>
  </si>
  <si>
    <t>RIVERA CALLATASIG ISAAC RAUL</t>
  </si>
  <si>
    <t>NTGCROMA</t>
  </si>
  <si>
    <t>ROMERO CARRION CARLOS HUMBERTO</t>
  </si>
  <si>
    <t>NTGKRUBB</t>
  </si>
  <si>
    <t>RUBIO BOADA KAREN NICOLE</t>
  </si>
  <si>
    <t>NTGASAMU</t>
  </si>
  <si>
    <t>SAMPEDRO BUÑAY ANA MARIA</t>
  </si>
  <si>
    <t>NTGDTACQ</t>
  </si>
  <si>
    <t>TACURI QUICHIMBO DAYANA LIZETH</t>
  </si>
  <si>
    <t>08:00 A 19:00</t>
  </si>
  <si>
    <t>NTGDTUAA</t>
  </si>
  <si>
    <t>TUAPANTA CHANATAXI DANILO JAVIER</t>
  </si>
  <si>
    <t>NTGJUCHC</t>
  </si>
  <si>
    <t>UCHUPANTA CUASPA JONATHAN JOSE</t>
  </si>
  <si>
    <t>NTGWULLC</t>
  </si>
  <si>
    <t>ULLCU COCHA WILMER MARIO</t>
  </si>
  <si>
    <t>NTGTZAMN</t>
  </si>
  <si>
    <t>ZAMBRANO NAPA TANIA LISBETH</t>
  </si>
  <si>
    <t>NTGDZAML</t>
  </si>
  <si>
    <t>ZAMBRANO SOLANO DIEGO ALEXANDER</t>
  </si>
  <si>
    <t>NTGVZURN</t>
  </si>
  <si>
    <t>ZURITA NARVAEZ VERONICA CECILIA</t>
  </si>
  <si>
    <t>MONITOREOS BRM</t>
  </si>
  <si>
    <t>11:00 A 23:00</t>
  </si>
  <si>
    <t>NTGMCAIA</t>
  </si>
  <si>
    <t>CAICEDO SIMBAÑA MATEO ANDRES</t>
  </si>
  <si>
    <t>00:00 A 01:00 - 14:00 A 00:00</t>
  </si>
  <si>
    <t>NTGMLOAS</t>
  </si>
  <si>
    <t>LOAIZA SISA MISHELLE JAZMIN</t>
  </si>
  <si>
    <t>NTGEMOR1</t>
  </si>
  <si>
    <t>MORALES LIMA ERIKA ALEXANDRA</t>
  </si>
  <si>
    <t>ZAMBRANO FRANCO ANDY ROLANDO</t>
  </si>
  <si>
    <t>NTGMZUNO</t>
  </si>
  <si>
    <t>ZUÑIGA MORENO MISHELL STEFANIA</t>
  </si>
  <si>
    <t>NARVAEZ MALDONADO KARLA JULIET</t>
  </si>
  <si>
    <t>SOPORTE TÉCNICO</t>
  </si>
  <si>
    <t>NTGAARIF</t>
  </si>
  <si>
    <t>ARIAS FARINANGO ARIEL FERNANDO</t>
  </si>
  <si>
    <t>12:00 A 22:00</t>
  </si>
  <si>
    <t>NTGECHIT</t>
  </si>
  <si>
    <t>CHICAIZA ORTIZ ERIKA VANESSA</t>
  </si>
  <si>
    <t>06:00 A 16:00</t>
  </si>
  <si>
    <t>NTGMCRUV</t>
  </si>
  <si>
    <t>CRUZ ALVARADO MARIA ESTHELLA</t>
  </si>
  <si>
    <t>07:00 A 18:00</t>
  </si>
  <si>
    <t>NTGDCUNU</t>
  </si>
  <si>
    <t>CUNALATA GUANO DAYANA ESKARLETH</t>
  </si>
  <si>
    <t>NTGWENRJ</t>
  </si>
  <si>
    <t>ENRIQUEZ JARAMILLO WENDY JAZMIN</t>
  </si>
  <si>
    <t>00:00 A 06:00</t>
  </si>
  <si>
    <t>NTGKGAVA_1</t>
  </si>
  <si>
    <t>GAVILANES AGUIRRE KLEVER GIOVANNY</t>
  </si>
  <si>
    <t>NTGFLUC3</t>
  </si>
  <si>
    <t>LUCERO AGUILAR FREDY DAVID</t>
  </si>
  <si>
    <t>09:00 A 20:00</t>
  </si>
  <si>
    <t>NTGLMENR</t>
  </si>
  <si>
    <t>MENA RIERA LUIS FERNANDO</t>
  </si>
  <si>
    <t>NTGKNARM</t>
  </si>
  <si>
    <t>NTGKPILQ</t>
  </si>
  <si>
    <t>PILATAXI QUILLUPANGUI KATHYA MISHELL</t>
  </si>
  <si>
    <t>10:00 A 21:00</t>
  </si>
  <si>
    <t>NTGEQUI6</t>
  </si>
  <si>
    <t>QUISHPE SIERRA ESTEBAN IGNACIO</t>
  </si>
  <si>
    <t>NTGSREAG</t>
  </si>
  <si>
    <t>REA GUACHAMIN SHIRLEY NICOLE</t>
  </si>
  <si>
    <t>13:00 A 23:00</t>
  </si>
  <si>
    <t>NTGCCHA3</t>
  </si>
  <si>
    <t>CHAFUELAN CEDEÑO CRISTOPHER ALEJANDRO</t>
  </si>
  <si>
    <t>NTGDGUEO</t>
  </si>
  <si>
    <t>GUERREO LOPEZ DIEGO XAVIER</t>
  </si>
  <si>
    <t>08:00 A 18:00</t>
  </si>
  <si>
    <t>NTGTMUNO</t>
  </si>
  <si>
    <t>MUÑOZ MORENO THOMAS SEBASTIAN</t>
  </si>
  <si>
    <t>NTGMMUN0</t>
  </si>
  <si>
    <t>MUÑOZ PACHECO MARIA FERNANDA</t>
  </si>
  <si>
    <t>NTGBZAME</t>
  </si>
  <si>
    <t>ZAMBRANO GUERRERO BRYAN ANDRES</t>
  </si>
  <si>
    <t>SOPORTE DTH</t>
  </si>
  <si>
    <t>NTGMBAR2</t>
  </si>
  <si>
    <t>BARBOSA REASCOS MICHAEL JOSUE</t>
  </si>
  <si>
    <t>NTGDNICC</t>
  </si>
  <si>
    <t>NICOLALDE GARCIA DAIVERLYN IVETH</t>
  </si>
  <si>
    <t>06:00 A 17:00</t>
  </si>
  <si>
    <t>09:00 A 18:00</t>
  </si>
  <si>
    <t>10:00 A 13:00 - 14:00 A 21:00</t>
  </si>
  <si>
    <t>07:00 A 13:00 - 14:00 A 18:00</t>
  </si>
  <si>
    <t>07:00 A 14:00</t>
  </si>
  <si>
    <t>11:00 A 22:00</t>
  </si>
  <si>
    <t>NTGJMOR53</t>
  </si>
  <si>
    <t>R</t>
  </si>
  <si>
    <t>E</t>
  </si>
  <si>
    <t>N</t>
  </si>
  <si>
    <t>U</t>
  </si>
  <si>
    <t>I</t>
  </si>
  <si>
    <t>A</t>
  </si>
  <si>
    <t>F</t>
  </si>
  <si>
    <t>09:00 A 13:00 - 14:00 A 20:00</t>
  </si>
  <si>
    <t>11:00 A 21:00</t>
  </si>
  <si>
    <t>ALBUJA CARANQUI XAVIER EDUARDO</t>
  </si>
  <si>
    <t>MONITOREOS</t>
  </si>
  <si>
    <t>08:00 A 13:00 - 14:00 A 20:00</t>
  </si>
  <si>
    <t>06:00 A 09:00 - 10:00 A 15:00</t>
  </si>
  <si>
    <t>NTGMCRUL</t>
  </si>
  <si>
    <t>06:00 A 08:00 - 09:00 A 15:00</t>
  </si>
  <si>
    <t>08:00 A 13:00 - 14:00 A 18:00</t>
  </si>
  <si>
    <t>09:00 A 14:00 - 15:00 A 18:00</t>
  </si>
  <si>
    <t>08:00 A 13:00 - 14:00 A 16:00</t>
  </si>
  <si>
    <t>08:00 A 13:00 - 14:00 A 17:00</t>
  </si>
  <si>
    <t>15:00 A 23:00</t>
  </si>
  <si>
    <t>MARTES</t>
  </si>
  <si>
    <t>06:00 A 12:00 - 13:00 A 18:00</t>
  </si>
  <si>
    <t>00:00 A 06:00 - 18:00 A 00:00</t>
  </si>
  <si>
    <t>09:00 A 14:00 - 15:00 A 20:00</t>
  </si>
  <si>
    <t>11:00 A 15:00 - 16:00 A 21:00</t>
  </si>
  <si>
    <t>06:00 A 12:00 - 13:00 A 16:00</t>
  </si>
  <si>
    <t>LIBRE</t>
  </si>
  <si>
    <t>16:00 A 23:00</t>
  </si>
  <si>
    <t>06:00 A 12:00</t>
  </si>
  <si>
    <t>07:00 A 16:00</t>
  </si>
  <si>
    <t>10:00 A 15:00 - 16:00 A 22:00</t>
  </si>
  <si>
    <t>15:00 A 21:00</t>
  </si>
  <si>
    <t>FI</t>
  </si>
  <si>
    <t>06:00 A 11:00 - 12:00 A 16:00</t>
  </si>
  <si>
    <t>10:00 A 14:00 - 15:00 A 21:00</t>
  </si>
  <si>
    <t>12:00 A 15:00 - 16:00 A 22:00</t>
  </si>
  <si>
    <t>07:00 A 12:00 - 13:00 A 17:00</t>
  </si>
  <si>
    <t>08:00 A 13:00 - 14:00 A 19:00</t>
  </si>
  <si>
    <t>15:00 A 00:00</t>
  </si>
  <si>
    <t>09:00 A 13:00 - 14:00 A 18:00</t>
  </si>
  <si>
    <t>06:00 A 11:00 - 12:00 A 15:00</t>
  </si>
  <si>
    <t>11:00 A 14:00 - 15:00 A 21:00</t>
  </si>
  <si>
    <t>13:00 A 16:00 - 17:00 A 22:00</t>
  </si>
  <si>
    <t>09:00 A 14:00 - 15:00 A 19:00</t>
  </si>
  <si>
    <t>06:00 A 10:00 - 11:00 A 18:00</t>
  </si>
  <si>
    <t>06:00 A 15:00</t>
  </si>
  <si>
    <t>10:00 A 13:00 - 14:00 A 19:00</t>
  </si>
  <si>
    <t>00:00 A 01:00 - 16:00 A 00:00</t>
  </si>
  <si>
    <t>08:00 A 15:00 - 16:00 A 22:00</t>
  </si>
  <si>
    <t>09:00 A 15:00 - 16:00 A 21:00</t>
  </si>
  <si>
    <t>09:00 A 13:00 - 14:00 A 22:00</t>
  </si>
  <si>
    <t>11:00 A 15:00 - 16:00 A 23:00</t>
  </si>
  <si>
    <t>08:00 A 14:00 - 15:00 A 20:00</t>
  </si>
  <si>
    <t>06:00 A 14:00</t>
  </si>
  <si>
    <t>08:00 A 11:00 - 12:00 A 17:00</t>
  </si>
  <si>
    <t>11:00 A 20:00</t>
  </si>
  <si>
    <t>13:00 A 22:00</t>
  </si>
  <si>
    <t>09:00 A 13:00 - 14:00 A 21:00</t>
  </si>
  <si>
    <t>JUEVES</t>
  </si>
  <si>
    <t>08:00 A 16:00</t>
  </si>
  <si>
    <t>12:00 A 23:00</t>
  </si>
  <si>
    <t>07:00 A 13:00 - 14:00 A 19:00</t>
  </si>
  <si>
    <t>06:00 A 19:00</t>
  </si>
  <si>
    <t>10:00 A 20:00</t>
  </si>
  <si>
    <t>07:00 A 20:00</t>
  </si>
  <si>
    <t>10:00 A 15:00 - 16:00 A 23:00</t>
  </si>
  <si>
    <t>07:00 A 13:00 - 14:00 A 20:00</t>
  </si>
  <si>
    <t>11:00 A 14:00 - 15:00 A 20:00</t>
  </si>
  <si>
    <t>10:00 A 18:00</t>
  </si>
  <si>
    <t>VIERNES</t>
  </si>
  <si>
    <t>09:00 A 17:00</t>
  </si>
  <si>
    <t>19:00 A 00:00</t>
  </si>
  <si>
    <t>06:00 A 12:00 - 13:00 A 15:00</t>
  </si>
  <si>
    <t>07:00 A 13:00 - 14:00 A 17:00</t>
  </si>
  <si>
    <t>07:00 A 14:00 - 15:00 A 19:00</t>
  </si>
  <si>
    <t>06:00 A 14:00 - 15:00 A 18:00</t>
  </si>
  <si>
    <t>06:00 A 12:00 - 13:00 A 17:00</t>
  </si>
  <si>
    <t>09:00 A 14:00 - 15:00 A 21:00</t>
  </si>
  <si>
    <t>11:00 A 16:00 - 17:00 A 22:00</t>
  </si>
  <si>
    <t>00:00 A 01:00 - 17:00 A 23:00</t>
  </si>
  <si>
    <t>07:00 A 14:00 - 15:00 A 18:00</t>
  </si>
  <si>
    <t>00:00 A 07:00 - 18:00 A 00:00</t>
  </si>
  <si>
    <t>18:00 A 00:00</t>
  </si>
  <si>
    <t>15:00 A 22:00</t>
  </si>
  <si>
    <t>SÁBADO</t>
  </si>
  <si>
    <t>00:00 A 07:00</t>
  </si>
  <si>
    <t>09:00 A 16:00</t>
  </si>
  <si>
    <t>10:00 A 16:00 - 17:00 A 23:00</t>
  </si>
  <si>
    <t>10:00 A 16:00 - 17:00 A 22:00</t>
  </si>
  <si>
    <t>07:00 A 15:00</t>
  </si>
  <si>
    <t>09:00 A 15:00 - 16:00 A 22:00</t>
  </si>
  <si>
    <t>08:00 A 15:00 - 16:00 A 19:00</t>
  </si>
  <si>
    <t>DOMINGO</t>
  </si>
  <si>
    <t>CLIENTES VIP</t>
  </si>
  <si>
    <t>13:00 A 21:00</t>
  </si>
  <si>
    <t>10:00 A 14:00 - 15:00 A 22:00</t>
  </si>
  <si>
    <t>06:00 A 11:00 - 12:00 A 17:00</t>
  </si>
  <si>
    <t>08:00 A 14:00 - 15:00 A 19:00</t>
  </si>
  <si>
    <t>07:00 A 14:00 - 15:00 A 20:00</t>
  </si>
  <si>
    <t>08:00 A 17:00</t>
  </si>
  <si>
    <t>12:00 A 00:00</t>
  </si>
  <si>
    <t>09:00 A 16:00 - 17:00 A 21:00</t>
  </si>
  <si>
    <t>15:30 A 00:00</t>
  </si>
  <si>
    <t>09:00 A 19:00</t>
  </si>
  <si>
    <t>06:00 A 13:00 - 14:00 A 17:00</t>
  </si>
  <si>
    <t>16:00 A 22:00</t>
  </si>
  <si>
    <t>08:00 A 14:00</t>
  </si>
  <si>
    <t>09:00 A 15:00 - 16:00 A 20:00</t>
  </si>
  <si>
    <t>14:00 A 20:00</t>
  </si>
  <si>
    <t>09:00 A 16:00 - 17:00 A 20:00</t>
  </si>
  <si>
    <t>07:00 A 11:00 - 12:00 A 18:00</t>
  </si>
  <si>
    <t>08:00 A 12:00 - 13:00 A 18:00</t>
  </si>
  <si>
    <t>00:00 A 07:00 - 19:00 A 00:00</t>
  </si>
  <si>
    <t>12:00 A 21:00</t>
  </si>
  <si>
    <t>10:00 A 14:00 - 15:00 A 20:00</t>
  </si>
  <si>
    <t>06:00 A 13:00 - 14:00 A 16:00</t>
  </si>
  <si>
    <t>07:00 A 13:00</t>
  </si>
  <si>
    <t>09:00 A 16:00 - 17:00 A 22:00</t>
  </si>
  <si>
    <t>07:00 A 12:00 - 13:00 A 18:00</t>
  </si>
  <si>
    <t>11:00 A 14:00 - 15:00 A 23:00</t>
  </si>
  <si>
    <t>10:00 A 14:00 - 15:00 A 23:00</t>
  </si>
  <si>
    <t>VIP</t>
  </si>
  <si>
    <t>08:00 A 11:00 - 12:00 A 20:00</t>
  </si>
  <si>
    <t>08:00 A 11:00 - 12:00 A 21:00</t>
  </si>
  <si>
    <t>06:00 A 13:00 - 14:00 A 19:00</t>
  </si>
  <si>
    <t>00:00 A 07:00 - 17:00 A 00:00</t>
  </si>
  <si>
    <t>08:00 A 16:00 - 17:00 A 21:00</t>
  </si>
  <si>
    <t>09:00 A 22:00</t>
  </si>
  <si>
    <t>07:00 A 19:00</t>
  </si>
  <si>
    <t>13:00 A 00:00</t>
  </si>
  <si>
    <t>08:00 A 21:00</t>
  </si>
  <si>
    <t>08:00 A 15:00 - 16:00 A 20:00</t>
  </si>
  <si>
    <t>17:00 A 23:00</t>
  </si>
  <si>
    <t>NTGMPALR</t>
  </si>
  <si>
    <t>PALOMO RAMIREZ MAYERLI RAQUEL</t>
  </si>
  <si>
    <t>09:00 A 14:00 - 15:00 A 22:00</t>
  </si>
  <si>
    <t>12:00 A 14:00 - 15:00 A 23:00</t>
  </si>
  <si>
    <t>07:00 A 11:00 - 12:00 A 20:00</t>
  </si>
  <si>
    <t>10:00 A 18:00 - 19:00 A 22:00</t>
  </si>
  <si>
    <t>08:00 A 17:00 - 18:00 A 21:00</t>
  </si>
  <si>
    <t>08:00 A 17:00 - 18:00 A 22:00</t>
  </si>
  <si>
    <t>07:00 A 15:00 - 16:00 A 21:00</t>
  </si>
  <si>
    <t>07:00 A 17:00 - 18:00 A 20:00</t>
  </si>
  <si>
    <t>06:00 A 15:00 - 16:00 A 18:00</t>
  </si>
  <si>
    <t>09:00 A 16:00 - 17:00 A 23:00</t>
  </si>
  <si>
    <t>08:00 A 16:00 - 17:00 A 22:00</t>
  </si>
  <si>
    <t>10:00 A 12:00 - 13:00 A 18:00</t>
  </si>
  <si>
    <t>08:00 A 14:00 - 15:00 A 21:00</t>
  </si>
  <si>
    <t>M</t>
  </si>
  <si>
    <t>O</t>
  </si>
  <si>
    <t>T</t>
  </si>
  <si>
    <t>S</t>
  </si>
  <si>
    <t>09:00 A 14:00 - 15:00 A 23:00</t>
  </si>
  <si>
    <t>V</t>
  </si>
  <si>
    <t>10:00 A 16:00 - 17:00 A 00:00</t>
  </si>
  <si>
    <t>06:00  A 18:00</t>
  </si>
  <si>
    <t>06:00 A 20:00</t>
  </si>
  <si>
    <t xml:space="preserve">07:00 A 16:00 </t>
  </si>
  <si>
    <t>07:00 A 15:00 - 16:00 A 19:00</t>
  </si>
  <si>
    <t>00:00 A 09:00</t>
  </si>
  <si>
    <t>10:00 A 23:00</t>
  </si>
  <si>
    <t>08:00 A 15:00 - 16:00 A 21:00</t>
  </si>
  <si>
    <t>18:00 A 23:00</t>
  </si>
  <si>
    <t xml:space="preserve"> </t>
  </si>
  <si>
    <t>FIGUEROA COELLO NATHALIA ESTEFANIA</t>
  </si>
  <si>
    <t>SEGUIMIENTO TRANSFERENCIAS</t>
  </si>
  <si>
    <t>12:00 A 20:00</t>
  </si>
  <si>
    <t>06:00 A 12:00 - 13:00 A 19:00</t>
  </si>
  <si>
    <t>06:00 A 14:00 - 15:00 A 17:00</t>
  </si>
  <si>
    <t>10:00 A 19:00</t>
  </si>
  <si>
    <t>10:00 A 17:00 - 18:00 A 23:00</t>
  </si>
  <si>
    <t>MO</t>
  </si>
  <si>
    <t>NI</t>
  </si>
  <si>
    <t>TO</t>
  </si>
  <si>
    <t>08:00 A 13:00 - 14:00 A 21:00</t>
  </si>
  <si>
    <t>06:00 A 14:00 - 15:00 A 19:00</t>
  </si>
  <si>
    <t>11:00 A 00:00</t>
  </si>
  <si>
    <t>10:00 A 16:00</t>
  </si>
  <si>
    <t>16:00 A 00:00</t>
  </si>
  <si>
    <t>07:00 A 15:00 - 16:00 A 18:00</t>
  </si>
  <si>
    <t>06:00 A 13:00</t>
  </si>
  <si>
    <t>07:00 A 22:00</t>
  </si>
  <si>
    <t>07:00 A 21:00</t>
  </si>
  <si>
    <t>RENUNCIA</t>
  </si>
  <si>
    <t>09:00 A 15:00 - 16:00 A 23:00</t>
  </si>
  <si>
    <t>07:00 A 17:00 - 18:00 A 21:00</t>
  </si>
  <si>
    <t>08:00 A 22:00</t>
  </si>
  <si>
    <t>09:00 A 19:00 - 20:00 A 22:00</t>
  </si>
  <si>
    <t>09:00 A 17:00 - 18:00 A 21:00</t>
  </si>
  <si>
    <t>07:00 A 18:00 - 19:00 A 21:00</t>
  </si>
  <si>
    <t>10:00 A 17:00</t>
  </si>
  <si>
    <t>SEG. TRANSFERENCIAS</t>
  </si>
  <si>
    <t>09:00 A 12:00 - 13:00 A 18:00</t>
  </si>
  <si>
    <t>06:00 A 15:00 - 16:00 A 19:00</t>
  </si>
  <si>
    <t>LUNES 22 DE DICIEMBRE</t>
  </si>
  <si>
    <t>08:00 A 12:00 - 13:00 A 21:00</t>
  </si>
  <si>
    <t>13:00 A 14:00 - 15:00 A 23:00</t>
  </si>
  <si>
    <t>VIERNES 26 DE DICIEMBRE</t>
  </si>
  <si>
    <t>09:00 A 13:00 - 17:00 A 00:00</t>
  </si>
  <si>
    <t>00:00 A 01:00 - 18:00 A 00:00</t>
  </si>
  <si>
    <t>08:00 A 16:00 - 17:00 A 20:00</t>
  </si>
  <si>
    <t>07:00 A 14:00 - 15:00 A  19:00</t>
  </si>
  <si>
    <t>07:00 A 16:00 - 17:00 A 20:00</t>
  </si>
  <si>
    <t>08:00 A 12:00 - 13:00 A 20:00</t>
  </si>
  <si>
    <t>13:00 A 14:00 - 15:00 A 22:00</t>
  </si>
  <si>
    <t>11:00 A 14:00 - 15:00 A 00:00</t>
  </si>
  <si>
    <t xml:space="preserve"> 00:00 A 06:00 - 17:00 A 23:00</t>
  </si>
  <si>
    <t>07:00 A 12:00 - 13:00 A 20:00</t>
  </si>
  <si>
    <t>08:00 A 14:00 - 15:00 A 22:00</t>
  </si>
  <si>
    <t>SÁBADO 27 DE DICIEMBRE</t>
  </si>
  <si>
    <t>06:00  A 17:00</t>
  </si>
  <si>
    <t>00:00 A 06:00 A 12:00 A 23:00</t>
  </si>
  <si>
    <t>08:00 A 12:00</t>
  </si>
  <si>
    <t>00:00 A 01:00</t>
  </si>
  <si>
    <t>RE</t>
  </si>
  <si>
    <t>OS</t>
  </si>
  <si>
    <t>09:00 A 13:00 - 14:00 A 19:00</t>
  </si>
  <si>
    <t>DOMINGO 28 DE DICIEMBRE</t>
  </si>
  <si>
    <t>00:00 - 06:00</t>
  </si>
  <si>
    <t xml:space="preserve">  09:00 A 18:00 - 19:00 A 22:00</t>
  </si>
  <si>
    <t xml:space="preserve">  08:00 A 16:00 - 17:00 A 20:00</t>
  </si>
  <si>
    <t>00:00 A 06:00 -10:00 A 15:00 - 16:00 A 21:00</t>
  </si>
  <si>
    <t>11:00 A 14:00 - 15:00 A 22:00</t>
  </si>
  <si>
    <t xml:space="preserve">  10:00 A 12:00 - 20:00 A 00:00</t>
  </si>
  <si>
    <t xml:space="preserve">06:00 A 14:00 - 15:00 A 17:00 </t>
  </si>
  <si>
    <t>00:00 A 07:00 - 20:00 A 00:00</t>
  </si>
  <si>
    <t>08:00 A 17:00 - 18:00 A 20:00</t>
  </si>
  <si>
    <t xml:space="preserve">07:00 A 16:00 - 17:00 A 19:00 </t>
  </si>
  <si>
    <t>09:00 A 18:00 - 19:00 A 23:00</t>
  </si>
  <si>
    <t>07:00 A  16:00</t>
  </si>
  <si>
    <t>LUNES 29 DE DICIEMBRE</t>
  </si>
  <si>
    <t>10:00 A 13:00 - 14:00 A 23:00</t>
  </si>
  <si>
    <t xml:space="preserve"> 14:00 A 00:00</t>
  </si>
  <si>
    <t>00:00 A 06:00 - 19:00 A 00:00</t>
  </si>
  <si>
    <t>10:00 A 13:00 - 15:00 A 23:00</t>
  </si>
  <si>
    <t>MARTES 30 DE DICIEMBRE</t>
  </si>
  <si>
    <t>00:00 A 01:00 - 09:00 A 14:00 - 15:00 A 21:00</t>
  </si>
  <si>
    <t>06:00 A 11:00 - 12:00 A 19:00</t>
  </si>
  <si>
    <t>08:00  A 20:00</t>
  </si>
  <si>
    <t xml:space="preserve">06:00 A 14:00 </t>
  </si>
  <si>
    <t>NOMBRES</t>
  </si>
  <si>
    <t>CAMPAÑA</t>
  </si>
  <si>
    <t>ASESOR</t>
  </si>
  <si>
    <t>BREAK</t>
  </si>
  <si>
    <t>20:00 A 00:00</t>
  </si>
  <si>
    <t>LUNES 26 DE ENERO</t>
  </si>
  <si>
    <t>NTGAMORT</t>
  </si>
  <si>
    <t>ntgbaled</t>
  </si>
  <si>
    <t>NTGBCEVL</t>
  </si>
  <si>
    <t>NTGBMALC</t>
  </si>
  <si>
    <t>NTGBVALG</t>
  </si>
  <si>
    <t>NTGCAGUU</t>
  </si>
  <si>
    <t>NTGCCHA5</t>
  </si>
  <si>
    <t>NTGDCANL</t>
  </si>
  <si>
    <t>06:00 A 16:00 - 17:00 A 18:00</t>
  </si>
  <si>
    <t>06:00 A 16:00 - 17:00 A 19:00</t>
  </si>
  <si>
    <t>VALENCIA GARZON BRYAN ORLANDO</t>
  </si>
  <si>
    <t>NTGDALMZ</t>
  </si>
  <si>
    <t>ALMEIDA MAZON DEISI DEL ROCIO</t>
  </si>
  <si>
    <t>NTGKBENF</t>
  </si>
  <si>
    <t>NTGMCHUA</t>
  </si>
  <si>
    <t>CHUSQUILLO SALAZAR MACIEL LESLIE</t>
  </si>
  <si>
    <t>BENALCAZAR FIALLOS KEVIN ENRIQUE</t>
  </si>
  <si>
    <t>NTGKMORZ</t>
  </si>
  <si>
    <t>CANELOS SALAZAR DANA SOFIA</t>
  </si>
  <si>
    <t>NTGVCANL</t>
  </si>
  <si>
    <t>CANAR LUCERO VICTOR HUGO</t>
  </si>
  <si>
    <t>CEVALLOS SOLORZANO BRANDON AARON</t>
  </si>
  <si>
    <t>MALLA CUENCA BAYRON AUGUSTO</t>
  </si>
  <si>
    <t>NTGANAVP</t>
  </si>
  <si>
    <t>NAVARRO TAPIA ANDRES ALEJANDRO</t>
  </si>
  <si>
    <t>SOPORTE OPERACIONES</t>
  </si>
  <si>
    <t>DTH</t>
  </si>
  <si>
    <t>NTGMMUN4</t>
  </si>
  <si>
    <t>SEGUIMIENTO TRANSF</t>
  </si>
  <si>
    <t>NTGXALBN</t>
  </si>
  <si>
    <t>PSGFARIO</t>
  </si>
  <si>
    <t>VENTAS HOGAR</t>
  </si>
  <si>
    <t>NTGAASPP</t>
  </si>
  <si>
    <t>ASPIAZU PILLAJO ANGELICA PAULINA</t>
  </si>
  <si>
    <t>SOPORTE TECNICO</t>
  </si>
  <si>
    <t>10:00 A 15:00</t>
  </si>
  <si>
    <t>08:00 A 18:00 - 19:00 A 21:00</t>
  </si>
  <si>
    <t>00:00 A 08:00</t>
  </si>
  <si>
    <t>09:00 A 17:00 - 18:00 A 23:00</t>
  </si>
  <si>
    <t>10:00 A 19:00 - 20:00 A 23:00</t>
  </si>
  <si>
    <t>NTGDCENH</t>
  </si>
  <si>
    <t>NTGJZAPS</t>
  </si>
  <si>
    <t>SABADO</t>
  </si>
  <si>
    <t>08:00 A 14:00 - 15:00 A 17:00</t>
  </si>
  <si>
    <t>09:00 A 11:00 - 12:00 A 17:00</t>
  </si>
  <si>
    <t>NTGCMARE</t>
  </si>
  <si>
    <t>MARIN AVENDANO CLAUDIA MARCELA</t>
  </si>
  <si>
    <t>NTGAMELJ</t>
  </si>
  <si>
    <t>MELGAREJO JACOME ALEX SANTIAGO</t>
  </si>
  <si>
    <t>NTGSDELP</t>
  </si>
  <si>
    <t>DEL VALLE PEREZ SANDRA</t>
  </si>
  <si>
    <t>NTGKVALZ</t>
  </si>
  <si>
    <t>VALLADARES ZAMORA KARLA ESTEFANIA</t>
  </si>
  <si>
    <t>09:00 A 19:00 - 20:00 A 23:00</t>
  </si>
  <si>
    <t>MIÉRCOLES 31 DE DICIEMBRE</t>
  </si>
  <si>
    <t>NTGAQUIQ</t>
  </si>
  <si>
    <t>10:00 A 17:00 - 18:00 A 21:00</t>
  </si>
  <si>
    <t>06:00 A 14:00 - 15:00 A 16:00</t>
  </si>
  <si>
    <t>08:00 A 15:00 -16:00 A 22:00</t>
  </si>
  <si>
    <t>08:00 A 15:00 -16:00 A 21:00</t>
  </si>
  <si>
    <t>00:00 A 01:00 - 15:00 A 23:00</t>
  </si>
  <si>
    <t>12:00 A 17:00</t>
  </si>
  <si>
    <t>NTGJPUET</t>
  </si>
  <si>
    <t>PUENTE TINTIN JORGE PAUL</t>
  </si>
  <si>
    <t>ntgygomr</t>
  </si>
  <si>
    <t>PSGCMARG</t>
  </si>
  <si>
    <t>PSGLMONG</t>
  </si>
  <si>
    <t>PSGPAREG</t>
  </si>
  <si>
    <t>14:00 A 19:00</t>
  </si>
  <si>
    <t xml:space="preserve"> 13:00 A 23:00</t>
  </si>
  <si>
    <t xml:space="preserve">14:00 A 23:00 </t>
  </si>
  <si>
    <t>08:00 A 13:00</t>
  </si>
  <si>
    <t>13:00 A 15:00 - 16:00 A 21:00</t>
  </si>
  <si>
    <t>13:00 A 20:00</t>
  </si>
  <si>
    <t>12:00 A 19:00</t>
  </si>
  <si>
    <t>10:00 A 14:00 - 15:00 A 19:00</t>
  </si>
  <si>
    <t>06:00 A 15:00 - 16:00 A 20:00</t>
  </si>
  <si>
    <t>06:00 A 12:00 - 13:00 A 20:00</t>
  </si>
  <si>
    <t>12:00 A 15:00 - 16:00 A 23:00</t>
  </si>
  <si>
    <t>07:00 A 11:00 - 12:00 A 15:00</t>
  </si>
  <si>
    <t>13:00 A 17:00 - 18:00 A 21:00</t>
  </si>
  <si>
    <t>07:00 A 14:00 - 15:00 A 21:00</t>
  </si>
  <si>
    <t>08:00 - 13:00 - 14:00 A 22:00</t>
  </si>
  <si>
    <t>P</t>
  </si>
  <si>
    <t>D</t>
  </si>
  <si>
    <t>00:00 A 07:00- 18:00 A 00:00</t>
  </si>
  <si>
    <t>12:00 A 15:00 - 16:00 A 20:00</t>
  </si>
  <si>
    <t>09:00 A 13:00- 14:00 A 18:00</t>
  </si>
  <si>
    <t>10:00 A 14:00- 15:00 A 18:00</t>
  </si>
  <si>
    <t>07:00  A 19:00</t>
  </si>
  <si>
    <t>07:00 A 15:00 - 16:00 A 20:00</t>
  </si>
  <si>
    <t>05:00 A 14:00</t>
  </si>
  <si>
    <t>LUNES 5 DE ENERO</t>
  </si>
  <si>
    <t>00:00 A 06:00 - 22:00 A 00:00</t>
  </si>
  <si>
    <t xml:space="preserve">14:00 A 21:00 </t>
  </si>
  <si>
    <t>06:00 A 09:00 - 10:00 A 16:00</t>
  </si>
  <si>
    <t>00:00 A 01:00 - 10:00 A 17:00</t>
  </si>
  <si>
    <t>09:00 A 17:00 - 18:00 A 20:00</t>
  </si>
  <si>
    <t>00:00 A 02:00 - 18:00 A 00:00</t>
  </si>
  <si>
    <t xml:space="preserve">C </t>
  </si>
  <si>
    <t>09:00 A 12:00 - 13:00 A 19:00</t>
  </si>
  <si>
    <t>08:00 A 15:00 - 16:00 A 18:00</t>
  </si>
  <si>
    <t>13:00 A 19:00</t>
  </si>
  <si>
    <t>10:00 A 13:00 - 14:00 A 20:00</t>
  </si>
  <si>
    <t>09:00 A 15:00 - 16:00 A 18:00</t>
  </si>
  <si>
    <t>MARTES 6 DE ENERO</t>
  </si>
  <si>
    <t>10:00 A 13:00 - 15:00 A 20:00</t>
  </si>
  <si>
    <t>10:00 A 12 - 13:00 A 21:00</t>
  </si>
  <si>
    <t>08:00 A 12:00 - 13:00 A 19:00</t>
  </si>
  <si>
    <t>00:00 A 07:00 - 21:00 A 00:00</t>
  </si>
  <si>
    <t>11:00 A 17:00 - 18:00 A 22:00</t>
  </si>
  <si>
    <t>00:00 A 06:00 - 20:00 A 00:00</t>
  </si>
  <si>
    <t>MIERCOLES</t>
  </si>
  <si>
    <t>MIERCOLES 7 DE ENERO</t>
  </si>
  <si>
    <t>00:00 A 06:00 - 21:00 A 00:00</t>
  </si>
  <si>
    <t>09:00 A 13:00 - 14:00 A 17:00</t>
  </si>
  <si>
    <t>06:00 A 11:00 - 12:00 A 14:00</t>
  </si>
  <si>
    <t>13:00 A 15:00 - 16:00 A 22:00</t>
  </si>
  <si>
    <t>08:00 A 12:00 - 13:00 A 16:00</t>
  </si>
  <si>
    <t>14:00 A 20:00 - 21:00 A 00:00</t>
  </si>
  <si>
    <t>10:00 A 12:00 - 13:00 A 19:00</t>
  </si>
  <si>
    <t xml:space="preserve"> 15:00 A 23:00</t>
  </si>
  <si>
    <t>00:00 A 07:00 - 22:00 A 00:00</t>
  </si>
  <si>
    <t xml:space="preserve">08:00 A 15:00 </t>
  </si>
  <si>
    <t>06:00 A 08:00 - 09:00 A 14:00</t>
  </si>
  <si>
    <t>MJUEVES 8 DE ENERO</t>
  </si>
  <si>
    <t xml:space="preserve">15:00 A 23:00 </t>
  </si>
  <si>
    <t>09:00 A 14:00 - 15:00 A 17:00</t>
  </si>
  <si>
    <t xml:space="preserve">06:00 A 13:00 </t>
  </si>
  <si>
    <t xml:space="preserve">16:00 A 23:00 </t>
  </si>
  <si>
    <t xml:space="preserve">09:00 A 20:00 </t>
  </si>
  <si>
    <t xml:space="preserve">09:00 A 16:00 </t>
  </si>
  <si>
    <t>11:00 A 14:00 - 15:00 A 19:00</t>
  </si>
  <si>
    <t xml:space="preserve">07:00 A 13:00 </t>
  </si>
  <si>
    <t xml:space="preserve">13:00 A 21:00 </t>
  </si>
  <si>
    <t>00:00 A 01:00 - 17:00 A 20:00 - 21:00 A 00:00</t>
  </si>
  <si>
    <t xml:space="preserve">13:00 A 20:00 </t>
  </si>
  <si>
    <t xml:space="preserve">12:00 A 19:00 </t>
  </si>
  <si>
    <t xml:space="preserve">07:00 A 15:00 </t>
  </si>
  <si>
    <t xml:space="preserve">07:00 A 14:00 </t>
  </si>
  <si>
    <t>10:00 A 13:00 - 14:00 A 18:00</t>
  </si>
  <si>
    <t xml:space="preserve">08:00 A 20:00 </t>
  </si>
  <si>
    <t xml:space="preserve">06:00 A 15:00 </t>
  </si>
  <si>
    <t xml:space="preserve">14:00 A 22:00 </t>
  </si>
  <si>
    <t xml:space="preserve">12:00 A 20:00 </t>
  </si>
  <si>
    <t xml:space="preserve">11:00 A 20:00 </t>
  </si>
  <si>
    <t xml:space="preserve"> 09:00 A 16:00 </t>
  </si>
  <si>
    <t xml:space="preserve"> 06:00 A 09:00 - 10:00 A 14:00 </t>
  </si>
  <si>
    <t xml:space="preserve">17:00 A 23:00 </t>
  </si>
  <si>
    <t xml:space="preserve">09:00 A 17:00 </t>
  </si>
  <si>
    <t xml:space="preserve">06:00 A 14:00  </t>
  </si>
  <si>
    <t xml:space="preserve">10:00 A 12:00 - 13:00 A 18:00 </t>
  </si>
  <si>
    <t xml:space="preserve">06:00 A 08:00 - 09:00 A 14:00 </t>
  </si>
  <si>
    <t xml:space="preserve">15:00 A 22:00 </t>
  </si>
  <si>
    <t xml:space="preserve">06:00 A 08:00 - 09:00 A 15:00 </t>
  </si>
  <si>
    <t>00:00 A 01:00 - 16:00 A 20:00 - 21:00 A 00:00</t>
  </si>
  <si>
    <t xml:space="preserve">14:00 A 17:00 - 18:00 A 22:00 </t>
  </si>
  <si>
    <t xml:space="preserve">10:00 A 18:00 </t>
  </si>
  <si>
    <t xml:space="preserve">00:00 A 08:00 </t>
  </si>
  <si>
    <t xml:space="preserve"> 13:00 A 16:00 - 17:00 A 23:00 </t>
  </si>
  <si>
    <t xml:space="preserve">19:00 A 00:00 </t>
  </si>
  <si>
    <t xml:space="preserve"> 06:00 A 16:00 </t>
  </si>
  <si>
    <t xml:space="preserve"> 09:00 A 15:00 - 16:00 A 21:00 </t>
  </si>
  <si>
    <t>09:00  A 20:00</t>
  </si>
  <si>
    <t xml:space="preserve">09:00 A 14:00 - 15:00 A 21:00 </t>
  </si>
  <si>
    <t xml:space="preserve">09:00 A 15:00 - 16:00 A 23:00 </t>
  </si>
  <si>
    <t>00:00 A 10:00</t>
  </si>
  <si>
    <t xml:space="preserve">10:00 A 14:00 - 15:00 A 23:00 </t>
  </si>
  <si>
    <t xml:space="preserve">08:00 A 13:00 - 14:00 A 19:00 </t>
  </si>
  <si>
    <t xml:space="preserve">15:00 A 00:00 </t>
  </si>
  <si>
    <t xml:space="preserve">07:00 A 15:00 - 16:00 A 20:00 </t>
  </si>
  <si>
    <t xml:space="preserve">06:00  A 18:00 </t>
  </si>
  <si>
    <t xml:space="preserve">10:00 A 13:00 - 14:00 A 21:00 </t>
  </si>
  <si>
    <t xml:space="preserve">09:00 A 18:00 </t>
  </si>
  <si>
    <t xml:space="preserve">06:00 A 16:00 </t>
  </si>
  <si>
    <t xml:space="preserve">08:00 A 19:00 </t>
  </si>
  <si>
    <t xml:space="preserve">06:00 A 17:00 </t>
  </si>
  <si>
    <t xml:space="preserve">07:00 A 18:00 </t>
  </si>
  <si>
    <t xml:space="preserve">07:00 A 19:00 </t>
  </si>
  <si>
    <t xml:space="preserve">00:00 A 07:00 </t>
  </si>
  <si>
    <t xml:space="preserve">18:00 A 00:00 </t>
  </si>
  <si>
    <t xml:space="preserve">06:00 A 18:00 </t>
  </si>
  <si>
    <t>DOMINGO 11 DE ENERO</t>
  </si>
  <si>
    <t>00:00 A 01:00 - 11:00 A 20:00</t>
  </si>
  <si>
    <t>09:00 A 18:00 - 19:00 A 21:00</t>
  </si>
  <si>
    <t>06:00 A 16:00 - 17:00 A 20:00</t>
  </si>
  <si>
    <t xml:space="preserve">10:00 A 18:00 - 19:00 A 23:00 </t>
  </si>
  <si>
    <t xml:space="preserve">06:00 A 16:00 - 17:00 A 19:00 </t>
  </si>
  <si>
    <t>10:00 A 18:00 - 19:00 A 23:00</t>
  </si>
  <si>
    <t>00:00 A 08:00 - 20:00 A 00:00</t>
  </si>
  <si>
    <t xml:space="preserve"> 11:00 A 20:00</t>
  </si>
  <si>
    <t>07:00 A 11:00 - 12:00 A 21:00</t>
  </si>
  <si>
    <t>06:00 A 14:00 - 15:00 A 20:00</t>
  </si>
  <si>
    <t>06:00 A 17:00 - 18:00 A 20:00</t>
  </si>
  <si>
    <t>10:00 21:00</t>
  </si>
  <si>
    <t>12:00 A 14:00 - 15:00 A 22:00</t>
  </si>
  <si>
    <t>06:00 A 14:00 - 15:00 A 18.00</t>
  </si>
  <si>
    <t>MARTES 13 DE ENERO</t>
  </si>
  <si>
    <t>07:00 A 14:00 - 15:00 A 17:00</t>
  </si>
  <si>
    <t>09:00 A 13:00 - 14:00 A 16:00</t>
  </si>
  <si>
    <t>07:00 A 12:00 - 13:00 A 15:00</t>
  </si>
  <si>
    <t>15:00 A 21:00 - 22:00 A 00:00</t>
  </si>
  <si>
    <t>07:00 A 12:00 - 13:00 A 16:00</t>
  </si>
  <si>
    <t>11:00 A 16:00 - 17:00 A 21:00</t>
  </si>
  <si>
    <t>09:00 A 16:00 - 17:00 A 19:00</t>
  </si>
  <si>
    <t>09:00 A 15:00 - 16:00 A 19:00</t>
  </si>
  <si>
    <t>15:00 A 20:00</t>
  </si>
  <si>
    <t>-</t>
  </si>
  <si>
    <t>11:00 A 15:00 - 16:00 A 20:00</t>
  </si>
  <si>
    <t>10:00 a 13:00 - 14:00 A 23:00</t>
  </si>
  <si>
    <t>10:00 A 12:00 - 13:00 A 20:00</t>
  </si>
  <si>
    <t>MIERCOLES 13 DE ENERO</t>
  </si>
  <si>
    <t>14:00 A 18:00 - 19:00 A 23:00</t>
  </si>
  <si>
    <t>06:00 A15:00</t>
  </si>
  <si>
    <t>13:00 A 16:00 - 17:00 A 23:00</t>
  </si>
  <si>
    <t>06:00 15:00</t>
  </si>
  <si>
    <t>15:00 A23:00</t>
  </si>
  <si>
    <t>10:00 A 16:00 - 17:00 A 19:00</t>
  </si>
  <si>
    <t xml:space="preserve"> 13:00 A 22:00</t>
  </si>
  <si>
    <t xml:space="preserve">  06:00 A A 15:00 </t>
  </si>
  <si>
    <t>09:00 A 17:00  18:00 A 19:00</t>
  </si>
  <si>
    <t xml:space="preserve">06:00 A 13:00 14:00 A 15:00 </t>
  </si>
  <si>
    <t>12:00 A 13:00 - 14:00 A 21:00</t>
  </si>
  <si>
    <t>06:00 A 13:00 - 14:00 A 15:00</t>
  </si>
  <si>
    <t>14:00 A23:00</t>
  </si>
  <si>
    <t>BASE MIGRACIONES</t>
  </si>
  <si>
    <t>10:00 A 15:00 - 16:00 A 20:00</t>
  </si>
  <si>
    <t>12:00 A 14:00 - 15:00 A 21:00</t>
  </si>
  <si>
    <t>14:00 A 17:00 - 18:00 A 22:00</t>
  </si>
  <si>
    <t>00:00 A 06:00 20:00 A 00:00</t>
  </si>
  <si>
    <t>SABADO 17 DE ENERO</t>
  </si>
  <si>
    <t>08:00 A 13:00 -14:00 A 21:00</t>
  </si>
  <si>
    <t>09:00 A 12:00 - 13:00 A 20:00</t>
  </si>
  <si>
    <t>09:00 A 13:00 - 14:00 A 23:00</t>
  </si>
  <si>
    <t>09:00 A 13:00 - 14:00 A 00:00</t>
  </si>
  <si>
    <t>00:00 A 06:00 - 17:00 A 23:00</t>
  </si>
  <si>
    <t>06:00 A 10:00 - 11:00 A 19:00</t>
  </si>
  <si>
    <t>11:00 A 18:00 - 19:00 A 00:00</t>
  </si>
  <si>
    <t>LUNES 19 DE ENERO</t>
  </si>
  <si>
    <t>00:00 A 01:00 - 11:00 A 21:00</t>
  </si>
  <si>
    <t>08:00 A 11:00 - 12:00 A 00:00</t>
  </si>
  <si>
    <t>10:00 A 14 - 15:00 A 20:00</t>
  </si>
  <si>
    <t>06:00 A 13:00 -  14:00 A 16:00</t>
  </si>
  <si>
    <t>MARTES 20 DE ENERO</t>
  </si>
  <si>
    <t>06:00 A 09:00 10:00 A 16:00</t>
  </si>
  <si>
    <t>06:00 A 09:00 - 10:00 A 17:00</t>
  </si>
  <si>
    <t>06:00 A 08:00 - 09:00 A 16:00</t>
  </si>
  <si>
    <t xml:space="preserve">06:00 A 13:00 - 14:00 A 16:00 </t>
  </si>
  <si>
    <t>MIERCOLES 21 DE ENERO</t>
  </si>
  <si>
    <t>06:00 A 14:00 - 15:00 A 21:00</t>
  </si>
  <si>
    <t>09:00 A 20:00 - 21:00 A 22:00</t>
  </si>
  <si>
    <t>12:00 A 13:00 - 14:00 A 23:00</t>
  </si>
  <si>
    <t>00:00 A 01:00 - 17:00 A 00:00</t>
  </si>
  <si>
    <t>07:00 A 13:00 - 14:00 A 16:00</t>
  </si>
  <si>
    <t>08:00 A 12:00 - 13:00 A 22:00</t>
  </si>
  <si>
    <t>07:00 A 15:00 16:00 A 18:00</t>
  </si>
  <si>
    <t>09:00 A 11:00 - 12:00 A 22:00</t>
  </si>
  <si>
    <t>00:00 A 18:00 -19:00 A 00:00</t>
  </si>
  <si>
    <t>09:00 13:00 - 14:00 A 23:00</t>
  </si>
  <si>
    <t>08:00 A 16:00 -  17:00 A 20:00</t>
  </si>
  <si>
    <t>10:00 A 12:00 - 13:00 A 22:00</t>
  </si>
  <si>
    <t>09:00 A 12:00 - 13:00 A 22:00</t>
  </si>
  <si>
    <t>SOPORTE GTR</t>
  </si>
  <si>
    <t>08:00 A 23:00</t>
  </si>
  <si>
    <t>00:00 A 01:00 - 10:00 A 23:00</t>
  </si>
  <si>
    <t>09:00 A 18:00 - 19:00 A 22:00</t>
  </si>
  <si>
    <t>NTGCCHAO</t>
  </si>
  <si>
    <t>POTENCIALES</t>
  </si>
  <si>
    <t>06:00 A 11:00 - 12:00 A 20:00</t>
  </si>
  <si>
    <t>08:00 A 13:00 - 14:00 A 23:00</t>
  </si>
  <si>
    <t>DOMINGO 25 DE ENERO</t>
  </si>
  <si>
    <t>STI</t>
  </si>
  <si>
    <t>BASE MIGRAS</t>
  </si>
  <si>
    <t xml:space="preserve"> ST</t>
  </si>
  <si>
    <t>08:00 A 13:00 - 14:00 A 22:00</t>
  </si>
  <si>
    <t>14:00 A 18:00 - 19:00 A 22:00</t>
  </si>
  <si>
    <t>15:00 A 19:00</t>
  </si>
  <si>
    <t>JOSE LUIS</t>
  </si>
  <si>
    <t>CARLOS HERRERA</t>
  </si>
  <si>
    <t>ANDY ZAMBRANO</t>
  </si>
  <si>
    <t>06:00 A 21:00</t>
  </si>
  <si>
    <t>BASE MIGRACION</t>
  </si>
  <si>
    <t>00:00 A 07:00 - 16:00 A 17:00 -18:00 A 00:00</t>
  </si>
  <si>
    <t>00:00 A 07:00 - 16:00 A 17:00 - 19:00 A 00:00</t>
  </si>
  <si>
    <t>00:00 A 01:00 - 08:00 A 19:00</t>
  </si>
  <si>
    <t>09:00 A 11:00 - 12:00 A 21:00</t>
  </si>
  <si>
    <t>08:00 A 16:00 - 17:00 A 19:00</t>
  </si>
  <si>
    <t>00:00 A 08:00 - 19:00 A 00:00</t>
  </si>
  <si>
    <t>07:00 A 09:00 - 10:00 A 21:00</t>
  </si>
  <si>
    <t>12:00 A 18:00 - 19:00 A 23:00</t>
  </si>
  <si>
    <t xml:space="preserve">07:00 A 20:00 </t>
  </si>
  <si>
    <t>14:00 A 17:00 - 18:00 A 23:00</t>
  </si>
  <si>
    <t>08:00 A 18:00 -  19:00 A 22:00</t>
  </si>
  <si>
    <t>06:00 A 09:00 - 10:00 A 20:00</t>
  </si>
  <si>
    <t>00:00 A 08:00 -  19:00 A 00:00</t>
  </si>
  <si>
    <t>10:00 A 19:00 - 20:00 A 22:00</t>
  </si>
  <si>
    <t>00:00 A 09:00 - 19:00 A 00:00</t>
  </si>
  <si>
    <t>00:00 A 01:00 - 16:00 A 23:00</t>
  </si>
  <si>
    <t>08:00 A 13:00 -  14:00 A 22:00</t>
  </si>
  <si>
    <t>06:00 A 18:00 - 19:00 A 20:00</t>
  </si>
  <si>
    <t>08:00 A 18:00 - 19:00 A 23:00</t>
  </si>
  <si>
    <t>06:00 A 12:00 - 13:00 A 21:00</t>
  </si>
  <si>
    <t>09:00 A 15:00</t>
  </si>
  <si>
    <t xml:space="preserve">08:00 A 12:00 - 13:00 A 19:00 </t>
  </si>
  <si>
    <t>00:00 A 08:00 - 18:00 A 00:00</t>
  </si>
  <si>
    <t>11:00 A 16:00 - 17:00 A 20:00</t>
  </si>
  <si>
    <t>00:00 A 01:00 - 09:00 A 17:00 - 18:00 A 22:00</t>
  </si>
  <si>
    <t>00:00 A 01:00 - 10:00 A 12:00 - 13:00 A 23:00</t>
  </si>
  <si>
    <t>08:00 A 11:00 - 12:00 A 22:00</t>
  </si>
  <si>
    <t>08:00 A 18:00 - 19:00 A 22:00</t>
  </si>
  <si>
    <t xml:space="preserve">13:00 A 23:00 </t>
  </si>
  <si>
    <t>07:00 A 16:00 - 17:00 A 19:00</t>
  </si>
  <si>
    <t>NTGJCOR11</t>
  </si>
  <si>
    <t>NTGNFIGC</t>
  </si>
  <si>
    <t>ntgamenu</t>
  </si>
  <si>
    <t>NTGEGOYF</t>
  </si>
  <si>
    <t>NTGJARAE</t>
  </si>
  <si>
    <t>ntgjgona</t>
  </si>
  <si>
    <t>Tráfico</t>
  </si>
  <si>
    <t>Jueves</t>
  </si>
  <si>
    <t>Viernes</t>
  </si>
  <si>
    <t>Sábado</t>
  </si>
  <si>
    <t>Domingo</t>
  </si>
  <si>
    <t>Lunes</t>
  </si>
  <si>
    <t>Martes</t>
  </si>
  <si>
    <t>Miércoles</t>
  </si>
  <si>
    <t>TOTAL</t>
  </si>
  <si>
    <t>TOTAL UNIFICADA</t>
  </si>
  <si>
    <t>jueves</t>
  </si>
  <si>
    <t>viernes</t>
  </si>
  <si>
    <t>sábado</t>
  </si>
  <si>
    <t>domingo</t>
  </si>
  <si>
    <t>lunes</t>
  </si>
  <si>
    <t>martes</t>
  </si>
  <si>
    <t>miércoles</t>
  </si>
  <si>
    <t>Total</t>
  </si>
  <si>
    <t>NTGHJOHB</t>
  </si>
  <si>
    <t>NTGISAMA</t>
  </si>
  <si>
    <t xml:space="preserve">08:00 A 18:00 </t>
  </si>
  <si>
    <t>ASISTENCIA</t>
  </si>
  <si>
    <t>Meta</t>
  </si>
  <si>
    <t>%</t>
  </si>
  <si>
    <t>Libres</t>
  </si>
  <si>
    <t>Faltas injustificadas</t>
  </si>
  <si>
    <t>Usuario</t>
  </si>
  <si>
    <t>CÉDULA</t>
  </si>
  <si>
    <t>Fecha de nacimiento</t>
  </si>
  <si>
    <t>BK NORMAL</t>
  </si>
  <si>
    <t>BREAK ICBM</t>
  </si>
  <si>
    <t>EXCESO</t>
  </si>
  <si>
    <t>Total exceso</t>
  </si>
  <si>
    <t>TM BK</t>
  </si>
  <si>
    <t>7,5</t>
  </si>
  <si>
    <t>LM</t>
  </si>
  <si>
    <t>MC</t>
  </si>
  <si>
    <t>CI</t>
  </si>
  <si>
    <t>USER</t>
  </si>
  <si>
    <t>SITE</t>
  </si>
  <si>
    <t>ANY DESK</t>
  </si>
  <si>
    <t>STATUS</t>
  </si>
  <si>
    <t>LICENCIA</t>
  </si>
  <si>
    <t>LICENCIAS OPERATIVAS</t>
  </si>
  <si>
    <t>ALBARRAN CALAO MANUEL ALEJANDRO</t>
  </si>
  <si>
    <t>NTGMALBC</t>
  </si>
  <si>
    <t>UIO</t>
  </si>
  <si>
    <t>OK</t>
  </si>
  <si>
    <t>CATR930118</t>
  </si>
  <si>
    <t>EXTENSIÓN</t>
  </si>
  <si>
    <t>ASIGNADA</t>
  </si>
  <si>
    <t>SALAZAR AMAYA GABRIELA JAKELINE</t>
  </si>
  <si>
    <t>NTGGSALA</t>
  </si>
  <si>
    <t>INACTIVO</t>
  </si>
  <si>
    <t>CATR930080</t>
  </si>
  <si>
    <t>ELIMINADA</t>
  </si>
  <si>
    <t>UNIF</t>
  </si>
  <si>
    <t>CATR930076</t>
  </si>
  <si>
    <t>SOLANO ALEMAN JOSE DAVID</t>
  </si>
  <si>
    <t>NTGJSOLA</t>
  </si>
  <si>
    <t>CATR930081</t>
  </si>
  <si>
    <t>CATR930077</t>
  </si>
  <si>
    <t>NTGKGAVA</t>
  </si>
  <si>
    <t>886 133 099</t>
  </si>
  <si>
    <t>CATR930121</t>
  </si>
  <si>
    <t>CATR930078</t>
  </si>
  <si>
    <t>PAVON CONGO RITTER ALEXIS</t>
  </si>
  <si>
    <t>NTGRPAVC</t>
  </si>
  <si>
    <t>CATR930119</t>
  </si>
  <si>
    <t>CATR930079</t>
  </si>
  <si>
    <t>CATR5299</t>
  </si>
  <si>
    <t>ACOSTA GOMEZ JUAN STEVEN</t>
  </si>
  <si>
    <t>NTGJACOG</t>
  </si>
  <si>
    <t>CATR930120</t>
  </si>
  <si>
    <t>CATR930117</t>
  </si>
  <si>
    <t>CATR930082</t>
  </si>
  <si>
    <t>CAMPOVERDE ORDOÑEZ KATHERINE ESTEFANIA</t>
  </si>
  <si>
    <t>NTGKCAMO</t>
  </si>
  <si>
    <t>CATR930116</t>
  </si>
  <si>
    <t>CATR930083</t>
  </si>
  <si>
    <t>MONJE YANEZ SAMANTHA LISBETH</t>
  </si>
  <si>
    <t>NTGSMONY</t>
  </si>
  <si>
    <t>D14</t>
  </si>
  <si>
    <t>PALMA FIALLOS BYRON JOSE</t>
  </si>
  <si>
    <t>NTGBPALF</t>
  </si>
  <si>
    <t>CATR5305</t>
  </si>
  <si>
    <t>CATR5301</t>
  </si>
  <si>
    <t>D15</t>
  </si>
  <si>
    <t>DATOS / OROZCO</t>
  </si>
  <si>
    <t>VILLARREAL TORRES ROMMEL MATEO</t>
  </si>
  <si>
    <t>NTGRVILT</t>
  </si>
  <si>
    <t>CATR5307</t>
  </si>
  <si>
    <t>CATR5302</t>
  </si>
  <si>
    <t>D13</t>
  </si>
  <si>
    <t>CEDEÑO DOMINGUEZ LUIS ALFREDO</t>
  </si>
  <si>
    <t>NTGLCEDD</t>
  </si>
  <si>
    <t>CATR5304</t>
  </si>
  <si>
    <t>D12</t>
  </si>
  <si>
    <t>ALBAN MINDIOLA DORIAN ANDERSON</t>
  </si>
  <si>
    <t>NTGDALBM</t>
  </si>
  <si>
    <t>CATR930113</t>
  </si>
  <si>
    <t>CATR5306</t>
  </si>
  <si>
    <t>D11</t>
  </si>
  <si>
    <t>BAUTISTA ROZO JOSUE</t>
  </si>
  <si>
    <t>NTGJBAUR</t>
  </si>
  <si>
    <t>CATR930115</t>
  </si>
  <si>
    <t>D10</t>
  </si>
  <si>
    <t>CATR5308</t>
  </si>
  <si>
    <t>D9</t>
  </si>
  <si>
    <t>GYE</t>
  </si>
  <si>
    <t>CATR930110</t>
  </si>
  <si>
    <t>D8</t>
  </si>
  <si>
    <t>CATR930111</t>
  </si>
  <si>
    <t>D7</t>
  </si>
  <si>
    <t>CATR930112</t>
  </si>
  <si>
    <t>1754687471</t>
  </si>
  <si>
    <t>D5</t>
  </si>
  <si>
    <t>CATR930114</t>
  </si>
  <si>
    <t>D4</t>
  </si>
  <si>
    <t>D3</t>
  </si>
  <si>
    <t>D2</t>
  </si>
  <si>
    <t>D38</t>
  </si>
  <si>
    <t>D39</t>
  </si>
  <si>
    <t>D40</t>
  </si>
  <si>
    <t>D41</t>
  </si>
  <si>
    <t>D42</t>
  </si>
  <si>
    <t>ARIEL</t>
  </si>
  <si>
    <t>QUIÑONEZ ORTIZ EDDY JOEL</t>
  </si>
  <si>
    <t>CORP</t>
  </si>
  <si>
    <t>D43</t>
  </si>
  <si>
    <t>RODRIGUEZ ESQUIVEL KEYNNER JOSE</t>
  </si>
  <si>
    <t>CHIRIBOGA MACIAS ALISSON MARCELA</t>
  </si>
  <si>
    <t>MENDEZ CHAMORRO MEGAN TIFANNY</t>
  </si>
  <si>
    <t>MAQUINA PRESENCIA</t>
  </si>
  <si>
    <t>10 DE AGOSTO</t>
  </si>
  <si>
    <t>ORELLANA</t>
  </si>
  <si>
    <t>ANCHALA CASAS KATHERINE ESTEFANIA</t>
  </si>
  <si>
    <t>CATR5303</t>
  </si>
  <si>
    <t>BACK RRSS</t>
  </si>
  <si>
    <t>CORREA TENECELA YADIRA KATHERINE</t>
  </si>
  <si>
    <t>CATR5362</t>
  </si>
  <si>
    <t>RENOVACIÓN</t>
  </si>
  <si>
    <t>CORREA TENECELA RICHARD FABIAN</t>
  </si>
  <si>
    <t>CATR5356</t>
  </si>
  <si>
    <t>Maritza del Pilar Paez Guachamin</t>
  </si>
  <si>
    <t>CATR5311</t>
  </si>
  <si>
    <t>06:00 A 09:00 - 10:00 A 19:00</t>
  </si>
  <si>
    <t>SOPORTE SUPERVISION</t>
  </si>
  <si>
    <t>07:00 A 18:00 -  19:00 A 21:00</t>
  </si>
  <si>
    <t>BROWNFIELD</t>
  </si>
  <si>
    <t>07:00 A 23:00</t>
  </si>
  <si>
    <t>SEGUIMIENTO TRNASFERENCIAS</t>
  </si>
  <si>
    <t xml:space="preserve">V </t>
  </si>
  <si>
    <t>10:00 A 00:00</t>
  </si>
  <si>
    <t>10:00 A 13:00 - 14:00 A 00:00</t>
  </si>
  <si>
    <t>08:00 A 19:00 - 20:00 A 22:00</t>
  </si>
  <si>
    <t>00:00 A 01:00 A 09:00 A 19:00 - 20:00 A 23:00</t>
  </si>
  <si>
    <t>10:00 A 15:00 - 16:00 A 00:00</t>
  </si>
  <si>
    <t>ntgacaml</t>
  </si>
  <si>
    <t>NTGJZAM10</t>
  </si>
  <si>
    <t>10:00  A 22:00</t>
  </si>
  <si>
    <t>06:00  A 19:00</t>
  </si>
  <si>
    <t>00:00 A 01:00 -  11:00 A 16:00 - 17:00 A 00:00</t>
  </si>
  <si>
    <t xml:space="preserve"> 06:00 A 21:00</t>
  </si>
  <si>
    <t>08:00 A 08:00</t>
  </si>
  <si>
    <t>07:00 A 08:00 - 09:00 A 21:00</t>
  </si>
  <si>
    <t>07:00 A 17:00 - 18:00 A 22:00</t>
  </si>
  <si>
    <t>00:00 A 01:00 -  11:00 A 18:00 - 19:00 A 22:00</t>
  </si>
  <si>
    <t>07:00 A 19:00 - 20:00 A 23:00</t>
  </si>
  <si>
    <t>00:00 A 01:00 - 15:00 A 00:00</t>
  </si>
  <si>
    <t>QUISHPE JOSE LUIS</t>
  </si>
  <si>
    <t>BENITEZ ANTONY</t>
  </si>
  <si>
    <t>18:00 A 00:00 - 00:00 A 01:00</t>
  </si>
  <si>
    <t>09:00  A 22:00</t>
  </si>
  <si>
    <t>08:00 A  22:00</t>
  </si>
  <si>
    <t>09:00 A  22:00</t>
  </si>
  <si>
    <t>09:00  A 23:00</t>
  </si>
  <si>
    <t xml:space="preserve">    09:00 A 20:00</t>
  </si>
  <si>
    <t xml:space="preserve">09:00 A 14:00 - 15:00 A 23:00   </t>
  </si>
  <si>
    <t xml:space="preserve"> 07:00 A 16:00 - 17:00 A 21:00</t>
  </si>
  <si>
    <t xml:space="preserve">07:00 A 19:00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</si>
</sst>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_(* #,##0_);_(* \(#,##0\);_(* &quot;-&quot;_);_(@_)"/>
    <numFmt numFmtId="166" formatCode="h&quot;:&quot;mm&quot;:&quot;ss"/>
    <numFmt numFmtId="167" formatCode="h:mm:ss;@"/>
  </numFmts>
  <fonts count="7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40"/>
      <color theme="1"/>
      <name val="Calibri"/>
      <family val="2"/>
    </font>
    <font>
      <sz val="11"/>
      <name val="Calibri"/>
      <family val="2"/>
    </font>
    <font>
      <b/>
      <sz val="8"/>
      <color rgb="FFFFFFFF"/>
      <name val="&quot;Century Gothic&quot;"/>
    </font>
    <font>
      <sz val="8"/>
      <color rgb="FF0D0D0D"/>
      <name val="&quot;Century Gothic&quot;"/>
    </font>
    <font>
      <b/>
      <sz val="8"/>
      <color theme="0"/>
      <name val="Century Gothic"/>
      <family val="2"/>
    </font>
    <font>
      <b/>
      <sz val="48"/>
      <color theme="1"/>
      <name val="Calibri"/>
      <family val="2"/>
    </font>
    <font>
      <sz val="10"/>
      <color theme="1"/>
      <name val="Century Gothic"/>
      <family val="2"/>
    </font>
    <font>
      <b/>
      <sz val="10"/>
      <color theme="1"/>
      <name val="Calibri"/>
      <family val="2"/>
    </font>
    <font>
      <sz val="20"/>
      <color theme="1"/>
      <name val="Calibri"/>
      <family val="2"/>
    </font>
    <font>
      <sz val="8"/>
      <color theme="1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26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entury Gothic"/>
      <family val="2"/>
    </font>
    <font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entury Gothic"/>
      <family val="2"/>
    </font>
    <font>
      <b/>
      <sz val="8"/>
      <color rgb="FF000000"/>
      <name val="Century Gothic"/>
      <family val="2"/>
    </font>
    <font>
      <b/>
      <sz val="11"/>
      <color rgb="FF000000"/>
      <name val="Calibri"/>
      <family val="2"/>
    </font>
    <font>
      <sz val="12"/>
      <color rgb="FF434343"/>
      <name val="Calibri"/>
      <family val="2"/>
    </font>
    <font>
      <sz val="8"/>
      <color rgb="FF434343"/>
      <name val="Century Gothic"/>
      <family val="2"/>
    </font>
    <font>
      <sz val="11"/>
      <color rgb="FF434343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rgb="FFFFFF00"/>
      <name val="Century Gothic"/>
      <family val="2"/>
    </font>
    <font>
      <b/>
      <sz val="11"/>
      <color rgb="FFFFFF00"/>
      <name val="Calibri"/>
      <family val="2"/>
    </font>
    <font>
      <sz val="11"/>
      <color rgb="FF000000"/>
      <name val="&quot;Arial&quot;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434343"/>
      <name val="Calibri"/>
      <family val="2"/>
    </font>
    <font>
      <b/>
      <sz val="11"/>
      <color rgb="FF000000"/>
      <name val="Century Gothic"/>
      <family val="2"/>
    </font>
    <font>
      <b/>
      <sz val="12"/>
      <color rgb="FFFF0000"/>
      <name val="Calibri"/>
      <family val="2"/>
    </font>
    <font>
      <b/>
      <sz val="11"/>
      <color rgb="FF434343"/>
      <name val="Calibri"/>
      <family val="2"/>
    </font>
    <font>
      <sz val="8"/>
      <color rgb="FFFFFF00"/>
      <name val="Century Gothic"/>
      <family val="2"/>
    </font>
    <font>
      <sz val="11"/>
      <color rgb="FFFFFF00"/>
      <name val="Calibri"/>
      <family val="2"/>
    </font>
    <font>
      <b/>
      <sz val="11"/>
      <color rgb="FFFFFF00"/>
      <name val="Century Gothic"/>
      <family val="2"/>
    </font>
    <font>
      <sz val="8"/>
      <color rgb="FF000000"/>
      <name val="&quot;Century Gothic&quot;"/>
    </font>
    <font>
      <b/>
      <sz val="8"/>
      <color rgb="FF000000"/>
      <name val="&quot;Century Gothic&quot;"/>
    </font>
    <font>
      <b/>
      <sz val="8"/>
      <color rgb="FF0D0D0D"/>
      <name val="&quot;Century Gothic&quot;"/>
    </font>
    <font>
      <b/>
      <sz val="8"/>
      <color theme="1"/>
      <name val="&quot;Century Gothic&quot;"/>
    </font>
    <font>
      <b/>
      <sz val="7"/>
      <color rgb="FFFFFFFF"/>
      <name val="&quot;Century Gothic&quot;"/>
    </font>
    <font>
      <sz val="8"/>
      <color rgb="FFFFFF00"/>
      <name val="&quot;Century Gothic&quot;"/>
    </font>
    <font>
      <sz val="11"/>
      <color rgb="FFFF0000"/>
      <name val="&quot;Arial&quot;"/>
    </font>
    <font>
      <b/>
      <sz val="13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9"/>
      <color rgb="FF1F1F1F"/>
      <name val="&quot;Google Sans&quot;"/>
    </font>
    <font>
      <b/>
      <sz val="12"/>
      <color rgb="FF434343"/>
      <name val="Calibri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8"/>
      <name val="Arial"/>
      <family val="2"/>
    </font>
    <font>
      <sz val="12"/>
      <name val="Calibri"/>
      <family val="2"/>
    </font>
    <font>
      <sz val="8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76A5AF"/>
        <bgColor rgb="FF76A5AF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7FC67C"/>
        <bgColor rgb="FF7FC67C"/>
      </patternFill>
    </fill>
    <fill>
      <patternFill patternType="solid">
        <fgColor rgb="FF63BE7B"/>
        <bgColor rgb="FF63BE7B"/>
      </patternFill>
    </fill>
    <fill>
      <patternFill patternType="solid">
        <fgColor rgb="FFE2E282"/>
        <bgColor rgb="FFE2E282"/>
      </patternFill>
    </fill>
    <fill>
      <patternFill patternType="solid">
        <fgColor rgb="FFF0E683"/>
        <bgColor rgb="FFF0E683"/>
      </patternFill>
    </fill>
    <fill>
      <patternFill patternType="solid">
        <fgColor rgb="FFFB9F76"/>
        <bgColor rgb="FFFB9F76"/>
      </patternFill>
    </fill>
    <fill>
      <patternFill patternType="solid">
        <fgColor rgb="FFFEC87E"/>
        <bgColor rgb="FFFEC87E"/>
      </patternFill>
    </fill>
    <fill>
      <patternFill patternType="solid">
        <fgColor rgb="FFA9D27F"/>
        <bgColor rgb="FFA9D27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82C77C"/>
        <bgColor rgb="FF82C77C"/>
      </patternFill>
    </fill>
    <fill>
      <patternFill patternType="solid">
        <fgColor rgb="FFA1D07E"/>
        <bgColor rgb="FFA1D07E"/>
      </patternFill>
    </fill>
    <fill>
      <patternFill patternType="solid">
        <fgColor rgb="FFFFEB84"/>
        <bgColor rgb="FFFFEB84"/>
      </patternFill>
    </fill>
    <fill>
      <patternFill patternType="solid">
        <fgColor rgb="FFF8696B"/>
        <bgColor rgb="FFF8696B"/>
      </patternFill>
    </fill>
    <fill>
      <patternFill patternType="solid">
        <fgColor rgb="FFFDC07C"/>
        <bgColor rgb="FFFDC07C"/>
      </patternFill>
    </fill>
    <fill>
      <patternFill patternType="solid">
        <fgColor rgb="FF72C27B"/>
        <bgColor rgb="FF72C27B"/>
      </patternFill>
    </fill>
    <fill>
      <patternFill patternType="solid">
        <fgColor rgb="FFC0D980"/>
        <bgColor rgb="FFC0D980"/>
      </patternFill>
    </fill>
    <fill>
      <patternFill patternType="solid">
        <fgColor rgb="FFEFE683"/>
        <bgColor rgb="FFEFE683"/>
      </patternFill>
    </fill>
    <fill>
      <patternFill patternType="solid">
        <fgColor rgb="FFFFE283"/>
        <bgColor rgb="FFFFE283"/>
      </patternFill>
    </fill>
    <fill>
      <patternFill patternType="solid">
        <fgColor rgb="FFFDBB7B"/>
        <bgColor rgb="FFFDBB7B"/>
      </patternFill>
    </fill>
    <fill>
      <patternFill patternType="solid">
        <fgColor rgb="FFFED881"/>
        <bgColor rgb="FFFED881"/>
      </patternFill>
    </fill>
    <fill>
      <patternFill patternType="solid">
        <fgColor rgb="FFD0DD81"/>
        <bgColor rgb="FFD0DD81"/>
      </patternFill>
    </fill>
    <fill>
      <patternFill patternType="solid">
        <fgColor rgb="FF91CB7D"/>
        <bgColor rgb="FF91CB7D"/>
      </patternFill>
    </fill>
    <fill>
      <patternFill patternType="solid">
        <fgColor rgb="FFB1D47F"/>
        <bgColor rgb="FFB1D47F"/>
      </patternFill>
    </fill>
    <fill>
      <patternFill patternType="solid">
        <fgColor rgb="FFFDB87B"/>
        <bgColor rgb="FFFDB87B"/>
      </patternFill>
    </fill>
    <fill>
      <patternFill patternType="solid">
        <fgColor rgb="FFFB9D75"/>
        <bgColor rgb="FFFB9D75"/>
      </patternFill>
    </fill>
    <fill>
      <patternFill patternType="solid">
        <fgColor rgb="FFFA8370"/>
        <bgColor rgb="FFFA8370"/>
      </patternFill>
    </fill>
    <fill>
      <patternFill patternType="solid">
        <fgColor rgb="FFFED280"/>
        <bgColor rgb="FFFED280"/>
      </patternFill>
    </fill>
    <fill>
      <patternFill patternType="solid">
        <fgColor rgb="FFDFE282"/>
        <bgColor rgb="FFDFE282"/>
      </patternFill>
    </fill>
    <fill>
      <patternFill patternType="solid">
        <fgColor rgb="FFFED380"/>
        <bgColor rgb="FFFED380"/>
      </patternFill>
    </fill>
    <fill>
      <patternFill patternType="solid">
        <fgColor rgb="FFFCA878"/>
        <bgColor rgb="FFFCA878"/>
      </patternFill>
    </fill>
    <fill>
      <patternFill patternType="solid">
        <fgColor rgb="FF71C27B"/>
        <bgColor rgb="FF71C27B"/>
      </patternFill>
    </fill>
    <fill>
      <patternFill patternType="solid">
        <fgColor rgb="FFD4DE81"/>
        <bgColor rgb="FFD4DE81"/>
      </patternFill>
    </fill>
    <fill>
      <patternFill patternType="solid">
        <fgColor rgb="FFFFE383"/>
        <bgColor rgb="FFFFE383"/>
      </patternFill>
    </fill>
    <fill>
      <patternFill patternType="solid">
        <fgColor rgb="FFFED580"/>
        <bgColor rgb="FFFED580"/>
      </patternFill>
    </fill>
    <fill>
      <patternFill patternType="solid">
        <fgColor rgb="FFFFDE82"/>
        <bgColor rgb="FFFFDE82"/>
      </patternFill>
    </fill>
    <fill>
      <patternFill patternType="solid">
        <fgColor rgb="FFFDB67A"/>
        <bgColor rgb="FFFDB67A"/>
      </patternFill>
    </fill>
    <fill>
      <patternFill patternType="solid">
        <fgColor rgb="FFFCA477"/>
        <bgColor rgb="FFFCA477"/>
      </patternFill>
    </fill>
    <fill>
      <patternFill patternType="solid">
        <fgColor rgb="FFFCB179"/>
        <bgColor rgb="FFFCB179"/>
      </patternFill>
    </fill>
    <fill>
      <patternFill patternType="solid">
        <fgColor rgb="FFFDC37D"/>
        <bgColor rgb="FFFDC37D"/>
      </patternFill>
    </fill>
    <fill>
      <patternFill patternType="solid">
        <fgColor rgb="FFFDBA7B"/>
        <bgColor rgb="FFFDBA7B"/>
      </patternFill>
    </fill>
    <fill>
      <patternFill patternType="solid">
        <fgColor rgb="FFA4C2F4"/>
        <bgColor rgb="FFA4C2F4"/>
      </patternFill>
    </fill>
    <fill>
      <patternFill patternType="solid">
        <fgColor rgb="FF9BCE7E"/>
        <bgColor rgb="FF9BCE7E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B9774"/>
        <bgColor rgb="FFFB9774"/>
      </patternFill>
    </fill>
    <fill>
      <patternFill patternType="solid">
        <fgColor rgb="FFFCAA78"/>
        <bgColor rgb="FFFCAA78"/>
      </patternFill>
    </fill>
    <fill>
      <patternFill patternType="solid">
        <fgColor rgb="FFFDBE7C"/>
        <bgColor rgb="FFFDBE7C"/>
      </patternFill>
    </fill>
    <fill>
      <patternFill patternType="solid">
        <fgColor rgb="FFFB9073"/>
        <bgColor rgb="FFFB9073"/>
      </patternFill>
    </fill>
    <fill>
      <patternFill patternType="solid">
        <fgColor rgb="FFFA7D6F"/>
        <bgColor rgb="FFFA7D6F"/>
      </patternFill>
    </fill>
    <fill>
      <patternFill patternType="solid">
        <fgColor rgb="FFFA8A72"/>
        <bgColor rgb="FFFA8A72"/>
      </patternFill>
    </fill>
    <fill>
      <patternFill patternType="solid">
        <fgColor rgb="FFFECB7E"/>
        <bgColor rgb="FFFECB7E"/>
      </patternFill>
    </fill>
    <fill>
      <patternFill patternType="solid">
        <fgColor rgb="FFFDC47D"/>
        <bgColor rgb="FFFDC47D"/>
      </patternFill>
    </fill>
    <fill>
      <patternFill patternType="solid">
        <fgColor rgb="FFFFE583"/>
        <bgColor rgb="FFFFE58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97CD7E"/>
        <bgColor rgb="FF97CD7E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FA9172"/>
        <bgColor rgb="FFFA9172"/>
      </patternFill>
    </fill>
    <fill>
      <patternFill patternType="solid">
        <fgColor rgb="FFFBA576"/>
        <bgColor rgb="FFFBA576"/>
      </patternFill>
    </fill>
    <fill>
      <patternFill patternType="solid">
        <fgColor rgb="FFFCB97A"/>
        <bgColor rgb="FFFCB97A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434343"/>
        <bgColor rgb="FF434343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F98370"/>
        <bgColor rgb="FFF98370"/>
      </patternFill>
    </fill>
    <fill>
      <patternFill patternType="solid">
        <fgColor rgb="FFFDD17F"/>
        <bgColor rgb="FFFDD17F"/>
      </patternFill>
    </fill>
    <fill>
      <patternFill patternType="solid">
        <fgColor rgb="FFE0E383"/>
        <bgColor rgb="FFE0E383"/>
      </patternFill>
    </fill>
    <fill>
      <patternFill patternType="solid">
        <fgColor rgb="FFFCB77A"/>
        <bgColor rgb="FFFCB77A"/>
      </patternFill>
    </fill>
    <fill>
      <patternFill patternType="solid">
        <fgColor rgb="FFFA9D75"/>
        <bgColor rgb="FFFA9D75"/>
      </patternFill>
    </fill>
    <fill>
      <patternFill patternType="solid">
        <fgColor rgb="FFB8D67F"/>
        <bgColor rgb="FFB8D67F"/>
      </patternFill>
    </fill>
    <fill>
      <patternFill patternType="solid">
        <fgColor rgb="FFCBDC81"/>
        <bgColor rgb="FFCBDC81"/>
      </patternFill>
    </fill>
    <fill>
      <patternFill patternType="solid">
        <fgColor rgb="FFC00000"/>
        <bgColor rgb="FFC00000"/>
      </patternFill>
    </fill>
    <fill>
      <patternFill patternType="solid">
        <fgColor rgb="FFC6DA80"/>
        <bgColor rgb="FFC6DA80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8DCA7D"/>
        <bgColor rgb="FF8DCA7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0CECE"/>
        <bgColor rgb="FFD0CECE"/>
      </patternFill>
    </fill>
    <fill>
      <patternFill patternType="solid">
        <fgColor theme="5"/>
        <bgColor theme="5"/>
      </patternFill>
    </fill>
    <fill>
      <patternFill patternType="solid">
        <fgColor rgb="FFA2D07F"/>
        <bgColor rgb="FFA2D07F"/>
      </patternFill>
    </fill>
    <fill>
      <patternFill patternType="solid">
        <fgColor rgb="FFFEE182"/>
        <bgColor rgb="FFFEE182"/>
      </patternFill>
    </fill>
    <fill>
      <patternFill patternType="solid">
        <fgColor rgb="FFFDCD7E"/>
        <bgColor rgb="FFFDCD7E"/>
      </patternFill>
    </fill>
    <fill>
      <patternFill patternType="solid">
        <fgColor rgb="FFC1DA81"/>
        <bgColor rgb="FFC1DA81"/>
      </patternFill>
    </fill>
    <fill>
      <patternFill patternType="solid">
        <fgColor rgb="FF83C77D"/>
        <bgColor rgb="FF83C77D"/>
      </patternFill>
    </fill>
    <fill>
      <patternFill patternType="solid">
        <fgColor rgb="FFFBA075"/>
        <bgColor rgb="FFFBA075"/>
      </patternFill>
    </fill>
    <fill>
      <patternFill patternType="solid">
        <fgColor rgb="FFFDCF7E"/>
        <bgColor rgb="FFFDCF7E"/>
      </patternFill>
    </fill>
    <fill>
      <patternFill patternType="solid">
        <fgColor rgb="FFEDE683"/>
        <bgColor rgb="FFEDE683"/>
      </patternFill>
    </fill>
    <fill>
      <patternFill patternType="solid">
        <fgColor rgb="FFFED880"/>
        <bgColor rgb="FFFED880"/>
      </patternFill>
    </fill>
    <fill>
      <patternFill patternType="solid">
        <fgColor rgb="FFFCB379"/>
        <bgColor rgb="FFFCB379"/>
      </patternFill>
    </fill>
    <fill>
      <patternFill patternType="solid">
        <fgColor rgb="FFF8726C"/>
        <bgColor rgb="FFF8726C"/>
      </patternFill>
    </fill>
    <fill>
      <patternFill patternType="solid">
        <fgColor rgb="FFFFD966"/>
        <bgColor rgb="FFFFD966"/>
      </patternFill>
    </fill>
    <fill>
      <patternFill patternType="solid">
        <fgColor rgb="FFFFC000"/>
        <bgColor rgb="FFFFC000"/>
      </patternFill>
    </fill>
    <fill>
      <patternFill patternType="solid">
        <fgColor rgb="FF333F4F"/>
        <bgColor rgb="FF333F4F"/>
      </patternFill>
    </fill>
    <fill>
      <patternFill patternType="solid">
        <fgColor rgb="FFD9E1F2"/>
        <bgColor rgb="FFD9E1F2"/>
      </patternFill>
    </fill>
    <fill>
      <patternFill patternType="solid">
        <fgColor rgb="FFF97B6E"/>
        <bgColor rgb="FFF97B6E"/>
      </patternFill>
    </fill>
    <fill>
      <patternFill patternType="solid">
        <fgColor rgb="FFFDC57C"/>
        <bgColor rgb="FFFDC57C"/>
      </patternFill>
    </fill>
    <fill>
      <patternFill patternType="solid">
        <fgColor rgb="FFFCBC7B"/>
        <bgColor rgb="FFFCBC7B"/>
      </patternFill>
    </fill>
    <fill>
      <patternFill patternType="solid">
        <fgColor rgb="FFFBAA77"/>
        <bgColor rgb="FFFBAA77"/>
      </patternFill>
    </fill>
    <fill>
      <patternFill patternType="solid">
        <fgColor rgb="FFFFDB81"/>
        <bgColor rgb="FFFFDB81"/>
      </patternFill>
    </fill>
    <fill>
      <patternFill patternType="solid">
        <fgColor rgb="FFBFD981"/>
        <bgColor rgb="FFBFD981"/>
      </patternFill>
    </fill>
    <fill>
      <patternFill patternType="solid">
        <fgColor rgb="FFD2DE82"/>
        <bgColor rgb="FFD2DE82"/>
      </patternFill>
    </fill>
    <fill>
      <patternFill patternType="solid">
        <fgColor rgb="FFE4E483"/>
        <bgColor rgb="FFE4E483"/>
      </patternFill>
    </fill>
    <fill>
      <patternFill patternType="solid">
        <fgColor rgb="FFC8DC81"/>
        <bgColor rgb="FFC8DC81"/>
      </patternFill>
    </fill>
    <fill>
      <patternFill patternType="solid">
        <fgColor rgb="FFFCA276"/>
        <bgColor rgb="FFFCA276"/>
      </patternFill>
    </fill>
    <fill>
      <patternFill patternType="solid">
        <fgColor rgb="FFFB9A75"/>
        <bgColor rgb="FFFB9A75"/>
      </patternFill>
    </fill>
    <fill>
      <patternFill patternType="solid">
        <fgColor rgb="FF88C97E"/>
        <bgColor rgb="FF88C97E"/>
      </patternFill>
    </fill>
    <fill>
      <patternFill patternType="solid">
        <fgColor rgb="FF9BCE7F"/>
        <bgColor rgb="FF9BCE7F"/>
      </patternFill>
    </fill>
    <fill>
      <patternFill patternType="solid">
        <fgColor rgb="FFA4D17F"/>
        <bgColor rgb="FFA4D17F"/>
      </patternFill>
    </fill>
    <fill>
      <patternFill patternType="solid">
        <fgColor rgb="FF91CC7E"/>
        <bgColor rgb="FF91CC7E"/>
      </patternFill>
    </fill>
    <fill>
      <patternFill patternType="solid">
        <fgColor rgb="FFFCB37A"/>
        <bgColor rgb="FFFCB37A"/>
      </patternFill>
    </fill>
    <fill>
      <patternFill patternType="solid">
        <fgColor rgb="FFFA8270"/>
        <bgColor rgb="FFFA8270"/>
      </patternFill>
    </fill>
    <fill>
      <patternFill patternType="solid">
        <fgColor rgb="FFFB9273"/>
        <bgColor rgb="FFFB9273"/>
      </patternFill>
    </fill>
    <fill>
      <patternFill patternType="solid">
        <fgColor rgb="FFF97A6F"/>
        <bgColor rgb="FFF97A6F"/>
      </patternFill>
    </fill>
    <fill>
      <patternFill patternType="solid">
        <fgColor rgb="FF7FC67D"/>
        <bgColor rgb="FF7FC67D"/>
      </patternFill>
    </fill>
    <fill>
      <patternFill patternType="solid">
        <fgColor rgb="FFB6D680"/>
        <bgColor rgb="FFB6D680"/>
      </patternFill>
    </fill>
    <fill>
      <patternFill patternType="solid">
        <fgColor rgb="FF76C47D"/>
        <bgColor rgb="FF76C47D"/>
      </patternFill>
    </fill>
    <fill>
      <patternFill patternType="solid">
        <fgColor rgb="FFF9726D"/>
        <bgColor rgb="FFF9726D"/>
      </patternFill>
    </fill>
    <fill>
      <patternFill patternType="solid">
        <fgColor rgb="FFDBE182"/>
        <bgColor rgb="FFDBE182"/>
      </patternFill>
    </fill>
    <fill>
      <patternFill patternType="solid">
        <fgColor rgb="FFADD480"/>
        <bgColor rgb="FFADD480"/>
      </patternFill>
    </fill>
    <fill>
      <patternFill patternType="solid">
        <fgColor rgb="FFF6E984"/>
        <bgColor rgb="FFF6E984"/>
      </patternFill>
    </fill>
    <fill>
      <patternFill patternType="solid">
        <fgColor rgb="FFFA9773"/>
        <bgColor rgb="FFFA9773"/>
      </patternFill>
    </fill>
    <fill>
      <patternFill patternType="solid">
        <fgColor rgb="FFFA8E72"/>
        <bgColor rgb="FFFA8E72"/>
      </patternFill>
    </fill>
    <fill>
      <patternFill patternType="solid">
        <fgColor rgb="FFF98470"/>
        <bgColor rgb="FFF98470"/>
      </patternFill>
    </fill>
    <fill>
      <patternFill patternType="solid">
        <fgColor rgb="FFF2F2F2"/>
        <bgColor rgb="FFF2F2F2"/>
      </patternFill>
    </fill>
    <fill>
      <patternFill patternType="solid">
        <fgColor rgb="FFFB9874"/>
        <bgColor rgb="FFFB9874"/>
      </patternFill>
    </fill>
    <fill>
      <patternFill patternType="solid">
        <fgColor theme="7"/>
        <bgColor theme="7"/>
      </patternFill>
    </fill>
    <fill>
      <patternFill patternType="solid">
        <fgColor rgb="FFBCD780"/>
        <bgColor rgb="FFBCD780"/>
      </patternFill>
    </fill>
    <fill>
      <patternFill patternType="solid">
        <fgColor rgb="FFE8E482"/>
        <bgColor rgb="FFE8E482"/>
      </patternFill>
    </fill>
    <fill>
      <patternFill patternType="solid">
        <fgColor rgb="FFFCAC78"/>
        <bgColor rgb="FFFCAC78"/>
      </patternFill>
    </fill>
    <fill>
      <patternFill patternType="solid">
        <fgColor rgb="FFFED480"/>
        <bgColor rgb="FFFED480"/>
      </patternFill>
    </fill>
    <fill>
      <patternFill patternType="solid">
        <fgColor rgb="FF8FCA7D"/>
        <bgColor rgb="FF8FCA7D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92D050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rgb="FF92D050"/>
        <bgColor rgb="FFD8D8D8"/>
      </patternFill>
    </fill>
    <fill>
      <patternFill patternType="solid">
        <fgColor theme="1"/>
        <bgColor rgb="FFD9D9D9"/>
      </patternFill>
    </fill>
    <fill>
      <patternFill patternType="solid">
        <fgColor rgb="FFFF0000"/>
        <bgColor rgb="FFD8D8D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FFC000"/>
        <bgColor rgb="FFD9D9D9"/>
      </patternFill>
    </fill>
    <fill>
      <patternFill patternType="solid">
        <fgColor theme="5" tint="0.59999389629810485"/>
        <bgColor rgb="FFD9D9D9"/>
      </patternFill>
    </fill>
    <fill>
      <patternFill patternType="solid">
        <fgColor rgb="FF00B050"/>
        <bgColor rgb="FFD9D9D9"/>
      </patternFill>
    </fill>
    <fill>
      <patternFill patternType="solid">
        <fgColor theme="7" tint="0.39997558519241921"/>
        <bgColor rgb="FFD9D9D9"/>
      </patternFill>
    </fill>
    <fill>
      <patternFill patternType="solid">
        <fgColor rgb="FF00B0F0"/>
        <bgColor rgb="FF97CD7E"/>
      </patternFill>
    </fill>
    <fill>
      <patternFill patternType="solid">
        <fgColor theme="9" tint="0.39997558519241921"/>
        <bgColor rgb="FFD9D9D9"/>
      </patternFill>
    </fill>
    <fill>
      <patternFill patternType="solid">
        <fgColor theme="3"/>
        <bgColor rgb="FFD9D9D9"/>
      </patternFill>
    </fill>
    <fill>
      <patternFill patternType="solid">
        <fgColor theme="2" tint="-0.14999847407452621"/>
        <bgColor rgb="FFD9D9D9"/>
      </patternFill>
    </fill>
    <fill>
      <patternFill patternType="solid">
        <fgColor rgb="FF00B050"/>
        <bgColor rgb="FFD8D8D8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wrapText="1"/>
    </xf>
    <xf numFmtId="0" fontId="7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/>
    </xf>
    <xf numFmtId="0" fontId="3" fillId="6" borderId="4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8" fillId="12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8" fillId="14" borderId="7" xfId="0" applyFont="1" applyFill="1" applyBorder="1" applyAlignment="1">
      <alignment horizontal="center"/>
    </xf>
    <xf numFmtId="0" fontId="8" fillId="15" borderId="7" xfId="0" applyFont="1" applyFill="1" applyBorder="1" applyAlignment="1">
      <alignment horizontal="center"/>
    </xf>
    <xf numFmtId="3" fontId="9" fillId="16" borderId="6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11" fillId="17" borderId="11" xfId="0" applyFont="1" applyFill="1" applyBorder="1" applyAlignment="1">
      <alignment horizontal="center" vertical="center" textRotation="90"/>
    </xf>
    <xf numFmtId="164" fontId="11" fillId="17" borderId="11" xfId="0" applyNumberFormat="1" applyFont="1" applyFill="1" applyBorder="1" applyAlignment="1">
      <alignment horizontal="center" vertical="center" textRotation="90"/>
    </xf>
    <xf numFmtId="0" fontId="12" fillId="17" borderId="12" xfId="0" applyFont="1" applyFill="1" applyBorder="1" applyAlignment="1">
      <alignment horizontal="center" vertical="center" textRotation="90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6" borderId="13" xfId="0" applyFont="1" applyFill="1" applyBorder="1" applyAlignment="1">
      <alignment horizontal="center"/>
    </xf>
    <xf numFmtId="0" fontId="3" fillId="17" borderId="14" xfId="0" applyFont="1" applyFill="1" applyBorder="1"/>
    <xf numFmtId="165" fontId="14" fillId="17" borderId="15" xfId="0" applyNumberFormat="1" applyFont="1" applyFill="1" applyBorder="1" applyAlignment="1">
      <alignment horizontal="right" vertical="center"/>
    </xf>
    <xf numFmtId="165" fontId="14" fillId="17" borderId="16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left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16" fillId="18" borderId="24" xfId="0" applyFont="1" applyFill="1" applyBorder="1" applyAlignment="1">
      <alignment horizontal="left"/>
    </xf>
    <xf numFmtId="0" fontId="17" fillId="6" borderId="25" xfId="0" applyFont="1" applyFill="1" applyBorder="1" applyAlignment="1">
      <alignment horizontal="center" vertical="center"/>
    </xf>
    <xf numFmtId="0" fontId="17" fillId="19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7" fillId="8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3" fillId="19" borderId="26" xfId="0" applyFont="1" applyFill="1" applyBorder="1" applyAlignment="1">
      <alignment vertical="center"/>
    </xf>
    <xf numFmtId="0" fontId="2" fillId="6" borderId="0" xfId="0" applyFont="1" applyFill="1" applyAlignment="1">
      <alignment horizontal="center"/>
    </xf>
    <xf numFmtId="0" fontId="3" fillId="6" borderId="15" xfId="0" applyFont="1" applyFill="1" applyBorder="1" applyAlignment="1">
      <alignment horizontal="left"/>
    </xf>
    <xf numFmtId="0" fontId="3" fillId="6" borderId="31" xfId="0" applyFont="1" applyFill="1" applyBorder="1" applyAlignment="1">
      <alignment horizontal="left"/>
    </xf>
    <xf numFmtId="0" fontId="11" fillId="6" borderId="15" xfId="0" applyFont="1" applyFill="1" applyBorder="1" applyAlignment="1">
      <alignment horizontal="center" vertical="center" textRotation="90"/>
    </xf>
    <xf numFmtId="164" fontId="11" fillId="6" borderId="15" xfId="0" applyNumberFormat="1" applyFont="1" applyFill="1" applyBorder="1" applyAlignment="1">
      <alignment horizontal="center" vertical="center" textRotation="90"/>
    </xf>
    <xf numFmtId="0" fontId="17" fillId="6" borderId="0" xfId="0" applyFont="1" applyFill="1" applyAlignment="1">
      <alignment horizontal="center" vertical="center"/>
    </xf>
    <xf numFmtId="0" fontId="8" fillId="21" borderId="7" xfId="0" applyFont="1" applyFill="1" applyBorder="1" applyAlignment="1">
      <alignment horizontal="center"/>
    </xf>
    <xf numFmtId="0" fontId="8" fillId="22" borderId="7" xfId="0" applyFont="1" applyFill="1" applyBorder="1" applyAlignment="1">
      <alignment horizontal="center"/>
    </xf>
    <xf numFmtId="0" fontId="8" fillId="23" borderId="7" xfId="0" applyFont="1" applyFill="1" applyBorder="1" applyAlignment="1">
      <alignment horizontal="center"/>
    </xf>
    <xf numFmtId="0" fontId="8" fillId="24" borderId="7" xfId="0" applyFont="1" applyFill="1" applyBorder="1" applyAlignment="1">
      <alignment horizontal="center"/>
    </xf>
    <xf numFmtId="0" fontId="8" fillId="25" borderId="7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19" fillId="6" borderId="0" xfId="0" applyFont="1" applyFill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/>
    </xf>
    <xf numFmtId="0" fontId="17" fillId="5" borderId="26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11" fillId="6" borderId="22" xfId="0" applyFont="1" applyFill="1" applyBorder="1" applyAlignment="1">
      <alignment horizontal="center" vertical="center" textRotation="90"/>
    </xf>
    <xf numFmtId="164" fontId="11" fillId="6" borderId="22" xfId="0" applyNumberFormat="1" applyFont="1" applyFill="1" applyBorder="1" applyAlignment="1">
      <alignment horizontal="center" vertical="center" textRotation="90"/>
    </xf>
    <xf numFmtId="0" fontId="8" fillId="26" borderId="7" xfId="0" applyFont="1" applyFill="1" applyBorder="1" applyAlignment="1">
      <alignment horizontal="center"/>
    </xf>
    <xf numFmtId="0" fontId="8" fillId="27" borderId="7" xfId="0" applyFont="1" applyFill="1" applyBorder="1" applyAlignment="1">
      <alignment horizontal="center"/>
    </xf>
    <xf numFmtId="0" fontId="8" fillId="28" borderId="7" xfId="0" applyFont="1" applyFill="1" applyBorder="1" applyAlignment="1">
      <alignment horizontal="center"/>
    </xf>
    <xf numFmtId="0" fontId="8" fillId="29" borderId="7" xfId="0" applyFont="1" applyFill="1" applyBorder="1" applyAlignment="1">
      <alignment horizontal="center"/>
    </xf>
    <xf numFmtId="0" fontId="8" fillId="30" borderId="7" xfId="0" applyFont="1" applyFill="1" applyBorder="1" applyAlignment="1">
      <alignment horizontal="center"/>
    </xf>
    <xf numFmtId="0" fontId="8" fillId="31" borderId="7" xfId="0" applyFont="1" applyFill="1" applyBorder="1" applyAlignment="1">
      <alignment horizontal="center"/>
    </xf>
    <xf numFmtId="0" fontId="8" fillId="32" borderId="7" xfId="0" applyFont="1" applyFill="1" applyBorder="1" applyAlignment="1">
      <alignment horizontal="center"/>
    </xf>
    <xf numFmtId="0" fontId="8" fillId="33" borderId="7" xfId="0" applyFont="1" applyFill="1" applyBorder="1" applyAlignment="1">
      <alignment horizontal="center"/>
    </xf>
    <xf numFmtId="0" fontId="17" fillId="2" borderId="26" xfId="0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22" fillId="19" borderId="26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8" fillId="34" borderId="7" xfId="0" applyFont="1" applyFill="1" applyBorder="1" applyAlignment="1">
      <alignment horizontal="center"/>
    </xf>
    <xf numFmtId="0" fontId="8" fillId="35" borderId="7" xfId="0" applyFont="1" applyFill="1" applyBorder="1" applyAlignment="1">
      <alignment horizontal="center"/>
    </xf>
    <xf numFmtId="0" fontId="8" fillId="36" borderId="7" xfId="0" applyFont="1" applyFill="1" applyBorder="1" applyAlignment="1">
      <alignment horizontal="center"/>
    </xf>
    <xf numFmtId="0" fontId="8" fillId="37" borderId="7" xfId="0" applyFont="1" applyFill="1" applyBorder="1" applyAlignment="1">
      <alignment horizontal="center"/>
    </xf>
    <xf numFmtId="0" fontId="8" fillId="38" borderId="7" xfId="0" applyFont="1" applyFill="1" applyBorder="1" applyAlignment="1">
      <alignment horizontal="center"/>
    </xf>
    <xf numFmtId="165" fontId="14" fillId="5" borderId="15" xfId="0" applyNumberFormat="1" applyFont="1" applyFill="1" applyBorder="1" applyAlignment="1">
      <alignment horizontal="right" vertical="center"/>
    </xf>
    <xf numFmtId="0" fontId="8" fillId="39" borderId="7" xfId="0" applyFont="1" applyFill="1" applyBorder="1" applyAlignment="1">
      <alignment horizontal="center"/>
    </xf>
    <xf numFmtId="0" fontId="21" fillId="6" borderId="23" xfId="0" applyFont="1" applyFill="1" applyBorder="1" applyAlignment="1">
      <alignment horizontal="center"/>
    </xf>
    <xf numFmtId="0" fontId="23" fillId="18" borderId="24" xfId="0" applyFont="1" applyFill="1" applyBorder="1" applyAlignment="1">
      <alignment horizontal="left"/>
    </xf>
    <xf numFmtId="0" fontId="22" fillId="6" borderId="25" xfId="0" applyFont="1" applyFill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6" borderId="23" xfId="0" applyFont="1" applyFill="1" applyBorder="1" applyAlignment="1">
      <alignment horizontal="center"/>
    </xf>
    <xf numFmtId="0" fontId="8" fillId="40" borderId="7" xfId="0" applyFont="1" applyFill="1" applyBorder="1" applyAlignment="1">
      <alignment horizontal="center"/>
    </xf>
    <xf numFmtId="0" fontId="8" fillId="41" borderId="7" xfId="0" applyFont="1" applyFill="1" applyBorder="1" applyAlignment="1">
      <alignment horizontal="center"/>
    </xf>
    <xf numFmtId="0" fontId="8" fillId="42" borderId="7" xfId="0" applyFont="1" applyFill="1" applyBorder="1" applyAlignment="1">
      <alignment horizontal="center"/>
    </xf>
    <xf numFmtId="0" fontId="8" fillId="43" borderId="7" xfId="0" applyFont="1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8" fillId="44" borderId="7" xfId="0" applyFont="1" applyFill="1" applyBorder="1" applyAlignment="1">
      <alignment horizontal="center"/>
    </xf>
    <xf numFmtId="0" fontId="8" fillId="45" borderId="7" xfId="0" applyFont="1" applyFill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5" fillId="6" borderId="23" xfId="0" applyFont="1" applyFill="1" applyBorder="1" applyAlignment="1">
      <alignment horizontal="center"/>
    </xf>
    <xf numFmtId="0" fontId="26" fillId="18" borderId="24" xfId="0" applyFont="1" applyFill="1" applyBorder="1" applyAlignment="1">
      <alignment horizontal="left"/>
    </xf>
    <xf numFmtId="0" fontId="27" fillId="6" borderId="25" xfId="0" applyFont="1" applyFill="1" applyBorder="1" applyAlignment="1">
      <alignment horizontal="center" vertical="center"/>
    </xf>
    <xf numFmtId="0" fontId="27" fillId="19" borderId="26" xfId="0" applyFont="1" applyFill="1" applyBorder="1" applyAlignment="1">
      <alignment horizontal="center" vertical="center"/>
    </xf>
    <xf numFmtId="0" fontId="27" fillId="2" borderId="26" xfId="0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 textRotation="90"/>
    </xf>
    <xf numFmtId="164" fontId="11" fillId="6" borderId="32" xfId="0" applyNumberFormat="1" applyFont="1" applyFill="1" applyBorder="1" applyAlignment="1">
      <alignment horizontal="center" vertical="center" textRotation="90"/>
    </xf>
    <xf numFmtId="0" fontId="8" fillId="46" borderId="7" xfId="0" applyFont="1" applyFill="1" applyBorder="1" applyAlignment="1">
      <alignment horizontal="center"/>
    </xf>
    <xf numFmtId="0" fontId="22" fillId="19" borderId="26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9" fillId="0" borderId="26" xfId="0" applyFont="1" applyBorder="1" applyAlignment="1">
      <alignment horizontal="center"/>
    </xf>
    <xf numFmtId="0" fontId="22" fillId="6" borderId="33" xfId="0" applyFont="1" applyFill="1" applyBorder="1" applyAlignment="1">
      <alignment horizontal="center" vertical="center"/>
    </xf>
    <xf numFmtId="0" fontId="27" fillId="4" borderId="26" xfId="0" applyFont="1" applyFill="1" applyBorder="1" applyAlignment="1">
      <alignment horizontal="center" vertical="center"/>
    </xf>
    <xf numFmtId="0" fontId="17" fillId="6" borderId="33" xfId="0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/>
    </xf>
    <xf numFmtId="0" fontId="29" fillId="0" borderId="26" xfId="0" applyFont="1" applyBorder="1" applyAlignment="1">
      <alignment horizontal="center" vertical="center"/>
    </xf>
    <xf numFmtId="0" fontId="29" fillId="6" borderId="23" xfId="0" applyFont="1" applyFill="1" applyBorder="1" applyAlignment="1">
      <alignment horizontal="center"/>
    </xf>
    <xf numFmtId="0" fontId="8" fillId="47" borderId="7" xfId="0" applyFont="1" applyFill="1" applyBorder="1" applyAlignment="1">
      <alignment horizontal="center"/>
    </xf>
    <xf numFmtId="0" fontId="8" fillId="48" borderId="7" xfId="0" applyFont="1" applyFill="1" applyBorder="1" applyAlignment="1">
      <alignment horizontal="center"/>
    </xf>
    <xf numFmtId="0" fontId="8" fillId="49" borderId="7" xfId="0" applyFont="1" applyFill="1" applyBorder="1" applyAlignment="1">
      <alignment horizontal="center"/>
    </xf>
    <xf numFmtId="0" fontId="8" fillId="50" borderId="7" xfId="0" applyFont="1" applyFill="1" applyBorder="1" applyAlignment="1">
      <alignment horizontal="center"/>
    </xf>
    <xf numFmtId="0" fontId="4" fillId="18" borderId="24" xfId="0" applyFont="1" applyFill="1" applyBorder="1" applyAlignment="1">
      <alignment horizontal="left"/>
    </xf>
    <xf numFmtId="0" fontId="8" fillId="51" borderId="7" xfId="0" applyFont="1" applyFill="1" applyBorder="1" applyAlignment="1">
      <alignment horizontal="center"/>
    </xf>
    <xf numFmtId="0" fontId="21" fillId="0" borderId="27" xfId="0" applyFont="1" applyBorder="1" applyAlignment="1">
      <alignment horizontal="center" vertical="center"/>
    </xf>
    <xf numFmtId="165" fontId="14" fillId="19" borderId="15" xfId="0" applyNumberFormat="1" applyFont="1" applyFill="1" applyBorder="1" applyAlignment="1">
      <alignment horizontal="right" vertical="center"/>
    </xf>
    <xf numFmtId="165" fontId="14" fillId="18" borderId="15" xfId="0" applyNumberFormat="1" applyFont="1" applyFill="1" applyBorder="1" applyAlignment="1">
      <alignment horizontal="right" vertical="center"/>
    </xf>
    <xf numFmtId="0" fontId="21" fillId="0" borderId="26" xfId="0" applyFont="1" applyBorder="1" applyAlignment="1">
      <alignment horizontal="center"/>
    </xf>
    <xf numFmtId="0" fontId="29" fillId="6" borderId="0" xfId="0" applyFont="1" applyFill="1" applyAlignment="1">
      <alignment horizontal="center"/>
    </xf>
    <xf numFmtId="0" fontId="27" fillId="5" borderId="26" xfId="0" applyFont="1" applyFill="1" applyBorder="1" applyAlignment="1">
      <alignment horizontal="center" vertical="center"/>
    </xf>
    <xf numFmtId="0" fontId="16" fillId="20" borderId="24" xfId="0" applyFont="1" applyFill="1" applyBorder="1" applyAlignment="1">
      <alignment horizontal="left"/>
    </xf>
    <xf numFmtId="0" fontId="16" fillId="55" borderId="24" xfId="0" applyFont="1" applyFill="1" applyBorder="1" applyAlignment="1">
      <alignment horizontal="left"/>
    </xf>
    <xf numFmtId="0" fontId="16" fillId="56" borderId="24" xfId="0" applyFont="1" applyFill="1" applyBorder="1" applyAlignment="1">
      <alignment horizontal="left"/>
    </xf>
    <xf numFmtId="0" fontId="16" fillId="57" borderId="24" xfId="0" applyFont="1" applyFill="1" applyBorder="1" applyAlignment="1">
      <alignment horizontal="left"/>
    </xf>
    <xf numFmtId="0" fontId="23" fillId="55" borderId="24" xfId="0" applyFont="1" applyFill="1" applyBorder="1" applyAlignment="1">
      <alignment horizontal="left"/>
    </xf>
    <xf numFmtId="0" fontId="8" fillId="58" borderId="7" xfId="0" applyFont="1" applyFill="1" applyBorder="1" applyAlignment="1">
      <alignment horizontal="center"/>
    </xf>
    <xf numFmtId="0" fontId="8" fillId="59" borderId="7" xfId="0" applyFont="1" applyFill="1" applyBorder="1" applyAlignment="1">
      <alignment horizontal="center"/>
    </xf>
    <xf numFmtId="0" fontId="8" fillId="60" borderId="7" xfId="0" applyFont="1" applyFill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5" fillId="54" borderId="22" xfId="0" applyFont="1" applyFill="1" applyBorder="1" applyAlignment="1">
      <alignment horizontal="center"/>
    </xf>
    <xf numFmtId="0" fontId="27" fillId="18" borderId="26" xfId="0" applyFont="1" applyFill="1" applyBorder="1" applyAlignment="1">
      <alignment horizontal="center" vertical="center"/>
    </xf>
    <xf numFmtId="0" fontId="8" fillId="61" borderId="7" xfId="0" applyFont="1" applyFill="1" applyBorder="1" applyAlignment="1">
      <alignment horizontal="center"/>
    </xf>
    <xf numFmtId="0" fontId="8" fillId="62" borderId="7" xfId="0" applyFont="1" applyFill="1" applyBorder="1" applyAlignment="1">
      <alignment horizontal="center"/>
    </xf>
    <xf numFmtId="0" fontId="8" fillId="63" borderId="7" xfId="0" applyFont="1" applyFill="1" applyBorder="1" applyAlignment="1">
      <alignment horizontal="center"/>
    </xf>
    <xf numFmtId="0" fontId="8" fillId="64" borderId="7" xfId="0" applyFont="1" applyFill="1" applyBorder="1" applyAlignment="1">
      <alignment horizontal="center"/>
    </xf>
    <xf numFmtId="0" fontId="30" fillId="18" borderId="24" xfId="0" applyFont="1" applyFill="1" applyBorder="1" applyAlignment="1">
      <alignment horizontal="left"/>
    </xf>
    <xf numFmtId="0" fontId="31" fillId="6" borderId="25" xfId="0" applyFont="1" applyFill="1" applyBorder="1" applyAlignment="1">
      <alignment horizontal="center" vertical="center"/>
    </xf>
    <xf numFmtId="0" fontId="31" fillId="19" borderId="26" xfId="0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/>
    </xf>
    <xf numFmtId="0" fontId="8" fillId="65" borderId="7" xfId="0" applyFont="1" applyFill="1" applyBorder="1" applyAlignment="1">
      <alignment horizontal="center"/>
    </xf>
    <xf numFmtId="0" fontId="8" fillId="66" borderId="7" xfId="0" applyFont="1" applyFill="1" applyBorder="1" applyAlignment="1">
      <alignment horizontal="center"/>
    </xf>
    <xf numFmtId="165" fontId="14" fillId="67" borderId="15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"/>
    </xf>
    <xf numFmtId="0" fontId="22" fillId="2" borderId="26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vertical="center"/>
    </xf>
    <xf numFmtId="165" fontId="14" fillId="68" borderId="15" xfId="0" applyNumberFormat="1" applyFont="1" applyFill="1" applyBorder="1" applyAlignment="1">
      <alignment horizontal="right" vertical="center"/>
    </xf>
    <xf numFmtId="0" fontId="33" fillId="18" borderId="24" xfId="0" applyFont="1" applyFill="1" applyBorder="1" applyAlignment="1">
      <alignment horizontal="left"/>
    </xf>
    <xf numFmtId="0" fontId="23" fillId="20" borderId="24" xfId="0" applyFont="1" applyFill="1" applyBorder="1" applyAlignment="1">
      <alignment horizontal="left"/>
    </xf>
    <xf numFmtId="0" fontId="23" fillId="57" borderId="24" xfId="0" applyFont="1" applyFill="1" applyBorder="1" applyAlignment="1">
      <alignment horizontal="left"/>
    </xf>
    <xf numFmtId="165" fontId="14" fillId="69" borderId="15" xfId="0" applyNumberFormat="1" applyFont="1" applyFill="1" applyBorder="1" applyAlignment="1">
      <alignment horizontal="right" vertical="center"/>
    </xf>
    <xf numFmtId="0" fontId="17" fillId="6" borderId="3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/>
    </xf>
    <xf numFmtId="0" fontId="8" fillId="70" borderId="7" xfId="0" applyFont="1" applyFill="1" applyBorder="1" applyAlignment="1">
      <alignment horizontal="center"/>
    </xf>
    <xf numFmtId="0" fontId="34" fillId="0" borderId="22" xfId="0" applyFont="1" applyBorder="1"/>
    <xf numFmtId="0" fontId="25" fillId="0" borderId="22" xfId="0" applyFont="1" applyBorder="1"/>
    <xf numFmtId="0" fontId="8" fillId="23" borderId="7" xfId="0" applyFont="1" applyFill="1" applyBorder="1" applyAlignment="1">
      <alignment horizontal="right"/>
    </xf>
    <xf numFmtId="0" fontId="2" fillId="6" borderId="17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3" fillId="6" borderId="19" xfId="0" applyFont="1" applyFill="1" applyBorder="1" applyAlignment="1">
      <alignment horizontal="left"/>
    </xf>
    <xf numFmtId="0" fontId="2" fillId="6" borderId="15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0" fillId="2" borderId="24" xfId="0" applyFont="1" applyFill="1" applyBorder="1" applyAlignment="1">
      <alignment horizontal="left"/>
    </xf>
    <xf numFmtId="0" fontId="29" fillId="19" borderId="26" xfId="0" applyFont="1" applyFill="1" applyBorder="1" applyAlignment="1">
      <alignment horizontal="center"/>
    </xf>
    <xf numFmtId="0" fontId="29" fillId="19" borderId="28" xfId="0" applyFont="1" applyFill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6" fillId="0" borderId="37" xfId="0" applyFont="1" applyBorder="1"/>
    <xf numFmtId="21" fontId="36" fillId="0" borderId="37" xfId="0" applyNumberFormat="1" applyFont="1" applyBorder="1" applyAlignment="1">
      <alignment horizontal="right"/>
    </xf>
    <xf numFmtId="0" fontId="29" fillId="4" borderId="26" xfId="0" applyFont="1" applyFill="1" applyBorder="1" applyAlignment="1">
      <alignment horizontal="center"/>
    </xf>
    <xf numFmtId="0" fontId="36" fillId="0" borderId="38" xfId="0" applyFont="1" applyBorder="1"/>
    <xf numFmtId="21" fontId="36" fillId="0" borderId="38" xfId="0" applyNumberFormat="1" applyFont="1" applyBorder="1" applyAlignment="1">
      <alignment horizontal="right"/>
    </xf>
    <xf numFmtId="0" fontId="24" fillId="19" borderId="26" xfId="0" applyFont="1" applyFill="1" applyBorder="1" applyAlignment="1">
      <alignment horizontal="center"/>
    </xf>
    <xf numFmtId="0" fontId="38" fillId="73" borderId="29" xfId="0" applyFont="1" applyFill="1" applyBorder="1" applyAlignment="1">
      <alignment horizontal="center" vertical="center"/>
    </xf>
    <xf numFmtId="0" fontId="2" fillId="19" borderId="26" xfId="0" applyFont="1" applyFill="1" applyBorder="1" applyAlignment="1">
      <alignment horizontal="center"/>
    </xf>
    <xf numFmtId="0" fontId="39" fillId="0" borderId="22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40" fillId="0" borderId="22" xfId="0" applyFont="1" applyBorder="1" applyAlignment="1">
      <alignment horizontal="left"/>
    </xf>
    <xf numFmtId="0" fontId="8" fillId="75" borderId="7" xfId="0" applyFont="1" applyFill="1" applyBorder="1" applyAlignment="1">
      <alignment horizontal="right"/>
    </xf>
    <xf numFmtId="0" fontId="8" fillId="76" borderId="7" xfId="0" applyFont="1" applyFill="1" applyBorder="1" applyAlignment="1">
      <alignment horizontal="right"/>
    </xf>
    <xf numFmtId="0" fontId="8" fillId="77" borderId="7" xfId="0" applyFont="1" applyFill="1" applyBorder="1" applyAlignment="1">
      <alignment horizontal="right"/>
    </xf>
    <xf numFmtId="0" fontId="8" fillId="78" borderId="7" xfId="0" applyFont="1" applyFill="1" applyBorder="1" applyAlignment="1">
      <alignment horizontal="right"/>
    </xf>
    <xf numFmtId="0" fontId="8" fillId="24" borderId="7" xfId="0" applyFont="1" applyFill="1" applyBorder="1" applyAlignment="1">
      <alignment horizontal="right"/>
    </xf>
    <xf numFmtId="0" fontId="3" fillId="6" borderId="9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6" fillId="2" borderId="24" xfId="0" applyFont="1" applyFill="1" applyBorder="1" applyAlignment="1">
      <alignment horizontal="left"/>
    </xf>
    <xf numFmtId="0" fontId="29" fillId="79" borderId="28" xfId="0" applyFont="1" applyFill="1" applyBorder="1" applyAlignment="1">
      <alignment horizontal="center"/>
    </xf>
    <xf numFmtId="0" fontId="37" fillId="73" borderId="30" xfId="0" applyFont="1" applyFill="1" applyBorder="1" applyAlignment="1">
      <alignment horizontal="center" vertical="center"/>
    </xf>
    <xf numFmtId="0" fontId="29" fillId="19" borderId="26" xfId="0" applyFont="1" applyFill="1" applyBorder="1" applyAlignment="1">
      <alignment horizontal="center" vertical="center"/>
    </xf>
    <xf numFmtId="0" fontId="29" fillId="80" borderId="28" xfId="0" applyFont="1" applyFill="1" applyBorder="1" applyAlignment="1">
      <alignment horizontal="center"/>
    </xf>
    <xf numFmtId="0" fontId="25" fillId="0" borderId="34" xfId="0" applyFont="1" applyBorder="1" applyAlignment="1">
      <alignment horizontal="right"/>
    </xf>
    <xf numFmtId="165" fontId="14" fillId="4" borderId="15" xfId="0" applyNumberFormat="1" applyFont="1" applyFill="1" applyBorder="1" applyAlignment="1">
      <alignment horizontal="right" vertical="center"/>
    </xf>
    <xf numFmtId="0" fontId="30" fillId="5" borderId="24" xfId="0" applyFont="1" applyFill="1" applyBorder="1" applyAlignment="1">
      <alignment horizontal="left"/>
    </xf>
    <xf numFmtId="0" fontId="42" fillId="4" borderId="24" xfId="0" applyFont="1" applyFill="1" applyBorder="1" applyAlignment="1">
      <alignment horizontal="left"/>
    </xf>
    <xf numFmtId="0" fontId="30" fillId="4" borderId="24" xfId="0" applyFont="1" applyFill="1" applyBorder="1" applyAlignment="1">
      <alignment horizontal="left"/>
    </xf>
    <xf numFmtId="0" fontId="30" fillId="81" borderId="24" xfId="0" applyFont="1" applyFill="1" applyBorder="1" applyAlignment="1">
      <alignment horizontal="left"/>
    </xf>
    <xf numFmtId="0" fontId="37" fillId="82" borderId="28" xfId="0" applyFont="1" applyFill="1" applyBorder="1" applyAlignment="1">
      <alignment horizontal="center" vertical="center"/>
    </xf>
    <xf numFmtId="0" fontId="42" fillId="2" borderId="24" xfId="0" applyFont="1" applyFill="1" applyBorder="1" applyAlignment="1">
      <alignment horizontal="left"/>
    </xf>
    <xf numFmtId="0" fontId="29" fillId="83" borderId="26" xfId="0" applyFont="1" applyFill="1" applyBorder="1" applyAlignment="1">
      <alignment horizontal="center"/>
    </xf>
    <xf numFmtId="0" fontId="29" fillId="83" borderId="28" xfId="0" applyFont="1" applyFill="1" applyBorder="1" applyAlignment="1">
      <alignment horizontal="center"/>
    </xf>
    <xf numFmtId="0" fontId="30" fillId="52" borderId="24" xfId="0" applyFont="1" applyFill="1" applyBorder="1" applyAlignment="1">
      <alignment horizontal="left"/>
    </xf>
    <xf numFmtId="0" fontId="42" fillId="52" borderId="24" xfId="0" applyFont="1" applyFill="1" applyBorder="1" applyAlignment="1">
      <alignment horizontal="left"/>
    </xf>
    <xf numFmtId="0" fontId="43" fillId="19" borderId="26" xfId="0" applyFont="1" applyFill="1" applyBorder="1" applyAlignment="1">
      <alignment horizontal="center" vertical="center"/>
    </xf>
    <xf numFmtId="0" fontId="43" fillId="4" borderId="26" xfId="0" applyFont="1" applyFill="1" applyBorder="1" applyAlignment="1">
      <alignment horizontal="center" vertical="center"/>
    </xf>
    <xf numFmtId="0" fontId="26" fillId="55" borderId="24" xfId="0" applyFont="1" applyFill="1" applyBorder="1" applyAlignment="1">
      <alignment horizontal="left"/>
    </xf>
    <xf numFmtId="0" fontId="29" fillId="84" borderId="26" xfId="0" applyFont="1" applyFill="1" applyBorder="1" applyAlignment="1">
      <alignment horizontal="center" vertical="center"/>
    </xf>
    <xf numFmtId="0" fontId="8" fillId="85" borderId="7" xfId="0" applyFont="1" applyFill="1" applyBorder="1" applyAlignment="1">
      <alignment horizontal="right"/>
    </xf>
    <xf numFmtId="0" fontId="8" fillId="86" borderId="7" xfId="0" applyFont="1" applyFill="1" applyBorder="1" applyAlignment="1">
      <alignment horizontal="right"/>
    </xf>
    <xf numFmtId="0" fontId="8" fillId="87" borderId="7" xfId="0" applyFont="1" applyFill="1" applyBorder="1" applyAlignment="1">
      <alignment horizontal="right"/>
    </xf>
    <xf numFmtId="0" fontId="8" fillId="88" borderId="7" xfId="0" applyFont="1" applyFill="1" applyBorder="1" applyAlignment="1">
      <alignment horizontal="right"/>
    </xf>
    <xf numFmtId="0" fontId="8" fillId="89" borderId="7" xfId="0" applyFont="1" applyFill="1" applyBorder="1" applyAlignment="1">
      <alignment horizontal="right"/>
    </xf>
    <xf numFmtId="0" fontId="8" fillId="90" borderId="7" xfId="0" applyFont="1" applyFill="1" applyBorder="1" applyAlignment="1">
      <alignment horizontal="center"/>
    </xf>
    <xf numFmtId="0" fontId="22" fillId="19" borderId="28" xfId="0" applyFont="1" applyFill="1" applyBorder="1" applyAlignment="1">
      <alignment horizontal="center" vertical="center"/>
    </xf>
    <xf numFmtId="0" fontId="27" fillId="19" borderId="2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6" borderId="25" xfId="0" applyFont="1" applyFill="1" applyBorder="1" applyAlignment="1">
      <alignment horizontal="center"/>
    </xf>
    <xf numFmtId="0" fontId="27" fillId="4" borderId="28" xfId="0" applyFont="1" applyFill="1" applyBorder="1" applyAlignment="1">
      <alignment horizontal="center" vertical="center"/>
    </xf>
    <xf numFmtId="0" fontId="16" fillId="19" borderId="24" xfId="0" applyFont="1" applyFill="1" applyBorder="1" applyAlignment="1">
      <alignment horizontal="left"/>
    </xf>
    <xf numFmtId="0" fontId="26" fillId="19" borderId="24" xfId="0" applyFont="1" applyFill="1" applyBorder="1" applyAlignment="1">
      <alignment horizontal="left"/>
    </xf>
    <xf numFmtId="0" fontId="21" fillId="0" borderId="0" xfId="0" applyFont="1" applyAlignment="1">
      <alignment horizontal="center" vertical="center"/>
    </xf>
    <xf numFmtId="0" fontId="8" fillId="72" borderId="7" xfId="0" applyFont="1" applyFill="1" applyBorder="1" applyAlignment="1">
      <alignment horizontal="center"/>
    </xf>
    <xf numFmtId="0" fontId="23" fillId="19" borderId="24" xfId="0" applyFont="1" applyFill="1" applyBorder="1" applyAlignment="1">
      <alignment horizontal="left"/>
    </xf>
    <xf numFmtId="0" fontId="44" fillId="18" borderId="24" xfId="0" applyFont="1" applyFill="1" applyBorder="1" applyAlignment="1">
      <alignment horizontal="left"/>
    </xf>
    <xf numFmtId="0" fontId="4" fillId="19" borderId="24" xfId="0" applyFont="1" applyFill="1" applyBorder="1" applyAlignment="1">
      <alignment horizontal="left"/>
    </xf>
    <xf numFmtId="0" fontId="33" fillId="19" borderId="24" xfId="0" applyFont="1" applyFill="1" applyBorder="1" applyAlignment="1">
      <alignment horizontal="left"/>
    </xf>
    <xf numFmtId="0" fontId="28" fillId="19" borderId="28" xfId="0" applyFont="1" applyFill="1" applyBorder="1" applyAlignment="1">
      <alignment horizontal="center" vertical="center"/>
    </xf>
    <xf numFmtId="0" fontId="27" fillId="2" borderId="28" xfId="0" applyFont="1" applyFill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8" fillId="91" borderId="7" xfId="0" applyFont="1" applyFill="1" applyBorder="1" applyAlignment="1">
      <alignment horizontal="center"/>
    </xf>
    <xf numFmtId="0" fontId="27" fillId="92" borderId="28" xfId="0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center" vertical="center"/>
    </xf>
    <xf numFmtId="0" fontId="8" fillId="53" borderId="7" xfId="0" applyFont="1" applyFill="1" applyBorder="1" applyAlignment="1">
      <alignment horizontal="center"/>
    </xf>
    <xf numFmtId="0" fontId="8" fillId="93" borderId="7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17" fillId="81" borderId="26" xfId="0" applyFont="1" applyFill="1" applyBorder="1" applyAlignment="1">
      <alignment horizontal="center" vertical="center"/>
    </xf>
    <xf numFmtId="0" fontId="46" fillId="94" borderId="25" xfId="0" applyFont="1" applyFill="1" applyBorder="1" applyAlignment="1">
      <alignment horizontal="center" vertical="center"/>
    </xf>
    <xf numFmtId="0" fontId="25" fillId="19" borderId="26" xfId="0" applyFont="1" applyFill="1" applyBorder="1" applyAlignment="1">
      <alignment horizontal="center"/>
    </xf>
    <xf numFmtId="0" fontId="25" fillId="8" borderId="26" xfId="0" applyFont="1" applyFill="1" applyBorder="1" applyAlignment="1">
      <alignment horizontal="center"/>
    </xf>
    <xf numFmtId="0" fontId="46" fillId="94" borderId="33" xfId="0" applyFont="1" applyFill="1" applyBorder="1" applyAlignment="1">
      <alignment horizontal="center" vertical="center"/>
    </xf>
    <xf numFmtId="0" fontId="42" fillId="18" borderId="24" xfId="0" applyFont="1" applyFill="1" applyBorder="1" applyAlignment="1">
      <alignment horizontal="left"/>
    </xf>
    <xf numFmtId="0" fontId="25" fillId="2" borderId="26" xfId="0" applyFont="1" applyFill="1" applyBorder="1" applyAlignment="1">
      <alignment horizontal="center"/>
    </xf>
    <xf numFmtId="0" fontId="25" fillId="5" borderId="26" xfId="0" applyFont="1" applyFill="1" applyBorder="1" applyAlignment="1">
      <alignment horizontal="center"/>
    </xf>
    <xf numFmtId="0" fontId="30" fillId="19" borderId="24" xfId="0" applyFont="1" applyFill="1" applyBorder="1" applyAlignment="1">
      <alignment horizontal="left"/>
    </xf>
    <xf numFmtId="0" fontId="42" fillId="19" borderId="24" xfId="0" applyFont="1" applyFill="1" applyBorder="1" applyAlignment="1">
      <alignment horizontal="left"/>
    </xf>
    <xf numFmtId="0" fontId="3" fillId="19" borderId="26" xfId="0" applyFont="1" applyFill="1" applyBorder="1" applyAlignment="1">
      <alignment horizontal="center" vertical="center"/>
    </xf>
    <xf numFmtId="0" fontId="17" fillId="73" borderId="26" xfId="0" applyFont="1" applyFill="1" applyBorder="1" applyAlignment="1">
      <alignment horizontal="center" vertical="center"/>
    </xf>
    <xf numFmtId="0" fontId="27" fillId="8" borderId="26" xfId="0" applyFont="1" applyFill="1" applyBorder="1" applyAlignment="1">
      <alignment horizontal="center" vertical="center"/>
    </xf>
    <xf numFmtId="0" fontId="25" fillId="4" borderId="26" xfId="0" applyFont="1" applyFill="1" applyBorder="1" applyAlignment="1">
      <alignment horizontal="center"/>
    </xf>
    <xf numFmtId="0" fontId="26" fillId="79" borderId="24" xfId="0" applyFont="1" applyFill="1" applyBorder="1" applyAlignment="1">
      <alignment horizontal="left"/>
    </xf>
    <xf numFmtId="0" fontId="25" fillId="19" borderId="22" xfId="0" applyFont="1" applyFill="1" applyBorder="1" applyAlignment="1">
      <alignment horizontal="center"/>
    </xf>
    <xf numFmtId="0" fontId="25" fillId="2" borderId="22" xfId="0" applyFont="1" applyFill="1" applyBorder="1" applyAlignment="1">
      <alignment horizontal="center"/>
    </xf>
    <xf numFmtId="0" fontId="25" fillId="95" borderId="26" xfId="0" applyFont="1" applyFill="1" applyBorder="1" applyAlignment="1">
      <alignment horizontal="center"/>
    </xf>
    <xf numFmtId="0" fontId="8" fillId="96" borderId="7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left" vertical="center"/>
    </xf>
    <xf numFmtId="0" fontId="42" fillId="5" borderId="24" xfId="0" applyFont="1" applyFill="1" applyBorder="1" applyAlignment="1">
      <alignment horizontal="left"/>
    </xf>
    <xf numFmtId="0" fontId="37" fillId="82" borderId="29" xfId="0" applyFont="1" applyFill="1" applyBorder="1" applyAlignment="1">
      <alignment horizontal="center" vertical="center"/>
    </xf>
    <xf numFmtId="0" fontId="37" fillId="82" borderId="30" xfId="0" applyFont="1" applyFill="1" applyBorder="1" applyAlignment="1">
      <alignment horizontal="center" vertical="center"/>
    </xf>
    <xf numFmtId="0" fontId="21" fillId="19" borderId="26" xfId="0" applyFont="1" applyFill="1" applyBorder="1" applyAlignment="1">
      <alignment horizontal="center"/>
    </xf>
    <xf numFmtId="0" fontId="42" fillId="83" borderId="24" xfId="0" applyFont="1" applyFill="1" applyBorder="1" applyAlignment="1">
      <alignment horizontal="left"/>
    </xf>
    <xf numFmtId="0" fontId="17" fillId="19" borderId="22" xfId="0" applyFont="1" applyFill="1" applyBorder="1" applyAlignment="1">
      <alignment horizontal="center" vertical="center"/>
    </xf>
    <xf numFmtId="0" fontId="25" fillId="97" borderId="26" xfId="0" applyFont="1" applyFill="1" applyBorder="1" applyAlignment="1">
      <alignment horizontal="center"/>
    </xf>
    <xf numFmtId="0" fontId="17" fillId="5" borderId="22" xfId="0" applyFont="1" applyFill="1" applyBorder="1" applyAlignment="1">
      <alignment horizontal="center" vertical="center"/>
    </xf>
    <xf numFmtId="0" fontId="25" fillId="19" borderId="26" xfId="0" applyFont="1" applyFill="1" applyBorder="1" applyAlignment="1">
      <alignment horizontal="center" vertical="center"/>
    </xf>
    <xf numFmtId="0" fontId="21" fillId="19" borderId="26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47" fillId="73" borderId="26" xfId="0" applyFont="1" applyFill="1" applyBorder="1" applyAlignment="1">
      <alignment horizontal="center"/>
    </xf>
    <xf numFmtId="0" fontId="25" fillId="5" borderId="26" xfId="0" applyFont="1" applyFill="1" applyBorder="1" applyAlignment="1">
      <alignment horizontal="center" vertical="center"/>
    </xf>
    <xf numFmtId="0" fontId="8" fillId="75" borderId="7" xfId="0" applyFont="1" applyFill="1" applyBorder="1" applyAlignment="1">
      <alignment horizontal="center"/>
    </xf>
    <xf numFmtId="0" fontId="8" fillId="75" borderId="34" xfId="0" applyFont="1" applyFill="1" applyBorder="1" applyAlignment="1">
      <alignment horizontal="center"/>
    </xf>
    <xf numFmtId="0" fontId="8" fillId="99" borderId="34" xfId="0" applyFont="1" applyFill="1" applyBorder="1" applyAlignment="1">
      <alignment horizontal="center"/>
    </xf>
    <xf numFmtId="0" fontId="43" fillId="8" borderId="26" xfId="0" applyFont="1" applyFill="1" applyBorder="1" applyAlignment="1">
      <alignment horizontal="center" vertical="center"/>
    </xf>
    <xf numFmtId="0" fontId="29" fillId="97" borderId="26" xfId="0" applyFont="1" applyFill="1" applyBorder="1" applyAlignment="1">
      <alignment horizontal="center"/>
    </xf>
    <xf numFmtId="0" fontId="43" fillId="97" borderId="26" xfId="0" applyFont="1" applyFill="1" applyBorder="1" applyAlignment="1">
      <alignment horizontal="center" vertical="center"/>
    </xf>
    <xf numFmtId="0" fontId="22" fillId="8" borderId="26" xfId="0" applyFont="1" applyFill="1" applyBorder="1" applyAlignment="1">
      <alignment horizontal="center" vertical="center"/>
    </xf>
    <xf numFmtId="0" fontId="48" fillId="82" borderId="28" xfId="0" applyFont="1" applyFill="1" applyBorder="1" applyAlignment="1">
      <alignment horizontal="center" vertical="center"/>
    </xf>
    <xf numFmtId="0" fontId="29" fillId="19" borderId="22" xfId="0" applyFont="1" applyFill="1" applyBorder="1" applyAlignment="1">
      <alignment horizontal="center"/>
    </xf>
    <xf numFmtId="0" fontId="43" fillId="5" borderId="26" xfId="0" applyFont="1" applyFill="1" applyBorder="1" applyAlignment="1">
      <alignment horizontal="center" vertical="center"/>
    </xf>
    <xf numFmtId="0" fontId="29" fillId="5" borderId="26" xfId="0" applyFont="1" applyFill="1" applyBorder="1" applyAlignment="1">
      <alignment horizontal="center" vertical="center"/>
    </xf>
    <xf numFmtId="0" fontId="8" fillId="99" borderId="7" xfId="0" applyFont="1" applyFill="1" applyBorder="1" applyAlignment="1">
      <alignment horizontal="center"/>
    </xf>
    <xf numFmtId="0" fontId="30" fillId="100" borderId="24" xfId="0" applyFont="1" applyFill="1" applyBorder="1" applyAlignment="1">
      <alignment horizontal="left"/>
    </xf>
    <xf numFmtId="0" fontId="29" fillId="5" borderId="26" xfId="0" applyFont="1" applyFill="1" applyBorder="1" applyAlignment="1">
      <alignment horizontal="center"/>
    </xf>
    <xf numFmtId="0" fontId="30" fillId="79" borderId="24" xfId="0" applyFont="1" applyFill="1" applyBorder="1" applyAlignment="1">
      <alignment horizontal="left"/>
    </xf>
    <xf numFmtId="0" fontId="29" fillId="5" borderId="22" xfId="0" applyFont="1" applyFill="1" applyBorder="1" applyAlignment="1">
      <alignment horizontal="center"/>
    </xf>
    <xf numFmtId="0" fontId="8" fillId="10" borderId="39" xfId="0" applyFont="1" applyFill="1" applyBorder="1" applyAlignment="1">
      <alignment horizontal="center"/>
    </xf>
    <xf numFmtId="0" fontId="8" fillId="23" borderId="39" xfId="0" applyFont="1" applyFill="1" applyBorder="1" applyAlignment="1">
      <alignment horizontal="center"/>
    </xf>
    <xf numFmtId="0" fontId="8" fillId="64" borderId="39" xfId="0" applyFont="1" applyFill="1" applyBorder="1" applyAlignment="1">
      <alignment horizontal="center"/>
    </xf>
    <xf numFmtId="0" fontId="8" fillId="63" borderId="39" xfId="0" applyFont="1" applyFill="1" applyBorder="1" applyAlignment="1">
      <alignment horizontal="center"/>
    </xf>
    <xf numFmtId="0" fontId="8" fillId="59" borderId="39" xfId="0" applyFont="1" applyFill="1" applyBorder="1" applyAlignment="1">
      <alignment horizontal="center"/>
    </xf>
    <xf numFmtId="0" fontId="8" fillId="91" borderId="39" xfId="0" applyFont="1" applyFill="1" applyBorder="1" applyAlignment="1">
      <alignment horizontal="center"/>
    </xf>
    <xf numFmtId="0" fontId="8" fillId="72" borderId="39" xfId="0" applyFont="1" applyFill="1" applyBorder="1" applyAlignment="1">
      <alignment horizontal="center"/>
    </xf>
    <xf numFmtId="0" fontId="29" fillId="8" borderId="26" xfId="0" applyFont="1" applyFill="1" applyBorder="1" applyAlignment="1">
      <alignment horizontal="center" vertical="center"/>
    </xf>
    <xf numFmtId="0" fontId="29" fillId="100" borderId="26" xfId="0" applyFont="1" applyFill="1" applyBorder="1" applyAlignment="1">
      <alignment horizontal="center"/>
    </xf>
    <xf numFmtId="0" fontId="43" fillId="100" borderId="26" xfId="0" applyFont="1" applyFill="1" applyBorder="1" applyAlignment="1">
      <alignment horizontal="center" vertical="center"/>
    </xf>
    <xf numFmtId="0" fontId="37" fillId="82" borderId="26" xfId="0" applyFont="1" applyFill="1" applyBorder="1" applyAlignment="1">
      <alignment horizontal="center" vertical="center"/>
    </xf>
    <xf numFmtId="0" fontId="43" fillId="19" borderId="22" xfId="0" applyFont="1" applyFill="1" applyBorder="1" applyAlignment="1">
      <alignment horizontal="center" vertical="center"/>
    </xf>
    <xf numFmtId="0" fontId="8" fillId="101" borderId="7" xfId="0" applyFont="1" applyFill="1" applyBorder="1" applyAlignment="1">
      <alignment horizontal="right"/>
    </xf>
    <xf numFmtId="0" fontId="8" fillId="102" borderId="7" xfId="0" applyFont="1" applyFill="1" applyBorder="1" applyAlignment="1">
      <alignment horizontal="right"/>
    </xf>
    <xf numFmtId="0" fontId="8" fillId="10" borderId="7" xfId="0" applyFont="1" applyFill="1" applyBorder="1" applyAlignment="1">
      <alignment horizontal="right"/>
    </xf>
    <xf numFmtId="0" fontId="8" fillId="103" borderId="7" xfId="0" applyFont="1" applyFill="1" applyBorder="1" applyAlignment="1">
      <alignment horizontal="right"/>
    </xf>
    <xf numFmtId="0" fontId="43" fillId="81" borderId="26" xfId="0" applyFont="1" applyFill="1" applyBorder="1" applyAlignment="1">
      <alignment horizontal="center" vertical="center"/>
    </xf>
    <xf numFmtId="0" fontId="29" fillId="54" borderId="26" xfId="0" applyFont="1" applyFill="1" applyBorder="1" applyAlignment="1">
      <alignment horizontal="center" vertical="center"/>
    </xf>
    <xf numFmtId="0" fontId="29" fillId="79" borderId="26" xfId="0" applyFont="1" applyFill="1" applyBorder="1" applyAlignment="1">
      <alignment horizontal="center"/>
    </xf>
    <xf numFmtId="0" fontId="43" fillId="79" borderId="26" xfId="0" applyFont="1" applyFill="1" applyBorder="1" applyAlignment="1">
      <alignment horizontal="center" vertical="center"/>
    </xf>
    <xf numFmtId="0" fontId="29" fillId="4" borderId="26" xfId="0" applyFont="1" applyFill="1" applyBorder="1" applyAlignment="1">
      <alignment horizontal="center" vertical="center"/>
    </xf>
    <xf numFmtId="0" fontId="8" fillId="104" borderId="7" xfId="0" applyFont="1" applyFill="1" applyBorder="1" applyAlignment="1">
      <alignment horizontal="right"/>
    </xf>
    <xf numFmtId="0" fontId="8" fillId="105" borderId="7" xfId="0" applyFont="1" applyFill="1" applyBorder="1" applyAlignment="1">
      <alignment horizontal="right"/>
    </xf>
    <xf numFmtId="0" fontId="29" fillId="2" borderId="22" xfId="0" applyFont="1" applyFill="1" applyBorder="1" applyAlignment="1">
      <alignment horizontal="center"/>
    </xf>
    <xf numFmtId="0" fontId="29" fillId="81" borderId="26" xfId="0" applyFont="1" applyFill="1" applyBorder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8" fillId="24" borderId="34" xfId="0" applyFont="1" applyFill="1" applyBorder="1" applyAlignment="1">
      <alignment horizontal="right"/>
    </xf>
    <xf numFmtId="0" fontId="8" fillId="106" borderId="34" xfId="0" applyFont="1" applyFill="1" applyBorder="1" applyAlignment="1">
      <alignment horizontal="right"/>
    </xf>
    <xf numFmtId="0" fontId="8" fillId="107" borderId="34" xfId="0" applyFont="1" applyFill="1" applyBorder="1" applyAlignment="1">
      <alignment horizontal="right"/>
    </xf>
    <xf numFmtId="0" fontId="8" fillId="23" borderId="34" xfId="0" applyFont="1" applyFill="1" applyBorder="1" applyAlignment="1">
      <alignment horizontal="right"/>
    </xf>
    <xf numFmtId="0" fontId="8" fillId="108" borderId="34" xfId="0" applyFont="1" applyFill="1" applyBorder="1" applyAlignment="1">
      <alignment horizontal="right"/>
    </xf>
    <xf numFmtId="0" fontId="8" fillId="102" borderId="34" xfId="0" applyFont="1" applyFill="1" applyBorder="1" applyAlignment="1">
      <alignment horizontal="right"/>
    </xf>
    <xf numFmtId="0" fontId="8" fillId="109" borderId="34" xfId="0" applyFont="1" applyFill="1" applyBorder="1" applyAlignment="1">
      <alignment horizontal="right"/>
    </xf>
    <xf numFmtId="0" fontId="8" fillId="110" borderId="34" xfId="0" applyFont="1" applyFill="1" applyBorder="1" applyAlignment="1">
      <alignment horizontal="right"/>
    </xf>
    <xf numFmtId="0" fontId="8" fillId="111" borderId="34" xfId="0" applyFont="1" applyFill="1" applyBorder="1" applyAlignment="1">
      <alignment horizontal="right"/>
    </xf>
    <xf numFmtId="0" fontId="29" fillId="2" borderId="26" xfId="0" applyFont="1" applyFill="1" applyBorder="1" applyAlignment="1">
      <alignment horizontal="center"/>
    </xf>
    <xf numFmtId="0" fontId="29" fillId="112" borderId="26" xfId="0" applyFont="1" applyFill="1" applyBorder="1" applyAlignment="1">
      <alignment horizontal="center"/>
    </xf>
    <xf numFmtId="0" fontId="29" fillId="112" borderId="28" xfId="0" applyFont="1" applyFill="1" applyBorder="1" applyAlignment="1">
      <alignment horizontal="center"/>
    </xf>
    <xf numFmtId="0" fontId="29" fillId="80" borderId="26" xfId="0" applyFont="1" applyFill="1" applyBorder="1" applyAlignment="1">
      <alignment horizontal="center"/>
    </xf>
    <xf numFmtId="0" fontId="43" fillId="2" borderId="26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left"/>
    </xf>
    <xf numFmtId="0" fontId="29" fillId="5" borderId="28" xfId="0" applyFont="1" applyFill="1" applyBorder="1" applyAlignment="1">
      <alignment horizontal="center"/>
    </xf>
    <xf numFmtId="0" fontId="38" fillId="73" borderId="26" xfId="0" applyFont="1" applyFill="1" applyBorder="1" applyAlignment="1">
      <alignment horizontal="center"/>
    </xf>
    <xf numFmtId="0" fontId="29" fillId="8" borderId="26" xfId="0" applyFont="1" applyFill="1" applyBorder="1" applyAlignment="1">
      <alignment horizontal="center"/>
    </xf>
    <xf numFmtId="0" fontId="3" fillId="73" borderId="26" xfId="0" applyFont="1" applyFill="1" applyBorder="1"/>
    <xf numFmtId="0" fontId="29" fillId="112" borderId="29" xfId="0" applyFont="1" applyFill="1" applyBorder="1" applyAlignment="1">
      <alignment horizontal="center"/>
    </xf>
    <xf numFmtId="0" fontId="29" fillId="112" borderId="30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9" fillId="2" borderId="26" xfId="0" applyFont="1" applyFill="1" applyBorder="1" applyAlignment="1">
      <alignment horizontal="center" vertical="center"/>
    </xf>
    <xf numFmtId="0" fontId="49" fillId="0" borderId="0" xfId="0" applyFont="1"/>
    <xf numFmtId="16" fontId="7" fillId="114" borderId="7" xfId="0" applyNumberFormat="1" applyFont="1" applyFill="1" applyBorder="1" applyAlignment="1">
      <alignment horizontal="center"/>
    </xf>
    <xf numFmtId="0" fontId="51" fillId="115" borderId="7" xfId="0" applyFont="1" applyFill="1" applyBorder="1" applyAlignment="1">
      <alignment horizontal="center"/>
    </xf>
    <xf numFmtId="20" fontId="8" fillId="115" borderId="7" xfId="0" applyNumberFormat="1" applyFont="1" applyFill="1" applyBorder="1" applyAlignment="1">
      <alignment horizontal="right"/>
    </xf>
    <xf numFmtId="20" fontId="49" fillId="115" borderId="7" xfId="0" applyNumberFormat="1" applyFont="1" applyFill="1" applyBorder="1" applyAlignment="1">
      <alignment horizontal="right"/>
    </xf>
    <xf numFmtId="0" fontId="49" fillId="0" borderId="7" xfId="0" applyFont="1" applyBorder="1" applyAlignment="1">
      <alignment horizontal="right"/>
    </xf>
    <xf numFmtId="0" fontId="49" fillId="0" borderId="0" xfId="0" applyFont="1" applyAlignment="1">
      <alignment horizontal="center"/>
    </xf>
    <xf numFmtId="0" fontId="7" fillId="16" borderId="7" xfId="0" applyFont="1" applyFill="1" applyBorder="1" applyAlignment="1">
      <alignment horizontal="right"/>
    </xf>
    <xf numFmtId="0" fontId="7" fillId="16" borderId="7" xfId="0" applyFont="1" applyFill="1" applyBorder="1" applyAlignment="1">
      <alignment horizontal="center"/>
    </xf>
    <xf numFmtId="0" fontId="7" fillId="16" borderId="0" xfId="0" applyFont="1" applyFill="1" applyAlignment="1">
      <alignment horizontal="right"/>
    </xf>
    <xf numFmtId="0" fontId="7" fillId="16" borderId="7" xfId="0" applyFont="1" applyFill="1" applyBorder="1"/>
    <xf numFmtId="0" fontId="52" fillId="2" borderId="7" xfId="0" applyFont="1" applyFill="1" applyBorder="1" applyAlignment="1">
      <alignment horizontal="center"/>
    </xf>
    <xf numFmtId="0" fontId="7" fillId="114" borderId="7" xfId="0" applyFont="1" applyFill="1" applyBorder="1" applyAlignment="1">
      <alignment horizontal="center"/>
    </xf>
    <xf numFmtId="0" fontId="49" fillId="99" borderId="7" xfId="0" applyFont="1" applyFill="1" applyBorder="1" applyAlignment="1">
      <alignment horizontal="right"/>
    </xf>
    <xf numFmtId="0" fontId="53" fillId="16" borderId="7" xfId="0" applyFont="1" applyFill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7" fillId="73" borderId="7" xfId="0" applyFont="1" applyFill="1" applyBorder="1" applyAlignment="1">
      <alignment horizontal="right"/>
    </xf>
    <xf numFmtId="0" fontId="8" fillId="8" borderId="7" xfId="0" applyFont="1" applyFill="1" applyBorder="1" applyAlignment="1">
      <alignment horizontal="center"/>
    </xf>
    <xf numFmtId="0" fontId="8" fillId="111" borderId="7" xfId="0" applyFont="1" applyFill="1" applyBorder="1" applyAlignment="1">
      <alignment horizontal="right"/>
    </xf>
    <xf numFmtId="0" fontId="8" fillId="116" borderId="7" xfId="0" applyFont="1" applyFill="1" applyBorder="1" applyAlignment="1">
      <alignment horizontal="right"/>
    </xf>
    <xf numFmtId="0" fontId="8" fillId="54" borderId="41" xfId="0" applyFont="1" applyFill="1" applyBorder="1"/>
    <xf numFmtId="0" fontId="8" fillId="117" borderId="7" xfId="0" applyFont="1" applyFill="1" applyBorder="1" applyAlignment="1">
      <alignment horizontal="right"/>
    </xf>
    <xf numFmtId="0" fontId="8" fillId="107" borderId="7" xfId="0" applyFont="1" applyFill="1" applyBorder="1" applyAlignment="1">
      <alignment horizontal="right"/>
    </xf>
    <xf numFmtId="0" fontId="8" fillId="118" borderId="7" xfId="0" applyFont="1" applyFill="1" applyBorder="1" applyAlignment="1">
      <alignment horizontal="right"/>
    </xf>
    <xf numFmtId="0" fontId="8" fillId="110" borderId="7" xfId="0" applyFont="1" applyFill="1" applyBorder="1" applyAlignment="1">
      <alignment horizontal="right"/>
    </xf>
    <xf numFmtId="0" fontId="8" fillId="106" borderId="7" xfId="0" applyFont="1" applyFill="1" applyBorder="1" applyAlignment="1">
      <alignment horizontal="right"/>
    </xf>
    <xf numFmtId="0" fontId="8" fillId="119" borderId="7" xfId="0" applyFont="1" applyFill="1" applyBorder="1" applyAlignment="1">
      <alignment horizontal="right"/>
    </xf>
    <xf numFmtId="0" fontId="8" fillId="120" borderId="7" xfId="0" applyFont="1" applyFill="1" applyBorder="1" applyAlignment="1">
      <alignment horizontal="center"/>
    </xf>
    <xf numFmtId="0" fontId="8" fillId="109" borderId="7" xfId="0" applyFont="1" applyFill="1" applyBorder="1" applyAlignment="1">
      <alignment horizontal="right"/>
    </xf>
    <xf numFmtId="0" fontId="8" fillId="121" borderId="7" xfId="0" applyFont="1" applyFill="1" applyBorder="1" applyAlignment="1">
      <alignment horizontal="right"/>
    </xf>
    <xf numFmtId="0" fontId="8" fillId="122" borderId="7" xfId="0" applyFont="1" applyFill="1" applyBorder="1" applyAlignment="1">
      <alignment horizontal="right"/>
    </xf>
    <xf numFmtId="0" fontId="8" fillId="123" borderId="7" xfId="0" applyFont="1" applyFill="1" applyBorder="1" applyAlignment="1">
      <alignment horizontal="right"/>
    </xf>
    <xf numFmtId="0" fontId="8" fillId="124" borderId="7" xfId="0" applyFont="1" applyFill="1" applyBorder="1" applyAlignment="1">
      <alignment horizontal="right"/>
    </xf>
    <xf numFmtId="0" fontId="8" fillId="125" borderId="7" xfId="0" applyFont="1" applyFill="1" applyBorder="1" applyAlignment="1">
      <alignment horizontal="center"/>
    </xf>
    <xf numFmtId="0" fontId="8" fillId="126" borderId="7" xfId="0" applyFont="1" applyFill="1" applyBorder="1" applyAlignment="1">
      <alignment horizontal="center"/>
    </xf>
    <xf numFmtId="0" fontId="8" fillId="127" borderId="7" xfId="0" applyFont="1" applyFill="1" applyBorder="1" applyAlignment="1">
      <alignment horizontal="right"/>
    </xf>
    <xf numFmtId="0" fontId="8" fillId="128" borderId="7" xfId="0" applyFont="1" applyFill="1" applyBorder="1" applyAlignment="1">
      <alignment horizontal="right"/>
    </xf>
    <xf numFmtId="0" fontId="8" fillId="129" borderId="7" xfId="0" applyFont="1" applyFill="1" applyBorder="1" applyAlignment="1">
      <alignment horizontal="right"/>
    </xf>
    <xf numFmtId="0" fontId="8" fillId="130" borderId="7" xfId="0" applyFont="1" applyFill="1" applyBorder="1" applyAlignment="1">
      <alignment horizontal="right"/>
    </xf>
    <xf numFmtId="0" fontId="8" fillId="131" borderId="7" xfId="0" applyFont="1" applyFill="1" applyBorder="1" applyAlignment="1">
      <alignment horizontal="center"/>
    </xf>
    <xf numFmtId="0" fontId="8" fillId="132" borderId="7" xfId="0" applyFont="1" applyFill="1" applyBorder="1" applyAlignment="1">
      <alignment horizontal="center"/>
    </xf>
    <xf numFmtId="0" fontId="8" fillId="133" borderId="7" xfId="0" applyFont="1" applyFill="1" applyBorder="1" applyAlignment="1">
      <alignment horizontal="center"/>
    </xf>
    <xf numFmtId="0" fontId="8" fillId="134" borderId="7" xfId="0" applyFont="1" applyFill="1" applyBorder="1" applyAlignment="1">
      <alignment horizontal="center"/>
    </xf>
    <xf numFmtId="0" fontId="8" fillId="135" borderId="7" xfId="0" applyFont="1" applyFill="1" applyBorder="1" applyAlignment="1">
      <alignment horizontal="right"/>
    </xf>
    <xf numFmtId="0" fontId="8" fillId="136" borderId="7" xfId="0" applyFont="1" applyFill="1" applyBorder="1" applyAlignment="1">
      <alignment horizontal="right"/>
    </xf>
    <xf numFmtId="0" fontId="8" fillId="108" borderId="7" xfId="0" applyFont="1" applyFill="1" applyBorder="1" applyAlignment="1">
      <alignment horizontal="right"/>
    </xf>
    <xf numFmtId="0" fontId="8" fillId="137" borderId="7" xfId="0" applyFont="1" applyFill="1" applyBorder="1" applyAlignment="1">
      <alignment horizontal="right"/>
    </xf>
    <xf numFmtId="0" fontId="8" fillId="138" borderId="7" xfId="0" applyFont="1" applyFill="1" applyBorder="1" applyAlignment="1">
      <alignment horizontal="center"/>
    </xf>
    <xf numFmtId="0" fontId="8" fillId="139" borderId="7" xfId="0" applyFont="1" applyFill="1" applyBorder="1" applyAlignment="1">
      <alignment horizontal="right"/>
    </xf>
    <xf numFmtId="0" fontId="8" fillId="140" borderId="7" xfId="0" applyFont="1" applyFill="1" applyBorder="1" applyAlignment="1">
      <alignment horizontal="right"/>
    </xf>
    <xf numFmtId="0" fontId="8" fillId="141" borderId="7" xfId="0" applyFont="1" applyFill="1" applyBorder="1" applyAlignment="1">
      <alignment horizontal="right"/>
    </xf>
    <xf numFmtId="0" fontId="8" fillId="142" borderId="7" xfId="0" applyFont="1" applyFill="1" applyBorder="1" applyAlignment="1">
      <alignment horizontal="right"/>
    </xf>
    <xf numFmtId="0" fontId="8" fillId="143" borderId="7" xfId="0" applyFont="1" applyFill="1" applyBorder="1" applyAlignment="1">
      <alignment horizontal="right"/>
    </xf>
    <xf numFmtId="0" fontId="8" fillId="144" borderId="7" xfId="0" applyFont="1" applyFill="1" applyBorder="1" applyAlignment="1">
      <alignment horizontal="right"/>
    </xf>
    <xf numFmtId="16" fontId="7" fillId="92" borderId="7" xfId="0" applyNumberFormat="1" applyFont="1" applyFill="1" applyBorder="1" applyAlignment="1">
      <alignment horizontal="center"/>
    </xf>
    <xf numFmtId="0" fontId="50" fillId="145" borderId="7" xfId="0" applyFont="1" applyFill="1" applyBorder="1" applyAlignment="1">
      <alignment horizontal="center"/>
    </xf>
    <xf numFmtId="20" fontId="49" fillId="0" borderId="7" xfId="0" applyNumberFormat="1" applyFont="1" applyBorder="1" applyAlignment="1">
      <alignment horizontal="center"/>
    </xf>
    <xf numFmtId="0" fontId="49" fillId="0" borderId="7" xfId="0" applyFont="1" applyBorder="1"/>
    <xf numFmtId="0" fontId="54" fillId="2" borderId="7" xfId="0" applyFont="1" applyFill="1" applyBorder="1"/>
    <xf numFmtId="0" fontId="50" fillId="145" borderId="7" xfId="0" applyFont="1" applyFill="1" applyBorder="1" applyAlignment="1">
      <alignment horizontal="right"/>
    </xf>
    <xf numFmtId="0" fontId="49" fillId="54" borderId="7" xfId="0" applyFont="1" applyFill="1" applyBorder="1"/>
    <xf numFmtId="0" fontId="49" fillId="54" borderId="7" xfId="0" applyFont="1" applyFill="1" applyBorder="1" applyAlignment="1">
      <alignment horizontal="right"/>
    </xf>
    <xf numFmtId="0" fontId="54" fillId="54" borderId="7" xfId="0" applyFont="1" applyFill="1" applyBorder="1"/>
    <xf numFmtId="0" fontId="34" fillId="0" borderId="0" xfId="0" applyFont="1"/>
    <xf numFmtId="0" fontId="49" fillId="54" borderId="39" xfId="0" applyFont="1" applyFill="1" applyBorder="1" applyAlignment="1">
      <alignment horizontal="right"/>
    </xf>
    <xf numFmtId="0" fontId="55" fillId="0" borderId="2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6" fillId="0" borderId="0" xfId="0" applyFont="1" applyAlignment="1">
      <alignment horizontal="center" vertical="center"/>
    </xf>
    <xf numFmtId="14" fontId="3" fillId="0" borderId="22" xfId="0" applyNumberFormat="1" applyFont="1" applyBorder="1" applyAlignment="1">
      <alignment horizontal="left" vertical="center" textRotation="90"/>
    </xf>
    <xf numFmtId="14" fontId="3" fillId="147" borderId="43" xfId="0" applyNumberFormat="1" applyFont="1" applyFill="1" applyBorder="1" applyAlignment="1">
      <alignment horizontal="center" vertical="center" textRotation="90"/>
    </xf>
    <xf numFmtId="14" fontId="3" fillId="0" borderId="0" xfId="0" applyNumberFormat="1" applyFont="1"/>
    <xf numFmtId="0" fontId="2" fillId="0" borderId="0" xfId="0" applyFont="1" applyAlignment="1">
      <alignment horizontal="center" wrapText="1"/>
    </xf>
    <xf numFmtId="0" fontId="3" fillId="68" borderId="44" xfId="0" applyFont="1" applyFill="1" applyBorder="1" applyAlignment="1">
      <alignment horizontal="center"/>
    </xf>
    <xf numFmtId="9" fontId="3" fillId="0" borderId="0" xfId="0" applyNumberFormat="1" applyFont="1"/>
    <xf numFmtId="0" fontId="34" fillId="0" borderId="0" xfId="0" applyFont="1" applyAlignment="1">
      <alignment horizontal="center"/>
    </xf>
    <xf numFmtId="10" fontId="3" fillId="0" borderId="0" xfId="0" applyNumberFormat="1" applyFont="1"/>
    <xf numFmtId="0" fontId="26" fillId="97" borderId="24" xfId="0" applyFont="1" applyFill="1" applyBorder="1" applyAlignment="1">
      <alignment horizontal="left"/>
    </xf>
    <xf numFmtId="0" fontId="29" fillId="113" borderId="0" xfId="0" applyFont="1" applyFill="1" applyAlignment="1">
      <alignment horizontal="center"/>
    </xf>
    <xf numFmtId="0" fontId="29" fillId="113" borderId="45" xfId="0" applyFont="1" applyFill="1" applyBorder="1" applyAlignment="1">
      <alignment horizontal="left"/>
    </xf>
    <xf numFmtId="0" fontId="2" fillId="113" borderId="26" xfId="0" applyFont="1" applyFill="1" applyBorder="1" applyAlignment="1">
      <alignment horizontal="center"/>
    </xf>
    <xf numFmtId="0" fontId="2" fillId="113" borderId="30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113" borderId="30" xfId="0" applyFont="1" applyFill="1" applyBorder="1" applyAlignment="1">
      <alignment horizontal="center" wrapText="1"/>
    </xf>
    <xf numFmtId="0" fontId="57" fillId="113" borderId="46" xfId="0" applyFont="1" applyFill="1" applyBorder="1"/>
    <xf numFmtId="14" fontId="25" fillId="0" borderId="22" xfId="0" applyNumberFormat="1" applyFont="1" applyBorder="1" applyAlignment="1">
      <alignment horizontal="right"/>
    </xf>
    <xf numFmtId="46" fontId="3" fillId="0" borderId="22" xfId="0" applyNumberFormat="1" applyFont="1" applyBorder="1" applyAlignment="1">
      <alignment horizontal="center"/>
    </xf>
    <xf numFmtId="166" fontId="3" fillId="0" borderId="22" xfId="0" applyNumberFormat="1" applyFont="1" applyBorder="1" applyAlignment="1">
      <alignment horizontal="center"/>
    </xf>
    <xf numFmtId="21" fontId="3" fillId="0" borderId="22" xfId="0" applyNumberFormat="1" applyFont="1" applyBorder="1" applyAlignment="1">
      <alignment horizontal="center"/>
    </xf>
    <xf numFmtId="14" fontId="25" fillId="0" borderId="22" xfId="0" applyNumberFormat="1" applyFont="1" applyBorder="1"/>
    <xf numFmtId="46" fontId="34" fillId="0" borderId="0" xfId="0" applyNumberFormat="1" applyFont="1"/>
    <xf numFmtId="0" fontId="25" fillId="113" borderId="0" xfId="0" applyFont="1" applyFill="1"/>
    <xf numFmtId="0" fontId="25" fillId="113" borderId="22" xfId="0" applyFont="1" applyFill="1" applyBorder="1"/>
    <xf numFmtId="0" fontId="25" fillId="113" borderId="43" xfId="0" applyFont="1" applyFill="1" applyBorder="1"/>
    <xf numFmtId="0" fontId="25" fillId="0" borderId="0" xfId="0" applyFont="1" applyAlignment="1">
      <alignment horizontal="right"/>
    </xf>
    <xf numFmtId="0" fontId="25" fillId="0" borderId="26" xfId="0" applyFont="1" applyBorder="1" applyAlignment="1">
      <alignment horizontal="right"/>
    </xf>
    <xf numFmtId="21" fontId="41" fillId="0" borderId="29" xfId="0" applyNumberFormat="1" applyFont="1" applyBorder="1" applyAlignment="1">
      <alignment horizontal="right"/>
    </xf>
    <xf numFmtId="21" fontId="41" fillId="0" borderId="0" xfId="0" applyNumberFormat="1" applyFont="1" applyAlignment="1">
      <alignment horizontal="right"/>
    </xf>
    <xf numFmtId="0" fontId="3" fillId="68" borderId="22" xfId="0" applyFont="1" applyFill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16" fillId="97" borderId="24" xfId="0" applyFont="1" applyFill="1" applyBorder="1" applyAlignment="1">
      <alignment horizontal="left"/>
    </xf>
    <xf numFmtId="0" fontId="23" fillId="97" borderId="24" xfId="0" applyFont="1" applyFill="1" applyBorder="1" applyAlignment="1">
      <alignment horizontal="left"/>
    </xf>
    <xf numFmtId="0" fontId="34" fillId="0" borderId="0" xfId="0" applyFont="1" applyAlignment="1">
      <alignment horizontal="left"/>
    </xf>
    <xf numFmtId="0" fontId="8" fillId="148" borderId="7" xfId="0" applyFont="1" applyFill="1" applyBorder="1" applyAlignment="1">
      <alignment horizontal="center"/>
    </xf>
    <xf numFmtId="0" fontId="8" fillId="149" borderId="7" xfId="0" applyFont="1" applyFill="1" applyBorder="1" applyAlignment="1">
      <alignment horizontal="center"/>
    </xf>
    <xf numFmtId="0" fontId="8" fillId="146" borderId="7" xfId="0" applyFont="1" applyFill="1" applyBorder="1" applyAlignment="1">
      <alignment horizontal="center"/>
    </xf>
    <xf numFmtId="0" fontId="8" fillId="150" borderId="7" xfId="0" applyFont="1" applyFill="1" applyBorder="1" applyAlignment="1">
      <alignment horizontal="center"/>
    </xf>
    <xf numFmtId="0" fontId="8" fillId="151" borderId="7" xfId="0" applyFont="1" applyFill="1" applyBorder="1" applyAlignment="1">
      <alignment horizontal="center"/>
    </xf>
    <xf numFmtId="0" fontId="8" fillId="152" borderId="7" xfId="0" applyFont="1" applyFill="1" applyBorder="1" applyAlignment="1">
      <alignment horizontal="center"/>
    </xf>
    <xf numFmtId="0" fontId="29" fillId="113" borderId="22" xfId="0" applyFont="1" applyFill="1" applyBorder="1" applyAlignment="1">
      <alignment horizontal="left"/>
    </xf>
    <xf numFmtId="0" fontId="29" fillId="113" borderId="43" xfId="0" applyFont="1" applyFill="1" applyBorder="1" applyAlignment="1">
      <alignment horizontal="left"/>
    </xf>
    <xf numFmtId="0" fontId="25" fillId="54" borderId="26" xfId="0" applyFont="1" applyFill="1" applyBorder="1"/>
    <xf numFmtId="0" fontId="34" fillId="2" borderId="22" xfId="0" applyFont="1" applyFill="1" applyBorder="1" applyAlignment="1">
      <alignment horizontal="center"/>
    </xf>
    <xf numFmtId="0" fontId="25" fillId="2" borderId="30" xfId="0" applyFont="1" applyFill="1" applyBorder="1" applyAlignment="1">
      <alignment horizontal="center"/>
    </xf>
    <xf numFmtId="0" fontId="35" fillId="147" borderId="22" xfId="0" applyFont="1" applyFill="1" applyBorder="1" applyAlignment="1">
      <alignment horizontal="center"/>
    </xf>
    <xf numFmtId="0" fontId="25" fillId="54" borderId="30" xfId="0" applyFont="1" applyFill="1" applyBorder="1" applyAlignment="1">
      <alignment horizontal="right"/>
    </xf>
    <xf numFmtId="0" fontId="25" fillId="54" borderId="30" xfId="0" applyFont="1" applyFill="1" applyBorder="1" applyAlignment="1">
      <alignment horizontal="center"/>
    </xf>
    <xf numFmtId="0" fontId="34" fillId="153" borderId="0" xfId="0" applyFont="1" applyFill="1"/>
    <xf numFmtId="0" fontId="34" fillId="95" borderId="22" xfId="0" applyFont="1" applyFill="1" applyBorder="1"/>
    <xf numFmtId="0" fontId="25" fillId="95" borderId="22" xfId="0" applyFont="1" applyFill="1" applyBorder="1" applyAlignment="1">
      <alignment horizontal="center"/>
    </xf>
    <xf numFmtId="0" fontId="34" fillId="95" borderId="22" xfId="0" applyFont="1" applyFill="1" applyBorder="1" applyAlignment="1">
      <alignment horizontal="center"/>
    </xf>
    <xf numFmtId="0" fontId="25" fillId="2" borderId="30" xfId="0" applyFont="1" applyFill="1" applyBorder="1" applyAlignment="1">
      <alignment horizontal="right"/>
    </xf>
    <xf numFmtId="0" fontId="25" fillId="54" borderId="22" xfId="0" applyFont="1" applyFill="1" applyBorder="1"/>
    <xf numFmtId="0" fontId="25" fillId="2" borderId="22" xfId="0" applyFont="1" applyFill="1" applyBorder="1" applyAlignment="1">
      <alignment horizontal="right"/>
    </xf>
    <xf numFmtId="0" fontId="16" fillId="54" borderId="22" xfId="0" applyFont="1" applyFill="1" applyBorder="1"/>
    <xf numFmtId="0" fontId="34" fillId="2" borderId="22" xfId="0" applyFont="1" applyFill="1" applyBorder="1"/>
    <xf numFmtId="0" fontId="26" fillId="54" borderId="24" xfId="0" applyFont="1" applyFill="1" applyBorder="1"/>
    <xf numFmtId="0" fontId="16" fillId="71" borderId="22" xfId="0" applyFont="1" applyFill="1" applyBorder="1"/>
    <xf numFmtId="0" fontId="25" fillId="54" borderId="0" xfId="0" applyFont="1" applyFill="1"/>
    <xf numFmtId="0" fontId="25" fillId="54" borderId="0" xfId="0" applyFont="1" applyFill="1" applyAlignment="1">
      <alignment horizontal="right"/>
    </xf>
    <xf numFmtId="0" fontId="25" fillId="54" borderId="0" xfId="0" applyFont="1" applyFill="1" applyAlignment="1">
      <alignment horizontal="center"/>
    </xf>
    <xf numFmtId="0" fontId="35" fillId="0" borderId="22" xfId="0" applyFont="1" applyBorder="1"/>
    <xf numFmtId="0" fontId="16" fillId="54" borderId="0" xfId="0" applyFont="1" applyFill="1"/>
    <xf numFmtId="0" fontId="35" fillId="0" borderId="22" xfId="0" applyFont="1" applyBorder="1" applyAlignment="1">
      <alignment horizontal="center"/>
    </xf>
    <xf numFmtId="0" fontId="29" fillId="113" borderId="22" xfId="0" applyFont="1" applyFill="1" applyBorder="1" applyAlignment="1">
      <alignment horizontal="center"/>
    </xf>
    <xf numFmtId="0" fontId="29" fillId="113" borderId="43" xfId="0" applyFont="1" applyFill="1" applyBorder="1" applyAlignment="1">
      <alignment horizontal="center"/>
    </xf>
    <xf numFmtId="0" fontId="35" fillId="2" borderId="22" xfId="0" applyFont="1" applyFill="1" applyBorder="1"/>
    <xf numFmtId="0" fontId="59" fillId="54" borderId="0" xfId="0" applyFont="1" applyFill="1"/>
    <xf numFmtId="0" fontId="3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60" fillId="18" borderId="24" xfId="0" applyFont="1" applyFill="1" applyBorder="1" applyAlignment="1">
      <alignment horizontal="left"/>
    </xf>
    <xf numFmtId="0" fontId="29" fillId="154" borderId="26" xfId="0" applyFont="1" applyFill="1" applyBorder="1" applyAlignment="1">
      <alignment horizontal="center"/>
    </xf>
    <xf numFmtId="0" fontId="62" fillId="18" borderId="24" xfId="0" applyFont="1" applyFill="1" applyBorder="1" applyAlignment="1">
      <alignment horizontal="left"/>
    </xf>
    <xf numFmtId="0" fontId="0" fillId="0" borderId="37" xfId="0" applyBorder="1"/>
    <xf numFmtId="167" fontId="0" fillId="0" borderId="37" xfId="0" applyNumberFormat="1" applyBorder="1"/>
    <xf numFmtId="0" fontId="0" fillId="0" borderId="38" xfId="0" applyBorder="1"/>
    <xf numFmtId="167" fontId="0" fillId="0" borderId="38" xfId="0" applyNumberFormat="1" applyBorder="1"/>
    <xf numFmtId="0" fontId="29" fillId="19" borderId="28" xfId="0" applyFont="1" applyFill="1" applyBorder="1"/>
    <xf numFmtId="0" fontId="29" fillId="157" borderId="26" xfId="0" applyFont="1" applyFill="1" applyBorder="1" applyAlignment="1">
      <alignment horizontal="center" vertical="center"/>
    </xf>
    <xf numFmtId="0" fontId="29" fillId="156" borderId="26" xfId="0" applyFont="1" applyFill="1" applyBorder="1" applyAlignment="1">
      <alignment horizontal="center"/>
    </xf>
    <xf numFmtId="165" fontId="14" fillId="158" borderId="15" xfId="0" applyNumberFormat="1" applyFont="1" applyFill="1" applyBorder="1" applyAlignment="1">
      <alignment horizontal="right" vertical="center"/>
    </xf>
    <xf numFmtId="165" fontId="14" fillId="160" borderId="15" xfId="0" applyNumberFormat="1" applyFont="1" applyFill="1" applyBorder="1" applyAlignment="1">
      <alignment horizontal="right" vertical="center"/>
    </xf>
    <xf numFmtId="0" fontId="3" fillId="161" borderId="0" xfId="0" applyFont="1" applyFill="1" applyAlignment="1">
      <alignment horizontal="center"/>
    </xf>
    <xf numFmtId="0" fontId="3" fillId="162" borderId="22" xfId="0" applyFont="1" applyFill="1" applyBorder="1" applyAlignment="1">
      <alignment horizontal="center"/>
    </xf>
    <xf numFmtId="0" fontId="39" fillId="163" borderId="22" xfId="0" applyFont="1" applyFill="1" applyBorder="1" applyAlignment="1">
      <alignment horizontal="center"/>
    </xf>
    <xf numFmtId="0" fontId="3" fillId="164" borderId="22" xfId="0" applyFont="1" applyFill="1" applyBorder="1" applyAlignment="1">
      <alignment horizontal="center"/>
    </xf>
    <xf numFmtId="0" fontId="29" fillId="157" borderId="26" xfId="0" applyFont="1" applyFill="1" applyBorder="1" applyAlignment="1">
      <alignment horizontal="center"/>
    </xf>
    <xf numFmtId="0" fontId="64" fillId="19" borderId="26" xfId="0" applyFont="1" applyFill="1" applyBorder="1" applyAlignment="1">
      <alignment horizontal="center"/>
    </xf>
    <xf numFmtId="0" fontId="64" fillId="0" borderId="26" xfId="0" applyFont="1" applyBorder="1" applyAlignment="1">
      <alignment horizontal="center" vertical="center"/>
    </xf>
    <xf numFmtId="0" fontId="29" fillId="165" borderId="26" xfId="0" applyFont="1" applyFill="1" applyBorder="1" applyAlignment="1">
      <alignment horizontal="center"/>
    </xf>
    <xf numFmtId="0" fontId="26" fillId="0" borderId="24" xfId="0" applyFont="1" applyBorder="1" applyAlignment="1">
      <alignment horizontal="left"/>
    </xf>
    <xf numFmtId="0" fontId="29" fillId="155" borderId="26" xfId="0" applyFont="1" applyFill="1" applyBorder="1" applyAlignment="1">
      <alignment horizontal="center"/>
    </xf>
    <xf numFmtId="0" fontId="29" fillId="166" borderId="26" xfId="0" applyFont="1" applyFill="1" applyBorder="1" applyAlignment="1">
      <alignment horizontal="center"/>
    </xf>
    <xf numFmtId="0" fontId="64" fillId="157" borderId="26" xfId="0" applyFont="1" applyFill="1" applyBorder="1" applyAlignment="1">
      <alignment horizontal="center"/>
    </xf>
    <xf numFmtId="0" fontId="29" fillId="168" borderId="26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5" fillId="0" borderId="22" xfId="0" applyFont="1" applyBorder="1" applyAlignment="1">
      <alignment horizontal="left"/>
    </xf>
    <xf numFmtId="0" fontId="6" fillId="6" borderId="23" xfId="0" applyFont="1" applyFill="1" applyBorder="1" applyAlignment="1">
      <alignment horizontal="center"/>
    </xf>
    <xf numFmtId="0" fontId="66" fillId="18" borderId="24" xfId="0" applyFont="1" applyFill="1" applyBorder="1" applyAlignment="1">
      <alignment horizontal="left"/>
    </xf>
    <xf numFmtId="0" fontId="67" fillId="6" borderId="25" xfId="0" applyFont="1" applyFill="1" applyBorder="1" applyAlignment="1">
      <alignment horizontal="center" vertical="center"/>
    </xf>
    <xf numFmtId="20" fontId="64" fillId="0" borderId="26" xfId="0" applyNumberFormat="1" applyFont="1" applyBorder="1" applyAlignment="1">
      <alignment horizontal="center" vertical="center"/>
    </xf>
    <xf numFmtId="0" fontId="64" fillId="0" borderId="36" xfId="0" applyFont="1" applyBorder="1" applyAlignment="1">
      <alignment horizontal="center" vertical="center"/>
    </xf>
    <xf numFmtId="0" fontId="64" fillId="156" borderId="26" xfId="0" applyFont="1" applyFill="1" applyBorder="1" applyAlignment="1">
      <alignment horizontal="center"/>
    </xf>
    <xf numFmtId="0" fontId="2" fillId="157" borderId="26" xfId="0" applyFont="1" applyFill="1" applyBorder="1" applyAlignment="1">
      <alignment horizontal="center"/>
    </xf>
    <xf numFmtId="0" fontId="29" fillId="169" borderId="26" xfId="0" applyFont="1" applyFill="1" applyBorder="1" applyAlignment="1">
      <alignment horizontal="center"/>
    </xf>
    <xf numFmtId="0" fontId="29" fillId="167" borderId="26" xfId="0" applyFont="1" applyFill="1" applyBorder="1" applyAlignment="1">
      <alignment horizontal="center"/>
    </xf>
    <xf numFmtId="20" fontId="2" fillId="0" borderId="26" xfId="0" applyNumberFormat="1" applyFont="1" applyBorder="1" applyAlignment="1">
      <alignment horizontal="center" vertical="center"/>
    </xf>
    <xf numFmtId="0" fontId="64" fillId="154" borderId="26" xfId="0" applyFont="1" applyFill="1" applyBorder="1" applyAlignment="1">
      <alignment horizontal="center"/>
    </xf>
    <xf numFmtId="0" fontId="8" fillId="170" borderId="7" xfId="0" applyFont="1" applyFill="1" applyBorder="1" applyAlignment="1">
      <alignment horizontal="right"/>
    </xf>
    <xf numFmtId="0" fontId="6" fillId="0" borderId="29" xfId="0" applyFont="1" applyBorder="1"/>
    <xf numFmtId="0" fontId="8" fillId="170" borderId="47" xfId="0" applyFont="1" applyFill="1" applyBorder="1" applyAlignment="1">
      <alignment horizontal="right"/>
    </xf>
    <xf numFmtId="0" fontId="25" fillId="6" borderId="29" xfId="0" applyFont="1" applyFill="1" applyBorder="1" applyAlignment="1">
      <alignment horizontal="center"/>
    </xf>
    <xf numFmtId="0" fontId="29" fillId="80" borderId="29" xfId="0" applyFont="1" applyFill="1" applyBorder="1" applyAlignment="1">
      <alignment horizontal="center"/>
    </xf>
    <xf numFmtId="0" fontId="38" fillId="159" borderId="26" xfId="0" applyFont="1" applyFill="1" applyBorder="1" applyAlignment="1">
      <alignment horizontal="center"/>
    </xf>
    <xf numFmtId="0" fontId="38" fillId="159" borderId="26" xfId="0" applyFont="1" applyFill="1" applyBorder="1" applyAlignment="1">
      <alignment horizontal="center" vertical="center"/>
    </xf>
    <xf numFmtId="0" fontId="29" fillId="171" borderId="26" xfId="0" applyFont="1" applyFill="1" applyBorder="1" applyAlignment="1">
      <alignment horizontal="center"/>
    </xf>
    <xf numFmtId="0" fontId="29" fillId="172" borderId="26" xfId="0" applyFont="1" applyFill="1" applyBorder="1" applyAlignment="1">
      <alignment horizontal="center" vertical="center"/>
    </xf>
    <xf numFmtId="0" fontId="38" fillId="172" borderId="26" xfId="0" applyFont="1" applyFill="1" applyBorder="1" applyAlignment="1">
      <alignment horizontal="center" vertical="center"/>
    </xf>
    <xf numFmtId="0" fontId="29" fillId="19" borderId="45" xfId="0" applyFont="1" applyFill="1" applyBorder="1"/>
    <xf numFmtId="0" fontId="29" fillId="171" borderId="43" xfId="0" applyFont="1" applyFill="1" applyBorder="1"/>
    <xf numFmtId="0" fontId="29" fillId="79" borderId="28" xfId="0" applyFont="1" applyFill="1" applyBorder="1"/>
    <xf numFmtId="0" fontId="29" fillId="173" borderId="26" xfId="0" applyFont="1" applyFill="1" applyBorder="1" applyAlignment="1">
      <alignment horizontal="center" vertical="center"/>
    </xf>
    <xf numFmtId="165" fontId="14" fillId="174" borderId="15" xfId="0" applyNumberFormat="1" applyFont="1" applyFill="1" applyBorder="1" applyAlignment="1">
      <alignment horizontal="right" vertical="center"/>
    </xf>
    <xf numFmtId="0" fontId="37" fillId="73" borderId="45" xfId="0" applyFont="1" applyFill="1" applyBorder="1" applyAlignment="1">
      <alignment vertical="center"/>
    </xf>
    <xf numFmtId="0" fontId="37" fillId="73" borderId="42" xfId="0" applyFont="1" applyFill="1" applyBorder="1" applyAlignment="1">
      <alignment vertical="center"/>
    </xf>
    <xf numFmtId="0" fontId="37" fillId="73" borderId="43" xfId="0" applyFont="1" applyFill="1" applyBorder="1" applyAlignment="1">
      <alignment vertical="center"/>
    </xf>
    <xf numFmtId="0" fontId="6" fillId="0" borderId="30" xfId="0" applyFont="1" applyBorder="1"/>
    <xf numFmtId="0" fontId="38" fillId="159" borderId="45" xfId="0" applyFont="1" applyFill="1" applyBorder="1" applyAlignment="1">
      <alignment horizontal="center"/>
    </xf>
    <xf numFmtId="0" fontId="38" fillId="159" borderId="42" xfId="0" applyFont="1" applyFill="1" applyBorder="1" applyAlignment="1">
      <alignment horizontal="center"/>
    </xf>
    <xf numFmtId="0" fontId="38" fillId="159" borderId="43" xfId="0" applyFont="1" applyFill="1" applyBorder="1" applyAlignment="1">
      <alignment horizontal="center"/>
    </xf>
    <xf numFmtId="0" fontId="29" fillId="80" borderId="28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6" fillId="0" borderId="6" xfId="0" applyFont="1" applyBorder="1"/>
    <xf numFmtId="0" fontId="29" fillId="79" borderId="28" xfId="0" applyFont="1" applyFill="1" applyBorder="1" applyAlignment="1">
      <alignment horizontal="center"/>
    </xf>
    <xf numFmtId="0" fontId="29" fillId="19" borderId="28" xfId="0" applyFont="1" applyFill="1" applyBorder="1" applyAlignment="1">
      <alignment horizontal="center"/>
    </xf>
    <xf numFmtId="0" fontId="38" fillId="73" borderId="29" xfId="0" applyFont="1" applyFill="1" applyBorder="1" applyAlignment="1">
      <alignment horizontal="center" vertical="center"/>
    </xf>
    <xf numFmtId="0" fontId="37" fillId="73" borderId="45" xfId="0" applyFont="1" applyFill="1" applyBorder="1" applyAlignment="1">
      <alignment horizontal="center" vertical="center"/>
    </xf>
    <xf numFmtId="0" fontId="37" fillId="73" borderId="42" xfId="0" applyFont="1" applyFill="1" applyBorder="1" applyAlignment="1">
      <alignment horizontal="center" vertical="center"/>
    </xf>
    <xf numFmtId="0" fontId="37" fillId="73" borderId="43" xfId="0" applyFont="1" applyFill="1" applyBorder="1" applyAlignment="1">
      <alignment horizontal="center" vertical="center"/>
    </xf>
    <xf numFmtId="0" fontId="6" fillId="0" borderId="29" xfId="0" applyFont="1" applyBorder="1"/>
    <xf numFmtId="0" fontId="29" fillId="19" borderId="45" xfId="0" applyFont="1" applyFill="1" applyBorder="1" applyAlignment="1">
      <alignment horizontal="center"/>
    </xf>
    <xf numFmtId="0" fontId="29" fillId="19" borderId="43" xfId="0" applyFont="1" applyFill="1" applyBorder="1" applyAlignment="1">
      <alignment horizontal="center"/>
    </xf>
    <xf numFmtId="0" fontId="64" fillId="19" borderId="28" xfId="0" applyFont="1" applyFill="1" applyBorder="1" applyAlignment="1">
      <alignment horizontal="center"/>
    </xf>
    <xf numFmtId="0" fontId="2" fillId="19" borderId="28" xfId="0" applyFont="1" applyFill="1" applyBorder="1" applyAlignment="1">
      <alignment horizontal="center"/>
    </xf>
    <xf numFmtId="0" fontId="3" fillId="0" borderId="30" xfId="0" applyFont="1" applyBorder="1"/>
    <xf numFmtId="0" fontId="38" fillId="73" borderId="45" xfId="0" applyFont="1" applyFill="1" applyBorder="1" applyAlignment="1">
      <alignment horizontal="center" vertical="center"/>
    </xf>
    <xf numFmtId="0" fontId="38" fillId="73" borderId="4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5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2" fillId="6" borderId="5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3" fillId="6" borderId="9" xfId="0" applyFont="1" applyFill="1" applyBorder="1" applyAlignment="1">
      <alignment horizontal="center" vertical="center"/>
    </xf>
    <xf numFmtId="0" fontId="6" fillId="0" borderId="9" xfId="0" applyFont="1" applyBorder="1"/>
    <xf numFmtId="0" fontId="18" fillId="20" borderId="28" xfId="0" applyFont="1" applyFill="1" applyBorder="1" applyAlignment="1">
      <alignment horizontal="center" vertical="center"/>
    </xf>
    <xf numFmtId="0" fontId="0" fillId="0" borderId="0" xfId="0"/>
    <xf numFmtId="0" fontId="18" fillId="2" borderId="2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7" fillId="73" borderId="28" xfId="0" applyFont="1" applyFill="1" applyBorder="1" applyAlignment="1">
      <alignment horizontal="center" vertical="center"/>
    </xf>
    <xf numFmtId="0" fontId="38" fillId="74" borderId="29" xfId="0" applyFont="1" applyFill="1" applyBorder="1" applyAlignment="1">
      <alignment horizontal="center" vertical="center"/>
    </xf>
    <xf numFmtId="0" fontId="37" fillId="82" borderId="28" xfId="0" applyFont="1" applyFill="1" applyBorder="1" applyAlignment="1">
      <alignment horizontal="center" vertical="center"/>
    </xf>
    <xf numFmtId="0" fontId="29" fillId="83" borderId="28" xfId="0" applyFont="1" applyFill="1" applyBorder="1" applyAlignment="1">
      <alignment horizontal="center"/>
    </xf>
    <xf numFmtId="0" fontId="37" fillId="4" borderId="28" xfId="0" applyFont="1" applyFill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25" fillId="83" borderId="28" xfId="0" applyFont="1" applyFill="1" applyBorder="1" applyAlignment="1">
      <alignment horizontal="center"/>
    </xf>
    <xf numFmtId="0" fontId="28" fillId="2" borderId="28" xfId="0" applyFont="1" applyFill="1" applyBorder="1" applyAlignment="1">
      <alignment horizontal="center" vertical="center"/>
    </xf>
    <xf numFmtId="0" fontId="25" fillId="19" borderId="28" xfId="0" applyFont="1" applyFill="1" applyBorder="1" applyAlignment="1">
      <alignment horizontal="center"/>
    </xf>
    <xf numFmtId="0" fontId="25" fillId="4" borderId="28" xfId="0" applyFont="1" applyFill="1" applyBorder="1" applyAlignment="1">
      <alignment horizontal="center"/>
    </xf>
    <xf numFmtId="0" fontId="25" fillId="98" borderId="28" xfId="0" applyFont="1" applyFill="1" applyBorder="1" applyAlignment="1">
      <alignment horizontal="center"/>
    </xf>
    <xf numFmtId="0" fontId="29" fillId="4" borderId="28" xfId="0" applyFont="1" applyFill="1" applyBorder="1" applyAlignment="1">
      <alignment horizontal="center"/>
    </xf>
    <xf numFmtId="0" fontId="29" fillId="112" borderId="28" xfId="0" applyFont="1" applyFill="1" applyBorder="1" applyAlignment="1">
      <alignment horizontal="center"/>
    </xf>
    <xf numFmtId="0" fontId="50" fillId="113" borderId="40" xfId="0" applyFont="1" applyFill="1" applyBorder="1" applyAlignment="1">
      <alignment horizontal="center"/>
    </xf>
    <xf numFmtId="0" fontId="6" fillId="0" borderId="39" xfId="0" applyFont="1" applyBorder="1"/>
    <xf numFmtId="0" fontId="7" fillId="114" borderId="40" xfId="0" applyFont="1" applyFill="1" applyBorder="1" applyAlignment="1">
      <alignment horizontal="center"/>
    </xf>
    <xf numFmtId="0" fontId="6" fillId="0" borderId="42" xfId="0" applyFont="1" applyBorder="1"/>
    <xf numFmtId="0" fontId="6" fillId="0" borderId="43" xfId="0" applyFont="1" applyBorder="1"/>
    <xf numFmtId="0" fontId="38" fillId="172" borderId="45" xfId="0" applyFont="1" applyFill="1" applyBorder="1" applyAlignment="1">
      <alignment horizontal="center"/>
    </xf>
    <xf numFmtId="0" fontId="38" fillId="172" borderId="42" xfId="0" applyFont="1" applyFill="1" applyBorder="1" applyAlignment="1">
      <alignment horizontal="center"/>
    </xf>
    <xf numFmtId="0" fontId="38" fillId="172" borderId="4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2" fillId="69" borderId="45" xfId="0" applyNumberFormat="1" applyFont="1" applyFill="1" applyBorder="1" applyAlignment="1">
      <alignment horizontal="center"/>
    </xf>
    <xf numFmtId="0" fontId="58" fillId="73" borderId="45" xfId="0" applyFont="1" applyFill="1" applyBorder="1" applyAlignment="1">
      <alignment horizontal="left"/>
    </xf>
  </cellXfs>
  <cellStyles count="2">
    <cellStyle name="Normal" xfId="0" builtinId="0"/>
    <cellStyle name="Normal 2" xfId="1" xr:uid="{F19DC25A-2419-496C-802E-1BAF10D6DB7A}"/>
  </cellStyles>
  <dxfs count="9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esor Back" id="{932D8E95-3F28-4314-910B-E6F3CA024C37}" userId="" providerId="google-sheets"/>
  <person displayName="Carlos Herrera" id="{820C3F36-BF0D-4584-B705-99CB1D9E235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L5" dT="2026-02-19T04:09:49.00" personId="{932D8E95-3F28-4314-910B-E6F3CA024C37}" id="{A9B2265A-EFA8-4AD9-8DA6-F20686307AFE}">
    <text>SE JUSTIFICA POR FI AUT SUP UIO B.A.</text>
  </threadedComment>
  <threadedComment ref="BT7" dT="2026-02-19T04:08:18.00" personId="{932D8E95-3F28-4314-910B-E6F3CA024C37}" id="{9C1C0C03-3732-4BD0-9D62-A7C78916B272}">
    <text>SE JUSTIFICA POR FI AUT SUP UIO B.A.</text>
  </threadedComment>
  <threadedComment ref="BT10" dT="2026-02-19T04:08:29.00" personId="{932D8E95-3F28-4314-910B-E6F3CA024C37}" id="{0DBEBA10-A2EF-44E6-B838-124340FE631E}">
    <text>SE JUSTIFICA POR FI AUT SUP UIO B.A.</text>
  </threadedComment>
  <threadedComment ref="BH11" dT="2026-02-19T04:11:37.00" personId="{932D8E95-3F28-4314-910B-E6F3CA024C37}" id="{34289B9C-2171-4E55-A522-8C7870CC2438}">
    <text>SE JUSTIFICA POR FI AUT SUP UIO B.A.</text>
  </threadedComment>
  <threadedComment ref="L12" dT="2026-02-05T21:18:26.00" personId="{820C3F36-BF0D-4584-B705-99CB1D9E2353}" id="{57F425D1-B81C-457B-B22F-CED2EB03353F}">
    <text>SE JUSTIFICA EXCESO DE BK AUT SUP UIO B.A.</text>
  </threadedComment>
  <threadedComment ref="T12" dT="2026-02-06T00:55:58.00" personId="{820C3F36-BF0D-4584-B705-99CB1D9E2353}" id="{8E035719-4927-4789-9306-61F985BB25FC}">
    <text>se justifica por uso de usuario por PAME J</text>
  </threadedComment>
  <threadedComment ref="BL12" dT="2026-02-19T04:09:58.00" personId="{932D8E95-3F28-4314-910B-E6F3CA024C37}" id="{23D2049E-BD0F-4126-86CD-54F95FD68091}">
    <text>SE JUSTIFICA POR FI AUT SUP UIO B.A.</text>
  </threadedComment>
  <threadedComment ref="H18" dT="2026-02-04T17:33:17.00" personId="{820C3F36-BF0D-4584-B705-99CB1D9E2353}" id="{46055EE5-02AC-425B-82E5-8BDCE40D397B}">
    <text>SE JUSTIFICA EXCESO DE BK POR AUT SUP UIO B.A.</text>
  </threadedComment>
  <threadedComment ref="H31" dT="2026-02-04T17:32:31.00" personId="{820C3F36-BF0D-4584-B705-99CB1D9E2353}" id="{76A471C8-7DF2-4499-964B-FB779E3052E5}">
    <text>SE JUSTIFICA EXCESO DE BK POR AUT SUP UIO B.A.</text>
  </threadedComment>
  <threadedComment ref="BL32" dT="2026-02-19T04:10:17.00" personId="{932D8E95-3F28-4314-910B-E6F3CA024C37}" id="{4AF28D93-A54F-494B-891E-3BE8CAD12E37}">
    <text>SE JUSTIFICA POR FI AUT SUP UIO B.A.</text>
  </threadedComment>
  <threadedComment ref="H35" dT="2026-02-04T17:32:44.00" personId="{820C3F36-BF0D-4584-B705-99CB1D9E2353}" id="{D1FA41F3-F5E5-478F-918B-983E3E24A4C1}">
    <text>SE JUSTIFICA EXCESO DE BK POR AUT SUP UIO B.A.</text>
  </threadedComment>
  <threadedComment ref="BL35" dT="2026-02-19T04:10:33.00" personId="{932D8E95-3F28-4314-910B-E6F3CA024C37}" id="{29F934A1-FDBC-4DFC-918D-763B6BB68AAA}">
    <text>SE JUSTIFICA POR FI AUT SUP UIO B.A.</text>
  </threadedComment>
  <threadedComment ref="BH36" dT="2026-02-19T04:12:06.00" personId="{932D8E95-3F28-4314-910B-E6F3CA024C37}" id="{2B841044-C54F-41D3-90B0-56E98B49F70B}">
    <text>SE JUSTIFICA POR FI AUT SUP UIO B.A.</text>
  </threadedComment>
  <threadedComment ref="BT36" dT="2026-02-19T04:08:53.00" personId="{932D8E95-3F28-4314-910B-E6F3CA024C37}" id="{96727976-1A27-4036-84AE-4B7871C635E0}">
    <text>SE JUSTIFICA POR FI AUT SUP UIO B.A.</text>
  </threadedComment>
  <threadedComment ref="BT39" dT="2026-02-19T04:09:22.00" personId="{932D8E95-3F28-4314-910B-E6F3CA024C37}" id="{DF44788A-9125-451A-B755-B13DE8F72D4E}">
    <text>SE JUSTIFICA POR FI AUT SUP UIO B.A.</text>
  </threadedComment>
  <threadedComment ref="T41" dT="2026-02-05T21:17:21.00" personId="{820C3F36-BF0D-4584-B705-99CB1D9E2353}" id="{551053BB-2407-4265-866D-655A1D52CD10}">
    <text>SE JUSTIFICA EXCESO DE BK POR AUT SUP UIO B.A.</text>
  </threadedComment>
  <threadedComment ref="DD43" dT="2026-02-02T19:52:23.00" personId="{820C3F36-BF0D-4584-B705-99CB1D9E2353}" id="{17F004E9-7C56-4388-86AA-31289D7E854F}">
    <text>SE JUSTIFICA EXCESO DE BK AUT SUP UIO B.A.</text>
  </threadedComment>
  <threadedComment ref="DH43" dT="2026-02-02T19:52:15.00" personId="{820C3F36-BF0D-4584-B705-99CB1D9E2353}" id="{4D104A14-8241-437D-8563-7738D335B9B2}">
    <text>SE JUSTIFICA EXCESO DE BK AUT SUP UIO B.A.</text>
  </threadedComment>
  <threadedComment ref="BL45" dT="2026-02-19T04:10:50.00" personId="{932D8E95-3F28-4314-910B-E6F3CA024C37}" id="{9824047E-4687-44CB-B7B0-863297C80A26}">
    <text>SE JUSTIFICA POR FI AUT SUP UIO B.A.</text>
  </threadedComment>
  <threadedComment ref="BT47" dT="2026-02-19T04:09:33.00" personId="{932D8E95-3F28-4314-910B-E6F3CA024C37}" id="{EA6CD460-F042-4C6A-BECE-0BE7793BEA60}">
    <text>SE JUSTIFICA POR FI AUT SUP UIO B.A.</text>
  </threadedComment>
  <threadedComment ref="BP49" dT="2026-02-19T04:07:09.00" personId="{932D8E95-3F28-4314-910B-E6F3CA024C37}" id="{CB530C7B-7EC7-46F9-841A-FFD7043E2055}">
    <text>SE JUSTIFICA POR FI AUT SUP UIO B.A.</text>
  </threadedComment>
  <threadedComment ref="BP54" dT="2026-02-19T04:07:19.00" personId="{932D8E95-3F28-4314-910B-E6F3CA024C37}" id="{83EE3B1E-F3F4-4AB3-9A88-F726706E6EA5}">
    <text>SE JUSTIFICA POR FI AUT SUP UIO B.A.</text>
  </threadedComment>
  <threadedComment ref="T56" dT="2026-02-05T15:05:36.00" personId="{820C3F36-BF0D-4584-B705-99CB1D9E2353}" id="{85A63BE5-4CB3-46A0-B048-B1FECFCA6D35}">
    <text>SE JUSTIFICA EXCESO DE BK POR CAPACITACION DE STI</text>
  </threadedComment>
  <threadedComment ref="L58" dT="2026-02-04T17:32:02.00" personId="{820C3F36-BF0D-4584-B705-99CB1D9E2353}" id="{FB31200B-A862-48D2-8627-15197C6CE935}">
    <text>SE JUSTIFICA EXCESO DE BK POR AUT SUP UIO B.A.</text>
  </threadedComment>
  <threadedComment ref="T58" dT="2026-02-05T14:45:26.00" personId="{820C3F36-BF0D-4584-B705-99CB1D9E2353}" id="{B8FCA848-AF5F-4151-BCB2-850CAC3AB2F9}">
    <text>SE JUSTIFICA EXCESO DE BK POR AUT SUP UIO B.A.</text>
  </threadedComment>
  <threadedComment ref="BP59" dT="2026-02-19T04:07:29.00" personId="{932D8E95-3F28-4314-910B-E6F3CA024C37}" id="{59FC6A98-4E1C-4E4F-8BA6-B3856E61EC9E}">
    <text>SE JUSTIFICA POR FI AUT SUP UIO B.A.</text>
  </threadedComment>
</ThreadedComment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5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7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268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67">
        <v>4</v>
      </c>
      <c r="H4" s="12">
        <v>3</v>
      </c>
      <c r="I4" s="12">
        <v>3</v>
      </c>
      <c r="J4" s="12">
        <v>3</v>
      </c>
      <c r="K4" s="12">
        <v>3</v>
      </c>
      <c r="L4" s="12">
        <v>3</v>
      </c>
      <c r="M4" s="73">
        <v>10</v>
      </c>
      <c r="N4" s="137">
        <v>20</v>
      </c>
      <c r="O4" s="141">
        <v>27</v>
      </c>
      <c r="P4" s="82">
        <v>29</v>
      </c>
      <c r="Q4" s="142">
        <v>30</v>
      </c>
      <c r="R4" s="142">
        <v>30</v>
      </c>
      <c r="S4" s="142">
        <v>30</v>
      </c>
      <c r="T4" s="137">
        <v>20</v>
      </c>
      <c r="U4" s="136">
        <v>23</v>
      </c>
      <c r="V4" s="143">
        <v>28</v>
      </c>
      <c r="W4" s="143">
        <v>28</v>
      </c>
      <c r="X4" s="57">
        <v>33</v>
      </c>
      <c r="Y4" s="135">
        <v>26</v>
      </c>
      <c r="Z4" s="144">
        <v>18</v>
      </c>
      <c r="AA4" s="85">
        <v>11</v>
      </c>
      <c r="AB4" s="79">
        <v>8</v>
      </c>
      <c r="AC4" s="74">
        <v>6</v>
      </c>
      <c r="AD4" s="67">
        <v>4</v>
      </c>
      <c r="AE4" s="18">
        <f>SUM(G4:AD4)</f>
        <v>400</v>
      </c>
      <c r="AF4" s="3">
        <f>AE4/9</f>
        <v>44.444444444444443</v>
      </c>
      <c r="AG4" s="3"/>
    </row>
    <row r="5" spans="1:33" ht="62.25">
      <c r="A5" s="3"/>
      <c r="B5" s="2"/>
      <c r="C5" s="2"/>
      <c r="D5" s="19"/>
      <c r="E5" s="569">
        <v>26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84">
        <f t="shared" si="0"/>
        <v>-1</v>
      </c>
      <c r="Q6" s="84">
        <f t="shared" si="0"/>
        <v>-1</v>
      </c>
      <c r="R6" s="28">
        <f t="shared" si="0"/>
        <v>1</v>
      </c>
      <c r="S6" s="28">
        <f t="shared" si="0"/>
        <v>0</v>
      </c>
      <c r="T6" s="84">
        <f t="shared" si="0"/>
        <v>1</v>
      </c>
      <c r="U6" s="84">
        <f t="shared" si="0"/>
        <v>1</v>
      </c>
      <c r="V6" s="28">
        <f t="shared" si="0"/>
        <v>0</v>
      </c>
      <c r="W6" s="28">
        <f t="shared" si="0"/>
        <v>0</v>
      </c>
      <c r="X6" s="84">
        <f t="shared" si="0"/>
        <v>-1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45" si="1">SUM(G6:AD6)</f>
        <v>0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SUM(G8:G54)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10</v>
      </c>
      <c r="N7" s="35">
        <f t="shared" si="2"/>
        <v>20</v>
      </c>
      <c r="O7" s="35">
        <f t="shared" si="2"/>
        <v>27</v>
      </c>
      <c r="P7" s="35">
        <f t="shared" si="2"/>
        <v>28</v>
      </c>
      <c r="Q7" s="35">
        <f t="shared" si="2"/>
        <v>29</v>
      </c>
      <c r="R7" s="35">
        <f t="shared" si="2"/>
        <v>31</v>
      </c>
      <c r="S7" s="35">
        <f t="shared" si="2"/>
        <v>30</v>
      </c>
      <c r="T7" s="35">
        <f t="shared" si="2"/>
        <v>21</v>
      </c>
      <c r="U7" s="35">
        <f t="shared" si="2"/>
        <v>24</v>
      </c>
      <c r="V7" s="35">
        <f t="shared" si="2"/>
        <v>28</v>
      </c>
      <c r="W7" s="35">
        <f t="shared" si="2"/>
        <v>28</v>
      </c>
      <c r="X7" s="35">
        <f t="shared" si="2"/>
        <v>32</v>
      </c>
      <c r="Y7" s="35">
        <f t="shared" si="2"/>
        <v>26</v>
      </c>
      <c r="Z7" s="35">
        <f t="shared" si="2"/>
        <v>18</v>
      </c>
      <c r="AA7" s="35">
        <f t="shared" si="2"/>
        <v>11</v>
      </c>
      <c r="AB7" s="35">
        <f t="shared" si="2"/>
        <v>8</v>
      </c>
      <c r="AC7" s="35">
        <f t="shared" si="2"/>
        <v>6</v>
      </c>
      <c r="AD7" s="35">
        <f t="shared" si="2"/>
        <v>4</v>
      </c>
      <c r="AE7" s="30">
        <f t="shared" si="1"/>
        <v>400</v>
      </c>
      <c r="AF7" s="36" t="s">
        <v>39</v>
      </c>
      <c r="AG7" s="37" t="s">
        <v>40</v>
      </c>
    </row>
    <row r="8" spans="1:33" ht="14.25" customHeight="1">
      <c r="A8" s="38" t="s">
        <v>41</v>
      </c>
      <c r="B8" s="38" t="s">
        <v>42</v>
      </c>
      <c r="C8" s="38"/>
      <c r="D8" s="39">
        <v>0</v>
      </c>
      <c r="E8" s="40" t="s">
        <v>43</v>
      </c>
      <c r="F8" s="41">
        <f t="shared" ref="F8:F45" si="3">SUM(G8:AD8)</f>
        <v>4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>
        <v>1</v>
      </c>
      <c r="Z8" s="42">
        <v>1</v>
      </c>
      <c r="AA8" s="42">
        <v>1</v>
      </c>
      <c r="AB8" s="42">
        <v>1</v>
      </c>
      <c r="AC8" s="42"/>
      <c r="AD8" s="42"/>
      <c r="AE8" s="41">
        <f t="shared" si="1"/>
        <v>4</v>
      </c>
      <c r="AF8" s="43" t="s">
        <v>44</v>
      </c>
      <c r="AG8" s="44" t="s">
        <v>396</v>
      </c>
    </row>
    <row r="9" spans="1:33" ht="15.75">
      <c r="A9" s="38" t="s">
        <v>41</v>
      </c>
      <c r="B9" s="38" t="s">
        <v>45</v>
      </c>
      <c r="C9" s="38">
        <v>999600729</v>
      </c>
      <c r="D9" s="39">
        <v>1</v>
      </c>
      <c r="E9" s="40" t="s">
        <v>46</v>
      </c>
      <c r="F9" s="41">
        <f t="shared" si="3"/>
        <v>11</v>
      </c>
      <c r="G9" s="42"/>
      <c r="H9" s="42"/>
      <c r="I9" s="42"/>
      <c r="J9" s="42"/>
      <c r="K9" s="42"/>
      <c r="L9" s="42"/>
      <c r="M9" s="42"/>
      <c r="N9" s="42"/>
      <c r="O9" s="42"/>
      <c r="P9" s="42">
        <v>1</v>
      </c>
      <c r="Q9" s="42">
        <v>1</v>
      </c>
      <c r="R9" s="42">
        <v>1</v>
      </c>
      <c r="S9" s="42">
        <v>1</v>
      </c>
      <c r="T9" s="42"/>
      <c r="U9" s="42"/>
      <c r="V9" s="42"/>
      <c r="W9" s="42"/>
      <c r="X9" s="42">
        <v>1</v>
      </c>
      <c r="Y9" s="42">
        <v>1</v>
      </c>
      <c r="Z9" s="42">
        <v>1</v>
      </c>
      <c r="AA9" s="42">
        <v>1</v>
      </c>
      <c r="AB9" s="42">
        <v>1</v>
      </c>
      <c r="AC9" s="42">
        <v>1</v>
      </c>
      <c r="AD9" s="42">
        <v>1</v>
      </c>
      <c r="AE9" s="41">
        <f t="shared" si="1"/>
        <v>11</v>
      </c>
      <c r="AF9" s="43" t="s">
        <v>397</v>
      </c>
      <c r="AG9" s="44" t="s">
        <v>396</v>
      </c>
    </row>
    <row r="10" spans="1:33" ht="15.75" customHeight="1">
      <c r="A10" s="38" t="s">
        <v>41</v>
      </c>
      <c r="B10" s="38" t="s">
        <v>52</v>
      </c>
      <c r="C10" s="38">
        <v>984098910</v>
      </c>
      <c r="D10" s="39">
        <v>2</v>
      </c>
      <c r="E10" s="40" t="s">
        <v>53</v>
      </c>
      <c r="F10" s="41">
        <f t="shared" si="3"/>
        <v>13</v>
      </c>
      <c r="G10" s="42">
        <v>1</v>
      </c>
      <c r="H10" s="42">
        <v>1</v>
      </c>
      <c r="I10" s="42">
        <v>1</v>
      </c>
      <c r="J10" s="42">
        <v>1</v>
      </c>
      <c r="K10" s="42">
        <v>1</v>
      </c>
      <c r="L10" s="42">
        <v>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>
        <v>1</v>
      </c>
      <c r="Y10" s="42">
        <v>1</v>
      </c>
      <c r="Z10" s="42">
        <v>1</v>
      </c>
      <c r="AA10" s="42">
        <v>1</v>
      </c>
      <c r="AB10" s="42">
        <v>1</v>
      </c>
      <c r="AC10" s="42">
        <v>1</v>
      </c>
      <c r="AD10" s="42">
        <v>1</v>
      </c>
      <c r="AE10" s="41">
        <f t="shared" si="1"/>
        <v>13</v>
      </c>
      <c r="AF10" s="46" t="s">
        <v>54</v>
      </c>
      <c r="AG10" s="44" t="s">
        <v>396</v>
      </c>
    </row>
    <row r="11" spans="1:33" ht="14.25" customHeight="1">
      <c r="A11" s="38" t="s">
        <v>41</v>
      </c>
      <c r="B11" s="38" t="s">
        <v>55</v>
      </c>
      <c r="C11" s="38">
        <v>987983128</v>
      </c>
      <c r="D11" s="39">
        <v>3</v>
      </c>
      <c r="E11" s="40" t="s">
        <v>56</v>
      </c>
      <c r="F11" s="41">
        <f t="shared" si="3"/>
        <v>12</v>
      </c>
      <c r="G11" s="42"/>
      <c r="H11" s="42"/>
      <c r="I11" s="42"/>
      <c r="J11" s="42"/>
      <c r="K11" s="42"/>
      <c r="L11" s="42"/>
      <c r="M11" s="42"/>
      <c r="N11" s="42"/>
      <c r="O11" s="42">
        <v>1</v>
      </c>
      <c r="P11" s="42">
        <v>1</v>
      </c>
      <c r="Q11" s="42">
        <v>1</v>
      </c>
      <c r="R11" s="42">
        <v>1</v>
      </c>
      <c r="S11" s="42">
        <v>1</v>
      </c>
      <c r="T11" s="42"/>
      <c r="U11" s="42">
        <v>1</v>
      </c>
      <c r="V11" s="42">
        <v>1</v>
      </c>
      <c r="W11" s="42">
        <v>1</v>
      </c>
      <c r="X11" s="42">
        <v>1</v>
      </c>
      <c r="Y11" s="42">
        <v>1</v>
      </c>
      <c r="Z11" s="42">
        <v>1</v>
      </c>
      <c r="AA11" s="42">
        <v>1</v>
      </c>
      <c r="AB11" s="42"/>
      <c r="AC11" s="42"/>
      <c r="AD11" s="42"/>
      <c r="AE11" s="41">
        <f t="shared" si="1"/>
        <v>12</v>
      </c>
      <c r="AF11" s="43" t="s">
        <v>373</v>
      </c>
      <c r="AG11" s="44" t="s">
        <v>396</v>
      </c>
    </row>
    <row r="12" spans="1:33" ht="14.25" customHeight="1">
      <c r="A12" s="38" t="s">
        <v>41</v>
      </c>
      <c r="B12" s="38" t="s">
        <v>57</v>
      </c>
      <c r="C12" s="38"/>
      <c r="D12" s="39">
        <v>4</v>
      </c>
      <c r="E12" s="40" t="s">
        <v>58</v>
      </c>
      <c r="F12" s="41">
        <f t="shared" si="3"/>
        <v>12</v>
      </c>
      <c r="G12" s="42"/>
      <c r="H12" s="42"/>
      <c r="I12" s="42"/>
      <c r="J12" s="42"/>
      <c r="K12" s="42"/>
      <c r="L12" s="42"/>
      <c r="M12" s="42"/>
      <c r="N12" s="42"/>
      <c r="O12" s="42">
        <v>1</v>
      </c>
      <c r="P12" s="42">
        <v>1</v>
      </c>
      <c r="Q12" s="42">
        <v>1</v>
      </c>
      <c r="R12" s="42">
        <v>1</v>
      </c>
      <c r="S12" s="42">
        <v>1</v>
      </c>
      <c r="T12" s="42">
        <v>1</v>
      </c>
      <c r="U12" s="42"/>
      <c r="V12" s="42">
        <v>1</v>
      </c>
      <c r="W12" s="42">
        <v>1</v>
      </c>
      <c r="X12" s="42">
        <v>1</v>
      </c>
      <c r="Y12" s="42">
        <v>1</v>
      </c>
      <c r="Z12" s="42">
        <v>1</v>
      </c>
      <c r="AA12" s="42">
        <v>1</v>
      </c>
      <c r="AB12" s="42"/>
      <c r="AC12" s="42"/>
      <c r="AD12" s="42"/>
      <c r="AE12" s="41">
        <f t="shared" si="1"/>
        <v>12</v>
      </c>
      <c r="AF12" s="43" t="s">
        <v>346</v>
      </c>
      <c r="AG12" s="44" t="s">
        <v>396</v>
      </c>
    </row>
    <row r="13" spans="1:33" ht="14.25" customHeight="1">
      <c r="A13" s="38" t="s">
        <v>41</v>
      </c>
      <c r="B13" s="38" t="s">
        <v>146</v>
      </c>
      <c r="C13" s="38">
        <v>998223732</v>
      </c>
      <c r="D13" s="39">
        <v>5</v>
      </c>
      <c r="E13" s="40" t="s">
        <v>147</v>
      </c>
      <c r="F13" s="41">
        <f t="shared" si="3"/>
        <v>12</v>
      </c>
      <c r="G13" s="42"/>
      <c r="H13" s="42"/>
      <c r="I13" s="42"/>
      <c r="J13" s="42"/>
      <c r="K13" s="42"/>
      <c r="L13" s="42"/>
      <c r="M13" s="42"/>
      <c r="N13" s="42">
        <v>1</v>
      </c>
      <c r="O13" s="42">
        <v>1</v>
      </c>
      <c r="P13" s="42">
        <v>1</v>
      </c>
      <c r="Q13" s="42">
        <v>1</v>
      </c>
      <c r="R13" s="42">
        <v>1</v>
      </c>
      <c r="S13" s="42">
        <v>1</v>
      </c>
      <c r="T13" s="42"/>
      <c r="U13" s="42">
        <v>1</v>
      </c>
      <c r="V13" s="42">
        <v>1</v>
      </c>
      <c r="W13" s="42">
        <v>1</v>
      </c>
      <c r="X13" s="42">
        <v>1</v>
      </c>
      <c r="Y13" s="42">
        <v>1</v>
      </c>
      <c r="Z13" s="42">
        <v>1</v>
      </c>
      <c r="AA13" s="42"/>
      <c r="AB13" s="42"/>
      <c r="AC13" s="42"/>
      <c r="AD13" s="42"/>
      <c r="AE13" s="41">
        <f t="shared" si="1"/>
        <v>12</v>
      </c>
      <c r="AF13" s="43" t="s">
        <v>265</v>
      </c>
      <c r="AG13" s="44" t="s">
        <v>396</v>
      </c>
    </row>
    <row r="14" spans="1:33" ht="14.25" customHeight="1">
      <c r="A14" s="38" t="s">
        <v>41</v>
      </c>
      <c r="B14" s="38" t="s">
        <v>59</v>
      </c>
      <c r="C14" s="38"/>
      <c r="D14" s="39">
        <v>6</v>
      </c>
      <c r="E14" s="40" t="s">
        <v>60</v>
      </c>
      <c r="F14" s="41">
        <f t="shared" si="3"/>
        <v>12</v>
      </c>
      <c r="G14" s="42"/>
      <c r="H14" s="42"/>
      <c r="I14" s="42"/>
      <c r="J14" s="42"/>
      <c r="K14" s="42"/>
      <c r="L14" s="42"/>
      <c r="M14" s="42">
        <v>1</v>
      </c>
      <c r="N14" s="42">
        <v>1</v>
      </c>
      <c r="O14" s="42">
        <v>1</v>
      </c>
      <c r="P14" s="42">
        <v>1</v>
      </c>
      <c r="Q14" s="42">
        <v>1</v>
      </c>
      <c r="R14" s="42">
        <v>1</v>
      </c>
      <c r="S14" s="42">
        <v>1</v>
      </c>
      <c r="T14" s="42"/>
      <c r="U14" s="42">
        <v>1</v>
      </c>
      <c r="V14" s="42">
        <v>1</v>
      </c>
      <c r="W14" s="42">
        <v>1</v>
      </c>
      <c r="X14" s="42">
        <v>1</v>
      </c>
      <c r="Y14" s="42">
        <v>1</v>
      </c>
      <c r="Z14" s="42"/>
      <c r="AA14" s="42"/>
      <c r="AB14" s="42"/>
      <c r="AC14" s="42"/>
      <c r="AD14" s="42"/>
      <c r="AE14" s="41">
        <f t="shared" si="1"/>
        <v>12</v>
      </c>
      <c r="AF14" s="43" t="s">
        <v>323</v>
      </c>
      <c r="AG14" s="44" t="s">
        <v>396</v>
      </c>
    </row>
    <row r="15" spans="1:33" ht="14.25" customHeight="1">
      <c r="A15" s="38" t="s">
        <v>41</v>
      </c>
      <c r="B15" s="38" t="s">
        <v>62</v>
      </c>
      <c r="C15" s="38">
        <v>979044107</v>
      </c>
      <c r="D15" s="39">
        <v>7</v>
      </c>
      <c r="E15" s="40" t="s">
        <v>63</v>
      </c>
      <c r="F15" s="41">
        <f t="shared" si="3"/>
        <v>12</v>
      </c>
      <c r="G15" s="42"/>
      <c r="H15" s="42"/>
      <c r="I15" s="42"/>
      <c r="J15" s="42"/>
      <c r="K15" s="42"/>
      <c r="L15" s="42"/>
      <c r="M15" s="42">
        <v>1</v>
      </c>
      <c r="N15" s="42">
        <v>1</v>
      </c>
      <c r="O15" s="42">
        <v>1</v>
      </c>
      <c r="P15" s="42">
        <v>1</v>
      </c>
      <c r="Q15" s="42">
        <v>1</v>
      </c>
      <c r="R15" s="42">
        <v>1</v>
      </c>
      <c r="S15" s="42">
        <v>1</v>
      </c>
      <c r="T15" s="42"/>
      <c r="U15" s="42">
        <v>1</v>
      </c>
      <c r="V15" s="42">
        <v>1</v>
      </c>
      <c r="W15" s="42">
        <v>1</v>
      </c>
      <c r="X15" s="42">
        <v>1</v>
      </c>
      <c r="Y15" s="42">
        <v>1</v>
      </c>
      <c r="Z15" s="42"/>
      <c r="AA15" s="42"/>
      <c r="AB15" s="42"/>
      <c r="AC15" s="42"/>
      <c r="AD15" s="42"/>
      <c r="AE15" s="41">
        <f t="shared" si="1"/>
        <v>12</v>
      </c>
      <c r="AF15" s="43" t="s">
        <v>323</v>
      </c>
      <c r="AG15" s="44" t="s">
        <v>396</v>
      </c>
    </row>
    <row r="16" spans="1:33" ht="14.25" customHeight="1">
      <c r="A16" s="38" t="s">
        <v>41</v>
      </c>
      <c r="B16" s="38" t="s">
        <v>64</v>
      </c>
      <c r="C16" s="38">
        <v>995545886</v>
      </c>
      <c r="D16" s="39">
        <v>8</v>
      </c>
      <c r="E16" s="40" t="s">
        <v>65</v>
      </c>
      <c r="F16" s="41">
        <f t="shared" si="3"/>
        <v>11</v>
      </c>
      <c r="G16" s="42"/>
      <c r="H16" s="42"/>
      <c r="I16" s="42"/>
      <c r="J16" s="42"/>
      <c r="K16" s="42"/>
      <c r="L16" s="42"/>
      <c r="M16" s="42"/>
      <c r="N16" s="42">
        <v>1</v>
      </c>
      <c r="O16" s="42">
        <v>1</v>
      </c>
      <c r="P16" s="42">
        <v>1</v>
      </c>
      <c r="Q16" s="42">
        <v>1</v>
      </c>
      <c r="R16" s="42">
        <v>1</v>
      </c>
      <c r="S16" s="42">
        <v>1</v>
      </c>
      <c r="T16" s="42"/>
      <c r="U16" s="42">
        <v>1</v>
      </c>
      <c r="V16" s="42">
        <v>1</v>
      </c>
      <c r="W16" s="42">
        <v>1</v>
      </c>
      <c r="X16" s="42">
        <v>1</v>
      </c>
      <c r="Y16" s="42">
        <v>1</v>
      </c>
      <c r="Z16" s="42"/>
      <c r="AA16" s="42"/>
      <c r="AB16" s="42"/>
      <c r="AC16" s="42"/>
      <c r="AD16" s="42"/>
      <c r="AE16" s="41">
        <f t="shared" si="1"/>
        <v>11</v>
      </c>
      <c r="AF16" s="43" t="s">
        <v>260</v>
      </c>
      <c r="AG16" s="44" t="s">
        <v>396</v>
      </c>
    </row>
    <row r="17" spans="1:33" ht="14.25" customHeight="1">
      <c r="A17" s="38" t="s">
        <v>41</v>
      </c>
      <c r="B17" s="38" t="s">
        <v>67</v>
      </c>
      <c r="C17" s="38">
        <v>968594141</v>
      </c>
      <c r="D17" s="39">
        <v>9</v>
      </c>
      <c r="E17" s="40" t="s">
        <v>68</v>
      </c>
      <c r="F17" s="41">
        <f t="shared" si="3"/>
        <v>12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>
        <v>1</v>
      </c>
      <c r="R17" s="42">
        <v>1</v>
      </c>
      <c r="S17" s="42">
        <v>1</v>
      </c>
      <c r="T17" s="42">
        <v>1</v>
      </c>
      <c r="U17" s="42">
        <v>1</v>
      </c>
      <c r="V17" s="42"/>
      <c r="W17" s="42">
        <v>1</v>
      </c>
      <c r="X17" s="42">
        <v>1</v>
      </c>
      <c r="Y17" s="42">
        <v>1</v>
      </c>
      <c r="Z17" s="42">
        <v>1</v>
      </c>
      <c r="AA17" s="42">
        <v>1</v>
      </c>
      <c r="AB17" s="42">
        <v>1</v>
      </c>
      <c r="AC17" s="42">
        <v>1</v>
      </c>
      <c r="AD17" s="42"/>
      <c r="AE17" s="41">
        <f t="shared" si="1"/>
        <v>12</v>
      </c>
      <c r="AF17" s="43" t="s">
        <v>264</v>
      </c>
      <c r="AG17" s="44" t="s">
        <v>396</v>
      </c>
    </row>
    <row r="18" spans="1:33" ht="14.25" customHeight="1">
      <c r="A18" s="38" t="s">
        <v>41</v>
      </c>
      <c r="B18" s="38" t="s">
        <v>70</v>
      </c>
      <c r="C18" s="38"/>
      <c r="D18" s="39">
        <v>10</v>
      </c>
      <c r="E18" s="40" t="s">
        <v>71</v>
      </c>
      <c r="F18" s="41">
        <f t="shared" si="3"/>
        <v>11</v>
      </c>
      <c r="G18" s="42"/>
      <c r="H18" s="42"/>
      <c r="I18" s="42"/>
      <c r="J18" s="42"/>
      <c r="K18" s="42"/>
      <c r="L18" s="42"/>
      <c r="M18" s="42">
        <v>1</v>
      </c>
      <c r="N18" s="42">
        <v>1</v>
      </c>
      <c r="O18" s="42">
        <v>1</v>
      </c>
      <c r="P18" s="42">
        <v>1</v>
      </c>
      <c r="Q18" s="42">
        <v>1</v>
      </c>
      <c r="R18" s="42">
        <v>1</v>
      </c>
      <c r="S18" s="42">
        <v>1</v>
      </c>
      <c r="T18" s="42"/>
      <c r="U18" s="42">
        <v>1</v>
      </c>
      <c r="V18" s="42">
        <v>1</v>
      </c>
      <c r="W18" s="42">
        <v>1</v>
      </c>
      <c r="X18" s="42">
        <v>1</v>
      </c>
      <c r="Y18" s="42"/>
      <c r="Z18" s="42"/>
      <c r="AA18" s="42"/>
      <c r="AB18" s="42"/>
      <c r="AC18" s="42"/>
      <c r="AD18" s="42"/>
      <c r="AE18" s="41">
        <f t="shared" si="1"/>
        <v>11</v>
      </c>
      <c r="AF18" s="43" t="s">
        <v>51</v>
      </c>
      <c r="AG18" s="44" t="s">
        <v>396</v>
      </c>
    </row>
    <row r="19" spans="1:33" ht="14.25" customHeight="1">
      <c r="A19" s="38" t="s">
        <v>41</v>
      </c>
      <c r="B19" s="38" t="s">
        <v>72</v>
      </c>
      <c r="C19" s="38">
        <v>989533877</v>
      </c>
      <c r="D19" s="39">
        <v>11</v>
      </c>
      <c r="E19" s="40" t="s">
        <v>73</v>
      </c>
      <c r="F19" s="41">
        <f t="shared" si="3"/>
        <v>0</v>
      </c>
      <c r="G19" s="42" t="s">
        <v>352</v>
      </c>
      <c r="H19" s="42" t="s">
        <v>352</v>
      </c>
      <c r="I19" s="42" t="s">
        <v>352</v>
      </c>
      <c r="J19" s="42" t="s">
        <v>352</v>
      </c>
      <c r="K19" s="42" t="s">
        <v>352</v>
      </c>
      <c r="L19" s="42" t="s">
        <v>352</v>
      </c>
      <c r="M19" s="42" t="s">
        <v>352</v>
      </c>
      <c r="N19" s="42" t="s">
        <v>352</v>
      </c>
      <c r="O19" s="42" t="s">
        <v>352</v>
      </c>
      <c r="P19" s="42" t="s">
        <v>352</v>
      </c>
      <c r="Q19" s="42" t="s">
        <v>352</v>
      </c>
      <c r="R19" s="42" t="s">
        <v>352</v>
      </c>
      <c r="S19" s="42" t="s">
        <v>352</v>
      </c>
      <c r="T19" s="42" t="s">
        <v>352</v>
      </c>
      <c r="U19" s="42" t="s">
        <v>352</v>
      </c>
      <c r="V19" s="42" t="s">
        <v>352</v>
      </c>
      <c r="W19" s="42" t="s">
        <v>352</v>
      </c>
      <c r="X19" s="42" t="s">
        <v>352</v>
      </c>
      <c r="Y19" s="42" t="s">
        <v>352</v>
      </c>
      <c r="Z19" s="42" t="s">
        <v>352</v>
      </c>
      <c r="AA19" s="42" t="s">
        <v>352</v>
      </c>
      <c r="AB19" s="42" t="s">
        <v>352</v>
      </c>
      <c r="AC19" s="42" t="s">
        <v>352</v>
      </c>
      <c r="AD19" s="42" t="s">
        <v>352</v>
      </c>
      <c r="AE19" s="41">
        <f t="shared" si="1"/>
        <v>0</v>
      </c>
      <c r="AF19" s="64" t="s">
        <v>6</v>
      </c>
      <c r="AG19" s="44" t="s">
        <v>396</v>
      </c>
    </row>
    <row r="20" spans="1:33" ht="14.25" customHeight="1">
      <c r="A20" s="38" t="s">
        <v>41</v>
      </c>
      <c r="B20" s="38" t="s">
        <v>76</v>
      </c>
      <c r="C20" s="38">
        <v>997829699</v>
      </c>
      <c r="D20" s="39">
        <v>12</v>
      </c>
      <c r="E20" s="40" t="s">
        <v>77</v>
      </c>
      <c r="F20" s="41">
        <f t="shared" si="3"/>
        <v>12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>
        <v>1</v>
      </c>
      <c r="S20" s="42">
        <v>1</v>
      </c>
      <c r="T20" s="63">
        <v>1</v>
      </c>
      <c r="U20" s="63">
        <v>1</v>
      </c>
      <c r="V20" s="42">
        <v>1</v>
      </c>
      <c r="W20" s="42">
        <v>1</v>
      </c>
      <c r="X20" s="42">
        <v>1</v>
      </c>
      <c r="Y20" s="42">
        <v>1</v>
      </c>
      <c r="Z20" s="42">
        <v>1</v>
      </c>
      <c r="AA20" s="42">
        <v>1</v>
      </c>
      <c r="AB20" s="42">
        <v>1</v>
      </c>
      <c r="AC20" s="42">
        <v>1</v>
      </c>
      <c r="AD20" s="42"/>
      <c r="AE20" s="41">
        <f t="shared" si="1"/>
        <v>12</v>
      </c>
      <c r="AF20" s="43" t="s">
        <v>133</v>
      </c>
      <c r="AG20" s="44" t="s">
        <v>396</v>
      </c>
    </row>
    <row r="21" spans="1:33" ht="14.25" customHeight="1">
      <c r="A21" s="38" t="s">
        <v>41</v>
      </c>
      <c r="B21" s="2" t="s">
        <v>79</v>
      </c>
      <c r="C21" s="2"/>
      <c r="D21" s="39">
        <v>13</v>
      </c>
      <c r="E21" s="40" t="s">
        <v>80</v>
      </c>
      <c r="F21" s="41">
        <f t="shared" si="3"/>
        <v>7</v>
      </c>
      <c r="G21" s="42">
        <v>1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75">
        <v>1</v>
      </c>
      <c r="Z21" s="42">
        <v>1</v>
      </c>
      <c r="AA21" s="42">
        <v>1</v>
      </c>
      <c r="AB21" s="42">
        <v>1</v>
      </c>
      <c r="AC21" s="42">
        <v>1</v>
      </c>
      <c r="AD21" s="42">
        <v>1</v>
      </c>
      <c r="AE21" s="41">
        <f t="shared" si="1"/>
        <v>7</v>
      </c>
      <c r="AF21" s="43" t="s">
        <v>398</v>
      </c>
      <c r="AG21" s="44" t="s">
        <v>396</v>
      </c>
    </row>
    <row r="22" spans="1:33" ht="14.25" customHeight="1">
      <c r="A22" s="38" t="s">
        <v>41</v>
      </c>
      <c r="B22" s="38" t="s">
        <v>82</v>
      </c>
      <c r="C22" s="38">
        <v>996303208</v>
      </c>
      <c r="D22" s="39">
        <v>14</v>
      </c>
      <c r="E22" s="40" t="s">
        <v>83</v>
      </c>
      <c r="F22" s="41">
        <f t="shared" si="3"/>
        <v>11</v>
      </c>
      <c r="G22" s="42"/>
      <c r="H22" s="42"/>
      <c r="I22" s="42"/>
      <c r="J22" s="42"/>
      <c r="K22" s="42"/>
      <c r="L22" s="42"/>
      <c r="M22" s="42">
        <v>1</v>
      </c>
      <c r="N22" s="42">
        <v>1</v>
      </c>
      <c r="O22" s="42">
        <v>1</v>
      </c>
      <c r="P22" s="42">
        <v>1</v>
      </c>
      <c r="Q22" s="42">
        <v>1</v>
      </c>
      <c r="R22" s="42">
        <v>1</v>
      </c>
      <c r="S22" s="42"/>
      <c r="T22" s="42">
        <v>1</v>
      </c>
      <c r="U22" s="42">
        <v>1</v>
      </c>
      <c r="V22" s="42">
        <v>1</v>
      </c>
      <c r="W22" s="42">
        <v>1</v>
      </c>
      <c r="X22" s="42">
        <v>1</v>
      </c>
      <c r="Y22" s="42"/>
      <c r="Z22" s="42"/>
      <c r="AA22" s="42"/>
      <c r="AB22" s="42"/>
      <c r="AC22" s="42"/>
      <c r="AD22" s="42"/>
      <c r="AE22" s="41">
        <f t="shared" si="1"/>
        <v>11</v>
      </c>
      <c r="AF22" s="43" t="s">
        <v>220</v>
      </c>
      <c r="AG22" s="44" t="s">
        <v>396</v>
      </c>
    </row>
    <row r="23" spans="1:33" ht="14.25" customHeight="1">
      <c r="A23" s="38" t="s">
        <v>41</v>
      </c>
      <c r="B23" s="38" t="s">
        <v>85</v>
      </c>
      <c r="C23" s="38">
        <v>991837641</v>
      </c>
      <c r="D23" s="39">
        <v>15</v>
      </c>
      <c r="E23" s="40" t="s">
        <v>86</v>
      </c>
      <c r="F23" s="41">
        <f t="shared" si="3"/>
        <v>6</v>
      </c>
      <c r="G23" s="42"/>
      <c r="H23" s="42"/>
      <c r="I23" s="42"/>
      <c r="J23" s="42"/>
      <c r="K23" s="42"/>
      <c r="L23" s="42"/>
      <c r="M23" s="42"/>
      <c r="N23" s="42">
        <v>1</v>
      </c>
      <c r="O23" s="42">
        <v>1</v>
      </c>
      <c r="P23" s="42">
        <v>1</v>
      </c>
      <c r="Q23" s="42">
        <v>1</v>
      </c>
      <c r="R23" s="42">
        <v>1</v>
      </c>
      <c r="S23" s="42">
        <v>1</v>
      </c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1">
        <f t="shared" si="1"/>
        <v>6</v>
      </c>
      <c r="AF23" s="43" t="s">
        <v>315</v>
      </c>
      <c r="AG23" s="44" t="s">
        <v>396</v>
      </c>
    </row>
    <row r="24" spans="1:33" ht="14.25" customHeight="1">
      <c r="A24" s="38" t="s">
        <v>41</v>
      </c>
      <c r="B24" s="38" t="s">
        <v>88</v>
      </c>
      <c r="C24" s="38">
        <v>985570860</v>
      </c>
      <c r="D24" s="39">
        <v>16</v>
      </c>
      <c r="E24" s="40" t="s">
        <v>89</v>
      </c>
      <c r="F24" s="41">
        <f t="shared" si="3"/>
        <v>11</v>
      </c>
      <c r="G24" s="42"/>
      <c r="H24" s="42"/>
      <c r="I24" s="42"/>
      <c r="J24" s="42"/>
      <c r="K24" s="42"/>
      <c r="L24" s="42"/>
      <c r="M24" s="42"/>
      <c r="N24" s="42"/>
      <c r="O24" s="42">
        <v>1</v>
      </c>
      <c r="P24" s="42">
        <v>1</v>
      </c>
      <c r="Q24" s="42">
        <v>1</v>
      </c>
      <c r="R24" s="42">
        <v>1</v>
      </c>
      <c r="S24" s="42">
        <v>1</v>
      </c>
      <c r="T24" s="42">
        <v>1</v>
      </c>
      <c r="U24" s="42">
        <v>1</v>
      </c>
      <c r="V24" s="42">
        <v>1</v>
      </c>
      <c r="W24" s="42"/>
      <c r="X24" s="42">
        <v>1</v>
      </c>
      <c r="Y24" s="42">
        <v>1</v>
      </c>
      <c r="Z24" s="42">
        <v>1</v>
      </c>
      <c r="AA24" s="42"/>
      <c r="AB24" s="42"/>
      <c r="AC24" s="42"/>
      <c r="AD24" s="42"/>
      <c r="AE24" s="41">
        <f t="shared" si="1"/>
        <v>11</v>
      </c>
      <c r="AF24" s="43" t="s">
        <v>399</v>
      </c>
      <c r="AG24" s="44" t="s">
        <v>396</v>
      </c>
    </row>
    <row r="25" spans="1:33" ht="14.25" customHeight="1">
      <c r="A25" s="38" t="s">
        <v>41</v>
      </c>
      <c r="B25" s="38" t="s">
        <v>90</v>
      </c>
      <c r="C25" s="38">
        <v>961816449</v>
      </c>
      <c r="D25" s="39">
        <v>17</v>
      </c>
      <c r="E25" s="40" t="s">
        <v>91</v>
      </c>
      <c r="F25" s="41">
        <f t="shared" si="3"/>
        <v>11</v>
      </c>
      <c r="G25" s="42"/>
      <c r="H25" s="42"/>
      <c r="I25" s="42"/>
      <c r="J25" s="42"/>
      <c r="K25" s="42"/>
      <c r="L25" s="42"/>
      <c r="M25" s="42">
        <v>1</v>
      </c>
      <c r="N25" s="42">
        <v>1</v>
      </c>
      <c r="O25" s="42">
        <v>1</v>
      </c>
      <c r="P25" s="42">
        <v>1</v>
      </c>
      <c r="Q25" s="42">
        <v>1</v>
      </c>
      <c r="R25" s="42">
        <v>1</v>
      </c>
      <c r="S25" s="42">
        <v>1</v>
      </c>
      <c r="T25" s="42"/>
      <c r="U25" s="42">
        <v>1</v>
      </c>
      <c r="V25" s="42">
        <v>1</v>
      </c>
      <c r="W25" s="42">
        <v>1</v>
      </c>
      <c r="X25" s="42">
        <v>1</v>
      </c>
      <c r="Y25" s="42"/>
      <c r="Z25" s="42"/>
      <c r="AA25" s="42"/>
      <c r="AB25" s="42"/>
      <c r="AC25" s="42"/>
      <c r="AD25" s="42"/>
      <c r="AE25" s="41">
        <f t="shared" si="1"/>
        <v>11</v>
      </c>
      <c r="AF25" s="43" t="s">
        <v>51</v>
      </c>
      <c r="AG25" s="44" t="s">
        <v>396</v>
      </c>
    </row>
    <row r="26" spans="1:33" ht="14.25" customHeight="1">
      <c r="A26" s="38" t="s">
        <v>41</v>
      </c>
      <c r="B26" s="38" t="s">
        <v>92</v>
      </c>
      <c r="C26" s="38">
        <v>989858490</v>
      </c>
      <c r="D26" s="39">
        <v>18</v>
      </c>
      <c r="E26" s="40" t="s">
        <v>93</v>
      </c>
      <c r="F26" s="41">
        <f t="shared" si="3"/>
        <v>11</v>
      </c>
      <c r="G26" s="42"/>
      <c r="H26" s="42"/>
      <c r="I26" s="42"/>
      <c r="J26" s="42"/>
      <c r="K26" s="42"/>
      <c r="L26" s="42"/>
      <c r="M26" s="42">
        <v>1</v>
      </c>
      <c r="N26" s="42">
        <v>1</v>
      </c>
      <c r="O26" s="42">
        <v>1</v>
      </c>
      <c r="P26" s="42">
        <v>1</v>
      </c>
      <c r="Q26" s="42">
        <v>1</v>
      </c>
      <c r="R26" s="42">
        <v>1</v>
      </c>
      <c r="S26" s="42">
        <v>1</v>
      </c>
      <c r="T26" s="42">
        <v>1</v>
      </c>
      <c r="U26" s="42">
        <v>1</v>
      </c>
      <c r="V26" s="42"/>
      <c r="W26" s="42">
        <v>1</v>
      </c>
      <c r="X26" s="42">
        <v>1</v>
      </c>
      <c r="Y26" s="42"/>
      <c r="Z26" s="42"/>
      <c r="AA26" s="42"/>
      <c r="AB26" s="42"/>
      <c r="AC26" s="42"/>
      <c r="AD26" s="42"/>
      <c r="AE26" s="41">
        <f t="shared" si="1"/>
        <v>11</v>
      </c>
      <c r="AF26" s="43" t="s">
        <v>342</v>
      </c>
      <c r="AG26" s="44" t="s">
        <v>396</v>
      </c>
    </row>
    <row r="27" spans="1:33" ht="14.25" customHeight="1">
      <c r="A27" s="38" t="s">
        <v>41</v>
      </c>
      <c r="B27" s="38" t="s">
        <v>47</v>
      </c>
      <c r="C27" s="38">
        <v>988957267</v>
      </c>
      <c r="D27" s="39">
        <v>19</v>
      </c>
      <c r="E27" s="40" t="s">
        <v>95</v>
      </c>
      <c r="F27" s="41">
        <f t="shared" si="3"/>
        <v>11</v>
      </c>
      <c r="G27" s="42"/>
      <c r="H27" s="42"/>
      <c r="I27" s="42"/>
      <c r="J27" s="42"/>
      <c r="K27" s="42"/>
      <c r="L27" s="42"/>
      <c r="M27" s="42"/>
      <c r="N27" s="42"/>
      <c r="O27" s="42">
        <v>1</v>
      </c>
      <c r="P27" s="42">
        <v>1</v>
      </c>
      <c r="Q27" s="42">
        <v>1</v>
      </c>
      <c r="R27" s="42">
        <v>1</v>
      </c>
      <c r="S27" s="42">
        <v>1</v>
      </c>
      <c r="T27" s="42">
        <v>1</v>
      </c>
      <c r="U27" s="42">
        <v>1</v>
      </c>
      <c r="V27" s="42">
        <v>1</v>
      </c>
      <c r="W27" s="42"/>
      <c r="X27" s="42">
        <v>1</v>
      </c>
      <c r="Y27" s="42">
        <v>1</v>
      </c>
      <c r="Z27" s="42">
        <v>1</v>
      </c>
      <c r="AA27" s="42"/>
      <c r="AB27" s="42"/>
      <c r="AC27" s="42"/>
      <c r="AD27" s="42"/>
      <c r="AE27" s="41">
        <f t="shared" si="1"/>
        <v>11</v>
      </c>
      <c r="AF27" s="43" t="s">
        <v>399</v>
      </c>
      <c r="AG27" s="44" t="s">
        <v>396</v>
      </c>
    </row>
    <row r="28" spans="1:33" ht="14.25" customHeight="1">
      <c r="A28" s="38" t="s">
        <v>41</v>
      </c>
      <c r="B28" s="38" t="s">
        <v>97</v>
      </c>
      <c r="C28" s="38"/>
      <c r="D28" s="39">
        <v>20</v>
      </c>
      <c r="E28" s="40" t="s">
        <v>98</v>
      </c>
      <c r="F28" s="41">
        <f t="shared" si="3"/>
        <v>11</v>
      </c>
      <c r="G28" s="42"/>
      <c r="H28" s="42"/>
      <c r="I28" s="42"/>
      <c r="J28" s="42"/>
      <c r="K28" s="42"/>
      <c r="L28" s="42"/>
      <c r="M28" s="42"/>
      <c r="N28" s="42">
        <v>1</v>
      </c>
      <c r="O28" s="42">
        <v>1</v>
      </c>
      <c r="P28" s="42">
        <v>1</v>
      </c>
      <c r="Q28" s="42">
        <v>1</v>
      </c>
      <c r="R28" s="42">
        <v>1</v>
      </c>
      <c r="S28" s="42">
        <v>1</v>
      </c>
      <c r="T28" s="42">
        <v>1</v>
      </c>
      <c r="U28" s="42"/>
      <c r="V28" s="42">
        <v>1</v>
      </c>
      <c r="W28" s="42">
        <v>1</v>
      </c>
      <c r="X28" s="42">
        <v>1</v>
      </c>
      <c r="Y28" s="42">
        <v>1</v>
      </c>
      <c r="Z28" s="42"/>
      <c r="AA28" s="42"/>
      <c r="AB28" s="42"/>
      <c r="AC28" s="42"/>
      <c r="AD28" s="42"/>
      <c r="AE28" s="41">
        <f t="shared" si="1"/>
        <v>11</v>
      </c>
      <c r="AF28" s="43" t="s">
        <v>400</v>
      </c>
      <c r="AG28" s="44" t="s">
        <v>396</v>
      </c>
    </row>
    <row r="29" spans="1:33" ht="14.25" customHeight="1">
      <c r="A29" s="38" t="s">
        <v>41</v>
      </c>
      <c r="B29" s="38" t="s">
        <v>198</v>
      </c>
      <c r="C29" s="38"/>
      <c r="D29" s="39">
        <v>21</v>
      </c>
      <c r="E29" s="40" t="s">
        <v>99</v>
      </c>
      <c r="F29" s="41">
        <f t="shared" si="3"/>
        <v>8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>
        <v>1</v>
      </c>
      <c r="U29" s="42">
        <v>1</v>
      </c>
      <c r="V29" s="42">
        <v>1</v>
      </c>
      <c r="W29" s="42">
        <v>1</v>
      </c>
      <c r="X29" s="42">
        <v>1</v>
      </c>
      <c r="Y29" s="42">
        <v>1</v>
      </c>
      <c r="Z29" s="42">
        <v>1</v>
      </c>
      <c r="AA29" s="42">
        <v>1</v>
      </c>
      <c r="AB29" s="42"/>
      <c r="AC29" s="42"/>
      <c r="AD29" s="42"/>
      <c r="AE29" s="41">
        <f t="shared" si="1"/>
        <v>8</v>
      </c>
      <c r="AF29" s="43" t="s">
        <v>293</v>
      </c>
      <c r="AG29" s="44" t="s">
        <v>396</v>
      </c>
    </row>
    <row r="30" spans="1:33" ht="14.25" customHeight="1">
      <c r="A30" s="38" t="s">
        <v>41</v>
      </c>
      <c r="B30" s="38" t="s">
        <v>101</v>
      </c>
      <c r="C30" s="38">
        <v>962757006</v>
      </c>
      <c r="D30" s="39">
        <v>22</v>
      </c>
      <c r="E30" s="40" t="s">
        <v>102</v>
      </c>
      <c r="F30" s="41">
        <f t="shared" si="3"/>
        <v>12</v>
      </c>
      <c r="G30" s="42"/>
      <c r="H30" s="42"/>
      <c r="I30" s="42"/>
      <c r="J30" s="42"/>
      <c r="K30" s="42"/>
      <c r="L30" s="42"/>
      <c r="M30" s="42"/>
      <c r="N30" s="42">
        <v>1</v>
      </c>
      <c r="O30" s="42">
        <v>1</v>
      </c>
      <c r="P30" s="42">
        <v>1</v>
      </c>
      <c r="Q30" s="42">
        <v>1</v>
      </c>
      <c r="R30" s="42">
        <v>1</v>
      </c>
      <c r="S30" s="42">
        <v>1</v>
      </c>
      <c r="T30" s="42">
        <v>1</v>
      </c>
      <c r="U30" s="42">
        <v>1</v>
      </c>
      <c r="V30" s="42">
        <v>1</v>
      </c>
      <c r="W30" s="42"/>
      <c r="X30" s="42">
        <v>1</v>
      </c>
      <c r="Y30" s="42">
        <v>1</v>
      </c>
      <c r="Z30" s="42">
        <v>1</v>
      </c>
      <c r="AA30" s="42"/>
      <c r="AB30" s="42"/>
      <c r="AC30" s="42"/>
      <c r="AD30" s="42"/>
      <c r="AE30" s="41">
        <f t="shared" si="1"/>
        <v>12</v>
      </c>
      <c r="AF30" s="43" t="s">
        <v>401</v>
      </c>
      <c r="AG30" s="44" t="s">
        <v>396</v>
      </c>
    </row>
    <row r="31" spans="1:33" ht="14.25" customHeight="1">
      <c r="A31" s="38" t="s">
        <v>41</v>
      </c>
      <c r="B31" s="38" t="s">
        <v>103</v>
      </c>
      <c r="C31" s="38"/>
      <c r="D31" s="39">
        <v>23</v>
      </c>
      <c r="E31" s="40" t="s">
        <v>104</v>
      </c>
      <c r="F31" s="41">
        <f t="shared" si="3"/>
        <v>11</v>
      </c>
      <c r="G31" s="42"/>
      <c r="H31" s="42"/>
      <c r="I31" s="42"/>
      <c r="J31" s="42"/>
      <c r="K31" s="42"/>
      <c r="L31" s="42"/>
      <c r="M31" s="42"/>
      <c r="N31" s="42"/>
      <c r="O31" s="42">
        <v>1</v>
      </c>
      <c r="P31" s="42">
        <v>1</v>
      </c>
      <c r="Q31" s="42">
        <v>1</v>
      </c>
      <c r="R31" s="42">
        <v>1</v>
      </c>
      <c r="S31" s="42"/>
      <c r="T31" s="42">
        <v>1</v>
      </c>
      <c r="U31" s="42">
        <v>1</v>
      </c>
      <c r="V31" s="42">
        <v>1</v>
      </c>
      <c r="W31" s="42">
        <v>1</v>
      </c>
      <c r="X31" s="42">
        <v>1</v>
      </c>
      <c r="Y31" s="42">
        <v>1</v>
      </c>
      <c r="Z31" s="42">
        <v>1</v>
      </c>
      <c r="AA31" s="42"/>
      <c r="AB31" s="42"/>
      <c r="AC31" s="42"/>
      <c r="AD31" s="42"/>
      <c r="AE31" s="41">
        <f t="shared" si="1"/>
        <v>11</v>
      </c>
      <c r="AF31" s="43" t="s">
        <v>402</v>
      </c>
      <c r="AG31" s="44" t="s">
        <v>396</v>
      </c>
    </row>
    <row r="32" spans="1:33" ht="14.25" customHeight="1">
      <c r="A32" s="38" t="s">
        <v>41</v>
      </c>
      <c r="B32" s="38" t="s">
        <v>167</v>
      </c>
      <c r="C32" s="38">
        <v>995055956</v>
      </c>
      <c r="D32" s="39">
        <v>24</v>
      </c>
      <c r="E32" s="40" t="s">
        <v>144</v>
      </c>
      <c r="F32" s="41">
        <f t="shared" si="3"/>
        <v>12</v>
      </c>
      <c r="G32" s="42"/>
      <c r="H32" s="42"/>
      <c r="I32" s="42"/>
      <c r="J32" s="42"/>
      <c r="K32" s="42"/>
      <c r="L32" s="42"/>
      <c r="M32" s="42"/>
      <c r="N32" s="42">
        <v>1</v>
      </c>
      <c r="O32" s="42">
        <v>1</v>
      </c>
      <c r="P32" s="42">
        <v>1</v>
      </c>
      <c r="Q32" s="42">
        <v>1</v>
      </c>
      <c r="R32" s="42">
        <v>1</v>
      </c>
      <c r="S32" s="42">
        <v>1</v>
      </c>
      <c r="T32" s="42"/>
      <c r="U32" s="42">
        <v>1</v>
      </c>
      <c r="V32" s="42">
        <v>1</v>
      </c>
      <c r="W32" s="42">
        <v>1</v>
      </c>
      <c r="X32" s="42">
        <v>1</v>
      </c>
      <c r="Y32" s="42">
        <v>1</v>
      </c>
      <c r="Z32" s="42">
        <v>1</v>
      </c>
      <c r="AA32" s="42"/>
      <c r="AB32" s="42"/>
      <c r="AC32" s="42"/>
      <c r="AD32" s="42"/>
      <c r="AE32" s="41">
        <f t="shared" si="1"/>
        <v>12</v>
      </c>
      <c r="AF32" s="43" t="s">
        <v>265</v>
      </c>
      <c r="AG32" s="44" t="s">
        <v>396</v>
      </c>
    </row>
    <row r="33" spans="1:33" ht="14.25" customHeight="1">
      <c r="A33" s="38" t="s">
        <v>41</v>
      </c>
      <c r="B33" s="38" t="s">
        <v>332</v>
      </c>
      <c r="C33" s="38"/>
      <c r="D33" s="39">
        <v>25</v>
      </c>
      <c r="E33" s="40" t="s">
        <v>333</v>
      </c>
      <c r="F33" s="41">
        <f t="shared" si="3"/>
        <v>6</v>
      </c>
      <c r="G33" s="42"/>
      <c r="H33" s="42"/>
      <c r="I33" s="42"/>
      <c r="J33" s="42"/>
      <c r="K33" s="42"/>
      <c r="L33" s="42"/>
      <c r="M33" s="42"/>
      <c r="N33" s="42">
        <v>1</v>
      </c>
      <c r="O33" s="42">
        <v>1</v>
      </c>
      <c r="P33" s="42">
        <v>1</v>
      </c>
      <c r="Q33" s="42">
        <v>1</v>
      </c>
      <c r="R33" s="42">
        <v>1</v>
      </c>
      <c r="S33" s="42">
        <v>1</v>
      </c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1">
        <f t="shared" si="1"/>
        <v>6</v>
      </c>
      <c r="AF33" s="43" t="s">
        <v>315</v>
      </c>
      <c r="AG33" s="44" t="s">
        <v>396</v>
      </c>
    </row>
    <row r="34" spans="1:33" ht="14.25" customHeight="1">
      <c r="A34" s="38" t="s">
        <v>41</v>
      </c>
      <c r="B34" s="38" t="s">
        <v>105</v>
      </c>
      <c r="C34" s="38"/>
      <c r="D34" s="39">
        <v>26</v>
      </c>
      <c r="E34" s="40" t="s">
        <v>106</v>
      </c>
      <c r="F34" s="41">
        <f t="shared" si="3"/>
        <v>8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>
        <v>1</v>
      </c>
      <c r="U34" s="42"/>
      <c r="V34" s="42">
        <v>1</v>
      </c>
      <c r="W34" s="42">
        <v>1</v>
      </c>
      <c r="X34" s="42">
        <v>1</v>
      </c>
      <c r="Y34" s="42">
        <v>1</v>
      </c>
      <c r="Z34" s="42">
        <v>1</v>
      </c>
      <c r="AA34" s="42">
        <v>1</v>
      </c>
      <c r="AB34" s="42">
        <v>1</v>
      </c>
      <c r="AC34" s="42"/>
      <c r="AD34" s="42"/>
      <c r="AE34" s="41">
        <f t="shared" si="1"/>
        <v>8</v>
      </c>
      <c r="AF34" s="46" t="s">
        <v>403</v>
      </c>
      <c r="AG34" s="44" t="s">
        <v>396</v>
      </c>
    </row>
    <row r="35" spans="1:33" ht="14.25" customHeight="1">
      <c r="A35" s="38" t="s">
        <v>41</v>
      </c>
      <c r="B35" s="38" t="s">
        <v>171</v>
      </c>
      <c r="C35" s="38">
        <v>990489779</v>
      </c>
      <c r="D35" s="39">
        <v>27</v>
      </c>
      <c r="E35" s="40" t="s">
        <v>172</v>
      </c>
      <c r="F35" s="41">
        <f t="shared" si="3"/>
        <v>12</v>
      </c>
      <c r="G35" s="42"/>
      <c r="H35" s="42"/>
      <c r="I35" s="42"/>
      <c r="J35" s="42"/>
      <c r="K35" s="42"/>
      <c r="L35" s="42"/>
      <c r="M35" s="42">
        <v>1</v>
      </c>
      <c r="N35" s="42">
        <v>1</v>
      </c>
      <c r="O35" s="42">
        <v>1</v>
      </c>
      <c r="P35" s="42">
        <v>1</v>
      </c>
      <c r="Q35" s="42">
        <v>1</v>
      </c>
      <c r="R35" s="42">
        <v>1</v>
      </c>
      <c r="S35" s="42">
        <v>1</v>
      </c>
      <c r="T35" s="42"/>
      <c r="U35" s="42">
        <v>1</v>
      </c>
      <c r="V35" s="42">
        <v>1</v>
      </c>
      <c r="W35" s="42">
        <v>1</v>
      </c>
      <c r="X35" s="42">
        <v>1</v>
      </c>
      <c r="Y35" s="42">
        <v>1</v>
      </c>
      <c r="Z35" s="42"/>
      <c r="AA35" s="42"/>
      <c r="AB35" s="42"/>
      <c r="AC35" s="42"/>
      <c r="AD35" s="42"/>
      <c r="AE35" s="41">
        <f t="shared" si="1"/>
        <v>12</v>
      </c>
      <c r="AF35" s="43" t="s">
        <v>323</v>
      </c>
      <c r="AG35" s="44" t="s">
        <v>396</v>
      </c>
    </row>
    <row r="36" spans="1:33" ht="14.25" customHeight="1">
      <c r="A36" s="38" t="s">
        <v>41</v>
      </c>
      <c r="B36" s="38" t="s">
        <v>107</v>
      </c>
      <c r="C36" s="38">
        <v>981074073</v>
      </c>
      <c r="D36" s="39">
        <v>28</v>
      </c>
      <c r="E36" s="40" t="s">
        <v>108</v>
      </c>
      <c r="F36" s="41">
        <f t="shared" si="3"/>
        <v>11</v>
      </c>
      <c r="G36" s="42"/>
      <c r="H36" s="42"/>
      <c r="I36" s="42"/>
      <c r="J36" s="42"/>
      <c r="K36" s="42"/>
      <c r="L36" s="42"/>
      <c r="M36" s="42"/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1</v>
      </c>
      <c r="T36" s="42">
        <v>1</v>
      </c>
      <c r="U36" s="42">
        <v>1</v>
      </c>
      <c r="V36" s="42"/>
      <c r="W36" s="42">
        <v>1</v>
      </c>
      <c r="X36" s="42">
        <v>1</v>
      </c>
      <c r="Y36" s="42">
        <v>1</v>
      </c>
      <c r="Z36" s="42"/>
      <c r="AA36" s="42"/>
      <c r="AB36" s="42"/>
      <c r="AC36" s="42"/>
      <c r="AD36" s="42"/>
      <c r="AE36" s="41">
        <f t="shared" si="1"/>
        <v>11</v>
      </c>
      <c r="AF36" s="43" t="s">
        <v>357</v>
      </c>
      <c r="AG36" s="44" t="s">
        <v>396</v>
      </c>
    </row>
    <row r="37" spans="1:33" ht="14.25" customHeight="1">
      <c r="A37" s="38" t="s">
        <v>41</v>
      </c>
      <c r="B37" s="38" t="s">
        <v>111</v>
      </c>
      <c r="C37" s="38"/>
      <c r="D37" s="39">
        <v>29</v>
      </c>
      <c r="E37" s="40" t="s">
        <v>112</v>
      </c>
      <c r="F37" s="41">
        <f t="shared" si="3"/>
        <v>11</v>
      </c>
      <c r="G37" s="42"/>
      <c r="H37" s="42"/>
      <c r="I37" s="42"/>
      <c r="J37" s="42"/>
      <c r="K37" s="42"/>
      <c r="L37" s="42"/>
      <c r="M37" s="42">
        <v>1</v>
      </c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>
        <v>1</v>
      </c>
      <c r="T37" s="42"/>
      <c r="U37" s="42">
        <v>1</v>
      </c>
      <c r="V37" s="42">
        <v>1</v>
      </c>
      <c r="W37" s="42">
        <v>1</v>
      </c>
      <c r="X37" s="42">
        <v>1</v>
      </c>
      <c r="Y37" s="42"/>
      <c r="Z37" s="42"/>
      <c r="AA37" s="42"/>
      <c r="AB37" s="42"/>
      <c r="AC37" s="42"/>
      <c r="AD37" s="42"/>
      <c r="AE37" s="41">
        <f t="shared" si="1"/>
        <v>11</v>
      </c>
      <c r="AF37" s="43" t="s">
        <v>51</v>
      </c>
      <c r="AG37" s="44" t="s">
        <v>396</v>
      </c>
    </row>
    <row r="38" spans="1:33" ht="14.25" customHeight="1">
      <c r="A38" s="38" t="s">
        <v>41</v>
      </c>
      <c r="B38" s="38" t="s">
        <v>113</v>
      </c>
      <c r="C38" s="38"/>
      <c r="D38" s="39">
        <v>30</v>
      </c>
      <c r="E38" s="40" t="s">
        <v>114</v>
      </c>
      <c r="F38" s="41">
        <f t="shared" si="3"/>
        <v>10</v>
      </c>
      <c r="G38" s="42"/>
      <c r="H38" s="42"/>
      <c r="I38" s="42"/>
      <c r="J38" s="42"/>
      <c r="K38" s="42"/>
      <c r="L38" s="42"/>
      <c r="M38" s="42"/>
      <c r="N38" s="42">
        <v>1</v>
      </c>
      <c r="O38" s="42">
        <v>1</v>
      </c>
      <c r="P38" s="42">
        <v>1</v>
      </c>
      <c r="Q38" s="42">
        <v>1</v>
      </c>
      <c r="R38" s="42">
        <v>1</v>
      </c>
      <c r="S38" s="42">
        <v>1</v>
      </c>
      <c r="T38" s="42">
        <v>1</v>
      </c>
      <c r="U38" s="42"/>
      <c r="V38" s="42">
        <v>1</v>
      </c>
      <c r="W38" s="42">
        <v>1</v>
      </c>
      <c r="X38" s="42">
        <v>1</v>
      </c>
      <c r="Y38" s="42"/>
      <c r="Z38" s="42"/>
      <c r="AA38" s="42"/>
      <c r="AB38" s="42"/>
      <c r="AC38" s="42"/>
      <c r="AD38" s="42"/>
      <c r="AE38" s="41">
        <f t="shared" si="1"/>
        <v>10</v>
      </c>
      <c r="AF38" s="43" t="s">
        <v>279</v>
      </c>
      <c r="AG38" s="44" t="s">
        <v>396</v>
      </c>
    </row>
    <row r="39" spans="1:33" ht="14.25" customHeight="1">
      <c r="A39" s="38" t="s">
        <v>41</v>
      </c>
      <c r="B39" s="38" t="s">
        <v>115</v>
      </c>
      <c r="C39" s="38">
        <v>962936744</v>
      </c>
      <c r="D39" s="39">
        <v>31</v>
      </c>
      <c r="E39" s="40" t="s">
        <v>116</v>
      </c>
      <c r="F39" s="41">
        <f t="shared" si="3"/>
        <v>6</v>
      </c>
      <c r="G39" s="42">
        <v>1</v>
      </c>
      <c r="H39" s="42">
        <v>1</v>
      </c>
      <c r="I39" s="42">
        <v>1</v>
      </c>
      <c r="J39" s="42">
        <v>1</v>
      </c>
      <c r="K39" s="42">
        <v>1</v>
      </c>
      <c r="L39" s="42">
        <v>1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1">
        <f t="shared" si="1"/>
        <v>6</v>
      </c>
      <c r="AF39" s="46" t="s">
        <v>159</v>
      </c>
      <c r="AG39" s="44" t="s">
        <v>396</v>
      </c>
    </row>
    <row r="40" spans="1:33" ht="14.25" customHeight="1">
      <c r="A40" s="38" t="s">
        <v>41</v>
      </c>
      <c r="B40" s="38" t="s">
        <v>120</v>
      </c>
      <c r="C40" s="38"/>
      <c r="D40" s="39">
        <v>32</v>
      </c>
      <c r="E40" s="40" t="s">
        <v>121</v>
      </c>
      <c r="F40" s="41">
        <f t="shared" si="3"/>
        <v>10</v>
      </c>
      <c r="G40" s="42"/>
      <c r="H40" s="42"/>
      <c r="I40" s="42"/>
      <c r="J40" s="42"/>
      <c r="K40" s="42"/>
      <c r="L40" s="42"/>
      <c r="M40" s="42">
        <v>1</v>
      </c>
      <c r="N40" s="42">
        <v>1</v>
      </c>
      <c r="O40" s="42">
        <v>1</v>
      </c>
      <c r="P40" s="42">
        <v>1</v>
      </c>
      <c r="Q40" s="42">
        <v>1</v>
      </c>
      <c r="R40" s="42">
        <v>1</v>
      </c>
      <c r="S40" s="42">
        <v>1</v>
      </c>
      <c r="T40" s="42"/>
      <c r="U40" s="42">
        <v>1</v>
      </c>
      <c r="V40" s="42">
        <v>1</v>
      </c>
      <c r="W40" s="42">
        <v>1</v>
      </c>
      <c r="X40" s="42"/>
      <c r="Y40" s="42"/>
      <c r="Z40" s="42"/>
      <c r="AA40" s="42"/>
      <c r="AB40" s="42"/>
      <c r="AC40" s="42"/>
      <c r="AD40" s="42"/>
      <c r="AE40" s="41">
        <f t="shared" si="1"/>
        <v>10</v>
      </c>
      <c r="AF40" s="43" t="s">
        <v>303</v>
      </c>
      <c r="AG40" s="44" t="s">
        <v>396</v>
      </c>
    </row>
    <row r="41" spans="1:33" ht="14.25" customHeight="1">
      <c r="A41" s="38" t="s">
        <v>41</v>
      </c>
      <c r="B41" s="38" t="s">
        <v>122</v>
      </c>
      <c r="C41" s="38">
        <v>984490770</v>
      </c>
      <c r="D41" s="39">
        <v>33</v>
      </c>
      <c r="E41" s="40" t="s">
        <v>123</v>
      </c>
      <c r="F41" s="41">
        <f t="shared" si="3"/>
        <v>11</v>
      </c>
      <c r="G41" s="42"/>
      <c r="H41" s="42"/>
      <c r="I41" s="42"/>
      <c r="J41" s="42"/>
      <c r="K41" s="42"/>
      <c r="L41" s="42"/>
      <c r="M41" s="42"/>
      <c r="N41" s="42"/>
      <c r="O41" s="42">
        <v>1</v>
      </c>
      <c r="P41" s="42">
        <v>1</v>
      </c>
      <c r="Q41" s="42">
        <v>1</v>
      </c>
      <c r="R41" s="42">
        <v>1</v>
      </c>
      <c r="S41" s="42">
        <v>1</v>
      </c>
      <c r="T41" s="42">
        <v>1</v>
      </c>
      <c r="U41" s="42"/>
      <c r="V41" s="42">
        <v>1</v>
      </c>
      <c r="W41" s="42">
        <v>1</v>
      </c>
      <c r="X41" s="42">
        <v>1</v>
      </c>
      <c r="Y41" s="42">
        <v>1</v>
      </c>
      <c r="Z41" s="42">
        <v>1</v>
      </c>
      <c r="AA41" s="42"/>
      <c r="AB41" s="42"/>
      <c r="AC41" s="42"/>
      <c r="AD41" s="42"/>
      <c r="AE41" s="41">
        <f t="shared" si="1"/>
        <v>11</v>
      </c>
      <c r="AF41" s="43" t="s">
        <v>251</v>
      </c>
      <c r="AG41" s="44" t="s">
        <v>396</v>
      </c>
    </row>
    <row r="42" spans="1:33" ht="14.25" customHeight="1">
      <c r="A42" s="38" t="s">
        <v>41</v>
      </c>
      <c r="B42" s="38" t="s">
        <v>124</v>
      </c>
      <c r="C42" s="38">
        <v>979137365</v>
      </c>
      <c r="D42" s="39">
        <v>34</v>
      </c>
      <c r="E42" s="40" t="s">
        <v>125</v>
      </c>
      <c r="F42" s="41">
        <f t="shared" si="3"/>
        <v>11</v>
      </c>
      <c r="G42" s="42"/>
      <c r="H42" s="42"/>
      <c r="I42" s="42"/>
      <c r="J42" s="42"/>
      <c r="K42" s="42"/>
      <c r="L42" s="42"/>
      <c r="M42" s="42"/>
      <c r="N42" s="42">
        <v>1</v>
      </c>
      <c r="O42" s="42">
        <v>1</v>
      </c>
      <c r="P42" s="42">
        <v>1</v>
      </c>
      <c r="Q42" s="42">
        <v>1</v>
      </c>
      <c r="R42" s="42">
        <v>1</v>
      </c>
      <c r="S42" s="42">
        <v>1</v>
      </c>
      <c r="T42" s="42">
        <v>1</v>
      </c>
      <c r="U42" s="42"/>
      <c r="V42" s="42">
        <v>1</v>
      </c>
      <c r="W42" s="42">
        <v>1</v>
      </c>
      <c r="X42" s="42">
        <v>1</v>
      </c>
      <c r="Y42" s="42">
        <v>1</v>
      </c>
      <c r="Z42" s="42"/>
      <c r="AA42" s="42"/>
      <c r="AB42" s="42"/>
      <c r="AC42" s="42"/>
      <c r="AD42" s="42"/>
      <c r="AE42" s="41">
        <f t="shared" si="1"/>
        <v>11</v>
      </c>
      <c r="AF42" s="43" t="s">
        <v>273</v>
      </c>
      <c r="AG42" s="44" t="s">
        <v>396</v>
      </c>
    </row>
    <row r="43" spans="1:33" ht="14.25" customHeight="1">
      <c r="A43" s="38" t="s">
        <v>41</v>
      </c>
      <c r="B43" s="38" t="s">
        <v>126</v>
      </c>
      <c r="C43" s="38">
        <v>986256130</v>
      </c>
      <c r="D43" s="39">
        <v>35</v>
      </c>
      <c r="E43" s="40" t="s">
        <v>127</v>
      </c>
      <c r="F43" s="41">
        <f t="shared" si="3"/>
        <v>11</v>
      </c>
      <c r="G43" s="42"/>
      <c r="H43" s="42"/>
      <c r="I43" s="42"/>
      <c r="J43" s="42"/>
      <c r="K43" s="42"/>
      <c r="L43" s="42"/>
      <c r="M43" s="42">
        <v>1</v>
      </c>
      <c r="N43" s="42">
        <v>1</v>
      </c>
      <c r="O43" s="42">
        <v>1</v>
      </c>
      <c r="P43" s="42">
        <v>1</v>
      </c>
      <c r="Q43" s="42">
        <v>1</v>
      </c>
      <c r="R43" s="42">
        <v>1</v>
      </c>
      <c r="S43" s="42"/>
      <c r="T43" s="42">
        <v>1</v>
      </c>
      <c r="U43" s="42">
        <v>1</v>
      </c>
      <c r="V43" s="42">
        <v>1</v>
      </c>
      <c r="W43" s="42">
        <v>1</v>
      </c>
      <c r="X43" s="42">
        <v>1</v>
      </c>
      <c r="Y43" s="42"/>
      <c r="Z43" s="42"/>
      <c r="AA43" s="42"/>
      <c r="AB43" s="42"/>
      <c r="AC43" s="42"/>
      <c r="AD43" s="42"/>
      <c r="AE43" s="41">
        <f t="shared" si="1"/>
        <v>11</v>
      </c>
      <c r="AF43" s="43" t="s">
        <v>220</v>
      </c>
      <c r="AG43" s="44" t="s">
        <v>396</v>
      </c>
    </row>
    <row r="44" spans="1:33" ht="14.25" customHeight="1">
      <c r="A44" s="38" t="s">
        <v>41</v>
      </c>
      <c r="B44" s="38" t="s">
        <v>128</v>
      </c>
      <c r="C44" s="38"/>
      <c r="D44" s="39">
        <v>36</v>
      </c>
      <c r="E44" s="40" t="s">
        <v>129</v>
      </c>
      <c r="F44" s="41">
        <f t="shared" si="3"/>
        <v>10</v>
      </c>
      <c r="G44" s="42"/>
      <c r="H44" s="42"/>
      <c r="I44" s="42"/>
      <c r="J44" s="42"/>
      <c r="K44" s="42"/>
      <c r="L44" s="42"/>
      <c r="M44" s="42"/>
      <c r="N44" s="42"/>
      <c r="O44" s="42">
        <v>1</v>
      </c>
      <c r="P44" s="42">
        <v>1</v>
      </c>
      <c r="Q44" s="42">
        <v>1</v>
      </c>
      <c r="R44" s="42">
        <v>1</v>
      </c>
      <c r="S44" s="42">
        <v>1</v>
      </c>
      <c r="T44" s="42">
        <v>1</v>
      </c>
      <c r="U44" s="42"/>
      <c r="V44" s="42">
        <v>1</v>
      </c>
      <c r="W44" s="42">
        <v>1</v>
      </c>
      <c r="X44" s="42">
        <v>1</v>
      </c>
      <c r="Y44" s="42">
        <v>1</v>
      </c>
      <c r="Z44" s="42"/>
      <c r="AA44" s="42"/>
      <c r="AB44" s="42"/>
      <c r="AC44" s="42"/>
      <c r="AD44" s="42"/>
      <c r="AE44" s="41">
        <f t="shared" si="1"/>
        <v>10</v>
      </c>
      <c r="AF44" s="43" t="s">
        <v>296</v>
      </c>
      <c r="AG44" s="44" t="s">
        <v>396</v>
      </c>
    </row>
    <row r="45" spans="1:33" ht="14.25" customHeight="1">
      <c r="A45" s="38" t="s">
        <v>41</v>
      </c>
      <c r="B45" s="38" t="s">
        <v>130</v>
      </c>
      <c r="C45" s="38">
        <v>998810875</v>
      </c>
      <c r="D45" s="39">
        <v>37</v>
      </c>
      <c r="E45" s="40" t="s">
        <v>131</v>
      </c>
      <c r="F45" s="41">
        <f t="shared" si="3"/>
        <v>12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>
        <v>1</v>
      </c>
      <c r="S45" s="42">
        <v>1</v>
      </c>
      <c r="T45" s="42">
        <v>1</v>
      </c>
      <c r="U45" s="42"/>
      <c r="V45" s="42">
        <v>1</v>
      </c>
      <c r="W45" s="42">
        <v>1</v>
      </c>
      <c r="X45" s="42">
        <v>1</v>
      </c>
      <c r="Y45" s="42">
        <v>1</v>
      </c>
      <c r="Z45" s="42">
        <v>1</v>
      </c>
      <c r="AA45" s="42">
        <v>1</v>
      </c>
      <c r="AB45" s="42">
        <v>1</v>
      </c>
      <c r="AC45" s="42">
        <v>1</v>
      </c>
      <c r="AD45" s="42">
        <v>1</v>
      </c>
      <c r="AE45" s="41">
        <f t="shared" si="1"/>
        <v>12</v>
      </c>
      <c r="AF45" s="43" t="s">
        <v>404</v>
      </c>
      <c r="AG45" s="44" t="s">
        <v>396</v>
      </c>
    </row>
    <row r="46" spans="1:33" ht="14.25" customHeight="1">
      <c r="A46" s="38" t="s">
        <v>209</v>
      </c>
      <c r="B46" s="38" t="s">
        <v>49</v>
      </c>
      <c r="C46" s="38" t="s">
        <v>362</v>
      </c>
      <c r="D46" s="39">
        <v>1</v>
      </c>
      <c r="E46" s="130" t="s">
        <v>50</v>
      </c>
      <c r="F46" s="41">
        <v>8</v>
      </c>
      <c r="G46" s="42">
        <v>1</v>
      </c>
      <c r="H46" s="42">
        <v>1</v>
      </c>
      <c r="I46" s="42">
        <v>1</v>
      </c>
      <c r="J46" s="42">
        <v>1</v>
      </c>
      <c r="K46" s="42">
        <v>1</v>
      </c>
      <c r="L46" s="42">
        <v>1</v>
      </c>
      <c r="M46" s="42"/>
      <c r="N46" s="42"/>
      <c r="O46" s="42"/>
      <c r="P46" s="42"/>
      <c r="Q46" s="42"/>
      <c r="R46" s="42"/>
      <c r="S46" s="42"/>
      <c r="T46" s="42"/>
      <c r="U46" s="42"/>
      <c r="V46" s="573" t="s">
        <v>132</v>
      </c>
      <c r="W46" s="555"/>
      <c r="X46" s="555"/>
      <c r="Y46" s="555"/>
      <c r="Z46" s="555"/>
      <c r="AA46" s="555"/>
      <c r="AB46" s="555"/>
      <c r="AC46" s="542"/>
      <c r="AD46" s="42"/>
      <c r="AE46" s="41">
        <v>8</v>
      </c>
      <c r="AF46" s="43" t="s">
        <v>405</v>
      </c>
      <c r="AG46" s="44" t="s">
        <v>396</v>
      </c>
    </row>
    <row r="47" spans="1:33" ht="14.25" customHeight="1">
      <c r="A47" s="38" t="s">
        <v>209</v>
      </c>
      <c r="B47" s="38" t="s">
        <v>134</v>
      </c>
      <c r="C47" s="38">
        <v>962839078</v>
      </c>
      <c r="D47" s="39">
        <v>2</v>
      </c>
      <c r="E47" s="130" t="s">
        <v>135</v>
      </c>
      <c r="F47" s="41">
        <v>11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>
        <v>1</v>
      </c>
      <c r="T47" s="42">
        <v>1</v>
      </c>
      <c r="U47" s="42">
        <v>1</v>
      </c>
      <c r="V47" s="573" t="s">
        <v>132</v>
      </c>
      <c r="W47" s="555"/>
      <c r="X47" s="555"/>
      <c r="Y47" s="555"/>
      <c r="Z47" s="555"/>
      <c r="AA47" s="555"/>
      <c r="AB47" s="555"/>
      <c r="AC47" s="542"/>
      <c r="AD47" s="42"/>
      <c r="AE47" s="41">
        <v>11</v>
      </c>
      <c r="AF47" s="43" t="s">
        <v>259</v>
      </c>
      <c r="AG47" s="44" t="s">
        <v>396</v>
      </c>
    </row>
    <row r="48" spans="1:33" ht="14.25" customHeight="1">
      <c r="A48" s="38" t="s">
        <v>209</v>
      </c>
      <c r="B48" s="38" t="s">
        <v>139</v>
      </c>
      <c r="C48" s="38">
        <v>990660059</v>
      </c>
      <c r="D48" s="39">
        <v>3</v>
      </c>
      <c r="E48" s="130" t="s">
        <v>140</v>
      </c>
      <c r="F48" s="41">
        <v>8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573" t="s">
        <v>132</v>
      </c>
      <c r="W48" s="555"/>
      <c r="X48" s="555"/>
      <c r="Y48" s="555"/>
      <c r="Z48" s="555"/>
      <c r="AA48" s="555"/>
      <c r="AB48" s="555"/>
      <c r="AC48" s="542"/>
      <c r="AD48" s="42"/>
      <c r="AE48" s="41">
        <v>8</v>
      </c>
      <c r="AF48" s="43" t="s">
        <v>218</v>
      </c>
      <c r="AG48" s="44" t="s">
        <v>396</v>
      </c>
    </row>
    <row r="49" spans="1:33" ht="14.25" customHeight="1">
      <c r="A49" s="38" t="s">
        <v>209</v>
      </c>
      <c r="B49" s="38" t="s">
        <v>173</v>
      </c>
      <c r="C49" s="38">
        <v>988941361</v>
      </c>
      <c r="D49" s="62">
        <v>4</v>
      </c>
      <c r="E49" s="130" t="s">
        <v>174</v>
      </c>
      <c r="F49" s="41">
        <v>8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573" t="s">
        <v>132</v>
      </c>
      <c r="W49" s="555"/>
      <c r="X49" s="555"/>
      <c r="Y49" s="555"/>
      <c r="Z49" s="555"/>
      <c r="AA49" s="555"/>
      <c r="AB49" s="555"/>
      <c r="AC49" s="542"/>
      <c r="AD49" s="42"/>
      <c r="AE49" s="41">
        <v>8</v>
      </c>
      <c r="AF49" s="43" t="s">
        <v>218</v>
      </c>
      <c r="AG49" s="44" t="s">
        <v>396</v>
      </c>
    </row>
    <row r="50" spans="1:33" ht="14.25" customHeight="1">
      <c r="A50" s="38" t="s">
        <v>209</v>
      </c>
      <c r="B50" s="38" t="s">
        <v>117</v>
      </c>
      <c r="C50" s="38"/>
      <c r="D50" s="39">
        <v>5</v>
      </c>
      <c r="E50" s="130" t="s">
        <v>118</v>
      </c>
      <c r="F50" s="41">
        <v>8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573" t="s">
        <v>132</v>
      </c>
      <c r="W50" s="555"/>
      <c r="X50" s="555"/>
      <c r="Y50" s="555"/>
      <c r="Z50" s="555"/>
      <c r="AA50" s="555"/>
      <c r="AB50" s="555"/>
      <c r="AC50" s="542"/>
      <c r="AD50" s="42"/>
      <c r="AE50" s="41">
        <v>8</v>
      </c>
      <c r="AF50" s="43" t="s">
        <v>218</v>
      </c>
      <c r="AG50" s="44" t="s">
        <v>396</v>
      </c>
    </row>
    <row r="51" spans="1:33" ht="14.25" customHeight="1">
      <c r="A51" s="38" t="s">
        <v>209</v>
      </c>
      <c r="B51" s="38" t="s">
        <v>142</v>
      </c>
      <c r="C51" s="38">
        <v>982807786</v>
      </c>
      <c r="D51" s="39">
        <v>6</v>
      </c>
      <c r="E51" s="130" t="s">
        <v>143</v>
      </c>
      <c r="F51" s="41">
        <v>8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573" t="s">
        <v>132</v>
      </c>
      <c r="W51" s="555"/>
      <c r="X51" s="555"/>
      <c r="Y51" s="555"/>
      <c r="Z51" s="555"/>
      <c r="AA51" s="555"/>
      <c r="AB51" s="555"/>
      <c r="AC51" s="542"/>
      <c r="AD51" s="42"/>
      <c r="AE51" s="41">
        <v>8</v>
      </c>
      <c r="AF51" s="43" t="s">
        <v>218</v>
      </c>
      <c r="AG51" s="44" t="s">
        <v>396</v>
      </c>
    </row>
    <row r="52" spans="1:33" ht="14.25" customHeight="1">
      <c r="A52" s="38" t="s">
        <v>292</v>
      </c>
      <c r="B52" s="38" t="s">
        <v>137</v>
      </c>
      <c r="C52" s="38">
        <v>984891008</v>
      </c>
      <c r="D52" s="39">
        <v>1</v>
      </c>
      <c r="E52" s="131" t="s">
        <v>138</v>
      </c>
      <c r="F52" s="41">
        <v>11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2"/>
      <c r="R52" s="42"/>
      <c r="S52" s="42">
        <v>1</v>
      </c>
      <c r="T52" s="42">
        <v>1</v>
      </c>
      <c r="U52" s="42">
        <v>1</v>
      </c>
      <c r="V52" s="573" t="s">
        <v>292</v>
      </c>
      <c r="W52" s="555"/>
      <c r="X52" s="555"/>
      <c r="Y52" s="555"/>
      <c r="Z52" s="555"/>
      <c r="AA52" s="555"/>
      <c r="AB52" s="555"/>
      <c r="AC52" s="555"/>
      <c r="AD52" s="42"/>
      <c r="AE52" s="114">
        <v>11</v>
      </c>
      <c r="AF52" s="43" t="s">
        <v>259</v>
      </c>
      <c r="AG52" s="44" t="s">
        <v>396</v>
      </c>
    </row>
    <row r="53" spans="1:33" ht="14.25" customHeight="1">
      <c r="A53" s="38" t="s">
        <v>292</v>
      </c>
      <c r="B53" s="38" t="s">
        <v>190</v>
      </c>
      <c r="C53" s="38">
        <v>983356603</v>
      </c>
      <c r="D53" s="39">
        <v>2</v>
      </c>
      <c r="E53" s="131" t="s">
        <v>191</v>
      </c>
      <c r="F53" s="41">
        <v>11</v>
      </c>
      <c r="G53" s="47"/>
      <c r="H53" s="47"/>
      <c r="I53" s="47"/>
      <c r="J53" s="47"/>
      <c r="K53" s="47"/>
      <c r="L53" s="47"/>
      <c r="M53" s="47"/>
      <c r="N53" s="573" t="s">
        <v>292</v>
      </c>
      <c r="O53" s="555"/>
      <c r="P53" s="555"/>
      <c r="Q53" s="555"/>
      <c r="R53" s="555"/>
      <c r="S53" s="555"/>
      <c r="T53" s="555"/>
      <c r="U53" s="555"/>
      <c r="V53" s="42">
        <v>1</v>
      </c>
      <c r="W53" s="42">
        <v>1</v>
      </c>
      <c r="X53" s="42">
        <v>1</v>
      </c>
      <c r="Y53" s="42"/>
      <c r="Z53" s="42"/>
      <c r="AA53" s="42"/>
      <c r="AB53" s="42"/>
      <c r="AC53" s="42"/>
      <c r="AD53" s="47"/>
      <c r="AE53" s="41">
        <v>11</v>
      </c>
      <c r="AF53" s="43" t="s">
        <v>154</v>
      </c>
      <c r="AG53" s="44" t="s">
        <v>396</v>
      </c>
    </row>
    <row r="54" spans="1:33" ht="14.25" customHeight="1">
      <c r="A54" s="38" t="s">
        <v>187</v>
      </c>
      <c r="B54" s="38" t="s">
        <v>188</v>
      </c>
      <c r="C54" s="38"/>
      <c r="D54" s="39">
        <v>1</v>
      </c>
      <c r="E54" s="132" t="s">
        <v>189</v>
      </c>
      <c r="F54" s="41">
        <v>11</v>
      </c>
      <c r="G54" s="47"/>
      <c r="H54" s="47"/>
      <c r="I54" s="47"/>
      <c r="J54" s="47"/>
      <c r="K54" s="47"/>
      <c r="L54" s="47"/>
      <c r="M54" s="47"/>
      <c r="N54" s="47"/>
      <c r="O54" s="47"/>
      <c r="P54" s="573" t="s">
        <v>187</v>
      </c>
      <c r="Q54" s="555"/>
      <c r="R54" s="555"/>
      <c r="S54" s="555"/>
      <c r="T54" s="555"/>
      <c r="U54" s="555"/>
      <c r="V54" s="555"/>
      <c r="W54" s="555"/>
      <c r="X54" s="555"/>
      <c r="Y54" s="555"/>
      <c r="Z54" s="555"/>
      <c r="AA54" s="47"/>
      <c r="AB54" s="47"/>
      <c r="AC54" s="47"/>
      <c r="AD54" s="47"/>
      <c r="AE54" s="41">
        <v>11</v>
      </c>
      <c r="AF54" s="43" t="s">
        <v>164</v>
      </c>
      <c r="AG54" s="44" t="s">
        <v>396</v>
      </c>
    </row>
    <row r="55" spans="1:33" ht="14.25" customHeight="1">
      <c r="A55" s="38" t="s">
        <v>390</v>
      </c>
      <c r="B55" s="38"/>
      <c r="C55" s="38"/>
      <c r="D55" s="39">
        <v>1</v>
      </c>
      <c r="E55" s="133" t="s">
        <v>363</v>
      </c>
      <c r="F55" s="41">
        <v>12</v>
      </c>
      <c r="G55" s="42"/>
      <c r="H55" s="42"/>
      <c r="I55" s="42"/>
      <c r="J55" s="42"/>
      <c r="K55" s="42"/>
      <c r="L55" s="42"/>
      <c r="M55" s="42"/>
      <c r="N55" s="42"/>
      <c r="O55" s="573" t="s">
        <v>364</v>
      </c>
      <c r="P55" s="555"/>
      <c r="Q55" s="555"/>
      <c r="R55" s="555"/>
      <c r="S55" s="555"/>
      <c r="T55" s="555"/>
      <c r="U55" s="555"/>
      <c r="V55" s="555"/>
      <c r="W55" s="555"/>
      <c r="X55" s="555"/>
      <c r="Y55" s="542"/>
      <c r="Z55" s="42"/>
      <c r="AA55" s="42"/>
      <c r="AB55" s="42"/>
      <c r="AC55" s="42"/>
      <c r="AD55" s="42"/>
      <c r="AE55" s="41">
        <v>12</v>
      </c>
      <c r="AF55" s="43" t="s">
        <v>66</v>
      </c>
      <c r="AG55" s="44" t="s">
        <v>396</v>
      </c>
    </row>
    <row r="56" spans="1:33" ht="14.25" customHeight="1">
      <c r="A56" s="2"/>
      <c r="B56" s="2"/>
      <c r="C56" s="2"/>
      <c r="D56" s="48"/>
      <c r="E56" s="49"/>
      <c r="F56" s="50"/>
      <c r="G56" s="51" t="s">
        <v>9</v>
      </c>
      <c r="H56" s="51" t="s">
        <v>10</v>
      </c>
      <c r="I56" s="51" t="s">
        <v>11</v>
      </c>
      <c r="J56" s="51" t="s">
        <v>12</v>
      </c>
      <c r="K56" s="51" t="s">
        <v>13</v>
      </c>
      <c r="L56" s="51" t="s">
        <v>14</v>
      </c>
      <c r="M56" s="51" t="s">
        <v>15</v>
      </c>
      <c r="N56" s="51" t="s">
        <v>16</v>
      </c>
      <c r="O56" s="51" t="s">
        <v>17</v>
      </c>
      <c r="P56" s="106" t="s">
        <v>18</v>
      </c>
      <c r="Q56" s="107" t="s">
        <v>19</v>
      </c>
      <c r="R56" s="107" t="s">
        <v>20</v>
      </c>
      <c r="S56" s="107" t="s">
        <v>21</v>
      </c>
      <c r="T56" s="107" t="s">
        <v>22</v>
      </c>
      <c r="U56" s="107" t="s">
        <v>23</v>
      </c>
      <c r="V56" s="107" t="s">
        <v>24</v>
      </c>
      <c r="W56" s="107" t="s">
        <v>25</v>
      </c>
      <c r="X56" s="107" t="s">
        <v>26</v>
      </c>
      <c r="Y56" s="107" t="s">
        <v>27</v>
      </c>
      <c r="Z56" s="107" t="s">
        <v>28</v>
      </c>
      <c r="AA56" s="52" t="s">
        <v>29</v>
      </c>
      <c r="AB56" s="52" t="s">
        <v>30</v>
      </c>
      <c r="AC56" s="52" t="s">
        <v>31</v>
      </c>
      <c r="AD56" s="51" t="s">
        <v>32</v>
      </c>
      <c r="AE56" s="53"/>
      <c r="AF56" s="25"/>
      <c r="AG56" s="25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3"/>
      <c r="B58" s="3"/>
      <c r="C58" s="3"/>
      <c r="D58" s="48"/>
      <c r="E58" s="547" t="s">
        <v>8</v>
      </c>
      <c r="F58" s="548"/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79">
        <v>3</v>
      </c>
      <c r="N58" s="79">
        <v>3</v>
      </c>
      <c r="O58" s="81">
        <v>7</v>
      </c>
      <c r="P58" s="81">
        <v>7</v>
      </c>
      <c r="Q58" s="81">
        <v>7</v>
      </c>
      <c r="R58" s="81">
        <v>7</v>
      </c>
      <c r="S58" s="81">
        <v>7</v>
      </c>
      <c r="T58" s="81">
        <v>7</v>
      </c>
      <c r="U58" s="81">
        <v>7</v>
      </c>
      <c r="V58" s="81">
        <v>7</v>
      </c>
      <c r="W58" s="81">
        <v>7</v>
      </c>
      <c r="X58" s="81">
        <v>7</v>
      </c>
      <c r="Y58" s="81">
        <v>7</v>
      </c>
      <c r="Z58" s="81">
        <v>7</v>
      </c>
      <c r="AA58" s="83">
        <v>5</v>
      </c>
      <c r="AB58" s="56">
        <v>4</v>
      </c>
      <c r="AC58" s="12">
        <v>2</v>
      </c>
      <c r="AD58" s="12">
        <v>2</v>
      </c>
      <c r="AE58" s="18">
        <f>SUM(G58:AD58)</f>
        <v>115</v>
      </c>
      <c r="AF58" s="25"/>
      <c r="AG58" s="3"/>
    </row>
    <row r="59" spans="1:33" ht="14.25" customHeight="1">
      <c r="A59" s="3"/>
      <c r="B59" s="3"/>
      <c r="C59" s="3"/>
      <c r="D59" s="48"/>
      <c r="E59" s="59"/>
      <c r="F59" s="59"/>
      <c r="G59" s="28">
        <f t="shared" ref="G59:AD59" si="4">G61-G58</f>
        <v>0</v>
      </c>
      <c r="H59" s="28">
        <f t="shared" si="4"/>
        <v>0</v>
      </c>
      <c r="I59" s="28">
        <f t="shared" si="4"/>
        <v>0</v>
      </c>
      <c r="J59" s="28">
        <f t="shared" si="4"/>
        <v>0</v>
      </c>
      <c r="K59" s="28">
        <f t="shared" si="4"/>
        <v>0</v>
      </c>
      <c r="L59" s="28">
        <f t="shared" si="4"/>
        <v>0</v>
      </c>
      <c r="M59" s="28">
        <f t="shared" si="4"/>
        <v>0</v>
      </c>
      <c r="N59" s="28">
        <f t="shared" si="4"/>
        <v>0</v>
      </c>
      <c r="O59" s="28">
        <f t="shared" si="4"/>
        <v>0</v>
      </c>
      <c r="P59" s="28">
        <f t="shared" si="4"/>
        <v>1</v>
      </c>
      <c r="Q59" s="28">
        <f t="shared" si="4"/>
        <v>1</v>
      </c>
      <c r="R59" s="28">
        <f t="shared" si="4"/>
        <v>0</v>
      </c>
      <c r="S59" s="28">
        <f t="shared" si="4"/>
        <v>0</v>
      </c>
      <c r="T59" s="28">
        <f t="shared" si="4"/>
        <v>-1</v>
      </c>
      <c r="U59" s="28">
        <f t="shared" si="4"/>
        <v>-1</v>
      </c>
      <c r="V59" s="28">
        <f t="shared" si="4"/>
        <v>0</v>
      </c>
      <c r="W59" s="28">
        <f t="shared" si="4"/>
        <v>0</v>
      </c>
      <c r="X59" s="28">
        <f t="shared" si="4"/>
        <v>1</v>
      </c>
      <c r="Y59" s="28">
        <f t="shared" si="4"/>
        <v>0</v>
      </c>
      <c r="Z59" s="28">
        <f t="shared" si="4"/>
        <v>0</v>
      </c>
      <c r="AA59" s="28">
        <f t="shared" si="4"/>
        <v>0</v>
      </c>
      <c r="AB59" s="28">
        <f t="shared" si="4"/>
        <v>0</v>
      </c>
      <c r="AC59" s="28">
        <f t="shared" si="4"/>
        <v>0</v>
      </c>
      <c r="AD59" s="28">
        <f t="shared" si="4"/>
        <v>0</v>
      </c>
      <c r="AE59" s="53"/>
      <c r="AF59" s="3"/>
      <c r="AG59" s="3"/>
    </row>
    <row r="60" spans="1:33" ht="14.25" customHeight="1">
      <c r="A60" s="3"/>
      <c r="B60" s="3"/>
      <c r="C60" s="3"/>
      <c r="D60" s="48"/>
      <c r="E60" s="60" t="s">
        <v>145</v>
      </c>
      <c r="F60" s="59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51" t="s">
        <v>17</v>
      </c>
      <c r="P60" s="51" t="s">
        <v>18</v>
      </c>
      <c r="Q60" s="52" t="s">
        <v>19</v>
      </c>
      <c r="R60" s="52" t="s">
        <v>20</v>
      </c>
      <c r="S60" s="52" t="s">
        <v>21</v>
      </c>
      <c r="T60" s="52" t="s">
        <v>22</v>
      </c>
      <c r="U60" s="52" t="s">
        <v>23</v>
      </c>
      <c r="V60" s="52" t="s">
        <v>24</v>
      </c>
      <c r="W60" s="52" t="s">
        <v>25</v>
      </c>
      <c r="X60" s="52" t="s">
        <v>26</v>
      </c>
      <c r="Y60" s="52" t="s">
        <v>27</v>
      </c>
      <c r="Z60" s="52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3"/>
    </row>
    <row r="61" spans="1:33" ht="14.25" customHeight="1">
      <c r="A61" s="3"/>
      <c r="B61" s="3"/>
      <c r="C61" s="3"/>
      <c r="D61" s="48"/>
      <c r="E61" s="61" t="s">
        <v>37</v>
      </c>
      <c r="F61" s="37" t="s">
        <v>38</v>
      </c>
      <c r="G61" s="35">
        <f t="shared" ref="G61:AD61" si="5">SUM(G62:G72)</f>
        <v>2</v>
      </c>
      <c r="H61" s="35">
        <f t="shared" si="5"/>
        <v>2</v>
      </c>
      <c r="I61" s="35">
        <f t="shared" si="5"/>
        <v>2</v>
      </c>
      <c r="J61" s="35">
        <f t="shared" si="5"/>
        <v>2</v>
      </c>
      <c r="K61" s="35">
        <f t="shared" si="5"/>
        <v>2</v>
      </c>
      <c r="L61" s="35">
        <f t="shared" si="5"/>
        <v>2</v>
      </c>
      <c r="M61" s="35">
        <f t="shared" si="5"/>
        <v>3</v>
      </c>
      <c r="N61" s="35">
        <f t="shared" si="5"/>
        <v>3</v>
      </c>
      <c r="O61" s="35">
        <f t="shared" si="5"/>
        <v>7</v>
      </c>
      <c r="P61" s="35">
        <f t="shared" si="5"/>
        <v>8</v>
      </c>
      <c r="Q61" s="35">
        <f t="shared" si="5"/>
        <v>8</v>
      </c>
      <c r="R61" s="35">
        <f t="shared" si="5"/>
        <v>7</v>
      </c>
      <c r="S61" s="35">
        <f t="shared" si="5"/>
        <v>7</v>
      </c>
      <c r="T61" s="35">
        <f t="shared" si="5"/>
        <v>6</v>
      </c>
      <c r="U61" s="35">
        <f t="shared" si="5"/>
        <v>6</v>
      </c>
      <c r="V61" s="35">
        <f t="shared" si="5"/>
        <v>7</v>
      </c>
      <c r="W61" s="35">
        <f t="shared" si="5"/>
        <v>7</v>
      </c>
      <c r="X61" s="35">
        <f t="shared" si="5"/>
        <v>8</v>
      </c>
      <c r="Y61" s="35">
        <f t="shared" si="5"/>
        <v>7</v>
      </c>
      <c r="Z61" s="35">
        <f t="shared" si="5"/>
        <v>7</v>
      </c>
      <c r="AA61" s="35">
        <f t="shared" si="5"/>
        <v>5</v>
      </c>
      <c r="AB61" s="35">
        <f t="shared" si="5"/>
        <v>4</v>
      </c>
      <c r="AC61" s="35">
        <f t="shared" si="5"/>
        <v>2</v>
      </c>
      <c r="AD61" s="35">
        <f t="shared" si="5"/>
        <v>2</v>
      </c>
      <c r="AE61" s="30">
        <f t="shared" ref="AE61:AE72" si="6">SUM(G61:AD61)</f>
        <v>116</v>
      </c>
      <c r="AF61" s="36" t="s">
        <v>39</v>
      </c>
      <c r="AG61" s="37" t="s">
        <v>40</v>
      </c>
    </row>
    <row r="62" spans="1:33" ht="14.25" customHeight="1">
      <c r="A62" s="38" t="s">
        <v>145</v>
      </c>
      <c r="B62" s="38" t="s">
        <v>149</v>
      </c>
      <c r="C62" s="38">
        <v>996585473</v>
      </c>
      <c r="D62" s="62">
        <v>1</v>
      </c>
      <c r="E62" s="40" t="s">
        <v>150</v>
      </c>
      <c r="F62" s="41">
        <f t="shared" ref="F62:F72" si="7">SUM(G62:AD62)</f>
        <v>12</v>
      </c>
      <c r="G62" s="42"/>
      <c r="H62" s="42"/>
      <c r="I62" s="42"/>
      <c r="J62" s="42"/>
      <c r="K62" s="42"/>
      <c r="L62" s="42"/>
      <c r="M62" s="42"/>
      <c r="N62" s="42">
        <v>1</v>
      </c>
      <c r="O62" s="42">
        <v>1</v>
      </c>
      <c r="P62" s="42">
        <v>1</v>
      </c>
      <c r="Q62" s="42">
        <v>1</v>
      </c>
      <c r="R62" s="42">
        <v>1</v>
      </c>
      <c r="S62" s="42"/>
      <c r="T62" s="42">
        <v>1</v>
      </c>
      <c r="U62" s="42">
        <v>1</v>
      </c>
      <c r="V62" s="42">
        <v>1</v>
      </c>
      <c r="W62" s="42">
        <v>1</v>
      </c>
      <c r="X62" s="42">
        <v>1</v>
      </c>
      <c r="Y62" s="42">
        <v>1</v>
      </c>
      <c r="Z62" s="42">
        <v>1</v>
      </c>
      <c r="AA62" s="42"/>
      <c r="AB62" s="42"/>
      <c r="AC62" s="42"/>
      <c r="AD62" s="42"/>
      <c r="AE62" s="41">
        <f t="shared" si="6"/>
        <v>12</v>
      </c>
      <c r="AF62" s="43" t="s">
        <v>406</v>
      </c>
      <c r="AG62" s="44" t="s">
        <v>396</v>
      </c>
    </row>
    <row r="63" spans="1:33" ht="14.25" customHeight="1">
      <c r="A63" s="38" t="s">
        <v>145</v>
      </c>
      <c r="B63" s="38" t="s">
        <v>212</v>
      </c>
      <c r="C63" s="38"/>
      <c r="D63" s="62">
        <v>2</v>
      </c>
      <c r="E63" s="40" t="s">
        <v>153</v>
      </c>
      <c r="F63" s="41">
        <f t="shared" si="7"/>
        <v>11</v>
      </c>
      <c r="G63" s="42"/>
      <c r="H63" s="42"/>
      <c r="I63" s="42"/>
      <c r="J63" s="42"/>
      <c r="K63" s="42"/>
      <c r="L63" s="42"/>
      <c r="M63" s="42"/>
      <c r="N63" s="42"/>
      <c r="O63" s="42">
        <v>1</v>
      </c>
      <c r="P63" s="42">
        <v>1</v>
      </c>
      <c r="Q63" s="42">
        <v>1</v>
      </c>
      <c r="R63" s="42"/>
      <c r="S63" s="42">
        <v>1</v>
      </c>
      <c r="T63" s="42">
        <v>1</v>
      </c>
      <c r="U63" s="42">
        <v>1</v>
      </c>
      <c r="V63" s="42">
        <v>1</v>
      </c>
      <c r="W63" s="42">
        <v>1</v>
      </c>
      <c r="X63" s="42">
        <v>1</v>
      </c>
      <c r="Y63" s="42">
        <v>1</v>
      </c>
      <c r="Z63" s="42">
        <v>1</v>
      </c>
      <c r="AA63" s="42"/>
      <c r="AB63" s="42"/>
      <c r="AC63" s="42"/>
      <c r="AD63" s="42"/>
      <c r="AE63" s="41">
        <f t="shared" si="6"/>
        <v>11</v>
      </c>
      <c r="AF63" s="43" t="s">
        <v>321</v>
      </c>
      <c r="AG63" s="44" t="s">
        <v>396</v>
      </c>
    </row>
    <row r="64" spans="1:33" ht="14.25" customHeight="1">
      <c r="A64" s="38" t="s">
        <v>145</v>
      </c>
      <c r="B64" s="38" t="s">
        <v>155</v>
      </c>
      <c r="C64" s="38">
        <v>969250973</v>
      </c>
      <c r="D64" s="62">
        <v>3</v>
      </c>
      <c r="E64" s="40" t="s">
        <v>156</v>
      </c>
      <c r="F64" s="41">
        <f t="shared" si="7"/>
        <v>11</v>
      </c>
      <c r="G64" s="42"/>
      <c r="H64" s="42"/>
      <c r="I64" s="42"/>
      <c r="J64" s="42"/>
      <c r="K64" s="42"/>
      <c r="L64" s="42"/>
      <c r="M64" s="42">
        <v>1</v>
      </c>
      <c r="N64" s="42">
        <v>1</v>
      </c>
      <c r="O64" s="42">
        <v>1</v>
      </c>
      <c r="P64" s="63">
        <v>1</v>
      </c>
      <c r="Q64" s="63">
        <v>1</v>
      </c>
      <c r="R64" s="42">
        <v>1</v>
      </c>
      <c r="S64" s="42">
        <v>1</v>
      </c>
      <c r="T64" s="42">
        <v>1</v>
      </c>
      <c r="U64" s="42">
        <v>1</v>
      </c>
      <c r="V64" s="42">
        <v>1</v>
      </c>
      <c r="W64" s="42">
        <v>1</v>
      </c>
      <c r="X64" s="42"/>
      <c r="Y64" s="42"/>
      <c r="Z64" s="42"/>
      <c r="AA64" s="42"/>
      <c r="AB64" s="42"/>
      <c r="AC64" s="42"/>
      <c r="AD64" s="42"/>
      <c r="AE64" s="41">
        <f t="shared" si="6"/>
        <v>11</v>
      </c>
      <c r="AF64" s="46" t="s">
        <v>192</v>
      </c>
      <c r="AG64" s="44" t="s">
        <v>396</v>
      </c>
    </row>
    <row r="65" spans="1:33" ht="14.25" customHeight="1">
      <c r="A65" s="38" t="s">
        <v>145</v>
      </c>
      <c r="B65" s="38" t="s">
        <v>157</v>
      </c>
      <c r="C65" s="38">
        <v>990911747</v>
      </c>
      <c r="D65" s="62">
        <v>4</v>
      </c>
      <c r="E65" s="40" t="s">
        <v>158</v>
      </c>
      <c r="F65" s="41">
        <f t="shared" si="7"/>
        <v>11</v>
      </c>
      <c r="G65" s="42"/>
      <c r="H65" s="42"/>
      <c r="I65" s="42"/>
      <c r="J65" s="42"/>
      <c r="K65" s="42"/>
      <c r="L65" s="42"/>
      <c r="M65" s="42"/>
      <c r="N65" s="42"/>
      <c r="O65" s="42">
        <v>1</v>
      </c>
      <c r="P65" s="42">
        <v>1</v>
      </c>
      <c r="Q65" s="42">
        <v>1</v>
      </c>
      <c r="R65" s="42">
        <v>1</v>
      </c>
      <c r="S65" s="42">
        <v>1</v>
      </c>
      <c r="T65" s="42">
        <v>1</v>
      </c>
      <c r="U65" s="42">
        <v>1</v>
      </c>
      <c r="V65" s="42">
        <v>1</v>
      </c>
      <c r="W65" s="42">
        <v>1</v>
      </c>
      <c r="X65" s="42">
        <v>1</v>
      </c>
      <c r="Y65" s="42">
        <v>1</v>
      </c>
      <c r="Z65" s="42"/>
      <c r="AA65" s="42"/>
      <c r="AB65" s="42"/>
      <c r="AC65" s="42"/>
      <c r="AD65" s="42"/>
      <c r="AE65" s="41">
        <f t="shared" si="6"/>
        <v>11</v>
      </c>
      <c r="AF65" s="46" t="s">
        <v>119</v>
      </c>
      <c r="AG65" s="44" t="s">
        <v>396</v>
      </c>
    </row>
    <row r="66" spans="1:33" ht="14.25" customHeight="1">
      <c r="A66" s="38" t="s">
        <v>145</v>
      </c>
      <c r="B66" s="38" t="s">
        <v>160</v>
      </c>
      <c r="C66" s="38">
        <v>993901115</v>
      </c>
      <c r="D66" s="62">
        <v>5</v>
      </c>
      <c r="E66" s="40" t="s">
        <v>161</v>
      </c>
      <c r="F66" s="41">
        <f t="shared" si="7"/>
        <v>14</v>
      </c>
      <c r="G66" s="42">
        <v>1</v>
      </c>
      <c r="H66" s="42">
        <v>1</v>
      </c>
      <c r="I66" s="42">
        <v>1</v>
      </c>
      <c r="J66" s="42">
        <v>1</v>
      </c>
      <c r="K66" s="42">
        <v>1</v>
      </c>
      <c r="L66" s="42">
        <v>1</v>
      </c>
      <c r="M66" s="42">
        <v>1</v>
      </c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>
        <v>1</v>
      </c>
      <c r="Y66" s="42">
        <v>1</v>
      </c>
      <c r="Z66" s="42">
        <v>1</v>
      </c>
      <c r="AA66" s="42">
        <v>1</v>
      </c>
      <c r="AB66" s="42">
        <v>1</v>
      </c>
      <c r="AC66" s="42">
        <v>1</v>
      </c>
      <c r="AD66" s="42">
        <v>1</v>
      </c>
      <c r="AE66" s="41">
        <f t="shared" si="6"/>
        <v>14</v>
      </c>
      <c r="AF66" s="46" t="s">
        <v>324</v>
      </c>
      <c r="AG66" s="44" t="s">
        <v>396</v>
      </c>
    </row>
    <row r="67" spans="1:33" ht="14.25" customHeight="1">
      <c r="A67" s="38" t="s">
        <v>145</v>
      </c>
      <c r="B67" s="38" t="s">
        <v>165</v>
      </c>
      <c r="C67" s="38">
        <v>992994680</v>
      </c>
      <c r="D67" s="62">
        <v>6</v>
      </c>
      <c r="E67" s="40" t="s">
        <v>166</v>
      </c>
      <c r="F67" s="41">
        <f t="shared" si="7"/>
        <v>7</v>
      </c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>
        <v>1</v>
      </c>
      <c r="Y67" s="42">
        <v>1</v>
      </c>
      <c r="Z67" s="42">
        <v>1</v>
      </c>
      <c r="AA67" s="42">
        <v>1</v>
      </c>
      <c r="AB67" s="42">
        <v>1</v>
      </c>
      <c r="AC67" s="42">
        <v>1</v>
      </c>
      <c r="AD67" s="42">
        <v>1</v>
      </c>
      <c r="AE67" s="41">
        <f t="shared" si="6"/>
        <v>7</v>
      </c>
      <c r="AF67" s="46" t="s">
        <v>74</v>
      </c>
      <c r="AG67" s="44" t="s">
        <v>396</v>
      </c>
    </row>
    <row r="68" spans="1:33" ht="14.25" customHeight="1">
      <c r="A68" s="76" t="s">
        <v>145</v>
      </c>
      <c r="B68" s="76" t="s">
        <v>168</v>
      </c>
      <c r="C68" s="76"/>
      <c r="D68" s="90">
        <v>7</v>
      </c>
      <c r="E68" s="145" t="s">
        <v>169</v>
      </c>
      <c r="F68" s="146">
        <f t="shared" si="7"/>
        <v>6</v>
      </c>
      <c r="G68" s="147">
        <v>1</v>
      </c>
      <c r="H68" s="147">
        <v>1</v>
      </c>
      <c r="I68" s="147">
        <v>1</v>
      </c>
      <c r="J68" s="147">
        <v>1</v>
      </c>
      <c r="K68" s="147">
        <v>1</v>
      </c>
      <c r="L68" s="147">
        <v>1</v>
      </c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6">
        <f t="shared" si="6"/>
        <v>6</v>
      </c>
      <c r="AF68" s="148" t="s">
        <v>159</v>
      </c>
      <c r="AG68" s="44" t="s">
        <v>396</v>
      </c>
    </row>
    <row r="69" spans="1:33" ht="14.25" customHeight="1">
      <c r="A69" s="38" t="s">
        <v>145</v>
      </c>
      <c r="B69" s="38" t="s">
        <v>176</v>
      </c>
      <c r="C69" s="38"/>
      <c r="D69" s="62">
        <v>8</v>
      </c>
      <c r="E69" s="40" t="s">
        <v>177</v>
      </c>
      <c r="F69" s="41">
        <f t="shared" si="7"/>
        <v>12</v>
      </c>
      <c r="G69" s="42"/>
      <c r="H69" s="42"/>
      <c r="I69" s="42"/>
      <c r="J69" s="42"/>
      <c r="K69" s="42"/>
      <c r="L69" s="42"/>
      <c r="M69" s="42"/>
      <c r="N69" s="42"/>
      <c r="O69" s="42"/>
      <c r="P69" s="42">
        <v>1</v>
      </c>
      <c r="Q69" s="42">
        <v>1</v>
      </c>
      <c r="R69" s="42">
        <v>1</v>
      </c>
      <c r="S69" s="42">
        <v>1</v>
      </c>
      <c r="T69" s="42">
        <v>1</v>
      </c>
      <c r="U69" s="42">
        <v>1</v>
      </c>
      <c r="V69" s="42">
        <v>1</v>
      </c>
      <c r="W69" s="42">
        <v>1</v>
      </c>
      <c r="X69" s="42">
        <v>1</v>
      </c>
      <c r="Y69" s="42"/>
      <c r="Z69" s="42">
        <v>1</v>
      </c>
      <c r="AA69" s="42">
        <v>1</v>
      </c>
      <c r="AB69" s="42">
        <v>1</v>
      </c>
      <c r="AC69" s="42"/>
      <c r="AD69" s="42"/>
      <c r="AE69" s="41">
        <f t="shared" si="6"/>
        <v>12</v>
      </c>
      <c r="AF69" s="43" t="s">
        <v>334</v>
      </c>
      <c r="AG69" s="44" t="s">
        <v>396</v>
      </c>
    </row>
    <row r="70" spans="1:33" ht="14.25" customHeight="1">
      <c r="A70" s="38" t="s">
        <v>145</v>
      </c>
      <c r="B70" s="38" t="s">
        <v>178</v>
      </c>
      <c r="C70" s="38"/>
      <c r="D70" s="62">
        <v>10</v>
      </c>
      <c r="E70" s="40" t="s">
        <v>179</v>
      </c>
      <c r="F70" s="41">
        <f t="shared" si="7"/>
        <v>13</v>
      </c>
      <c r="G70" s="42"/>
      <c r="H70" s="42"/>
      <c r="I70" s="42"/>
      <c r="J70" s="42"/>
      <c r="K70" s="42"/>
      <c r="L70" s="42"/>
      <c r="M70" s="42"/>
      <c r="N70" s="42"/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>
        <v>1</v>
      </c>
      <c r="U70" s="42"/>
      <c r="V70" s="42">
        <v>1</v>
      </c>
      <c r="W70" s="42">
        <v>1</v>
      </c>
      <c r="X70" s="42">
        <v>1</v>
      </c>
      <c r="Y70" s="42">
        <v>1</v>
      </c>
      <c r="Z70" s="42">
        <v>1</v>
      </c>
      <c r="AA70" s="42">
        <v>1</v>
      </c>
      <c r="AB70" s="42">
        <v>1</v>
      </c>
      <c r="AC70" s="42"/>
      <c r="AD70" s="42"/>
      <c r="AE70" s="41">
        <f t="shared" si="6"/>
        <v>13</v>
      </c>
      <c r="AF70" s="43" t="s">
        <v>407</v>
      </c>
      <c r="AG70" s="44" t="s">
        <v>396</v>
      </c>
    </row>
    <row r="71" spans="1:33" ht="14.25" customHeight="1">
      <c r="A71" s="38" t="s">
        <v>145</v>
      </c>
      <c r="B71" s="38" t="s">
        <v>181</v>
      </c>
      <c r="C71" s="38"/>
      <c r="D71" s="62">
        <v>11</v>
      </c>
      <c r="E71" s="40" t="s">
        <v>182</v>
      </c>
      <c r="F71" s="41">
        <f t="shared" si="7"/>
        <v>12</v>
      </c>
      <c r="G71" s="42"/>
      <c r="H71" s="42"/>
      <c r="I71" s="42"/>
      <c r="J71" s="42"/>
      <c r="K71" s="42"/>
      <c r="L71" s="42"/>
      <c r="M71" s="42"/>
      <c r="N71" s="42"/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/>
      <c r="U71" s="42">
        <v>1</v>
      </c>
      <c r="V71" s="42">
        <v>1</v>
      </c>
      <c r="W71" s="42">
        <v>1</v>
      </c>
      <c r="X71" s="42">
        <v>1</v>
      </c>
      <c r="Y71" s="42">
        <v>1</v>
      </c>
      <c r="Z71" s="42">
        <v>1</v>
      </c>
      <c r="AA71" s="42">
        <v>1</v>
      </c>
      <c r="AB71" s="42"/>
      <c r="AC71" s="42"/>
      <c r="AD71" s="42"/>
      <c r="AE71" s="41">
        <f t="shared" si="6"/>
        <v>12</v>
      </c>
      <c r="AF71" s="43" t="s">
        <v>373</v>
      </c>
      <c r="AG71" s="44" t="s">
        <v>396</v>
      </c>
    </row>
    <row r="72" spans="1:33" ht="14.25" customHeight="1">
      <c r="A72" s="38" t="s">
        <v>145</v>
      </c>
      <c r="B72" s="38" t="s">
        <v>183</v>
      </c>
      <c r="C72" s="38"/>
      <c r="D72" s="62">
        <v>12</v>
      </c>
      <c r="E72" s="40" t="s">
        <v>184</v>
      </c>
      <c r="F72" s="41">
        <f t="shared" si="7"/>
        <v>7</v>
      </c>
      <c r="G72" s="42"/>
      <c r="H72" s="42"/>
      <c r="I72" s="42"/>
      <c r="J72" s="42"/>
      <c r="K72" s="42"/>
      <c r="L72" s="42"/>
      <c r="M72" s="42">
        <v>1</v>
      </c>
      <c r="N72" s="42">
        <v>1</v>
      </c>
      <c r="O72" s="42">
        <v>1</v>
      </c>
      <c r="P72" s="42">
        <v>1</v>
      </c>
      <c r="Q72" s="42">
        <v>1</v>
      </c>
      <c r="R72" s="42">
        <v>1</v>
      </c>
      <c r="S72" s="42">
        <v>1</v>
      </c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1">
        <f t="shared" si="6"/>
        <v>7</v>
      </c>
      <c r="AF72" s="43" t="s">
        <v>379</v>
      </c>
      <c r="AG72" s="44" t="s">
        <v>396</v>
      </c>
    </row>
    <row r="73" spans="1:33" ht="14.25" customHeight="1">
      <c r="A73" s="3"/>
      <c r="B73" s="3"/>
      <c r="C73" s="3"/>
      <c r="D73" s="3"/>
      <c r="E73" s="3"/>
      <c r="F73" s="3"/>
      <c r="G73" s="65" t="s">
        <v>9</v>
      </c>
      <c r="H73" s="65" t="s">
        <v>10</v>
      </c>
      <c r="I73" s="65" t="s">
        <v>11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65" t="s">
        <v>17</v>
      </c>
      <c r="P73" s="65" t="s">
        <v>18</v>
      </c>
      <c r="Q73" s="66" t="s">
        <v>19</v>
      </c>
      <c r="R73" s="66" t="s">
        <v>20</v>
      </c>
      <c r="S73" s="66" t="s">
        <v>21</v>
      </c>
      <c r="T73" s="66" t="s">
        <v>22</v>
      </c>
      <c r="U73" s="66" t="s">
        <v>23</v>
      </c>
      <c r="V73" s="66" t="s">
        <v>24</v>
      </c>
      <c r="W73" s="66" t="s">
        <v>25</v>
      </c>
      <c r="X73" s="66" t="s">
        <v>26</v>
      </c>
      <c r="Y73" s="66" t="s">
        <v>27</v>
      </c>
      <c r="Z73" s="66" t="s">
        <v>28</v>
      </c>
      <c r="AA73" s="66" t="s">
        <v>29</v>
      </c>
      <c r="AB73" s="66" t="s">
        <v>30</v>
      </c>
      <c r="AC73" s="66" t="s">
        <v>31</v>
      </c>
      <c r="AD73" s="65" t="s">
        <v>32</v>
      </c>
      <c r="AE73" s="53"/>
      <c r="AF73" s="3"/>
      <c r="AG73" s="3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</sheetData>
  <autoFilter ref="A7:AF56" xr:uid="{00000000-0009-0000-0000-00001D000000}"/>
  <customSheetViews>
    <customSheetView guid="{49BA5E93-E473-4F11-BE7E-FD55CB28D969}" filter="1" showAutoFilter="1">
      <pageMargins left="0.7" right="0.7" top="0.75" bottom="0.75" header="0.3" footer="0.3"/>
      <autoFilter ref="G5:AD74" xr:uid="{380F42F3-41FE-4D33-B5AD-D77038E94555}">
        <filterColumn colId="15">
          <filters>
            <filter val="-"/>
            <filter val="1"/>
            <filter val="28"/>
            <filter val="7"/>
            <filter val="CLIENTES VIP"/>
            <filter val="MONITOREOS BRM"/>
            <filter val="SEGUIMIENTO TRANSFERENCIAS"/>
            <filter val="SOPORTE DTH"/>
            <filter val="V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74" xr:uid="{9502BF3C-CC74-4A0C-8D3E-454AA2CEE429}">
        <filterColumn colId="26">
          <filters>
            <filter val="-"/>
            <filter val="1"/>
            <filter val="5"/>
            <filter val="CLIENTES VIP"/>
            <filter val="MONITOREOS BRM"/>
            <filter val="V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74" xr:uid="{807E1857-3F11-427F-B729-D67953752D58}"/>
    </customSheetView>
  </customSheetViews>
  <mergeCells count="15">
    <mergeCell ref="P54:Z54"/>
    <mergeCell ref="O55:Y55"/>
    <mergeCell ref="E58:F58"/>
    <mergeCell ref="A1:B1"/>
    <mergeCell ref="D3:AE3"/>
    <mergeCell ref="E4:F4"/>
    <mergeCell ref="E5:F5"/>
    <mergeCell ref="V46:AC46"/>
    <mergeCell ref="V47:AC47"/>
    <mergeCell ref="V48:AC48"/>
    <mergeCell ref="V49:AC49"/>
    <mergeCell ref="V50:AC50"/>
    <mergeCell ref="V51:AC51"/>
    <mergeCell ref="V52:AC52"/>
    <mergeCell ref="N53:U53"/>
  </mergeCells>
  <conditionalFormatting sqref="E4:F4 E58:F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0:AB60 N73:AB7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7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283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67">
        <v>4</v>
      </c>
      <c r="H4" s="12">
        <v>3</v>
      </c>
      <c r="I4" s="12">
        <v>3</v>
      </c>
      <c r="J4" s="12">
        <v>3</v>
      </c>
      <c r="K4" s="12">
        <v>3</v>
      </c>
      <c r="L4" s="12">
        <v>3</v>
      </c>
      <c r="M4" s="68">
        <v>9</v>
      </c>
      <c r="N4" s="69">
        <v>12</v>
      </c>
      <c r="O4" s="83">
        <v>17</v>
      </c>
      <c r="P4" s="137">
        <v>20</v>
      </c>
      <c r="Q4" s="119">
        <v>24</v>
      </c>
      <c r="R4" s="119">
        <v>24</v>
      </c>
      <c r="S4" s="120">
        <v>22</v>
      </c>
      <c r="T4" s="80">
        <v>21</v>
      </c>
      <c r="U4" s="149">
        <v>19</v>
      </c>
      <c r="V4" s="72">
        <v>16</v>
      </c>
      <c r="W4" s="72">
        <v>16</v>
      </c>
      <c r="X4" s="72">
        <v>16</v>
      </c>
      <c r="Y4" s="150">
        <v>14</v>
      </c>
      <c r="Z4" s="69">
        <v>12</v>
      </c>
      <c r="AA4" s="56">
        <v>13</v>
      </c>
      <c r="AB4" s="73">
        <v>10</v>
      </c>
      <c r="AC4" s="74">
        <v>6</v>
      </c>
      <c r="AD4" s="67">
        <v>4</v>
      </c>
      <c r="AE4" s="18">
        <f>SUM(G4:AD4)</f>
        <v>294</v>
      </c>
      <c r="AF4" s="3">
        <f>AE4/9</f>
        <v>32.666666666666664</v>
      </c>
      <c r="AG4" s="3"/>
    </row>
    <row r="5" spans="1:33" ht="62.25">
      <c r="A5" s="3"/>
      <c r="B5" s="2"/>
      <c r="C5" s="2"/>
      <c r="D5" s="19"/>
      <c r="E5" s="569">
        <v>27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-1</v>
      </c>
      <c r="N6" s="28">
        <f t="shared" si="0"/>
        <v>0</v>
      </c>
      <c r="O6" s="84">
        <f t="shared" si="0"/>
        <v>-1</v>
      </c>
      <c r="P6" s="84">
        <f t="shared" si="0"/>
        <v>-1</v>
      </c>
      <c r="Q6" s="84">
        <f t="shared" si="0"/>
        <v>-1</v>
      </c>
      <c r="R6" s="84">
        <f t="shared" si="0"/>
        <v>-1</v>
      </c>
      <c r="S6" s="28">
        <f t="shared" si="0"/>
        <v>0</v>
      </c>
      <c r="T6" s="28">
        <f t="shared" si="0"/>
        <v>0</v>
      </c>
      <c r="U6" s="84">
        <f t="shared" si="0"/>
        <v>-1</v>
      </c>
      <c r="V6" s="84">
        <f t="shared" si="0"/>
        <v>-1</v>
      </c>
      <c r="W6" s="84">
        <f t="shared" si="0"/>
        <v>-1</v>
      </c>
      <c r="X6" s="151">
        <f t="shared" si="0"/>
        <v>0</v>
      </c>
      <c r="Y6" s="84">
        <f t="shared" si="0"/>
        <v>-3</v>
      </c>
      <c r="Z6" s="84">
        <f t="shared" si="0"/>
        <v>-2</v>
      </c>
      <c r="AA6" s="84">
        <f t="shared" si="0"/>
        <v>-3</v>
      </c>
      <c r="AB6" s="28">
        <f t="shared" si="0"/>
        <v>-2</v>
      </c>
      <c r="AC6" s="28">
        <f t="shared" si="0"/>
        <v>-1</v>
      </c>
      <c r="AD6" s="28">
        <f t="shared" si="0"/>
        <v>-1</v>
      </c>
      <c r="AE6" s="29">
        <f t="shared" ref="AE6:AE20" si="1">SUM(G6:AD6)</f>
        <v>-20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SUM(G8:G54)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8</v>
      </c>
      <c r="N7" s="35">
        <f t="shared" si="2"/>
        <v>12</v>
      </c>
      <c r="O7" s="35">
        <f t="shared" si="2"/>
        <v>16</v>
      </c>
      <c r="P7" s="35">
        <f t="shared" si="2"/>
        <v>19</v>
      </c>
      <c r="Q7" s="35">
        <f t="shared" si="2"/>
        <v>23</v>
      </c>
      <c r="R7" s="35">
        <f t="shared" si="2"/>
        <v>23</v>
      </c>
      <c r="S7" s="35">
        <f t="shared" si="2"/>
        <v>22</v>
      </c>
      <c r="T7" s="35">
        <f t="shared" si="2"/>
        <v>21</v>
      </c>
      <c r="U7" s="35">
        <f t="shared" si="2"/>
        <v>18</v>
      </c>
      <c r="V7" s="35">
        <f t="shared" si="2"/>
        <v>15</v>
      </c>
      <c r="W7" s="35">
        <f t="shared" si="2"/>
        <v>15</v>
      </c>
      <c r="X7" s="35">
        <f t="shared" si="2"/>
        <v>16</v>
      </c>
      <c r="Y7" s="35">
        <f t="shared" si="2"/>
        <v>11</v>
      </c>
      <c r="Z7" s="35">
        <f t="shared" si="2"/>
        <v>10</v>
      </c>
      <c r="AA7" s="35">
        <f t="shared" si="2"/>
        <v>10</v>
      </c>
      <c r="AB7" s="35">
        <f t="shared" si="2"/>
        <v>8</v>
      </c>
      <c r="AC7" s="35">
        <f t="shared" si="2"/>
        <v>5</v>
      </c>
      <c r="AD7" s="35">
        <f t="shared" si="2"/>
        <v>3</v>
      </c>
      <c r="AE7" s="30">
        <f t="shared" si="1"/>
        <v>274</v>
      </c>
      <c r="AF7" s="36" t="s">
        <v>39</v>
      </c>
      <c r="AG7" s="37" t="s">
        <v>40</v>
      </c>
    </row>
    <row r="8" spans="1:33" ht="14.25" customHeight="1">
      <c r="A8" s="38" t="s">
        <v>41</v>
      </c>
      <c r="B8" s="38" t="s">
        <v>42</v>
      </c>
      <c r="C8" s="38"/>
      <c r="D8" s="39">
        <v>0</v>
      </c>
      <c r="E8" s="40" t="s">
        <v>43</v>
      </c>
      <c r="F8" s="41">
        <f t="shared" ref="F8:F45" si="3">SUM(G8:AD8)</f>
        <v>0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1">
        <f t="shared" si="1"/>
        <v>0</v>
      </c>
      <c r="AF8" s="138" t="s">
        <v>225</v>
      </c>
      <c r="AG8" s="44" t="s">
        <v>408</v>
      </c>
    </row>
    <row r="9" spans="1:33" ht="15.75">
      <c r="A9" s="38" t="s">
        <v>41</v>
      </c>
      <c r="B9" s="38" t="s">
        <v>45</v>
      </c>
      <c r="C9" s="38">
        <v>999600729</v>
      </c>
      <c r="D9" s="39">
        <v>1</v>
      </c>
      <c r="E9" s="40" t="s">
        <v>46</v>
      </c>
      <c r="F9" s="41">
        <f t="shared" si="3"/>
        <v>12</v>
      </c>
      <c r="G9" s="42">
        <v>1</v>
      </c>
      <c r="H9" s="42">
        <v>1</v>
      </c>
      <c r="I9" s="42">
        <v>1</v>
      </c>
      <c r="J9" s="42">
        <v>1</v>
      </c>
      <c r="K9" s="42">
        <v>1</v>
      </c>
      <c r="L9" s="42">
        <v>1</v>
      </c>
      <c r="M9" s="42">
        <v>1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>
        <v>1</v>
      </c>
      <c r="AA9" s="42">
        <v>1</v>
      </c>
      <c r="AB9" s="42">
        <v>1</v>
      </c>
      <c r="AC9" s="42">
        <v>1</v>
      </c>
      <c r="AD9" s="42">
        <v>1</v>
      </c>
      <c r="AE9" s="41">
        <f t="shared" si="1"/>
        <v>12</v>
      </c>
      <c r="AF9" s="46" t="s">
        <v>311</v>
      </c>
      <c r="AG9" s="44" t="s">
        <v>408</v>
      </c>
    </row>
    <row r="10" spans="1:33" ht="15.75" customHeight="1">
      <c r="A10" s="38" t="s">
        <v>41</v>
      </c>
      <c r="B10" s="38" t="s">
        <v>52</v>
      </c>
      <c r="C10" s="38">
        <v>984098910</v>
      </c>
      <c r="D10" s="39">
        <v>2</v>
      </c>
      <c r="E10" s="40" t="s">
        <v>53</v>
      </c>
      <c r="F10" s="41">
        <f t="shared" si="3"/>
        <v>7</v>
      </c>
      <c r="G10" s="42">
        <v>1</v>
      </c>
      <c r="H10" s="42">
        <v>1</v>
      </c>
      <c r="I10" s="42">
        <v>1</v>
      </c>
      <c r="J10" s="42">
        <v>1</v>
      </c>
      <c r="K10" s="42">
        <v>1</v>
      </c>
      <c r="L10" s="42">
        <v>1</v>
      </c>
      <c r="M10" s="42">
        <v>1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1">
        <f t="shared" si="1"/>
        <v>7</v>
      </c>
      <c r="AF10" s="46" t="s">
        <v>284</v>
      </c>
      <c r="AG10" s="44" t="s">
        <v>408</v>
      </c>
    </row>
    <row r="11" spans="1:33" ht="14.25" customHeight="1">
      <c r="A11" s="98" t="s">
        <v>41</v>
      </c>
      <c r="B11" s="98" t="s">
        <v>55</v>
      </c>
      <c r="C11" s="98">
        <v>987983128</v>
      </c>
      <c r="D11" s="99">
        <v>3</v>
      </c>
      <c r="E11" s="100" t="s">
        <v>56</v>
      </c>
      <c r="F11" s="41">
        <f t="shared" si="3"/>
        <v>11</v>
      </c>
      <c r="G11" s="42"/>
      <c r="H11" s="42"/>
      <c r="I11" s="42"/>
      <c r="J11" s="42"/>
      <c r="K11" s="42"/>
      <c r="L11" s="42"/>
      <c r="M11" s="42">
        <v>1</v>
      </c>
      <c r="N11" s="42">
        <v>1</v>
      </c>
      <c r="O11" s="42">
        <v>1</v>
      </c>
      <c r="P11" s="42">
        <v>1</v>
      </c>
      <c r="Q11" s="42">
        <v>1</v>
      </c>
      <c r="R11" s="42">
        <v>1</v>
      </c>
      <c r="S11" s="42">
        <v>1</v>
      </c>
      <c r="T11" s="42">
        <v>1</v>
      </c>
      <c r="U11" s="42">
        <v>1</v>
      </c>
      <c r="V11" s="42">
        <v>1</v>
      </c>
      <c r="W11" s="42">
        <v>1</v>
      </c>
      <c r="X11" s="42"/>
      <c r="Y11" s="42"/>
      <c r="Z11" s="42"/>
      <c r="AA11" s="42"/>
      <c r="AB11" s="42"/>
      <c r="AC11" s="42"/>
      <c r="AD11" s="42"/>
      <c r="AE11" s="41">
        <f t="shared" si="1"/>
        <v>11</v>
      </c>
      <c r="AF11" s="43" t="s">
        <v>409</v>
      </c>
      <c r="AG11" s="44" t="s">
        <v>408</v>
      </c>
    </row>
    <row r="12" spans="1:33" ht="14.25" customHeight="1">
      <c r="A12" s="38" t="s">
        <v>41</v>
      </c>
      <c r="B12" s="38" t="s">
        <v>57</v>
      </c>
      <c r="C12" s="38"/>
      <c r="D12" s="39">
        <v>4</v>
      </c>
      <c r="E12" s="40" t="s">
        <v>58</v>
      </c>
      <c r="F12" s="41">
        <f t="shared" si="3"/>
        <v>13</v>
      </c>
      <c r="G12" s="42"/>
      <c r="H12" s="42"/>
      <c r="I12" s="42"/>
      <c r="J12" s="42"/>
      <c r="K12" s="42"/>
      <c r="L12" s="42"/>
      <c r="M12" s="42"/>
      <c r="N12" s="42">
        <v>1</v>
      </c>
      <c r="O12" s="42">
        <v>1</v>
      </c>
      <c r="P12" s="42">
        <v>1</v>
      </c>
      <c r="Q12" s="42">
        <v>1</v>
      </c>
      <c r="R12" s="42">
        <v>1</v>
      </c>
      <c r="S12" s="42">
        <v>1</v>
      </c>
      <c r="T12" s="42">
        <v>1</v>
      </c>
      <c r="U12" s="42">
        <v>1</v>
      </c>
      <c r="V12" s="42"/>
      <c r="W12" s="42">
        <v>1</v>
      </c>
      <c r="X12" s="42">
        <v>1</v>
      </c>
      <c r="Y12" s="42">
        <v>1</v>
      </c>
      <c r="Z12" s="42">
        <v>1</v>
      </c>
      <c r="AA12" s="42">
        <v>1</v>
      </c>
      <c r="AB12" s="42"/>
      <c r="AC12" s="42"/>
      <c r="AD12" s="42"/>
      <c r="AE12" s="41">
        <f t="shared" si="1"/>
        <v>13</v>
      </c>
      <c r="AF12" s="43" t="s">
        <v>340</v>
      </c>
      <c r="AG12" s="44" t="s">
        <v>408</v>
      </c>
    </row>
    <row r="13" spans="1:33" ht="14.25" customHeight="1">
      <c r="A13" s="38" t="s">
        <v>41</v>
      </c>
      <c r="B13" s="38" t="s">
        <v>146</v>
      </c>
      <c r="C13" s="38">
        <v>998223732</v>
      </c>
      <c r="D13" s="39">
        <v>5</v>
      </c>
      <c r="E13" s="40" t="s">
        <v>147</v>
      </c>
      <c r="F13" s="41">
        <f t="shared" si="3"/>
        <v>11</v>
      </c>
      <c r="G13" s="42"/>
      <c r="H13" s="42"/>
      <c r="I13" s="42"/>
      <c r="J13" s="42"/>
      <c r="K13" s="42"/>
      <c r="L13" s="42"/>
      <c r="M13" s="42">
        <v>1</v>
      </c>
      <c r="N13" s="42">
        <v>1</v>
      </c>
      <c r="O13" s="42">
        <v>1</v>
      </c>
      <c r="P13" s="42">
        <v>1</v>
      </c>
      <c r="Q13" s="42">
        <v>1</v>
      </c>
      <c r="R13" s="42">
        <v>1</v>
      </c>
      <c r="S13" s="42">
        <v>1</v>
      </c>
      <c r="T13" s="42"/>
      <c r="U13" s="42">
        <v>1</v>
      </c>
      <c r="V13" s="42">
        <v>1</v>
      </c>
      <c r="W13" s="42">
        <v>1</v>
      </c>
      <c r="X13" s="42">
        <v>1</v>
      </c>
      <c r="Y13" s="42"/>
      <c r="Z13" s="42"/>
      <c r="AA13" s="42"/>
      <c r="AB13" s="42"/>
      <c r="AC13" s="42"/>
      <c r="AD13" s="42"/>
      <c r="AE13" s="41">
        <f t="shared" si="1"/>
        <v>11</v>
      </c>
      <c r="AF13" s="43" t="s">
        <v>51</v>
      </c>
      <c r="AG13" s="44" t="s">
        <v>408</v>
      </c>
    </row>
    <row r="14" spans="1:33" ht="14.25" customHeight="1">
      <c r="A14" s="76" t="s">
        <v>41</v>
      </c>
      <c r="B14" s="76" t="s">
        <v>59</v>
      </c>
      <c r="C14" s="76"/>
      <c r="D14" s="86">
        <v>6</v>
      </c>
      <c r="E14" s="87" t="s">
        <v>60</v>
      </c>
      <c r="F14" s="88">
        <f t="shared" si="3"/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88">
        <f t="shared" si="1"/>
        <v>0</v>
      </c>
      <c r="AF14" s="138" t="s">
        <v>225</v>
      </c>
      <c r="AG14" s="44" t="s">
        <v>408</v>
      </c>
    </row>
    <row r="15" spans="1:33" ht="14.25" customHeight="1">
      <c r="A15" s="76" t="s">
        <v>41</v>
      </c>
      <c r="B15" s="76" t="s">
        <v>62</v>
      </c>
      <c r="C15" s="76">
        <v>979044107</v>
      </c>
      <c r="D15" s="86">
        <v>7</v>
      </c>
      <c r="E15" s="87" t="s">
        <v>63</v>
      </c>
      <c r="F15" s="88">
        <f t="shared" si="3"/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88">
        <f t="shared" si="1"/>
        <v>0</v>
      </c>
      <c r="AF15" s="138" t="s">
        <v>225</v>
      </c>
      <c r="AG15" s="44" t="s">
        <v>408</v>
      </c>
    </row>
    <row r="16" spans="1:33" ht="14.25" customHeight="1">
      <c r="A16" s="38" t="s">
        <v>41</v>
      </c>
      <c r="B16" s="38" t="s">
        <v>64</v>
      </c>
      <c r="C16" s="38">
        <v>995545886</v>
      </c>
      <c r="D16" s="39">
        <v>8</v>
      </c>
      <c r="E16" s="40" t="s">
        <v>65</v>
      </c>
      <c r="F16" s="41">
        <f t="shared" si="3"/>
        <v>11</v>
      </c>
      <c r="G16" s="42"/>
      <c r="H16" s="42"/>
      <c r="I16" s="42"/>
      <c r="J16" s="42"/>
      <c r="K16" s="42"/>
      <c r="L16" s="42"/>
      <c r="M16" s="42"/>
      <c r="N16" s="42">
        <v>1</v>
      </c>
      <c r="O16" s="42">
        <v>1</v>
      </c>
      <c r="P16" s="42">
        <v>1</v>
      </c>
      <c r="Q16" s="42">
        <v>1</v>
      </c>
      <c r="R16" s="42">
        <v>1</v>
      </c>
      <c r="S16" s="42">
        <v>1</v>
      </c>
      <c r="T16" s="42">
        <v>1</v>
      </c>
      <c r="U16" s="42">
        <v>1</v>
      </c>
      <c r="V16" s="42"/>
      <c r="W16" s="42">
        <v>1</v>
      </c>
      <c r="X16" s="42">
        <v>1</v>
      </c>
      <c r="Y16" s="42">
        <v>1</v>
      </c>
      <c r="Z16" s="42"/>
      <c r="AA16" s="42"/>
      <c r="AB16" s="42"/>
      <c r="AC16" s="42"/>
      <c r="AD16" s="42"/>
      <c r="AE16" s="41">
        <f t="shared" si="1"/>
        <v>11</v>
      </c>
      <c r="AF16" s="43" t="s">
        <v>357</v>
      </c>
      <c r="AG16" s="44" t="s">
        <v>408</v>
      </c>
    </row>
    <row r="17" spans="1:33" ht="14.25" customHeight="1">
      <c r="A17" s="38" t="s">
        <v>41</v>
      </c>
      <c r="B17" s="38" t="s">
        <v>67</v>
      </c>
      <c r="C17" s="38">
        <v>968594141</v>
      </c>
      <c r="D17" s="39">
        <v>9</v>
      </c>
      <c r="E17" s="40" t="s">
        <v>68</v>
      </c>
      <c r="F17" s="41">
        <f t="shared" si="3"/>
        <v>13</v>
      </c>
      <c r="G17" s="42"/>
      <c r="H17" s="42"/>
      <c r="I17" s="42"/>
      <c r="J17" s="42"/>
      <c r="K17" s="42"/>
      <c r="L17" s="42"/>
      <c r="M17" s="42"/>
      <c r="N17" s="42">
        <v>1</v>
      </c>
      <c r="O17" s="42">
        <v>1</v>
      </c>
      <c r="P17" s="42">
        <v>1</v>
      </c>
      <c r="Q17" s="42">
        <v>1</v>
      </c>
      <c r="R17" s="42">
        <v>1</v>
      </c>
      <c r="S17" s="42">
        <v>1</v>
      </c>
      <c r="T17" s="42">
        <v>1</v>
      </c>
      <c r="U17" s="42">
        <v>1</v>
      </c>
      <c r="V17" s="42"/>
      <c r="W17" s="42">
        <v>1</v>
      </c>
      <c r="X17" s="42">
        <v>1</v>
      </c>
      <c r="Y17" s="42">
        <v>1</v>
      </c>
      <c r="Z17" s="42">
        <v>1</v>
      </c>
      <c r="AA17" s="42">
        <v>1</v>
      </c>
      <c r="AB17" s="42"/>
      <c r="AC17" s="42"/>
      <c r="AD17" s="42"/>
      <c r="AE17" s="41">
        <f t="shared" si="1"/>
        <v>13</v>
      </c>
      <c r="AF17" s="43" t="s">
        <v>340</v>
      </c>
      <c r="AG17" s="44" t="s">
        <v>408</v>
      </c>
    </row>
    <row r="18" spans="1:33" ht="14.25" customHeight="1">
      <c r="A18" s="76" t="s">
        <v>41</v>
      </c>
      <c r="B18" s="76" t="s">
        <v>70</v>
      </c>
      <c r="C18" s="76"/>
      <c r="D18" s="86">
        <v>10</v>
      </c>
      <c r="E18" s="87" t="s">
        <v>71</v>
      </c>
      <c r="F18" s="88">
        <f t="shared" si="3"/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  <c r="Z18" s="77">
        <v>0</v>
      </c>
      <c r="AA18" s="77">
        <v>0</v>
      </c>
      <c r="AB18" s="77">
        <v>0</v>
      </c>
      <c r="AC18" s="77">
        <v>0</v>
      </c>
      <c r="AD18" s="77">
        <v>0</v>
      </c>
      <c r="AE18" s="88">
        <f t="shared" si="1"/>
        <v>0</v>
      </c>
      <c r="AF18" s="138" t="s">
        <v>225</v>
      </c>
      <c r="AG18" s="44" t="s">
        <v>408</v>
      </c>
    </row>
    <row r="19" spans="1:33" ht="14.25" customHeight="1">
      <c r="A19" s="38" t="s">
        <v>41</v>
      </c>
      <c r="B19" s="38" t="s">
        <v>72</v>
      </c>
      <c r="C19" s="38">
        <v>989533877</v>
      </c>
      <c r="D19" s="39">
        <v>11</v>
      </c>
      <c r="E19" s="40" t="s">
        <v>73</v>
      </c>
      <c r="F19" s="41">
        <f t="shared" si="3"/>
        <v>0</v>
      </c>
      <c r="G19" s="42" t="s">
        <v>352</v>
      </c>
      <c r="H19" s="42" t="s">
        <v>352</v>
      </c>
      <c r="I19" s="42" t="s">
        <v>352</v>
      </c>
      <c r="J19" s="42" t="s">
        <v>352</v>
      </c>
      <c r="K19" s="42" t="s">
        <v>352</v>
      </c>
      <c r="L19" s="42" t="s">
        <v>352</v>
      </c>
      <c r="M19" s="42" t="s">
        <v>352</v>
      </c>
      <c r="N19" s="42" t="s">
        <v>352</v>
      </c>
      <c r="O19" s="42" t="s">
        <v>352</v>
      </c>
      <c r="P19" s="42" t="s">
        <v>352</v>
      </c>
      <c r="Q19" s="42" t="s">
        <v>352</v>
      </c>
      <c r="R19" s="42" t="s">
        <v>352</v>
      </c>
      <c r="S19" s="42" t="s">
        <v>352</v>
      </c>
      <c r="T19" s="42" t="s">
        <v>352</v>
      </c>
      <c r="U19" s="42" t="s">
        <v>352</v>
      </c>
      <c r="V19" s="42" t="s">
        <v>352</v>
      </c>
      <c r="W19" s="42" t="s">
        <v>352</v>
      </c>
      <c r="X19" s="42" t="s">
        <v>352</v>
      </c>
      <c r="Y19" s="42" t="s">
        <v>352</v>
      </c>
      <c r="Z19" s="42" t="s">
        <v>352</v>
      </c>
      <c r="AA19" s="42" t="s">
        <v>352</v>
      </c>
      <c r="AB19" s="42" t="s">
        <v>352</v>
      </c>
      <c r="AC19" s="42" t="s">
        <v>352</v>
      </c>
      <c r="AD19" s="42" t="s">
        <v>352</v>
      </c>
      <c r="AE19" s="41">
        <f t="shared" si="1"/>
        <v>0</v>
      </c>
      <c r="AF19" s="64" t="s">
        <v>6</v>
      </c>
      <c r="AG19" s="44" t="s">
        <v>408</v>
      </c>
    </row>
    <row r="20" spans="1:33" ht="14.25" customHeight="1">
      <c r="A20" s="76" t="s">
        <v>41</v>
      </c>
      <c r="B20" s="76" t="s">
        <v>76</v>
      </c>
      <c r="C20" s="76">
        <v>997829699</v>
      </c>
      <c r="D20" s="86">
        <v>12</v>
      </c>
      <c r="E20" s="87" t="s">
        <v>77</v>
      </c>
      <c r="F20" s="88">
        <f t="shared" si="3"/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77">
        <v>0</v>
      </c>
      <c r="AC20" s="77">
        <v>0</v>
      </c>
      <c r="AD20" s="77">
        <v>0</v>
      </c>
      <c r="AE20" s="88">
        <f t="shared" si="1"/>
        <v>0</v>
      </c>
      <c r="AF20" s="138" t="s">
        <v>225</v>
      </c>
      <c r="AG20" s="44" t="s">
        <v>408</v>
      </c>
    </row>
    <row r="21" spans="1:33" ht="14.25" customHeight="1">
      <c r="A21" s="98" t="s">
        <v>41</v>
      </c>
      <c r="B21" s="152" t="s">
        <v>79</v>
      </c>
      <c r="C21" s="152"/>
      <c r="D21" s="99">
        <v>13</v>
      </c>
      <c r="E21" s="100" t="s">
        <v>80</v>
      </c>
      <c r="F21" s="88">
        <f t="shared" si="3"/>
        <v>9</v>
      </c>
      <c r="G21" s="42">
        <v>1</v>
      </c>
      <c r="H21" s="42">
        <v>1</v>
      </c>
      <c r="I21" s="42">
        <v>1</v>
      </c>
      <c r="J21" s="42">
        <v>1</v>
      </c>
      <c r="K21" s="42">
        <v>1</v>
      </c>
      <c r="L21" s="42">
        <v>1</v>
      </c>
      <c r="M21" s="77"/>
      <c r="N21" s="77"/>
      <c r="O21" s="77"/>
      <c r="P21" s="77"/>
      <c r="Q21" s="77"/>
      <c r="R21" s="77"/>
      <c r="S21" s="75">
        <v>1</v>
      </c>
      <c r="T21" s="42">
        <v>1</v>
      </c>
      <c r="U21" s="42">
        <v>1</v>
      </c>
      <c r="V21" s="573" t="s">
        <v>292</v>
      </c>
      <c r="W21" s="555"/>
      <c r="X21" s="555"/>
      <c r="Y21" s="555"/>
      <c r="Z21" s="555"/>
      <c r="AA21" s="555"/>
      <c r="AB21" s="555"/>
      <c r="AC21" s="555"/>
      <c r="AD21" s="42"/>
      <c r="AE21" s="114">
        <v>17</v>
      </c>
      <c r="AF21" s="43" t="s">
        <v>410</v>
      </c>
      <c r="AG21" s="44" t="s">
        <v>408</v>
      </c>
    </row>
    <row r="22" spans="1:33" ht="14.25" customHeight="1">
      <c r="A22" s="38" t="s">
        <v>41</v>
      </c>
      <c r="B22" s="38" t="s">
        <v>82</v>
      </c>
      <c r="C22" s="38">
        <v>996303208</v>
      </c>
      <c r="D22" s="39">
        <v>14</v>
      </c>
      <c r="E22" s="40" t="s">
        <v>83</v>
      </c>
      <c r="F22" s="41">
        <f t="shared" si="3"/>
        <v>11</v>
      </c>
      <c r="G22" s="42"/>
      <c r="H22" s="42"/>
      <c r="I22" s="42"/>
      <c r="J22" s="42"/>
      <c r="K22" s="42"/>
      <c r="L22" s="42"/>
      <c r="M22" s="42">
        <v>1</v>
      </c>
      <c r="N22" s="42">
        <v>1</v>
      </c>
      <c r="O22" s="42">
        <v>1</v>
      </c>
      <c r="P22" s="42">
        <v>1</v>
      </c>
      <c r="Q22" s="42">
        <v>1</v>
      </c>
      <c r="R22" s="42">
        <v>1</v>
      </c>
      <c r="S22" s="42">
        <v>1</v>
      </c>
      <c r="T22" s="42">
        <v>1</v>
      </c>
      <c r="U22" s="42">
        <v>1</v>
      </c>
      <c r="V22" s="42">
        <v>1</v>
      </c>
      <c r="W22" s="42">
        <v>1</v>
      </c>
      <c r="X22" s="42"/>
      <c r="Y22" s="42"/>
      <c r="Z22" s="42"/>
      <c r="AA22" s="42"/>
      <c r="AB22" s="42"/>
      <c r="AC22" s="42"/>
      <c r="AD22" s="42"/>
      <c r="AE22" s="41">
        <f t="shared" ref="AE22:AE45" si="4">SUM(G22:AD22)</f>
        <v>11</v>
      </c>
      <c r="AF22" s="43" t="s">
        <v>192</v>
      </c>
      <c r="AG22" s="44" t="s">
        <v>408</v>
      </c>
    </row>
    <row r="23" spans="1:33" ht="14.25" customHeight="1">
      <c r="A23" s="76" t="s">
        <v>41</v>
      </c>
      <c r="B23" s="76" t="s">
        <v>85</v>
      </c>
      <c r="C23" s="76">
        <v>991837641</v>
      </c>
      <c r="D23" s="86">
        <v>15</v>
      </c>
      <c r="E23" s="87" t="s">
        <v>86</v>
      </c>
      <c r="F23" s="88">
        <f t="shared" si="3"/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0</v>
      </c>
      <c r="AB23" s="77">
        <v>0</v>
      </c>
      <c r="AC23" s="77">
        <v>0</v>
      </c>
      <c r="AD23" s="77">
        <v>0</v>
      </c>
      <c r="AE23" s="88">
        <f t="shared" si="4"/>
        <v>0</v>
      </c>
      <c r="AF23" s="138" t="s">
        <v>225</v>
      </c>
      <c r="AG23" s="44" t="s">
        <v>408</v>
      </c>
    </row>
    <row r="24" spans="1:33" ht="14.25" customHeight="1">
      <c r="A24" s="76" t="s">
        <v>41</v>
      </c>
      <c r="B24" s="76" t="s">
        <v>88</v>
      </c>
      <c r="C24" s="76">
        <v>985570860</v>
      </c>
      <c r="D24" s="86">
        <v>16</v>
      </c>
      <c r="E24" s="87" t="s">
        <v>89</v>
      </c>
      <c r="F24" s="88">
        <f t="shared" si="3"/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  <c r="Z24" s="77">
        <v>0</v>
      </c>
      <c r="AA24" s="77">
        <v>0</v>
      </c>
      <c r="AB24" s="77">
        <v>0</v>
      </c>
      <c r="AC24" s="77">
        <v>0</v>
      </c>
      <c r="AD24" s="77">
        <v>0</v>
      </c>
      <c r="AE24" s="88">
        <f t="shared" si="4"/>
        <v>0</v>
      </c>
      <c r="AF24" s="138" t="s">
        <v>225</v>
      </c>
      <c r="AG24" s="44" t="s">
        <v>408</v>
      </c>
    </row>
    <row r="25" spans="1:33" ht="14.25" customHeight="1">
      <c r="A25" s="38" t="s">
        <v>41</v>
      </c>
      <c r="B25" s="38" t="s">
        <v>90</v>
      </c>
      <c r="C25" s="38">
        <v>961816449</v>
      </c>
      <c r="D25" s="39">
        <v>17</v>
      </c>
      <c r="E25" s="40" t="s">
        <v>91</v>
      </c>
      <c r="F25" s="41">
        <f t="shared" si="3"/>
        <v>11</v>
      </c>
      <c r="G25" s="42"/>
      <c r="H25" s="42"/>
      <c r="I25" s="42"/>
      <c r="J25" s="42"/>
      <c r="K25" s="42"/>
      <c r="L25" s="42"/>
      <c r="M25" s="42">
        <v>1</v>
      </c>
      <c r="N25" s="42">
        <v>1</v>
      </c>
      <c r="O25" s="42">
        <v>1</v>
      </c>
      <c r="P25" s="42">
        <v>1</v>
      </c>
      <c r="Q25" s="42">
        <v>1</v>
      </c>
      <c r="R25" s="42">
        <v>1</v>
      </c>
      <c r="S25" s="42">
        <v>1</v>
      </c>
      <c r="T25" s="42">
        <v>1</v>
      </c>
      <c r="U25" s="42">
        <v>1</v>
      </c>
      <c r="V25" s="42">
        <v>1</v>
      </c>
      <c r="W25" s="42">
        <v>1</v>
      </c>
      <c r="X25" s="42"/>
      <c r="Y25" s="42"/>
      <c r="Z25" s="42"/>
      <c r="AA25" s="42"/>
      <c r="AB25" s="42"/>
      <c r="AC25" s="42"/>
      <c r="AD25" s="42"/>
      <c r="AE25" s="41">
        <f t="shared" si="4"/>
        <v>11</v>
      </c>
      <c r="AF25" s="43" t="s">
        <v>192</v>
      </c>
      <c r="AG25" s="44" t="s">
        <v>408</v>
      </c>
    </row>
    <row r="26" spans="1:33" ht="14.25" customHeight="1">
      <c r="A26" s="76" t="s">
        <v>41</v>
      </c>
      <c r="B26" s="76" t="s">
        <v>92</v>
      </c>
      <c r="C26" s="76">
        <v>989858490</v>
      </c>
      <c r="D26" s="86">
        <v>18</v>
      </c>
      <c r="E26" s="87" t="s">
        <v>93</v>
      </c>
      <c r="F26" s="88">
        <f t="shared" si="3"/>
        <v>4</v>
      </c>
      <c r="G26" s="77"/>
      <c r="H26" s="77"/>
      <c r="I26" s="77"/>
      <c r="J26" s="77"/>
      <c r="K26" s="77"/>
      <c r="L26" s="77"/>
      <c r="M26" s="77"/>
      <c r="N26" s="77"/>
      <c r="O26" s="153">
        <v>1</v>
      </c>
      <c r="P26" s="77">
        <v>1</v>
      </c>
      <c r="Q26" s="77">
        <v>1</v>
      </c>
      <c r="R26" s="77">
        <v>1</v>
      </c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88">
        <f t="shared" si="4"/>
        <v>4</v>
      </c>
      <c r="AF26" s="138" t="s">
        <v>411</v>
      </c>
      <c r="AG26" s="44" t="s">
        <v>408</v>
      </c>
    </row>
    <row r="27" spans="1:33" ht="14.25" customHeight="1">
      <c r="A27" s="38" t="s">
        <v>41</v>
      </c>
      <c r="B27" s="38" t="s">
        <v>94</v>
      </c>
      <c r="C27" s="38">
        <v>988957267</v>
      </c>
      <c r="D27" s="39">
        <v>19</v>
      </c>
      <c r="E27" s="40" t="s">
        <v>95</v>
      </c>
      <c r="F27" s="41">
        <f t="shared" si="3"/>
        <v>13</v>
      </c>
      <c r="G27" s="42"/>
      <c r="H27" s="42"/>
      <c r="I27" s="42"/>
      <c r="J27" s="42"/>
      <c r="K27" s="42"/>
      <c r="L27" s="42"/>
      <c r="M27" s="42"/>
      <c r="N27" s="42"/>
      <c r="O27" s="42"/>
      <c r="P27" s="42">
        <v>1</v>
      </c>
      <c r="Q27" s="42">
        <v>1</v>
      </c>
      <c r="R27" s="42">
        <v>1</v>
      </c>
      <c r="S27" s="42">
        <v>1</v>
      </c>
      <c r="T27" s="42">
        <v>1</v>
      </c>
      <c r="U27" s="42">
        <v>1</v>
      </c>
      <c r="V27" s="42">
        <v>1</v>
      </c>
      <c r="W27" s="42"/>
      <c r="X27" s="42">
        <v>1</v>
      </c>
      <c r="Y27" s="42">
        <v>1</v>
      </c>
      <c r="Z27" s="42">
        <v>1</v>
      </c>
      <c r="AA27" s="42">
        <v>1</v>
      </c>
      <c r="AB27" s="42">
        <v>1</v>
      </c>
      <c r="AC27" s="42">
        <v>1</v>
      </c>
      <c r="AD27" s="42"/>
      <c r="AE27" s="41">
        <f t="shared" si="4"/>
        <v>13</v>
      </c>
      <c r="AF27" s="43" t="s">
        <v>343</v>
      </c>
      <c r="AG27" s="44" t="s">
        <v>408</v>
      </c>
    </row>
    <row r="28" spans="1:33" ht="14.25" customHeight="1">
      <c r="A28" s="38" t="s">
        <v>41</v>
      </c>
      <c r="B28" s="38" t="s">
        <v>97</v>
      </c>
      <c r="C28" s="38"/>
      <c r="D28" s="39">
        <v>20</v>
      </c>
      <c r="E28" s="40" t="s">
        <v>98</v>
      </c>
      <c r="F28" s="41">
        <f t="shared" si="3"/>
        <v>11</v>
      </c>
      <c r="G28" s="42"/>
      <c r="H28" s="42"/>
      <c r="I28" s="42"/>
      <c r="J28" s="42"/>
      <c r="K28" s="42"/>
      <c r="L28" s="42"/>
      <c r="M28" s="42"/>
      <c r="N28" s="42">
        <v>1</v>
      </c>
      <c r="O28" s="42">
        <v>1</v>
      </c>
      <c r="P28" s="42">
        <v>1</v>
      </c>
      <c r="Q28" s="42">
        <v>1</v>
      </c>
      <c r="R28" s="42">
        <v>1</v>
      </c>
      <c r="S28" s="42">
        <v>1</v>
      </c>
      <c r="T28" s="42">
        <v>1</v>
      </c>
      <c r="U28" s="42"/>
      <c r="V28" s="42">
        <v>1</v>
      </c>
      <c r="W28" s="42">
        <v>1</v>
      </c>
      <c r="X28" s="42">
        <v>1</v>
      </c>
      <c r="Y28" s="42">
        <v>1</v>
      </c>
      <c r="Z28" s="42"/>
      <c r="AA28" s="42"/>
      <c r="AB28" s="42"/>
      <c r="AC28" s="42"/>
      <c r="AD28" s="42"/>
      <c r="AE28" s="41">
        <f t="shared" si="4"/>
        <v>11</v>
      </c>
      <c r="AF28" s="43" t="s">
        <v>273</v>
      </c>
      <c r="AG28" s="44" t="s">
        <v>408</v>
      </c>
    </row>
    <row r="29" spans="1:33" ht="14.25" customHeight="1">
      <c r="A29" s="38" t="s">
        <v>41</v>
      </c>
      <c r="B29" s="38" t="s">
        <v>198</v>
      </c>
      <c r="C29" s="38"/>
      <c r="D29" s="39">
        <v>21</v>
      </c>
      <c r="E29" s="40" t="s">
        <v>99</v>
      </c>
      <c r="F29" s="41">
        <f t="shared" si="3"/>
        <v>10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>
        <v>1</v>
      </c>
      <c r="V29" s="42">
        <v>1</v>
      </c>
      <c r="W29" s="42">
        <v>1</v>
      </c>
      <c r="X29" s="42">
        <v>1</v>
      </c>
      <c r="Y29" s="42">
        <v>1</v>
      </c>
      <c r="Z29" s="42">
        <v>1</v>
      </c>
      <c r="AA29" s="42">
        <v>1</v>
      </c>
      <c r="AB29" s="42">
        <v>1</v>
      </c>
      <c r="AC29" s="42">
        <v>1</v>
      </c>
      <c r="AD29" s="42">
        <v>1</v>
      </c>
      <c r="AE29" s="41">
        <f t="shared" si="4"/>
        <v>10</v>
      </c>
      <c r="AF29" s="43" t="s">
        <v>75</v>
      </c>
      <c r="AG29" s="44" t="s">
        <v>408</v>
      </c>
    </row>
    <row r="30" spans="1:33" ht="14.25" customHeight="1">
      <c r="A30" s="38" t="s">
        <v>41</v>
      </c>
      <c r="B30" s="38" t="s">
        <v>101</v>
      </c>
      <c r="C30" s="38">
        <v>962757006</v>
      </c>
      <c r="D30" s="39">
        <v>22</v>
      </c>
      <c r="E30" s="40" t="s">
        <v>102</v>
      </c>
      <c r="F30" s="41">
        <f t="shared" si="3"/>
        <v>13</v>
      </c>
      <c r="G30" s="42"/>
      <c r="H30" s="42"/>
      <c r="I30" s="42"/>
      <c r="J30" s="42"/>
      <c r="K30" s="42"/>
      <c r="L30" s="42"/>
      <c r="M30" s="42"/>
      <c r="N30" s="42"/>
      <c r="O30" s="42">
        <v>1</v>
      </c>
      <c r="P30" s="42">
        <v>1</v>
      </c>
      <c r="Q30" s="42">
        <v>1</v>
      </c>
      <c r="R30" s="42">
        <v>1</v>
      </c>
      <c r="S30" s="42">
        <v>1</v>
      </c>
      <c r="T30" s="42">
        <v>1</v>
      </c>
      <c r="U30" s="42">
        <v>1</v>
      </c>
      <c r="V30" s="42">
        <v>1</v>
      </c>
      <c r="W30" s="42"/>
      <c r="X30" s="42">
        <v>1</v>
      </c>
      <c r="Y30" s="42">
        <v>1</v>
      </c>
      <c r="Z30" s="42">
        <v>1</v>
      </c>
      <c r="AA30" s="42">
        <v>1</v>
      </c>
      <c r="AB30" s="42">
        <v>1</v>
      </c>
      <c r="AC30" s="42"/>
      <c r="AD30" s="42"/>
      <c r="AE30" s="41">
        <f t="shared" si="4"/>
        <v>13</v>
      </c>
      <c r="AF30" s="43" t="s">
        <v>344</v>
      </c>
      <c r="AG30" s="44" t="s">
        <v>408</v>
      </c>
    </row>
    <row r="31" spans="1:33" ht="14.25" customHeight="1">
      <c r="A31" s="38" t="s">
        <v>41</v>
      </c>
      <c r="B31" s="38" t="s">
        <v>103</v>
      </c>
      <c r="C31" s="38"/>
      <c r="D31" s="39">
        <v>23</v>
      </c>
      <c r="E31" s="87" t="s">
        <v>104</v>
      </c>
      <c r="F31" s="88">
        <f t="shared" si="3"/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  <c r="R31" s="77">
        <v>0</v>
      </c>
      <c r="S31" s="77">
        <v>0</v>
      </c>
      <c r="T31" s="77">
        <v>0</v>
      </c>
      <c r="U31" s="77">
        <v>0</v>
      </c>
      <c r="V31" s="77">
        <v>0</v>
      </c>
      <c r="W31" s="77">
        <v>0</v>
      </c>
      <c r="X31" s="77">
        <v>0</v>
      </c>
      <c r="Y31" s="77">
        <v>0</v>
      </c>
      <c r="Z31" s="77">
        <v>0</v>
      </c>
      <c r="AA31" s="77">
        <v>0</v>
      </c>
      <c r="AB31" s="77">
        <v>0</v>
      </c>
      <c r="AC31" s="77">
        <v>0</v>
      </c>
      <c r="AD31" s="77">
        <v>0</v>
      </c>
      <c r="AE31" s="88">
        <f t="shared" si="4"/>
        <v>0</v>
      </c>
      <c r="AF31" s="138" t="s">
        <v>225</v>
      </c>
      <c r="AG31" s="44" t="s">
        <v>408</v>
      </c>
    </row>
    <row r="32" spans="1:33" ht="14.25" customHeight="1">
      <c r="A32" s="38" t="s">
        <v>41</v>
      </c>
      <c r="B32" s="38" t="s">
        <v>167</v>
      </c>
      <c r="C32" s="38">
        <v>995055956</v>
      </c>
      <c r="D32" s="39">
        <v>24</v>
      </c>
      <c r="E32" s="40" t="s">
        <v>144</v>
      </c>
      <c r="F32" s="41">
        <f t="shared" si="3"/>
        <v>10</v>
      </c>
      <c r="G32" s="42"/>
      <c r="H32" s="42"/>
      <c r="I32" s="42"/>
      <c r="J32" s="42"/>
      <c r="K32" s="42"/>
      <c r="L32" s="42"/>
      <c r="M32" s="78" t="s">
        <v>231</v>
      </c>
      <c r="N32" s="75">
        <v>1</v>
      </c>
      <c r="O32" s="42">
        <v>1</v>
      </c>
      <c r="P32" s="42">
        <v>1</v>
      </c>
      <c r="Q32" s="42">
        <v>1</v>
      </c>
      <c r="R32" s="42">
        <v>1</v>
      </c>
      <c r="S32" s="42">
        <v>1</v>
      </c>
      <c r="T32" s="42"/>
      <c r="U32" s="42">
        <v>1</v>
      </c>
      <c r="V32" s="42">
        <v>1</v>
      </c>
      <c r="W32" s="42">
        <v>1</v>
      </c>
      <c r="X32" s="42">
        <v>1</v>
      </c>
      <c r="Y32" s="42"/>
      <c r="Z32" s="42"/>
      <c r="AA32" s="42"/>
      <c r="AB32" s="42"/>
      <c r="AC32" s="42"/>
      <c r="AD32" s="42"/>
      <c r="AE32" s="41">
        <f t="shared" si="4"/>
        <v>10</v>
      </c>
      <c r="AF32" s="43" t="s">
        <v>51</v>
      </c>
      <c r="AG32" s="44" t="s">
        <v>408</v>
      </c>
    </row>
    <row r="33" spans="1:33" ht="14.25" customHeight="1">
      <c r="A33" s="76" t="s">
        <v>41</v>
      </c>
      <c r="B33" s="76" t="s">
        <v>332</v>
      </c>
      <c r="C33" s="76"/>
      <c r="D33" s="86">
        <v>25</v>
      </c>
      <c r="E33" s="87" t="s">
        <v>333</v>
      </c>
      <c r="F33" s="88">
        <f t="shared" si="3"/>
        <v>0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  <c r="Z33" s="77">
        <v>0</v>
      </c>
      <c r="AA33" s="77">
        <v>0</v>
      </c>
      <c r="AB33" s="77">
        <v>0</v>
      </c>
      <c r="AC33" s="77">
        <v>0</v>
      </c>
      <c r="AD33" s="77">
        <v>0</v>
      </c>
      <c r="AE33" s="88">
        <f t="shared" si="4"/>
        <v>0</v>
      </c>
      <c r="AF33" s="138" t="s">
        <v>225</v>
      </c>
      <c r="AG33" s="44" t="s">
        <v>408</v>
      </c>
    </row>
    <row r="34" spans="1:33" ht="14.25" customHeight="1">
      <c r="A34" s="38" t="s">
        <v>41</v>
      </c>
      <c r="B34" s="38" t="s">
        <v>105</v>
      </c>
      <c r="C34" s="38"/>
      <c r="D34" s="39">
        <v>26</v>
      </c>
      <c r="E34" s="40" t="s">
        <v>106</v>
      </c>
      <c r="F34" s="41">
        <f t="shared" si="3"/>
        <v>13</v>
      </c>
      <c r="G34" s="42"/>
      <c r="H34" s="42"/>
      <c r="I34" s="42"/>
      <c r="J34" s="42"/>
      <c r="K34" s="42"/>
      <c r="L34" s="42"/>
      <c r="M34" s="42"/>
      <c r="N34" s="42"/>
      <c r="O34" s="42"/>
      <c r="P34" s="42">
        <v>1</v>
      </c>
      <c r="Q34" s="42">
        <v>1</v>
      </c>
      <c r="R34" s="42">
        <v>1</v>
      </c>
      <c r="S34" s="42">
        <v>1</v>
      </c>
      <c r="T34" s="42">
        <v>1</v>
      </c>
      <c r="U34" s="42">
        <v>1</v>
      </c>
      <c r="V34" s="42">
        <v>1</v>
      </c>
      <c r="W34" s="42"/>
      <c r="X34" s="42">
        <v>1</v>
      </c>
      <c r="Y34" s="42">
        <v>1</v>
      </c>
      <c r="Z34" s="42">
        <v>1</v>
      </c>
      <c r="AA34" s="42">
        <v>1</v>
      </c>
      <c r="AB34" s="42">
        <v>1</v>
      </c>
      <c r="AC34" s="42">
        <v>1</v>
      </c>
      <c r="AD34" s="42"/>
      <c r="AE34" s="41">
        <f t="shared" si="4"/>
        <v>13</v>
      </c>
      <c r="AF34" s="43" t="s">
        <v>343</v>
      </c>
      <c r="AG34" s="44" t="s">
        <v>408</v>
      </c>
    </row>
    <row r="35" spans="1:33" ht="14.25" customHeight="1">
      <c r="A35" s="38" t="s">
        <v>41</v>
      </c>
      <c r="B35" s="38" t="s">
        <v>171</v>
      </c>
      <c r="C35" s="38">
        <v>990489779</v>
      </c>
      <c r="D35" s="39">
        <v>27</v>
      </c>
      <c r="E35" s="40" t="s">
        <v>172</v>
      </c>
      <c r="F35" s="41">
        <f t="shared" si="3"/>
        <v>0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78" t="s">
        <v>231</v>
      </c>
      <c r="Z35" s="78" t="s">
        <v>231</v>
      </c>
      <c r="AA35" s="78" t="s">
        <v>231</v>
      </c>
      <c r="AB35" s="78" t="s">
        <v>231</v>
      </c>
      <c r="AC35" s="78" t="s">
        <v>231</v>
      </c>
      <c r="AD35" s="78" t="s">
        <v>231</v>
      </c>
      <c r="AE35" s="41">
        <f t="shared" si="4"/>
        <v>0</v>
      </c>
      <c r="AF35" s="43" t="s">
        <v>281</v>
      </c>
      <c r="AG35" s="44" t="s">
        <v>408</v>
      </c>
    </row>
    <row r="36" spans="1:33" ht="14.25" customHeight="1">
      <c r="A36" s="38" t="s">
        <v>41</v>
      </c>
      <c r="B36" s="38" t="s">
        <v>107</v>
      </c>
      <c r="C36" s="38">
        <v>981074073</v>
      </c>
      <c r="D36" s="39">
        <v>28</v>
      </c>
      <c r="E36" s="40" t="s">
        <v>108</v>
      </c>
      <c r="F36" s="41">
        <f t="shared" si="3"/>
        <v>12</v>
      </c>
      <c r="G36" s="42"/>
      <c r="H36" s="42"/>
      <c r="I36" s="42"/>
      <c r="J36" s="42"/>
      <c r="K36" s="42"/>
      <c r="L36" s="42"/>
      <c r="M36" s="42">
        <v>1</v>
      </c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1</v>
      </c>
      <c r="T36" s="42">
        <v>1</v>
      </c>
      <c r="U36" s="42">
        <v>1</v>
      </c>
      <c r="V36" s="42">
        <v>1</v>
      </c>
      <c r="W36" s="42">
        <v>1</v>
      </c>
      <c r="X36" s="42">
        <v>1</v>
      </c>
      <c r="Y36" s="42"/>
      <c r="Z36" s="42"/>
      <c r="AA36" s="42"/>
      <c r="AB36" s="42"/>
      <c r="AC36" s="42"/>
      <c r="AD36" s="42"/>
      <c r="AE36" s="41">
        <f t="shared" si="4"/>
        <v>12</v>
      </c>
      <c r="AF36" s="43" t="s">
        <v>84</v>
      </c>
      <c r="AG36" s="44" t="s">
        <v>408</v>
      </c>
    </row>
    <row r="37" spans="1:33" ht="14.25" customHeight="1">
      <c r="A37" s="38" t="s">
        <v>41</v>
      </c>
      <c r="B37" s="38" t="s">
        <v>111</v>
      </c>
      <c r="C37" s="38"/>
      <c r="D37" s="39">
        <v>29</v>
      </c>
      <c r="E37" s="40" t="s">
        <v>112</v>
      </c>
      <c r="F37" s="41">
        <f t="shared" si="3"/>
        <v>11</v>
      </c>
      <c r="G37" s="42"/>
      <c r="H37" s="42"/>
      <c r="I37" s="42"/>
      <c r="J37" s="42"/>
      <c r="K37" s="42"/>
      <c r="L37" s="42"/>
      <c r="M37" s="42">
        <v>1</v>
      </c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/>
      <c r="T37" s="42">
        <v>1</v>
      </c>
      <c r="U37" s="42">
        <v>1</v>
      </c>
      <c r="V37" s="42">
        <v>1</v>
      </c>
      <c r="W37" s="42">
        <v>1</v>
      </c>
      <c r="X37" s="42">
        <v>1</v>
      </c>
      <c r="Y37" s="42"/>
      <c r="Z37" s="42"/>
      <c r="AA37" s="42"/>
      <c r="AB37" s="42"/>
      <c r="AC37" s="42"/>
      <c r="AD37" s="42"/>
      <c r="AE37" s="41">
        <f t="shared" si="4"/>
        <v>11</v>
      </c>
      <c r="AF37" s="43" t="s">
        <v>220</v>
      </c>
      <c r="AG37" s="44" t="s">
        <v>408</v>
      </c>
    </row>
    <row r="38" spans="1:33" ht="14.25" customHeight="1">
      <c r="A38" s="38" t="s">
        <v>41</v>
      </c>
      <c r="B38" s="38" t="s">
        <v>113</v>
      </c>
      <c r="C38" s="38"/>
      <c r="D38" s="39">
        <v>30</v>
      </c>
      <c r="E38" s="40" t="s">
        <v>114</v>
      </c>
      <c r="F38" s="41">
        <f t="shared" si="3"/>
        <v>11</v>
      </c>
      <c r="G38" s="42"/>
      <c r="H38" s="42"/>
      <c r="I38" s="42"/>
      <c r="J38" s="42"/>
      <c r="K38" s="42"/>
      <c r="L38" s="42"/>
      <c r="M38" s="42"/>
      <c r="N38" s="75">
        <v>1</v>
      </c>
      <c r="O38" s="42">
        <v>1</v>
      </c>
      <c r="P38" s="42">
        <v>1</v>
      </c>
      <c r="Q38" s="42">
        <v>1</v>
      </c>
      <c r="R38" s="42">
        <v>1</v>
      </c>
      <c r="S38" s="42">
        <v>1</v>
      </c>
      <c r="T38" s="42">
        <v>1</v>
      </c>
      <c r="U38" s="42">
        <v>1</v>
      </c>
      <c r="V38" s="42">
        <v>1</v>
      </c>
      <c r="W38" s="42">
        <v>1</v>
      </c>
      <c r="X38" s="42">
        <v>1</v>
      </c>
      <c r="Y38" s="42"/>
      <c r="Z38" s="42"/>
      <c r="AA38" s="42"/>
      <c r="AB38" s="42"/>
      <c r="AC38" s="42"/>
      <c r="AD38" s="42"/>
      <c r="AE38" s="41">
        <f t="shared" si="4"/>
        <v>11</v>
      </c>
      <c r="AF38" s="43" t="s">
        <v>154</v>
      </c>
      <c r="AG38" s="44" t="s">
        <v>408</v>
      </c>
    </row>
    <row r="39" spans="1:33" ht="14.25" customHeight="1">
      <c r="A39" s="38" t="s">
        <v>41</v>
      </c>
      <c r="B39" s="38" t="s">
        <v>115</v>
      </c>
      <c r="C39" s="38">
        <v>962936744</v>
      </c>
      <c r="D39" s="39">
        <v>31</v>
      </c>
      <c r="E39" s="40" t="s">
        <v>116</v>
      </c>
      <c r="F39" s="41">
        <f t="shared" si="3"/>
        <v>6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>
        <v>1</v>
      </c>
      <c r="Z39" s="42">
        <v>1</v>
      </c>
      <c r="AA39" s="42">
        <v>1</v>
      </c>
      <c r="AB39" s="42">
        <v>1</v>
      </c>
      <c r="AC39" s="42">
        <v>1</v>
      </c>
      <c r="AD39" s="42">
        <v>1</v>
      </c>
      <c r="AE39" s="41">
        <f t="shared" si="4"/>
        <v>6</v>
      </c>
      <c r="AF39" s="46" t="s">
        <v>281</v>
      </c>
      <c r="AG39" s="44" t="s">
        <v>408</v>
      </c>
    </row>
    <row r="40" spans="1:33" ht="14.25" customHeight="1">
      <c r="A40" s="76" t="s">
        <v>41</v>
      </c>
      <c r="B40" s="76" t="s">
        <v>120</v>
      </c>
      <c r="C40" s="76"/>
      <c r="D40" s="86">
        <v>32</v>
      </c>
      <c r="E40" s="87" t="s">
        <v>121</v>
      </c>
      <c r="F40" s="88">
        <f t="shared" si="3"/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  <c r="Z40" s="77">
        <v>0</v>
      </c>
      <c r="AA40" s="77">
        <v>0</v>
      </c>
      <c r="AB40" s="77">
        <v>0</v>
      </c>
      <c r="AC40" s="77">
        <v>0</v>
      </c>
      <c r="AD40" s="77">
        <v>0</v>
      </c>
      <c r="AE40" s="88">
        <f t="shared" si="4"/>
        <v>0</v>
      </c>
      <c r="AF40" s="138" t="s">
        <v>225</v>
      </c>
      <c r="AG40" s="44" t="s">
        <v>408</v>
      </c>
    </row>
    <row r="41" spans="1:33" ht="14.25" customHeight="1">
      <c r="A41" s="38" t="s">
        <v>41</v>
      </c>
      <c r="B41" s="38" t="s">
        <v>122</v>
      </c>
      <c r="C41" s="38">
        <v>984490770</v>
      </c>
      <c r="D41" s="39">
        <v>33</v>
      </c>
      <c r="E41" s="40" t="s">
        <v>123</v>
      </c>
      <c r="F41" s="41">
        <f t="shared" si="3"/>
        <v>13</v>
      </c>
      <c r="G41" s="42"/>
      <c r="H41" s="42"/>
      <c r="I41" s="42"/>
      <c r="J41" s="42"/>
      <c r="K41" s="42"/>
      <c r="L41" s="42"/>
      <c r="M41" s="42"/>
      <c r="N41" s="42"/>
      <c r="O41" s="42">
        <v>1</v>
      </c>
      <c r="P41" s="42">
        <v>1</v>
      </c>
      <c r="Q41" s="42">
        <v>1</v>
      </c>
      <c r="R41" s="42">
        <v>1</v>
      </c>
      <c r="S41" s="42">
        <v>1</v>
      </c>
      <c r="T41" s="42">
        <v>1</v>
      </c>
      <c r="U41" s="42">
        <v>1</v>
      </c>
      <c r="V41" s="42">
        <v>1</v>
      </c>
      <c r="W41" s="42"/>
      <c r="X41" s="42">
        <v>1</v>
      </c>
      <c r="Y41" s="42">
        <v>1</v>
      </c>
      <c r="Z41" s="42">
        <v>1</v>
      </c>
      <c r="AA41" s="42">
        <v>1</v>
      </c>
      <c r="AB41" s="42">
        <v>1</v>
      </c>
      <c r="AC41" s="42"/>
      <c r="AD41" s="42"/>
      <c r="AE41" s="41">
        <f t="shared" si="4"/>
        <v>13</v>
      </c>
      <c r="AF41" s="43" t="s">
        <v>344</v>
      </c>
      <c r="AG41" s="44" t="s">
        <v>408</v>
      </c>
    </row>
    <row r="42" spans="1:33" ht="14.25" customHeight="1">
      <c r="A42" s="76" t="s">
        <v>41</v>
      </c>
      <c r="B42" s="76" t="s">
        <v>124</v>
      </c>
      <c r="C42" s="76">
        <v>979137365</v>
      </c>
      <c r="D42" s="86">
        <v>34</v>
      </c>
      <c r="E42" s="87" t="s">
        <v>125</v>
      </c>
      <c r="F42" s="88">
        <f t="shared" si="3"/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  <c r="Z42" s="77">
        <v>0</v>
      </c>
      <c r="AA42" s="77">
        <v>0</v>
      </c>
      <c r="AB42" s="77">
        <v>0</v>
      </c>
      <c r="AC42" s="77">
        <v>0</v>
      </c>
      <c r="AD42" s="77">
        <v>0</v>
      </c>
      <c r="AE42" s="88">
        <f t="shared" si="4"/>
        <v>0</v>
      </c>
      <c r="AF42" s="138" t="s">
        <v>225</v>
      </c>
      <c r="AG42" s="44" t="s">
        <v>408</v>
      </c>
    </row>
    <row r="43" spans="1:33" ht="14.25" customHeight="1">
      <c r="A43" s="76" t="s">
        <v>41</v>
      </c>
      <c r="B43" s="76" t="s">
        <v>126</v>
      </c>
      <c r="C43" s="76">
        <v>986256130</v>
      </c>
      <c r="D43" s="86">
        <v>35</v>
      </c>
      <c r="E43" s="100" t="s">
        <v>127</v>
      </c>
      <c r="F43" s="41">
        <f t="shared" si="3"/>
        <v>13</v>
      </c>
      <c r="G43" s="102"/>
      <c r="H43" s="102"/>
      <c r="I43" s="102"/>
      <c r="J43" s="102"/>
      <c r="K43" s="102"/>
      <c r="L43" s="102"/>
      <c r="M43" s="102"/>
      <c r="N43" s="102"/>
      <c r="O43" s="102">
        <v>1</v>
      </c>
      <c r="P43" s="102">
        <v>1</v>
      </c>
      <c r="Q43" s="102">
        <v>1</v>
      </c>
      <c r="R43" s="102">
        <v>1</v>
      </c>
      <c r="S43" s="102">
        <v>1</v>
      </c>
      <c r="T43" s="102">
        <v>1</v>
      </c>
      <c r="U43" s="102">
        <v>1</v>
      </c>
      <c r="V43" s="102"/>
      <c r="W43" s="102">
        <v>1</v>
      </c>
      <c r="X43" s="102">
        <v>1</v>
      </c>
      <c r="Y43" s="102">
        <v>1</v>
      </c>
      <c r="Z43" s="102">
        <v>1</v>
      </c>
      <c r="AA43" s="102">
        <v>1</v>
      </c>
      <c r="AB43" s="102">
        <v>1</v>
      </c>
      <c r="AC43" s="102"/>
      <c r="AD43" s="102"/>
      <c r="AE43" s="101">
        <f t="shared" si="4"/>
        <v>13</v>
      </c>
      <c r="AF43" s="104" t="s">
        <v>247</v>
      </c>
      <c r="AG43" s="44" t="s">
        <v>408</v>
      </c>
    </row>
    <row r="44" spans="1:33" ht="14.25" customHeight="1">
      <c r="A44" s="76" t="s">
        <v>41</v>
      </c>
      <c r="B44" s="76" t="s">
        <v>128</v>
      </c>
      <c r="C44" s="76"/>
      <c r="D44" s="86">
        <v>36</v>
      </c>
      <c r="E44" s="87" t="s">
        <v>129</v>
      </c>
      <c r="F44" s="88">
        <f t="shared" si="3"/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0</v>
      </c>
      <c r="Z44" s="77">
        <v>0</v>
      </c>
      <c r="AA44" s="77">
        <v>0</v>
      </c>
      <c r="AB44" s="77">
        <v>0</v>
      </c>
      <c r="AC44" s="77">
        <v>0</v>
      </c>
      <c r="AD44" s="77">
        <v>0</v>
      </c>
      <c r="AE44" s="88">
        <f t="shared" si="4"/>
        <v>0</v>
      </c>
      <c r="AF44" s="138" t="s">
        <v>225</v>
      </c>
      <c r="AG44" s="44" t="s">
        <v>408</v>
      </c>
    </row>
    <row r="45" spans="1:33" ht="14.25" customHeight="1">
      <c r="A45" s="76" t="s">
        <v>41</v>
      </c>
      <c r="B45" s="76" t="s">
        <v>130</v>
      </c>
      <c r="C45" s="76">
        <v>998810875</v>
      </c>
      <c r="D45" s="86">
        <v>37</v>
      </c>
      <c r="E45" s="87" t="s">
        <v>131</v>
      </c>
      <c r="F45" s="88">
        <f t="shared" si="3"/>
        <v>1</v>
      </c>
      <c r="G45" s="77">
        <v>1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  <c r="Z45" s="77">
        <v>0</v>
      </c>
      <c r="AA45" s="77">
        <v>0</v>
      </c>
      <c r="AB45" s="77">
        <v>0</v>
      </c>
      <c r="AC45" s="77">
        <v>0</v>
      </c>
      <c r="AD45" s="77">
        <v>0</v>
      </c>
      <c r="AE45" s="88">
        <f t="shared" si="4"/>
        <v>1</v>
      </c>
      <c r="AF45" s="138" t="s">
        <v>412</v>
      </c>
      <c r="AG45" s="44" t="s">
        <v>408</v>
      </c>
    </row>
    <row r="46" spans="1:33" ht="14.25" customHeight="1">
      <c r="A46" s="38" t="s">
        <v>209</v>
      </c>
      <c r="B46" s="38" t="s">
        <v>49</v>
      </c>
      <c r="C46" s="38">
        <v>983804379</v>
      </c>
      <c r="D46" s="39">
        <v>1</v>
      </c>
      <c r="E46" s="130" t="s">
        <v>50</v>
      </c>
      <c r="F46" s="41">
        <v>12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>
        <v>1</v>
      </c>
      <c r="R46" s="42">
        <v>1</v>
      </c>
      <c r="S46" s="42">
        <v>1</v>
      </c>
      <c r="T46" s="42">
        <v>1</v>
      </c>
      <c r="U46" s="42"/>
      <c r="V46" s="573" t="s">
        <v>132</v>
      </c>
      <c r="W46" s="555"/>
      <c r="X46" s="555"/>
      <c r="Y46" s="555"/>
      <c r="Z46" s="555"/>
      <c r="AA46" s="555"/>
      <c r="AB46" s="555"/>
      <c r="AC46" s="542"/>
      <c r="AD46" s="42"/>
      <c r="AE46" s="41">
        <v>12</v>
      </c>
      <c r="AF46" s="43" t="s">
        <v>319</v>
      </c>
      <c r="AG46" s="44" t="s">
        <v>408</v>
      </c>
    </row>
    <row r="47" spans="1:33" ht="14.25" customHeight="1">
      <c r="A47" s="38" t="s">
        <v>209</v>
      </c>
      <c r="B47" s="38" t="s">
        <v>134</v>
      </c>
      <c r="C47" s="38">
        <v>962839078</v>
      </c>
      <c r="D47" s="39">
        <v>2</v>
      </c>
      <c r="E47" s="130" t="s">
        <v>135</v>
      </c>
      <c r="F47" s="41">
        <v>12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75">
        <v>1</v>
      </c>
      <c r="R47" s="42">
        <v>1</v>
      </c>
      <c r="S47" s="42">
        <v>1</v>
      </c>
      <c r="T47" s="42">
        <v>1</v>
      </c>
      <c r="U47" s="42"/>
      <c r="V47" s="573" t="s">
        <v>132</v>
      </c>
      <c r="W47" s="555"/>
      <c r="X47" s="555"/>
      <c r="Y47" s="555"/>
      <c r="Z47" s="555"/>
      <c r="AA47" s="555"/>
      <c r="AB47" s="555"/>
      <c r="AC47" s="542"/>
      <c r="AD47" s="42"/>
      <c r="AE47" s="41">
        <v>12</v>
      </c>
      <c r="AF47" s="43" t="s">
        <v>319</v>
      </c>
      <c r="AG47" s="44" t="s">
        <v>408</v>
      </c>
    </row>
    <row r="48" spans="1:33" ht="14.25" customHeight="1">
      <c r="A48" s="38" t="s">
        <v>209</v>
      </c>
      <c r="B48" s="38" t="s">
        <v>139</v>
      </c>
      <c r="C48" s="38">
        <v>990660059</v>
      </c>
      <c r="D48" s="39">
        <v>3</v>
      </c>
      <c r="E48" s="130" t="s">
        <v>140</v>
      </c>
      <c r="F48" s="41">
        <v>12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75">
        <v>1</v>
      </c>
      <c r="R48" s="42">
        <v>1</v>
      </c>
      <c r="S48" s="42">
        <v>1</v>
      </c>
      <c r="T48" s="42">
        <v>1</v>
      </c>
      <c r="U48" s="42"/>
      <c r="V48" s="573" t="s">
        <v>132</v>
      </c>
      <c r="W48" s="555"/>
      <c r="X48" s="555"/>
      <c r="Y48" s="555"/>
      <c r="Z48" s="555"/>
      <c r="AA48" s="555"/>
      <c r="AB48" s="555"/>
      <c r="AC48" s="542"/>
      <c r="AD48" s="42"/>
      <c r="AE48" s="41">
        <v>12</v>
      </c>
      <c r="AF48" s="43" t="s">
        <v>319</v>
      </c>
      <c r="AG48" s="44" t="s">
        <v>408</v>
      </c>
    </row>
    <row r="49" spans="1:33" ht="14.25" customHeight="1">
      <c r="A49" s="38" t="s">
        <v>209</v>
      </c>
      <c r="B49" s="38" t="s">
        <v>173</v>
      </c>
      <c r="C49" s="38">
        <v>988941361</v>
      </c>
      <c r="D49" s="62">
        <v>4</v>
      </c>
      <c r="E49" s="130" t="s">
        <v>174</v>
      </c>
      <c r="F49" s="41">
        <v>13</v>
      </c>
      <c r="G49" s="42"/>
      <c r="H49" s="42"/>
      <c r="I49" s="42"/>
      <c r="J49" s="42"/>
      <c r="K49" s="42"/>
      <c r="L49" s="42"/>
      <c r="M49" s="42"/>
      <c r="N49" s="42"/>
      <c r="O49" s="42"/>
      <c r="P49" s="75">
        <v>1</v>
      </c>
      <c r="Q49" s="63">
        <v>1</v>
      </c>
      <c r="R49" s="63">
        <v>1</v>
      </c>
      <c r="S49" s="63">
        <v>1</v>
      </c>
      <c r="T49" s="63">
        <v>1</v>
      </c>
      <c r="U49" s="42"/>
      <c r="V49" s="573" t="s">
        <v>132</v>
      </c>
      <c r="W49" s="555"/>
      <c r="X49" s="555"/>
      <c r="Y49" s="555"/>
      <c r="Z49" s="555"/>
      <c r="AA49" s="555"/>
      <c r="AB49" s="555"/>
      <c r="AC49" s="542"/>
      <c r="AD49" s="42"/>
      <c r="AE49" s="41">
        <v>13</v>
      </c>
      <c r="AF49" s="43" t="s">
        <v>351</v>
      </c>
      <c r="AG49" s="44" t="s">
        <v>408</v>
      </c>
    </row>
    <row r="50" spans="1:33" ht="14.25" customHeight="1">
      <c r="A50" s="38" t="s">
        <v>209</v>
      </c>
      <c r="B50" s="38" t="s">
        <v>117</v>
      </c>
      <c r="C50" s="38"/>
      <c r="D50" s="39">
        <v>5</v>
      </c>
      <c r="E50" s="130" t="s">
        <v>118</v>
      </c>
      <c r="F50" s="41">
        <v>5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7"/>
      <c r="S50" s="47"/>
      <c r="T50" s="47"/>
      <c r="U50" s="47"/>
      <c r="V50" s="154" t="s">
        <v>370</v>
      </c>
      <c r="W50" s="154" t="s">
        <v>371</v>
      </c>
      <c r="X50" s="154" t="s">
        <v>372</v>
      </c>
      <c r="Y50" s="154" t="s">
        <v>413</v>
      </c>
      <c r="Z50" s="154" t="s">
        <v>414</v>
      </c>
      <c r="AA50" s="78" t="s">
        <v>231</v>
      </c>
      <c r="AB50" s="78" t="s">
        <v>231</v>
      </c>
      <c r="AC50" s="78" t="s">
        <v>231</v>
      </c>
      <c r="AD50" s="78" t="s">
        <v>231</v>
      </c>
      <c r="AE50" s="41">
        <v>5</v>
      </c>
      <c r="AF50" s="43" t="s">
        <v>237</v>
      </c>
      <c r="AG50" s="44" t="s">
        <v>408</v>
      </c>
    </row>
    <row r="51" spans="1:33" ht="14.25" customHeight="1">
      <c r="A51" s="38" t="s">
        <v>209</v>
      </c>
      <c r="B51" s="38" t="s">
        <v>142</v>
      </c>
      <c r="C51" s="38">
        <v>982807786</v>
      </c>
      <c r="D51" s="39">
        <v>6</v>
      </c>
      <c r="E51" s="130" t="s">
        <v>143</v>
      </c>
      <c r="F51" s="41">
        <v>13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>
        <v>1</v>
      </c>
      <c r="R51" s="42">
        <v>1</v>
      </c>
      <c r="S51" s="42">
        <v>1</v>
      </c>
      <c r="T51" s="42">
        <v>1</v>
      </c>
      <c r="U51" s="42"/>
      <c r="V51" s="573" t="s">
        <v>132</v>
      </c>
      <c r="W51" s="555"/>
      <c r="X51" s="555"/>
      <c r="Y51" s="555"/>
      <c r="Z51" s="555"/>
      <c r="AA51" s="555"/>
      <c r="AB51" s="555"/>
      <c r="AC51" s="542"/>
      <c r="AD51" s="42"/>
      <c r="AE51" s="41">
        <v>13</v>
      </c>
      <c r="AF51" s="43" t="s">
        <v>319</v>
      </c>
      <c r="AG51" s="44" t="s">
        <v>408</v>
      </c>
    </row>
    <row r="52" spans="1:33" ht="14.25" customHeight="1">
      <c r="A52" s="76" t="s">
        <v>292</v>
      </c>
      <c r="B52" s="76" t="s">
        <v>137</v>
      </c>
      <c r="C52" s="76">
        <v>984891008</v>
      </c>
      <c r="D52" s="86">
        <v>1</v>
      </c>
      <c r="E52" s="134" t="s">
        <v>138</v>
      </c>
      <c r="F52" s="88">
        <v>0</v>
      </c>
      <c r="G52" s="77">
        <v>0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  <c r="Z52" s="77">
        <v>0</v>
      </c>
      <c r="AA52" s="77">
        <v>0</v>
      </c>
      <c r="AB52" s="77">
        <v>0</v>
      </c>
      <c r="AC52" s="77">
        <v>0</v>
      </c>
      <c r="AD52" s="77">
        <v>0</v>
      </c>
      <c r="AE52" s="88">
        <f>SUM(G52:AD52)</f>
        <v>0</v>
      </c>
      <c r="AF52" s="138" t="s">
        <v>225</v>
      </c>
      <c r="AG52" s="44" t="s">
        <v>408</v>
      </c>
    </row>
    <row r="53" spans="1:33" ht="14.25" customHeight="1">
      <c r="A53" s="38" t="s">
        <v>292</v>
      </c>
      <c r="B53" s="38" t="s">
        <v>190</v>
      </c>
      <c r="C53" s="38">
        <v>983356603</v>
      </c>
      <c r="D53" s="39">
        <v>2</v>
      </c>
      <c r="E53" s="131" t="s">
        <v>191</v>
      </c>
      <c r="F53" s="41">
        <v>11</v>
      </c>
      <c r="G53" s="47"/>
      <c r="H53" s="47"/>
      <c r="I53" s="47"/>
      <c r="J53" s="47"/>
      <c r="K53" s="47"/>
      <c r="L53" s="47"/>
      <c r="M53" s="47"/>
      <c r="N53" s="573" t="s">
        <v>292</v>
      </c>
      <c r="O53" s="555"/>
      <c r="P53" s="555"/>
      <c r="Q53" s="555"/>
      <c r="R53" s="555"/>
      <c r="S53" s="555"/>
      <c r="T53" s="555"/>
      <c r="U53" s="555"/>
      <c r="V53" s="63">
        <v>1</v>
      </c>
      <c r="W53" s="63">
        <v>1</v>
      </c>
      <c r="X53" s="63">
        <v>1</v>
      </c>
      <c r="Y53" s="42"/>
      <c r="Z53" s="42"/>
      <c r="AA53" s="42"/>
      <c r="AB53" s="42"/>
      <c r="AC53" s="42"/>
      <c r="AD53" s="47"/>
      <c r="AE53" s="41">
        <v>11</v>
      </c>
      <c r="AF53" s="43" t="s">
        <v>154</v>
      </c>
      <c r="AG53" s="44" t="s">
        <v>408</v>
      </c>
    </row>
    <row r="54" spans="1:33" ht="14.25" customHeight="1">
      <c r="A54" s="38" t="s">
        <v>187</v>
      </c>
      <c r="B54" s="38" t="s">
        <v>188</v>
      </c>
      <c r="C54" s="38"/>
      <c r="D54" s="39">
        <v>1</v>
      </c>
      <c r="E54" s="132" t="s">
        <v>189</v>
      </c>
      <c r="F54" s="41">
        <v>11</v>
      </c>
      <c r="G54" s="47"/>
      <c r="H54" s="47"/>
      <c r="I54" s="47"/>
      <c r="J54" s="47"/>
      <c r="K54" s="47"/>
      <c r="L54" s="47"/>
      <c r="M54" s="47"/>
      <c r="N54" s="47"/>
      <c r="O54" s="47"/>
      <c r="P54" s="573" t="s">
        <v>187</v>
      </c>
      <c r="Q54" s="555"/>
      <c r="R54" s="555"/>
      <c r="S54" s="555"/>
      <c r="T54" s="555"/>
      <c r="U54" s="555"/>
      <c r="V54" s="555"/>
      <c r="W54" s="555"/>
      <c r="X54" s="555"/>
      <c r="Y54" s="555"/>
      <c r="Z54" s="555"/>
      <c r="AA54" s="47"/>
      <c r="AB54" s="47"/>
      <c r="AC54" s="47"/>
      <c r="AD54" s="47"/>
      <c r="AE54" s="41">
        <v>11</v>
      </c>
      <c r="AF54" s="43" t="s">
        <v>164</v>
      </c>
      <c r="AG54" s="44" t="s">
        <v>408</v>
      </c>
    </row>
    <row r="55" spans="1:33" ht="14.25" customHeight="1">
      <c r="A55" s="38" t="s">
        <v>390</v>
      </c>
      <c r="B55" s="38"/>
      <c r="C55" s="38"/>
      <c r="D55" s="39">
        <v>1</v>
      </c>
      <c r="E55" s="133" t="s">
        <v>363</v>
      </c>
      <c r="F55" s="41">
        <v>12</v>
      </c>
      <c r="G55" s="42"/>
      <c r="H55" s="42"/>
      <c r="I55" s="42"/>
      <c r="J55" s="42"/>
      <c r="K55" s="42"/>
      <c r="L55" s="42"/>
      <c r="M55" s="42"/>
      <c r="N55" s="42"/>
      <c r="O55" s="575" t="s">
        <v>364</v>
      </c>
      <c r="P55" s="555"/>
      <c r="Q55" s="555"/>
      <c r="R55" s="555"/>
      <c r="S55" s="555"/>
      <c r="T55" s="555"/>
      <c r="U55" s="555"/>
      <c r="V55" s="555"/>
      <c r="W55" s="555"/>
      <c r="X55" s="555"/>
      <c r="Y55" s="542"/>
      <c r="Z55" s="42"/>
      <c r="AA55" s="42"/>
      <c r="AB55" s="42"/>
      <c r="AC55" s="42"/>
      <c r="AD55" s="42"/>
      <c r="AE55" s="41">
        <v>12</v>
      </c>
      <c r="AF55" s="43" t="s">
        <v>66</v>
      </c>
      <c r="AG55" s="44" t="s">
        <v>408</v>
      </c>
    </row>
    <row r="56" spans="1:33" ht="14.25" customHeight="1">
      <c r="A56" s="2"/>
      <c r="B56" s="2"/>
      <c r="C56" s="2"/>
      <c r="D56" s="48"/>
      <c r="E56" s="49"/>
      <c r="F56" s="50"/>
      <c r="G56" s="51" t="s">
        <v>9</v>
      </c>
      <c r="H56" s="51" t="s">
        <v>10</v>
      </c>
      <c r="I56" s="51" t="s">
        <v>11</v>
      </c>
      <c r="J56" s="51" t="s">
        <v>12</v>
      </c>
      <c r="K56" s="51" t="s">
        <v>13</v>
      </c>
      <c r="L56" s="51" t="s">
        <v>14</v>
      </c>
      <c r="M56" s="51" t="s">
        <v>15</v>
      </c>
      <c r="N56" s="51" t="s">
        <v>16</v>
      </c>
      <c r="O56" s="106" t="s">
        <v>17</v>
      </c>
      <c r="P56" s="106" t="s">
        <v>18</v>
      </c>
      <c r="Q56" s="107" t="s">
        <v>19</v>
      </c>
      <c r="R56" s="107" t="s">
        <v>20</v>
      </c>
      <c r="S56" s="107" t="s">
        <v>21</v>
      </c>
      <c r="T56" s="107" t="s">
        <v>22</v>
      </c>
      <c r="U56" s="107" t="s">
        <v>23</v>
      </c>
      <c r="V56" s="107" t="s">
        <v>24</v>
      </c>
      <c r="W56" s="107" t="s">
        <v>25</v>
      </c>
      <c r="X56" s="107" t="s">
        <v>26</v>
      </c>
      <c r="Y56" s="107" t="s">
        <v>27</v>
      </c>
      <c r="Z56" s="107" t="s">
        <v>28</v>
      </c>
      <c r="AA56" s="52" t="s">
        <v>29</v>
      </c>
      <c r="AB56" s="52" t="s">
        <v>30</v>
      </c>
      <c r="AC56" s="52" t="s">
        <v>31</v>
      </c>
      <c r="AD56" s="51" t="s">
        <v>32</v>
      </c>
      <c r="AE56" s="53"/>
      <c r="AF56" s="25"/>
      <c r="AG56" s="25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3"/>
      <c r="B58" s="3"/>
      <c r="C58" s="3"/>
      <c r="D58" s="48"/>
      <c r="E58" s="547" t="s">
        <v>8</v>
      </c>
      <c r="F58" s="548"/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79">
        <v>3</v>
      </c>
      <c r="N58" s="79">
        <v>3</v>
      </c>
      <c r="O58" s="56">
        <v>4</v>
      </c>
      <c r="P58" s="80">
        <v>6</v>
      </c>
      <c r="Q58" s="80">
        <v>6</v>
      </c>
      <c r="R58" s="80">
        <v>6</v>
      </c>
      <c r="S58" s="80">
        <v>6</v>
      </c>
      <c r="T58" s="80">
        <v>6</v>
      </c>
      <c r="U58" s="80">
        <v>6</v>
      </c>
      <c r="V58" s="80">
        <v>6</v>
      </c>
      <c r="W58" s="83">
        <v>5</v>
      </c>
      <c r="X58" s="83">
        <v>5</v>
      </c>
      <c r="Y58" s="83">
        <v>5</v>
      </c>
      <c r="Z58" s="56">
        <v>4</v>
      </c>
      <c r="AA58" s="56">
        <v>4</v>
      </c>
      <c r="AB58" s="79">
        <v>3</v>
      </c>
      <c r="AC58" s="12">
        <v>2</v>
      </c>
      <c r="AD58" s="12">
        <v>2</v>
      </c>
      <c r="AE58" s="18">
        <f>SUM(G58:AD58)</f>
        <v>94</v>
      </c>
      <c r="AF58" s="25"/>
      <c r="AG58" s="3"/>
    </row>
    <row r="59" spans="1:33" ht="14.25" customHeight="1">
      <c r="A59" s="3"/>
      <c r="B59" s="3"/>
      <c r="C59" s="3"/>
      <c r="D59" s="48"/>
      <c r="E59" s="59"/>
      <c r="F59" s="59"/>
      <c r="G59" s="28">
        <f t="shared" ref="G59:AD59" si="5">G61-G58</f>
        <v>0</v>
      </c>
      <c r="H59" s="28">
        <f t="shared" si="5"/>
        <v>0</v>
      </c>
      <c r="I59" s="28">
        <f t="shared" si="5"/>
        <v>0</v>
      </c>
      <c r="J59" s="28">
        <f t="shared" si="5"/>
        <v>0</v>
      </c>
      <c r="K59" s="28">
        <f t="shared" si="5"/>
        <v>0</v>
      </c>
      <c r="L59" s="28">
        <f t="shared" si="5"/>
        <v>0</v>
      </c>
      <c r="M59" s="28">
        <f t="shared" si="5"/>
        <v>0</v>
      </c>
      <c r="N59" s="28">
        <f t="shared" si="5"/>
        <v>0</v>
      </c>
      <c r="O59" s="84">
        <f t="shared" si="5"/>
        <v>1</v>
      </c>
      <c r="P59" s="84">
        <f t="shared" si="5"/>
        <v>1</v>
      </c>
      <c r="Q59" s="84">
        <f t="shared" si="5"/>
        <v>1</v>
      </c>
      <c r="R59" s="84">
        <f t="shared" si="5"/>
        <v>1</v>
      </c>
      <c r="S59" s="28">
        <f t="shared" si="5"/>
        <v>0</v>
      </c>
      <c r="T59" s="28">
        <f t="shared" si="5"/>
        <v>0</v>
      </c>
      <c r="U59" s="84">
        <f t="shared" si="5"/>
        <v>1</v>
      </c>
      <c r="V59" s="84">
        <f t="shared" si="5"/>
        <v>1</v>
      </c>
      <c r="W59" s="84">
        <f t="shared" si="5"/>
        <v>1</v>
      </c>
      <c r="X59" s="28">
        <f t="shared" si="5"/>
        <v>0</v>
      </c>
      <c r="Y59" s="84">
        <f t="shared" si="5"/>
        <v>1</v>
      </c>
      <c r="Z59" s="84">
        <f t="shared" si="5"/>
        <v>1</v>
      </c>
      <c r="AA59" s="84">
        <f t="shared" si="5"/>
        <v>1</v>
      </c>
      <c r="AB59" s="28">
        <f t="shared" si="5"/>
        <v>0</v>
      </c>
      <c r="AC59" s="28">
        <f t="shared" si="5"/>
        <v>0</v>
      </c>
      <c r="AD59" s="28">
        <f t="shared" si="5"/>
        <v>0</v>
      </c>
      <c r="AE59" s="53"/>
      <c r="AF59" s="3"/>
      <c r="AG59" s="3"/>
    </row>
    <row r="60" spans="1:33" ht="14.25" customHeight="1">
      <c r="A60" s="3"/>
      <c r="B60" s="3"/>
      <c r="C60" s="3"/>
      <c r="D60" s="48"/>
      <c r="E60" s="60" t="s">
        <v>145</v>
      </c>
      <c r="F60" s="59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51" t="s">
        <v>17</v>
      </c>
      <c r="P60" s="51" t="s">
        <v>18</v>
      </c>
      <c r="Q60" s="52" t="s">
        <v>19</v>
      </c>
      <c r="R60" s="52" t="s">
        <v>20</v>
      </c>
      <c r="S60" s="52" t="s">
        <v>21</v>
      </c>
      <c r="T60" s="52" t="s">
        <v>22</v>
      </c>
      <c r="U60" s="52" t="s">
        <v>23</v>
      </c>
      <c r="V60" s="52" t="s">
        <v>24</v>
      </c>
      <c r="W60" s="52" t="s">
        <v>25</v>
      </c>
      <c r="X60" s="52" t="s">
        <v>26</v>
      </c>
      <c r="Y60" s="52" t="s">
        <v>27</v>
      </c>
      <c r="Z60" s="52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3"/>
    </row>
    <row r="61" spans="1:33" ht="14.25" customHeight="1">
      <c r="A61" s="3"/>
      <c r="B61" s="3"/>
      <c r="C61" s="3"/>
      <c r="D61" s="48"/>
      <c r="E61" s="61" t="s">
        <v>37</v>
      </c>
      <c r="F61" s="37" t="s">
        <v>38</v>
      </c>
      <c r="G61" s="35">
        <f t="shared" ref="G61:AD61" si="6">SUM(G62:G72)</f>
        <v>2</v>
      </c>
      <c r="H61" s="35">
        <f t="shared" si="6"/>
        <v>2</v>
      </c>
      <c r="I61" s="35">
        <f t="shared" si="6"/>
        <v>2</v>
      </c>
      <c r="J61" s="35">
        <f t="shared" si="6"/>
        <v>2</v>
      </c>
      <c r="K61" s="35">
        <f t="shared" si="6"/>
        <v>2</v>
      </c>
      <c r="L61" s="35">
        <f t="shared" si="6"/>
        <v>2</v>
      </c>
      <c r="M61" s="35">
        <f t="shared" si="6"/>
        <v>3</v>
      </c>
      <c r="N61" s="35">
        <f t="shared" si="6"/>
        <v>3</v>
      </c>
      <c r="O61" s="35">
        <f t="shared" si="6"/>
        <v>5</v>
      </c>
      <c r="P61" s="35">
        <f t="shared" si="6"/>
        <v>7</v>
      </c>
      <c r="Q61" s="35">
        <f t="shared" si="6"/>
        <v>7</v>
      </c>
      <c r="R61" s="35">
        <f t="shared" si="6"/>
        <v>7</v>
      </c>
      <c r="S61" s="35">
        <f t="shared" si="6"/>
        <v>6</v>
      </c>
      <c r="T61" s="35">
        <f t="shared" si="6"/>
        <v>6</v>
      </c>
      <c r="U61" s="35">
        <f t="shared" si="6"/>
        <v>7</v>
      </c>
      <c r="V61" s="35">
        <f t="shared" si="6"/>
        <v>7</v>
      </c>
      <c r="W61" s="35">
        <f t="shared" si="6"/>
        <v>6</v>
      </c>
      <c r="X61" s="35">
        <f t="shared" si="6"/>
        <v>5</v>
      </c>
      <c r="Y61" s="35">
        <f t="shared" si="6"/>
        <v>6</v>
      </c>
      <c r="Z61" s="35">
        <f t="shared" si="6"/>
        <v>5</v>
      </c>
      <c r="AA61" s="35">
        <f t="shared" si="6"/>
        <v>5</v>
      </c>
      <c r="AB61" s="35">
        <f t="shared" si="6"/>
        <v>3</v>
      </c>
      <c r="AC61" s="35">
        <f t="shared" si="6"/>
        <v>2</v>
      </c>
      <c r="AD61" s="35">
        <f t="shared" si="6"/>
        <v>2</v>
      </c>
      <c r="AE61" s="30">
        <f t="shared" ref="AE61:AE72" si="7">SUM(G61:AD61)</f>
        <v>104</v>
      </c>
      <c r="AF61" s="36" t="s">
        <v>39</v>
      </c>
      <c r="AG61" s="37" t="s">
        <v>40</v>
      </c>
    </row>
    <row r="62" spans="1:33" ht="14.25" customHeight="1">
      <c r="A62" s="38" t="s">
        <v>145</v>
      </c>
      <c r="B62" s="38" t="s">
        <v>149</v>
      </c>
      <c r="C62" s="38">
        <v>996585473</v>
      </c>
      <c r="D62" s="62">
        <v>1</v>
      </c>
      <c r="E62" s="40" t="s">
        <v>150</v>
      </c>
      <c r="F62" s="41">
        <f t="shared" ref="F62:F72" si="8">SUM(G62:AD62)</f>
        <v>12</v>
      </c>
      <c r="G62" s="42"/>
      <c r="H62" s="42"/>
      <c r="I62" s="42"/>
      <c r="J62" s="42"/>
      <c r="K62" s="42"/>
      <c r="L62" s="42"/>
      <c r="M62" s="42"/>
      <c r="N62" s="42"/>
      <c r="O62" s="63">
        <v>1</v>
      </c>
      <c r="P62" s="63">
        <v>1</v>
      </c>
      <c r="Q62" s="63">
        <v>1</v>
      </c>
      <c r="R62" s="63">
        <v>1</v>
      </c>
      <c r="S62" s="42"/>
      <c r="T62" s="42">
        <v>1</v>
      </c>
      <c r="U62" s="63">
        <v>1</v>
      </c>
      <c r="V62" s="63">
        <v>1</v>
      </c>
      <c r="W62" s="63">
        <v>1</v>
      </c>
      <c r="X62" s="42">
        <v>1</v>
      </c>
      <c r="Y62" s="63">
        <v>1</v>
      </c>
      <c r="Z62" s="63">
        <v>1</v>
      </c>
      <c r="AA62" s="63">
        <v>1</v>
      </c>
      <c r="AB62" s="42"/>
      <c r="AC62" s="42"/>
      <c r="AD62" s="42"/>
      <c r="AE62" s="41">
        <f t="shared" si="7"/>
        <v>12</v>
      </c>
      <c r="AF62" s="43" t="s">
        <v>394</v>
      </c>
      <c r="AG62" s="44" t="s">
        <v>408</v>
      </c>
    </row>
    <row r="63" spans="1:33" ht="14.25" customHeight="1">
      <c r="A63" s="38" t="s">
        <v>145</v>
      </c>
      <c r="B63" s="38" t="s">
        <v>212</v>
      </c>
      <c r="C63" s="38"/>
      <c r="D63" s="62">
        <v>2</v>
      </c>
      <c r="E63" s="40" t="s">
        <v>153</v>
      </c>
      <c r="F63" s="41">
        <f t="shared" si="8"/>
        <v>10</v>
      </c>
      <c r="G63" s="42"/>
      <c r="H63" s="42"/>
      <c r="I63" s="42"/>
      <c r="J63" s="42"/>
      <c r="K63" s="42"/>
      <c r="L63" s="42"/>
      <c r="M63" s="42"/>
      <c r="N63" s="42"/>
      <c r="O63" s="42"/>
      <c r="P63" s="42">
        <v>1</v>
      </c>
      <c r="Q63" s="42">
        <v>1</v>
      </c>
      <c r="R63" s="42">
        <v>1</v>
      </c>
      <c r="S63" s="42">
        <v>1</v>
      </c>
      <c r="T63" s="42">
        <v>1</v>
      </c>
      <c r="U63" s="42">
        <v>1</v>
      </c>
      <c r="V63" s="42">
        <v>1</v>
      </c>
      <c r="W63" s="42">
        <v>1</v>
      </c>
      <c r="X63" s="42">
        <v>1</v>
      </c>
      <c r="Y63" s="42">
        <v>1</v>
      </c>
      <c r="Z63" s="42"/>
      <c r="AA63" s="42"/>
      <c r="AB63" s="42"/>
      <c r="AC63" s="42"/>
      <c r="AD63" s="42"/>
      <c r="AE63" s="41">
        <f t="shared" si="7"/>
        <v>10</v>
      </c>
      <c r="AF63" s="43" t="s">
        <v>415</v>
      </c>
      <c r="AG63" s="44" t="s">
        <v>408</v>
      </c>
    </row>
    <row r="64" spans="1:33" ht="14.25" customHeight="1">
      <c r="A64" s="76" t="s">
        <v>145</v>
      </c>
      <c r="B64" s="76" t="s">
        <v>155</v>
      </c>
      <c r="C64" s="76">
        <v>969250973</v>
      </c>
      <c r="D64" s="90">
        <v>3</v>
      </c>
      <c r="E64" s="87" t="s">
        <v>156</v>
      </c>
      <c r="F64" s="88">
        <f t="shared" si="8"/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  <c r="Z64" s="77">
        <v>0</v>
      </c>
      <c r="AA64" s="77">
        <v>0</v>
      </c>
      <c r="AB64" s="77">
        <v>0</v>
      </c>
      <c r="AC64" s="77">
        <v>0</v>
      </c>
      <c r="AD64" s="77">
        <v>0</v>
      </c>
      <c r="AE64" s="88">
        <f t="shared" si="7"/>
        <v>0</v>
      </c>
      <c r="AF64" s="138" t="s">
        <v>225</v>
      </c>
      <c r="AG64" s="44" t="s">
        <v>408</v>
      </c>
    </row>
    <row r="65" spans="1:33" ht="14.25" customHeight="1">
      <c r="A65" s="38" t="s">
        <v>145</v>
      </c>
      <c r="B65" s="38" t="s">
        <v>157</v>
      </c>
      <c r="C65" s="38">
        <v>990911747</v>
      </c>
      <c r="D65" s="62">
        <v>4</v>
      </c>
      <c r="E65" s="40" t="s">
        <v>158</v>
      </c>
      <c r="F65" s="41">
        <f t="shared" si="8"/>
        <v>11</v>
      </c>
      <c r="G65" s="42"/>
      <c r="H65" s="42"/>
      <c r="I65" s="42"/>
      <c r="J65" s="42"/>
      <c r="K65" s="42"/>
      <c r="L65" s="42"/>
      <c r="M65" s="42">
        <v>1</v>
      </c>
      <c r="N65" s="42">
        <v>1</v>
      </c>
      <c r="O65" s="42">
        <v>1</v>
      </c>
      <c r="P65" s="42">
        <v>1</v>
      </c>
      <c r="Q65" s="42">
        <v>1</v>
      </c>
      <c r="R65" s="42">
        <v>1</v>
      </c>
      <c r="S65" s="42">
        <v>1</v>
      </c>
      <c r="T65" s="42">
        <v>1</v>
      </c>
      <c r="U65" s="42">
        <v>1</v>
      </c>
      <c r="V65" s="42">
        <v>1</v>
      </c>
      <c r="W65" s="42">
        <v>1</v>
      </c>
      <c r="X65" s="42"/>
      <c r="Y65" s="42"/>
      <c r="Z65" s="42"/>
      <c r="AA65" s="42"/>
      <c r="AB65" s="42"/>
      <c r="AC65" s="42"/>
      <c r="AD65" s="42"/>
      <c r="AE65" s="41">
        <f t="shared" si="7"/>
        <v>11</v>
      </c>
      <c r="AF65" s="46" t="s">
        <v>192</v>
      </c>
      <c r="AG65" s="44" t="s">
        <v>408</v>
      </c>
    </row>
    <row r="66" spans="1:33" ht="14.25" customHeight="1">
      <c r="A66" s="38" t="s">
        <v>145</v>
      </c>
      <c r="B66" s="38" t="s">
        <v>160</v>
      </c>
      <c r="C66" s="38">
        <v>993901115</v>
      </c>
      <c r="D66" s="62">
        <v>5</v>
      </c>
      <c r="E66" s="40" t="s">
        <v>161</v>
      </c>
      <c r="F66" s="41">
        <f t="shared" si="8"/>
        <v>7</v>
      </c>
      <c r="G66" s="42">
        <v>1</v>
      </c>
      <c r="H66" s="42">
        <v>1</v>
      </c>
      <c r="I66" s="42">
        <v>1</v>
      </c>
      <c r="J66" s="42">
        <v>1</v>
      </c>
      <c r="K66" s="42">
        <v>1</v>
      </c>
      <c r="L66" s="42">
        <v>1</v>
      </c>
      <c r="M66" s="42">
        <v>1</v>
      </c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1">
        <f t="shared" si="7"/>
        <v>7</v>
      </c>
      <c r="AF66" s="46" t="s">
        <v>284</v>
      </c>
      <c r="AG66" s="44" t="s">
        <v>408</v>
      </c>
    </row>
    <row r="67" spans="1:33" ht="14.25" customHeight="1">
      <c r="A67" s="38" t="s">
        <v>145</v>
      </c>
      <c r="B67" s="38" t="s">
        <v>165</v>
      </c>
      <c r="C67" s="38">
        <v>992994680</v>
      </c>
      <c r="D67" s="62">
        <v>6</v>
      </c>
      <c r="E67" s="40" t="s">
        <v>166</v>
      </c>
      <c r="F67" s="41">
        <f t="shared" si="8"/>
        <v>12</v>
      </c>
      <c r="G67" s="42">
        <v>1</v>
      </c>
      <c r="H67" s="42">
        <v>1</v>
      </c>
      <c r="I67" s="42">
        <v>1</v>
      </c>
      <c r="J67" s="42">
        <v>1</v>
      </c>
      <c r="K67" s="42">
        <v>1</v>
      </c>
      <c r="L67" s="42">
        <v>1</v>
      </c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>
        <v>1</v>
      </c>
      <c r="Z67" s="42">
        <v>1</v>
      </c>
      <c r="AA67" s="42">
        <v>1</v>
      </c>
      <c r="AB67" s="42">
        <v>1</v>
      </c>
      <c r="AC67" s="42">
        <v>1</v>
      </c>
      <c r="AD67" s="42">
        <v>1</v>
      </c>
      <c r="AE67" s="41">
        <f t="shared" si="7"/>
        <v>12</v>
      </c>
      <c r="AF67" s="46" t="s">
        <v>221</v>
      </c>
      <c r="AG67" s="44" t="s">
        <v>408</v>
      </c>
    </row>
    <row r="68" spans="1:33" ht="14.25" customHeight="1">
      <c r="A68" s="38" t="s">
        <v>145</v>
      </c>
      <c r="B68" s="38" t="s">
        <v>168</v>
      </c>
      <c r="C68" s="38"/>
      <c r="D68" s="62">
        <v>7</v>
      </c>
      <c r="E68" s="40" t="s">
        <v>169</v>
      </c>
      <c r="F68" s="41">
        <f t="shared" si="8"/>
        <v>6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>
        <v>1</v>
      </c>
      <c r="AE68" s="41">
        <f t="shared" si="7"/>
        <v>6</v>
      </c>
      <c r="AF68" s="46" t="s">
        <v>281</v>
      </c>
      <c r="AG68" s="44" t="s">
        <v>408</v>
      </c>
    </row>
    <row r="69" spans="1:33" ht="14.25" customHeight="1">
      <c r="A69" s="38" t="s">
        <v>145</v>
      </c>
      <c r="B69" s="38" t="s">
        <v>176</v>
      </c>
      <c r="C69" s="38"/>
      <c r="D69" s="62">
        <v>8</v>
      </c>
      <c r="E69" s="40" t="s">
        <v>177</v>
      </c>
      <c r="F69" s="41">
        <f t="shared" si="8"/>
        <v>11</v>
      </c>
      <c r="G69" s="42"/>
      <c r="H69" s="42"/>
      <c r="I69" s="42"/>
      <c r="J69" s="42"/>
      <c r="K69" s="42"/>
      <c r="L69" s="42"/>
      <c r="M69" s="42">
        <v>1</v>
      </c>
      <c r="N69" s="42">
        <v>1</v>
      </c>
      <c r="O69" s="42">
        <v>1</v>
      </c>
      <c r="P69" s="42">
        <v>1</v>
      </c>
      <c r="Q69" s="42">
        <v>1</v>
      </c>
      <c r="R69" s="42">
        <v>1</v>
      </c>
      <c r="S69" s="42">
        <v>1</v>
      </c>
      <c r="T69" s="42">
        <v>1</v>
      </c>
      <c r="U69" s="42">
        <v>1</v>
      </c>
      <c r="V69" s="42">
        <v>1</v>
      </c>
      <c r="W69" s="42">
        <v>1</v>
      </c>
      <c r="X69" s="42"/>
      <c r="Y69" s="42"/>
      <c r="Z69" s="42"/>
      <c r="AA69" s="42"/>
      <c r="AB69" s="42"/>
      <c r="AC69" s="42"/>
      <c r="AD69" s="42"/>
      <c r="AE69" s="41">
        <f t="shared" si="7"/>
        <v>11</v>
      </c>
      <c r="AF69" s="46" t="s">
        <v>192</v>
      </c>
      <c r="AG69" s="44" t="s">
        <v>408</v>
      </c>
    </row>
    <row r="70" spans="1:33" ht="14.25" customHeight="1">
      <c r="A70" s="38" t="s">
        <v>145</v>
      </c>
      <c r="B70" s="38" t="s">
        <v>178</v>
      </c>
      <c r="C70" s="38"/>
      <c r="D70" s="62">
        <v>10</v>
      </c>
      <c r="E70" s="40" t="s">
        <v>179</v>
      </c>
      <c r="F70" s="41">
        <f t="shared" si="8"/>
        <v>12</v>
      </c>
      <c r="G70" s="42"/>
      <c r="H70" s="42"/>
      <c r="I70" s="42"/>
      <c r="J70" s="42"/>
      <c r="K70" s="42"/>
      <c r="L70" s="42"/>
      <c r="M70" s="42"/>
      <c r="N70" s="42"/>
      <c r="O70" s="42"/>
      <c r="P70" s="42">
        <v>1</v>
      </c>
      <c r="Q70" s="42">
        <v>1</v>
      </c>
      <c r="R70" s="42">
        <v>1</v>
      </c>
      <c r="S70" s="42">
        <v>1</v>
      </c>
      <c r="T70" s="42">
        <v>1</v>
      </c>
      <c r="U70" s="42">
        <v>1</v>
      </c>
      <c r="V70" s="42">
        <v>1</v>
      </c>
      <c r="W70" s="42"/>
      <c r="X70" s="42">
        <v>1</v>
      </c>
      <c r="Y70" s="42">
        <v>1</v>
      </c>
      <c r="Z70" s="42">
        <v>1</v>
      </c>
      <c r="AA70" s="42">
        <v>1</v>
      </c>
      <c r="AB70" s="42">
        <v>1</v>
      </c>
      <c r="AC70" s="42"/>
      <c r="AD70" s="42"/>
      <c r="AE70" s="41">
        <f t="shared" si="7"/>
        <v>12</v>
      </c>
      <c r="AF70" s="43" t="s">
        <v>289</v>
      </c>
      <c r="AG70" s="44" t="s">
        <v>408</v>
      </c>
    </row>
    <row r="71" spans="1:33" ht="14.25" customHeight="1">
      <c r="A71" s="38" t="s">
        <v>145</v>
      </c>
      <c r="B71" s="38" t="s">
        <v>181</v>
      </c>
      <c r="C71" s="38"/>
      <c r="D71" s="62">
        <v>11</v>
      </c>
      <c r="E71" s="40" t="s">
        <v>182</v>
      </c>
      <c r="F71" s="41">
        <f t="shared" si="8"/>
        <v>12</v>
      </c>
      <c r="G71" s="42"/>
      <c r="H71" s="42"/>
      <c r="I71" s="42"/>
      <c r="J71" s="42"/>
      <c r="K71" s="42"/>
      <c r="L71" s="42"/>
      <c r="M71" s="42"/>
      <c r="N71" s="42"/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/>
      <c r="U71" s="42">
        <v>1</v>
      </c>
      <c r="V71" s="42">
        <v>1</v>
      </c>
      <c r="W71" s="42">
        <v>1</v>
      </c>
      <c r="X71" s="42">
        <v>1</v>
      </c>
      <c r="Y71" s="42">
        <v>1</v>
      </c>
      <c r="Z71" s="42">
        <v>1</v>
      </c>
      <c r="AA71" s="42">
        <v>1</v>
      </c>
      <c r="AB71" s="42"/>
      <c r="AC71" s="42"/>
      <c r="AD71" s="42"/>
      <c r="AE71" s="41">
        <f t="shared" si="7"/>
        <v>12</v>
      </c>
      <c r="AF71" s="43" t="s">
        <v>373</v>
      </c>
      <c r="AG71" s="44" t="s">
        <v>408</v>
      </c>
    </row>
    <row r="72" spans="1:33" ht="14.25" customHeight="1">
      <c r="A72" s="38" t="s">
        <v>145</v>
      </c>
      <c r="B72" s="38" t="s">
        <v>183</v>
      </c>
      <c r="C72" s="38"/>
      <c r="D72" s="62">
        <v>12</v>
      </c>
      <c r="E72" s="40" t="s">
        <v>184</v>
      </c>
      <c r="F72" s="41">
        <f t="shared" si="8"/>
        <v>11</v>
      </c>
      <c r="G72" s="42"/>
      <c r="H72" s="42"/>
      <c r="I72" s="42"/>
      <c r="J72" s="42"/>
      <c r="K72" s="42"/>
      <c r="L72" s="42"/>
      <c r="M72" s="42"/>
      <c r="N72" s="42">
        <v>1</v>
      </c>
      <c r="O72" s="42">
        <v>1</v>
      </c>
      <c r="P72" s="42">
        <v>1</v>
      </c>
      <c r="Q72" s="42">
        <v>1</v>
      </c>
      <c r="R72" s="42">
        <v>1</v>
      </c>
      <c r="S72" s="42">
        <v>1</v>
      </c>
      <c r="T72" s="42">
        <v>1</v>
      </c>
      <c r="U72" s="42">
        <v>1</v>
      </c>
      <c r="V72" s="42">
        <v>1</v>
      </c>
      <c r="W72" s="42">
        <v>1</v>
      </c>
      <c r="X72" s="42">
        <v>1</v>
      </c>
      <c r="Y72" s="42"/>
      <c r="Z72" s="42"/>
      <c r="AA72" s="42"/>
      <c r="AB72" s="42"/>
      <c r="AC72" s="42"/>
      <c r="AD72" s="42"/>
      <c r="AE72" s="41">
        <f t="shared" si="7"/>
        <v>11</v>
      </c>
      <c r="AF72" s="43" t="s">
        <v>154</v>
      </c>
      <c r="AG72" s="44" t="s">
        <v>408</v>
      </c>
    </row>
    <row r="73" spans="1:33" ht="14.25" customHeight="1">
      <c r="A73" s="3"/>
      <c r="B73" s="3"/>
      <c r="C73" s="3"/>
      <c r="D73" s="3"/>
      <c r="E73" s="3"/>
      <c r="F73" s="3"/>
      <c r="G73" s="65" t="s">
        <v>9</v>
      </c>
      <c r="H73" s="65" t="s">
        <v>10</v>
      </c>
      <c r="I73" s="65" t="s">
        <v>11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65" t="s">
        <v>17</v>
      </c>
      <c r="P73" s="65" t="s">
        <v>18</v>
      </c>
      <c r="Q73" s="66" t="s">
        <v>19</v>
      </c>
      <c r="R73" s="66" t="s">
        <v>20</v>
      </c>
      <c r="S73" s="66" t="s">
        <v>21</v>
      </c>
      <c r="T73" s="66" t="s">
        <v>22</v>
      </c>
      <c r="U73" s="66" t="s">
        <v>23</v>
      </c>
      <c r="V73" s="66" t="s">
        <v>24</v>
      </c>
      <c r="W73" s="66" t="s">
        <v>25</v>
      </c>
      <c r="X73" s="66" t="s">
        <v>26</v>
      </c>
      <c r="Y73" s="66" t="s">
        <v>27</v>
      </c>
      <c r="Z73" s="66" t="s">
        <v>28</v>
      </c>
      <c r="AA73" s="66" t="s">
        <v>29</v>
      </c>
      <c r="AB73" s="66" t="s">
        <v>30</v>
      </c>
      <c r="AC73" s="66" t="s">
        <v>31</v>
      </c>
      <c r="AD73" s="65" t="s">
        <v>32</v>
      </c>
      <c r="AE73" s="53"/>
      <c r="AF73" s="3"/>
      <c r="AG73" s="3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</sheetData>
  <customSheetViews>
    <customSheetView guid="{D6F95600-F5D2-44BC-80B6-0F2773D5BD92}" filter="1" showAutoFilter="1">
      <pageMargins left="0.7" right="0.7" top="0.75" bottom="0.75" header="0.3" footer="0.3"/>
      <autoFilter ref="A3:AG74" xr:uid="{44A964A5-D02F-43CE-9F49-D713B5BA94C6}"/>
    </customSheetView>
    <customSheetView guid="{833D6734-F5E1-4449-B5A1-8C3A51A61651}" filter="1" showAutoFilter="1">
      <pageMargins left="0.7" right="0.7" top="0.75" bottom="0.75" header="0.3" footer="0.3"/>
      <autoFilter ref="A7:AG74" xr:uid="{9E3E22F3-3394-4E95-BCD8-2B6EFFCFC5C6}">
        <filterColumn colId="26">
          <filters>
            <filter val="1"/>
            <filter val="4"/>
            <filter val="5"/>
            <filter val="CLIENTES VIP"/>
            <filter val="FI"/>
            <filter val="MONITOREOS BRM"/>
            <filter val="V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74" xr:uid="{445AECDB-ED07-426C-B2C8-52A26B186FB1}">
        <filterColumn colId="15">
          <filters>
            <filter val="(1)"/>
            <filter val="1"/>
            <filter val="15"/>
            <filter val="6"/>
            <filter val="7"/>
            <filter val="CLIENTES VIP"/>
            <filter val="MO"/>
            <filter val="MONITOREOS BRM"/>
            <filter val="SEGUIMIENTO TRANSFERENCIAS"/>
            <filter val="SOPORTE DTH"/>
            <filter val="V"/>
          </filters>
        </filterColumn>
      </autoFilter>
    </customSheetView>
  </customSheetViews>
  <mergeCells count="14">
    <mergeCell ref="O55:Y55"/>
    <mergeCell ref="E58:F58"/>
    <mergeCell ref="A1:B1"/>
    <mergeCell ref="D3:AE3"/>
    <mergeCell ref="E4:F4"/>
    <mergeCell ref="E5:F5"/>
    <mergeCell ref="V21:AC21"/>
    <mergeCell ref="V46:AC46"/>
    <mergeCell ref="V47:AC47"/>
    <mergeCell ref="V48:AC48"/>
    <mergeCell ref="V49:AC49"/>
    <mergeCell ref="V51:AC51"/>
    <mergeCell ref="N53:U53"/>
    <mergeCell ref="P54:Z54"/>
  </mergeCells>
  <conditionalFormatting sqref="E4:F4 E58:F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0:AB60 N73:AB7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7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291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67">
        <v>4</v>
      </c>
      <c r="H4" s="12">
        <v>3</v>
      </c>
      <c r="I4" s="12">
        <v>3</v>
      </c>
      <c r="J4" s="12">
        <v>3</v>
      </c>
      <c r="K4" s="12">
        <v>3</v>
      </c>
      <c r="L4" s="12">
        <v>3</v>
      </c>
      <c r="M4" s="55">
        <v>7</v>
      </c>
      <c r="N4" s="73">
        <v>10</v>
      </c>
      <c r="O4" s="108">
        <v>15</v>
      </c>
      <c r="P4" s="144">
        <v>18</v>
      </c>
      <c r="Q4" s="120">
        <v>22</v>
      </c>
      <c r="R4" s="120">
        <v>22</v>
      </c>
      <c r="S4" s="137">
        <v>20</v>
      </c>
      <c r="T4" s="149">
        <v>19</v>
      </c>
      <c r="U4" s="83">
        <v>17</v>
      </c>
      <c r="V4" s="150">
        <v>14</v>
      </c>
      <c r="W4" s="150">
        <v>14</v>
      </c>
      <c r="X4" s="150">
        <v>14</v>
      </c>
      <c r="Y4" s="69">
        <v>12</v>
      </c>
      <c r="Z4" s="73">
        <v>10</v>
      </c>
      <c r="AA4" s="85">
        <v>11</v>
      </c>
      <c r="AB4" s="79">
        <v>8</v>
      </c>
      <c r="AC4" s="54">
        <v>5</v>
      </c>
      <c r="AD4" s="67">
        <v>4</v>
      </c>
      <c r="AE4" s="18">
        <f>SUM(G4:AD4)</f>
        <v>261</v>
      </c>
      <c r="AF4" s="3">
        <f>AE4/9</f>
        <v>29</v>
      </c>
      <c r="AG4" s="3"/>
    </row>
    <row r="5" spans="1:33" ht="62.25">
      <c r="A5" s="3"/>
      <c r="B5" s="2"/>
      <c r="C5" s="2"/>
      <c r="D5" s="19"/>
      <c r="E5" s="569">
        <v>28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-1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155">
        <f t="shared" si="0"/>
        <v>-1</v>
      </c>
      <c r="P6" s="84">
        <f t="shared" si="0"/>
        <v>0</v>
      </c>
      <c r="Q6" s="28">
        <f t="shared" si="0"/>
        <v>-1</v>
      </c>
      <c r="R6" s="28">
        <f t="shared" si="0"/>
        <v>0</v>
      </c>
      <c r="S6" s="84">
        <f t="shared" si="0"/>
        <v>1</v>
      </c>
      <c r="T6" s="84">
        <f t="shared" si="0"/>
        <v>2</v>
      </c>
      <c r="U6" s="84">
        <f t="shared" si="0"/>
        <v>2</v>
      </c>
      <c r="V6" s="84">
        <f t="shared" si="0"/>
        <v>4</v>
      </c>
      <c r="W6" s="84">
        <f t="shared" si="0"/>
        <v>2</v>
      </c>
      <c r="X6" s="84">
        <f t="shared" si="0"/>
        <v>1</v>
      </c>
      <c r="Y6" s="28">
        <f t="shared" si="0"/>
        <v>2</v>
      </c>
      <c r="Z6" s="28">
        <f t="shared" si="0"/>
        <v>3</v>
      </c>
      <c r="AA6" s="155">
        <f t="shared" si="0"/>
        <v>1</v>
      </c>
      <c r="AB6" s="155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51" si="1">SUM(G6:AD6)</f>
        <v>15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SUM(G8:G54)</f>
        <v>3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7</v>
      </c>
      <c r="N7" s="35">
        <f t="shared" si="2"/>
        <v>10</v>
      </c>
      <c r="O7" s="35">
        <f t="shared" si="2"/>
        <v>14</v>
      </c>
      <c r="P7" s="35">
        <f t="shared" si="2"/>
        <v>18</v>
      </c>
      <c r="Q7" s="35">
        <f t="shared" si="2"/>
        <v>21</v>
      </c>
      <c r="R7" s="35">
        <f t="shared" si="2"/>
        <v>22</v>
      </c>
      <c r="S7" s="35">
        <f t="shared" si="2"/>
        <v>21</v>
      </c>
      <c r="T7" s="35">
        <f t="shared" si="2"/>
        <v>21</v>
      </c>
      <c r="U7" s="35">
        <f t="shared" si="2"/>
        <v>19</v>
      </c>
      <c r="V7" s="35">
        <f t="shared" si="2"/>
        <v>18</v>
      </c>
      <c r="W7" s="35">
        <f t="shared" si="2"/>
        <v>16</v>
      </c>
      <c r="X7" s="35">
        <f t="shared" si="2"/>
        <v>15</v>
      </c>
      <c r="Y7" s="35">
        <f t="shared" si="2"/>
        <v>14</v>
      </c>
      <c r="Z7" s="35">
        <f t="shared" si="2"/>
        <v>13</v>
      </c>
      <c r="AA7" s="35">
        <f t="shared" si="2"/>
        <v>12</v>
      </c>
      <c r="AB7" s="35">
        <f t="shared" si="2"/>
        <v>8</v>
      </c>
      <c r="AC7" s="35">
        <f t="shared" si="2"/>
        <v>5</v>
      </c>
      <c r="AD7" s="35">
        <f t="shared" si="2"/>
        <v>4</v>
      </c>
      <c r="AE7" s="30">
        <f t="shared" si="1"/>
        <v>276</v>
      </c>
      <c r="AF7" s="36" t="s">
        <v>39</v>
      </c>
      <c r="AG7" s="37" t="s">
        <v>40</v>
      </c>
    </row>
    <row r="8" spans="1:33" ht="14.25" customHeight="1">
      <c r="A8" s="76" t="s">
        <v>41</v>
      </c>
      <c r="B8" s="76" t="s">
        <v>42</v>
      </c>
      <c r="C8" s="76"/>
      <c r="D8" s="86">
        <v>0</v>
      </c>
      <c r="E8" s="87" t="s">
        <v>43</v>
      </c>
      <c r="F8" s="88">
        <f t="shared" ref="F8:F45" si="3">SUM(G8:AD8)</f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  <c r="Z8" s="77">
        <v>0</v>
      </c>
      <c r="AA8" s="77">
        <v>0</v>
      </c>
      <c r="AB8" s="77">
        <v>0</v>
      </c>
      <c r="AC8" s="77">
        <v>0</v>
      </c>
      <c r="AD8" s="77">
        <v>0</v>
      </c>
      <c r="AE8" s="88">
        <f t="shared" si="1"/>
        <v>0</v>
      </c>
      <c r="AF8" s="138" t="s">
        <v>225</v>
      </c>
      <c r="AG8" s="44" t="s">
        <v>416</v>
      </c>
    </row>
    <row r="9" spans="1:33" ht="15.75">
      <c r="A9" s="98" t="s">
        <v>41</v>
      </c>
      <c r="B9" s="98" t="s">
        <v>45</v>
      </c>
      <c r="C9" s="98">
        <v>999600729</v>
      </c>
      <c r="D9" s="99">
        <v>1</v>
      </c>
      <c r="E9" s="100" t="s">
        <v>46</v>
      </c>
      <c r="F9" s="101">
        <f t="shared" si="3"/>
        <v>6</v>
      </c>
      <c r="G9" s="102">
        <v>1</v>
      </c>
      <c r="H9" s="102">
        <v>1</v>
      </c>
      <c r="I9" s="102">
        <v>1</v>
      </c>
      <c r="J9" s="102">
        <v>1</v>
      </c>
      <c r="K9" s="102">
        <v>1</v>
      </c>
      <c r="L9" s="102">
        <v>1</v>
      </c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1">
        <f t="shared" si="1"/>
        <v>6</v>
      </c>
      <c r="AF9" s="115" t="s">
        <v>417</v>
      </c>
      <c r="AG9" s="105" t="s">
        <v>416</v>
      </c>
    </row>
    <row r="10" spans="1:33" ht="15.75" customHeight="1">
      <c r="A10" s="38" t="s">
        <v>41</v>
      </c>
      <c r="B10" s="38" t="s">
        <v>52</v>
      </c>
      <c r="C10" s="38">
        <v>984098910</v>
      </c>
      <c r="D10" s="39">
        <v>2</v>
      </c>
      <c r="E10" s="40" t="s">
        <v>53</v>
      </c>
      <c r="F10" s="41">
        <f t="shared" si="3"/>
        <v>7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>
        <v>1</v>
      </c>
      <c r="Y10" s="42">
        <v>1</v>
      </c>
      <c r="Z10" s="42">
        <v>1</v>
      </c>
      <c r="AA10" s="42">
        <v>1</v>
      </c>
      <c r="AB10" s="42">
        <v>1</v>
      </c>
      <c r="AC10" s="42">
        <v>1</v>
      </c>
      <c r="AD10" s="42">
        <v>1</v>
      </c>
      <c r="AE10" s="41">
        <f t="shared" si="1"/>
        <v>7</v>
      </c>
      <c r="AF10" s="46" t="s">
        <v>74</v>
      </c>
      <c r="AG10" s="44" t="s">
        <v>416</v>
      </c>
    </row>
    <row r="11" spans="1:33" ht="14.25" customHeight="1">
      <c r="A11" s="98" t="s">
        <v>41</v>
      </c>
      <c r="B11" s="98" t="s">
        <v>55</v>
      </c>
      <c r="C11" s="98">
        <v>987983128</v>
      </c>
      <c r="D11" s="99">
        <v>3</v>
      </c>
      <c r="E11" s="100" t="s">
        <v>56</v>
      </c>
      <c r="F11" s="101">
        <f t="shared" si="3"/>
        <v>12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02">
        <v>1</v>
      </c>
      <c r="Q11" s="102">
        <v>1</v>
      </c>
      <c r="R11" s="102">
        <v>1</v>
      </c>
      <c r="S11" s="102">
        <v>1</v>
      </c>
      <c r="T11" s="102">
        <v>1</v>
      </c>
      <c r="U11" s="102">
        <v>1</v>
      </c>
      <c r="V11" s="102">
        <v>1</v>
      </c>
      <c r="W11" s="102">
        <v>1</v>
      </c>
      <c r="X11" s="102">
        <v>1</v>
      </c>
      <c r="Y11" s="102"/>
      <c r="Z11" s="102">
        <v>1</v>
      </c>
      <c r="AA11" s="102">
        <v>1</v>
      </c>
      <c r="AB11" s="102">
        <v>1</v>
      </c>
      <c r="AC11" s="102"/>
      <c r="AD11" s="102"/>
      <c r="AE11" s="101">
        <f t="shared" si="1"/>
        <v>12</v>
      </c>
      <c r="AF11" s="115" t="s">
        <v>418</v>
      </c>
      <c r="AG11" s="105" t="s">
        <v>416</v>
      </c>
    </row>
    <row r="12" spans="1:33" ht="14.25" customHeight="1">
      <c r="A12" s="38" t="s">
        <v>41</v>
      </c>
      <c r="B12" s="38" t="s">
        <v>57</v>
      </c>
      <c r="C12" s="38"/>
      <c r="D12" s="39">
        <v>4</v>
      </c>
      <c r="E12" s="40" t="s">
        <v>58</v>
      </c>
      <c r="F12" s="41">
        <f t="shared" si="3"/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7">
        <v>0</v>
      </c>
      <c r="AC12" s="77">
        <v>0</v>
      </c>
      <c r="AD12" s="77">
        <v>0</v>
      </c>
      <c r="AE12" s="88">
        <f t="shared" si="1"/>
        <v>0</v>
      </c>
      <c r="AF12" s="138" t="s">
        <v>225</v>
      </c>
      <c r="AG12" s="44" t="s">
        <v>416</v>
      </c>
    </row>
    <row r="13" spans="1:33" ht="14.25" customHeight="1">
      <c r="A13" s="98" t="s">
        <v>41</v>
      </c>
      <c r="B13" s="98" t="s">
        <v>146</v>
      </c>
      <c r="C13" s="98">
        <v>998223732</v>
      </c>
      <c r="D13" s="99">
        <v>5</v>
      </c>
      <c r="E13" s="100" t="s">
        <v>147</v>
      </c>
      <c r="F13" s="101">
        <f t="shared" si="3"/>
        <v>8</v>
      </c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29">
        <v>1</v>
      </c>
      <c r="R13" s="129">
        <v>1</v>
      </c>
      <c r="S13" s="129">
        <v>1</v>
      </c>
      <c r="T13" s="129">
        <v>1</v>
      </c>
      <c r="U13" s="129">
        <v>1</v>
      </c>
      <c r="V13" s="129">
        <v>1</v>
      </c>
      <c r="W13" s="129">
        <v>1</v>
      </c>
      <c r="X13" s="129">
        <v>1</v>
      </c>
      <c r="Y13" s="102"/>
      <c r="Z13" s="102"/>
      <c r="AA13" s="102"/>
      <c r="AB13" s="102"/>
      <c r="AC13" s="102"/>
      <c r="AD13" s="102"/>
      <c r="AE13" s="101">
        <f t="shared" si="1"/>
        <v>8</v>
      </c>
      <c r="AF13" s="46" t="s">
        <v>267</v>
      </c>
      <c r="AG13" s="44" t="s">
        <v>416</v>
      </c>
    </row>
    <row r="14" spans="1:33" ht="14.25" customHeight="1">
      <c r="A14" s="38" t="s">
        <v>41</v>
      </c>
      <c r="B14" s="38" t="s">
        <v>59</v>
      </c>
      <c r="C14" s="38"/>
      <c r="D14" s="39">
        <v>6</v>
      </c>
      <c r="E14" s="122" t="s">
        <v>60</v>
      </c>
      <c r="F14" s="41">
        <f t="shared" si="3"/>
        <v>11</v>
      </c>
      <c r="G14" s="77"/>
      <c r="H14" s="77"/>
      <c r="I14" s="77"/>
      <c r="J14" s="77"/>
      <c r="K14" s="77"/>
      <c r="L14" s="77"/>
      <c r="M14" s="77"/>
      <c r="N14" s="42"/>
      <c r="O14" s="42">
        <v>1</v>
      </c>
      <c r="P14" s="42">
        <v>1</v>
      </c>
      <c r="Q14" s="42">
        <v>1</v>
      </c>
      <c r="R14" s="42">
        <v>1</v>
      </c>
      <c r="S14" s="42">
        <v>1</v>
      </c>
      <c r="T14" s="42">
        <v>1</v>
      </c>
      <c r="U14" s="42">
        <v>1</v>
      </c>
      <c r="V14" s="42">
        <v>1</v>
      </c>
      <c r="W14" s="42"/>
      <c r="X14" s="42">
        <v>1</v>
      </c>
      <c r="Y14" s="42">
        <v>1</v>
      </c>
      <c r="Z14" s="42">
        <v>1</v>
      </c>
      <c r="AA14" s="42"/>
      <c r="AB14" s="42"/>
      <c r="AC14" s="42"/>
      <c r="AD14" s="42"/>
      <c r="AE14" s="41">
        <f t="shared" si="1"/>
        <v>11</v>
      </c>
      <c r="AF14" s="43" t="s">
        <v>419</v>
      </c>
      <c r="AG14" s="44" t="s">
        <v>416</v>
      </c>
    </row>
    <row r="15" spans="1:33" ht="14.25" customHeight="1">
      <c r="A15" s="38" t="s">
        <v>41</v>
      </c>
      <c r="B15" s="38" t="s">
        <v>62</v>
      </c>
      <c r="C15" s="38">
        <v>979044107</v>
      </c>
      <c r="D15" s="39">
        <v>7</v>
      </c>
      <c r="E15" s="40" t="s">
        <v>63</v>
      </c>
      <c r="F15" s="41">
        <f t="shared" si="3"/>
        <v>10</v>
      </c>
      <c r="G15" s="42"/>
      <c r="H15" s="42"/>
      <c r="I15" s="42"/>
      <c r="J15" s="42"/>
      <c r="K15" s="42"/>
      <c r="L15" s="42"/>
      <c r="M15" s="42">
        <v>1</v>
      </c>
      <c r="N15" s="42">
        <v>1</v>
      </c>
      <c r="O15" s="42">
        <v>1</v>
      </c>
      <c r="P15" s="42">
        <v>1</v>
      </c>
      <c r="Q15" s="42">
        <v>1</v>
      </c>
      <c r="R15" s="42">
        <v>1</v>
      </c>
      <c r="S15" s="42">
        <v>1</v>
      </c>
      <c r="T15" s="42">
        <v>1</v>
      </c>
      <c r="U15" s="42">
        <v>1</v>
      </c>
      <c r="V15" s="42">
        <v>1</v>
      </c>
      <c r="W15" s="42"/>
      <c r="X15" s="42"/>
      <c r="Y15" s="42"/>
      <c r="Z15" s="42"/>
      <c r="AA15" s="42"/>
      <c r="AB15" s="42"/>
      <c r="AC15" s="42"/>
      <c r="AD15" s="42"/>
      <c r="AE15" s="41">
        <f t="shared" si="1"/>
        <v>10</v>
      </c>
      <c r="AF15" s="43" t="s">
        <v>151</v>
      </c>
      <c r="AG15" s="44" t="s">
        <v>416</v>
      </c>
    </row>
    <row r="16" spans="1:33" ht="14.25" customHeight="1">
      <c r="A16" s="76" t="s">
        <v>41</v>
      </c>
      <c r="B16" s="76" t="s">
        <v>64</v>
      </c>
      <c r="C16" s="76">
        <v>995545886</v>
      </c>
      <c r="D16" s="86">
        <v>8</v>
      </c>
      <c r="E16" s="87" t="s">
        <v>65</v>
      </c>
      <c r="F16" s="88">
        <f t="shared" si="3"/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88">
        <f t="shared" si="1"/>
        <v>0</v>
      </c>
      <c r="AF16" s="138" t="s">
        <v>225</v>
      </c>
      <c r="AG16" s="44" t="s">
        <v>416</v>
      </c>
    </row>
    <row r="17" spans="1:33" ht="14.25" customHeight="1">
      <c r="A17" s="98" t="s">
        <v>41</v>
      </c>
      <c r="B17" s="98" t="s">
        <v>67</v>
      </c>
      <c r="C17" s="98">
        <v>968594141</v>
      </c>
      <c r="D17" s="99">
        <v>9</v>
      </c>
      <c r="E17" s="100" t="s">
        <v>68</v>
      </c>
      <c r="F17" s="101">
        <f t="shared" si="3"/>
        <v>12</v>
      </c>
      <c r="G17" s="102"/>
      <c r="H17" s="102"/>
      <c r="I17" s="102"/>
      <c r="J17" s="102"/>
      <c r="K17" s="102"/>
      <c r="L17" s="102"/>
      <c r="M17" s="102"/>
      <c r="N17" s="102"/>
      <c r="O17" s="102"/>
      <c r="P17" s="102">
        <v>1</v>
      </c>
      <c r="Q17" s="102">
        <v>1</v>
      </c>
      <c r="R17" s="102">
        <v>1</v>
      </c>
      <c r="S17" s="102">
        <v>1</v>
      </c>
      <c r="T17" s="102">
        <v>1</v>
      </c>
      <c r="U17" s="102">
        <v>1</v>
      </c>
      <c r="V17" s="102">
        <v>1</v>
      </c>
      <c r="W17" s="102">
        <v>1</v>
      </c>
      <c r="X17" s="102">
        <v>1</v>
      </c>
      <c r="Y17" s="102">
        <v>1</v>
      </c>
      <c r="Z17" s="102">
        <v>1</v>
      </c>
      <c r="AA17" s="102">
        <v>1</v>
      </c>
      <c r="AB17" s="102"/>
      <c r="AC17" s="102"/>
      <c r="AD17" s="102"/>
      <c r="AE17" s="101">
        <f t="shared" si="1"/>
        <v>12</v>
      </c>
      <c r="AF17" s="115" t="s">
        <v>69</v>
      </c>
      <c r="AG17" s="105" t="s">
        <v>416</v>
      </c>
    </row>
    <row r="18" spans="1:33" ht="14.25" customHeight="1">
      <c r="A18" s="38" t="s">
        <v>41</v>
      </c>
      <c r="B18" s="38" t="s">
        <v>70</v>
      </c>
      <c r="C18" s="38"/>
      <c r="D18" s="39">
        <v>10</v>
      </c>
      <c r="E18" s="40" t="s">
        <v>71</v>
      </c>
      <c r="F18" s="41">
        <f t="shared" si="3"/>
        <v>11</v>
      </c>
      <c r="G18" s="42"/>
      <c r="H18" s="42"/>
      <c r="I18" s="42"/>
      <c r="J18" s="42"/>
      <c r="K18" s="42"/>
      <c r="L18" s="42"/>
      <c r="M18" s="42">
        <v>1</v>
      </c>
      <c r="N18" s="42">
        <v>1</v>
      </c>
      <c r="O18" s="42">
        <v>1</v>
      </c>
      <c r="P18" s="42">
        <v>1</v>
      </c>
      <c r="Q18" s="42">
        <v>1</v>
      </c>
      <c r="R18" s="42">
        <v>1</v>
      </c>
      <c r="S18" s="42">
        <v>1</v>
      </c>
      <c r="T18" s="42">
        <v>1</v>
      </c>
      <c r="U18" s="42">
        <v>1</v>
      </c>
      <c r="V18" s="42">
        <v>1</v>
      </c>
      <c r="W18" s="42">
        <v>1</v>
      </c>
      <c r="X18" s="42"/>
      <c r="Y18" s="42"/>
      <c r="Z18" s="42"/>
      <c r="AA18" s="42"/>
      <c r="AB18" s="42"/>
      <c r="AC18" s="42"/>
      <c r="AD18" s="42"/>
      <c r="AE18" s="41">
        <f t="shared" si="1"/>
        <v>11</v>
      </c>
      <c r="AF18" s="43" t="s">
        <v>409</v>
      </c>
      <c r="AG18" s="44" t="s">
        <v>416</v>
      </c>
    </row>
    <row r="19" spans="1:33" ht="14.25" customHeight="1">
      <c r="A19" s="38" t="s">
        <v>41</v>
      </c>
      <c r="B19" s="38" t="s">
        <v>72</v>
      </c>
      <c r="C19" s="38">
        <v>989533877</v>
      </c>
      <c r="D19" s="39">
        <v>11</v>
      </c>
      <c r="E19" s="40" t="s">
        <v>73</v>
      </c>
      <c r="F19" s="41">
        <f t="shared" si="3"/>
        <v>0</v>
      </c>
      <c r="G19" s="42" t="s">
        <v>352</v>
      </c>
      <c r="H19" s="42" t="s">
        <v>352</v>
      </c>
      <c r="I19" s="42" t="s">
        <v>352</v>
      </c>
      <c r="J19" s="42" t="s">
        <v>352</v>
      </c>
      <c r="K19" s="42" t="s">
        <v>352</v>
      </c>
      <c r="L19" s="42" t="s">
        <v>352</v>
      </c>
      <c r="M19" s="42" t="s">
        <v>352</v>
      </c>
      <c r="N19" s="42" t="s">
        <v>352</v>
      </c>
      <c r="O19" s="42" t="s">
        <v>352</v>
      </c>
      <c r="P19" s="42" t="s">
        <v>352</v>
      </c>
      <c r="Q19" s="42" t="s">
        <v>352</v>
      </c>
      <c r="R19" s="42" t="s">
        <v>352</v>
      </c>
      <c r="S19" s="42" t="s">
        <v>352</v>
      </c>
      <c r="T19" s="42" t="s">
        <v>352</v>
      </c>
      <c r="U19" s="42" t="s">
        <v>352</v>
      </c>
      <c r="V19" s="42" t="s">
        <v>352</v>
      </c>
      <c r="W19" s="42" t="s">
        <v>352</v>
      </c>
      <c r="X19" s="42" t="s">
        <v>352</v>
      </c>
      <c r="Y19" s="42" t="s">
        <v>352</v>
      </c>
      <c r="Z19" s="42" t="s">
        <v>352</v>
      </c>
      <c r="AA19" s="42" t="s">
        <v>352</v>
      </c>
      <c r="AB19" s="42" t="s">
        <v>352</v>
      </c>
      <c r="AC19" s="42" t="s">
        <v>352</v>
      </c>
      <c r="AD19" s="42" t="s">
        <v>352</v>
      </c>
      <c r="AE19" s="41">
        <f t="shared" si="1"/>
        <v>0</v>
      </c>
      <c r="AF19" s="64" t="s">
        <v>6</v>
      </c>
      <c r="AG19" s="44" t="s">
        <v>416</v>
      </c>
    </row>
    <row r="20" spans="1:33" ht="14.25" customHeight="1">
      <c r="A20" s="98" t="s">
        <v>41</v>
      </c>
      <c r="B20" s="98" t="s">
        <v>76</v>
      </c>
      <c r="C20" s="98">
        <v>997829699</v>
      </c>
      <c r="D20" s="99">
        <v>12</v>
      </c>
      <c r="E20" s="100" t="s">
        <v>77</v>
      </c>
      <c r="F20" s="41">
        <f t="shared" si="3"/>
        <v>12</v>
      </c>
      <c r="G20" s="42"/>
      <c r="H20" s="42"/>
      <c r="I20" s="42"/>
      <c r="J20" s="42"/>
      <c r="K20" s="42"/>
      <c r="L20" s="42"/>
      <c r="M20" s="42"/>
      <c r="N20" s="42"/>
      <c r="O20" s="63">
        <v>1</v>
      </c>
      <c r="P20" s="63">
        <v>1</v>
      </c>
      <c r="Q20" s="63">
        <v>1</v>
      </c>
      <c r="R20" s="63">
        <v>1</v>
      </c>
      <c r="S20" s="63">
        <v>1</v>
      </c>
      <c r="T20" s="63">
        <v>1</v>
      </c>
      <c r="U20" s="63">
        <v>1</v>
      </c>
      <c r="V20" s="63">
        <v>1</v>
      </c>
      <c r="W20" s="63">
        <v>1</v>
      </c>
      <c r="X20" s="42"/>
      <c r="Y20" s="63">
        <v>1</v>
      </c>
      <c r="Z20" s="63">
        <v>1</v>
      </c>
      <c r="AA20" s="63">
        <v>1</v>
      </c>
      <c r="AB20" s="42"/>
      <c r="AC20" s="42"/>
      <c r="AD20" s="42"/>
      <c r="AE20" s="41">
        <f t="shared" si="1"/>
        <v>12</v>
      </c>
      <c r="AF20" s="43" t="s">
        <v>338</v>
      </c>
      <c r="AG20" s="44" t="s">
        <v>416</v>
      </c>
    </row>
    <row r="21" spans="1:33" ht="14.25" customHeight="1">
      <c r="A21" s="76" t="s">
        <v>41</v>
      </c>
      <c r="B21" s="110" t="s">
        <v>79</v>
      </c>
      <c r="C21" s="110"/>
      <c r="D21" s="86">
        <v>13</v>
      </c>
      <c r="E21" s="87" t="s">
        <v>80</v>
      </c>
      <c r="F21" s="88">
        <f t="shared" si="3"/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  <c r="Z21" s="77">
        <v>0</v>
      </c>
      <c r="AA21" s="77">
        <v>0</v>
      </c>
      <c r="AB21" s="77">
        <v>0</v>
      </c>
      <c r="AC21" s="77">
        <v>0</v>
      </c>
      <c r="AD21" s="77">
        <v>0</v>
      </c>
      <c r="AE21" s="88">
        <f t="shared" si="1"/>
        <v>0</v>
      </c>
      <c r="AF21" s="138" t="s">
        <v>225</v>
      </c>
      <c r="AG21" s="44" t="s">
        <v>416</v>
      </c>
    </row>
    <row r="22" spans="1:33" ht="14.25" customHeight="1">
      <c r="A22" s="76" t="s">
        <v>41</v>
      </c>
      <c r="B22" s="76" t="s">
        <v>82</v>
      </c>
      <c r="C22" s="76">
        <v>996303208</v>
      </c>
      <c r="D22" s="86">
        <v>14</v>
      </c>
      <c r="E22" s="87" t="s">
        <v>83</v>
      </c>
      <c r="F22" s="88">
        <f t="shared" si="3"/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7">
        <v>0</v>
      </c>
      <c r="AB22" s="77">
        <v>0</v>
      </c>
      <c r="AC22" s="77">
        <v>0</v>
      </c>
      <c r="AD22" s="77">
        <v>0</v>
      </c>
      <c r="AE22" s="88">
        <f t="shared" si="1"/>
        <v>0</v>
      </c>
      <c r="AF22" s="138" t="s">
        <v>225</v>
      </c>
      <c r="AG22" s="44" t="s">
        <v>416</v>
      </c>
    </row>
    <row r="23" spans="1:33" ht="14.25" customHeight="1">
      <c r="A23" s="76" t="s">
        <v>41</v>
      </c>
      <c r="B23" s="76" t="s">
        <v>85</v>
      </c>
      <c r="C23" s="76">
        <v>991837641</v>
      </c>
      <c r="D23" s="86">
        <v>15</v>
      </c>
      <c r="E23" s="87" t="s">
        <v>86</v>
      </c>
      <c r="F23" s="88">
        <f t="shared" si="3"/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0</v>
      </c>
      <c r="AB23" s="77">
        <v>0</v>
      </c>
      <c r="AC23" s="77">
        <v>0</v>
      </c>
      <c r="AD23" s="77">
        <v>0</v>
      </c>
      <c r="AE23" s="88">
        <f t="shared" si="1"/>
        <v>0</v>
      </c>
      <c r="AF23" s="138" t="s">
        <v>225</v>
      </c>
      <c r="AG23" s="44" t="s">
        <v>416</v>
      </c>
    </row>
    <row r="24" spans="1:33" ht="14.25" customHeight="1">
      <c r="A24" s="38" t="s">
        <v>41</v>
      </c>
      <c r="B24" s="38" t="s">
        <v>88</v>
      </c>
      <c r="C24" s="38">
        <v>985570860</v>
      </c>
      <c r="D24" s="39">
        <v>16</v>
      </c>
      <c r="E24" s="40" t="s">
        <v>89</v>
      </c>
      <c r="F24" s="41">
        <f t="shared" si="3"/>
        <v>11</v>
      </c>
      <c r="G24" s="42"/>
      <c r="H24" s="42"/>
      <c r="I24" s="42"/>
      <c r="J24" s="42"/>
      <c r="K24" s="42"/>
      <c r="L24" s="42"/>
      <c r="M24" s="42"/>
      <c r="N24" s="42">
        <v>1</v>
      </c>
      <c r="O24" s="42">
        <v>1</v>
      </c>
      <c r="P24" s="42">
        <v>1</v>
      </c>
      <c r="Q24" s="42">
        <v>1</v>
      </c>
      <c r="R24" s="42">
        <v>1</v>
      </c>
      <c r="S24" s="42">
        <v>1</v>
      </c>
      <c r="T24" s="42">
        <v>1</v>
      </c>
      <c r="U24" s="42">
        <v>1</v>
      </c>
      <c r="V24" s="42"/>
      <c r="W24" s="42">
        <v>1</v>
      </c>
      <c r="X24" s="42">
        <v>1</v>
      </c>
      <c r="Y24" s="42">
        <v>1</v>
      </c>
      <c r="Z24" s="42"/>
      <c r="AA24" s="42"/>
      <c r="AB24" s="42"/>
      <c r="AC24" s="42"/>
      <c r="AD24" s="42"/>
      <c r="AE24" s="41">
        <f t="shared" si="1"/>
        <v>11</v>
      </c>
      <c r="AF24" s="43" t="s">
        <v>357</v>
      </c>
      <c r="AG24" s="44" t="s">
        <v>416</v>
      </c>
    </row>
    <row r="25" spans="1:33" ht="14.25" customHeight="1">
      <c r="A25" s="38" t="s">
        <v>41</v>
      </c>
      <c r="B25" s="38" t="s">
        <v>90</v>
      </c>
      <c r="C25" s="38">
        <v>961816449</v>
      </c>
      <c r="D25" s="39">
        <v>17</v>
      </c>
      <c r="E25" s="40" t="s">
        <v>91</v>
      </c>
      <c r="F25" s="41">
        <f t="shared" si="3"/>
        <v>10</v>
      </c>
      <c r="G25" s="42"/>
      <c r="H25" s="42"/>
      <c r="I25" s="42"/>
      <c r="J25" s="42"/>
      <c r="K25" s="42"/>
      <c r="L25" s="42"/>
      <c r="M25" s="42">
        <v>1</v>
      </c>
      <c r="N25" s="42">
        <v>1</v>
      </c>
      <c r="O25" s="42">
        <v>1</v>
      </c>
      <c r="P25" s="42">
        <v>1</v>
      </c>
      <c r="Q25" s="42">
        <v>1</v>
      </c>
      <c r="R25" s="42">
        <v>1</v>
      </c>
      <c r="S25" s="42">
        <v>1</v>
      </c>
      <c r="T25" s="42">
        <v>1</v>
      </c>
      <c r="U25" s="42"/>
      <c r="V25" s="42">
        <v>1</v>
      </c>
      <c r="W25" s="42">
        <v>1</v>
      </c>
      <c r="X25" s="42"/>
      <c r="Y25" s="42"/>
      <c r="Z25" s="42"/>
      <c r="AA25" s="42"/>
      <c r="AB25" s="42"/>
      <c r="AC25" s="42"/>
      <c r="AD25" s="42"/>
      <c r="AE25" s="41">
        <f t="shared" si="1"/>
        <v>10</v>
      </c>
      <c r="AF25" s="43" t="s">
        <v>367</v>
      </c>
      <c r="AG25" s="44" t="s">
        <v>416</v>
      </c>
    </row>
    <row r="26" spans="1:33" ht="14.25" customHeight="1">
      <c r="A26" s="38" t="s">
        <v>41</v>
      </c>
      <c r="B26" s="38" t="s">
        <v>92</v>
      </c>
      <c r="C26" s="38">
        <v>989858490</v>
      </c>
      <c r="D26" s="39">
        <v>18</v>
      </c>
      <c r="E26" s="40" t="s">
        <v>93</v>
      </c>
      <c r="F26" s="41">
        <f t="shared" si="3"/>
        <v>14</v>
      </c>
      <c r="G26" s="42"/>
      <c r="H26" s="42"/>
      <c r="I26" s="42"/>
      <c r="J26" s="42"/>
      <c r="K26" s="42"/>
      <c r="L26" s="42"/>
      <c r="M26" s="42">
        <v>1</v>
      </c>
      <c r="N26" s="42">
        <v>1</v>
      </c>
      <c r="O26" s="42">
        <v>1</v>
      </c>
      <c r="P26" s="42">
        <v>1</v>
      </c>
      <c r="Q26" s="42">
        <v>1</v>
      </c>
      <c r="R26" s="42">
        <v>1</v>
      </c>
      <c r="S26" s="42">
        <v>1</v>
      </c>
      <c r="T26" s="42">
        <v>1</v>
      </c>
      <c r="U26" s="42">
        <v>1</v>
      </c>
      <c r="V26" s="42"/>
      <c r="W26" s="42">
        <v>1</v>
      </c>
      <c r="X26" s="42">
        <v>1</v>
      </c>
      <c r="Y26" s="42">
        <v>1</v>
      </c>
      <c r="Z26" s="42">
        <v>1</v>
      </c>
      <c r="AA26" s="42">
        <v>1</v>
      </c>
      <c r="AB26" s="42"/>
      <c r="AC26" s="42"/>
      <c r="AD26" s="42"/>
      <c r="AE26" s="41">
        <f t="shared" si="1"/>
        <v>14</v>
      </c>
      <c r="AF26" s="43" t="s">
        <v>392</v>
      </c>
      <c r="AG26" s="44" t="s">
        <v>416</v>
      </c>
    </row>
    <row r="27" spans="1:33" ht="14.25" customHeight="1">
      <c r="A27" s="76" t="s">
        <v>41</v>
      </c>
      <c r="B27" s="76" t="s">
        <v>94</v>
      </c>
      <c r="C27" s="76">
        <v>988957267</v>
      </c>
      <c r="D27" s="86">
        <v>19</v>
      </c>
      <c r="E27" s="87" t="s">
        <v>95</v>
      </c>
      <c r="F27" s="88">
        <f t="shared" si="3"/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  <c r="Z27" s="77">
        <v>0</v>
      </c>
      <c r="AA27" s="77">
        <v>0</v>
      </c>
      <c r="AB27" s="77">
        <v>0</v>
      </c>
      <c r="AC27" s="77">
        <v>0</v>
      </c>
      <c r="AD27" s="77">
        <v>0</v>
      </c>
      <c r="AE27" s="88">
        <f t="shared" si="1"/>
        <v>0</v>
      </c>
      <c r="AF27" s="138" t="s">
        <v>225</v>
      </c>
      <c r="AG27" s="44" t="s">
        <v>416</v>
      </c>
    </row>
    <row r="28" spans="1:33" ht="14.25" customHeight="1">
      <c r="A28" s="38" t="s">
        <v>41</v>
      </c>
      <c r="B28" s="38" t="s">
        <v>97</v>
      </c>
      <c r="C28" s="38"/>
      <c r="D28" s="39">
        <v>20</v>
      </c>
      <c r="E28" s="40" t="s">
        <v>98</v>
      </c>
      <c r="F28" s="41">
        <f t="shared" si="3"/>
        <v>12</v>
      </c>
      <c r="G28" s="42"/>
      <c r="H28" s="42"/>
      <c r="I28" s="42"/>
      <c r="J28" s="42"/>
      <c r="K28" s="42"/>
      <c r="L28" s="42"/>
      <c r="M28" s="42">
        <v>1</v>
      </c>
      <c r="N28" s="42">
        <v>1</v>
      </c>
      <c r="O28" s="42">
        <v>1</v>
      </c>
      <c r="P28" s="42">
        <v>1</v>
      </c>
      <c r="Q28" s="42">
        <v>1</v>
      </c>
      <c r="R28" s="42">
        <v>1</v>
      </c>
      <c r="S28" s="42">
        <v>1</v>
      </c>
      <c r="T28" s="42">
        <v>1</v>
      </c>
      <c r="U28" s="42">
        <v>1</v>
      </c>
      <c r="V28" s="42"/>
      <c r="W28" s="42">
        <v>1</v>
      </c>
      <c r="X28" s="42">
        <v>1</v>
      </c>
      <c r="Y28" s="42">
        <v>1</v>
      </c>
      <c r="Z28" s="42"/>
      <c r="AA28" s="42"/>
      <c r="AB28" s="42"/>
      <c r="AC28" s="42"/>
      <c r="AD28" s="42"/>
      <c r="AE28" s="41">
        <f t="shared" si="1"/>
        <v>12</v>
      </c>
      <c r="AF28" s="43" t="s">
        <v>392</v>
      </c>
      <c r="AG28" s="44" t="s">
        <v>416</v>
      </c>
    </row>
    <row r="29" spans="1:33" ht="14.25" customHeight="1">
      <c r="A29" s="38" t="s">
        <v>41</v>
      </c>
      <c r="B29" s="38" t="s">
        <v>198</v>
      </c>
      <c r="C29" s="38"/>
      <c r="D29" s="39">
        <v>21</v>
      </c>
      <c r="E29" s="40" t="s">
        <v>99</v>
      </c>
      <c r="F29" s="41">
        <f t="shared" si="3"/>
        <v>16</v>
      </c>
      <c r="G29" s="42">
        <v>1</v>
      </c>
      <c r="H29" s="42">
        <v>1</v>
      </c>
      <c r="I29" s="42">
        <v>1</v>
      </c>
      <c r="J29" s="42">
        <v>1</v>
      </c>
      <c r="K29" s="42">
        <v>1</v>
      </c>
      <c r="L29" s="42">
        <v>1</v>
      </c>
      <c r="M29" s="42"/>
      <c r="N29" s="42"/>
      <c r="O29" s="42"/>
      <c r="P29" s="42"/>
      <c r="Q29" s="42">
        <v>1</v>
      </c>
      <c r="R29" s="42">
        <v>1</v>
      </c>
      <c r="S29" s="42">
        <v>1</v>
      </c>
      <c r="T29" s="42">
        <v>1</v>
      </c>
      <c r="U29" s="42">
        <v>1</v>
      </c>
      <c r="V29" s="42"/>
      <c r="W29" s="42">
        <v>1</v>
      </c>
      <c r="X29" s="42">
        <v>1</v>
      </c>
      <c r="Y29" s="42">
        <v>1</v>
      </c>
      <c r="Z29" s="42">
        <v>1</v>
      </c>
      <c r="AA29" s="42">
        <v>1</v>
      </c>
      <c r="AB29" s="42"/>
      <c r="AC29" s="42"/>
      <c r="AD29" s="42"/>
      <c r="AE29" s="41">
        <f t="shared" si="1"/>
        <v>16</v>
      </c>
      <c r="AF29" s="43" t="s">
        <v>420</v>
      </c>
      <c r="AG29" s="44" t="s">
        <v>416</v>
      </c>
    </row>
    <row r="30" spans="1:33" ht="14.25" customHeight="1">
      <c r="A30" s="76" t="s">
        <v>41</v>
      </c>
      <c r="B30" s="76" t="s">
        <v>101</v>
      </c>
      <c r="C30" s="76">
        <v>962757006</v>
      </c>
      <c r="D30" s="86">
        <v>22</v>
      </c>
      <c r="E30" s="87" t="s">
        <v>102</v>
      </c>
      <c r="F30" s="88">
        <f t="shared" si="3"/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  <c r="Z30" s="77">
        <v>0</v>
      </c>
      <c r="AA30" s="77">
        <v>0</v>
      </c>
      <c r="AB30" s="77">
        <v>0</v>
      </c>
      <c r="AC30" s="77">
        <v>0</v>
      </c>
      <c r="AD30" s="77">
        <v>0</v>
      </c>
      <c r="AE30" s="88">
        <f t="shared" si="1"/>
        <v>0</v>
      </c>
      <c r="AF30" s="138" t="s">
        <v>225</v>
      </c>
      <c r="AG30" s="44" t="s">
        <v>416</v>
      </c>
    </row>
    <row r="31" spans="1:33" ht="14.25" customHeight="1">
      <c r="A31" s="38" t="s">
        <v>41</v>
      </c>
      <c r="B31" s="38" t="s">
        <v>103</v>
      </c>
      <c r="C31" s="38"/>
      <c r="D31" s="39">
        <v>23</v>
      </c>
      <c r="E31" s="122" t="s">
        <v>104</v>
      </c>
      <c r="F31" s="41">
        <f t="shared" si="3"/>
        <v>11</v>
      </c>
      <c r="G31" s="42"/>
      <c r="H31" s="42"/>
      <c r="I31" s="42"/>
      <c r="J31" s="42"/>
      <c r="K31" s="42"/>
      <c r="L31" s="42"/>
      <c r="M31" s="42"/>
      <c r="N31" s="42"/>
      <c r="O31" s="42">
        <v>1</v>
      </c>
      <c r="P31" s="42">
        <v>1</v>
      </c>
      <c r="Q31" s="42">
        <v>1</v>
      </c>
      <c r="R31" s="42">
        <v>1</v>
      </c>
      <c r="S31" s="42">
        <v>1</v>
      </c>
      <c r="T31" s="42">
        <v>1</v>
      </c>
      <c r="U31" s="42">
        <v>1</v>
      </c>
      <c r="V31" s="42">
        <v>1</v>
      </c>
      <c r="W31" s="42"/>
      <c r="X31" s="42">
        <v>1</v>
      </c>
      <c r="Y31" s="42">
        <v>1</v>
      </c>
      <c r="Z31" s="42">
        <v>1</v>
      </c>
      <c r="AA31" s="42"/>
      <c r="AB31" s="42"/>
      <c r="AC31" s="42"/>
      <c r="AD31" s="42"/>
      <c r="AE31" s="41">
        <f t="shared" si="1"/>
        <v>11</v>
      </c>
      <c r="AF31" s="43" t="s">
        <v>399</v>
      </c>
      <c r="AG31" s="44" t="s">
        <v>416</v>
      </c>
    </row>
    <row r="32" spans="1:33" ht="14.25" customHeight="1">
      <c r="A32" s="98" t="s">
        <v>41</v>
      </c>
      <c r="B32" s="98" t="s">
        <v>167</v>
      </c>
      <c r="C32" s="98">
        <v>995055956</v>
      </c>
      <c r="D32" s="99">
        <v>24</v>
      </c>
      <c r="E32" s="100" t="s">
        <v>144</v>
      </c>
      <c r="F32" s="101">
        <f t="shared" si="3"/>
        <v>10</v>
      </c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>
        <v>1</v>
      </c>
      <c r="S32" s="102">
        <v>1</v>
      </c>
      <c r="T32" s="102">
        <v>1</v>
      </c>
      <c r="U32" s="102"/>
      <c r="V32" s="102">
        <v>1</v>
      </c>
      <c r="W32" s="102">
        <v>1</v>
      </c>
      <c r="X32" s="102">
        <v>1</v>
      </c>
      <c r="Y32" s="102">
        <v>1</v>
      </c>
      <c r="Z32" s="102">
        <v>1</v>
      </c>
      <c r="AA32" s="102">
        <v>1</v>
      </c>
      <c r="AB32" s="102">
        <v>1</v>
      </c>
      <c r="AC32" s="102"/>
      <c r="AD32" s="102"/>
      <c r="AE32" s="101">
        <f t="shared" si="1"/>
        <v>10</v>
      </c>
      <c r="AF32" s="104" t="s">
        <v>421</v>
      </c>
      <c r="AG32" s="105" t="s">
        <v>416</v>
      </c>
    </row>
    <row r="33" spans="1:33" ht="14.25" customHeight="1">
      <c r="A33" s="76" t="s">
        <v>41</v>
      </c>
      <c r="B33" s="76" t="s">
        <v>332</v>
      </c>
      <c r="C33" s="76"/>
      <c r="D33" s="86">
        <v>25</v>
      </c>
      <c r="E33" s="87" t="s">
        <v>333</v>
      </c>
      <c r="F33" s="88">
        <f t="shared" si="3"/>
        <v>0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  <c r="Z33" s="77">
        <v>0</v>
      </c>
      <c r="AA33" s="77">
        <v>0</v>
      </c>
      <c r="AB33" s="77">
        <v>0</v>
      </c>
      <c r="AC33" s="77">
        <v>0</v>
      </c>
      <c r="AD33" s="77">
        <v>0</v>
      </c>
      <c r="AE33" s="88">
        <f t="shared" si="1"/>
        <v>0</v>
      </c>
      <c r="AF33" s="138" t="s">
        <v>225</v>
      </c>
      <c r="AG33" s="44" t="s">
        <v>416</v>
      </c>
    </row>
    <row r="34" spans="1:33" ht="14.25" customHeight="1">
      <c r="A34" s="38" t="s">
        <v>41</v>
      </c>
      <c r="B34" s="38" t="s">
        <v>105</v>
      </c>
      <c r="C34" s="38"/>
      <c r="D34" s="39">
        <v>26</v>
      </c>
      <c r="E34" s="40" t="s">
        <v>106</v>
      </c>
      <c r="F34" s="41">
        <f t="shared" si="3"/>
        <v>6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>
        <v>1</v>
      </c>
      <c r="R34" s="42">
        <v>1</v>
      </c>
      <c r="S34" s="42"/>
      <c r="T34" s="42"/>
      <c r="U34" s="42"/>
      <c r="V34" s="42"/>
      <c r="W34" s="42"/>
      <c r="X34" s="42"/>
      <c r="Y34" s="42"/>
      <c r="Z34" s="42"/>
      <c r="AA34" s="42">
        <v>1</v>
      </c>
      <c r="AB34" s="42">
        <v>1</v>
      </c>
      <c r="AC34" s="42">
        <v>1</v>
      </c>
      <c r="AD34" s="42">
        <v>1</v>
      </c>
      <c r="AE34" s="41">
        <f t="shared" si="1"/>
        <v>6</v>
      </c>
      <c r="AF34" s="43" t="s">
        <v>422</v>
      </c>
      <c r="AG34" s="44" t="s">
        <v>416</v>
      </c>
    </row>
    <row r="35" spans="1:33" ht="14.25" customHeight="1">
      <c r="A35" s="38" t="s">
        <v>41</v>
      </c>
      <c r="B35" s="38" t="s">
        <v>171</v>
      </c>
      <c r="C35" s="38">
        <v>990489779</v>
      </c>
      <c r="D35" s="39">
        <v>27</v>
      </c>
      <c r="E35" s="40" t="s">
        <v>172</v>
      </c>
      <c r="F35" s="41">
        <f t="shared" si="3"/>
        <v>6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>
        <v>1</v>
      </c>
      <c r="Z35" s="42">
        <v>1</v>
      </c>
      <c r="AA35" s="42">
        <v>1</v>
      </c>
      <c r="AB35" s="42">
        <v>1</v>
      </c>
      <c r="AC35" s="42">
        <v>1</v>
      </c>
      <c r="AD35" s="42">
        <v>1</v>
      </c>
      <c r="AE35" s="41">
        <f t="shared" si="1"/>
        <v>6</v>
      </c>
      <c r="AF35" s="46" t="s">
        <v>281</v>
      </c>
      <c r="AG35" s="44" t="s">
        <v>416</v>
      </c>
    </row>
    <row r="36" spans="1:33" ht="14.25" customHeight="1">
      <c r="A36" s="38" t="s">
        <v>41</v>
      </c>
      <c r="B36" s="38" t="s">
        <v>107</v>
      </c>
      <c r="C36" s="38">
        <v>981074073</v>
      </c>
      <c r="D36" s="39">
        <v>28</v>
      </c>
      <c r="E36" s="40" t="s">
        <v>108</v>
      </c>
      <c r="F36" s="41">
        <f t="shared" si="3"/>
        <v>10</v>
      </c>
      <c r="G36" s="42"/>
      <c r="H36" s="42"/>
      <c r="I36" s="42"/>
      <c r="J36" s="42"/>
      <c r="K36" s="42"/>
      <c r="L36" s="42"/>
      <c r="M36" s="42"/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1</v>
      </c>
      <c r="T36" s="42">
        <v>1</v>
      </c>
      <c r="U36" s="42">
        <v>1</v>
      </c>
      <c r="V36" s="42">
        <v>1</v>
      </c>
      <c r="W36" s="42">
        <v>1</v>
      </c>
      <c r="X36" s="42"/>
      <c r="Y36" s="42"/>
      <c r="Z36" s="42"/>
      <c r="AA36" s="42"/>
      <c r="AB36" s="42"/>
      <c r="AC36" s="42"/>
      <c r="AD36" s="42"/>
      <c r="AE36" s="41">
        <f t="shared" si="1"/>
        <v>10</v>
      </c>
      <c r="AF36" s="43" t="s">
        <v>61</v>
      </c>
      <c r="AG36" s="44" t="s">
        <v>416</v>
      </c>
    </row>
    <row r="37" spans="1:33" ht="14.25" customHeight="1">
      <c r="A37" s="76" t="s">
        <v>41</v>
      </c>
      <c r="B37" s="76" t="s">
        <v>111</v>
      </c>
      <c r="C37" s="76"/>
      <c r="D37" s="86">
        <v>29</v>
      </c>
      <c r="E37" s="100" t="s">
        <v>112</v>
      </c>
      <c r="F37" s="88">
        <f t="shared" si="3"/>
        <v>10</v>
      </c>
      <c r="G37" s="77"/>
      <c r="H37" s="77"/>
      <c r="I37" s="77"/>
      <c r="J37" s="77"/>
      <c r="K37" s="77"/>
      <c r="L37" s="77"/>
      <c r="M37" s="42">
        <v>1</v>
      </c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>
        <v>1</v>
      </c>
      <c r="T37" s="42">
        <v>1</v>
      </c>
      <c r="U37" s="42"/>
      <c r="V37" s="42">
        <v>1</v>
      </c>
      <c r="W37" s="42">
        <v>1</v>
      </c>
      <c r="X37" s="42"/>
      <c r="Y37" s="42"/>
      <c r="Z37" s="42"/>
      <c r="AA37" s="42"/>
      <c r="AB37" s="42"/>
      <c r="AC37" s="42"/>
      <c r="AD37" s="42"/>
      <c r="AE37" s="41">
        <f t="shared" si="1"/>
        <v>10</v>
      </c>
      <c r="AF37" s="43" t="s">
        <v>423</v>
      </c>
      <c r="AG37" s="44" t="s">
        <v>416</v>
      </c>
    </row>
    <row r="38" spans="1:33" ht="14.25" customHeight="1">
      <c r="A38" s="76" t="s">
        <v>41</v>
      </c>
      <c r="B38" s="76" t="s">
        <v>113</v>
      </c>
      <c r="C38" s="76"/>
      <c r="D38" s="86">
        <v>30</v>
      </c>
      <c r="E38" s="87" t="s">
        <v>114</v>
      </c>
      <c r="F38" s="88">
        <f t="shared" si="3"/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  <c r="Z38" s="77">
        <v>0</v>
      </c>
      <c r="AA38" s="77">
        <v>0</v>
      </c>
      <c r="AB38" s="77">
        <v>0</v>
      </c>
      <c r="AC38" s="77">
        <v>0</v>
      </c>
      <c r="AD38" s="77">
        <v>0</v>
      </c>
      <c r="AE38" s="88">
        <f t="shared" si="1"/>
        <v>0</v>
      </c>
      <c r="AF38" s="138" t="s">
        <v>225</v>
      </c>
      <c r="AG38" s="44" t="s">
        <v>416</v>
      </c>
    </row>
    <row r="39" spans="1:33" ht="14.25" customHeight="1">
      <c r="A39" s="38" t="s">
        <v>41</v>
      </c>
      <c r="B39" s="38" t="s">
        <v>115</v>
      </c>
      <c r="C39" s="38">
        <v>962936744</v>
      </c>
      <c r="D39" s="39">
        <v>31</v>
      </c>
      <c r="E39" s="40" t="s">
        <v>116</v>
      </c>
      <c r="F39" s="41">
        <f t="shared" si="3"/>
        <v>11</v>
      </c>
      <c r="G39" s="42">
        <v>1</v>
      </c>
      <c r="H39" s="42">
        <v>1</v>
      </c>
      <c r="I39" s="42">
        <v>1</v>
      </c>
      <c r="J39" s="42">
        <v>1</v>
      </c>
      <c r="K39" s="42">
        <v>1</v>
      </c>
      <c r="L39" s="42">
        <v>1</v>
      </c>
      <c r="M39" s="42">
        <v>1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>
        <v>1</v>
      </c>
      <c r="AB39" s="42">
        <v>1</v>
      </c>
      <c r="AC39" s="42">
        <v>1</v>
      </c>
      <c r="AD39" s="42">
        <v>1</v>
      </c>
      <c r="AE39" s="41">
        <f t="shared" si="1"/>
        <v>11</v>
      </c>
      <c r="AF39" s="46" t="s">
        <v>424</v>
      </c>
      <c r="AG39" s="44" t="s">
        <v>416</v>
      </c>
    </row>
    <row r="40" spans="1:33" ht="14.25" customHeight="1">
      <c r="A40" s="98" t="s">
        <v>41</v>
      </c>
      <c r="B40" s="98" t="s">
        <v>120</v>
      </c>
      <c r="C40" s="98"/>
      <c r="D40" s="99">
        <v>32</v>
      </c>
      <c r="E40" s="156" t="s">
        <v>121</v>
      </c>
      <c r="F40" s="41">
        <f t="shared" si="3"/>
        <v>11</v>
      </c>
      <c r="G40" s="42"/>
      <c r="H40" s="42"/>
      <c r="I40" s="42"/>
      <c r="J40" s="42"/>
      <c r="K40" s="42"/>
      <c r="L40" s="42"/>
      <c r="M40" s="42"/>
      <c r="N40" s="42"/>
      <c r="O40" s="42">
        <v>1</v>
      </c>
      <c r="P40" s="42">
        <v>1</v>
      </c>
      <c r="Q40" s="42">
        <v>1</v>
      </c>
      <c r="R40" s="42">
        <v>1</v>
      </c>
      <c r="S40" s="42">
        <v>1</v>
      </c>
      <c r="T40" s="42">
        <v>1</v>
      </c>
      <c r="U40" s="42">
        <v>1</v>
      </c>
      <c r="V40" s="42">
        <v>1</v>
      </c>
      <c r="W40" s="42">
        <v>1</v>
      </c>
      <c r="X40" s="42"/>
      <c r="Y40" s="42">
        <v>1</v>
      </c>
      <c r="Z40" s="42">
        <v>1</v>
      </c>
      <c r="AA40" s="42"/>
      <c r="AB40" s="42"/>
      <c r="AC40" s="42"/>
      <c r="AD40" s="42"/>
      <c r="AE40" s="41">
        <f t="shared" si="1"/>
        <v>11</v>
      </c>
      <c r="AF40" s="43" t="s">
        <v>425</v>
      </c>
      <c r="AG40" s="44" t="s">
        <v>416</v>
      </c>
    </row>
    <row r="41" spans="1:33" ht="14.25" customHeight="1">
      <c r="A41" s="38" t="s">
        <v>41</v>
      </c>
      <c r="B41" s="38" t="s">
        <v>122</v>
      </c>
      <c r="C41" s="38">
        <v>984490770</v>
      </c>
      <c r="D41" s="39">
        <v>33</v>
      </c>
      <c r="E41" s="40" t="s">
        <v>123</v>
      </c>
      <c r="F41" s="41">
        <f t="shared" si="3"/>
        <v>12</v>
      </c>
      <c r="G41" s="42"/>
      <c r="H41" s="42"/>
      <c r="I41" s="42"/>
      <c r="J41" s="42"/>
      <c r="K41" s="42"/>
      <c r="L41" s="42"/>
      <c r="M41" s="42"/>
      <c r="N41" s="42"/>
      <c r="O41" s="42"/>
      <c r="P41" s="42">
        <v>1</v>
      </c>
      <c r="Q41" s="42">
        <v>1</v>
      </c>
      <c r="R41" s="42">
        <v>1</v>
      </c>
      <c r="S41" s="42">
        <v>1</v>
      </c>
      <c r="T41" s="42">
        <v>1</v>
      </c>
      <c r="U41" s="42">
        <v>1</v>
      </c>
      <c r="V41" s="42">
        <v>1</v>
      </c>
      <c r="W41" s="42"/>
      <c r="X41" s="42">
        <v>1</v>
      </c>
      <c r="Y41" s="42">
        <v>1</v>
      </c>
      <c r="Z41" s="42">
        <v>1</v>
      </c>
      <c r="AA41" s="42">
        <v>1</v>
      </c>
      <c r="AB41" s="42">
        <v>1</v>
      </c>
      <c r="AC41" s="42"/>
      <c r="AD41" s="42"/>
      <c r="AE41" s="41">
        <f t="shared" si="1"/>
        <v>12</v>
      </c>
      <c r="AF41" s="43" t="s">
        <v>316</v>
      </c>
      <c r="AG41" s="44" t="s">
        <v>416</v>
      </c>
    </row>
    <row r="42" spans="1:33" ht="14.25" customHeight="1">
      <c r="A42" s="38" t="s">
        <v>41</v>
      </c>
      <c r="B42" s="38" t="s">
        <v>124</v>
      </c>
      <c r="C42" s="38">
        <v>979137365</v>
      </c>
      <c r="D42" s="39">
        <v>34</v>
      </c>
      <c r="E42" s="40" t="s">
        <v>125</v>
      </c>
      <c r="F42" s="41">
        <f t="shared" si="3"/>
        <v>11</v>
      </c>
      <c r="G42" s="42"/>
      <c r="H42" s="42"/>
      <c r="I42" s="42"/>
      <c r="J42" s="42"/>
      <c r="K42" s="42"/>
      <c r="L42" s="42"/>
      <c r="M42" s="42"/>
      <c r="N42" s="42">
        <v>1</v>
      </c>
      <c r="O42" s="42">
        <v>1</v>
      </c>
      <c r="P42" s="42">
        <v>1</v>
      </c>
      <c r="Q42" s="42">
        <v>1</v>
      </c>
      <c r="R42" s="42">
        <v>1</v>
      </c>
      <c r="S42" s="42">
        <v>1</v>
      </c>
      <c r="T42" s="42">
        <v>1</v>
      </c>
      <c r="U42" s="42">
        <v>1</v>
      </c>
      <c r="V42" s="42">
        <v>1</v>
      </c>
      <c r="W42" s="42"/>
      <c r="X42" s="42">
        <v>1</v>
      </c>
      <c r="Y42" s="42">
        <v>1</v>
      </c>
      <c r="Z42" s="42"/>
      <c r="AA42" s="42"/>
      <c r="AB42" s="42"/>
      <c r="AC42" s="42"/>
      <c r="AD42" s="42"/>
      <c r="AE42" s="41">
        <f t="shared" si="1"/>
        <v>11</v>
      </c>
      <c r="AF42" s="46" t="s">
        <v>426</v>
      </c>
      <c r="AG42" s="44" t="s">
        <v>416</v>
      </c>
    </row>
    <row r="43" spans="1:33" ht="14.25" customHeight="1">
      <c r="A43" s="38" t="s">
        <v>41</v>
      </c>
      <c r="B43" s="38" t="s">
        <v>126</v>
      </c>
      <c r="C43" s="38">
        <v>986256130</v>
      </c>
      <c r="D43" s="39">
        <v>35</v>
      </c>
      <c r="E43" s="40" t="s">
        <v>127</v>
      </c>
      <c r="F43" s="41">
        <f t="shared" si="3"/>
        <v>11</v>
      </c>
      <c r="G43" s="42"/>
      <c r="H43" s="42"/>
      <c r="I43" s="42"/>
      <c r="J43" s="42"/>
      <c r="K43" s="42"/>
      <c r="L43" s="42"/>
      <c r="M43" s="42"/>
      <c r="N43" s="42">
        <v>1</v>
      </c>
      <c r="O43" s="42">
        <v>1</v>
      </c>
      <c r="P43" s="42">
        <v>1</v>
      </c>
      <c r="Q43" s="42">
        <v>1</v>
      </c>
      <c r="R43" s="42">
        <v>1</v>
      </c>
      <c r="S43" s="42">
        <v>1</v>
      </c>
      <c r="T43" s="42">
        <v>1</v>
      </c>
      <c r="U43" s="42">
        <v>1</v>
      </c>
      <c r="V43" s="42">
        <v>1</v>
      </c>
      <c r="W43" s="42">
        <v>1</v>
      </c>
      <c r="X43" s="42">
        <v>1</v>
      </c>
      <c r="Y43" s="42"/>
      <c r="Z43" s="42"/>
      <c r="AA43" s="42"/>
      <c r="AB43" s="42"/>
      <c r="AC43" s="42"/>
      <c r="AD43" s="42"/>
      <c r="AE43" s="41">
        <f t="shared" si="1"/>
        <v>11</v>
      </c>
      <c r="AF43" s="43" t="s">
        <v>154</v>
      </c>
      <c r="AG43" s="44" t="s">
        <v>416</v>
      </c>
    </row>
    <row r="44" spans="1:33" ht="14.25" customHeight="1">
      <c r="A44" s="38" t="s">
        <v>41</v>
      </c>
      <c r="B44" s="38" t="s">
        <v>128</v>
      </c>
      <c r="C44" s="38"/>
      <c r="D44" s="39">
        <v>36</v>
      </c>
      <c r="E44" s="122" t="s">
        <v>129</v>
      </c>
      <c r="F44" s="41">
        <f t="shared" si="3"/>
        <v>0</v>
      </c>
      <c r="G44" s="42"/>
      <c r="H44" s="42"/>
      <c r="I44" s="42"/>
      <c r="J44" s="42"/>
      <c r="K44" s="42"/>
      <c r="L44" s="42"/>
      <c r="M44" s="42"/>
      <c r="N44" s="42"/>
      <c r="O44" s="78" t="s">
        <v>231</v>
      </c>
      <c r="P44" s="78" t="s">
        <v>231</v>
      </c>
      <c r="Q44" s="78" t="s">
        <v>231</v>
      </c>
      <c r="R44" s="78" t="s">
        <v>231</v>
      </c>
      <c r="S44" s="78" t="s">
        <v>231</v>
      </c>
      <c r="T44" s="78" t="s">
        <v>231</v>
      </c>
      <c r="U44" s="78" t="s">
        <v>231</v>
      </c>
      <c r="V44" s="78" t="s">
        <v>231</v>
      </c>
      <c r="W44" s="42"/>
      <c r="X44" s="78" t="s">
        <v>231</v>
      </c>
      <c r="Y44" s="78" t="s">
        <v>231</v>
      </c>
      <c r="Z44" s="78" t="s">
        <v>231</v>
      </c>
      <c r="AA44" s="78" t="s">
        <v>231</v>
      </c>
      <c r="AB44" s="78" t="s">
        <v>231</v>
      </c>
      <c r="AC44" s="42"/>
      <c r="AD44" s="42"/>
      <c r="AE44" s="41">
        <f t="shared" si="1"/>
        <v>0</v>
      </c>
      <c r="AF44" s="43" t="s">
        <v>344</v>
      </c>
      <c r="AG44" s="44" t="s">
        <v>416</v>
      </c>
    </row>
    <row r="45" spans="1:33" ht="14.25" customHeight="1">
      <c r="A45" s="38" t="s">
        <v>41</v>
      </c>
      <c r="B45" s="38" t="s">
        <v>130</v>
      </c>
      <c r="C45" s="38">
        <v>998810875</v>
      </c>
      <c r="D45" s="39">
        <v>37</v>
      </c>
      <c r="E45" s="40" t="s">
        <v>131</v>
      </c>
      <c r="F45" s="41">
        <f t="shared" si="3"/>
        <v>13</v>
      </c>
      <c r="G45" s="42"/>
      <c r="H45" s="42"/>
      <c r="I45" s="42"/>
      <c r="J45" s="42"/>
      <c r="K45" s="42"/>
      <c r="L45" s="42"/>
      <c r="M45" s="42"/>
      <c r="N45" s="42"/>
      <c r="O45" s="42"/>
      <c r="P45" s="42">
        <v>1</v>
      </c>
      <c r="Q45" s="42">
        <v>1</v>
      </c>
      <c r="R45" s="42">
        <v>1</v>
      </c>
      <c r="S45" s="42">
        <v>1</v>
      </c>
      <c r="T45" s="42">
        <v>1</v>
      </c>
      <c r="U45" s="42">
        <v>1</v>
      </c>
      <c r="V45" s="42">
        <v>1</v>
      </c>
      <c r="W45" s="42">
        <v>1</v>
      </c>
      <c r="X45" s="42">
        <v>1</v>
      </c>
      <c r="Y45" s="42"/>
      <c r="Z45" s="42">
        <v>1</v>
      </c>
      <c r="AA45" s="42">
        <v>1</v>
      </c>
      <c r="AB45" s="42">
        <v>1</v>
      </c>
      <c r="AC45" s="42">
        <v>1</v>
      </c>
      <c r="AD45" s="42"/>
      <c r="AE45" s="41">
        <f t="shared" si="1"/>
        <v>13</v>
      </c>
      <c r="AF45" s="43" t="s">
        <v>427</v>
      </c>
      <c r="AG45" s="44" t="s">
        <v>416</v>
      </c>
    </row>
    <row r="46" spans="1:33" ht="14.25" customHeight="1">
      <c r="A46" s="76" t="s">
        <v>209</v>
      </c>
      <c r="B46" s="76" t="s">
        <v>49</v>
      </c>
      <c r="C46" s="76">
        <v>983804379</v>
      </c>
      <c r="D46" s="86">
        <v>1</v>
      </c>
      <c r="E46" s="157" t="s">
        <v>50</v>
      </c>
      <c r="F46" s="88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0</v>
      </c>
      <c r="AA46" s="77">
        <v>0</v>
      </c>
      <c r="AB46" s="77">
        <v>0</v>
      </c>
      <c r="AC46" s="77">
        <v>0</v>
      </c>
      <c r="AD46" s="77">
        <v>0</v>
      </c>
      <c r="AE46" s="88">
        <f t="shared" si="1"/>
        <v>0</v>
      </c>
      <c r="AF46" s="138" t="s">
        <v>225</v>
      </c>
      <c r="AG46" s="44" t="s">
        <v>416</v>
      </c>
    </row>
    <row r="47" spans="1:33" ht="14.25" customHeight="1">
      <c r="A47" s="76" t="s">
        <v>209</v>
      </c>
      <c r="B47" s="76" t="s">
        <v>134</v>
      </c>
      <c r="C47" s="76">
        <v>962839078</v>
      </c>
      <c r="D47" s="86">
        <v>2</v>
      </c>
      <c r="E47" s="157" t="s">
        <v>135</v>
      </c>
      <c r="F47" s="88">
        <v>0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0</v>
      </c>
      <c r="Z47" s="77">
        <v>0</v>
      </c>
      <c r="AA47" s="77">
        <v>0</v>
      </c>
      <c r="AB47" s="77">
        <v>0</v>
      </c>
      <c r="AC47" s="77">
        <v>0</v>
      </c>
      <c r="AD47" s="77">
        <v>0</v>
      </c>
      <c r="AE47" s="88">
        <f t="shared" si="1"/>
        <v>0</v>
      </c>
      <c r="AF47" s="138" t="s">
        <v>225</v>
      </c>
      <c r="AG47" s="44" t="s">
        <v>416</v>
      </c>
    </row>
    <row r="48" spans="1:33" ht="14.25" customHeight="1">
      <c r="A48" s="76" t="s">
        <v>209</v>
      </c>
      <c r="B48" s="76" t="s">
        <v>139</v>
      </c>
      <c r="C48" s="76">
        <v>990660059</v>
      </c>
      <c r="D48" s="86">
        <v>3</v>
      </c>
      <c r="E48" s="157" t="s">
        <v>140</v>
      </c>
      <c r="F48" s="88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  <c r="Z48" s="77">
        <v>0</v>
      </c>
      <c r="AA48" s="77">
        <v>0</v>
      </c>
      <c r="AB48" s="77">
        <v>0</v>
      </c>
      <c r="AC48" s="77">
        <v>0</v>
      </c>
      <c r="AD48" s="77">
        <v>0</v>
      </c>
      <c r="AE48" s="88">
        <f t="shared" si="1"/>
        <v>0</v>
      </c>
      <c r="AF48" s="138" t="s">
        <v>225</v>
      </c>
      <c r="AG48" s="44" t="s">
        <v>416</v>
      </c>
    </row>
    <row r="49" spans="1:33" ht="14.25" customHeight="1">
      <c r="A49" s="76" t="s">
        <v>209</v>
      </c>
      <c r="B49" s="76" t="s">
        <v>173</v>
      </c>
      <c r="C49" s="76">
        <v>988941361</v>
      </c>
      <c r="D49" s="90">
        <v>4</v>
      </c>
      <c r="E49" s="157" t="s">
        <v>174</v>
      </c>
      <c r="F49" s="88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  <c r="Z49" s="77">
        <v>0</v>
      </c>
      <c r="AA49" s="77">
        <v>0</v>
      </c>
      <c r="AB49" s="77">
        <v>0</v>
      </c>
      <c r="AC49" s="77">
        <v>0</v>
      </c>
      <c r="AD49" s="77">
        <v>0</v>
      </c>
      <c r="AE49" s="88">
        <f t="shared" si="1"/>
        <v>0</v>
      </c>
      <c r="AF49" s="138" t="s">
        <v>225</v>
      </c>
      <c r="AG49" s="44" t="s">
        <v>416</v>
      </c>
    </row>
    <row r="50" spans="1:33" ht="14.25" customHeight="1">
      <c r="A50" s="76" t="s">
        <v>209</v>
      </c>
      <c r="B50" s="76" t="s">
        <v>117</v>
      </c>
      <c r="C50" s="76"/>
      <c r="D50" s="86">
        <v>5</v>
      </c>
      <c r="E50" s="157" t="s">
        <v>118</v>
      </c>
      <c r="F50" s="88">
        <v>0</v>
      </c>
      <c r="G50" s="77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  <c r="Z50" s="77">
        <v>0</v>
      </c>
      <c r="AA50" s="77">
        <v>0</v>
      </c>
      <c r="AB50" s="77">
        <v>0</v>
      </c>
      <c r="AC50" s="77">
        <v>0</v>
      </c>
      <c r="AD50" s="77">
        <v>0</v>
      </c>
      <c r="AE50" s="88">
        <f t="shared" si="1"/>
        <v>0</v>
      </c>
      <c r="AF50" s="111" t="s">
        <v>159</v>
      </c>
      <c r="AG50" s="44" t="s">
        <v>416</v>
      </c>
    </row>
    <row r="51" spans="1:33" ht="14.25" customHeight="1">
      <c r="A51" s="76" t="s">
        <v>209</v>
      </c>
      <c r="B51" s="76" t="s">
        <v>142</v>
      </c>
      <c r="C51" s="76">
        <v>982807786</v>
      </c>
      <c r="D51" s="86">
        <v>6</v>
      </c>
      <c r="E51" s="157" t="s">
        <v>143</v>
      </c>
      <c r="F51" s="88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  <c r="Z51" s="77">
        <v>0</v>
      </c>
      <c r="AA51" s="77">
        <v>0</v>
      </c>
      <c r="AB51" s="77">
        <v>0</v>
      </c>
      <c r="AC51" s="77">
        <v>0</v>
      </c>
      <c r="AD51" s="77">
        <v>0</v>
      </c>
      <c r="AE51" s="88">
        <f t="shared" si="1"/>
        <v>0</v>
      </c>
      <c r="AF51" s="138" t="s">
        <v>225</v>
      </c>
      <c r="AG51" s="44" t="s">
        <v>416</v>
      </c>
    </row>
    <row r="52" spans="1:33" ht="14.25" customHeight="1">
      <c r="A52" s="38" t="s">
        <v>292</v>
      </c>
      <c r="B52" s="38" t="s">
        <v>137</v>
      </c>
      <c r="C52" s="38">
        <v>984891008</v>
      </c>
      <c r="D52" s="39">
        <v>1</v>
      </c>
      <c r="E52" s="131" t="s">
        <v>138</v>
      </c>
      <c r="F52" s="41">
        <v>12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78" t="s">
        <v>231</v>
      </c>
      <c r="R52" s="78" t="s">
        <v>231</v>
      </c>
      <c r="S52" s="78" t="s">
        <v>231</v>
      </c>
      <c r="T52" s="78" t="s">
        <v>231</v>
      </c>
      <c r="U52" s="42">
        <v>1</v>
      </c>
      <c r="V52" s="573" t="s">
        <v>292</v>
      </c>
      <c r="W52" s="555"/>
      <c r="X52" s="555"/>
      <c r="Y52" s="555"/>
      <c r="Z52" s="555"/>
      <c r="AA52" s="555"/>
      <c r="AB52" s="555"/>
      <c r="AC52" s="555"/>
      <c r="AD52" s="42"/>
      <c r="AE52" s="114">
        <v>9</v>
      </c>
      <c r="AF52" s="43" t="s">
        <v>319</v>
      </c>
      <c r="AG52" s="44" t="s">
        <v>416</v>
      </c>
    </row>
    <row r="53" spans="1:33" ht="14.25" customHeight="1">
      <c r="A53" s="38" t="s">
        <v>292</v>
      </c>
      <c r="B53" s="38" t="s">
        <v>190</v>
      </c>
      <c r="C53" s="38">
        <v>983356603</v>
      </c>
      <c r="D53" s="39">
        <v>2</v>
      </c>
      <c r="E53" s="131" t="s">
        <v>191</v>
      </c>
      <c r="F53" s="41">
        <v>10</v>
      </c>
      <c r="G53" s="47"/>
      <c r="H53" s="47"/>
      <c r="I53" s="47"/>
      <c r="J53" s="47"/>
      <c r="K53" s="47"/>
      <c r="L53" s="47"/>
      <c r="M53" s="42"/>
      <c r="N53" s="573" t="s">
        <v>292</v>
      </c>
      <c r="O53" s="555"/>
      <c r="P53" s="555"/>
      <c r="Q53" s="555"/>
      <c r="R53" s="555"/>
      <c r="S53" s="555"/>
      <c r="T53" s="555"/>
      <c r="U53" s="555"/>
      <c r="V53" s="42">
        <v>1</v>
      </c>
      <c r="W53" s="42"/>
      <c r="X53" s="42"/>
      <c r="Y53" s="42"/>
      <c r="Z53" s="42"/>
      <c r="AA53" s="42"/>
      <c r="AB53" s="42"/>
      <c r="AC53" s="42"/>
      <c r="AD53" s="47"/>
      <c r="AE53" s="41">
        <v>9</v>
      </c>
      <c r="AF53" s="43" t="s">
        <v>428</v>
      </c>
      <c r="AG53" s="44" t="s">
        <v>416</v>
      </c>
    </row>
    <row r="54" spans="1:33" ht="14.25" customHeight="1">
      <c r="A54" s="38" t="s">
        <v>187</v>
      </c>
      <c r="B54" s="38" t="s">
        <v>188</v>
      </c>
      <c r="C54" s="38"/>
      <c r="D54" s="39">
        <v>1</v>
      </c>
      <c r="E54" s="132" t="s">
        <v>189</v>
      </c>
      <c r="F54" s="41">
        <v>11</v>
      </c>
      <c r="G54" s="47"/>
      <c r="H54" s="47"/>
      <c r="I54" s="47"/>
      <c r="J54" s="47"/>
      <c r="K54" s="47"/>
      <c r="L54" s="47"/>
      <c r="M54" s="47"/>
      <c r="N54" s="47"/>
      <c r="O54" s="47"/>
      <c r="P54" s="573" t="s">
        <v>187</v>
      </c>
      <c r="Q54" s="555"/>
      <c r="R54" s="555"/>
      <c r="S54" s="555"/>
      <c r="T54" s="555"/>
      <c r="U54" s="555"/>
      <c r="V54" s="555"/>
      <c r="W54" s="555"/>
      <c r="X54" s="555"/>
      <c r="Y54" s="555"/>
      <c r="Z54" s="555"/>
      <c r="AA54" s="47"/>
      <c r="AB54" s="47"/>
      <c r="AC54" s="47"/>
      <c r="AD54" s="47"/>
      <c r="AE54" s="41">
        <v>11</v>
      </c>
      <c r="AF54" s="43" t="s">
        <v>164</v>
      </c>
      <c r="AG54" s="44" t="s">
        <v>416</v>
      </c>
    </row>
    <row r="55" spans="1:33" ht="14.25" customHeight="1">
      <c r="A55" s="76" t="s">
        <v>390</v>
      </c>
      <c r="B55" s="76"/>
      <c r="C55" s="76"/>
      <c r="D55" s="86">
        <v>1</v>
      </c>
      <c r="E55" s="158" t="s">
        <v>363</v>
      </c>
      <c r="F55" s="88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  <c r="Z55" s="77">
        <v>0</v>
      </c>
      <c r="AA55" s="77">
        <v>0</v>
      </c>
      <c r="AB55" s="77">
        <v>0</v>
      </c>
      <c r="AC55" s="77">
        <v>0</v>
      </c>
      <c r="AD55" s="77">
        <v>0</v>
      </c>
      <c r="AE55" s="88">
        <f>SUM(G55:AD55)</f>
        <v>0</v>
      </c>
      <c r="AF55" s="138" t="s">
        <v>225</v>
      </c>
      <c r="AG55" s="44" t="s">
        <v>416</v>
      </c>
    </row>
    <row r="56" spans="1:33" ht="14.25" customHeight="1">
      <c r="A56" s="2"/>
      <c r="B56" s="2"/>
      <c r="C56" s="2"/>
      <c r="D56" s="48"/>
      <c r="E56" s="49"/>
      <c r="F56" s="50"/>
      <c r="G56" s="51" t="s">
        <v>9</v>
      </c>
      <c r="H56" s="51" t="s">
        <v>10</v>
      </c>
      <c r="I56" s="51" t="s">
        <v>11</v>
      </c>
      <c r="J56" s="51" t="s">
        <v>12</v>
      </c>
      <c r="K56" s="51" t="s">
        <v>13</v>
      </c>
      <c r="L56" s="51" t="s">
        <v>14</v>
      </c>
      <c r="M56" s="51" t="s">
        <v>15</v>
      </c>
      <c r="N56" s="51" t="s">
        <v>16</v>
      </c>
      <c r="O56" s="51" t="s">
        <v>17</v>
      </c>
      <c r="P56" s="106" t="s">
        <v>18</v>
      </c>
      <c r="Q56" s="107" t="s">
        <v>19</v>
      </c>
      <c r="R56" s="107" t="s">
        <v>20</v>
      </c>
      <c r="S56" s="107" t="s">
        <v>21</v>
      </c>
      <c r="T56" s="107" t="s">
        <v>22</v>
      </c>
      <c r="U56" s="107" t="s">
        <v>23</v>
      </c>
      <c r="V56" s="107" t="s">
        <v>24</v>
      </c>
      <c r="W56" s="107" t="s">
        <v>25</v>
      </c>
      <c r="X56" s="107" t="s">
        <v>26</v>
      </c>
      <c r="Y56" s="107" t="s">
        <v>27</v>
      </c>
      <c r="Z56" s="107" t="s">
        <v>28</v>
      </c>
      <c r="AA56" s="52" t="s">
        <v>29</v>
      </c>
      <c r="AB56" s="52" t="s">
        <v>30</v>
      </c>
      <c r="AC56" s="52" t="s">
        <v>31</v>
      </c>
      <c r="AD56" s="51" t="s">
        <v>32</v>
      </c>
      <c r="AE56" s="53"/>
      <c r="AF56" s="25"/>
      <c r="AG56" s="25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3"/>
      <c r="B58" s="3"/>
      <c r="C58" s="3"/>
      <c r="D58" s="48"/>
      <c r="E58" s="547" t="s">
        <v>8</v>
      </c>
      <c r="F58" s="548"/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12">
        <v>2</v>
      </c>
      <c r="N58" s="12">
        <v>2</v>
      </c>
      <c r="O58" s="79">
        <v>3</v>
      </c>
      <c r="P58" s="56">
        <v>4</v>
      </c>
      <c r="Q58" s="83">
        <v>5</v>
      </c>
      <c r="R58" s="83">
        <v>5</v>
      </c>
      <c r="S58" s="83">
        <v>5</v>
      </c>
      <c r="T58" s="83">
        <v>5</v>
      </c>
      <c r="U58" s="83">
        <v>5</v>
      </c>
      <c r="V58" s="83">
        <v>5</v>
      </c>
      <c r="W58" s="56">
        <v>4</v>
      </c>
      <c r="X58" s="56">
        <v>4</v>
      </c>
      <c r="Y58" s="56">
        <v>4</v>
      </c>
      <c r="Z58" s="56">
        <v>4</v>
      </c>
      <c r="AA58" s="79">
        <v>3</v>
      </c>
      <c r="AB58" s="79">
        <v>3</v>
      </c>
      <c r="AC58" s="12">
        <v>2</v>
      </c>
      <c r="AD58" s="12">
        <v>2</v>
      </c>
      <c r="AE58" s="18">
        <f>SUM(G58:AD58)</f>
        <v>79</v>
      </c>
      <c r="AF58" s="25"/>
      <c r="AG58" s="3"/>
    </row>
    <row r="59" spans="1:33" ht="14.25" customHeight="1">
      <c r="A59" s="3"/>
      <c r="B59" s="3"/>
      <c r="C59" s="3"/>
      <c r="D59" s="48"/>
      <c r="E59" s="59"/>
      <c r="F59" s="59"/>
      <c r="G59" s="28">
        <f t="shared" ref="G59:AD59" si="4">G61-G58</f>
        <v>0</v>
      </c>
      <c r="H59" s="28">
        <f t="shared" si="4"/>
        <v>0</v>
      </c>
      <c r="I59" s="28">
        <f t="shared" si="4"/>
        <v>0</v>
      </c>
      <c r="J59" s="28">
        <f t="shared" si="4"/>
        <v>0</v>
      </c>
      <c r="K59" s="28">
        <f t="shared" si="4"/>
        <v>0</v>
      </c>
      <c r="L59" s="28">
        <f t="shared" si="4"/>
        <v>0</v>
      </c>
      <c r="M59" s="28">
        <f t="shared" si="4"/>
        <v>0</v>
      </c>
      <c r="N59" s="28">
        <f t="shared" si="4"/>
        <v>0</v>
      </c>
      <c r="O59" s="28">
        <f t="shared" si="4"/>
        <v>-1</v>
      </c>
      <c r="P59" s="125">
        <f t="shared" si="4"/>
        <v>-2</v>
      </c>
      <c r="Q59" s="28">
        <f t="shared" si="4"/>
        <v>-2</v>
      </c>
      <c r="R59" s="28">
        <f t="shared" si="4"/>
        <v>-2</v>
      </c>
      <c r="S59" s="28">
        <f t="shared" si="4"/>
        <v>-2</v>
      </c>
      <c r="T59" s="28">
        <f t="shared" si="4"/>
        <v>-2</v>
      </c>
      <c r="U59" s="28">
        <f t="shared" si="4"/>
        <v>-2</v>
      </c>
      <c r="V59" s="28">
        <f t="shared" si="4"/>
        <v>-2</v>
      </c>
      <c r="W59" s="28">
        <f t="shared" si="4"/>
        <v>-2</v>
      </c>
      <c r="X59" s="28">
        <f t="shared" si="4"/>
        <v>-1</v>
      </c>
      <c r="Y59" s="28">
        <f t="shared" si="4"/>
        <v>-1</v>
      </c>
      <c r="Z59" s="28">
        <f t="shared" si="4"/>
        <v>-1</v>
      </c>
      <c r="AA59" s="155">
        <f t="shared" si="4"/>
        <v>-1</v>
      </c>
      <c r="AB59" s="155">
        <f t="shared" si="4"/>
        <v>-1</v>
      </c>
      <c r="AC59" s="28">
        <f t="shared" si="4"/>
        <v>0</v>
      </c>
      <c r="AD59" s="28">
        <f t="shared" si="4"/>
        <v>0</v>
      </c>
      <c r="AE59" s="53"/>
      <c r="AF59" s="3"/>
      <c r="AG59" s="3"/>
    </row>
    <row r="60" spans="1:33" ht="14.25" customHeight="1">
      <c r="A60" s="3"/>
      <c r="B60" s="3"/>
      <c r="C60" s="3"/>
      <c r="D60" s="48"/>
      <c r="E60" s="60" t="s">
        <v>145</v>
      </c>
      <c r="F60" s="59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51" t="s">
        <v>17</v>
      </c>
      <c r="P60" s="51" t="s">
        <v>18</v>
      </c>
      <c r="Q60" s="52" t="s">
        <v>19</v>
      </c>
      <c r="R60" s="52" t="s">
        <v>20</v>
      </c>
      <c r="S60" s="52" t="s">
        <v>21</v>
      </c>
      <c r="T60" s="52" t="s">
        <v>22</v>
      </c>
      <c r="U60" s="52" t="s">
        <v>23</v>
      </c>
      <c r="V60" s="52" t="s">
        <v>24</v>
      </c>
      <c r="W60" s="52" t="s">
        <v>25</v>
      </c>
      <c r="X60" s="52" t="s">
        <v>26</v>
      </c>
      <c r="Y60" s="52" t="s">
        <v>27</v>
      </c>
      <c r="Z60" s="52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3"/>
    </row>
    <row r="61" spans="1:33" ht="14.25" customHeight="1">
      <c r="A61" s="3"/>
      <c r="B61" s="3"/>
      <c r="C61" s="3"/>
      <c r="D61" s="48"/>
      <c r="E61" s="61" t="s">
        <v>37</v>
      </c>
      <c r="F61" s="37" t="s">
        <v>38</v>
      </c>
      <c r="G61" s="35">
        <f t="shared" ref="G61:AD61" si="5">SUM(G62:G72)</f>
        <v>2</v>
      </c>
      <c r="H61" s="35">
        <f t="shared" si="5"/>
        <v>2</v>
      </c>
      <c r="I61" s="35">
        <f t="shared" si="5"/>
        <v>2</v>
      </c>
      <c r="J61" s="35">
        <f t="shared" si="5"/>
        <v>2</v>
      </c>
      <c r="K61" s="35">
        <f t="shared" si="5"/>
        <v>2</v>
      </c>
      <c r="L61" s="35">
        <f t="shared" si="5"/>
        <v>2</v>
      </c>
      <c r="M61" s="35">
        <f t="shared" si="5"/>
        <v>2</v>
      </c>
      <c r="N61" s="35">
        <f t="shared" si="5"/>
        <v>2</v>
      </c>
      <c r="O61" s="35">
        <f t="shared" si="5"/>
        <v>2</v>
      </c>
      <c r="P61" s="35">
        <f t="shared" si="5"/>
        <v>2</v>
      </c>
      <c r="Q61" s="35">
        <f t="shared" si="5"/>
        <v>3</v>
      </c>
      <c r="R61" s="35">
        <f t="shared" si="5"/>
        <v>3</v>
      </c>
      <c r="S61" s="35">
        <f t="shared" si="5"/>
        <v>3</v>
      </c>
      <c r="T61" s="35">
        <f t="shared" si="5"/>
        <v>3</v>
      </c>
      <c r="U61" s="35">
        <f t="shared" si="5"/>
        <v>3</v>
      </c>
      <c r="V61" s="35">
        <f t="shared" si="5"/>
        <v>3</v>
      </c>
      <c r="W61" s="35">
        <f t="shared" si="5"/>
        <v>2</v>
      </c>
      <c r="X61" s="35">
        <f t="shared" si="5"/>
        <v>3</v>
      </c>
      <c r="Y61" s="35">
        <f t="shared" si="5"/>
        <v>3</v>
      </c>
      <c r="Z61" s="35">
        <f t="shared" si="5"/>
        <v>3</v>
      </c>
      <c r="AA61" s="35">
        <f t="shared" si="5"/>
        <v>2</v>
      </c>
      <c r="AB61" s="35">
        <f t="shared" si="5"/>
        <v>2</v>
      </c>
      <c r="AC61" s="35">
        <f t="shared" si="5"/>
        <v>2</v>
      </c>
      <c r="AD61" s="35">
        <f t="shared" si="5"/>
        <v>2</v>
      </c>
      <c r="AE61" s="30">
        <f t="shared" ref="AE61:AE72" si="6">SUM(G61:AD61)</f>
        <v>57</v>
      </c>
      <c r="AF61" s="36" t="s">
        <v>39</v>
      </c>
      <c r="AG61" s="37" t="s">
        <v>40</v>
      </c>
    </row>
    <row r="62" spans="1:33" ht="14.25" customHeight="1">
      <c r="A62" s="38" t="s">
        <v>145</v>
      </c>
      <c r="B62" s="38" t="s">
        <v>149</v>
      </c>
      <c r="C62" s="38">
        <v>996585473</v>
      </c>
      <c r="D62" s="62">
        <v>1</v>
      </c>
      <c r="E62" s="122" t="s">
        <v>150</v>
      </c>
      <c r="F62" s="41">
        <f t="shared" ref="F62:F72" si="7">SUM(G62:AD62)</f>
        <v>10</v>
      </c>
      <c r="G62" s="42"/>
      <c r="H62" s="42"/>
      <c r="I62" s="42"/>
      <c r="J62" s="42"/>
      <c r="K62" s="42"/>
      <c r="L62" s="42"/>
      <c r="M62" s="42">
        <v>1</v>
      </c>
      <c r="N62" s="42">
        <v>1</v>
      </c>
      <c r="O62" s="42">
        <v>1</v>
      </c>
      <c r="P62" s="42">
        <v>1</v>
      </c>
      <c r="Q62" s="42">
        <v>1</v>
      </c>
      <c r="R62" s="42">
        <v>1</v>
      </c>
      <c r="S62" s="42">
        <v>1</v>
      </c>
      <c r="T62" s="42">
        <v>1</v>
      </c>
      <c r="U62" s="42">
        <v>1</v>
      </c>
      <c r="V62" s="42">
        <v>1</v>
      </c>
      <c r="W62" s="42"/>
      <c r="X62" s="42"/>
      <c r="Y62" s="42"/>
      <c r="Z62" s="42"/>
      <c r="AA62" s="42"/>
      <c r="AB62" s="42"/>
      <c r="AC62" s="42"/>
      <c r="AD62" s="42"/>
      <c r="AE62" s="41">
        <f t="shared" si="6"/>
        <v>10</v>
      </c>
      <c r="AF62" s="43" t="s">
        <v>151</v>
      </c>
      <c r="AG62" s="44" t="s">
        <v>416</v>
      </c>
    </row>
    <row r="63" spans="1:33" ht="14.25" customHeight="1">
      <c r="A63" s="76" t="s">
        <v>145</v>
      </c>
      <c r="B63" s="76" t="s">
        <v>212</v>
      </c>
      <c r="C63" s="76"/>
      <c r="D63" s="90">
        <v>2</v>
      </c>
      <c r="E63" s="87" t="s">
        <v>153</v>
      </c>
      <c r="F63" s="88">
        <f t="shared" si="7"/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0</v>
      </c>
      <c r="Z63" s="77">
        <v>0</v>
      </c>
      <c r="AA63" s="77">
        <v>0</v>
      </c>
      <c r="AB63" s="77">
        <v>0</v>
      </c>
      <c r="AC63" s="77">
        <v>0</v>
      </c>
      <c r="AD63" s="77">
        <v>0</v>
      </c>
      <c r="AE63" s="88">
        <f t="shared" si="6"/>
        <v>0</v>
      </c>
      <c r="AF63" s="138" t="s">
        <v>225</v>
      </c>
      <c r="AG63" s="44" t="s">
        <v>416</v>
      </c>
    </row>
    <row r="64" spans="1:33" ht="14.25" customHeight="1">
      <c r="A64" s="38" t="s">
        <v>145</v>
      </c>
      <c r="B64" s="38" t="s">
        <v>155</v>
      </c>
      <c r="C64" s="38">
        <v>969250973</v>
      </c>
      <c r="D64" s="62">
        <v>3</v>
      </c>
      <c r="E64" s="40" t="s">
        <v>156</v>
      </c>
      <c r="F64" s="41">
        <f t="shared" si="7"/>
        <v>0</v>
      </c>
      <c r="G64" s="42"/>
      <c r="H64" s="42"/>
      <c r="I64" s="42"/>
      <c r="J64" s="42"/>
      <c r="K64" s="42"/>
      <c r="L64" s="42"/>
      <c r="M64" s="42"/>
      <c r="N64" s="42"/>
      <c r="O64" s="42"/>
      <c r="P64" s="78" t="s">
        <v>231</v>
      </c>
      <c r="Q64" s="78" t="s">
        <v>231</v>
      </c>
      <c r="R64" s="78" t="s">
        <v>231</v>
      </c>
      <c r="S64" s="78" t="s">
        <v>231</v>
      </c>
      <c r="T64" s="78" t="s">
        <v>231</v>
      </c>
      <c r="U64" s="78" t="s">
        <v>231</v>
      </c>
      <c r="V64" s="78" t="s">
        <v>231</v>
      </c>
      <c r="W64" s="78" t="s">
        <v>231</v>
      </c>
      <c r="X64" s="78" t="s">
        <v>231</v>
      </c>
      <c r="Y64" s="78" t="s">
        <v>231</v>
      </c>
      <c r="Z64" s="42"/>
      <c r="AA64" s="78" t="s">
        <v>231</v>
      </c>
      <c r="AB64" s="78" t="s">
        <v>231</v>
      </c>
      <c r="AC64" s="42"/>
      <c r="AD64" s="42"/>
      <c r="AE64" s="41">
        <f t="shared" si="6"/>
        <v>0</v>
      </c>
      <c r="AF64" s="46" t="s">
        <v>386</v>
      </c>
      <c r="AG64" s="44" t="s">
        <v>416</v>
      </c>
    </row>
    <row r="65" spans="1:33" ht="14.25" customHeight="1">
      <c r="A65" s="76" t="s">
        <v>145</v>
      </c>
      <c r="B65" s="76" t="s">
        <v>157</v>
      </c>
      <c r="C65" s="76">
        <v>990911747</v>
      </c>
      <c r="D65" s="90">
        <v>4</v>
      </c>
      <c r="E65" s="87" t="s">
        <v>158</v>
      </c>
      <c r="F65" s="88">
        <f t="shared" si="7"/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  <c r="Z65" s="77">
        <v>0</v>
      </c>
      <c r="AA65" s="77">
        <v>0</v>
      </c>
      <c r="AB65" s="77">
        <v>0</v>
      </c>
      <c r="AC65" s="77">
        <v>0</v>
      </c>
      <c r="AD65" s="77">
        <v>0</v>
      </c>
      <c r="AE65" s="88">
        <f t="shared" si="6"/>
        <v>0</v>
      </c>
      <c r="AF65" s="138" t="s">
        <v>225</v>
      </c>
      <c r="AG65" s="44" t="s">
        <v>416</v>
      </c>
    </row>
    <row r="66" spans="1:33" ht="14.25" customHeight="1">
      <c r="A66" s="38" t="s">
        <v>145</v>
      </c>
      <c r="B66" s="38" t="s">
        <v>160</v>
      </c>
      <c r="C66" s="38">
        <v>993901115</v>
      </c>
      <c r="D66" s="62">
        <v>5</v>
      </c>
      <c r="E66" s="40" t="s">
        <v>161</v>
      </c>
      <c r="F66" s="41">
        <f t="shared" si="7"/>
        <v>7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>
        <v>1</v>
      </c>
      <c r="Y66" s="42">
        <v>1</v>
      </c>
      <c r="Z66" s="42">
        <v>1</v>
      </c>
      <c r="AA66" s="42">
        <v>1</v>
      </c>
      <c r="AB66" s="42">
        <v>1</v>
      </c>
      <c r="AC66" s="42">
        <v>1</v>
      </c>
      <c r="AD66" s="42">
        <v>1</v>
      </c>
      <c r="AE66" s="41">
        <f t="shared" si="6"/>
        <v>7</v>
      </c>
      <c r="AF66" s="46" t="s">
        <v>74</v>
      </c>
      <c r="AG66" s="44" t="s">
        <v>416</v>
      </c>
    </row>
    <row r="67" spans="1:33" ht="14.25" customHeight="1">
      <c r="A67" s="38" t="s">
        <v>145</v>
      </c>
      <c r="B67" s="38" t="s">
        <v>165</v>
      </c>
      <c r="C67" s="38">
        <v>992994680</v>
      </c>
      <c r="D67" s="62">
        <v>6</v>
      </c>
      <c r="E67" s="40" t="s">
        <v>166</v>
      </c>
      <c r="F67" s="41">
        <f t="shared" si="7"/>
        <v>7</v>
      </c>
      <c r="G67" s="42">
        <v>1</v>
      </c>
      <c r="H67" s="42">
        <v>1</v>
      </c>
      <c r="I67" s="42">
        <v>1</v>
      </c>
      <c r="J67" s="42">
        <v>1</v>
      </c>
      <c r="K67" s="42">
        <v>1</v>
      </c>
      <c r="L67" s="42">
        <v>1</v>
      </c>
      <c r="M67" s="42">
        <v>1</v>
      </c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1">
        <f t="shared" si="6"/>
        <v>7</v>
      </c>
      <c r="AF67" s="46" t="s">
        <v>284</v>
      </c>
      <c r="AG67" s="44" t="s">
        <v>416</v>
      </c>
    </row>
    <row r="68" spans="1:33" ht="14.25" customHeight="1">
      <c r="A68" s="38" t="s">
        <v>145</v>
      </c>
      <c r="B68" s="38" t="s">
        <v>168</v>
      </c>
      <c r="C68" s="38"/>
      <c r="D68" s="62">
        <v>7</v>
      </c>
      <c r="E68" s="40" t="s">
        <v>169</v>
      </c>
      <c r="F68" s="41">
        <f t="shared" si="7"/>
        <v>12</v>
      </c>
      <c r="G68" s="42">
        <v>1</v>
      </c>
      <c r="H68" s="42">
        <v>1</v>
      </c>
      <c r="I68" s="42">
        <v>1</v>
      </c>
      <c r="J68" s="42">
        <v>1</v>
      </c>
      <c r="K68" s="42">
        <v>1</v>
      </c>
      <c r="L68" s="42">
        <v>1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>
        <v>1</v>
      </c>
      <c r="AE68" s="41">
        <f t="shared" si="6"/>
        <v>12</v>
      </c>
      <c r="AF68" s="46" t="s">
        <v>221</v>
      </c>
      <c r="AG68" s="44" t="s">
        <v>416</v>
      </c>
    </row>
    <row r="69" spans="1:33" ht="14.25" customHeight="1">
      <c r="A69" s="38" t="s">
        <v>145</v>
      </c>
      <c r="B69" s="38" t="s">
        <v>176</v>
      </c>
      <c r="C69" s="38"/>
      <c r="D69" s="62">
        <v>8</v>
      </c>
      <c r="E69" s="40" t="s">
        <v>177</v>
      </c>
      <c r="F69" s="88">
        <f t="shared" si="7"/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88">
        <f t="shared" si="6"/>
        <v>0</v>
      </c>
      <c r="AF69" s="43" t="s">
        <v>225</v>
      </c>
      <c r="AG69" s="44" t="s">
        <v>416</v>
      </c>
    </row>
    <row r="70" spans="1:33" ht="14.25" customHeight="1">
      <c r="A70" s="38" t="s">
        <v>145</v>
      </c>
      <c r="B70" s="38" t="s">
        <v>178</v>
      </c>
      <c r="C70" s="38"/>
      <c r="D70" s="62">
        <v>10</v>
      </c>
      <c r="E70" s="122" t="s">
        <v>179</v>
      </c>
      <c r="F70" s="41">
        <f t="shared" si="7"/>
        <v>10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>
        <v>1</v>
      </c>
      <c r="R70" s="42">
        <v>1</v>
      </c>
      <c r="S70" s="42">
        <v>1</v>
      </c>
      <c r="T70" s="42">
        <v>1</v>
      </c>
      <c r="U70" s="42">
        <v>1</v>
      </c>
      <c r="V70" s="42">
        <v>1</v>
      </c>
      <c r="W70" s="42">
        <v>1</v>
      </c>
      <c r="X70" s="42">
        <v>1</v>
      </c>
      <c r="Y70" s="42">
        <v>1</v>
      </c>
      <c r="Z70" s="42">
        <v>1</v>
      </c>
      <c r="AA70" s="42"/>
      <c r="AB70" s="42"/>
      <c r="AC70" s="42"/>
      <c r="AD70" s="42"/>
      <c r="AE70" s="41">
        <f t="shared" si="6"/>
        <v>10</v>
      </c>
      <c r="AF70" s="43" t="s">
        <v>262</v>
      </c>
      <c r="AG70" s="44" t="s">
        <v>416</v>
      </c>
    </row>
    <row r="71" spans="1:33" ht="14.25" customHeight="1">
      <c r="A71" s="38" t="s">
        <v>145</v>
      </c>
      <c r="B71" s="38" t="s">
        <v>181</v>
      </c>
      <c r="C71" s="38"/>
      <c r="D71" s="62">
        <v>11</v>
      </c>
      <c r="E71" s="122" t="s">
        <v>182</v>
      </c>
      <c r="F71" s="41">
        <f t="shared" si="7"/>
        <v>11</v>
      </c>
      <c r="G71" s="42"/>
      <c r="H71" s="42"/>
      <c r="I71" s="42"/>
      <c r="J71" s="42"/>
      <c r="K71" s="42"/>
      <c r="L71" s="42"/>
      <c r="M71" s="42"/>
      <c r="N71" s="42">
        <v>1</v>
      </c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>
        <v>1</v>
      </c>
      <c r="U71" s="42">
        <v>1</v>
      </c>
      <c r="V71" s="42">
        <v>1</v>
      </c>
      <c r="W71" s="42">
        <v>1</v>
      </c>
      <c r="X71" s="42">
        <v>1</v>
      </c>
      <c r="Y71" s="42"/>
      <c r="Z71" s="42"/>
      <c r="AA71" s="42"/>
      <c r="AB71" s="42"/>
      <c r="AC71" s="42"/>
      <c r="AD71" s="42"/>
      <c r="AE71" s="41">
        <f t="shared" si="6"/>
        <v>11</v>
      </c>
      <c r="AF71" s="43" t="s">
        <v>154</v>
      </c>
      <c r="AG71" s="44" t="s">
        <v>416</v>
      </c>
    </row>
    <row r="72" spans="1:33" ht="14.25" customHeight="1">
      <c r="A72" s="76" t="s">
        <v>145</v>
      </c>
      <c r="B72" s="76" t="s">
        <v>183</v>
      </c>
      <c r="C72" s="76"/>
      <c r="D72" s="90">
        <v>12</v>
      </c>
      <c r="E72" s="87" t="s">
        <v>184</v>
      </c>
      <c r="F72" s="88">
        <f t="shared" si="7"/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88">
        <f t="shared" si="6"/>
        <v>0</v>
      </c>
      <c r="AF72" s="138" t="s">
        <v>225</v>
      </c>
      <c r="AG72" s="44" t="s">
        <v>416</v>
      </c>
    </row>
    <row r="73" spans="1:33" ht="14.25" customHeight="1">
      <c r="A73" s="3"/>
      <c r="B73" s="3"/>
      <c r="C73" s="3"/>
      <c r="D73" s="3"/>
      <c r="E73" s="3"/>
      <c r="F73" s="3"/>
      <c r="G73" s="65" t="s">
        <v>9</v>
      </c>
      <c r="H73" s="65" t="s">
        <v>10</v>
      </c>
      <c r="I73" s="65" t="s">
        <v>11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65" t="s">
        <v>17</v>
      </c>
      <c r="P73" s="65" t="s">
        <v>18</v>
      </c>
      <c r="Q73" s="66" t="s">
        <v>19</v>
      </c>
      <c r="R73" s="66" t="s">
        <v>20</v>
      </c>
      <c r="S73" s="66" t="s">
        <v>21</v>
      </c>
      <c r="T73" s="66" t="s">
        <v>22</v>
      </c>
      <c r="U73" s="66" t="s">
        <v>23</v>
      </c>
      <c r="V73" s="66" t="s">
        <v>24</v>
      </c>
      <c r="W73" s="66" t="s">
        <v>25</v>
      </c>
      <c r="X73" s="66" t="s">
        <v>26</v>
      </c>
      <c r="Y73" s="66" t="s">
        <v>27</v>
      </c>
      <c r="Z73" s="66" t="s">
        <v>28</v>
      </c>
      <c r="AA73" s="66" t="s">
        <v>29</v>
      </c>
      <c r="AB73" s="66" t="s">
        <v>30</v>
      </c>
      <c r="AC73" s="66" t="s">
        <v>31</v>
      </c>
      <c r="AD73" s="65" t="s">
        <v>32</v>
      </c>
      <c r="AE73" s="53"/>
      <c r="AF73" s="3"/>
      <c r="AG73" s="3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</sheetData>
  <customSheetViews>
    <customSheetView guid="{49BA5E93-E473-4F11-BE7E-FD55CB28D969}" filter="1" showAutoFilter="1">
      <pageMargins left="0.7" right="0.7" top="0.75" bottom="0.75" header="0.3" footer="0.3"/>
      <autoFilter ref="G5:AD74" xr:uid="{C3C1F8E6-84DC-4202-A877-EC2E5A1067A3}">
        <filterColumn colId="15">
          <filters>
            <filter val="(2)"/>
            <filter val="1"/>
            <filter val="18"/>
            <filter val="3"/>
            <filter val="4"/>
            <filter val="5"/>
            <filter val="CLIENTES VIP"/>
            <filter val="FI"/>
            <filter val="SOPORTE DTH"/>
            <filter val="V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74" xr:uid="{2CBCAE28-11FD-4E81-A4D2-2290AB0679D0}">
        <filterColumn colId="26">
          <filters>
            <filter val="(1)"/>
            <filter val="1"/>
            <filter val="2"/>
            <filter val="3"/>
            <filter val="CLIENTES VIP"/>
            <filter val="FI"/>
            <filter val="V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74" xr:uid="{D028AA9F-F3C0-41C6-9DD7-C25E2F9F5C91}"/>
    </customSheetView>
  </customSheetViews>
  <mergeCells count="8">
    <mergeCell ref="N53:U53"/>
    <mergeCell ref="P54:Z54"/>
    <mergeCell ref="E58:F58"/>
    <mergeCell ref="A1:B1"/>
    <mergeCell ref="D3:AE3"/>
    <mergeCell ref="E4:F4"/>
    <mergeCell ref="E5:F5"/>
    <mergeCell ref="V52:AC52"/>
  </mergeCells>
  <conditionalFormatting sqref="E4:F4 E58:F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0:AB60 N73:AB7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7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67">
        <v>4</v>
      </c>
      <c r="H4" s="12">
        <v>3</v>
      </c>
      <c r="I4" s="12">
        <v>3</v>
      </c>
      <c r="J4" s="12">
        <v>3</v>
      </c>
      <c r="K4" s="12">
        <v>3</v>
      </c>
      <c r="L4" s="12">
        <v>3</v>
      </c>
      <c r="M4" s="73">
        <v>10</v>
      </c>
      <c r="N4" s="137">
        <v>20</v>
      </c>
      <c r="O4" s="141">
        <v>27</v>
      </c>
      <c r="P4" s="82">
        <v>29</v>
      </c>
      <c r="Q4" s="142">
        <v>30</v>
      </c>
      <c r="R4" s="142">
        <v>30</v>
      </c>
      <c r="S4" s="142">
        <v>30</v>
      </c>
      <c r="T4" s="137">
        <v>20</v>
      </c>
      <c r="U4" s="136">
        <v>23</v>
      </c>
      <c r="V4" s="143">
        <v>28</v>
      </c>
      <c r="W4" s="143">
        <v>28</v>
      </c>
      <c r="X4" s="57">
        <v>33</v>
      </c>
      <c r="Y4" s="135">
        <v>26</v>
      </c>
      <c r="Z4" s="144">
        <v>18</v>
      </c>
      <c r="AA4" s="85">
        <v>11</v>
      </c>
      <c r="AB4" s="79">
        <v>8</v>
      </c>
      <c r="AC4" s="74">
        <v>6</v>
      </c>
      <c r="AD4" s="67">
        <v>4</v>
      </c>
      <c r="AE4" s="18">
        <f>SUM(G4:AD4)</f>
        <v>400</v>
      </c>
      <c r="AF4" s="3">
        <f>AE4/9</f>
        <v>44.444444444444443</v>
      </c>
      <c r="AG4" s="3"/>
    </row>
    <row r="5" spans="1:33" ht="62.25">
      <c r="A5" s="3"/>
      <c r="B5" s="2"/>
      <c r="C5" s="2"/>
      <c r="D5" s="19"/>
      <c r="E5" s="569">
        <v>29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-1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84">
        <f t="shared" si="0"/>
        <v>-1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159">
        <f t="shared" si="0"/>
        <v>0</v>
      </c>
      <c r="V6" s="28">
        <f t="shared" si="0"/>
        <v>0</v>
      </c>
      <c r="W6" s="28">
        <f t="shared" si="0"/>
        <v>0</v>
      </c>
      <c r="X6" s="84">
        <f t="shared" si="0"/>
        <v>-2</v>
      </c>
      <c r="Y6" s="28">
        <f t="shared" si="0"/>
        <v>0</v>
      </c>
      <c r="Z6" s="28">
        <f t="shared" si="0"/>
        <v>1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1</v>
      </c>
      <c r="AE6" s="29">
        <f t="shared" ref="AE6:AE45" si="1">SUM(G6:AD6)</f>
        <v>-2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SUM(G8:G54)</f>
        <v>3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10</v>
      </c>
      <c r="N7" s="35">
        <f t="shared" si="2"/>
        <v>20</v>
      </c>
      <c r="O7" s="35">
        <f t="shared" si="2"/>
        <v>27</v>
      </c>
      <c r="P7" s="35">
        <f t="shared" si="2"/>
        <v>28</v>
      </c>
      <c r="Q7" s="35">
        <f t="shared" si="2"/>
        <v>30</v>
      </c>
      <c r="R7" s="35">
        <f t="shared" si="2"/>
        <v>30</v>
      </c>
      <c r="S7" s="35">
        <f t="shared" si="2"/>
        <v>30</v>
      </c>
      <c r="T7" s="35">
        <f t="shared" si="2"/>
        <v>20</v>
      </c>
      <c r="U7" s="35">
        <f t="shared" si="2"/>
        <v>23</v>
      </c>
      <c r="V7" s="35">
        <f t="shared" si="2"/>
        <v>28</v>
      </c>
      <c r="W7" s="35">
        <f t="shared" si="2"/>
        <v>28</v>
      </c>
      <c r="X7" s="35">
        <f t="shared" si="2"/>
        <v>31</v>
      </c>
      <c r="Y7" s="35">
        <f t="shared" si="2"/>
        <v>26</v>
      </c>
      <c r="Z7" s="35">
        <f t="shared" si="2"/>
        <v>19</v>
      </c>
      <c r="AA7" s="35">
        <f t="shared" si="2"/>
        <v>11</v>
      </c>
      <c r="AB7" s="35">
        <f t="shared" si="2"/>
        <v>8</v>
      </c>
      <c r="AC7" s="35">
        <f t="shared" si="2"/>
        <v>6</v>
      </c>
      <c r="AD7" s="35">
        <f t="shared" si="2"/>
        <v>5</v>
      </c>
      <c r="AE7" s="30">
        <f t="shared" si="1"/>
        <v>398</v>
      </c>
      <c r="AF7" s="36" t="s">
        <v>39</v>
      </c>
      <c r="AG7" s="37" t="s">
        <v>40</v>
      </c>
    </row>
    <row r="8" spans="1:33" ht="14.25" customHeight="1">
      <c r="A8" s="38" t="s">
        <v>41</v>
      </c>
      <c r="B8" s="38" t="s">
        <v>42</v>
      </c>
      <c r="C8" s="38"/>
      <c r="D8" s="39">
        <v>0</v>
      </c>
      <c r="E8" s="40" t="s">
        <v>43</v>
      </c>
      <c r="F8" s="41">
        <f t="shared" ref="F8:F45" si="3">SUM(G8:AD8)</f>
        <v>4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>
        <v>1</v>
      </c>
      <c r="Z8" s="42">
        <v>1</v>
      </c>
      <c r="AA8" s="42">
        <v>1</v>
      </c>
      <c r="AB8" s="42">
        <v>1</v>
      </c>
      <c r="AC8" s="42"/>
      <c r="AD8" s="42"/>
      <c r="AE8" s="41">
        <f t="shared" si="1"/>
        <v>4</v>
      </c>
      <c r="AF8" s="43" t="s">
        <v>44</v>
      </c>
      <c r="AG8" s="44" t="s">
        <v>429</v>
      </c>
    </row>
    <row r="9" spans="1:33" ht="15.75">
      <c r="A9" s="38" t="s">
        <v>41</v>
      </c>
      <c r="B9" s="38" t="s">
        <v>45</v>
      </c>
      <c r="C9" s="38">
        <v>999600729</v>
      </c>
      <c r="D9" s="39">
        <v>1</v>
      </c>
      <c r="E9" s="40" t="s">
        <v>46</v>
      </c>
      <c r="F9" s="41">
        <f t="shared" si="3"/>
        <v>12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>
        <v>1</v>
      </c>
      <c r="R9" s="42">
        <v>1</v>
      </c>
      <c r="S9" s="42">
        <v>1</v>
      </c>
      <c r="T9" s="42"/>
      <c r="U9" s="42">
        <v>1</v>
      </c>
      <c r="V9" s="42">
        <v>1</v>
      </c>
      <c r="W9" s="42">
        <v>1</v>
      </c>
      <c r="X9" s="42">
        <v>1</v>
      </c>
      <c r="Y9" s="42">
        <v>1</v>
      </c>
      <c r="Z9" s="42">
        <v>1</v>
      </c>
      <c r="AA9" s="42">
        <v>1</v>
      </c>
      <c r="AB9" s="42">
        <v>1</v>
      </c>
      <c r="AC9" s="42">
        <v>1</v>
      </c>
      <c r="AD9" s="42"/>
      <c r="AE9" s="41">
        <f t="shared" si="1"/>
        <v>12</v>
      </c>
      <c r="AF9" s="43" t="s">
        <v>430</v>
      </c>
      <c r="AG9" s="44" t="s">
        <v>429</v>
      </c>
    </row>
    <row r="10" spans="1:33" ht="15.75" customHeight="1">
      <c r="A10" s="38" t="s">
        <v>41</v>
      </c>
      <c r="B10" s="38" t="s">
        <v>52</v>
      </c>
      <c r="C10" s="38">
        <v>984098910</v>
      </c>
      <c r="D10" s="39">
        <v>2</v>
      </c>
      <c r="E10" s="40" t="s">
        <v>53</v>
      </c>
      <c r="F10" s="41">
        <f t="shared" si="3"/>
        <v>13</v>
      </c>
      <c r="G10" s="42">
        <v>1</v>
      </c>
      <c r="H10" s="42">
        <v>1</v>
      </c>
      <c r="I10" s="42">
        <v>1</v>
      </c>
      <c r="J10" s="42">
        <v>1</v>
      </c>
      <c r="K10" s="42">
        <v>1</v>
      </c>
      <c r="L10" s="42">
        <v>1</v>
      </c>
      <c r="M10" s="42">
        <v>1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>
        <v>1</v>
      </c>
      <c r="Z10" s="42">
        <v>1</v>
      </c>
      <c r="AA10" s="42">
        <v>1</v>
      </c>
      <c r="AB10" s="42">
        <v>1</v>
      </c>
      <c r="AC10" s="42">
        <v>1</v>
      </c>
      <c r="AD10" s="42">
        <v>1</v>
      </c>
      <c r="AE10" s="41">
        <f t="shared" si="1"/>
        <v>13</v>
      </c>
      <c r="AF10" s="46" t="s">
        <v>221</v>
      </c>
      <c r="AG10" s="44" t="s">
        <v>429</v>
      </c>
    </row>
    <row r="11" spans="1:33" ht="14.25" customHeight="1">
      <c r="A11" s="38" t="s">
        <v>41</v>
      </c>
      <c r="B11" s="38" t="s">
        <v>55</v>
      </c>
      <c r="C11" s="38">
        <v>987983128</v>
      </c>
      <c r="D11" s="39">
        <v>3</v>
      </c>
      <c r="E11" s="40" t="s">
        <v>56</v>
      </c>
      <c r="F11" s="41">
        <f t="shared" si="3"/>
        <v>11</v>
      </c>
      <c r="G11" s="42"/>
      <c r="H11" s="42"/>
      <c r="I11" s="42"/>
      <c r="J11" s="42"/>
      <c r="K11" s="42"/>
      <c r="L11" s="42"/>
      <c r="M11" s="42"/>
      <c r="N11" s="42"/>
      <c r="O11" s="42">
        <v>1</v>
      </c>
      <c r="P11" s="42">
        <v>1</v>
      </c>
      <c r="Q11" s="42">
        <v>1</v>
      </c>
      <c r="R11" s="42">
        <v>1</v>
      </c>
      <c r="S11" s="42">
        <v>1</v>
      </c>
      <c r="T11" s="42">
        <v>1</v>
      </c>
      <c r="U11" s="42"/>
      <c r="V11" s="42">
        <v>1</v>
      </c>
      <c r="W11" s="42">
        <v>1</v>
      </c>
      <c r="X11" s="42">
        <v>1</v>
      </c>
      <c r="Y11" s="42">
        <v>1</v>
      </c>
      <c r="Z11" s="42">
        <v>1</v>
      </c>
      <c r="AA11" s="42"/>
      <c r="AB11" s="42"/>
      <c r="AC11" s="42"/>
      <c r="AD11" s="42"/>
      <c r="AE11" s="41">
        <f t="shared" si="1"/>
        <v>11</v>
      </c>
      <c r="AF11" s="43" t="s">
        <v>251</v>
      </c>
      <c r="AG11" s="44" t="s">
        <v>429</v>
      </c>
    </row>
    <row r="12" spans="1:33" ht="14.25" customHeight="1">
      <c r="A12" s="38" t="s">
        <v>41</v>
      </c>
      <c r="B12" s="38" t="s">
        <v>57</v>
      </c>
      <c r="C12" s="38"/>
      <c r="D12" s="39">
        <v>4</v>
      </c>
      <c r="E12" s="40" t="s">
        <v>58</v>
      </c>
      <c r="F12" s="41">
        <f t="shared" si="3"/>
        <v>12</v>
      </c>
      <c r="G12" s="42"/>
      <c r="H12" s="42"/>
      <c r="I12" s="42"/>
      <c r="J12" s="42"/>
      <c r="K12" s="42"/>
      <c r="L12" s="42"/>
      <c r="M12" s="42"/>
      <c r="N12" s="42">
        <v>1</v>
      </c>
      <c r="O12" s="42">
        <v>1</v>
      </c>
      <c r="P12" s="42">
        <v>1</v>
      </c>
      <c r="Q12" s="42">
        <v>1</v>
      </c>
      <c r="R12" s="42">
        <v>1</v>
      </c>
      <c r="S12" s="42">
        <v>1</v>
      </c>
      <c r="T12" s="42">
        <v>1</v>
      </c>
      <c r="U12" s="42">
        <v>1</v>
      </c>
      <c r="V12" s="42">
        <v>1</v>
      </c>
      <c r="W12" s="42">
        <v>1</v>
      </c>
      <c r="X12" s="42">
        <v>1</v>
      </c>
      <c r="Y12" s="42">
        <v>1</v>
      </c>
      <c r="Z12" s="42"/>
      <c r="AA12" s="42"/>
      <c r="AB12" s="42"/>
      <c r="AC12" s="42"/>
      <c r="AD12" s="42"/>
      <c r="AE12" s="41">
        <f t="shared" si="1"/>
        <v>12</v>
      </c>
      <c r="AF12" s="43" t="s">
        <v>327</v>
      </c>
      <c r="AG12" s="44" t="s">
        <v>429</v>
      </c>
    </row>
    <row r="13" spans="1:33" ht="14.25" customHeight="1">
      <c r="A13" s="38" t="s">
        <v>41</v>
      </c>
      <c r="B13" s="38" t="s">
        <v>146</v>
      </c>
      <c r="C13" s="38">
        <v>998223732</v>
      </c>
      <c r="D13" s="39">
        <v>5</v>
      </c>
      <c r="E13" s="40" t="s">
        <v>147</v>
      </c>
      <c r="F13" s="41">
        <f t="shared" si="3"/>
        <v>10</v>
      </c>
      <c r="G13" s="42"/>
      <c r="H13" s="42"/>
      <c r="I13" s="42"/>
      <c r="J13" s="42"/>
      <c r="K13" s="42"/>
      <c r="L13" s="42"/>
      <c r="M13" s="42">
        <v>1</v>
      </c>
      <c r="N13" s="42">
        <v>1</v>
      </c>
      <c r="O13" s="42">
        <v>1</v>
      </c>
      <c r="P13" s="42">
        <v>1</v>
      </c>
      <c r="Q13" s="42">
        <v>1</v>
      </c>
      <c r="R13" s="42">
        <v>1</v>
      </c>
      <c r="S13" s="45" t="s">
        <v>47</v>
      </c>
      <c r="T13" s="42"/>
      <c r="U13" s="42">
        <v>1</v>
      </c>
      <c r="V13" s="42">
        <v>1</v>
      </c>
      <c r="W13" s="42">
        <v>1</v>
      </c>
      <c r="X13" s="42">
        <v>1</v>
      </c>
      <c r="Y13" s="42"/>
      <c r="Z13" s="42"/>
      <c r="AA13" s="42"/>
      <c r="AB13" s="42"/>
      <c r="AC13" s="42"/>
      <c r="AD13" s="42"/>
      <c r="AE13" s="41">
        <f t="shared" si="1"/>
        <v>10</v>
      </c>
      <c r="AF13" s="43" t="s">
        <v>51</v>
      </c>
      <c r="AG13" s="44" t="s">
        <v>429</v>
      </c>
    </row>
    <row r="14" spans="1:33" ht="14.25" customHeight="1">
      <c r="A14" s="38" t="s">
        <v>41</v>
      </c>
      <c r="B14" s="38" t="s">
        <v>59</v>
      </c>
      <c r="C14" s="38"/>
      <c r="D14" s="39">
        <v>6</v>
      </c>
      <c r="E14" s="40" t="s">
        <v>60</v>
      </c>
      <c r="F14" s="41">
        <f t="shared" si="3"/>
        <v>11</v>
      </c>
      <c r="G14" s="42"/>
      <c r="H14" s="42"/>
      <c r="I14" s="42"/>
      <c r="J14" s="42"/>
      <c r="K14" s="42"/>
      <c r="L14" s="42"/>
      <c r="M14" s="42">
        <v>1</v>
      </c>
      <c r="N14" s="42">
        <v>1</v>
      </c>
      <c r="O14" s="42">
        <v>1</v>
      </c>
      <c r="P14" s="42">
        <v>1</v>
      </c>
      <c r="Q14" s="42">
        <v>1</v>
      </c>
      <c r="R14" s="42">
        <v>1</v>
      </c>
      <c r="S14" s="45" t="s">
        <v>47</v>
      </c>
      <c r="T14" s="42">
        <v>1</v>
      </c>
      <c r="U14" s="42">
        <v>1</v>
      </c>
      <c r="V14" s="42">
        <v>1</v>
      </c>
      <c r="W14" s="42">
        <v>1</v>
      </c>
      <c r="X14" s="42">
        <v>1</v>
      </c>
      <c r="Y14" s="42"/>
      <c r="Z14" s="42"/>
      <c r="AA14" s="42"/>
      <c r="AB14" s="42"/>
      <c r="AC14" s="42"/>
      <c r="AD14" s="42"/>
      <c r="AE14" s="41">
        <f t="shared" si="1"/>
        <v>11</v>
      </c>
      <c r="AF14" s="43" t="s">
        <v>84</v>
      </c>
      <c r="AG14" s="44" t="s">
        <v>429</v>
      </c>
    </row>
    <row r="15" spans="1:33" ht="14.25" customHeight="1">
      <c r="A15" s="38" t="s">
        <v>41</v>
      </c>
      <c r="B15" s="38" t="s">
        <v>62</v>
      </c>
      <c r="C15" s="38">
        <v>979044107</v>
      </c>
      <c r="D15" s="39">
        <v>7</v>
      </c>
      <c r="E15" s="40" t="s">
        <v>63</v>
      </c>
      <c r="F15" s="41">
        <f t="shared" si="3"/>
        <v>10</v>
      </c>
      <c r="G15" s="42"/>
      <c r="H15" s="42"/>
      <c r="I15" s="42"/>
      <c r="J15" s="42"/>
      <c r="K15" s="42"/>
      <c r="L15" s="42"/>
      <c r="M15" s="42"/>
      <c r="N15" s="42">
        <v>1</v>
      </c>
      <c r="O15" s="42">
        <v>1</v>
      </c>
      <c r="P15" s="42">
        <v>1</v>
      </c>
      <c r="Q15" s="42">
        <v>1</v>
      </c>
      <c r="R15" s="42">
        <v>1</v>
      </c>
      <c r="S15" s="45" t="s">
        <v>47</v>
      </c>
      <c r="T15" s="42">
        <v>1</v>
      </c>
      <c r="U15" s="42">
        <v>1</v>
      </c>
      <c r="V15" s="42">
        <v>1</v>
      </c>
      <c r="W15" s="42">
        <v>1</v>
      </c>
      <c r="X15" s="42">
        <v>1</v>
      </c>
      <c r="Y15" s="42"/>
      <c r="Z15" s="42"/>
      <c r="AA15" s="42"/>
      <c r="AB15" s="42"/>
      <c r="AC15" s="42"/>
      <c r="AD15" s="42"/>
      <c r="AE15" s="41">
        <f t="shared" si="1"/>
        <v>10</v>
      </c>
      <c r="AF15" s="43" t="s">
        <v>154</v>
      </c>
      <c r="AG15" s="44" t="s">
        <v>429</v>
      </c>
    </row>
    <row r="16" spans="1:33" ht="14.25" customHeight="1">
      <c r="A16" s="38" t="s">
        <v>41</v>
      </c>
      <c r="B16" s="38" t="s">
        <v>64</v>
      </c>
      <c r="C16" s="38">
        <v>995545886</v>
      </c>
      <c r="D16" s="39">
        <v>8</v>
      </c>
      <c r="E16" s="40" t="s">
        <v>65</v>
      </c>
      <c r="F16" s="41">
        <f t="shared" si="3"/>
        <v>11</v>
      </c>
      <c r="G16" s="42"/>
      <c r="H16" s="42"/>
      <c r="I16" s="42"/>
      <c r="J16" s="42"/>
      <c r="K16" s="42"/>
      <c r="L16" s="42"/>
      <c r="M16" s="42"/>
      <c r="N16" s="42"/>
      <c r="O16" s="42">
        <v>1</v>
      </c>
      <c r="P16" s="42">
        <v>1</v>
      </c>
      <c r="Q16" s="42">
        <v>1</v>
      </c>
      <c r="R16" s="42">
        <v>1</v>
      </c>
      <c r="S16" s="42">
        <v>1</v>
      </c>
      <c r="T16" s="42">
        <v>1</v>
      </c>
      <c r="U16" s="42">
        <v>1</v>
      </c>
      <c r="V16" s="45" t="s">
        <v>47</v>
      </c>
      <c r="W16" s="42">
        <v>1</v>
      </c>
      <c r="X16" s="42">
        <v>1</v>
      </c>
      <c r="Y16" s="42">
        <v>1</v>
      </c>
      <c r="Z16" s="42">
        <v>1</v>
      </c>
      <c r="AA16" s="42"/>
      <c r="AB16" s="42"/>
      <c r="AC16" s="42"/>
      <c r="AD16" s="42"/>
      <c r="AE16" s="41">
        <f t="shared" si="1"/>
        <v>11</v>
      </c>
      <c r="AF16" s="43" t="s">
        <v>66</v>
      </c>
      <c r="AG16" s="44" t="s">
        <v>429</v>
      </c>
    </row>
    <row r="17" spans="1:33" ht="14.25" customHeight="1">
      <c r="A17" s="38" t="s">
        <v>41</v>
      </c>
      <c r="B17" s="38" t="s">
        <v>67</v>
      </c>
      <c r="C17" s="38">
        <v>968594141</v>
      </c>
      <c r="D17" s="39">
        <v>9</v>
      </c>
      <c r="E17" s="40" t="s">
        <v>68</v>
      </c>
      <c r="F17" s="41">
        <f t="shared" si="3"/>
        <v>11</v>
      </c>
      <c r="G17" s="42"/>
      <c r="H17" s="42"/>
      <c r="I17" s="42"/>
      <c r="J17" s="42"/>
      <c r="K17" s="42"/>
      <c r="L17" s="42"/>
      <c r="M17" s="42"/>
      <c r="N17" s="42">
        <v>1</v>
      </c>
      <c r="O17" s="42">
        <v>1</v>
      </c>
      <c r="P17" s="42">
        <v>1</v>
      </c>
      <c r="Q17" s="42">
        <v>1</v>
      </c>
      <c r="R17" s="42">
        <v>1</v>
      </c>
      <c r="S17" s="42">
        <v>1</v>
      </c>
      <c r="T17" s="42">
        <v>1</v>
      </c>
      <c r="U17" s="42">
        <v>1</v>
      </c>
      <c r="V17" s="45" t="s">
        <v>47</v>
      </c>
      <c r="W17" s="42">
        <v>1</v>
      </c>
      <c r="X17" s="42">
        <v>1</v>
      </c>
      <c r="Y17" s="42">
        <v>1</v>
      </c>
      <c r="Z17" s="42"/>
      <c r="AA17" s="42"/>
      <c r="AB17" s="42"/>
      <c r="AC17" s="42"/>
      <c r="AD17" s="42"/>
      <c r="AE17" s="41">
        <f t="shared" si="1"/>
        <v>11</v>
      </c>
      <c r="AF17" s="43" t="s">
        <v>327</v>
      </c>
      <c r="AG17" s="44" t="s">
        <v>429</v>
      </c>
    </row>
    <row r="18" spans="1:33" ht="14.25" customHeight="1">
      <c r="A18" s="38" t="s">
        <v>41</v>
      </c>
      <c r="B18" s="38" t="s">
        <v>70</v>
      </c>
      <c r="C18" s="38"/>
      <c r="D18" s="39">
        <v>10</v>
      </c>
      <c r="E18" s="40" t="s">
        <v>71</v>
      </c>
      <c r="F18" s="41">
        <f t="shared" si="3"/>
        <v>10</v>
      </c>
      <c r="G18" s="42"/>
      <c r="H18" s="42"/>
      <c r="I18" s="42"/>
      <c r="J18" s="42"/>
      <c r="K18" s="42"/>
      <c r="L18" s="42"/>
      <c r="M18" s="42"/>
      <c r="N18" s="42">
        <v>1</v>
      </c>
      <c r="O18" s="42">
        <v>1</v>
      </c>
      <c r="P18" s="42">
        <v>1</v>
      </c>
      <c r="Q18" s="42">
        <v>1</v>
      </c>
      <c r="R18" s="42">
        <v>1</v>
      </c>
      <c r="S18" s="45" t="s">
        <v>47</v>
      </c>
      <c r="T18" s="42">
        <v>1</v>
      </c>
      <c r="U18" s="42">
        <v>1</v>
      </c>
      <c r="V18" s="42">
        <v>1</v>
      </c>
      <c r="W18" s="42">
        <v>1</v>
      </c>
      <c r="X18" s="42">
        <v>1</v>
      </c>
      <c r="Y18" s="42"/>
      <c r="Z18" s="42"/>
      <c r="AA18" s="42"/>
      <c r="AB18" s="42"/>
      <c r="AC18" s="42"/>
      <c r="AD18" s="42"/>
      <c r="AE18" s="41">
        <f t="shared" si="1"/>
        <v>10</v>
      </c>
      <c r="AF18" s="43" t="s">
        <v>154</v>
      </c>
      <c r="AG18" s="44" t="s">
        <v>429</v>
      </c>
    </row>
    <row r="19" spans="1:33" ht="14.25" customHeight="1">
      <c r="A19" s="38" t="s">
        <v>41</v>
      </c>
      <c r="B19" s="38" t="s">
        <v>72</v>
      </c>
      <c r="C19" s="38">
        <v>989533877</v>
      </c>
      <c r="D19" s="39">
        <v>11</v>
      </c>
      <c r="E19" s="40" t="s">
        <v>73</v>
      </c>
      <c r="F19" s="41">
        <f t="shared" si="3"/>
        <v>0</v>
      </c>
      <c r="G19" s="42" t="s">
        <v>352</v>
      </c>
      <c r="H19" s="42" t="s">
        <v>352</v>
      </c>
      <c r="I19" s="42" t="s">
        <v>352</v>
      </c>
      <c r="J19" s="42" t="s">
        <v>352</v>
      </c>
      <c r="K19" s="42" t="s">
        <v>352</v>
      </c>
      <c r="L19" s="42" t="s">
        <v>352</v>
      </c>
      <c r="M19" s="42" t="s">
        <v>352</v>
      </c>
      <c r="N19" s="42" t="s">
        <v>352</v>
      </c>
      <c r="O19" s="42" t="s">
        <v>352</v>
      </c>
      <c r="P19" s="42" t="s">
        <v>352</v>
      </c>
      <c r="Q19" s="42" t="s">
        <v>352</v>
      </c>
      <c r="R19" s="42" t="s">
        <v>352</v>
      </c>
      <c r="S19" s="42" t="s">
        <v>352</v>
      </c>
      <c r="T19" s="42" t="s">
        <v>352</v>
      </c>
      <c r="U19" s="42" t="s">
        <v>352</v>
      </c>
      <c r="V19" s="42" t="s">
        <v>352</v>
      </c>
      <c r="W19" s="42" t="s">
        <v>352</v>
      </c>
      <c r="X19" s="42" t="s">
        <v>352</v>
      </c>
      <c r="Y19" s="42" t="s">
        <v>352</v>
      </c>
      <c r="Z19" s="42" t="s">
        <v>352</v>
      </c>
      <c r="AA19" s="42" t="s">
        <v>352</v>
      </c>
      <c r="AB19" s="42" t="s">
        <v>352</v>
      </c>
      <c r="AC19" s="42" t="s">
        <v>352</v>
      </c>
      <c r="AD19" s="42" t="s">
        <v>352</v>
      </c>
      <c r="AE19" s="41">
        <f t="shared" si="1"/>
        <v>0</v>
      </c>
      <c r="AF19" s="64" t="s">
        <v>6</v>
      </c>
      <c r="AG19" s="44" t="s">
        <v>429</v>
      </c>
    </row>
    <row r="20" spans="1:33" ht="14.25" customHeight="1">
      <c r="A20" s="38" t="s">
        <v>41</v>
      </c>
      <c r="B20" s="38" t="s">
        <v>76</v>
      </c>
      <c r="C20" s="38">
        <v>997829699</v>
      </c>
      <c r="D20" s="39">
        <v>12</v>
      </c>
      <c r="E20" s="40" t="s">
        <v>77</v>
      </c>
      <c r="F20" s="41">
        <f t="shared" si="3"/>
        <v>10</v>
      </c>
      <c r="G20" s="42"/>
      <c r="H20" s="42"/>
      <c r="I20" s="42"/>
      <c r="J20" s="42"/>
      <c r="K20" s="42"/>
      <c r="L20" s="42"/>
      <c r="M20" s="42"/>
      <c r="N20" s="75">
        <v>1</v>
      </c>
      <c r="O20" s="42">
        <v>1</v>
      </c>
      <c r="P20" s="42">
        <v>1</v>
      </c>
      <c r="Q20" s="42">
        <v>1</v>
      </c>
      <c r="R20" s="42">
        <v>1</v>
      </c>
      <c r="S20" s="42">
        <v>1</v>
      </c>
      <c r="T20" s="42"/>
      <c r="U20" s="42">
        <v>1</v>
      </c>
      <c r="V20" s="42">
        <v>1</v>
      </c>
      <c r="W20" s="42">
        <v>1</v>
      </c>
      <c r="X20" s="42">
        <v>1</v>
      </c>
      <c r="Y20" s="42"/>
      <c r="Z20" s="42"/>
      <c r="AA20" s="42"/>
      <c r="AB20" s="42"/>
      <c r="AC20" s="42"/>
      <c r="AD20" s="42"/>
      <c r="AE20" s="41">
        <f t="shared" si="1"/>
        <v>10</v>
      </c>
      <c r="AF20" s="43" t="s">
        <v>195</v>
      </c>
      <c r="AG20" s="44" t="s">
        <v>429</v>
      </c>
    </row>
    <row r="21" spans="1:33" ht="14.25" customHeight="1">
      <c r="A21" s="38" t="s">
        <v>41</v>
      </c>
      <c r="B21" s="2" t="s">
        <v>79</v>
      </c>
      <c r="C21" s="2"/>
      <c r="D21" s="39">
        <v>13</v>
      </c>
      <c r="E21" s="40" t="s">
        <v>80</v>
      </c>
      <c r="F21" s="41">
        <f t="shared" si="3"/>
        <v>10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>
        <v>1</v>
      </c>
      <c r="V21" s="42">
        <v>1</v>
      </c>
      <c r="W21" s="42">
        <v>1</v>
      </c>
      <c r="X21" s="42">
        <v>1</v>
      </c>
      <c r="Y21" s="42">
        <v>1</v>
      </c>
      <c r="Z21" s="42">
        <v>1</v>
      </c>
      <c r="AA21" s="42">
        <v>1</v>
      </c>
      <c r="AB21" s="42">
        <v>1</v>
      </c>
      <c r="AC21" s="42">
        <v>1</v>
      </c>
      <c r="AD21" s="42">
        <v>1</v>
      </c>
      <c r="AE21" s="41">
        <f t="shared" si="1"/>
        <v>10</v>
      </c>
      <c r="AF21" s="43" t="s">
        <v>431</v>
      </c>
      <c r="AG21" s="44" t="s">
        <v>429</v>
      </c>
    </row>
    <row r="22" spans="1:33" ht="14.25" customHeight="1">
      <c r="A22" s="38" t="s">
        <v>41</v>
      </c>
      <c r="B22" s="38" t="s">
        <v>82</v>
      </c>
      <c r="C22" s="38">
        <v>996303208</v>
      </c>
      <c r="D22" s="39">
        <v>14</v>
      </c>
      <c r="E22" s="40" t="s">
        <v>83</v>
      </c>
      <c r="F22" s="41">
        <f t="shared" si="3"/>
        <v>12</v>
      </c>
      <c r="G22" s="42"/>
      <c r="H22" s="42"/>
      <c r="I22" s="42"/>
      <c r="J22" s="42"/>
      <c r="K22" s="42"/>
      <c r="L22" s="42"/>
      <c r="M22" s="42">
        <v>1</v>
      </c>
      <c r="N22" s="42">
        <v>1</v>
      </c>
      <c r="O22" s="42">
        <v>1</v>
      </c>
      <c r="P22" s="42">
        <v>1</v>
      </c>
      <c r="Q22" s="42">
        <v>1</v>
      </c>
      <c r="R22" s="42">
        <v>1</v>
      </c>
      <c r="S22" s="42">
        <v>1</v>
      </c>
      <c r="T22" s="42"/>
      <c r="U22" s="42">
        <v>1</v>
      </c>
      <c r="V22" s="42">
        <v>1</v>
      </c>
      <c r="W22" s="42">
        <v>1</v>
      </c>
      <c r="X22" s="42">
        <v>1</v>
      </c>
      <c r="Y22" s="42">
        <v>1</v>
      </c>
      <c r="Z22" s="42"/>
      <c r="AA22" s="42"/>
      <c r="AB22" s="42"/>
      <c r="AC22" s="42"/>
      <c r="AD22" s="42"/>
      <c r="AE22" s="41">
        <f t="shared" si="1"/>
        <v>12</v>
      </c>
      <c r="AF22" s="43" t="s">
        <v>323</v>
      </c>
      <c r="AG22" s="44" t="s">
        <v>429</v>
      </c>
    </row>
    <row r="23" spans="1:33" ht="14.25" customHeight="1">
      <c r="A23" s="38" t="s">
        <v>41</v>
      </c>
      <c r="B23" s="38" t="s">
        <v>85</v>
      </c>
      <c r="C23" s="38">
        <v>991837641</v>
      </c>
      <c r="D23" s="39">
        <v>15</v>
      </c>
      <c r="E23" s="40" t="s">
        <v>86</v>
      </c>
      <c r="F23" s="41">
        <f t="shared" si="3"/>
        <v>6</v>
      </c>
      <c r="G23" s="42"/>
      <c r="H23" s="42"/>
      <c r="I23" s="42"/>
      <c r="J23" s="42"/>
      <c r="K23" s="42"/>
      <c r="L23" s="42"/>
      <c r="M23" s="42"/>
      <c r="N23" s="42">
        <v>1</v>
      </c>
      <c r="O23" s="42">
        <v>1</v>
      </c>
      <c r="P23" s="42">
        <v>1</v>
      </c>
      <c r="Q23" s="42">
        <v>1</v>
      </c>
      <c r="R23" s="42">
        <v>1</v>
      </c>
      <c r="S23" s="45" t="s">
        <v>47</v>
      </c>
      <c r="T23" s="42">
        <v>1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1">
        <f t="shared" si="1"/>
        <v>6</v>
      </c>
      <c r="AF23" s="43" t="s">
        <v>196</v>
      </c>
      <c r="AG23" s="44" t="s">
        <v>429</v>
      </c>
    </row>
    <row r="24" spans="1:33" ht="14.25" customHeight="1">
      <c r="A24" s="38" t="s">
        <v>41</v>
      </c>
      <c r="B24" s="38" t="s">
        <v>88</v>
      </c>
      <c r="C24" s="38">
        <v>985570860</v>
      </c>
      <c r="D24" s="39">
        <v>16</v>
      </c>
      <c r="E24" s="40" t="s">
        <v>89</v>
      </c>
      <c r="F24" s="41">
        <f t="shared" si="3"/>
        <v>11</v>
      </c>
      <c r="G24" s="42"/>
      <c r="H24" s="42"/>
      <c r="I24" s="42"/>
      <c r="J24" s="42"/>
      <c r="K24" s="42"/>
      <c r="L24" s="42"/>
      <c r="M24" s="42"/>
      <c r="N24" s="42"/>
      <c r="O24" s="42">
        <v>1</v>
      </c>
      <c r="P24" s="42">
        <v>1</v>
      </c>
      <c r="Q24" s="42">
        <v>1</v>
      </c>
      <c r="R24" s="42">
        <v>1</v>
      </c>
      <c r="S24" s="42">
        <v>1</v>
      </c>
      <c r="T24" s="42">
        <v>1</v>
      </c>
      <c r="U24" s="42">
        <v>1</v>
      </c>
      <c r="V24" s="42">
        <v>1</v>
      </c>
      <c r="W24" s="42"/>
      <c r="X24" s="42">
        <v>1</v>
      </c>
      <c r="Y24" s="42">
        <v>1</v>
      </c>
      <c r="Z24" s="42">
        <v>1</v>
      </c>
      <c r="AA24" s="42"/>
      <c r="AB24" s="42"/>
      <c r="AC24" s="42"/>
      <c r="AD24" s="42"/>
      <c r="AE24" s="41">
        <f t="shared" si="1"/>
        <v>11</v>
      </c>
      <c r="AF24" s="43" t="s">
        <v>399</v>
      </c>
      <c r="AG24" s="44" t="s">
        <v>429</v>
      </c>
    </row>
    <row r="25" spans="1:33" ht="14.25" customHeight="1">
      <c r="A25" s="38" t="s">
        <v>41</v>
      </c>
      <c r="B25" s="38" t="s">
        <v>90</v>
      </c>
      <c r="C25" s="38">
        <v>961816449</v>
      </c>
      <c r="D25" s="39">
        <v>17</v>
      </c>
      <c r="E25" s="40" t="s">
        <v>91</v>
      </c>
      <c r="F25" s="41">
        <f t="shared" si="3"/>
        <v>11</v>
      </c>
      <c r="G25" s="42"/>
      <c r="H25" s="42"/>
      <c r="I25" s="42"/>
      <c r="J25" s="42"/>
      <c r="K25" s="42"/>
      <c r="L25" s="42"/>
      <c r="M25" s="42">
        <v>1</v>
      </c>
      <c r="N25" s="42">
        <v>1</v>
      </c>
      <c r="O25" s="42">
        <v>1</v>
      </c>
      <c r="P25" s="42">
        <v>1</v>
      </c>
      <c r="Q25" s="42">
        <v>1</v>
      </c>
      <c r="R25" s="42">
        <v>1</v>
      </c>
      <c r="S25" s="42">
        <v>1</v>
      </c>
      <c r="T25" s="42"/>
      <c r="U25" s="42">
        <v>1</v>
      </c>
      <c r="V25" s="42">
        <v>1</v>
      </c>
      <c r="W25" s="42">
        <v>1</v>
      </c>
      <c r="X25" s="42">
        <v>1</v>
      </c>
      <c r="Y25" s="42"/>
      <c r="Z25" s="42"/>
      <c r="AA25" s="42"/>
      <c r="AB25" s="42"/>
      <c r="AC25" s="42"/>
      <c r="AD25" s="42"/>
      <c r="AE25" s="41">
        <f t="shared" si="1"/>
        <v>11</v>
      </c>
      <c r="AF25" s="43" t="s">
        <v>51</v>
      </c>
      <c r="AG25" s="44" t="s">
        <v>429</v>
      </c>
    </row>
    <row r="26" spans="1:33" ht="14.25" customHeight="1">
      <c r="A26" s="38" t="s">
        <v>41</v>
      </c>
      <c r="B26" s="38" t="s">
        <v>92</v>
      </c>
      <c r="C26" s="38">
        <v>989858490</v>
      </c>
      <c r="D26" s="39">
        <v>18</v>
      </c>
      <c r="E26" s="40" t="s">
        <v>93</v>
      </c>
      <c r="F26" s="41">
        <f t="shared" si="3"/>
        <v>12</v>
      </c>
      <c r="G26" s="42"/>
      <c r="H26" s="42"/>
      <c r="I26" s="42"/>
      <c r="J26" s="42"/>
      <c r="K26" s="42"/>
      <c r="L26" s="42"/>
      <c r="M26" s="42">
        <v>1</v>
      </c>
      <c r="N26" s="42">
        <v>1</v>
      </c>
      <c r="O26" s="42">
        <v>1</v>
      </c>
      <c r="P26" s="42">
        <v>1</v>
      </c>
      <c r="Q26" s="42">
        <v>1</v>
      </c>
      <c r="R26" s="42">
        <v>1</v>
      </c>
      <c r="S26" s="42">
        <v>1</v>
      </c>
      <c r="T26" s="42"/>
      <c r="U26" s="42">
        <v>1</v>
      </c>
      <c r="V26" s="42">
        <v>1</v>
      </c>
      <c r="W26" s="42">
        <v>1</v>
      </c>
      <c r="X26" s="42">
        <v>1</v>
      </c>
      <c r="Y26" s="42">
        <v>1</v>
      </c>
      <c r="Z26" s="42"/>
      <c r="AA26" s="42"/>
      <c r="AB26" s="42"/>
      <c r="AC26" s="42"/>
      <c r="AD26" s="42"/>
      <c r="AE26" s="41">
        <f t="shared" si="1"/>
        <v>12</v>
      </c>
      <c r="AF26" s="43" t="s">
        <v>323</v>
      </c>
      <c r="AG26" s="44" t="s">
        <v>429</v>
      </c>
    </row>
    <row r="27" spans="1:33" ht="14.25" customHeight="1">
      <c r="A27" s="38" t="s">
        <v>41</v>
      </c>
      <c r="B27" s="38" t="s">
        <v>94</v>
      </c>
      <c r="C27" s="38">
        <v>988957267</v>
      </c>
      <c r="D27" s="39">
        <v>19</v>
      </c>
      <c r="E27" s="40" t="s">
        <v>95</v>
      </c>
      <c r="F27" s="41">
        <f t="shared" si="3"/>
        <v>12</v>
      </c>
      <c r="G27" s="42"/>
      <c r="H27" s="42"/>
      <c r="I27" s="42"/>
      <c r="J27" s="42"/>
      <c r="K27" s="42"/>
      <c r="L27" s="42"/>
      <c r="M27" s="42"/>
      <c r="N27" s="42"/>
      <c r="O27" s="42">
        <v>1</v>
      </c>
      <c r="P27" s="42">
        <v>1</v>
      </c>
      <c r="Q27" s="42">
        <v>1</v>
      </c>
      <c r="R27" s="42">
        <v>1</v>
      </c>
      <c r="S27" s="42">
        <v>1</v>
      </c>
      <c r="T27" s="42"/>
      <c r="U27" s="75">
        <v>1</v>
      </c>
      <c r="V27" s="42">
        <v>1</v>
      </c>
      <c r="W27" s="42">
        <v>1</v>
      </c>
      <c r="X27" s="42">
        <v>1</v>
      </c>
      <c r="Y27" s="42">
        <v>1</v>
      </c>
      <c r="Z27" s="42">
        <v>1</v>
      </c>
      <c r="AA27" s="42">
        <v>1</v>
      </c>
      <c r="AB27" s="42"/>
      <c r="AC27" s="42"/>
      <c r="AD27" s="42"/>
      <c r="AE27" s="41">
        <f t="shared" si="1"/>
        <v>12</v>
      </c>
      <c r="AF27" s="43" t="s">
        <v>401</v>
      </c>
      <c r="AG27" s="44" t="s">
        <v>429</v>
      </c>
    </row>
    <row r="28" spans="1:33" ht="14.25" customHeight="1">
      <c r="A28" s="38" t="s">
        <v>41</v>
      </c>
      <c r="B28" s="38" t="s">
        <v>97</v>
      </c>
      <c r="C28" s="38"/>
      <c r="D28" s="39">
        <v>20</v>
      </c>
      <c r="E28" s="40" t="s">
        <v>98</v>
      </c>
      <c r="F28" s="41">
        <f t="shared" si="3"/>
        <v>11</v>
      </c>
      <c r="G28" s="42"/>
      <c r="H28" s="42"/>
      <c r="I28" s="42"/>
      <c r="J28" s="42"/>
      <c r="K28" s="42"/>
      <c r="L28" s="42"/>
      <c r="M28" s="42"/>
      <c r="N28" s="42"/>
      <c r="O28" s="42">
        <v>1</v>
      </c>
      <c r="P28" s="42">
        <v>1</v>
      </c>
      <c r="Q28" s="42">
        <v>1</v>
      </c>
      <c r="R28" s="42">
        <v>1</v>
      </c>
      <c r="S28" s="42">
        <v>1</v>
      </c>
      <c r="T28" s="42">
        <v>1</v>
      </c>
      <c r="U28" s="45" t="s">
        <v>47</v>
      </c>
      <c r="V28" s="42">
        <v>1</v>
      </c>
      <c r="W28" s="42">
        <v>1</v>
      </c>
      <c r="X28" s="42">
        <v>1</v>
      </c>
      <c r="Y28" s="42">
        <v>1</v>
      </c>
      <c r="Z28" s="42">
        <v>1</v>
      </c>
      <c r="AA28" s="42"/>
      <c r="AB28" s="42"/>
      <c r="AC28" s="42"/>
      <c r="AD28" s="42"/>
      <c r="AE28" s="41">
        <f t="shared" si="1"/>
        <v>11</v>
      </c>
      <c r="AF28" s="43" t="s">
        <v>66</v>
      </c>
      <c r="AG28" s="44" t="s">
        <v>429</v>
      </c>
    </row>
    <row r="29" spans="1:33" ht="14.25" customHeight="1">
      <c r="A29" s="38" t="s">
        <v>41</v>
      </c>
      <c r="B29" s="38" t="s">
        <v>198</v>
      </c>
      <c r="C29" s="38"/>
      <c r="D29" s="39">
        <v>21</v>
      </c>
      <c r="E29" s="40" t="s">
        <v>99</v>
      </c>
      <c r="F29" s="41">
        <f t="shared" si="3"/>
        <v>7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5" t="s">
        <v>47</v>
      </c>
      <c r="V29" s="42">
        <v>1</v>
      </c>
      <c r="W29" s="42">
        <v>1</v>
      </c>
      <c r="X29" s="42">
        <v>1</v>
      </c>
      <c r="Y29" s="42">
        <v>1</v>
      </c>
      <c r="Z29" s="42">
        <v>1</v>
      </c>
      <c r="AA29" s="42">
        <v>1</v>
      </c>
      <c r="AB29" s="42">
        <v>1</v>
      </c>
      <c r="AC29" s="42"/>
      <c r="AD29" s="42"/>
      <c r="AE29" s="41">
        <f t="shared" si="1"/>
        <v>7</v>
      </c>
      <c r="AF29" s="43" t="s">
        <v>78</v>
      </c>
      <c r="AG29" s="44" t="s">
        <v>429</v>
      </c>
    </row>
    <row r="30" spans="1:33" ht="14.25" customHeight="1">
      <c r="A30" s="38" t="s">
        <v>41</v>
      </c>
      <c r="B30" s="38" t="s">
        <v>101</v>
      </c>
      <c r="C30" s="38">
        <v>962757006</v>
      </c>
      <c r="D30" s="39">
        <v>22</v>
      </c>
      <c r="E30" s="40" t="s">
        <v>102</v>
      </c>
      <c r="F30" s="41">
        <f t="shared" si="3"/>
        <v>11</v>
      </c>
      <c r="G30" s="42"/>
      <c r="H30" s="42"/>
      <c r="I30" s="42"/>
      <c r="J30" s="42"/>
      <c r="K30" s="42"/>
      <c r="L30" s="42"/>
      <c r="M30" s="42"/>
      <c r="N30" s="42"/>
      <c r="O30" s="42">
        <v>1</v>
      </c>
      <c r="P30" s="42">
        <v>1</v>
      </c>
      <c r="Q30" s="42">
        <v>1</v>
      </c>
      <c r="R30" s="42">
        <v>1</v>
      </c>
      <c r="S30" s="42">
        <v>1</v>
      </c>
      <c r="T30" s="42"/>
      <c r="U30" s="42">
        <v>1</v>
      </c>
      <c r="V30" s="42">
        <v>1</v>
      </c>
      <c r="W30" s="45" t="s">
        <v>47</v>
      </c>
      <c r="X30" s="42">
        <v>1</v>
      </c>
      <c r="Y30" s="42">
        <v>1</v>
      </c>
      <c r="Z30" s="42">
        <v>1</v>
      </c>
      <c r="AA30" s="42">
        <v>1</v>
      </c>
      <c r="AB30" s="42"/>
      <c r="AC30" s="42"/>
      <c r="AD30" s="42"/>
      <c r="AE30" s="41">
        <f t="shared" si="1"/>
        <v>11</v>
      </c>
      <c r="AF30" s="43" t="s">
        <v>373</v>
      </c>
      <c r="AG30" s="44" t="s">
        <v>429</v>
      </c>
    </row>
    <row r="31" spans="1:33" ht="14.25" customHeight="1">
      <c r="A31" s="38" t="s">
        <v>41</v>
      </c>
      <c r="B31" s="38" t="s">
        <v>103</v>
      </c>
      <c r="C31" s="38"/>
      <c r="D31" s="39">
        <v>23</v>
      </c>
      <c r="E31" s="40" t="s">
        <v>104</v>
      </c>
      <c r="F31" s="41">
        <f t="shared" si="3"/>
        <v>11</v>
      </c>
      <c r="G31" s="42"/>
      <c r="H31" s="42"/>
      <c r="I31" s="42"/>
      <c r="J31" s="42"/>
      <c r="K31" s="42"/>
      <c r="L31" s="42"/>
      <c r="M31" s="42"/>
      <c r="N31" s="42"/>
      <c r="O31" s="42">
        <v>1</v>
      </c>
      <c r="P31" s="42">
        <v>1</v>
      </c>
      <c r="Q31" s="42">
        <v>1</v>
      </c>
      <c r="R31" s="42">
        <v>1</v>
      </c>
      <c r="S31" s="42">
        <v>1</v>
      </c>
      <c r="T31" s="42">
        <v>1</v>
      </c>
      <c r="U31" s="42">
        <v>1</v>
      </c>
      <c r="V31" s="45" t="s">
        <v>47</v>
      </c>
      <c r="W31" s="42">
        <v>1</v>
      </c>
      <c r="X31" s="42">
        <v>1</v>
      </c>
      <c r="Y31" s="42">
        <v>1</v>
      </c>
      <c r="Z31" s="42">
        <v>1</v>
      </c>
      <c r="AA31" s="42"/>
      <c r="AB31" s="42"/>
      <c r="AC31" s="42"/>
      <c r="AD31" s="42"/>
      <c r="AE31" s="41">
        <f t="shared" si="1"/>
        <v>11</v>
      </c>
      <c r="AF31" s="43" t="s">
        <v>66</v>
      </c>
      <c r="AG31" s="44" t="s">
        <v>429</v>
      </c>
    </row>
    <row r="32" spans="1:33" ht="14.25" customHeight="1">
      <c r="A32" s="38" t="s">
        <v>41</v>
      </c>
      <c r="B32" s="38" t="s">
        <v>167</v>
      </c>
      <c r="C32" s="38">
        <v>995055956</v>
      </c>
      <c r="D32" s="39">
        <v>24</v>
      </c>
      <c r="E32" s="40" t="s">
        <v>144</v>
      </c>
      <c r="F32" s="41">
        <f t="shared" si="3"/>
        <v>11</v>
      </c>
      <c r="G32" s="42"/>
      <c r="H32" s="42"/>
      <c r="I32" s="42"/>
      <c r="J32" s="42"/>
      <c r="K32" s="42"/>
      <c r="L32" s="42"/>
      <c r="M32" s="42">
        <v>1</v>
      </c>
      <c r="N32" s="42">
        <v>1</v>
      </c>
      <c r="O32" s="42">
        <v>1</v>
      </c>
      <c r="P32" s="42">
        <v>1</v>
      </c>
      <c r="Q32" s="42">
        <v>1</v>
      </c>
      <c r="R32" s="42">
        <v>1</v>
      </c>
      <c r="S32" s="42">
        <v>1</v>
      </c>
      <c r="T32" s="42"/>
      <c r="U32" s="42">
        <v>1</v>
      </c>
      <c r="V32" s="42">
        <v>1</v>
      </c>
      <c r="W32" s="42">
        <v>1</v>
      </c>
      <c r="X32" s="42">
        <v>1</v>
      </c>
      <c r="Y32" s="42"/>
      <c r="Z32" s="42"/>
      <c r="AA32" s="42"/>
      <c r="AB32" s="42"/>
      <c r="AC32" s="42"/>
      <c r="AD32" s="42"/>
      <c r="AE32" s="160">
        <f t="shared" si="1"/>
        <v>11</v>
      </c>
      <c r="AF32" s="161" t="s">
        <v>51</v>
      </c>
      <c r="AG32" s="162" t="s">
        <v>429</v>
      </c>
    </row>
    <row r="33" spans="1:33" ht="14.25" customHeight="1">
      <c r="A33" s="38" t="s">
        <v>41</v>
      </c>
      <c r="B33" s="38" t="s">
        <v>332</v>
      </c>
      <c r="C33" s="38"/>
      <c r="D33" s="39">
        <v>25</v>
      </c>
      <c r="E33" s="40" t="s">
        <v>333</v>
      </c>
      <c r="F33" s="41">
        <f t="shared" si="3"/>
        <v>6</v>
      </c>
      <c r="G33" s="42"/>
      <c r="H33" s="42"/>
      <c r="I33" s="42"/>
      <c r="J33" s="42"/>
      <c r="K33" s="42"/>
      <c r="L33" s="42"/>
      <c r="M33" s="42"/>
      <c r="N33" s="42">
        <v>1</v>
      </c>
      <c r="O33" s="42">
        <v>1</v>
      </c>
      <c r="P33" s="42">
        <v>1</v>
      </c>
      <c r="Q33" s="42">
        <v>1</v>
      </c>
      <c r="R33" s="42">
        <v>1</v>
      </c>
      <c r="S33" s="42">
        <v>1</v>
      </c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160">
        <f t="shared" si="1"/>
        <v>6</v>
      </c>
      <c r="AF33" s="161" t="s">
        <v>315</v>
      </c>
      <c r="AG33" s="162" t="s">
        <v>429</v>
      </c>
    </row>
    <row r="34" spans="1:33" ht="14.25" customHeight="1">
      <c r="A34" s="38" t="s">
        <v>41</v>
      </c>
      <c r="B34" s="38" t="s">
        <v>171</v>
      </c>
      <c r="C34" s="38">
        <v>990489779</v>
      </c>
      <c r="D34" s="39">
        <v>27</v>
      </c>
      <c r="E34" s="40" t="s">
        <v>172</v>
      </c>
      <c r="F34" s="41">
        <f t="shared" si="3"/>
        <v>12</v>
      </c>
      <c r="G34" s="42"/>
      <c r="H34" s="42"/>
      <c r="I34" s="42"/>
      <c r="J34" s="42"/>
      <c r="K34" s="42"/>
      <c r="L34" s="42"/>
      <c r="M34" s="42"/>
      <c r="N34" s="42">
        <v>1</v>
      </c>
      <c r="O34" s="42">
        <v>1</v>
      </c>
      <c r="P34" s="42">
        <v>1</v>
      </c>
      <c r="Q34" s="42">
        <v>1</v>
      </c>
      <c r="R34" s="42">
        <v>1</v>
      </c>
      <c r="S34" s="42">
        <v>1</v>
      </c>
      <c r="T34" s="42">
        <v>1</v>
      </c>
      <c r="U34" s="42">
        <v>1</v>
      </c>
      <c r="V34" s="42">
        <v>1</v>
      </c>
      <c r="W34" s="42"/>
      <c r="X34" s="42">
        <v>1</v>
      </c>
      <c r="Y34" s="42">
        <v>1</v>
      </c>
      <c r="Z34" s="42">
        <v>1</v>
      </c>
      <c r="AA34" s="42"/>
      <c r="AB34" s="42"/>
      <c r="AC34" s="42"/>
      <c r="AD34" s="42"/>
      <c r="AE34" s="160">
        <f t="shared" si="1"/>
        <v>12</v>
      </c>
      <c r="AF34" s="163" t="s">
        <v>401</v>
      </c>
      <c r="AG34" s="162" t="s">
        <v>429</v>
      </c>
    </row>
    <row r="35" spans="1:33" ht="14.25" customHeight="1">
      <c r="A35" s="38" t="s">
        <v>41</v>
      </c>
      <c r="B35" s="38" t="s">
        <v>105</v>
      </c>
      <c r="C35" s="38"/>
      <c r="D35" s="39">
        <v>26</v>
      </c>
      <c r="E35" s="40" t="s">
        <v>106</v>
      </c>
      <c r="F35" s="41">
        <f t="shared" si="3"/>
        <v>12</v>
      </c>
      <c r="G35" s="42">
        <v>1</v>
      </c>
      <c r="H35" s="42">
        <v>1</v>
      </c>
      <c r="I35" s="42">
        <v>1</v>
      </c>
      <c r="J35" s="42">
        <v>1</v>
      </c>
      <c r="K35" s="42">
        <v>1</v>
      </c>
      <c r="L35" s="42">
        <v>1</v>
      </c>
      <c r="M35" s="42">
        <v>1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>
        <v>1</v>
      </c>
      <c r="AA35" s="42">
        <v>1</v>
      </c>
      <c r="AB35" s="42">
        <v>1</v>
      </c>
      <c r="AC35" s="42">
        <v>1</v>
      </c>
      <c r="AD35" s="42">
        <v>1</v>
      </c>
      <c r="AE35" s="160">
        <f t="shared" si="1"/>
        <v>12</v>
      </c>
      <c r="AF35" s="163" t="s">
        <v>432</v>
      </c>
      <c r="AG35" s="162" t="s">
        <v>429</v>
      </c>
    </row>
    <row r="36" spans="1:33" ht="14.25" customHeight="1">
      <c r="A36" s="38" t="s">
        <v>41</v>
      </c>
      <c r="B36" s="38" t="s">
        <v>107</v>
      </c>
      <c r="C36" s="38">
        <v>981074073</v>
      </c>
      <c r="D36" s="39">
        <v>28</v>
      </c>
      <c r="E36" s="40" t="s">
        <v>108</v>
      </c>
      <c r="F36" s="41">
        <f t="shared" si="3"/>
        <v>11</v>
      </c>
      <c r="G36" s="42"/>
      <c r="H36" s="42"/>
      <c r="I36" s="42"/>
      <c r="J36" s="42"/>
      <c r="K36" s="42"/>
      <c r="L36" s="42"/>
      <c r="M36" s="42"/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1</v>
      </c>
      <c r="T36" s="42"/>
      <c r="U36" s="45" t="s">
        <v>47</v>
      </c>
      <c r="V36" s="42">
        <v>1</v>
      </c>
      <c r="W36" s="42">
        <v>1</v>
      </c>
      <c r="X36" s="42">
        <v>1</v>
      </c>
      <c r="Y36" s="42">
        <v>1</v>
      </c>
      <c r="Z36" s="42">
        <v>1</v>
      </c>
      <c r="AA36" s="42"/>
      <c r="AB36" s="42"/>
      <c r="AC36" s="42"/>
      <c r="AD36" s="42"/>
      <c r="AE36" s="160">
        <f t="shared" si="1"/>
        <v>11</v>
      </c>
      <c r="AF36" s="161" t="s">
        <v>265</v>
      </c>
      <c r="AG36" s="162" t="s">
        <v>429</v>
      </c>
    </row>
    <row r="37" spans="1:33" ht="14.25" customHeight="1">
      <c r="A37" s="38" t="s">
        <v>41</v>
      </c>
      <c r="B37" s="38" t="s">
        <v>111</v>
      </c>
      <c r="C37" s="38"/>
      <c r="D37" s="39">
        <v>29</v>
      </c>
      <c r="E37" s="40" t="s">
        <v>112</v>
      </c>
      <c r="F37" s="41">
        <f t="shared" si="3"/>
        <v>11</v>
      </c>
      <c r="G37" s="42"/>
      <c r="H37" s="42"/>
      <c r="I37" s="42"/>
      <c r="J37" s="42"/>
      <c r="K37" s="42"/>
      <c r="L37" s="42"/>
      <c r="M37" s="42"/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>
        <v>1</v>
      </c>
      <c r="T37" s="42"/>
      <c r="U37" s="42">
        <v>1</v>
      </c>
      <c r="V37" s="42">
        <v>1</v>
      </c>
      <c r="W37" s="42">
        <v>1</v>
      </c>
      <c r="X37" s="42">
        <v>1</v>
      </c>
      <c r="Y37" s="42">
        <v>1</v>
      </c>
      <c r="Z37" s="42"/>
      <c r="AA37" s="42"/>
      <c r="AB37" s="42"/>
      <c r="AC37" s="42"/>
      <c r="AD37" s="42"/>
      <c r="AE37" s="41">
        <f t="shared" si="1"/>
        <v>11</v>
      </c>
      <c r="AF37" s="43" t="s">
        <v>260</v>
      </c>
      <c r="AG37" s="44" t="s">
        <v>429</v>
      </c>
    </row>
    <row r="38" spans="1:33" ht="14.25" customHeight="1">
      <c r="A38" s="38" t="s">
        <v>41</v>
      </c>
      <c r="B38" s="38" t="s">
        <v>113</v>
      </c>
      <c r="C38" s="38"/>
      <c r="D38" s="39">
        <v>30</v>
      </c>
      <c r="E38" s="40" t="s">
        <v>114</v>
      </c>
      <c r="F38" s="41">
        <f t="shared" si="3"/>
        <v>11</v>
      </c>
      <c r="G38" s="42"/>
      <c r="H38" s="42"/>
      <c r="I38" s="42"/>
      <c r="J38" s="42"/>
      <c r="K38" s="42"/>
      <c r="L38" s="42"/>
      <c r="M38" s="42"/>
      <c r="N38" s="75">
        <v>1</v>
      </c>
      <c r="O38" s="42">
        <v>1</v>
      </c>
      <c r="P38" s="42">
        <v>1</v>
      </c>
      <c r="Q38" s="42">
        <v>1</v>
      </c>
      <c r="R38" s="42">
        <v>1</v>
      </c>
      <c r="S38" s="42">
        <v>1</v>
      </c>
      <c r="T38" s="42"/>
      <c r="U38" s="45" t="s">
        <v>47</v>
      </c>
      <c r="V38" s="42">
        <v>1</v>
      </c>
      <c r="W38" s="42">
        <v>1</v>
      </c>
      <c r="X38" s="42">
        <v>1</v>
      </c>
      <c r="Y38" s="42">
        <v>1</v>
      </c>
      <c r="Z38" s="42">
        <v>1</v>
      </c>
      <c r="AA38" s="42"/>
      <c r="AB38" s="42"/>
      <c r="AC38" s="42"/>
      <c r="AD38" s="42"/>
      <c r="AE38" s="41">
        <f t="shared" si="1"/>
        <v>11</v>
      </c>
      <c r="AF38" s="43" t="s">
        <v>265</v>
      </c>
      <c r="AG38" s="44" t="s">
        <v>429</v>
      </c>
    </row>
    <row r="39" spans="1:33" ht="14.25" customHeight="1">
      <c r="A39" s="38" t="s">
        <v>41</v>
      </c>
      <c r="B39" s="38" t="s">
        <v>115</v>
      </c>
      <c r="C39" s="38">
        <v>962936744</v>
      </c>
      <c r="D39" s="39">
        <v>31</v>
      </c>
      <c r="E39" s="40" t="s">
        <v>116</v>
      </c>
      <c r="F39" s="41">
        <f t="shared" si="3"/>
        <v>13</v>
      </c>
      <c r="G39" s="42">
        <v>1</v>
      </c>
      <c r="H39" s="42">
        <v>1</v>
      </c>
      <c r="I39" s="42">
        <v>1</v>
      </c>
      <c r="J39" s="42">
        <v>1</v>
      </c>
      <c r="K39" s="42">
        <v>1</v>
      </c>
      <c r="L39" s="42">
        <v>1</v>
      </c>
      <c r="M39" s="42">
        <v>1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>
        <v>1</v>
      </c>
      <c r="Z39" s="42">
        <v>1</v>
      </c>
      <c r="AA39" s="42">
        <v>1</v>
      </c>
      <c r="AB39" s="42">
        <v>1</v>
      </c>
      <c r="AC39" s="42">
        <v>1</v>
      </c>
      <c r="AD39" s="42">
        <v>1</v>
      </c>
      <c r="AE39" s="41">
        <f t="shared" si="1"/>
        <v>13</v>
      </c>
      <c r="AF39" s="46" t="s">
        <v>221</v>
      </c>
      <c r="AG39" s="44" t="s">
        <v>429</v>
      </c>
    </row>
    <row r="40" spans="1:33" ht="14.25" customHeight="1">
      <c r="A40" s="38" t="s">
        <v>41</v>
      </c>
      <c r="B40" s="38" t="s">
        <v>120</v>
      </c>
      <c r="C40" s="38"/>
      <c r="D40" s="39">
        <v>32</v>
      </c>
      <c r="E40" s="40" t="s">
        <v>121</v>
      </c>
      <c r="F40" s="41">
        <f t="shared" si="3"/>
        <v>11</v>
      </c>
      <c r="G40" s="42"/>
      <c r="H40" s="42"/>
      <c r="I40" s="42"/>
      <c r="J40" s="42"/>
      <c r="K40" s="42"/>
      <c r="L40" s="42"/>
      <c r="M40" s="42">
        <v>1</v>
      </c>
      <c r="N40" s="42">
        <v>1</v>
      </c>
      <c r="O40" s="42">
        <v>1</v>
      </c>
      <c r="P40" s="42">
        <v>1</v>
      </c>
      <c r="Q40" s="42">
        <v>1</v>
      </c>
      <c r="R40" s="42">
        <v>1</v>
      </c>
      <c r="S40" s="45" t="s">
        <v>47</v>
      </c>
      <c r="T40" s="42"/>
      <c r="U40" s="42">
        <v>1</v>
      </c>
      <c r="V40" s="42">
        <v>1</v>
      </c>
      <c r="W40" s="42">
        <v>1</v>
      </c>
      <c r="X40" s="42">
        <v>1</v>
      </c>
      <c r="Y40" s="42">
        <v>1</v>
      </c>
      <c r="Z40" s="42"/>
      <c r="AA40" s="42"/>
      <c r="AB40" s="42"/>
      <c r="AC40" s="42"/>
      <c r="AD40" s="42"/>
      <c r="AE40" s="41">
        <f t="shared" si="1"/>
        <v>11</v>
      </c>
      <c r="AF40" s="43" t="s">
        <v>323</v>
      </c>
      <c r="AG40" s="44" t="s">
        <v>429</v>
      </c>
    </row>
    <row r="41" spans="1:33" ht="14.25" customHeight="1">
      <c r="A41" s="76" t="s">
        <v>41</v>
      </c>
      <c r="B41" s="76" t="s">
        <v>122</v>
      </c>
      <c r="C41" s="76">
        <v>984490770</v>
      </c>
      <c r="D41" s="86">
        <v>33</v>
      </c>
      <c r="E41" s="87" t="s">
        <v>123</v>
      </c>
      <c r="F41" s="88">
        <f t="shared" si="3"/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  <c r="Z41" s="77">
        <v>0</v>
      </c>
      <c r="AA41" s="77">
        <v>0</v>
      </c>
      <c r="AB41" s="77">
        <v>0</v>
      </c>
      <c r="AC41" s="77">
        <v>0</v>
      </c>
      <c r="AD41" s="77">
        <v>0</v>
      </c>
      <c r="AE41" s="88">
        <f t="shared" si="1"/>
        <v>0</v>
      </c>
      <c r="AF41" s="89" t="s">
        <v>225</v>
      </c>
      <c r="AG41" s="44" t="s">
        <v>429</v>
      </c>
    </row>
    <row r="42" spans="1:33" ht="14.25" customHeight="1">
      <c r="A42" s="38" t="s">
        <v>41</v>
      </c>
      <c r="B42" s="38" t="s">
        <v>124</v>
      </c>
      <c r="C42" s="38">
        <v>979137365</v>
      </c>
      <c r="D42" s="39">
        <v>34</v>
      </c>
      <c r="E42" s="40" t="s">
        <v>125</v>
      </c>
      <c r="F42" s="41">
        <f t="shared" si="3"/>
        <v>11</v>
      </c>
      <c r="G42" s="42"/>
      <c r="H42" s="42"/>
      <c r="I42" s="42"/>
      <c r="J42" s="42"/>
      <c r="K42" s="42"/>
      <c r="L42" s="42"/>
      <c r="M42" s="42"/>
      <c r="N42" s="42">
        <v>1</v>
      </c>
      <c r="O42" s="42">
        <v>1</v>
      </c>
      <c r="P42" s="42">
        <v>1</v>
      </c>
      <c r="Q42" s="42">
        <v>1</v>
      </c>
      <c r="R42" s="42">
        <v>1</v>
      </c>
      <c r="S42" s="42">
        <v>1</v>
      </c>
      <c r="T42" s="42"/>
      <c r="U42" s="42">
        <v>1</v>
      </c>
      <c r="V42" s="42">
        <v>1</v>
      </c>
      <c r="W42" s="42">
        <v>1</v>
      </c>
      <c r="X42" s="42">
        <v>1</v>
      </c>
      <c r="Y42" s="42">
        <v>1</v>
      </c>
      <c r="Z42" s="42"/>
      <c r="AA42" s="42"/>
      <c r="AB42" s="42"/>
      <c r="AC42" s="42"/>
      <c r="AD42" s="42"/>
      <c r="AE42" s="41">
        <f t="shared" si="1"/>
        <v>11</v>
      </c>
      <c r="AF42" s="46" t="s">
        <v>260</v>
      </c>
      <c r="AG42" s="44" t="s">
        <v>429</v>
      </c>
    </row>
    <row r="43" spans="1:33" ht="14.25" customHeight="1">
      <c r="A43" s="38" t="s">
        <v>41</v>
      </c>
      <c r="B43" s="38" t="s">
        <v>126</v>
      </c>
      <c r="C43" s="38">
        <v>986256130</v>
      </c>
      <c r="D43" s="39">
        <v>35</v>
      </c>
      <c r="E43" s="40" t="s">
        <v>127</v>
      </c>
      <c r="F43" s="41">
        <f t="shared" si="3"/>
        <v>11</v>
      </c>
      <c r="G43" s="42"/>
      <c r="H43" s="42"/>
      <c r="I43" s="42"/>
      <c r="J43" s="42"/>
      <c r="K43" s="42"/>
      <c r="L43" s="42"/>
      <c r="M43" s="42"/>
      <c r="N43" s="42">
        <v>1</v>
      </c>
      <c r="O43" s="42">
        <v>1</v>
      </c>
      <c r="P43" s="42">
        <v>1</v>
      </c>
      <c r="Q43" s="42">
        <v>1</v>
      </c>
      <c r="R43" s="42">
        <v>1</v>
      </c>
      <c r="S43" s="42">
        <v>1</v>
      </c>
      <c r="T43" s="42">
        <v>1</v>
      </c>
      <c r="U43" s="45" t="s">
        <v>47</v>
      </c>
      <c r="V43" s="42">
        <v>1</v>
      </c>
      <c r="W43" s="42">
        <v>1</v>
      </c>
      <c r="X43" s="42">
        <v>1</v>
      </c>
      <c r="Y43" s="42">
        <v>1</v>
      </c>
      <c r="Z43" s="42"/>
      <c r="AA43" s="42"/>
      <c r="AB43" s="42"/>
      <c r="AC43" s="42"/>
      <c r="AD43" s="42"/>
      <c r="AE43" s="41">
        <f t="shared" si="1"/>
        <v>11</v>
      </c>
      <c r="AF43" s="43" t="s">
        <v>327</v>
      </c>
      <c r="AG43" s="44" t="s">
        <v>429</v>
      </c>
    </row>
    <row r="44" spans="1:33" ht="14.25" customHeight="1">
      <c r="A44" s="38" t="s">
        <v>41</v>
      </c>
      <c r="B44" s="38" t="s">
        <v>128</v>
      </c>
      <c r="C44" s="38"/>
      <c r="D44" s="39">
        <v>36</v>
      </c>
      <c r="E44" s="40" t="s">
        <v>129</v>
      </c>
      <c r="F44" s="41">
        <f t="shared" si="3"/>
        <v>11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>
        <v>1</v>
      </c>
      <c r="T44" s="42">
        <v>1</v>
      </c>
      <c r="U44" s="45" t="s">
        <v>47</v>
      </c>
      <c r="V44" s="42">
        <v>1</v>
      </c>
      <c r="W44" s="42">
        <v>1</v>
      </c>
      <c r="X44" s="42">
        <v>1</v>
      </c>
      <c r="Y44" s="42">
        <v>1</v>
      </c>
      <c r="Z44" s="42">
        <v>1</v>
      </c>
      <c r="AA44" s="42">
        <v>1</v>
      </c>
      <c r="AB44" s="42">
        <v>1</v>
      </c>
      <c r="AC44" s="42">
        <v>1</v>
      </c>
      <c r="AD44" s="42">
        <v>1</v>
      </c>
      <c r="AE44" s="41">
        <f t="shared" si="1"/>
        <v>11</v>
      </c>
      <c r="AF44" s="43" t="s">
        <v>299</v>
      </c>
      <c r="AG44" s="44" t="s">
        <v>429</v>
      </c>
    </row>
    <row r="45" spans="1:33" ht="14.25" customHeight="1">
      <c r="A45" s="38" t="s">
        <v>41</v>
      </c>
      <c r="B45" s="38" t="s">
        <v>130</v>
      </c>
      <c r="C45" s="38">
        <v>998810875</v>
      </c>
      <c r="D45" s="39">
        <v>37</v>
      </c>
      <c r="E45" s="40" t="s">
        <v>131</v>
      </c>
      <c r="F45" s="41">
        <f t="shared" si="3"/>
        <v>10</v>
      </c>
      <c r="G45" s="42"/>
      <c r="H45" s="42"/>
      <c r="I45" s="42"/>
      <c r="J45" s="42"/>
      <c r="K45" s="42"/>
      <c r="L45" s="42"/>
      <c r="M45" s="42"/>
      <c r="N45" s="42"/>
      <c r="O45" s="42"/>
      <c r="P45" s="42">
        <v>1</v>
      </c>
      <c r="Q45" s="42">
        <v>1</v>
      </c>
      <c r="R45" s="42">
        <v>1</v>
      </c>
      <c r="S45" s="42">
        <v>1</v>
      </c>
      <c r="T45" s="42"/>
      <c r="U45" s="45" t="s">
        <v>47</v>
      </c>
      <c r="V45" s="42">
        <v>1</v>
      </c>
      <c r="W45" s="42">
        <v>1</v>
      </c>
      <c r="X45" s="42">
        <v>1</v>
      </c>
      <c r="Y45" s="42">
        <v>1</v>
      </c>
      <c r="Z45" s="42">
        <v>1</v>
      </c>
      <c r="AA45" s="42">
        <v>1</v>
      </c>
      <c r="AB45" s="42"/>
      <c r="AC45" s="42"/>
      <c r="AD45" s="42"/>
      <c r="AE45" s="41">
        <f t="shared" si="1"/>
        <v>10</v>
      </c>
      <c r="AF45" s="43" t="s">
        <v>194</v>
      </c>
      <c r="AG45" s="44" t="s">
        <v>429</v>
      </c>
    </row>
    <row r="46" spans="1:33" ht="14.25" customHeight="1">
      <c r="A46" s="38" t="s">
        <v>209</v>
      </c>
      <c r="B46" s="38" t="s">
        <v>49</v>
      </c>
      <c r="C46" s="38">
        <v>983804379</v>
      </c>
      <c r="D46" s="39">
        <v>1</v>
      </c>
      <c r="E46" s="130" t="s">
        <v>50</v>
      </c>
      <c r="F46" s="41">
        <v>10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>
        <v>1</v>
      </c>
      <c r="T46" s="42">
        <v>1</v>
      </c>
      <c r="U46" s="45" t="s">
        <v>47</v>
      </c>
      <c r="V46" s="573" t="s">
        <v>132</v>
      </c>
      <c r="W46" s="555"/>
      <c r="X46" s="555"/>
      <c r="Y46" s="555"/>
      <c r="Z46" s="555"/>
      <c r="AA46" s="555"/>
      <c r="AB46" s="555"/>
      <c r="AC46" s="542"/>
      <c r="AD46" s="42"/>
      <c r="AE46" s="41">
        <v>10</v>
      </c>
      <c r="AF46" s="43" t="s">
        <v>259</v>
      </c>
      <c r="AG46" s="44" t="s">
        <v>429</v>
      </c>
    </row>
    <row r="47" spans="1:33" ht="14.25" customHeight="1">
      <c r="A47" s="38" t="s">
        <v>209</v>
      </c>
      <c r="B47" s="38" t="s">
        <v>134</v>
      </c>
      <c r="C47" s="38">
        <v>962839078</v>
      </c>
      <c r="D47" s="39">
        <v>2</v>
      </c>
      <c r="E47" s="130" t="s">
        <v>135</v>
      </c>
      <c r="F47" s="41">
        <v>11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>
        <v>1</v>
      </c>
      <c r="R47" s="42">
        <v>1</v>
      </c>
      <c r="S47" s="42">
        <v>1</v>
      </c>
      <c r="T47" s="42"/>
      <c r="U47" s="45" t="s">
        <v>47</v>
      </c>
      <c r="V47" s="573" t="s">
        <v>132</v>
      </c>
      <c r="W47" s="555"/>
      <c r="X47" s="555"/>
      <c r="Y47" s="555"/>
      <c r="Z47" s="555"/>
      <c r="AA47" s="555"/>
      <c r="AB47" s="555"/>
      <c r="AC47" s="542"/>
      <c r="AD47" s="42"/>
      <c r="AE47" s="41">
        <v>11</v>
      </c>
      <c r="AF47" s="43" t="s">
        <v>433</v>
      </c>
      <c r="AG47" s="44" t="s">
        <v>429</v>
      </c>
    </row>
    <row r="48" spans="1:33" ht="14.25" customHeight="1">
      <c r="A48" s="38" t="s">
        <v>209</v>
      </c>
      <c r="B48" s="38" t="s">
        <v>139</v>
      </c>
      <c r="C48" s="38">
        <v>990660059</v>
      </c>
      <c r="D48" s="39">
        <v>3</v>
      </c>
      <c r="E48" s="130" t="s">
        <v>140</v>
      </c>
      <c r="F48" s="41">
        <v>10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>
        <v>1</v>
      </c>
      <c r="T48" s="42">
        <v>1</v>
      </c>
      <c r="U48" s="45" t="s">
        <v>47</v>
      </c>
      <c r="V48" s="573" t="s">
        <v>132</v>
      </c>
      <c r="W48" s="555"/>
      <c r="X48" s="555"/>
      <c r="Y48" s="555"/>
      <c r="Z48" s="555"/>
      <c r="AA48" s="555"/>
      <c r="AB48" s="555"/>
      <c r="AC48" s="542"/>
      <c r="AD48" s="42"/>
      <c r="AE48" s="41">
        <v>10</v>
      </c>
      <c r="AF48" s="43" t="s">
        <v>259</v>
      </c>
      <c r="AG48" s="44" t="s">
        <v>429</v>
      </c>
    </row>
    <row r="49" spans="1:33" ht="14.25" customHeight="1">
      <c r="A49" s="38" t="s">
        <v>209</v>
      </c>
      <c r="B49" s="38" t="s">
        <v>173</v>
      </c>
      <c r="C49" s="38">
        <v>988941361</v>
      </c>
      <c r="D49" s="62">
        <v>4</v>
      </c>
      <c r="E49" s="130" t="s">
        <v>174</v>
      </c>
      <c r="F49" s="41">
        <v>10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63">
        <v>1</v>
      </c>
      <c r="T49" s="63">
        <v>1</v>
      </c>
      <c r="U49" s="45" t="s">
        <v>47</v>
      </c>
      <c r="V49" s="573" t="s">
        <v>132</v>
      </c>
      <c r="W49" s="555"/>
      <c r="X49" s="555"/>
      <c r="Y49" s="555"/>
      <c r="Z49" s="555"/>
      <c r="AA49" s="555"/>
      <c r="AB49" s="555"/>
      <c r="AC49" s="542"/>
      <c r="AD49" s="42"/>
      <c r="AE49" s="41">
        <v>10</v>
      </c>
      <c r="AF49" s="43" t="s">
        <v>259</v>
      </c>
      <c r="AG49" s="44" t="s">
        <v>429</v>
      </c>
    </row>
    <row r="50" spans="1:33" ht="14.25" customHeight="1">
      <c r="A50" s="38" t="s">
        <v>209</v>
      </c>
      <c r="B50" s="38" t="s">
        <v>117</v>
      </c>
      <c r="C50" s="38"/>
      <c r="D50" s="39">
        <v>5</v>
      </c>
      <c r="E50" s="130" t="s">
        <v>118</v>
      </c>
      <c r="F50" s="41">
        <v>10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>
        <v>1</v>
      </c>
      <c r="T50" s="42">
        <v>1</v>
      </c>
      <c r="U50" s="45" t="s">
        <v>47</v>
      </c>
      <c r="V50" s="573" t="s">
        <v>132</v>
      </c>
      <c r="W50" s="555"/>
      <c r="X50" s="555"/>
      <c r="Y50" s="555"/>
      <c r="Z50" s="555"/>
      <c r="AA50" s="555"/>
      <c r="AB50" s="555"/>
      <c r="AC50" s="542"/>
      <c r="AD50" s="42"/>
      <c r="AE50" s="41">
        <v>10</v>
      </c>
      <c r="AF50" s="43" t="s">
        <v>259</v>
      </c>
      <c r="AG50" s="44" t="s">
        <v>429</v>
      </c>
    </row>
    <row r="51" spans="1:33" ht="14.25" customHeight="1">
      <c r="A51" s="38" t="s">
        <v>209</v>
      </c>
      <c r="B51" s="38" t="s">
        <v>142</v>
      </c>
      <c r="C51" s="38">
        <v>982807786</v>
      </c>
      <c r="D51" s="39">
        <v>6</v>
      </c>
      <c r="E51" s="130" t="s">
        <v>143</v>
      </c>
      <c r="F51" s="41">
        <v>10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>
        <v>1</v>
      </c>
      <c r="T51" s="42">
        <v>1</v>
      </c>
      <c r="U51" s="45" t="s">
        <v>47</v>
      </c>
      <c r="V51" s="573" t="s">
        <v>132</v>
      </c>
      <c r="W51" s="555"/>
      <c r="X51" s="555"/>
      <c r="Y51" s="555"/>
      <c r="Z51" s="555"/>
      <c r="AA51" s="555"/>
      <c r="AB51" s="555"/>
      <c r="AC51" s="542"/>
      <c r="AD51" s="42"/>
      <c r="AE51" s="41">
        <v>10</v>
      </c>
      <c r="AF51" s="43" t="s">
        <v>259</v>
      </c>
      <c r="AG51" s="44" t="s">
        <v>429</v>
      </c>
    </row>
    <row r="52" spans="1:33" ht="14.25" customHeight="1">
      <c r="A52" s="38" t="s">
        <v>292</v>
      </c>
      <c r="B52" s="38" t="s">
        <v>137</v>
      </c>
      <c r="C52" s="38">
        <v>984891008</v>
      </c>
      <c r="D52" s="39">
        <v>1</v>
      </c>
      <c r="E52" s="131" t="s">
        <v>138</v>
      </c>
      <c r="F52" s="41">
        <v>11</v>
      </c>
      <c r="G52" s="47"/>
      <c r="H52" s="47"/>
      <c r="I52" s="47"/>
      <c r="J52" s="47"/>
      <c r="K52" s="47"/>
      <c r="L52" s="47"/>
      <c r="M52" s="47"/>
      <c r="N52" s="573" t="s">
        <v>292</v>
      </c>
      <c r="O52" s="555"/>
      <c r="P52" s="555"/>
      <c r="Q52" s="555"/>
      <c r="R52" s="555"/>
      <c r="S52" s="555"/>
      <c r="T52" s="555"/>
      <c r="U52" s="542"/>
      <c r="V52" s="63">
        <v>1</v>
      </c>
      <c r="W52" s="63">
        <v>1</v>
      </c>
      <c r="X52" s="63">
        <v>1</v>
      </c>
      <c r="Y52" s="42"/>
      <c r="Z52" s="42"/>
      <c r="AA52" s="42"/>
      <c r="AB52" s="42"/>
      <c r="AC52" s="42"/>
      <c r="AD52" s="42"/>
      <c r="AE52" s="114">
        <v>11</v>
      </c>
      <c r="AF52" s="43" t="s">
        <v>154</v>
      </c>
      <c r="AG52" s="44" t="s">
        <v>429</v>
      </c>
    </row>
    <row r="53" spans="1:33" ht="14.25" customHeight="1">
      <c r="A53" s="38" t="s">
        <v>292</v>
      </c>
      <c r="B53" s="38" t="s">
        <v>190</v>
      </c>
      <c r="C53" s="38">
        <v>983356603</v>
      </c>
      <c r="D53" s="39">
        <v>2</v>
      </c>
      <c r="E53" s="131" t="s">
        <v>191</v>
      </c>
      <c r="F53" s="41">
        <v>10</v>
      </c>
      <c r="G53" s="47"/>
      <c r="H53" s="47"/>
      <c r="I53" s="47"/>
      <c r="J53" s="47"/>
      <c r="K53" s="47"/>
      <c r="L53" s="47"/>
      <c r="M53" s="47"/>
      <c r="N53" s="42"/>
      <c r="O53" s="42"/>
      <c r="P53" s="42"/>
      <c r="Q53" s="42"/>
      <c r="R53" s="42"/>
      <c r="S53" s="42"/>
      <c r="T53" s="63">
        <v>1</v>
      </c>
      <c r="U53" s="63">
        <v>1</v>
      </c>
      <c r="V53" s="573" t="s">
        <v>292</v>
      </c>
      <c r="W53" s="555"/>
      <c r="X53" s="555"/>
      <c r="Y53" s="555"/>
      <c r="Z53" s="555"/>
      <c r="AA53" s="555"/>
      <c r="AB53" s="555"/>
      <c r="AC53" s="542"/>
      <c r="AD53" s="47"/>
      <c r="AE53" s="114">
        <v>10</v>
      </c>
      <c r="AF53" s="43" t="s">
        <v>175</v>
      </c>
      <c r="AG53" s="44" t="s">
        <v>429</v>
      </c>
    </row>
    <row r="54" spans="1:33" ht="14.25" customHeight="1">
      <c r="A54" s="38" t="s">
        <v>187</v>
      </c>
      <c r="B54" s="38" t="s">
        <v>188</v>
      </c>
      <c r="C54" s="38"/>
      <c r="D54" s="39">
        <v>1</v>
      </c>
      <c r="E54" s="132" t="s">
        <v>189</v>
      </c>
      <c r="F54" s="41">
        <v>11</v>
      </c>
      <c r="G54" s="47"/>
      <c r="H54" s="47"/>
      <c r="I54" s="47"/>
      <c r="J54" s="47"/>
      <c r="K54" s="47"/>
      <c r="L54" s="47"/>
      <c r="M54" s="47"/>
      <c r="N54" s="47"/>
      <c r="O54" s="47"/>
      <c r="P54" s="573" t="s">
        <v>187</v>
      </c>
      <c r="Q54" s="555"/>
      <c r="R54" s="555"/>
      <c r="S54" s="555"/>
      <c r="T54" s="555"/>
      <c r="U54" s="555"/>
      <c r="V54" s="555"/>
      <c r="W54" s="555"/>
      <c r="X54" s="555"/>
      <c r="Y54" s="555"/>
      <c r="Z54" s="555"/>
      <c r="AA54" s="47"/>
      <c r="AB54" s="47"/>
      <c r="AC54" s="47"/>
      <c r="AD54" s="47"/>
      <c r="AE54" s="41">
        <v>11</v>
      </c>
      <c r="AF54" s="43" t="s">
        <v>164</v>
      </c>
      <c r="AG54" s="44" t="s">
        <v>429</v>
      </c>
    </row>
    <row r="55" spans="1:33" ht="14.25" customHeight="1">
      <c r="A55" s="38" t="s">
        <v>390</v>
      </c>
      <c r="B55" s="38"/>
      <c r="C55" s="38"/>
      <c r="D55" s="39">
        <v>1</v>
      </c>
      <c r="E55" s="133" t="s">
        <v>363</v>
      </c>
      <c r="F55" s="41">
        <v>12</v>
      </c>
      <c r="G55" s="42"/>
      <c r="H55" s="42"/>
      <c r="I55" s="42"/>
      <c r="J55" s="42"/>
      <c r="K55" s="42"/>
      <c r="L55" s="42"/>
      <c r="M55" s="42"/>
      <c r="N55" s="42"/>
      <c r="O55" s="573" t="s">
        <v>364</v>
      </c>
      <c r="P55" s="555"/>
      <c r="Q55" s="555"/>
      <c r="R55" s="555"/>
      <c r="S55" s="555"/>
      <c r="T55" s="555"/>
      <c r="U55" s="555"/>
      <c r="V55" s="555"/>
      <c r="W55" s="555"/>
      <c r="X55" s="555"/>
      <c r="Y55" s="555"/>
      <c r="Z55" s="542"/>
      <c r="AA55" s="42"/>
      <c r="AB55" s="42"/>
      <c r="AC55" s="42"/>
      <c r="AD55" s="42"/>
      <c r="AE55" s="41">
        <v>12</v>
      </c>
      <c r="AF55" s="43" t="s">
        <v>66</v>
      </c>
      <c r="AG55" s="44" t="s">
        <v>429</v>
      </c>
    </row>
    <row r="56" spans="1:33" ht="14.25" customHeight="1">
      <c r="A56" s="2"/>
      <c r="B56" s="2"/>
      <c r="C56" s="2"/>
      <c r="D56" s="48"/>
      <c r="E56" s="49"/>
      <c r="F56" s="50"/>
      <c r="G56" s="51" t="s">
        <v>9</v>
      </c>
      <c r="H56" s="51" t="s">
        <v>10</v>
      </c>
      <c r="I56" s="51" t="s">
        <v>11</v>
      </c>
      <c r="J56" s="51" t="s">
        <v>12</v>
      </c>
      <c r="K56" s="51" t="s">
        <v>13</v>
      </c>
      <c r="L56" s="51" t="s">
        <v>14</v>
      </c>
      <c r="M56" s="51" t="s">
        <v>15</v>
      </c>
      <c r="N56" s="51" t="s">
        <v>16</v>
      </c>
      <c r="O56" s="51" t="s">
        <v>17</v>
      </c>
      <c r="P56" s="106" t="s">
        <v>18</v>
      </c>
      <c r="Q56" s="107" t="s">
        <v>19</v>
      </c>
      <c r="R56" s="107" t="s">
        <v>20</v>
      </c>
      <c r="S56" s="107" t="s">
        <v>21</v>
      </c>
      <c r="T56" s="107" t="s">
        <v>22</v>
      </c>
      <c r="U56" s="107" t="s">
        <v>23</v>
      </c>
      <c r="V56" s="107" t="s">
        <v>24</v>
      </c>
      <c r="W56" s="107" t="s">
        <v>25</v>
      </c>
      <c r="X56" s="107" t="s">
        <v>26</v>
      </c>
      <c r="Y56" s="107" t="s">
        <v>27</v>
      </c>
      <c r="Z56" s="107" t="s">
        <v>28</v>
      </c>
      <c r="AA56" s="52" t="s">
        <v>29</v>
      </c>
      <c r="AB56" s="52" t="s">
        <v>30</v>
      </c>
      <c r="AC56" s="52" t="s">
        <v>31</v>
      </c>
      <c r="AD56" s="51" t="s">
        <v>32</v>
      </c>
      <c r="AE56" s="53"/>
      <c r="AF56" s="25"/>
      <c r="AG56" s="25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3"/>
      <c r="B58" s="3"/>
      <c r="C58" s="3"/>
      <c r="D58" s="48"/>
      <c r="E58" s="547" t="s">
        <v>8</v>
      </c>
      <c r="F58" s="548"/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79">
        <v>3</v>
      </c>
      <c r="N58" s="79">
        <v>3</v>
      </c>
      <c r="O58" s="80">
        <v>6</v>
      </c>
      <c r="P58" s="81">
        <v>7</v>
      </c>
      <c r="Q58" s="82">
        <v>8</v>
      </c>
      <c r="R58" s="82">
        <v>8</v>
      </c>
      <c r="S58" s="82">
        <v>8</v>
      </c>
      <c r="T58" s="82">
        <v>8</v>
      </c>
      <c r="U58" s="82">
        <v>8</v>
      </c>
      <c r="V58" s="82">
        <v>8</v>
      </c>
      <c r="W58" s="82">
        <v>8</v>
      </c>
      <c r="X58" s="80">
        <v>6</v>
      </c>
      <c r="Y58" s="80">
        <v>6</v>
      </c>
      <c r="Z58" s="80">
        <v>6</v>
      </c>
      <c r="AA58" s="83">
        <v>5</v>
      </c>
      <c r="AB58" s="56">
        <v>4</v>
      </c>
      <c r="AC58" s="79">
        <v>3</v>
      </c>
      <c r="AD58" s="12">
        <v>2</v>
      </c>
      <c r="AE58" s="18">
        <f>SUM(G58:AD58)</f>
        <v>119</v>
      </c>
      <c r="AF58" s="25"/>
      <c r="AG58" s="3"/>
    </row>
    <row r="59" spans="1:33" ht="14.25" customHeight="1">
      <c r="A59" s="3"/>
      <c r="B59" s="3"/>
      <c r="C59" s="3"/>
      <c r="D59" s="48"/>
      <c r="E59" s="59"/>
      <c r="F59" s="59"/>
      <c r="G59" s="28">
        <f t="shared" ref="G59:AD59" si="4">G61-G58</f>
        <v>0</v>
      </c>
      <c r="H59" s="28">
        <f t="shared" si="4"/>
        <v>0</v>
      </c>
      <c r="I59" s="28">
        <f t="shared" si="4"/>
        <v>0</v>
      </c>
      <c r="J59" s="28">
        <f t="shared" si="4"/>
        <v>0</v>
      </c>
      <c r="K59" s="28">
        <f t="shared" si="4"/>
        <v>0</v>
      </c>
      <c r="L59" s="28">
        <f t="shared" si="4"/>
        <v>0</v>
      </c>
      <c r="M59" s="28">
        <f t="shared" si="4"/>
        <v>0</v>
      </c>
      <c r="N59" s="28">
        <f t="shared" si="4"/>
        <v>0</v>
      </c>
      <c r="O59" s="28">
        <f t="shared" si="4"/>
        <v>0</v>
      </c>
      <c r="P59" s="28">
        <f t="shared" si="4"/>
        <v>1</v>
      </c>
      <c r="Q59" s="28">
        <f t="shared" si="4"/>
        <v>0</v>
      </c>
      <c r="R59" s="28">
        <f t="shared" si="4"/>
        <v>0</v>
      </c>
      <c r="S59" s="28">
        <f t="shared" si="4"/>
        <v>0</v>
      </c>
      <c r="T59" s="28">
        <f t="shared" si="4"/>
        <v>0</v>
      </c>
      <c r="U59" s="28">
        <f t="shared" si="4"/>
        <v>0</v>
      </c>
      <c r="V59" s="28">
        <f t="shared" si="4"/>
        <v>0</v>
      </c>
      <c r="W59" s="28">
        <f t="shared" si="4"/>
        <v>0</v>
      </c>
      <c r="X59" s="28">
        <f t="shared" si="4"/>
        <v>2</v>
      </c>
      <c r="Y59" s="28">
        <f t="shared" si="4"/>
        <v>0</v>
      </c>
      <c r="Z59" s="28">
        <f t="shared" si="4"/>
        <v>0</v>
      </c>
      <c r="AA59" s="28">
        <f t="shared" si="4"/>
        <v>0</v>
      </c>
      <c r="AB59" s="28">
        <f t="shared" si="4"/>
        <v>0</v>
      </c>
      <c r="AC59" s="28">
        <f t="shared" si="4"/>
        <v>0</v>
      </c>
      <c r="AD59" s="28">
        <f t="shared" si="4"/>
        <v>0</v>
      </c>
      <c r="AE59" s="53"/>
      <c r="AF59" s="3"/>
      <c r="AG59" s="3"/>
    </row>
    <row r="60" spans="1:33" ht="14.25" customHeight="1">
      <c r="A60" s="3"/>
      <c r="B60" s="3"/>
      <c r="C60" s="3"/>
      <c r="D60" s="48"/>
      <c r="E60" s="60" t="s">
        <v>145</v>
      </c>
      <c r="F60" s="59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51" t="s">
        <v>17</v>
      </c>
      <c r="P60" s="51" t="s">
        <v>18</v>
      </c>
      <c r="Q60" s="52" t="s">
        <v>19</v>
      </c>
      <c r="R60" s="52" t="s">
        <v>20</v>
      </c>
      <c r="S60" s="52" t="s">
        <v>21</v>
      </c>
      <c r="T60" s="52" t="s">
        <v>22</v>
      </c>
      <c r="U60" s="52" t="s">
        <v>23</v>
      </c>
      <c r="V60" s="52" t="s">
        <v>24</v>
      </c>
      <c r="W60" s="52" t="s">
        <v>25</v>
      </c>
      <c r="X60" s="52" t="s">
        <v>26</v>
      </c>
      <c r="Y60" s="52" t="s">
        <v>27</v>
      </c>
      <c r="Z60" s="52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3"/>
    </row>
    <row r="61" spans="1:33" ht="14.25" customHeight="1">
      <c r="A61" s="3"/>
      <c r="B61" s="3"/>
      <c r="C61" s="3"/>
      <c r="D61" s="48"/>
      <c r="E61" s="61" t="s">
        <v>37</v>
      </c>
      <c r="F61" s="37" t="s">
        <v>38</v>
      </c>
      <c r="G61" s="35">
        <f t="shared" ref="G61:AD61" si="5">SUM(G62:G72)</f>
        <v>2</v>
      </c>
      <c r="H61" s="35">
        <f t="shared" si="5"/>
        <v>2</v>
      </c>
      <c r="I61" s="35">
        <f t="shared" si="5"/>
        <v>2</v>
      </c>
      <c r="J61" s="35">
        <f t="shared" si="5"/>
        <v>2</v>
      </c>
      <c r="K61" s="35">
        <f t="shared" si="5"/>
        <v>2</v>
      </c>
      <c r="L61" s="35">
        <f t="shared" si="5"/>
        <v>2</v>
      </c>
      <c r="M61" s="35">
        <f t="shared" si="5"/>
        <v>3</v>
      </c>
      <c r="N61" s="35">
        <f t="shared" si="5"/>
        <v>3</v>
      </c>
      <c r="O61" s="35">
        <f t="shared" si="5"/>
        <v>6</v>
      </c>
      <c r="P61" s="35">
        <f t="shared" si="5"/>
        <v>8</v>
      </c>
      <c r="Q61" s="35">
        <f t="shared" si="5"/>
        <v>8</v>
      </c>
      <c r="R61" s="35">
        <f t="shared" si="5"/>
        <v>8</v>
      </c>
      <c r="S61" s="35">
        <f t="shared" si="5"/>
        <v>8</v>
      </c>
      <c r="T61" s="35">
        <f t="shared" si="5"/>
        <v>8</v>
      </c>
      <c r="U61" s="35">
        <f t="shared" si="5"/>
        <v>8</v>
      </c>
      <c r="V61" s="35">
        <f t="shared" si="5"/>
        <v>8</v>
      </c>
      <c r="W61" s="35">
        <f t="shared" si="5"/>
        <v>8</v>
      </c>
      <c r="X61" s="35">
        <f t="shared" si="5"/>
        <v>8</v>
      </c>
      <c r="Y61" s="35">
        <f t="shared" si="5"/>
        <v>6</v>
      </c>
      <c r="Z61" s="35">
        <f t="shared" si="5"/>
        <v>6</v>
      </c>
      <c r="AA61" s="35">
        <f t="shared" si="5"/>
        <v>5</v>
      </c>
      <c r="AB61" s="35">
        <f t="shared" si="5"/>
        <v>4</v>
      </c>
      <c r="AC61" s="35">
        <f t="shared" si="5"/>
        <v>3</v>
      </c>
      <c r="AD61" s="35">
        <f t="shared" si="5"/>
        <v>2</v>
      </c>
      <c r="AE61" s="30">
        <f t="shared" ref="AE61:AE72" si="6">SUM(G61:AD61)</f>
        <v>122</v>
      </c>
      <c r="AF61" s="36" t="s">
        <v>39</v>
      </c>
      <c r="AG61" s="37" t="s">
        <v>40</v>
      </c>
    </row>
    <row r="62" spans="1:33" ht="14.25" customHeight="1">
      <c r="A62" s="38" t="s">
        <v>145</v>
      </c>
      <c r="B62" s="38" t="s">
        <v>149</v>
      </c>
      <c r="C62" s="38">
        <v>996585473</v>
      </c>
      <c r="D62" s="62">
        <v>1</v>
      </c>
      <c r="E62" s="40" t="s">
        <v>150</v>
      </c>
      <c r="F62" s="41">
        <f t="shared" ref="F62:F72" si="7">SUM(G62:AD62)</f>
        <v>9</v>
      </c>
      <c r="G62" s="42"/>
      <c r="H62" s="42"/>
      <c r="I62" s="42"/>
      <c r="J62" s="42"/>
      <c r="K62" s="42"/>
      <c r="L62" s="42"/>
      <c r="M62" s="42"/>
      <c r="N62" s="42"/>
      <c r="O62" s="42">
        <v>1</v>
      </c>
      <c r="P62" s="42">
        <v>1</v>
      </c>
      <c r="Q62" s="42">
        <v>1</v>
      </c>
      <c r="R62" s="45" t="s">
        <v>47</v>
      </c>
      <c r="S62" s="42">
        <v>1</v>
      </c>
      <c r="T62" s="42">
        <v>1</v>
      </c>
      <c r="U62" s="42">
        <v>1</v>
      </c>
      <c r="V62" s="42">
        <v>1</v>
      </c>
      <c r="W62" s="42">
        <v>1</v>
      </c>
      <c r="X62" s="42">
        <v>1</v>
      </c>
      <c r="Y62" s="42"/>
      <c r="Z62" s="42"/>
      <c r="AA62" s="42"/>
      <c r="AB62" s="42"/>
      <c r="AC62" s="42"/>
      <c r="AD62" s="42"/>
      <c r="AE62" s="41">
        <f t="shared" si="6"/>
        <v>9</v>
      </c>
      <c r="AF62" s="43" t="s">
        <v>180</v>
      </c>
      <c r="AG62" s="44" t="s">
        <v>429</v>
      </c>
    </row>
    <row r="63" spans="1:33" ht="14.25" customHeight="1">
      <c r="A63" s="38" t="s">
        <v>145</v>
      </c>
      <c r="B63" s="38" t="s">
        <v>212</v>
      </c>
      <c r="C63" s="38"/>
      <c r="D63" s="62">
        <v>2</v>
      </c>
      <c r="E63" s="40" t="s">
        <v>153</v>
      </c>
      <c r="F63" s="41">
        <f t="shared" si="7"/>
        <v>10</v>
      </c>
      <c r="G63" s="42"/>
      <c r="H63" s="42"/>
      <c r="I63" s="42"/>
      <c r="J63" s="42"/>
      <c r="K63" s="42"/>
      <c r="L63" s="42"/>
      <c r="M63" s="42"/>
      <c r="N63" s="42"/>
      <c r="O63" s="42"/>
      <c r="P63" s="42">
        <v>1</v>
      </c>
      <c r="Q63" s="42">
        <v>1</v>
      </c>
      <c r="R63" s="42">
        <v>1</v>
      </c>
      <c r="S63" s="45" t="s">
        <v>47</v>
      </c>
      <c r="T63" s="42">
        <v>1</v>
      </c>
      <c r="U63" s="42">
        <v>1</v>
      </c>
      <c r="V63" s="42">
        <v>1</v>
      </c>
      <c r="W63" s="42">
        <v>1</v>
      </c>
      <c r="X63" s="42">
        <v>1</v>
      </c>
      <c r="Y63" s="42">
        <v>1</v>
      </c>
      <c r="Z63" s="42">
        <v>1</v>
      </c>
      <c r="AA63" s="42"/>
      <c r="AB63" s="42"/>
      <c r="AC63" s="42"/>
      <c r="AD63" s="42"/>
      <c r="AE63" s="41">
        <f t="shared" si="6"/>
        <v>10</v>
      </c>
      <c r="AF63" s="43" t="s">
        <v>164</v>
      </c>
      <c r="AG63" s="44" t="s">
        <v>429</v>
      </c>
    </row>
    <row r="64" spans="1:33" ht="14.25" customHeight="1">
      <c r="A64" s="38" t="s">
        <v>145</v>
      </c>
      <c r="B64" s="38" t="s">
        <v>155</v>
      </c>
      <c r="C64" s="38">
        <v>969250973</v>
      </c>
      <c r="D64" s="62">
        <v>3</v>
      </c>
      <c r="E64" s="40" t="s">
        <v>156</v>
      </c>
      <c r="F64" s="41">
        <f t="shared" si="7"/>
        <v>11</v>
      </c>
      <c r="G64" s="42"/>
      <c r="H64" s="42"/>
      <c r="I64" s="42"/>
      <c r="J64" s="42"/>
      <c r="K64" s="42"/>
      <c r="L64" s="42"/>
      <c r="M64" s="42">
        <v>1</v>
      </c>
      <c r="N64" s="42">
        <v>1</v>
      </c>
      <c r="O64" s="42">
        <v>1</v>
      </c>
      <c r="P64" s="42">
        <v>1</v>
      </c>
      <c r="Q64" s="42">
        <v>1</v>
      </c>
      <c r="R64" s="42">
        <v>1</v>
      </c>
      <c r="S64" s="42">
        <v>1</v>
      </c>
      <c r="T64" s="42">
        <v>1</v>
      </c>
      <c r="U64" s="45" t="s">
        <v>47</v>
      </c>
      <c r="V64" s="42">
        <v>1</v>
      </c>
      <c r="W64" s="42">
        <v>1</v>
      </c>
      <c r="X64" s="42">
        <v>1</v>
      </c>
      <c r="Y64" s="42"/>
      <c r="Z64" s="42"/>
      <c r="AA64" s="42"/>
      <c r="AB64" s="42"/>
      <c r="AC64" s="42"/>
      <c r="AD64" s="42"/>
      <c r="AE64" s="41">
        <f t="shared" si="6"/>
        <v>11</v>
      </c>
      <c r="AF64" s="46" t="s">
        <v>84</v>
      </c>
      <c r="AG64" s="44" t="s">
        <v>429</v>
      </c>
    </row>
    <row r="65" spans="1:33" ht="14.25" customHeight="1">
      <c r="A65" s="38" t="s">
        <v>145</v>
      </c>
      <c r="B65" s="38" t="s">
        <v>157</v>
      </c>
      <c r="C65" s="38">
        <v>990911747</v>
      </c>
      <c r="D65" s="62">
        <v>4</v>
      </c>
      <c r="E65" s="40" t="s">
        <v>158</v>
      </c>
      <c r="F65" s="41">
        <f t="shared" si="7"/>
        <v>12</v>
      </c>
      <c r="G65" s="42"/>
      <c r="H65" s="42"/>
      <c r="I65" s="42"/>
      <c r="J65" s="42"/>
      <c r="K65" s="42"/>
      <c r="L65" s="42"/>
      <c r="M65" s="42">
        <v>1</v>
      </c>
      <c r="N65" s="42">
        <v>1</v>
      </c>
      <c r="O65" s="42">
        <v>1</v>
      </c>
      <c r="P65" s="63">
        <v>1</v>
      </c>
      <c r="Q65" s="42">
        <v>1</v>
      </c>
      <c r="R65" s="42">
        <v>1</v>
      </c>
      <c r="S65" s="42">
        <v>1</v>
      </c>
      <c r="T65" s="42">
        <v>1</v>
      </c>
      <c r="U65" s="42">
        <v>1</v>
      </c>
      <c r="V65" s="42">
        <v>1</v>
      </c>
      <c r="W65" s="42">
        <v>1</v>
      </c>
      <c r="X65" s="63">
        <v>1</v>
      </c>
      <c r="Y65" s="42"/>
      <c r="Z65" s="42"/>
      <c r="AA65" s="42"/>
      <c r="AB65" s="42"/>
      <c r="AC65" s="42"/>
      <c r="AD65" s="42"/>
      <c r="AE65" s="41">
        <f t="shared" si="6"/>
        <v>12</v>
      </c>
      <c r="AF65" s="46" t="s">
        <v>84</v>
      </c>
      <c r="AG65" s="44" t="s">
        <v>429</v>
      </c>
    </row>
    <row r="66" spans="1:33" ht="14.25" customHeight="1">
      <c r="A66" s="38" t="s">
        <v>145</v>
      </c>
      <c r="B66" s="38" t="s">
        <v>160</v>
      </c>
      <c r="C66" s="38">
        <v>993901115</v>
      </c>
      <c r="D66" s="62">
        <v>5</v>
      </c>
      <c r="E66" s="40" t="s">
        <v>161</v>
      </c>
      <c r="F66" s="41">
        <f t="shared" si="7"/>
        <v>12</v>
      </c>
      <c r="G66" s="42">
        <v>1</v>
      </c>
      <c r="H66" s="42">
        <v>1</v>
      </c>
      <c r="I66" s="42">
        <v>1</v>
      </c>
      <c r="J66" s="42">
        <v>1</v>
      </c>
      <c r="K66" s="42">
        <v>1</v>
      </c>
      <c r="L66" s="42">
        <v>1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5" t="s">
        <v>47</v>
      </c>
      <c r="Y66" s="42">
        <v>1</v>
      </c>
      <c r="Z66" s="42">
        <v>1</v>
      </c>
      <c r="AA66" s="42">
        <v>1</v>
      </c>
      <c r="AB66" s="42">
        <v>1</v>
      </c>
      <c r="AC66" s="42">
        <v>1</v>
      </c>
      <c r="AD66" s="42">
        <v>1</v>
      </c>
      <c r="AE66" s="41">
        <f t="shared" si="6"/>
        <v>12</v>
      </c>
      <c r="AF66" s="46" t="s">
        <v>54</v>
      </c>
      <c r="AG66" s="44" t="s">
        <v>429</v>
      </c>
    </row>
    <row r="67" spans="1:33" ht="14.25" customHeight="1">
      <c r="A67" s="38" t="s">
        <v>145</v>
      </c>
      <c r="B67" s="38" t="s">
        <v>165</v>
      </c>
      <c r="C67" s="38">
        <v>992994680</v>
      </c>
      <c r="D67" s="62">
        <v>6</v>
      </c>
      <c r="E67" s="40" t="s">
        <v>166</v>
      </c>
      <c r="F67" s="41">
        <f t="shared" si="7"/>
        <v>11</v>
      </c>
      <c r="G67" s="42"/>
      <c r="H67" s="42"/>
      <c r="I67" s="42"/>
      <c r="J67" s="42"/>
      <c r="K67" s="42"/>
      <c r="L67" s="42"/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5" t="s">
        <v>47</v>
      </c>
      <c r="W67" s="42">
        <v>1</v>
      </c>
      <c r="X67" s="42">
        <v>1</v>
      </c>
      <c r="Y67" s="42"/>
      <c r="Z67" s="42"/>
      <c r="AA67" s="42"/>
      <c r="AB67" s="42"/>
      <c r="AC67" s="42"/>
      <c r="AD67" s="42"/>
      <c r="AE67" s="41">
        <f t="shared" si="6"/>
        <v>11</v>
      </c>
      <c r="AF67" s="46" t="s">
        <v>84</v>
      </c>
      <c r="AG67" s="44" t="s">
        <v>429</v>
      </c>
    </row>
    <row r="68" spans="1:33" ht="14.25" customHeight="1">
      <c r="A68" s="38" t="s">
        <v>145</v>
      </c>
      <c r="B68" s="38" t="s">
        <v>168</v>
      </c>
      <c r="C68" s="38"/>
      <c r="D68" s="62">
        <v>7</v>
      </c>
      <c r="E68" s="40" t="s">
        <v>169</v>
      </c>
      <c r="F68" s="41">
        <f t="shared" si="7"/>
        <v>12</v>
      </c>
      <c r="G68" s="42">
        <v>1</v>
      </c>
      <c r="H68" s="42">
        <v>1</v>
      </c>
      <c r="I68" s="42">
        <v>1</v>
      </c>
      <c r="J68" s="42">
        <v>1</v>
      </c>
      <c r="K68" s="42">
        <v>1</v>
      </c>
      <c r="L68" s="42">
        <v>1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5" t="s">
        <v>47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>
        <v>1</v>
      </c>
      <c r="AE68" s="41">
        <f t="shared" si="6"/>
        <v>12</v>
      </c>
      <c r="AF68" s="46" t="s">
        <v>54</v>
      </c>
      <c r="AG68" s="44" t="s">
        <v>429</v>
      </c>
    </row>
    <row r="69" spans="1:33" ht="14.25" customHeight="1">
      <c r="A69" s="38" t="s">
        <v>145</v>
      </c>
      <c r="B69" s="38" t="s">
        <v>176</v>
      </c>
      <c r="C69" s="38"/>
      <c r="D69" s="62">
        <v>8</v>
      </c>
      <c r="E69" s="40" t="s">
        <v>177</v>
      </c>
      <c r="F69" s="41">
        <f t="shared" si="7"/>
        <v>11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>
        <v>1</v>
      </c>
      <c r="S69" s="42">
        <v>1</v>
      </c>
      <c r="T69" s="42">
        <v>1</v>
      </c>
      <c r="U69" s="42">
        <v>1</v>
      </c>
      <c r="V69" s="42">
        <v>1</v>
      </c>
      <c r="W69" s="42">
        <v>1</v>
      </c>
      <c r="X69" s="45" t="s">
        <v>47</v>
      </c>
      <c r="Y69" s="42">
        <v>1</v>
      </c>
      <c r="Z69" s="42">
        <v>1</v>
      </c>
      <c r="AA69" s="42">
        <v>1</v>
      </c>
      <c r="AB69" s="42">
        <v>1</v>
      </c>
      <c r="AC69" s="42">
        <v>1</v>
      </c>
      <c r="AD69" s="42"/>
      <c r="AE69" s="41">
        <f t="shared" si="6"/>
        <v>11</v>
      </c>
      <c r="AF69" s="43" t="s">
        <v>133</v>
      </c>
      <c r="AG69" s="44" t="s">
        <v>429</v>
      </c>
    </row>
    <row r="70" spans="1:33" ht="14.25" customHeight="1">
      <c r="A70" s="38" t="s">
        <v>145</v>
      </c>
      <c r="B70" s="38" t="s">
        <v>178</v>
      </c>
      <c r="C70" s="38"/>
      <c r="D70" s="62">
        <v>9</v>
      </c>
      <c r="E70" s="40" t="s">
        <v>179</v>
      </c>
      <c r="F70" s="41">
        <f t="shared" si="7"/>
        <v>12</v>
      </c>
      <c r="G70" s="42"/>
      <c r="H70" s="42"/>
      <c r="I70" s="42"/>
      <c r="J70" s="42"/>
      <c r="K70" s="42"/>
      <c r="L70" s="42"/>
      <c r="M70" s="42"/>
      <c r="N70" s="42"/>
      <c r="O70" s="42"/>
      <c r="P70" s="42">
        <v>1</v>
      </c>
      <c r="Q70" s="42">
        <v>1</v>
      </c>
      <c r="R70" s="42">
        <v>1</v>
      </c>
      <c r="S70" s="42">
        <v>1</v>
      </c>
      <c r="T70" s="42">
        <v>1</v>
      </c>
      <c r="U70" s="42">
        <v>1</v>
      </c>
      <c r="V70" s="42">
        <v>1</v>
      </c>
      <c r="W70" s="45" t="s">
        <v>47</v>
      </c>
      <c r="X70" s="42">
        <v>1</v>
      </c>
      <c r="Y70" s="42">
        <v>1</v>
      </c>
      <c r="Z70" s="42">
        <v>1</v>
      </c>
      <c r="AA70" s="42">
        <v>1</v>
      </c>
      <c r="AB70" s="42">
        <v>1</v>
      </c>
      <c r="AC70" s="42"/>
      <c r="AD70" s="42"/>
      <c r="AE70" s="41">
        <f t="shared" si="6"/>
        <v>12</v>
      </c>
      <c r="AF70" s="43" t="s">
        <v>326</v>
      </c>
      <c r="AG70" s="44" t="s">
        <v>429</v>
      </c>
    </row>
    <row r="71" spans="1:33" ht="14.25" customHeight="1">
      <c r="A71" s="38" t="s">
        <v>145</v>
      </c>
      <c r="B71" s="38" t="s">
        <v>181</v>
      </c>
      <c r="C71" s="38"/>
      <c r="D71" s="62">
        <v>10</v>
      </c>
      <c r="E71" s="40" t="s">
        <v>182</v>
      </c>
      <c r="F71" s="41">
        <f t="shared" si="7"/>
        <v>12</v>
      </c>
      <c r="G71" s="42"/>
      <c r="H71" s="42"/>
      <c r="I71" s="42"/>
      <c r="J71" s="42"/>
      <c r="K71" s="42"/>
      <c r="L71" s="42"/>
      <c r="M71" s="42"/>
      <c r="N71" s="42"/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/>
      <c r="U71" s="42">
        <v>1</v>
      </c>
      <c r="V71" s="42">
        <v>1</v>
      </c>
      <c r="W71" s="42">
        <v>1</v>
      </c>
      <c r="X71" s="42">
        <v>1</v>
      </c>
      <c r="Y71" s="42">
        <v>1</v>
      </c>
      <c r="Z71" s="42">
        <v>1</v>
      </c>
      <c r="AA71" s="42">
        <v>1</v>
      </c>
      <c r="AB71" s="42"/>
      <c r="AC71" s="42"/>
      <c r="AD71" s="42"/>
      <c r="AE71" s="41">
        <f t="shared" si="6"/>
        <v>12</v>
      </c>
      <c r="AF71" s="43" t="s">
        <v>373</v>
      </c>
      <c r="AG71" s="44" t="s">
        <v>429</v>
      </c>
    </row>
    <row r="72" spans="1:33" ht="14.25" customHeight="1">
      <c r="A72" s="38" t="s">
        <v>145</v>
      </c>
      <c r="B72" s="38" t="s">
        <v>183</v>
      </c>
      <c r="C72" s="38"/>
      <c r="D72" s="62">
        <v>11</v>
      </c>
      <c r="E72" s="40" t="s">
        <v>184</v>
      </c>
      <c r="F72" s="41">
        <f t="shared" si="7"/>
        <v>10</v>
      </c>
      <c r="G72" s="42"/>
      <c r="H72" s="42"/>
      <c r="I72" s="42"/>
      <c r="J72" s="42"/>
      <c r="K72" s="42"/>
      <c r="L72" s="42"/>
      <c r="M72" s="42"/>
      <c r="N72" s="42"/>
      <c r="O72" s="75">
        <v>1</v>
      </c>
      <c r="P72" s="42">
        <v>1</v>
      </c>
      <c r="Q72" s="42">
        <v>1</v>
      </c>
      <c r="R72" s="42">
        <v>1</v>
      </c>
      <c r="S72" s="42">
        <v>1</v>
      </c>
      <c r="T72" s="42">
        <v>1</v>
      </c>
      <c r="U72" s="42">
        <v>1</v>
      </c>
      <c r="V72" s="42">
        <v>1</v>
      </c>
      <c r="W72" s="42">
        <v>1</v>
      </c>
      <c r="X72" s="42">
        <v>1</v>
      </c>
      <c r="Y72" s="42"/>
      <c r="Z72" s="42"/>
      <c r="AA72" s="42"/>
      <c r="AB72" s="42"/>
      <c r="AC72" s="42"/>
      <c r="AD72" s="42"/>
      <c r="AE72" s="41">
        <f t="shared" si="6"/>
        <v>10</v>
      </c>
      <c r="AF72" s="43" t="s">
        <v>180</v>
      </c>
      <c r="AG72" s="44" t="s">
        <v>429</v>
      </c>
    </row>
    <row r="73" spans="1:33" ht="14.25" customHeight="1">
      <c r="A73" s="3"/>
      <c r="B73" s="3"/>
      <c r="C73" s="3"/>
      <c r="D73" s="3"/>
      <c r="E73" s="3"/>
      <c r="F73" s="3"/>
      <c r="G73" s="65" t="s">
        <v>9</v>
      </c>
      <c r="H73" s="65" t="s">
        <v>10</v>
      </c>
      <c r="I73" s="65" t="s">
        <v>11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65" t="s">
        <v>17</v>
      </c>
      <c r="P73" s="65" t="s">
        <v>18</v>
      </c>
      <c r="Q73" s="66" t="s">
        <v>19</v>
      </c>
      <c r="R73" s="66" t="s">
        <v>20</v>
      </c>
      <c r="S73" s="66" t="s">
        <v>21</v>
      </c>
      <c r="T73" s="66" t="s">
        <v>22</v>
      </c>
      <c r="U73" s="66" t="s">
        <v>23</v>
      </c>
      <c r="V73" s="66" t="s">
        <v>24</v>
      </c>
      <c r="W73" s="66" t="s">
        <v>25</v>
      </c>
      <c r="X73" s="66" t="s">
        <v>26</v>
      </c>
      <c r="Y73" s="66" t="s">
        <v>27</v>
      </c>
      <c r="Z73" s="66" t="s">
        <v>28</v>
      </c>
      <c r="AA73" s="66" t="s">
        <v>29</v>
      </c>
      <c r="AB73" s="66" t="s">
        <v>30</v>
      </c>
      <c r="AC73" s="66" t="s">
        <v>31</v>
      </c>
      <c r="AD73" s="65" t="s">
        <v>32</v>
      </c>
      <c r="AE73" s="53"/>
      <c r="AF73" s="3"/>
      <c r="AG73" s="3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</sheetData>
  <autoFilter ref="A7:AG56" xr:uid="{00000000-0009-0000-0000-000020000000}"/>
  <customSheetViews>
    <customSheetView guid="{D6F95600-F5D2-44BC-80B6-0F2773D5BD92}" filter="1" showAutoFilter="1">
      <pageMargins left="0.7" right="0.7" top="0.75" bottom="0.75" header="0.3" footer="0.3"/>
      <autoFilter ref="A3:AG74" xr:uid="{B4F4B1AC-23D3-460D-BF83-2BDC397CA973}"/>
    </customSheetView>
    <customSheetView guid="{49BA5E93-E473-4F11-BE7E-FD55CB28D969}" filter="1" showAutoFilter="1">
      <pageMargins left="0.7" right="0.7" top="0.75" bottom="0.75" header="0.3" footer="0.3"/>
      <autoFilter ref="G5:AD74" xr:uid="{1AAF7329-D74A-4751-B0B4-8CC75E045F5E}">
        <filterColumn colId="15">
          <filters>
            <filter val="-"/>
            <filter val="1"/>
            <filter val="28"/>
            <filter val="8"/>
            <filter val="C"/>
            <filter val="CLIENTES VIP"/>
            <filter val="MONITOREOS BRM"/>
            <filter val="SEGUIMIENTO TRANSFERENCIAS"/>
            <filter val="SOPORTE DTH"/>
            <filter val="V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74" xr:uid="{4699798B-A228-431D-B329-944A8CB1C635}">
        <filterColumn colId="26">
          <filters>
            <filter val="-"/>
            <filter val="1"/>
            <filter val="5"/>
            <filter val="CLIENTES VIP"/>
            <filter val="MONITOREOS BRM"/>
            <filter val="V"/>
          </filters>
        </filterColumn>
      </autoFilter>
    </customSheetView>
  </customSheetViews>
  <mergeCells count="15">
    <mergeCell ref="P54:Z54"/>
    <mergeCell ref="O55:Z55"/>
    <mergeCell ref="E58:F58"/>
    <mergeCell ref="A1:B1"/>
    <mergeCell ref="D3:AE3"/>
    <mergeCell ref="E4:F4"/>
    <mergeCell ref="E5:F5"/>
    <mergeCell ref="V46:AC46"/>
    <mergeCell ref="V47:AC47"/>
    <mergeCell ref="V48:AC48"/>
    <mergeCell ref="V49:AC49"/>
    <mergeCell ref="V50:AC50"/>
    <mergeCell ref="V51:AC51"/>
    <mergeCell ref="N52:U52"/>
    <mergeCell ref="V53:AC53"/>
  </mergeCells>
  <conditionalFormatting sqref="E4:F4 E58:F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0:AB60 N73:AB7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7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219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67">
        <v>4</v>
      </c>
      <c r="H4" s="12">
        <v>3</v>
      </c>
      <c r="I4" s="12">
        <v>3</v>
      </c>
      <c r="J4" s="12">
        <v>3</v>
      </c>
      <c r="K4" s="12">
        <v>3</v>
      </c>
      <c r="L4" s="12">
        <v>3</v>
      </c>
      <c r="M4" s="73">
        <v>10</v>
      </c>
      <c r="N4" s="137">
        <v>20</v>
      </c>
      <c r="O4" s="141">
        <v>27</v>
      </c>
      <c r="P4" s="82">
        <v>29</v>
      </c>
      <c r="Q4" s="142">
        <v>30</v>
      </c>
      <c r="R4" s="142">
        <v>30</v>
      </c>
      <c r="S4" s="142">
        <v>30</v>
      </c>
      <c r="T4" s="137">
        <v>20</v>
      </c>
      <c r="U4" s="136">
        <v>23</v>
      </c>
      <c r="V4" s="143">
        <v>28</v>
      </c>
      <c r="W4" s="143">
        <v>28</v>
      </c>
      <c r="X4" s="57">
        <v>33</v>
      </c>
      <c r="Y4" s="135">
        <v>26</v>
      </c>
      <c r="Z4" s="144">
        <v>18</v>
      </c>
      <c r="AA4" s="85">
        <v>11</v>
      </c>
      <c r="AB4" s="79">
        <v>8</v>
      </c>
      <c r="AC4" s="74">
        <v>6</v>
      </c>
      <c r="AD4" s="67">
        <v>4</v>
      </c>
      <c r="AE4" s="18">
        <f>SUM(G4:AD4)</f>
        <v>400</v>
      </c>
      <c r="AF4" s="3">
        <f>AE4/9</f>
        <v>44.444444444444443</v>
      </c>
      <c r="AG4" s="3"/>
    </row>
    <row r="5" spans="1:33" ht="62.25">
      <c r="A5" s="3"/>
      <c r="B5" s="2"/>
      <c r="C5" s="2"/>
      <c r="D5" s="19"/>
      <c r="E5" s="569">
        <v>30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-1</v>
      </c>
      <c r="O6" s="28">
        <f t="shared" si="0"/>
        <v>-1</v>
      </c>
      <c r="P6" s="28">
        <f t="shared" si="0"/>
        <v>-1</v>
      </c>
      <c r="Q6" s="84">
        <f t="shared" si="0"/>
        <v>-1</v>
      </c>
      <c r="R6" s="84">
        <f t="shared" si="0"/>
        <v>-1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2</v>
      </c>
      <c r="W6" s="28">
        <f t="shared" si="0"/>
        <v>0</v>
      </c>
      <c r="X6" s="84">
        <f t="shared" si="0"/>
        <v>-3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-1</v>
      </c>
      <c r="AD6" s="28">
        <f t="shared" si="0"/>
        <v>0</v>
      </c>
      <c r="AE6" s="29">
        <f t="shared" ref="AE6:AE45" si="1">SUM(G6:AD6)</f>
        <v>-7</v>
      </c>
      <c r="AG6" s="24"/>
    </row>
    <row r="7" spans="1:33" ht="14.25" customHeight="1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SUM(G8:G54)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10</v>
      </c>
      <c r="N7" s="35">
        <f t="shared" si="2"/>
        <v>19</v>
      </c>
      <c r="O7" s="35">
        <f t="shared" si="2"/>
        <v>26</v>
      </c>
      <c r="P7" s="35">
        <f t="shared" si="2"/>
        <v>28</v>
      </c>
      <c r="Q7" s="35">
        <f t="shared" si="2"/>
        <v>29</v>
      </c>
      <c r="R7" s="35">
        <f t="shared" si="2"/>
        <v>29</v>
      </c>
      <c r="S7" s="35">
        <f t="shared" si="2"/>
        <v>30</v>
      </c>
      <c r="T7" s="35">
        <f t="shared" si="2"/>
        <v>20</v>
      </c>
      <c r="U7" s="35">
        <f t="shared" si="2"/>
        <v>23</v>
      </c>
      <c r="V7" s="35">
        <f t="shared" si="2"/>
        <v>30</v>
      </c>
      <c r="W7" s="35">
        <f t="shared" si="2"/>
        <v>28</v>
      </c>
      <c r="X7" s="35">
        <f t="shared" si="2"/>
        <v>30</v>
      </c>
      <c r="Y7" s="35">
        <f t="shared" si="2"/>
        <v>26</v>
      </c>
      <c r="Z7" s="35">
        <f t="shared" si="2"/>
        <v>18</v>
      </c>
      <c r="AA7" s="35">
        <f t="shared" si="2"/>
        <v>11</v>
      </c>
      <c r="AB7" s="35">
        <f t="shared" si="2"/>
        <v>8</v>
      </c>
      <c r="AC7" s="35">
        <f t="shared" si="2"/>
        <v>5</v>
      </c>
      <c r="AD7" s="35">
        <f t="shared" si="2"/>
        <v>4</v>
      </c>
      <c r="AE7" s="30">
        <f t="shared" si="1"/>
        <v>393</v>
      </c>
      <c r="AF7" s="36" t="s">
        <v>39</v>
      </c>
      <c r="AG7" s="37" t="s">
        <v>40</v>
      </c>
    </row>
    <row r="8" spans="1:33" ht="14.25" customHeight="1">
      <c r="A8" s="38" t="s">
        <v>41</v>
      </c>
      <c r="B8" s="38" t="s">
        <v>42</v>
      </c>
      <c r="C8" s="38"/>
      <c r="D8" s="39">
        <v>0</v>
      </c>
      <c r="E8" s="40" t="s">
        <v>43</v>
      </c>
      <c r="F8" s="41">
        <f t="shared" ref="F8:F42" si="3">SUM(G8:AD8)</f>
        <v>4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>
        <v>1</v>
      </c>
      <c r="Z8" s="42">
        <v>1</v>
      </c>
      <c r="AA8" s="42">
        <v>1</v>
      </c>
      <c r="AB8" s="42">
        <v>1</v>
      </c>
      <c r="AC8" s="42"/>
      <c r="AD8" s="42"/>
      <c r="AE8" s="41">
        <f t="shared" si="1"/>
        <v>4</v>
      </c>
      <c r="AF8" s="43" t="s">
        <v>44</v>
      </c>
      <c r="AG8" s="44" t="s">
        <v>434</v>
      </c>
    </row>
    <row r="9" spans="1:33" ht="15.75">
      <c r="A9" s="38" t="s">
        <v>41</v>
      </c>
      <c r="B9" s="38" t="s">
        <v>45</v>
      </c>
      <c r="C9" s="38">
        <v>999600729</v>
      </c>
      <c r="D9" s="39">
        <v>1</v>
      </c>
      <c r="E9" s="40" t="s">
        <v>46</v>
      </c>
      <c r="F9" s="41">
        <f t="shared" si="3"/>
        <v>12</v>
      </c>
      <c r="G9" s="42"/>
      <c r="H9" s="42"/>
      <c r="I9" s="42"/>
      <c r="J9" s="42"/>
      <c r="K9" s="42"/>
      <c r="L9" s="42"/>
      <c r="M9" s="42"/>
      <c r="N9" s="42"/>
      <c r="O9" s="42">
        <v>1</v>
      </c>
      <c r="P9" s="42">
        <v>1</v>
      </c>
      <c r="Q9" s="42">
        <v>1</v>
      </c>
      <c r="R9" s="42">
        <v>1</v>
      </c>
      <c r="S9" s="42">
        <v>1</v>
      </c>
      <c r="T9" s="42"/>
      <c r="U9" s="42">
        <v>1</v>
      </c>
      <c r="V9" s="42">
        <v>1</v>
      </c>
      <c r="W9" s="42">
        <v>1</v>
      </c>
      <c r="X9" s="42">
        <v>1</v>
      </c>
      <c r="Y9" s="42">
        <v>1</v>
      </c>
      <c r="Z9" s="42">
        <v>1</v>
      </c>
      <c r="AA9" s="42">
        <v>1</v>
      </c>
      <c r="AB9" s="42"/>
      <c r="AC9" s="42"/>
      <c r="AD9" s="42"/>
      <c r="AE9" s="41">
        <f t="shared" si="1"/>
        <v>12</v>
      </c>
      <c r="AF9" s="43" t="s">
        <v>373</v>
      </c>
      <c r="AG9" s="44" t="s">
        <v>434</v>
      </c>
    </row>
    <row r="10" spans="1:33" ht="15.75" customHeight="1">
      <c r="A10" s="38" t="s">
        <v>41</v>
      </c>
      <c r="B10" s="38" t="s">
        <v>52</v>
      </c>
      <c r="C10" s="38">
        <v>984098910</v>
      </c>
      <c r="D10" s="39">
        <v>2</v>
      </c>
      <c r="E10" s="40" t="s">
        <v>53</v>
      </c>
      <c r="F10" s="41">
        <f t="shared" si="3"/>
        <v>12</v>
      </c>
      <c r="G10" s="42">
        <v>1</v>
      </c>
      <c r="H10" s="42">
        <v>1</v>
      </c>
      <c r="I10" s="42">
        <v>1</v>
      </c>
      <c r="J10" s="42">
        <v>1</v>
      </c>
      <c r="K10" s="42">
        <v>1</v>
      </c>
      <c r="L10" s="42">
        <v>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>
        <v>1</v>
      </c>
      <c r="Z10" s="42">
        <v>1</v>
      </c>
      <c r="AA10" s="42">
        <v>1</v>
      </c>
      <c r="AB10" s="42">
        <v>1</v>
      </c>
      <c r="AC10" s="42">
        <v>1</v>
      </c>
      <c r="AD10" s="42">
        <v>1</v>
      </c>
      <c r="AE10" s="41">
        <f t="shared" si="1"/>
        <v>12</v>
      </c>
      <c r="AF10" s="46" t="s">
        <v>221</v>
      </c>
      <c r="AG10" s="44" t="s">
        <v>434</v>
      </c>
    </row>
    <row r="11" spans="1:33" ht="14.25" customHeight="1">
      <c r="A11" s="38" t="s">
        <v>41</v>
      </c>
      <c r="B11" s="38" t="s">
        <v>55</v>
      </c>
      <c r="C11" s="38">
        <v>987983128</v>
      </c>
      <c r="D11" s="39">
        <v>3</v>
      </c>
      <c r="E11" s="40" t="s">
        <v>56</v>
      </c>
      <c r="F11" s="41">
        <f t="shared" si="3"/>
        <v>11</v>
      </c>
      <c r="G11" s="42"/>
      <c r="H11" s="42"/>
      <c r="I11" s="42"/>
      <c r="J11" s="42"/>
      <c r="K11" s="42"/>
      <c r="L11" s="42"/>
      <c r="M11" s="42"/>
      <c r="N11" s="42">
        <v>1</v>
      </c>
      <c r="O11" s="42">
        <v>1</v>
      </c>
      <c r="P11" s="42">
        <v>1</v>
      </c>
      <c r="Q11" s="42">
        <v>1</v>
      </c>
      <c r="R11" s="42">
        <v>1</v>
      </c>
      <c r="S11" s="42">
        <v>1</v>
      </c>
      <c r="T11" s="42"/>
      <c r="U11" s="42">
        <v>1</v>
      </c>
      <c r="V11" s="42">
        <v>1</v>
      </c>
      <c r="W11" s="42">
        <v>1</v>
      </c>
      <c r="X11" s="42">
        <v>1</v>
      </c>
      <c r="Y11" s="42">
        <v>1</v>
      </c>
      <c r="Z11" s="42"/>
      <c r="AA11" s="42"/>
      <c r="AB11" s="42"/>
      <c r="AC11" s="42"/>
      <c r="AD11" s="42"/>
      <c r="AE11" s="41">
        <f t="shared" si="1"/>
        <v>11</v>
      </c>
      <c r="AF11" s="43" t="s">
        <v>260</v>
      </c>
      <c r="AG11" s="44" t="s">
        <v>434</v>
      </c>
    </row>
    <row r="12" spans="1:33" ht="14.25" customHeight="1">
      <c r="A12" s="38" t="s">
        <v>41</v>
      </c>
      <c r="B12" s="38" t="s">
        <v>57</v>
      </c>
      <c r="C12" s="38"/>
      <c r="D12" s="39">
        <v>4</v>
      </c>
      <c r="E12" s="40" t="s">
        <v>58</v>
      </c>
      <c r="F12" s="41">
        <f t="shared" si="3"/>
        <v>11</v>
      </c>
      <c r="G12" s="42"/>
      <c r="H12" s="42"/>
      <c r="I12" s="42"/>
      <c r="J12" s="42"/>
      <c r="K12" s="42"/>
      <c r="L12" s="42"/>
      <c r="M12" s="42"/>
      <c r="N12" s="42">
        <v>1</v>
      </c>
      <c r="O12" s="42">
        <v>1</v>
      </c>
      <c r="P12" s="42">
        <v>1</v>
      </c>
      <c r="Q12" s="42">
        <v>1</v>
      </c>
      <c r="R12" s="42">
        <v>1</v>
      </c>
      <c r="S12" s="42">
        <v>1</v>
      </c>
      <c r="T12" s="42">
        <v>1</v>
      </c>
      <c r="U12" s="42"/>
      <c r="V12" s="42">
        <v>1</v>
      </c>
      <c r="W12" s="42">
        <v>1</v>
      </c>
      <c r="X12" s="42">
        <v>1</v>
      </c>
      <c r="Y12" s="42">
        <v>1</v>
      </c>
      <c r="Z12" s="42"/>
      <c r="AA12" s="42"/>
      <c r="AB12" s="42"/>
      <c r="AC12" s="42"/>
      <c r="AD12" s="42"/>
      <c r="AE12" s="41">
        <f t="shared" si="1"/>
        <v>11</v>
      </c>
      <c r="AF12" s="43" t="s">
        <v>273</v>
      </c>
      <c r="AG12" s="44" t="s">
        <v>434</v>
      </c>
    </row>
    <row r="13" spans="1:33" ht="14.25" customHeight="1">
      <c r="A13" s="38" t="s">
        <v>41</v>
      </c>
      <c r="B13" s="38" t="s">
        <v>146</v>
      </c>
      <c r="C13" s="38">
        <v>998223732</v>
      </c>
      <c r="D13" s="39">
        <v>5</v>
      </c>
      <c r="E13" s="40" t="s">
        <v>147</v>
      </c>
      <c r="F13" s="41">
        <f t="shared" si="3"/>
        <v>11</v>
      </c>
      <c r="G13" s="42"/>
      <c r="H13" s="42"/>
      <c r="I13" s="42"/>
      <c r="J13" s="42"/>
      <c r="K13" s="42"/>
      <c r="L13" s="42"/>
      <c r="M13" s="42"/>
      <c r="N13" s="42">
        <v>1</v>
      </c>
      <c r="O13" s="42">
        <v>1</v>
      </c>
      <c r="P13" s="42">
        <v>1</v>
      </c>
      <c r="Q13" s="42">
        <v>1</v>
      </c>
      <c r="R13" s="42">
        <v>1</v>
      </c>
      <c r="S13" s="42">
        <v>1</v>
      </c>
      <c r="T13" s="42"/>
      <c r="U13" s="42">
        <v>1</v>
      </c>
      <c r="V13" s="63">
        <v>1</v>
      </c>
      <c r="W13" s="42">
        <v>1</v>
      </c>
      <c r="X13" s="42">
        <v>1</v>
      </c>
      <c r="Y13" s="42">
        <v>1</v>
      </c>
      <c r="Z13" s="42"/>
      <c r="AA13" s="42"/>
      <c r="AB13" s="42"/>
      <c r="AC13" s="42"/>
      <c r="AD13" s="42"/>
      <c r="AE13" s="41">
        <f t="shared" si="1"/>
        <v>11</v>
      </c>
      <c r="AF13" s="43" t="s">
        <v>260</v>
      </c>
      <c r="AG13" s="44" t="s">
        <v>434</v>
      </c>
    </row>
    <row r="14" spans="1:33" ht="14.25" customHeight="1">
      <c r="A14" s="38" t="s">
        <v>41</v>
      </c>
      <c r="B14" s="38" t="s">
        <v>59</v>
      </c>
      <c r="C14" s="38"/>
      <c r="D14" s="39">
        <v>6</v>
      </c>
      <c r="E14" s="40" t="s">
        <v>60</v>
      </c>
      <c r="F14" s="41">
        <f t="shared" si="3"/>
        <v>12</v>
      </c>
      <c r="G14" s="42"/>
      <c r="H14" s="42"/>
      <c r="I14" s="42"/>
      <c r="J14" s="42"/>
      <c r="K14" s="42"/>
      <c r="L14" s="42"/>
      <c r="M14" s="42">
        <v>1</v>
      </c>
      <c r="N14" s="42">
        <v>1</v>
      </c>
      <c r="O14" s="42">
        <v>1</v>
      </c>
      <c r="P14" s="42">
        <v>1</v>
      </c>
      <c r="Q14" s="42">
        <v>1</v>
      </c>
      <c r="R14" s="42">
        <v>1</v>
      </c>
      <c r="S14" s="42">
        <v>1</v>
      </c>
      <c r="T14" s="42">
        <v>1</v>
      </c>
      <c r="U14" s="42"/>
      <c r="V14" s="42">
        <v>1</v>
      </c>
      <c r="W14" s="42">
        <v>1</v>
      </c>
      <c r="X14" s="42">
        <v>1</v>
      </c>
      <c r="Y14" s="42">
        <v>1</v>
      </c>
      <c r="Z14" s="42"/>
      <c r="AA14" s="42"/>
      <c r="AB14" s="42"/>
      <c r="AC14" s="42"/>
      <c r="AD14" s="42"/>
      <c r="AE14" s="41">
        <f t="shared" si="1"/>
        <v>12</v>
      </c>
      <c r="AF14" s="43" t="s">
        <v>374</v>
      </c>
      <c r="AG14" s="44" t="s">
        <v>434</v>
      </c>
    </row>
    <row r="15" spans="1:33" ht="14.25" customHeight="1">
      <c r="A15" s="38" t="s">
        <v>41</v>
      </c>
      <c r="B15" s="38" t="s">
        <v>62</v>
      </c>
      <c r="C15" s="38">
        <v>979044107</v>
      </c>
      <c r="D15" s="39">
        <v>7</v>
      </c>
      <c r="E15" s="40" t="s">
        <v>63</v>
      </c>
      <c r="F15" s="41">
        <f t="shared" si="3"/>
        <v>11</v>
      </c>
      <c r="G15" s="42"/>
      <c r="H15" s="42"/>
      <c r="I15" s="42"/>
      <c r="J15" s="42"/>
      <c r="K15" s="42"/>
      <c r="L15" s="42"/>
      <c r="M15" s="42">
        <v>1</v>
      </c>
      <c r="N15" s="42">
        <v>1</v>
      </c>
      <c r="O15" s="42">
        <v>1</v>
      </c>
      <c r="P15" s="42">
        <v>1</v>
      </c>
      <c r="Q15" s="42"/>
      <c r="R15" s="42">
        <v>1</v>
      </c>
      <c r="S15" s="42">
        <v>1</v>
      </c>
      <c r="T15" s="42">
        <v>1</v>
      </c>
      <c r="U15" s="42">
        <v>1</v>
      </c>
      <c r="V15" s="42">
        <v>1</v>
      </c>
      <c r="W15" s="42">
        <v>1</v>
      </c>
      <c r="X15" s="42">
        <v>1</v>
      </c>
      <c r="Y15" s="42"/>
      <c r="Z15" s="42"/>
      <c r="AA15" s="42"/>
      <c r="AB15" s="42"/>
      <c r="AC15" s="42"/>
      <c r="AD15" s="42"/>
      <c r="AE15" s="41">
        <f t="shared" si="1"/>
        <v>11</v>
      </c>
      <c r="AF15" s="43" t="s">
        <v>243</v>
      </c>
      <c r="AG15" s="44" t="s">
        <v>434</v>
      </c>
    </row>
    <row r="16" spans="1:33" ht="14.25" customHeight="1">
      <c r="A16" s="38" t="s">
        <v>41</v>
      </c>
      <c r="B16" s="38" t="s">
        <v>64</v>
      </c>
      <c r="C16" s="38">
        <v>995545886</v>
      </c>
      <c r="D16" s="39">
        <v>8</v>
      </c>
      <c r="E16" s="40" t="s">
        <v>65</v>
      </c>
      <c r="F16" s="41">
        <f t="shared" si="3"/>
        <v>11</v>
      </c>
      <c r="G16" s="42"/>
      <c r="H16" s="42"/>
      <c r="I16" s="42"/>
      <c r="J16" s="42"/>
      <c r="K16" s="42"/>
      <c r="L16" s="42"/>
      <c r="M16" s="42"/>
      <c r="N16" s="42">
        <v>1</v>
      </c>
      <c r="O16" s="42">
        <v>1</v>
      </c>
      <c r="P16" s="42">
        <v>1</v>
      </c>
      <c r="Q16" s="42">
        <v>1</v>
      </c>
      <c r="R16" s="42">
        <v>1</v>
      </c>
      <c r="S16" s="42">
        <v>1</v>
      </c>
      <c r="T16" s="42">
        <v>1</v>
      </c>
      <c r="U16" s="42"/>
      <c r="V16" s="42">
        <v>1</v>
      </c>
      <c r="W16" s="42">
        <v>1</v>
      </c>
      <c r="X16" s="42">
        <v>1</v>
      </c>
      <c r="Y16" s="42">
        <v>1</v>
      </c>
      <c r="Z16" s="42"/>
      <c r="AA16" s="42"/>
      <c r="AB16" s="42"/>
      <c r="AC16" s="42"/>
      <c r="AD16" s="42"/>
      <c r="AE16" s="41">
        <f t="shared" si="1"/>
        <v>11</v>
      </c>
      <c r="AF16" s="43" t="s">
        <v>273</v>
      </c>
      <c r="AG16" s="44" t="s">
        <v>434</v>
      </c>
    </row>
    <row r="17" spans="1:33" ht="14.25" customHeight="1">
      <c r="A17" s="38" t="s">
        <v>41</v>
      </c>
      <c r="B17" s="38" t="s">
        <v>67</v>
      </c>
      <c r="C17" s="38">
        <v>968594141</v>
      </c>
      <c r="D17" s="39">
        <v>9</v>
      </c>
      <c r="E17" s="40" t="s">
        <v>68</v>
      </c>
      <c r="F17" s="41">
        <f t="shared" si="3"/>
        <v>12</v>
      </c>
      <c r="G17" s="42"/>
      <c r="H17" s="42"/>
      <c r="I17" s="42"/>
      <c r="J17" s="42"/>
      <c r="K17" s="42"/>
      <c r="L17" s="42"/>
      <c r="M17" s="42"/>
      <c r="N17" s="42">
        <v>1</v>
      </c>
      <c r="O17" s="42">
        <v>1</v>
      </c>
      <c r="P17" s="42">
        <v>1</v>
      </c>
      <c r="Q17" s="42">
        <v>1</v>
      </c>
      <c r="R17" s="42"/>
      <c r="S17" s="42">
        <v>1</v>
      </c>
      <c r="T17" s="42">
        <v>1</v>
      </c>
      <c r="U17" s="42">
        <v>1</v>
      </c>
      <c r="V17" s="42">
        <v>1</v>
      </c>
      <c r="W17" s="42">
        <v>1</v>
      </c>
      <c r="X17" s="42">
        <v>1</v>
      </c>
      <c r="Y17" s="42">
        <v>1</v>
      </c>
      <c r="Z17" s="42">
        <v>1</v>
      </c>
      <c r="AA17" s="42"/>
      <c r="AB17" s="42"/>
      <c r="AC17" s="42"/>
      <c r="AD17" s="42"/>
      <c r="AE17" s="41">
        <f t="shared" si="1"/>
        <v>12</v>
      </c>
      <c r="AF17" s="43" t="s">
        <v>336</v>
      </c>
      <c r="AG17" s="44" t="s">
        <v>434</v>
      </c>
    </row>
    <row r="18" spans="1:33" ht="14.25" customHeight="1">
      <c r="A18" s="38" t="s">
        <v>41</v>
      </c>
      <c r="B18" s="38" t="s">
        <v>70</v>
      </c>
      <c r="C18" s="38"/>
      <c r="D18" s="39">
        <v>10</v>
      </c>
      <c r="E18" s="40" t="s">
        <v>71</v>
      </c>
      <c r="F18" s="41">
        <f t="shared" si="3"/>
        <v>11</v>
      </c>
      <c r="G18" s="42"/>
      <c r="H18" s="42"/>
      <c r="I18" s="42"/>
      <c r="J18" s="42"/>
      <c r="K18" s="42"/>
      <c r="L18" s="42"/>
      <c r="M18" s="42">
        <v>1</v>
      </c>
      <c r="N18" s="42">
        <v>1</v>
      </c>
      <c r="O18" s="42">
        <v>1</v>
      </c>
      <c r="P18" s="42">
        <v>1</v>
      </c>
      <c r="Q18" s="42">
        <v>1</v>
      </c>
      <c r="R18" s="42">
        <v>1</v>
      </c>
      <c r="S18" s="42">
        <v>1</v>
      </c>
      <c r="T18" s="42"/>
      <c r="U18" s="42">
        <v>1</v>
      </c>
      <c r="V18" s="42">
        <v>1</v>
      </c>
      <c r="W18" s="42">
        <v>1</v>
      </c>
      <c r="X18" s="42">
        <v>1</v>
      </c>
      <c r="Y18" s="42"/>
      <c r="Z18" s="42"/>
      <c r="AA18" s="42"/>
      <c r="AB18" s="42"/>
      <c r="AC18" s="42"/>
      <c r="AD18" s="42"/>
      <c r="AE18" s="41">
        <f t="shared" si="1"/>
        <v>11</v>
      </c>
      <c r="AF18" s="43" t="s">
        <v>51</v>
      </c>
      <c r="AG18" s="44" t="s">
        <v>434</v>
      </c>
    </row>
    <row r="19" spans="1:33" ht="14.25" customHeight="1">
      <c r="A19" s="38" t="s">
        <v>41</v>
      </c>
      <c r="B19" s="38" t="s">
        <v>72</v>
      </c>
      <c r="C19" s="38">
        <v>989533877</v>
      </c>
      <c r="D19" s="39">
        <v>11</v>
      </c>
      <c r="E19" s="40" t="s">
        <v>73</v>
      </c>
      <c r="F19" s="41">
        <f t="shared" si="3"/>
        <v>0</v>
      </c>
      <c r="G19" s="42" t="s">
        <v>352</v>
      </c>
      <c r="H19" s="42" t="s">
        <v>352</v>
      </c>
      <c r="I19" s="42" t="s">
        <v>352</v>
      </c>
      <c r="J19" s="42" t="s">
        <v>352</v>
      </c>
      <c r="K19" s="42" t="s">
        <v>352</v>
      </c>
      <c r="L19" s="42" t="s">
        <v>352</v>
      </c>
      <c r="M19" s="42" t="s">
        <v>352</v>
      </c>
      <c r="N19" s="42" t="s">
        <v>352</v>
      </c>
      <c r="O19" s="42" t="s">
        <v>352</v>
      </c>
      <c r="P19" s="42" t="s">
        <v>352</v>
      </c>
      <c r="Q19" s="42" t="s">
        <v>352</v>
      </c>
      <c r="R19" s="42" t="s">
        <v>352</v>
      </c>
      <c r="S19" s="42" t="s">
        <v>352</v>
      </c>
      <c r="T19" s="42" t="s">
        <v>352</v>
      </c>
      <c r="U19" s="42" t="s">
        <v>352</v>
      </c>
      <c r="V19" s="42" t="s">
        <v>352</v>
      </c>
      <c r="W19" s="42" t="s">
        <v>352</v>
      </c>
      <c r="X19" s="42" t="s">
        <v>352</v>
      </c>
      <c r="Y19" s="42" t="s">
        <v>352</v>
      </c>
      <c r="Z19" s="42" t="s">
        <v>352</v>
      </c>
      <c r="AA19" s="42" t="s">
        <v>352</v>
      </c>
      <c r="AB19" s="42" t="s">
        <v>352</v>
      </c>
      <c r="AC19" s="42" t="s">
        <v>352</v>
      </c>
      <c r="AD19" s="42" t="s">
        <v>352</v>
      </c>
      <c r="AE19" s="41">
        <f t="shared" si="1"/>
        <v>0</v>
      </c>
      <c r="AF19" s="64" t="s">
        <v>6</v>
      </c>
      <c r="AG19" s="44" t="s">
        <v>434</v>
      </c>
    </row>
    <row r="20" spans="1:33" ht="14.25" customHeight="1">
      <c r="A20" s="38" t="s">
        <v>41</v>
      </c>
      <c r="B20" s="38" t="s">
        <v>76</v>
      </c>
      <c r="C20" s="38">
        <v>997829699</v>
      </c>
      <c r="D20" s="39">
        <v>12</v>
      </c>
      <c r="E20" s="40" t="s">
        <v>77</v>
      </c>
      <c r="F20" s="41">
        <f t="shared" si="3"/>
        <v>11</v>
      </c>
      <c r="G20" s="42"/>
      <c r="H20" s="42"/>
      <c r="I20" s="42"/>
      <c r="J20" s="42"/>
      <c r="K20" s="42"/>
      <c r="L20" s="42"/>
      <c r="M20" s="42"/>
      <c r="N20" s="42">
        <v>1</v>
      </c>
      <c r="O20" s="42">
        <v>1</v>
      </c>
      <c r="P20" s="42">
        <v>1</v>
      </c>
      <c r="Q20" s="42">
        <v>1</v>
      </c>
      <c r="R20" s="42">
        <v>1</v>
      </c>
      <c r="S20" s="42">
        <v>1</v>
      </c>
      <c r="T20" s="42"/>
      <c r="U20" s="42">
        <v>1</v>
      </c>
      <c r="V20" s="42">
        <v>1</v>
      </c>
      <c r="W20" s="42">
        <v>1</v>
      </c>
      <c r="X20" s="42">
        <v>1</v>
      </c>
      <c r="Y20" s="42">
        <v>1</v>
      </c>
      <c r="Z20" s="42"/>
      <c r="AA20" s="42"/>
      <c r="AB20" s="42"/>
      <c r="AC20" s="42"/>
      <c r="AD20" s="42"/>
      <c r="AE20" s="41">
        <f t="shared" si="1"/>
        <v>11</v>
      </c>
      <c r="AF20" s="43" t="s">
        <v>260</v>
      </c>
      <c r="AG20" s="44" t="s">
        <v>434</v>
      </c>
    </row>
    <row r="21" spans="1:33" ht="14.25" customHeight="1">
      <c r="A21" s="38" t="s">
        <v>41</v>
      </c>
      <c r="B21" s="2" t="s">
        <v>79</v>
      </c>
      <c r="C21" s="2"/>
      <c r="D21" s="39">
        <v>13</v>
      </c>
      <c r="E21" s="40" t="s">
        <v>80</v>
      </c>
      <c r="F21" s="41">
        <f t="shared" si="3"/>
        <v>12</v>
      </c>
      <c r="G21" s="42">
        <v>1</v>
      </c>
      <c r="H21" s="42"/>
      <c r="I21" s="42"/>
      <c r="J21" s="42"/>
      <c r="K21" s="42"/>
      <c r="L21" s="42"/>
      <c r="M21" s="42"/>
      <c r="N21" s="42"/>
      <c r="O21" s="42"/>
      <c r="P21" s="42">
        <v>1</v>
      </c>
      <c r="Q21" s="42">
        <v>1</v>
      </c>
      <c r="R21" s="42">
        <v>1</v>
      </c>
      <c r="S21" s="42">
        <v>1</v>
      </c>
      <c r="T21" s="42">
        <v>1</v>
      </c>
      <c r="U21" s="42"/>
      <c r="V21" s="42">
        <v>1</v>
      </c>
      <c r="W21" s="42">
        <v>1</v>
      </c>
      <c r="X21" s="42">
        <v>1</v>
      </c>
      <c r="Y21" s="42">
        <v>1</v>
      </c>
      <c r="Z21" s="42">
        <v>1</v>
      </c>
      <c r="AA21" s="42">
        <v>1</v>
      </c>
      <c r="AB21" s="42"/>
      <c r="AC21" s="42"/>
      <c r="AD21" s="42"/>
      <c r="AE21" s="41">
        <f t="shared" si="1"/>
        <v>12</v>
      </c>
      <c r="AF21" s="43" t="s">
        <v>435</v>
      </c>
      <c r="AG21" s="44" t="s">
        <v>434</v>
      </c>
    </row>
    <row r="22" spans="1:33" ht="14.25" customHeight="1">
      <c r="A22" s="38" t="s">
        <v>41</v>
      </c>
      <c r="B22" s="38" t="s">
        <v>82</v>
      </c>
      <c r="C22" s="38">
        <v>996303208</v>
      </c>
      <c r="D22" s="39">
        <v>14</v>
      </c>
      <c r="E22" s="40" t="s">
        <v>83</v>
      </c>
      <c r="F22" s="41">
        <f t="shared" si="3"/>
        <v>12</v>
      </c>
      <c r="G22" s="42"/>
      <c r="H22" s="42"/>
      <c r="I22" s="42"/>
      <c r="J22" s="42"/>
      <c r="K22" s="42"/>
      <c r="L22" s="42"/>
      <c r="M22" s="42">
        <v>1</v>
      </c>
      <c r="N22" s="42">
        <v>1</v>
      </c>
      <c r="O22" s="42">
        <v>1</v>
      </c>
      <c r="P22" s="42">
        <v>1</v>
      </c>
      <c r="Q22" s="42">
        <v>1</v>
      </c>
      <c r="R22" s="42">
        <v>1</v>
      </c>
      <c r="S22" s="42">
        <v>1</v>
      </c>
      <c r="T22" s="42"/>
      <c r="U22" s="42">
        <v>1</v>
      </c>
      <c r="V22" s="42">
        <v>1</v>
      </c>
      <c r="W22" s="42">
        <v>1</v>
      </c>
      <c r="X22" s="42">
        <v>1</v>
      </c>
      <c r="Y22" s="42">
        <v>1</v>
      </c>
      <c r="Z22" s="42"/>
      <c r="AA22" s="42"/>
      <c r="AB22" s="42"/>
      <c r="AC22" s="42"/>
      <c r="AD22" s="42"/>
      <c r="AE22" s="41">
        <f t="shared" si="1"/>
        <v>12</v>
      </c>
      <c r="AF22" s="43" t="s">
        <v>323</v>
      </c>
      <c r="AG22" s="44" t="s">
        <v>434</v>
      </c>
    </row>
    <row r="23" spans="1:33" ht="14.25" customHeight="1">
      <c r="A23" s="38" t="s">
        <v>41</v>
      </c>
      <c r="B23" s="38" t="s">
        <v>85</v>
      </c>
      <c r="C23" s="38">
        <v>991837641</v>
      </c>
      <c r="D23" s="39">
        <v>15</v>
      </c>
      <c r="E23" s="40" t="s">
        <v>86</v>
      </c>
      <c r="F23" s="41">
        <f t="shared" si="3"/>
        <v>6</v>
      </c>
      <c r="G23" s="42"/>
      <c r="H23" s="42"/>
      <c r="I23" s="42"/>
      <c r="J23" s="42"/>
      <c r="K23" s="42"/>
      <c r="L23" s="42"/>
      <c r="M23" s="42"/>
      <c r="N23" s="42"/>
      <c r="O23" s="42">
        <v>1</v>
      </c>
      <c r="P23" s="42">
        <v>1</v>
      </c>
      <c r="Q23" s="42">
        <v>1</v>
      </c>
      <c r="R23" s="42">
        <v>1</v>
      </c>
      <c r="S23" s="42">
        <v>1</v>
      </c>
      <c r="T23" s="42">
        <v>1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1">
        <f t="shared" si="1"/>
        <v>6</v>
      </c>
      <c r="AF23" s="43" t="s">
        <v>305</v>
      </c>
      <c r="AG23" s="44" t="s">
        <v>434</v>
      </c>
    </row>
    <row r="24" spans="1:33" ht="14.25" customHeight="1">
      <c r="A24" s="38" t="s">
        <v>41</v>
      </c>
      <c r="B24" s="38" t="s">
        <v>88</v>
      </c>
      <c r="C24" s="38">
        <v>985570860</v>
      </c>
      <c r="D24" s="39">
        <v>16</v>
      </c>
      <c r="E24" s="40" t="s">
        <v>89</v>
      </c>
      <c r="F24" s="41">
        <f t="shared" si="3"/>
        <v>12</v>
      </c>
      <c r="G24" s="42"/>
      <c r="H24" s="42"/>
      <c r="I24" s="42"/>
      <c r="J24" s="42"/>
      <c r="K24" s="42"/>
      <c r="L24" s="42"/>
      <c r="M24" s="42"/>
      <c r="N24" s="42">
        <v>1</v>
      </c>
      <c r="O24" s="42">
        <v>1</v>
      </c>
      <c r="P24" s="42">
        <v>1</v>
      </c>
      <c r="Q24" s="42">
        <v>1</v>
      </c>
      <c r="R24" s="42">
        <v>1</v>
      </c>
      <c r="S24" s="42">
        <v>1</v>
      </c>
      <c r="T24" s="42"/>
      <c r="U24" s="42">
        <v>1</v>
      </c>
      <c r="V24" s="42">
        <v>1</v>
      </c>
      <c r="W24" s="42">
        <v>1</v>
      </c>
      <c r="X24" s="42">
        <v>1</v>
      </c>
      <c r="Y24" s="42">
        <v>1</v>
      </c>
      <c r="Z24" s="42">
        <v>1</v>
      </c>
      <c r="AA24" s="42"/>
      <c r="AB24" s="42"/>
      <c r="AC24" s="42"/>
      <c r="AD24" s="42"/>
      <c r="AE24" s="41">
        <f t="shared" si="1"/>
        <v>12</v>
      </c>
      <c r="AF24" s="43" t="s">
        <v>265</v>
      </c>
      <c r="AG24" s="44" t="s">
        <v>434</v>
      </c>
    </row>
    <row r="25" spans="1:33" ht="14.25" customHeight="1">
      <c r="A25" s="38" t="s">
        <v>41</v>
      </c>
      <c r="B25" s="38" t="s">
        <v>90</v>
      </c>
      <c r="C25" s="38">
        <v>961816449</v>
      </c>
      <c r="D25" s="39">
        <v>17</v>
      </c>
      <c r="E25" s="40" t="s">
        <v>91</v>
      </c>
      <c r="F25" s="41">
        <f t="shared" si="3"/>
        <v>12</v>
      </c>
      <c r="G25" s="42"/>
      <c r="H25" s="42"/>
      <c r="I25" s="42"/>
      <c r="J25" s="42"/>
      <c r="K25" s="42"/>
      <c r="L25" s="42"/>
      <c r="M25" s="42">
        <v>1</v>
      </c>
      <c r="N25" s="42">
        <v>1</v>
      </c>
      <c r="O25" s="42">
        <v>1</v>
      </c>
      <c r="P25" s="42">
        <v>1</v>
      </c>
      <c r="Q25" s="42">
        <v>1</v>
      </c>
      <c r="R25" s="42">
        <v>1</v>
      </c>
      <c r="S25" s="42">
        <v>1</v>
      </c>
      <c r="T25" s="42">
        <v>1</v>
      </c>
      <c r="U25" s="42">
        <v>1</v>
      </c>
      <c r="V25" s="42">
        <v>1</v>
      </c>
      <c r="W25" s="42">
        <v>1</v>
      </c>
      <c r="X25" s="42">
        <v>1</v>
      </c>
      <c r="Y25" s="42"/>
      <c r="Z25" s="42"/>
      <c r="AA25" s="42"/>
      <c r="AB25" s="42"/>
      <c r="AC25" s="42"/>
      <c r="AD25" s="42"/>
      <c r="AE25" s="41">
        <f t="shared" si="1"/>
        <v>12</v>
      </c>
      <c r="AF25" s="43" t="s">
        <v>84</v>
      </c>
      <c r="AG25" s="44" t="s">
        <v>434</v>
      </c>
    </row>
    <row r="26" spans="1:33" ht="14.25" customHeight="1">
      <c r="A26" s="38" t="s">
        <v>41</v>
      </c>
      <c r="B26" s="38" t="s">
        <v>92</v>
      </c>
      <c r="C26" s="38">
        <v>989858490</v>
      </c>
      <c r="D26" s="39">
        <v>18</v>
      </c>
      <c r="E26" s="40" t="s">
        <v>93</v>
      </c>
      <c r="F26" s="41">
        <f t="shared" si="3"/>
        <v>13</v>
      </c>
      <c r="G26" s="42"/>
      <c r="H26" s="42"/>
      <c r="I26" s="42"/>
      <c r="J26" s="42"/>
      <c r="K26" s="42"/>
      <c r="L26" s="42"/>
      <c r="M26" s="42">
        <v>1</v>
      </c>
      <c r="N26" s="42">
        <v>1</v>
      </c>
      <c r="O26" s="42">
        <v>1</v>
      </c>
      <c r="P26" s="42">
        <v>1</v>
      </c>
      <c r="Q26" s="42">
        <v>1</v>
      </c>
      <c r="R26" s="42">
        <v>1</v>
      </c>
      <c r="S26" s="42">
        <v>1</v>
      </c>
      <c r="T26" s="42">
        <v>1</v>
      </c>
      <c r="U26" s="42">
        <v>1</v>
      </c>
      <c r="V26" s="42">
        <v>1</v>
      </c>
      <c r="W26" s="42">
        <v>1</v>
      </c>
      <c r="X26" s="42">
        <v>1</v>
      </c>
      <c r="Y26" s="42">
        <v>1</v>
      </c>
      <c r="Z26" s="42"/>
      <c r="AA26" s="42"/>
      <c r="AB26" s="42"/>
      <c r="AC26" s="42"/>
      <c r="AD26" s="42"/>
      <c r="AE26" s="41">
        <f t="shared" si="1"/>
        <v>13</v>
      </c>
      <c r="AF26" s="43" t="s">
        <v>436</v>
      </c>
      <c r="AG26" s="44" t="s">
        <v>434</v>
      </c>
    </row>
    <row r="27" spans="1:33" ht="14.25" customHeight="1">
      <c r="A27" s="38" t="s">
        <v>41</v>
      </c>
      <c r="B27" s="38" t="s">
        <v>94</v>
      </c>
      <c r="C27" s="38">
        <v>988957267</v>
      </c>
      <c r="D27" s="39">
        <v>19</v>
      </c>
      <c r="E27" s="40" t="s">
        <v>95</v>
      </c>
      <c r="F27" s="41">
        <f t="shared" si="3"/>
        <v>11</v>
      </c>
      <c r="G27" s="42"/>
      <c r="H27" s="42"/>
      <c r="I27" s="42"/>
      <c r="J27" s="42"/>
      <c r="K27" s="42"/>
      <c r="L27" s="42"/>
      <c r="M27" s="42"/>
      <c r="N27" s="42"/>
      <c r="O27" s="75">
        <v>1</v>
      </c>
      <c r="P27" s="42">
        <v>1</v>
      </c>
      <c r="Q27" s="42">
        <v>1</v>
      </c>
      <c r="R27" s="42">
        <v>1</v>
      </c>
      <c r="S27" s="42">
        <v>1</v>
      </c>
      <c r="T27" s="42">
        <v>1</v>
      </c>
      <c r="U27" s="42"/>
      <c r="V27" s="42">
        <v>1</v>
      </c>
      <c r="W27" s="42">
        <v>1</v>
      </c>
      <c r="X27" s="42">
        <v>1</v>
      </c>
      <c r="Y27" s="42">
        <v>1</v>
      </c>
      <c r="Z27" s="42">
        <v>1</v>
      </c>
      <c r="AA27" s="42"/>
      <c r="AB27" s="42"/>
      <c r="AC27" s="42"/>
      <c r="AD27" s="42"/>
      <c r="AE27" s="41">
        <f t="shared" si="1"/>
        <v>11</v>
      </c>
      <c r="AF27" s="43" t="s">
        <v>251</v>
      </c>
      <c r="AG27" s="44" t="s">
        <v>434</v>
      </c>
    </row>
    <row r="28" spans="1:33" ht="14.25" customHeight="1">
      <c r="A28" s="38" t="s">
        <v>41</v>
      </c>
      <c r="B28" s="38" t="s">
        <v>97</v>
      </c>
      <c r="C28" s="38"/>
      <c r="D28" s="39">
        <v>20</v>
      </c>
      <c r="E28" s="40" t="s">
        <v>98</v>
      </c>
      <c r="F28" s="41">
        <f t="shared" si="3"/>
        <v>11</v>
      </c>
      <c r="G28" s="42"/>
      <c r="H28" s="42"/>
      <c r="I28" s="42"/>
      <c r="J28" s="42"/>
      <c r="K28" s="42"/>
      <c r="L28" s="42"/>
      <c r="M28" s="42"/>
      <c r="N28" s="42"/>
      <c r="O28" s="42">
        <v>1</v>
      </c>
      <c r="P28" s="42">
        <v>1</v>
      </c>
      <c r="Q28" s="42">
        <v>1</v>
      </c>
      <c r="R28" s="42">
        <v>1</v>
      </c>
      <c r="S28" s="42">
        <v>1</v>
      </c>
      <c r="T28" s="42">
        <v>1</v>
      </c>
      <c r="U28" s="42"/>
      <c r="V28" s="42">
        <v>1</v>
      </c>
      <c r="W28" s="42">
        <v>1</v>
      </c>
      <c r="X28" s="42">
        <v>1</v>
      </c>
      <c r="Y28" s="42">
        <v>1</v>
      </c>
      <c r="Z28" s="42">
        <v>1</v>
      </c>
      <c r="AA28" s="42"/>
      <c r="AB28" s="42"/>
      <c r="AC28" s="42"/>
      <c r="AD28" s="42"/>
      <c r="AE28" s="41">
        <f t="shared" si="1"/>
        <v>11</v>
      </c>
      <c r="AF28" s="43" t="s">
        <v>251</v>
      </c>
      <c r="AG28" s="44" t="s">
        <v>434</v>
      </c>
    </row>
    <row r="29" spans="1:33" ht="14.25" customHeight="1">
      <c r="A29" s="38" t="s">
        <v>41</v>
      </c>
      <c r="B29" s="38" t="s">
        <v>198</v>
      </c>
      <c r="C29" s="38"/>
      <c r="D29" s="39">
        <v>21</v>
      </c>
      <c r="E29" s="40" t="s">
        <v>99</v>
      </c>
      <c r="F29" s="41">
        <f t="shared" si="3"/>
        <v>6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>
        <v>1</v>
      </c>
      <c r="X29" s="42">
        <v>1</v>
      </c>
      <c r="Y29" s="42">
        <v>1</v>
      </c>
      <c r="Z29" s="42">
        <v>1</v>
      </c>
      <c r="AA29" s="42">
        <v>1</v>
      </c>
      <c r="AB29" s="42">
        <v>1</v>
      </c>
      <c r="AC29" s="42"/>
      <c r="AD29" s="42"/>
      <c r="AE29" s="41">
        <f t="shared" si="1"/>
        <v>6</v>
      </c>
      <c r="AF29" s="43" t="s">
        <v>304</v>
      </c>
      <c r="AG29" s="44" t="s">
        <v>434</v>
      </c>
    </row>
    <row r="30" spans="1:33" ht="14.25" customHeight="1">
      <c r="A30" s="38" t="s">
        <v>41</v>
      </c>
      <c r="B30" s="38" t="s">
        <v>101</v>
      </c>
      <c r="C30" s="38">
        <v>962757006</v>
      </c>
      <c r="D30" s="39">
        <v>22</v>
      </c>
      <c r="E30" s="40" t="s">
        <v>102</v>
      </c>
      <c r="F30" s="41">
        <f t="shared" si="3"/>
        <v>11</v>
      </c>
      <c r="G30" s="42"/>
      <c r="H30" s="42"/>
      <c r="I30" s="42"/>
      <c r="J30" s="42"/>
      <c r="K30" s="42"/>
      <c r="L30" s="42"/>
      <c r="M30" s="42"/>
      <c r="N30" s="42"/>
      <c r="O30" s="42">
        <v>1</v>
      </c>
      <c r="P30" s="42">
        <v>1</v>
      </c>
      <c r="Q30" s="42">
        <v>1</v>
      </c>
      <c r="R30" s="42">
        <v>1</v>
      </c>
      <c r="S30" s="42">
        <v>1</v>
      </c>
      <c r="T30" s="42">
        <v>1</v>
      </c>
      <c r="U30" s="42">
        <v>1</v>
      </c>
      <c r="V30" s="42">
        <v>1</v>
      </c>
      <c r="W30" s="42"/>
      <c r="X30" s="42">
        <v>1</v>
      </c>
      <c r="Y30" s="42">
        <v>1</v>
      </c>
      <c r="Z30" s="42">
        <v>1</v>
      </c>
      <c r="AA30" s="42"/>
      <c r="AB30" s="42"/>
      <c r="AC30" s="42"/>
      <c r="AD30" s="42"/>
      <c r="AE30" s="41">
        <f t="shared" si="1"/>
        <v>11</v>
      </c>
      <c r="AF30" s="43" t="s">
        <v>399</v>
      </c>
      <c r="AG30" s="44" t="s">
        <v>434</v>
      </c>
    </row>
    <row r="31" spans="1:33" ht="14.25" customHeight="1">
      <c r="A31" s="38" t="s">
        <v>41</v>
      </c>
      <c r="B31" s="38" t="s">
        <v>103</v>
      </c>
      <c r="C31" s="38"/>
      <c r="D31" s="39">
        <v>23</v>
      </c>
      <c r="E31" s="40" t="s">
        <v>104</v>
      </c>
      <c r="F31" s="41">
        <f t="shared" si="3"/>
        <v>12</v>
      </c>
      <c r="G31" s="42"/>
      <c r="H31" s="42"/>
      <c r="I31" s="42"/>
      <c r="J31" s="42"/>
      <c r="K31" s="42"/>
      <c r="L31" s="42"/>
      <c r="M31" s="42"/>
      <c r="N31" s="42"/>
      <c r="O31" s="42">
        <v>1</v>
      </c>
      <c r="P31" s="42">
        <v>1</v>
      </c>
      <c r="Q31" s="42">
        <v>1</v>
      </c>
      <c r="R31" s="42">
        <v>1</v>
      </c>
      <c r="S31" s="42">
        <v>1</v>
      </c>
      <c r="T31" s="42">
        <v>1</v>
      </c>
      <c r="U31" s="42">
        <v>1</v>
      </c>
      <c r="V31" s="42">
        <v>1</v>
      </c>
      <c r="W31" s="42">
        <v>1</v>
      </c>
      <c r="X31" s="42">
        <v>1</v>
      </c>
      <c r="Y31" s="42">
        <v>1</v>
      </c>
      <c r="Z31" s="42">
        <v>1</v>
      </c>
      <c r="AA31" s="42"/>
      <c r="AB31" s="42"/>
      <c r="AC31" s="42"/>
      <c r="AD31" s="42"/>
      <c r="AE31" s="41">
        <f t="shared" si="1"/>
        <v>12</v>
      </c>
      <c r="AF31" s="43" t="s">
        <v>437</v>
      </c>
      <c r="AG31" s="44" t="s">
        <v>434</v>
      </c>
    </row>
    <row r="32" spans="1:33" ht="14.25" customHeight="1">
      <c r="A32" s="38" t="s">
        <v>41</v>
      </c>
      <c r="B32" s="38" t="s">
        <v>167</v>
      </c>
      <c r="C32" s="38">
        <v>995055956</v>
      </c>
      <c r="D32" s="39">
        <v>24</v>
      </c>
      <c r="E32" s="40" t="s">
        <v>144</v>
      </c>
      <c r="F32" s="41">
        <f t="shared" si="3"/>
        <v>11</v>
      </c>
      <c r="G32" s="42"/>
      <c r="H32" s="42"/>
      <c r="I32" s="42"/>
      <c r="J32" s="42"/>
      <c r="K32" s="42"/>
      <c r="L32" s="42"/>
      <c r="M32" s="42"/>
      <c r="N32" s="42"/>
      <c r="O32" s="42">
        <v>1</v>
      </c>
      <c r="P32" s="42">
        <v>1</v>
      </c>
      <c r="Q32" s="42">
        <v>1</v>
      </c>
      <c r="R32" s="42">
        <v>1</v>
      </c>
      <c r="S32" s="42">
        <v>1</v>
      </c>
      <c r="T32" s="42"/>
      <c r="U32" s="42">
        <v>1</v>
      </c>
      <c r="V32" s="63">
        <v>1</v>
      </c>
      <c r="W32" s="42">
        <v>1</v>
      </c>
      <c r="X32" s="42">
        <v>1</v>
      </c>
      <c r="Y32" s="42">
        <v>1</v>
      </c>
      <c r="Z32" s="42">
        <v>1</v>
      </c>
      <c r="AA32" s="42"/>
      <c r="AB32" s="42"/>
      <c r="AC32" s="42"/>
      <c r="AD32" s="42"/>
      <c r="AE32" s="41">
        <f t="shared" si="1"/>
        <v>11</v>
      </c>
      <c r="AF32" s="43" t="s">
        <v>210</v>
      </c>
      <c r="AG32" s="44" t="s">
        <v>434</v>
      </c>
    </row>
    <row r="33" spans="1:33" ht="14.25" customHeight="1">
      <c r="A33" s="38" t="s">
        <v>41</v>
      </c>
      <c r="B33" s="38" t="s">
        <v>332</v>
      </c>
      <c r="C33" s="38"/>
      <c r="D33" s="39">
        <v>25</v>
      </c>
      <c r="E33" s="40" t="s">
        <v>333</v>
      </c>
      <c r="F33" s="41">
        <f t="shared" si="3"/>
        <v>6</v>
      </c>
      <c r="G33" s="42"/>
      <c r="H33" s="42"/>
      <c r="I33" s="42"/>
      <c r="J33" s="42"/>
      <c r="K33" s="42"/>
      <c r="L33" s="42"/>
      <c r="M33" s="42"/>
      <c r="N33" s="42">
        <v>1</v>
      </c>
      <c r="O33" s="42">
        <v>1</v>
      </c>
      <c r="P33" s="42">
        <v>1</v>
      </c>
      <c r="Q33" s="42">
        <v>1</v>
      </c>
      <c r="R33" s="42">
        <v>1</v>
      </c>
      <c r="S33" s="42">
        <v>1</v>
      </c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1">
        <f t="shared" si="1"/>
        <v>6</v>
      </c>
      <c r="AF33" s="43" t="s">
        <v>315</v>
      </c>
      <c r="AG33" s="44" t="s">
        <v>434</v>
      </c>
    </row>
    <row r="34" spans="1:33" ht="14.25" customHeight="1">
      <c r="A34" s="38" t="s">
        <v>41</v>
      </c>
      <c r="B34" s="38" t="s">
        <v>171</v>
      </c>
      <c r="C34" s="38">
        <v>990489779</v>
      </c>
      <c r="D34" s="39">
        <v>27</v>
      </c>
      <c r="E34" s="40" t="s">
        <v>172</v>
      </c>
      <c r="F34" s="41">
        <f t="shared" si="3"/>
        <v>11</v>
      </c>
      <c r="G34" s="42"/>
      <c r="H34" s="42"/>
      <c r="I34" s="42"/>
      <c r="J34" s="42"/>
      <c r="K34" s="42"/>
      <c r="L34" s="42"/>
      <c r="M34" s="42">
        <v>1</v>
      </c>
      <c r="N34" s="42">
        <v>1</v>
      </c>
      <c r="O34" s="42">
        <v>1</v>
      </c>
      <c r="P34" s="42">
        <v>1</v>
      </c>
      <c r="Q34" s="42">
        <v>1</v>
      </c>
      <c r="R34" s="42">
        <v>1</v>
      </c>
      <c r="S34" s="42">
        <v>1</v>
      </c>
      <c r="T34" s="42"/>
      <c r="U34" s="42">
        <v>1</v>
      </c>
      <c r="V34" s="42">
        <v>1</v>
      </c>
      <c r="W34" s="42">
        <v>1</v>
      </c>
      <c r="X34" s="42">
        <v>1</v>
      </c>
      <c r="Y34" s="42"/>
      <c r="Z34" s="42"/>
      <c r="AA34" s="42"/>
      <c r="AB34" s="42"/>
      <c r="AC34" s="42"/>
      <c r="AD34" s="42"/>
      <c r="AE34" s="41">
        <f t="shared" si="1"/>
        <v>11</v>
      </c>
      <c r="AF34" s="43" t="s">
        <v>51</v>
      </c>
      <c r="AG34" s="44" t="s">
        <v>434</v>
      </c>
    </row>
    <row r="35" spans="1:33" ht="14.25" customHeight="1">
      <c r="A35" s="38" t="s">
        <v>41</v>
      </c>
      <c r="B35" s="38" t="s">
        <v>105</v>
      </c>
      <c r="C35" s="38"/>
      <c r="D35" s="39">
        <v>26</v>
      </c>
      <c r="E35" s="40" t="s">
        <v>106</v>
      </c>
      <c r="F35" s="41">
        <f t="shared" si="3"/>
        <v>11</v>
      </c>
      <c r="G35" s="42">
        <v>1</v>
      </c>
      <c r="H35" s="42">
        <v>1</v>
      </c>
      <c r="I35" s="42">
        <v>1</v>
      </c>
      <c r="J35" s="42">
        <v>1</v>
      </c>
      <c r="K35" s="42">
        <v>1</v>
      </c>
      <c r="L35" s="42">
        <v>1</v>
      </c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>
        <v>1</v>
      </c>
      <c r="AA35" s="42">
        <v>1</v>
      </c>
      <c r="AB35" s="42">
        <v>1</v>
      </c>
      <c r="AC35" s="42">
        <v>1</v>
      </c>
      <c r="AD35" s="42">
        <v>1</v>
      </c>
      <c r="AE35" s="41">
        <f t="shared" si="1"/>
        <v>11</v>
      </c>
      <c r="AF35" s="43" t="s">
        <v>432</v>
      </c>
      <c r="AG35" s="44" t="s">
        <v>434</v>
      </c>
    </row>
    <row r="36" spans="1:33" ht="14.25" customHeight="1">
      <c r="A36" s="38" t="s">
        <v>41</v>
      </c>
      <c r="B36" s="38" t="s">
        <v>107</v>
      </c>
      <c r="C36" s="38">
        <v>981074073</v>
      </c>
      <c r="D36" s="39">
        <v>28</v>
      </c>
      <c r="E36" s="40" t="s">
        <v>108</v>
      </c>
      <c r="F36" s="41">
        <f t="shared" si="3"/>
        <v>11</v>
      </c>
      <c r="G36" s="42"/>
      <c r="H36" s="42"/>
      <c r="I36" s="42"/>
      <c r="J36" s="42"/>
      <c r="K36" s="42"/>
      <c r="L36" s="42"/>
      <c r="M36" s="42">
        <v>1</v>
      </c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1</v>
      </c>
      <c r="T36" s="42"/>
      <c r="U36" s="42">
        <v>1</v>
      </c>
      <c r="V36" s="42">
        <v>1</v>
      </c>
      <c r="W36" s="42">
        <v>1</v>
      </c>
      <c r="X36" s="42">
        <v>1</v>
      </c>
      <c r="Y36" s="42"/>
      <c r="Z36" s="42"/>
      <c r="AA36" s="42"/>
      <c r="AB36" s="42"/>
      <c r="AC36" s="42"/>
      <c r="AD36" s="42"/>
      <c r="AE36" s="41">
        <f t="shared" si="1"/>
        <v>11</v>
      </c>
      <c r="AF36" s="43" t="s">
        <v>51</v>
      </c>
      <c r="AG36" s="44" t="s">
        <v>434</v>
      </c>
    </row>
    <row r="37" spans="1:33" ht="14.25" customHeight="1">
      <c r="A37" s="38" t="s">
        <v>41</v>
      </c>
      <c r="B37" s="38" t="s">
        <v>111</v>
      </c>
      <c r="C37" s="38"/>
      <c r="D37" s="39">
        <v>29</v>
      </c>
      <c r="E37" s="40" t="s">
        <v>112</v>
      </c>
      <c r="F37" s="41">
        <f t="shared" si="3"/>
        <v>11</v>
      </c>
      <c r="G37" s="42"/>
      <c r="H37" s="42"/>
      <c r="I37" s="42"/>
      <c r="J37" s="42"/>
      <c r="K37" s="42"/>
      <c r="L37" s="42"/>
      <c r="M37" s="42">
        <v>1</v>
      </c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>
        <v>1</v>
      </c>
      <c r="T37" s="42">
        <v>1</v>
      </c>
      <c r="U37" s="42"/>
      <c r="V37" s="42">
        <v>1</v>
      </c>
      <c r="W37" s="42">
        <v>1</v>
      </c>
      <c r="X37" s="42">
        <v>1</v>
      </c>
      <c r="Y37" s="42"/>
      <c r="Z37" s="42"/>
      <c r="AA37" s="42"/>
      <c r="AB37" s="42"/>
      <c r="AC37" s="42"/>
      <c r="AD37" s="42"/>
      <c r="AE37" s="41">
        <f t="shared" si="1"/>
        <v>11</v>
      </c>
      <c r="AF37" s="43" t="s">
        <v>274</v>
      </c>
      <c r="AG37" s="44" t="s">
        <v>434</v>
      </c>
    </row>
    <row r="38" spans="1:33" ht="14.25" customHeight="1">
      <c r="A38" s="38" t="s">
        <v>41</v>
      </c>
      <c r="B38" s="38" t="s">
        <v>113</v>
      </c>
      <c r="C38" s="38"/>
      <c r="D38" s="39">
        <v>30</v>
      </c>
      <c r="E38" s="40" t="s">
        <v>114</v>
      </c>
      <c r="F38" s="41">
        <f t="shared" si="3"/>
        <v>0</v>
      </c>
      <c r="G38" s="42"/>
      <c r="H38" s="42"/>
      <c r="I38" s="42"/>
      <c r="J38" s="42"/>
      <c r="K38" s="42"/>
      <c r="L38" s="42"/>
      <c r="M38" s="42"/>
      <c r="N38" s="78" t="s">
        <v>231</v>
      </c>
      <c r="O38" s="78" t="s">
        <v>231</v>
      </c>
      <c r="P38" s="78" t="s">
        <v>231</v>
      </c>
      <c r="Q38" s="78" t="s">
        <v>231</v>
      </c>
      <c r="R38" s="78" t="s">
        <v>231</v>
      </c>
      <c r="S38" s="78" t="s">
        <v>231</v>
      </c>
      <c r="T38" s="78" t="s">
        <v>231</v>
      </c>
      <c r="U38" s="42"/>
      <c r="V38" s="78" t="s">
        <v>231</v>
      </c>
      <c r="W38" s="78" t="s">
        <v>231</v>
      </c>
      <c r="X38" s="78" t="s">
        <v>231</v>
      </c>
      <c r="Y38" s="78" t="s">
        <v>231</v>
      </c>
      <c r="Z38" s="42"/>
      <c r="AA38" s="42"/>
      <c r="AB38" s="42"/>
      <c r="AC38" s="42"/>
      <c r="AD38" s="42"/>
      <c r="AE38" s="41">
        <f t="shared" si="1"/>
        <v>0</v>
      </c>
      <c r="AF38" s="43" t="s">
        <v>273</v>
      </c>
      <c r="AG38" s="44" t="s">
        <v>434</v>
      </c>
    </row>
    <row r="39" spans="1:33" ht="14.25" customHeight="1">
      <c r="A39" s="38" t="s">
        <v>41</v>
      </c>
      <c r="B39" s="38" t="s">
        <v>115</v>
      </c>
      <c r="C39" s="38">
        <v>962936744</v>
      </c>
      <c r="D39" s="39">
        <v>31</v>
      </c>
      <c r="E39" s="40" t="s">
        <v>116</v>
      </c>
      <c r="F39" s="41">
        <f t="shared" si="3"/>
        <v>12</v>
      </c>
      <c r="G39" s="42">
        <v>1</v>
      </c>
      <c r="H39" s="42">
        <v>1</v>
      </c>
      <c r="I39" s="42">
        <v>1</v>
      </c>
      <c r="J39" s="42">
        <v>1</v>
      </c>
      <c r="K39" s="42">
        <v>1</v>
      </c>
      <c r="L39" s="42">
        <v>1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>
        <v>1</v>
      </c>
      <c r="Z39" s="42">
        <v>1</v>
      </c>
      <c r="AA39" s="42">
        <v>1</v>
      </c>
      <c r="AB39" s="42">
        <v>1</v>
      </c>
      <c r="AC39" s="42">
        <v>1</v>
      </c>
      <c r="AD39" s="42">
        <v>1</v>
      </c>
      <c r="AE39" s="41">
        <f t="shared" si="1"/>
        <v>12</v>
      </c>
      <c r="AF39" s="46" t="s">
        <v>221</v>
      </c>
      <c r="AG39" s="44" t="s">
        <v>434</v>
      </c>
    </row>
    <row r="40" spans="1:33" ht="14.25" customHeight="1">
      <c r="A40" s="38" t="s">
        <v>41</v>
      </c>
      <c r="B40" s="38" t="s">
        <v>120</v>
      </c>
      <c r="C40" s="38"/>
      <c r="D40" s="39">
        <v>32</v>
      </c>
      <c r="E40" s="40" t="s">
        <v>121</v>
      </c>
      <c r="F40" s="41">
        <f t="shared" si="3"/>
        <v>11</v>
      </c>
      <c r="G40" s="42"/>
      <c r="H40" s="42"/>
      <c r="I40" s="42"/>
      <c r="J40" s="42"/>
      <c r="K40" s="42"/>
      <c r="L40" s="42"/>
      <c r="M40" s="42"/>
      <c r="N40" s="42">
        <v>1</v>
      </c>
      <c r="O40" s="42">
        <v>1</v>
      </c>
      <c r="P40" s="42">
        <v>1</v>
      </c>
      <c r="Q40" s="42">
        <v>1</v>
      </c>
      <c r="R40" s="42">
        <v>1</v>
      </c>
      <c r="S40" s="42">
        <v>1</v>
      </c>
      <c r="T40" s="42">
        <v>1</v>
      </c>
      <c r="U40" s="42">
        <v>1</v>
      </c>
      <c r="V40" s="42">
        <v>1</v>
      </c>
      <c r="W40" s="42">
        <v>1</v>
      </c>
      <c r="X40" s="42">
        <v>1</v>
      </c>
      <c r="Y40" s="42"/>
      <c r="Z40" s="42"/>
      <c r="AA40" s="42"/>
      <c r="AB40" s="42"/>
      <c r="AC40" s="42"/>
      <c r="AD40" s="42"/>
      <c r="AE40" s="41">
        <f t="shared" si="1"/>
        <v>11</v>
      </c>
      <c r="AF40" s="43" t="s">
        <v>154</v>
      </c>
      <c r="AG40" s="44" t="s">
        <v>434</v>
      </c>
    </row>
    <row r="41" spans="1:33" ht="14.25" customHeight="1">
      <c r="A41" s="38" t="s">
        <v>41</v>
      </c>
      <c r="B41" s="38" t="s">
        <v>122</v>
      </c>
      <c r="C41" s="38">
        <v>984490770</v>
      </c>
      <c r="D41" s="39">
        <v>33</v>
      </c>
      <c r="E41" s="40" t="s">
        <v>123</v>
      </c>
      <c r="F41" s="41">
        <f t="shared" si="3"/>
        <v>11</v>
      </c>
      <c r="G41" s="42"/>
      <c r="H41" s="42"/>
      <c r="I41" s="42"/>
      <c r="J41" s="42"/>
      <c r="K41" s="42"/>
      <c r="L41" s="42"/>
      <c r="M41" s="42"/>
      <c r="N41" s="42"/>
      <c r="O41" s="42"/>
      <c r="P41" s="42">
        <v>1</v>
      </c>
      <c r="Q41" s="42">
        <v>1</v>
      </c>
      <c r="R41" s="42">
        <v>1</v>
      </c>
      <c r="S41" s="42">
        <v>1</v>
      </c>
      <c r="T41" s="42"/>
      <c r="U41" s="42">
        <v>1</v>
      </c>
      <c r="V41" s="42">
        <v>1</v>
      </c>
      <c r="W41" s="42">
        <v>1</v>
      </c>
      <c r="X41" s="42">
        <v>1</v>
      </c>
      <c r="Y41" s="42">
        <v>1</v>
      </c>
      <c r="Z41" s="42">
        <v>1</v>
      </c>
      <c r="AA41" s="42">
        <v>1</v>
      </c>
      <c r="AB41" s="42"/>
      <c r="AC41" s="42"/>
      <c r="AD41" s="42"/>
      <c r="AE41" s="41">
        <f t="shared" si="1"/>
        <v>11</v>
      </c>
      <c r="AF41" s="43" t="s">
        <v>256</v>
      </c>
      <c r="AG41" s="44" t="s">
        <v>434</v>
      </c>
    </row>
    <row r="42" spans="1:33" ht="14.25" customHeight="1">
      <c r="A42" s="38" t="s">
        <v>41</v>
      </c>
      <c r="B42" s="38" t="s">
        <v>124</v>
      </c>
      <c r="C42" s="38">
        <v>979137365</v>
      </c>
      <c r="D42" s="39">
        <v>34</v>
      </c>
      <c r="E42" s="40" t="s">
        <v>125</v>
      </c>
      <c r="F42" s="41">
        <f t="shared" si="3"/>
        <v>12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>
        <v>1</v>
      </c>
      <c r="R42" s="42">
        <v>1</v>
      </c>
      <c r="S42" s="42">
        <v>1</v>
      </c>
      <c r="T42" s="42">
        <v>1</v>
      </c>
      <c r="U42" s="42">
        <v>1</v>
      </c>
      <c r="V42" s="42">
        <v>1</v>
      </c>
      <c r="W42" s="42"/>
      <c r="X42" s="42">
        <v>1</v>
      </c>
      <c r="Y42" s="42">
        <v>1</v>
      </c>
      <c r="Z42" s="42">
        <v>1</v>
      </c>
      <c r="AA42" s="42">
        <v>1</v>
      </c>
      <c r="AB42" s="42">
        <v>1</v>
      </c>
      <c r="AC42" s="42">
        <v>1</v>
      </c>
      <c r="AD42" s="42"/>
      <c r="AE42" s="41">
        <f t="shared" si="1"/>
        <v>12</v>
      </c>
      <c r="AF42" s="43" t="s">
        <v>286</v>
      </c>
      <c r="AG42" s="44" t="s">
        <v>434</v>
      </c>
    </row>
    <row r="43" spans="1:33" ht="14.25" customHeight="1">
      <c r="A43" s="38" t="s">
        <v>41</v>
      </c>
      <c r="B43" s="38" t="s">
        <v>126</v>
      </c>
      <c r="C43" s="38">
        <v>986256130</v>
      </c>
      <c r="D43" s="39">
        <v>35</v>
      </c>
      <c r="E43" s="40" t="s">
        <v>127</v>
      </c>
      <c r="F43" s="41">
        <v>12</v>
      </c>
      <c r="G43" s="42"/>
      <c r="H43" s="42"/>
      <c r="I43" s="42"/>
      <c r="J43" s="42"/>
      <c r="K43" s="42"/>
      <c r="L43" s="42"/>
      <c r="M43" s="42">
        <v>1</v>
      </c>
      <c r="N43" s="42">
        <v>1</v>
      </c>
      <c r="O43" s="42">
        <v>1</v>
      </c>
      <c r="P43" s="42">
        <v>1</v>
      </c>
      <c r="Q43" s="42">
        <v>1</v>
      </c>
      <c r="R43" s="42">
        <v>1</v>
      </c>
      <c r="S43" s="42">
        <v>1</v>
      </c>
      <c r="T43" s="42">
        <v>1</v>
      </c>
      <c r="U43" s="42"/>
      <c r="V43" s="42">
        <v>1</v>
      </c>
      <c r="W43" s="42">
        <v>1</v>
      </c>
      <c r="X43" s="42">
        <v>1</v>
      </c>
      <c r="Y43" s="42">
        <v>1</v>
      </c>
      <c r="Z43" s="42"/>
      <c r="AA43" s="42"/>
      <c r="AB43" s="42"/>
      <c r="AC43" s="42"/>
      <c r="AD43" s="42"/>
      <c r="AE43" s="41">
        <f t="shared" si="1"/>
        <v>12</v>
      </c>
      <c r="AF43" s="43" t="s">
        <v>374</v>
      </c>
      <c r="AG43" s="44" t="s">
        <v>434</v>
      </c>
    </row>
    <row r="44" spans="1:33" ht="14.25" customHeight="1">
      <c r="A44" s="38" t="s">
        <v>41</v>
      </c>
      <c r="B44" s="38" t="s">
        <v>128</v>
      </c>
      <c r="C44" s="38"/>
      <c r="D44" s="39">
        <v>36</v>
      </c>
      <c r="E44" s="40" t="s">
        <v>129</v>
      </c>
      <c r="F44" s="41">
        <f t="shared" ref="F44:F45" si="4">SUM(G44:AD44)</f>
        <v>9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>
        <v>1</v>
      </c>
      <c r="W44" s="42">
        <v>1</v>
      </c>
      <c r="X44" s="42">
        <v>1</v>
      </c>
      <c r="Y44" s="42">
        <v>1</v>
      </c>
      <c r="Z44" s="42">
        <v>1</v>
      </c>
      <c r="AA44" s="42">
        <v>1</v>
      </c>
      <c r="AB44" s="42">
        <v>1</v>
      </c>
      <c r="AC44" s="42">
        <v>1</v>
      </c>
      <c r="AD44" s="42">
        <v>1</v>
      </c>
      <c r="AE44" s="41">
        <f t="shared" si="1"/>
        <v>9</v>
      </c>
      <c r="AF44" s="43" t="s">
        <v>237</v>
      </c>
      <c r="AG44" s="44" t="s">
        <v>434</v>
      </c>
    </row>
    <row r="45" spans="1:33" ht="14.25" customHeight="1">
      <c r="A45" s="38" t="s">
        <v>41</v>
      </c>
      <c r="B45" s="38" t="s">
        <v>130</v>
      </c>
      <c r="C45" s="38">
        <v>998810875</v>
      </c>
      <c r="D45" s="39">
        <v>37</v>
      </c>
      <c r="E45" s="40" t="s">
        <v>131</v>
      </c>
      <c r="F45" s="41">
        <f t="shared" si="4"/>
        <v>12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>
        <v>1</v>
      </c>
      <c r="R45" s="42">
        <v>1</v>
      </c>
      <c r="S45" s="42">
        <v>1</v>
      </c>
      <c r="T45" s="42">
        <v>1</v>
      </c>
      <c r="U45" s="42">
        <v>1</v>
      </c>
      <c r="V45" s="42">
        <v>1</v>
      </c>
      <c r="W45" s="42">
        <v>1</v>
      </c>
      <c r="X45" s="42">
        <v>1</v>
      </c>
      <c r="Y45" s="42">
        <v>1</v>
      </c>
      <c r="Z45" s="42">
        <v>1</v>
      </c>
      <c r="AA45" s="42">
        <v>1</v>
      </c>
      <c r="AB45" s="42">
        <v>1</v>
      </c>
      <c r="AC45" s="42"/>
      <c r="AD45" s="42"/>
      <c r="AE45" s="41">
        <f t="shared" si="1"/>
        <v>12</v>
      </c>
      <c r="AF45" s="43" t="s">
        <v>96</v>
      </c>
      <c r="AG45" s="44" t="s">
        <v>434</v>
      </c>
    </row>
    <row r="46" spans="1:33" ht="14.25" customHeight="1">
      <c r="A46" s="38" t="s">
        <v>209</v>
      </c>
      <c r="B46" s="38" t="s">
        <v>49</v>
      </c>
      <c r="C46" s="38">
        <v>983804379</v>
      </c>
      <c r="D46" s="39">
        <v>1</v>
      </c>
      <c r="E46" s="130" t="s">
        <v>50</v>
      </c>
      <c r="F46" s="41">
        <v>8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573" t="s">
        <v>132</v>
      </c>
      <c r="W46" s="555"/>
      <c r="X46" s="555"/>
      <c r="Y46" s="555"/>
      <c r="Z46" s="555"/>
      <c r="AA46" s="555"/>
      <c r="AB46" s="555"/>
      <c r="AC46" s="542"/>
      <c r="AD46" s="42"/>
      <c r="AE46" s="41">
        <v>8</v>
      </c>
      <c r="AF46" s="43" t="s">
        <v>218</v>
      </c>
      <c r="AG46" s="44" t="s">
        <v>434</v>
      </c>
    </row>
    <row r="47" spans="1:33" ht="14.25" customHeight="1">
      <c r="A47" s="38" t="s">
        <v>209</v>
      </c>
      <c r="B47" s="38" t="s">
        <v>134</v>
      </c>
      <c r="C47" s="38">
        <v>962839078</v>
      </c>
      <c r="D47" s="39">
        <v>2</v>
      </c>
      <c r="E47" s="130" t="s">
        <v>135</v>
      </c>
      <c r="F47" s="41">
        <v>8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573" t="s">
        <v>132</v>
      </c>
      <c r="W47" s="555"/>
      <c r="X47" s="555"/>
      <c r="Y47" s="555"/>
      <c r="Z47" s="555"/>
      <c r="AA47" s="555"/>
      <c r="AB47" s="555"/>
      <c r="AC47" s="542"/>
      <c r="AD47" s="42"/>
      <c r="AE47" s="41">
        <v>8</v>
      </c>
      <c r="AF47" s="43" t="s">
        <v>218</v>
      </c>
      <c r="AG47" s="44" t="s">
        <v>434</v>
      </c>
    </row>
    <row r="48" spans="1:33" ht="14.25" customHeight="1">
      <c r="A48" s="38" t="s">
        <v>209</v>
      </c>
      <c r="B48" s="38" t="s">
        <v>139</v>
      </c>
      <c r="C48" s="38">
        <v>990660059</v>
      </c>
      <c r="D48" s="39">
        <v>3</v>
      </c>
      <c r="E48" s="130" t="s">
        <v>140</v>
      </c>
      <c r="F48" s="41">
        <v>8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573" t="s">
        <v>132</v>
      </c>
      <c r="W48" s="555"/>
      <c r="X48" s="555"/>
      <c r="Y48" s="555"/>
      <c r="Z48" s="555"/>
      <c r="AA48" s="555"/>
      <c r="AB48" s="555"/>
      <c r="AC48" s="542"/>
      <c r="AD48" s="42"/>
      <c r="AE48" s="41">
        <v>8</v>
      </c>
      <c r="AF48" s="43" t="s">
        <v>218</v>
      </c>
      <c r="AG48" s="44" t="s">
        <v>434</v>
      </c>
    </row>
    <row r="49" spans="1:33" ht="14.25" customHeight="1">
      <c r="A49" s="38" t="s">
        <v>209</v>
      </c>
      <c r="B49" s="38" t="s">
        <v>173</v>
      </c>
      <c r="C49" s="38">
        <v>988941361</v>
      </c>
      <c r="D49" s="62">
        <v>4</v>
      </c>
      <c r="E49" s="130" t="s">
        <v>174</v>
      </c>
      <c r="F49" s="41">
        <v>8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573" t="s">
        <v>132</v>
      </c>
      <c r="W49" s="555"/>
      <c r="X49" s="555"/>
      <c r="Y49" s="555"/>
      <c r="Z49" s="555"/>
      <c r="AA49" s="555"/>
      <c r="AB49" s="555"/>
      <c r="AC49" s="542"/>
      <c r="AD49" s="42"/>
      <c r="AE49" s="41">
        <v>8</v>
      </c>
      <c r="AF49" s="43" t="s">
        <v>218</v>
      </c>
      <c r="AG49" s="44" t="s">
        <v>434</v>
      </c>
    </row>
    <row r="50" spans="1:33" ht="14.25" customHeight="1">
      <c r="A50" s="38" t="s">
        <v>209</v>
      </c>
      <c r="B50" s="38" t="s">
        <v>117</v>
      </c>
      <c r="C50" s="38"/>
      <c r="D50" s="39">
        <v>5</v>
      </c>
      <c r="E50" s="130" t="s">
        <v>118</v>
      </c>
      <c r="F50" s="41">
        <v>10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>
        <v>1</v>
      </c>
      <c r="U50" s="42">
        <v>1</v>
      </c>
      <c r="V50" s="573" t="s">
        <v>132</v>
      </c>
      <c r="W50" s="555"/>
      <c r="X50" s="555"/>
      <c r="Y50" s="555"/>
      <c r="Z50" s="555"/>
      <c r="AA50" s="555"/>
      <c r="AB50" s="555"/>
      <c r="AC50" s="542"/>
      <c r="AD50" s="42"/>
      <c r="AE50" s="41">
        <v>10</v>
      </c>
      <c r="AF50" s="43" t="s">
        <v>175</v>
      </c>
      <c r="AG50" s="44" t="s">
        <v>434</v>
      </c>
    </row>
    <row r="51" spans="1:33" ht="14.25" customHeight="1">
      <c r="A51" s="38" t="s">
        <v>209</v>
      </c>
      <c r="B51" s="38" t="s">
        <v>142</v>
      </c>
      <c r="C51" s="38">
        <v>982807786</v>
      </c>
      <c r="D51" s="39">
        <v>6</v>
      </c>
      <c r="E51" s="130" t="s">
        <v>143</v>
      </c>
      <c r="F51" s="41">
        <v>10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>
        <v>1</v>
      </c>
      <c r="U51" s="42">
        <v>1</v>
      </c>
      <c r="V51" s="573" t="s">
        <v>132</v>
      </c>
      <c r="W51" s="555"/>
      <c r="X51" s="555"/>
      <c r="Y51" s="555"/>
      <c r="Z51" s="555"/>
      <c r="AA51" s="555"/>
      <c r="AB51" s="555"/>
      <c r="AC51" s="542"/>
      <c r="AD51" s="42"/>
      <c r="AE51" s="41">
        <v>10</v>
      </c>
      <c r="AF51" s="43" t="s">
        <v>175</v>
      </c>
      <c r="AG51" s="44" t="s">
        <v>434</v>
      </c>
    </row>
    <row r="52" spans="1:33" ht="14.25" customHeight="1">
      <c r="A52" s="38" t="s">
        <v>292</v>
      </c>
      <c r="B52" s="38" t="s">
        <v>137</v>
      </c>
      <c r="C52" s="38">
        <v>984891008</v>
      </c>
      <c r="D52" s="39">
        <v>1</v>
      </c>
      <c r="E52" s="131" t="s">
        <v>138</v>
      </c>
      <c r="F52" s="41">
        <v>9</v>
      </c>
      <c r="G52" s="47"/>
      <c r="H52" s="47"/>
      <c r="I52" s="47"/>
      <c r="J52" s="47"/>
      <c r="K52" s="47"/>
      <c r="L52" s="47"/>
      <c r="M52" s="47"/>
      <c r="N52" s="573" t="s">
        <v>292</v>
      </c>
      <c r="O52" s="555"/>
      <c r="P52" s="555"/>
      <c r="Q52" s="555"/>
      <c r="R52" s="555"/>
      <c r="S52" s="555"/>
      <c r="T52" s="555"/>
      <c r="U52" s="542"/>
      <c r="V52" s="63">
        <v>1</v>
      </c>
      <c r="W52" s="42"/>
      <c r="X52" s="42"/>
      <c r="Y52" s="42"/>
      <c r="Z52" s="42"/>
      <c r="AA52" s="42"/>
      <c r="AB52" s="42"/>
      <c r="AC52" s="42"/>
      <c r="AD52" s="42"/>
      <c r="AE52" s="114">
        <v>9</v>
      </c>
      <c r="AF52" s="43" t="s">
        <v>228</v>
      </c>
      <c r="AG52" s="44" t="s">
        <v>434</v>
      </c>
    </row>
    <row r="53" spans="1:33" ht="14.25" customHeight="1">
      <c r="A53" s="38" t="s">
        <v>292</v>
      </c>
      <c r="B53" s="38" t="s">
        <v>190</v>
      </c>
      <c r="C53" s="38">
        <v>983356603</v>
      </c>
      <c r="D53" s="39">
        <v>2</v>
      </c>
      <c r="E53" s="131" t="s">
        <v>191</v>
      </c>
      <c r="F53" s="41">
        <v>9</v>
      </c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63">
        <v>1</v>
      </c>
      <c r="V53" s="573" t="s">
        <v>292</v>
      </c>
      <c r="W53" s="555"/>
      <c r="X53" s="555"/>
      <c r="Y53" s="555"/>
      <c r="Z53" s="555"/>
      <c r="AA53" s="555"/>
      <c r="AB53" s="555"/>
      <c r="AC53" s="542"/>
      <c r="AD53" s="47"/>
      <c r="AE53" s="41">
        <v>9</v>
      </c>
      <c r="AF53" s="43" t="s">
        <v>81</v>
      </c>
      <c r="AG53" s="44" t="s">
        <v>434</v>
      </c>
    </row>
    <row r="54" spans="1:33" ht="14.25" customHeight="1">
      <c r="A54" s="38" t="s">
        <v>187</v>
      </c>
      <c r="B54" s="38" t="s">
        <v>188</v>
      </c>
      <c r="C54" s="38"/>
      <c r="D54" s="39">
        <v>1</v>
      </c>
      <c r="E54" s="132" t="s">
        <v>189</v>
      </c>
      <c r="F54" s="41">
        <v>11</v>
      </c>
      <c r="G54" s="47"/>
      <c r="H54" s="47"/>
      <c r="I54" s="47"/>
      <c r="J54" s="47"/>
      <c r="K54" s="47"/>
      <c r="L54" s="47"/>
      <c r="M54" s="47"/>
      <c r="N54" s="47"/>
      <c r="O54" s="47"/>
      <c r="P54" s="573" t="s">
        <v>187</v>
      </c>
      <c r="Q54" s="555"/>
      <c r="R54" s="555"/>
      <c r="S54" s="555"/>
      <c r="T54" s="555"/>
      <c r="U54" s="555"/>
      <c r="V54" s="555"/>
      <c r="W54" s="555"/>
      <c r="X54" s="555"/>
      <c r="Y54" s="555"/>
      <c r="Z54" s="555"/>
      <c r="AA54" s="47"/>
      <c r="AB54" s="47"/>
      <c r="AC54" s="47"/>
      <c r="AD54" s="47"/>
      <c r="AE54" s="41">
        <v>11</v>
      </c>
      <c r="AF54" s="43" t="s">
        <v>164</v>
      </c>
      <c r="AG54" s="44" t="s">
        <v>434</v>
      </c>
    </row>
    <row r="55" spans="1:33" ht="14.25" customHeight="1">
      <c r="A55" s="38" t="s">
        <v>390</v>
      </c>
      <c r="B55" s="38"/>
      <c r="C55" s="38"/>
      <c r="D55" s="39">
        <v>1</v>
      </c>
      <c r="E55" s="133" t="s">
        <v>363</v>
      </c>
      <c r="F55" s="41">
        <v>12</v>
      </c>
      <c r="G55" s="42"/>
      <c r="H55" s="42"/>
      <c r="I55" s="42"/>
      <c r="J55" s="42"/>
      <c r="K55" s="42"/>
      <c r="L55" s="42"/>
      <c r="M55" s="42"/>
      <c r="N55" s="42"/>
      <c r="O55" s="573" t="s">
        <v>364</v>
      </c>
      <c r="P55" s="555"/>
      <c r="Q55" s="555"/>
      <c r="R55" s="555"/>
      <c r="S55" s="555"/>
      <c r="T55" s="555"/>
      <c r="U55" s="555"/>
      <c r="V55" s="555"/>
      <c r="W55" s="555"/>
      <c r="X55" s="555"/>
      <c r="Y55" s="542"/>
      <c r="Z55" s="42"/>
      <c r="AA55" s="42"/>
      <c r="AB55" s="42"/>
      <c r="AC55" s="42"/>
      <c r="AD55" s="42"/>
      <c r="AE55" s="41">
        <v>12</v>
      </c>
      <c r="AF55" s="43" t="s">
        <v>66</v>
      </c>
      <c r="AG55" s="44" t="s">
        <v>434</v>
      </c>
    </row>
    <row r="56" spans="1:33" ht="14.25" customHeight="1">
      <c r="A56" s="2"/>
      <c r="B56" s="2"/>
      <c r="C56" s="2"/>
      <c r="D56" s="48"/>
      <c r="E56" s="49"/>
      <c r="F56" s="50"/>
      <c r="G56" s="51" t="s">
        <v>9</v>
      </c>
      <c r="H56" s="51" t="s">
        <v>10</v>
      </c>
      <c r="I56" s="51" t="s">
        <v>11</v>
      </c>
      <c r="J56" s="51" t="s">
        <v>12</v>
      </c>
      <c r="K56" s="51" t="s">
        <v>13</v>
      </c>
      <c r="L56" s="51" t="s">
        <v>14</v>
      </c>
      <c r="M56" s="51" t="s">
        <v>15</v>
      </c>
      <c r="N56" s="51" t="s">
        <v>16</v>
      </c>
      <c r="O56" s="51" t="s">
        <v>17</v>
      </c>
      <c r="P56" s="106" t="s">
        <v>18</v>
      </c>
      <c r="Q56" s="107" t="s">
        <v>19</v>
      </c>
      <c r="R56" s="107" t="s">
        <v>20</v>
      </c>
      <c r="S56" s="107" t="s">
        <v>21</v>
      </c>
      <c r="T56" s="107" t="s">
        <v>22</v>
      </c>
      <c r="U56" s="107" t="s">
        <v>23</v>
      </c>
      <c r="V56" s="107" t="s">
        <v>24</v>
      </c>
      <c r="W56" s="107" t="s">
        <v>25</v>
      </c>
      <c r="X56" s="107" t="s">
        <v>26</v>
      </c>
      <c r="Y56" s="107" t="s">
        <v>27</v>
      </c>
      <c r="Z56" s="107" t="s">
        <v>28</v>
      </c>
      <c r="AA56" s="52" t="s">
        <v>29</v>
      </c>
      <c r="AB56" s="52" t="s">
        <v>30</v>
      </c>
      <c r="AC56" s="52" t="s">
        <v>31</v>
      </c>
      <c r="AD56" s="51" t="s">
        <v>32</v>
      </c>
      <c r="AE56" s="53"/>
      <c r="AF56" s="25"/>
      <c r="AG56" s="25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3"/>
      <c r="B58" s="3"/>
      <c r="C58" s="3"/>
      <c r="D58" s="48"/>
      <c r="E58" s="547" t="s">
        <v>8</v>
      </c>
      <c r="F58" s="548"/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79">
        <v>3</v>
      </c>
      <c r="N58" s="79">
        <v>3</v>
      </c>
      <c r="O58" s="80">
        <v>6</v>
      </c>
      <c r="P58" s="81">
        <v>7</v>
      </c>
      <c r="Q58" s="81">
        <v>7</v>
      </c>
      <c r="R58" s="81">
        <v>7</v>
      </c>
      <c r="S58" s="81">
        <v>7</v>
      </c>
      <c r="T58" s="81">
        <v>7</v>
      </c>
      <c r="U58" s="81">
        <v>7</v>
      </c>
      <c r="V58" s="164">
        <v>7</v>
      </c>
      <c r="W58" s="81">
        <v>7</v>
      </c>
      <c r="X58" s="80">
        <v>6</v>
      </c>
      <c r="Y58" s="80">
        <v>6</v>
      </c>
      <c r="Z58" s="80">
        <v>6</v>
      </c>
      <c r="AA58" s="83">
        <v>5</v>
      </c>
      <c r="AB58" s="56">
        <v>4</v>
      </c>
      <c r="AC58" s="79">
        <v>3</v>
      </c>
      <c r="AD58" s="12">
        <v>2</v>
      </c>
      <c r="AE58" s="18">
        <f>SUM(G58:AD58)</f>
        <v>112</v>
      </c>
      <c r="AF58" s="25"/>
      <c r="AG58" s="3"/>
    </row>
    <row r="59" spans="1:33" ht="14.25" customHeight="1">
      <c r="A59" s="3"/>
      <c r="B59" s="3"/>
      <c r="C59" s="3"/>
      <c r="D59" s="48"/>
      <c r="E59" s="59"/>
      <c r="F59" s="59"/>
      <c r="G59" s="28">
        <f t="shared" ref="G59:AD59" si="5">G61-G58</f>
        <v>0</v>
      </c>
      <c r="H59" s="28">
        <f t="shared" si="5"/>
        <v>0</v>
      </c>
      <c r="I59" s="28">
        <f t="shared" si="5"/>
        <v>0</v>
      </c>
      <c r="J59" s="28">
        <f t="shared" si="5"/>
        <v>0</v>
      </c>
      <c r="K59" s="28">
        <f t="shared" si="5"/>
        <v>0</v>
      </c>
      <c r="L59" s="28">
        <f t="shared" si="5"/>
        <v>0</v>
      </c>
      <c r="M59" s="28">
        <f t="shared" si="5"/>
        <v>-1</v>
      </c>
      <c r="N59" s="28">
        <f t="shared" si="5"/>
        <v>1</v>
      </c>
      <c r="O59" s="28">
        <f t="shared" si="5"/>
        <v>0</v>
      </c>
      <c r="P59" s="28">
        <f t="shared" si="5"/>
        <v>0</v>
      </c>
      <c r="Q59" s="84">
        <f t="shared" si="5"/>
        <v>1</v>
      </c>
      <c r="R59" s="84">
        <f t="shared" si="5"/>
        <v>1</v>
      </c>
      <c r="S59" s="28">
        <f t="shared" si="5"/>
        <v>0</v>
      </c>
      <c r="T59" s="28">
        <f t="shared" si="5"/>
        <v>0</v>
      </c>
      <c r="U59" s="28">
        <f t="shared" si="5"/>
        <v>0</v>
      </c>
      <c r="V59" s="28">
        <f t="shared" si="5"/>
        <v>-2</v>
      </c>
      <c r="W59" s="28">
        <f t="shared" si="5"/>
        <v>-1</v>
      </c>
      <c r="X59" s="84">
        <f t="shared" si="5"/>
        <v>0</v>
      </c>
      <c r="Y59" s="28">
        <f t="shared" si="5"/>
        <v>0</v>
      </c>
      <c r="Z59" s="28">
        <f t="shared" si="5"/>
        <v>-1</v>
      </c>
      <c r="AA59" s="28">
        <f t="shared" si="5"/>
        <v>-1</v>
      </c>
      <c r="AB59" s="28">
        <f t="shared" si="5"/>
        <v>0</v>
      </c>
      <c r="AC59" s="28">
        <f t="shared" si="5"/>
        <v>0</v>
      </c>
      <c r="AD59" s="28">
        <f t="shared" si="5"/>
        <v>0</v>
      </c>
      <c r="AE59" s="53"/>
      <c r="AF59" s="3"/>
      <c r="AG59" s="3"/>
    </row>
    <row r="60" spans="1:33" ht="14.25" customHeight="1">
      <c r="A60" s="3"/>
      <c r="B60" s="3"/>
      <c r="C60" s="3"/>
      <c r="D60" s="48"/>
      <c r="E60" s="60" t="s">
        <v>145</v>
      </c>
      <c r="F60" s="59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51" t="s">
        <v>17</v>
      </c>
      <c r="P60" s="51" t="s">
        <v>18</v>
      </c>
      <c r="Q60" s="52" t="s">
        <v>19</v>
      </c>
      <c r="R60" s="52" t="s">
        <v>20</v>
      </c>
      <c r="S60" s="52" t="s">
        <v>21</v>
      </c>
      <c r="T60" s="52" t="s">
        <v>22</v>
      </c>
      <c r="U60" s="52" t="s">
        <v>23</v>
      </c>
      <c r="V60" s="52" t="s">
        <v>24</v>
      </c>
      <c r="W60" s="52" t="s">
        <v>25</v>
      </c>
      <c r="X60" s="52" t="s">
        <v>26</v>
      </c>
      <c r="Y60" s="52" t="s">
        <v>27</v>
      </c>
      <c r="Z60" s="52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3"/>
    </row>
    <row r="61" spans="1:33" ht="14.25" customHeight="1">
      <c r="A61" s="3"/>
      <c r="B61" s="3"/>
      <c r="C61" s="3"/>
      <c r="D61" s="48"/>
      <c r="E61" s="61" t="s">
        <v>37</v>
      </c>
      <c r="F61" s="37" t="s">
        <v>38</v>
      </c>
      <c r="G61" s="35">
        <f t="shared" ref="G61:AD61" si="6">SUM(G62:G72)</f>
        <v>2</v>
      </c>
      <c r="H61" s="35">
        <f t="shared" si="6"/>
        <v>2</v>
      </c>
      <c r="I61" s="35">
        <f t="shared" si="6"/>
        <v>2</v>
      </c>
      <c r="J61" s="35">
        <f t="shared" si="6"/>
        <v>2</v>
      </c>
      <c r="K61" s="35">
        <f t="shared" si="6"/>
        <v>2</v>
      </c>
      <c r="L61" s="35">
        <f t="shared" si="6"/>
        <v>2</v>
      </c>
      <c r="M61" s="35">
        <f t="shared" si="6"/>
        <v>2</v>
      </c>
      <c r="N61" s="35">
        <f t="shared" si="6"/>
        <v>4</v>
      </c>
      <c r="O61" s="35">
        <f t="shared" si="6"/>
        <v>6</v>
      </c>
      <c r="P61" s="35">
        <f t="shared" si="6"/>
        <v>7</v>
      </c>
      <c r="Q61" s="35">
        <f t="shared" si="6"/>
        <v>8</v>
      </c>
      <c r="R61" s="35">
        <f t="shared" si="6"/>
        <v>8</v>
      </c>
      <c r="S61" s="35">
        <f t="shared" si="6"/>
        <v>7</v>
      </c>
      <c r="T61" s="35">
        <f t="shared" si="6"/>
        <v>7</v>
      </c>
      <c r="U61" s="35">
        <f t="shared" si="6"/>
        <v>7</v>
      </c>
      <c r="V61" s="35">
        <f t="shared" si="6"/>
        <v>5</v>
      </c>
      <c r="W61" s="35">
        <f t="shared" si="6"/>
        <v>6</v>
      </c>
      <c r="X61" s="35">
        <f t="shared" si="6"/>
        <v>6</v>
      </c>
      <c r="Y61" s="35">
        <f t="shared" si="6"/>
        <v>6</v>
      </c>
      <c r="Z61" s="35">
        <f t="shared" si="6"/>
        <v>5</v>
      </c>
      <c r="AA61" s="35">
        <f t="shared" si="6"/>
        <v>4</v>
      </c>
      <c r="AB61" s="35">
        <f t="shared" si="6"/>
        <v>4</v>
      </c>
      <c r="AC61" s="35">
        <f t="shared" si="6"/>
        <v>3</v>
      </c>
      <c r="AD61" s="35">
        <f t="shared" si="6"/>
        <v>2</v>
      </c>
      <c r="AE61" s="30">
        <f t="shared" ref="AE61:AE72" si="7">SUM(G61:AD61)</f>
        <v>109</v>
      </c>
      <c r="AF61" s="36" t="s">
        <v>39</v>
      </c>
      <c r="AG61" s="37" t="s">
        <v>40</v>
      </c>
    </row>
    <row r="62" spans="1:33" ht="14.25" customHeight="1">
      <c r="A62" s="38" t="s">
        <v>145</v>
      </c>
      <c r="B62" s="38" t="s">
        <v>149</v>
      </c>
      <c r="C62" s="38">
        <v>996585473</v>
      </c>
      <c r="D62" s="62">
        <v>1</v>
      </c>
      <c r="E62" s="40" t="s">
        <v>150</v>
      </c>
      <c r="F62" s="41">
        <f t="shared" ref="F62:F72" si="8">SUM(G62:AD62)</f>
        <v>10</v>
      </c>
      <c r="G62" s="42"/>
      <c r="H62" s="42"/>
      <c r="I62" s="42"/>
      <c r="J62" s="42"/>
      <c r="K62" s="42"/>
      <c r="L62" s="42"/>
      <c r="M62" s="42"/>
      <c r="N62" s="63">
        <v>1</v>
      </c>
      <c r="O62" s="42">
        <v>1</v>
      </c>
      <c r="P62" s="42">
        <v>1</v>
      </c>
      <c r="Q62" s="63">
        <v>1</v>
      </c>
      <c r="R62" s="63">
        <v>1</v>
      </c>
      <c r="S62" s="42"/>
      <c r="T62" s="42">
        <v>1</v>
      </c>
      <c r="U62" s="42">
        <v>1</v>
      </c>
      <c r="V62" s="42">
        <v>1</v>
      </c>
      <c r="W62" s="42">
        <v>1</v>
      </c>
      <c r="X62" s="42">
        <v>1</v>
      </c>
      <c r="Y62" s="42"/>
      <c r="Z62" s="42"/>
      <c r="AA62" s="42"/>
      <c r="AB62" s="42"/>
      <c r="AC62" s="42"/>
      <c r="AD62" s="42"/>
      <c r="AE62" s="41">
        <f t="shared" si="7"/>
        <v>10</v>
      </c>
      <c r="AF62" s="43" t="s">
        <v>317</v>
      </c>
      <c r="AG62" s="44" t="s">
        <v>434</v>
      </c>
    </row>
    <row r="63" spans="1:33" ht="14.25" customHeight="1">
      <c r="A63" s="38" t="s">
        <v>145</v>
      </c>
      <c r="B63" s="38" t="s">
        <v>212</v>
      </c>
      <c r="C63" s="38"/>
      <c r="D63" s="62">
        <v>2</v>
      </c>
      <c r="E63" s="40" t="s">
        <v>153</v>
      </c>
      <c r="F63" s="41">
        <f t="shared" si="8"/>
        <v>10</v>
      </c>
      <c r="G63" s="42"/>
      <c r="H63" s="42"/>
      <c r="I63" s="42"/>
      <c r="J63" s="42"/>
      <c r="K63" s="42"/>
      <c r="L63" s="42"/>
      <c r="M63" s="42"/>
      <c r="N63" s="42"/>
      <c r="O63" s="42"/>
      <c r="P63" s="42">
        <v>1</v>
      </c>
      <c r="Q63" s="42">
        <v>1</v>
      </c>
      <c r="R63" s="42">
        <v>1</v>
      </c>
      <c r="S63" s="42">
        <v>1</v>
      </c>
      <c r="T63" s="42">
        <v>1</v>
      </c>
      <c r="U63" s="42">
        <v>1</v>
      </c>
      <c r="V63" s="42">
        <v>1</v>
      </c>
      <c r="W63" s="42">
        <v>1</v>
      </c>
      <c r="X63" s="42">
        <v>1</v>
      </c>
      <c r="Y63" s="42">
        <v>1</v>
      </c>
      <c r="Z63" s="42"/>
      <c r="AA63" s="42"/>
      <c r="AB63" s="42"/>
      <c r="AC63" s="42"/>
      <c r="AD63" s="42"/>
      <c r="AE63" s="41">
        <f t="shared" si="7"/>
        <v>10</v>
      </c>
      <c r="AF63" s="43" t="s">
        <v>302</v>
      </c>
      <c r="AG63" s="44" t="s">
        <v>434</v>
      </c>
    </row>
    <row r="64" spans="1:33" ht="14.25" customHeight="1">
      <c r="A64" s="38" t="s">
        <v>145</v>
      </c>
      <c r="B64" s="38" t="s">
        <v>155</v>
      </c>
      <c r="C64" s="38">
        <v>969250973</v>
      </c>
      <c r="D64" s="62">
        <v>3</v>
      </c>
      <c r="E64" s="40" t="s">
        <v>156</v>
      </c>
      <c r="F64" s="41">
        <f t="shared" si="8"/>
        <v>9</v>
      </c>
      <c r="G64" s="42"/>
      <c r="H64" s="42"/>
      <c r="I64" s="42"/>
      <c r="J64" s="42"/>
      <c r="K64" s="42"/>
      <c r="L64" s="42"/>
      <c r="M64" s="42"/>
      <c r="N64" s="42"/>
      <c r="O64" s="42">
        <v>1</v>
      </c>
      <c r="P64" s="42">
        <v>1</v>
      </c>
      <c r="Q64" s="42">
        <v>1</v>
      </c>
      <c r="R64" s="42">
        <v>1</v>
      </c>
      <c r="S64" s="42">
        <v>1</v>
      </c>
      <c r="T64" s="42"/>
      <c r="U64" s="42">
        <v>1</v>
      </c>
      <c r="V64" s="42">
        <v>1</v>
      </c>
      <c r="W64" s="42">
        <v>1</v>
      </c>
      <c r="X64" s="63">
        <v>1</v>
      </c>
      <c r="Y64" s="42"/>
      <c r="Z64" s="42"/>
      <c r="AA64" s="42"/>
      <c r="AB64" s="42"/>
      <c r="AC64" s="42"/>
      <c r="AD64" s="42"/>
      <c r="AE64" s="41">
        <f t="shared" si="7"/>
        <v>9</v>
      </c>
      <c r="AF64" s="46" t="s">
        <v>214</v>
      </c>
      <c r="AG64" s="44" t="s">
        <v>434</v>
      </c>
    </row>
    <row r="65" spans="1:33" ht="14.25" customHeight="1">
      <c r="A65" s="38" t="s">
        <v>145</v>
      </c>
      <c r="B65" s="38" t="s">
        <v>157</v>
      </c>
      <c r="C65" s="38">
        <v>990911747</v>
      </c>
      <c r="D65" s="62">
        <v>4</v>
      </c>
      <c r="E65" s="40" t="s">
        <v>158</v>
      </c>
      <c r="F65" s="41">
        <f t="shared" si="8"/>
        <v>9</v>
      </c>
      <c r="G65" s="42"/>
      <c r="H65" s="42"/>
      <c r="I65" s="42"/>
      <c r="J65" s="42"/>
      <c r="K65" s="42"/>
      <c r="L65" s="42"/>
      <c r="M65" s="42">
        <v>1</v>
      </c>
      <c r="N65" s="42">
        <v>1</v>
      </c>
      <c r="O65" s="42">
        <v>1</v>
      </c>
      <c r="P65" s="42">
        <v>1</v>
      </c>
      <c r="Q65" s="42">
        <v>1</v>
      </c>
      <c r="R65" s="42">
        <v>1</v>
      </c>
      <c r="S65" s="42"/>
      <c r="T65" s="42">
        <v>1</v>
      </c>
      <c r="U65" s="42">
        <v>1</v>
      </c>
      <c r="V65" s="45" t="s">
        <v>47</v>
      </c>
      <c r="W65" s="42">
        <v>1</v>
      </c>
      <c r="X65" s="42"/>
      <c r="Y65" s="42"/>
      <c r="Z65" s="42"/>
      <c r="AA65" s="42"/>
      <c r="AB65" s="42"/>
      <c r="AC65" s="42"/>
      <c r="AD65" s="42"/>
      <c r="AE65" s="41">
        <f t="shared" si="7"/>
        <v>9</v>
      </c>
      <c r="AF65" s="46" t="s">
        <v>275</v>
      </c>
      <c r="AG65" s="44" t="s">
        <v>434</v>
      </c>
    </row>
    <row r="66" spans="1:33" ht="14.25" customHeight="1">
      <c r="A66" s="38" t="s">
        <v>145</v>
      </c>
      <c r="B66" s="38" t="s">
        <v>160</v>
      </c>
      <c r="C66" s="38">
        <v>993901115</v>
      </c>
      <c r="D66" s="62">
        <v>5</v>
      </c>
      <c r="E66" s="40" t="s">
        <v>161</v>
      </c>
      <c r="F66" s="41">
        <f t="shared" si="8"/>
        <v>12</v>
      </c>
      <c r="G66" s="42">
        <v>1</v>
      </c>
      <c r="H66" s="42">
        <v>1</v>
      </c>
      <c r="I66" s="42">
        <v>1</v>
      </c>
      <c r="J66" s="42">
        <v>1</v>
      </c>
      <c r="K66" s="42">
        <v>1</v>
      </c>
      <c r="L66" s="42">
        <v>1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>
        <v>1</v>
      </c>
      <c r="Z66" s="42">
        <v>1</v>
      </c>
      <c r="AA66" s="42">
        <v>1</v>
      </c>
      <c r="AB66" s="42">
        <v>1</v>
      </c>
      <c r="AC66" s="42">
        <v>1</v>
      </c>
      <c r="AD66" s="42">
        <v>1</v>
      </c>
      <c r="AE66" s="41">
        <f t="shared" si="7"/>
        <v>12</v>
      </c>
      <c r="AF66" s="46" t="s">
        <v>221</v>
      </c>
      <c r="AG66" s="44" t="s">
        <v>434</v>
      </c>
    </row>
    <row r="67" spans="1:33" ht="14.25" customHeight="1">
      <c r="A67" s="38" t="s">
        <v>145</v>
      </c>
      <c r="B67" s="38" t="s">
        <v>165</v>
      </c>
      <c r="C67" s="38">
        <v>992994680</v>
      </c>
      <c r="D67" s="62">
        <v>6</v>
      </c>
      <c r="E67" s="40" t="s">
        <v>166</v>
      </c>
      <c r="F67" s="41">
        <f t="shared" si="8"/>
        <v>9</v>
      </c>
      <c r="G67" s="42"/>
      <c r="H67" s="42"/>
      <c r="I67" s="42"/>
      <c r="J67" s="42"/>
      <c r="K67" s="42"/>
      <c r="L67" s="42"/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2"/>
      <c r="W67" s="42"/>
      <c r="X67" s="42"/>
      <c r="Y67" s="42"/>
      <c r="Z67" s="42"/>
      <c r="AA67" s="42"/>
      <c r="AB67" s="42"/>
      <c r="AC67" s="42"/>
      <c r="AD67" s="42"/>
      <c r="AE67" s="41">
        <f t="shared" si="7"/>
        <v>9</v>
      </c>
      <c r="AF67" s="46" t="s">
        <v>244</v>
      </c>
      <c r="AG67" s="44" t="s">
        <v>434</v>
      </c>
    </row>
    <row r="68" spans="1:33" ht="14.25" customHeight="1">
      <c r="A68" s="38" t="s">
        <v>145</v>
      </c>
      <c r="B68" s="38" t="s">
        <v>168</v>
      </c>
      <c r="C68" s="38"/>
      <c r="D68" s="62">
        <v>7</v>
      </c>
      <c r="E68" s="40" t="s">
        <v>169</v>
      </c>
      <c r="F68" s="41">
        <f t="shared" si="8"/>
        <v>12</v>
      </c>
      <c r="G68" s="42">
        <v>1</v>
      </c>
      <c r="H68" s="42">
        <v>1</v>
      </c>
      <c r="I68" s="42">
        <v>1</v>
      </c>
      <c r="J68" s="42">
        <v>1</v>
      </c>
      <c r="K68" s="42">
        <v>1</v>
      </c>
      <c r="L68" s="42">
        <v>1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>
        <v>1</v>
      </c>
      <c r="AE68" s="41">
        <f t="shared" si="7"/>
        <v>12</v>
      </c>
      <c r="AF68" s="46" t="s">
        <v>221</v>
      </c>
      <c r="AG68" s="44" t="s">
        <v>434</v>
      </c>
    </row>
    <row r="69" spans="1:33" ht="14.25" customHeight="1">
      <c r="A69" s="38" t="s">
        <v>145</v>
      </c>
      <c r="B69" s="38" t="s">
        <v>176</v>
      </c>
      <c r="C69" s="38"/>
      <c r="D69" s="62">
        <v>8</v>
      </c>
      <c r="E69" s="40" t="s">
        <v>177</v>
      </c>
      <c r="F69" s="41">
        <f t="shared" si="8"/>
        <v>10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>
        <v>1</v>
      </c>
      <c r="R69" s="42">
        <v>1</v>
      </c>
      <c r="S69" s="42">
        <v>1</v>
      </c>
      <c r="T69" s="42">
        <v>1</v>
      </c>
      <c r="U69" s="42">
        <v>1</v>
      </c>
      <c r="V69" s="45" t="s">
        <v>47</v>
      </c>
      <c r="W69" s="42"/>
      <c r="X69" s="42">
        <v>1</v>
      </c>
      <c r="Y69" s="42">
        <v>1</v>
      </c>
      <c r="Z69" s="42">
        <v>1</v>
      </c>
      <c r="AA69" s="42">
        <v>1</v>
      </c>
      <c r="AB69" s="42">
        <v>1</v>
      </c>
      <c r="AC69" s="42"/>
      <c r="AD69" s="42"/>
      <c r="AE69" s="41">
        <f t="shared" si="7"/>
        <v>10</v>
      </c>
      <c r="AF69" s="43" t="s">
        <v>287</v>
      </c>
      <c r="AG69" s="44" t="s">
        <v>434</v>
      </c>
    </row>
    <row r="70" spans="1:33" ht="14.25" customHeight="1">
      <c r="A70" s="38" t="s">
        <v>145</v>
      </c>
      <c r="B70" s="38" t="s">
        <v>178</v>
      </c>
      <c r="C70" s="38"/>
      <c r="D70" s="62">
        <v>10</v>
      </c>
      <c r="E70" s="40" t="s">
        <v>179</v>
      </c>
      <c r="F70" s="41">
        <f t="shared" si="8"/>
        <v>10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>
        <v>1</v>
      </c>
      <c r="T70" s="42">
        <v>1</v>
      </c>
      <c r="U70" s="42"/>
      <c r="V70" s="42">
        <v>1</v>
      </c>
      <c r="W70" s="42">
        <v>1</v>
      </c>
      <c r="X70" s="42">
        <v>1</v>
      </c>
      <c r="Y70" s="42">
        <v>1</v>
      </c>
      <c r="Z70" s="42">
        <v>1</v>
      </c>
      <c r="AA70" s="42">
        <v>1</v>
      </c>
      <c r="AB70" s="42">
        <v>1</v>
      </c>
      <c r="AC70" s="42">
        <v>1</v>
      </c>
      <c r="AD70" s="42"/>
      <c r="AE70" s="41">
        <f t="shared" si="7"/>
        <v>10</v>
      </c>
      <c r="AF70" s="43" t="s">
        <v>335</v>
      </c>
      <c r="AG70" s="44" t="s">
        <v>434</v>
      </c>
    </row>
    <row r="71" spans="1:33" ht="14.25" customHeight="1">
      <c r="A71" s="38" t="s">
        <v>145</v>
      </c>
      <c r="B71" s="38" t="s">
        <v>181</v>
      </c>
      <c r="C71" s="38"/>
      <c r="D71" s="62">
        <v>11</v>
      </c>
      <c r="E71" s="40" t="s">
        <v>182</v>
      </c>
      <c r="F71" s="41">
        <f t="shared" si="8"/>
        <v>11</v>
      </c>
      <c r="G71" s="42"/>
      <c r="H71" s="42"/>
      <c r="I71" s="42"/>
      <c r="J71" s="42"/>
      <c r="K71" s="42"/>
      <c r="L71" s="42"/>
      <c r="M71" s="42"/>
      <c r="N71" s="42"/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/>
      <c r="U71" s="42">
        <v>1</v>
      </c>
      <c r="V71" s="42">
        <v>1</v>
      </c>
      <c r="W71" s="42">
        <v>1</v>
      </c>
      <c r="X71" s="42">
        <v>1</v>
      </c>
      <c r="Y71" s="42">
        <v>1</v>
      </c>
      <c r="Z71" s="42">
        <v>1</v>
      </c>
      <c r="AA71" s="42"/>
      <c r="AB71" s="42"/>
      <c r="AC71" s="42"/>
      <c r="AD71" s="42"/>
      <c r="AE71" s="41">
        <f t="shared" si="7"/>
        <v>11</v>
      </c>
      <c r="AF71" s="43" t="s">
        <v>210</v>
      </c>
      <c r="AG71" s="44" t="s">
        <v>434</v>
      </c>
    </row>
    <row r="72" spans="1:33" ht="14.25" customHeight="1">
      <c r="A72" s="38" t="s">
        <v>145</v>
      </c>
      <c r="B72" s="38" t="s">
        <v>183</v>
      </c>
      <c r="C72" s="38"/>
      <c r="D72" s="62">
        <v>12</v>
      </c>
      <c r="E72" s="40" t="s">
        <v>184</v>
      </c>
      <c r="F72" s="41">
        <f t="shared" si="8"/>
        <v>7</v>
      </c>
      <c r="G72" s="42"/>
      <c r="H72" s="42"/>
      <c r="I72" s="42"/>
      <c r="J72" s="42"/>
      <c r="K72" s="42"/>
      <c r="L72" s="42"/>
      <c r="M72" s="42"/>
      <c r="N72" s="42">
        <v>1</v>
      </c>
      <c r="O72" s="42">
        <v>1</v>
      </c>
      <c r="P72" s="42">
        <v>1</v>
      </c>
      <c r="Q72" s="42">
        <v>1</v>
      </c>
      <c r="R72" s="42">
        <v>1</v>
      </c>
      <c r="S72" s="42">
        <v>1</v>
      </c>
      <c r="T72" s="42">
        <v>1</v>
      </c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1">
        <f t="shared" si="7"/>
        <v>7</v>
      </c>
      <c r="AF72" s="43" t="s">
        <v>438</v>
      </c>
      <c r="AG72" s="44" t="s">
        <v>434</v>
      </c>
    </row>
    <row r="73" spans="1:33" ht="14.25" customHeight="1">
      <c r="A73" s="3"/>
      <c r="B73" s="3"/>
      <c r="C73" s="3"/>
      <c r="D73" s="3"/>
      <c r="E73" s="3"/>
      <c r="F73" s="3"/>
      <c r="G73" s="65" t="s">
        <v>9</v>
      </c>
      <c r="H73" s="65" t="s">
        <v>10</v>
      </c>
      <c r="I73" s="65" t="s">
        <v>11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65" t="s">
        <v>17</v>
      </c>
      <c r="P73" s="65" t="s">
        <v>18</v>
      </c>
      <c r="Q73" s="66" t="s">
        <v>19</v>
      </c>
      <c r="R73" s="66" t="s">
        <v>20</v>
      </c>
      <c r="S73" s="66" t="s">
        <v>21</v>
      </c>
      <c r="T73" s="66" t="s">
        <v>22</v>
      </c>
      <c r="U73" s="66" t="s">
        <v>23</v>
      </c>
      <c r="V73" s="66" t="s">
        <v>24</v>
      </c>
      <c r="W73" s="66" t="s">
        <v>25</v>
      </c>
      <c r="X73" s="66" t="s">
        <v>26</v>
      </c>
      <c r="Y73" s="66" t="s">
        <v>27</v>
      </c>
      <c r="Z73" s="66" t="s">
        <v>28</v>
      </c>
      <c r="AA73" s="66" t="s">
        <v>29</v>
      </c>
      <c r="AB73" s="66" t="s">
        <v>30</v>
      </c>
      <c r="AC73" s="66" t="s">
        <v>31</v>
      </c>
      <c r="AD73" s="65" t="s">
        <v>32</v>
      </c>
      <c r="AE73" s="53"/>
      <c r="AF73" s="3"/>
      <c r="AG73" s="3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</sheetData>
  <customSheetViews>
    <customSheetView guid="{D6F95600-F5D2-44BC-80B6-0F2773D5BD92}" filter="1" showAutoFilter="1">
      <pageMargins left="0.7" right="0.7" top="0.75" bottom="0.75" header="0.3" footer="0.3"/>
      <autoFilter ref="A3:AG74" xr:uid="{120EC585-B9DE-4E93-A1FC-629ABEDFF672}"/>
    </customSheetView>
    <customSheetView guid="{833D6734-F5E1-4449-B5A1-8C3A51A61651}" filter="1" showAutoFilter="1">
      <pageMargins left="0.7" right="0.7" top="0.75" bottom="0.75" header="0.3" footer="0.3"/>
      <autoFilter ref="A7:AG74" xr:uid="{2FB47DF3-EE05-44A9-9656-30FF3E63D9F3}">
        <filterColumn colId="26">
          <filters>
            <filter val="(1)"/>
            <filter val="1"/>
            <filter val="4"/>
            <filter val="5"/>
            <filter val="CLIENTES VIP"/>
            <filter val="MONITOREOS BRM"/>
            <filter val="V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74" xr:uid="{D49A0D96-4469-4EF4-8372-CA05F07977F3}">
        <filterColumn colId="15">
          <filters>
            <filter val="(2)"/>
            <filter val="1"/>
            <filter val="2"/>
            <filter val="30"/>
            <filter val="5"/>
            <filter val="7"/>
            <filter val="C"/>
            <filter val="CLIENTES VIP"/>
            <filter val="FI"/>
            <filter val="MONITOREOS BRM"/>
            <filter val="SEGUIMIENTO TRANSFERENCIAS"/>
            <filter val="SOPORTE DTH"/>
            <filter val="V"/>
          </filters>
        </filterColumn>
      </autoFilter>
    </customSheetView>
  </customSheetViews>
  <mergeCells count="15">
    <mergeCell ref="P54:Z54"/>
    <mergeCell ref="O55:Y55"/>
    <mergeCell ref="E58:F58"/>
    <mergeCell ref="A1:B1"/>
    <mergeCell ref="D3:AE3"/>
    <mergeCell ref="E4:F4"/>
    <mergeCell ref="E5:F5"/>
    <mergeCell ref="V46:AC46"/>
    <mergeCell ref="V47:AC47"/>
    <mergeCell ref="V48:AC48"/>
    <mergeCell ref="V49:AC49"/>
    <mergeCell ref="V50:AC50"/>
    <mergeCell ref="V51:AC51"/>
    <mergeCell ref="N52:U52"/>
    <mergeCell ref="V53:AC53"/>
  </mergeCells>
  <conditionalFormatting sqref="E4:F4 E58:F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0:AB60 N73:AB7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"/>
  <sheetViews>
    <sheetView workbookViewId="0"/>
  </sheetViews>
  <sheetFormatPr baseColWidth="10" defaultColWidth="14.42578125" defaultRowHeight="1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96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39.85546875" customWidth="1"/>
    <col min="33" max="33" width="14.5703125" customWidth="1"/>
    <col min="34" max="34" width="16.7109375" customWidth="1"/>
    <col min="35" max="35" width="27.7109375" customWidth="1"/>
  </cols>
  <sheetData>
    <row r="1" spans="1:35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7.25">
      <c r="A3" s="6" t="s">
        <v>3</v>
      </c>
      <c r="B3" s="7" t="s">
        <v>4</v>
      </c>
      <c r="C3" s="2"/>
      <c r="D3" s="565" t="s">
        <v>487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31</v>
      </c>
      <c r="AG3" s="3"/>
      <c r="AH3" s="3"/>
      <c r="AI3" s="3">
        <f>AE4/10</f>
        <v>20.8</v>
      </c>
    </row>
    <row r="4" spans="1:35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4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10</v>
      </c>
      <c r="N4" s="204">
        <v>10</v>
      </c>
      <c r="O4" s="204">
        <v>16</v>
      </c>
      <c r="P4" s="204">
        <v>9</v>
      </c>
      <c r="Q4" s="204">
        <v>14</v>
      </c>
      <c r="R4" s="204">
        <v>13</v>
      </c>
      <c r="S4" s="204">
        <v>14</v>
      </c>
      <c r="T4" s="204">
        <v>12</v>
      </c>
      <c r="U4" s="204">
        <v>10</v>
      </c>
      <c r="V4" s="204">
        <v>9</v>
      </c>
      <c r="W4" s="204">
        <v>8</v>
      </c>
      <c r="X4" s="204">
        <v>7</v>
      </c>
      <c r="Y4" s="204">
        <v>7</v>
      </c>
      <c r="Z4" s="204">
        <v>15</v>
      </c>
      <c r="AA4" s="204">
        <v>14</v>
      </c>
      <c r="AB4" s="204">
        <v>11</v>
      </c>
      <c r="AC4" s="204">
        <v>6</v>
      </c>
      <c r="AD4" s="204">
        <v>4</v>
      </c>
      <c r="AE4" s="18">
        <f>SUM(G4:AD4)</f>
        <v>208</v>
      </c>
      <c r="AF4" s="3"/>
      <c r="AG4" s="3"/>
      <c r="AH4" s="3"/>
      <c r="AI4" s="3"/>
    </row>
    <row r="5" spans="1:35" ht="62.25">
      <c r="A5" s="3"/>
      <c r="B5" s="2"/>
      <c r="C5" s="2"/>
      <c r="D5" s="19"/>
      <c r="E5" s="569">
        <v>31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</row>
    <row r="6" spans="1:35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05">
        <f t="shared" si="0"/>
        <v>-4</v>
      </c>
      <c r="N6" s="205">
        <f t="shared" si="0"/>
        <v>-5</v>
      </c>
      <c r="O6" s="205">
        <f t="shared" si="0"/>
        <v>-8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05">
        <f t="shared" si="0"/>
        <v>-4</v>
      </c>
      <c r="AA6" s="205">
        <f t="shared" si="0"/>
        <v>-3</v>
      </c>
      <c r="AB6" s="28">
        <f t="shared" si="0"/>
        <v>-1</v>
      </c>
      <c r="AC6" s="28">
        <f t="shared" si="0"/>
        <v>0</v>
      </c>
      <c r="AD6" s="28">
        <f t="shared" si="0"/>
        <v>0</v>
      </c>
      <c r="AE6" s="29">
        <f t="shared" ref="AE6:AE16" si="1">SUM(G6:AD6)</f>
        <v>-25</v>
      </c>
      <c r="AG6" s="24"/>
      <c r="AH6" s="24"/>
      <c r="AI6" s="24"/>
    </row>
    <row r="7" spans="1:35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6</v>
      </c>
      <c r="N7" s="172">
        <f t="shared" si="2"/>
        <v>5</v>
      </c>
      <c r="O7" s="172">
        <f t="shared" si="2"/>
        <v>8</v>
      </c>
      <c r="P7" s="172">
        <f t="shared" si="2"/>
        <v>9</v>
      </c>
      <c r="Q7" s="172">
        <f t="shared" si="2"/>
        <v>14</v>
      </c>
      <c r="R7" s="172">
        <f t="shared" si="2"/>
        <v>13</v>
      </c>
      <c r="S7" s="172">
        <f t="shared" si="2"/>
        <v>14</v>
      </c>
      <c r="T7" s="172">
        <f t="shared" si="2"/>
        <v>12</v>
      </c>
      <c r="U7" s="172">
        <f t="shared" si="2"/>
        <v>10</v>
      </c>
      <c r="V7" s="172">
        <f t="shared" si="2"/>
        <v>9</v>
      </c>
      <c r="W7" s="172">
        <f t="shared" si="2"/>
        <v>8</v>
      </c>
      <c r="X7" s="172">
        <f t="shared" si="2"/>
        <v>7</v>
      </c>
      <c r="Y7" s="172">
        <f t="shared" si="2"/>
        <v>7</v>
      </c>
      <c r="Z7" s="172">
        <f t="shared" si="2"/>
        <v>11</v>
      </c>
      <c r="AA7" s="172">
        <f t="shared" si="2"/>
        <v>11</v>
      </c>
      <c r="AB7" s="172">
        <f t="shared" si="2"/>
        <v>10</v>
      </c>
      <c r="AC7" s="172">
        <f t="shared" si="2"/>
        <v>6</v>
      </c>
      <c r="AD7" s="172">
        <f t="shared" si="2"/>
        <v>4</v>
      </c>
      <c r="AE7" s="168">
        <f t="shared" si="1"/>
        <v>183</v>
      </c>
      <c r="AF7" s="36" t="s">
        <v>39</v>
      </c>
      <c r="AG7" s="571" t="s">
        <v>440</v>
      </c>
      <c r="AH7" s="572"/>
      <c r="AI7" s="37" t="s">
        <v>40</v>
      </c>
    </row>
    <row r="8" spans="1:35" ht="14.25" customHeight="1">
      <c r="A8" s="38" t="s">
        <v>41</v>
      </c>
      <c r="B8" s="38" t="s">
        <v>52</v>
      </c>
      <c r="C8" s="38">
        <v>984098910</v>
      </c>
      <c r="D8" s="39">
        <v>1</v>
      </c>
      <c r="E8" s="175" t="s">
        <v>53</v>
      </c>
      <c r="F8" s="41">
        <f t="shared" ref="F8:F16" si="3">SUM(G8:AD8)</f>
        <v>7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41">
        <f t="shared" si="1"/>
        <v>7</v>
      </c>
      <c r="AF8" s="116" t="s">
        <v>284</v>
      </c>
      <c r="AG8" s="550" t="s">
        <v>41</v>
      </c>
      <c r="AH8" s="542"/>
      <c r="AI8" s="189" t="s">
        <v>444</v>
      </c>
    </row>
    <row r="9" spans="1:35" ht="14.25" customHeight="1">
      <c r="A9" s="76" t="s">
        <v>41</v>
      </c>
      <c r="B9" s="76" t="s">
        <v>55</v>
      </c>
      <c r="C9" s="76">
        <v>987983128</v>
      </c>
      <c r="D9" s="86">
        <v>2</v>
      </c>
      <c r="E9" s="206" t="s">
        <v>56</v>
      </c>
      <c r="F9" s="41">
        <f t="shared" si="3"/>
        <v>0</v>
      </c>
      <c r="G9" s="176">
        <v>0</v>
      </c>
      <c r="H9" s="176">
        <v>0</v>
      </c>
      <c r="I9" s="176">
        <v>0</v>
      </c>
      <c r="J9" s="176">
        <v>0</v>
      </c>
      <c r="K9" s="176">
        <v>0</v>
      </c>
      <c r="L9" s="176">
        <v>0</v>
      </c>
      <c r="M9" s="176">
        <v>0</v>
      </c>
      <c r="N9" s="176">
        <v>0</v>
      </c>
      <c r="O9" s="176">
        <v>0</v>
      </c>
      <c r="P9" s="176">
        <v>0</v>
      </c>
      <c r="Q9" s="176">
        <v>0</v>
      </c>
      <c r="R9" s="176">
        <v>0</v>
      </c>
      <c r="S9" s="176">
        <v>0</v>
      </c>
      <c r="T9" s="176">
        <v>0</v>
      </c>
      <c r="U9" s="176">
        <v>0</v>
      </c>
      <c r="V9" s="176">
        <v>0</v>
      </c>
      <c r="W9" s="176">
        <v>0</v>
      </c>
      <c r="X9" s="176">
        <v>0</v>
      </c>
      <c r="Y9" s="176">
        <v>0</v>
      </c>
      <c r="Z9" s="176">
        <v>0</v>
      </c>
      <c r="AA9" s="176">
        <v>0</v>
      </c>
      <c r="AB9" s="176">
        <v>0</v>
      </c>
      <c r="AC9" s="176">
        <v>0</v>
      </c>
      <c r="AD9" s="176">
        <v>0</v>
      </c>
      <c r="AE9" s="41">
        <f t="shared" si="1"/>
        <v>0</v>
      </c>
      <c r="AF9" s="116" t="s">
        <v>225</v>
      </c>
      <c r="AG9" s="550" t="s">
        <v>41</v>
      </c>
      <c r="AH9" s="542"/>
      <c r="AI9" s="189" t="s">
        <v>444</v>
      </c>
    </row>
    <row r="10" spans="1:35" ht="14.25" customHeight="1">
      <c r="A10" s="38" t="s">
        <v>41</v>
      </c>
      <c r="B10" s="2" t="s">
        <v>57</v>
      </c>
      <c r="C10" s="2"/>
      <c r="D10" s="86">
        <v>3</v>
      </c>
      <c r="E10" s="175" t="s">
        <v>58</v>
      </c>
      <c r="F10" s="41">
        <f t="shared" si="3"/>
        <v>0</v>
      </c>
      <c r="G10" s="176">
        <v>0</v>
      </c>
      <c r="H10" s="176">
        <v>0</v>
      </c>
      <c r="I10" s="176">
        <v>0</v>
      </c>
      <c r="J10" s="176">
        <v>0</v>
      </c>
      <c r="K10" s="176">
        <v>0</v>
      </c>
      <c r="L10" s="176">
        <v>0</v>
      </c>
      <c r="M10" s="176">
        <v>0</v>
      </c>
      <c r="N10" s="176">
        <v>0</v>
      </c>
      <c r="O10" s="176">
        <v>0</v>
      </c>
      <c r="P10" s="176">
        <v>0</v>
      </c>
      <c r="Q10" s="176">
        <v>0</v>
      </c>
      <c r="R10" s="176">
        <v>0</v>
      </c>
      <c r="S10" s="176">
        <v>0</v>
      </c>
      <c r="T10" s="176">
        <v>0</v>
      </c>
      <c r="U10" s="176">
        <v>0</v>
      </c>
      <c r="V10" s="176">
        <v>0</v>
      </c>
      <c r="W10" s="176">
        <v>0</v>
      </c>
      <c r="X10" s="176">
        <v>0</v>
      </c>
      <c r="Y10" s="176">
        <v>0</v>
      </c>
      <c r="Z10" s="176">
        <v>0</v>
      </c>
      <c r="AA10" s="176">
        <v>0</v>
      </c>
      <c r="AB10" s="176">
        <v>0</v>
      </c>
      <c r="AC10" s="176">
        <v>0</v>
      </c>
      <c r="AD10" s="176">
        <v>0</v>
      </c>
      <c r="AE10" s="41">
        <f t="shared" si="1"/>
        <v>0</v>
      </c>
      <c r="AF10" s="116" t="s">
        <v>225</v>
      </c>
      <c r="AG10" s="550" t="s">
        <v>41</v>
      </c>
      <c r="AH10" s="542"/>
      <c r="AI10" s="189" t="s">
        <v>444</v>
      </c>
    </row>
    <row r="11" spans="1:35" ht="14.25" customHeight="1">
      <c r="A11" s="98" t="s">
        <v>41</v>
      </c>
      <c r="B11" s="98" t="s">
        <v>146</v>
      </c>
      <c r="C11" s="98">
        <v>998223732</v>
      </c>
      <c r="D11" s="39">
        <v>4</v>
      </c>
      <c r="E11" s="206" t="s">
        <v>147</v>
      </c>
      <c r="F11" s="41">
        <f t="shared" si="3"/>
        <v>8</v>
      </c>
      <c r="G11" s="176"/>
      <c r="H11" s="176"/>
      <c r="I11" s="176"/>
      <c r="J11" s="176"/>
      <c r="K11" s="176"/>
      <c r="L11" s="176"/>
      <c r="M11" s="176"/>
      <c r="N11" s="176"/>
      <c r="O11" s="176">
        <v>1</v>
      </c>
      <c r="P11" s="176">
        <v>1</v>
      </c>
      <c r="Q11" s="176">
        <v>1</v>
      </c>
      <c r="R11" s="176">
        <v>1</v>
      </c>
      <c r="S11" s="176">
        <v>1</v>
      </c>
      <c r="T11" s="176">
        <v>1</v>
      </c>
      <c r="U11" s="176"/>
      <c r="V11" s="176">
        <v>1</v>
      </c>
      <c r="W11" s="176">
        <v>1</v>
      </c>
      <c r="X11" s="176"/>
      <c r="Y11" s="176"/>
      <c r="Z11" s="176"/>
      <c r="AA11" s="176"/>
      <c r="AB11" s="176"/>
      <c r="AC11" s="176"/>
      <c r="AD11" s="176"/>
      <c r="AE11" s="41">
        <f t="shared" si="1"/>
        <v>8</v>
      </c>
      <c r="AF11" s="116" t="s">
        <v>488</v>
      </c>
      <c r="AG11" s="550" t="s">
        <v>41</v>
      </c>
      <c r="AH11" s="542"/>
      <c r="AI11" s="178" t="s">
        <v>444</v>
      </c>
    </row>
    <row r="12" spans="1:35" ht="14.25" customHeight="1">
      <c r="A12" s="38" t="s">
        <v>41</v>
      </c>
      <c r="B12" s="38" t="s">
        <v>59</v>
      </c>
      <c r="C12" s="38"/>
      <c r="D12" s="86">
        <v>5</v>
      </c>
      <c r="E12" s="207" t="s">
        <v>60</v>
      </c>
      <c r="F12" s="41">
        <f t="shared" si="3"/>
        <v>0</v>
      </c>
      <c r="G12" s="176">
        <v>0</v>
      </c>
      <c r="H12" s="176">
        <v>0</v>
      </c>
      <c r="I12" s="176">
        <v>0</v>
      </c>
      <c r="J12" s="176">
        <v>0</v>
      </c>
      <c r="K12" s="176">
        <v>0</v>
      </c>
      <c r="L12" s="176">
        <v>0</v>
      </c>
      <c r="M12" s="176">
        <v>0</v>
      </c>
      <c r="N12" s="176">
        <v>0</v>
      </c>
      <c r="O12" s="176">
        <v>0</v>
      </c>
      <c r="P12" s="176">
        <v>0</v>
      </c>
      <c r="Q12" s="176">
        <v>0</v>
      </c>
      <c r="R12" s="176">
        <v>0</v>
      </c>
      <c r="S12" s="176">
        <v>0</v>
      </c>
      <c r="T12" s="176">
        <v>0</v>
      </c>
      <c r="U12" s="176">
        <v>0</v>
      </c>
      <c r="V12" s="176">
        <v>0</v>
      </c>
      <c r="W12" s="176">
        <v>0</v>
      </c>
      <c r="X12" s="176">
        <v>0</v>
      </c>
      <c r="Y12" s="176">
        <v>0</v>
      </c>
      <c r="Z12" s="176">
        <v>0</v>
      </c>
      <c r="AA12" s="176">
        <v>0</v>
      </c>
      <c r="AB12" s="176">
        <v>0</v>
      </c>
      <c r="AC12" s="176">
        <v>0</v>
      </c>
      <c r="AD12" s="176">
        <v>0</v>
      </c>
      <c r="AE12" s="41">
        <f t="shared" si="1"/>
        <v>0</v>
      </c>
      <c r="AF12" s="116" t="s">
        <v>225</v>
      </c>
      <c r="AG12" s="550" t="s">
        <v>41</v>
      </c>
      <c r="AH12" s="542"/>
      <c r="AI12" s="189" t="s">
        <v>444</v>
      </c>
    </row>
    <row r="13" spans="1:35" ht="14.25" customHeight="1">
      <c r="A13" s="38" t="s">
        <v>41</v>
      </c>
      <c r="B13" s="38" t="s">
        <v>62</v>
      </c>
      <c r="C13" s="38">
        <v>979044107</v>
      </c>
      <c r="D13" s="86">
        <v>6</v>
      </c>
      <c r="E13" s="175" t="s">
        <v>63</v>
      </c>
      <c r="F13" s="41">
        <f t="shared" si="3"/>
        <v>0</v>
      </c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41">
        <f t="shared" si="1"/>
        <v>0</v>
      </c>
      <c r="AF13" s="116" t="s">
        <v>382</v>
      </c>
      <c r="AG13" s="550" t="s">
        <v>41</v>
      </c>
      <c r="AH13" s="542"/>
      <c r="AI13" s="189" t="s">
        <v>444</v>
      </c>
    </row>
    <row r="14" spans="1:35" ht="14.25" customHeight="1">
      <c r="A14" s="38" t="s">
        <v>41</v>
      </c>
      <c r="B14" s="38" t="s">
        <v>70</v>
      </c>
      <c r="C14" s="38"/>
      <c r="D14" s="39">
        <v>7</v>
      </c>
      <c r="E14" s="175" t="s">
        <v>71</v>
      </c>
      <c r="F14" s="41">
        <f t="shared" si="3"/>
        <v>0</v>
      </c>
      <c r="G14" s="176">
        <v>0</v>
      </c>
      <c r="H14" s="176">
        <v>0</v>
      </c>
      <c r="I14" s="176">
        <v>0</v>
      </c>
      <c r="J14" s="176">
        <v>0</v>
      </c>
      <c r="K14" s="176">
        <v>0</v>
      </c>
      <c r="L14" s="176">
        <v>0</v>
      </c>
      <c r="M14" s="176">
        <v>0</v>
      </c>
      <c r="N14" s="176">
        <v>0</v>
      </c>
      <c r="O14" s="176">
        <v>0</v>
      </c>
      <c r="P14" s="176">
        <v>0</v>
      </c>
      <c r="Q14" s="176">
        <v>0</v>
      </c>
      <c r="R14" s="176">
        <v>0</v>
      </c>
      <c r="S14" s="176">
        <v>0</v>
      </c>
      <c r="T14" s="176">
        <v>0</v>
      </c>
      <c r="U14" s="176">
        <v>0</v>
      </c>
      <c r="V14" s="176">
        <v>0</v>
      </c>
      <c r="W14" s="176">
        <v>0</v>
      </c>
      <c r="X14" s="176">
        <v>0</v>
      </c>
      <c r="Y14" s="176">
        <v>0</v>
      </c>
      <c r="Z14" s="176">
        <v>0</v>
      </c>
      <c r="AA14" s="176">
        <v>0</v>
      </c>
      <c r="AB14" s="176">
        <v>0</v>
      </c>
      <c r="AC14" s="176">
        <v>0</v>
      </c>
      <c r="AD14" s="176">
        <v>0</v>
      </c>
      <c r="AE14" s="41">
        <f t="shared" si="1"/>
        <v>0</v>
      </c>
      <c r="AF14" s="116" t="s">
        <v>225</v>
      </c>
      <c r="AG14" s="550" t="s">
        <v>41</v>
      </c>
      <c r="AH14" s="542"/>
      <c r="AI14" s="189" t="s">
        <v>444</v>
      </c>
    </row>
    <row r="15" spans="1:35" ht="14.25" customHeight="1">
      <c r="A15" s="38" t="s">
        <v>41</v>
      </c>
      <c r="B15" s="38" t="s">
        <v>79</v>
      </c>
      <c r="C15" s="38"/>
      <c r="D15" s="86">
        <v>8</v>
      </c>
      <c r="E15" s="208" t="s">
        <v>80</v>
      </c>
      <c r="F15" s="41">
        <f t="shared" si="3"/>
        <v>5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>
        <v>1</v>
      </c>
      <c r="AA15" s="176">
        <v>1</v>
      </c>
      <c r="AB15" s="176">
        <v>1</v>
      </c>
      <c r="AC15" s="176">
        <v>1</v>
      </c>
      <c r="AD15" s="176">
        <v>1</v>
      </c>
      <c r="AE15" s="41">
        <f t="shared" si="1"/>
        <v>5</v>
      </c>
      <c r="AF15" s="116" t="s">
        <v>270</v>
      </c>
      <c r="AG15" s="550" t="s">
        <v>41</v>
      </c>
      <c r="AH15" s="542"/>
      <c r="AI15" s="189" t="s">
        <v>444</v>
      </c>
    </row>
    <row r="16" spans="1:35" ht="14.25" customHeight="1">
      <c r="A16" s="38" t="s">
        <v>41</v>
      </c>
      <c r="B16" s="38" t="s">
        <v>82</v>
      </c>
      <c r="C16" s="38">
        <v>996303208</v>
      </c>
      <c r="D16" s="86">
        <v>9</v>
      </c>
      <c r="E16" s="206" t="s">
        <v>83</v>
      </c>
      <c r="F16" s="41">
        <f t="shared" si="3"/>
        <v>13</v>
      </c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/>
      <c r="X16" s="176">
        <v>1</v>
      </c>
      <c r="Y16" s="176">
        <v>1</v>
      </c>
      <c r="Z16" s="176">
        <v>1</v>
      </c>
      <c r="AA16" s="176">
        <v>1</v>
      </c>
      <c r="AB16" s="176">
        <v>1</v>
      </c>
      <c r="AC16" s="176">
        <v>1</v>
      </c>
      <c r="AD16" s="176">
        <v>1</v>
      </c>
      <c r="AE16" s="41">
        <f t="shared" si="1"/>
        <v>13</v>
      </c>
      <c r="AF16" s="116" t="s">
        <v>353</v>
      </c>
      <c r="AG16" s="550" t="s">
        <v>41</v>
      </c>
      <c r="AH16" s="542"/>
      <c r="AI16" s="189" t="s">
        <v>444</v>
      </c>
    </row>
    <row r="17" spans="1:35" ht="14.25" customHeight="1">
      <c r="A17" s="38" t="s">
        <v>41</v>
      </c>
      <c r="B17" s="38" t="s">
        <v>88</v>
      </c>
      <c r="C17" s="38">
        <v>985570860</v>
      </c>
      <c r="D17" s="39">
        <v>10</v>
      </c>
      <c r="E17" s="209" t="s">
        <v>89</v>
      </c>
      <c r="F17" s="41">
        <v>14</v>
      </c>
      <c r="G17" s="42"/>
      <c r="H17" s="77"/>
      <c r="I17" s="77"/>
      <c r="J17" s="77"/>
      <c r="K17" s="77"/>
      <c r="L17" s="176"/>
      <c r="M17" s="176"/>
      <c r="N17" s="176"/>
      <c r="O17" s="176">
        <v>1</v>
      </c>
      <c r="P17" s="579" t="s">
        <v>471</v>
      </c>
      <c r="Q17" s="555"/>
      <c r="R17" s="555"/>
      <c r="S17" s="555"/>
      <c r="T17" s="555"/>
      <c r="U17" s="555"/>
      <c r="V17" s="555"/>
      <c r="W17" s="555"/>
      <c r="X17" s="555"/>
      <c r="Y17" s="555"/>
      <c r="Z17" s="542"/>
      <c r="AA17" s="176">
        <v>1</v>
      </c>
      <c r="AB17" s="176">
        <v>1</v>
      </c>
      <c r="AC17" s="176"/>
      <c r="AD17" s="176"/>
      <c r="AE17" s="41">
        <v>14</v>
      </c>
      <c r="AF17" s="116" t="s">
        <v>385</v>
      </c>
      <c r="AG17" s="186" t="s">
        <v>471</v>
      </c>
      <c r="AH17" s="177" t="s">
        <v>41</v>
      </c>
      <c r="AI17" s="189" t="s">
        <v>444</v>
      </c>
    </row>
    <row r="18" spans="1:35" ht="14.25" customHeight="1">
      <c r="A18" s="76" t="s">
        <v>41</v>
      </c>
      <c r="B18" s="76" t="s">
        <v>198</v>
      </c>
      <c r="C18" s="76"/>
      <c r="D18" s="86">
        <v>11</v>
      </c>
      <c r="E18" s="175" t="s">
        <v>99</v>
      </c>
      <c r="F18" s="41">
        <f t="shared" ref="F18:F49" si="4">SUM(G18:AD18)</f>
        <v>10</v>
      </c>
      <c r="G18" s="176"/>
      <c r="H18" s="176"/>
      <c r="I18" s="176"/>
      <c r="J18" s="176"/>
      <c r="K18" s="176"/>
      <c r="L18" s="176"/>
      <c r="M18" s="176">
        <v>1</v>
      </c>
      <c r="N18" s="176">
        <v>1</v>
      </c>
      <c r="O18" s="176">
        <v>1</v>
      </c>
      <c r="P18" s="176">
        <v>1</v>
      </c>
      <c r="Q18" s="176">
        <v>1</v>
      </c>
      <c r="R18" s="176">
        <v>1</v>
      </c>
      <c r="S18" s="176">
        <v>1</v>
      </c>
      <c r="T18" s="176"/>
      <c r="U18" s="176">
        <v>1</v>
      </c>
      <c r="V18" s="176">
        <v>1</v>
      </c>
      <c r="W18" s="176">
        <v>1</v>
      </c>
      <c r="X18" s="176"/>
      <c r="Y18" s="176"/>
      <c r="Z18" s="176"/>
      <c r="AA18" s="176"/>
      <c r="AB18" s="176"/>
      <c r="AC18" s="176"/>
      <c r="AD18" s="176"/>
      <c r="AE18" s="41">
        <f t="shared" ref="AE18:AE30" si="5">SUM(G18:AD18)</f>
        <v>10</v>
      </c>
      <c r="AF18" s="116" t="s">
        <v>303</v>
      </c>
      <c r="AG18" s="550" t="s">
        <v>41</v>
      </c>
      <c r="AH18" s="542"/>
      <c r="AI18" s="189" t="s">
        <v>444</v>
      </c>
    </row>
    <row r="19" spans="1:35" ht="14.25" customHeight="1">
      <c r="A19" s="38" t="s">
        <v>41</v>
      </c>
      <c r="B19" s="38" t="s">
        <v>101</v>
      </c>
      <c r="C19" s="38">
        <v>962757006</v>
      </c>
      <c r="D19" s="86">
        <v>12</v>
      </c>
      <c r="E19" s="211" t="s">
        <v>102</v>
      </c>
      <c r="F19" s="41">
        <f t="shared" si="4"/>
        <v>0</v>
      </c>
      <c r="G19" s="176">
        <v>0</v>
      </c>
      <c r="H19" s="176">
        <v>0</v>
      </c>
      <c r="I19" s="176">
        <v>0</v>
      </c>
      <c r="J19" s="176">
        <v>0</v>
      </c>
      <c r="K19" s="176">
        <v>0</v>
      </c>
      <c r="L19" s="176">
        <v>0</v>
      </c>
      <c r="M19" s="176">
        <v>0</v>
      </c>
      <c r="N19" s="176">
        <v>0</v>
      </c>
      <c r="O19" s="176">
        <v>0</v>
      </c>
      <c r="P19" s="176">
        <v>0</v>
      </c>
      <c r="Q19" s="176">
        <v>0</v>
      </c>
      <c r="R19" s="176">
        <v>0</v>
      </c>
      <c r="S19" s="176">
        <v>0</v>
      </c>
      <c r="T19" s="176">
        <v>0</v>
      </c>
      <c r="U19" s="176">
        <v>0</v>
      </c>
      <c r="V19" s="176">
        <v>0</v>
      </c>
      <c r="W19" s="176">
        <v>0</v>
      </c>
      <c r="X19" s="176">
        <v>0</v>
      </c>
      <c r="Y19" s="176">
        <v>0</v>
      </c>
      <c r="Z19" s="176">
        <v>0</v>
      </c>
      <c r="AA19" s="176">
        <v>0</v>
      </c>
      <c r="AB19" s="176">
        <v>0</v>
      </c>
      <c r="AC19" s="176">
        <v>0</v>
      </c>
      <c r="AD19" s="176">
        <v>0</v>
      </c>
      <c r="AE19" s="41">
        <f t="shared" si="5"/>
        <v>0</v>
      </c>
      <c r="AF19" s="116" t="s">
        <v>225</v>
      </c>
      <c r="AG19" s="550" t="s">
        <v>41</v>
      </c>
      <c r="AH19" s="542"/>
      <c r="AI19" s="189" t="s">
        <v>444</v>
      </c>
    </row>
    <row r="20" spans="1:35" ht="14.25" customHeight="1">
      <c r="A20" s="38" t="s">
        <v>41</v>
      </c>
      <c r="B20" s="38" t="s">
        <v>103</v>
      </c>
      <c r="C20" s="38"/>
      <c r="D20" s="39">
        <v>13</v>
      </c>
      <c r="E20" s="207" t="s">
        <v>104</v>
      </c>
      <c r="F20" s="41">
        <f t="shared" si="4"/>
        <v>0</v>
      </c>
      <c r="G20" s="176">
        <v>0</v>
      </c>
      <c r="H20" s="176">
        <v>0</v>
      </c>
      <c r="I20" s="176">
        <v>0</v>
      </c>
      <c r="J20" s="176">
        <v>0</v>
      </c>
      <c r="K20" s="176">
        <v>0</v>
      </c>
      <c r="L20" s="176">
        <v>0</v>
      </c>
      <c r="M20" s="176">
        <v>0</v>
      </c>
      <c r="N20" s="176">
        <v>0</v>
      </c>
      <c r="O20" s="176">
        <v>0</v>
      </c>
      <c r="P20" s="176">
        <v>0</v>
      </c>
      <c r="Q20" s="176">
        <v>0</v>
      </c>
      <c r="R20" s="176">
        <v>0</v>
      </c>
      <c r="S20" s="176">
        <v>0</v>
      </c>
      <c r="T20" s="176">
        <v>0</v>
      </c>
      <c r="U20" s="176">
        <v>0</v>
      </c>
      <c r="V20" s="176">
        <v>0</v>
      </c>
      <c r="W20" s="176">
        <v>0</v>
      </c>
      <c r="X20" s="176">
        <v>0</v>
      </c>
      <c r="Y20" s="176">
        <v>0</v>
      </c>
      <c r="Z20" s="176">
        <v>0</v>
      </c>
      <c r="AA20" s="176">
        <v>0</v>
      </c>
      <c r="AB20" s="176">
        <v>0</v>
      </c>
      <c r="AC20" s="176">
        <v>0</v>
      </c>
      <c r="AD20" s="176">
        <v>0</v>
      </c>
      <c r="AE20" s="41">
        <f t="shared" si="5"/>
        <v>0</v>
      </c>
      <c r="AF20" s="116" t="s">
        <v>225</v>
      </c>
      <c r="AG20" s="550" t="s">
        <v>41</v>
      </c>
      <c r="AH20" s="542"/>
      <c r="AI20" s="189" t="s">
        <v>444</v>
      </c>
    </row>
    <row r="21" spans="1:35" ht="14.25" customHeight="1">
      <c r="A21" s="38" t="s">
        <v>41</v>
      </c>
      <c r="B21" s="38" t="s">
        <v>332</v>
      </c>
      <c r="C21" s="38"/>
      <c r="D21" s="86">
        <v>14</v>
      </c>
      <c r="E21" s="208" t="s">
        <v>333</v>
      </c>
      <c r="F21" s="41">
        <f t="shared" si="4"/>
        <v>0</v>
      </c>
      <c r="G21" s="176">
        <v>0</v>
      </c>
      <c r="H21" s="176">
        <v>0</v>
      </c>
      <c r="I21" s="176">
        <v>0</v>
      </c>
      <c r="J21" s="176">
        <v>0</v>
      </c>
      <c r="K21" s="176">
        <v>0</v>
      </c>
      <c r="L21" s="176">
        <v>0</v>
      </c>
      <c r="M21" s="176">
        <v>0</v>
      </c>
      <c r="N21" s="176">
        <v>0</v>
      </c>
      <c r="O21" s="176">
        <v>0</v>
      </c>
      <c r="P21" s="176">
        <v>0</v>
      </c>
      <c r="Q21" s="176">
        <v>0</v>
      </c>
      <c r="R21" s="176">
        <v>0</v>
      </c>
      <c r="S21" s="176">
        <v>0</v>
      </c>
      <c r="T21" s="176">
        <v>0</v>
      </c>
      <c r="U21" s="176">
        <v>0</v>
      </c>
      <c r="V21" s="176">
        <v>0</v>
      </c>
      <c r="W21" s="176">
        <v>0</v>
      </c>
      <c r="X21" s="176">
        <v>0</v>
      </c>
      <c r="Y21" s="176">
        <v>0</v>
      </c>
      <c r="Z21" s="176">
        <v>0</v>
      </c>
      <c r="AA21" s="176">
        <v>0</v>
      </c>
      <c r="AB21" s="176">
        <v>0</v>
      </c>
      <c r="AC21" s="176">
        <v>0</v>
      </c>
      <c r="AD21" s="176">
        <v>0</v>
      </c>
      <c r="AE21" s="41">
        <f t="shared" si="5"/>
        <v>0</v>
      </c>
      <c r="AF21" s="116" t="s">
        <v>225</v>
      </c>
      <c r="AG21" s="550" t="s">
        <v>41</v>
      </c>
      <c r="AH21" s="542"/>
      <c r="AI21" s="189" t="s">
        <v>444</v>
      </c>
    </row>
    <row r="22" spans="1:35" ht="14.25" customHeight="1">
      <c r="A22" s="38" t="s">
        <v>41</v>
      </c>
      <c r="B22" s="38" t="s">
        <v>105</v>
      </c>
      <c r="C22" s="38"/>
      <c r="D22" s="86">
        <v>15</v>
      </c>
      <c r="E22" s="175" t="s">
        <v>106</v>
      </c>
      <c r="F22" s="41">
        <f t="shared" si="4"/>
        <v>8</v>
      </c>
      <c r="G22" s="176"/>
      <c r="H22" s="176"/>
      <c r="I22" s="176"/>
      <c r="J22" s="176"/>
      <c r="K22" s="176"/>
      <c r="L22" s="176"/>
      <c r="M22" s="176">
        <v>1</v>
      </c>
      <c r="N22" s="176">
        <v>1</v>
      </c>
      <c r="O22" s="176">
        <v>1</v>
      </c>
      <c r="P22" s="176">
        <v>1</v>
      </c>
      <c r="Q22" s="176">
        <v>1</v>
      </c>
      <c r="R22" s="176">
        <v>1</v>
      </c>
      <c r="S22" s="176">
        <v>1</v>
      </c>
      <c r="T22" s="176">
        <v>1</v>
      </c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41">
        <f t="shared" si="5"/>
        <v>8</v>
      </c>
      <c r="AF22" s="116" t="s">
        <v>252</v>
      </c>
      <c r="AG22" s="550" t="s">
        <v>41</v>
      </c>
      <c r="AH22" s="542"/>
      <c r="AI22" s="189" t="s">
        <v>444</v>
      </c>
    </row>
    <row r="23" spans="1:35" ht="14.25" customHeight="1">
      <c r="A23" s="98" t="s">
        <v>41</v>
      </c>
      <c r="B23" s="98" t="s">
        <v>111</v>
      </c>
      <c r="C23" s="98"/>
      <c r="D23" s="39">
        <v>16</v>
      </c>
      <c r="E23" s="207" t="s">
        <v>112</v>
      </c>
      <c r="F23" s="41">
        <f t="shared" si="4"/>
        <v>12</v>
      </c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/>
      <c r="W23" s="176">
        <v>1</v>
      </c>
      <c r="X23" s="176">
        <v>1</v>
      </c>
      <c r="Y23" s="176">
        <v>1</v>
      </c>
      <c r="Z23" s="176">
        <v>1</v>
      </c>
      <c r="AA23" s="176">
        <v>1</v>
      </c>
      <c r="AB23" s="176">
        <v>1</v>
      </c>
      <c r="AC23" s="176">
        <v>1</v>
      </c>
      <c r="AD23" s="176"/>
      <c r="AE23" s="41">
        <f t="shared" si="5"/>
        <v>12</v>
      </c>
      <c r="AF23" s="116" t="s">
        <v>264</v>
      </c>
      <c r="AG23" s="550" t="s">
        <v>41</v>
      </c>
      <c r="AH23" s="542"/>
      <c r="AI23" s="189" t="s">
        <v>444</v>
      </c>
    </row>
    <row r="24" spans="1:35" ht="14.25" customHeight="1">
      <c r="A24" s="38" t="s">
        <v>41</v>
      </c>
      <c r="B24" s="38" t="s">
        <v>115</v>
      </c>
      <c r="C24" s="38">
        <v>962936744</v>
      </c>
      <c r="D24" s="86">
        <v>17</v>
      </c>
      <c r="E24" s="145" t="s">
        <v>116</v>
      </c>
      <c r="F24" s="41">
        <f t="shared" si="4"/>
        <v>8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>
        <v>1</v>
      </c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41">
        <f t="shared" si="5"/>
        <v>8</v>
      </c>
      <c r="AF24" s="116" t="s">
        <v>482</v>
      </c>
      <c r="AG24" s="550" t="s">
        <v>41</v>
      </c>
      <c r="AH24" s="542"/>
      <c r="AI24" s="189" t="s">
        <v>444</v>
      </c>
    </row>
    <row r="25" spans="1:35" ht="14.25" customHeight="1">
      <c r="A25" s="38" t="s">
        <v>41</v>
      </c>
      <c r="B25" s="38" t="s">
        <v>120</v>
      </c>
      <c r="C25" s="38"/>
      <c r="D25" s="86">
        <v>18</v>
      </c>
      <c r="E25" s="208" t="s">
        <v>121</v>
      </c>
      <c r="F25" s="41">
        <f t="shared" si="4"/>
        <v>0</v>
      </c>
      <c r="G25" s="176">
        <v>0</v>
      </c>
      <c r="H25" s="176">
        <v>0</v>
      </c>
      <c r="I25" s="176">
        <v>0</v>
      </c>
      <c r="J25" s="176">
        <v>0</v>
      </c>
      <c r="K25" s="176">
        <v>0</v>
      </c>
      <c r="L25" s="176">
        <v>0</v>
      </c>
      <c r="M25" s="176">
        <v>0</v>
      </c>
      <c r="N25" s="176">
        <v>0</v>
      </c>
      <c r="O25" s="176">
        <v>0</v>
      </c>
      <c r="P25" s="176">
        <v>0</v>
      </c>
      <c r="Q25" s="176">
        <v>0</v>
      </c>
      <c r="R25" s="176">
        <v>0</v>
      </c>
      <c r="S25" s="176">
        <v>0</v>
      </c>
      <c r="T25" s="176">
        <v>0</v>
      </c>
      <c r="U25" s="176">
        <v>0</v>
      </c>
      <c r="V25" s="176">
        <v>0</v>
      </c>
      <c r="W25" s="176">
        <v>0</v>
      </c>
      <c r="X25" s="176">
        <v>0</v>
      </c>
      <c r="Y25" s="176">
        <v>0</v>
      </c>
      <c r="Z25" s="176">
        <v>0</v>
      </c>
      <c r="AA25" s="176">
        <v>0</v>
      </c>
      <c r="AB25" s="176">
        <v>0</v>
      </c>
      <c r="AC25" s="176">
        <v>0</v>
      </c>
      <c r="AD25" s="176">
        <v>0</v>
      </c>
      <c r="AE25" s="41">
        <f t="shared" si="5"/>
        <v>0</v>
      </c>
      <c r="AF25" s="116" t="s">
        <v>225</v>
      </c>
      <c r="AG25" s="550" t="s">
        <v>41</v>
      </c>
      <c r="AH25" s="542"/>
      <c r="AI25" s="189" t="s">
        <v>444</v>
      </c>
    </row>
    <row r="26" spans="1:35" ht="14.25" customHeight="1">
      <c r="A26" s="38" t="s">
        <v>41</v>
      </c>
      <c r="B26" s="38" t="s">
        <v>124</v>
      </c>
      <c r="C26" s="38">
        <v>979137365</v>
      </c>
      <c r="D26" s="39">
        <v>19</v>
      </c>
      <c r="E26" s="208" t="s">
        <v>125</v>
      </c>
      <c r="F26" s="41">
        <f t="shared" si="4"/>
        <v>5</v>
      </c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>
        <v>1</v>
      </c>
      <c r="AA26" s="176">
        <v>1</v>
      </c>
      <c r="AB26" s="176">
        <v>1</v>
      </c>
      <c r="AC26" s="176">
        <v>1</v>
      </c>
      <c r="AD26" s="176">
        <v>1</v>
      </c>
      <c r="AE26" s="41">
        <f t="shared" si="5"/>
        <v>5</v>
      </c>
      <c r="AF26" s="116" t="s">
        <v>270</v>
      </c>
      <c r="AG26" s="550" t="s">
        <v>41</v>
      </c>
      <c r="AH26" s="542"/>
      <c r="AI26" s="189" t="s">
        <v>444</v>
      </c>
    </row>
    <row r="27" spans="1:35" ht="14.25" customHeight="1">
      <c r="A27" s="38" t="s">
        <v>41</v>
      </c>
      <c r="B27" s="76" t="s">
        <v>126</v>
      </c>
      <c r="C27" s="76">
        <v>986256130</v>
      </c>
      <c r="D27" s="86">
        <v>20</v>
      </c>
      <c r="E27" s="133" t="s">
        <v>127</v>
      </c>
      <c r="F27" s="41">
        <f t="shared" si="4"/>
        <v>0</v>
      </c>
      <c r="G27" s="578" t="s">
        <v>470</v>
      </c>
      <c r="H27" s="555"/>
      <c r="I27" s="555"/>
      <c r="J27" s="555"/>
      <c r="K27" s="555"/>
      <c r="L27" s="555"/>
      <c r="M27" s="555"/>
      <c r="N27" s="555"/>
      <c r="O27" s="555"/>
      <c r="P27" s="555"/>
      <c r="Q27" s="555"/>
      <c r="R27" s="555"/>
      <c r="S27" s="555"/>
      <c r="T27" s="555"/>
      <c r="U27" s="555"/>
      <c r="V27" s="555"/>
      <c r="W27" s="555"/>
      <c r="X27" s="555"/>
      <c r="Y27" s="555"/>
      <c r="Z27" s="555"/>
      <c r="AA27" s="555"/>
      <c r="AB27" s="555"/>
      <c r="AC27" s="555"/>
      <c r="AD27" s="542"/>
      <c r="AE27" s="41">
        <f t="shared" si="5"/>
        <v>0</v>
      </c>
      <c r="AF27" s="116"/>
      <c r="AG27" s="578" t="s">
        <v>470</v>
      </c>
      <c r="AH27" s="555"/>
      <c r="AI27" s="189" t="s">
        <v>444</v>
      </c>
    </row>
    <row r="28" spans="1:35" ht="14.25" customHeight="1">
      <c r="A28" s="38" t="s">
        <v>41</v>
      </c>
      <c r="B28" s="38" t="s">
        <v>128</v>
      </c>
      <c r="C28" s="38"/>
      <c r="D28" s="86">
        <v>21</v>
      </c>
      <c r="E28" s="175" t="s">
        <v>129</v>
      </c>
      <c r="F28" s="41">
        <f t="shared" si="4"/>
        <v>12</v>
      </c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176">
        <v>1</v>
      </c>
      <c r="W28" s="176">
        <v>1</v>
      </c>
      <c r="X28" s="176"/>
      <c r="Y28" s="176">
        <v>1</v>
      </c>
      <c r="Z28" s="176">
        <v>1</v>
      </c>
      <c r="AA28" s="176">
        <v>1</v>
      </c>
      <c r="AB28" s="176">
        <v>1</v>
      </c>
      <c r="AC28" s="176">
        <v>1</v>
      </c>
      <c r="AD28" s="176"/>
      <c r="AE28" s="41">
        <f t="shared" si="5"/>
        <v>12</v>
      </c>
      <c r="AF28" s="116" t="s">
        <v>369</v>
      </c>
      <c r="AG28" s="550" t="s">
        <v>41</v>
      </c>
      <c r="AH28" s="542"/>
      <c r="AI28" s="189" t="s">
        <v>444</v>
      </c>
    </row>
    <row r="29" spans="1:35" ht="14.25" customHeight="1">
      <c r="A29" s="38" t="s">
        <v>41</v>
      </c>
      <c r="B29" s="38" t="s">
        <v>49</v>
      </c>
      <c r="C29" s="38">
        <v>983804379</v>
      </c>
      <c r="D29" s="39">
        <v>22</v>
      </c>
      <c r="E29" s="145" t="s">
        <v>50</v>
      </c>
      <c r="F29" s="41">
        <f t="shared" si="4"/>
        <v>8</v>
      </c>
      <c r="G29" s="176">
        <v>1</v>
      </c>
      <c r="H29" s="176">
        <v>1</v>
      </c>
      <c r="I29" s="176">
        <v>1</v>
      </c>
      <c r="J29" s="176">
        <v>1</v>
      </c>
      <c r="K29" s="176">
        <v>1</v>
      </c>
      <c r="L29" s="176">
        <v>1</v>
      </c>
      <c r="M29" s="176">
        <v>1</v>
      </c>
      <c r="N29" s="176">
        <v>1</v>
      </c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41">
        <f t="shared" si="5"/>
        <v>8</v>
      </c>
      <c r="AF29" s="116" t="s">
        <v>482</v>
      </c>
      <c r="AG29" s="550" t="s">
        <v>41</v>
      </c>
      <c r="AH29" s="542"/>
      <c r="AI29" s="189" t="s">
        <v>444</v>
      </c>
    </row>
    <row r="30" spans="1:35" ht="14.25" customHeight="1">
      <c r="A30" s="38" t="s">
        <v>41</v>
      </c>
      <c r="B30" s="38" t="s">
        <v>134</v>
      </c>
      <c r="C30" s="38">
        <v>962839078</v>
      </c>
      <c r="D30" s="86">
        <v>23</v>
      </c>
      <c r="E30" s="145" t="s">
        <v>135</v>
      </c>
      <c r="F30" s="41">
        <f t="shared" si="4"/>
        <v>6</v>
      </c>
      <c r="G30" s="176"/>
      <c r="H30" s="176"/>
      <c r="I30" s="176"/>
      <c r="J30" s="176"/>
      <c r="K30" s="176"/>
      <c r="L30" s="176"/>
      <c r="M30" s="176"/>
      <c r="N30" s="176"/>
      <c r="O30" s="176">
        <v>1</v>
      </c>
      <c r="P30" s="176">
        <v>1</v>
      </c>
      <c r="Q30" s="176">
        <v>1</v>
      </c>
      <c r="R30" s="176">
        <v>1</v>
      </c>
      <c r="S30" s="176">
        <v>1</v>
      </c>
      <c r="T30" s="176">
        <v>1</v>
      </c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41">
        <f t="shared" si="5"/>
        <v>6</v>
      </c>
      <c r="AF30" s="116" t="s">
        <v>305</v>
      </c>
      <c r="AG30" s="550" t="s">
        <v>41</v>
      </c>
      <c r="AH30" s="542"/>
      <c r="AI30" s="189" t="s">
        <v>444</v>
      </c>
    </row>
    <row r="31" spans="1:35" ht="14.25" customHeight="1">
      <c r="A31" s="38" t="s">
        <v>41</v>
      </c>
      <c r="B31" s="38" t="s">
        <v>139</v>
      </c>
      <c r="C31" s="38">
        <v>990660059</v>
      </c>
      <c r="D31" s="86">
        <v>24</v>
      </c>
      <c r="E31" s="145" t="s">
        <v>140</v>
      </c>
      <c r="F31" s="41">
        <f t="shared" si="4"/>
        <v>0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577" t="s">
        <v>320</v>
      </c>
      <c r="W31" s="555"/>
      <c r="X31" s="555"/>
      <c r="Y31" s="555"/>
      <c r="Z31" s="555"/>
      <c r="AA31" s="555"/>
      <c r="AB31" s="555"/>
      <c r="AC31" s="555"/>
      <c r="AD31" s="176"/>
      <c r="AE31" s="41">
        <v>8</v>
      </c>
      <c r="AF31" s="116" t="s">
        <v>218</v>
      </c>
      <c r="AG31" s="186" t="s">
        <v>320</v>
      </c>
      <c r="AH31" s="212" t="s">
        <v>209</v>
      </c>
      <c r="AI31" s="178" t="s">
        <v>444</v>
      </c>
    </row>
    <row r="32" spans="1:35" ht="14.25" customHeight="1">
      <c r="A32" s="38" t="s">
        <v>41</v>
      </c>
      <c r="B32" s="38" t="s">
        <v>117</v>
      </c>
      <c r="C32" s="38"/>
      <c r="D32" s="39">
        <v>25</v>
      </c>
      <c r="E32" s="208" t="s">
        <v>118</v>
      </c>
      <c r="F32" s="41">
        <f t="shared" si="4"/>
        <v>7</v>
      </c>
      <c r="G32" s="176">
        <v>1</v>
      </c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>
        <v>1</v>
      </c>
      <c r="Z32" s="176">
        <v>1</v>
      </c>
      <c r="AA32" s="176">
        <v>1</v>
      </c>
      <c r="AB32" s="176">
        <v>1</v>
      </c>
      <c r="AC32" s="176">
        <v>1</v>
      </c>
      <c r="AD32" s="176">
        <v>1</v>
      </c>
      <c r="AE32" s="41">
        <f t="shared" ref="AE32:AE47" si="6">SUM(G32:AD32)</f>
        <v>7</v>
      </c>
      <c r="AF32" s="116" t="s">
        <v>281</v>
      </c>
      <c r="AG32" s="550" t="s">
        <v>41</v>
      </c>
      <c r="AH32" s="542"/>
      <c r="AI32" s="189" t="s">
        <v>444</v>
      </c>
    </row>
    <row r="33" spans="1:35" ht="14.25" customHeight="1">
      <c r="A33" s="38" t="s">
        <v>41</v>
      </c>
      <c r="B33" s="76" t="s">
        <v>142</v>
      </c>
      <c r="C33" s="76">
        <v>982807786</v>
      </c>
      <c r="D33" s="86">
        <v>26</v>
      </c>
      <c r="E33" s="145" t="s">
        <v>143</v>
      </c>
      <c r="F33" s="41">
        <f t="shared" si="4"/>
        <v>0</v>
      </c>
      <c r="G33" s="176">
        <v>0</v>
      </c>
      <c r="H33" s="176">
        <v>0</v>
      </c>
      <c r="I33" s="176">
        <v>0</v>
      </c>
      <c r="J33" s="176">
        <v>0</v>
      </c>
      <c r="K33" s="176">
        <v>0</v>
      </c>
      <c r="L33" s="176">
        <v>0</v>
      </c>
      <c r="M33" s="176">
        <v>0</v>
      </c>
      <c r="N33" s="176">
        <v>0</v>
      </c>
      <c r="O33" s="176">
        <v>0</v>
      </c>
      <c r="P33" s="176">
        <v>0</v>
      </c>
      <c r="Q33" s="176">
        <v>0</v>
      </c>
      <c r="R33" s="176">
        <v>0</v>
      </c>
      <c r="S33" s="176">
        <v>0</v>
      </c>
      <c r="T33" s="176">
        <v>0</v>
      </c>
      <c r="U33" s="176">
        <v>0</v>
      </c>
      <c r="V33" s="176">
        <v>0</v>
      </c>
      <c r="W33" s="176">
        <v>0</v>
      </c>
      <c r="X33" s="176">
        <v>0</v>
      </c>
      <c r="Y33" s="176">
        <v>0</v>
      </c>
      <c r="Z33" s="176">
        <v>0</v>
      </c>
      <c r="AA33" s="176">
        <v>0</v>
      </c>
      <c r="AB33" s="176">
        <v>0</v>
      </c>
      <c r="AC33" s="176">
        <v>0</v>
      </c>
      <c r="AD33" s="176">
        <v>0</v>
      </c>
      <c r="AE33" s="41">
        <f t="shared" si="6"/>
        <v>0</v>
      </c>
      <c r="AF33" s="116" t="s">
        <v>225</v>
      </c>
      <c r="AG33" s="580" t="s">
        <v>209</v>
      </c>
      <c r="AH33" s="542"/>
      <c r="AI33" s="178" t="s">
        <v>444</v>
      </c>
    </row>
    <row r="34" spans="1:35" ht="14.25" customHeight="1">
      <c r="A34" s="38" t="s">
        <v>41</v>
      </c>
      <c r="B34" s="188" t="s">
        <v>449</v>
      </c>
      <c r="C34" s="38">
        <v>992908618</v>
      </c>
      <c r="D34" s="86">
        <v>27</v>
      </c>
      <c r="E34" s="214" t="s">
        <v>455</v>
      </c>
      <c r="F34" s="41">
        <f t="shared" si="4"/>
        <v>13</v>
      </c>
      <c r="G34" s="176"/>
      <c r="H34" s="176"/>
      <c r="I34" s="176"/>
      <c r="J34" s="176"/>
      <c r="K34" s="176"/>
      <c r="L34" s="176"/>
      <c r="M34" s="176"/>
      <c r="N34" s="176"/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/>
      <c r="X34" s="176">
        <v>1</v>
      </c>
      <c r="Y34" s="176">
        <v>1</v>
      </c>
      <c r="Z34" s="176">
        <v>1</v>
      </c>
      <c r="AA34" s="176">
        <v>1</v>
      </c>
      <c r="AB34" s="176">
        <v>1</v>
      </c>
      <c r="AC34" s="176"/>
      <c r="AD34" s="176"/>
      <c r="AE34" s="41">
        <f t="shared" si="6"/>
        <v>13</v>
      </c>
      <c r="AF34" s="116" t="s">
        <v>344</v>
      </c>
      <c r="AG34" s="550" t="s">
        <v>41</v>
      </c>
      <c r="AH34" s="542"/>
      <c r="AI34" s="178" t="s">
        <v>444</v>
      </c>
    </row>
    <row r="35" spans="1:35" ht="14.25" customHeight="1">
      <c r="A35" s="38" t="s">
        <v>41</v>
      </c>
      <c r="B35" s="188" t="s">
        <v>456</v>
      </c>
      <c r="C35" s="98">
        <v>969080587</v>
      </c>
      <c r="D35" s="39">
        <v>28</v>
      </c>
      <c r="E35" s="214" t="s">
        <v>457</v>
      </c>
      <c r="F35" s="41">
        <f t="shared" si="4"/>
        <v>7</v>
      </c>
      <c r="G35" s="176"/>
      <c r="H35" s="176"/>
      <c r="I35" s="176"/>
      <c r="J35" s="176"/>
      <c r="K35" s="176"/>
      <c r="L35" s="176"/>
      <c r="M35" s="176"/>
      <c r="N35" s="176"/>
      <c r="O35" s="176"/>
      <c r="P35" s="176">
        <v>1</v>
      </c>
      <c r="Q35" s="176">
        <v>1</v>
      </c>
      <c r="R35" s="176"/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176"/>
      <c r="Y35" s="176"/>
      <c r="Z35" s="176"/>
      <c r="AA35" s="176"/>
      <c r="AB35" s="176"/>
      <c r="AC35" s="176"/>
      <c r="AD35" s="176"/>
      <c r="AE35" s="41">
        <f t="shared" si="6"/>
        <v>7</v>
      </c>
      <c r="AF35" s="116" t="s">
        <v>489</v>
      </c>
      <c r="AG35" s="550" t="s">
        <v>41</v>
      </c>
      <c r="AH35" s="542"/>
      <c r="AI35" s="178" t="s">
        <v>444</v>
      </c>
    </row>
    <row r="36" spans="1:35" ht="14.25" customHeight="1">
      <c r="A36" s="38" t="s">
        <v>41</v>
      </c>
      <c r="B36" s="188" t="s">
        <v>459</v>
      </c>
      <c r="C36" s="38">
        <v>969776425</v>
      </c>
      <c r="D36" s="86">
        <v>29</v>
      </c>
      <c r="E36" s="215" t="s">
        <v>460</v>
      </c>
      <c r="F36" s="41">
        <f t="shared" si="4"/>
        <v>7</v>
      </c>
      <c r="G36" s="176"/>
      <c r="H36" s="176"/>
      <c r="I36" s="176"/>
      <c r="J36" s="176"/>
      <c r="K36" s="176"/>
      <c r="L36" s="176"/>
      <c r="M36" s="176">
        <v>1</v>
      </c>
      <c r="N36" s="176">
        <v>1</v>
      </c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41">
        <f t="shared" si="6"/>
        <v>7</v>
      </c>
      <c r="AF36" s="116" t="s">
        <v>379</v>
      </c>
      <c r="AG36" s="550" t="s">
        <v>41</v>
      </c>
      <c r="AH36" s="542"/>
      <c r="AI36" s="189" t="s">
        <v>444</v>
      </c>
    </row>
    <row r="37" spans="1:35" ht="14.25" customHeight="1">
      <c r="A37" s="38" t="s">
        <v>41</v>
      </c>
      <c r="B37" s="188" t="s">
        <v>458</v>
      </c>
      <c r="C37" s="38">
        <v>992753316</v>
      </c>
      <c r="D37" s="86">
        <v>30</v>
      </c>
      <c r="E37" s="215" t="s">
        <v>461</v>
      </c>
      <c r="F37" s="41">
        <f t="shared" si="4"/>
        <v>12</v>
      </c>
      <c r="G37" s="176"/>
      <c r="H37" s="176"/>
      <c r="I37" s="176"/>
      <c r="J37" s="176"/>
      <c r="K37" s="176"/>
      <c r="L37" s="176"/>
      <c r="M37" s="176"/>
      <c r="N37" s="176"/>
      <c r="O37" s="176"/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>
        <v>1</v>
      </c>
      <c r="W37" s="176"/>
      <c r="X37" s="176">
        <v>1</v>
      </c>
      <c r="Y37" s="176">
        <v>1</v>
      </c>
      <c r="Z37" s="176">
        <v>1</v>
      </c>
      <c r="AA37" s="176">
        <v>1</v>
      </c>
      <c r="AB37" s="176">
        <v>1</v>
      </c>
      <c r="AC37" s="176"/>
      <c r="AD37" s="176"/>
      <c r="AE37" s="41">
        <f t="shared" si="6"/>
        <v>12</v>
      </c>
      <c r="AF37" s="116" t="s">
        <v>316</v>
      </c>
      <c r="AG37" s="550" t="s">
        <v>41</v>
      </c>
      <c r="AH37" s="542"/>
      <c r="AI37" s="189" t="s">
        <v>444</v>
      </c>
    </row>
    <row r="38" spans="1:35" ht="14.25" customHeight="1">
      <c r="A38" s="38" t="s">
        <v>41</v>
      </c>
      <c r="B38" s="188" t="s">
        <v>452</v>
      </c>
      <c r="C38" s="38">
        <v>985553653</v>
      </c>
      <c r="D38" s="39">
        <v>31</v>
      </c>
      <c r="E38" s="215" t="s">
        <v>463</v>
      </c>
      <c r="F38" s="41">
        <f t="shared" si="4"/>
        <v>0</v>
      </c>
      <c r="G38" s="176">
        <v>0</v>
      </c>
      <c r="H38" s="176">
        <v>0</v>
      </c>
      <c r="I38" s="176">
        <v>0</v>
      </c>
      <c r="J38" s="176"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0</v>
      </c>
      <c r="S38" s="176">
        <v>0</v>
      </c>
      <c r="T38" s="176">
        <v>0</v>
      </c>
      <c r="U38" s="176">
        <v>0</v>
      </c>
      <c r="V38" s="176">
        <v>0</v>
      </c>
      <c r="W38" s="176">
        <v>0</v>
      </c>
      <c r="X38" s="176">
        <v>0</v>
      </c>
      <c r="Y38" s="176">
        <v>0</v>
      </c>
      <c r="Z38" s="176">
        <v>0</v>
      </c>
      <c r="AA38" s="176">
        <v>0</v>
      </c>
      <c r="AB38" s="176">
        <v>0</v>
      </c>
      <c r="AC38" s="176">
        <v>0</v>
      </c>
      <c r="AD38" s="176">
        <v>0</v>
      </c>
      <c r="AE38" s="41">
        <f t="shared" si="6"/>
        <v>0</v>
      </c>
      <c r="AF38" s="116" t="s">
        <v>225</v>
      </c>
      <c r="AG38" s="550" t="s">
        <v>41</v>
      </c>
      <c r="AH38" s="542"/>
      <c r="AI38" s="189" t="s">
        <v>444</v>
      </c>
    </row>
    <row r="39" spans="1:35" ht="14.25" customHeight="1">
      <c r="A39" s="38" t="s">
        <v>41</v>
      </c>
      <c r="B39" s="188" t="s">
        <v>464</v>
      </c>
      <c r="C39" s="38">
        <v>982043776</v>
      </c>
      <c r="D39" s="86">
        <v>32</v>
      </c>
      <c r="E39" s="214" t="s">
        <v>465</v>
      </c>
      <c r="F39" s="41">
        <f t="shared" si="4"/>
        <v>12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>
        <v>1</v>
      </c>
      <c r="U39" s="176">
        <v>1</v>
      </c>
      <c r="V39" s="176">
        <v>1</v>
      </c>
      <c r="W39" s="176">
        <v>1</v>
      </c>
      <c r="X39" s="176">
        <v>1</v>
      </c>
      <c r="Y39" s="176"/>
      <c r="Z39" s="176">
        <v>1</v>
      </c>
      <c r="AA39" s="176">
        <v>1</v>
      </c>
      <c r="AB39" s="176"/>
      <c r="AC39" s="176"/>
      <c r="AD39" s="176"/>
      <c r="AE39" s="41">
        <f t="shared" si="6"/>
        <v>12</v>
      </c>
      <c r="AF39" s="116" t="s">
        <v>481</v>
      </c>
      <c r="AG39" s="550" t="s">
        <v>41</v>
      </c>
      <c r="AH39" s="542"/>
      <c r="AI39" s="189" t="s">
        <v>444</v>
      </c>
    </row>
    <row r="40" spans="1:35" ht="14.25" customHeight="1">
      <c r="A40" s="38" t="s">
        <v>41</v>
      </c>
      <c r="B40" s="188" t="s">
        <v>447</v>
      </c>
      <c r="C40" s="38">
        <v>979138395</v>
      </c>
      <c r="D40" s="86">
        <v>33</v>
      </c>
      <c r="E40" s="214" t="s">
        <v>466</v>
      </c>
      <c r="F40" s="41">
        <f t="shared" si="4"/>
        <v>0</v>
      </c>
      <c r="G40" s="176">
        <v>0</v>
      </c>
      <c r="H40" s="176">
        <v>0</v>
      </c>
      <c r="I40" s="176">
        <v>0</v>
      </c>
      <c r="J40" s="176">
        <v>0</v>
      </c>
      <c r="K40" s="176">
        <v>0</v>
      </c>
      <c r="L40" s="176">
        <v>0</v>
      </c>
      <c r="M40" s="176">
        <v>0</v>
      </c>
      <c r="N40" s="176">
        <v>0</v>
      </c>
      <c r="O40" s="176">
        <v>0</v>
      </c>
      <c r="P40" s="176">
        <v>0</v>
      </c>
      <c r="Q40" s="176">
        <v>0</v>
      </c>
      <c r="R40" s="176">
        <v>0</v>
      </c>
      <c r="S40" s="176">
        <v>0</v>
      </c>
      <c r="T40" s="176">
        <v>0</v>
      </c>
      <c r="U40" s="176">
        <v>0</v>
      </c>
      <c r="V40" s="176">
        <v>0</v>
      </c>
      <c r="W40" s="176">
        <v>0</v>
      </c>
      <c r="X40" s="176">
        <v>0</v>
      </c>
      <c r="Y40" s="176">
        <v>0</v>
      </c>
      <c r="Z40" s="176">
        <v>0</v>
      </c>
      <c r="AA40" s="176">
        <v>0</v>
      </c>
      <c r="AB40" s="176">
        <v>0</v>
      </c>
      <c r="AC40" s="176">
        <v>0</v>
      </c>
      <c r="AD40" s="176">
        <v>0</v>
      </c>
      <c r="AE40" s="41">
        <f t="shared" si="6"/>
        <v>0</v>
      </c>
      <c r="AF40" s="116" t="s">
        <v>225</v>
      </c>
      <c r="AG40" s="550" t="s">
        <v>41</v>
      </c>
      <c r="AH40" s="542"/>
      <c r="AI40" s="189" t="s">
        <v>444</v>
      </c>
    </row>
    <row r="41" spans="1:35" ht="14.25" customHeight="1">
      <c r="A41" s="38" t="s">
        <v>41</v>
      </c>
      <c r="B41" s="188" t="s">
        <v>448</v>
      </c>
      <c r="C41" s="98">
        <v>979187927</v>
      </c>
      <c r="D41" s="39">
        <v>34</v>
      </c>
      <c r="E41" s="215" t="s">
        <v>467</v>
      </c>
      <c r="F41" s="41">
        <f t="shared" si="4"/>
        <v>11</v>
      </c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>
        <v>1</v>
      </c>
      <c r="R41" s="176">
        <v>1</v>
      </c>
      <c r="S41" s="176">
        <v>1</v>
      </c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/>
      <c r="Z41" s="176">
        <v>1</v>
      </c>
      <c r="AA41" s="176">
        <v>1</v>
      </c>
      <c r="AB41" s="176">
        <v>1</v>
      </c>
      <c r="AC41" s="176"/>
      <c r="AD41" s="176"/>
      <c r="AE41" s="41">
        <f t="shared" si="6"/>
        <v>11</v>
      </c>
      <c r="AF41" s="116" t="s">
        <v>337</v>
      </c>
      <c r="AG41" s="550" t="s">
        <v>41</v>
      </c>
      <c r="AH41" s="542"/>
      <c r="AI41" s="189" t="s">
        <v>444</v>
      </c>
    </row>
    <row r="42" spans="1:35" ht="14.25" customHeight="1">
      <c r="A42" s="38" t="s">
        <v>41</v>
      </c>
      <c r="B42" s="188" t="s">
        <v>490</v>
      </c>
      <c r="C42" s="98">
        <v>986286257</v>
      </c>
      <c r="D42" s="86">
        <v>35</v>
      </c>
      <c r="E42" s="214" t="s">
        <v>491</v>
      </c>
      <c r="F42" s="41">
        <f t="shared" si="4"/>
        <v>0</v>
      </c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41">
        <f t="shared" si="6"/>
        <v>0</v>
      </c>
      <c r="AF42" s="116" t="s">
        <v>382</v>
      </c>
      <c r="AG42" s="550" t="s">
        <v>41</v>
      </c>
      <c r="AH42" s="542"/>
      <c r="AI42" s="189" t="s">
        <v>444</v>
      </c>
    </row>
    <row r="43" spans="1:35" ht="14.25" customHeight="1">
      <c r="A43" s="38" t="s">
        <v>41</v>
      </c>
      <c r="B43" s="188" t="s">
        <v>492</v>
      </c>
      <c r="C43" s="98">
        <v>969776425</v>
      </c>
      <c r="D43" s="86">
        <v>36</v>
      </c>
      <c r="E43" s="214" t="s">
        <v>493</v>
      </c>
      <c r="F43" s="41">
        <f t="shared" si="4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6"/>
        <v>0</v>
      </c>
      <c r="AF43" s="116" t="s">
        <v>382</v>
      </c>
      <c r="AG43" s="550" t="s">
        <v>41</v>
      </c>
      <c r="AH43" s="542"/>
      <c r="AI43" s="189" t="s">
        <v>444</v>
      </c>
    </row>
    <row r="44" spans="1:35" ht="14.25" customHeight="1">
      <c r="A44" s="38" t="s">
        <v>41</v>
      </c>
      <c r="B44" s="188" t="s">
        <v>468</v>
      </c>
      <c r="C44" s="98">
        <v>987948960</v>
      </c>
      <c r="D44" s="39">
        <v>37</v>
      </c>
      <c r="E44" s="214" t="s">
        <v>469</v>
      </c>
      <c r="F44" s="41">
        <f t="shared" si="4"/>
        <v>9</v>
      </c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>
        <v>1</v>
      </c>
      <c r="R44" s="176">
        <v>1</v>
      </c>
      <c r="S44" s="176">
        <v>1</v>
      </c>
      <c r="T44" s="176">
        <v>1</v>
      </c>
      <c r="U44" s="176">
        <v>1</v>
      </c>
      <c r="V44" s="176"/>
      <c r="W44" s="176">
        <v>1</v>
      </c>
      <c r="X44" s="176">
        <v>1</v>
      </c>
      <c r="Y44" s="176">
        <v>1</v>
      </c>
      <c r="Z44" s="176">
        <v>1</v>
      </c>
      <c r="AA44" s="176"/>
      <c r="AB44" s="176"/>
      <c r="AC44" s="176"/>
      <c r="AD44" s="176"/>
      <c r="AE44" s="41">
        <f t="shared" si="6"/>
        <v>9</v>
      </c>
      <c r="AF44" s="116" t="s">
        <v>229</v>
      </c>
      <c r="AG44" s="550" t="s">
        <v>41</v>
      </c>
      <c r="AH44" s="542"/>
      <c r="AI44" s="189" t="s">
        <v>444</v>
      </c>
    </row>
    <row r="45" spans="1:35" ht="14.25" customHeight="1">
      <c r="A45" s="38" t="s">
        <v>41</v>
      </c>
      <c r="B45" s="188" t="s">
        <v>494</v>
      </c>
      <c r="C45" s="98">
        <v>992641553</v>
      </c>
      <c r="D45" s="86">
        <v>38</v>
      </c>
      <c r="E45" s="214" t="s">
        <v>495</v>
      </c>
      <c r="F45" s="41">
        <f t="shared" si="4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6"/>
        <v>0</v>
      </c>
      <c r="AF45" s="116" t="s">
        <v>382</v>
      </c>
      <c r="AG45" s="550" t="s">
        <v>41</v>
      </c>
      <c r="AH45" s="542"/>
      <c r="AI45" s="189" t="s">
        <v>444</v>
      </c>
    </row>
    <row r="46" spans="1:35" ht="14.25" customHeight="1">
      <c r="A46" s="38" t="s">
        <v>41</v>
      </c>
      <c r="B46" s="188" t="s">
        <v>496</v>
      </c>
      <c r="C46" s="98">
        <v>999013936</v>
      </c>
      <c r="D46" s="86">
        <v>39</v>
      </c>
      <c r="E46" s="214" t="s">
        <v>497</v>
      </c>
      <c r="F46" s="41">
        <f t="shared" si="4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6"/>
        <v>0</v>
      </c>
      <c r="AF46" s="116" t="s">
        <v>382</v>
      </c>
      <c r="AG46" s="550" t="s">
        <v>41</v>
      </c>
      <c r="AH46" s="542"/>
      <c r="AI46" s="189" t="s">
        <v>444</v>
      </c>
    </row>
    <row r="47" spans="1:35" ht="14.25" customHeight="1">
      <c r="A47" s="38" t="s">
        <v>41</v>
      </c>
      <c r="B47" s="190" t="s">
        <v>137</v>
      </c>
      <c r="C47" s="98"/>
      <c r="D47" s="39">
        <v>40</v>
      </c>
      <c r="E47" s="218" t="s">
        <v>138</v>
      </c>
      <c r="F47" s="41">
        <f t="shared" si="4"/>
        <v>0</v>
      </c>
      <c r="G47" s="176">
        <v>0</v>
      </c>
      <c r="H47" s="176">
        <v>0</v>
      </c>
      <c r="I47" s="176">
        <v>0</v>
      </c>
      <c r="J47" s="176">
        <v>0</v>
      </c>
      <c r="K47" s="176">
        <v>0</v>
      </c>
      <c r="L47" s="176">
        <v>0</v>
      </c>
      <c r="M47" s="176">
        <v>0</v>
      </c>
      <c r="N47" s="176">
        <v>0</v>
      </c>
      <c r="O47" s="176">
        <v>0</v>
      </c>
      <c r="P47" s="176">
        <v>0</v>
      </c>
      <c r="Q47" s="176">
        <v>0</v>
      </c>
      <c r="R47" s="176">
        <v>0</v>
      </c>
      <c r="S47" s="176">
        <v>0</v>
      </c>
      <c r="T47" s="176">
        <v>0</v>
      </c>
      <c r="U47" s="176">
        <v>0</v>
      </c>
      <c r="V47" s="176">
        <v>0</v>
      </c>
      <c r="W47" s="176">
        <v>0</v>
      </c>
      <c r="X47" s="176">
        <v>0</v>
      </c>
      <c r="Y47" s="176">
        <v>0</v>
      </c>
      <c r="Z47" s="176">
        <v>0</v>
      </c>
      <c r="AA47" s="176">
        <v>0</v>
      </c>
      <c r="AB47" s="176">
        <v>0</v>
      </c>
      <c r="AC47" s="176">
        <v>0</v>
      </c>
      <c r="AD47" s="176">
        <v>0</v>
      </c>
      <c r="AE47" s="41">
        <f t="shared" si="6"/>
        <v>0</v>
      </c>
      <c r="AF47" s="116" t="s">
        <v>225</v>
      </c>
      <c r="AG47" s="186" t="s">
        <v>320</v>
      </c>
      <c r="AH47" s="212" t="s">
        <v>209</v>
      </c>
      <c r="AI47" s="189" t="s">
        <v>444</v>
      </c>
    </row>
    <row r="48" spans="1:35" ht="14.25" customHeight="1">
      <c r="A48" s="38" t="s">
        <v>41</v>
      </c>
      <c r="B48" s="190" t="s">
        <v>190</v>
      </c>
      <c r="C48" s="98"/>
      <c r="D48" s="86">
        <v>41</v>
      </c>
      <c r="E48" s="218" t="s">
        <v>191</v>
      </c>
      <c r="F48" s="41">
        <f t="shared" si="4"/>
        <v>0</v>
      </c>
      <c r="G48" s="77"/>
      <c r="H48" s="77"/>
      <c r="I48" s="77"/>
      <c r="J48" s="77"/>
      <c r="K48" s="77"/>
      <c r="L48" s="77"/>
      <c r="M48" s="176"/>
      <c r="N48" s="577" t="s">
        <v>320</v>
      </c>
      <c r="O48" s="555"/>
      <c r="P48" s="555"/>
      <c r="Q48" s="555"/>
      <c r="R48" s="555"/>
      <c r="S48" s="555"/>
      <c r="T48" s="555"/>
      <c r="U48" s="555"/>
      <c r="V48" s="176"/>
      <c r="W48" s="176"/>
      <c r="X48" s="176"/>
      <c r="Y48" s="176"/>
      <c r="Z48" s="176"/>
      <c r="AA48" s="176"/>
      <c r="AB48" s="176"/>
      <c r="AC48" s="176"/>
      <c r="AD48" s="176"/>
      <c r="AE48" s="41">
        <v>8</v>
      </c>
      <c r="AF48" s="116" t="s">
        <v>288</v>
      </c>
      <c r="AG48" s="186" t="s">
        <v>320</v>
      </c>
      <c r="AH48" s="212" t="s">
        <v>209</v>
      </c>
      <c r="AI48" s="189" t="s">
        <v>444</v>
      </c>
    </row>
    <row r="49" spans="1:35" ht="14.25" customHeight="1">
      <c r="A49" s="98"/>
      <c r="B49" s="98"/>
      <c r="C49" s="98"/>
      <c r="D49" s="86">
        <v>42</v>
      </c>
      <c r="E49" s="133" t="s">
        <v>363</v>
      </c>
      <c r="F49" s="41">
        <f t="shared" si="4"/>
        <v>0</v>
      </c>
      <c r="G49" s="42"/>
      <c r="H49" s="42"/>
      <c r="I49" s="42"/>
      <c r="J49" s="42"/>
      <c r="K49" s="42"/>
      <c r="L49" s="42"/>
      <c r="M49" s="42"/>
      <c r="N49" s="42"/>
      <c r="O49" s="581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v>12</v>
      </c>
      <c r="AF49" s="116" t="s">
        <v>66</v>
      </c>
      <c r="AG49" s="551" t="s">
        <v>473</v>
      </c>
      <c r="AH49" s="555"/>
      <c r="AI49" s="189" t="s">
        <v>444</v>
      </c>
    </row>
    <row r="50" spans="1:35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  <c r="AH50" s="25"/>
      <c r="AI50" s="25"/>
    </row>
    <row r="51" spans="1:35" ht="14.25" customHeight="1">
      <c r="A51" s="2"/>
      <c r="B51" s="2"/>
      <c r="C51" s="2"/>
      <c r="D51" s="2"/>
      <c r="E51" s="2"/>
      <c r="F51" s="2"/>
      <c r="AE51" s="2"/>
      <c r="AF51" s="2"/>
      <c r="AG51" s="2"/>
      <c r="AH51" s="2"/>
      <c r="AI51" s="2"/>
    </row>
    <row r="52" spans="1:35" ht="14.25" customHeight="1">
      <c r="A52" s="2"/>
      <c r="B52" s="2"/>
      <c r="C52" s="2"/>
      <c r="D52" s="2"/>
      <c r="E52" s="2"/>
      <c r="F52" s="2"/>
      <c r="AE52" s="2"/>
      <c r="AF52" s="2"/>
      <c r="AG52" s="2"/>
      <c r="AH52" s="2"/>
      <c r="AI52" s="2"/>
    </row>
    <row r="53" spans="1:35" ht="14.25" customHeight="1">
      <c r="A53" s="2"/>
      <c r="B53" s="2"/>
      <c r="C53" s="2"/>
      <c r="D53" s="2"/>
      <c r="E53" s="2"/>
      <c r="F53" s="2"/>
      <c r="AE53" s="2"/>
      <c r="AF53" s="2"/>
      <c r="AG53" s="2"/>
      <c r="AH53" s="2"/>
      <c r="AI53" s="2"/>
    </row>
    <row r="54" spans="1:35" ht="14.25" customHeight="1">
      <c r="A54" s="2"/>
      <c r="B54" s="2"/>
      <c r="C54" s="2"/>
      <c r="D54" s="2"/>
      <c r="E54" s="2"/>
      <c r="F54" s="2"/>
      <c r="AE54" s="2"/>
      <c r="AF54" s="2"/>
      <c r="AG54" s="2"/>
      <c r="AH54" s="2"/>
      <c r="AI54" s="2"/>
    </row>
    <row r="55" spans="1:35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193">
        <v>0</v>
      </c>
      <c r="P55" s="193">
        <v>10</v>
      </c>
      <c r="Q55" s="193">
        <v>10</v>
      </c>
      <c r="R55" s="193">
        <v>10</v>
      </c>
      <c r="S55" s="193">
        <v>10</v>
      </c>
      <c r="T55" s="193">
        <v>10</v>
      </c>
      <c r="U55" s="193">
        <v>10</v>
      </c>
      <c r="V55" s="193">
        <v>10</v>
      </c>
      <c r="W55" s="193">
        <v>10</v>
      </c>
      <c r="X55" s="193">
        <v>10</v>
      </c>
      <c r="Y55" s="193">
        <v>10</v>
      </c>
      <c r="Z55" s="193">
        <v>0</v>
      </c>
      <c r="AA55" s="193">
        <v>0</v>
      </c>
      <c r="AB55" s="194">
        <v>0</v>
      </c>
      <c r="AC55" s="192">
        <v>0</v>
      </c>
      <c r="AD55" s="195">
        <v>0</v>
      </c>
      <c r="AE55" s="18">
        <f>SUM(G55:AD55)</f>
        <v>100</v>
      </c>
      <c r="AF55" s="25"/>
      <c r="AG55" s="2"/>
      <c r="AH55" s="2"/>
      <c r="AI55" s="2"/>
    </row>
    <row r="56" spans="1:35" ht="14.25" customHeight="1">
      <c r="A56" s="3"/>
      <c r="B56" s="3"/>
      <c r="C56" s="3"/>
      <c r="D56" s="48"/>
      <c r="E56" s="59"/>
      <c r="F56" s="59"/>
      <c r="G56" s="28">
        <f t="shared" ref="G56:AD56" si="7">G58-G55</f>
        <v>0</v>
      </c>
      <c r="H56" s="28">
        <f t="shared" si="7"/>
        <v>0</v>
      </c>
      <c r="I56" s="28">
        <f t="shared" si="7"/>
        <v>0</v>
      </c>
      <c r="J56" s="28">
        <f t="shared" si="7"/>
        <v>0</v>
      </c>
      <c r="K56" s="28">
        <f t="shared" si="7"/>
        <v>0</v>
      </c>
      <c r="L56" s="28">
        <f t="shared" si="7"/>
        <v>0</v>
      </c>
      <c r="M56" s="84">
        <f t="shared" si="7"/>
        <v>4</v>
      </c>
      <c r="N56" s="84">
        <f t="shared" si="7"/>
        <v>5</v>
      </c>
      <c r="O56" s="84">
        <f t="shared" si="7"/>
        <v>8</v>
      </c>
      <c r="P56" s="28">
        <f t="shared" si="7"/>
        <v>-1</v>
      </c>
      <c r="Q56" s="28">
        <f t="shared" si="7"/>
        <v>-1</v>
      </c>
      <c r="R56" s="28">
        <f t="shared" si="7"/>
        <v>-1</v>
      </c>
      <c r="S56" s="28">
        <f t="shared" si="7"/>
        <v>-1</v>
      </c>
      <c r="T56" s="28">
        <f t="shared" si="7"/>
        <v>-1</v>
      </c>
      <c r="U56" s="28">
        <f t="shared" si="7"/>
        <v>-1</v>
      </c>
      <c r="V56" s="28">
        <f t="shared" si="7"/>
        <v>-1</v>
      </c>
      <c r="W56" s="28">
        <f t="shared" si="7"/>
        <v>-1</v>
      </c>
      <c r="X56" s="28">
        <f t="shared" si="7"/>
        <v>-1</v>
      </c>
      <c r="Y56" s="28">
        <f t="shared" si="7"/>
        <v>-1</v>
      </c>
      <c r="Z56" s="28">
        <f t="shared" si="7"/>
        <v>3</v>
      </c>
      <c r="AA56" s="28">
        <f t="shared" si="7"/>
        <v>2</v>
      </c>
      <c r="AB56" s="28">
        <f t="shared" si="7"/>
        <v>1</v>
      </c>
      <c r="AC56" s="28">
        <f t="shared" si="7"/>
        <v>0</v>
      </c>
      <c r="AD56" s="28">
        <f t="shared" si="7"/>
        <v>0</v>
      </c>
      <c r="AE56" s="53"/>
      <c r="AF56" s="3"/>
      <c r="AG56" s="2"/>
      <c r="AH56" s="2"/>
      <c r="AI56" s="2"/>
    </row>
    <row r="57" spans="1:35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  <c r="AH57" s="2"/>
      <c r="AI57" s="2"/>
    </row>
    <row r="58" spans="1:35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8">SUM(G59:G72)</f>
        <v>0</v>
      </c>
      <c r="H58" s="35">
        <f t="shared" si="8"/>
        <v>0</v>
      </c>
      <c r="I58" s="35">
        <f t="shared" si="8"/>
        <v>0</v>
      </c>
      <c r="J58" s="35">
        <f t="shared" si="8"/>
        <v>0</v>
      </c>
      <c r="K58" s="35">
        <f t="shared" si="8"/>
        <v>0</v>
      </c>
      <c r="L58" s="35">
        <f t="shared" si="8"/>
        <v>0</v>
      </c>
      <c r="M58" s="35">
        <f t="shared" si="8"/>
        <v>4</v>
      </c>
      <c r="N58" s="35">
        <f t="shared" si="8"/>
        <v>5</v>
      </c>
      <c r="O58" s="35">
        <f t="shared" si="8"/>
        <v>8</v>
      </c>
      <c r="P58" s="35">
        <f t="shared" si="8"/>
        <v>9</v>
      </c>
      <c r="Q58" s="35">
        <f t="shared" si="8"/>
        <v>9</v>
      </c>
      <c r="R58" s="35">
        <f t="shared" si="8"/>
        <v>9</v>
      </c>
      <c r="S58" s="35">
        <f t="shared" si="8"/>
        <v>9</v>
      </c>
      <c r="T58" s="35">
        <f t="shared" si="8"/>
        <v>9</v>
      </c>
      <c r="U58" s="35">
        <f t="shared" si="8"/>
        <v>9</v>
      </c>
      <c r="V58" s="35">
        <f t="shared" si="8"/>
        <v>9</v>
      </c>
      <c r="W58" s="35">
        <f t="shared" si="8"/>
        <v>9</v>
      </c>
      <c r="X58" s="35">
        <f t="shared" si="8"/>
        <v>9</v>
      </c>
      <c r="Y58" s="35">
        <f t="shared" si="8"/>
        <v>9</v>
      </c>
      <c r="Z58" s="35">
        <f t="shared" si="8"/>
        <v>3</v>
      </c>
      <c r="AA58" s="35">
        <f t="shared" si="8"/>
        <v>2</v>
      </c>
      <c r="AB58" s="35">
        <f t="shared" si="8"/>
        <v>1</v>
      </c>
      <c r="AC58" s="35">
        <f t="shared" si="8"/>
        <v>0</v>
      </c>
      <c r="AD58" s="35">
        <f t="shared" si="8"/>
        <v>0</v>
      </c>
      <c r="AE58" s="30">
        <f t="shared" ref="AE58:AE68" si="9">SUM(G58:AD58)</f>
        <v>113</v>
      </c>
      <c r="AF58" s="36" t="s">
        <v>39</v>
      </c>
      <c r="AG58" s="196"/>
      <c r="AH58" s="196"/>
      <c r="AI58" s="197" t="s">
        <v>40</v>
      </c>
    </row>
    <row r="59" spans="1:35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10">SUM(G59:AD59)</f>
        <v>13</v>
      </c>
      <c r="G59" s="202"/>
      <c r="H59" s="202"/>
      <c r="I59" s="202"/>
      <c r="J59" s="202"/>
      <c r="K59" s="202"/>
      <c r="L59" s="202"/>
      <c r="M59" s="219">
        <v>1</v>
      </c>
      <c r="N59" s="219">
        <v>1</v>
      </c>
      <c r="O59" s="219">
        <v>1</v>
      </c>
      <c r="P59" s="202">
        <v>1</v>
      </c>
      <c r="Q59" s="202">
        <v>1</v>
      </c>
      <c r="R59" s="202">
        <v>1</v>
      </c>
      <c r="S59" s="202">
        <v>1</v>
      </c>
      <c r="T59" s="202">
        <v>1</v>
      </c>
      <c r="U59" s="202">
        <v>1</v>
      </c>
      <c r="V59" s="202">
        <v>1</v>
      </c>
      <c r="W59" s="202">
        <v>1</v>
      </c>
      <c r="X59" s="202">
        <v>1</v>
      </c>
      <c r="Y59" s="202">
        <v>1</v>
      </c>
      <c r="Z59" s="202"/>
      <c r="AA59" s="202"/>
      <c r="AB59" s="202"/>
      <c r="AC59" s="202"/>
      <c r="AD59" s="202"/>
      <c r="AE59" s="41">
        <f t="shared" si="9"/>
        <v>13</v>
      </c>
      <c r="AF59" s="116" t="s">
        <v>261</v>
      </c>
      <c r="AG59" s="177" t="s">
        <v>41</v>
      </c>
      <c r="AH59" s="200" t="s">
        <v>476</v>
      </c>
      <c r="AI59" s="178" t="s">
        <v>444</v>
      </c>
    </row>
    <row r="60" spans="1:35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10"/>
        <v>11</v>
      </c>
      <c r="G60" s="202"/>
      <c r="H60" s="202"/>
      <c r="I60" s="202"/>
      <c r="J60" s="202"/>
      <c r="K60" s="202"/>
      <c r="L60" s="202"/>
      <c r="M60" s="202"/>
      <c r="N60" s="202"/>
      <c r="O60" s="219">
        <v>1</v>
      </c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02"/>
      <c r="AA60" s="202"/>
      <c r="AB60" s="202"/>
      <c r="AC60" s="202"/>
      <c r="AD60" s="202"/>
      <c r="AE60" s="41">
        <f t="shared" si="9"/>
        <v>11</v>
      </c>
      <c r="AF60" s="116" t="s">
        <v>119</v>
      </c>
      <c r="AG60" s="177" t="s">
        <v>41</v>
      </c>
      <c r="AH60" s="200" t="s">
        <v>476</v>
      </c>
      <c r="AI60" s="178" t="s">
        <v>444</v>
      </c>
    </row>
    <row r="61" spans="1:35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10"/>
        <v>13</v>
      </c>
      <c r="G61" s="202"/>
      <c r="H61" s="202"/>
      <c r="I61" s="202"/>
      <c r="J61" s="202"/>
      <c r="K61" s="202"/>
      <c r="L61" s="202"/>
      <c r="M61" s="219">
        <v>1</v>
      </c>
      <c r="N61" s="219">
        <v>1</v>
      </c>
      <c r="O61" s="219">
        <v>1</v>
      </c>
      <c r="P61" s="202">
        <v>1</v>
      </c>
      <c r="Q61" s="202">
        <v>1</v>
      </c>
      <c r="R61" s="202">
        <v>1</v>
      </c>
      <c r="S61" s="202">
        <v>1</v>
      </c>
      <c r="T61" s="202">
        <v>1</v>
      </c>
      <c r="U61" s="202">
        <v>1</v>
      </c>
      <c r="V61" s="202">
        <v>1</v>
      </c>
      <c r="W61" s="202">
        <v>1</v>
      </c>
      <c r="X61" s="202">
        <v>1</v>
      </c>
      <c r="Y61" s="202">
        <v>1</v>
      </c>
      <c r="Z61" s="202"/>
      <c r="AA61" s="202"/>
      <c r="AB61" s="202"/>
      <c r="AC61" s="202"/>
      <c r="AD61" s="202"/>
      <c r="AE61" s="41">
        <f t="shared" si="9"/>
        <v>13</v>
      </c>
      <c r="AF61" s="116" t="s">
        <v>261</v>
      </c>
      <c r="AG61" s="177" t="s">
        <v>41</v>
      </c>
      <c r="AH61" s="200" t="s">
        <v>476</v>
      </c>
      <c r="AI61" s="178" t="s">
        <v>444</v>
      </c>
    </row>
    <row r="62" spans="1:35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10"/>
        <v>13</v>
      </c>
      <c r="G62" s="202"/>
      <c r="H62" s="202"/>
      <c r="I62" s="202"/>
      <c r="J62" s="202"/>
      <c r="K62" s="202"/>
      <c r="L62" s="202"/>
      <c r="M62" s="219">
        <v>1</v>
      </c>
      <c r="N62" s="219">
        <v>1</v>
      </c>
      <c r="O62" s="219">
        <v>1</v>
      </c>
      <c r="P62" s="202">
        <v>1</v>
      </c>
      <c r="Q62" s="202">
        <v>1</v>
      </c>
      <c r="R62" s="202">
        <v>1</v>
      </c>
      <c r="S62" s="202">
        <v>1</v>
      </c>
      <c r="T62" s="202">
        <v>1</v>
      </c>
      <c r="U62" s="202">
        <v>1</v>
      </c>
      <c r="V62" s="202">
        <v>1</v>
      </c>
      <c r="W62" s="202">
        <v>1</v>
      </c>
      <c r="X62" s="202">
        <v>1</v>
      </c>
      <c r="Y62" s="202">
        <v>1</v>
      </c>
      <c r="Z62" s="202"/>
      <c r="AA62" s="202"/>
      <c r="AB62" s="202"/>
      <c r="AC62" s="202"/>
      <c r="AD62" s="202"/>
      <c r="AE62" s="41">
        <f t="shared" si="9"/>
        <v>13</v>
      </c>
      <c r="AF62" s="116" t="s">
        <v>261</v>
      </c>
      <c r="AG62" s="177" t="s">
        <v>41</v>
      </c>
      <c r="AH62" s="200" t="s">
        <v>476</v>
      </c>
      <c r="AI62" s="178" t="s">
        <v>444</v>
      </c>
    </row>
    <row r="63" spans="1:35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10"/>
        <v>13</v>
      </c>
      <c r="G63" s="202"/>
      <c r="H63" s="202"/>
      <c r="I63" s="202"/>
      <c r="J63" s="202"/>
      <c r="K63" s="202"/>
      <c r="L63" s="202"/>
      <c r="M63" s="219">
        <v>1</v>
      </c>
      <c r="N63" s="219">
        <v>1</v>
      </c>
      <c r="O63" s="219">
        <v>1</v>
      </c>
      <c r="P63" s="202">
        <v>1</v>
      </c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02"/>
      <c r="AA63" s="202"/>
      <c r="AB63" s="202"/>
      <c r="AC63" s="202"/>
      <c r="AD63" s="202"/>
      <c r="AE63" s="41">
        <f t="shared" si="9"/>
        <v>13</v>
      </c>
      <c r="AF63" s="116" t="s">
        <v>261</v>
      </c>
      <c r="AG63" s="177" t="s">
        <v>41</v>
      </c>
      <c r="AH63" s="200" t="s">
        <v>476</v>
      </c>
      <c r="AI63" s="178" t="s">
        <v>444</v>
      </c>
    </row>
    <row r="64" spans="1:35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10"/>
        <v>12</v>
      </c>
      <c r="G64" s="202"/>
      <c r="H64" s="202"/>
      <c r="I64" s="202"/>
      <c r="J64" s="202"/>
      <c r="K64" s="202"/>
      <c r="L64" s="202"/>
      <c r="M64" s="202"/>
      <c r="N64" s="219">
        <v>1</v>
      </c>
      <c r="O64" s="219">
        <v>1</v>
      </c>
      <c r="P64" s="202">
        <v>1</v>
      </c>
      <c r="Q64" s="202">
        <v>1</v>
      </c>
      <c r="R64" s="202">
        <v>1</v>
      </c>
      <c r="S64" s="202">
        <v>1</v>
      </c>
      <c r="T64" s="202">
        <v>1</v>
      </c>
      <c r="U64" s="202">
        <v>1</v>
      </c>
      <c r="V64" s="202">
        <v>1</v>
      </c>
      <c r="W64" s="202">
        <v>1</v>
      </c>
      <c r="X64" s="202">
        <v>1</v>
      </c>
      <c r="Y64" s="202">
        <v>1</v>
      </c>
      <c r="Z64" s="202"/>
      <c r="AA64" s="202"/>
      <c r="AB64" s="202"/>
      <c r="AC64" s="202"/>
      <c r="AD64" s="202"/>
      <c r="AE64" s="41">
        <f t="shared" si="9"/>
        <v>12</v>
      </c>
      <c r="AF64" s="116" t="s">
        <v>327</v>
      </c>
      <c r="AG64" s="177" t="s">
        <v>41</v>
      </c>
      <c r="AH64" s="200" t="s">
        <v>476</v>
      </c>
      <c r="AI64" s="178" t="s">
        <v>444</v>
      </c>
    </row>
    <row r="65" spans="1:35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10"/>
        <v>12</v>
      </c>
      <c r="G65" s="202"/>
      <c r="H65" s="202"/>
      <c r="I65" s="202"/>
      <c r="J65" s="202"/>
      <c r="K65" s="202"/>
      <c r="L65" s="202"/>
      <c r="M65" s="202"/>
      <c r="N65" s="202"/>
      <c r="O65" s="219">
        <v>1</v>
      </c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19">
        <v>1</v>
      </c>
      <c r="AA65" s="202"/>
      <c r="AB65" s="202"/>
      <c r="AC65" s="202"/>
      <c r="AD65" s="202"/>
      <c r="AE65" s="41">
        <f t="shared" si="9"/>
        <v>12</v>
      </c>
      <c r="AF65" s="116" t="s">
        <v>66</v>
      </c>
      <c r="AG65" s="177" t="s">
        <v>41</v>
      </c>
      <c r="AH65" s="200" t="s">
        <v>476</v>
      </c>
      <c r="AI65" s="178" t="s">
        <v>444</v>
      </c>
    </row>
    <row r="66" spans="1:35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10"/>
        <v>14</v>
      </c>
      <c r="G66" s="202"/>
      <c r="H66" s="202"/>
      <c r="I66" s="202"/>
      <c r="J66" s="202"/>
      <c r="K66" s="202"/>
      <c r="L66" s="202"/>
      <c r="M66" s="202"/>
      <c r="N66" s="202"/>
      <c r="O66" s="219">
        <v>1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19">
        <v>1</v>
      </c>
      <c r="AA66" s="219">
        <v>1</v>
      </c>
      <c r="AB66" s="219">
        <v>1</v>
      </c>
      <c r="AC66" s="202"/>
      <c r="AD66" s="202"/>
      <c r="AE66" s="41">
        <f t="shared" si="9"/>
        <v>14</v>
      </c>
      <c r="AF66" s="116" t="s">
        <v>66</v>
      </c>
      <c r="AG66" s="177" t="s">
        <v>41</v>
      </c>
      <c r="AH66" s="200" t="s">
        <v>476</v>
      </c>
      <c r="AI66" s="178" t="s">
        <v>444</v>
      </c>
    </row>
    <row r="67" spans="1:35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10"/>
        <v>0</v>
      </c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19"/>
      <c r="AA67" s="219"/>
      <c r="AB67" s="202"/>
      <c r="AC67" s="202"/>
      <c r="AD67" s="202"/>
      <c r="AE67" s="41">
        <f t="shared" si="9"/>
        <v>0</v>
      </c>
      <c r="AF67" s="116" t="s">
        <v>69</v>
      </c>
      <c r="AG67" s="177" t="s">
        <v>41</v>
      </c>
      <c r="AH67" s="200" t="s">
        <v>476</v>
      </c>
      <c r="AI67" s="178" t="s">
        <v>444</v>
      </c>
    </row>
    <row r="68" spans="1:35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10"/>
        <v>12</v>
      </c>
      <c r="G68" s="202"/>
      <c r="H68" s="202"/>
      <c r="I68" s="202"/>
      <c r="J68" s="202"/>
      <c r="K68" s="202"/>
      <c r="L68" s="202"/>
      <c r="M68" s="202"/>
      <c r="N68" s="202"/>
      <c r="O68" s="202"/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19">
        <v>1</v>
      </c>
      <c r="AA68" s="219">
        <v>1</v>
      </c>
      <c r="AB68" s="202"/>
      <c r="AC68" s="202"/>
      <c r="AD68" s="202"/>
      <c r="AE68" s="41">
        <f t="shared" si="9"/>
        <v>12</v>
      </c>
      <c r="AF68" s="116" t="s">
        <v>69</v>
      </c>
      <c r="AG68" s="177" t="s">
        <v>41</v>
      </c>
      <c r="AH68" s="200" t="s">
        <v>476</v>
      </c>
      <c r="AI68" s="178" t="s">
        <v>444</v>
      </c>
    </row>
    <row r="69" spans="1:35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  <c r="AH69" s="2"/>
      <c r="AI69" s="2"/>
    </row>
    <row r="70" spans="1:35" ht="14.25" customHeight="1">
      <c r="A70" s="2"/>
      <c r="B70" s="2"/>
      <c r="C70" s="2"/>
      <c r="D70" s="2"/>
      <c r="E70" s="2"/>
      <c r="F70" s="2"/>
      <c r="AE70" s="2"/>
      <c r="AF70" s="2"/>
      <c r="AG70" s="2"/>
      <c r="AH70" s="2"/>
      <c r="AI70" s="2"/>
    </row>
    <row r="71" spans="1:35" ht="14.25" customHeight="1">
      <c r="A71" s="2"/>
      <c r="B71" s="2"/>
      <c r="C71" s="2"/>
      <c r="D71" s="2"/>
      <c r="E71" s="2"/>
      <c r="F71" s="2"/>
      <c r="AE71" s="2"/>
      <c r="AF71" s="2"/>
      <c r="AG71" s="2"/>
      <c r="AH71" s="2"/>
      <c r="AI71" s="2"/>
    </row>
    <row r="72" spans="1:35" ht="14.25" customHeight="1">
      <c r="A72" s="2"/>
      <c r="B72" s="2"/>
      <c r="C72" s="2"/>
      <c r="D72" s="2"/>
      <c r="E72" s="2"/>
      <c r="F72" s="2"/>
      <c r="AE72" s="2"/>
      <c r="AF72" s="2"/>
      <c r="AG72" s="2"/>
      <c r="AH72" s="2"/>
      <c r="AI72" s="2"/>
    </row>
    <row r="73" spans="1:35" ht="14.25" customHeight="1">
      <c r="A73" s="2"/>
      <c r="B73" s="2"/>
      <c r="C73" s="2"/>
      <c r="D73" s="2"/>
      <c r="E73" s="2"/>
      <c r="F73" s="2"/>
      <c r="AE73" s="2"/>
      <c r="AF73" s="2"/>
      <c r="AG73" s="2"/>
      <c r="AH73" s="2"/>
      <c r="AI73" s="2"/>
    </row>
    <row r="74" spans="1:35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0">
        <v>3</v>
      </c>
      <c r="N74" s="220">
        <v>3</v>
      </c>
      <c r="O74" s="221">
        <v>6</v>
      </c>
      <c r="P74" s="167">
        <v>7</v>
      </c>
      <c r="Q74" s="222">
        <v>8</v>
      </c>
      <c r="R74" s="167">
        <v>7</v>
      </c>
      <c r="S74" s="222">
        <v>8</v>
      </c>
      <c r="T74" s="222">
        <v>8</v>
      </c>
      <c r="U74" s="222">
        <v>8</v>
      </c>
      <c r="V74" s="221">
        <v>6</v>
      </c>
      <c r="W74" s="223">
        <v>5</v>
      </c>
      <c r="X74" s="221">
        <v>6</v>
      </c>
      <c r="Y74" s="221">
        <v>6</v>
      </c>
      <c r="Z74" s="221">
        <v>6</v>
      </c>
      <c r="AA74" s="221">
        <v>6</v>
      </c>
      <c r="AB74" s="224">
        <v>4</v>
      </c>
      <c r="AC74" s="220">
        <v>3</v>
      </c>
      <c r="AD74" s="195">
        <v>2</v>
      </c>
      <c r="AE74" s="18">
        <f>SUM(G74:AD74)</f>
        <v>114</v>
      </c>
      <c r="AF74" s="25"/>
      <c r="AG74" s="3"/>
      <c r="AH74" s="3"/>
      <c r="AI74" s="3"/>
    </row>
    <row r="75" spans="1:35" ht="14.25" customHeight="1">
      <c r="A75" s="3"/>
      <c r="B75" s="3"/>
      <c r="C75" s="3"/>
      <c r="D75" s="48"/>
      <c r="E75" s="59"/>
      <c r="F75" s="59"/>
      <c r="G75" s="28">
        <f t="shared" ref="G75:AD75" si="11">G77-G74</f>
        <v>0</v>
      </c>
      <c r="H75" s="28">
        <f t="shared" si="11"/>
        <v>0</v>
      </c>
      <c r="I75" s="28">
        <f t="shared" si="11"/>
        <v>0</v>
      </c>
      <c r="J75" s="28">
        <f t="shared" si="11"/>
        <v>0</v>
      </c>
      <c r="K75" s="28">
        <f t="shared" si="11"/>
        <v>0</v>
      </c>
      <c r="L75" s="28">
        <f t="shared" si="11"/>
        <v>0</v>
      </c>
      <c r="M75" s="28">
        <f t="shared" si="11"/>
        <v>0</v>
      </c>
      <c r="N75" s="28">
        <f t="shared" si="11"/>
        <v>0</v>
      </c>
      <c r="O75" s="28">
        <f t="shared" si="11"/>
        <v>0</v>
      </c>
      <c r="P75" s="28">
        <f t="shared" si="11"/>
        <v>0</v>
      </c>
      <c r="Q75" s="28">
        <f t="shared" si="11"/>
        <v>0</v>
      </c>
      <c r="R75" s="28">
        <f t="shared" si="11"/>
        <v>0</v>
      </c>
      <c r="S75" s="28">
        <f t="shared" si="11"/>
        <v>0</v>
      </c>
      <c r="T75" s="28">
        <f t="shared" si="11"/>
        <v>0</v>
      </c>
      <c r="U75" s="28">
        <f t="shared" si="11"/>
        <v>0</v>
      </c>
      <c r="V75" s="28">
        <f t="shared" si="11"/>
        <v>0</v>
      </c>
      <c r="W75" s="28">
        <f t="shared" si="11"/>
        <v>0</v>
      </c>
      <c r="X75" s="28">
        <f t="shared" si="11"/>
        <v>0</v>
      </c>
      <c r="Y75" s="28">
        <f t="shared" si="11"/>
        <v>0</v>
      </c>
      <c r="Z75" s="28">
        <f t="shared" si="11"/>
        <v>0</v>
      </c>
      <c r="AA75" s="28">
        <f t="shared" si="11"/>
        <v>0</v>
      </c>
      <c r="AB75" s="28">
        <f t="shared" si="11"/>
        <v>0</v>
      </c>
      <c r="AC75" s="28">
        <f t="shared" si="11"/>
        <v>0</v>
      </c>
      <c r="AD75" s="28">
        <f t="shared" si="11"/>
        <v>0</v>
      </c>
      <c r="AE75" s="53"/>
      <c r="AF75" s="3">
        <v>16</v>
      </c>
      <c r="AG75" s="3"/>
      <c r="AH75" s="3"/>
      <c r="AI75" s="3">
        <f>AE74/11</f>
        <v>10.363636363636363</v>
      </c>
    </row>
    <row r="76" spans="1:35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  <c r="AH76" s="3"/>
      <c r="AI76" s="3"/>
    </row>
    <row r="77" spans="1:35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2">SUM(G78:G94)</f>
        <v>2</v>
      </c>
      <c r="H77" s="35">
        <f t="shared" si="12"/>
        <v>2</v>
      </c>
      <c r="I77" s="35">
        <f t="shared" si="12"/>
        <v>2</v>
      </c>
      <c r="J77" s="35">
        <f t="shared" si="12"/>
        <v>2</v>
      </c>
      <c r="K77" s="35">
        <f t="shared" si="12"/>
        <v>2</v>
      </c>
      <c r="L77" s="35">
        <f t="shared" si="12"/>
        <v>2</v>
      </c>
      <c r="M77" s="35">
        <f t="shared" si="12"/>
        <v>3</v>
      </c>
      <c r="N77" s="35">
        <f t="shared" si="12"/>
        <v>3</v>
      </c>
      <c r="O77" s="35">
        <f t="shared" si="12"/>
        <v>6</v>
      </c>
      <c r="P77" s="35">
        <f t="shared" si="12"/>
        <v>7</v>
      </c>
      <c r="Q77" s="35">
        <f t="shared" si="12"/>
        <v>8</v>
      </c>
      <c r="R77" s="35">
        <f t="shared" si="12"/>
        <v>7</v>
      </c>
      <c r="S77" s="35">
        <f t="shared" si="12"/>
        <v>8</v>
      </c>
      <c r="T77" s="35">
        <f t="shared" si="12"/>
        <v>8</v>
      </c>
      <c r="U77" s="35">
        <f t="shared" si="12"/>
        <v>8</v>
      </c>
      <c r="V77" s="35">
        <f t="shared" si="12"/>
        <v>6</v>
      </c>
      <c r="W77" s="35">
        <f t="shared" si="12"/>
        <v>5</v>
      </c>
      <c r="X77" s="35">
        <f t="shared" si="12"/>
        <v>6</v>
      </c>
      <c r="Y77" s="35">
        <f t="shared" si="12"/>
        <v>6</v>
      </c>
      <c r="Z77" s="35">
        <f t="shared" si="12"/>
        <v>6</v>
      </c>
      <c r="AA77" s="35">
        <f t="shared" si="12"/>
        <v>6</v>
      </c>
      <c r="AB77" s="35">
        <f t="shared" si="12"/>
        <v>4</v>
      </c>
      <c r="AC77" s="35">
        <f t="shared" si="12"/>
        <v>3</v>
      </c>
      <c r="AD77" s="35">
        <f t="shared" si="12"/>
        <v>2</v>
      </c>
      <c r="AE77" s="30">
        <f t="shared" ref="AE77:AE91" si="13">SUM(G77:AD77)</f>
        <v>114</v>
      </c>
      <c r="AF77" s="36" t="s">
        <v>39</v>
      </c>
      <c r="AG77" s="173"/>
      <c r="AH77" s="173"/>
      <c r="AI77" s="37" t="s">
        <v>40</v>
      </c>
    </row>
    <row r="78" spans="1:35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4">SUM(G78:AD78)</f>
        <v>12</v>
      </c>
      <c r="G78" s="202"/>
      <c r="H78" s="202"/>
      <c r="I78" s="202"/>
      <c r="J78" s="202"/>
      <c r="K78" s="202"/>
      <c r="L78" s="202"/>
      <c r="M78" s="202"/>
      <c r="N78" s="202"/>
      <c r="O78" s="202">
        <v>1</v>
      </c>
      <c r="P78" s="202">
        <v>1</v>
      </c>
      <c r="Q78" s="202">
        <v>1</v>
      </c>
      <c r="R78" s="202">
        <v>1</v>
      </c>
      <c r="S78" s="202">
        <v>1</v>
      </c>
      <c r="T78" s="202">
        <v>1</v>
      </c>
      <c r="U78" s="202">
        <v>1</v>
      </c>
      <c r="V78" s="202">
        <v>1</v>
      </c>
      <c r="W78" s="202">
        <v>1</v>
      </c>
      <c r="X78" s="202">
        <v>1</v>
      </c>
      <c r="Y78" s="202">
        <v>1</v>
      </c>
      <c r="Z78" s="202">
        <v>1</v>
      </c>
      <c r="AA78" s="202"/>
      <c r="AB78" s="202"/>
      <c r="AC78" s="202"/>
      <c r="AD78" s="202"/>
      <c r="AE78" s="41">
        <f t="shared" si="13"/>
        <v>12</v>
      </c>
      <c r="AF78" s="116" t="s">
        <v>66</v>
      </c>
      <c r="AG78" s="546" t="s">
        <v>479</v>
      </c>
      <c r="AH78" s="542"/>
      <c r="AI78" s="189" t="s">
        <v>444</v>
      </c>
    </row>
    <row r="79" spans="1:35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4"/>
        <v>13</v>
      </c>
      <c r="G79" s="202"/>
      <c r="H79" s="202"/>
      <c r="I79" s="202"/>
      <c r="J79" s="202"/>
      <c r="K79" s="202"/>
      <c r="L79" s="202"/>
      <c r="M79" s="202"/>
      <c r="N79" s="202"/>
      <c r="O79" s="202"/>
      <c r="P79" s="202">
        <v>1</v>
      </c>
      <c r="Q79" s="202">
        <v>1</v>
      </c>
      <c r="R79" s="202">
        <v>1</v>
      </c>
      <c r="S79" s="202">
        <v>1</v>
      </c>
      <c r="T79" s="202">
        <v>1</v>
      </c>
      <c r="U79" s="202">
        <v>1</v>
      </c>
      <c r="V79" s="202">
        <v>1</v>
      </c>
      <c r="W79" s="202">
        <v>1</v>
      </c>
      <c r="X79" s="202">
        <v>1</v>
      </c>
      <c r="Y79" s="202">
        <v>1</v>
      </c>
      <c r="Z79" s="202"/>
      <c r="AA79" s="202">
        <v>1</v>
      </c>
      <c r="AB79" s="202">
        <v>1</v>
      </c>
      <c r="AC79" s="202">
        <v>1</v>
      </c>
      <c r="AD79" s="202"/>
      <c r="AE79" s="41">
        <f t="shared" si="13"/>
        <v>13</v>
      </c>
      <c r="AF79" s="116" t="s">
        <v>498</v>
      </c>
      <c r="AG79" s="546" t="s">
        <v>479</v>
      </c>
      <c r="AH79" s="542"/>
      <c r="AI79" s="189" t="s">
        <v>444</v>
      </c>
    </row>
    <row r="80" spans="1:35" ht="19.5" customHeight="1">
      <c r="A80" s="38" t="s">
        <v>145</v>
      </c>
      <c r="B80" s="38" t="s">
        <v>76</v>
      </c>
      <c r="C80" s="38">
        <v>997829699</v>
      </c>
      <c r="D80" s="39">
        <v>3</v>
      </c>
      <c r="E80" s="40" t="s">
        <v>77</v>
      </c>
      <c r="F80" s="41">
        <f t="shared" si="14"/>
        <v>12</v>
      </c>
      <c r="G80" s="202"/>
      <c r="H80" s="202"/>
      <c r="I80" s="202"/>
      <c r="J80" s="202"/>
      <c r="K80" s="202"/>
      <c r="L80" s="202"/>
      <c r="M80" s="202">
        <v>1</v>
      </c>
      <c r="N80" s="202">
        <v>1</v>
      </c>
      <c r="O80" s="202">
        <v>1</v>
      </c>
      <c r="P80" s="202">
        <v>1</v>
      </c>
      <c r="Q80" s="202">
        <v>1</v>
      </c>
      <c r="R80" s="202">
        <v>1</v>
      </c>
      <c r="S80" s="202">
        <v>1</v>
      </c>
      <c r="T80" s="202">
        <v>1</v>
      </c>
      <c r="U80" s="202">
        <v>1</v>
      </c>
      <c r="V80" s="202">
        <v>1</v>
      </c>
      <c r="W80" s="202">
        <v>1</v>
      </c>
      <c r="X80" s="202">
        <v>1</v>
      </c>
      <c r="Y80" s="202"/>
      <c r="Z80" s="202"/>
      <c r="AA80" s="202"/>
      <c r="AB80" s="202"/>
      <c r="AC80" s="202"/>
      <c r="AD80" s="202"/>
      <c r="AE80" s="41">
        <f t="shared" si="13"/>
        <v>12</v>
      </c>
      <c r="AF80" s="116" t="s">
        <v>84</v>
      </c>
      <c r="AG80" s="546" t="s">
        <v>479</v>
      </c>
      <c r="AH80" s="542"/>
      <c r="AI80" s="189" t="s">
        <v>444</v>
      </c>
    </row>
    <row r="81" spans="1:35" ht="14.25" customHeight="1">
      <c r="A81" s="38" t="s">
        <v>145</v>
      </c>
      <c r="B81" s="38" t="s">
        <v>152</v>
      </c>
      <c r="C81" s="38"/>
      <c r="D81" s="99">
        <v>4</v>
      </c>
      <c r="E81" s="40" t="s">
        <v>153</v>
      </c>
      <c r="F81" s="41">
        <f t="shared" si="14"/>
        <v>12</v>
      </c>
      <c r="G81" s="202"/>
      <c r="H81" s="202"/>
      <c r="I81" s="202"/>
      <c r="J81" s="202"/>
      <c r="K81" s="202"/>
      <c r="L81" s="202"/>
      <c r="M81" s="202"/>
      <c r="N81" s="202"/>
      <c r="O81" s="202">
        <v>1</v>
      </c>
      <c r="P81" s="202">
        <v>1</v>
      </c>
      <c r="Q81" s="202">
        <v>1</v>
      </c>
      <c r="R81" s="202">
        <v>1</v>
      </c>
      <c r="S81" s="202">
        <v>1</v>
      </c>
      <c r="T81" s="202">
        <v>1</v>
      </c>
      <c r="U81" s="202">
        <v>1</v>
      </c>
      <c r="V81" s="202">
        <v>1</v>
      </c>
      <c r="W81" s="202">
        <v>1</v>
      </c>
      <c r="X81" s="202">
        <v>1</v>
      </c>
      <c r="Y81" s="202"/>
      <c r="Z81" s="202">
        <v>1</v>
      </c>
      <c r="AA81" s="202">
        <v>1</v>
      </c>
      <c r="AB81" s="202"/>
      <c r="AC81" s="202"/>
      <c r="AD81" s="202"/>
      <c r="AE81" s="41">
        <f t="shared" si="13"/>
        <v>12</v>
      </c>
      <c r="AF81" s="116" t="s">
        <v>481</v>
      </c>
      <c r="AG81" s="546" t="s">
        <v>479</v>
      </c>
      <c r="AH81" s="542"/>
      <c r="AI81" s="189" t="s">
        <v>444</v>
      </c>
    </row>
    <row r="82" spans="1:35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4"/>
        <v>6</v>
      </c>
      <c r="G82" s="202"/>
      <c r="H82" s="202"/>
      <c r="I82" s="202"/>
      <c r="J82" s="202"/>
      <c r="K82" s="202"/>
      <c r="L82" s="202"/>
      <c r="M82" s="202"/>
      <c r="N82" s="202"/>
      <c r="O82" s="202">
        <v>1</v>
      </c>
      <c r="P82" s="202">
        <v>1</v>
      </c>
      <c r="Q82" s="202">
        <v>1</v>
      </c>
      <c r="R82" s="202">
        <v>1</v>
      </c>
      <c r="S82" s="202">
        <v>1</v>
      </c>
      <c r="T82" s="202">
        <v>1</v>
      </c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41">
        <f t="shared" si="13"/>
        <v>6</v>
      </c>
      <c r="AF82" s="116" t="s">
        <v>305</v>
      </c>
      <c r="AG82" s="546" t="s">
        <v>479</v>
      </c>
      <c r="AH82" s="542"/>
      <c r="AI82" s="189" t="s">
        <v>444</v>
      </c>
    </row>
    <row r="83" spans="1:35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4"/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202">
        <v>0</v>
      </c>
      <c r="O83" s="202">
        <v>0</v>
      </c>
      <c r="P83" s="202">
        <v>0</v>
      </c>
      <c r="Q83" s="202">
        <v>0</v>
      </c>
      <c r="R83" s="202">
        <v>0</v>
      </c>
      <c r="S83" s="202">
        <v>0</v>
      </c>
      <c r="T83" s="202">
        <v>0</v>
      </c>
      <c r="U83" s="202">
        <v>0</v>
      </c>
      <c r="V83" s="202">
        <v>0</v>
      </c>
      <c r="W83" s="202">
        <v>0</v>
      </c>
      <c r="X83" s="202">
        <v>0</v>
      </c>
      <c r="Y83" s="202">
        <v>0</v>
      </c>
      <c r="Z83" s="202">
        <v>0</v>
      </c>
      <c r="AA83" s="202">
        <v>0</v>
      </c>
      <c r="AB83" s="202">
        <v>0</v>
      </c>
      <c r="AC83" s="202">
        <v>0</v>
      </c>
      <c r="AD83" s="202">
        <v>0</v>
      </c>
      <c r="AE83" s="41">
        <f t="shared" si="13"/>
        <v>0</v>
      </c>
      <c r="AF83" s="116" t="s">
        <v>225</v>
      </c>
      <c r="AG83" s="546" t="s">
        <v>479</v>
      </c>
      <c r="AH83" s="542"/>
      <c r="AI83" s="189" t="s">
        <v>444</v>
      </c>
    </row>
    <row r="84" spans="1:35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4"/>
        <v>8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>
        <v>1</v>
      </c>
      <c r="N84" s="202">
        <v>1</v>
      </c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41">
        <f t="shared" si="13"/>
        <v>8</v>
      </c>
      <c r="AF84" s="116" t="s">
        <v>482</v>
      </c>
      <c r="AG84" s="546" t="s">
        <v>479</v>
      </c>
      <c r="AH84" s="542"/>
      <c r="AI84" s="189" t="s">
        <v>444</v>
      </c>
    </row>
    <row r="85" spans="1:35" ht="14.25" customHeight="1">
      <c r="A85" s="38" t="s">
        <v>145</v>
      </c>
      <c r="B85" s="38" t="s">
        <v>165</v>
      </c>
      <c r="C85" s="38">
        <v>992994680</v>
      </c>
      <c r="D85" s="62">
        <v>8</v>
      </c>
      <c r="E85" s="40" t="s">
        <v>166</v>
      </c>
      <c r="F85" s="41">
        <f t="shared" si="14"/>
        <v>0</v>
      </c>
      <c r="G85" s="202">
        <v>0</v>
      </c>
      <c r="H85" s="202">
        <v>0</v>
      </c>
      <c r="I85" s="202">
        <v>0</v>
      </c>
      <c r="J85" s="202">
        <v>0</v>
      </c>
      <c r="K85" s="202">
        <v>0</v>
      </c>
      <c r="L85" s="202">
        <v>0</v>
      </c>
      <c r="M85" s="202">
        <v>0</v>
      </c>
      <c r="N85" s="202">
        <v>0</v>
      </c>
      <c r="O85" s="202">
        <v>0</v>
      </c>
      <c r="P85" s="202">
        <v>0</v>
      </c>
      <c r="Q85" s="202">
        <v>0</v>
      </c>
      <c r="R85" s="202">
        <v>0</v>
      </c>
      <c r="S85" s="202">
        <v>0</v>
      </c>
      <c r="T85" s="202">
        <v>0</v>
      </c>
      <c r="U85" s="202">
        <v>0</v>
      </c>
      <c r="V85" s="202">
        <v>0</v>
      </c>
      <c r="W85" s="202">
        <v>0</v>
      </c>
      <c r="X85" s="202">
        <v>0</v>
      </c>
      <c r="Y85" s="202">
        <v>0</v>
      </c>
      <c r="Z85" s="202">
        <v>0</v>
      </c>
      <c r="AA85" s="202">
        <v>0</v>
      </c>
      <c r="AB85" s="202">
        <v>0</v>
      </c>
      <c r="AC85" s="202">
        <v>0</v>
      </c>
      <c r="AD85" s="202">
        <v>0</v>
      </c>
      <c r="AE85" s="41">
        <f t="shared" si="13"/>
        <v>0</v>
      </c>
      <c r="AF85" s="116" t="s">
        <v>225</v>
      </c>
      <c r="AG85" s="546" t="s">
        <v>479</v>
      </c>
      <c r="AH85" s="542"/>
      <c r="AI85" s="189" t="s">
        <v>444</v>
      </c>
    </row>
    <row r="86" spans="1:35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4"/>
        <v>6</v>
      </c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>
        <v>1</v>
      </c>
      <c r="Z86" s="202">
        <v>1</v>
      </c>
      <c r="AA86" s="202">
        <v>1</v>
      </c>
      <c r="AB86" s="202">
        <v>1</v>
      </c>
      <c r="AC86" s="202">
        <v>1</v>
      </c>
      <c r="AD86" s="202">
        <v>1</v>
      </c>
      <c r="AE86" s="41">
        <f t="shared" si="13"/>
        <v>6</v>
      </c>
      <c r="AF86" s="116" t="s">
        <v>281</v>
      </c>
      <c r="AG86" s="546" t="s">
        <v>479</v>
      </c>
      <c r="AH86" s="542"/>
      <c r="AI86" s="189" t="s">
        <v>444</v>
      </c>
    </row>
    <row r="87" spans="1:35" ht="14.25" customHeight="1">
      <c r="A87" s="98" t="s">
        <v>145</v>
      </c>
      <c r="B87" s="98" t="s">
        <v>451</v>
      </c>
      <c r="C87" s="98"/>
      <c r="D87" s="99">
        <v>10</v>
      </c>
      <c r="E87" s="40" t="s">
        <v>177</v>
      </c>
      <c r="F87" s="41">
        <f t="shared" si="14"/>
        <v>0</v>
      </c>
      <c r="G87" s="202">
        <v>0</v>
      </c>
      <c r="H87" s="202">
        <v>0</v>
      </c>
      <c r="I87" s="202">
        <v>0</v>
      </c>
      <c r="J87" s="202">
        <v>0</v>
      </c>
      <c r="K87" s="202">
        <v>0</v>
      </c>
      <c r="L87" s="202">
        <v>0</v>
      </c>
      <c r="M87" s="202">
        <v>0</v>
      </c>
      <c r="N87" s="202">
        <v>0</v>
      </c>
      <c r="O87" s="202">
        <v>0</v>
      </c>
      <c r="P87" s="202">
        <v>0</v>
      </c>
      <c r="Q87" s="202">
        <v>0</v>
      </c>
      <c r="R87" s="202">
        <v>0</v>
      </c>
      <c r="S87" s="202">
        <v>0</v>
      </c>
      <c r="T87" s="202">
        <v>0</v>
      </c>
      <c r="U87" s="202">
        <v>0</v>
      </c>
      <c r="V87" s="202">
        <v>0</v>
      </c>
      <c r="W87" s="202">
        <v>0</v>
      </c>
      <c r="X87" s="202">
        <v>0</v>
      </c>
      <c r="Y87" s="202">
        <v>0</v>
      </c>
      <c r="Z87" s="202">
        <v>0</v>
      </c>
      <c r="AA87" s="202">
        <v>0</v>
      </c>
      <c r="AB87" s="202">
        <v>0</v>
      </c>
      <c r="AC87" s="202">
        <v>0</v>
      </c>
      <c r="AD87" s="202">
        <v>0</v>
      </c>
      <c r="AE87" s="41">
        <f t="shared" si="13"/>
        <v>0</v>
      </c>
      <c r="AF87" s="116" t="s">
        <v>225</v>
      </c>
      <c r="AG87" s="546" t="s">
        <v>479</v>
      </c>
      <c r="AH87" s="542"/>
      <c r="AI87" s="189" t="s">
        <v>444</v>
      </c>
    </row>
    <row r="88" spans="1:35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4"/>
        <v>8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>
        <v>1</v>
      </c>
      <c r="N88" s="202">
        <v>1</v>
      </c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41">
        <f t="shared" si="13"/>
        <v>8</v>
      </c>
      <c r="AF88" s="116" t="s">
        <v>482</v>
      </c>
      <c r="AG88" s="546" t="s">
        <v>479</v>
      </c>
      <c r="AH88" s="542"/>
      <c r="AI88" s="189" t="s">
        <v>444</v>
      </c>
    </row>
    <row r="89" spans="1:35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4"/>
        <v>6</v>
      </c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>
        <v>1</v>
      </c>
      <c r="Z89" s="202">
        <v>1</v>
      </c>
      <c r="AA89" s="202">
        <v>1</v>
      </c>
      <c r="AB89" s="202">
        <v>1</v>
      </c>
      <c r="AC89" s="202">
        <v>1</v>
      </c>
      <c r="AD89" s="202">
        <v>1</v>
      </c>
      <c r="AE89" s="41">
        <f t="shared" si="13"/>
        <v>6</v>
      </c>
      <c r="AF89" s="116" t="s">
        <v>281</v>
      </c>
      <c r="AG89" s="546" t="s">
        <v>479</v>
      </c>
      <c r="AH89" s="542"/>
      <c r="AI89" s="189" t="s">
        <v>444</v>
      </c>
    </row>
    <row r="90" spans="1:35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4"/>
        <v>0</v>
      </c>
      <c r="G90" s="202">
        <v>0</v>
      </c>
      <c r="H90" s="202">
        <v>0</v>
      </c>
      <c r="I90" s="202">
        <v>0</v>
      </c>
      <c r="J90" s="202">
        <v>0</v>
      </c>
      <c r="K90" s="202">
        <v>0</v>
      </c>
      <c r="L90" s="202">
        <v>0</v>
      </c>
      <c r="M90" s="202">
        <v>0</v>
      </c>
      <c r="N90" s="202">
        <v>0</v>
      </c>
      <c r="O90" s="202">
        <v>0</v>
      </c>
      <c r="P90" s="202">
        <v>0</v>
      </c>
      <c r="Q90" s="202">
        <v>0</v>
      </c>
      <c r="R90" s="202">
        <v>0</v>
      </c>
      <c r="S90" s="202">
        <v>0</v>
      </c>
      <c r="T90" s="202">
        <v>0</v>
      </c>
      <c r="U90" s="202">
        <v>0</v>
      </c>
      <c r="V90" s="202">
        <v>0</v>
      </c>
      <c r="W90" s="202">
        <v>0</v>
      </c>
      <c r="X90" s="202">
        <v>0</v>
      </c>
      <c r="Y90" s="202">
        <v>0</v>
      </c>
      <c r="Z90" s="202">
        <v>0</v>
      </c>
      <c r="AA90" s="202">
        <v>0</v>
      </c>
      <c r="AB90" s="202">
        <v>0</v>
      </c>
      <c r="AC90" s="202">
        <v>0</v>
      </c>
      <c r="AD90" s="202">
        <v>0</v>
      </c>
      <c r="AE90" s="41">
        <f t="shared" si="13"/>
        <v>0</v>
      </c>
      <c r="AF90" s="116" t="s">
        <v>225</v>
      </c>
      <c r="AG90" s="546" t="s">
        <v>479</v>
      </c>
      <c r="AH90" s="542"/>
      <c r="AI90" s="189" t="s">
        <v>444</v>
      </c>
    </row>
    <row r="91" spans="1:35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4"/>
        <v>12</v>
      </c>
      <c r="G91" s="202"/>
      <c r="H91" s="202"/>
      <c r="I91" s="202"/>
      <c r="J91" s="202"/>
      <c r="K91" s="202"/>
      <c r="L91" s="202"/>
      <c r="M91" s="202"/>
      <c r="N91" s="202"/>
      <c r="O91" s="202">
        <v>1</v>
      </c>
      <c r="P91" s="202">
        <v>1</v>
      </c>
      <c r="Q91" s="202">
        <v>1</v>
      </c>
      <c r="R91" s="202"/>
      <c r="S91" s="202">
        <v>1</v>
      </c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>
        <v>1</v>
      </c>
      <c r="Z91" s="202">
        <v>1</v>
      </c>
      <c r="AA91" s="202">
        <v>1</v>
      </c>
      <c r="AB91" s="202"/>
      <c r="AC91" s="202"/>
      <c r="AD91" s="202"/>
      <c r="AE91" s="41">
        <f t="shared" si="13"/>
        <v>12</v>
      </c>
      <c r="AF91" s="116" t="s">
        <v>322</v>
      </c>
      <c r="AG91" s="546" t="s">
        <v>479</v>
      </c>
      <c r="AH91" s="542"/>
      <c r="AI91" s="178" t="s">
        <v>444</v>
      </c>
    </row>
    <row r="92" spans="1:35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4"/>
        <v>5</v>
      </c>
      <c r="G92" s="202"/>
      <c r="H92" s="176"/>
      <c r="I92" s="176"/>
      <c r="J92" s="176"/>
      <c r="K92" s="176"/>
      <c r="L92" s="176"/>
      <c r="M92" s="176"/>
      <c r="N92" s="176"/>
      <c r="O92" s="176"/>
      <c r="P92" s="176"/>
      <c r="Q92" s="176">
        <v>1</v>
      </c>
      <c r="R92" s="176">
        <v>1</v>
      </c>
      <c r="S92" s="176">
        <v>1</v>
      </c>
      <c r="T92" s="176">
        <v>1</v>
      </c>
      <c r="U92" s="176">
        <v>1</v>
      </c>
      <c r="V92" s="580" t="s">
        <v>209</v>
      </c>
      <c r="W92" s="555"/>
      <c r="X92" s="555"/>
      <c r="Y92" s="555"/>
      <c r="Z92" s="555"/>
      <c r="AA92" s="555"/>
      <c r="AB92" s="555"/>
      <c r="AC92" s="542"/>
      <c r="AD92" s="176"/>
      <c r="AE92" s="41">
        <v>13</v>
      </c>
      <c r="AF92" s="116" t="s">
        <v>359</v>
      </c>
      <c r="AG92" s="203" t="s">
        <v>479</v>
      </c>
      <c r="AH92" s="213" t="s">
        <v>209</v>
      </c>
      <c r="AI92" s="178" t="s">
        <v>444</v>
      </c>
    </row>
    <row r="93" spans="1:35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4"/>
        <v>1</v>
      </c>
      <c r="G93" s="202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>
        <v>1</v>
      </c>
      <c r="V93" s="580" t="s">
        <v>209</v>
      </c>
      <c r="W93" s="555"/>
      <c r="X93" s="555"/>
      <c r="Y93" s="555"/>
      <c r="Z93" s="555"/>
      <c r="AA93" s="555"/>
      <c r="AB93" s="555"/>
      <c r="AC93" s="542"/>
      <c r="AD93" s="176"/>
      <c r="AE93" s="41">
        <v>9</v>
      </c>
      <c r="AF93" s="116" t="s">
        <v>81</v>
      </c>
      <c r="AG93" s="203" t="s">
        <v>479</v>
      </c>
      <c r="AH93" s="213" t="s">
        <v>209</v>
      </c>
      <c r="AI93" s="178" t="s">
        <v>444</v>
      </c>
    </row>
    <row r="94" spans="1:35" ht="14.25" customHeight="1">
      <c r="A94" s="38" t="s">
        <v>145</v>
      </c>
      <c r="B94" s="38" t="s">
        <v>472</v>
      </c>
      <c r="C94" s="38"/>
      <c r="D94" s="39">
        <v>17</v>
      </c>
      <c r="E94" s="40" t="s">
        <v>184</v>
      </c>
      <c r="F94" s="41">
        <f t="shared" si="14"/>
        <v>13</v>
      </c>
      <c r="G94" s="202"/>
      <c r="H94" s="202"/>
      <c r="I94" s="202"/>
      <c r="J94" s="202"/>
      <c r="K94" s="202"/>
      <c r="L94" s="202"/>
      <c r="M94" s="202"/>
      <c r="N94" s="202"/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202"/>
      <c r="X94" s="202">
        <v>1</v>
      </c>
      <c r="Y94" s="202">
        <v>1</v>
      </c>
      <c r="Z94" s="202">
        <v>1</v>
      </c>
      <c r="AA94" s="202">
        <v>1</v>
      </c>
      <c r="AB94" s="202">
        <v>1</v>
      </c>
      <c r="AC94" s="202"/>
      <c r="AD94" s="202"/>
      <c r="AE94" s="41">
        <f>SUM(G94:AD94)</f>
        <v>13</v>
      </c>
      <c r="AF94" s="116" t="s">
        <v>344</v>
      </c>
      <c r="AG94" s="546" t="s">
        <v>479</v>
      </c>
      <c r="AH94" s="542"/>
      <c r="AI94" s="189" t="s">
        <v>444</v>
      </c>
    </row>
    <row r="95" spans="1:35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  <c r="AH95" s="3"/>
      <c r="AI95" s="3"/>
    </row>
    <row r="96" spans="1:3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</sheetData>
  <customSheetViews>
    <customSheetView guid="{D6F95600-F5D2-44BC-80B6-0F2773D5BD92}" filter="1" showAutoFilter="1">
      <pageMargins left="0.7" right="0.7" top="0.75" bottom="0.75" header="0.3" footer="0.3"/>
      <autoFilter ref="A3:AI96" xr:uid="{4ABD8268-E937-42A6-B3B5-194EC6E7B8B7}"/>
    </customSheetView>
    <customSheetView guid="{49BA5E93-E473-4F11-BE7E-FD55CB28D969}" filter="1" showAutoFilter="1">
      <pageMargins left="0.7" right="0.7" top="0.75" bottom="0.75" header="0.3" footer="0.3"/>
      <autoFilter ref="G5:AD96" xr:uid="{40205CFF-B713-4286-8954-FB4969BCACFB}">
        <filterColumn colId="15">
          <filters>
            <filter val="-"/>
            <filter val="(1)"/>
            <filter val="1"/>
            <filter val="10"/>
            <filter val="6"/>
            <filter val="9"/>
            <filter val="DTH"/>
            <filter val="MONITOREOS"/>
            <filter val="SEGUIMIENTO TRANSFERENCIAS"/>
            <filter val="SOPORTE OPERACIONES"/>
            <filter val="VIP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I96" xr:uid="{6223CBB4-DD63-4CD7-9C2B-1EA7B9725031}">
        <filterColumn colId="26">
          <filters>
            <filter val="-"/>
            <filter val="1"/>
            <filter val="2"/>
            <filter val="6"/>
            <filter val="MONITOREOS"/>
            <filter val="SOPORTE OPERACIONES"/>
            <filter val="VIP"/>
          </filters>
        </filterColumn>
      </autoFilter>
    </customSheetView>
  </customSheetViews>
  <mergeCells count="67">
    <mergeCell ref="V92:AC92"/>
    <mergeCell ref="V93:AC93"/>
    <mergeCell ref="E55:F55"/>
    <mergeCell ref="E74:F74"/>
    <mergeCell ref="AG42:AH42"/>
    <mergeCell ref="AG43:AH43"/>
    <mergeCell ref="AG44:AH44"/>
    <mergeCell ref="AG45:AH45"/>
    <mergeCell ref="AG46:AH46"/>
    <mergeCell ref="O49:Z49"/>
    <mergeCell ref="AG49:AH49"/>
    <mergeCell ref="AG89:AH89"/>
    <mergeCell ref="AG90:AH90"/>
    <mergeCell ref="AG91:AH91"/>
    <mergeCell ref="AG87:AH87"/>
    <mergeCell ref="AG88:AH88"/>
    <mergeCell ref="V31:AC31"/>
    <mergeCell ref="AG32:AH32"/>
    <mergeCell ref="AG33:AH33"/>
    <mergeCell ref="AG34:AH34"/>
    <mergeCell ref="N48:U48"/>
    <mergeCell ref="AG38:AH38"/>
    <mergeCell ref="AG39:AH39"/>
    <mergeCell ref="AG40:AH40"/>
    <mergeCell ref="AG41:AH41"/>
    <mergeCell ref="G27:AD27"/>
    <mergeCell ref="AG27:AH27"/>
    <mergeCell ref="AG28:AH28"/>
    <mergeCell ref="AG29:AH29"/>
    <mergeCell ref="AG30:AH30"/>
    <mergeCell ref="AG15:AH15"/>
    <mergeCell ref="P17:Z17"/>
    <mergeCell ref="AG24:AH24"/>
    <mergeCell ref="AG25:AH25"/>
    <mergeCell ref="AG26:AH26"/>
    <mergeCell ref="AG16:AH16"/>
    <mergeCell ref="AG18:AH18"/>
    <mergeCell ref="AG19:AH19"/>
    <mergeCell ref="AG20:AH20"/>
    <mergeCell ref="AG21:AH21"/>
    <mergeCell ref="AG94:AH94"/>
    <mergeCell ref="A1:B1"/>
    <mergeCell ref="D3:AE3"/>
    <mergeCell ref="E4:F4"/>
    <mergeCell ref="E5:F5"/>
    <mergeCell ref="AG7:AH7"/>
    <mergeCell ref="AG8:AH8"/>
    <mergeCell ref="AG9:AH9"/>
    <mergeCell ref="AG10:AH10"/>
    <mergeCell ref="AG11:AH11"/>
    <mergeCell ref="AG12:AH12"/>
    <mergeCell ref="AG13:AH13"/>
    <mergeCell ref="AG14:AH14"/>
    <mergeCell ref="AG84:AH84"/>
    <mergeCell ref="AG85:AH85"/>
    <mergeCell ref="AG86:AH86"/>
    <mergeCell ref="AG79:AH79"/>
    <mergeCell ref="AG80:AH80"/>
    <mergeCell ref="AG81:AH81"/>
    <mergeCell ref="AG82:AH82"/>
    <mergeCell ref="AG83:AH83"/>
    <mergeCell ref="AG78:AH78"/>
    <mergeCell ref="AG22:AH22"/>
    <mergeCell ref="AG23:AH23"/>
    <mergeCell ref="AG35:AH35"/>
    <mergeCell ref="AG36:AH36"/>
    <mergeCell ref="AG37:AH37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J85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6" width="27.7109375" customWidth="1"/>
  </cols>
  <sheetData>
    <row r="1" spans="1:36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47.25">
      <c r="A3" s="6" t="s">
        <v>3</v>
      </c>
      <c r="B3" s="7" t="s">
        <v>4</v>
      </c>
      <c r="C3" s="2"/>
      <c r="D3" s="565" t="s">
        <v>257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</row>
    <row r="4" spans="1:36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17">
        <v>7</v>
      </c>
      <c r="N4" s="94">
        <v>10</v>
      </c>
      <c r="O4" s="56">
        <v>13</v>
      </c>
      <c r="P4" s="83">
        <v>17</v>
      </c>
      <c r="Q4" s="144">
        <v>18</v>
      </c>
      <c r="R4" s="144">
        <v>18</v>
      </c>
      <c r="S4" s="144">
        <v>18</v>
      </c>
      <c r="T4" s="144">
        <v>18</v>
      </c>
      <c r="U4" s="144">
        <v>18</v>
      </c>
      <c r="V4" s="83">
        <v>17</v>
      </c>
      <c r="W4" s="83">
        <v>17</v>
      </c>
      <c r="X4" s="83">
        <v>17</v>
      </c>
      <c r="Y4" s="108">
        <v>15</v>
      </c>
      <c r="Z4" s="108">
        <v>15</v>
      </c>
      <c r="AA4" s="56">
        <v>13</v>
      </c>
      <c r="AB4" s="225">
        <v>8</v>
      </c>
      <c r="AC4" s="17">
        <v>7</v>
      </c>
      <c r="AD4" s="11">
        <v>4</v>
      </c>
      <c r="AE4" s="18">
        <f>SUM(G4:AD4)</f>
        <v>269</v>
      </c>
      <c r="AF4" s="3">
        <f>AE4/9</f>
        <v>29.888888888888889</v>
      </c>
      <c r="AG4" s="3"/>
      <c r="AH4" s="3"/>
      <c r="AI4" s="3"/>
      <c r="AJ4" s="3"/>
    </row>
    <row r="5" spans="1:36" ht="62.25">
      <c r="A5" s="3"/>
      <c r="B5" s="2"/>
      <c r="C5" s="2"/>
      <c r="D5" s="19"/>
      <c r="E5" s="569">
        <v>1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</row>
    <row r="6" spans="1:36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1</v>
      </c>
      <c r="N6" s="28">
        <f t="shared" si="0"/>
        <v>-2</v>
      </c>
      <c r="O6" s="84">
        <f t="shared" si="0"/>
        <v>0</v>
      </c>
      <c r="P6" s="84">
        <f t="shared" si="0"/>
        <v>-2</v>
      </c>
      <c r="Q6" s="84">
        <f t="shared" si="0"/>
        <v>-2</v>
      </c>
      <c r="R6" s="125">
        <f t="shared" si="0"/>
        <v>-2</v>
      </c>
      <c r="S6" s="125">
        <f t="shared" si="0"/>
        <v>-1</v>
      </c>
      <c r="T6" s="84">
        <f t="shared" si="0"/>
        <v>-1</v>
      </c>
      <c r="U6" s="84">
        <f t="shared" si="0"/>
        <v>-1</v>
      </c>
      <c r="V6" s="84">
        <f t="shared" si="0"/>
        <v>0</v>
      </c>
      <c r="W6" s="125">
        <f t="shared" si="0"/>
        <v>0</v>
      </c>
      <c r="X6" s="125">
        <f t="shared" si="0"/>
        <v>-1</v>
      </c>
      <c r="Y6" s="84">
        <f t="shared" si="0"/>
        <v>-2</v>
      </c>
      <c r="Z6" s="84">
        <f t="shared" si="0"/>
        <v>-1</v>
      </c>
      <c r="AA6" s="84">
        <f t="shared" si="0"/>
        <v>0</v>
      </c>
      <c r="AB6" s="125">
        <f t="shared" si="0"/>
        <v>0</v>
      </c>
      <c r="AC6" s="125">
        <f t="shared" si="0"/>
        <v>0</v>
      </c>
      <c r="AD6" s="28">
        <f t="shared" si="0"/>
        <v>0</v>
      </c>
      <c r="AE6" s="29">
        <f t="shared" ref="AE6:AE7" si="1">SUM(G6:AD6)</f>
        <v>-14</v>
      </c>
      <c r="AG6" s="24"/>
      <c r="AH6" s="24"/>
      <c r="AI6" s="24"/>
      <c r="AJ6" s="24"/>
    </row>
    <row r="7" spans="1:36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SUM(G8:G57)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8</v>
      </c>
      <c r="N7" s="35">
        <f t="shared" si="2"/>
        <v>8</v>
      </c>
      <c r="O7" s="35">
        <f t="shared" si="2"/>
        <v>13</v>
      </c>
      <c r="P7" s="35">
        <f t="shared" si="2"/>
        <v>15</v>
      </c>
      <c r="Q7" s="35">
        <f t="shared" si="2"/>
        <v>16</v>
      </c>
      <c r="R7" s="35">
        <f t="shared" si="2"/>
        <v>16</v>
      </c>
      <c r="S7" s="35">
        <f t="shared" si="2"/>
        <v>17</v>
      </c>
      <c r="T7" s="35">
        <f t="shared" si="2"/>
        <v>17</v>
      </c>
      <c r="U7" s="35">
        <f t="shared" si="2"/>
        <v>17</v>
      </c>
      <c r="V7" s="35">
        <f t="shared" si="2"/>
        <v>17</v>
      </c>
      <c r="W7" s="35">
        <f t="shared" si="2"/>
        <v>17</v>
      </c>
      <c r="X7" s="35">
        <f t="shared" si="2"/>
        <v>16</v>
      </c>
      <c r="Y7" s="35">
        <f t="shared" si="2"/>
        <v>13</v>
      </c>
      <c r="Z7" s="35">
        <f t="shared" si="2"/>
        <v>14</v>
      </c>
      <c r="AA7" s="35">
        <f t="shared" si="2"/>
        <v>13</v>
      </c>
      <c r="AB7" s="35">
        <f t="shared" si="2"/>
        <v>8</v>
      </c>
      <c r="AC7" s="35">
        <f t="shared" si="2"/>
        <v>7</v>
      </c>
      <c r="AD7" s="35">
        <f t="shared" si="2"/>
        <v>4</v>
      </c>
      <c r="AE7" s="30">
        <f t="shared" si="1"/>
        <v>255</v>
      </c>
      <c r="AF7" s="36" t="s">
        <v>39</v>
      </c>
      <c r="AG7" s="37" t="s">
        <v>40</v>
      </c>
      <c r="AH7" s="24"/>
      <c r="AI7" s="174" t="s">
        <v>441</v>
      </c>
      <c r="AJ7" s="174" t="s">
        <v>442</v>
      </c>
    </row>
    <row r="8" spans="1:36" ht="15.75">
      <c r="A8" s="76" t="s">
        <v>41</v>
      </c>
      <c r="B8" s="76" t="s">
        <v>45</v>
      </c>
      <c r="C8" s="76">
        <v>999600729</v>
      </c>
      <c r="D8" s="86">
        <v>1</v>
      </c>
      <c r="E8" s="87" t="s">
        <v>46</v>
      </c>
      <c r="F8" s="88">
        <f t="shared" ref="F8:F17" si="3">SUM(G8:AD8)</f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X8" s="226">
        <v>0</v>
      </c>
      <c r="Y8" s="226">
        <v>0</v>
      </c>
      <c r="Z8" s="226">
        <v>0</v>
      </c>
      <c r="AA8" s="226">
        <v>0</v>
      </c>
      <c r="AB8" s="226">
        <v>0</v>
      </c>
      <c r="AC8" s="226">
        <v>0</v>
      </c>
      <c r="AD8" s="226">
        <v>0</v>
      </c>
      <c r="AE8" s="112">
        <v>0</v>
      </c>
      <c r="AF8" s="89" t="s">
        <v>225</v>
      </c>
      <c r="AG8" s="44" t="s">
        <v>499</v>
      </c>
      <c r="AH8" s="25"/>
      <c r="AI8" s="180" t="s">
        <v>49</v>
      </c>
      <c r="AJ8" s="181">
        <v>2.6782407407407408E-2</v>
      </c>
    </row>
    <row r="9" spans="1:36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40" t="s">
        <v>53</v>
      </c>
      <c r="F9" s="41">
        <f t="shared" si="3"/>
        <v>12</v>
      </c>
      <c r="G9" s="42">
        <v>1</v>
      </c>
      <c r="H9" s="42">
        <v>1</v>
      </c>
      <c r="I9" s="42">
        <v>1</v>
      </c>
      <c r="J9" s="42">
        <v>1</v>
      </c>
      <c r="K9" s="42">
        <v>1</v>
      </c>
      <c r="L9" s="42">
        <v>1</v>
      </c>
      <c r="M9" s="42">
        <v>1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>
        <v>1</v>
      </c>
      <c r="AA9" s="42">
        <v>1</v>
      </c>
      <c r="AB9" s="42">
        <v>1</v>
      </c>
      <c r="AC9" s="42">
        <v>1</v>
      </c>
      <c r="AD9" s="42">
        <v>1</v>
      </c>
      <c r="AE9" s="41">
        <f t="shared" ref="AE9:AE17" si="4">SUM(G9:AD9)</f>
        <v>12</v>
      </c>
      <c r="AF9" s="46" t="s">
        <v>311</v>
      </c>
      <c r="AG9" s="44" t="s">
        <v>499</v>
      </c>
      <c r="AH9" s="25"/>
      <c r="AI9" s="183" t="s">
        <v>146</v>
      </c>
      <c r="AJ9" s="184">
        <v>8.4513888888888888E-2</v>
      </c>
    </row>
    <row r="10" spans="1:36" ht="14.25" customHeight="1">
      <c r="A10" s="98" t="s">
        <v>41</v>
      </c>
      <c r="B10" s="98" t="s">
        <v>55</v>
      </c>
      <c r="C10" s="98">
        <v>987983128</v>
      </c>
      <c r="D10" s="99">
        <v>3</v>
      </c>
      <c r="E10" s="100" t="s">
        <v>56</v>
      </c>
      <c r="F10" s="101">
        <f t="shared" si="3"/>
        <v>9</v>
      </c>
      <c r="G10" s="102"/>
      <c r="H10" s="102"/>
      <c r="I10" s="102"/>
      <c r="J10" s="102"/>
      <c r="K10" s="102"/>
      <c r="L10" s="102"/>
      <c r="M10" s="102"/>
      <c r="N10" s="227"/>
      <c r="O10" s="227"/>
      <c r="P10" s="227"/>
      <c r="Q10" s="227"/>
      <c r="R10" s="227"/>
      <c r="S10" s="227"/>
      <c r="T10" s="227"/>
      <c r="U10" s="227">
        <v>1</v>
      </c>
      <c r="V10" s="227">
        <v>1</v>
      </c>
      <c r="W10" s="227">
        <v>1</v>
      </c>
      <c r="X10" s="227">
        <v>1</v>
      </c>
      <c r="Y10" s="227">
        <v>1</v>
      </c>
      <c r="Z10" s="227">
        <v>1</v>
      </c>
      <c r="AA10" s="227">
        <v>1</v>
      </c>
      <c r="AB10" s="227">
        <v>1</v>
      </c>
      <c r="AC10" s="227">
        <v>1</v>
      </c>
      <c r="AD10" s="227"/>
      <c r="AE10" s="101">
        <f t="shared" si="4"/>
        <v>9</v>
      </c>
      <c r="AF10" s="104" t="s">
        <v>81</v>
      </c>
      <c r="AG10" s="105" t="s">
        <v>499</v>
      </c>
      <c r="AH10" s="228"/>
      <c r="AI10" s="183" t="s">
        <v>82</v>
      </c>
      <c r="AJ10" s="184">
        <v>3.726851851851852E-2</v>
      </c>
    </row>
    <row r="11" spans="1:36" ht="14.25" customHeight="1">
      <c r="A11" s="38" t="s">
        <v>41</v>
      </c>
      <c r="B11" s="38" t="s">
        <v>57</v>
      </c>
      <c r="C11" s="38"/>
      <c r="D11" s="86">
        <v>4</v>
      </c>
      <c r="E11" s="40" t="s">
        <v>58</v>
      </c>
      <c r="F11" s="41">
        <f t="shared" si="3"/>
        <v>7</v>
      </c>
      <c r="G11" s="42">
        <v>1</v>
      </c>
      <c r="H11" s="42">
        <v>1</v>
      </c>
      <c r="I11" s="42">
        <v>1</v>
      </c>
      <c r="J11" s="42">
        <v>1</v>
      </c>
      <c r="K11" s="42">
        <v>1</v>
      </c>
      <c r="L11" s="42">
        <v>1</v>
      </c>
      <c r="M11" s="42">
        <v>1</v>
      </c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1">
        <f t="shared" si="4"/>
        <v>7</v>
      </c>
      <c r="AF11" s="43" t="s">
        <v>284</v>
      </c>
      <c r="AG11" s="44" t="s">
        <v>499</v>
      </c>
      <c r="AH11" s="25"/>
      <c r="AI11" s="183" t="s">
        <v>500</v>
      </c>
      <c r="AJ11" s="184">
        <v>3.4722222222222222E-5</v>
      </c>
    </row>
    <row r="12" spans="1:36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00" t="s">
        <v>147</v>
      </c>
      <c r="F12" s="101">
        <f t="shared" si="3"/>
        <v>10</v>
      </c>
      <c r="G12" s="102"/>
      <c r="H12" s="102"/>
      <c r="I12" s="102"/>
      <c r="J12" s="102"/>
      <c r="K12" s="102"/>
      <c r="L12" s="102"/>
      <c r="M12" s="42">
        <v>1</v>
      </c>
      <c r="N12" s="42">
        <v>1</v>
      </c>
      <c r="O12" s="63">
        <v>1</v>
      </c>
      <c r="P12" s="63">
        <v>1</v>
      </c>
      <c r="Q12" s="42">
        <v>1</v>
      </c>
      <c r="R12" s="42">
        <v>1</v>
      </c>
      <c r="S12" s="42">
        <v>1</v>
      </c>
      <c r="T12" s="42">
        <v>1</v>
      </c>
      <c r="U12" s="42">
        <v>1</v>
      </c>
      <c r="V12" s="42">
        <v>1</v>
      </c>
      <c r="W12" s="42"/>
      <c r="X12" s="42"/>
      <c r="Y12" s="102"/>
      <c r="Z12" s="102"/>
      <c r="AA12" s="102"/>
      <c r="AB12" s="102"/>
      <c r="AC12" s="102"/>
      <c r="AD12" s="102"/>
      <c r="AE12" s="101">
        <f t="shared" si="4"/>
        <v>10</v>
      </c>
      <c r="AF12" s="43" t="s">
        <v>151</v>
      </c>
      <c r="AG12" s="105" t="s">
        <v>499</v>
      </c>
      <c r="AH12" s="228"/>
      <c r="AI12" s="183" t="s">
        <v>115</v>
      </c>
      <c r="AJ12" s="184">
        <v>1.4409722222222223E-2</v>
      </c>
    </row>
    <row r="13" spans="1:36" ht="14.25" customHeight="1">
      <c r="A13" s="38" t="s">
        <v>41</v>
      </c>
      <c r="B13" s="38" t="s">
        <v>59</v>
      </c>
      <c r="C13" s="38"/>
      <c r="D13" s="99">
        <v>6</v>
      </c>
      <c r="E13" s="40" t="s">
        <v>60</v>
      </c>
      <c r="F13" s="41">
        <f t="shared" si="3"/>
        <v>11</v>
      </c>
      <c r="G13" s="42"/>
      <c r="H13" s="42"/>
      <c r="I13" s="42"/>
      <c r="J13" s="42"/>
      <c r="K13" s="42"/>
      <c r="L13" s="42"/>
      <c r="M13" s="42"/>
      <c r="N13" s="42"/>
      <c r="O13" s="75">
        <v>1</v>
      </c>
      <c r="P13" s="42">
        <v>1</v>
      </c>
      <c r="Q13" s="42">
        <v>1</v>
      </c>
      <c r="R13" s="42">
        <v>1</v>
      </c>
      <c r="S13" s="42">
        <v>1</v>
      </c>
      <c r="T13" s="42">
        <v>1</v>
      </c>
      <c r="U13" s="42">
        <v>1</v>
      </c>
      <c r="V13" s="42"/>
      <c r="W13" s="42">
        <v>1</v>
      </c>
      <c r="X13" s="42">
        <v>1</v>
      </c>
      <c r="Y13" s="42">
        <v>1</v>
      </c>
      <c r="Z13" s="42">
        <v>1</v>
      </c>
      <c r="AA13" s="42"/>
      <c r="AB13" s="42"/>
      <c r="AC13" s="42"/>
      <c r="AD13" s="42"/>
      <c r="AE13" s="41">
        <f t="shared" si="4"/>
        <v>11</v>
      </c>
      <c r="AF13" s="43" t="s">
        <v>330</v>
      </c>
      <c r="AG13" s="44" t="s">
        <v>499</v>
      </c>
      <c r="AH13" s="25"/>
      <c r="AI13" s="183" t="s">
        <v>45</v>
      </c>
      <c r="AJ13" s="184">
        <v>2.1759259259259258E-3</v>
      </c>
    </row>
    <row r="14" spans="1:36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40" t="s">
        <v>63</v>
      </c>
      <c r="F14" s="41">
        <f t="shared" si="3"/>
        <v>10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>
        <v>1</v>
      </c>
      <c r="R14" s="42">
        <v>1</v>
      </c>
      <c r="S14" s="42">
        <v>1</v>
      </c>
      <c r="T14" s="42">
        <v>1</v>
      </c>
      <c r="U14" s="42"/>
      <c r="V14" s="42">
        <v>1</v>
      </c>
      <c r="W14" s="42">
        <v>1</v>
      </c>
      <c r="X14" s="42">
        <v>1</v>
      </c>
      <c r="Y14" s="42">
        <v>1</v>
      </c>
      <c r="Z14" s="42">
        <v>1</v>
      </c>
      <c r="AA14" s="42">
        <v>1</v>
      </c>
      <c r="AB14" s="42"/>
      <c r="AC14" s="42"/>
      <c r="AD14" s="42"/>
      <c r="AE14" s="41">
        <f t="shared" si="4"/>
        <v>10</v>
      </c>
      <c r="AF14" s="43" t="s">
        <v>501</v>
      </c>
      <c r="AG14" s="44" t="s">
        <v>499</v>
      </c>
      <c r="AH14" s="25"/>
      <c r="AI14" s="183" t="s">
        <v>446</v>
      </c>
      <c r="AJ14" s="184">
        <v>3.3321759259259259E-2</v>
      </c>
    </row>
    <row r="15" spans="1:36" ht="14.25" customHeight="1">
      <c r="A15" s="76" t="s">
        <v>41</v>
      </c>
      <c r="B15" s="76" t="s">
        <v>64</v>
      </c>
      <c r="C15" s="76">
        <v>995545886</v>
      </c>
      <c r="D15" s="86">
        <v>8</v>
      </c>
      <c r="E15" s="87" t="s">
        <v>65</v>
      </c>
      <c r="F15" s="88">
        <f t="shared" si="3"/>
        <v>0</v>
      </c>
      <c r="G15" s="109">
        <v>0</v>
      </c>
      <c r="H15" s="109">
        <v>0</v>
      </c>
      <c r="I15" s="109">
        <v>0</v>
      </c>
      <c r="J15" s="109">
        <v>0</v>
      </c>
      <c r="K15" s="109">
        <v>0</v>
      </c>
      <c r="L15" s="109">
        <v>0</v>
      </c>
      <c r="M15" s="109">
        <v>0</v>
      </c>
      <c r="N15" s="109">
        <v>0</v>
      </c>
      <c r="O15" s="109">
        <v>0</v>
      </c>
      <c r="P15" s="109">
        <v>0</v>
      </c>
      <c r="Q15" s="109">
        <v>0</v>
      </c>
      <c r="R15" s="109">
        <v>0</v>
      </c>
      <c r="S15" s="109">
        <v>0</v>
      </c>
      <c r="T15" s="109">
        <v>0</v>
      </c>
      <c r="U15" s="109">
        <v>0</v>
      </c>
      <c r="V15" s="109">
        <v>0</v>
      </c>
      <c r="W15" s="109">
        <v>0</v>
      </c>
      <c r="X15" s="109">
        <v>0</v>
      </c>
      <c r="Y15" s="109">
        <v>0</v>
      </c>
      <c r="Z15" s="109">
        <v>0</v>
      </c>
      <c r="AA15" s="109">
        <v>0</v>
      </c>
      <c r="AB15" s="109">
        <v>0</v>
      </c>
      <c r="AC15" s="109">
        <v>0</v>
      </c>
      <c r="AD15" s="109">
        <v>0</v>
      </c>
      <c r="AE15" s="229">
        <f t="shared" si="4"/>
        <v>0</v>
      </c>
      <c r="AF15" s="138" t="s">
        <v>225</v>
      </c>
      <c r="AG15" s="44" t="s">
        <v>499</v>
      </c>
      <c r="AH15" s="25"/>
      <c r="AI15" s="183" t="s">
        <v>55</v>
      </c>
      <c r="AJ15" s="184">
        <v>3.1550925925925927E-2</v>
      </c>
    </row>
    <row r="16" spans="1:36" ht="14.25" customHeight="1">
      <c r="A16" s="38" t="s">
        <v>41</v>
      </c>
      <c r="B16" s="38" t="s">
        <v>70</v>
      </c>
      <c r="C16" s="38"/>
      <c r="D16" s="99">
        <v>9</v>
      </c>
      <c r="E16" s="40" t="s">
        <v>71</v>
      </c>
      <c r="F16" s="41">
        <f t="shared" si="3"/>
        <v>9</v>
      </c>
      <c r="G16" s="42"/>
      <c r="H16" s="42"/>
      <c r="I16" s="42"/>
      <c r="J16" s="42"/>
      <c r="K16" s="42"/>
      <c r="L16" s="42"/>
      <c r="M16" s="42">
        <v>1</v>
      </c>
      <c r="N16" s="42">
        <v>1</v>
      </c>
      <c r="O16" s="42">
        <v>1</v>
      </c>
      <c r="P16" s="42">
        <v>1</v>
      </c>
      <c r="Q16" s="42">
        <v>1</v>
      </c>
      <c r="R16" s="42">
        <v>1</v>
      </c>
      <c r="S16" s="42">
        <v>1</v>
      </c>
      <c r="T16" s="42">
        <v>1</v>
      </c>
      <c r="U16" s="42"/>
      <c r="V16" s="42">
        <v>1</v>
      </c>
      <c r="W16" s="42"/>
      <c r="X16" s="42"/>
      <c r="Y16" s="42"/>
      <c r="Z16" s="42"/>
      <c r="AA16" s="42"/>
      <c r="AB16" s="42"/>
      <c r="AC16" s="42"/>
      <c r="AD16" s="42"/>
      <c r="AE16" s="41">
        <f t="shared" si="4"/>
        <v>9</v>
      </c>
      <c r="AF16" s="43" t="s">
        <v>502</v>
      </c>
      <c r="AG16" s="44" t="s">
        <v>499</v>
      </c>
      <c r="AH16" s="25"/>
      <c r="AI16" s="183" t="s">
        <v>449</v>
      </c>
      <c r="AJ16" s="184">
        <v>2.0625000000000001E-2</v>
      </c>
    </row>
    <row r="17" spans="1:36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40" t="s">
        <v>73</v>
      </c>
      <c r="F17" s="41">
        <f t="shared" si="3"/>
        <v>0</v>
      </c>
      <c r="G17" s="42" t="s">
        <v>352</v>
      </c>
      <c r="H17" s="42" t="s">
        <v>352</v>
      </c>
      <c r="I17" s="42" t="s">
        <v>352</v>
      </c>
      <c r="J17" s="42" t="s">
        <v>352</v>
      </c>
      <c r="K17" s="42" t="s">
        <v>352</v>
      </c>
      <c r="L17" s="42" t="s">
        <v>352</v>
      </c>
      <c r="M17" s="42" t="s">
        <v>352</v>
      </c>
      <c r="N17" s="42" t="s">
        <v>352</v>
      </c>
      <c r="O17" s="42" t="s">
        <v>352</v>
      </c>
      <c r="P17" s="42" t="s">
        <v>352</v>
      </c>
      <c r="Q17" s="42" t="s">
        <v>352</v>
      </c>
      <c r="R17" s="42" t="s">
        <v>352</v>
      </c>
      <c r="S17" s="42" t="s">
        <v>352</v>
      </c>
      <c r="T17" s="42" t="s">
        <v>352</v>
      </c>
      <c r="U17" s="42" t="s">
        <v>352</v>
      </c>
      <c r="V17" s="42" t="s">
        <v>352</v>
      </c>
      <c r="W17" s="42" t="s">
        <v>352</v>
      </c>
      <c r="X17" s="42" t="s">
        <v>352</v>
      </c>
      <c r="Y17" s="42" t="s">
        <v>352</v>
      </c>
      <c r="Z17" s="42" t="s">
        <v>352</v>
      </c>
      <c r="AA17" s="42" t="s">
        <v>352</v>
      </c>
      <c r="AB17" s="42" t="s">
        <v>352</v>
      </c>
      <c r="AC17" s="42" t="s">
        <v>352</v>
      </c>
      <c r="AD17" s="42" t="s">
        <v>352</v>
      </c>
      <c r="AE17" s="41">
        <f t="shared" si="4"/>
        <v>0</v>
      </c>
      <c r="AF17" s="64" t="s">
        <v>6</v>
      </c>
      <c r="AG17" s="44" t="s">
        <v>499</v>
      </c>
      <c r="AH17" s="25"/>
      <c r="AI17" s="183" t="s">
        <v>176</v>
      </c>
      <c r="AJ17" s="184">
        <v>2.3900462962962964E-2</v>
      </c>
    </row>
    <row r="18" spans="1:36" ht="14.25" customHeight="1">
      <c r="A18" s="38" t="s">
        <v>41</v>
      </c>
      <c r="B18" s="2" t="s">
        <v>79</v>
      </c>
      <c r="C18" s="2"/>
      <c r="D18" s="39">
        <v>11</v>
      </c>
      <c r="E18" s="40" t="s">
        <v>80</v>
      </c>
      <c r="F18" s="41">
        <v>12</v>
      </c>
      <c r="G18" s="42"/>
      <c r="H18" s="42"/>
      <c r="I18" s="42"/>
      <c r="J18" s="42"/>
      <c r="K18" s="42"/>
      <c r="L18" s="42"/>
      <c r="M18" s="42"/>
      <c r="N18" s="42"/>
      <c r="O18" s="582" t="s">
        <v>231</v>
      </c>
      <c r="P18" s="555"/>
      <c r="Q18" s="555"/>
      <c r="R18" s="555"/>
      <c r="S18" s="555"/>
      <c r="T18" s="555"/>
      <c r="U18" s="555"/>
      <c r="V18" s="555"/>
      <c r="W18" s="555"/>
      <c r="X18" s="555"/>
      <c r="Y18" s="555"/>
      <c r="Z18" s="542"/>
      <c r="AA18" s="42"/>
      <c r="AB18" s="42"/>
      <c r="AC18" s="42"/>
      <c r="AD18" s="42"/>
      <c r="AE18" s="41">
        <v>12</v>
      </c>
      <c r="AF18" s="43" t="s">
        <v>66</v>
      </c>
      <c r="AG18" s="44" t="s">
        <v>499</v>
      </c>
      <c r="AH18" s="25"/>
      <c r="AI18" s="183" t="s">
        <v>79</v>
      </c>
      <c r="AJ18" s="184">
        <v>4.7453703703703704E-4</v>
      </c>
    </row>
    <row r="19" spans="1:36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40" t="s">
        <v>83</v>
      </c>
      <c r="F19" s="41">
        <f>SUM(G19:AD19)</f>
        <v>9</v>
      </c>
      <c r="G19" s="42"/>
      <c r="H19" s="42"/>
      <c r="I19" s="42"/>
      <c r="J19" s="42"/>
      <c r="K19" s="42"/>
      <c r="L19" s="42"/>
      <c r="M19" s="42"/>
      <c r="N19" s="113" t="s">
        <v>231</v>
      </c>
      <c r="O19" s="42">
        <v>1</v>
      </c>
      <c r="P19" s="42">
        <v>1</v>
      </c>
      <c r="Q19" s="42">
        <v>1</v>
      </c>
      <c r="R19" s="42">
        <v>1</v>
      </c>
      <c r="S19" s="42">
        <v>1</v>
      </c>
      <c r="T19" s="42">
        <v>1</v>
      </c>
      <c r="U19" s="42"/>
      <c r="V19" s="42">
        <v>1</v>
      </c>
      <c r="W19" s="42">
        <v>1</v>
      </c>
      <c r="X19" s="42">
        <v>1</v>
      </c>
      <c r="Y19" s="42"/>
      <c r="Z19" s="42"/>
      <c r="AA19" s="42"/>
      <c r="AB19" s="42"/>
      <c r="AC19" s="42"/>
      <c r="AD19" s="42"/>
      <c r="AE19" s="41">
        <f>SUM(G19:AD19)</f>
        <v>9</v>
      </c>
      <c r="AF19" s="43" t="s">
        <v>279</v>
      </c>
      <c r="AG19" s="44" t="s">
        <v>499</v>
      </c>
      <c r="AH19" s="25"/>
      <c r="AI19" s="183" t="s">
        <v>88</v>
      </c>
      <c r="AJ19" s="184">
        <v>2.3344907407407408E-2</v>
      </c>
    </row>
    <row r="20" spans="1:36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40" t="s">
        <v>89</v>
      </c>
      <c r="F20" s="41">
        <v>12</v>
      </c>
      <c r="G20" s="42"/>
      <c r="H20" s="42"/>
      <c r="I20" s="42"/>
      <c r="J20" s="42"/>
      <c r="K20" s="42"/>
      <c r="L20" s="42"/>
      <c r="M20" s="42"/>
      <c r="N20" s="42"/>
      <c r="O20" s="42">
        <v>1</v>
      </c>
      <c r="P20" s="573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102"/>
      <c r="AB20" s="47"/>
      <c r="AC20" s="47"/>
      <c r="AD20" s="47"/>
      <c r="AE20" s="41">
        <v>12</v>
      </c>
      <c r="AF20" s="43" t="s">
        <v>66</v>
      </c>
      <c r="AG20" s="44" t="s">
        <v>499</v>
      </c>
      <c r="AH20" s="25"/>
      <c r="AI20" s="183" t="s">
        <v>111</v>
      </c>
      <c r="AJ20" s="184">
        <v>4.7546296296296295E-2</v>
      </c>
    </row>
    <row r="21" spans="1:36" ht="14.25" customHeight="1">
      <c r="A21" s="76" t="s">
        <v>41</v>
      </c>
      <c r="B21" s="76" t="s">
        <v>90</v>
      </c>
      <c r="C21" s="76">
        <v>961816449</v>
      </c>
      <c r="D21" s="86">
        <v>14</v>
      </c>
      <c r="E21" s="87" t="s">
        <v>91</v>
      </c>
      <c r="F21" s="88">
        <f>SUM(G21:AD21)</f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  <c r="Z21" s="77">
        <v>0</v>
      </c>
      <c r="AA21" s="77">
        <v>0</v>
      </c>
      <c r="AB21" s="77">
        <v>0</v>
      </c>
      <c r="AC21" s="77">
        <v>0</v>
      </c>
      <c r="AD21" s="77">
        <v>0</v>
      </c>
      <c r="AE21" s="41">
        <f>SUM(G21:AD21)</f>
        <v>0</v>
      </c>
      <c r="AF21" s="89" t="s">
        <v>225</v>
      </c>
      <c r="AG21" s="105" t="s">
        <v>499</v>
      </c>
      <c r="AH21" s="228"/>
      <c r="AI21" s="183" t="s">
        <v>456</v>
      </c>
      <c r="AJ21" s="184">
        <v>2.2256944444444444E-2</v>
      </c>
    </row>
    <row r="22" spans="1:36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40" t="s">
        <v>93</v>
      </c>
      <c r="F22" s="41">
        <v>9</v>
      </c>
      <c r="G22" s="42"/>
      <c r="H22" s="42"/>
      <c r="I22" s="42"/>
      <c r="J22" s="42"/>
      <c r="K22" s="42"/>
      <c r="L22" s="42"/>
      <c r="M22" s="42"/>
      <c r="N22" s="573" t="s">
        <v>292</v>
      </c>
      <c r="O22" s="555"/>
      <c r="P22" s="555"/>
      <c r="Q22" s="555"/>
      <c r="R22" s="555"/>
      <c r="S22" s="555"/>
      <c r="T22" s="555"/>
      <c r="U22" s="542"/>
      <c r="V22" s="42">
        <v>1</v>
      </c>
      <c r="W22" s="42"/>
      <c r="X22" s="42"/>
      <c r="Y22" s="42"/>
      <c r="Z22" s="42"/>
      <c r="AA22" s="42"/>
      <c r="AB22" s="42"/>
      <c r="AC22" s="42"/>
      <c r="AD22" s="42"/>
      <c r="AE22" s="41">
        <v>9</v>
      </c>
      <c r="AF22" s="43" t="s">
        <v>228</v>
      </c>
      <c r="AG22" s="44" t="s">
        <v>499</v>
      </c>
      <c r="AH22" s="25"/>
      <c r="AI22" s="183" t="s">
        <v>178</v>
      </c>
      <c r="AJ22" s="184">
        <v>1.1087962962962963E-2</v>
      </c>
    </row>
    <row r="23" spans="1:36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40" t="s">
        <v>95</v>
      </c>
      <c r="F23" s="41">
        <f t="shared" ref="F23:F57" si="5">SUM(G23:AD23)</f>
        <v>11</v>
      </c>
      <c r="G23" s="42"/>
      <c r="H23" s="42"/>
      <c r="I23" s="42"/>
      <c r="J23" s="42"/>
      <c r="K23" s="42"/>
      <c r="L23" s="42"/>
      <c r="M23" s="42">
        <v>1</v>
      </c>
      <c r="N23" s="42">
        <v>1</v>
      </c>
      <c r="O23" s="42">
        <v>1</v>
      </c>
      <c r="P23" s="42">
        <v>1</v>
      </c>
      <c r="Q23" s="42">
        <v>1</v>
      </c>
      <c r="R23" s="42">
        <v>1</v>
      </c>
      <c r="S23" s="42">
        <v>1</v>
      </c>
      <c r="T23" s="42">
        <v>1</v>
      </c>
      <c r="U23" s="42">
        <v>1</v>
      </c>
      <c r="V23" s="42"/>
      <c r="W23" s="42">
        <v>1</v>
      </c>
      <c r="X23" s="42">
        <v>1</v>
      </c>
      <c r="Y23" s="42"/>
      <c r="Z23" s="42"/>
      <c r="AA23" s="42"/>
      <c r="AB23" s="42"/>
      <c r="AC23" s="42"/>
      <c r="AD23" s="42"/>
      <c r="AE23" s="41">
        <f t="shared" ref="AE23:AE57" si="6">SUM(G23:AD23)</f>
        <v>11</v>
      </c>
      <c r="AF23" s="43" t="s">
        <v>342</v>
      </c>
      <c r="AG23" s="44" t="s">
        <v>499</v>
      </c>
      <c r="AH23" s="25"/>
      <c r="AI23" s="183" t="s">
        <v>190</v>
      </c>
      <c r="AJ23" s="184">
        <v>2.826388888888889E-2</v>
      </c>
    </row>
    <row r="24" spans="1:36" ht="14.25" customHeight="1">
      <c r="A24" s="76" t="s">
        <v>41</v>
      </c>
      <c r="B24" s="76" t="s">
        <v>198</v>
      </c>
      <c r="C24" s="76"/>
      <c r="D24" s="39">
        <v>17</v>
      </c>
      <c r="E24" s="87" t="s">
        <v>99</v>
      </c>
      <c r="F24" s="41">
        <f t="shared" si="5"/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  <c r="Z24" s="77">
        <v>0</v>
      </c>
      <c r="AA24" s="77">
        <v>0</v>
      </c>
      <c r="AB24" s="77">
        <v>0</v>
      </c>
      <c r="AC24" s="77">
        <v>0</v>
      </c>
      <c r="AD24" s="77">
        <v>0</v>
      </c>
      <c r="AE24" s="41">
        <f t="shared" si="6"/>
        <v>0</v>
      </c>
      <c r="AF24" s="89" t="s">
        <v>225</v>
      </c>
      <c r="AG24" s="105" t="s">
        <v>499</v>
      </c>
      <c r="AH24" s="228"/>
      <c r="AI24" s="183" t="s">
        <v>117</v>
      </c>
      <c r="AJ24" s="184">
        <v>3.0659722222222224E-2</v>
      </c>
    </row>
    <row r="25" spans="1:36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40" t="s">
        <v>102</v>
      </c>
      <c r="F25" s="41">
        <f t="shared" si="5"/>
        <v>8</v>
      </c>
      <c r="G25" s="42"/>
      <c r="H25" s="42"/>
      <c r="I25" s="42"/>
      <c r="J25" s="42"/>
      <c r="K25" s="42"/>
      <c r="L25" s="42"/>
      <c r="M25" s="42"/>
      <c r="N25" s="42"/>
      <c r="O25" s="113" t="s">
        <v>231</v>
      </c>
      <c r="P25" s="113" t="s">
        <v>231</v>
      </c>
      <c r="Q25" s="113" t="s">
        <v>231</v>
      </c>
      <c r="R25" s="113" t="s">
        <v>231</v>
      </c>
      <c r="S25" s="113" t="s">
        <v>231</v>
      </c>
      <c r="T25" s="113" t="s">
        <v>231</v>
      </c>
      <c r="U25" s="42">
        <v>1</v>
      </c>
      <c r="V25" s="42">
        <v>1</v>
      </c>
      <c r="W25" s="42">
        <v>1</v>
      </c>
      <c r="X25" s="42">
        <v>1</v>
      </c>
      <c r="Y25" s="42">
        <v>1</v>
      </c>
      <c r="Z25" s="42">
        <v>1</v>
      </c>
      <c r="AA25" s="42">
        <v>1</v>
      </c>
      <c r="AB25" s="42">
        <v>1</v>
      </c>
      <c r="AC25" s="42"/>
      <c r="AD25" s="42"/>
      <c r="AE25" s="41">
        <f t="shared" si="6"/>
        <v>8</v>
      </c>
      <c r="AF25" s="43" t="s">
        <v>503</v>
      </c>
      <c r="AG25" s="44" t="s">
        <v>499</v>
      </c>
      <c r="AH25" s="25"/>
      <c r="AI25" s="183" t="s">
        <v>120</v>
      </c>
      <c r="AJ25" s="184">
        <v>7.0717592592592596E-2</v>
      </c>
    </row>
    <row r="26" spans="1:36" ht="14.25" customHeight="1">
      <c r="A26" s="38" t="s">
        <v>41</v>
      </c>
      <c r="B26" s="38" t="s">
        <v>103</v>
      </c>
      <c r="C26" s="38"/>
      <c r="D26" s="86">
        <v>19</v>
      </c>
      <c r="E26" s="40" t="s">
        <v>104</v>
      </c>
      <c r="F26" s="41">
        <f t="shared" si="5"/>
        <v>8</v>
      </c>
      <c r="G26" s="42"/>
      <c r="H26" s="42"/>
      <c r="I26" s="42"/>
      <c r="J26" s="42"/>
      <c r="K26" s="42"/>
      <c r="L26" s="42"/>
      <c r="M26" s="42"/>
      <c r="N26" s="42"/>
      <c r="O26" s="113" t="s">
        <v>231</v>
      </c>
      <c r="P26" s="113" t="s">
        <v>231</v>
      </c>
      <c r="Q26" s="113" t="s">
        <v>231</v>
      </c>
      <c r="R26" s="113" t="s">
        <v>231</v>
      </c>
      <c r="S26" s="42">
        <v>1</v>
      </c>
      <c r="T26" s="42">
        <v>1</v>
      </c>
      <c r="U26" s="42">
        <v>1</v>
      </c>
      <c r="V26" s="42"/>
      <c r="W26" s="42">
        <v>1</v>
      </c>
      <c r="X26" s="42">
        <v>1</v>
      </c>
      <c r="Y26" s="42">
        <v>1</v>
      </c>
      <c r="Z26" s="42">
        <v>1</v>
      </c>
      <c r="AA26" s="42">
        <v>1</v>
      </c>
      <c r="AB26" s="42"/>
      <c r="AC26" s="42"/>
      <c r="AD26" s="42"/>
      <c r="AE26" s="41">
        <f t="shared" si="6"/>
        <v>8</v>
      </c>
      <c r="AF26" s="43" t="s">
        <v>504</v>
      </c>
      <c r="AG26" s="44" t="s">
        <v>499</v>
      </c>
      <c r="AH26" s="25"/>
      <c r="AI26" s="183" t="s">
        <v>128</v>
      </c>
      <c r="AJ26" s="184">
        <v>0.30385416666666665</v>
      </c>
    </row>
    <row r="27" spans="1:36" ht="14.25" customHeight="1">
      <c r="A27" s="38" t="s">
        <v>41</v>
      </c>
      <c r="B27" s="38" t="s">
        <v>332</v>
      </c>
      <c r="C27" s="38"/>
      <c r="D27" s="39">
        <v>20</v>
      </c>
      <c r="E27" s="40" t="s">
        <v>333</v>
      </c>
      <c r="F27" s="41">
        <f t="shared" si="5"/>
        <v>6</v>
      </c>
      <c r="G27" s="42"/>
      <c r="H27" s="42"/>
      <c r="I27" s="42"/>
      <c r="J27" s="42"/>
      <c r="K27" s="42"/>
      <c r="L27" s="42"/>
      <c r="M27" s="42"/>
      <c r="N27" s="42">
        <v>1</v>
      </c>
      <c r="O27" s="42">
        <v>1</v>
      </c>
      <c r="P27" s="42">
        <v>1</v>
      </c>
      <c r="Q27" s="42">
        <v>1</v>
      </c>
      <c r="R27" s="42">
        <v>1</v>
      </c>
      <c r="S27" s="42">
        <v>1</v>
      </c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1">
        <f t="shared" si="6"/>
        <v>6</v>
      </c>
      <c r="AF27" s="43" t="s">
        <v>315</v>
      </c>
      <c r="AG27" s="44" t="s">
        <v>499</v>
      </c>
      <c r="AH27" s="25"/>
      <c r="AI27" s="183" t="s">
        <v>149</v>
      </c>
      <c r="AJ27" s="184">
        <v>1.7592592592592592E-3</v>
      </c>
    </row>
    <row r="28" spans="1:36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40" t="s">
        <v>172</v>
      </c>
      <c r="F28" s="41">
        <f t="shared" si="5"/>
        <v>9</v>
      </c>
      <c r="G28" s="42"/>
      <c r="H28" s="42"/>
      <c r="I28" s="42"/>
      <c r="J28" s="42"/>
      <c r="K28" s="42"/>
      <c r="L28" s="42"/>
      <c r="M28" s="42">
        <v>1</v>
      </c>
      <c r="N28" s="42">
        <v>1</v>
      </c>
      <c r="O28" s="63">
        <v>1</v>
      </c>
      <c r="P28" s="63">
        <v>1</v>
      </c>
      <c r="Q28" s="63">
        <v>1</v>
      </c>
      <c r="R28" s="42">
        <v>1</v>
      </c>
      <c r="S28" s="42">
        <v>1</v>
      </c>
      <c r="T28" s="42">
        <v>1</v>
      </c>
      <c r="U28" s="42">
        <v>1</v>
      </c>
      <c r="V28" s="42"/>
      <c r="W28" s="42"/>
      <c r="X28" s="42"/>
      <c r="Y28" s="42"/>
      <c r="Z28" s="42"/>
      <c r="AA28" s="42"/>
      <c r="AB28" s="42"/>
      <c r="AC28" s="42"/>
      <c r="AD28" s="42"/>
      <c r="AE28" s="41">
        <f t="shared" si="6"/>
        <v>9</v>
      </c>
      <c r="AF28" s="43" t="s">
        <v>244</v>
      </c>
      <c r="AG28" s="44" t="s">
        <v>499</v>
      </c>
      <c r="AH28" s="25"/>
      <c r="AI28" s="183" t="s">
        <v>94</v>
      </c>
      <c r="AJ28" s="184">
        <v>3.0914351851851853E-2</v>
      </c>
    </row>
    <row r="29" spans="1:36" ht="14.25" customHeight="1">
      <c r="A29" s="38" t="s">
        <v>41</v>
      </c>
      <c r="B29" s="38" t="s">
        <v>105</v>
      </c>
      <c r="C29" s="38"/>
      <c r="D29" s="86">
        <v>22</v>
      </c>
      <c r="E29" s="40" t="s">
        <v>106</v>
      </c>
      <c r="F29" s="41">
        <f t="shared" si="5"/>
        <v>6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>
        <v>1</v>
      </c>
      <c r="Z29" s="42">
        <v>1</v>
      </c>
      <c r="AA29" s="42">
        <v>1</v>
      </c>
      <c r="AB29" s="42">
        <v>1</v>
      </c>
      <c r="AC29" s="42">
        <v>1</v>
      </c>
      <c r="AD29" s="42">
        <v>1</v>
      </c>
      <c r="AE29" s="41">
        <f t="shared" si="6"/>
        <v>6</v>
      </c>
      <c r="AF29" s="43" t="s">
        <v>281</v>
      </c>
      <c r="AG29" s="44" t="s">
        <v>499</v>
      </c>
      <c r="AH29" s="25"/>
      <c r="AI29" s="183" t="s">
        <v>139</v>
      </c>
      <c r="AJ29" s="184">
        <v>2.8773148148148148E-2</v>
      </c>
    </row>
    <row r="30" spans="1:36" ht="14.25" customHeight="1">
      <c r="A30" s="98" t="s">
        <v>41</v>
      </c>
      <c r="B30" s="98" t="s">
        <v>111</v>
      </c>
      <c r="C30" s="98"/>
      <c r="D30" s="39">
        <v>23</v>
      </c>
      <c r="E30" s="100" t="s">
        <v>112</v>
      </c>
      <c r="F30" s="41">
        <f t="shared" si="5"/>
        <v>10</v>
      </c>
      <c r="G30" s="42"/>
      <c r="H30" s="42"/>
      <c r="I30" s="42"/>
      <c r="J30" s="42"/>
      <c r="K30" s="42"/>
      <c r="L30" s="42"/>
      <c r="M30" s="42">
        <v>1</v>
      </c>
      <c r="N30" s="42">
        <v>1</v>
      </c>
      <c r="O30" s="42">
        <v>1</v>
      </c>
      <c r="P30" s="42">
        <v>1</v>
      </c>
      <c r="Q30" s="42">
        <v>1</v>
      </c>
      <c r="R30" s="42">
        <v>1</v>
      </c>
      <c r="S30" s="42">
        <v>1</v>
      </c>
      <c r="T30" s="42">
        <v>1</v>
      </c>
      <c r="U30" s="42">
        <v>1</v>
      </c>
      <c r="V30" s="42">
        <v>1</v>
      </c>
      <c r="W30" s="42"/>
      <c r="X30" s="42"/>
      <c r="Y30" s="42"/>
      <c r="Z30" s="42"/>
      <c r="AA30" s="102"/>
      <c r="AB30" s="102"/>
      <c r="AC30" s="102"/>
      <c r="AD30" s="102"/>
      <c r="AE30" s="41">
        <f t="shared" si="6"/>
        <v>10</v>
      </c>
      <c r="AF30" s="104" t="s">
        <v>151</v>
      </c>
      <c r="AG30" s="44" t="s">
        <v>499</v>
      </c>
      <c r="AH30" s="25"/>
      <c r="AI30" s="183" t="s">
        <v>171</v>
      </c>
      <c r="AJ30" s="184">
        <v>1.4467592592592593E-2</v>
      </c>
    </row>
    <row r="31" spans="1:36" ht="14.25" customHeight="1">
      <c r="A31" s="98" t="s">
        <v>41</v>
      </c>
      <c r="B31" s="38" t="s">
        <v>115</v>
      </c>
      <c r="C31" s="38">
        <v>962936744</v>
      </c>
      <c r="D31" s="99">
        <v>24</v>
      </c>
      <c r="E31" s="40" t="s">
        <v>116</v>
      </c>
      <c r="F31" s="41">
        <f t="shared" si="5"/>
        <v>7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>
        <v>1</v>
      </c>
      <c r="Y31" s="42">
        <v>1</v>
      </c>
      <c r="Z31" s="42">
        <v>1</v>
      </c>
      <c r="AA31" s="42">
        <v>1</v>
      </c>
      <c r="AB31" s="42">
        <v>1</v>
      </c>
      <c r="AC31" s="42">
        <v>1</v>
      </c>
      <c r="AD31" s="42">
        <v>1</v>
      </c>
      <c r="AE31" s="41">
        <f t="shared" si="6"/>
        <v>7</v>
      </c>
      <c r="AF31" s="46" t="s">
        <v>74</v>
      </c>
      <c r="AG31" s="44" t="s">
        <v>499</v>
      </c>
      <c r="AH31" s="25"/>
      <c r="AI31" s="183" t="s">
        <v>59</v>
      </c>
      <c r="AJ31" s="184">
        <v>2.6793981481481481E-2</v>
      </c>
    </row>
    <row r="32" spans="1:36" ht="14.25" customHeight="1">
      <c r="A32" s="98" t="s">
        <v>41</v>
      </c>
      <c r="B32" s="38" t="s">
        <v>120</v>
      </c>
      <c r="C32" s="38"/>
      <c r="D32" s="86">
        <v>25</v>
      </c>
      <c r="E32" s="100" t="s">
        <v>121</v>
      </c>
      <c r="F32" s="41">
        <f t="shared" si="5"/>
        <v>12</v>
      </c>
      <c r="G32" s="102"/>
      <c r="H32" s="102"/>
      <c r="I32" s="102"/>
      <c r="J32" s="102"/>
      <c r="K32" s="102"/>
      <c r="L32" s="102"/>
      <c r="M32" s="102"/>
      <c r="N32" s="102"/>
      <c r="O32" s="227">
        <v>1</v>
      </c>
      <c r="P32" s="102">
        <v>1</v>
      </c>
      <c r="Q32" s="102">
        <v>1</v>
      </c>
      <c r="R32" s="102">
        <v>1</v>
      </c>
      <c r="S32" s="102">
        <v>1</v>
      </c>
      <c r="T32" s="102">
        <v>1</v>
      </c>
      <c r="U32" s="102">
        <v>1</v>
      </c>
      <c r="V32" s="102"/>
      <c r="W32" s="102">
        <v>1</v>
      </c>
      <c r="X32" s="102">
        <v>1</v>
      </c>
      <c r="Y32" s="102">
        <v>1</v>
      </c>
      <c r="Z32" s="102">
        <v>1</v>
      </c>
      <c r="AA32" s="102">
        <v>1</v>
      </c>
      <c r="AB32" s="102"/>
      <c r="AC32" s="102"/>
      <c r="AD32" s="102"/>
      <c r="AE32" s="41">
        <f t="shared" si="6"/>
        <v>12</v>
      </c>
      <c r="AF32" s="104" t="s">
        <v>360</v>
      </c>
      <c r="AG32" s="44" t="s">
        <v>499</v>
      </c>
      <c r="AH32" s="25"/>
      <c r="AI32" s="183" t="s">
        <v>62</v>
      </c>
      <c r="AJ32" s="184">
        <v>3.4328703703703702E-2</v>
      </c>
    </row>
    <row r="33" spans="1:36" ht="14.25" customHeight="1">
      <c r="A33" s="98" t="s">
        <v>41</v>
      </c>
      <c r="B33" s="38" t="s">
        <v>122</v>
      </c>
      <c r="C33" s="38">
        <v>984490770</v>
      </c>
      <c r="D33" s="39">
        <v>26</v>
      </c>
      <c r="E33" s="100" t="s">
        <v>123</v>
      </c>
      <c r="F33" s="41">
        <f t="shared" si="5"/>
        <v>11</v>
      </c>
      <c r="G33" s="102"/>
      <c r="H33" s="102"/>
      <c r="I33" s="102"/>
      <c r="J33" s="102"/>
      <c r="K33" s="102"/>
      <c r="L33" s="102"/>
      <c r="M33" s="102"/>
      <c r="N33" s="227"/>
      <c r="O33" s="227"/>
      <c r="P33" s="227">
        <v>1</v>
      </c>
      <c r="Q33" s="227">
        <v>1</v>
      </c>
      <c r="R33" s="227">
        <v>1</v>
      </c>
      <c r="S33" s="227">
        <v>1</v>
      </c>
      <c r="T33" s="227">
        <v>1</v>
      </c>
      <c r="U33" s="227">
        <v>1</v>
      </c>
      <c r="V33" s="227"/>
      <c r="W33" s="227">
        <v>1</v>
      </c>
      <c r="X33" s="227">
        <v>1</v>
      </c>
      <c r="Y33" s="227">
        <v>1</v>
      </c>
      <c r="Z33" s="227">
        <v>1</v>
      </c>
      <c r="AA33" s="227">
        <v>1</v>
      </c>
      <c r="AB33" s="227"/>
      <c r="AC33" s="227"/>
      <c r="AD33" s="227"/>
      <c r="AE33" s="41">
        <f t="shared" si="6"/>
        <v>11</v>
      </c>
      <c r="AF33" s="104" t="s">
        <v>248</v>
      </c>
      <c r="AG33" s="44" t="s">
        <v>499</v>
      </c>
      <c r="AH33" s="25"/>
      <c r="AI33" s="183" t="s">
        <v>67</v>
      </c>
      <c r="AJ33" s="184">
        <v>1.5046296296296295E-2</v>
      </c>
    </row>
    <row r="34" spans="1:36" ht="14.25" customHeight="1">
      <c r="A34" s="98" t="s">
        <v>41</v>
      </c>
      <c r="B34" s="38" t="s">
        <v>124</v>
      </c>
      <c r="C34" s="38">
        <v>979137365</v>
      </c>
      <c r="D34" s="99">
        <v>27</v>
      </c>
      <c r="E34" s="40" t="s">
        <v>125</v>
      </c>
      <c r="F34" s="41">
        <f t="shared" si="5"/>
        <v>11</v>
      </c>
      <c r="G34" s="42"/>
      <c r="H34" s="42"/>
      <c r="I34" s="42"/>
      <c r="J34" s="42"/>
      <c r="K34" s="42"/>
      <c r="L34" s="42"/>
      <c r="M34" s="42"/>
      <c r="N34" s="42">
        <v>1</v>
      </c>
      <c r="O34" s="42">
        <v>1</v>
      </c>
      <c r="P34" s="42">
        <v>1</v>
      </c>
      <c r="Q34" s="42">
        <v>1</v>
      </c>
      <c r="R34" s="42">
        <v>1</v>
      </c>
      <c r="S34" s="42">
        <v>1</v>
      </c>
      <c r="T34" s="42">
        <v>1</v>
      </c>
      <c r="U34" s="42">
        <v>1</v>
      </c>
      <c r="V34" s="42">
        <v>1</v>
      </c>
      <c r="W34" s="42">
        <v>1</v>
      </c>
      <c r="X34" s="42">
        <v>1</v>
      </c>
      <c r="Y34" s="42"/>
      <c r="Z34" s="42"/>
      <c r="AA34" s="42"/>
      <c r="AB34" s="42"/>
      <c r="AC34" s="42"/>
      <c r="AD34" s="42"/>
      <c r="AE34" s="41">
        <f t="shared" si="6"/>
        <v>11</v>
      </c>
      <c r="AF34" s="43" t="s">
        <v>154</v>
      </c>
      <c r="AG34" s="44" t="s">
        <v>499</v>
      </c>
      <c r="AH34" s="25"/>
      <c r="AI34" s="183" t="s">
        <v>101</v>
      </c>
      <c r="AJ34" s="184">
        <v>4.6180555555555558E-2</v>
      </c>
    </row>
    <row r="35" spans="1:36" ht="14.25" customHeight="1">
      <c r="A35" s="98" t="s">
        <v>41</v>
      </c>
      <c r="B35" s="76" t="s">
        <v>126</v>
      </c>
      <c r="C35" s="76">
        <v>986256130</v>
      </c>
      <c r="D35" s="86">
        <v>28</v>
      </c>
      <c r="E35" s="87" t="s">
        <v>127</v>
      </c>
      <c r="F35" s="41">
        <f t="shared" si="5"/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  <c r="Z35" s="77">
        <v>0</v>
      </c>
      <c r="AA35" s="77">
        <v>0</v>
      </c>
      <c r="AB35" s="77">
        <v>0</v>
      </c>
      <c r="AC35" s="77">
        <v>0</v>
      </c>
      <c r="AD35" s="77">
        <v>0</v>
      </c>
      <c r="AE35" s="41">
        <f t="shared" si="6"/>
        <v>0</v>
      </c>
      <c r="AF35" s="89" t="s">
        <v>225</v>
      </c>
      <c r="AG35" s="44" t="s">
        <v>499</v>
      </c>
      <c r="AH35" s="25"/>
      <c r="AI35" s="183" t="s">
        <v>105</v>
      </c>
      <c r="AJ35" s="184">
        <v>1.2291666666666666E-2</v>
      </c>
    </row>
    <row r="36" spans="1:36" ht="14.25" customHeight="1">
      <c r="A36" s="98" t="s">
        <v>41</v>
      </c>
      <c r="B36" s="38" t="s">
        <v>128</v>
      </c>
      <c r="C36" s="38"/>
      <c r="D36" s="39">
        <v>29</v>
      </c>
      <c r="E36" s="40" t="s">
        <v>129</v>
      </c>
      <c r="F36" s="41">
        <f t="shared" si="5"/>
        <v>9</v>
      </c>
      <c r="G36" s="42">
        <v>1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>
        <v>1</v>
      </c>
      <c r="W36" s="42">
        <v>1</v>
      </c>
      <c r="X36" s="42">
        <v>1</v>
      </c>
      <c r="Y36" s="42">
        <v>1</v>
      </c>
      <c r="Z36" s="42">
        <v>1</v>
      </c>
      <c r="AA36" s="42">
        <v>1</v>
      </c>
      <c r="AB36" s="42">
        <v>1</v>
      </c>
      <c r="AC36" s="42">
        <v>1</v>
      </c>
      <c r="AD36" s="42"/>
      <c r="AE36" s="41">
        <f t="shared" si="6"/>
        <v>9</v>
      </c>
      <c r="AF36" s="43" t="s">
        <v>505</v>
      </c>
      <c r="AG36" s="44" t="s">
        <v>499</v>
      </c>
      <c r="AH36" s="25"/>
      <c r="AI36" s="183" t="s">
        <v>122</v>
      </c>
      <c r="AJ36" s="184">
        <v>4.1145833333333333E-2</v>
      </c>
    </row>
    <row r="37" spans="1:36" ht="14.25" customHeight="1">
      <c r="A37" s="98" t="s">
        <v>41</v>
      </c>
      <c r="B37" s="98" t="s">
        <v>130</v>
      </c>
      <c r="C37" s="98">
        <v>998810875</v>
      </c>
      <c r="D37" s="99">
        <v>30</v>
      </c>
      <c r="E37" s="100" t="s">
        <v>131</v>
      </c>
      <c r="F37" s="41">
        <f t="shared" si="5"/>
        <v>9</v>
      </c>
      <c r="G37" s="102"/>
      <c r="H37" s="102"/>
      <c r="I37" s="102"/>
      <c r="J37" s="102"/>
      <c r="K37" s="102"/>
      <c r="L37" s="102"/>
      <c r="M37" s="77"/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/>
      <c r="T37" s="42">
        <v>1</v>
      </c>
      <c r="U37" s="42">
        <v>1</v>
      </c>
      <c r="V37" s="42">
        <v>1</v>
      </c>
      <c r="W37" s="42">
        <v>1</v>
      </c>
      <c r="X37" s="42"/>
      <c r="Y37" s="42"/>
      <c r="Z37" s="42"/>
      <c r="AA37" s="42"/>
      <c r="AB37" s="42"/>
      <c r="AC37" s="42"/>
      <c r="AD37" s="42"/>
      <c r="AE37" s="41">
        <f t="shared" si="6"/>
        <v>9</v>
      </c>
      <c r="AF37" s="43" t="s">
        <v>235</v>
      </c>
      <c r="AG37" s="44" t="s">
        <v>499</v>
      </c>
      <c r="AH37" s="25"/>
      <c r="AI37" s="183" t="s">
        <v>160</v>
      </c>
      <c r="AJ37" s="184">
        <v>1.1608796296296296E-2</v>
      </c>
    </row>
    <row r="38" spans="1:36" ht="14.25" customHeight="1">
      <c r="A38" s="98" t="s">
        <v>41</v>
      </c>
      <c r="B38" s="38" t="s">
        <v>49</v>
      </c>
      <c r="C38" s="38">
        <v>983804379</v>
      </c>
      <c r="D38" s="86">
        <v>31</v>
      </c>
      <c r="E38" s="231" t="s">
        <v>50</v>
      </c>
      <c r="F38" s="41">
        <f t="shared" si="5"/>
        <v>7</v>
      </c>
      <c r="G38" s="42">
        <v>1</v>
      </c>
      <c r="H38" s="42">
        <v>1</v>
      </c>
      <c r="I38" s="42">
        <v>1</v>
      </c>
      <c r="J38" s="42">
        <v>1</v>
      </c>
      <c r="K38" s="42">
        <v>1</v>
      </c>
      <c r="L38" s="42">
        <v>1</v>
      </c>
      <c r="M38" s="42">
        <v>1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1">
        <f t="shared" si="6"/>
        <v>7</v>
      </c>
      <c r="AF38" s="46" t="s">
        <v>284</v>
      </c>
      <c r="AG38" s="44" t="s">
        <v>499</v>
      </c>
      <c r="AH38" s="25"/>
      <c r="AI38" s="183" t="s">
        <v>167</v>
      </c>
      <c r="AJ38" s="184">
        <v>8.2824074074074078E-2</v>
      </c>
    </row>
    <row r="39" spans="1:36" ht="14.25" customHeight="1">
      <c r="A39" s="98" t="s">
        <v>41</v>
      </c>
      <c r="B39" s="38" t="s">
        <v>134</v>
      </c>
      <c r="C39" s="38">
        <v>962839078</v>
      </c>
      <c r="D39" s="39">
        <v>32</v>
      </c>
      <c r="E39" s="231" t="s">
        <v>135</v>
      </c>
      <c r="F39" s="41">
        <f t="shared" si="5"/>
        <v>8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>
        <v>1</v>
      </c>
      <c r="W39" s="42">
        <v>1</v>
      </c>
      <c r="X39" s="42">
        <v>1</v>
      </c>
      <c r="Y39" s="42">
        <v>1</v>
      </c>
      <c r="Z39" s="42">
        <v>1</v>
      </c>
      <c r="AA39" s="42">
        <v>1</v>
      </c>
      <c r="AB39" s="42">
        <v>1</v>
      </c>
      <c r="AC39" s="42">
        <v>1</v>
      </c>
      <c r="AD39" s="42"/>
      <c r="AE39" s="41">
        <f t="shared" si="6"/>
        <v>8</v>
      </c>
      <c r="AF39" s="43" t="s">
        <v>218</v>
      </c>
      <c r="AG39" s="44" t="s">
        <v>499</v>
      </c>
      <c r="AH39" s="25"/>
      <c r="AI39" s="183" t="s">
        <v>168</v>
      </c>
      <c r="AJ39" s="184">
        <v>3.472222222222222E-3</v>
      </c>
    </row>
    <row r="40" spans="1:36" ht="14.25" customHeight="1">
      <c r="A40" s="98" t="s">
        <v>41</v>
      </c>
      <c r="B40" s="38" t="s">
        <v>139</v>
      </c>
      <c r="C40" s="38">
        <v>990660059</v>
      </c>
      <c r="D40" s="99">
        <v>33</v>
      </c>
      <c r="E40" s="231" t="s">
        <v>140</v>
      </c>
      <c r="F40" s="41">
        <f t="shared" si="5"/>
        <v>8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>
        <v>1</v>
      </c>
      <c r="U40" s="42">
        <v>1</v>
      </c>
      <c r="V40" s="42">
        <v>1</v>
      </c>
      <c r="W40" s="42">
        <v>1</v>
      </c>
      <c r="X40" s="42">
        <v>1</v>
      </c>
      <c r="Y40" s="42">
        <v>1</v>
      </c>
      <c r="Z40" s="42">
        <v>1</v>
      </c>
      <c r="AA40" s="42">
        <v>1</v>
      </c>
      <c r="AB40" s="42"/>
      <c r="AC40" s="42"/>
      <c r="AD40" s="42"/>
      <c r="AE40" s="41">
        <f t="shared" si="6"/>
        <v>8</v>
      </c>
      <c r="AF40" s="43" t="s">
        <v>293</v>
      </c>
      <c r="AG40" s="44" t="s">
        <v>499</v>
      </c>
      <c r="AH40" s="25"/>
      <c r="AI40" s="183" t="s">
        <v>165</v>
      </c>
      <c r="AJ40" s="184">
        <v>8.2175925925925923E-3</v>
      </c>
    </row>
    <row r="41" spans="1:36" ht="14.25" customHeight="1">
      <c r="A41" s="98" t="s">
        <v>41</v>
      </c>
      <c r="B41" s="38" t="s">
        <v>117</v>
      </c>
      <c r="C41" s="38"/>
      <c r="D41" s="86">
        <v>34</v>
      </c>
      <c r="E41" s="231" t="s">
        <v>118</v>
      </c>
      <c r="F41" s="41">
        <f t="shared" si="5"/>
        <v>8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>
        <v>1</v>
      </c>
      <c r="X41" s="42">
        <v>1</v>
      </c>
      <c r="Y41" s="42">
        <v>1</v>
      </c>
      <c r="Z41" s="42">
        <v>1</v>
      </c>
      <c r="AA41" s="42">
        <v>1</v>
      </c>
      <c r="AB41" s="42">
        <v>1</v>
      </c>
      <c r="AC41" s="42">
        <v>1</v>
      </c>
      <c r="AD41" s="42">
        <v>1</v>
      </c>
      <c r="AE41" s="41">
        <f t="shared" si="6"/>
        <v>8</v>
      </c>
      <c r="AF41" s="43" t="s">
        <v>377</v>
      </c>
      <c r="AG41" s="44" t="s">
        <v>499</v>
      </c>
      <c r="AH41" s="25"/>
      <c r="AI41" s="183" t="s">
        <v>70</v>
      </c>
      <c r="AJ41" s="184">
        <v>2.329861111111111E-2</v>
      </c>
    </row>
    <row r="42" spans="1:36" ht="14.25" customHeight="1">
      <c r="A42" s="98" t="s">
        <v>41</v>
      </c>
      <c r="B42" s="98" t="s">
        <v>142</v>
      </c>
      <c r="C42" s="98">
        <v>982807786</v>
      </c>
      <c r="D42" s="99">
        <v>35</v>
      </c>
      <c r="E42" s="232" t="s">
        <v>143</v>
      </c>
      <c r="F42" s="101">
        <f t="shared" si="5"/>
        <v>9</v>
      </c>
      <c r="G42" s="102"/>
      <c r="H42" s="102"/>
      <c r="I42" s="102"/>
      <c r="J42" s="77"/>
      <c r="K42" s="77"/>
      <c r="L42" s="77"/>
      <c r="M42" s="77"/>
      <c r="N42" s="113" t="s">
        <v>231</v>
      </c>
      <c r="O42" s="75">
        <v>1</v>
      </c>
      <c r="P42" s="102">
        <v>1</v>
      </c>
      <c r="Q42" s="102">
        <v>1</v>
      </c>
      <c r="R42" s="102">
        <v>1</v>
      </c>
      <c r="S42" s="102">
        <v>1</v>
      </c>
      <c r="T42" s="102"/>
      <c r="U42" s="102">
        <v>1</v>
      </c>
      <c r="V42" s="102">
        <v>1</v>
      </c>
      <c r="W42" s="102">
        <v>1</v>
      </c>
      <c r="X42" s="102">
        <v>1</v>
      </c>
      <c r="Y42" s="102"/>
      <c r="Z42" s="102"/>
      <c r="AA42" s="102"/>
      <c r="AB42" s="102"/>
      <c r="AC42" s="102"/>
      <c r="AD42" s="102"/>
      <c r="AE42" s="101">
        <f t="shared" si="6"/>
        <v>9</v>
      </c>
      <c r="AF42" s="43" t="s">
        <v>195</v>
      </c>
      <c r="AG42" s="124" t="s">
        <v>499</v>
      </c>
      <c r="AH42" s="233"/>
      <c r="AI42" s="183" t="s">
        <v>134</v>
      </c>
      <c r="AJ42" s="184">
        <v>2.6539351851851852E-2</v>
      </c>
    </row>
    <row r="43" spans="1:36" ht="14.25" customHeight="1">
      <c r="A43" s="98" t="s">
        <v>41</v>
      </c>
      <c r="B43" s="188" t="s">
        <v>449</v>
      </c>
      <c r="C43" s="98"/>
      <c r="D43" s="99">
        <v>36</v>
      </c>
      <c r="E43" s="232" t="s">
        <v>455</v>
      </c>
      <c r="F43" s="41">
        <f t="shared" si="5"/>
        <v>7</v>
      </c>
      <c r="G43" s="102"/>
      <c r="H43" s="102"/>
      <c r="I43" s="102"/>
      <c r="J43" s="102"/>
      <c r="K43" s="102"/>
      <c r="L43" s="102"/>
      <c r="M43" s="102"/>
      <c r="N43" s="227"/>
      <c r="O43" s="227"/>
      <c r="P43" s="227">
        <v>1</v>
      </c>
      <c r="Q43" s="227">
        <v>1</v>
      </c>
      <c r="R43" s="227">
        <v>1</v>
      </c>
      <c r="S43" s="227">
        <v>1</v>
      </c>
      <c r="T43" s="227">
        <v>1</v>
      </c>
      <c r="U43" s="227">
        <v>1</v>
      </c>
      <c r="V43" s="227">
        <v>1</v>
      </c>
      <c r="W43" s="227"/>
      <c r="X43" s="227"/>
      <c r="Y43" s="227"/>
      <c r="Z43" s="227"/>
      <c r="AA43" s="227"/>
      <c r="AB43" s="227"/>
      <c r="AC43" s="227"/>
      <c r="AD43" s="227"/>
      <c r="AE43" s="41">
        <f t="shared" si="6"/>
        <v>7</v>
      </c>
      <c r="AF43" s="104" t="s">
        <v>285</v>
      </c>
      <c r="AG43" s="44"/>
      <c r="AH43" s="25"/>
      <c r="AI43" s="183" t="s">
        <v>72</v>
      </c>
      <c r="AJ43" s="184">
        <v>1.3159722222222222E-2</v>
      </c>
    </row>
    <row r="44" spans="1:36" ht="14.25" customHeight="1">
      <c r="A44" s="98" t="s">
        <v>41</v>
      </c>
      <c r="B44" s="188" t="s">
        <v>456</v>
      </c>
      <c r="C44" s="98"/>
      <c r="D44" s="86">
        <v>37</v>
      </c>
      <c r="E44" s="232" t="s">
        <v>457</v>
      </c>
      <c r="F44" s="41">
        <f t="shared" si="5"/>
        <v>7</v>
      </c>
      <c r="G44" s="102"/>
      <c r="H44" s="102"/>
      <c r="I44" s="102"/>
      <c r="J44" s="102"/>
      <c r="K44" s="102"/>
      <c r="L44" s="102"/>
      <c r="M44" s="102"/>
      <c r="N44" s="227"/>
      <c r="O44" s="227"/>
      <c r="P44" s="227">
        <v>1</v>
      </c>
      <c r="Q44" s="227">
        <v>1</v>
      </c>
      <c r="R44" s="227">
        <v>1</v>
      </c>
      <c r="S44" s="227">
        <v>1</v>
      </c>
      <c r="T44" s="227">
        <v>1</v>
      </c>
      <c r="U44" s="227">
        <v>1</v>
      </c>
      <c r="V44" s="227">
        <v>1</v>
      </c>
      <c r="W44" s="227"/>
      <c r="X44" s="227"/>
      <c r="Y44" s="227"/>
      <c r="Z44" s="227"/>
      <c r="AA44" s="227"/>
      <c r="AB44" s="227"/>
      <c r="AC44" s="227"/>
      <c r="AD44" s="227"/>
      <c r="AE44" s="41">
        <f t="shared" si="6"/>
        <v>7</v>
      </c>
      <c r="AF44" s="104" t="s">
        <v>285</v>
      </c>
      <c r="AG44" s="44"/>
      <c r="AH44" s="25"/>
      <c r="AI44" s="183" t="s">
        <v>459</v>
      </c>
      <c r="AJ44" s="184">
        <v>8.9120370370370364E-2</v>
      </c>
    </row>
    <row r="45" spans="1:36" ht="14.25" customHeight="1">
      <c r="A45" s="98" t="s">
        <v>41</v>
      </c>
      <c r="B45" s="188" t="s">
        <v>459</v>
      </c>
      <c r="C45" s="98"/>
      <c r="D45" s="39">
        <v>38</v>
      </c>
      <c r="E45" s="232" t="s">
        <v>460</v>
      </c>
      <c r="F45" s="41">
        <f t="shared" si="5"/>
        <v>5</v>
      </c>
      <c r="G45" s="102"/>
      <c r="H45" s="102"/>
      <c r="I45" s="102"/>
      <c r="J45" s="102"/>
      <c r="K45" s="102"/>
      <c r="L45" s="102"/>
      <c r="M45" s="102"/>
      <c r="N45" s="227"/>
      <c r="O45" s="227"/>
      <c r="P45" s="42"/>
      <c r="Q45" s="42"/>
      <c r="R45" s="42"/>
      <c r="S45" s="227">
        <v>1</v>
      </c>
      <c r="T45" s="227">
        <v>1</v>
      </c>
      <c r="U45" s="227">
        <v>1</v>
      </c>
      <c r="V45" s="227">
        <v>1</v>
      </c>
      <c r="W45" s="227">
        <v>1</v>
      </c>
      <c r="X45" s="227"/>
      <c r="Y45" s="227"/>
      <c r="Z45" s="227"/>
      <c r="AA45" s="227"/>
      <c r="AB45" s="227"/>
      <c r="AC45" s="227"/>
      <c r="AD45" s="227"/>
      <c r="AE45" s="41">
        <f t="shared" si="6"/>
        <v>5</v>
      </c>
      <c r="AF45" s="104" t="s">
        <v>506</v>
      </c>
      <c r="AG45" s="44"/>
      <c r="AH45" s="25"/>
      <c r="AI45" s="183" t="s">
        <v>152</v>
      </c>
      <c r="AJ45" s="184">
        <v>8.1250000000000003E-3</v>
      </c>
    </row>
    <row r="46" spans="1:36" ht="14.25" customHeight="1">
      <c r="A46" s="98" t="s">
        <v>41</v>
      </c>
      <c r="B46" s="188" t="s">
        <v>477</v>
      </c>
      <c r="C46" s="98"/>
      <c r="D46" s="99">
        <v>39</v>
      </c>
      <c r="E46" s="232" t="s">
        <v>478</v>
      </c>
      <c r="F46" s="41">
        <f t="shared" si="5"/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0</v>
      </c>
      <c r="AA46" s="77">
        <v>0</v>
      </c>
      <c r="AB46" s="77">
        <v>0</v>
      </c>
      <c r="AC46" s="77">
        <v>0</v>
      </c>
      <c r="AD46" s="77">
        <v>0</v>
      </c>
      <c r="AE46" s="41">
        <f t="shared" si="6"/>
        <v>0</v>
      </c>
      <c r="AF46" s="89" t="s">
        <v>225</v>
      </c>
      <c r="AG46" s="44"/>
      <c r="AH46" s="25"/>
      <c r="AI46" s="183" t="s">
        <v>92</v>
      </c>
      <c r="AJ46" s="184">
        <v>4.0671296296296296E-2</v>
      </c>
    </row>
    <row r="47" spans="1:36" ht="14.25" customHeight="1">
      <c r="A47" s="98" t="s">
        <v>41</v>
      </c>
      <c r="B47" s="188" t="s">
        <v>458</v>
      </c>
      <c r="C47" s="98"/>
      <c r="D47" s="86">
        <v>40</v>
      </c>
      <c r="E47" s="232" t="s">
        <v>461</v>
      </c>
      <c r="F47" s="41">
        <f t="shared" si="5"/>
        <v>0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0</v>
      </c>
      <c r="Z47" s="77">
        <v>0</v>
      </c>
      <c r="AA47" s="77">
        <v>0</v>
      </c>
      <c r="AB47" s="77">
        <v>0</v>
      </c>
      <c r="AC47" s="77">
        <v>0</v>
      </c>
      <c r="AD47" s="77">
        <v>0</v>
      </c>
      <c r="AE47" s="41">
        <f t="shared" si="6"/>
        <v>0</v>
      </c>
      <c r="AF47" s="89" t="s">
        <v>225</v>
      </c>
      <c r="AG47" s="44"/>
      <c r="AH47" s="25"/>
      <c r="AI47" s="183" t="s">
        <v>183</v>
      </c>
      <c r="AJ47" s="184">
        <v>1.0995370370370371E-2</v>
      </c>
    </row>
    <row r="48" spans="1:36" ht="14.25" customHeight="1">
      <c r="A48" s="98" t="s">
        <v>41</v>
      </c>
      <c r="B48" s="188" t="s">
        <v>452</v>
      </c>
      <c r="C48" s="98"/>
      <c r="D48" s="39">
        <v>41</v>
      </c>
      <c r="E48" s="232" t="s">
        <v>463</v>
      </c>
      <c r="F48" s="41">
        <f t="shared" si="5"/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  <c r="Z48" s="77">
        <v>0</v>
      </c>
      <c r="AA48" s="77">
        <v>0</v>
      </c>
      <c r="AB48" s="77">
        <v>0</v>
      </c>
      <c r="AC48" s="77">
        <v>0</v>
      </c>
      <c r="AD48" s="77">
        <v>0</v>
      </c>
      <c r="AE48" s="41">
        <f t="shared" si="6"/>
        <v>0</v>
      </c>
      <c r="AF48" s="89" t="s">
        <v>225</v>
      </c>
      <c r="AG48" s="44"/>
      <c r="AH48" s="25"/>
      <c r="AI48" s="183" t="s">
        <v>332</v>
      </c>
      <c r="AJ48" s="184">
        <v>1.3043981481481481E-2</v>
      </c>
    </row>
    <row r="49" spans="1:36" ht="14.25" customHeight="1">
      <c r="A49" s="98" t="s">
        <v>41</v>
      </c>
      <c r="B49" s="188" t="s">
        <v>464</v>
      </c>
      <c r="C49" s="98"/>
      <c r="D49" s="99">
        <v>42</v>
      </c>
      <c r="E49" s="232" t="s">
        <v>465</v>
      </c>
      <c r="F49" s="41">
        <f t="shared" si="5"/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  <c r="Z49" s="77">
        <v>0</v>
      </c>
      <c r="AA49" s="77">
        <v>0</v>
      </c>
      <c r="AB49" s="77">
        <v>0</v>
      </c>
      <c r="AC49" s="77">
        <v>0</v>
      </c>
      <c r="AD49" s="77">
        <v>0</v>
      </c>
      <c r="AE49" s="41">
        <f t="shared" si="6"/>
        <v>0</v>
      </c>
      <c r="AF49" s="89" t="s">
        <v>225</v>
      </c>
      <c r="AG49" s="44"/>
      <c r="AH49" s="25"/>
      <c r="AI49" s="183" t="s">
        <v>142</v>
      </c>
      <c r="AJ49" s="184">
        <v>7.2476851851851848E-2</v>
      </c>
    </row>
    <row r="50" spans="1:36" ht="14.25" customHeight="1">
      <c r="A50" s="98" t="s">
        <v>41</v>
      </c>
      <c r="B50" s="188" t="s">
        <v>447</v>
      </c>
      <c r="C50" s="98"/>
      <c r="D50" s="86">
        <v>43</v>
      </c>
      <c r="E50" s="232" t="s">
        <v>466</v>
      </c>
      <c r="F50" s="41">
        <f t="shared" si="5"/>
        <v>0</v>
      </c>
      <c r="G50" s="77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  <c r="Z50" s="77">
        <v>0</v>
      </c>
      <c r="AA50" s="77">
        <v>0</v>
      </c>
      <c r="AB50" s="77">
        <v>0</v>
      </c>
      <c r="AC50" s="77">
        <v>0</v>
      </c>
      <c r="AD50" s="77">
        <v>0</v>
      </c>
      <c r="AE50" s="41">
        <f t="shared" si="6"/>
        <v>0</v>
      </c>
      <c r="AF50" s="89" t="s">
        <v>225</v>
      </c>
      <c r="AG50" s="44"/>
      <c r="AH50" s="25"/>
      <c r="AI50" s="183" t="s">
        <v>57</v>
      </c>
      <c r="AJ50" s="184">
        <v>4.193287037037037E-2</v>
      </c>
    </row>
    <row r="51" spans="1:36" ht="14.25" customHeight="1">
      <c r="A51" s="98" t="s">
        <v>41</v>
      </c>
      <c r="B51" s="188" t="s">
        <v>448</v>
      </c>
      <c r="C51" s="98"/>
      <c r="D51" s="39">
        <v>44</v>
      </c>
      <c r="E51" s="232" t="s">
        <v>467</v>
      </c>
      <c r="F51" s="41">
        <f t="shared" si="5"/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  <c r="Z51" s="77">
        <v>0</v>
      </c>
      <c r="AA51" s="77">
        <v>0</v>
      </c>
      <c r="AB51" s="77">
        <v>0</v>
      </c>
      <c r="AC51" s="77">
        <v>0</v>
      </c>
      <c r="AD51" s="77">
        <v>0</v>
      </c>
      <c r="AE51" s="41">
        <f t="shared" si="6"/>
        <v>0</v>
      </c>
      <c r="AF51" s="89" t="s">
        <v>225</v>
      </c>
      <c r="AG51" s="44"/>
      <c r="AH51" s="25"/>
      <c r="AI51" s="183" t="s">
        <v>107</v>
      </c>
      <c r="AJ51" s="184">
        <v>2.7673611111111111E-2</v>
      </c>
    </row>
    <row r="52" spans="1:36" ht="14.25" customHeight="1">
      <c r="A52" s="98" t="s">
        <v>41</v>
      </c>
      <c r="B52" s="188" t="s">
        <v>490</v>
      </c>
      <c r="C52" s="98"/>
      <c r="D52" s="99">
        <v>45</v>
      </c>
      <c r="E52" s="232" t="s">
        <v>491</v>
      </c>
      <c r="F52" s="41">
        <f t="shared" si="5"/>
        <v>0</v>
      </c>
      <c r="G52" s="77">
        <v>0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  <c r="Z52" s="77">
        <v>0</v>
      </c>
      <c r="AA52" s="77">
        <v>0</v>
      </c>
      <c r="AB52" s="77">
        <v>0</v>
      </c>
      <c r="AC52" s="77">
        <v>0</v>
      </c>
      <c r="AD52" s="77">
        <v>0</v>
      </c>
      <c r="AE52" s="41">
        <f t="shared" si="6"/>
        <v>0</v>
      </c>
      <c r="AF52" s="89" t="s">
        <v>225</v>
      </c>
      <c r="AG52" s="44"/>
      <c r="AH52" s="25"/>
      <c r="AI52" s="183" t="s">
        <v>76</v>
      </c>
      <c r="AJ52" s="184">
        <v>3.7280092592592594E-2</v>
      </c>
    </row>
    <row r="53" spans="1:36" ht="14.25" customHeight="1">
      <c r="A53" s="98" t="s">
        <v>41</v>
      </c>
      <c r="B53" s="188" t="s">
        <v>492</v>
      </c>
      <c r="C53" s="98"/>
      <c r="D53" s="86">
        <v>46</v>
      </c>
      <c r="E53" s="232" t="s">
        <v>493</v>
      </c>
      <c r="F53" s="41">
        <f t="shared" si="5"/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  <c r="Z53" s="77">
        <v>0</v>
      </c>
      <c r="AA53" s="77">
        <v>0</v>
      </c>
      <c r="AB53" s="77">
        <v>0</v>
      </c>
      <c r="AC53" s="77">
        <v>0</v>
      </c>
      <c r="AD53" s="77">
        <v>0</v>
      </c>
      <c r="AE53" s="41">
        <f t="shared" si="6"/>
        <v>0</v>
      </c>
      <c r="AF53" s="89" t="s">
        <v>225</v>
      </c>
      <c r="AG53" s="44"/>
      <c r="AH53" s="25"/>
      <c r="AI53" s="183" t="s">
        <v>103</v>
      </c>
      <c r="AJ53" s="184">
        <v>5.935185185185185E-2</v>
      </c>
    </row>
    <row r="54" spans="1:36" ht="14.25" customHeight="1">
      <c r="A54" s="98" t="s">
        <v>41</v>
      </c>
      <c r="B54" s="188" t="s">
        <v>468</v>
      </c>
      <c r="C54" s="98"/>
      <c r="D54" s="39">
        <v>47</v>
      </c>
      <c r="E54" s="232" t="s">
        <v>469</v>
      </c>
      <c r="F54" s="41">
        <f t="shared" si="5"/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  <c r="Z54" s="77">
        <v>0</v>
      </c>
      <c r="AA54" s="77">
        <v>0</v>
      </c>
      <c r="AB54" s="77">
        <v>0</v>
      </c>
      <c r="AC54" s="77">
        <v>0</v>
      </c>
      <c r="AD54" s="77">
        <v>0</v>
      </c>
      <c r="AE54" s="41">
        <f t="shared" si="6"/>
        <v>0</v>
      </c>
      <c r="AF54" s="89" t="s">
        <v>225</v>
      </c>
      <c r="AG54" s="44"/>
      <c r="AH54" s="25"/>
      <c r="AI54" s="183" t="s">
        <v>181</v>
      </c>
      <c r="AJ54" s="184">
        <v>2.9108796296296296E-2</v>
      </c>
    </row>
    <row r="55" spans="1:36" ht="14.25" customHeight="1">
      <c r="A55" s="98" t="s">
        <v>41</v>
      </c>
      <c r="B55" s="188" t="s">
        <v>494</v>
      </c>
      <c r="C55" s="98"/>
      <c r="D55" s="99">
        <v>48</v>
      </c>
      <c r="E55" s="232" t="s">
        <v>495</v>
      </c>
      <c r="F55" s="41">
        <f t="shared" si="5"/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  <c r="Z55" s="77">
        <v>0</v>
      </c>
      <c r="AA55" s="77">
        <v>0</v>
      </c>
      <c r="AB55" s="77">
        <v>0</v>
      </c>
      <c r="AC55" s="77">
        <v>0</v>
      </c>
      <c r="AD55" s="77">
        <v>0</v>
      </c>
      <c r="AE55" s="41">
        <f t="shared" si="6"/>
        <v>0</v>
      </c>
      <c r="AF55" s="89" t="s">
        <v>225</v>
      </c>
      <c r="AG55" s="44"/>
      <c r="AH55" s="25"/>
      <c r="AI55" s="183" t="s">
        <v>130</v>
      </c>
      <c r="AJ55" s="184">
        <v>3.4039351851851848E-2</v>
      </c>
    </row>
    <row r="56" spans="1:36" ht="14.25" customHeight="1">
      <c r="A56" s="98" t="s">
        <v>41</v>
      </c>
      <c r="B56" s="188" t="s">
        <v>507</v>
      </c>
      <c r="C56" s="98"/>
      <c r="D56" s="86">
        <v>49</v>
      </c>
      <c r="E56" s="232" t="s">
        <v>508</v>
      </c>
      <c r="F56" s="41">
        <f t="shared" si="5"/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0</v>
      </c>
      <c r="Z56" s="77">
        <v>0</v>
      </c>
      <c r="AA56" s="77">
        <v>0</v>
      </c>
      <c r="AB56" s="77">
        <v>0</v>
      </c>
      <c r="AC56" s="77">
        <v>0</v>
      </c>
      <c r="AD56" s="77">
        <v>0</v>
      </c>
      <c r="AE56" s="41">
        <f t="shared" si="6"/>
        <v>0</v>
      </c>
      <c r="AF56" s="89" t="s">
        <v>225</v>
      </c>
      <c r="AG56" s="44"/>
      <c r="AH56" s="25"/>
      <c r="AI56" s="183" t="s">
        <v>157</v>
      </c>
      <c r="AJ56" s="184">
        <v>5.2407407407407409E-2</v>
      </c>
    </row>
    <row r="57" spans="1:36" ht="14.25" customHeight="1">
      <c r="A57" s="98" t="s">
        <v>41</v>
      </c>
      <c r="B57" s="188" t="s">
        <v>496</v>
      </c>
      <c r="C57" s="98"/>
      <c r="D57" s="39">
        <v>50</v>
      </c>
      <c r="E57" s="232" t="s">
        <v>497</v>
      </c>
      <c r="F57" s="41">
        <f t="shared" si="5"/>
        <v>0</v>
      </c>
      <c r="G57" s="77">
        <v>0</v>
      </c>
      <c r="H57" s="77">
        <v>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0</v>
      </c>
      <c r="Z57" s="77">
        <v>0</v>
      </c>
      <c r="AA57" s="77">
        <v>0</v>
      </c>
      <c r="AB57" s="77">
        <v>0</v>
      </c>
      <c r="AC57" s="77">
        <v>0</v>
      </c>
      <c r="AD57" s="77">
        <v>0</v>
      </c>
      <c r="AE57" s="41">
        <f t="shared" si="6"/>
        <v>0</v>
      </c>
      <c r="AF57" s="89" t="s">
        <v>225</v>
      </c>
      <c r="AG57" s="44"/>
      <c r="AH57" s="25"/>
      <c r="AI57" s="183" t="s">
        <v>124</v>
      </c>
      <c r="AJ57" s="184">
        <v>2.7719907407407408E-2</v>
      </c>
    </row>
    <row r="58" spans="1:36" ht="14.25" customHeight="1">
      <c r="A58" s="76" t="s">
        <v>292</v>
      </c>
      <c r="B58" s="76" t="s">
        <v>137</v>
      </c>
      <c r="C58" s="76">
        <v>984891008</v>
      </c>
      <c r="D58" s="86">
        <v>1</v>
      </c>
      <c r="E58" s="134" t="s">
        <v>138</v>
      </c>
      <c r="F58" s="88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Z58" s="226">
        <v>0</v>
      </c>
      <c r="AA58" s="226">
        <v>0</v>
      </c>
      <c r="AB58" s="226">
        <v>0</v>
      </c>
      <c r="AC58" s="226">
        <v>0</v>
      </c>
      <c r="AD58" s="226">
        <v>0</v>
      </c>
      <c r="AE58" s="112">
        <v>0</v>
      </c>
      <c r="AF58" s="89" t="s">
        <v>225</v>
      </c>
      <c r="AG58" s="44" t="s">
        <v>499</v>
      </c>
      <c r="AH58" s="25"/>
      <c r="AI58" s="183" t="s">
        <v>509</v>
      </c>
      <c r="AJ58" s="184">
        <v>1.0879629629629629E-3</v>
      </c>
    </row>
    <row r="59" spans="1:36" ht="14.25" customHeight="1">
      <c r="A59" s="38" t="s">
        <v>292</v>
      </c>
      <c r="B59" s="38" t="s">
        <v>190</v>
      </c>
      <c r="C59" s="38">
        <v>983356603</v>
      </c>
      <c r="D59" s="39">
        <v>2</v>
      </c>
      <c r="E59" s="131" t="s">
        <v>191</v>
      </c>
      <c r="F59" s="41">
        <v>9</v>
      </c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2"/>
      <c r="U59" s="63">
        <v>1</v>
      </c>
      <c r="V59" s="573" t="s">
        <v>292</v>
      </c>
      <c r="W59" s="555"/>
      <c r="X59" s="555"/>
      <c r="Y59" s="555"/>
      <c r="Z59" s="555"/>
      <c r="AA59" s="555"/>
      <c r="AB59" s="555"/>
      <c r="AC59" s="542"/>
      <c r="AD59" s="47"/>
      <c r="AE59" s="41">
        <v>9</v>
      </c>
      <c r="AF59" s="43" t="s">
        <v>81</v>
      </c>
      <c r="AG59" s="44" t="s">
        <v>499</v>
      </c>
      <c r="AH59" s="25"/>
      <c r="AI59" s="183" t="s">
        <v>510</v>
      </c>
      <c r="AJ59" s="184">
        <v>0.15303240740740739</v>
      </c>
    </row>
    <row r="60" spans="1:36" ht="14.25" customHeight="1">
      <c r="A60" s="38" t="s">
        <v>390</v>
      </c>
      <c r="B60" s="38"/>
      <c r="C60" s="38"/>
      <c r="D60" s="39">
        <v>1</v>
      </c>
      <c r="E60" s="133" t="s">
        <v>363</v>
      </c>
      <c r="F60" s="41">
        <v>0</v>
      </c>
      <c r="G60" s="42" t="s">
        <v>352</v>
      </c>
      <c r="H60" s="42" t="s">
        <v>352</v>
      </c>
      <c r="I60" s="42" t="s">
        <v>352</v>
      </c>
      <c r="J60" s="42" t="s">
        <v>352</v>
      </c>
      <c r="K60" s="42" t="s">
        <v>352</v>
      </c>
      <c r="L60" s="42" t="s">
        <v>352</v>
      </c>
      <c r="M60" s="42" t="s">
        <v>352</v>
      </c>
      <c r="N60" s="42" t="s">
        <v>352</v>
      </c>
      <c r="O60" s="42" t="s">
        <v>352</v>
      </c>
      <c r="P60" s="42" t="s">
        <v>352</v>
      </c>
      <c r="Q60" s="42" t="s">
        <v>352</v>
      </c>
      <c r="R60" s="42" t="s">
        <v>352</v>
      </c>
      <c r="S60" s="42" t="s">
        <v>352</v>
      </c>
      <c r="T60" s="42" t="s">
        <v>352</v>
      </c>
      <c r="U60" s="42" t="s">
        <v>352</v>
      </c>
      <c r="V60" s="42" t="s">
        <v>352</v>
      </c>
      <c r="W60" s="42" t="s">
        <v>352</v>
      </c>
      <c r="X60" s="42" t="s">
        <v>352</v>
      </c>
      <c r="Y60" s="42" t="s">
        <v>352</v>
      </c>
      <c r="Z60" s="42" t="s">
        <v>352</v>
      </c>
      <c r="AA60" s="42" t="s">
        <v>352</v>
      </c>
      <c r="AB60" s="42" t="s">
        <v>352</v>
      </c>
      <c r="AC60" s="42" t="s">
        <v>352</v>
      </c>
      <c r="AD60" s="42" t="s">
        <v>352</v>
      </c>
      <c r="AE60" s="41">
        <f>SUM(G60:AD60)</f>
        <v>0</v>
      </c>
      <c r="AF60" s="64" t="s">
        <v>6</v>
      </c>
      <c r="AG60" s="44" t="s">
        <v>499</v>
      </c>
      <c r="AH60" s="25"/>
      <c r="AI60" s="183" t="s">
        <v>475</v>
      </c>
      <c r="AJ60" s="184">
        <v>6.6157407407407401E-2</v>
      </c>
    </row>
    <row r="61" spans="1:36" ht="14.25" customHeight="1">
      <c r="A61" s="2"/>
      <c r="B61" s="2"/>
      <c r="C61" s="2"/>
      <c r="D61" s="48"/>
      <c r="E61" s="49"/>
      <c r="F61" s="50"/>
      <c r="G61" s="51" t="s">
        <v>9</v>
      </c>
      <c r="H61" s="51" t="s">
        <v>10</v>
      </c>
      <c r="I61" s="51" t="s">
        <v>11</v>
      </c>
      <c r="J61" s="51" t="s">
        <v>12</v>
      </c>
      <c r="K61" s="51" t="s">
        <v>13</v>
      </c>
      <c r="L61" s="51" t="s">
        <v>14</v>
      </c>
      <c r="M61" s="51" t="s">
        <v>15</v>
      </c>
      <c r="N61" s="51" t="s">
        <v>16</v>
      </c>
      <c r="O61" s="106" t="s">
        <v>17</v>
      </c>
      <c r="P61" s="106" t="s">
        <v>18</v>
      </c>
      <c r="Q61" s="107" t="s">
        <v>19</v>
      </c>
      <c r="R61" s="107" t="s">
        <v>20</v>
      </c>
      <c r="S61" s="107" t="s">
        <v>21</v>
      </c>
      <c r="T61" s="107" t="s">
        <v>22</v>
      </c>
      <c r="U61" s="107" t="s">
        <v>23</v>
      </c>
      <c r="V61" s="107" t="s">
        <v>24</v>
      </c>
      <c r="W61" s="107" t="s">
        <v>25</v>
      </c>
      <c r="X61" s="107" t="s">
        <v>26</v>
      </c>
      <c r="Y61" s="107" t="s">
        <v>27</v>
      </c>
      <c r="Z61" s="107" t="s">
        <v>28</v>
      </c>
      <c r="AA61" s="52" t="s">
        <v>29</v>
      </c>
      <c r="AB61" s="52" t="s">
        <v>30</v>
      </c>
      <c r="AC61" s="52" t="s">
        <v>31</v>
      </c>
      <c r="AD61" s="51" t="s">
        <v>32</v>
      </c>
      <c r="AE61" s="53"/>
      <c r="AF61" s="25"/>
      <c r="AG61" s="25"/>
      <c r="AH61" s="25"/>
      <c r="AI61" s="183" t="s">
        <v>511</v>
      </c>
      <c r="AJ61" s="184">
        <v>5.019675925925926E-2</v>
      </c>
    </row>
    <row r="62" spans="1:3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183" t="s">
        <v>512</v>
      </c>
      <c r="AJ62" s="184">
        <v>1.3564814814814814E-2</v>
      </c>
    </row>
    <row r="63" spans="1:36" ht="14.25" customHeight="1">
      <c r="A63" s="3"/>
      <c r="B63" s="3"/>
      <c r="C63" s="3"/>
      <c r="D63" s="48"/>
      <c r="E63" s="547" t="s">
        <v>8</v>
      </c>
      <c r="F63" s="548"/>
      <c r="G63" s="12">
        <v>2</v>
      </c>
      <c r="H63" s="12">
        <v>2</v>
      </c>
      <c r="I63" s="12">
        <v>2</v>
      </c>
      <c r="J63" s="12">
        <v>2</v>
      </c>
      <c r="K63" s="12">
        <v>2</v>
      </c>
      <c r="L63" s="12">
        <v>2</v>
      </c>
      <c r="M63" s="234">
        <v>3</v>
      </c>
      <c r="N63" s="234">
        <v>3</v>
      </c>
      <c r="O63" s="136">
        <v>7</v>
      </c>
      <c r="P63" s="136">
        <v>7</v>
      </c>
      <c r="Q63" s="136">
        <v>7</v>
      </c>
      <c r="R63" s="136">
        <v>7</v>
      </c>
      <c r="S63" s="136">
        <v>7</v>
      </c>
      <c r="T63" s="144">
        <v>6</v>
      </c>
      <c r="U63" s="144">
        <v>6</v>
      </c>
      <c r="V63" s="144">
        <v>6</v>
      </c>
      <c r="W63" s="144">
        <v>6</v>
      </c>
      <c r="X63" s="144">
        <v>6</v>
      </c>
      <c r="Y63" s="144">
        <v>6</v>
      </c>
      <c r="Z63" s="144">
        <v>6</v>
      </c>
      <c r="AA63" s="56">
        <v>5</v>
      </c>
      <c r="AB63" s="234">
        <v>3</v>
      </c>
      <c r="AC63" s="234">
        <v>3</v>
      </c>
      <c r="AD63" s="12">
        <v>2</v>
      </c>
      <c r="AE63" s="18">
        <f>SUM(G63:AD63)</f>
        <v>108</v>
      </c>
      <c r="AF63" s="25"/>
      <c r="AG63" s="3"/>
      <c r="AH63" s="3"/>
      <c r="AI63" s="3"/>
      <c r="AJ63" s="3"/>
    </row>
    <row r="64" spans="1:36" ht="14.25" customHeight="1">
      <c r="A64" s="3"/>
      <c r="B64" s="3"/>
      <c r="C64" s="3"/>
      <c r="D64" s="48"/>
      <c r="E64" s="59"/>
      <c r="F64" s="59"/>
      <c r="G64" s="28">
        <f t="shared" ref="G64:AD64" si="7">G66-G63</f>
        <v>0</v>
      </c>
      <c r="H64" s="28">
        <f t="shared" si="7"/>
        <v>0</v>
      </c>
      <c r="I64" s="28">
        <f t="shared" si="7"/>
        <v>0</v>
      </c>
      <c r="J64" s="28">
        <f t="shared" si="7"/>
        <v>0</v>
      </c>
      <c r="K64" s="28">
        <f t="shared" si="7"/>
        <v>0</v>
      </c>
      <c r="L64" s="28">
        <f t="shared" si="7"/>
        <v>0</v>
      </c>
      <c r="M64" s="28">
        <f t="shared" si="7"/>
        <v>-1</v>
      </c>
      <c r="N64" s="28">
        <f t="shared" si="7"/>
        <v>-1</v>
      </c>
      <c r="O64" s="28">
        <f t="shared" si="7"/>
        <v>-3</v>
      </c>
      <c r="P64" s="28">
        <f t="shared" si="7"/>
        <v>-2</v>
      </c>
      <c r="Q64" s="28">
        <f t="shared" si="7"/>
        <v>-1</v>
      </c>
      <c r="R64" s="28">
        <f t="shared" si="7"/>
        <v>0</v>
      </c>
      <c r="S64" s="125">
        <f t="shared" si="7"/>
        <v>1</v>
      </c>
      <c r="T64" s="125">
        <f t="shared" si="7"/>
        <v>1</v>
      </c>
      <c r="U64" s="84">
        <f t="shared" si="7"/>
        <v>1</v>
      </c>
      <c r="V64" s="84">
        <f t="shared" si="7"/>
        <v>1</v>
      </c>
      <c r="W64" s="125">
        <f t="shared" si="7"/>
        <v>1</v>
      </c>
      <c r="X64" s="28">
        <f t="shared" si="7"/>
        <v>1</v>
      </c>
      <c r="Y64" s="84">
        <f t="shared" si="7"/>
        <v>2</v>
      </c>
      <c r="Z64" s="84">
        <f t="shared" si="7"/>
        <v>1</v>
      </c>
      <c r="AA64" s="84">
        <f t="shared" si="7"/>
        <v>1</v>
      </c>
      <c r="AB64" s="28">
        <f t="shared" si="7"/>
        <v>0</v>
      </c>
      <c r="AC64" s="28">
        <f t="shared" si="7"/>
        <v>0</v>
      </c>
      <c r="AD64" s="28">
        <f t="shared" si="7"/>
        <v>0</v>
      </c>
      <c r="AE64" s="53"/>
      <c r="AF64" s="3"/>
      <c r="AG64" s="3"/>
      <c r="AH64" s="3"/>
      <c r="AI64" s="3"/>
      <c r="AJ64" s="3"/>
    </row>
    <row r="65" spans="1:36" ht="14.25" customHeight="1">
      <c r="A65" s="3"/>
      <c r="B65" s="3"/>
      <c r="C65" s="3"/>
      <c r="D65" s="48"/>
      <c r="E65" s="60" t="s">
        <v>145</v>
      </c>
      <c r="F65" s="59"/>
      <c r="G65" s="51" t="s">
        <v>9</v>
      </c>
      <c r="H65" s="51" t="s">
        <v>10</v>
      </c>
      <c r="I65" s="51" t="s">
        <v>11</v>
      </c>
      <c r="J65" s="51" t="s">
        <v>12</v>
      </c>
      <c r="K65" s="51" t="s">
        <v>13</v>
      </c>
      <c r="L65" s="51" t="s">
        <v>14</v>
      </c>
      <c r="M65" s="51" t="s">
        <v>15</v>
      </c>
      <c r="N65" s="51" t="s">
        <v>16</v>
      </c>
      <c r="O65" s="51" t="s">
        <v>17</v>
      </c>
      <c r="P65" s="51" t="s">
        <v>18</v>
      </c>
      <c r="Q65" s="52" t="s">
        <v>19</v>
      </c>
      <c r="R65" s="52" t="s">
        <v>20</v>
      </c>
      <c r="S65" s="52" t="s">
        <v>21</v>
      </c>
      <c r="T65" s="52" t="s">
        <v>22</v>
      </c>
      <c r="U65" s="52" t="s">
        <v>23</v>
      </c>
      <c r="V65" s="52" t="s">
        <v>24</v>
      </c>
      <c r="W65" s="52" t="s">
        <v>25</v>
      </c>
      <c r="X65" s="52" t="s">
        <v>26</v>
      </c>
      <c r="Y65" s="52" t="s">
        <v>27</v>
      </c>
      <c r="Z65" s="52" t="s">
        <v>28</v>
      </c>
      <c r="AA65" s="52" t="s">
        <v>29</v>
      </c>
      <c r="AB65" s="52" t="s">
        <v>30</v>
      </c>
      <c r="AC65" s="52" t="s">
        <v>31</v>
      </c>
      <c r="AD65" s="51" t="s">
        <v>32</v>
      </c>
      <c r="AE65" s="53"/>
      <c r="AF65" s="25"/>
      <c r="AG65" s="3"/>
      <c r="AH65" s="3"/>
      <c r="AI65" s="3"/>
      <c r="AJ65" s="3"/>
    </row>
    <row r="66" spans="1:36" ht="14.25" customHeight="1">
      <c r="A66" s="3"/>
      <c r="B66" s="3"/>
      <c r="C66" s="3"/>
      <c r="D66" s="48"/>
      <c r="E66" s="61" t="s">
        <v>37</v>
      </c>
      <c r="F66" s="37" t="s">
        <v>38</v>
      </c>
      <c r="G66" s="35">
        <f t="shared" ref="G66:AD66" si="8">SUM(G67:G83)</f>
        <v>2</v>
      </c>
      <c r="H66" s="35">
        <f t="shared" si="8"/>
        <v>2</v>
      </c>
      <c r="I66" s="35">
        <f t="shared" si="8"/>
        <v>2</v>
      </c>
      <c r="J66" s="35">
        <f t="shared" si="8"/>
        <v>2</v>
      </c>
      <c r="K66" s="35">
        <f t="shared" si="8"/>
        <v>2</v>
      </c>
      <c r="L66" s="35">
        <f t="shared" si="8"/>
        <v>2</v>
      </c>
      <c r="M66" s="35">
        <f t="shared" si="8"/>
        <v>2</v>
      </c>
      <c r="N66" s="35">
        <f t="shared" si="8"/>
        <v>2</v>
      </c>
      <c r="O66" s="35">
        <f t="shared" si="8"/>
        <v>4</v>
      </c>
      <c r="P66" s="35">
        <f t="shared" si="8"/>
        <v>5</v>
      </c>
      <c r="Q66" s="35">
        <f t="shared" si="8"/>
        <v>6</v>
      </c>
      <c r="R66" s="35">
        <f t="shared" si="8"/>
        <v>7</v>
      </c>
      <c r="S66" s="35">
        <f t="shared" si="8"/>
        <v>8</v>
      </c>
      <c r="T66" s="35">
        <f t="shared" si="8"/>
        <v>7</v>
      </c>
      <c r="U66" s="35">
        <f t="shared" si="8"/>
        <v>7</v>
      </c>
      <c r="V66" s="35">
        <f t="shared" si="8"/>
        <v>7</v>
      </c>
      <c r="W66" s="35">
        <f t="shared" si="8"/>
        <v>7</v>
      </c>
      <c r="X66" s="35">
        <f t="shared" si="8"/>
        <v>7</v>
      </c>
      <c r="Y66" s="35">
        <f t="shared" si="8"/>
        <v>8</v>
      </c>
      <c r="Z66" s="35">
        <f t="shared" si="8"/>
        <v>7</v>
      </c>
      <c r="AA66" s="35">
        <f t="shared" si="8"/>
        <v>6</v>
      </c>
      <c r="AB66" s="35">
        <f t="shared" si="8"/>
        <v>3</v>
      </c>
      <c r="AC66" s="35">
        <f t="shared" si="8"/>
        <v>3</v>
      </c>
      <c r="AD66" s="35">
        <f t="shared" si="8"/>
        <v>2</v>
      </c>
      <c r="AE66" s="30">
        <f t="shared" ref="AE66:AE83" si="9">SUM(G66:AD66)</f>
        <v>110</v>
      </c>
      <c r="AF66" s="36" t="s">
        <v>39</v>
      </c>
      <c r="AG66" s="37" t="s">
        <v>40</v>
      </c>
      <c r="AH66" s="174"/>
      <c r="AI66" s="174"/>
      <c r="AJ66" s="174"/>
    </row>
    <row r="67" spans="1:36" ht="14.25" customHeight="1">
      <c r="A67" s="38" t="s">
        <v>145</v>
      </c>
      <c r="B67" s="38" t="s">
        <v>67</v>
      </c>
      <c r="C67" s="38">
        <v>968594141</v>
      </c>
      <c r="D67" s="99">
        <v>1</v>
      </c>
      <c r="E67" s="40" t="s">
        <v>68</v>
      </c>
      <c r="F67" s="41">
        <f t="shared" ref="F67:F83" si="10">SUM(G67:AD67)</f>
        <v>8</v>
      </c>
      <c r="G67" s="42"/>
      <c r="H67" s="42"/>
      <c r="I67" s="42"/>
      <c r="J67" s="42"/>
      <c r="K67" s="42"/>
      <c r="L67" s="42"/>
      <c r="M67" s="42"/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2"/>
      <c r="W67" s="42"/>
      <c r="X67" s="42"/>
      <c r="Y67" s="42"/>
      <c r="Z67" s="42"/>
      <c r="AA67" s="42"/>
      <c r="AB67" s="42"/>
      <c r="AC67" s="42"/>
      <c r="AD67" s="42"/>
      <c r="AE67" s="41">
        <f t="shared" si="9"/>
        <v>8</v>
      </c>
      <c r="AF67" s="43" t="s">
        <v>288</v>
      </c>
      <c r="AG67" s="44" t="s">
        <v>499</v>
      </c>
      <c r="AH67" s="25"/>
      <c r="AI67" s="25"/>
      <c r="AJ67" s="25"/>
    </row>
    <row r="68" spans="1:36" ht="14.25" customHeight="1">
      <c r="A68" s="38" t="s">
        <v>145</v>
      </c>
      <c r="B68" s="38" t="s">
        <v>149</v>
      </c>
      <c r="C68" s="38">
        <v>996585473</v>
      </c>
      <c r="D68" s="62">
        <v>2</v>
      </c>
      <c r="E68" s="40" t="s">
        <v>150</v>
      </c>
      <c r="F68" s="41">
        <f t="shared" si="10"/>
        <v>7</v>
      </c>
      <c r="G68" s="42"/>
      <c r="H68" s="42"/>
      <c r="I68" s="42"/>
      <c r="J68" s="42"/>
      <c r="K68" s="42"/>
      <c r="L68" s="42"/>
      <c r="M68" s="113" t="s">
        <v>231</v>
      </c>
      <c r="N68" s="42">
        <v>1</v>
      </c>
      <c r="O68" s="42">
        <v>1</v>
      </c>
      <c r="P68" s="42">
        <v>1</v>
      </c>
      <c r="Q68" s="42">
        <v>1</v>
      </c>
      <c r="R68" s="42">
        <v>1</v>
      </c>
      <c r="S68" s="42">
        <v>1</v>
      </c>
      <c r="T68" s="63">
        <v>1</v>
      </c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1">
        <f t="shared" si="9"/>
        <v>7</v>
      </c>
      <c r="AF68" s="43" t="s">
        <v>244</v>
      </c>
      <c r="AG68" s="44" t="s">
        <v>499</v>
      </c>
      <c r="AH68" s="25"/>
      <c r="AI68" s="25"/>
      <c r="AJ68" s="25"/>
    </row>
    <row r="69" spans="1:36" ht="14.25" customHeight="1">
      <c r="A69" s="38" t="s">
        <v>145</v>
      </c>
      <c r="B69" s="38" t="s">
        <v>76</v>
      </c>
      <c r="C69" s="38">
        <v>997829699</v>
      </c>
      <c r="D69" s="39">
        <v>3</v>
      </c>
      <c r="E69" s="40" t="s">
        <v>77</v>
      </c>
      <c r="F69" s="41">
        <f t="shared" si="10"/>
        <v>9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>
        <v>1</v>
      </c>
      <c r="V69" s="42">
        <v>1</v>
      </c>
      <c r="W69" s="42">
        <v>1</v>
      </c>
      <c r="X69" s="42">
        <v>1</v>
      </c>
      <c r="Y69" s="42">
        <v>1</v>
      </c>
      <c r="Z69" s="42">
        <v>1</v>
      </c>
      <c r="AA69" s="42">
        <v>1</v>
      </c>
      <c r="AB69" s="42">
        <v>1</v>
      </c>
      <c r="AC69" s="42">
        <v>1</v>
      </c>
      <c r="AD69" s="42"/>
      <c r="AE69" s="41">
        <f t="shared" si="9"/>
        <v>9</v>
      </c>
      <c r="AF69" s="43" t="s">
        <v>81</v>
      </c>
      <c r="AG69" s="44" t="s">
        <v>499</v>
      </c>
      <c r="AH69" s="25"/>
      <c r="AI69" s="25"/>
      <c r="AJ69" s="25"/>
    </row>
    <row r="70" spans="1:36" ht="14.25" customHeight="1">
      <c r="A70" s="38" t="s">
        <v>145</v>
      </c>
      <c r="B70" s="38" t="s">
        <v>152</v>
      </c>
      <c r="C70" s="38"/>
      <c r="D70" s="99">
        <v>4</v>
      </c>
      <c r="E70" s="40" t="s">
        <v>153</v>
      </c>
      <c r="F70" s="41">
        <f t="shared" si="10"/>
        <v>7</v>
      </c>
      <c r="G70" s="42">
        <v>1</v>
      </c>
      <c r="H70" s="42">
        <v>1</v>
      </c>
      <c r="I70" s="42">
        <v>1</v>
      </c>
      <c r="J70" s="42">
        <v>1</v>
      </c>
      <c r="K70" s="42">
        <v>1</v>
      </c>
      <c r="L70" s="42">
        <v>1</v>
      </c>
      <c r="M70" s="42">
        <v>1</v>
      </c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1">
        <f t="shared" si="9"/>
        <v>7</v>
      </c>
      <c r="AF70" s="43" t="s">
        <v>284</v>
      </c>
      <c r="AG70" s="44" t="s">
        <v>499</v>
      </c>
      <c r="AH70" s="25"/>
      <c r="AI70" s="25"/>
      <c r="AJ70" s="25"/>
    </row>
    <row r="71" spans="1:36" ht="14.25" customHeight="1">
      <c r="A71" s="38" t="s">
        <v>145</v>
      </c>
      <c r="B71" s="38" t="s">
        <v>85</v>
      </c>
      <c r="C71" s="38">
        <v>991837641</v>
      </c>
      <c r="D71" s="62">
        <v>5</v>
      </c>
      <c r="E71" s="40" t="s">
        <v>86</v>
      </c>
      <c r="F71" s="41">
        <f t="shared" si="10"/>
        <v>5</v>
      </c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63">
        <v>1</v>
      </c>
      <c r="V71" s="63">
        <v>1</v>
      </c>
      <c r="W71" s="42">
        <v>1</v>
      </c>
      <c r="X71" s="63">
        <v>1</v>
      </c>
      <c r="Y71" s="63">
        <v>1</v>
      </c>
      <c r="Z71" s="42"/>
      <c r="AA71" s="42"/>
      <c r="AB71" s="42"/>
      <c r="AC71" s="42"/>
      <c r="AD71" s="42"/>
      <c r="AE71" s="41">
        <f t="shared" si="9"/>
        <v>5</v>
      </c>
      <c r="AF71" s="46" t="s">
        <v>513</v>
      </c>
      <c r="AG71" s="44" t="s">
        <v>499</v>
      </c>
      <c r="AH71" s="25"/>
      <c r="AI71" s="25"/>
      <c r="AJ71" s="25"/>
    </row>
    <row r="72" spans="1:36" ht="14.25" customHeight="1">
      <c r="A72" s="38" t="s">
        <v>145</v>
      </c>
      <c r="B72" s="38" t="s">
        <v>157</v>
      </c>
      <c r="C72" s="38">
        <v>990911747</v>
      </c>
      <c r="D72" s="39">
        <v>6</v>
      </c>
      <c r="E72" s="40" t="s">
        <v>158</v>
      </c>
      <c r="F72" s="41">
        <f t="shared" si="10"/>
        <v>7</v>
      </c>
      <c r="G72" s="42"/>
      <c r="H72" s="42"/>
      <c r="I72" s="42"/>
      <c r="J72" s="42"/>
      <c r="K72" s="42"/>
      <c r="L72" s="42"/>
      <c r="M72" s="42"/>
      <c r="N72" s="113" t="s">
        <v>231</v>
      </c>
      <c r="O72" s="42">
        <v>1</v>
      </c>
      <c r="P72" s="42">
        <v>1</v>
      </c>
      <c r="Q72" s="42">
        <v>1</v>
      </c>
      <c r="R72" s="42">
        <v>1</v>
      </c>
      <c r="S72" s="42">
        <v>1</v>
      </c>
      <c r="T72" s="42">
        <v>1</v>
      </c>
      <c r="U72" s="42">
        <v>1</v>
      </c>
      <c r="V72" s="42"/>
      <c r="W72" s="42"/>
      <c r="X72" s="42"/>
      <c r="Y72" s="42"/>
      <c r="Z72" s="42"/>
      <c r="AA72" s="42"/>
      <c r="AB72" s="42"/>
      <c r="AC72" s="42"/>
      <c r="AD72" s="42"/>
      <c r="AE72" s="41">
        <f t="shared" si="9"/>
        <v>7</v>
      </c>
      <c r="AF72" s="43" t="s">
        <v>288</v>
      </c>
      <c r="AG72" s="44" t="s">
        <v>499</v>
      </c>
      <c r="AH72" s="25"/>
      <c r="AI72" s="25"/>
      <c r="AJ72" s="25"/>
    </row>
    <row r="73" spans="1:36" ht="14.25" customHeight="1">
      <c r="A73" s="38" t="s">
        <v>145</v>
      </c>
      <c r="B73" s="38" t="s">
        <v>160</v>
      </c>
      <c r="C73" s="38">
        <v>993901115</v>
      </c>
      <c r="D73" s="99">
        <v>7</v>
      </c>
      <c r="E73" s="40" t="s">
        <v>161</v>
      </c>
      <c r="F73" s="41">
        <f t="shared" si="10"/>
        <v>5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>
        <v>1</v>
      </c>
      <c r="AA73" s="42">
        <v>1</v>
      </c>
      <c r="AB73" s="42">
        <v>1</v>
      </c>
      <c r="AC73" s="42">
        <v>1</v>
      </c>
      <c r="AD73" s="42">
        <v>1</v>
      </c>
      <c r="AE73" s="41">
        <f t="shared" si="9"/>
        <v>5</v>
      </c>
      <c r="AF73" s="46" t="s">
        <v>270</v>
      </c>
      <c r="AG73" s="44" t="s">
        <v>499</v>
      </c>
      <c r="AH73" s="25"/>
      <c r="AI73" s="25"/>
      <c r="AJ73" s="25"/>
    </row>
    <row r="74" spans="1:36" ht="14.25" customHeight="1">
      <c r="A74" s="38" t="s">
        <v>145</v>
      </c>
      <c r="B74" s="38" t="s">
        <v>165</v>
      </c>
      <c r="C74" s="38">
        <v>992994680</v>
      </c>
      <c r="D74" s="62">
        <v>8</v>
      </c>
      <c r="E74" s="40" t="s">
        <v>166</v>
      </c>
      <c r="F74" s="41">
        <f t="shared" si="10"/>
        <v>0</v>
      </c>
      <c r="G74" s="42" t="s">
        <v>352</v>
      </c>
      <c r="H74" s="42" t="s">
        <v>352</v>
      </c>
      <c r="I74" s="42" t="s">
        <v>352</v>
      </c>
      <c r="J74" s="42" t="s">
        <v>352</v>
      </c>
      <c r="K74" s="42" t="s">
        <v>352</v>
      </c>
      <c r="L74" s="42" t="s">
        <v>352</v>
      </c>
      <c r="M74" s="42" t="s">
        <v>352</v>
      </c>
      <c r="N74" s="42" t="s">
        <v>352</v>
      </c>
      <c r="O74" s="42" t="s">
        <v>352</v>
      </c>
      <c r="P74" s="42" t="s">
        <v>352</v>
      </c>
      <c r="Q74" s="42" t="s">
        <v>352</v>
      </c>
      <c r="R74" s="42" t="s">
        <v>352</v>
      </c>
      <c r="S74" s="42" t="s">
        <v>352</v>
      </c>
      <c r="T74" s="42" t="s">
        <v>352</v>
      </c>
      <c r="U74" s="42" t="s">
        <v>352</v>
      </c>
      <c r="V74" s="42" t="s">
        <v>352</v>
      </c>
      <c r="W74" s="42" t="s">
        <v>352</v>
      </c>
      <c r="X74" s="42" t="s">
        <v>352</v>
      </c>
      <c r="Y74" s="42" t="s">
        <v>352</v>
      </c>
      <c r="Z74" s="42" t="s">
        <v>352</v>
      </c>
      <c r="AA74" s="42" t="s">
        <v>352</v>
      </c>
      <c r="AB74" s="42" t="s">
        <v>352</v>
      </c>
      <c r="AC74" s="42" t="s">
        <v>352</v>
      </c>
      <c r="AD74" s="42" t="s">
        <v>352</v>
      </c>
      <c r="AE74" s="41">
        <f t="shared" si="9"/>
        <v>0</v>
      </c>
      <c r="AF74" s="64" t="s">
        <v>6</v>
      </c>
      <c r="AG74" s="44" t="s">
        <v>499</v>
      </c>
      <c r="AH74" s="25"/>
      <c r="AI74" s="25"/>
      <c r="AJ74" s="25"/>
    </row>
    <row r="75" spans="1:36" ht="14.25" customHeight="1">
      <c r="A75" s="38" t="s">
        <v>145</v>
      </c>
      <c r="B75" s="38" t="s">
        <v>168</v>
      </c>
      <c r="C75" s="38"/>
      <c r="D75" s="39">
        <v>9</v>
      </c>
      <c r="E75" s="40" t="s">
        <v>169</v>
      </c>
      <c r="F75" s="88">
        <f t="shared" si="10"/>
        <v>6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63">
        <v>1</v>
      </c>
      <c r="Z75" s="63">
        <v>1</v>
      </c>
      <c r="AA75" s="63">
        <v>1</v>
      </c>
      <c r="AB75" s="42">
        <v>1</v>
      </c>
      <c r="AC75" s="42">
        <v>1</v>
      </c>
      <c r="AD75" s="42">
        <v>1</v>
      </c>
      <c r="AE75" s="41">
        <f t="shared" si="9"/>
        <v>6</v>
      </c>
      <c r="AF75" s="46" t="s">
        <v>281</v>
      </c>
      <c r="AG75" s="44" t="s">
        <v>499</v>
      </c>
      <c r="AH75" s="25"/>
      <c r="AI75" s="25"/>
      <c r="AJ75" s="25"/>
    </row>
    <row r="76" spans="1:36" ht="14.25" customHeight="1">
      <c r="A76" s="98" t="s">
        <v>145</v>
      </c>
      <c r="B76" s="98" t="s">
        <v>176</v>
      </c>
      <c r="C76" s="98"/>
      <c r="D76" s="99">
        <v>10</v>
      </c>
      <c r="E76" s="100" t="s">
        <v>177</v>
      </c>
      <c r="F76" s="101">
        <f t="shared" si="10"/>
        <v>9</v>
      </c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>
        <v>1</v>
      </c>
      <c r="T76" s="102">
        <v>1</v>
      </c>
      <c r="U76" s="102">
        <v>1</v>
      </c>
      <c r="V76" s="102">
        <v>1</v>
      </c>
      <c r="W76" s="102">
        <v>1</v>
      </c>
      <c r="X76" s="102">
        <v>1</v>
      </c>
      <c r="Y76" s="102">
        <v>1</v>
      </c>
      <c r="Z76" s="102">
        <v>1</v>
      </c>
      <c r="AA76" s="102">
        <v>1</v>
      </c>
      <c r="AB76" s="102"/>
      <c r="AC76" s="102"/>
      <c r="AD76" s="102"/>
      <c r="AE76" s="101">
        <f t="shared" si="9"/>
        <v>9</v>
      </c>
      <c r="AF76" s="115" t="s">
        <v>312</v>
      </c>
      <c r="AG76" s="44" t="s">
        <v>499</v>
      </c>
      <c r="AH76" s="25"/>
      <c r="AI76" s="25"/>
      <c r="AJ76" s="25"/>
    </row>
    <row r="77" spans="1:36" ht="14.25" customHeight="1">
      <c r="A77" s="38" t="s">
        <v>145</v>
      </c>
      <c r="B77" s="38" t="s">
        <v>178</v>
      </c>
      <c r="C77" s="38"/>
      <c r="D77" s="62">
        <v>11</v>
      </c>
      <c r="E77" s="40" t="s">
        <v>179</v>
      </c>
      <c r="F77" s="41">
        <f t="shared" si="10"/>
        <v>7</v>
      </c>
      <c r="G77" s="42">
        <v>1</v>
      </c>
      <c r="H77" s="42">
        <v>1</v>
      </c>
      <c r="I77" s="42">
        <v>1</v>
      </c>
      <c r="J77" s="42">
        <v>1</v>
      </c>
      <c r="K77" s="42">
        <v>1</v>
      </c>
      <c r="L77" s="42">
        <v>1</v>
      </c>
      <c r="M77" s="42">
        <v>1</v>
      </c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1">
        <f t="shared" si="9"/>
        <v>7</v>
      </c>
      <c r="AF77" s="43" t="s">
        <v>284</v>
      </c>
      <c r="AG77" s="44"/>
      <c r="AH77" s="25"/>
      <c r="AI77" s="25"/>
      <c r="AJ77" s="25"/>
    </row>
    <row r="78" spans="1:36" ht="14.25" customHeight="1">
      <c r="A78" s="38" t="s">
        <v>145</v>
      </c>
      <c r="B78" s="38" t="s">
        <v>181</v>
      </c>
      <c r="C78" s="38"/>
      <c r="D78" s="39">
        <v>12</v>
      </c>
      <c r="E78" s="40" t="s">
        <v>182</v>
      </c>
      <c r="F78" s="41">
        <f t="shared" si="10"/>
        <v>10</v>
      </c>
      <c r="G78" s="42"/>
      <c r="H78" s="42"/>
      <c r="I78" s="42"/>
      <c r="J78" s="42"/>
      <c r="K78" s="42"/>
      <c r="L78" s="42"/>
      <c r="M78" s="42"/>
      <c r="N78" s="42"/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/>
      <c r="U78" s="42">
        <v>1</v>
      </c>
      <c r="V78" s="42">
        <v>1</v>
      </c>
      <c r="W78" s="42">
        <v>1</v>
      </c>
      <c r="X78" s="42">
        <v>1</v>
      </c>
      <c r="Y78" s="42">
        <v>1</v>
      </c>
      <c r="Z78" s="42"/>
      <c r="AA78" s="42"/>
      <c r="AB78" s="42"/>
      <c r="AC78" s="42"/>
      <c r="AD78" s="42"/>
      <c r="AE78" s="41">
        <f t="shared" si="9"/>
        <v>10</v>
      </c>
      <c r="AF78" s="43" t="s">
        <v>236</v>
      </c>
      <c r="AG78" s="44"/>
      <c r="AH78" s="25"/>
      <c r="AI78" s="25"/>
      <c r="AJ78" s="25"/>
    </row>
    <row r="79" spans="1:36" ht="14.25" customHeight="1">
      <c r="A79" s="38" t="s">
        <v>145</v>
      </c>
      <c r="B79" s="38" t="s">
        <v>107</v>
      </c>
      <c r="C79" s="38">
        <v>981074073</v>
      </c>
      <c r="D79" s="99">
        <v>13</v>
      </c>
      <c r="E79" s="40" t="s">
        <v>108</v>
      </c>
      <c r="F79" s="41">
        <f t="shared" si="10"/>
        <v>10</v>
      </c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>
        <v>1</v>
      </c>
      <c r="S79" s="42">
        <v>1</v>
      </c>
      <c r="T79" s="42">
        <v>1</v>
      </c>
      <c r="U79" s="42">
        <v>1</v>
      </c>
      <c r="V79" s="42">
        <v>1</v>
      </c>
      <c r="W79" s="42">
        <v>1</v>
      </c>
      <c r="X79" s="42">
        <v>1</v>
      </c>
      <c r="Y79" s="42">
        <v>1</v>
      </c>
      <c r="Z79" s="42">
        <v>1</v>
      </c>
      <c r="AA79" s="42">
        <v>1</v>
      </c>
      <c r="AB79" s="42"/>
      <c r="AC79" s="42"/>
      <c r="AD79" s="42"/>
      <c r="AE79" s="41">
        <f t="shared" si="9"/>
        <v>10</v>
      </c>
      <c r="AF79" s="43" t="s">
        <v>207</v>
      </c>
      <c r="AG79" s="44"/>
      <c r="AH79" s="25"/>
      <c r="AI79" s="25"/>
      <c r="AJ79" s="25"/>
    </row>
    <row r="80" spans="1:36" ht="14.25" customHeight="1">
      <c r="A80" s="38" t="s">
        <v>145</v>
      </c>
      <c r="B80" s="38" t="s">
        <v>167</v>
      </c>
      <c r="C80" s="38">
        <v>995055956</v>
      </c>
      <c r="D80" s="62">
        <v>14</v>
      </c>
      <c r="E80" s="40" t="s">
        <v>144</v>
      </c>
      <c r="F80" s="41">
        <f t="shared" si="10"/>
        <v>10</v>
      </c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>
        <v>1</v>
      </c>
      <c r="R80" s="42">
        <v>1</v>
      </c>
      <c r="S80" s="42">
        <v>1</v>
      </c>
      <c r="T80" s="42">
        <v>1</v>
      </c>
      <c r="U80" s="42"/>
      <c r="V80" s="42">
        <v>1</v>
      </c>
      <c r="W80" s="42">
        <v>1</v>
      </c>
      <c r="X80" s="42">
        <v>1</v>
      </c>
      <c r="Y80" s="42">
        <v>1</v>
      </c>
      <c r="Z80" s="42">
        <v>1</v>
      </c>
      <c r="AA80" s="42">
        <v>1</v>
      </c>
      <c r="AB80" s="42"/>
      <c r="AC80" s="42"/>
      <c r="AD80" s="42"/>
      <c r="AE80" s="41">
        <f t="shared" si="9"/>
        <v>10</v>
      </c>
      <c r="AF80" s="43" t="s">
        <v>233</v>
      </c>
      <c r="AG80" s="44"/>
      <c r="AH80" s="25"/>
      <c r="AI80" s="25"/>
      <c r="AJ80" s="25"/>
    </row>
    <row r="81" spans="1:36" ht="14.25" customHeight="1">
      <c r="A81" s="38" t="s">
        <v>145</v>
      </c>
      <c r="B81" s="38" t="s">
        <v>173</v>
      </c>
      <c r="C81" s="38">
        <v>988941361</v>
      </c>
      <c r="D81" s="39">
        <v>15</v>
      </c>
      <c r="E81" s="235" t="s">
        <v>174</v>
      </c>
      <c r="F81" s="41">
        <f t="shared" si="10"/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41">
        <f t="shared" si="9"/>
        <v>0</v>
      </c>
      <c r="AF81" s="127" t="s">
        <v>225</v>
      </c>
      <c r="AG81" s="44"/>
      <c r="AH81" s="25"/>
      <c r="AI81" s="25"/>
      <c r="AJ81" s="25"/>
    </row>
    <row r="82" spans="1:36" ht="14.25" customHeight="1">
      <c r="A82" s="76" t="s">
        <v>145</v>
      </c>
      <c r="B82" s="76" t="s">
        <v>97</v>
      </c>
      <c r="C82" s="38"/>
      <c r="D82" s="99">
        <v>16</v>
      </c>
      <c r="E82" s="87" t="s">
        <v>98</v>
      </c>
      <c r="F82" s="41">
        <f t="shared" si="10"/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41">
        <f t="shared" si="9"/>
        <v>0</v>
      </c>
      <c r="AF82" s="127" t="s">
        <v>225</v>
      </c>
      <c r="AG82" s="44"/>
      <c r="AH82" s="25"/>
      <c r="AI82" s="25"/>
      <c r="AJ82" s="25"/>
    </row>
    <row r="83" spans="1:36" ht="14.25" customHeight="1">
      <c r="A83" s="38" t="s">
        <v>145</v>
      </c>
      <c r="B83" s="38" t="s">
        <v>183</v>
      </c>
      <c r="C83" s="38"/>
      <c r="D83" s="39">
        <v>18</v>
      </c>
      <c r="E83" s="40" t="s">
        <v>184</v>
      </c>
      <c r="F83" s="41">
        <f t="shared" si="10"/>
        <v>10</v>
      </c>
      <c r="G83" s="42"/>
      <c r="H83" s="42"/>
      <c r="I83" s="42"/>
      <c r="J83" s="42"/>
      <c r="K83" s="42"/>
      <c r="L83" s="42"/>
      <c r="M83" s="42"/>
      <c r="N83" s="42"/>
      <c r="O83" s="42"/>
      <c r="P83" s="42">
        <v>1</v>
      </c>
      <c r="Q83" s="42">
        <v>1</v>
      </c>
      <c r="R83" s="42">
        <v>1</v>
      </c>
      <c r="S83" s="42">
        <v>1</v>
      </c>
      <c r="T83" s="42">
        <v>1</v>
      </c>
      <c r="U83" s="42"/>
      <c r="V83" s="42">
        <v>1</v>
      </c>
      <c r="W83" s="42">
        <v>1</v>
      </c>
      <c r="X83" s="42">
        <v>1</v>
      </c>
      <c r="Y83" s="42">
        <v>1</v>
      </c>
      <c r="Z83" s="42">
        <v>1</v>
      </c>
      <c r="AA83" s="42"/>
      <c r="AB83" s="42"/>
      <c r="AC83" s="42"/>
      <c r="AD83" s="42"/>
      <c r="AE83" s="41">
        <f t="shared" si="9"/>
        <v>10</v>
      </c>
      <c r="AF83" s="43" t="s">
        <v>222</v>
      </c>
      <c r="AG83" s="44" t="s">
        <v>499</v>
      </c>
      <c r="AH83" s="25"/>
      <c r="AI83" s="25"/>
      <c r="AJ83" s="25"/>
    </row>
    <row r="84" spans="1:36" ht="14.25" customHeight="1">
      <c r="A84" s="3"/>
      <c r="B84" s="3"/>
      <c r="C84" s="3"/>
      <c r="D84" s="3"/>
      <c r="E84" s="3"/>
      <c r="F84" s="3"/>
      <c r="G84" s="65" t="s">
        <v>9</v>
      </c>
      <c r="H84" s="65" t="s">
        <v>10</v>
      </c>
      <c r="I84" s="65" t="s">
        <v>11</v>
      </c>
      <c r="J84" s="65" t="s">
        <v>12</v>
      </c>
      <c r="K84" s="65" t="s">
        <v>13</v>
      </c>
      <c r="L84" s="65" t="s">
        <v>14</v>
      </c>
      <c r="M84" s="65" t="s">
        <v>15</v>
      </c>
      <c r="N84" s="65" t="s">
        <v>16</v>
      </c>
      <c r="O84" s="65" t="s">
        <v>17</v>
      </c>
      <c r="P84" s="65" t="s">
        <v>18</v>
      </c>
      <c r="Q84" s="66" t="s">
        <v>19</v>
      </c>
      <c r="R84" s="66" t="s">
        <v>20</v>
      </c>
      <c r="S84" s="66" t="s">
        <v>21</v>
      </c>
      <c r="T84" s="66" t="s">
        <v>22</v>
      </c>
      <c r="U84" s="66" t="s">
        <v>23</v>
      </c>
      <c r="V84" s="66" t="s">
        <v>24</v>
      </c>
      <c r="W84" s="66" t="s">
        <v>25</v>
      </c>
      <c r="X84" s="66" t="s">
        <v>26</v>
      </c>
      <c r="Y84" s="66" t="s">
        <v>27</v>
      </c>
      <c r="Z84" s="66" t="s">
        <v>28</v>
      </c>
      <c r="AA84" s="66" t="s">
        <v>29</v>
      </c>
      <c r="AB84" s="66" t="s">
        <v>30</v>
      </c>
      <c r="AC84" s="66" t="s">
        <v>31</v>
      </c>
      <c r="AD84" s="65" t="s">
        <v>32</v>
      </c>
      <c r="AE84" s="53"/>
      <c r="AF84" s="3"/>
      <c r="AG84" s="3"/>
      <c r="AH84" s="3"/>
      <c r="AI84" s="3"/>
      <c r="AJ84" s="3"/>
    </row>
    <row r="85" spans="1:3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</sheetData>
  <customSheetViews>
    <customSheetView guid="{D6F95600-F5D2-44BC-80B6-0F2773D5BD92}" filter="1" showAutoFilter="1">
      <pageMargins left="0.7" right="0.7" top="0.75" bottom="0.75" header="0.3" footer="0.3"/>
      <autoFilter ref="A3:AG85" xr:uid="{F18BCE4A-5958-437B-AE46-7AA4A4AB987B}"/>
    </customSheetView>
    <customSheetView guid="{833D6734-F5E1-4449-B5A1-8C3A51A61651}" filter="1" showAutoFilter="1">
      <pageMargins left="0.7" right="0.7" top="0.75" bottom="0.75" header="0.3" footer="0.3"/>
      <autoFilter ref="A7:AG85" xr:uid="{9AAEDADC-3EA6-40A6-997E-36AA5499FBC2}">
        <filterColumn colId="26">
          <filters>
            <filter val="1"/>
            <filter val="5"/>
            <filter val="6"/>
            <filter val="CLIENTES VIP"/>
            <filter val="V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5" xr:uid="{8E9D75FC-109A-4F4C-A723-79E3B1658C07}">
        <filterColumn colId="15">
          <filters>
            <filter val="-"/>
            <filter val="1"/>
            <filter val="17"/>
            <filter val="6"/>
            <filter val="7"/>
            <filter val="CLIENTES VIP"/>
            <filter val="FI"/>
            <filter val="SOPORTE DTH"/>
            <filter val="V"/>
          </filters>
        </filterColumn>
      </autoFilter>
    </customSheetView>
  </customSheetViews>
  <mergeCells count="9">
    <mergeCell ref="E5:F5"/>
    <mergeCell ref="E63:F63"/>
    <mergeCell ref="A1:B1"/>
    <mergeCell ref="D3:AE3"/>
    <mergeCell ref="E4:F4"/>
    <mergeCell ref="O18:Z18"/>
    <mergeCell ref="P20:Z20"/>
    <mergeCell ref="N22:U22"/>
    <mergeCell ref="V59:AC59"/>
  </mergeCells>
  <conditionalFormatting sqref="E4:F4 E63:F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5:AB65 N84:AB84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85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268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225">
        <v>8</v>
      </c>
      <c r="N4" s="94">
        <v>10</v>
      </c>
      <c r="O4" s="14">
        <v>12</v>
      </c>
      <c r="P4" s="108">
        <v>15</v>
      </c>
      <c r="Q4" s="83">
        <v>17</v>
      </c>
      <c r="R4" s="83">
        <v>17</v>
      </c>
      <c r="S4" s="83">
        <v>17</v>
      </c>
      <c r="T4" s="72">
        <v>16</v>
      </c>
      <c r="U4" s="72">
        <v>16</v>
      </c>
      <c r="V4" s="72">
        <v>16</v>
      </c>
      <c r="W4" s="72">
        <v>16</v>
      </c>
      <c r="X4" s="72">
        <v>16</v>
      </c>
      <c r="Y4" s="14">
        <v>12</v>
      </c>
      <c r="Z4" s="14">
        <v>12</v>
      </c>
      <c r="AA4" s="13">
        <v>11</v>
      </c>
      <c r="AB4" s="17">
        <v>7</v>
      </c>
      <c r="AC4" s="17">
        <v>7</v>
      </c>
      <c r="AD4" s="11">
        <v>4</v>
      </c>
      <c r="AE4" s="18">
        <f>SUM(G4:AD4)</f>
        <v>248</v>
      </c>
      <c r="AF4" s="3">
        <f>AE4/9</f>
        <v>27.555555555555557</v>
      </c>
      <c r="AG4" s="3"/>
    </row>
    <row r="5" spans="1:33" ht="62.25">
      <c r="A5" s="3"/>
      <c r="B5" s="2"/>
      <c r="C5" s="2"/>
      <c r="D5" s="19"/>
      <c r="E5" s="569">
        <v>2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05">
        <f t="shared" si="0"/>
        <v>-1</v>
      </c>
      <c r="N6" s="28">
        <f t="shared" si="0"/>
        <v>0</v>
      </c>
      <c r="O6" s="125">
        <f t="shared" si="0"/>
        <v>1</v>
      </c>
      <c r="P6" s="125">
        <f t="shared" si="0"/>
        <v>0</v>
      </c>
      <c r="Q6" s="125">
        <f t="shared" si="0"/>
        <v>0</v>
      </c>
      <c r="R6" s="125">
        <f t="shared" si="0"/>
        <v>0</v>
      </c>
      <c r="S6" s="125">
        <f t="shared" si="0"/>
        <v>1</v>
      </c>
      <c r="T6" s="125">
        <f t="shared" si="0"/>
        <v>0</v>
      </c>
      <c r="U6" s="125">
        <f t="shared" si="0"/>
        <v>0</v>
      </c>
      <c r="V6" s="125">
        <f t="shared" si="0"/>
        <v>1</v>
      </c>
      <c r="W6" s="205">
        <f t="shared" si="0"/>
        <v>-1</v>
      </c>
      <c r="X6" s="205">
        <f t="shared" si="0"/>
        <v>-1</v>
      </c>
      <c r="Y6" s="125">
        <f t="shared" si="0"/>
        <v>0</v>
      </c>
      <c r="Z6" s="125">
        <f t="shared" si="0"/>
        <v>0</v>
      </c>
      <c r="AA6" s="125">
        <f t="shared" si="0"/>
        <v>0</v>
      </c>
      <c r="AB6" s="125">
        <f t="shared" si="0"/>
        <v>0</v>
      </c>
      <c r="AC6" s="125">
        <f t="shared" si="0"/>
        <v>0</v>
      </c>
      <c r="AD6" s="28">
        <f t="shared" si="0"/>
        <v>0</v>
      </c>
      <c r="AE6" s="29">
        <f t="shared" ref="AE6:AE7" si="1">SUM(G6:AD6)</f>
        <v>0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SUM(G8:G60)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7</v>
      </c>
      <c r="N7" s="35">
        <f t="shared" si="2"/>
        <v>10</v>
      </c>
      <c r="O7" s="35">
        <f t="shared" si="2"/>
        <v>13</v>
      </c>
      <c r="P7" s="35">
        <f t="shared" si="2"/>
        <v>15</v>
      </c>
      <c r="Q7" s="35">
        <f t="shared" si="2"/>
        <v>17</v>
      </c>
      <c r="R7" s="35">
        <f t="shared" si="2"/>
        <v>17</v>
      </c>
      <c r="S7" s="35">
        <f t="shared" si="2"/>
        <v>18</v>
      </c>
      <c r="T7" s="35">
        <f t="shared" si="2"/>
        <v>16</v>
      </c>
      <c r="U7" s="35">
        <f t="shared" si="2"/>
        <v>16</v>
      </c>
      <c r="V7" s="35">
        <f t="shared" si="2"/>
        <v>17</v>
      </c>
      <c r="W7" s="35">
        <f t="shared" si="2"/>
        <v>15</v>
      </c>
      <c r="X7" s="35">
        <f t="shared" si="2"/>
        <v>15</v>
      </c>
      <c r="Y7" s="35">
        <f t="shared" si="2"/>
        <v>12</v>
      </c>
      <c r="Z7" s="35">
        <f t="shared" si="2"/>
        <v>12</v>
      </c>
      <c r="AA7" s="35">
        <f t="shared" si="2"/>
        <v>11</v>
      </c>
      <c r="AB7" s="35">
        <f t="shared" si="2"/>
        <v>7</v>
      </c>
      <c r="AC7" s="35">
        <f t="shared" si="2"/>
        <v>7</v>
      </c>
      <c r="AD7" s="35">
        <f t="shared" si="2"/>
        <v>4</v>
      </c>
      <c r="AE7" s="30">
        <f t="shared" si="1"/>
        <v>248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87" t="s">
        <v>46</v>
      </c>
      <c r="F8" s="88">
        <f t="shared" ref="F8:F17" si="3">SUM(G8:AD8)</f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X8" s="226">
        <v>0</v>
      </c>
      <c r="Y8" s="226">
        <v>0</v>
      </c>
      <c r="Z8" s="226">
        <v>0</v>
      </c>
      <c r="AA8" s="226">
        <v>0</v>
      </c>
      <c r="AB8" s="226">
        <v>0</v>
      </c>
      <c r="AC8" s="226">
        <v>0</v>
      </c>
      <c r="AD8" s="226">
        <v>0</v>
      </c>
      <c r="AE8" s="112">
        <v>0</v>
      </c>
      <c r="AF8" s="89" t="s">
        <v>225</v>
      </c>
      <c r="AG8" s="44" t="s">
        <v>499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40" t="s">
        <v>53</v>
      </c>
      <c r="F9" s="41">
        <f t="shared" si="3"/>
        <v>13</v>
      </c>
      <c r="G9" s="42">
        <v>1</v>
      </c>
      <c r="H9" s="42">
        <v>1</v>
      </c>
      <c r="I9" s="42">
        <v>1</v>
      </c>
      <c r="J9" s="42">
        <v>1</v>
      </c>
      <c r="K9" s="42">
        <v>1</v>
      </c>
      <c r="L9" s="42">
        <v>1</v>
      </c>
      <c r="M9" s="42">
        <v>1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75">
        <v>1</v>
      </c>
      <c r="Z9" s="42">
        <v>1</v>
      </c>
      <c r="AA9" s="42">
        <v>1</v>
      </c>
      <c r="AB9" s="42">
        <v>1</v>
      </c>
      <c r="AC9" s="42">
        <v>1</v>
      </c>
      <c r="AD9" s="42">
        <v>1</v>
      </c>
      <c r="AE9" s="41">
        <f t="shared" ref="AE9:AE10" si="4">SUM(G9:AD9)</f>
        <v>13</v>
      </c>
      <c r="AF9" s="46" t="s">
        <v>280</v>
      </c>
      <c r="AG9" s="44" t="s">
        <v>499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236" t="s">
        <v>56</v>
      </c>
      <c r="F10" s="88">
        <f t="shared" si="3"/>
        <v>8</v>
      </c>
      <c r="G10" s="102"/>
      <c r="H10" s="102"/>
      <c r="I10" s="102"/>
      <c r="J10" s="102"/>
      <c r="K10" s="102"/>
      <c r="L10" s="102"/>
      <c r="M10" s="102"/>
      <c r="N10" s="227"/>
      <c r="O10" s="227"/>
      <c r="P10" s="227"/>
      <c r="Q10" s="227"/>
      <c r="R10" s="227"/>
      <c r="S10" s="227"/>
      <c r="T10" s="227"/>
      <c r="U10" s="227"/>
      <c r="V10" s="227">
        <v>1</v>
      </c>
      <c r="W10" s="227">
        <v>1</v>
      </c>
      <c r="X10" s="227">
        <v>1</v>
      </c>
      <c r="Y10" s="227">
        <v>1</v>
      </c>
      <c r="Z10" s="227">
        <v>1</v>
      </c>
      <c r="AA10" s="227">
        <v>1</v>
      </c>
      <c r="AB10" s="227">
        <v>1</v>
      </c>
      <c r="AC10" s="227">
        <v>1</v>
      </c>
      <c r="AD10" s="227"/>
      <c r="AE10" s="101">
        <f t="shared" si="4"/>
        <v>8</v>
      </c>
      <c r="AF10" s="104" t="s">
        <v>218</v>
      </c>
      <c r="AG10" s="105" t="s">
        <v>499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40" t="s">
        <v>58</v>
      </c>
      <c r="F11" s="41">
        <f t="shared" si="3"/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Z11" s="226">
        <v>0</v>
      </c>
      <c r="AA11" s="226">
        <v>0</v>
      </c>
      <c r="AB11" s="226">
        <v>0</v>
      </c>
      <c r="AC11" s="226">
        <v>0</v>
      </c>
      <c r="AD11" s="226">
        <v>0</v>
      </c>
      <c r="AE11" s="112">
        <v>0</v>
      </c>
      <c r="AF11" s="89" t="s">
        <v>225</v>
      </c>
      <c r="AG11" s="44" t="s">
        <v>499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56" t="s">
        <v>147</v>
      </c>
      <c r="F12" s="101">
        <f t="shared" si="3"/>
        <v>9</v>
      </c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>
        <v>1</v>
      </c>
      <c r="W12" s="102">
        <v>1</v>
      </c>
      <c r="X12" s="102">
        <v>1</v>
      </c>
      <c r="Y12" s="102">
        <v>1</v>
      </c>
      <c r="Z12" s="102">
        <v>1</v>
      </c>
      <c r="AA12" s="102">
        <v>1</v>
      </c>
      <c r="AB12" s="102">
        <v>1</v>
      </c>
      <c r="AC12" s="102">
        <v>1</v>
      </c>
      <c r="AD12" s="102">
        <v>1</v>
      </c>
      <c r="AE12" s="101">
        <f t="shared" ref="AE12:AE17" si="5">SUM(G12:AD12)</f>
        <v>9</v>
      </c>
      <c r="AF12" s="43" t="s">
        <v>237</v>
      </c>
      <c r="AG12" s="44" t="s">
        <v>499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40" t="s">
        <v>60</v>
      </c>
      <c r="F13" s="41">
        <f t="shared" si="3"/>
        <v>10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>
        <v>1</v>
      </c>
      <c r="U13" s="42">
        <v>1</v>
      </c>
      <c r="V13" s="42">
        <v>1</v>
      </c>
      <c r="W13" s="42">
        <v>1</v>
      </c>
      <c r="X13" s="42">
        <v>1</v>
      </c>
      <c r="Y13" s="42">
        <v>1</v>
      </c>
      <c r="Z13" s="42">
        <v>1</v>
      </c>
      <c r="AA13" s="42">
        <v>1</v>
      </c>
      <c r="AB13" s="42">
        <v>1</v>
      </c>
      <c r="AC13" s="42">
        <v>1</v>
      </c>
      <c r="AD13" s="42"/>
      <c r="AE13" s="41">
        <f t="shared" si="5"/>
        <v>10</v>
      </c>
      <c r="AF13" s="43" t="s">
        <v>514</v>
      </c>
      <c r="AG13" s="44" t="s">
        <v>499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40" t="s">
        <v>63</v>
      </c>
      <c r="F14" s="41">
        <f t="shared" si="3"/>
        <v>9</v>
      </c>
      <c r="G14" s="42"/>
      <c r="H14" s="42"/>
      <c r="I14" s="42"/>
      <c r="J14" s="42"/>
      <c r="K14" s="42"/>
      <c r="L14" s="42"/>
      <c r="M14" s="42">
        <v>1</v>
      </c>
      <c r="N14" s="42">
        <v>1</v>
      </c>
      <c r="O14" s="42">
        <v>1</v>
      </c>
      <c r="P14" s="42">
        <v>1</v>
      </c>
      <c r="Q14" s="42">
        <v>1</v>
      </c>
      <c r="R14" s="42">
        <v>1</v>
      </c>
      <c r="S14" s="42"/>
      <c r="T14" s="42">
        <v>1</v>
      </c>
      <c r="U14" s="42">
        <v>1</v>
      </c>
      <c r="V14" s="42">
        <v>1</v>
      </c>
      <c r="W14" s="42"/>
      <c r="X14" s="42"/>
      <c r="Y14" s="42"/>
      <c r="Z14" s="42"/>
      <c r="AA14" s="42"/>
      <c r="AB14" s="42"/>
      <c r="AC14" s="42"/>
      <c r="AD14" s="42"/>
      <c r="AE14" s="41">
        <f t="shared" si="5"/>
        <v>9</v>
      </c>
      <c r="AF14" s="43" t="s">
        <v>224</v>
      </c>
      <c r="AG14" s="44" t="s">
        <v>499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87" t="s">
        <v>65</v>
      </c>
      <c r="F15" s="41">
        <f t="shared" si="3"/>
        <v>0</v>
      </c>
      <c r="G15" s="109">
        <v>0</v>
      </c>
      <c r="H15" s="109">
        <v>0</v>
      </c>
      <c r="I15" s="109">
        <v>0</v>
      </c>
      <c r="J15" s="109">
        <v>0</v>
      </c>
      <c r="K15" s="109">
        <v>0</v>
      </c>
      <c r="L15" s="109">
        <v>0</v>
      </c>
      <c r="M15" s="109">
        <v>0</v>
      </c>
      <c r="N15" s="109">
        <v>0</v>
      </c>
      <c r="O15" s="109">
        <v>0</v>
      </c>
      <c r="P15" s="109">
        <v>0</v>
      </c>
      <c r="Q15" s="109">
        <v>0</v>
      </c>
      <c r="R15" s="109">
        <v>0</v>
      </c>
      <c r="S15" s="109">
        <v>0</v>
      </c>
      <c r="T15" s="109">
        <v>0</v>
      </c>
      <c r="U15" s="109">
        <v>0</v>
      </c>
      <c r="V15" s="109">
        <v>0</v>
      </c>
      <c r="W15" s="109">
        <v>0</v>
      </c>
      <c r="X15" s="109">
        <v>0</v>
      </c>
      <c r="Y15" s="109">
        <v>0</v>
      </c>
      <c r="Z15" s="109">
        <v>0</v>
      </c>
      <c r="AA15" s="109">
        <v>0</v>
      </c>
      <c r="AB15" s="109">
        <v>0</v>
      </c>
      <c r="AC15" s="109">
        <v>0</v>
      </c>
      <c r="AD15" s="109">
        <v>0</v>
      </c>
      <c r="AE15" s="229">
        <f t="shared" si="5"/>
        <v>0</v>
      </c>
      <c r="AF15" s="138" t="s">
        <v>225</v>
      </c>
      <c r="AG15" s="44" t="s">
        <v>499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40" t="s">
        <v>71</v>
      </c>
      <c r="F16" s="41">
        <f t="shared" si="3"/>
        <v>0</v>
      </c>
      <c r="G16" s="109">
        <v>0</v>
      </c>
      <c r="H16" s="109">
        <v>0</v>
      </c>
      <c r="I16" s="109">
        <v>0</v>
      </c>
      <c r="J16" s="109">
        <v>0</v>
      </c>
      <c r="K16" s="109">
        <v>0</v>
      </c>
      <c r="L16" s="109">
        <v>0</v>
      </c>
      <c r="M16" s="109">
        <v>0</v>
      </c>
      <c r="N16" s="109">
        <v>0</v>
      </c>
      <c r="O16" s="109">
        <v>0</v>
      </c>
      <c r="P16" s="109">
        <v>0</v>
      </c>
      <c r="Q16" s="109">
        <v>0</v>
      </c>
      <c r="R16" s="109">
        <v>0</v>
      </c>
      <c r="S16" s="109">
        <v>0</v>
      </c>
      <c r="T16" s="109">
        <v>0</v>
      </c>
      <c r="U16" s="109">
        <v>0</v>
      </c>
      <c r="V16" s="109">
        <v>0</v>
      </c>
      <c r="W16" s="109">
        <v>0</v>
      </c>
      <c r="X16" s="109">
        <v>0</v>
      </c>
      <c r="Y16" s="109">
        <v>0</v>
      </c>
      <c r="Z16" s="109">
        <v>0</v>
      </c>
      <c r="AA16" s="109">
        <v>0</v>
      </c>
      <c r="AB16" s="109">
        <v>0</v>
      </c>
      <c r="AC16" s="109">
        <v>0</v>
      </c>
      <c r="AD16" s="109">
        <v>0</v>
      </c>
      <c r="AE16" s="229">
        <f t="shared" si="5"/>
        <v>0</v>
      </c>
      <c r="AF16" s="138" t="s">
        <v>225</v>
      </c>
      <c r="AG16" s="44" t="s">
        <v>499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40" t="s">
        <v>73</v>
      </c>
      <c r="F17" s="41">
        <f t="shared" si="3"/>
        <v>0</v>
      </c>
      <c r="G17" s="42" t="s">
        <v>352</v>
      </c>
      <c r="H17" s="42" t="s">
        <v>352</v>
      </c>
      <c r="I17" s="42" t="s">
        <v>352</v>
      </c>
      <c r="J17" s="42" t="s">
        <v>352</v>
      </c>
      <c r="K17" s="42" t="s">
        <v>352</v>
      </c>
      <c r="L17" s="42" t="s">
        <v>352</v>
      </c>
      <c r="M17" s="42" t="s">
        <v>352</v>
      </c>
      <c r="N17" s="42" t="s">
        <v>352</v>
      </c>
      <c r="O17" s="42" t="s">
        <v>352</v>
      </c>
      <c r="P17" s="42" t="s">
        <v>352</v>
      </c>
      <c r="Q17" s="42" t="s">
        <v>352</v>
      </c>
      <c r="R17" s="42" t="s">
        <v>352</v>
      </c>
      <c r="S17" s="42" t="s">
        <v>352</v>
      </c>
      <c r="T17" s="42" t="s">
        <v>352</v>
      </c>
      <c r="U17" s="42" t="s">
        <v>352</v>
      </c>
      <c r="V17" s="42" t="s">
        <v>352</v>
      </c>
      <c r="W17" s="42" t="s">
        <v>352</v>
      </c>
      <c r="X17" s="42" t="s">
        <v>352</v>
      </c>
      <c r="Y17" s="42" t="s">
        <v>352</v>
      </c>
      <c r="Z17" s="42" t="s">
        <v>352</v>
      </c>
      <c r="AA17" s="42" t="s">
        <v>352</v>
      </c>
      <c r="AB17" s="42" t="s">
        <v>352</v>
      </c>
      <c r="AC17" s="42" t="s">
        <v>352</v>
      </c>
      <c r="AD17" s="42" t="s">
        <v>352</v>
      </c>
      <c r="AE17" s="41">
        <f t="shared" si="5"/>
        <v>0</v>
      </c>
      <c r="AF17" s="64" t="s">
        <v>6</v>
      </c>
      <c r="AG17" s="44" t="s">
        <v>499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40" t="s">
        <v>80</v>
      </c>
      <c r="F18" s="41">
        <v>12</v>
      </c>
      <c r="G18" s="42"/>
      <c r="H18" s="42"/>
      <c r="I18" s="42"/>
      <c r="J18" s="42"/>
      <c r="K18" s="42"/>
      <c r="L18" s="42"/>
      <c r="M18" s="42"/>
      <c r="N18" s="42"/>
      <c r="O18" s="573" t="s">
        <v>364</v>
      </c>
      <c r="P18" s="555"/>
      <c r="Q18" s="555"/>
      <c r="R18" s="555"/>
      <c r="S18" s="555"/>
      <c r="T18" s="555"/>
      <c r="U18" s="555"/>
      <c r="V18" s="555"/>
      <c r="W18" s="555"/>
      <c r="X18" s="555"/>
      <c r="Y18" s="555"/>
      <c r="Z18" s="542"/>
      <c r="AA18" s="42"/>
      <c r="AB18" s="42"/>
      <c r="AC18" s="42"/>
      <c r="AD18" s="42"/>
      <c r="AE18" s="41">
        <v>12</v>
      </c>
      <c r="AF18" s="43" t="s">
        <v>66</v>
      </c>
      <c r="AG18" s="44" t="s">
        <v>499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22" t="s">
        <v>83</v>
      </c>
      <c r="F19" s="41">
        <f>SUM(G19:AD19)</f>
        <v>11</v>
      </c>
      <c r="G19" s="42"/>
      <c r="H19" s="42"/>
      <c r="I19" s="42"/>
      <c r="J19" s="42"/>
      <c r="K19" s="42"/>
      <c r="L19" s="42"/>
      <c r="M19" s="42">
        <v>1</v>
      </c>
      <c r="N19" s="42">
        <v>1</v>
      </c>
      <c r="O19" s="42">
        <v>1</v>
      </c>
      <c r="P19" s="42">
        <v>1</v>
      </c>
      <c r="Q19" s="42">
        <v>1</v>
      </c>
      <c r="R19" s="42">
        <v>1</v>
      </c>
      <c r="S19" s="42">
        <v>1</v>
      </c>
      <c r="T19" s="42"/>
      <c r="U19" s="42">
        <v>1</v>
      </c>
      <c r="V19" s="42">
        <v>1</v>
      </c>
      <c r="W19" s="42">
        <v>1</v>
      </c>
      <c r="X19" s="42">
        <v>1</v>
      </c>
      <c r="Y19" s="42"/>
      <c r="Z19" s="42"/>
      <c r="AA19" s="42"/>
      <c r="AB19" s="42"/>
      <c r="AC19" s="42"/>
      <c r="AD19" s="42"/>
      <c r="AE19" s="41">
        <f>SUM(G19:AD19)</f>
        <v>11</v>
      </c>
      <c r="AF19" s="43" t="s">
        <v>51</v>
      </c>
      <c r="AG19" s="44" t="s">
        <v>499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40" t="s">
        <v>89</v>
      </c>
      <c r="F20" s="41">
        <v>12</v>
      </c>
      <c r="G20" s="42"/>
      <c r="H20" s="42"/>
      <c r="I20" s="42"/>
      <c r="J20" s="42"/>
      <c r="K20" s="42"/>
      <c r="L20" s="42"/>
      <c r="M20" s="42"/>
      <c r="N20" s="42"/>
      <c r="O20" s="42"/>
      <c r="P20" s="573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129">
        <v>1</v>
      </c>
      <c r="AB20" s="47"/>
      <c r="AC20" s="47"/>
      <c r="AD20" s="47"/>
      <c r="AE20" s="41">
        <v>12</v>
      </c>
      <c r="AF20" s="43" t="s">
        <v>69</v>
      </c>
      <c r="AG20" s="44" t="s">
        <v>499</v>
      </c>
    </row>
    <row r="21" spans="1:33" ht="14.25" customHeight="1">
      <c r="A21" s="76" t="s">
        <v>41</v>
      </c>
      <c r="B21" s="76" t="s">
        <v>90</v>
      </c>
      <c r="C21" s="76">
        <v>961816449</v>
      </c>
      <c r="D21" s="86">
        <v>14</v>
      </c>
      <c r="E21" s="87" t="s">
        <v>91</v>
      </c>
      <c r="F21" s="88">
        <f>SUM(G21:AD21)</f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  <c r="Z21" s="77">
        <v>0</v>
      </c>
      <c r="AA21" s="77">
        <v>0</v>
      </c>
      <c r="AB21" s="77">
        <v>0</v>
      </c>
      <c r="AC21" s="77">
        <v>0</v>
      </c>
      <c r="AD21" s="77">
        <v>0</v>
      </c>
      <c r="AE21" s="41">
        <f>SUM(G21:AD21)</f>
        <v>0</v>
      </c>
      <c r="AF21" s="89" t="s">
        <v>225</v>
      </c>
      <c r="AG21" s="44" t="s">
        <v>499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40" t="s">
        <v>93</v>
      </c>
      <c r="F22" s="41">
        <v>8</v>
      </c>
      <c r="G22" s="42"/>
      <c r="H22" s="42"/>
      <c r="I22" s="42"/>
      <c r="J22" s="42"/>
      <c r="K22" s="42"/>
      <c r="L22" s="42"/>
      <c r="M22" s="42"/>
      <c r="N22" s="573" t="s">
        <v>292</v>
      </c>
      <c r="O22" s="555"/>
      <c r="P22" s="555"/>
      <c r="Q22" s="555"/>
      <c r="R22" s="555"/>
      <c r="S22" s="555"/>
      <c r="T22" s="555"/>
      <c r="U22" s="542"/>
      <c r="V22" s="42"/>
      <c r="W22" s="42"/>
      <c r="X22" s="42"/>
      <c r="Y22" s="42"/>
      <c r="Z22" s="42"/>
      <c r="AA22" s="42"/>
      <c r="AB22" s="42"/>
      <c r="AC22" s="42"/>
      <c r="AD22" s="42"/>
      <c r="AE22" s="41">
        <v>8</v>
      </c>
      <c r="AF22" s="43" t="s">
        <v>288</v>
      </c>
      <c r="AG22" s="44" t="s">
        <v>499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40" t="s">
        <v>95</v>
      </c>
      <c r="F23" s="41">
        <f t="shared" ref="F23:F40" si="6">SUM(G23:AD23)</f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0</v>
      </c>
      <c r="AB23" s="77">
        <v>0</v>
      </c>
      <c r="AC23" s="77">
        <v>0</v>
      </c>
      <c r="AD23" s="77">
        <v>0</v>
      </c>
      <c r="AE23" s="41">
        <f t="shared" ref="AE23:AE57" si="7">SUM(G23:AD23)</f>
        <v>0</v>
      </c>
      <c r="AF23" s="89" t="s">
        <v>225</v>
      </c>
      <c r="AG23" s="44" t="s">
        <v>499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87" t="s">
        <v>99</v>
      </c>
      <c r="F24" s="41">
        <f t="shared" si="6"/>
        <v>8</v>
      </c>
      <c r="G24" s="77"/>
      <c r="H24" s="77"/>
      <c r="I24" s="77"/>
      <c r="J24" s="77"/>
      <c r="K24" s="77"/>
      <c r="L24" s="77"/>
      <c r="M24" s="102">
        <v>1</v>
      </c>
      <c r="N24" s="102">
        <v>1</v>
      </c>
      <c r="O24" s="102">
        <v>1</v>
      </c>
      <c r="P24" s="102">
        <v>1</v>
      </c>
      <c r="Q24" s="102">
        <v>1</v>
      </c>
      <c r="R24" s="102">
        <v>1</v>
      </c>
      <c r="S24" s="102">
        <v>1</v>
      </c>
      <c r="T24" s="102">
        <v>1</v>
      </c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1">
        <f t="shared" si="7"/>
        <v>8</v>
      </c>
      <c r="AF24" s="104" t="s">
        <v>252</v>
      </c>
      <c r="AG24" s="44" t="s">
        <v>499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40" t="s">
        <v>102</v>
      </c>
      <c r="F25" s="41">
        <f t="shared" si="6"/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  <c r="Z25" s="77">
        <v>0</v>
      </c>
      <c r="AA25" s="77">
        <v>0</v>
      </c>
      <c r="AB25" s="77">
        <v>0</v>
      </c>
      <c r="AC25" s="77">
        <v>0</v>
      </c>
      <c r="AD25" s="77">
        <v>0</v>
      </c>
      <c r="AE25" s="41">
        <f t="shared" si="7"/>
        <v>0</v>
      </c>
      <c r="AF25" s="89" t="s">
        <v>225</v>
      </c>
      <c r="AG25" s="44" t="s">
        <v>499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40" t="s">
        <v>104</v>
      </c>
      <c r="F26" s="41">
        <f t="shared" si="6"/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Z26" s="77">
        <v>0</v>
      </c>
      <c r="AA26" s="77">
        <v>0</v>
      </c>
      <c r="AB26" s="77">
        <v>0</v>
      </c>
      <c r="AC26" s="77">
        <v>0</v>
      </c>
      <c r="AD26" s="77">
        <v>0</v>
      </c>
      <c r="AE26" s="41">
        <f t="shared" si="7"/>
        <v>0</v>
      </c>
      <c r="AF26" s="89" t="s">
        <v>225</v>
      </c>
      <c r="AG26" s="44" t="s">
        <v>499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122" t="s">
        <v>333</v>
      </c>
      <c r="F27" s="41">
        <f t="shared" si="6"/>
        <v>6</v>
      </c>
      <c r="G27" s="42"/>
      <c r="H27" s="42"/>
      <c r="I27" s="42"/>
      <c r="J27" s="42"/>
      <c r="K27" s="42"/>
      <c r="L27" s="42"/>
      <c r="M27" s="42"/>
      <c r="N27" s="42">
        <v>1</v>
      </c>
      <c r="O27" s="42">
        <v>1</v>
      </c>
      <c r="P27" s="42">
        <v>1</v>
      </c>
      <c r="Q27" s="42">
        <v>1</v>
      </c>
      <c r="R27" s="42">
        <v>1</v>
      </c>
      <c r="S27" s="42">
        <v>1</v>
      </c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1">
        <f t="shared" si="7"/>
        <v>6</v>
      </c>
      <c r="AF27" s="43" t="s">
        <v>315</v>
      </c>
      <c r="AG27" s="44" t="s">
        <v>499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40" t="s">
        <v>172</v>
      </c>
      <c r="F28" s="41">
        <f t="shared" si="6"/>
        <v>0</v>
      </c>
      <c r="G28" s="77">
        <v>0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  <c r="Z28" s="77">
        <v>0</v>
      </c>
      <c r="AA28" s="77">
        <v>0</v>
      </c>
      <c r="AB28" s="77">
        <v>0</v>
      </c>
      <c r="AC28" s="77">
        <v>0</v>
      </c>
      <c r="AD28" s="77">
        <v>0</v>
      </c>
      <c r="AE28" s="41">
        <f t="shared" si="7"/>
        <v>0</v>
      </c>
      <c r="AF28" s="89" t="s">
        <v>225</v>
      </c>
      <c r="AG28" s="105" t="s">
        <v>499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40" t="s">
        <v>106</v>
      </c>
      <c r="F29" s="41">
        <f t="shared" si="6"/>
        <v>13</v>
      </c>
      <c r="G29" s="42">
        <v>1</v>
      </c>
      <c r="H29" s="42">
        <v>1</v>
      </c>
      <c r="I29" s="42">
        <v>1</v>
      </c>
      <c r="J29" s="42">
        <v>1</v>
      </c>
      <c r="K29" s="42">
        <v>1</v>
      </c>
      <c r="L29" s="42">
        <v>1</v>
      </c>
      <c r="M29" s="42">
        <v>1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>
        <v>1</v>
      </c>
      <c r="Z29" s="42">
        <v>1</v>
      </c>
      <c r="AA29" s="42">
        <v>1</v>
      </c>
      <c r="AB29" s="42">
        <v>1</v>
      </c>
      <c r="AC29" s="42">
        <v>1</v>
      </c>
      <c r="AD29" s="42">
        <v>1</v>
      </c>
      <c r="AE29" s="41">
        <f t="shared" si="7"/>
        <v>13</v>
      </c>
      <c r="AF29" s="43" t="s">
        <v>280</v>
      </c>
      <c r="AG29" s="44" t="s">
        <v>499</v>
      </c>
    </row>
    <row r="30" spans="1:33" ht="14.25" customHeight="1">
      <c r="A30" s="38" t="s">
        <v>41</v>
      </c>
      <c r="B30" s="98" t="s">
        <v>111</v>
      </c>
      <c r="C30" s="98"/>
      <c r="D30" s="39">
        <v>23</v>
      </c>
      <c r="E30" s="100" t="s">
        <v>112</v>
      </c>
      <c r="F30" s="41">
        <f t="shared" si="6"/>
        <v>8</v>
      </c>
      <c r="G30" s="42"/>
      <c r="H30" s="42"/>
      <c r="I30" s="42"/>
      <c r="J30" s="42"/>
      <c r="K30" s="42"/>
      <c r="L30" s="42"/>
      <c r="M30" s="42">
        <v>1</v>
      </c>
      <c r="N30" s="42">
        <v>1</v>
      </c>
      <c r="O30" s="42">
        <v>1</v>
      </c>
      <c r="P30" s="42">
        <v>1</v>
      </c>
      <c r="Q30" s="42">
        <v>1</v>
      </c>
      <c r="R30" s="42">
        <v>1</v>
      </c>
      <c r="S30" s="42">
        <v>1</v>
      </c>
      <c r="T30" s="42">
        <v>1</v>
      </c>
      <c r="U30" s="42"/>
      <c r="V30" s="42"/>
      <c r="W30" s="42"/>
      <c r="X30" s="42"/>
      <c r="Y30" s="42"/>
      <c r="Z30" s="42"/>
      <c r="AA30" s="102"/>
      <c r="AB30" s="102"/>
      <c r="AC30" s="102"/>
      <c r="AD30" s="102"/>
      <c r="AE30" s="41">
        <f t="shared" si="7"/>
        <v>8</v>
      </c>
      <c r="AF30" s="104" t="s">
        <v>252</v>
      </c>
      <c r="AG30" s="44" t="s">
        <v>499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40" t="s">
        <v>116</v>
      </c>
      <c r="F31" s="41">
        <f t="shared" si="6"/>
        <v>12</v>
      </c>
      <c r="G31" s="42">
        <v>1</v>
      </c>
      <c r="H31" s="42">
        <v>1</v>
      </c>
      <c r="I31" s="42">
        <v>1</v>
      </c>
      <c r="J31" s="42">
        <v>1</v>
      </c>
      <c r="K31" s="42">
        <v>1</v>
      </c>
      <c r="L31" s="42">
        <v>1</v>
      </c>
      <c r="M31" s="42">
        <v>1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>
        <v>1</v>
      </c>
      <c r="AA31" s="42">
        <v>1</v>
      </c>
      <c r="AB31" s="42">
        <v>1</v>
      </c>
      <c r="AC31" s="42">
        <v>1</v>
      </c>
      <c r="AD31" s="42">
        <v>1</v>
      </c>
      <c r="AE31" s="41">
        <f t="shared" si="7"/>
        <v>12</v>
      </c>
      <c r="AF31" s="46" t="s">
        <v>311</v>
      </c>
      <c r="AG31" s="44" t="s">
        <v>499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100" t="s">
        <v>121</v>
      </c>
      <c r="F32" s="41">
        <f t="shared" si="6"/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Z32" s="77">
        <v>0</v>
      </c>
      <c r="AA32" s="77">
        <v>0</v>
      </c>
      <c r="AB32" s="77">
        <v>0</v>
      </c>
      <c r="AC32" s="77">
        <v>0</v>
      </c>
      <c r="AD32" s="77">
        <v>0</v>
      </c>
      <c r="AE32" s="41">
        <f t="shared" si="7"/>
        <v>0</v>
      </c>
      <c r="AF32" s="89" t="s">
        <v>225</v>
      </c>
      <c r="AG32" s="44" t="s">
        <v>499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100" t="s">
        <v>123</v>
      </c>
      <c r="F33" s="41">
        <f t="shared" si="6"/>
        <v>0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  <c r="Z33" s="77">
        <v>0</v>
      </c>
      <c r="AA33" s="77">
        <v>0</v>
      </c>
      <c r="AB33" s="77">
        <v>0</v>
      </c>
      <c r="AC33" s="77">
        <v>0</v>
      </c>
      <c r="AD33" s="77">
        <v>0</v>
      </c>
      <c r="AE33" s="41">
        <f t="shared" si="7"/>
        <v>0</v>
      </c>
      <c r="AF33" s="89" t="s">
        <v>225</v>
      </c>
      <c r="AG33" s="44" t="s">
        <v>499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122" t="s">
        <v>125</v>
      </c>
      <c r="F34" s="41">
        <f t="shared" si="6"/>
        <v>6</v>
      </c>
      <c r="G34" s="42"/>
      <c r="H34" s="42"/>
      <c r="I34" s="42"/>
      <c r="J34" s="42"/>
      <c r="K34" s="42"/>
      <c r="L34" s="42"/>
      <c r="M34" s="42"/>
      <c r="N34" s="75">
        <v>1</v>
      </c>
      <c r="O34" s="42">
        <v>1</v>
      </c>
      <c r="P34" s="42">
        <v>1</v>
      </c>
      <c r="Q34" s="42">
        <v>1</v>
      </c>
      <c r="R34" s="42">
        <v>1</v>
      </c>
      <c r="S34" s="42">
        <v>1</v>
      </c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1">
        <f t="shared" si="7"/>
        <v>6</v>
      </c>
      <c r="AF34" s="43" t="s">
        <v>315</v>
      </c>
      <c r="AG34" s="44" t="s">
        <v>499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87" t="s">
        <v>127</v>
      </c>
      <c r="F35" s="41">
        <f t="shared" si="6"/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  <c r="Z35" s="77">
        <v>0</v>
      </c>
      <c r="AA35" s="77">
        <v>0</v>
      </c>
      <c r="AB35" s="77">
        <v>0</v>
      </c>
      <c r="AC35" s="77">
        <v>0</v>
      </c>
      <c r="AD35" s="77">
        <v>0</v>
      </c>
      <c r="AE35" s="41">
        <f t="shared" si="7"/>
        <v>0</v>
      </c>
      <c r="AF35" s="89" t="s">
        <v>225</v>
      </c>
      <c r="AG35" s="44" t="s">
        <v>499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40" t="s">
        <v>129</v>
      </c>
      <c r="F36" s="41">
        <f t="shared" si="6"/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  <c r="Z36" s="77">
        <v>0</v>
      </c>
      <c r="AA36" s="77">
        <v>0</v>
      </c>
      <c r="AB36" s="77">
        <v>0</v>
      </c>
      <c r="AC36" s="77">
        <v>0</v>
      </c>
      <c r="AD36" s="77">
        <v>0</v>
      </c>
      <c r="AE36" s="41">
        <f t="shared" si="7"/>
        <v>0</v>
      </c>
      <c r="AF36" s="89" t="s">
        <v>225</v>
      </c>
      <c r="AG36" s="44" t="s">
        <v>499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156" t="s">
        <v>131</v>
      </c>
      <c r="F37" s="41">
        <f t="shared" si="6"/>
        <v>8</v>
      </c>
      <c r="G37" s="102"/>
      <c r="H37" s="102"/>
      <c r="I37" s="102"/>
      <c r="J37" s="102"/>
      <c r="K37" s="102"/>
      <c r="L37" s="102"/>
      <c r="M37" s="77"/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>
        <v>1</v>
      </c>
      <c r="T37" s="42">
        <v>1</v>
      </c>
      <c r="U37" s="42">
        <v>1</v>
      </c>
      <c r="V37" s="42"/>
      <c r="W37" s="42"/>
      <c r="X37" s="42"/>
      <c r="Y37" s="42"/>
      <c r="Z37" s="42"/>
      <c r="AA37" s="42"/>
      <c r="AB37" s="42"/>
      <c r="AC37" s="42"/>
      <c r="AD37" s="42"/>
      <c r="AE37" s="41">
        <f t="shared" si="7"/>
        <v>8</v>
      </c>
      <c r="AF37" s="43" t="s">
        <v>288</v>
      </c>
      <c r="AG37" s="44" t="s">
        <v>499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31" t="s">
        <v>50</v>
      </c>
      <c r="F38" s="41">
        <f t="shared" si="6"/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  <c r="Z38" s="77">
        <v>0</v>
      </c>
      <c r="AA38" s="77">
        <v>0</v>
      </c>
      <c r="AB38" s="77">
        <v>0</v>
      </c>
      <c r="AC38" s="77">
        <v>0</v>
      </c>
      <c r="AD38" s="77">
        <v>0</v>
      </c>
      <c r="AE38" s="41">
        <f t="shared" si="7"/>
        <v>0</v>
      </c>
      <c r="AF38" s="89" t="s">
        <v>225</v>
      </c>
      <c r="AG38" s="44" t="s">
        <v>499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31" t="s">
        <v>135</v>
      </c>
      <c r="F39" s="41">
        <f t="shared" si="6"/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  <c r="Z39" s="77">
        <v>0</v>
      </c>
      <c r="AA39" s="77">
        <v>0</v>
      </c>
      <c r="AB39" s="77">
        <v>0</v>
      </c>
      <c r="AC39" s="77">
        <v>0</v>
      </c>
      <c r="AD39" s="77">
        <v>0</v>
      </c>
      <c r="AE39" s="41">
        <f t="shared" si="7"/>
        <v>0</v>
      </c>
      <c r="AF39" s="89" t="s">
        <v>225</v>
      </c>
      <c r="AG39" s="44" t="s">
        <v>499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37" t="s">
        <v>140</v>
      </c>
      <c r="F40" s="41">
        <f t="shared" si="6"/>
        <v>9</v>
      </c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102">
        <v>1</v>
      </c>
      <c r="V40" s="102">
        <v>1</v>
      </c>
      <c r="W40" s="102">
        <v>1</v>
      </c>
      <c r="X40" s="102">
        <v>1</v>
      </c>
      <c r="Y40" s="102">
        <v>1</v>
      </c>
      <c r="Z40" s="102">
        <v>1</v>
      </c>
      <c r="AA40" s="102">
        <v>1</v>
      </c>
      <c r="AB40" s="102">
        <v>1</v>
      </c>
      <c r="AC40" s="102">
        <v>1</v>
      </c>
      <c r="AD40" s="102"/>
      <c r="AE40" s="101">
        <f t="shared" si="7"/>
        <v>9</v>
      </c>
      <c r="AF40" s="104" t="s">
        <v>515</v>
      </c>
      <c r="AG40" s="44" t="s">
        <v>499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31" t="s">
        <v>118</v>
      </c>
      <c r="F41" s="41">
        <v>0</v>
      </c>
      <c r="G41" s="42">
        <v>1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  <c r="Z41" s="77">
        <v>0</v>
      </c>
      <c r="AA41" s="77">
        <v>0</v>
      </c>
      <c r="AB41" s="77">
        <v>0</v>
      </c>
      <c r="AC41" s="77">
        <v>0</v>
      </c>
      <c r="AD41" s="77">
        <v>0</v>
      </c>
      <c r="AE41" s="41">
        <f t="shared" si="7"/>
        <v>1</v>
      </c>
      <c r="AF41" s="46" t="s">
        <v>412</v>
      </c>
      <c r="AG41" s="44" t="s">
        <v>499</v>
      </c>
    </row>
    <row r="42" spans="1:33" ht="14.25" customHeight="1">
      <c r="A42" s="38" t="s">
        <v>41</v>
      </c>
      <c r="B42" s="98" t="s">
        <v>142</v>
      </c>
      <c r="C42" s="98">
        <v>982807786</v>
      </c>
      <c r="D42" s="99">
        <v>35</v>
      </c>
      <c r="E42" s="238" t="s">
        <v>143</v>
      </c>
      <c r="F42" s="101">
        <f t="shared" ref="F42:F57" si="8">SUM(G42:AD42)</f>
        <v>8</v>
      </c>
      <c r="G42" s="102"/>
      <c r="H42" s="102"/>
      <c r="I42" s="102"/>
      <c r="J42" s="77"/>
      <c r="K42" s="77"/>
      <c r="L42" s="77"/>
      <c r="M42" s="77"/>
      <c r="N42" s="103">
        <v>1</v>
      </c>
      <c r="O42" s="102">
        <v>1</v>
      </c>
      <c r="P42" s="102">
        <v>1</v>
      </c>
      <c r="Q42" s="102">
        <v>1</v>
      </c>
      <c r="R42" s="102">
        <v>1</v>
      </c>
      <c r="S42" s="102">
        <v>1</v>
      </c>
      <c r="T42" s="102">
        <v>1</v>
      </c>
      <c r="U42" s="227">
        <v>1</v>
      </c>
      <c r="V42" s="102"/>
      <c r="W42" s="102"/>
      <c r="X42" s="102"/>
      <c r="Y42" s="102"/>
      <c r="Z42" s="102"/>
      <c r="AA42" s="102"/>
      <c r="AB42" s="102"/>
      <c r="AC42" s="102"/>
      <c r="AD42" s="102"/>
      <c r="AE42" s="101">
        <f t="shared" si="7"/>
        <v>8</v>
      </c>
      <c r="AF42" s="43" t="s">
        <v>288</v>
      </c>
      <c r="AG42" s="44" t="s">
        <v>499</v>
      </c>
    </row>
    <row r="43" spans="1:33" ht="14.25" customHeight="1">
      <c r="A43" s="38" t="s">
        <v>41</v>
      </c>
      <c r="B43" s="188" t="s">
        <v>449</v>
      </c>
      <c r="C43" s="38"/>
      <c r="D43" s="99">
        <v>36</v>
      </c>
      <c r="E43" s="238" t="s">
        <v>455</v>
      </c>
      <c r="F43" s="41">
        <f t="shared" si="8"/>
        <v>8</v>
      </c>
      <c r="G43" s="102"/>
      <c r="H43" s="102"/>
      <c r="I43" s="102"/>
      <c r="J43" s="102"/>
      <c r="K43" s="102"/>
      <c r="L43" s="102"/>
      <c r="M43" s="102"/>
      <c r="N43" s="227"/>
      <c r="O43" s="227">
        <v>1</v>
      </c>
      <c r="P43" s="227">
        <v>1</v>
      </c>
      <c r="Q43" s="227">
        <v>1</v>
      </c>
      <c r="R43" s="227">
        <v>1</v>
      </c>
      <c r="S43" s="227">
        <v>1</v>
      </c>
      <c r="T43" s="227">
        <v>1</v>
      </c>
      <c r="U43" s="227">
        <v>1</v>
      </c>
      <c r="V43" s="227">
        <v>1</v>
      </c>
      <c r="W43" s="227"/>
      <c r="X43" s="227"/>
      <c r="Y43" s="227"/>
      <c r="Z43" s="227"/>
      <c r="AA43" s="227"/>
      <c r="AB43" s="227"/>
      <c r="AC43" s="227"/>
      <c r="AD43" s="227"/>
      <c r="AE43" s="41">
        <f t="shared" si="7"/>
        <v>8</v>
      </c>
      <c r="AF43" s="104" t="s">
        <v>258</v>
      </c>
      <c r="AG43" s="44" t="s">
        <v>499</v>
      </c>
    </row>
    <row r="44" spans="1:33" ht="14.25" customHeight="1">
      <c r="A44" s="38" t="s">
        <v>41</v>
      </c>
      <c r="B44" s="188" t="s">
        <v>456</v>
      </c>
      <c r="C44" s="98"/>
      <c r="D44" s="86">
        <v>37</v>
      </c>
      <c r="E44" s="238" t="s">
        <v>457</v>
      </c>
      <c r="F44" s="41">
        <f t="shared" si="8"/>
        <v>8</v>
      </c>
      <c r="G44" s="102"/>
      <c r="H44" s="102"/>
      <c r="I44" s="102"/>
      <c r="J44" s="102"/>
      <c r="K44" s="102"/>
      <c r="L44" s="102"/>
      <c r="M44" s="102"/>
      <c r="N44" s="227"/>
      <c r="O44" s="227">
        <v>1</v>
      </c>
      <c r="P44" s="227">
        <v>1</v>
      </c>
      <c r="Q44" s="227">
        <v>1</v>
      </c>
      <c r="R44" s="227">
        <v>1</v>
      </c>
      <c r="S44" s="227">
        <v>1</v>
      </c>
      <c r="T44" s="227">
        <v>1</v>
      </c>
      <c r="U44" s="227">
        <v>1</v>
      </c>
      <c r="V44" s="227">
        <v>1</v>
      </c>
      <c r="W44" s="227"/>
      <c r="X44" s="227"/>
      <c r="Y44" s="227"/>
      <c r="Z44" s="227"/>
      <c r="AA44" s="227"/>
      <c r="AB44" s="227"/>
      <c r="AC44" s="227"/>
      <c r="AD44" s="227"/>
      <c r="AE44" s="41">
        <f t="shared" si="7"/>
        <v>8</v>
      </c>
      <c r="AF44" s="104" t="s">
        <v>258</v>
      </c>
      <c r="AG44" s="44" t="s">
        <v>499</v>
      </c>
    </row>
    <row r="45" spans="1:33" ht="14.25" customHeight="1">
      <c r="A45" s="38" t="s">
        <v>41</v>
      </c>
      <c r="B45" s="188" t="s">
        <v>459</v>
      </c>
      <c r="C45" s="38"/>
      <c r="D45" s="39">
        <v>38</v>
      </c>
      <c r="E45" s="238" t="s">
        <v>460</v>
      </c>
      <c r="F45" s="41">
        <f t="shared" si="8"/>
        <v>8</v>
      </c>
      <c r="G45" s="102"/>
      <c r="H45" s="102"/>
      <c r="I45" s="102"/>
      <c r="J45" s="102"/>
      <c r="K45" s="102"/>
      <c r="L45" s="102"/>
      <c r="M45" s="102"/>
      <c r="N45" s="227"/>
      <c r="O45" s="227"/>
      <c r="P45" s="227">
        <v>1</v>
      </c>
      <c r="Q45" s="227">
        <v>1</v>
      </c>
      <c r="R45" s="227">
        <v>1</v>
      </c>
      <c r="S45" s="239">
        <v>1</v>
      </c>
      <c r="T45" s="227">
        <v>1</v>
      </c>
      <c r="U45" s="227"/>
      <c r="V45" s="227">
        <v>1</v>
      </c>
      <c r="W45" s="227">
        <v>1</v>
      </c>
      <c r="X45" s="227">
        <v>1</v>
      </c>
      <c r="Y45" s="227"/>
      <c r="Z45" s="227"/>
      <c r="AA45" s="227"/>
      <c r="AB45" s="227"/>
      <c r="AC45" s="227"/>
      <c r="AD45" s="227"/>
      <c r="AE45" s="41">
        <f t="shared" si="7"/>
        <v>8</v>
      </c>
      <c r="AF45" s="104" t="s">
        <v>215</v>
      </c>
      <c r="AG45" s="44" t="s">
        <v>499</v>
      </c>
    </row>
    <row r="46" spans="1:33" ht="14.25" customHeight="1">
      <c r="A46" s="38" t="s">
        <v>41</v>
      </c>
      <c r="B46" s="188" t="s">
        <v>477</v>
      </c>
      <c r="C46" s="38"/>
      <c r="D46" s="99">
        <v>39</v>
      </c>
      <c r="E46" s="238" t="s">
        <v>478</v>
      </c>
      <c r="F46" s="41">
        <f t="shared" si="8"/>
        <v>6</v>
      </c>
      <c r="G46" s="77"/>
      <c r="H46" s="77"/>
      <c r="I46" s="77"/>
      <c r="J46" s="77"/>
      <c r="K46" s="77"/>
      <c r="L46" s="77"/>
      <c r="M46" s="77"/>
      <c r="N46" s="227">
        <v>1</v>
      </c>
      <c r="O46" s="227">
        <v>1</v>
      </c>
      <c r="P46" s="227">
        <v>1</v>
      </c>
      <c r="Q46" s="227">
        <v>1</v>
      </c>
      <c r="R46" s="227">
        <v>1</v>
      </c>
      <c r="S46" s="227">
        <v>1</v>
      </c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41">
        <f t="shared" si="7"/>
        <v>6</v>
      </c>
      <c r="AF46" s="104" t="s">
        <v>315</v>
      </c>
      <c r="AG46" s="44" t="s">
        <v>499</v>
      </c>
    </row>
    <row r="47" spans="1:33" ht="14.25" customHeight="1">
      <c r="A47" s="38" t="s">
        <v>41</v>
      </c>
      <c r="B47" s="188" t="s">
        <v>458</v>
      </c>
      <c r="C47" s="38"/>
      <c r="D47" s="86">
        <v>40</v>
      </c>
      <c r="E47" s="238" t="s">
        <v>461</v>
      </c>
      <c r="F47" s="41">
        <f t="shared" si="8"/>
        <v>6</v>
      </c>
      <c r="G47" s="77"/>
      <c r="H47" s="77"/>
      <c r="I47" s="77"/>
      <c r="J47" s="77"/>
      <c r="K47" s="77"/>
      <c r="L47" s="77"/>
      <c r="M47" s="77"/>
      <c r="N47" s="240">
        <v>1</v>
      </c>
      <c r="O47" s="227">
        <v>1</v>
      </c>
      <c r="P47" s="227">
        <v>1</v>
      </c>
      <c r="Q47" s="227">
        <v>1</v>
      </c>
      <c r="R47" s="227">
        <v>1</v>
      </c>
      <c r="S47" s="227">
        <v>1</v>
      </c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41">
        <f t="shared" si="7"/>
        <v>6</v>
      </c>
      <c r="AF47" s="104" t="s">
        <v>315</v>
      </c>
      <c r="AG47" s="44" t="s">
        <v>499</v>
      </c>
    </row>
    <row r="48" spans="1:33" ht="14.25" customHeight="1">
      <c r="A48" s="38" t="s">
        <v>41</v>
      </c>
      <c r="B48" s="188" t="s">
        <v>452</v>
      </c>
      <c r="C48" s="38"/>
      <c r="D48" s="39">
        <v>41</v>
      </c>
      <c r="E48" s="238" t="s">
        <v>463</v>
      </c>
      <c r="F48" s="41">
        <f t="shared" si="8"/>
        <v>5</v>
      </c>
      <c r="G48" s="77"/>
      <c r="H48" s="77"/>
      <c r="I48" s="77"/>
      <c r="J48" s="77"/>
      <c r="K48" s="77"/>
      <c r="L48" s="77"/>
      <c r="M48" s="77"/>
      <c r="N48" s="77"/>
      <c r="O48" s="227">
        <v>1</v>
      </c>
      <c r="P48" s="227">
        <v>1</v>
      </c>
      <c r="Q48" s="227">
        <v>1</v>
      </c>
      <c r="R48" s="227">
        <v>1</v>
      </c>
      <c r="S48" s="227">
        <v>1</v>
      </c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41">
        <f t="shared" si="7"/>
        <v>5</v>
      </c>
      <c r="AF48" s="104" t="s">
        <v>516</v>
      </c>
      <c r="AG48" s="44" t="s">
        <v>499</v>
      </c>
    </row>
    <row r="49" spans="1:33" ht="14.25" customHeight="1">
      <c r="A49" s="38" t="s">
        <v>41</v>
      </c>
      <c r="B49" s="188" t="s">
        <v>464</v>
      </c>
      <c r="C49" s="38"/>
      <c r="D49" s="99">
        <v>42</v>
      </c>
      <c r="E49" s="238" t="s">
        <v>465</v>
      </c>
      <c r="F49" s="41">
        <f t="shared" si="8"/>
        <v>7</v>
      </c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227">
        <v>1</v>
      </c>
      <c r="V49" s="227">
        <v>1</v>
      </c>
      <c r="W49" s="227">
        <v>1</v>
      </c>
      <c r="X49" s="227">
        <v>1</v>
      </c>
      <c r="Y49" s="227">
        <v>1</v>
      </c>
      <c r="Z49" s="227">
        <v>1</v>
      </c>
      <c r="AA49" s="227">
        <v>1</v>
      </c>
      <c r="AB49" s="77"/>
      <c r="AC49" s="77"/>
      <c r="AD49" s="77"/>
      <c r="AE49" s="41">
        <f t="shared" si="7"/>
        <v>7</v>
      </c>
      <c r="AF49" s="241" t="s">
        <v>100</v>
      </c>
      <c r="AG49" s="44" t="s">
        <v>499</v>
      </c>
    </row>
    <row r="50" spans="1:33" ht="14.25" customHeight="1">
      <c r="A50" s="38" t="s">
        <v>41</v>
      </c>
      <c r="B50" s="188" t="s">
        <v>447</v>
      </c>
      <c r="C50" s="38"/>
      <c r="D50" s="86">
        <v>43</v>
      </c>
      <c r="E50" s="238" t="s">
        <v>466</v>
      </c>
      <c r="F50" s="41">
        <f t="shared" si="8"/>
        <v>7</v>
      </c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227">
        <v>1</v>
      </c>
      <c r="V50" s="227">
        <v>1</v>
      </c>
      <c r="W50" s="227">
        <v>1</v>
      </c>
      <c r="X50" s="227">
        <v>1</v>
      </c>
      <c r="Y50" s="227">
        <v>1</v>
      </c>
      <c r="Z50" s="227">
        <v>1</v>
      </c>
      <c r="AA50" s="227">
        <v>1</v>
      </c>
      <c r="AB50" s="77"/>
      <c r="AC50" s="77"/>
      <c r="AD50" s="77"/>
      <c r="AE50" s="41">
        <f t="shared" si="7"/>
        <v>7</v>
      </c>
      <c r="AF50" s="241" t="s">
        <v>100</v>
      </c>
      <c r="AG50" s="44" t="s">
        <v>499</v>
      </c>
    </row>
    <row r="51" spans="1:33" ht="14.25" customHeight="1">
      <c r="A51" s="38" t="s">
        <v>41</v>
      </c>
      <c r="B51" s="188" t="s">
        <v>448</v>
      </c>
      <c r="C51" s="98"/>
      <c r="D51" s="39">
        <v>44</v>
      </c>
      <c r="E51" s="238" t="s">
        <v>467</v>
      </c>
      <c r="F51" s="41">
        <f t="shared" si="8"/>
        <v>7</v>
      </c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227"/>
      <c r="T51" s="227">
        <v>1</v>
      </c>
      <c r="U51" s="227">
        <v>1</v>
      </c>
      <c r="V51" s="227"/>
      <c r="W51" s="227">
        <v>1</v>
      </c>
      <c r="X51" s="227">
        <v>1</v>
      </c>
      <c r="Y51" s="227">
        <v>1</v>
      </c>
      <c r="Z51" s="227">
        <v>1</v>
      </c>
      <c r="AA51" s="227">
        <v>1</v>
      </c>
      <c r="AB51" s="77"/>
      <c r="AC51" s="77"/>
      <c r="AD51" s="77"/>
      <c r="AE51" s="41">
        <f t="shared" si="7"/>
        <v>7</v>
      </c>
      <c r="AF51" s="241" t="s">
        <v>517</v>
      </c>
      <c r="AG51" s="44"/>
    </row>
    <row r="52" spans="1:33" ht="14.25" customHeight="1">
      <c r="A52" s="38" t="s">
        <v>41</v>
      </c>
      <c r="B52" s="188" t="s">
        <v>490</v>
      </c>
      <c r="C52" s="98"/>
      <c r="D52" s="99">
        <v>45</v>
      </c>
      <c r="E52" s="238" t="s">
        <v>491</v>
      </c>
      <c r="F52" s="41">
        <f t="shared" si="8"/>
        <v>8</v>
      </c>
      <c r="G52" s="77"/>
      <c r="H52" s="77"/>
      <c r="I52" s="77"/>
      <c r="J52" s="77"/>
      <c r="K52" s="77"/>
      <c r="L52" s="77"/>
      <c r="M52" s="77"/>
      <c r="N52" s="77"/>
      <c r="O52" s="77"/>
      <c r="P52" s="227">
        <v>1</v>
      </c>
      <c r="Q52" s="227">
        <v>1</v>
      </c>
      <c r="R52" s="227">
        <v>1</v>
      </c>
      <c r="S52" s="227">
        <v>1</v>
      </c>
      <c r="T52" s="227">
        <v>1</v>
      </c>
      <c r="U52" s="227"/>
      <c r="V52" s="227">
        <v>1</v>
      </c>
      <c r="W52" s="227">
        <v>1</v>
      </c>
      <c r="X52" s="227">
        <v>1</v>
      </c>
      <c r="Y52" s="102"/>
      <c r="Z52" s="102"/>
      <c r="AA52" s="102"/>
      <c r="AB52" s="102"/>
      <c r="AC52" s="102"/>
      <c r="AD52" s="102"/>
      <c r="AE52" s="101">
        <f t="shared" si="7"/>
        <v>8</v>
      </c>
      <c r="AF52" s="104" t="s">
        <v>215</v>
      </c>
      <c r="AG52" s="44"/>
    </row>
    <row r="53" spans="1:33" ht="14.25" customHeight="1">
      <c r="A53" s="38" t="s">
        <v>41</v>
      </c>
      <c r="B53" s="188" t="s">
        <v>492</v>
      </c>
      <c r="C53" s="98"/>
      <c r="D53" s="86">
        <v>46</v>
      </c>
      <c r="E53" s="232" t="s">
        <v>493</v>
      </c>
      <c r="F53" s="41">
        <f t="shared" si="8"/>
        <v>8</v>
      </c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227">
        <v>1</v>
      </c>
      <c r="R53" s="227">
        <v>1</v>
      </c>
      <c r="S53" s="227">
        <v>1</v>
      </c>
      <c r="T53" s="227">
        <v>1</v>
      </c>
      <c r="U53" s="227">
        <v>1</v>
      </c>
      <c r="V53" s="227">
        <v>1</v>
      </c>
      <c r="W53" s="227">
        <v>1</v>
      </c>
      <c r="X53" s="227">
        <v>1</v>
      </c>
      <c r="Y53" s="102"/>
      <c r="Z53" s="102"/>
      <c r="AA53" s="102"/>
      <c r="AB53" s="102"/>
      <c r="AC53" s="102"/>
      <c r="AD53" s="102"/>
      <c r="AE53" s="101">
        <f t="shared" si="7"/>
        <v>8</v>
      </c>
      <c r="AF53" s="104" t="s">
        <v>267</v>
      </c>
      <c r="AG53" s="44"/>
    </row>
    <row r="54" spans="1:33" ht="14.25" customHeight="1">
      <c r="A54" s="38" t="s">
        <v>41</v>
      </c>
      <c r="B54" s="188" t="s">
        <v>468</v>
      </c>
      <c r="C54" s="98"/>
      <c r="D54" s="39">
        <v>47</v>
      </c>
      <c r="E54" s="238" t="s">
        <v>469</v>
      </c>
      <c r="F54" s="41">
        <f t="shared" si="8"/>
        <v>7</v>
      </c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227"/>
      <c r="S54" s="227"/>
      <c r="T54" s="227">
        <v>1</v>
      </c>
      <c r="U54" s="227">
        <v>1</v>
      </c>
      <c r="V54" s="227">
        <v>1</v>
      </c>
      <c r="W54" s="227">
        <v>1</v>
      </c>
      <c r="X54" s="227">
        <v>1</v>
      </c>
      <c r="Y54" s="102">
        <v>1</v>
      </c>
      <c r="Z54" s="102">
        <v>1</v>
      </c>
      <c r="AA54" s="102"/>
      <c r="AB54" s="102"/>
      <c r="AC54" s="102"/>
      <c r="AD54" s="102"/>
      <c r="AE54" s="101">
        <f t="shared" si="7"/>
        <v>7</v>
      </c>
      <c r="AF54" s="104" t="s">
        <v>518</v>
      </c>
      <c r="AG54" s="44"/>
    </row>
    <row r="55" spans="1:33" ht="14.25" customHeight="1">
      <c r="A55" s="38" t="s">
        <v>41</v>
      </c>
      <c r="B55" s="188" t="s">
        <v>494</v>
      </c>
      <c r="C55" s="98"/>
      <c r="D55" s="99">
        <v>48</v>
      </c>
      <c r="E55" s="232" t="s">
        <v>495</v>
      </c>
      <c r="F55" s="41">
        <f t="shared" si="8"/>
        <v>8</v>
      </c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227">
        <v>1</v>
      </c>
      <c r="R55" s="227">
        <v>1</v>
      </c>
      <c r="S55" s="227">
        <v>1</v>
      </c>
      <c r="T55" s="227">
        <v>1</v>
      </c>
      <c r="U55" s="227">
        <v>1</v>
      </c>
      <c r="V55" s="227">
        <v>1</v>
      </c>
      <c r="W55" s="227">
        <v>1</v>
      </c>
      <c r="X55" s="227">
        <v>1</v>
      </c>
      <c r="Y55" s="102"/>
      <c r="Z55" s="102"/>
      <c r="AA55" s="102"/>
      <c r="AB55" s="102"/>
      <c r="AC55" s="102"/>
      <c r="AD55" s="102"/>
      <c r="AE55" s="101">
        <f t="shared" si="7"/>
        <v>8</v>
      </c>
      <c r="AF55" s="104" t="s">
        <v>267</v>
      </c>
      <c r="AG55" s="44"/>
    </row>
    <row r="56" spans="1:33" ht="14.25" customHeight="1">
      <c r="A56" s="38" t="s">
        <v>41</v>
      </c>
      <c r="B56" s="188" t="s">
        <v>507</v>
      </c>
      <c r="C56" s="98"/>
      <c r="D56" s="86">
        <v>49</v>
      </c>
      <c r="E56" s="232" t="s">
        <v>508</v>
      </c>
      <c r="F56" s="41">
        <f t="shared" si="8"/>
        <v>7</v>
      </c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227"/>
      <c r="S56" s="227">
        <v>1</v>
      </c>
      <c r="T56" s="227">
        <v>1</v>
      </c>
      <c r="U56" s="227">
        <v>1</v>
      </c>
      <c r="V56" s="227">
        <v>1</v>
      </c>
      <c r="W56" s="227">
        <v>1</v>
      </c>
      <c r="X56" s="227">
        <v>1</v>
      </c>
      <c r="Y56" s="227">
        <v>1</v>
      </c>
      <c r="Z56" s="102"/>
      <c r="AA56" s="102"/>
      <c r="AB56" s="102"/>
      <c r="AC56" s="102"/>
      <c r="AD56" s="102"/>
      <c r="AE56" s="101">
        <f t="shared" si="7"/>
        <v>7</v>
      </c>
      <c r="AF56" s="104" t="s">
        <v>519</v>
      </c>
      <c r="AG56" s="44"/>
    </row>
    <row r="57" spans="1:33" ht="14.25" customHeight="1">
      <c r="A57" s="38" t="s">
        <v>41</v>
      </c>
      <c r="B57" s="188" t="s">
        <v>496</v>
      </c>
      <c r="C57" s="98"/>
      <c r="D57" s="39">
        <v>50</v>
      </c>
      <c r="E57" s="232" t="s">
        <v>497</v>
      </c>
      <c r="F57" s="41">
        <f t="shared" si="8"/>
        <v>8</v>
      </c>
      <c r="G57" s="77"/>
      <c r="H57" s="77"/>
      <c r="I57" s="102"/>
      <c r="J57" s="102"/>
      <c r="K57" s="102"/>
      <c r="L57" s="102"/>
      <c r="M57" s="102"/>
      <c r="N57" s="102"/>
      <c r="O57" s="102"/>
      <c r="P57" s="102"/>
      <c r="Q57" s="102"/>
      <c r="R57" s="227"/>
      <c r="S57" s="227">
        <v>1</v>
      </c>
      <c r="T57" s="227">
        <v>1</v>
      </c>
      <c r="U57" s="227">
        <v>1</v>
      </c>
      <c r="V57" s="227">
        <v>1</v>
      </c>
      <c r="W57" s="227">
        <v>1</v>
      </c>
      <c r="X57" s="227">
        <v>1</v>
      </c>
      <c r="Y57" s="227">
        <v>1</v>
      </c>
      <c r="Z57" s="227">
        <v>1</v>
      </c>
      <c r="AA57" s="102"/>
      <c r="AB57" s="102"/>
      <c r="AC57" s="102"/>
      <c r="AD57" s="102"/>
      <c r="AE57" s="101">
        <f t="shared" si="7"/>
        <v>8</v>
      </c>
      <c r="AF57" s="104" t="s">
        <v>365</v>
      </c>
      <c r="AG57" s="44"/>
    </row>
    <row r="58" spans="1:33" ht="14.25" customHeight="1">
      <c r="A58" s="98"/>
      <c r="B58" s="98"/>
      <c r="C58" s="98"/>
      <c r="D58" s="86">
        <v>1</v>
      </c>
      <c r="E58" s="134" t="s">
        <v>138</v>
      </c>
      <c r="F58" s="88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Z58" s="226">
        <v>0</v>
      </c>
      <c r="AA58" s="226">
        <v>0</v>
      </c>
      <c r="AB58" s="226">
        <v>0</v>
      </c>
      <c r="AC58" s="226">
        <v>0</v>
      </c>
      <c r="AD58" s="226">
        <v>0</v>
      </c>
      <c r="AE58" s="112">
        <v>0</v>
      </c>
      <c r="AF58" s="89" t="s">
        <v>225</v>
      </c>
      <c r="AG58" s="44"/>
    </row>
    <row r="59" spans="1:33" ht="14.25" customHeight="1">
      <c r="A59" s="98"/>
      <c r="B59" s="98"/>
      <c r="C59" s="98"/>
      <c r="D59" s="39">
        <v>2</v>
      </c>
      <c r="E59" s="131" t="s">
        <v>191</v>
      </c>
      <c r="F59" s="41">
        <v>8</v>
      </c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2"/>
      <c r="U59" s="42"/>
      <c r="V59" s="573" t="s">
        <v>292</v>
      </c>
      <c r="W59" s="555"/>
      <c r="X59" s="555"/>
      <c r="Y59" s="555"/>
      <c r="Z59" s="555"/>
      <c r="AA59" s="555"/>
      <c r="AB59" s="555"/>
      <c r="AC59" s="542"/>
      <c r="AD59" s="47"/>
      <c r="AE59" s="41">
        <v>8</v>
      </c>
      <c r="AF59" s="43" t="s">
        <v>218</v>
      </c>
      <c r="AG59" s="44"/>
    </row>
    <row r="60" spans="1:33" ht="14.25" customHeight="1">
      <c r="A60" s="98"/>
      <c r="B60" s="98"/>
      <c r="C60" s="98"/>
      <c r="D60" s="39">
        <v>1</v>
      </c>
      <c r="E60" s="133" t="s">
        <v>363</v>
      </c>
      <c r="F60" s="41">
        <v>0</v>
      </c>
      <c r="G60" s="42" t="s">
        <v>352</v>
      </c>
      <c r="H60" s="42" t="s">
        <v>352</v>
      </c>
      <c r="I60" s="42" t="s">
        <v>352</v>
      </c>
      <c r="J60" s="42" t="s">
        <v>352</v>
      </c>
      <c r="K60" s="42" t="s">
        <v>352</v>
      </c>
      <c r="L60" s="42" t="s">
        <v>352</v>
      </c>
      <c r="M60" s="42" t="s">
        <v>352</v>
      </c>
      <c r="N60" s="42" t="s">
        <v>352</v>
      </c>
      <c r="O60" s="42" t="s">
        <v>352</v>
      </c>
      <c r="P60" s="42" t="s">
        <v>352</v>
      </c>
      <c r="Q60" s="42" t="s">
        <v>352</v>
      </c>
      <c r="R60" s="42" t="s">
        <v>352</v>
      </c>
      <c r="S60" s="42" t="s">
        <v>352</v>
      </c>
      <c r="T60" s="42" t="s">
        <v>352</v>
      </c>
      <c r="U60" s="42" t="s">
        <v>352</v>
      </c>
      <c r="V60" s="42" t="s">
        <v>352</v>
      </c>
      <c r="W60" s="42" t="s">
        <v>352</v>
      </c>
      <c r="X60" s="42" t="s">
        <v>352</v>
      </c>
      <c r="Y60" s="42" t="s">
        <v>352</v>
      </c>
      <c r="Z60" s="42" t="s">
        <v>352</v>
      </c>
      <c r="AA60" s="42" t="s">
        <v>352</v>
      </c>
      <c r="AB60" s="42" t="s">
        <v>352</v>
      </c>
      <c r="AC60" s="42" t="s">
        <v>352</v>
      </c>
      <c r="AD60" s="42" t="s">
        <v>352</v>
      </c>
      <c r="AE60" s="41">
        <f>SUM(G60:AD60)</f>
        <v>0</v>
      </c>
      <c r="AF60" s="64" t="s">
        <v>6</v>
      </c>
      <c r="AG60" s="44"/>
    </row>
    <row r="61" spans="1:33" ht="14.25" customHeight="1">
      <c r="A61" s="2"/>
      <c r="B61" s="2"/>
      <c r="C61" s="2"/>
      <c r="D61" s="48"/>
      <c r="E61" s="49"/>
      <c r="F61" s="50"/>
      <c r="G61" s="51" t="s">
        <v>9</v>
      </c>
      <c r="H61" s="51" t="s">
        <v>10</v>
      </c>
      <c r="I61" s="51" t="s">
        <v>11</v>
      </c>
      <c r="J61" s="51" t="s">
        <v>12</v>
      </c>
      <c r="K61" s="51" t="s">
        <v>13</v>
      </c>
      <c r="L61" s="51" t="s">
        <v>14</v>
      </c>
      <c r="M61" s="51" t="s">
        <v>15</v>
      </c>
      <c r="N61" s="51" t="s">
        <v>16</v>
      </c>
      <c r="O61" s="106" t="s">
        <v>17</v>
      </c>
      <c r="P61" s="106" t="s">
        <v>18</v>
      </c>
      <c r="Q61" s="107" t="s">
        <v>19</v>
      </c>
      <c r="R61" s="107" t="s">
        <v>20</v>
      </c>
      <c r="S61" s="107" t="s">
        <v>21</v>
      </c>
      <c r="T61" s="107" t="s">
        <v>22</v>
      </c>
      <c r="U61" s="107" t="s">
        <v>23</v>
      </c>
      <c r="V61" s="107" t="s">
        <v>24</v>
      </c>
      <c r="W61" s="107" t="s">
        <v>25</v>
      </c>
      <c r="X61" s="107" t="s">
        <v>26</v>
      </c>
      <c r="Y61" s="107" t="s">
        <v>27</v>
      </c>
      <c r="Z61" s="107" t="s">
        <v>28</v>
      </c>
      <c r="AA61" s="52" t="s">
        <v>29</v>
      </c>
      <c r="AB61" s="52" t="s">
        <v>30</v>
      </c>
      <c r="AC61" s="52" t="s">
        <v>31</v>
      </c>
      <c r="AD61" s="51" t="s">
        <v>32</v>
      </c>
      <c r="AE61" s="53"/>
      <c r="AF61" s="25"/>
      <c r="AG61" s="25"/>
    </row>
    <row r="62" spans="1:3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4.25" customHeight="1">
      <c r="A63" s="3"/>
      <c r="B63" s="3"/>
      <c r="C63" s="3"/>
      <c r="D63" s="48"/>
      <c r="E63" s="547" t="s">
        <v>8</v>
      </c>
      <c r="F63" s="548"/>
      <c r="G63" s="12">
        <v>2</v>
      </c>
      <c r="H63" s="12">
        <v>2</v>
      </c>
      <c r="I63" s="12">
        <v>2</v>
      </c>
      <c r="J63" s="12">
        <v>2</v>
      </c>
      <c r="K63" s="12">
        <v>2</v>
      </c>
      <c r="L63" s="12">
        <v>2</v>
      </c>
      <c r="M63" s="234">
        <v>3</v>
      </c>
      <c r="N63" s="234">
        <v>3</v>
      </c>
      <c r="O63" s="56">
        <v>5</v>
      </c>
      <c r="P63" s="144">
        <v>6</v>
      </c>
      <c r="Q63" s="136">
        <v>7</v>
      </c>
      <c r="R63" s="143">
        <v>8</v>
      </c>
      <c r="S63" s="144">
        <v>6</v>
      </c>
      <c r="T63" s="144">
        <v>6</v>
      </c>
      <c r="U63" s="144">
        <v>6</v>
      </c>
      <c r="V63" s="144">
        <v>6</v>
      </c>
      <c r="W63" s="144">
        <v>6</v>
      </c>
      <c r="X63" s="56">
        <v>5</v>
      </c>
      <c r="Y63" s="56">
        <v>5</v>
      </c>
      <c r="Z63" s="56">
        <v>5</v>
      </c>
      <c r="AA63" s="242">
        <v>4</v>
      </c>
      <c r="AB63" s="234">
        <v>3</v>
      </c>
      <c r="AC63" s="234">
        <v>3</v>
      </c>
      <c r="AD63" s="12">
        <v>2</v>
      </c>
      <c r="AE63" s="18">
        <f>SUM(G63:AD63)</f>
        <v>101</v>
      </c>
      <c r="AF63" s="25"/>
      <c r="AG63" s="3"/>
    </row>
    <row r="64" spans="1:33" ht="14.25" customHeight="1">
      <c r="A64" s="3"/>
      <c r="B64" s="3"/>
      <c r="C64" s="3"/>
      <c r="D64" s="48"/>
      <c r="E64" s="59"/>
      <c r="F64" s="59"/>
      <c r="G64" s="28">
        <f t="shared" ref="G64:AD64" si="9">G66-G63</f>
        <v>0</v>
      </c>
      <c r="H64" s="28">
        <f t="shared" si="9"/>
        <v>0</v>
      </c>
      <c r="I64" s="28">
        <f t="shared" si="9"/>
        <v>0</v>
      </c>
      <c r="J64" s="28">
        <f t="shared" si="9"/>
        <v>0</v>
      </c>
      <c r="K64" s="28">
        <f t="shared" si="9"/>
        <v>0</v>
      </c>
      <c r="L64" s="28">
        <f t="shared" si="9"/>
        <v>0</v>
      </c>
      <c r="M64" s="84">
        <f t="shared" si="9"/>
        <v>1</v>
      </c>
      <c r="N64" s="28">
        <f t="shared" si="9"/>
        <v>1</v>
      </c>
      <c r="O64" s="28">
        <f t="shared" si="9"/>
        <v>0</v>
      </c>
      <c r="P64" s="28">
        <f t="shared" si="9"/>
        <v>0</v>
      </c>
      <c r="Q64" s="28">
        <f t="shared" si="9"/>
        <v>0</v>
      </c>
      <c r="R64" s="28">
        <f t="shared" si="9"/>
        <v>0</v>
      </c>
      <c r="S64" s="28">
        <f t="shared" si="9"/>
        <v>0</v>
      </c>
      <c r="T64" s="28">
        <f t="shared" si="9"/>
        <v>1</v>
      </c>
      <c r="U64" s="28">
        <f t="shared" si="9"/>
        <v>0</v>
      </c>
      <c r="V64" s="28">
        <f t="shared" si="9"/>
        <v>1</v>
      </c>
      <c r="W64" s="84">
        <f t="shared" si="9"/>
        <v>1</v>
      </c>
      <c r="X64" s="84">
        <f t="shared" si="9"/>
        <v>1</v>
      </c>
      <c r="Y64" s="28">
        <f t="shared" si="9"/>
        <v>0</v>
      </c>
      <c r="Z64" s="28">
        <f t="shared" si="9"/>
        <v>0</v>
      </c>
      <c r="AA64" s="28">
        <f t="shared" si="9"/>
        <v>0</v>
      </c>
      <c r="AB64" s="28">
        <f t="shared" si="9"/>
        <v>0</v>
      </c>
      <c r="AC64" s="28">
        <f t="shared" si="9"/>
        <v>0</v>
      </c>
      <c r="AD64" s="28">
        <f t="shared" si="9"/>
        <v>0</v>
      </c>
      <c r="AE64" s="53"/>
      <c r="AF64" s="3"/>
      <c r="AG64" s="3"/>
    </row>
    <row r="65" spans="1:33" ht="14.25" customHeight="1">
      <c r="A65" s="3"/>
      <c r="B65" s="3"/>
      <c r="C65" s="3"/>
      <c r="D65" s="48"/>
      <c r="E65" s="60" t="s">
        <v>145</v>
      </c>
      <c r="F65" s="59"/>
      <c r="G65" s="51" t="s">
        <v>9</v>
      </c>
      <c r="H65" s="51" t="s">
        <v>10</v>
      </c>
      <c r="I65" s="51" t="s">
        <v>11</v>
      </c>
      <c r="J65" s="51" t="s">
        <v>12</v>
      </c>
      <c r="K65" s="51" t="s">
        <v>13</v>
      </c>
      <c r="L65" s="51" t="s">
        <v>14</v>
      </c>
      <c r="M65" s="51" t="s">
        <v>15</v>
      </c>
      <c r="N65" s="51" t="s">
        <v>16</v>
      </c>
      <c r="O65" s="51" t="s">
        <v>17</v>
      </c>
      <c r="P65" s="51" t="s">
        <v>18</v>
      </c>
      <c r="Q65" s="52" t="s">
        <v>19</v>
      </c>
      <c r="R65" s="52" t="s">
        <v>20</v>
      </c>
      <c r="S65" s="52" t="s">
        <v>21</v>
      </c>
      <c r="T65" s="52" t="s">
        <v>22</v>
      </c>
      <c r="U65" s="52" t="s">
        <v>23</v>
      </c>
      <c r="V65" s="52" t="s">
        <v>24</v>
      </c>
      <c r="W65" s="52" t="s">
        <v>25</v>
      </c>
      <c r="X65" s="52" t="s">
        <v>26</v>
      </c>
      <c r="Y65" s="52" t="s">
        <v>27</v>
      </c>
      <c r="Z65" s="52" t="s">
        <v>28</v>
      </c>
      <c r="AA65" s="52" t="s">
        <v>29</v>
      </c>
      <c r="AB65" s="52" t="s">
        <v>30</v>
      </c>
      <c r="AC65" s="52" t="s">
        <v>31</v>
      </c>
      <c r="AD65" s="51" t="s">
        <v>32</v>
      </c>
      <c r="AE65" s="53"/>
      <c r="AF65" s="25"/>
      <c r="AG65" s="3"/>
    </row>
    <row r="66" spans="1:33" ht="14.25" customHeight="1">
      <c r="A66" s="3"/>
      <c r="B66" s="3"/>
      <c r="C66" s="3"/>
      <c r="D66" s="48"/>
      <c r="E66" s="61" t="s">
        <v>37</v>
      </c>
      <c r="F66" s="37" t="s">
        <v>38</v>
      </c>
      <c r="G66" s="35">
        <f t="shared" ref="G66:AD66" si="10">SUM(G67:G83)</f>
        <v>2</v>
      </c>
      <c r="H66" s="35">
        <f t="shared" si="10"/>
        <v>2</v>
      </c>
      <c r="I66" s="35">
        <f t="shared" si="10"/>
        <v>2</v>
      </c>
      <c r="J66" s="35">
        <f t="shared" si="10"/>
        <v>2</v>
      </c>
      <c r="K66" s="35">
        <f t="shared" si="10"/>
        <v>2</v>
      </c>
      <c r="L66" s="35">
        <f t="shared" si="10"/>
        <v>2</v>
      </c>
      <c r="M66" s="35">
        <f t="shared" si="10"/>
        <v>4</v>
      </c>
      <c r="N66" s="35">
        <f t="shared" si="10"/>
        <v>4</v>
      </c>
      <c r="O66" s="35">
        <f t="shared" si="10"/>
        <v>5</v>
      </c>
      <c r="P66" s="35">
        <f t="shared" si="10"/>
        <v>6</v>
      </c>
      <c r="Q66" s="35">
        <f t="shared" si="10"/>
        <v>7</v>
      </c>
      <c r="R66" s="35">
        <f t="shared" si="10"/>
        <v>8</v>
      </c>
      <c r="S66" s="35">
        <f t="shared" si="10"/>
        <v>6</v>
      </c>
      <c r="T66" s="35">
        <f t="shared" si="10"/>
        <v>7</v>
      </c>
      <c r="U66" s="35">
        <f t="shared" si="10"/>
        <v>6</v>
      </c>
      <c r="V66" s="35">
        <f t="shared" si="10"/>
        <v>7</v>
      </c>
      <c r="W66" s="35">
        <f t="shared" si="10"/>
        <v>7</v>
      </c>
      <c r="X66" s="35">
        <f t="shared" si="10"/>
        <v>6</v>
      </c>
      <c r="Y66" s="35">
        <f t="shared" si="10"/>
        <v>5</v>
      </c>
      <c r="Z66" s="35">
        <f t="shared" si="10"/>
        <v>5</v>
      </c>
      <c r="AA66" s="35">
        <f t="shared" si="10"/>
        <v>4</v>
      </c>
      <c r="AB66" s="35">
        <f t="shared" si="10"/>
        <v>3</v>
      </c>
      <c r="AC66" s="35">
        <f t="shared" si="10"/>
        <v>3</v>
      </c>
      <c r="AD66" s="35">
        <f t="shared" si="10"/>
        <v>2</v>
      </c>
      <c r="AE66" s="30">
        <f t="shared" ref="AE66:AE69" si="11">SUM(G66:AD66)</f>
        <v>107</v>
      </c>
      <c r="AF66" s="36" t="s">
        <v>39</v>
      </c>
      <c r="AG66" s="37" t="s">
        <v>40</v>
      </c>
    </row>
    <row r="67" spans="1:33" ht="14.25" customHeight="1">
      <c r="A67" s="38" t="s">
        <v>145</v>
      </c>
      <c r="B67" s="38" t="s">
        <v>149</v>
      </c>
      <c r="C67" s="38">
        <v>996585473</v>
      </c>
      <c r="D67" s="99">
        <v>1</v>
      </c>
      <c r="E67" s="40" t="s">
        <v>68</v>
      </c>
      <c r="F67" s="41">
        <f t="shared" ref="F67:F83" si="12">SUM(G67:AD67)</f>
        <v>8</v>
      </c>
      <c r="G67" s="42"/>
      <c r="H67" s="42"/>
      <c r="I67" s="42"/>
      <c r="J67" s="42"/>
      <c r="K67" s="42"/>
      <c r="L67" s="42"/>
      <c r="M67" s="42"/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2"/>
      <c r="W67" s="42"/>
      <c r="X67" s="42"/>
      <c r="Y67" s="42"/>
      <c r="Z67" s="42"/>
      <c r="AA67" s="42"/>
      <c r="AB67" s="42"/>
      <c r="AC67" s="42"/>
      <c r="AD67" s="42"/>
      <c r="AE67" s="41">
        <f t="shared" si="11"/>
        <v>8</v>
      </c>
      <c r="AF67" s="43" t="s">
        <v>288</v>
      </c>
      <c r="AG67" s="44" t="s">
        <v>499</v>
      </c>
    </row>
    <row r="68" spans="1:33" ht="14.25" customHeight="1">
      <c r="A68" s="38" t="s">
        <v>145</v>
      </c>
      <c r="B68" s="38" t="s">
        <v>212</v>
      </c>
      <c r="C68" s="38"/>
      <c r="D68" s="62">
        <v>2</v>
      </c>
      <c r="E68" s="40" t="s">
        <v>150</v>
      </c>
      <c r="F68" s="41">
        <f t="shared" si="12"/>
        <v>8</v>
      </c>
      <c r="G68" s="42"/>
      <c r="H68" s="42"/>
      <c r="I68" s="42"/>
      <c r="J68" s="42"/>
      <c r="K68" s="42"/>
      <c r="L68" s="42"/>
      <c r="M68" s="42">
        <v>1</v>
      </c>
      <c r="N68" s="42">
        <v>1</v>
      </c>
      <c r="O68" s="42">
        <v>1</v>
      </c>
      <c r="P68" s="42">
        <v>1</v>
      </c>
      <c r="Q68" s="42">
        <v>1</v>
      </c>
      <c r="R68" s="42">
        <v>1</v>
      </c>
      <c r="S68" s="42"/>
      <c r="T68" s="42">
        <v>1</v>
      </c>
      <c r="U68" s="42">
        <v>1</v>
      </c>
      <c r="V68" s="42"/>
      <c r="W68" s="42"/>
      <c r="X68" s="42"/>
      <c r="Y68" s="42"/>
      <c r="Z68" s="42"/>
      <c r="AA68" s="42"/>
      <c r="AB68" s="42"/>
      <c r="AC68" s="42"/>
      <c r="AD68" s="42"/>
      <c r="AE68" s="41">
        <f t="shared" si="11"/>
        <v>8</v>
      </c>
      <c r="AF68" s="43" t="s">
        <v>271</v>
      </c>
      <c r="AG68" s="44" t="s">
        <v>499</v>
      </c>
    </row>
    <row r="69" spans="1:33" ht="14.25" customHeight="1">
      <c r="A69" s="38" t="s">
        <v>145</v>
      </c>
      <c r="B69" s="38" t="s">
        <v>155</v>
      </c>
      <c r="C69" s="38">
        <v>969250973</v>
      </c>
      <c r="D69" s="39">
        <v>3</v>
      </c>
      <c r="E69" s="40" t="s">
        <v>77</v>
      </c>
      <c r="F69" s="41">
        <f t="shared" si="12"/>
        <v>8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>
        <v>1</v>
      </c>
      <c r="W69" s="63">
        <v>1</v>
      </c>
      <c r="X69" s="63">
        <v>1</v>
      </c>
      <c r="Y69" s="42">
        <v>1</v>
      </c>
      <c r="Z69" s="42">
        <v>1</v>
      </c>
      <c r="AA69" s="42">
        <v>1</v>
      </c>
      <c r="AB69" s="42">
        <v>1</v>
      </c>
      <c r="AC69" s="42">
        <v>1</v>
      </c>
      <c r="AD69" s="42"/>
      <c r="AE69" s="41">
        <f t="shared" si="11"/>
        <v>8</v>
      </c>
      <c r="AF69" s="43" t="s">
        <v>218</v>
      </c>
      <c r="AG69" s="44" t="s">
        <v>499</v>
      </c>
    </row>
    <row r="70" spans="1:33" ht="14.25" customHeight="1">
      <c r="A70" s="38" t="s">
        <v>145</v>
      </c>
      <c r="B70" s="38" t="s">
        <v>157</v>
      </c>
      <c r="C70" s="38">
        <v>990911747</v>
      </c>
      <c r="D70" s="99">
        <v>4</v>
      </c>
      <c r="E70" s="40" t="s">
        <v>153</v>
      </c>
      <c r="F70" s="41">
        <f t="shared" si="12"/>
        <v>9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>
        <v>1</v>
      </c>
      <c r="S70" s="42">
        <v>1</v>
      </c>
      <c r="T70" s="42">
        <v>1</v>
      </c>
      <c r="U70" s="42">
        <v>1</v>
      </c>
      <c r="V70" s="42">
        <v>1</v>
      </c>
      <c r="W70" s="42">
        <v>1</v>
      </c>
      <c r="X70" s="42">
        <v>1</v>
      </c>
      <c r="Y70" s="42">
        <v>1</v>
      </c>
      <c r="Z70" s="42">
        <v>1</v>
      </c>
      <c r="AA70" s="42"/>
      <c r="AB70" s="42"/>
      <c r="AC70" s="42"/>
      <c r="AD70" s="42"/>
      <c r="AE70" s="112">
        <v>9</v>
      </c>
      <c r="AF70" s="43" t="s">
        <v>254</v>
      </c>
      <c r="AG70" s="44" t="s">
        <v>499</v>
      </c>
    </row>
    <row r="71" spans="1:33" ht="14.25" customHeight="1">
      <c r="A71" s="38" t="s">
        <v>145</v>
      </c>
      <c r="B71" s="38" t="s">
        <v>160</v>
      </c>
      <c r="C71" s="38">
        <v>993901115</v>
      </c>
      <c r="D71" s="62">
        <v>5</v>
      </c>
      <c r="E71" s="40" t="s">
        <v>86</v>
      </c>
      <c r="F71" s="41">
        <f t="shared" si="12"/>
        <v>6</v>
      </c>
      <c r="G71" s="42"/>
      <c r="H71" s="42"/>
      <c r="I71" s="42"/>
      <c r="J71" s="42"/>
      <c r="K71" s="42"/>
      <c r="L71" s="42"/>
      <c r="M71" s="42">
        <v>1</v>
      </c>
      <c r="N71" s="42">
        <v>1</v>
      </c>
      <c r="O71" s="42">
        <v>1</v>
      </c>
      <c r="P71" s="42">
        <v>1</v>
      </c>
      <c r="Q71" s="42">
        <v>1</v>
      </c>
      <c r="R71" s="42">
        <v>1</v>
      </c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1">
        <f t="shared" ref="AE71:AE76" si="13">SUM(G71:AD71)</f>
        <v>6</v>
      </c>
      <c r="AF71" s="46" t="s">
        <v>227</v>
      </c>
      <c r="AG71" s="44" t="s">
        <v>499</v>
      </c>
    </row>
    <row r="72" spans="1:33" ht="14.25" customHeight="1">
      <c r="A72" s="38" t="s">
        <v>145</v>
      </c>
      <c r="B72" s="38" t="s">
        <v>165</v>
      </c>
      <c r="C72" s="38">
        <v>992994680</v>
      </c>
      <c r="D72" s="39">
        <v>6</v>
      </c>
      <c r="E72" s="40" t="s">
        <v>158</v>
      </c>
      <c r="F72" s="41">
        <f t="shared" si="12"/>
        <v>10</v>
      </c>
      <c r="G72" s="42"/>
      <c r="H72" s="42"/>
      <c r="I72" s="42"/>
      <c r="J72" s="42"/>
      <c r="K72" s="42"/>
      <c r="L72" s="42"/>
      <c r="M72" s="42"/>
      <c r="N72" s="42">
        <v>1</v>
      </c>
      <c r="O72" s="42">
        <v>1</v>
      </c>
      <c r="P72" s="42">
        <v>1</v>
      </c>
      <c r="Q72" s="42">
        <v>1</v>
      </c>
      <c r="R72" s="42">
        <v>1</v>
      </c>
      <c r="S72" s="42">
        <v>1</v>
      </c>
      <c r="T72" s="42">
        <v>1</v>
      </c>
      <c r="U72" s="42">
        <v>1</v>
      </c>
      <c r="V72" s="42">
        <v>1</v>
      </c>
      <c r="W72" s="42">
        <v>1</v>
      </c>
      <c r="X72" s="42"/>
      <c r="Y72" s="42"/>
      <c r="Z72" s="42"/>
      <c r="AA72" s="42"/>
      <c r="AB72" s="42"/>
      <c r="AC72" s="42"/>
      <c r="AD72" s="42"/>
      <c r="AE72" s="41">
        <f t="shared" si="13"/>
        <v>10</v>
      </c>
      <c r="AF72" s="43" t="s">
        <v>61</v>
      </c>
      <c r="AG72" s="44" t="s">
        <v>499</v>
      </c>
    </row>
    <row r="73" spans="1:33" ht="14.25" customHeight="1">
      <c r="A73" s="38" t="s">
        <v>145</v>
      </c>
      <c r="B73" s="38" t="s">
        <v>168</v>
      </c>
      <c r="C73" s="38"/>
      <c r="D73" s="99">
        <v>7</v>
      </c>
      <c r="E73" s="40" t="s">
        <v>161</v>
      </c>
      <c r="F73" s="41">
        <f t="shared" si="12"/>
        <v>12</v>
      </c>
      <c r="G73" s="42">
        <v>1</v>
      </c>
      <c r="H73" s="42">
        <v>1</v>
      </c>
      <c r="I73" s="42">
        <v>1</v>
      </c>
      <c r="J73" s="42">
        <v>1</v>
      </c>
      <c r="K73" s="42">
        <v>1</v>
      </c>
      <c r="L73" s="42">
        <v>1</v>
      </c>
      <c r="M73" s="42">
        <v>1</v>
      </c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>
        <v>1</v>
      </c>
      <c r="AA73" s="42">
        <v>1</v>
      </c>
      <c r="AB73" s="42">
        <v>1</v>
      </c>
      <c r="AC73" s="42">
        <v>1</v>
      </c>
      <c r="AD73" s="42">
        <v>1</v>
      </c>
      <c r="AE73" s="41">
        <f t="shared" si="13"/>
        <v>12</v>
      </c>
      <c r="AF73" s="43" t="s">
        <v>311</v>
      </c>
      <c r="AG73" s="44" t="s">
        <v>499</v>
      </c>
    </row>
    <row r="74" spans="1:33" ht="14.25" customHeight="1">
      <c r="A74" s="76" t="s">
        <v>145</v>
      </c>
      <c r="B74" s="76" t="s">
        <v>176</v>
      </c>
      <c r="C74" s="76"/>
      <c r="D74" s="62">
        <v>8</v>
      </c>
      <c r="E74" s="40" t="s">
        <v>166</v>
      </c>
      <c r="F74" s="41">
        <f t="shared" si="12"/>
        <v>0</v>
      </c>
      <c r="G74" s="42" t="s">
        <v>352</v>
      </c>
      <c r="H74" s="42" t="s">
        <v>352</v>
      </c>
      <c r="I74" s="42" t="s">
        <v>352</v>
      </c>
      <c r="J74" s="42" t="s">
        <v>352</v>
      </c>
      <c r="K74" s="42" t="s">
        <v>352</v>
      </c>
      <c r="L74" s="42" t="s">
        <v>352</v>
      </c>
      <c r="M74" s="42" t="s">
        <v>352</v>
      </c>
      <c r="N74" s="42" t="s">
        <v>352</v>
      </c>
      <c r="O74" s="42" t="s">
        <v>352</v>
      </c>
      <c r="P74" s="42" t="s">
        <v>352</v>
      </c>
      <c r="Q74" s="42" t="s">
        <v>352</v>
      </c>
      <c r="R74" s="42" t="s">
        <v>352</v>
      </c>
      <c r="S74" s="42" t="s">
        <v>352</v>
      </c>
      <c r="T74" s="42" t="s">
        <v>352</v>
      </c>
      <c r="U74" s="42" t="s">
        <v>352</v>
      </c>
      <c r="V74" s="42" t="s">
        <v>352</v>
      </c>
      <c r="W74" s="42" t="s">
        <v>352</v>
      </c>
      <c r="X74" s="42" t="s">
        <v>352</v>
      </c>
      <c r="Y74" s="42" t="s">
        <v>352</v>
      </c>
      <c r="Z74" s="42" t="s">
        <v>352</v>
      </c>
      <c r="AA74" s="42" t="s">
        <v>352</v>
      </c>
      <c r="AB74" s="42" t="s">
        <v>352</v>
      </c>
      <c r="AC74" s="42" t="s">
        <v>352</v>
      </c>
      <c r="AD74" s="42" t="s">
        <v>352</v>
      </c>
      <c r="AE74" s="41">
        <f t="shared" si="13"/>
        <v>0</v>
      </c>
      <c r="AF74" s="64" t="s">
        <v>6</v>
      </c>
      <c r="AG74" s="44" t="s">
        <v>499</v>
      </c>
    </row>
    <row r="75" spans="1:33" ht="14.25" customHeight="1">
      <c r="A75" s="38" t="s">
        <v>145</v>
      </c>
      <c r="B75" s="38" t="s">
        <v>178</v>
      </c>
      <c r="C75" s="38"/>
      <c r="D75" s="39">
        <v>9</v>
      </c>
      <c r="E75" s="40" t="s">
        <v>169</v>
      </c>
      <c r="F75" s="88">
        <f t="shared" si="12"/>
        <v>12</v>
      </c>
      <c r="G75" s="42">
        <v>1</v>
      </c>
      <c r="H75" s="42">
        <v>1</v>
      </c>
      <c r="I75" s="42">
        <v>1</v>
      </c>
      <c r="J75" s="42">
        <v>1</v>
      </c>
      <c r="K75" s="42">
        <v>1</v>
      </c>
      <c r="L75" s="42">
        <v>1</v>
      </c>
      <c r="M75" s="42">
        <v>1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>
        <v>1</v>
      </c>
      <c r="AA75" s="42">
        <v>1</v>
      </c>
      <c r="AB75" s="42">
        <v>1</v>
      </c>
      <c r="AC75" s="42">
        <v>1</v>
      </c>
      <c r="AD75" s="42">
        <v>1</v>
      </c>
      <c r="AE75" s="41">
        <f t="shared" si="13"/>
        <v>12</v>
      </c>
      <c r="AF75" s="43" t="s">
        <v>311</v>
      </c>
      <c r="AG75" s="44" t="s">
        <v>499</v>
      </c>
    </row>
    <row r="76" spans="1:33" ht="14.25" customHeight="1">
      <c r="A76" s="38" t="s">
        <v>145</v>
      </c>
      <c r="B76" s="38" t="s">
        <v>181</v>
      </c>
      <c r="C76" s="38"/>
      <c r="D76" s="99">
        <v>10</v>
      </c>
      <c r="E76" s="100" t="s">
        <v>177</v>
      </c>
      <c r="F76" s="101">
        <f t="shared" si="12"/>
        <v>8</v>
      </c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>
        <v>1</v>
      </c>
      <c r="U76" s="102">
        <v>1</v>
      </c>
      <c r="V76" s="102">
        <v>1</v>
      </c>
      <c r="W76" s="102">
        <v>1</v>
      </c>
      <c r="X76" s="102">
        <v>1</v>
      </c>
      <c r="Y76" s="102">
        <v>1</v>
      </c>
      <c r="Z76" s="102">
        <v>1</v>
      </c>
      <c r="AA76" s="102">
        <v>1</v>
      </c>
      <c r="AB76" s="102"/>
      <c r="AC76" s="102"/>
      <c r="AD76" s="102"/>
      <c r="AE76" s="101">
        <f t="shared" si="13"/>
        <v>8</v>
      </c>
      <c r="AF76" s="115" t="s">
        <v>293</v>
      </c>
      <c r="AG76" s="44" t="s">
        <v>499</v>
      </c>
    </row>
    <row r="77" spans="1:33" ht="14.25" customHeight="1">
      <c r="A77" s="38"/>
      <c r="B77" s="38"/>
      <c r="C77" s="38"/>
      <c r="D77" s="62">
        <v>11</v>
      </c>
      <c r="E77" s="40" t="s">
        <v>179</v>
      </c>
      <c r="F77" s="41">
        <f t="shared" si="12"/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226">
        <v>0</v>
      </c>
      <c r="O77" s="226">
        <v>0</v>
      </c>
      <c r="P77" s="226">
        <v>0</v>
      </c>
      <c r="Q77" s="226">
        <v>0</v>
      </c>
      <c r="R77" s="226">
        <v>0</v>
      </c>
      <c r="S77" s="226">
        <v>0</v>
      </c>
      <c r="T77" s="226">
        <v>0</v>
      </c>
      <c r="U77" s="226">
        <v>0</v>
      </c>
      <c r="V77" s="226">
        <v>0</v>
      </c>
      <c r="W77" s="226">
        <v>0</v>
      </c>
      <c r="X77" s="226">
        <v>0</v>
      </c>
      <c r="Y77" s="226">
        <v>0</v>
      </c>
      <c r="Z77" s="226">
        <v>0</v>
      </c>
      <c r="AA77" s="226">
        <v>0</v>
      </c>
      <c r="AB77" s="226">
        <v>0</v>
      </c>
      <c r="AC77" s="226">
        <v>0</v>
      </c>
      <c r="AD77" s="226">
        <v>0</v>
      </c>
      <c r="AE77" s="112">
        <v>0</v>
      </c>
      <c r="AF77" s="89" t="s">
        <v>225</v>
      </c>
      <c r="AG77" s="44"/>
    </row>
    <row r="78" spans="1:33" ht="14.25" customHeight="1">
      <c r="A78" s="38"/>
      <c r="B78" s="38"/>
      <c r="C78" s="38"/>
      <c r="D78" s="39">
        <v>12</v>
      </c>
      <c r="E78" s="40" t="s">
        <v>182</v>
      </c>
      <c r="F78" s="41">
        <f t="shared" si="12"/>
        <v>9</v>
      </c>
      <c r="G78" s="42"/>
      <c r="H78" s="42"/>
      <c r="I78" s="42"/>
      <c r="J78" s="42"/>
      <c r="K78" s="42"/>
      <c r="L78" s="42"/>
      <c r="M78" s="42"/>
      <c r="N78" s="42"/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/>
      <c r="U78" s="42">
        <v>1</v>
      </c>
      <c r="V78" s="42">
        <v>1</v>
      </c>
      <c r="W78" s="42">
        <v>1</v>
      </c>
      <c r="X78" s="42">
        <v>1</v>
      </c>
      <c r="Y78" s="42"/>
      <c r="Z78" s="42"/>
      <c r="AA78" s="42"/>
      <c r="AB78" s="42"/>
      <c r="AC78" s="42"/>
      <c r="AD78" s="42"/>
      <c r="AE78" s="41">
        <f t="shared" ref="AE78:AE83" si="14">SUM(G78:AD78)</f>
        <v>9</v>
      </c>
      <c r="AF78" s="43" t="s">
        <v>214</v>
      </c>
      <c r="AG78" s="44"/>
    </row>
    <row r="79" spans="1:33" ht="14.25" customHeight="1">
      <c r="A79" s="38"/>
      <c r="B79" s="38"/>
      <c r="C79" s="38"/>
      <c r="D79" s="99">
        <v>13</v>
      </c>
      <c r="E79" s="40" t="s">
        <v>108</v>
      </c>
      <c r="F79" s="41">
        <f t="shared" si="12"/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41">
        <f t="shared" si="14"/>
        <v>0</v>
      </c>
      <c r="AF79" s="89" t="s">
        <v>225</v>
      </c>
      <c r="AG79" s="44"/>
    </row>
    <row r="80" spans="1:33" ht="14.25" customHeight="1">
      <c r="A80" s="38"/>
      <c r="B80" s="38"/>
      <c r="C80" s="38"/>
      <c r="D80" s="62">
        <v>14</v>
      </c>
      <c r="E80" s="40" t="s">
        <v>144</v>
      </c>
      <c r="F80" s="41">
        <f t="shared" si="12"/>
        <v>8</v>
      </c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>
        <v>1</v>
      </c>
      <c r="R80" s="42">
        <v>1</v>
      </c>
      <c r="S80" s="42">
        <v>1</v>
      </c>
      <c r="T80" s="42">
        <v>1</v>
      </c>
      <c r="U80" s="42"/>
      <c r="V80" s="42">
        <v>1</v>
      </c>
      <c r="W80" s="42">
        <v>1</v>
      </c>
      <c r="X80" s="42">
        <v>1</v>
      </c>
      <c r="Y80" s="42">
        <v>1</v>
      </c>
      <c r="Z80" s="42"/>
      <c r="AA80" s="42"/>
      <c r="AB80" s="42"/>
      <c r="AC80" s="42"/>
      <c r="AD80" s="42"/>
      <c r="AE80" s="41">
        <f t="shared" si="14"/>
        <v>8</v>
      </c>
      <c r="AF80" s="43" t="s">
        <v>520</v>
      </c>
      <c r="AG80" s="44"/>
    </row>
    <row r="81" spans="1:33" ht="14.25" customHeight="1">
      <c r="A81" s="38"/>
      <c r="B81" s="38"/>
      <c r="C81" s="38"/>
      <c r="D81" s="39">
        <v>15</v>
      </c>
      <c r="E81" s="235" t="s">
        <v>174</v>
      </c>
      <c r="F81" s="41">
        <f t="shared" si="12"/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41">
        <f t="shared" si="14"/>
        <v>0</v>
      </c>
      <c r="AF81" s="127" t="s">
        <v>225</v>
      </c>
      <c r="AG81" s="44"/>
    </row>
    <row r="82" spans="1:33" ht="14.25" customHeight="1">
      <c r="A82" s="38"/>
      <c r="B82" s="38"/>
      <c r="C82" s="38"/>
      <c r="D82" s="99">
        <v>16</v>
      </c>
      <c r="E82" s="87" t="s">
        <v>98</v>
      </c>
      <c r="F82" s="41">
        <f t="shared" si="12"/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41">
        <f t="shared" si="14"/>
        <v>0</v>
      </c>
      <c r="AF82" s="127" t="s">
        <v>225</v>
      </c>
      <c r="AG82" s="44"/>
    </row>
    <row r="83" spans="1:33" ht="14.25" customHeight="1">
      <c r="A83" s="38" t="s">
        <v>145</v>
      </c>
      <c r="B83" s="38" t="s">
        <v>183</v>
      </c>
      <c r="C83" s="38"/>
      <c r="D83" s="39">
        <v>18</v>
      </c>
      <c r="E83" s="40" t="s">
        <v>184</v>
      </c>
      <c r="F83" s="41">
        <f t="shared" si="12"/>
        <v>9</v>
      </c>
      <c r="G83" s="42"/>
      <c r="H83" s="42"/>
      <c r="I83" s="42"/>
      <c r="J83" s="42"/>
      <c r="K83" s="42"/>
      <c r="L83" s="42"/>
      <c r="M83" s="42"/>
      <c r="N83" s="42"/>
      <c r="O83" s="42"/>
      <c r="P83" s="42">
        <v>1</v>
      </c>
      <c r="Q83" s="42">
        <v>1</v>
      </c>
      <c r="R83" s="42">
        <v>1</v>
      </c>
      <c r="S83" s="42">
        <v>1</v>
      </c>
      <c r="T83" s="42">
        <v>1</v>
      </c>
      <c r="U83" s="42"/>
      <c r="V83" s="42">
        <v>1</v>
      </c>
      <c r="W83" s="42">
        <v>1</v>
      </c>
      <c r="X83" s="42">
        <v>1</v>
      </c>
      <c r="Y83" s="42">
        <v>1</v>
      </c>
      <c r="Z83" s="42"/>
      <c r="AA83" s="42"/>
      <c r="AB83" s="42"/>
      <c r="AC83" s="42"/>
      <c r="AD83" s="42"/>
      <c r="AE83" s="41">
        <f t="shared" si="14"/>
        <v>9</v>
      </c>
      <c r="AF83" s="43" t="s">
        <v>242</v>
      </c>
      <c r="AG83" s="44" t="s">
        <v>499</v>
      </c>
    </row>
    <row r="84" spans="1:33" ht="14.25" customHeight="1">
      <c r="A84" s="3"/>
      <c r="B84" s="3"/>
      <c r="C84" s="3"/>
      <c r="D84" s="3"/>
      <c r="E84" s="3"/>
      <c r="F84" s="3"/>
      <c r="G84" s="65" t="s">
        <v>9</v>
      </c>
      <c r="H84" s="65" t="s">
        <v>10</v>
      </c>
      <c r="I84" s="65" t="s">
        <v>11</v>
      </c>
      <c r="J84" s="65" t="s">
        <v>12</v>
      </c>
      <c r="K84" s="65" t="s">
        <v>13</v>
      </c>
      <c r="L84" s="65" t="s">
        <v>14</v>
      </c>
      <c r="M84" s="65" t="s">
        <v>15</v>
      </c>
      <c r="N84" s="65" t="s">
        <v>16</v>
      </c>
      <c r="O84" s="65" t="s">
        <v>17</v>
      </c>
      <c r="P84" s="65" t="s">
        <v>18</v>
      </c>
      <c r="Q84" s="66" t="s">
        <v>19</v>
      </c>
      <c r="R84" s="66" t="s">
        <v>20</v>
      </c>
      <c r="S84" s="66" t="s">
        <v>21</v>
      </c>
      <c r="T84" s="66" t="s">
        <v>22</v>
      </c>
      <c r="U84" s="66" t="s">
        <v>23</v>
      </c>
      <c r="V84" s="66" t="s">
        <v>24</v>
      </c>
      <c r="W84" s="66" t="s">
        <v>25</v>
      </c>
      <c r="X84" s="66" t="s">
        <v>26</v>
      </c>
      <c r="Y84" s="66" t="s">
        <v>27</v>
      </c>
      <c r="Z84" s="66" t="s">
        <v>28</v>
      </c>
      <c r="AA84" s="66" t="s">
        <v>29</v>
      </c>
      <c r="AB84" s="66" t="s">
        <v>30</v>
      </c>
      <c r="AC84" s="66" t="s">
        <v>31</v>
      </c>
      <c r="AD84" s="65" t="s">
        <v>32</v>
      </c>
      <c r="AE84" s="53"/>
      <c r="AF84" s="3"/>
      <c r="AG84" s="3"/>
    </row>
    <row r="85" spans="1:3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</sheetData>
  <customSheetViews>
    <customSheetView guid="{833D6734-F5E1-4449-B5A1-8C3A51A61651}" filter="1" showAutoFilter="1">
      <pageMargins left="0.7" right="0.7" top="0.75" bottom="0.75" header="0.3" footer="0.3"/>
      <autoFilter ref="A7:AG85" xr:uid="{98392618-50C3-4A40-97DB-BBAF52DDB361}">
        <filterColumn colId="26">
          <filters>
            <filter val="-"/>
            <filter val="1"/>
            <filter val="4"/>
            <filter val="CLIENTES VIP"/>
            <filter val="V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5" xr:uid="{F507FB96-3017-4680-AB60-234FC058E2CD}">
        <filterColumn colId="15">
          <filters>
            <filter val="1"/>
            <filter val="17"/>
            <filter val="6"/>
            <filter val="7"/>
            <filter val="CLIENTES VIP"/>
            <filter val="SEGUIMIENTO TRANSFERENCIAS"/>
            <filter val="SOPORTE DTH"/>
            <filter val="V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5" xr:uid="{E5679D98-C478-47DD-98B7-3B545FE6849E}"/>
    </customSheetView>
  </customSheetViews>
  <mergeCells count="9">
    <mergeCell ref="E5:F5"/>
    <mergeCell ref="E63:F63"/>
    <mergeCell ref="A1:B1"/>
    <mergeCell ref="D3:AE3"/>
    <mergeCell ref="E4:F4"/>
    <mergeCell ref="O18:Z18"/>
    <mergeCell ref="P20:Z20"/>
    <mergeCell ref="N22:U22"/>
    <mergeCell ref="V59:AC59"/>
  </mergeCells>
  <conditionalFormatting sqref="E4:F4 E63:F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5:AB65 N84:AB84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G7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67">
        <v>4</v>
      </c>
      <c r="H4" s="12">
        <v>3</v>
      </c>
      <c r="I4" s="12">
        <v>3</v>
      </c>
      <c r="J4" s="12">
        <v>3</v>
      </c>
      <c r="K4" s="12">
        <v>3</v>
      </c>
      <c r="L4" s="12">
        <v>3</v>
      </c>
      <c r="M4" s="68">
        <v>9</v>
      </c>
      <c r="N4" s="56">
        <v>13</v>
      </c>
      <c r="O4" s="108">
        <v>16</v>
      </c>
      <c r="P4" s="118">
        <v>25</v>
      </c>
      <c r="Q4" s="119">
        <v>29</v>
      </c>
      <c r="R4" s="119">
        <v>29</v>
      </c>
      <c r="S4" s="119">
        <v>29</v>
      </c>
      <c r="T4" s="15">
        <v>30</v>
      </c>
      <c r="U4" s="118">
        <v>25</v>
      </c>
      <c r="V4" s="120">
        <v>26</v>
      </c>
      <c r="W4" s="118">
        <v>25</v>
      </c>
      <c r="X4" s="123">
        <v>24</v>
      </c>
      <c r="Y4" s="16">
        <v>21</v>
      </c>
      <c r="Z4" s="16">
        <v>21</v>
      </c>
      <c r="AA4" s="97">
        <v>18</v>
      </c>
      <c r="AB4" s="85">
        <v>11</v>
      </c>
      <c r="AC4" s="55">
        <v>7</v>
      </c>
      <c r="AD4" s="54">
        <v>5</v>
      </c>
      <c r="AE4" s="18">
        <f>SUM(G4:AD4)</f>
        <v>382</v>
      </c>
      <c r="AF4" s="3">
        <f>AE4/9</f>
        <v>42.444444444444443</v>
      </c>
      <c r="AG4" s="3"/>
    </row>
    <row r="5" spans="1:33" ht="62.25">
      <c r="A5" s="3"/>
      <c r="B5" s="2"/>
      <c r="C5" s="2"/>
      <c r="D5" s="19"/>
      <c r="E5" s="569">
        <v>29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1</v>
      </c>
      <c r="P6" s="28">
        <f t="shared" si="0"/>
        <v>1</v>
      </c>
      <c r="Q6" s="28">
        <f t="shared" si="0"/>
        <v>0</v>
      </c>
      <c r="R6" s="28">
        <f t="shared" si="0"/>
        <v>0</v>
      </c>
      <c r="S6" s="28">
        <f t="shared" si="0"/>
        <v>1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45" si="1">SUM(G6:AD6)</f>
        <v>3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SUM(G8:G54)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9</v>
      </c>
      <c r="N7" s="35">
        <f t="shared" si="2"/>
        <v>13</v>
      </c>
      <c r="O7" s="35">
        <f t="shared" si="2"/>
        <v>17</v>
      </c>
      <c r="P7" s="35">
        <f t="shared" si="2"/>
        <v>26</v>
      </c>
      <c r="Q7" s="35">
        <f t="shared" si="2"/>
        <v>29</v>
      </c>
      <c r="R7" s="35">
        <f t="shared" si="2"/>
        <v>29</v>
      </c>
      <c r="S7" s="35">
        <f t="shared" si="2"/>
        <v>30</v>
      </c>
      <c r="T7" s="35">
        <f t="shared" si="2"/>
        <v>30</v>
      </c>
      <c r="U7" s="35">
        <f t="shared" si="2"/>
        <v>25</v>
      </c>
      <c r="V7" s="35">
        <f t="shared" si="2"/>
        <v>26</v>
      </c>
      <c r="W7" s="35">
        <f t="shared" si="2"/>
        <v>25</v>
      </c>
      <c r="X7" s="35">
        <f t="shared" si="2"/>
        <v>24</v>
      </c>
      <c r="Y7" s="35">
        <f t="shared" si="2"/>
        <v>21</v>
      </c>
      <c r="Z7" s="35">
        <f t="shared" si="2"/>
        <v>21</v>
      </c>
      <c r="AA7" s="35">
        <f t="shared" si="2"/>
        <v>18</v>
      </c>
      <c r="AB7" s="35">
        <f t="shared" si="2"/>
        <v>11</v>
      </c>
      <c r="AC7" s="35">
        <f t="shared" si="2"/>
        <v>7</v>
      </c>
      <c r="AD7" s="35">
        <f t="shared" si="2"/>
        <v>5</v>
      </c>
      <c r="AE7" s="30">
        <f t="shared" si="1"/>
        <v>385</v>
      </c>
      <c r="AF7" s="36" t="s">
        <v>39</v>
      </c>
      <c r="AG7" s="37" t="s">
        <v>40</v>
      </c>
    </row>
    <row r="8" spans="1:33" ht="14.25" customHeight="1">
      <c r="A8" s="38" t="s">
        <v>41</v>
      </c>
      <c r="B8" s="38" t="s">
        <v>42</v>
      </c>
      <c r="C8" s="38"/>
      <c r="D8" s="39">
        <v>0</v>
      </c>
      <c r="E8" s="40" t="s">
        <v>43</v>
      </c>
      <c r="F8" s="41">
        <f t="shared" ref="F8:F45" si="3">SUM(G8:AD8)</f>
        <v>10</v>
      </c>
      <c r="G8" s="42"/>
      <c r="H8" s="42"/>
      <c r="I8" s="42"/>
      <c r="J8" s="42"/>
      <c r="K8" s="42"/>
      <c r="L8" s="42"/>
      <c r="M8" s="42"/>
      <c r="N8" s="42"/>
      <c r="O8" s="42"/>
      <c r="P8" s="42">
        <v>1</v>
      </c>
      <c r="Q8" s="42">
        <v>1</v>
      </c>
      <c r="R8" s="42">
        <v>1</v>
      </c>
      <c r="S8" s="42">
        <v>1</v>
      </c>
      <c r="T8" s="42">
        <v>1</v>
      </c>
      <c r="U8" s="42">
        <v>1</v>
      </c>
      <c r="V8" s="45" t="s">
        <v>47</v>
      </c>
      <c r="W8" s="42">
        <v>1</v>
      </c>
      <c r="X8" s="42">
        <v>1</v>
      </c>
      <c r="Y8" s="42">
        <v>1</v>
      </c>
      <c r="Z8" s="42">
        <v>1</v>
      </c>
      <c r="AA8" s="42"/>
      <c r="AB8" s="42"/>
      <c r="AC8" s="42"/>
      <c r="AD8" s="42"/>
      <c r="AE8" s="41">
        <f t="shared" si="1"/>
        <v>10</v>
      </c>
      <c r="AF8" s="43" t="s">
        <v>164</v>
      </c>
      <c r="AG8" s="44" t="s">
        <v>429</v>
      </c>
    </row>
    <row r="9" spans="1:33" ht="15.75">
      <c r="A9" s="38" t="s">
        <v>41</v>
      </c>
      <c r="B9" s="38" t="s">
        <v>45</v>
      </c>
      <c r="C9" s="38">
        <v>999600729</v>
      </c>
      <c r="D9" s="39">
        <v>1</v>
      </c>
      <c r="E9" s="40" t="s">
        <v>46</v>
      </c>
      <c r="F9" s="41">
        <f t="shared" si="3"/>
        <v>12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>
        <v>1</v>
      </c>
      <c r="R9" s="42">
        <v>1</v>
      </c>
      <c r="S9" s="42">
        <v>1</v>
      </c>
      <c r="T9" s="42">
        <v>1</v>
      </c>
      <c r="U9" s="42">
        <v>1</v>
      </c>
      <c r="V9" s="42">
        <v>1</v>
      </c>
      <c r="W9" s="45" t="s">
        <v>47</v>
      </c>
      <c r="X9" s="42">
        <v>1</v>
      </c>
      <c r="Y9" s="42">
        <v>1</v>
      </c>
      <c r="Z9" s="42">
        <v>1</v>
      </c>
      <c r="AA9" s="42">
        <v>1</v>
      </c>
      <c r="AB9" s="42">
        <v>1</v>
      </c>
      <c r="AC9" s="42">
        <v>1</v>
      </c>
      <c r="AD9" s="42"/>
      <c r="AE9" s="41">
        <f t="shared" si="1"/>
        <v>12</v>
      </c>
      <c r="AF9" s="43" t="s">
        <v>359</v>
      </c>
      <c r="AG9" s="44" t="s">
        <v>429</v>
      </c>
    </row>
    <row r="10" spans="1:33" ht="15.75" customHeight="1">
      <c r="A10" s="38" t="s">
        <v>41</v>
      </c>
      <c r="B10" s="38" t="s">
        <v>52</v>
      </c>
      <c r="C10" s="38">
        <v>984098910</v>
      </c>
      <c r="D10" s="39">
        <v>2</v>
      </c>
      <c r="E10" s="40" t="s">
        <v>53</v>
      </c>
      <c r="F10" s="41">
        <f t="shared" si="3"/>
        <v>12</v>
      </c>
      <c r="G10" s="42">
        <v>1</v>
      </c>
      <c r="H10" s="42">
        <v>1</v>
      </c>
      <c r="I10" s="42">
        <v>1</v>
      </c>
      <c r="J10" s="42">
        <v>1</v>
      </c>
      <c r="K10" s="42">
        <v>1</v>
      </c>
      <c r="L10" s="42">
        <v>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5" t="s">
        <v>47</v>
      </c>
      <c r="Y10" s="42">
        <v>1</v>
      </c>
      <c r="Z10" s="42">
        <v>1</v>
      </c>
      <c r="AA10" s="42">
        <v>1</v>
      </c>
      <c r="AB10" s="42">
        <v>1</v>
      </c>
      <c r="AC10" s="42">
        <v>1</v>
      </c>
      <c r="AD10" s="42">
        <v>1</v>
      </c>
      <c r="AE10" s="41">
        <f t="shared" si="1"/>
        <v>12</v>
      </c>
      <c r="AF10" s="46" t="s">
        <v>54</v>
      </c>
      <c r="AG10" s="44" t="s">
        <v>429</v>
      </c>
    </row>
    <row r="11" spans="1:33" ht="14.25" customHeight="1">
      <c r="A11" s="38" t="s">
        <v>41</v>
      </c>
      <c r="B11" s="38" t="s">
        <v>55</v>
      </c>
      <c r="C11" s="38">
        <v>987983128</v>
      </c>
      <c r="D11" s="39">
        <v>3</v>
      </c>
      <c r="E11" s="40" t="s">
        <v>56</v>
      </c>
      <c r="F11" s="41">
        <f t="shared" si="3"/>
        <v>10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>
        <v>1</v>
      </c>
      <c r="T11" s="42">
        <v>1</v>
      </c>
      <c r="U11" s="42">
        <v>1</v>
      </c>
      <c r="V11" s="42">
        <v>1</v>
      </c>
      <c r="W11" s="45" t="s">
        <v>47</v>
      </c>
      <c r="X11" s="42">
        <v>1</v>
      </c>
      <c r="Y11" s="42">
        <v>1</v>
      </c>
      <c r="Z11" s="42">
        <v>1</v>
      </c>
      <c r="AA11" s="42">
        <v>1</v>
      </c>
      <c r="AB11" s="42">
        <v>1</v>
      </c>
      <c r="AC11" s="42">
        <v>1</v>
      </c>
      <c r="AD11" s="42"/>
      <c r="AE11" s="41">
        <f t="shared" si="1"/>
        <v>10</v>
      </c>
      <c r="AF11" s="43" t="s">
        <v>259</v>
      </c>
      <c r="AG11" s="44" t="s">
        <v>429</v>
      </c>
    </row>
    <row r="12" spans="1:33" ht="14.25" customHeight="1">
      <c r="A12" s="38" t="s">
        <v>41</v>
      </c>
      <c r="B12" s="38" t="s">
        <v>57</v>
      </c>
      <c r="C12" s="38"/>
      <c r="D12" s="39">
        <v>4</v>
      </c>
      <c r="E12" s="40" t="s">
        <v>58</v>
      </c>
      <c r="F12" s="41">
        <f t="shared" si="3"/>
        <v>10</v>
      </c>
      <c r="G12" s="42"/>
      <c r="H12" s="42"/>
      <c r="I12" s="42"/>
      <c r="J12" s="42"/>
      <c r="K12" s="42"/>
      <c r="L12" s="42"/>
      <c r="M12" s="42"/>
      <c r="N12" s="42"/>
      <c r="O12" s="42"/>
      <c r="P12" s="42">
        <v>1</v>
      </c>
      <c r="Q12" s="42">
        <v>1</v>
      </c>
      <c r="R12" s="42">
        <v>1</v>
      </c>
      <c r="S12" s="42">
        <v>1</v>
      </c>
      <c r="T12" s="42">
        <v>1</v>
      </c>
      <c r="U12" s="42">
        <v>1</v>
      </c>
      <c r="V12" s="45" t="s">
        <v>47</v>
      </c>
      <c r="W12" s="42">
        <v>1</v>
      </c>
      <c r="X12" s="42">
        <v>1</v>
      </c>
      <c r="Y12" s="42">
        <v>1</v>
      </c>
      <c r="Z12" s="42">
        <v>1</v>
      </c>
      <c r="AA12" s="42"/>
      <c r="AB12" s="42"/>
      <c r="AC12" s="42"/>
      <c r="AD12" s="42"/>
      <c r="AE12" s="41">
        <f t="shared" si="1"/>
        <v>10</v>
      </c>
      <c r="AF12" s="43" t="s">
        <v>164</v>
      </c>
      <c r="AG12" s="44" t="s">
        <v>429</v>
      </c>
    </row>
    <row r="13" spans="1:33" ht="14.25" customHeight="1">
      <c r="A13" s="38" t="s">
        <v>41</v>
      </c>
      <c r="B13" s="38" t="s">
        <v>146</v>
      </c>
      <c r="C13" s="38">
        <v>998223732</v>
      </c>
      <c r="D13" s="39">
        <v>5</v>
      </c>
      <c r="E13" s="40" t="s">
        <v>147</v>
      </c>
      <c r="F13" s="41">
        <f t="shared" si="3"/>
        <v>10</v>
      </c>
      <c r="G13" s="42"/>
      <c r="H13" s="42"/>
      <c r="I13" s="42"/>
      <c r="J13" s="42"/>
      <c r="K13" s="42"/>
      <c r="L13" s="42"/>
      <c r="M13" s="42">
        <v>1</v>
      </c>
      <c r="N13" s="42">
        <v>1</v>
      </c>
      <c r="O13" s="42">
        <v>1</v>
      </c>
      <c r="P13" s="42">
        <v>1</v>
      </c>
      <c r="Q13" s="42">
        <v>1</v>
      </c>
      <c r="R13" s="42">
        <v>1</v>
      </c>
      <c r="S13" s="45" t="s">
        <v>47</v>
      </c>
      <c r="T13" s="42">
        <v>1</v>
      </c>
      <c r="U13" s="42">
        <v>1</v>
      </c>
      <c r="V13" s="42">
        <v>1</v>
      </c>
      <c r="W13" s="42">
        <v>1</v>
      </c>
      <c r="X13" s="42"/>
      <c r="Y13" s="42"/>
      <c r="Z13" s="42"/>
      <c r="AA13" s="42"/>
      <c r="AB13" s="42"/>
      <c r="AC13" s="42"/>
      <c r="AD13" s="42"/>
      <c r="AE13" s="41">
        <f t="shared" si="1"/>
        <v>10</v>
      </c>
      <c r="AF13" s="43" t="s">
        <v>192</v>
      </c>
      <c r="AG13" s="44" t="s">
        <v>429</v>
      </c>
    </row>
    <row r="14" spans="1:33" ht="14.25" customHeight="1">
      <c r="A14" s="38" t="s">
        <v>41</v>
      </c>
      <c r="B14" s="38" t="s">
        <v>59</v>
      </c>
      <c r="C14" s="38"/>
      <c r="D14" s="39">
        <v>6</v>
      </c>
      <c r="E14" s="40" t="s">
        <v>60</v>
      </c>
      <c r="F14" s="41">
        <f t="shared" si="3"/>
        <v>10</v>
      </c>
      <c r="G14" s="42"/>
      <c r="H14" s="42"/>
      <c r="I14" s="42"/>
      <c r="J14" s="42"/>
      <c r="K14" s="42"/>
      <c r="L14" s="42"/>
      <c r="M14" s="42"/>
      <c r="N14" s="42">
        <v>1</v>
      </c>
      <c r="O14" s="42">
        <v>1</v>
      </c>
      <c r="P14" s="42">
        <v>1</v>
      </c>
      <c r="Q14" s="42">
        <v>1</v>
      </c>
      <c r="R14" s="42">
        <v>1</v>
      </c>
      <c r="S14" s="45" t="s">
        <v>47</v>
      </c>
      <c r="T14" s="42">
        <v>1</v>
      </c>
      <c r="U14" s="42">
        <v>1</v>
      </c>
      <c r="V14" s="42">
        <v>1</v>
      </c>
      <c r="W14" s="42">
        <v>1</v>
      </c>
      <c r="X14" s="42">
        <v>1</v>
      </c>
      <c r="Y14" s="42"/>
      <c r="Z14" s="42"/>
      <c r="AA14" s="42"/>
      <c r="AB14" s="42"/>
      <c r="AC14" s="42"/>
      <c r="AD14" s="42"/>
      <c r="AE14" s="41">
        <f t="shared" si="1"/>
        <v>10</v>
      </c>
      <c r="AF14" s="43" t="s">
        <v>154</v>
      </c>
      <c r="AG14" s="44" t="s">
        <v>429</v>
      </c>
    </row>
    <row r="15" spans="1:33" ht="14.25" customHeight="1">
      <c r="A15" s="38" t="s">
        <v>41</v>
      </c>
      <c r="B15" s="38" t="s">
        <v>62</v>
      </c>
      <c r="C15" s="38">
        <v>979044107</v>
      </c>
      <c r="D15" s="39">
        <v>7</v>
      </c>
      <c r="E15" s="40" t="s">
        <v>63</v>
      </c>
      <c r="F15" s="41">
        <f t="shared" si="3"/>
        <v>10</v>
      </c>
      <c r="G15" s="42"/>
      <c r="H15" s="42"/>
      <c r="I15" s="42"/>
      <c r="J15" s="42"/>
      <c r="K15" s="42"/>
      <c r="L15" s="42"/>
      <c r="M15" s="42"/>
      <c r="N15" s="42">
        <v>1</v>
      </c>
      <c r="O15" s="42">
        <v>1</v>
      </c>
      <c r="P15" s="42">
        <v>1</v>
      </c>
      <c r="Q15" s="42">
        <v>1</v>
      </c>
      <c r="R15" s="42">
        <v>1</v>
      </c>
      <c r="S15" s="45" t="s">
        <v>47</v>
      </c>
      <c r="T15" s="42">
        <v>1</v>
      </c>
      <c r="U15" s="42">
        <v>1</v>
      </c>
      <c r="V15" s="42">
        <v>1</v>
      </c>
      <c r="W15" s="42">
        <v>1</v>
      </c>
      <c r="X15" s="42">
        <v>1</v>
      </c>
      <c r="Y15" s="42"/>
      <c r="Z15" s="42"/>
      <c r="AA15" s="42"/>
      <c r="AB15" s="42"/>
      <c r="AC15" s="42"/>
      <c r="AD15" s="42"/>
      <c r="AE15" s="41">
        <f t="shared" si="1"/>
        <v>10</v>
      </c>
      <c r="AF15" s="43" t="s">
        <v>154</v>
      </c>
      <c r="AG15" s="44" t="s">
        <v>429</v>
      </c>
    </row>
    <row r="16" spans="1:33" ht="14.25" customHeight="1">
      <c r="A16" s="38" t="s">
        <v>41</v>
      </c>
      <c r="B16" s="38" t="s">
        <v>64</v>
      </c>
      <c r="C16" s="38">
        <v>995545886</v>
      </c>
      <c r="D16" s="39">
        <v>8</v>
      </c>
      <c r="E16" s="40" t="s">
        <v>65</v>
      </c>
      <c r="F16" s="41">
        <f t="shared" si="3"/>
        <v>11</v>
      </c>
      <c r="G16" s="42"/>
      <c r="H16" s="42"/>
      <c r="I16" s="42"/>
      <c r="J16" s="42"/>
      <c r="K16" s="42"/>
      <c r="L16" s="42"/>
      <c r="M16" s="42"/>
      <c r="N16" s="42"/>
      <c r="O16" s="42">
        <v>1</v>
      </c>
      <c r="P16" s="42">
        <v>1</v>
      </c>
      <c r="Q16" s="42">
        <v>1</v>
      </c>
      <c r="R16" s="42">
        <v>1</v>
      </c>
      <c r="S16" s="42">
        <v>1</v>
      </c>
      <c r="T16" s="42">
        <v>1</v>
      </c>
      <c r="U16" s="42">
        <v>1</v>
      </c>
      <c r="V16" s="45" t="s">
        <v>47</v>
      </c>
      <c r="W16" s="42">
        <v>1</v>
      </c>
      <c r="X16" s="42">
        <v>1</v>
      </c>
      <c r="Y16" s="42">
        <v>1</v>
      </c>
      <c r="Z16" s="42">
        <v>1</v>
      </c>
      <c r="AA16" s="42"/>
      <c r="AB16" s="42"/>
      <c r="AC16" s="42"/>
      <c r="AD16" s="42"/>
      <c r="AE16" s="41">
        <f t="shared" si="1"/>
        <v>11</v>
      </c>
      <c r="AF16" s="43" t="s">
        <v>66</v>
      </c>
      <c r="AG16" s="44" t="s">
        <v>429</v>
      </c>
    </row>
    <row r="17" spans="1:33" ht="14.25" customHeight="1">
      <c r="A17" s="38" t="s">
        <v>41</v>
      </c>
      <c r="B17" s="38" t="s">
        <v>67</v>
      </c>
      <c r="C17" s="38">
        <v>968594141</v>
      </c>
      <c r="D17" s="39">
        <v>9</v>
      </c>
      <c r="E17" s="40" t="s">
        <v>68</v>
      </c>
      <c r="F17" s="41">
        <f t="shared" si="3"/>
        <v>11</v>
      </c>
      <c r="G17" s="42"/>
      <c r="H17" s="42"/>
      <c r="I17" s="42"/>
      <c r="J17" s="42"/>
      <c r="K17" s="42"/>
      <c r="L17" s="42"/>
      <c r="M17" s="42"/>
      <c r="N17" s="42"/>
      <c r="O17" s="42"/>
      <c r="P17" s="42">
        <v>1</v>
      </c>
      <c r="Q17" s="42">
        <v>1</v>
      </c>
      <c r="R17" s="42">
        <v>1</v>
      </c>
      <c r="S17" s="42">
        <v>1</v>
      </c>
      <c r="T17" s="42">
        <v>1</v>
      </c>
      <c r="U17" s="42">
        <v>1</v>
      </c>
      <c r="V17" s="45" t="s">
        <v>47</v>
      </c>
      <c r="W17" s="42">
        <v>1</v>
      </c>
      <c r="X17" s="42">
        <v>1</v>
      </c>
      <c r="Y17" s="42">
        <v>1</v>
      </c>
      <c r="Z17" s="42">
        <v>1</v>
      </c>
      <c r="AA17" s="42">
        <v>1</v>
      </c>
      <c r="AB17" s="42"/>
      <c r="AC17" s="42"/>
      <c r="AD17" s="42"/>
      <c r="AE17" s="41">
        <f t="shared" si="1"/>
        <v>11</v>
      </c>
      <c r="AF17" s="43" t="s">
        <v>69</v>
      </c>
      <c r="AG17" s="44" t="s">
        <v>429</v>
      </c>
    </row>
    <row r="18" spans="1:33" ht="14.25" customHeight="1">
      <c r="A18" s="38" t="s">
        <v>41</v>
      </c>
      <c r="B18" s="38" t="s">
        <v>70</v>
      </c>
      <c r="C18" s="38"/>
      <c r="D18" s="39">
        <v>10</v>
      </c>
      <c r="E18" s="40" t="s">
        <v>71</v>
      </c>
      <c r="F18" s="41">
        <f t="shared" si="3"/>
        <v>10</v>
      </c>
      <c r="G18" s="42"/>
      <c r="H18" s="42"/>
      <c r="I18" s="42"/>
      <c r="J18" s="42"/>
      <c r="K18" s="42"/>
      <c r="L18" s="42"/>
      <c r="M18" s="42"/>
      <c r="N18" s="42">
        <v>1</v>
      </c>
      <c r="O18" s="42">
        <v>1</v>
      </c>
      <c r="P18" s="42">
        <v>1</v>
      </c>
      <c r="Q18" s="42">
        <v>1</v>
      </c>
      <c r="R18" s="42">
        <v>1</v>
      </c>
      <c r="S18" s="45" t="s">
        <v>47</v>
      </c>
      <c r="T18" s="42">
        <v>1</v>
      </c>
      <c r="U18" s="42">
        <v>1</v>
      </c>
      <c r="V18" s="42">
        <v>1</v>
      </c>
      <c r="W18" s="42">
        <v>1</v>
      </c>
      <c r="X18" s="42">
        <v>1</v>
      </c>
      <c r="Y18" s="42"/>
      <c r="Z18" s="42"/>
      <c r="AA18" s="42"/>
      <c r="AB18" s="42"/>
      <c r="AC18" s="42"/>
      <c r="AD18" s="42"/>
      <c r="AE18" s="41">
        <f t="shared" si="1"/>
        <v>10</v>
      </c>
      <c r="AF18" s="43" t="s">
        <v>154</v>
      </c>
      <c r="AG18" s="44" t="s">
        <v>429</v>
      </c>
    </row>
    <row r="19" spans="1:33" ht="14.25" customHeight="1">
      <c r="A19" s="38" t="s">
        <v>41</v>
      </c>
      <c r="B19" s="38" t="s">
        <v>72</v>
      </c>
      <c r="C19" s="38">
        <v>989533877</v>
      </c>
      <c r="D19" s="39">
        <v>11</v>
      </c>
      <c r="E19" s="40" t="s">
        <v>73</v>
      </c>
      <c r="F19" s="41">
        <f t="shared" si="3"/>
        <v>6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5" t="s">
        <v>47</v>
      </c>
      <c r="Y19" s="42">
        <v>1</v>
      </c>
      <c r="Z19" s="42">
        <v>1</v>
      </c>
      <c r="AA19" s="42">
        <v>1</v>
      </c>
      <c r="AB19" s="42">
        <v>1</v>
      </c>
      <c r="AC19" s="42">
        <v>1</v>
      </c>
      <c r="AD19" s="42">
        <v>1</v>
      </c>
      <c r="AE19" s="41">
        <f t="shared" si="1"/>
        <v>6</v>
      </c>
      <c r="AF19" s="46" t="s">
        <v>74</v>
      </c>
      <c r="AG19" s="44" t="s">
        <v>429</v>
      </c>
    </row>
    <row r="20" spans="1:33" ht="14.25" customHeight="1">
      <c r="A20" s="38" t="s">
        <v>41</v>
      </c>
      <c r="B20" s="38" t="s">
        <v>76</v>
      </c>
      <c r="C20" s="38">
        <v>997829699</v>
      </c>
      <c r="D20" s="39">
        <v>12</v>
      </c>
      <c r="E20" s="40" t="s">
        <v>77</v>
      </c>
      <c r="F20" s="41">
        <f t="shared" si="3"/>
        <v>7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5" t="s">
        <v>47</v>
      </c>
      <c r="V20" s="42">
        <v>1</v>
      </c>
      <c r="W20" s="42">
        <v>1</v>
      </c>
      <c r="X20" s="42">
        <v>1</v>
      </c>
      <c r="Y20" s="42">
        <v>1</v>
      </c>
      <c r="Z20" s="42">
        <v>1</v>
      </c>
      <c r="AA20" s="42">
        <v>1</v>
      </c>
      <c r="AB20" s="42">
        <v>1</v>
      </c>
      <c r="AC20" s="42"/>
      <c r="AD20" s="42"/>
      <c r="AE20" s="41">
        <f t="shared" si="1"/>
        <v>7</v>
      </c>
      <c r="AF20" s="43" t="s">
        <v>78</v>
      </c>
      <c r="AG20" s="44" t="s">
        <v>429</v>
      </c>
    </row>
    <row r="21" spans="1:33" ht="14.25" customHeight="1">
      <c r="A21" s="38" t="s">
        <v>41</v>
      </c>
      <c r="B21" s="2" t="s">
        <v>79</v>
      </c>
      <c r="C21" s="2"/>
      <c r="D21" s="39">
        <v>13</v>
      </c>
      <c r="E21" s="40" t="s">
        <v>80</v>
      </c>
      <c r="F21" s="41">
        <f t="shared" si="3"/>
        <v>9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>
        <v>1</v>
      </c>
      <c r="V21" s="42">
        <v>1</v>
      </c>
      <c r="W21" s="45" t="s">
        <v>47</v>
      </c>
      <c r="X21" s="42">
        <v>1</v>
      </c>
      <c r="Y21" s="42">
        <v>1</v>
      </c>
      <c r="Z21" s="42">
        <v>1</v>
      </c>
      <c r="AA21" s="42">
        <v>1</v>
      </c>
      <c r="AB21" s="42">
        <v>1</v>
      </c>
      <c r="AC21" s="42">
        <v>1</v>
      </c>
      <c r="AD21" s="42">
        <v>1</v>
      </c>
      <c r="AE21" s="41">
        <f t="shared" si="1"/>
        <v>9</v>
      </c>
      <c r="AF21" s="43" t="s">
        <v>75</v>
      </c>
      <c r="AG21" s="44" t="s">
        <v>429</v>
      </c>
    </row>
    <row r="22" spans="1:33" ht="14.25" customHeight="1">
      <c r="A22" s="38" t="s">
        <v>41</v>
      </c>
      <c r="B22" s="38" t="s">
        <v>82</v>
      </c>
      <c r="C22" s="38">
        <v>996303208</v>
      </c>
      <c r="D22" s="39">
        <v>14</v>
      </c>
      <c r="E22" s="40" t="s">
        <v>83</v>
      </c>
      <c r="F22" s="41">
        <f t="shared" si="3"/>
        <v>10</v>
      </c>
      <c r="G22" s="42"/>
      <c r="H22" s="42"/>
      <c r="I22" s="42"/>
      <c r="J22" s="42"/>
      <c r="K22" s="42"/>
      <c r="L22" s="42"/>
      <c r="M22" s="42">
        <v>1</v>
      </c>
      <c r="N22" s="42">
        <v>1</v>
      </c>
      <c r="O22" s="42">
        <v>1</v>
      </c>
      <c r="P22" s="42">
        <v>1</v>
      </c>
      <c r="Q22" s="42">
        <v>1</v>
      </c>
      <c r="R22" s="42">
        <v>1</v>
      </c>
      <c r="S22" s="42">
        <v>1</v>
      </c>
      <c r="T22" s="42"/>
      <c r="U22" s="42">
        <v>1</v>
      </c>
      <c r="V22" s="42">
        <v>1</v>
      </c>
      <c r="W22" s="42">
        <v>1</v>
      </c>
      <c r="X22" s="45" t="s">
        <v>47</v>
      </c>
      <c r="Y22" s="42"/>
      <c r="Z22" s="42"/>
      <c r="AA22" s="42"/>
      <c r="AB22" s="42"/>
      <c r="AC22" s="42"/>
      <c r="AD22" s="42"/>
      <c r="AE22" s="41">
        <f t="shared" si="1"/>
        <v>10</v>
      </c>
      <c r="AF22" s="43" t="s">
        <v>51</v>
      </c>
      <c r="AG22" s="44" t="s">
        <v>429</v>
      </c>
    </row>
    <row r="23" spans="1:33" ht="14.25" customHeight="1">
      <c r="A23" s="38" t="s">
        <v>41</v>
      </c>
      <c r="B23" s="38" t="s">
        <v>85</v>
      </c>
      <c r="C23" s="38">
        <v>991837641</v>
      </c>
      <c r="D23" s="39">
        <v>15</v>
      </c>
      <c r="E23" s="40" t="s">
        <v>86</v>
      </c>
      <c r="F23" s="41">
        <f t="shared" si="3"/>
        <v>6</v>
      </c>
      <c r="G23" s="42"/>
      <c r="H23" s="42"/>
      <c r="I23" s="42"/>
      <c r="J23" s="42"/>
      <c r="K23" s="42"/>
      <c r="L23" s="42"/>
      <c r="M23" s="42"/>
      <c r="N23" s="42"/>
      <c r="O23" s="42">
        <v>1</v>
      </c>
      <c r="P23" s="42">
        <v>1</v>
      </c>
      <c r="Q23" s="42">
        <v>1</v>
      </c>
      <c r="R23" s="42">
        <v>1</v>
      </c>
      <c r="S23" s="45" t="s">
        <v>47</v>
      </c>
      <c r="T23" s="42">
        <v>1</v>
      </c>
      <c r="U23" s="42">
        <v>1</v>
      </c>
      <c r="V23" s="42"/>
      <c r="W23" s="42"/>
      <c r="X23" s="42"/>
      <c r="Y23" s="42"/>
      <c r="Z23" s="42"/>
      <c r="AA23" s="42"/>
      <c r="AB23" s="42"/>
      <c r="AC23" s="42"/>
      <c r="AD23" s="42"/>
      <c r="AE23" s="41">
        <f t="shared" si="1"/>
        <v>6</v>
      </c>
      <c r="AF23" s="43" t="s">
        <v>87</v>
      </c>
      <c r="AG23" s="44" t="s">
        <v>429</v>
      </c>
    </row>
    <row r="24" spans="1:33" ht="14.25" customHeight="1">
      <c r="A24" s="38" t="s">
        <v>41</v>
      </c>
      <c r="B24" s="38" t="s">
        <v>88</v>
      </c>
      <c r="C24" s="38">
        <v>985570860</v>
      </c>
      <c r="D24" s="39">
        <v>16</v>
      </c>
      <c r="E24" s="40" t="s">
        <v>89</v>
      </c>
      <c r="F24" s="41">
        <f t="shared" si="3"/>
        <v>10</v>
      </c>
      <c r="G24" s="42"/>
      <c r="H24" s="42"/>
      <c r="I24" s="42"/>
      <c r="J24" s="42"/>
      <c r="K24" s="42"/>
      <c r="L24" s="42"/>
      <c r="M24" s="42"/>
      <c r="N24" s="42"/>
      <c r="O24" s="42"/>
      <c r="P24" s="42">
        <v>1</v>
      </c>
      <c r="Q24" s="42">
        <v>1</v>
      </c>
      <c r="R24" s="42">
        <v>1</v>
      </c>
      <c r="S24" s="42">
        <v>1</v>
      </c>
      <c r="T24" s="42">
        <v>1</v>
      </c>
      <c r="U24" s="42">
        <v>1</v>
      </c>
      <c r="V24" s="45" t="s">
        <v>47</v>
      </c>
      <c r="W24" s="42"/>
      <c r="X24" s="42">
        <v>1</v>
      </c>
      <c r="Y24" s="42">
        <v>1</v>
      </c>
      <c r="Z24" s="42">
        <v>1</v>
      </c>
      <c r="AA24" s="42">
        <v>1</v>
      </c>
      <c r="AB24" s="42"/>
      <c r="AC24" s="42"/>
      <c r="AD24" s="42"/>
      <c r="AE24" s="41">
        <f t="shared" si="1"/>
        <v>10</v>
      </c>
      <c r="AF24" s="43" t="s">
        <v>300</v>
      </c>
      <c r="AG24" s="44" t="s">
        <v>429</v>
      </c>
    </row>
    <row r="25" spans="1:33" ht="14.25" customHeight="1">
      <c r="A25" s="38" t="s">
        <v>41</v>
      </c>
      <c r="B25" s="38" t="s">
        <v>90</v>
      </c>
      <c r="C25" s="38">
        <v>961816449</v>
      </c>
      <c r="D25" s="39">
        <v>17</v>
      </c>
      <c r="E25" s="40" t="s">
        <v>91</v>
      </c>
      <c r="F25" s="41">
        <f t="shared" si="3"/>
        <v>10</v>
      </c>
      <c r="G25" s="42"/>
      <c r="H25" s="42"/>
      <c r="I25" s="42"/>
      <c r="J25" s="42"/>
      <c r="K25" s="42"/>
      <c r="L25" s="42"/>
      <c r="M25" s="42">
        <v>1</v>
      </c>
      <c r="N25" s="42">
        <v>1</v>
      </c>
      <c r="O25" s="42">
        <v>1</v>
      </c>
      <c r="P25" s="42">
        <v>1</v>
      </c>
      <c r="Q25" s="42">
        <v>1</v>
      </c>
      <c r="R25" s="42">
        <v>1</v>
      </c>
      <c r="S25" s="42">
        <v>1</v>
      </c>
      <c r="T25" s="42"/>
      <c r="U25" s="42">
        <v>1</v>
      </c>
      <c r="V25" s="42">
        <v>1</v>
      </c>
      <c r="W25" s="42">
        <v>1</v>
      </c>
      <c r="X25" s="45" t="s">
        <v>47</v>
      </c>
      <c r="Y25" s="42"/>
      <c r="Z25" s="42"/>
      <c r="AA25" s="42"/>
      <c r="AB25" s="42"/>
      <c r="AC25" s="42"/>
      <c r="AD25" s="42"/>
      <c r="AE25" s="41">
        <f t="shared" si="1"/>
        <v>10</v>
      </c>
      <c r="AF25" s="43" t="s">
        <v>51</v>
      </c>
      <c r="AG25" s="44" t="s">
        <v>429</v>
      </c>
    </row>
    <row r="26" spans="1:33" ht="14.25" customHeight="1">
      <c r="A26" s="38" t="s">
        <v>41</v>
      </c>
      <c r="B26" s="38" t="s">
        <v>92</v>
      </c>
      <c r="C26" s="38">
        <v>989858490</v>
      </c>
      <c r="D26" s="39">
        <v>18</v>
      </c>
      <c r="E26" s="40" t="s">
        <v>93</v>
      </c>
      <c r="F26" s="41">
        <f t="shared" si="3"/>
        <v>10</v>
      </c>
      <c r="G26" s="42"/>
      <c r="H26" s="42"/>
      <c r="I26" s="42"/>
      <c r="J26" s="42"/>
      <c r="K26" s="42"/>
      <c r="L26" s="42"/>
      <c r="M26" s="42">
        <v>1</v>
      </c>
      <c r="N26" s="42">
        <v>1</v>
      </c>
      <c r="O26" s="42">
        <v>1</v>
      </c>
      <c r="P26" s="42">
        <v>1</v>
      </c>
      <c r="Q26" s="42">
        <v>1</v>
      </c>
      <c r="R26" s="42">
        <v>1</v>
      </c>
      <c r="S26" s="42">
        <v>1</v>
      </c>
      <c r="T26" s="42"/>
      <c r="U26" s="42">
        <v>1</v>
      </c>
      <c r="V26" s="42">
        <v>1</v>
      </c>
      <c r="W26" s="42">
        <v>1</v>
      </c>
      <c r="X26" s="45" t="s">
        <v>47</v>
      </c>
      <c r="Y26" s="42"/>
      <c r="Z26" s="42"/>
      <c r="AA26" s="42"/>
      <c r="AB26" s="42"/>
      <c r="AC26" s="42"/>
      <c r="AD26" s="42"/>
      <c r="AE26" s="41">
        <f t="shared" si="1"/>
        <v>10</v>
      </c>
      <c r="AF26" s="43" t="s">
        <v>51</v>
      </c>
      <c r="AG26" s="44" t="s">
        <v>429</v>
      </c>
    </row>
    <row r="27" spans="1:33" ht="14.25" customHeight="1">
      <c r="A27" s="38" t="s">
        <v>41</v>
      </c>
      <c r="B27" s="38" t="s">
        <v>94</v>
      </c>
      <c r="C27" s="38">
        <v>988957267</v>
      </c>
      <c r="D27" s="39">
        <v>19</v>
      </c>
      <c r="E27" s="40" t="s">
        <v>95</v>
      </c>
      <c r="F27" s="41">
        <f t="shared" si="3"/>
        <v>11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>
        <v>1</v>
      </c>
      <c r="R27" s="42">
        <v>1</v>
      </c>
      <c r="S27" s="42">
        <v>1</v>
      </c>
      <c r="T27" s="42">
        <v>1</v>
      </c>
      <c r="U27" s="42">
        <v>1</v>
      </c>
      <c r="V27" s="42">
        <v>1</v>
      </c>
      <c r="W27" s="45" t="s">
        <v>47</v>
      </c>
      <c r="X27" s="42">
        <v>1</v>
      </c>
      <c r="Y27" s="42">
        <v>1</v>
      </c>
      <c r="Z27" s="42">
        <v>1</v>
      </c>
      <c r="AA27" s="42">
        <v>1</v>
      </c>
      <c r="AB27" s="42">
        <v>1</v>
      </c>
      <c r="AC27" s="42"/>
      <c r="AD27" s="42"/>
      <c r="AE27" s="41">
        <f t="shared" si="1"/>
        <v>11</v>
      </c>
      <c r="AF27" s="43" t="s">
        <v>96</v>
      </c>
      <c r="AG27" s="44" t="s">
        <v>429</v>
      </c>
    </row>
    <row r="28" spans="1:33" ht="14.25" customHeight="1">
      <c r="A28" s="38" t="s">
        <v>41</v>
      </c>
      <c r="B28" s="38" t="s">
        <v>97</v>
      </c>
      <c r="C28" s="38"/>
      <c r="D28" s="39">
        <v>20</v>
      </c>
      <c r="E28" s="40" t="s">
        <v>98</v>
      </c>
      <c r="F28" s="41">
        <f t="shared" si="3"/>
        <v>11</v>
      </c>
      <c r="G28" s="42"/>
      <c r="H28" s="42"/>
      <c r="I28" s="42"/>
      <c r="J28" s="42"/>
      <c r="K28" s="42"/>
      <c r="L28" s="42"/>
      <c r="M28" s="42"/>
      <c r="N28" s="42"/>
      <c r="O28" s="42"/>
      <c r="P28" s="42">
        <v>1</v>
      </c>
      <c r="Q28" s="42">
        <v>1</v>
      </c>
      <c r="R28" s="42">
        <v>1</v>
      </c>
      <c r="S28" s="42">
        <v>1</v>
      </c>
      <c r="T28" s="42">
        <v>1</v>
      </c>
      <c r="U28" s="45" t="s">
        <v>47</v>
      </c>
      <c r="V28" s="42">
        <v>1</v>
      </c>
      <c r="W28" s="42">
        <v>1</v>
      </c>
      <c r="X28" s="42">
        <v>1</v>
      </c>
      <c r="Y28" s="42">
        <v>1</v>
      </c>
      <c r="Z28" s="42">
        <v>1</v>
      </c>
      <c r="AA28" s="42">
        <v>1</v>
      </c>
      <c r="AB28" s="42"/>
      <c r="AC28" s="42"/>
      <c r="AD28" s="42"/>
      <c r="AE28" s="41">
        <f t="shared" si="1"/>
        <v>11</v>
      </c>
      <c r="AF28" s="43" t="s">
        <v>69</v>
      </c>
      <c r="AG28" s="44" t="s">
        <v>429</v>
      </c>
    </row>
    <row r="29" spans="1:33" ht="14.25" customHeight="1">
      <c r="A29" s="38" t="s">
        <v>41</v>
      </c>
      <c r="B29" s="38" t="s">
        <v>198</v>
      </c>
      <c r="C29" s="38"/>
      <c r="D29" s="39">
        <v>21</v>
      </c>
      <c r="E29" s="40" t="s">
        <v>99</v>
      </c>
      <c r="F29" s="41">
        <f t="shared" si="3"/>
        <v>6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5" t="s">
        <v>47</v>
      </c>
      <c r="V29" s="42">
        <v>1</v>
      </c>
      <c r="W29" s="42">
        <v>1</v>
      </c>
      <c r="X29" s="42">
        <v>1</v>
      </c>
      <c r="Y29" s="42">
        <v>1</v>
      </c>
      <c r="Z29" s="42">
        <v>1</v>
      </c>
      <c r="AA29" s="42">
        <v>1</v>
      </c>
      <c r="AB29" s="42"/>
      <c r="AC29" s="42"/>
      <c r="AD29" s="42"/>
      <c r="AE29" s="41">
        <f t="shared" si="1"/>
        <v>6</v>
      </c>
      <c r="AF29" s="43" t="s">
        <v>100</v>
      </c>
      <c r="AG29" s="44" t="s">
        <v>429</v>
      </c>
    </row>
    <row r="30" spans="1:33" ht="14.25" customHeight="1">
      <c r="A30" s="38" t="s">
        <v>41</v>
      </c>
      <c r="B30" s="38" t="s">
        <v>101</v>
      </c>
      <c r="C30" s="38">
        <v>962757006</v>
      </c>
      <c r="D30" s="39">
        <v>22</v>
      </c>
      <c r="E30" s="40" t="s">
        <v>102</v>
      </c>
      <c r="F30" s="41">
        <f t="shared" si="3"/>
        <v>11</v>
      </c>
      <c r="G30" s="42"/>
      <c r="H30" s="42"/>
      <c r="I30" s="42"/>
      <c r="J30" s="42"/>
      <c r="K30" s="42"/>
      <c r="L30" s="42"/>
      <c r="M30" s="42"/>
      <c r="N30" s="42"/>
      <c r="O30" s="42"/>
      <c r="P30" s="42">
        <v>1</v>
      </c>
      <c r="Q30" s="42">
        <v>1</v>
      </c>
      <c r="R30" s="42">
        <v>1</v>
      </c>
      <c r="S30" s="42">
        <v>1</v>
      </c>
      <c r="T30" s="42">
        <v>1</v>
      </c>
      <c r="U30" s="42">
        <v>1</v>
      </c>
      <c r="V30" s="42">
        <v>1</v>
      </c>
      <c r="W30" s="45" t="s">
        <v>47</v>
      </c>
      <c r="X30" s="42">
        <v>1</v>
      </c>
      <c r="Y30" s="42">
        <v>1</v>
      </c>
      <c r="Z30" s="42">
        <v>1</v>
      </c>
      <c r="AA30" s="42">
        <v>1</v>
      </c>
      <c r="AB30" s="42"/>
      <c r="AC30" s="42"/>
      <c r="AD30" s="42"/>
      <c r="AE30" s="41">
        <f t="shared" si="1"/>
        <v>11</v>
      </c>
      <c r="AF30" s="43" t="s">
        <v>69</v>
      </c>
      <c r="AG30" s="44" t="s">
        <v>429</v>
      </c>
    </row>
    <row r="31" spans="1:33" ht="14.25" customHeight="1">
      <c r="A31" s="38" t="s">
        <v>41</v>
      </c>
      <c r="B31" s="38" t="s">
        <v>103</v>
      </c>
      <c r="C31" s="38"/>
      <c r="D31" s="39">
        <v>23</v>
      </c>
      <c r="E31" s="40" t="s">
        <v>104</v>
      </c>
      <c r="F31" s="41">
        <f t="shared" si="3"/>
        <v>11</v>
      </c>
      <c r="G31" s="42"/>
      <c r="H31" s="42"/>
      <c r="I31" s="42"/>
      <c r="J31" s="42"/>
      <c r="K31" s="42"/>
      <c r="L31" s="42"/>
      <c r="M31" s="42"/>
      <c r="N31" s="42"/>
      <c r="O31" s="42"/>
      <c r="P31" s="42">
        <v>1</v>
      </c>
      <c r="Q31" s="42">
        <v>1</v>
      </c>
      <c r="R31" s="42">
        <v>1</v>
      </c>
      <c r="S31" s="42">
        <v>1</v>
      </c>
      <c r="T31" s="42">
        <v>1</v>
      </c>
      <c r="U31" s="42">
        <v>1</v>
      </c>
      <c r="V31" s="45" t="s">
        <v>47</v>
      </c>
      <c r="W31" s="42">
        <v>1</v>
      </c>
      <c r="X31" s="42">
        <v>1</v>
      </c>
      <c r="Y31" s="42">
        <v>1</v>
      </c>
      <c r="Z31" s="42">
        <v>1</v>
      </c>
      <c r="AA31" s="42">
        <v>1</v>
      </c>
      <c r="AB31" s="42"/>
      <c r="AC31" s="42"/>
      <c r="AD31" s="42"/>
      <c r="AE31" s="41">
        <f t="shared" si="1"/>
        <v>11</v>
      </c>
      <c r="AF31" s="43" t="s">
        <v>69</v>
      </c>
      <c r="AG31" s="44" t="s">
        <v>429</v>
      </c>
    </row>
    <row r="32" spans="1:33" ht="14.25" customHeight="1">
      <c r="A32" s="38" t="s">
        <v>41</v>
      </c>
      <c r="B32" s="38" t="s">
        <v>167</v>
      </c>
      <c r="C32" s="38">
        <v>995055956</v>
      </c>
      <c r="D32" s="39">
        <v>24</v>
      </c>
      <c r="E32" s="40" t="s">
        <v>144</v>
      </c>
      <c r="F32" s="41">
        <f t="shared" si="3"/>
        <v>10</v>
      </c>
      <c r="G32" s="42"/>
      <c r="H32" s="42"/>
      <c r="I32" s="42"/>
      <c r="J32" s="42"/>
      <c r="K32" s="42"/>
      <c r="L32" s="42"/>
      <c r="M32" s="42">
        <v>1</v>
      </c>
      <c r="N32" s="42">
        <v>1</v>
      </c>
      <c r="O32" s="42">
        <v>1</v>
      </c>
      <c r="P32" s="42">
        <v>1</v>
      </c>
      <c r="Q32" s="42">
        <v>1</v>
      </c>
      <c r="R32" s="42">
        <v>1</v>
      </c>
      <c r="S32" s="63">
        <v>1</v>
      </c>
      <c r="T32" s="42"/>
      <c r="U32" s="42">
        <v>1</v>
      </c>
      <c r="V32" s="42">
        <v>1</v>
      </c>
      <c r="W32" s="42">
        <v>1</v>
      </c>
      <c r="X32" s="45" t="s">
        <v>47</v>
      </c>
      <c r="Y32" s="42"/>
      <c r="Z32" s="42"/>
      <c r="AA32" s="42"/>
      <c r="AB32" s="42"/>
      <c r="AC32" s="42"/>
      <c r="AD32" s="42"/>
      <c r="AE32" s="41">
        <f t="shared" si="1"/>
        <v>10</v>
      </c>
      <c r="AF32" s="43" t="s">
        <v>51</v>
      </c>
      <c r="AG32" s="44" t="s">
        <v>429</v>
      </c>
    </row>
    <row r="33" spans="1:33" ht="14.25" customHeight="1">
      <c r="A33" s="38" t="s">
        <v>41</v>
      </c>
      <c r="B33" s="38" t="s">
        <v>332</v>
      </c>
      <c r="C33" s="38"/>
      <c r="D33" s="39">
        <v>25</v>
      </c>
      <c r="E33" s="40" t="s">
        <v>333</v>
      </c>
      <c r="F33" s="41">
        <f t="shared" si="3"/>
        <v>6</v>
      </c>
      <c r="G33" s="42"/>
      <c r="H33" s="42"/>
      <c r="I33" s="42"/>
      <c r="J33" s="42"/>
      <c r="K33" s="42"/>
      <c r="L33" s="42"/>
      <c r="M33" s="42"/>
      <c r="N33" s="42"/>
      <c r="O33" s="42">
        <v>1</v>
      </c>
      <c r="P33" s="42">
        <v>1</v>
      </c>
      <c r="Q33" s="42">
        <v>1</v>
      </c>
      <c r="R33" s="42">
        <v>1</v>
      </c>
      <c r="S33" s="42">
        <v>1</v>
      </c>
      <c r="T33" s="42">
        <v>1</v>
      </c>
      <c r="U33" s="45" t="s">
        <v>47</v>
      </c>
      <c r="V33" s="42"/>
      <c r="W33" s="42"/>
      <c r="X33" s="42"/>
      <c r="Y33" s="42"/>
      <c r="Z33" s="42"/>
      <c r="AA33" s="42"/>
      <c r="AB33" s="42"/>
      <c r="AC33" s="42"/>
      <c r="AD33" s="42"/>
      <c r="AE33" s="41">
        <f t="shared" si="1"/>
        <v>6</v>
      </c>
      <c r="AF33" s="43" t="s">
        <v>87</v>
      </c>
      <c r="AG33" s="44" t="s">
        <v>429</v>
      </c>
    </row>
    <row r="34" spans="1:33" ht="14.25" customHeight="1">
      <c r="A34" s="38" t="s">
        <v>41</v>
      </c>
      <c r="B34" s="38" t="s">
        <v>105</v>
      </c>
      <c r="C34" s="38"/>
      <c r="D34" s="39">
        <v>26</v>
      </c>
      <c r="E34" s="40" t="s">
        <v>106</v>
      </c>
      <c r="F34" s="41">
        <f t="shared" si="3"/>
        <v>11</v>
      </c>
      <c r="G34" s="42"/>
      <c r="H34" s="42"/>
      <c r="I34" s="42"/>
      <c r="J34" s="42"/>
      <c r="K34" s="42"/>
      <c r="L34" s="42"/>
      <c r="M34" s="42"/>
      <c r="N34" s="42"/>
      <c r="O34" s="42"/>
      <c r="P34" s="42">
        <v>1</v>
      </c>
      <c r="Q34" s="42">
        <v>1</v>
      </c>
      <c r="R34" s="42">
        <v>1</v>
      </c>
      <c r="S34" s="42">
        <v>1</v>
      </c>
      <c r="T34" s="42">
        <v>1</v>
      </c>
      <c r="U34" s="42">
        <v>1</v>
      </c>
      <c r="V34" s="45" t="s">
        <v>47</v>
      </c>
      <c r="W34" s="42"/>
      <c r="X34" s="42">
        <v>1</v>
      </c>
      <c r="Y34" s="42">
        <v>1</v>
      </c>
      <c r="Z34" s="42">
        <v>1</v>
      </c>
      <c r="AA34" s="42">
        <v>1</v>
      </c>
      <c r="AB34" s="42">
        <v>1</v>
      </c>
      <c r="AC34" s="42"/>
      <c r="AD34" s="42"/>
      <c r="AE34" s="41">
        <f t="shared" si="1"/>
        <v>11</v>
      </c>
      <c r="AF34" s="43" t="s">
        <v>316</v>
      </c>
      <c r="AG34" s="44" t="s">
        <v>429</v>
      </c>
    </row>
    <row r="35" spans="1:33" ht="14.25" customHeight="1">
      <c r="A35" s="38" t="s">
        <v>41</v>
      </c>
      <c r="B35" s="38" t="s">
        <v>171</v>
      </c>
      <c r="C35" s="38">
        <v>990489779</v>
      </c>
      <c r="D35" s="39">
        <v>27</v>
      </c>
      <c r="E35" s="40" t="s">
        <v>172</v>
      </c>
      <c r="F35" s="41">
        <f t="shared" si="3"/>
        <v>10</v>
      </c>
      <c r="G35" s="42"/>
      <c r="H35" s="42"/>
      <c r="I35" s="42"/>
      <c r="J35" s="42"/>
      <c r="K35" s="42"/>
      <c r="L35" s="42"/>
      <c r="M35" s="42">
        <v>1</v>
      </c>
      <c r="N35" s="42">
        <v>1</v>
      </c>
      <c r="O35" s="42">
        <v>1</v>
      </c>
      <c r="P35" s="42">
        <v>1</v>
      </c>
      <c r="Q35" s="42">
        <v>1</v>
      </c>
      <c r="R35" s="42">
        <v>1</v>
      </c>
      <c r="S35" s="42">
        <v>1</v>
      </c>
      <c r="T35" s="42"/>
      <c r="U35" s="42">
        <v>1</v>
      </c>
      <c r="V35" s="42">
        <v>1</v>
      </c>
      <c r="W35" s="42">
        <v>1</v>
      </c>
      <c r="X35" s="45" t="s">
        <v>47</v>
      </c>
      <c r="Y35" s="42"/>
      <c r="Z35" s="42"/>
      <c r="AA35" s="42"/>
      <c r="AB35" s="42"/>
      <c r="AC35" s="42"/>
      <c r="AD35" s="42"/>
      <c r="AE35" s="41">
        <f t="shared" si="1"/>
        <v>10</v>
      </c>
      <c r="AF35" s="43" t="s">
        <v>51</v>
      </c>
      <c r="AG35" s="44" t="s">
        <v>429</v>
      </c>
    </row>
    <row r="36" spans="1:33" ht="14.25" customHeight="1">
      <c r="A36" s="38" t="s">
        <v>41</v>
      </c>
      <c r="B36" s="38" t="s">
        <v>107</v>
      </c>
      <c r="C36" s="38">
        <v>981074073</v>
      </c>
      <c r="D36" s="39">
        <v>28</v>
      </c>
      <c r="E36" s="40" t="s">
        <v>108</v>
      </c>
      <c r="F36" s="41">
        <f t="shared" si="3"/>
        <v>10</v>
      </c>
      <c r="G36" s="42"/>
      <c r="H36" s="42"/>
      <c r="I36" s="42"/>
      <c r="J36" s="42"/>
      <c r="K36" s="42"/>
      <c r="L36" s="42"/>
      <c r="M36" s="42"/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1</v>
      </c>
      <c r="T36" s="42">
        <v>1</v>
      </c>
      <c r="U36" s="45" t="s">
        <v>47</v>
      </c>
      <c r="V36" s="42">
        <v>1</v>
      </c>
      <c r="W36" s="42">
        <v>1</v>
      </c>
      <c r="X36" s="42">
        <v>1</v>
      </c>
      <c r="Y36" s="42"/>
      <c r="Z36" s="42"/>
      <c r="AA36" s="42"/>
      <c r="AB36" s="42"/>
      <c r="AC36" s="42"/>
      <c r="AD36" s="42"/>
      <c r="AE36" s="41">
        <f t="shared" si="1"/>
        <v>10</v>
      </c>
      <c r="AF36" s="43" t="s">
        <v>154</v>
      </c>
      <c r="AG36" s="44" t="s">
        <v>429</v>
      </c>
    </row>
    <row r="37" spans="1:33" ht="14.25" customHeight="1">
      <c r="A37" s="38" t="s">
        <v>41</v>
      </c>
      <c r="B37" s="38" t="s">
        <v>111</v>
      </c>
      <c r="C37" s="38"/>
      <c r="D37" s="39">
        <v>29</v>
      </c>
      <c r="E37" s="40" t="s">
        <v>112</v>
      </c>
      <c r="F37" s="41">
        <f t="shared" si="3"/>
        <v>10</v>
      </c>
      <c r="G37" s="42"/>
      <c r="H37" s="42"/>
      <c r="I37" s="42"/>
      <c r="J37" s="42"/>
      <c r="K37" s="42"/>
      <c r="L37" s="42"/>
      <c r="M37" s="42">
        <v>1</v>
      </c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>
        <v>1</v>
      </c>
      <c r="T37" s="42"/>
      <c r="U37" s="42">
        <v>1</v>
      </c>
      <c r="V37" s="42">
        <v>1</v>
      </c>
      <c r="W37" s="42">
        <v>1</v>
      </c>
      <c r="X37" s="45" t="s">
        <v>47</v>
      </c>
      <c r="Y37" s="42"/>
      <c r="Z37" s="42"/>
      <c r="AA37" s="42"/>
      <c r="AB37" s="42"/>
      <c r="AC37" s="42"/>
      <c r="AD37" s="42"/>
      <c r="AE37" s="41">
        <f t="shared" si="1"/>
        <v>10</v>
      </c>
      <c r="AF37" s="43" t="s">
        <v>51</v>
      </c>
      <c r="AG37" s="44" t="s">
        <v>429</v>
      </c>
    </row>
    <row r="38" spans="1:33" ht="14.25" customHeight="1">
      <c r="A38" s="38" t="s">
        <v>41</v>
      </c>
      <c r="B38" s="38" t="s">
        <v>113</v>
      </c>
      <c r="C38" s="38"/>
      <c r="D38" s="39">
        <v>30</v>
      </c>
      <c r="E38" s="40" t="s">
        <v>114</v>
      </c>
      <c r="F38" s="41">
        <f t="shared" si="3"/>
        <v>9</v>
      </c>
      <c r="G38" s="42"/>
      <c r="H38" s="42"/>
      <c r="I38" s="42"/>
      <c r="J38" s="42"/>
      <c r="K38" s="42"/>
      <c r="L38" s="42"/>
      <c r="M38" s="42"/>
      <c r="N38" s="42"/>
      <c r="O38" s="42">
        <v>1</v>
      </c>
      <c r="P38" s="42">
        <v>1</v>
      </c>
      <c r="Q38" s="42">
        <v>1</v>
      </c>
      <c r="R38" s="42">
        <v>1</v>
      </c>
      <c r="S38" s="42">
        <v>1</v>
      </c>
      <c r="T38" s="42">
        <v>1</v>
      </c>
      <c r="U38" s="45" t="s">
        <v>47</v>
      </c>
      <c r="V38" s="42">
        <v>1</v>
      </c>
      <c r="W38" s="42">
        <v>1</v>
      </c>
      <c r="X38" s="42">
        <v>1</v>
      </c>
      <c r="Y38" s="42"/>
      <c r="Z38" s="42"/>
      <c r="AA38" s="42"/>
      <c r="AB38" s="42"/>
      <c r="AC38" s="42"/>
      <c r="AD38" s="42"/>
      <c r="AE38" s="41">
        <f t="shared" si="1"/>
        <v>9</v>
      </c>
      <c r="AF38" s="43" t="s">
        <v>180</v>
      </c>
      <c r="AG38" s="44" t="s">
        <v>429</v>
      </c>
    </row>
    <row r="39" spans="1:33" ht="14.25" customHeight="1">
      <c r="A39" s="38" t="s">
        <v>41</v>
      </c>
      <c r="B39" s="38" t="s">
        <v>115</v>
      </c>
      <c r="C39" s="38">
        <v>962936744</v>
      </c>
      <c r="D39" s="39">
        <v>31</v>
      </c>
      <c r="E39" s="40" t="s">
        <v>116</v>
      </c>
      <c r="F39" s="41">
        <f t="shared" si="3"/>
        <v>12</v>
      </c>
      <c r="G39" s="42">
        <v>1</v>
      </c>
      <c r="H39" s="42">
        <v>1</v>
      </c>
      <c r="I39" s="42">
        <v>1</v>
      </c>
      <c r="J39" s="42">
        <v>1</v>
      </c>
      <c r="K39" s="42">
        <v>1</v>
      </c>
      <c r="L39" s="42">
        <v>1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5" t="s">
        <v>47</v>
      </c>
      <c r="Y39" s="42">
        <v>1</v>
      </c>
      <c r="Z39" s="42">
        <v>1</v>
      </c>
      <c r="AA39" s="42">
        <v>1</v>
      </c>
      <c r="AB39" s="42">
        <v>1</v>
      </c>
      <c r="AC39" s="42">
        <v>1</v>
      </c>
      <c r="AD39" s="42">
        <v>1</v>
      </c>
      <c r="AE39" s="41">
        <f t="shared" si="1"/>
        <v>12</v>
      </c>
      <c r="AF39" s="46" t="s">
        <v>54</v>
      </c>
      <c r="AG39" s="44" t="s">
        <v>429</v>
      </c>
    </row>
    <row r="40" spans="1:33" ht="14.25" customHeight="1">
      <c r="A40" s="38" t="s">
        <v>41</v>
      </c>
      <c r="B40" s="38" t="s">
        <v>120</v>
      </c>
      <c r="C40" s="38"/>
      <c r="D40" s="39">
        <v>32</v>
      </c>
      <c r="E40" s="40" t="s">
        <v>121</v>
      </c>
      <c r="F40" s="41">
        <f t="shared" si="3"/>
        <v>10</v>
      </c>
      <c r="G40" s="42"/>
      <c r="H40" s="42"/>
      <c r="I40" s="42"/>
      <c r="J40" s="42"/>
      <c r="K40" s="42"/>
      <c r="L40" s="42"/>
      <c r="M40" s="42">
        <v>1</v>
      </c>
      <c r="N40" s="42">
        <v>1</v>
      </c>
      <c r="O40" s="42">
        <v>1</v>
      </c>
      <c r="P40" s="42">
        <v>1</v>
      </c>
      <c r="Q40" s="42">
        <v>1</v>
      </c>
      <c r="R40" s="42">
        <v>1</v>
      </c>
      <c r="S40" s="45" t="s">
        <v>47</v>
      </c>
      <c r="T40" s="42">
        <v>1</v>
      </c>
      <c r="U40" s="42">
        <v>1</v>
      </c>
      <c r="V40" s="42">
        <v>1</v>
      </c>
      <c r="W40" s="42">
        <v>1</v>
      </c>
      <c r="X40" s="42"/>
      <c r="Y40" s="42"/>
      <c r="Z40" s="42"/>
      <c r="AA40" s="42"/>
      <c r="AB40" s="42"/>
      <c r="AC40" s="42"/>
      <c r="AD40" s="42"/>
      <c r="AE40" s="41">
        <f t="shared" si="1"/>
        <v>10</v>
      </c>
      <c r="AF40" s="43" t="s">
        <v>192</v>
      </c>
      <c r="AG40" s="44" t="s">
        <v>429</v>
      </c>
    </row>
    <row r="41" spans="1:33" ht="14.25" customHeight="1">
      <c r="A41" s="38" t="s">
        <v>41</v>
      </c>
      <c r="B41" s="38" t="s">
        <v>122</v>
      </c>
      <c r="C41" s="38">
        <v>984490770</v>
      </c>
      <c r="D41" s="39">
        <v>33</v>
      </c>
      <c r="E41" s="40" t="s">
        <v>123</v>
      </c>
      <c r="F41" s="41">
        <f t="shared" si="3"/>
        <v>11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>
        <v>1</v>
      </c>
      <c r="R41" s="42">
        <v>1</v>
      </c>
      <c r="S41" s="42">
        <v>1</v>
      </c>
      <c r="T41" s="42">
        <v>1</v>
      </c>
      <c r="U41" s="45" t="s">
        <v>47</v>
      </c>
      <c r="V41" s="42">
        <v>1</v>
      </c>
      <c r="W41" s="42">
        <v>1</v>
      </c>
      <c r="X41" s="42">
        <v>1</v>
      </c>
      <c r="Y41" s="42">
        <v>1</v>
      </c>
      <c r="Z41" s="42">
        <v>1</v>
      </c>
      <c r="AA41" s="42">
        <v>1</v>
      </c>
      <c r="AB41" s="42">
        <v>1</v>
      </c>
      <c r="AC41" s="42"/>
      <c r="AD41" s="42"/>
      <c r="AE41" s="41">
        <f t="shared" si="1"/>
        <v>11</v>
      </c>
      <c r="AF41" s="43" t="s">
        <v>96</v>
      </c>
      <c r="AG41" s="44" t="s">
        <v>429</v>
      </c>
    </row>
    <row r="42" spans="1:33" ht="14.25" customHeight="1">
      <c r="A42" s="38" t="s">
        <v>41</v>
      </c>
      <c r="B42" s="38" t="s">
        <v>124</v>
      </c>
      <c r="C42" s="38">
        <v>979137365</v>
      </c>
      <c r="D42" s="39">
        <v>34</v>
      </c>
      <c r="E42" s="40" t="s">
        <v>125</v>
      </c>
      <c r="F42" s="41">
        <f t="shared" si="3"/>
        <v>7</v>
      </c>
      <c r="G42" s="42">
        <v>1</v>
      </c>
      <c r="H42" s="42">
        <v>1</v>
      </c>
      <c r="I42" s="42">
        <v>1</v>
      </c>
      <c r="J42" s="42">
        <v>1</v>
      </c>
      <c r="K42" s="42">
        <v>1</v>
      </c>
      <c r="L42" s="42">
        <v>1</v>
      </c>
      <c r="M42" s="42">
        <v>1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1">
        <f t="shared" si="1"/>
        <v>7</v>
      </c>
      <c r="AF42" s="46" t="s">
        <v>284</v>
      </c>
      <c r="AG42" s="44" t="s">
        <v>429</v>
      </c>
    </row>
    <row r="43" spans="1:33" ht="14.25" customHeight="1">
      <c r="A43" s="38" t="s">
        <v>41</v>
      </c>
      <c r="B43" s="38" t="s">
        <v>126</v>
      </c>
      <c r="C43" s="38">
        <v>986256130</v>
      </c>
      <c r="D43" s="39">
        <v>35</v>
      </c>
      <c r="E43" s="40" t="s">
        <v>127</v>
      </c>
      <c r="F43" s="41">
        <f t="shared" si="3"/>
        <v>10</v>
      </c>
      <c r="G43" s="42"/>
      <c r="H43" s="42"/>
      <c r="I43" s="42"/>
      <c r="J43" s="42"/>
      <c r="K43" s="42"/>
      <c r="L43" s="42"/>
      <c r="M43" s="42"/>
      <c r="N43" s="42">
        <v>1</v>
      </c>
      <c r="O43" s="42">
        <v>1</v>
      </c>
      <c r="P43" s="42">
        <v>1</v>
      </c>
      <c r="Q43" s="42">
        <v>1</v>
      </c>
      <c r="R43" s="42">
        <v>1</v>
      </c>
      <c r="S43" s="42">
        <v>1</v>
      </c>
      <c r="T43" s="42">
        <v>1</v>
      </c>
      <c r="U43" s="45" t="s">
        <v>47</v>
      </c>
      <c r="V43" s="42">
        <v>1</v>
      </c>
      <c r="W43" s="42">
        <v>1</v>
      </c>
      <c r="X43" s="42">
        <v>1</v>
      </c>
      <c r="Y43" s="42"/>
      <c r="Z43" s="42"/>
      <c r="AA43" s="42"/>
      <c r="AB43" s="42"/>
      <c r="AC43" s="42"/>
      <c r="AD43" s="42"/>
      <c r="AE43" s="41">
        <f t="shared" si="1"/>
        <v>10</v>
      </c>
      <c r="AF43" s="43" t="s">
        <v>154</v>
      </c>
      <c r="AG43" s="44" t="s">
        <v>429</v>
      </c>
    </row>
    <row r="44" spans="1:33" ht="14.25" customHeight="1">
      <c r="A44" s="38" t="s">
        <v>41</v>
      </c>
      <c r="B44" s="38" t="s">
        <v>128</v>
      </c>
      <c r="C44" s="38"/>
      <c r="D44" s="39">
        <v>36</v>
      </c>
      <c r="E44" s="40" t="s">
        <v>129</v>
      </c>
      <c r="F44" s="41">
        <f t="shared" si="3"/>
        <v>11</v>
      </c>
      <c r="G44" s="42"/>
      <c r="H44" s="42"/>
      <c r="I44" s="42"/>
      <c r="J44" s="42"/>
      <c r="K44" s="42"/>
      <c r="L44" s="42"/>
      <c r="M44" s="42"/>
      <c r="N44" s="42"/>
      <c r="O44" s="42"/>
      <c r="P44" s="42">
        <v>1</v>
      </c>
      <c r="Q44" s="42">
        <v>1</v>
      </c>
      <c r="R44" s="42">
        <v>1</v>
      </c>
      <c r="S44" s="42">
        <v>1</v>
      </c>
      <c r="T44" s="42">
        <v>1</v>
      </c>
      <c r="U44" s="45" t="s">
        <v>47</v>
      </c>
      <c r="V44" s="42">
        <v>1</v>
      </c>
      <c r="W44" s="42">
        <v>1</v>
      </c>
      <c r="X44" s="42">
        <v>1</v>
      </c>
      <c r="Y44" s="42">
        <v>1</v>
      </c>
      <c r="Z44" s="42">
        <v>1</v>
      </c>
      <c r="AA44" s="42">
        <v>1</v>
      </c>
      <c r="AB44" s="42"/>
      <c r="AC44" s="42"/>
      <c r="AD44" s="42"/>
      <c r="AE44" s="41">
        <f t="shared" si="1"/>
        <v>11</v>
      </c>
      <c r="AF44" s="43" t="s">
        <v>69</v>
      </c>
      <c r="AG44" s="44" t="s">
        <v>429</v>
      </c>
    </row>
    <row r="45" spans="1:33" ht="14.25" customHeight="1">
      <c r="A45" s="38" t="s">
        <v>41</v>
      </c>
      <c r="B45" s="38" t="s">
        <v>130</v>
      </c>
      <c r="C45" s="38">
        <v>998810875</v>
      </c>
      <c r="D45" s="39">
        <v>37</v>
      </c>
      <c r="E45" s="40" t="s">
        <v>131</v>
      </c>
      <c r="F45" s="41">
        <f t="shared" si="3"/>
        <v>10</v>
      </c>
      <c r="G45" s="42">
        <v>1</v>
      </c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5" t="s">
        <v>47</v>
      </c>
      <c r="V45" s="42">
        <v>1</v>
      </c>
      <c r="W45" s="42">
        <v>1</v>
      </c>
      <c r="X45" s="42">
        <v>1</v>
      </c>
      <c r="Y45" s="42">
        <v>1</v>
      </c>
      <c r="Z45" s="42">
        <v>1</v>
      </c>
      <c r="AA45" s="42">
        <v>1</v>
      </c>
      <c r="AB45" s="42">
        <v>1</v>
      </c>
      <c r="AC45" s="42">
        <v>1</v>
      </c>
      <c r="AD45" s="42">
        <v>1</v>
      </c>
      <c r="AE45" s="41">
        <f t="shared" si="1"/>
        <v>10</v>
      </c>
      <c r="AF45" s="43" t="s">
        <v>136</v>
      </c>
      <c r="AG45" s="44" t="s">
        <v>429</v>
      </c>
    </row>
    <row r="46" spans="1:33" ht="14.25" customHeight="1">
      <c r="A46" s="38" t="s">
        <v>209</v>
      </c>
      <c r="B46" s="38" t="s">
        <v>49</v>
      </c>
      <c r="C46" s="38">
        <v>983804379</v>
      </c>
      <c r="D46" s="39">
        <v>1</v>
      </c>
      <c r="E46" s="130" t="s">
        <v>50</v>
      </c>
      <c r="F46" s="41">
        <v>10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>
        <v>1</v>
      </c>
      <c r="T46" s="42">
        <v>1</v>
      </c>
      <c r="U46" s="45" t="s">
        <v>47</v>
      </c>
      <c r="V46" s="573" t="s">
        <v>132</v>
      </c>
      <c r="W46" s="555"/>
      <c r="X46" s="555"/>
      <c r="Y46" s="555"/>
      <c r="Z46" s="555"/>
      <c r="AA46" s="555"/>
      <c r="AB46" s="555"/>
      <c r="AC46" s="542"/>
      <c r="AD46" s="42"/>
      <c r="AE46" s="41">
        <v>10</v>
      </c>
      <c r="AF46" s="43" t="s">
        <v>259</v>
      </c>
      <c r="AG46" s="44" t="s">
        <v>429</v>
      </c>
    </row>
    <row r="47" spans="1:33" ht="14.25" customHeight="1">
      <c r="A47" s="38" t="s">
        <v>209</v>
      </c>
      <c r="B47" s="38" t="s">
        <v>134</v>
      </c>
      <c r="C47" s="38">
        <v>962839078</v>
      </c>
      <c r="D47" s="39">
        <v>2</v>
      </c>
      <c r="E47" s="130" t="s">
        <v>135</v>
      </c>
      <c r="F47" s="41">
        <v>10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>
        <v>1</v>
      </c>
      <c r="T47" s="42">
        <v>1</v>
      </c>
      <c r="U47" s="45" t="s">
        <v>47</v>
      </c>
      <c r="V47" s="573" t="s">
        <v>132</v>
      </c>
      <c r="W47" s="555"/>
      <c r="X47" s="555"/>
      <c r="Y47" s="555"/>
      <c r="Z47" s="555"/>
      <c r="AA47" s="555"/>
      <c r="AB47" s="555"/>
      <c r="AC47" s="542"/>
      <c r="AD47" s="42"/>
      <c r="AE47" s="41">
        <v>10</v>
      </c>
      <c r="AF47" s="43" t="s">
        <v>259</v>
      </c>
      <c r="AG47" s="44" t="s">
        <v>429</v>
      </c>
    </row>
    <row r="48" spans="1:33" ht="14.25" customHeight="1">
      <c r="A48" s="38" t="s">
        <v>209</v>
      </c>
      <c r="B48" s="38" t="s">
        <v>139</v>
      </c>
      <c r="C48" s="38">
        <v>990660059</v>
      </c>
      <c r="D48" s="39">
        <v>3</v>
      </c>
      <c r="E48" s="130" t="s">
        <v>140</v>
      </c>
      <c r="F48" s="41">
        <v>10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>
        <v>1</v>
      </c>
      <c r="T48" s="42">
        <v>1</v>
      </c>
      <c r="U48" s="45" t="s">
        <v>47</v>
      </c>
      <c r="V48" s="573" t="s">
        <v>132</v>
      </c>
      <c r="W48" s="555"/>
      <c r="X48" s="555"/>
      <c r="Y48" s="555"/>
      <c r="Z48" s="555"/>
      <c r="AA48" s="555"/>
      <c r="AB48" s="555"/>
      <c r="AC48" s="542"/>
      <c r="AD48" s="42"/>
      <c r="AE48" s="41">
        <v>10</v>
      </c>
      <c r="AF48" s="43" t="s">
        <v>259</v>
      </c>
      <c r="AG48" s="44" t="s">
        <v>429</v>
      </c>
    </row>
    <row r="49" spans="1:33" ht="14.25" customHeight="1">
      <c r="A49" s="38" t="s">
        <v>209</v>
      </c>
      <c r="B49" s="38" t="s">
        <v>173</v>
      </c>
      <c r="C49" s="38">
        <v>988941361</v>
      </c>
      <c r="D49" s="62">
        <v>4</v>
      </c>
      <c r="E49" s="130" t="s">
        <v>174</v>
      </c>
      <c r="F49" s="41">
        <v>10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>
        <v>1</v>
      </c>
      <c r="T49" s="42">
        <v>1</v>
      </c>
      <c r="U49" s="45" t="s">
        <v>47</v>
      </c>
      <c r="V49" s="573" t="s">
        <v>132</v>
      </c>
      <c r="W49" s="555"/>
      <c r="X49" s="555"/>
      <c r="Y49" s="555"/>
      <c r="Z49" s="555"/>
      <c r="AA49" s="555"/>
      <c r="AB49" s="555"/>
      <c r="AC49" s="542"/>
      <c r="AD49" s="42"/>
      <c r="AE49" s="41">
        <v>10</v>
      </c>
      <c r="AF49" s="43" t="s">
        <v>259</v>
      </c>
      <c r="AG49" s="44" t="s">
        <v>429</v>
      </c>
    </row>
    <row r="50" spans="1:33" ht="14.25" customHeight="1">
      <c r="A50" s="38" t="s">
        <v>209</v>
      </c>
      <c r="B50" s="38" t="s">
        <v>117</v>
      </c>
      <c r="C50" s="38"/>
      <c r="D50" s="39">
        <v>5</v>
      </c>
      <c r="E50" s="130" t="s">
        <v>118</v>
      </c>
      <c r="F50" s="41">
        <v>10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>
        <v>1</v>
      </c>
      <c r="T50" s="42">
        <v>1</v>
      </c>
      <c r="U50" s="45" t="s">
        <v>47</v>
      </c>
      <c r="V50" s="573" t="s">
        <v>132</v>
      </c>
      <c r="W50" s="555"/>
      <c r="X50" s="555"/>
      <c r="Y50" s="555"/>
      <c r="Z50" s="555"/>
      <c r="AA50" s="555"/>
      <c r="AB50" s="555"/>
      <c r="AC50" s="542"/>
      <c r="AD50" s="42"/>
      <c r="AE50" s="41">
        <v>10</v>
      </c>
      <c r="AF50" s="43" t="s">
        <v>259</v>
      </c>
      <c r="AG50" s="44" t="s">
        <v>429</v>
      </c>
    </row>
    <row r="51" spans="1:33" ht="14.25" customHeight="1">
      <c r="A51" s="38" t="s">
        <v>209</v>
      </c>
      <c r="B51" s="38" t="s">
        <v>142</v>
      </c>
      <c r="C51" s="38">
        <v>982807786</v>
      </c>
      <c r="D51" s="39">
        <v>6</v>
      </c>
      <c r="E51" s="130" t="s">
        <v>143</v>
      </c>
      <c r="F51" s="41">
        <v>10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>
        <v>1</v>
      </c>
      <c r="T51" s="42">
        <v>1</v>
      </c>
      <c r="U51" s="45" t="s">
        <v>47</v>
      </c>
      <c r="V51" s="573" t="s">
        <v>132</v>
      </c>
      <c r="W51" s="555"/>
      <c r="X51" s="555"/>
      <c r="Y51" s="555"/>
      <c r="Z51" s="555"/>
      <c r="AA51" s="555"/>
      <c r="AB51" s="555"/>
      <c r="AC51" s="542"/>
      <c r="AD51" s="42"/>
      <c r="AE51" s="41">
        <v>10</v>
      </c>
      <c r="AF51" s="43" t="s">
        <v>259</v>
      </c>
      <c r="AG51" s="44" t="s">
        <v>429</v>
      </c>
    </row>
    <row r="52" spans="1:33" ht="14.25" customHeight="1">
      <c r="A52" s="38" t="s">
        <v>292</v>
      </c>
      <c r="B52" s="38" t="s">
        <v>137</v>
      </c>
      <c r="C52" s="38">
        <v>984891008</v>
      </c>
      <c r="D52" s="39">
        <v>1</v>
      </c>
      <c r="E52" s="131" t="s">
        <v>138</v>
      </c>
      <c r="F52" s="41">
        <v>9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2">
        <v>1</v>
      </c>
      <c r="V52" s="573" t="s">
        <v>292</v>
      </c>
      <c r="W52" s="555"/>
      <c r="X52" s="555"/>
      <c r="Y52" s="555"/>
      <c r="Z52" s="555"/>
      <c r="AA52" s="555"/>
      <c r="AB52" s="555"/>
      <c r="AC52" s="555"/>
      <c r="AD52" s="42"/>
      <c r="AE52" s="114">
        <v>9</v>
      </c>
      <c r="AF52" s="43" t="s">
        <v>81</v>
      </c>
      <c r="AG52" s="44" t="s">
        <v>429</v>
      </c>
    </row>
    <row r="53" spans="1:33" ht="14.25" customHeight="1">
      <c r="A53" s="38" t="s">
        <v>292</v>
      </c>
      <c r="B53" s="38" t="s">
        <v>190</v>
      </c>
      <c r="C53" s="38">
        <v>983356603</v>
      </c>
      <c r="D53" s="39">
        <v>2</v>
      </c>
      <c r="E53" s="131" t="s">
        <v>191</v>
      </c>
      <c r="F53" s="41">
        <v>9</v>
      </c>
      <c r="G53" s="47"/>
      <c r="H53" s="47"/>
      <c r="I53" s="47"/>
      <c r="J53" s="47"/>
      <c r="K53" s="47"/>
      <c r="L53" s="47"/>
      <c r="M53" s="47"/>
      <c r="N53" s="573" t="s">
        <v>292</v>
      </c>
      <c r="O53" s="555"/>
      <c r="P53" s="555"/>
      <c r="Q53" s="555"/>
      <c r="R53" s="555"/>
      <c r="S53" s="555"/>
      <c r="T53" s="555"/>
      <c r="U53" s="555"/>
      <c r="V53" s="42">
        <v>1</v>
      </c>
      <c r="W53" s="42"/>
      <c r="X53" s="42"/>
      <c r="Y53" s="42"/>
      <c r="Z53" s="42"/>
      <c r="AA53" s="42"/>
      <c r="AB53" s="42"/>
      <c r="AC53" s="42"/>
      <c r="AD53" s="47"/>
      <c r="AE53" s="114">
        <v>9</v>
      </c>
      <c r="AF53" s="43" t="s">
        <v>228</v>
      </c>
      <c r="AG53" s="44" t="s">
        <v>429</v>
      </c>
    </row>
    <row r="54" spans="1:33" ht="14.25" customHeight="1">
      <c r="A54" s="38" t="s">
        <v>187</v>
      </c>
      <c r="B54" s="38" t="s">
        <v>188</v>
      </c>
      <c r="C54" s="38"/>
      <c r="D54" s="39">
        <v>1</v>
      </c>
      <c r="E54" s="132" t="s">
        <v>189</v>
      </c>
      <c r="F54" s="41">
        <v>11</v>
      </c>
      <c r="G54" s="47"/>
      <c r="H54" s="47"/>
      <c r="I54" s="47"/>
      <c r="J54" s="47"/>
      <c r="K54" s="47"/>
      <c r="L54" s="47"/>
      <c r="M54" s="47"/>
      <c r="N54" s="47"/>
      <c r="O54" s="47"/>
      <c r="P54" s="573" t="s">
        <v>187</v>
      </c>
      <c r="Q54" s="555"/>
      <c r="R54" s="555"/>
      <c r="S54" s="555"/>
      <c r="T54" s="555"/>
      <c r="U54" s="555"/>
      <c r="V54" s="555"/>
      <c r="W54" s="555"/>
      <c r="X54" s="555"/>
      <c r="Y54" s="555"/>
      <c r="Z54" s="555"/>
      <c r="AA54" s="47"/>
      <c r="AB54" s="47"/>
      <c r="AC54" s="47"/>
      <c r="AD54" s="47"/>
      <c r="AE54" s="41">
        <v>11</v>
      </c>
      <c r="AF54" s="43" t="s">
        <v>164</v>
      </c>
      <c r="AG54" s="44" t="s">
        <v>429</v>
      </c>
    </row>
    <row r="55" spans="1:33" ht="14.25" customHeight="1">
      <c r="A55" s="38" t="s">
        <v>390</v>
      </c>
      <c r="B55" s="38"/>
      <c r="C55" s="38"/>
      <c r="D55" s="39">
        <v>1</v>
      </c>
      <c r="E55" s="133" t="s">
        <v>363</v>
      </c>
      <c r="F55" s="41">
        <v>12</v>
      </c>
      <c r="G55" s="42"/>
      <c r="H55" s="42"/>
      <c r="I55" s="42"/>
      <c r="J55" s="42"/>
      <c r="K55" s="42"/>
      <c r="L55" s="42"/>
      <c r="M55" s="42"/>
      <c r="N55" s="42"/>
      <c r="O55" s="573" t="s">
        <v>364</v>
      </c>
      <c r="P55" s="555"/>
      <c r="Q55" s="555"/>
      <c r="R55" s="555"/>
      <c r="S55" s="555"/>
      <c r="T55" s="555"/>
      <c r="U55" s="555"/>
      <c r="V55" s="555"/>
      <c r="W55" s="555"/>
      <c r="X55" s="555"/>
      <c r="Y55" s="542"/>
      <c r="Z55" s="42"/>
      <c r="AA55" s="42"/>
      <c r="AB55" s="42"/>
      <c r="AC55" s="42"/>
      <c r="AD55" s="42"/>
      <c r="AE55" s="41">
        <v>12</v>
      </c>
      <c r="AF55" s="43" t="s">
        <v>66</v>
      </c>
      <c r="AG55" s="44" t="s">
        <v>429</v>
      </c>
    </row>
    <row r="56" spans="1:33" ht="14.25" customHeight="1">
      <c r="A56" s="2"/>
      <c r="B56" s="2"/>
      <c r="C56" s="2"/>
      <c r="D56" s="48"/>
      <c r="E56" s="49"/>
      <c r="F56" s="50"/>
      <c r="G56" s="51" t="s">
        <v>9</v>
      </c>
      <c r="H56" s="51" t="s">
        <v>10</v>
      </c>
      <c r="I56" s="51" t="s">
        <v>11</v>
      </c>
      <c r="J56" s="51" t="s">
        <v>12</v>
      </c>
      <c r="K56" s="51" t="s">
        <v>13</v>
      </c>
      <c r="L56" s="51" t="s">
        <v>14</v>
      </c>
      <c r="M56" s="51" t="s">
        <v>15</v>
      </c>
      <c r="N56" s="51" t="s">
        <v>16</v>
      </c>
      <c r="O56" s="51" t="s">
        <v>17</v>
      </c>
      <c r="P56" s="106" t="s">
        <v>18</v>
      </c>
      <c r="Q56" s="107" t="s">
        <v>19</v>
      </c>
      <c r="R56" s="107" t="s">
        <v>20</v>
      </c>
      <c r="S56" s="107" t="s">
        <v>21</v>
      </c>
      <c r="T56" s="107" t="s">
        <v>22</v>
      </c>
      <c r="U56" s="107" t="s">
        <v>23</v>
      </c>
      <c r="V56" s="107" t="s">
        <v>24</v>
      </c>
      <c r="W56" s="107" t="s">
        <v>25</v>
      </c>
      <c r="X56" s="107" t="s">
        <v>26</v>
      </c>
      <c r="Y56" s="107" t="s">
        <v>27</v>
      </c>
      <c r="Z56" s="107" t="s">
        <v>28</v>
      </c>
      <c r="AA56" s="52" t="s">
        <v>29</v>
      </c>
      <c r="AB56" s="52" t="s">
        <v>30</v>
      </c>
      <c r="AC56" s="52" t="s">
        <v>31</v>
      </c>
      <c r="AD56" s="51" t="s">
        <v>32</v>
      </c>
      <c r="AE56" s="53"/>
      <c r="AF56" s="25"/>
      <c r="AG56" s="25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3"/>
      <c r="B58" s="3"/>
      <c r="C58" s="3"/>
      <c r="D58" s="48"/>
      <c r="E58" s="547" t="s">
        <v>8</v>
      </c>
      <c r="F58" s="548"/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79">
        <v>3</v>
      </c>
      <c r="N58" s="79">
        <v>3</v>
      </c>
      <c r="O58" s="80">
        <v>6</v>
      </c>
      <c r="P58" s="81">
        <v>7</v>
      </c>
      <c r="Q58" s="82">
        <v>8</v>
      </c>
      <c r="R58" s="82">
        <v>8</v>
      </c>
      <c r="S58" s="82">
        <v>8</v>
      </c>
      <c r="T58" s="82">
        <v>8</v>
      </c>
      <c r="U58" s="82">
        <v>8</v>
      </c>
      <c r="V58" s="82">
        <v>8</v>
      </c>
      <c r="W58" s="82">
        <v>8</v>
      </c>
      <c r="X58" s="80">
        <v>6</v>
      </c>
      <c r="Y58" s="80">
        <v>6</v>
      </c>
      <c r="Z58" s="80">
        <v>6</v>
      </c>
      <c r="AA58" s="83">
        <v>5</v>
      </c>
      <c r="AB58" s="56">
        <v>4</v>
      </c>
      <c r="AC58" s="79">
        <v>3</v>
      </c>
      <c r="AD58" s="12">
        <v>2</v>
      </c>
      <c r="AE58" s="18">
        <f>SUM(G58:AD58)</f>
        <v>119</v>
      </c>
      <c r="AF58" s="25"/>
      <c r="AG58" s="3"/>
    </row>
    <row r="59" spans="1:33" ht="14.25" customHeight="1">
      <c r="A59" s="3"/>
      <c r="B59" s="3"/>
      <c r="C59" s="3"/>
      <c r="D59" s="48"/>
      <c r="E59" s="59"/>
      <c r="F59" s="59"/>
      <c r="G59" s="28">
        <f t="shared" ref="G59:AD59" si="4">G61-G58</f>
        <v>0</v>
      </c>
      <c r="H59" s="28">
        <f t="shared" si="4"/>
        <v>0</v>
      </c>
      <c r="I59" s="28">
        <f t="shared" si="4"/>
        <v>0</v>
      </c>
      <c r="J59" s="28">
        <f t="shared" si="4"/>
        <v>0</v>
      </c>
      <c r="K59" s="28">
        <f t="shared" si="4"/>
        <v>0</v>
      </c>
      <c r="L59" s="28">
        <f t="shared" si="4"/>
        <v>0</v>
      </c>
      <c r="M59" s="28">
        <f t="shared" si="4"/>
        <v>0</v>
      </c>
      <c r="N59" s="28">
        <f t="shared" si="4"/>
        <v>0</v>
      </c>
      <c r="O59" s="28">
        <f t="shared" si="4"/>
        <v>0</v>
      </c>
      <c r="P59" s="28">
        <f t="shared" si="4"/>
        <v>0</v>
      </c>
      <c r="Q59" s="28">
        <f t="shared" si="4"/>
        <v>0</v>
      </c>
      <c r="R59" s="28">
        <f t="shared" si="4"/>
        <v>0</v>
      </c>
      <c r="S59" s="84">
        <f t="shared" si="4"/>
        <v>-1</v>
      </c>
      <c r="T59" s="28">
        <f t="shared" si="4"/>
        <v>0</v>
      </c>
      <c r="U59" s="28">
        <f t="shared" si="4"/>
        <v>0</v>
      </c>
      <c r="V59" s="28">
        <f t="shared" si="4"/>
        <v>0</v>
      </c>
      <c r="W59" s="28">
        <f t="shared" si="4"/>
        <v>0</v>
      </c>
      <c r="X59" s="28">
        <f t="shared" si="4"/>
        <v>0</v>
      </c>
      <c r="Y59" s="28">
        <f t="shared" si="4"/>
        <v>0</v>
      </c>
      <c r="Z59" s="28">
        <f t="shared" si="4"/>
        <v>0</v>
      </c>
      <c r="AA59" s="28">
        <f t="shared" si="4"/>
        <v>0</v>
      </c>
      <c r="AB59" s="28">
        <f t="shared" si="4"/>
        <v>0</v>
      </c>
      <c r="AC59" s="28">
        <f t="shared" si="4"/>
        <v>0</v>
      </c>
      <c r="AD59" s="28">
        <f t="shared" si="4"/>
        <v>0</v>
      </c>
      <c r="AE59" s="53"/>
      <c r="AF59" s="3"/>
      <c r="AG59" s="3"/>
    </row>
    <row r="60" spans="1:33" ht="14.25" customHeight="1">
      <c r="A60" s="3"/>
      <c r="B60" s="3"/>
      <c r="C60" s="3"/>
      <c r="D60" s="48"/>
      <c r="E60" s="60" t="s">
        <v>145</v>
      </c>
      <c r="F60" s="59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51" t="s">
        <v>17</v>
      </c>
      <c r="P60" s="51" t="s">
        <v>18</v>
      </c>
      <c r="Q60" s="52" t="s">
        <v>19</v>
      </c>
      <c r="R60" s="52" t="s">
        <v>20</v>
      </c>
      <c r="S60" s="52" t="s">
        <v>21</v>
      </c>
      <c r="T60" s="52" t="s">
        <v>22</v>
      </c>
      <c r="U60" s="52" t="s">
        <v>23</v>
      </c>
      <c r="V60" s="52" t="s">
        <v>24</v>
      </c>
      <c r="W60" s="52" t="s">
        <v>25</v>
      </c>
      <c r="X60" s="52" t="s">
        <v>26</v>
      </c>
      <c r="Y60" s="52" t="s">
        <v>27</v>
      </c>
      <c r="Z60" s="52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3"/>
    </row>
    <row r="61" spans="1:33" ht="14.25" customHeight="1">
      <c r="A61" s="3"/>
      <c r="B61" s="3"/>
      <c r="C61" s="3"/>
      <c r="D61" s="48"/>
      <c r="E61" s="61" t="s">
        <v>37</v>
      </c>
      <c r="F61" s="37" t="s">
        <v>38</v>
      </c>
      <c r="G61" s="35">
        <f t="shared" ref="G61:AD61" si="5">SUM(G62:G72)</f>
        <v>2</v>
      </c>
      <c r="H61" s="35">
        <f t="shared" si="5"/>
        <v>2</v>
      </c>
      <c r="I61" s="35">
        <f t="shared" si="5"/>
        <v>2</v>
      </c>
      <c r="J61" s="35">
        <f t="shared" si="5"/>
        <v>2</v>
      </c>
      <c r="K61" s="35">
        <f t="shared" si="5"/>
        <v>2</v>
      </c>
      <c r="L61" s="35">
        <f t="shared" si="5"/>
        <v>2</v>
      </c>
      <c r="M61" s="35">
        <f t="shared" si="5"/>
        <v>3</v>
      </c>
      <c r="N61" s="35">
        <f t="shared" si="5"/>
        <v>3</v>
      </c>
      <c r="O61" s="35">
        <f t="shared" si="5"/>
        <v>6</v>
      </c>
      <c r="P61" s="35">
        <f t="shared" si="5"/>
        <v>7</v>
      </c>
      <c r="Q61" s="35">
        <f t="shared" si="5"/>
        <v>8</v>
      </c>
      <c r="R61" s="35">
        <f t="shared" si="5"/>
        <v>8</v>
      </c>
      <c r="S61" s="35">
        <f t="shared" si="5"/>
        <v>7</v>
      </c>
      <c r="T61" s="35">
        <f t="shared" si="5"/>
        <v>8</v>
      </c>
      <c r="U61" s="35">
        <f t="shared" si="5"/>
        <v>8</v>
      </c>
      <c r="V61" s="35">
        <f t="shared" si="5"/>
        <v>8</v>
      </c>
      <c r="W61" s="35">
        <f t="shared" si="5"/>
        <v>8</v>
      </c>
      <c r="X61" s="35">
        <f t="shared" si="5"/>
        <v>6</v>
      </c>
      <c r="Y61" s="35">
        <f t="shared" si="5"/>
        <v>6</v>
      </c>
      <c r="Z61" s="35">
        <f t="shared" si="5"/>
        <v>6</v>
      </c>
      <c r="AA61" s="35">
        <f t="shared" si="5"/>
        <v>5</v>
      </c>
      <c r="AB61" s="35">
        <f t="shared" si="5"/>
        <v>4</v>
      </c>
      <c r="AC61" s="35">
        <f t="shared" si="5"/>
        <v>3</v>
      </c>
      <c r="AD61" s="35">
        <f t="shared" si="5"/>
        <v>2</v>
      </c>
      <c r="AE61" s="30">
        <f t="shared" ref="AE61:AE72" si="6">SUM(G61:AD61)</f>
        <v>118</v>
      </c>
      <c r="AF61" s="36" t="s">
        <v>39</v>
      </c>
      <c r="AG61" s="37" t="s">
        <v>40</v>
      </c>
    </row>
    <row r="62" spans="1:33" ht="14.25" customHeight="1">
      <c r="A62" s="38" t="s">
        <v>145</v>
      </c>
      <c r="B62" s="38" t="s">
        <v>149</v>
      </c>
      <c r="C62" s="38">
        <v>996585473</v>
      </c>
      <c r="D62" s="62">
        <v>1</v>
      </c>
      <c r="E62" s="40" t="s">
        <v>150</v>
      </c>
      <c r="F62" s="41">
        <f t="shared" ref="F62:F72" si="7">SUM(G62:AD62)</f>
        <v>9</v>
      </c>
      <c r="G62" s="42"/>
      <c r="H62" s="42"/>
      <c r="I62" s="42"/>
      <c r="J62" s="42"/>
      <c r="K62" s="42"/>
      <c r="L62" s="42"/>
      <c r="M62" s="42"/>
      <c r="N62" s="42"/>
      <c r="O62" s="42">
        <v>1</v>
      </c>
      <c r="P62" s="42">
        <v>1</v>
      </c>
      <c r="Q62" s="42">
        <v>1</v>
      </c>
      <c r="R62" s="45" t="s">
        <v>47</v>
      </c>
      <c r="S62" s="42">
        <v>1</v>
      </c>
      <c r="T62" s="42">
        <v>1</v>
      </c>
      <c r="U62" s="42">
        <v>1</v>
      </c>
      <c r="V62" s="42">
        <v>1</v>
      </c>
      <c r="W62" s="42">
        <v>1</v>
      </c>
      <c r="X62" s="42">
        <v>1</v>
      </c>
      <c r="Y62" s="42"/>
      <c r="Z62" s="42"/>
      <c r="AA62" s="42"/>
      <c r="AB62" s="42"/>
      <c r="AC62" s="42"/>
      <c r="AD62" s="42"/>
      <c r="AE62" s="41">
        <f t="shared" si="6"/>
        <v>9</v>
      </c>
      <c r="AF62" s="43" t="s">
        <v>180</v>
      </c>
      <c r="AG62" s="44" t="s">
        <v>429</v>
      </c>
    </row>
    <row r="63" spans="1:33" ht="14.25" customHeight="1">
      <c r="A63" s="38" t="s">
        <v>145</v>
      </c>
      <c r="B63" s="38" t="s">
        <v>212</v>
      </c>
      <c r="C63" s="38"/>
      <c r="D63" s="62">
        <v>2</v>
      </c>
      <c r="E63" s="40" t="s">
        <v>153</v>
      </c>
      <c r="F63" s="41">
        <f t="shared" si="7"/>
        <v>10</v>
      </c>
      <c r="G63" s="42"/>
      <c r="H63" s="42"/>
      <c r="I63" s="42"/>
      <c r="J63" s="42"/>
      <c r="K63" s="42"/>
      <c r="L63" s="42"/>
      <c r="M63" s="42"/>
      <c r="N63" s="42"/>
      <c r="O63" s="42"/>
      <c r="P63" s="42">
        <v>1</v>
      </c>
      <c r="Q63" s="42">
        <v>1</v>
      </c>
      <c r="R63" s="42">
        <v>1</v>
      </c>
      <c r="S63" s="45" t="s">
        <v>47</v>
      </c>
      <c r="T63" s="42">
        <v>1</v>
      </c>
      <c r="U63" s="42">
        <v>1</v>
      </c>
      <c r="V63" s="42">
        <v>1</v>
      </c>
      <c r="W63" s="42">
        <v>1</v>
      </c>
      <c r="X63" s="42">
        <v>1</v>
      </c>
      <c r="Y63" s="42">
        <v>1</v>
      </c>
      <c r="Z63" s="42">
        <v>1</v>
      </c>
      <c r="AA63" s="42"/>
      <c r="AB63" s="42"/>
      <c r="AC63" s="42"/>
      <c r="AD63" s="42"/>
      <c r="AE63" s="41">
        <f t="shared" si="6"/>
        <v>10</v>
      </c>
      <c r="AF63" s="43" t="s">
        <v>164</v>
      </c>
      <c r="AG63" s="44" t="s">
        <v>429</v>
      </c>
    </row>
    <row r="64" spans="1:33" ht="14.25" customHeight="1">
      <c r="A64" s="38" t="s">
        <v>145</v>
      </c>
      <c r="B64" s="38" t="s">
        <v>155</v>
      </c>
      <c r="C64" s="38">
        <v>969250973</v>
      </c>
      <c r="D64" s="62">
        <v>3</v>
      </c>
      <c r="E64" s="40" t="s">
        <v>156</v>
      </c>
      <c r="F64" s="41">
        <f t="shared" si="7"/>
        <v>11</v>
      </c>
      <c r="G64" s="42"/>
      <c r="H64" s="42"/>
      <c r="I64" s="42"/>
      <c r="J64" s="42"/>
      <c r="K64" s="42"/>
      <c r="L64" s="42"/>
      <c r="M64" s="42">
        <v>1</v>
      </c>
      <c r="N64" s="42">
        <v>1</v>
      </c>
      <c r="O64" s="42">
        <v>1</v>
      </c>
      <c r="P64" s="42">
        <v>1</v>
      </c>
      <c r="Q64" s="42">
        <v>1</v>
      </c>
      <c r="R64" s="42">
        <v>1</v>
      </c>
      <c r="S64" s="42">
        <v>1</v>
      </c>
      <c r="T64" s="42">
        <v>1</v>
      </c>
      <c r="U64" s="45" t="s">
        <v>47</v>
      </c>
      <c r="V64" s="42">
        <v>1</v>
      </c>
      <c r="W64" s="42">
        <v>1</v>
      </c>
      <c r="X64" s="42">
        <v>1</v>
      </c>
      <c r="Y64" s="42"/>
      <c r="Z64" s="42"/>
      <c r="AA64" s="42"/>
      <c r="AB64" s="42"/>
      <c r="AC64" s="42"/>
      <c r="AD64" s="42"/>
      <c r="AE64" s="41">
        <f t="shared" si="6"/>
        <v>11</v>
      </c>
      <c r="AF64" s="46" t="s">
        <v>84</v>
      </c>
      <c r="AG64" s="44" t="s">
        <v>429</v>
      </c>
    </row>
    <row r="65" spans="1:33" ht="14.25" customHeight="1">
      <c r="A65" s="38" t="s">
        <v>145</v>
      </c>
      <c r="B65" s="38" t="s">
        <v>157</v>
      </c>
      <c r="C65" s="38">
        <v>990911747</v>
      </c>
      <c r="D65" s="62">
        <v>4</v>
      </c>
      <c r="E65" s="40" t="s">
        <v>158</v>
      </c>
      <c r="F65" s="41">
        <f t="shared" si="7"/>
        <v>11</v>
      </c>
      <c r="G65" s="42"/>
      <c r="H65" s="42"/>
      <c r="I65" s="42"/>
      <c r="J65" s="42"/>
      <c r="K65" s="42"/>
      <c r="L65" s="42"/>
      <c r="M65" s="42">
        <v>1</v>
      </c>
      <c r="N65" s="42">
        <v>1</v>
      </c>
      <c r="O65" s="42">
        <v>1</v>
      </c>
      <c r="P65" s="42">
        <v>1</v>
      </c>
      <c r="Q65" s="42">
        <v>1</v>
      </c>
      <c r="R65" s="42">
        <v>1</v>
      </c>
      <c r="S65" s="45" t="s">
        <v>47</v>
      </c>
      <c r="T65" s="42">
        <v>1</v>
      </c>
      <c r="U65" s="42">
        <v>1</v>
      </c>
      <c r="V65" s="42">
        <v>1</v>
      </c>
      <c r="W65" s="42">
        <v>1</v>
      </c>
      <c r="X65" s="42">
        <v>1</v>
      </c>
      <c r="Y65" s="42"/>
      <c r="Z65" s="42"/>
      <c r="AA65" s="42"/>
      <c r="AB65" s="42"/>
      <c r="AC65" s="42"/>
      <c r="AD65" s="42"/>
      <c r="AE65" s="41">
        <f t="shared" si="6"/>
        <v>11</v>
      </c>
      <c r="AF65" s="46" t="s">
        <v>84</v>
      </c>
      <c r="AG65" s="44" t="s">
        <v>429</v>
      </c>
    </row>
    <row r="66" spans="1:33" ht="14.25" customHeight="1">
      <c r="A66" s="38" t="s">
        <v>145</v>
      </c>
      <c r="B66" s="38" t="s">
        <v>160</v>
      </c>
      <c r="C66" s="38">
        <v>993901115</v>
      </c>
      <c r="D66" s="62">
        <v>5</v>
      </c>
      <c r="E66" s="40" t="s">
        <v>161</v>
      </c>
      <c r="F66" s="41">
        <f t="shared" si="7"/>
        <v>12</v>
      </c>
      <c r="G66" s="42">
        <v>1</v>
      </c>
      <c r="H66" s="42">
        <v>1</v>
      </c>
      <c r="I66" s="42">
        <v>1</v>
      </c>
      <c r="J66" s="42">
        <v>1</v>
      </c>
      <c r="K66" s="42">
        <v>1</v>
      </c>
      <c r="L66" s="42">
        <v>1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5" t="s">
        <v>47</v>
      </c>
      <c r="Y66" s="42">
        <v>1</v>
      </c>
      <c r="Z66" s="42">
        <v>1</v>
      </c>
      <c r="AA66" s="42">
        <v>1</v>
      </c>
      <c r="AB66" s="42">
        <v>1</v>
      </c>
      <c r="AC66" s="42">
        <v>1</v>
      </c>
      <c r="AD66" s="42">
        <v>1</v>
      </c>
      <c r="AE66" s="41">
        <f t="shared" si="6"/>
        <v>12</v>
      </c>
      <c r="AF66" s="46" t="s">
        <v>54</v>
      </c>
      <c r="AG66" s="44" t="s">
        <v>429</v>
      </c>
    </row>
    <row r="67" spans="1:33" ht="14.25" customHeight="1">
      <c r="A67" s="38" t="s">
        <v>145</v>
      </c>
      <c r="B67" s="38" t="s">
        <v>165</v>
      </c>
      <c r="C67" s="38">
        <v>992994680</v>
      </c>
      <c r="D67" s="62">
        <v>6</v>
      </c>
      <c r="E67" s="40" t="s">
        <v>166</v>
      </c>
      <c r="F67" s="41">
        <f t="shared" si="7"/>
        <v>11</v>
      </c>
      <c r="G67" s="42"/>
      <c r="H67" s="42"/>
      <c r="I67" s="42"/>
      <c r="J67" s="42"/>
      <c r="K67" s="42"/>
      <c r="L67" s="42"/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5" t="s">
        <v>47</v>
      </c>
      <c r="W67" s="42">
        <v>1</v>
      </c>
      <c r="X67" s="42">
        <v>1</v>
      </c>
      <c r="Y67" s="42"/>
      <c r="Z67" s="42"/>
      <c r="AA67" s="42"/>
      <c r="AB67" s="42"/>
      <c r="AC67" s="42"/>
      <c r="AD67" s="42"/>
      <c r="AE67" s="41">
        <f t="shared" si="6"/>
        <v>11</v>
      </c>
      <c r="AF67" s="46" t="s">
        <v>84</v>
      </c>
      <c r="AG67" s="44" t="s">
        <v>429</v>
      </c>
    </row>
    <row r="68" spans="1:33" ht="14.25" customHeight="1">
      <c r="A68" s="38" t="s">
        <v>145</v>
      </c>
      <c r="B68" s="38" t="s">
        <v>168</v>
      </c>
      <c r="C68" s="38"/>
      <c r="D68" s="62">
        <v>7</v>
      </c>
      <c r="E68" s="40" t="s">
        <v>169</v>
      </c>
      <c r="F68" s="41">
        <f t="shared" si="7"/>
        <v>12</v>
      </c>
      <c r="G68" s="42">
        <v>1</v>
      </c>
      <c r="H68" s="42">
        <v>1</v>
      </c>
      <c r="I68" s="42">
        <v>1</v>
      </c>
      <c r="J68" s="42">
        <v>1</v>
      </c>
      <c r="K68" s="42">
        <v>1</v>
      </c>
      <c r="L68" s="42">
        <v>1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5" t="s">
        <v>47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>
        <v>1</v>
      </c>
      <c r="AE68" s="41">
        <f t="shared" si="6"/>
        <v>12</v>
      </c>
      <c r="AF68" s="46" t="s">
        <v>54</v>
      </c>
      <c r="AG68" s="44" t="s">
        <v>429</v>
      </c>
    </row>
    <row r="69" spans="1:33" ht="14.25" customHeight="1">
      <c r="A69" s="38" t="s">
        <v>145</v>
      </c>
      <c r="B69" s="38" t="s">
        <v>176</v>
      </c>
      <c r="C69" s="38"/>
      <c r="D69" s="62">
        <v>8</v>
      </c>
      <c r="E69" s="40" t="s">
        <v>177</v>
      </c>
      <c r="F69" s="41">
        <f t="shared" si="7"/>
        <v>11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>
        <v>1</v>
      </c>
      <c r="S69" s="42">
        <v>1</v>
      </c>
      <c r="T69" s="42">
        <v>1</v>
      </c>
      <c r="U69" s="42">
        <v>1</v>
      </c>
      <c r="V69" s="42">
        <v>1</v>
      </c>
      <c r="W69" s="42">
        <v>1</v>
      </c>
      <c r="X69" s="45" t="s">
        <v>47</v>
      </c>
      <c r="Y69" s="42">
        <v>1</v>
      </c>
      <c r="Z69" s="42">
        <v>1</v>
      </c>
      <c r="AA69" s="42">
        <v>1</v>
      </c>
      <c r="AB69" s="42">
        <v>1</v>
      </c>
      <c r="AC69" s="42">
        <v>1</v>
      </c>
      <c r="AD69" s="42"/>
      <c r="AE69" s="41">
        <f t="shared" si="6"/>
        <v>11</v>
      </c>
      <c r="AF69" s="43" t="s">
        <v>133</v>
      </c>
      <c r="AG69" s="44" t="s">
        <v>429</v>
      </c>
    </row>
    <row r="70" spans="1:33" ht="14.25" customHeight="1">
      <c r="A70" s="38" t="s">
        <v>145</v>
      </c>
      <c r="B70" s="38" t="s">
        <v>178</v>
      </c>
      <c r="C70" s="38"/>
      <c r="D70" s="62">
        <v>9</v>
      </c>
      <c r="E70" s="40" t="s">
        <v>179</v>
      </c>
      <c r="F70" s="41">
        <f t="shared" si="7"/>
        <v>11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>
        <v>1</v>
      </c>
      <c r="R70" s="42">
        <v>1</v>
      </c>
      <c r="S70" s="42">
        <v>1</v>
      </c>
      <c r="T70" s="42">
        <v>1</v>
      </c>
      <c r="U70" s="42">
        <v>1</v>
      </c>
      <c r="V70" s="42">
        <v>1</v>
      </c>
      <c r="W70" s="45" t="s">
        <v>47</v>
      </c>
      <c r="X70" s="42">
        <v>1</v>
      </c>
      <c r="Y70" s="42">
        <v>1</v>
      </c>
      <c r="Z70" s="42">
        <v>1</v>
      </c>
      <c r="AA70" s="42">
        <v>1</v>
      </c>
      <c r="AB70" s="42">
        <v>1</v>
      </c>
      <c r="AC70" s="42"/>
      <c r="AD70" s="42"/>
      <c r="AE70" s="41">
        <f t="shared" si="6"/>
        <v>11</v>
      </c>
      <c r="AF70" s="43" t="s">
        <v>96</v>
      </c>
      <c r="AG70" s="44" t="s">
        <v>429</v>
      </c>
    </row>
    <row r="71" spans="1:33" ht="14.25" customHeight="1">
      <c r="A71" s="38" t="s">
        <v>145</v>
      </c>
      <c r="B71" s="38" t="s">
        <v>181</v>
      </c>
      <c r="C71" s="38"/>
      <c r="D71" s="62">
        <v>10</v>
      </c>
      <c r="E71" s="40" t="s">
        <v>182</v>
      </c>
      <c r="F71" s="41">
        <f t="shared" si="7"/>
        <v>11</v>
      </c>
      <c r="G71" s="42"/>
      <c r="H71" s="42"/>
      <c r="I71" s="42"/>
      <c r="J71" s="42"/>
      <c r="K71" s="42"/>
      <c r="L71" s="42"/>
      <c r="M71" s="42"/>
      <c r="N71" s="42"/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/>
      <c r="U71" s="42">
        <v>1</v>
      </c>
      <c r="V71" s="42">
        <v>1</v>
      </c>
      <c r="W71" s="42">
        <v>1</v>
      </c>
      <c r="X71" s="45" t="s">
        <v>47</v>
      </c>
      <c r="Y71" s="42">
        <v>1</v>
      </c>
      <c r="Z71" s="42">
        <v>1</v>
      </c>
      <c r="AA71" s="42">
        <v>1</v>
      </c>
      <c r="AB71" s="42"/>
      <c r="AC71" s="42"/>
      <c r="AD71" s="42"/>
      <c r="AE71" s="41">
        <f t="shared" si="6"/>
        <v>11</v>
      </c>
      <c r="AF71" s="43" t="s">
        <v>373</v>
      </c>
      <c r="AG71" s="44" t="s">
        <v>429</v>
      </c>
    </row>
    <row r="72" spans="1:33" ht="14.25" customHeight="1">
      <c r="A72" s="38" t="s">
        <v>145</v>
      </c>
      <c r="B72" s="38" t="s">
        <v>183</v>
      </c>
      <c r="C72" s="38"/>
      <c r="D72" s="62">
        <v>11</v>
      </c>
      <c r="E72" s="40" t="s">
        <v>184</v>
      </c>
      <c r="F72" s="41">
        <f t="shared" si="7"/>
        <v>9</v>
      </c>
      <c r="G72" s="42"/>
      <c r="H72" s="42"/>
      <c r="I72" s="42"/>
      <c r="J72" s="42"/>
      <c r="K72" s="42"/>
      <c r="L72" s="42"/>
      <c r="M72" s="42"/>
      <c r="N72" s="42"/>
      <c r="O72" s="42">
        <v>1</v>
      </c>
      <c r="P72" s="42">
        <v>1</v>
      </c>
      <c r="Q72" s="42">
        <v>1</v>
      </c>
      <c r="R72" s="42">
        <v>1</v>
      </c>
      <c r="S72" s="42">
        <v>1</v>
      </c>
      <c r="T72" s="42">
        <v>1</v>
      </c>
      <c r="U72" s="42">
        <v>1</v>
      </c>
      <c r="V72" s="42">
        <v>1</v>
      </c>
      <c r="W72" s="42">
        <v>1</v>
      </c>
      <c r="X72" s="45" t="s">
        <v>47</v>
      </c>
      <c r="Y72" s="42"/>
      <c r="Z72" s="42"/>
      <c r="AA72" s="42"/>
      <c r="AB72" s="42"/>
      <c r="AC72" s="42"/>
      <c r="AD72" s="42"/>
      <c r="AE72" s="41">
        <f t="shared" si="6"/>
        <v>9</v>
      </c>
      <c r="AF72" s="43" t="s">
        <v>180</v>
      </c>
      <c r="AG72" s="44" t="s">
        <v>429</v>
      </c>
    </row>
    <row r="73" spans="1:33" ht="14.25" customHeight="1">
      <c r="A73" s="3"/>
      <c r="B73" s="3"/>
      <c r="C73" s="3"/>
      <c r="D73" s="3"/>
      <c r="E73" s="3"/>
      <c r="F73" s="3"/>
      <c r="G73" s="65" t="s">
        <v>9</v>
      </c>
      <c r="H73" s="65" t="s">
        <v>10</v>
      </c>
      <c r="I73" s="65" t="s">
        <v>11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65" t="s">
        <v>17</v>
      </c>
      <c r="P73" s="65" t="s">
        <v>18</v>
      </c>
      <c r="Q73" s="66" t="s">
        <v>19</v>
      </c>
      <c r="R73" s="66" t="s">
        <v>20</v>
      </c>
      <c r="S73" s="66" t="s">
        <v>21</v>
      </c>
      <c r="T73" s="66" t="s">
        <v>22</v>
      </c>
      <c r="U73" s="66" t="s">
        <v>23</v>
      </c>
      <c r="V73" s="66" t="s">
        <v>24</v>
      </c>
      <c r="W73" s="66" t="s">
        <v>25</v>
      </c>
      <c r="X73" s="66" t="s">
        <v>26</v>
      </c>
      <c r="Y73" s="66" t="s">
        <v>27</v>
      </c>
      <c r="Z73" s="66" t="s">
        <v>28</v>
      </c>
      <c r="AA73" s="66" t="s">
        <v>29</v>
      </c>
      <c r="AB73" s="66" t="s">
        <v>30</v>
      </c>
      <c r="AC73" s="66" t="s">
        <v>31</v>
      </c>
      <c r="AD73" s="65" t="s">
        <v>32</v>
      </c>
      <c r="AE73" s="53"/>
      <c r="AF73" s="3"/>
      <c r="AG73" s="3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</sheetData>
  <autoFilter ref="A7:AG56" xr:uid="{00000000-0009-0000-0000-000029000000}"/>
  <customSheetViews>
    <customSheetView guid="{833D6734-F5E1-4449-B5A1-8C3A51A61651}" filter="1" showAutoFilter="1">
      <pageMargins left="0.7" right="0.7" top="0.75" bottom="0.75" header="0.3" footer="0.3"/>
      <autoFilter ref="A7:AG74" xr:uid="{24E379AB-B4F4-4C0C-AA16-0D1E7CE9B0FD}">
        <filterColumn colId="26">
          <filters>
            <filter val="-"/>
            <filter val="1"/>
            <filter val="5"/>
            <filter val="CLIENTES VIP"/>
            <filter val="MONITOREOS BRM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74" xr:uid="{D9DA86D1-FA31-422B-94C2-61310E5BAE38}"/>
    </customSheetView>
    <customSheetView guid="{49BA5E93-E473-4F11-BE7E-FD55CB28D969}" filter="1" showAutoFilter="1">
      <pageMargins left="0.7" right="0.7" top="0.75" bottom="0.75" header="0.3" footer="0.3"/>
      <autoFilter ref="G5:AD74" xr:uid="{CF8EC891-BE50-4CA8-9017-DAC931A70D2B}">
        <filterColumn colId="15">
          <filters>
            <filter val="-"/>
            <filter val="1"/>
            <filter val="8"/>
            <filter val="C"/>
            <filter val="CLIENTES VIP"/>
            <filter val="MONITOREOS BRM"/>
            <filter val="SEGUIMIENTO TRANSFERENCIAS"/>
            <filter val="SOPORTE DTH"/>
          </filters>
        </filterColumn>
      </autoFilter>
    </customSheetView>
  </customSheetViews>
  <mergeCells count="15">
    <mergeCell ref="P54:Z54"/>
    <mergeCell ref="O55:Y55"/>
    <mergeCell ref="E58:F58"/>
    <mergeCell ref="A1:B1"/>
    <mergeCell ref="D3:AE3"/>
    <mergeCell ref="E4:F4"/>
    <mergeCell ref="E5:F5"/>
    <mergeCell ref="V46:AC46"/>
    <mergeCell ref="V47:AC47"/>
    <mergeCell ref="V48:AC48"/>
    <mergeCell ref="V49:AC49"/>
    <mergeCell ref="V50:AC50"/>
    <mergeCell ref="V51:AC51"/>
    <mergeCell ref="V52:AC52"/>
    <mergeCell ref="N53:U53"/>
  </mergeCells>
  <conditionalFormatting sqref="E4:F4 E58:F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0:AB60 N73:AB7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G86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487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225">
        <v>8</v>
      </c>
      <c r="N4" s="94">
        <v>10</v>
      </c>
      <c r="O4" s="150">
        <v>14</v>
      </c>
      <c r="P4" s="83">
        <v>17</v>
      </c>
      <c r="Q4" s="149">
        <v>19</v>
      </c>
      <c r="R4" s="149">
        <v>19</v>
      </c>
      <c r="S4" s="149">
        <v>19</v>
      </c>
      <c r="T4" s="149">
        <v>19</v>
      </c>
      <c r="U4" s="149">
        <v>19</v>
      </c>
      <c r="V4" s="72">
        <v>16</v>
      </c>
      <c r="W4" s="72">
        <v>16</v>
      </c>
      <c r="X4" s="72">
        <v>16</v>
      </c>
      <c r="Y4" s="150">
        <v>14</v>
      </c>
      <c r="Z4" s="150">
        <v>14</v>
      </c>
      <c r="AA4" s="14">
        <v>12</v>
      </c>
      <c r="AB4" s="17">
        <v>7</v>
      </c>
      <c r="AC4" s="17">
        <v>7</v>
      </c>
      <c r="AD4" s="93">
        <v>3</v>
      </c>
      <c r="AE4" s="18">
        <f>SUM(G4:AD4)</f>
        <v>268</v>
      </c>
      <c r="AF4" s="3">
        <f>AE4/9</f>
        <v>29.777777777777779</v>
      </c>
      <c r="AG4" s="3"/>
    </row>
    <row r="5" spans="1:33" ht="62.25">
      <c r="A5" s="3"/>
      <c r="B5" s="2"/>
      <c r="C5" s="2"/>
      <c r="D5" s="19"/>
      <c r="E5" s="569">
        <v>3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05">
        <f t="shared" si="0"/>
        <v>-2</v>
      </c>
      <c r="N6" s="205">
        <f t="shared" si="0"/>
        <v>-1</v>
      </c>
      <c r="O6" s="84">
        <f t="shared" si="0"/>
        <v>0</v>
      </c>
      <c r="P6" s="84">
        <f t="shared" si="0"/>
        <v>-1</v>
      </c>
      <c r="Q6" s="125">
        <f t="shared" si="0"/>
        <v>-2</v>
      </c>
      <c r="R6" s="125">
        <f t="shared" si="0"/>
        <v>-1</v>
      </c>
      <c r="S6" s="84">
        <f t="shared" si="0"/>
        <v>1</v>
      </c>
      <c r="T6" s="84">
        <f t="shared" si="0"/>
        <v>1</v>
      </c>
      <c r="U6" s="84">
        <f t="shared" si="0"/>
        <v>0</v>
      </c>
      <c r="V6" s="125">
        <f t="shared" si="0"/>
        <v>-1</v>
      </c>
      <c r="W6" s="125">
        <f t="shared" si="0"/>
        <v>0</v>
      </c>
      <c r="X6" s="125">
        <f t="shared" si="0"/>
        <v>-2</v>
      </c>
      <c r="Y6" s="125">
        <f t="shared" si="0"/>
        <v>-1</v>
      </c>
      <c r="Z6" s="125">
        <f t="shared" si="0"/>
        <v>-1</v>
      </c>
      <c r="AA6" s="125">
        <f t="shared" si="0"/>
        <v>-1</v>
      </c>
      <c r="AB6" s="125">
        <f t="shared" si="0"/>
        <v>-1</v>
      </c>
      <c r="AC6" s="125">
        <f t="shared" si="0"/>
        <v>-1</v>
      </c>
      <c r="AD6" s="28">
        <f t="shared" si="0"/>
        <v>0</v>
      </c>
      <c r="AE6" s="29">
        <f t="shared" ref="AE6:AE14" si="1">SUM(G6:AD6)</f>
        <v>-13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SUM(G8:G60)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6</v>
      </c>
      <c r="N7" s="35">
        <f t="shared" si="2"/>
        <v>9</v>
      </c>
      <c r="O7" s="35">
        <f t="shared" si="2"/>
        <v>14</v>
      </c>
      <c r="P7" s="35">
        <f t="shared" si="2"/>
        <v>16</v>
      </c>
      <c r="Q7" s="35">
        <f t="shared" si="2"/>
        <v>17</v>
      </c>
      <c r="R7" s="35">
        <f t="shared" si="2"/>
        <v>18</v>
      </c>
      <c r="S7" s="35">
        <f t="shared" si="2"/>
        <v>20</v>
      </c>
      <c r="T7" s="35">
        <f t="shared" si="2"/>
        <v>20</v>
      </c>
      <c r="U7" s="35">
        <f t="shared" si="2"/>
        <v>19</v>
      </c>
      <c r="V7" s="35">
        <f t="shared" si="2"/>
        <v>15</v>
      </c>
      <c r="W7" s="35">
        <f t="shared" si="2"/>
        <v>16</v>
      </c>
      <c r="X7" s="35">
        <f t="shared" si="2"/>
        <v>14</v>
      </c>
      <c r="Y7" s="35">
        <f t="shared" si="2"/>
        <v>13</v>
      </c>
      <c r="Z7" s="35">
        <f t="shared" si="2"/>
        <v>13</v>
      </c>
      <c r="AA7" s="35">
        <f t="shared" si="2"/>
        <v>11</v>
      </c>
      <c r="AB7" s="35">
        <f t="shared" si="2"/>
        <v>6</v>
      </c>
      <c r="AC7" s="35">
        <f t="shared" si="2"/>
        <v>6</v>
      </c>
      <c r="AD7" s="35">
        <f t="shared" si="2"/>
        <v>3</v>
      </c>
      <c r="AE7" s="30">
        <f t="shared" si="1"/>
        <v>255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87" t="s">
        <v>46</v>
      </c>
      <c r="F8" s="88">
        <f t="shared" ref="F8:F14" si="3">SUM(G8:AD8)</f>
        <v>12</v>
      </c>
      <c r="G8" s="77"/>
      <c r="H8" s="77"/>
      <c r="I8" s="77"/>
      <c r="J8" s="77"/>
      <c r="K8" s="77"/>
      <c r="L8" s="77"/>
      <c r="M8" s="77"/>
      <c r="N8" s="226"/>
      <c r="O8" s="226"/>
      <c r="P8" s="227"/>
      <c r="Q8" s="227">
        <v>1</v>
      </c>
      <c r="R8" s="227">
        <v>1</v>
      </c>
      <c r="S8" s="227">
        <v>1</v>
      </c>
      <c r="T8" s="227">
        <v>1</v>
      </c>
      <c r="U8" s="226"/>
      <c r="V8" s="102">
        <v>1</v>
      </c>
      <c r="W8" s="102">
        <v>1</v>
      </c>
      <c r="X8" s="102">
        <v>1</v>
      </c>
      <c r="Y8" s="102">
        <v>1</v>
      </c>
      <c r="Z8" s="102">
        <v>1</v>
      </c>
      <c r="AA8" s="102">
        <v>1</v>
      </c>
      <c r="AB8" s="102">
        <v>1</v>
      </c>
      <c r="AC8" s="102">
        <v>1</v>
      </c>
      <c r="AD8" s="102"/>
      <c r="AE8" s="101">
        <f t="shared" si="1"/>
        <v>12</v>
      </c>
      <c r="AF8" s="43" t="s">
        <v>319</v>
      </c>
      <c r="AG8" s="44" t="s">
        <v>499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40" t="s">
        <v>53</v>
      </c>
      <c r="F9" s="41">
        <f t="shared" si="3"/>
        <v>7</v>
      </c>
      <c r="G9" s="42">
        <v>1</v>
      </c>
      <c r="H9" s="42">
        <v>1</v>
      </c>
      <c r="I9" s="42">
        <v>1</v>
      </c>
      <c r="J9" s="42">
        <v>1</v>
      </c>
      <c r="K9" s="42">
        <v>1</v>
      </c>
      <c r="L9" s="42">
        <v>1</v>
      </c>
      <c r="M9" s="42">
        <v>1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101">
        <f t="shared" si="1"/>
        <v>7</v>
      </c>
      <c r="AF9" s="46" t="s">
        <v>284</v>
      </c>
      <c r="AG9" s="44" t="s">
        <v>499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87" t="s">
        <v>56</v>
      </c>
      <c r="F10" s="88">
        <f t="shared" si="3"/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  <c r="Z10" s="77">
        <v>0</v>
      </c>
      <c r="AA10" s="77">
        <v>0</v>
      </c>
      <c r="AB10" s="77">
        <v>0</v>
      </c>
      <c r="AC10" s="77">
        <v>0</v>
      </c>
      <c r="AD10" s="77">
        <v>0</v>
      </c>
      <c r="AE10" s="101">
        <f t="shared" si="1"/>
        <v>0</v>
      </c>
      <c r="AF10" s="89" t="s">
        <v>225</v>
      </c>
      <c r="AG10" s="105" t="s">
        <v>499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00" t="s">
        <v>58</v>
      </c>
      <c r="F11" s="101">
        <f t="shared" si="3"/>
        <v>0</v>
      </c>
      <c r="G11" s="102"/>
      <c r="H11" s="102"/>
      <c r="I11" s="102"/>
      <c r="J11" s="102"/>
      <c r="K11" s="102"/>
      <c r="L11" s="102"/>
      <c r="M11" s="102"/>
      <c r="N11" s="227"/>
      <c r="O11" s="227"/>
      <c r="P11" s="227"/>
      <c r="Q11" s="243" t="s">
        <v>205</v>
      </c>
      <c r="R11" s="243" t="s">
        <v>205</v>
      </c>
      <c r="S11" s="243" t="s">
        <v>205</v>
      </c>
      <c r="T11" s="243" t="s">
        <v>205</v>
      </c>
      <c r="U11" s="243" t="s">
        <v>205</v>
      </c>
      <c r="V11" s="243" t="s">
        <v>205</v>
      </c>
      <c r="W11" s="227"/>
      <c r="X11" s="243" t="s">
        <v>205</v>
      </c>
      <c r="Y11" s="243" t="s">
        <v>205</v>
      </c>
      <c r="Z11" s="243" t="s">
        <v>205</v>
      </c>
      <c r="AA11" s="243" t="s">
        <v>205</v>
      </c>
      <c r="AB11" s="243" t="s">
        <v>205</v>
      </c>
      <c r="AC11" s="243" t="s">
        <v>205</v>
      </c>
      <c r="AD11" s="102"/>
      <c r="AE11" s="101">
        <f t="shared" si="1"/>
        <v>0</v>
      </c>
      <c r="AF11" s="104" t="s">
        <v>286</v>
      </c>
      <c r="AG11" s="44" t="s">
        <v>499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00" t="s">
        <v>147</v>
      </c>
      <c r="F12" s="101">
        <f t="shared" si="3"/>
        <v>1</v>
      </c>
      <c r="G12" s="102">
        <v>1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Z12" s="226">
        <v>0</v>
      </c>
      <c r="AA12" s="226">
        <v>0</v>
      </c>
      <c r="AB12" s="226">
        <v>0</v>
      </c>
      <c r="AC12" s="226">
        <v>0</v>
      </c>
      <c r="AD12" s="226">
        <v>0</v>
      </c>
      <c r="AE12" s="101">
        <f t="shared" si="1"/>
        <v>1</v>
      </c>
      <c r="AF12" s="104" t="s">
        <v>412</v>
      </c>
      <c r="AG12" s="44" t="s">
        <v>499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40" t="s">
        <v>60</v>
      </c>
      <c r="F13" s="41">
        <f t="shared" si="3"/>
        <v>0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  <c r="Z13" s="77">
        <v>0</v>
      </c>
      <c r="AA13" s="77">
        <v>0</v>
      </c>
      <c r="AB13" s="77">
        <v>0</v>
      </c>
      <c r="AC13" s="77">
        <v>0</v>
      </c>
      <c r="AD13" s="77">
        <v>0</v>
      </c>
      <c r="AE13" s="101">
        <f t="shared" si="1"/>
        <v>0</v>
      </c>
      <c r="AF13" s="89" t="s">
        <v>225</v>
      </c>
      <c r="AG13" s="44" t="s">
        <v>499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40" t="s">
        <v>63</v>
      </c>
      <c r="F14" s="41">
        <f t="shared" si="3"/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101">
        <f t="shared" si="1"/>
        <v>0</v>
      </c>
      <c r="AF14" s="89" t="s">
        <v>225</v>
      </c>
      <c r="AG14" s="44" t="s">
        <v>499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87" t="s">
        <v>65</v>
      </c>
      <c r="F15" s="41">
        <v>10</v>
      </c>
      <c r="G15" s="109"/>
      <c r="H15" s="109"/>
      <c r="I15" s="109"/>
      <c r="J15" s="109"/>
      <c r="K15" s="109"/>
      <c r="L15" s="109"/>
      <c r="M15" s="109"/>
      <c r="N15" s="573" t="s">
        <v>292</v>
      </c>
      <c r="O15" s="555"/>
      <c r="P15" s="555"/>
      <c r="Q15" s="555"/>
      <c r="R15" s="555"/>
      <c r="S15" s="555"/>
      <c r="T15" s="555"/>
      <c r="U15" s="542"/>
      <c r="V15" s="42">
        <v>1</v>
      </c>
      <c r="W15" s="42">
        <v>1</v>
      </c>
      <c r="X15" s="42"/>
      <c r="Y15" s="42"/>
      <c r="Z15" s="42"/>
      <c r="AA15" s="42"/>
      <c r="AB15" s="42"/>
      <c r="AC15" s="42"/>
      <c r="AD15" s="42"/>
      <c r="AE15" s="101">
        <v>10</v>
      </c>
      <c r="AF15" s="43" t="s">
        <v>61</v>
      </c>
      <c r="AG15" s="44" t="s">
        <v>499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40" t="s">
        <v>71</v>
      </c>
      <c r="F16" s="41">
        <f t="shared" ref="F16:F17" si="4">SUM(G16:AD16)</f>
        <v>13</v>
      </c>
      <c r="G16" s="42"/>
      <c r="H16" s="42"/>
      <c r="I16" s="42"/>
      <c r="J16" s="42"/>
      <c r="K16" s="42"/>
      <c r="L16" s="42"/>
      <c r="M16" s="42">
        <v>1</v>
      </c>
      <c r="N16" s="42">
        <v>1</v>
      </c>
      <c r="O16" s="42">
        <v>1</v>
      </c>
      <c r="P16" s="42">
        <v>1</v>
      </c>
      <c r="Q16" s="42">
        <v>1</v>
      </c>
      <c r="R16" s="42">
        <v>1</v>
      </c>
      <c r="S16" s="42">
        <v>1</v>
      </c>
      <c r="T16" s="42">
        <v>1</v>
      </c>
      <c r="U16" s="42">
        <v>1</v>
      </c>
      <c r="V16" s="42"/>
      <c r="W16" s="42">
        <v>1</v>
      </c>
      <c r="X16" s="42">
        <v>1</v>
      </c>
      <c r="Y16" s="42">
        <v>1</v>
      </c>
      <c r="Z16" s="42">
        <v>1</v>
      </c>
      <c r="AA16" s="42"/>
      <c r="AB16" s="42"/>
      <c r="AC16" s="42"/>
      <c r="AD16" s="42"/>
      <c r="AE16" s="101">
        <f t="shared" ref="AE16:AE32" si="5">SUM(G16:AD16)</f>
        <v>13</v>
      </c>
      <c r="AF16" s="43" t="s">
        <v>521</v>
      </c>
      <c r="AG16" s="44" t="s">
        <v>499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40" t="s">
        <v>73</v>
      </c>
      <c r="F17" s="41">
        <f t="shared" si="4"/>
        <v>0</v>
      </c>
      <c r="G17" s="42" t="s">
        <v>352</v>
      </c>
      <c r="H17" s="42" t="s">
        <v>352</v>
      </c>
      <c r="I17" s="42" t="s">
        <v>352</v>
      </c>
      <c r="J17" s="42" t="s">
        <v>352</v>
      </c>
      <c r="K17" s="42" t="s">
        <v>352</v>
      </c>
      <c r="L17" s="42" t="s">
        <v>352</v>
      </c>
      <c r="M17" s="42" t="s">
        <v>352</v>
      </c>
      <c r="N17" s="42" t="s">
        <v>352</v>
      </c>
      <c r="O17" s="42" t="s">
        <v>352</v>
      </c>
      <c r="P17" s="42" t="s">
        <v>352</v>
      </c>
      <c r="Q17" s="42" t="s">
        <v>352</v>
      </c>
      <c r="R17" s="42" t="s">
        <v>352</v>
      </c>
      <c r="S17" s="42" t="s">
        <v>352</v>
      </c>
      <c r="T17" s="42" t="s">
        <v>352</v>
      </c>
      <c r="U17" s="42" t="s">
        <v>352</v>
      </c>
      <c r="V17" s="42" t="s">
        <v>352</v>
      </c>
      <c r="W17" s="42" t="s">
        <v>352</v>
      </c>
      <c r="X17" s="42" t="s">
        <v>352</v>
      </c>
      <c r="Y17" s="42" t="s">
        <v>352</v>
      </c>
      <c r="Z17" s="42" t="s">
        <v>352</v>
      </c>
      <c r="AA17" s="42" t="s">
        <v>352</v>
      </c>
      <c r="AB17" s="42" t="s">
        <v>352</v>
      </c>
      <c r="AC17" s="42" t="s">
        <v>352</v>
      </c>
      <c r="AD17" s="42" t="s">
        <v>352</v>
      </c>
      <c r="AE17" s="101">
        <f t="shared" si="5"/>
        <v>0</v>
      </c>
      <c r="AF17" s="64" t="s">
        <v>6</v>
      </c>
      <c r="AG17" s="44" t="s">
        <v>499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40" t="s">
        <v>80</v>
      </c>
      <c r="F18" s="41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  <c r="Z18" s="77">
        <v>0</v>
      </c>
      <c r="AA18" s="77">
        <v>0</v>
      </c>
      <c r="AB18" s="77">
        <v>0</v>
      </c>
      <c r="AC18" s="77">
        <v>0</v>
      </c>
      <c r="AD18" s="77">
        <v>0</v>
      </c>
      <c r="AE18" s="101">
        <f t="shared" si="5"/>
        <v>0</v>
      </c>
      <c r="AF18" s="89" t="s">
        <v>225</v>
      </c>
      <c r="AG18" s="44" t="s">
        <v>499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40" t="s">
        <v>83</v>
      </c>
      <c r="F19" s="41">
        <f>SUM(G19:AD19)</f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  <c r="Z19" s="77">
        <v>0</v>
      </c>
      <c r="AA19" s="77">
        <v>0</v>
      </c>
      <c r="AB19" s="77">
        <v>0</v>
      </c>
      <c r="AC19" s="77">
        <v>0</v>
      </c>
      <c r="AD19" s="77">
        <v>0</v>
      </c>
      <c r="AE19" s="41">
        <f t="shared" si="5"/>
        <v>0</v>
      </c>
      <c r="AF19" s="89" t="s">
        <v>225</v>
      </c>
      <c r="AG19" s="44" t="s">
        <v>499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40" t="s">
        <v>89</v>
      </c>
      <c r="F20" s="41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77">
        <v>0</v>
      </c>
      <c r="AC20" s="77">
        <v>0</v>
      </c>
      <c r="AD20" s="77">
        <v>0</v>
      </c>
      <c r="AE20" s="41">
        <f t="shared" si="5"/>
        <v>0</v>
      </c>
      <c r="AF20" s="89" t="s">
        <v>225</v>
      </c>
      <c r="AG20" s="44" t="s">
        <v>499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00" t="s">
        <v>91</v>
      </c>
      <c r="F21" s="101">
        <f>SUM(G21:AD21)</f>
        <v>13</v>
      </c>
      <c r="G21" s="77"/>
      <c r="H21" s="77"/>
      <c r="I21" s="77"/>
      <c r="J21" s="77"/>
      <c r="K21" s="77"/>
      <c r="L21" s="77"/>
      <c r="M21" s="42">
        <v>1</v>
      </c>
      <c r="N21" s="42">
        <v>1</v>
      </c>
      <c r="O21" s="42">
        <v>1</v>
      </c>
      <c r="P21" s="42">
        <v>1</v>
      </c>
      <c r="Q21" s="42">
        <v>1</v>
      </c>
      <c r="R21" s="42">
        <v>1</v>
      </c>
      <c r="S21" s="42"/>
      <c r="T21" s="42">
        <v>1</v>
      </c>
      <c r="U21" s="42">
        <v>1</v>
      </c>
      <c r="V21" s="42">
        <v>1</v>
      </c>
      <c r="W21" s="42">
        <v>1</v>
      </c>
      <c r="X21" s="42">
        <v>1</v>
      </c>
      <c r="Y21" s="42">
        <v>1</v>
      </c>
      <c r="Z21" s="42">
        <v>1</v>
      </c>
      <c r="AA21" s="42"/>
      <c r="AB21" s="42"/>
      <c r="AC21" s="42"/>
      <c r="AD21" s="42"/>
      <c r="AE21" s="41">
        <f t="shared" si="5"/>
        <v>13</v>
      </c>
      <c r="AF21" s="43" t="s">
        <v>522</v>
      </c>
      <c r="AG21" s="44" t="s">
        <v>499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40" t="s">
        <v>93</v>
      </c>
      <c r="F22" s="41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7">
        <v>0</v>
      </c>
      <c r="AB22" s="77">
        <v>0</v>
      </c>
      <c r="AC22" s="77">
        <v>0</v>
      </c>
      <c r="AD22" s="77">
        <v>0</v>
      </c>
      <c r="AE22" s="41">
        <f t="shared" si="5"/>
        <v>0</v>
      </c>
      <c r="AF22" s="89" t="s">
        <v>225</v>
      </c>
      <c r="AG22" s="44" t="s">
        <v>499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40" t="s">
        <v>95</v>
      </c>
      <c r="F23" s="41">
        <f t="shared" ref="F23:F32" si="6">SUM(G23:AD23)</f>
        <v>0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1">
        <f t="shared" si="5"/>
        <v>0</v>
      </c>
      <c r="AF23" s="244" t="s">
        <v>479</v>
      </c>
      <c r="AG23" s="44" t="s">
        <v>499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87" t="s">
        <v>99</v>
      </c>
      <c r="F24" s="41">
        <f t="shared" si="6"/>
        <v>8</v>
      </c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227">
        <v>1</v>
      </c>
      <c r="W24" s="227">
        <v>1</v>
      </c>
      <c r="X24" s="227">
        <v>1</v>
      </c>
      <c r="Y24" s="227">
        <v>1</v>
      </c>
      <c r="Z24" s="227">
        <v>1</v>
      </c>
      <c r="AA24" s="227">
        <v>1</v>
      </c>
      <c r="AB24" s="227">
        <v>1</v>
      </c>
      <c r="AC24" s="227">
        <v>1</v>
      </c>
      <c r="AD24" s="227"/>
      <c r="AE24" s="101">
        <f t="shared" si="5"/>
        <v>8</v>
      </c>
      <c r="AF24" s="104" t="s">
        <v>218</v>
      </c>
      <c r="AG24" s="44" t="s">
        <v>499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40" t="s">
        <v>102</v>
      </c>
      <c r="F25" s="41">
        <f t="shared" si="6"/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  <c r="Z25" s="77">
        <v>0</v>
      </c>
      <c r="AA25" s="77">
        <v>0</v>
      </c>
      <c r="AB25" s="77">
        <v>0</v>
      </c>
      <c r="AC25" s="77">
        <v>0</v>
      </c>
      <c r="AD25" s="77">
        <v>0</v>
      </c>
      <c r="AE25" s="41">
        <f t="shared" si="5"/>
        <v>0</v>
      </c>
      <c r="AF25" s="89" t="s">
        <v>225</v>
      </c>
      <c r="AG25" s="44" t="s">
        <v>499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40" t="s">
        <v>104</v>
      </c>
      <c r="F26" s="41">
        <f t="shared" si="6"/>
        <v>8</v>
      </c>
      <c r="G26" s="77"/>
      <c r="H26" s="77"/>
      <c r="I26" s="77"/>
      <c r="J26" s="77"/>
      <c r="K26" s="77"/>
      <c r="L26" s="77"/>
      <c r="M26" s="77"/>
      <c r="N26" s="102"/>
      <c r="O26" s="102">
        <v>1</v>
      </c>
      <c r="P26" s="102">
        <v>1</v>
      </c>
      <c r="Q26" s="102">
        <v>1</v>
      </c>
      <c r="R26" s="102">
        <v>1</v>
      </c>
      <c r="S26" s="102">
        <v>1</v>
      </c>
      <c r="T26" s="102">
        <v>1</v>
      </c>
      <c r="U26" s="102">
        <v>1</v>
      </c>
      <c r="V26" s="102">
        <v>1</v>
      </c>
      <c r="W26" s="102"/>
      <c r="X26" s="102"/>
      <c r="Y26" s="77"/>
      <c r="Z26" s="77"/>
      <c r="AA26" s="77"/>
      <c r="AB26" s="77"/>
      <c r="AC26" s="77"/>
      <c r="AD26" s="77"/>
      <c r="AE26" s="41">
        <f t="shared" si="5"/>
        <v>8</v>
      </c>
      <c r="AF26" s="116" t="s">
        <v>258</v>
      </c>
      <c r="AG26" s="44" t="s">
        <v>499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40" t="s">
        <v>333</v>
      </c>
      <c r="F27" s="41">
        <f t="shared" si="6"/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  <c r="Z27" s="77">
        <v>0</v>
      </c>
      <c r="AA27" s="77">
        <v>0</v>
      </c>
      <c r="AB27" s="77">
        <v>0</v>
      </c>
      <c r="AC27" s="77">
        <v>0</v>
      </c>
      <c r="AD27" s="77">
        <v>0</v>
      </c>
      <c r="AE27" s="41">
        <f t="shared" si="5"/>
        <v>0</v>
      </c>
      <c r="AF27" s="89" t="s">
        <v>225</v>
      </c>
      <c r="AG27" s="44" t="s">
        <v>499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40" t="s">
        <v>172</v>
      </c>
      <c r="F28" s="41">
        <f t="shared" si="6"/>
        <v>10</v>
      </c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42">
        <v>1</v>
      </c>
      <c r="S28" s="42">
        <v>1</v>
      </c>
      <c r="T28" s="42">
        <v>1</v>
      </c>
      <c r="U28" s="42">
        <v>1</v>
      </c>
      <c r="V28" s="42">
        <v>1</v>
      </c>
      <c r="W28" s="42">
        <v>1</v>
      </c>
      <c r="X28" s="42">
        <v>1</v>
      </c>
      <c r="Y28" s="42">
        <v>1</v>
      </c>
      <c r="Z28" s="42">
        <v>1</v>
      </c>
      <c r="AA28" s="42">
        <v>1</v>
      </c>
      <c r="AB28" s="77"/>
      <c r="AC28" s="77"/>
      <c r="AD28" s="77"/>
      <c r="AE28" s="41">
        <f t="shared" si="5"/>
        <v>10</v>
      </c>
      <c r="AF28" s="116" t="s">
        <v>207</v>
      </c>
      <c r="AG28" s="105" t="s">
        <v>499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40" t="s">
        <v>106</v>
      </c>
      <c r="F29" s="41">
        <f t="shared" si="6"/>
        <v>13</v>
      </c>
      <c r="G29" s="42">
        <v>1</v>
      </c>
      <c r="H29" s="42">
        <v>1</v>
      </c>
      <c r="I29" s="42">
        <v>1</v>
      </c>
      <c r="J29" s="42">
        <v>1</v>
      </c>
      <c r="K29" s="42">
        <v>1</v>
      </c>
      <c r="L29" s="42">
        <v>1</v>
      </c>
      <c r="M29" s="42">
        <v>1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>
        <v>1</v>
      </c>
      <c r="Z29" s="42">
        <v>1</v>
      </c>
      <c r="AA29" s="42">
        <v>1</v>
      </c>
      <c r="AB29" s="42">
        <v>1</v>
      </c>
      <c r="AC29" s="42">
        <v>1</v>
      </c>
      <c r="AD29" s="42">
        <v>1</v>
      </c>
      <c r="AE29" s="41">
        <f t="shared" si="5"/>
        <v>13</v>
      </c>
      <c r="AF29" s="43" t="s">
        <v>280</v>
      </c>
      <c r="AG29" s="44" t="s">
        <v>499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100" t="s">
        <v>112</v>
      </c>
      <c r="F30" s="41">
        <f t="shared" si="6"/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  <c r="Z30" s="77">
        <v>0</v>
      </c>
      <c r="AA30" s="77">
        <v>0</v>
      </c>
      <c r="AB30" s="77">
        <v>0</v>
      </c>
      <c r="AC30" s="77">
        <v>0</v>
      </c>
      <c r="AD30" s="77">
        <v>0</v>
      </c>
      <c r="AE30" s="41">
        <f t="shared" si="5"/>
        <v>0</v>
      </c>
      <c r="AF30" s="89" t="s">
        <v>225</v>
      </c>
      <c r="AG30" s="44" t="s">
        <v>499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40" t="s">
        <v>116</v>
      </c>
      <c r="F31" s="41">
        <f t="shared" si="6"/>
        <v>13</v>
      </c>
      <c r="G31" s="42">
        <v>1</v>
      </c>
      <c r="H31" s="42">
        <v>1</v>
      </c>
      <c r="I31" s="42">
        <v>1</v>
      </c>
      <c r="J31" s="42">
        <v>1</v>
      </c>
      <c r="K31" s="42">
        <v>1</v>
      </c>
      <c r="L31" s="42">
        <v>1</v>
      </c>
      <c r="M31" s="42">
        <v>1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>
        <v>1</v>
      </c>
      <c r="Z31" s="42">
        <v>1</v>
      </c>
      <c r="AA31" s="42">
        <v>1</v>
      </c>
      <c r="AB31" s="42">
        <v>1</v>
      </c>
      <c r="AC31" s="42">
        <v>1</v>
      </c>
      <c r="AD31" s="42">
        <v>1</v>
      </c>
      <c r="AE31" s="41">
        <f t="shared" si="5"/>
        <v>13</v>
      </c>
      <c r="AF31" s="46" t="s">
        <v>280</v>
      </c>
      <c r="AG31" s="44" t="s">
        <v>499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100" t="s">
        <v>121</v>
      </c>
      <c r="F32" s="41">
        <f t="shared" si="6"/>
        <v>11</v>
      </c>
      <c r="G32" s="77"/>
      <c r="H32" s="77"/>
      <c r="I32" s="77"/>
      <c r="J32" s="77"/>
      <c r="K32" s="77"/>
      <c r="L32" s="77"/>
      <c r="M32" s="77"/>
      <c r="N32" s="77"/>
      <c r="O32" s="77"/>
      <c r="P32" s="102">
        <v>1</v>
      </c>
      <c r="Q32" s="102">
        <v>1</v>
      </c>
      <c r="R32" s="102">
        <v>1</v>
      </c>
      <c r="S32" s="102">
        <v>1</v>
      </c>
      <c r="T32" s="102"/>
      <c r="U32" s="102">
        <v>1</v>
      </c>
      <c r="V32" s="102">
        <v>1</v>
      </c>
      <c r="W32" s="102">
        <v>1</v>
      </c>
      <c r="X32" s="102">
        <v>1</v>
      </c>
      <c r="Y32" s="102">
        <v>1</v>
      </c>
      <c r="Z32" s="102">
        <v>1</v>
      </c>
      <c r="AA32" s="102">
        <v>1</v>
      </c>
      <c r="AB32" s="102"/>
      <c r="AC32" s="102"/>
      <c r="AD32" s="102"/>
      <c r="AE32" s="101">
        <f t="shared" si="5"/>
        <v>11</v>
      </c>
      <c r="AF32" s="116" t="s">
        <v>256</v>
      </c>
      <c r="AG32" s="44" t="s">
        <v>499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100" t="s">
        <v>123</v>
      </c>
      <c r="F33" s="41">
        <v>12</v>
      </c>
      <c r="G33" s="102"/>
      <c r="H33" s="102"/>
      <c r="I33" s="102"/>
      <c r="J33" s="102"/>
      <c r="K33" s="102"/>
      <c r="L33" s="102"/>
      <c r="M33" s="102"/>
      <c r="N33" s="227"/>
      <c r="O33" s="227">
        <v>1</v>
      </c>
      <c r="P33" s="573" t="s">
        <v>187</v>
      </c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102"/>
      <c r="AB33" s="47"/>
      <c r="AC33" s="47"/>
      <c r="AD33" s="47"/>
      <c r="AE33" s="41">
        <v>12</v>
      </c>
      <c r="AF33" s="43" t="s">
        <v>66</v>
      </c>
      <c r="AG33" s="44" t="s">
        <v>499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40" t="s">
        <v>125</v>
      </c>
      <c r="F34" s="41">
        <f>SUM(G34:AD34)</f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  <c r="Z34" s="77">
        <v>0</v>
      </c>
      <c r="AA34" s="77">
        <v>0</v>
      </c>
      <c r="AB34" s="77">
        <v>0</v>
      </c>
      <c r="AC34" s="77">
        <v>0</v>
      </c>
      <c r="AD34" s="77">
        <v>0</v>
      </c>
      <c r="AE34" s="41">
        <f>SUM(G34:AD34)</f>
        <v>0</v>
      </c>
      <c r="AF34" s="89" t="s">
        <v>225</v>
      </c>
      <c r="AG34" s="44" t="s">
        <v>499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87" t="s">
        <v>127</v>
      </c>
      <c r="F35" s="41">
        <v>12</v>
      </c>
      <c r="G35" s="77"/>
      <c r="H35" s="77"/>
      <c r="I35" s="77"/>
      <c r="J35" s="77"/>
      <c r="K35" s="77"/>
      <c r="L35" s="77"/>
      <c r="M35" s="77"/>
      <c r="N35" s="77"/>
      <c r="O35" s="573" t="s">
        <v>364</v>
      </c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542"/>
      <c r="AA35" s="42"/>
      <c r="AB35" s="42"/>
      <c r="AC35" s="42"/>
      <c r="AD35" s="42"/>
      <c r="AE35" s="41">
        <v>12</v>
      </c>
      <c r="AF35" s="43" t="s">
        <v>66</v>
      </c>
      <c r="AG35" s="44" t="s">
        <v>499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40" t="s">
        <v>129</v>
      </c>
      <c r="F36" s="41">
        <f t="shared" ref="F36:F57" si="7">SUM(G36:AD36)</f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  <c r="Z36" s="77">
        <v>0</v>
      </c>
      <c r="AA36" s="77">
        <v>0</v>
      </c>
      <c r="AB36" s="77">
        <v>0</v>
      </c>
      <c r="AC36" s="77">
        <v>0</v>
      </c>
      <c r="AD36" s="77">
        <v>0</v>
      </c>
      <c r="AE36" s="41">
        <f t="shared" ref="AE36:AE57" si="8">SUM(G36:AD36)</f>
        <v>0</v>
      </c>
      <c r="AF36" s="89" t="s">
        <v>225</v>
      </c>
      <c r="AG36" s="44" t="s">
        <v>499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100" t="s">
        <v>131</v>
      </c>
      <c r="F37" s="41">
        <f t="shared" si="7"/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41">
        <f t="shared" si="8"/>
        <v>0</v>
      </c>
      <c r="AF37" s="89" t="s">
        <v>225</v>
      </c>
      <c r="AG37" s="44" t="s">
        <v>499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31" t="s">
        <v>50</v>
      </c>
      <c r="F38" s="41">
        <f t="shared" si="7"/>
        <v>10</v>
      </c>
      <c r="G38" s="77"/>
      <c r="H38" s="77"/>
      <c r="I38" s="77"/>
      <c r="J38" s="77"/>
      <c r="K38" s="77"/>
      <c r="L38" s="77"/>
      <c r="M38" s="102">
        <v>1</v>
      </c>
      <c r="N38" s="102">
        <v>1</v>
      </c>
      <c r="O38" s="102">
        <v>1</v>
      </c>
      <c r="P38" s="102">
        <v>1</v>
      </c>
      <c r="Q38" s="102">
        <v>1</v>
      </c>
      <c r="R38" s="102">
        <v>1</v>
      </c>
      <c r="S38" s="102">
        <v>1</v>
      </c>
      <c r="T38" s="102">
        <v>1</v>
      </c>
      <c r="U38" s="102">
        <v>1</v>
      </c>
      <c r="V38" s="102">
        <v>1</v>
      </c>
      <c r="W38" s="102"/>
      <c r="X38" s="102"/>
      <c r="Y38" s="102"/>
      <c r="Z38" s="102"/>
      <c r="AA38" s="102"/>
      <c r="AB38" s="102"/>
      <c r="AC38" s="102"/>
      <c r="AD38" s="102"/>
      <c r="AE38" s="101">
        <f t="shared" si="8"/>
        <v>10</v>
      </c>
      <c r="AF38" s="104" t="s">
        <v>151</v>
      </c>
      <c r="AG38" s="44" t="s">
        <v>499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31" t="s">
        <v>135</v>
      </c>
      <c r="F39" s="41">
        <f t="shared" si="7"/>
        <v>10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>
        <v>1</v>
      </c>
      <c r="T39" s="42">
        <v>1</v>
      </c>
      <c r="U39" s="42">
        <v>1</v>
      </c>
      <c r="V39" s="42"/>
      <c r="W39" s="42">
        <v>1</v>
      </c>
      <c r="X39" s="42">
        <v>1</v>
      </c>
      <c r="Y39" s="42">
        <v>1</v>
      </c>
      <c r="Z39" s="42">
        <v>1</v>
      </c>
      <c r="AA39" s="42">
        <v>1</v>
      </c>
      <c r="AB39" s="42">
        <v>1</v>
      </c>
      <c r="AC39" s="42">
        <v>1</v>
      </c>
      <c r="AD39" s="42"/>
      <c r="AE39" s="41">
        <f t="shared" si="8"/>
        <v>10</v>
      </c>
      <c r="AF39" s="43" t="s">
        <v>523</v>
      </c>
      <c r="AG39" s="44" t="s">
        <v>499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31" t="s">
        <v>140</v>
      </c>
      <c r="F40" s="41">
        <f t="shared" si="7"/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  <c r="Z40" s="77">
        <v>0</v>
      </c>
      <c r="AA40" s="77">
        <v>0</v>
      </c>
      <c r="AB40" s="77">
        <v>0</v>
      </c>
      <c r="AC40" s="77">
        <v>0</v>
      </c>
      <c r="AD40" s="77">
        <v>0</v>
      </c>
      <c r="AE40" s="41">
        <f t="shared" si="8"/>
        <v>0</v>
      </c>
      <c r="AF40" s="89" t="s">
        <v>225</v>
      </c>
      <c r="AG40" s="44" t="s">
        <v>499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31" t="s">
        <v>118</v>
      </c>
      <c r="F41" s="41">
        <f t="shared" si="7"/>
        <v>6</v>
      </c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42">
        <v>1</v>
      </c>
      <c r="Z41" s="42">
        <v>1</v>
      </c>
      <c r="AA41" s="42">
        <v>1</v>
      </c>
      <c r="AB41" s="42">
        <v>1</v>
      </c>
      <c r="AC41" s="42">
        <v>1</v>
      </c>
      <c r="AD41" s="42">
        <v>1</v>
      </c>
      <c r="AE41" s="41">
        <f t="shared" si="8"/>
        <v>6</v>
      </c>
      <c r="AF41" s="104" t="s">
        <v>281</v>
      </c>
      <c r="AG41" s="44" t="s">
        <v>499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35" t="s">
        <v>143</v>
      </c>
      <c r="F42" s="88">
        <f t="shared" si="7"/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  <c r="Z42" s="77">
        <v>0</v>
      </c>
      <c r="AA42" s="77">
        <v>0</v>
      </c>
      <c r="AB42" s="77">
        <v>0</v>
      </c>
      <c r="AC42" s="77">
        <v>0</v>
      </c>
      <c r="AD42" s="77">
        <v>0</v>
      </c>
      <c r="AE42" s="41">
        <f t="shared" si="8"/>
        <v>0</v>
      </c>
      <c r="AF42" s="89" t="s">
        <v>225</v>
      </c>
      <c r="AG42" s="44" t="s">
        <v>499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32" t="s">
        <v>455</v>
      </c>
      <c r="F43" s="41">
        <f t="shared" si="7"/>
        <v>8</v>
      </c>
      <c r="G43" s="102"/>
      <c r="H43" s="102"/>
      <c r="I43" s="102"/>
      <c r="J43" s="102"/>
      <c r="K43" s="102"/>
      <c r="L43" s="102"/>
      <c r="M43" s="102"/>
      <c r="N43" s="227">
        <v>1</v>
      </c>
      <c r="O43" s="227">
        <v>1</v>
      </c>
      <c r="P43" s="227">
        <v>1</v>
      </c>
      <c r="Q43" s="227">
        <v>1</v>
      </c>
      <c r="R43" s="227">
        <v>1</v>
      </c>
      <c r="S43" s="227">
        <v>1</v>
      </c>
      <c r="T43" s="227">
        <v>1</v>
      </c>
      <c r="U43" s="227">
        <v>1</v>
      </c>
      <c r="V43" s="227"/>
      <c r="W43" s="227"/>
      <c r="X43" s="227"/>
      <c r="Y43" s="227"/>
      <c r="Z43" s="227"/>
      <c r="AA43" s="227"/>
      <c r="AB43" s="227"/>
      <c r="AC43" s="227"/>
      <c r="AD43" s="227"/>
      <c r="AE43" s="41">
        <f t="shared" si="8"/>
        <v>8</v>
      </c>
      <c r="AF43" s="104" t="s">
        <v>524</v>
      </c>
      <c r="AG43" s="44" t="s">
        <v>499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32" t="s">
        <v>457</v>
      </c>
      <c r="F44" s="41">
        <f t="shared" si="7"/>
        <v>7</v>
      </c>
      <c r="G44" s="102"/>
      <c r="H44" s="102"/>
      <c r="I44" s="102"/>
      <c r="J44" s="102"/>
      <c r="K44" s="102"/>
      <c r="L44" s="102"/>
      <c r="M44" s="102"/>
      <c r="N44" s="227">
        <v>1</v>
      </c>
      <c r="O44" s="227">
        <v>1</v>
      </c>
      <c r="P44" s="227">
        <v>1</v>
      </c>
      <c r="Q44" s="227">
        <v>1</v>
      </c>
      <c r="R44" s="227"/>
      <c r="S44" s="227">
        <v>1</v>
      </c>
      <c r="T44" s="227">
        <v>1</v>
      </c>
      <c r="U44" s="227">
        <v>1</v>
      </c>
      <c r="V44" s="227"/>
      <c r="W44" s="227"/>
      <c r="X44" s="227"/>
      <c r="Y44" s="227"/>
      <c r="Z44" s="227"/>
      <c r="AA44" s="227"/>
      <c r="AB44" s="227"/>
      <c r="AC44" s="227"/>
      <c r="AD44" s="227"/>
      <c r="AE44" s="41">
        <f t="shared" si="8"/>
        <v>7</v>
      </c>
      <c r="AF44" s="104" t="s">
        <v>524</v>
      </c>
      <c r="AG44" s="44" t="s">
        <v>499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32" t="s">
        <v>460</v>
      </c>
      <c r="F45" s="41">
        <f t="shared" si="7"/>
        <v>8</v>
      </c>
      <c r="G45" s="102"/>
      <c r="H45" s="102"/>
      <c r="I45" s="102"/>
      <c r="J45" s="102"/>
      <c r="K45" s="102"/>
      <c r="L45" s="102"/>
      <c r="M45" s="102"/>
      <c r="N45" s="227">
        <v>1</v>
      </c>
      <c r="O45" s="227">
        <v>1</v>
      </c>
      <c r="P45" s="227">
        <v>1</v>
      </c>
      <c r="Q45" s="227">
        <v>1</v>
      </c>
      <c r="R45" s="227">
        <v>1</v>
      </c>
      <c r="S45" s="227">
        <v>1</v>
      </c>
      <c r="T45" s="227">
        <v>1</v>
      </c>
      <c r="U45" s="227">
        <v>1</v>
      </c>
      <c r="V45" s="227"/>
      <c r="W45" s="227"/>
      <c r="X45" s="227"/>
      <c r="Y45" s="227"/>
      <c r="Z45" s="227"/>
      <c r="AA45" s="227"/>
      <c r="AB45" s="227"/>
      <c r="AC45" s="227"/>
      <c r="AD45" s="227"/>
      <c r="AE45" s="41">
        <f t="shared" si="8"/>
        <v>8</v>
      </c>
      <c r="AF45" s="104" t="s">
        <v>288</v>
      </c>
      <c r="AG45" s="44" t="s">
        <v>499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32" t="s">
        <v>478</v>
      </c>
      <c r="F46" s="41">
        <f t="shared" si="7"/>
        <v>7</v>
      </c>
      <c r="G46" s="77"/>
      <c r="H46" s="77"/>
      <c r="I46" s="77"/>
      <c r="J46" s="77"/>
      <c r="K46" s="77"/>
      <c r="L46" s="77"/>
      <c r="M46" s="77"/>
      <c r="N46" s="227">
        <v>1</v>
      </c>
      <c r="O46" s="227">
        <v>1</v>
      </c>
      <c r="P46" s="227">
        <v>1</v>
      </c>
      <c r="Q46" s="227">
        <v>1</v>
      </c>
      <c r="R46" s="227">
        <v>1</v>
      </c>
      <c r="S46" s="227">
        <v>1</v>
      </c>
      <c r="T46" s="227">
        <v>1</v>
      </c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41">
        <f t="shared" si="8"/>
        <v>7</v>
      </c>
      <c r="AF46" s="104" t="s">
        <v>196</v>
      </c>
      <c r="AG46" s="44" t="s">
        <v>499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32" t="s">
        <v>461</v>
      </c>
      <c r="F47" s="41">
        <f t="shared" si="7"/>
        <v>7</v>
      </c>
      <c r="G47" s="77"/>
      <c r="H47" s="77"/>
      <c r="I47" s="77"/>
      <c r="J47" s="77"/>
      <c r="K47" s="77"/>
      <c r="L47" s="77"/>
      <c r="M47" s="77"/>
      <c r="N47" s="227">
        <v>1</v>
      </c>
      <c r="O47" s="227">
        <v>1</v>
      </c>
      <c r="P47" s="227">
        <v>1</v>
      </c>
      <c r="Q47" s="227">
        <v>1</v>
      </c>
      <c r="R47" s="227">
        <v>1</v>
      </c>
      <c r="S47" s="227">
        <v>1</v>
      </c>
      <c r="T47" s="227">
        <v>1</v>
      </c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41">
        <f t="shared" si="8"/>
        <v>7</v>
      </c>
      <c r="AF47" s="104" t="s">
        <v>196</v>
      </c>
      <c r="AG47" s="44" t="s">
        <v>499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32" t="s">
        <v>463</v>
      </c>
      <c r="F48" s="41">
        <f t="shared" si="7"/>
        <v>8</v>
      </c>
      <c r="G48" s="77"/>
      <c r="H48" s="77"/>
      <c r="I48" s="77"/>
      <c r="J48" s="77"/>
      <c r="K48" s="77"/>
      <c r="L48" s="77"/>
      <c r="M48" s="77"/>
      <c r="N48" s="227">
        <v>1</v>
      </c>
      <c r="O48" s="227">
        <v>1</v>
      </c>
      <c r="P48" s="227">
        <v>1</v>
      </c>
      <c r="Q48" s="227">
        <v>1</v>
      </c>
      <c r="R48" s="227">
        <v>1</v>
      </c>
      <c r="S48" s="227">
        <v>1</v>
      </c>
      <c r="T48" s="227">
        <v>1</v>
      </c>
      <c r="U48" s="227">
        <v>1</v>
      </c>
      <c r="V48" s="227"/>
      <c r="W48" s="227"/>
      <c r="X48" s="227"/>
      <c r="Y48" s="227"/>
      <c r="Z48" s="227"/>
      <c r="AA48" s="227"/>
      <c r="AB48" s="227"/>
      <c r="AC48" s="227"/>
      <c r="AD48" s="227"/>
      <c r="AE48" s="41">
        <f t="shared" si="8"/>
        <v>8</v>
      </c>
      <c r="AF48" s="104" t="s">
        <v>288</v>
      </c>
      <c r="AG48" s="44" t="s">
        <v>499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32" t="s">
        <v>465</v>
      </c>
      <c r="F49" s="41">
        <f t="shared" si="7"/>
        <v>7</v>
      </c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227">
        <v>1</v>
      </c>
      <c r="U49" s="227">
        <v>1</v>
      </c>
      <c r="V49" s="227">
        <v>1</v>
      </c>
      <c r="W49" s="227">
        <v>1</v>
      </c>
      <c r="X49" s="227"/>
      <c r="Y49" s="227">
        <v>1</v>
      </c>
      <c r="Z49" s="227">
        <v>1</v>
      </c>
      <c r="AA49" s="227">
        <v>1</v>
      </c>
      <c r="AB49" s="77"/>
      <c r="AC49" s="77"/>
      <c r="AD49" s="77"/>
      <c r="AE49" s="41">
        <f t="shared" si="8"/>
        <v>7</v>
      </c>
      <c r="AF49" s="241" t="s">
        <v>525</v>
      </c>
      <c r="AG49" s="44" t="s">
        <v>499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32" t="s">
        <v>466</v>
      </c>
      <c r="F50" s="41">
        <f t="shared" si="7"/>
        <v>9</v>
      </c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227">
        <v>1</v>
      </c>
      <c r="T50" s="227">
        <v>1</v>
      </c>
      <c r="U50" s="227">
        <v>1</v>
      </c>
      <c r="V50" s="227">
        <v>1</v>
      </c>
      <c r="W50" s="227">
        <v>1</v>
      </c>
      <c r="X50" s="227">
        <v>1</v>
      </c>
      <c r="Y50" s="227">
        <v>1</v>
      </c>
      <c r="Z50" s="227">
        <v>1</v>
      </c>
      <c r="AA50" s="227">
        <v>1</v>
      </c>
      <c r="AB50" s="77"/>
      <c r="AC50" s="77"/>
      <c r="AD50" s="77"/>
      <c r="AE50" s="41">
        <f t="shared" si="8"/>
        <v>9</v>
      </c>
      <c r="AF50" s="241" t="s">
        <v>312</v>
      </c>
      <c r="AG50" s="44" t="s">
        <v>499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32" t="s">
        <v>467</v>
      </c>
      <c r="F51" s="41">
        <f t="shared" si="7"/>
        <v>8</v>
      </c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227"/>
      <c r="S51" s="227">
        <v>1</v>
      </c>
      <c r="T51" s="227">
        <v>1</v>
      </c>
      <c r="U51" s="227">
        <v>1</v>
      </c>
      <c r="V51" s="227"/>
      <c r="W51" s="227">
        <v>1</v>
      </c>
      <c r="X51" s="227">
        <v>1</v>
      </c>
      <c r="Y51" s="227">
        <v>1</v>
      </c>
      <c r="Z51" s="227">
        <v>1</v>
      </c>
      <c r="AA51" s="227">
        <v>1</v>
      </c>
      <c r="AB51" s="77"/>
      <c r="AC51" s="77"/>
      <c r="AD51" s="77"/>
      <c r="AE51" s="41">
        <f t="shared" si="8"/>
        <v>8</v>
      </c>
      <c r="AF51" s="241" t="s">
        <v>223</v>
      </c>
      <c r="AG51" s="44"/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32" t="s">
        <v>491</v>
      </c>
      <c r="F52" s="41">
        <f t="shared" si="7"/>
        <v>9</v>
      </c>
      <c r="G52" s="77"/>
      <c r="H52" s="77"/>
      <c r="I52" s="77"/>
      <c r="J52" s="77"/>
      <c r="K52" s="77"/>
      <c r="L52" s="77"/>
      <c r="M52" s="77"/>
      <c r="N52" s="77"/>
      <c r="O52" s="227"/>
      <c r="P52" s="227">
        <v>1</v>
      </c>
      <c r="Q52" s="227">
        <v>1</v>
      </c>
      <c r="R52" s="227">
        <v>1</v>
      </c>
      <c r="S52" s="227">
        <v>1</v>
      </c>
      <c r="T52" s="227">
        <v>1</v>
      </c>
      <c r="U52" s="227">
        <v>1</v>
      </c>
      <c r="V52" s="227">
        <v>1</v>
      </c>
      <c r="W52" s="227">
        <v>1</v>
      </c>
      <c r="X52" s="227">
        <v>1</v>
      </c>
      <c r="Y52" s="102"/>
      <c r="Z52" s="102"/>
      <c r="AA52" s="102"/>
      <c r="AB52" s="102"/>
      <c r="AC52" s="102"/>
      <c r="AD52" s="102"/>
      <c r="AE52" s="101">
        <f t="shared" si="8"/>
        <v>9</v>
      </c>
      <c r="AF52" s="104" t="s">
        <v>238</v>
      </c>
      <c r="AG52" s="44"/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32" t="s">
        <v>493</v>
      </c>
      <c r="F53" s="41">
        <f t="shared" si="7"/>
        <v>9</v>
      </c>
      <c r="G53" s="77"/>
      <c r="H53" s="77"/>
      <c r="I53" s="77"/>
      <c r="J53" s="77"/>
      <c r="K53" s="77"/>
      <c r="L53" s="77"/>
      <c r="M53" s="77"/>
      <c r="N53" s="77"/>
      <c r="O53" s="227">
        <v>1</v>
      </c>
      <c r="P53" s="227">
        <v>1</v>
      </c>
      <c r="Q53" s="227">
        <v>1</v>
      </c>
      <c r="R53" s="227">
        <v>1</v>
      </c>
      <c r="S53" s="227">
        <v>1</v>
      </c>
      <c r="T53" s="227"/>
      <c r="U53" s="227">
        <v>1</v>
      </c>
      <c r="V53" s="227">
        <v>1</v>
      </c>
      <c r="W53" s="227">
        <v>1</v>
      </c>
      <c r="X53" s="227">
        <v>1</v>
      </c>
      <c r="Y53" s="102"/>
      <c r="Z53" s="102"/>
      <c r="AA53" s="102"/>
      <c r="AB53" s="102"/>
      <c r="AC53" s="102"/>
      <c r="AD53" s="102"/>
      <c r="AE53" s="101">
        <f t="shared" si="8"/>
        <v>9</v>
      </c>
      <c r="AF53" s="104" t="s">
        <v>214</v>
      </c>
      <c r="AG53" s="44"/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32" t="s">
        <v>469</v>
      </c>
      <c r="F54" s="41">
        <f t="shared" si="7"/>
        <v>9</v>
      </c>
      <c r="G54" s="77"/>
      <c r="H54" s="77"/>
      <c r="I54" s="77"/>
      <c r="J54" s="77"/>
      <c r="K54" s="77"/>
      <c r="L54" s="77"/>
      <c r="M54" s="77"/>
      <c r="N54" s="77"/>
      <c r="O54" s="227">
        <v>1</v>
      </c>
      <c r="P54" s="227">
        <v>1</v>
      </c>
      <c r="Q54" s="227">
        <v>1</v>
      </c>
      <c r="R54" s="227">
        <v>1</v>
      </c>
      <c r="S54" s="227">
        <v>1</v>
      </c>
      <c r="T54" s="227"/>
      <c r="U54" s="227">
        <v>1</v>
      </c>
      <c r="V54" s="227">
        <v>1</v>
      </c>
      <c r="W54" s="227">
        <v>1</v>
      </c>
      <c r="X54" s="227">
        <v>1</v>
      </c>
      <c r="Y54" s="102"/>
      <c r="Z54" s="102"/>
      <c r="AA54" s="102"/>
      <c r="AB54" s="102"/>
      <c r="AC54" s="102"/>
      <c r="AD54" s="102"/>
      <c r="AE54" s="101">
        <f t="shared" si="8"/>
        <v>9</v>
      </c>
      <c r="AF54" s="104" t="s">
        <v>214</v>
      </c>
      <c r="AG54" s="44"/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32" t="s">
        <v>495</v>
      </c>
      <c r="F55" s="41">
        <f t="shared" si="7"/>
        <v>9</v>
      </c>
      <c r="G55" s="77"/>
      <c r="H55" s="77"/>
      <c r="I55" s="77"/>
      <c r="J55" s="77"/>
      <c r="K55" s="77"/>
      <c r="L55" s="77"/>
      <c r="M55" s="77"/>
      <c r="N55" s="77"/>
      <c r="O55" s="227"/>
      <c r="P55" s="227">
        <v>1</v>
      </c>
      <c r="Q55" s="227">
        <v>1</v>
      </c>
      <c r="R55" s="227">
        <v>1</v>
      </c>
      <c r="S55" s="227">
        <v>1</v>
      </c>
      <c r="T55" s="227">
        <v>1</v>
      </c>
      <c r="U55" s="227">
        <v>1</v>
      </c>
      <c r="V55" s="227">
        <v>1</v>
      </c>
      <c r="W55" s="227">
        <v>1</v>
      </c>
      <c r="X55" s="227">
        <v>1</v>
      </c>
      <c r="Y55" s="102"/>
      <c r="Z55" s="102"/>
      <c r="AA55" s="102"/>
      <c r="AB55" s="102"/>
      <c r="AC55" s="102"/>
      <c r="AD55" s="102"/>
      <c r="AE55" s="101">
        <f t="shared" si="8"/>
        <v>9</v>
      </c>
      <c r="AF55" s="104" t="s">
        <v>193</v>
      </c>
      <c r="AG55" s="44"/>
    </row>
    <row r="56" spans="1:33" ht="14.25" customHeight="1">
      <c r="A56" s="38" t="s">
        <v>41</v>
      </c>
      <c r="B56" s="188" t="s">
        <v>507</v>
      </c>
      <c r="C56" s="98"/>
      <c r="D56" s="86">
        <v>49</v>
      </c>
      <c r="E56" s="232" t="s">
        <v>508</v>
      </c>
      <c r="F56" s="41">
        <f t="shared" si="7"/>
        <v>0</v>
      </c>
      <c r="G56" s="77"/>
      <c r="H56" s="77"/>
      <c r="I56" s="77"/>
      <c r="J56" s="77"/>
      <c r="K56" s="77"/>
      <c r="L56" s="77"/>
      <c r="M56" s="77"/>
      <c r="N56" s="77"/>
      <c r="O56" s="243" t="s">
        <v>205</v>
      </c>
      <c r="P56" s="243" t="s">
        <v>205</v>
      </c>
      <c r="Q56" s="243" t="s">
        <v>205</v>
      </c>
      <c r="R56" s="243" t="s">
        <v>205</v>
      </c>
      <c r="S56" s="227"/>
      <c r="T56" s="243" t="s">
        <v>205</v>
      </c>
      <c r="U56" s="243" t="s">
        <v>205</v>
      </c>
      <c r="V56" s="243" t="s">
        <v>205</v>
      </c>
      <c r="W56" s="243" t="s">
        <v>205</v>
      </c>
      <c r="X56" s="243" t="s">
        <v>205</v>
      </c>
      <c r="Y56" s="102"/>
      <c r="Z56" s="102"/>
      <c r="AA56" s="102"/>
      <c r="AB56" s="102"/>
      <c r="AC56" s="102"/>
      <c r="AD56" s="102"/>
      <c r="AE56" s="101">
        <f t="shared" si="8"/>
        <v>0</v>
      </c>
      <c r="AF56" s="104" t="s">
        <v>310</v>
      </c>
      <c r="AG56" s="44"/>
    </row>
    <row r="57" spans="1:33" ht="14.25" customHeight="1">
      <c r="A57" s="38" t="s">
        <v>41</v>
      </c>
      <c r="B57" s="188" t="s">
        <v>496</v>
      </c>
      <c r="C57" s="98">
        <v>999013936</v>
      </c>
      <c r="D57" s="39">
        <v>50</v>
      </c>
      <c r="E57" s="232" t="s">
        <v>497</v>
      </c>
      <c r="F57" s="41">
        <f t="shared" si="7"/>
        <v>9</v>
      </c>
      <c r="G57" s="77"/>
      <c r="H57" s="77"/>
      <c r="I57" s="102"/>
      <c r="J57" s="102"/>
      <c r="K57" s="102"/>
      <c r="L57" s="102"/>
      <c r="M57" s="102"/>
      <c r="N57" s="102"/>
      <c r="O57" s="227">
        <v>1</v>
      </c>
      <c r="P57" s="227">
        <v>1</v>
      </c>
      <c r="Q57" s="227">
        <v>1</v>
      </c>
      <c r="R57" s="227">
        <v>1</v>
      </c>
      <c r="S57" s="227"/>
      <c r="T57" s="227">
        <v>1</v>
      </c>
      <c r="U57" s="227">
        <v>1</v>
      </c>
      <c r="V57" s="227">
        <v>1</v>
      </c>
      <c r="W57" s="227">
        <v>1</v>
      </c>
      <c r="X57" s="227">
        <v>1</v>
      </c>
      <c r="Y57" s="102"/>
      <c r="Z57" s="102"/>
      <c r="AA57" s="102"/>
      <c r="AB57" s="102"/>
      <c r="AC57" s="102"/>
      <c r="AD57" s="102"/>
      <c r="AE57" s="101">
        <f t="shared" si="8"/>
        <v>9</v>
      </c>
      <c r="AF57" s="104" t="s">
        <v>310</v>
      </c>
      <c r="AG57" s="44"/>
    </row>
    <row r="58" spans="1:33" ht="14.25" customHeight="1">
      <c r="A58" s="98"/>
      <c r="B58" s="98"/>
      <c r="C58" s="98"/>
      <c r="D58" s="86">
        <v>1</v>
      </c>
      <c r="E58" s="134" t="s">
        <v>138</v>
      </c>
      <c r="F58" s="88">
        <v>11</v>
      </c>
      <c r="G58" s="77"/>
      <c r="H58" s="77"/>
      <c r="I58" s="77"/>
      <c r="J58" s="77"/>
      <c r="K58" s="77"/>
      <c r="L58" s="77"/>
      <c r="M58" s="77"/>
      <c r="N58" s="226"/>
      <c r="O58" s="226"/>
      <c r="P58" s="226"/>
      <c r="Q58" s="226"/>
      <c r="R58" s="227">
        <v>1</v>
      </c>
      <c r="S58" s="227">
        <v>1</v>
      </c>
      <c r="T58" s="227">
        <v>1</v>
      </c>
      <c r="U58" s="226"/>
      <c r="V58" s="573" t="s">
        <v>292</v>
      </c>
      <c r="W58" s="555"/>
      <c r="X58" s="555"/>
      <c r="Y58" s="555"/>
      <c r="Z58" s="555"/>
      <c r="AA58" s="555"/>
      <c r="AB58" s="555"/>
      <c r="AC58" s="542"/>
      <c r="AD58" s="47"/>
      <c r="AE58" s="41">
        <v>11</v>
      </c>
      <c r="AF58" s="43" t="s">
        <v>318</v>
      </c>
      <c r="AG58" s="44"/>
    </row>
    <row r="59" spans="1:33" ht="14.25" customHeight="1">
      <c r="A59" s="98"/>
      <c r="B59" s="98"/>
      <c r="C59" s="98"/>
      <c r="D59" s="39">
        <v>2</v>
      </c>
      <c r="E59" s="131" t="s">
        <v>191</v>
      </c>
      <c r="F59" s="41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  <c r="Z59" s="77">
        <v>0</v>
      </c>
      <c r="AA59" s="77">
        <v>0</v>
      </c>
      <c r="AB59" s="77">
        <v>0</v>
      </c>
      <c r="AC59" s="77">
        <v>0</v>
      </c>
      <c r="AD59" s="77">
        <v>0</v>
      </c>
      <c r="AE59" s="41">
        <f t="shared" ref="AE59:AE60" si="9">SUM(G59:AD59)</f>
        <v>0</v>
      </c>
      <c r="AF59" s="89" t="s">
        <v>225</v>
      </c>
      <c r="AG59" s="44"/>
    </row>
    <row r="60" spans="1:33" ht="14.25" customHeight="1">
      <c r="A60" s="98"/>
      <c r="B60" s="98"/>
      <c r="C60" s="98"/>
      <c r="D60" s="39">
        <v>1</v>
      </c>
      <c r="E60" s="133" t="s">
        <v>363</v>
      </c>
      <c r="F60" s="41">
        <v>0</v>
      </c>
      <c r="G60" s="42" t="s">
        <v>352</v>
      </c>
      <c r="H60" s="42" t="s">
        <v>352</v>
      </c>
      <c r="I60" s="42" t="s">
        <v>352</v>
      </c>
      <c r="J60" s="42" t="s">
        <v>352</v>
      </c>
      <c r="K60" s="42" t="s">
        <v>352</v>
      </c>
      <c r="L60" s="42" t="s">
        <v>352</v>
      </c>
      <c r="M60" s="42" t="s">
        <v>352</v>
      </c>
      <c r="N60" s="42" t="s">
        <v>352</v>
      </c>
      <c r="O60" s="42" t="s">
        <v>352</v>
      </c>
      <c r="P60" s="42" t="s">
        <v>352</v>
      </c>
      <c r="Q60" s="42" t="s">
        <v>352</v>
      </c>
      <c r="R60" s="42" t="s">
        <v>352</v>
      </c>
      <c r="S60" s="42" t="s">
        <v>352</v>
      </c>
      <c r="T60" s="42" t="s">
        <v>352</v>
      </c>
      <c r="U60" s="42" t="s">
        <v>352</v>
      </c>
      <c r="V60" s="42" t="s">
        <v>352</v>
      </c>
      <c r="W60" s="42" t="s">
        <v>352</v>
      </c>
      <c r="X60" s="42" t="s">
        <v>352</v>
      </c>
      <c r="Y60" s="42" t="s">
        <v>352</v>
      </c>
      <c r="Z60" s="42" t="s">
        <v>352</v>
      </c>
      <c r="AA60" s="42" t="s">
        <v>352</v>
      </c>
      <c r="AB60" s="42" t="s">
        <v>352</v>
      </c>
      <c r="AC60" s="42" t="s">
        <v>352</v>
      </c>
      <c r="AD60" s="42" t="s">
        <v>352</v>
      </c>
      <c r="AE60" s="41">
        <f t="shared" si="9"/>
        <v>0</v>
      </c>
      <c r="AF60" s="64" t="s">
        <v>6</v>
      </c>
      <c r="AG60" s="44"/>
    </row>
    <row r="61" spans="1:33" ht="14.25" customHeight="1">
      <c r="A61" s="2"/>
      <c r="B61" s="2"/>
      <c r="C61" s="2"/>
      <c r="D61" s="48"/>
      <c r="E61" s="49"/>
      <c r="F61" s="50"/>
      <c r="G61" s="51" t="s">
        <v>9</v>
      </c>
      <c r="H61" s="51" t="s">
        <v>10</v>
      </c>
      <c r="I61" s="51" t="s">
        <v>11</v>
      </c>
      <c r="J61" s="51" t="s">
        <v>12</v>
      </c>
      <c r="K61" s="51" t="s">
        <v>13</v>
      </c>
      <c r="L61" s="51" t="s">
        <v>14</v>
      </c>
      <c r="M61" s="51" t="s">
        <v>15</v>
      </c>
      <c r="N61" s="51" t="s">
        <v>16</v>
      </c>
      <c r="O61" s="106" t="s">
        <v>17</v>
      </c>
      <c r="P61" s="106" t="s">
        <v>18</v>
      </c>
      <c r="Q61" s="107" t="s">
        <v>19</v>
      </c>
      <c r="R61" s="107" t="s">
        <v>20</v>
      </c>
      <c r="S61" s="107" t="s">
        <v>21</v>
      </c>
      <c r="T61" s="107" t="s">
        <v>22</v>
      </c>
      <c r="U61" s="107" t="s">
        <v>23</v>
      </c>
      <c r="V61" s="107" t="s">
        <v>24</v>
      </c>
      <c r="W61" s="107" t="s">
        <v>25</v>
      </c>
      <c r="X61" s="107" t="s">
        <v>26</v>
      </c>
      <c r="Y61" s="107" t="s">
        <v>27</v>
      </c>
      <c r="Z61" s="107" t="s">
        <v>28</v>
      </c>
      <c r="AA61" s="52" t="s">
        <v>29</v>
      </c>
      <c r="AB61" s="52" t="s">
        <v>30</v>
      </c>
      <c r="AC61" s="52" t="s">
        <v>31</v>
      </c>
      <c r="AD61" s="51" t="s">
        <v>32</v>
      </c>
      <c r="AE61" s="53"/>
      <c r="AF61" s="25"/>
      <c r="AG61" s="25"/>
    </row>
    <row r="62" spans="1:3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4.25" customHeight="1">
      <c r="A63" s="3"/>
      <c r="B63" s="3"/>
      <c r="C63" s="3"/>
      <c r="D63" s="48"/>
      <c r="E63" s="547" t="s">
        <v>8</v>
      </c>
      <c r="F63" s="548"/>
      <c r="G63" s="12">
        <v>2</v>
      </c>
      <c r="H63" s="12">
        <v>2</v>
      </c>
      <c r="I63" s="12">
        <v>2</v>
      </c>
      <c r="J63" s="12">
        <v>2</v>
      </c>
      <c r="K63" s="12">
        <v>2</v>
      </c>
      <c r="L63" s="12">
        <v>2</v>
      </c>
      <c r="M63" s="234">
        <v>3</v>
      </c>
      <c r="N63" s="234">
        <v>3</v>
      </c>
      <c r="O63" s="144">
        <v>6</v>
      </c>
      <c r="P63" s="144">
        <v>6</v>
      </c>
      <c r="Q63" s="144">
        <v>6</v>
      </c>
      <c r="R63" s="144">
        <v>6</v>
      </c>
      <c r="S63" s="144">
        <v>6</v>
      </c>
      <c r="T63" s="144">
        <v>6</v>
      </c>
      <c r="U63" s="144">
        <v>6</v>
      </c>
      <c r="V63" s="144">
        <v>6</v>
      </c>
      <c r="W63" s="144">
        <v>6</v>
      </c>
      <c r="X63" s="144">
        <v>6</v>
      </c>
      <c r="Y63" s="144">
        <v>6</v>
      </c>
      <c r="Z63" s="56">
        <v>5</v>
      </c>
      <c r="AA63" s="56">
        <v>5</v>
      </c>
      <c r="AB63" s="242">
        <v>4</v>
      </c>
      <c r="AC63" s="234">
        <v>3</v>
      </c>
      <c r="AD63" s="12">
        <v>2</v>
      </c>
      <c r="AE63" s="18">
        <f>SUM(G63:AD63)</f>
        <v>103</v>
      </c>
      <c r="AF63" s="25"/>
      <c r="AG63" s="3"/>
    </row>
    <row r="64" spans="1:33" ht="14.25" customHeight="1">
      <c r="A64" s="3"/>
      <c r="B64" s="3"/>
      <c r="C64" s="3"/>
      <c r="D64" s="48"/>
      <c r="E64" s="59"/>
      <c r="F64" s="59"/>
      <c r="G64" s="28">
        <f t="shared" ref="G64:AD64" si="10">G66-G63</f>
        <v>0</v>
      </c>
      <c r="H64" s="28">
        <f t="shared" si="10"/>
        <v>0</v>
      </c>
      <c r="I64" s="28">
        <f t="shared" si="10"/>
        <v>0</v>
      </c>
      <c r="J64" s="28">
        <f t="shared" si="10"/>
        <v>0</v>
      </c>
      <c r="K64" s="28">
        <f t="shared" si="10"/>
        <v>0</v>
      </c>
      <c r="L64" s="28">
        <f t="shared" si="10"/>
        <v>0</v>
      </c>
      <c r="M64" s="84">
        <f t="shared" si="10"/>
        <v>2</v>
      </c>
      <c r="N64" s="84">
        <f t="shared" si="10"/>
        <v>1</v>
      </c>
      <c r="O64" s="205">
        <f t="shared" si="10"/>
        <v>-1</v>
      </c>
      <c r="P64" s="205">
        <f t="shared" si="10"/>
        <v>-1</v>
      </c>
      <c r="Q64" s="28">
        <f t="shared" si="10"/>
        <v>0</v>
      </c>
      <c r="R64" s="28">
        <f t="shared" si="10"/>
        <v>0</v>
      </c>
      <c r="S64" s="205">
        <f t="shared" si="10"/>
        <v>-2</v>
      </c>
      <c r="T64" s="205">
        <f t="shared" si="10"/>
        <v>-1</v>
      </c>
      <c r="U64" s="205">
        <f t="shared" si="10"/>
        <v>-2</v>
      </c>
      <c r="V64" s="28">
        <f t="shared" si="10"/>
        <v>0</v>
      </c>
      <c r="W64" s="28">
        <f t="shared" si="10"/>
        <v>0</v>
      </c>
      <c r="X64" s="28">
        <f t="shared" si="10"/>
        <v>0</v>
      </c>
      <c r="Y64" s="28">
        <f t="shared" si="10"/>
        <v>0</v>
      </c>
      <c r="Z64" s="28">
        <f t="shared" si="10"/>
        <v>0</v>
      </c>
      <c r="AA64" s="28">
        <f t="shared" si="10"/>
        <v>0</v>
      </c>
      <c r="AB64" s="28">
        <f t="shared" si="10"/>
        <v>0</v>
      </c>
      <c r="AC64" s="28">
        <f t="shared" si="10"/>
        <v>0</v>
      </c>
      <c r="AD64" s="28">
        <f t="shared" si="10"/>
        <v>0</v>
      </c>
      <c r="AE64" s="53"/>
      <c r="AF64" s="3"/>
      <c r="AG64" s="3"/>
    </row>
    <row r="65" spans="1:33" ht="14.25" customHeight="1">
      <c r="A65" s="3"/>
      <c r="B65" s="3"/>
      <c r="C65" s="3"/>
      <c r="D65" s="48"/>
      <c r="E65" s="60" t="s">
        <v>145</v>
      </c>
      <c r="F65" s="59"/>
      <c r="G65" s="51" t="s">
        <v>9</v>
      </c>
      <c r="H65" s="51" t="s">
        <v>10</v>
      </c>
      <c r="I65" s="51" t="s">
        <v>11</v>
      </c>
      <c r="J65" s="51" t="s">
        <v>12</v>
      </c>
      <c r="K65" s="51" t="s">
        <v>13</v>
      </c>
      <c r="L65" s="51" t="s">
        <v>14</v>
      </c>
      <c r="M65" s="51" t="s">
        <v>15</v>
      </c>
      <c r="N65" s="51" t="s">
        <v>16</v>
      </c>
      <c r="O65" s="51" t="s">
        <v>17</v>
      </c>
      <c r="P65" s="51" t="s">
        <v>18</v>
      </c>
      <c r="Q65" s="52" t="s">
        <v>19</v>
      </c>
      <c r="R65" s="52" t="s">
        <v>20</v>
      </c>
      <c r="S65" s="52" t="s">
        <v>21</v>
      </c>
      <c r="T65" s="52" t="s">
        <v>22</v>
      </c>
      <c r="U65" s="52" t="s">
        <v>23</v>
      </c>
      <c r="V65" s="52" t="s">
        <v>24</v>
      </c>
      <c r="W65" s="52" t="s">
        <v>25</v>
      </c>
      <c r="X65" s="52" t="s">
        <v>26</v>
      </c>
      <c r="Y65" s="52" t="s">
        <v>27</v>
      </c>
      <c r="Z65" s="52" t="s">
        <v>28</v>
      </c>
      <c r="AA65" s="52" t="s">
        <v>29</v>
      </c>
      <c r="AB65" s="52" t="s">
        <v>30</v>
      </c>
      <c r="AC65" s="52" t="s">
        <v>31</v>
      </c>
      <c r="AD65" s="51" t="s">
        <v>32</v>
      </c>
      <c r="AE65" s="53"/>
      <c r="AF65" s="25"/>
      <c r="AG65" s="3"/>
    </row>
    <row r="66" spans="1:33" ht="14.25" customHeight="1">
      <c r="A66" s="3"/>
      <c r="B66" s="3"/>
      <c r="C66" s="3"/>
      <c r="D66" s="48"/>
      <c r="E66" s="61" t="s">
        <v>37</v>
      </c>
      <c r="F66" s="37" t="s">
        <v>38</v>
      </c>
      <c r="G66" s="35">
        <f t="shared" ref="G66:AD66" si="11">SUM(G67:G84)</f>
        <v>2</v>
      </c>
      <c r="H66" s="35">
        <f t="shared" si="11"/>
        <v>2</v>
      </c>
      <c r="I66" s="35">
        <f t="shared" si="11"/>
        <v>2</v>
      </c>
      <c r="J66" s="35">
        <f t="shared" si="11"/>
        <v>2</v>
      </c>
      <c r="K66" s="35">
        <f t="shared" si="11"/>
        <v>2</v>
      </c>
      <c r="L66" s="35">
        <f t="shared" si="11"/>
        <v>2</v>
      </c>
      <c r="M66" s="35">
        <f t="shared" si="11"/>
        <v>5</v>
      </c>
      <c r="N66" s="35">
        <f t="shared" si="11"/>
        <v>4</v>
      </c>
      <c r="O66" s="35">
        <f t="shared" si="11"/>
        <v>5</v>
      </c>
      <c r="P66" s="35">
        <f t="shared" si="11"/>
        <v>5</v>
      </c>
      <c r="Q66" s="35">
        <f t="shared" si="11"/>
        <v>6</v>
      </c>
      <c r="R66" s="35">
        <f t="shared" si="11"/>
        <v>6</v>
      </c>
      <c r="S66" s="35">
        <f t="shared" si="11"/>
        <v>4</v>
      </c>
      <c r="T66" s="35">
        <f t="shared" si="11"/>
        <v>5</v>
      </c>
      <c r="U66" s="35">
        <f t="shared" si="11"/>
        <v>4</v>
      </c>
      <c r="V66" s="35">
        <f t="shared" si="11"/>
        <v>6</v>
      </c>
      <c r="W66" s="35">
        <f t="shared" si="11"/>
        <v>6</v>
      </c>
      <c r="X66" s="35">
        <f t="shared" si="11"/>
        <v>6</v>
      </c>
      <c r="Y66" s="35">
        <f t="shared" si="11"/>
        <v>6</v>
      </c>
      <c r="Z66" s="35">
        <f t="shared" si="11"/>
        <v>5</v>
      </c>
      <c r="AA66" s="35">
        <f t="shared" si="11"/>
        <v>5</v>
      </c>
      <c r="AB66" s="35">
        <f t="shared" si="11"/>
        <v>4</v>
      </c>
      <c r="AC66" s="35">
        <f t="shared" si="11"/>
        <v>3</v>
      </c>
      <c r="AD66" s="35">
        <f t="shared" si="11"/>
        <v>2</v>
      </c>
      <c r="AE66" s="30">
        <f>SUM(G66:AD66)</f>
        <v>99</v>
      </c>
      <c r="AF66" s="36" t="s">
        <v>39</v>
      </c>
      <c r="AG66" s="37" t="s">
        <v>40</v>
      </c>
    </row>
    <row r="67" spans="1:33" ht="14.25" customHeight="1">
      <c r="A67" s="38" t="s">
        <v>145</v>
      </c>
      <c r="B67" s="38" t="s">
        <v>67</v>
      </c>
      <c r="C67" s="38">
        <v>996585473</v>
      </c>
      <c r="D67" s="99">
        <v>1</v>
      </c>
      <c r="E67" s="40" t="s">
        <v>68</v>
      </c>
      <c r="F67" s="41">
        <f t="shared" ref="F67:F84" si="12">SUM(G67:AD67)</f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0</v>
      </c>
      <c r="U67" s="226">
        <v>0</v>
      </c>
      <c r="V67" s="226">
        <v>0</v>
      </c>
      <c r="W67" s="226">
        <v>0</v>
      </c>
      <c r="X67" s="226">
        <v>0</v>
      </c>
      <c r="Y67" s="226">
        <v>0</v>
      </c>
      <c r="Z67" s="226">
        <v>0</v>
      </c>
      <c r="AA67" s="226">
        <v>0</v>
      </c>
      <c r="AB67" s="226">
        <v>0</v>
      </c>
      <c r="AC67" s="226">
        <v>0</v>
      </c>
      <c r="AD67" s="226">
        <v>0</v>
      </c>
      <c r="AE67" s="112">
        <v>0</v>
      </c>
      <c r="AF67" s="89" t="s">
        <v>225</v>
      </c>
      <c r="AG67" s="44" t="s">
        <v>499</v>
      </c>
    </row>
    <row r="68" spans="1:33" ht="14.25" customHeight="1">
      <c r="A68" s="38" t="s">
        <v>145</v>
      </c>
      <c r="B68" s="38" t="s">
        <v>149</v>
      </c>
      <c r="C68" s="38"/>
      <c r="D68" s="62">
        <v>2</v>
      </c>
      <c r="E68" s="40" t="s">
        <v>150</v>
      </c>
      <c r="F68" s="41">
        <f t="shared" si="12"/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226">
        <v>0</v>
      </c>
      <c r="O68" s="226">
        <v>0</v>
      </c>
      <c r="P68" s="226">
        <v>0</v>
      </c>
      <c r="Q68" s="226">
        <v>0</v>
      </c>
      <c r="R68" s="226">
        <v>0</v>
      </c>
      <c r="S68" s="226">
        <v>0</v>
      </c>
      <c r="T68" s="226">
        <v>0</v>
      </c>
      <c r="U68" s="226">
        <v>0</v>
      </c>
      <c r="V68" s="226">
        <v>0</v>
      </c>
      <c r="W68" s="226">
        <v>0</v>
      </c>
      <c r="X68" s="226">
        <v>0</v>
      </c>
      <c r="Y68" s="226">
        <v>0</v>
      </c>
      <c r="Z68" s="226">
        <v>0</v>
      </c>
      <c r="AA68" s="226">
        <v>0</v>
      </c>
      <c r="AB68" s="226">
        <v>0</v>
      </c>
      <c r="AC68" s="226">
        <v>0</v>
      </c>
      <c r="AD68" s="226">
        <v>0</v>
      </c>
      <c r="AE68" s="112">
        <v>0</v>
      </c>
      <c r="AF68" s="89" t="s">
        <v>225</v>
      </c>
      <c r="AG68" s="44" t="s">
        <v>499</v>
      </c>
    </row>
    <row r="69" spans="1:33" ht="14.25" customHeight="1">
      <c r="A69" s="38" t="s">
        <v>145</v>
      </c>
      <c r="B69" s="38" t="s">
        <v>76</v>
      </c>
      <c r="C69" s="38">
        <v>969250973</v>
      </c>
      <c r="D69" s="39">
        <v>3</v>
      </c>
      <c r="E69" s="40" t="s">
        <v>77</v>
      </c>
      <c r="F69" s="41">
        <f t="shared" si="12"/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Z69" s="226">
        <v>0</v>
      </c>
      <c r="AA69" s="226">
        <v>0</v>
      </c>
      <c r="AB69" s="226">
        <v>0</v>
      </c>
      <c r="AC69" s="226">
        <v>0</v>
      </c>
      <c r="AD69" s="226">
        <v>0</v>
      </c>
      <c r="AE69" s="112">
        <v>0</v>
      </c>
      <c r="AF69" s="89" t="s">
        <v>225</v>
      </c>
      <c r="AG69" s="44" t="s">
        <v>499</v>
      </c>
    </row>
    <row r="70" spans="1:33" ht="14.25" customHeight="1">
      <c r="A70" s="38" t="s">
        <v>145</v>
      </c>
      <c r="B70" s="38" t="s">
        <v>152</v>
      </c>
      <c r="C70" s="38">
        <v>990911747</v>
      </c>
      <c r="D70" s="99">
        <v>4</v>
      </c>
      <c r="E70" s="40" t="s">
        <v>153</v>
      </c>
      <c r="F70" s="41">
        <f t="shared" si="12"/>
        <v>12</v>
      </c>
      <c r="G70" s="77"/>
      <c r="H70" s="77"/>
      <c r="I70" s="77"/>
      <c r="J70" s="77"/>
      <c r="K70" s="77"/>
      <c r="L70" s="77"/>
      <c r="M70" s="42">
        <v>1</v>
      </c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/>
      <c r="T70" s="42">
        <v>1</v>
      </c>
      <c r="U70" s="42">
        <v>1</v>
      </c>
      <c r="V70" s="42">
        <v>1</v>
      </c>
      <c r="W70" s="42">
        <v>1</v>
      </c>
      <c r="X70" s="42">
        <v>1</v>
      </c>
      <c r="Y70" s="42">
        <v>1</v>
      </c>
      <c r="Z70" s="42"/>
      <c r="AA70" s="42"/>
      <c r="AB70" s="42"/>
      <c r="AC70" s="42"/>
      <c r="AD70" s="42"/>
      <c r="AE70" s="41">
        <f>SUM(G70:AD70)</f>
        <v>12</v>
      </c>
      <c r="AF70" s="43" t="s">
        <v>366</v>
      </c>
      <c r="AG70" s="44" t="s">
        <v>499</v>
      </c>
    </row>
    <row r="71" spans="1:33" ht="14.25" customHeight="1">
      <c r="A71" s="38" t="s">
        <v>145</v>
      </c>
      <c r="B71" s="38" t="s">
        <v>85</v>
      </c>
      <c r="C71" s="38">
        <v>993901115</v>
      </c>
      <c r="D71" s="62">
        <v>5</v>
      </c>
      <c r="E71" s="40" t="s">
        <v>86</v>
      </c>
      <c r="F71" s="41">
        <f t="shared" si="12"/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Z71" s="226">
        <v>0</v>
      </c>
      <c r="AA71" s="226">
        <v>0</v>
      </c>
      <c r="AB71" s="226">
        <v>0</v>
      </c>
      <c r="AC71" s="226">
        <v>0</v>
      </c>
      <c r="AD71" s="226">
        <v>0</v>
      </c>
      <c r="AE71" s="112">
        <v>0</v>
      </c>
      <c r="AF71" s="89" t="s">
        <v>225</v>
      </c>
      <c r="AG71" s="44" t="s">
        <v>499</v>
      </c>
    </row>
    <row r="72" spans="1:33" ht="14.25" customHeight="1">
      <c r="A72" s="38" t="s">
        <v>145</v>
      </c>
      <c r="B72" s="38" t="s">
        <v>157</v>
      </c>
      <c r="C72" s="38">
        <v>992994680</v>
      </c>
      <c r="D72" s="39">
        <v>6</v>
      </c>
      <c r="E72" s="40" t="s">
        <v>158</v>
      </c>
      <c r="F72" s="41">
        <f t="shared" si="12"/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226">
        <v>0</v>
      </c>
      <c r="O72" s="226">
        <v>0</v>
      </c>
      <c r="P72" s="226">
        <v>0</v>
      </c>
      <c r="Q72" s="226">
        <v>0</v>
      </c>
      <c r="R72" s="226">
        <v>0</v>
      </c>
      <c r="S72" s="226">
        <v>0</v>
      </c>
      <c r="T72" s="226">
        <v>0</v>
      </c>
      <c r="U72" s="226">
        <v>0</v>
      </c>
      <c r="V72" s="226">
        <v>0</v>
      </c>
      <c r="W72" s="226">
        <v>0</v>
      </c>
      <c r="X72" s="226">
        <v>0</v>
      </c>
      <c r="Y72" s="226">
        <v>0</v>
      </c>
      <c r="Z72" s="226">
        <v>0</v>
      </c>
      <c r="AA72" s="226">
        <v>0</v>
      </c>
      <c r="AB72" s="226">
        <v>0</v>
      </c>
      <c r="AC72" s="226">
        <v>0</v>
      </c>
      <c r="AD72" s="226">
        <v>0</v>
      </c>
      <c r="AE72" s="112">
        <v>0</v>
      </c>
      <c r="AF72" s="89" t="s">
        <v>225</v>
      </c>
      <c r="AG72" s="44" t="s">
        <v>499</v>
      </c>
    </row>
    <row r="73" spans="1:33" ht="14.25" customHeight="1">
      <c r="A73" s="38" t="s">
        <v>145</v>
      </c>
      <c r="B73" s="38" t="s">
        <v>160</v>
      </c>
      <c r="C73" s="38"/>
      <c r="D73" s="99">
        <v>7</v>
      </c>
      <c r="E73" s="40" t="s">
        <v>161</v>
      </c>
      <c r="F73" s="41">
        <f t="shared" si="12"/>
        <v>12</v>
      </c>
      <c r="G73" s="42">
        <v>1</v>
      </c>
      <c r="H73" s="42">
        <v>1</v>
      </c>
      <c r="I73" s="42">
        <v>1</v>
      </c>
      <c r="J73" s="42">
        <v>1</v>
      </c>
      <c r="K73" s="42">
        <v>1</v>
      </c>
      <c r="L73" s="42">
        <v>1</v>
      </c>
      <c r="M73" s="42">
        <v>1</v>
      </c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>
        <v>1</v>
      </c>
      <c r="AA73" s="42">
        <v>1</v>
      </c>
      <c r="AB73" s="42">
        <v>1</v>
      </c>
      <c r="AC73" s="42">
        <v>1</v>
      </c>
      <c r="AD73" s="42">
        <v>1</v>
      </c>
      <c r="AE73" s="41">
        <f t="shared" ref="AE73:AE75" si="13">SUM(G73:AD73)</f>
        <v>12</v>
      </c>
      <c r="AF73" s="43" t="s">
        <v>311</v>
      </c>
      <c r="AG73" s="44" t="s">
        <v>499</v>
      </c>
    </row>
    <row r="74" spans="1:33" ht="14.25" customHeight="1">
      <c r="A74" s="76" t="s">
        <v>145</v>
      </c>
      <c r="B74" s="76" t="s">
        <v>165</v>
      </c>
      <c r="C74" s="76"/>
      <c r="D74" s="62">
        <v>8</v>
      </c>
      <c r="E74" s="40" t="s">
        <v>166</v>
      </c>
      <c r="F74" s="41">
        <f t="shared" si="12"/>
        <v>12</v>
      </c>
      <c r="G74" s="42"/>
      <c r="H74" s="42"/>
      <c r="I74" s="42"/>
      <c r="J74" s="42"/>
      <c r="K74" s="42"/>
      <c r="L74" s="42"/>
      <c r="M74" s="42">
        <v>1</v>
      </c>
      <c r="N74" s="42">
        <v>1</v>
      </c>
      <c r="O74" s="42">
        <v>1</v>
      </c>
      <c r="P74" s="42">
        <v>1</v>
      </c>
      <c r="Q74" s="42">
        <v>1</v>
      </c>
      <c r="R74" s="42">
        <v>1</v>
      </c>
      <c r="S74" s="42"/>
      <c r="T74" s="42">
        <v>1</v>
      </c>
      <c r="U74" s="42">
        <v>1</v>
      </c>
      <c r="V74" s="42">
        <v>1</v>
      </c>
      <c r="W74" s="42">
        <v>1</v>
      </c>
      <c r="X74" s="42">
        <v>1</v>
      </c>
      <c r="Y74" s="42">
        <v>1</v>
      </c>
      <c r="Z74" s="42"/>
      <c r="AA74" s="42"/>
      <c r="AB74" s="42"/>
      <c r="AC74" s="42"/>
      <c r="AD74" s="42"/>
      <c r="AE74" s="41">
        <f t="shared" si="13"/>
        <v>12</v>
      </c>
      <c r="AF74" s="43" t="s">
        <v>366</v>
      </c>
      <c r="AG74" s="44" t="s">
        <v>499</v>
      </c>
    </row>
    <row r="75" spans="1:33" ht="14.25" customHeight="1">
      <c r="A75" s="38" t="s">
        <v>145</v>
      </c>
      <c r="B75" s="38" t="s">
        <v>168</v>
      </c>
      <c r="C75" s="38"/>
      <c r="D75" s="39">
        <v>9</v>
      </c>
      <c r="E75" s="40" t="s">
        <v>169</v>
      </c>
      <c r="F75" s="88">
        <f t="shared" si="12"/>
        <v>12</v>
      </c>
      <c r="G75" s="42">
        <v>1</v>
      </c>
      <c r="H75" s="42">
        <v>1</v>
      </c>
      <c r="I75" s="42">
        <v>1</v>
      </c>
      <c r="J75" s="42">
        <v>1</v>
      </c>
      <c r="K75" s="42">
        <v>1</v>
      </c>
      <c r="L75" s="42">
        <v>1</v>
      </c>
      <c r="M75" s="42">
        <v>1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>
        <v>1</v>
      </c>
      <c r="AA75" s="42">
        <v>1</v>
      </c>
      <c r="AB75" s="42">
        <v>1</v>
      </c>
      <c r="AC75" s="42">
        <v>1</v>
      </c>
      <c r="AD75" s="42">
        <v>1</v>
      </c>
      <c r="AE75" s="41">
        <f t="shared" si="13"/>
        <v>12</v>
      </c>
      <c r="AF75" s="43" t="s">
        <v>311</v>
      </c>
      <c r="AG75" s="44" t="s">
        <v>499</v>
      </c>
    </row>
    <row r="76" spans="1:33" ht="14.25" customHeight="1">
      <c r="A76" s="38" t="s">
        <v>145</v>
      </c>
      <c r="B76" s="38" t="s">
        <v>176</v>
      </c>
      <c r="C76" s="38"/>
      <c r="D76" s="99">
        <v>10</v>
      </c>
      <c r="E76" s="100" t="s">
        <v>177</v>
      </c>
      <c r="F76" s="101">
        <f t="shared" si="12"/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X76" s="226">
        <v>0</v>
      </c>
      <c r="Y76" s="226">
        <v>0</v>
      </c>
      <c r="Z76" s="226">
        <v>0</v>
      </c>
      <c r="AA76" s="226">
        <v>0</v>
      </c>
      <c r="AB76" s="226">
        <v>0</v>
      </c>
      <c r="AC76" s="226">
        <v>0</v>
      </c>
      <c r="AD76" s="226">
        <v>0</v>
      </c>
      <c r="AE76" s="112">
        <v>0</v>
      </c>
      <c r="AF76" s="89" t="s">
        <v>225</v>
      </c>
      <c r="AG76" s="44" t="s">
        <v>499</v>
      </c>
    </row>
    <row r="77" spans="1:33" ht="14.25" customHeight="1">
      <c r="A77" s="38"/>
      <c r="B77" s="38" t="s">
        <v>178</v>
      </c>
      <c r="C77" s="38"/>
      <c r="D77" s="62">
        <v>11</v>
      </c>
      <c r="E77" s="40" t="s">
        <v>179</v>
      </c>
      <c r="F77" s="41">
        <f t="shared" si="12"/>
        <v>12</v>
      </c>
      <c r="G77" s="77"/>
      <c r="H77" s="77"/>
      <c r="I77" s="77"/>
      <c r="J77" s="77"/>
      <c r="K77" s="77"/>
      <c r="L77" s="77"/>
      <c r="M77" s="77"/>
      <c r="N77" s="226"/>
      <c r="O77" s="226"/>
      <c r="P77" s="226"/>
      <c r="Q77" s="227">
        <v>1</v>
      </c>
      <c r="R77" s="227">
        <v>1</v>
      </c>
      <c r="S77" s="227">
        <v>1</v>
      </c>
      <c r="T77" s="227">
        <v>1</v>
      </c>
      <c r="U77" s="226"/>
      <c r="V77" s="42">
        <v>1</v>
      </c>
      <c r="W77" s="42">
        <v>1</v>
      </c>
      <c r="X77" s="42">
        <v>1</v>
      </c>
      <c r="Y77" s="42">
        <v>1</v>
      </c>
      <c r="Z77" s="42">
        <v>1</v>
      </c>
      <c r="AA77" s="42">
        <v>1</v>
      </c>
      <c r="AB77" s="42">
        <v>1</v>
      </c>
      <c r="AC77" s="42">
        <v>1</v>
      </c>
      <c r="AD77" s="42"/>
      <c r="AE77" s="41">
        <f>SUM(G77:AD77)</f>
        <v>12</v>
      </c>
      <c r="AF77" s="43" t="s">
        <v>319</v>
      </c>
      <c r="AG77" s="44"/>
    </row>
    <row r="78" spans="1:33" ht="14.25" customHeight="1">
      <c r="A78" s="38"/>
      <c r="B78" s="38" t="s">
        <v>181</v>
      </c>
      <c r="C78" s="38"/>
      <c r="D78" s="39">
        <v>12</v>
      </c>
      <c r="E78" s="40" t="s">
        <v>182</v>
      </c>
      <c r="F78" s="41">
        <f t="shared" si="12"/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Z78" s="226">
        <v>0</v>
      </c>
      <c r="AA78" s="226">
        <v>0</v>
      </c>
      <c r="AB78" s="226">
        <v>0</v>
      </c>
      <c r="AC78" s="226">
        <v>0</v>
      </c>
      <c r="AD78" s="226">
        <v>0</v>
      </c>
      <c r="AE78" s="112">
        <v>0</v>
      </c>
      <c r="AF78" s="89" t="s">
        <v>225</v>
      </c>
      <c r="AG78" s="44"/>
    </row>
    <row r="79" spans="1:33" ht="14.25" customHeight="1">
      <c r="A79" s="38"/>
      <c r="B79" s="38" t="s">
        <v>107</v>
      </c>
      <c r="C79" s="38"/>
      <c r="D79" s="99">
        <v>13</v>
      </c>
      <c r="E79" s="40" t="s">
        <v>108</v>
      </c>
      <c r="F79" s="41">
        <f t="shared" si="12"/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Z79" s="226">
        <v>0</v>
      </c>
      <c r="AA79" s="226">
        <v>0</v>
      </c>
      <c r="AB79" s="226">
        <v>0</v>
      </c>
      <c r="AC79" s="226">
        <v>0</v>
      </c>
      <c r="AD79" s="226">
        <v>0</v>
      </c>
      <c r="AE79" s="112">
        <v>0</v>
      </c>
      <c r="AF79" s="89" t="s">
        <v>225</v>
      </c>
      <c r="AG79" s="44"/>
    </row>
    <row r="80" spans="1:33" ht="14.25" customHeight="1">
      <c r="A80" s="38"/>
      <c r="B80" s="38" t="s">
        <v>167</v>
      </c>
      <c r="C80" s="38"/>
      <c r="D80" s="62">
        <v>14</v>
      </c>
      <c r="E80" s="40" t="s">
        <v>144</v>
      </c>
      <c r="F80" s="41">
        <f t="shared" si="12"/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Z80" s="226">
        <v>0</v>
      </c>
      <c r="AA80" s="226">
        <v>0</v>
      </c>
      <c r="AB80" s="226">
        <v>0</v>
      </c>
      <c r="AC80" s="226">
        <v>0</v>
      </c>
      <c r="AD80" s="226">
        <v>0</v>
      </c>
      <c r="AE80" s="112">
        <v>0</v>
      </c>
      <c r="AF80" s="89" t="s">
        <v>225</v>
      </c>
      <c r="AG80" s="44"/>
    </row>
    <row r="81" spans="1:33" ht="14.25" customHeight="1">
      <c r="A81" s="38"/>
      <c r="B81" s="38" t="s">
        <v>173</v>
      </c>
      <c r="C81" s="38"/>
      <c r="D81" s="39">
        <v>15</v>
      </c>
      <c r="E81" s="235" t="s">
        <v>174</v>
      </c>
      <c r="F81" s="41">
        <f t="shared" si="12"/>
        <v>12</v>
      </c>
      <c r="G81" s="77"/>
      <c r="H81" s="77"/>
      <c r="I81" s="77"/>
      <c r="J81" s="77"/>
      <c r="K81" s="77"/>
      <c r="L81" s="77"/>
      <c r="M81" s="42">
        <v>1</v>
      </c>
      <c r="N81" s="42">
        <v>1</v>
      </c>
      <c r="O81" s="42">
        <v>1</v>
      </c>
      <c r="P81" s="42">
        <v>1</v>
      </c>
      <c r="Q81" s="42">
        <v>1</v>
      </c>
      <c r="R81" s="42">
        <v>1</v>
      </c>
      <c r="S81" s="42">
        <v>1</v>
      </c>
      <c r="T81" s="42"/>
      <c r="U81" s="42">
        <v>1</v>
      </c>
      <c r="V81" s="42">
        <v>1</v>
      </c>
      <c r="W81" s="42">
        <v>1</v>
      </c>
      <c r="X81" s="42">
        <v>1</v>
      </c>
      <c r="Y81" s="42">
        <v>1</v>
      </c>
      <c r="Z81" s="42"/>
      <c r="AA81" s="42"/>
      <c r="AB81" s="42"/>
      <c r="AC81" s="42"/>
      <c r="AD81" s="42"/>
      <c r="AE81" s="41">
        <f t="shared" ref="AE81:AE83" si="14">SUM(G81:AD81)</f>
        <v>12</v>
      </c>
      <c r="AF81" s="43" t="s">
        <v>323</v>
      </c>
      <c r="AG81" s="44"/>
    </row>
    <row r="82" spans="1:33" ht="14.25" customHeight="1">
      <c r="A82" s="38"/>
      <c r="B82" s="38" t="s">
        <v>97</v>
      </c>
      <c r="C82" s="38"/>
      <c r="D82" s="99">
        <v>16</v>
      </c>
      <c r="E82" s="87" t="s">
        <v>98</v>
      </c>
      <c r="F82" s="41">
        <f t="shared" si="12"/>
        <v>13</v>
      </c>
      <c r="G82" s="77"/>
      <c r="H82" s="77"/>
      <c r="I82" s="77"/>
      <c r="J82" s="77"/>
      <c r="K82" s="77"/>
      <c r="L82" s="77"/>
      <c r="M82" s="77"/>
      <c r="N82" s="42">
        <v>1</v>
      </c>
      <c r="O82" s="42">
        <v>1</v>
      </c>
      <c r="P82" s="42">
        <v>1</v>
      </c>
      <c r="Q82" s="42">
        <v>1</v>
      </c>
      <c r="R82" s="42">
        <v>1</v>
      </c>
      <c r="S82" s="42">
        <v>1</v>
      </c>
      <c r="T82" s="42">
        <v>1</v>
      </c>
      <c r="U82" s="42"/>
      <c r="V82" s="42">
        <v>1</v>
      </c>
      <c r="W82" s="42">
        <v>1</v>
      </c>
      <c r="X82" s="42">
        <v>1</v>
      </c>
      <c r="Y82" s="42">
        <v>1</v>
      </c>
      <c r="Z82" s="42">
        <v>1</v>
      </c>
      <c r="AA82" s="42">
        <v>1</v>
      </c>
      <c r="AB82" s="42"/>
      <c r="AC82" s="42"/>
      <c r="AD82" s="42"/>
      <c r="AE82" s="41">
        <f t="shared" si="14"/>
        <v>13</v>
      </c>
      <c r="AF82" s="43" t="s">
        <v>526</v>
      </c>
      <c r="AG82" s="44"/>
    </row>
    <row r="83" spans="1:33" ht="14.25" customHeight="1">
      <c r="A83" s="38"/>
      <c r="B83" s="38" t="s">
        <v>94</v>
      </c>
      <c r="C83" s="38"/>
      <c r="D83" s="62">
        <v>17</v>
      </c>
      <c r="E83" s="40" t="s">
        <v>95</v>
      </c>
      <c r="F83" s="41">
        <f t="shared" si="12"/>
        <v>14</v>
      </c>
      <c r="G83" s="42"/>
      <c r="H83" s="42"/>
      <c r="I83" s="42"/>
      <c r="J83" s="42"/>
      <c r="K83" s="42"/>
      <c r="L83" s="42"/>
      <c r="M83" s="42"/>
      <c r="N83" s="42"/>
      <c r="O83" s="42">
        <v>1</v>
      </c>
      <c r="P83" s="42">
        <v>1</v>
      </c>
      <c r="Q83" s="42">
        <v>1</v>
      </c>
      <c r="R83" s="42">
        <v>1</v>
      </c>
      <c r="S83" s="42">
        <v>1</v>
      </c>
      <c r="T83" s="42">
        <v>1</v>
      </c>
      <c r="U83" s="42">
        <v>1</v>
      </c>
      <c r="V83" s="42">
        <v>1</v>
      </c>
      <c r="W83" s="42">
        <v>1</v>
      </c>
      <c r="X83" s="42">
        <v>1</v>
      </c>
      <c r="Y83" s="42">
        <v>1</v>
      </c>
      <c r="Z83" s="42">
        <v>1</v>
      </c>
      <c r="AA83" s="42">
        <v>1</v>
      </c>
      <c r="AB83" s="42">
        <v>1</v>
      </c>
      <c r="AC83" s="42"/>
      <c r="AD83" s="42"/>
      <c r="AE83" s="41">
        <f t="shared" si="14"/>
        <v>14</v>
      </c>
      <c r="AF83" s="43" t="s">
        <v>527</v>
      </c>
      <c r="AG83" s="44"/>
    </row>
    <row r="84" spans="1:33" ht="14.25" customHeight="1">
      <c r="A84" s="38" t="s">
        <v>145</v>
      </c>
      <c r="B84" s="38" t="s">
        <v>183</v>
      </c>
      <c r="C84" s="38"/>
      <c r="D84" s="39">
        <v>18</v>
      </c>
      <c r="E84" s="40" t="s">
        <v>184</v>
      </c>
      <c r="F84" s="41">
        <f t="shared" si="12"/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226">
        <v>0</v>
      </c>
      <c r="O84" s="226">
        <v>0</v>
      </c>
      <c r="P84" s="226">
        <v>0</v>
      </c>
      <c r="Q84" s="226">
        <v>0</v>
      </c>
      <c r="R84" s="226">
        <v>0</v>
      </c>
      <c r="S84" s="226">
        <v>0</v>
      </c>
      <c r="T84" s="226">
        <v>0</v>
      </c>
      <c r="U84" s="226">
        <v>0</v>
      </c>
      <c r="V84" s="226">
        <v>0</v>
      </c>
      <c r="W84" s="226">
        <v>0</v>
      </c>
      <c r="X84" s="226">
        <v>0</v>
      </c>
      <c r="Y84" s="226">
        <v>0</v>
      </c>
      <c r="Z84" s="226">
        <v>0</v>
      </c>
      <c r="AA84" s="226">
        <v>0</v>
      </c>
      <c r="AB84" s="226">
        <v>0</v>
      </c>
      <c r="AC84" s="226">
        <v>0</v>
      </c>
      <c r="AD84" s="226">
        <v>0</v>
      </c>
      <c r="AE84" s="112">
        <v>0</v>
      </c>
      <c r="AF84" s="89" t="s">
        <v>225</v>
      </c>
      <c r="AG84" s="44" t="s">
        <v>499</v>
      </c>
    </row>
    <row r="85" spans="1:33" ht="14.25" customHeight="1">
      <c r="A85" s="3"/>
      <c r="B85" s="3"/>
      <c r="C85" s="3"/>
      <c r="D85" s="3"/>
      <c r="E85" s="3"/>
      <c r="F85" s="3"/>
      <c r="G85" s="65" t="s">
        <v>9</v>
      </c>
      <c r="H85" s="65" t="s">
        <v>10</v>
      </c>
      <c r="I85" s="65" t="s">
        <v>11</v>
      </c>
      <c r="J85" s="65" t="s">
        <v>12</v>
      </c>
      <c r="K85" s="65" t="s">
        <v>13</v>
      </c>
      <c r="L85" s="65" t="s">
        <v>14</v>
      </c>
      <c r="M85" s="65" t="s">
        <v>15</v>
      </c>
      <c r="N85" s="65" t="s">
        <v>16</v>
      </c>
      <c r="O85" s="65" t="s">
        <v>17</v>
      </c>
      <c r="P85" s="65" t="s">
        <v>18</v>
      </c>
      <c r="Q85" s="66" t="s">
        <v>19</v>
      </c>
      <c r="R85" s="66" t="s">
        <v>20</v>
      </c>
      <c r="S85" s="66" t="s">
        <v>21</v>
      </c>
      <c r="T85" s="66" t="s">
        <v>22</v>
      </c>
      <c r="U85" s="66" t="s">
        <v>23</v>
      </c>
      <c r="V85" s="66" t="s">
        <v>24</v>
      </c>
      <c r="W85" s="66" t="s">
        <v>25</v>
      </c>
      <c r="X85" s="66" t="s">
        <v>26</v>
      </c>
      <c r="Y85" s="66" t="s">
        <v>27</v>
      </c>
      <c r="Z85" s="66" t="s">
        <v>28</v>
      </c>
      <c r="AA85" s="66" t="s">
        <v>29</v>
      </c>
      <c r="AB85" s="66" t="s">
        <v>30</v>
      </c>
      <c r="AC85" s="66" t="s">
        <v>31</v>
      </c>
      <c r="AD85" s="65" t="s">
        <v>32</v>
      </c>
      <c r="AE85" s="53"/>
      <c r="AF85" s="3"/>
      <c r="AG85" s="3"/>
    </row>
    <row r="86" spans="1:3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</sheetData>
  <customSheetViews>
    <customSheetView guid="{833D6734-F5E1-4449-B5A1-8C3A51A61651}" filter="1" showAutoFilter="1">
      <pageMargins left="0.7" right="0.7" top="0.75" bottom="0.75" header="0.3" footer="0.3"/>
      <autoFilter ref="A7:AG86" xr:uid="{6C01FB81-8E08-488F-8BF8-C8CE72CCA9E4}">
        <filterColumn colId="26">
          <filters>
            <filter val="-"/>
            <filter val="1"/>
            <filter val="5"/>
            <filter val="CLIENTES VIP"/>
            <filter val="F"/>
            <filter val="V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6" xr:uid="{8BD920B5-D645-420A-9025-12F700ADE6C6}"/>
    </customSheetView>
    <customSheetView guid="{49BA5E93-E473-4F11-BE7E-FD55CB28D969}" filter="1" showAutoFilter="1">
      <pageMargins left="0.7" right="0.7" top="0.75" bottom="0.75" header="0.3" footer="0.3"/>
      <autoFilter ref="G5:AD86" xr:uid="{783784BF-0E34-47BE-B7C2-ED54D3A36354}">
        <filterColumn colId="15">
          <filters>
            <filter val="-"/>
            <filter val="(1)"/>
            <filter val="1"/>
            <filter val="15"/>
            <filter val="6"/>
            <filter val="CLIENTES VIP"/>
            <filter val="F"/>
            <filter val="SEGUIMIENTO TRANSFERENCIAS"/>
            <filter val="SOPORTE DTH"/>
            <filter val="V"/>
          </filters>
        </filterColumn>
      </autoFilter>
    </customSheetView>
  </customSheetViews>
  <mergeCells count="9">
    <mergeCell ref="E5:F5"/>
    <mergeCell ref="E63:F63"/>
    <mergeCell ref="A1:B1"/>
    <mergeCell ref="D3:AE3"/>
    <mergeCell ref="E4:F4"/>
    <mergeCell ref="N15:U15"/>
    <mergeCell ref="P33:Z33"/>
    <mergeCell ref="O35:Z35"/>
    <mergeCell ref="V58:AC58"/>
  </mergeCells>
  <conditionalFormatting sqref="E4:F4 E63:F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5:AB65 N85:AB8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G85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291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93">
        <v>3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245">
        <v>6</v>
      </c>
      <c r="N4" s="245">
        <v>6</v>
      </c>
      <c r="O4" s="94">
        <v>10</v>
      </c>
      <c r="P4" s="14">
        <v>12</v>
      </c>
      <c r="Q4" s="150">
        <v>14</v>
      </c>
      <c r="R4" s="150">
        <v>14</v>
      </c>
      <c r="S4" s="150">
        <v>14</v>
      </c>
      <c r="T4" s="108">
        <v>15</v>
      </c>
      <c r="U4" s="150">
        <v>14</v>
      </c>
      <c r="V4" s="56">
        <v>13</v>
      </c>
      <c r="W4" s="56">
        <v>13</v>
      </c>
      <c r="X4" s="56">
        <v>13</v>
      </c>
      <c r="Y4" s="13">
        <v>11</v>
      </c>
      <c r="Z4" s="14">
        <v>12</v>
      </c>
      <c r="AA4" s="246">
        <v>9</v>
      </c>
      <c r="AB4" s="245">
        <v>6</v>
      </c>
      <c r="AC4" s="245">
        <v>6</v>
      </c>
      <c r="AD4" s="11">
        <v>4</v>
      </c>
      <c r="AE4" s="18">
        <f>SUM(G4:AD4)</f>
        <v>210</v>
      </c>
      <c r="AF4" s="3">
        <f>AE4/9</f>
        <v>23.333333333333332</v>
      </c>
      <c r="AG4" s="3"/>
    </row>
    <row r="5" spans="1:33" ht="62.25">
      <c r="A5" s="3"/>
      <c r="B5" s="2"/>
      <c r="C5" s="2"/>
      <c r="D5" s="19"/>
      <c r="E5" s="569">
        <v>4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-1</v>
      </c>
      <c r="N6" s="84">
        <f t="shared" si="0"/>
        <v>-1</v>
      </c>
      <c r="O6" s="126">
        <f t="shared" si="0"/>
        <v>-1</v>
      </c>
      <c r="P6" s="126">
        <f t="shared" si="0"/>
        <v>-1</v>
      </c>
      <c r="Q6" s="126">
        <f t="shared" si="0"/>
        <v>-1</v>
      </c>
      <c r="R6" s="126">
        <f t="shared" si="0"/>
        <v>-1</v>
      </c>
      <c r="S6" s="84">
        <f t="shared" si="0"/>
        <v>1</v>
      </c>
      <c r="T6" s="84">
        <f t="shared" si="0"/>
        <v>1</v>
      </c>
      <c r="U6" s="84">
        <f t="shared" si="0"/>
        <v>1</v>
      </c>
      <c r="V6" s="84">
        <f t="shared" si="0"/>
        <v>0</v>
      </c>
      <c r="W6" s="84">
        <f t="shared" si="0"/>
        <v>-1</v>
      </c>
      <c r="X6" s="84">
        <f t="shared" si="0"/>
        <v>-1</v>
      </c>
      <c r="Y6" s="126">
        <f t="shared" si="0"/>
        <v>-1</v>
      </c>
      <c r="Z6" s="126">
        <f t="shared" si="0"/>
        <v>0</v>
      </c>
      <c r="AA6" s="126">
        <f t="shared" si="0"/>
        <v>0</v>
      </c>
      <c r="AB6" s="126">
        <f t="shared" si="0"/>
        <v>0</v>
      </c>
      <c r="AC6" s="205">
        <f t="shared" si="0"/>
        <v>-1</v>
      </c>
      <c r="AD6" s="28">
        <f t="shared" si="0"/>
        <v>0</v>
      </c>
      <c r="AE6" s="29">
        <f t="shared" ref="AE6:AE11" si="1">SUM(G6:AD6)</f>
        <v>-7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SUM(G8:G60)</f>
        <v>3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5</v>
      </c>
      <c r="N7" s="35">
        <f t="shared" si="2"/>
        <v>5</v>
      </c>
      <c r="O7" s="35">
        <f t="shared" si="2"/>
        <v>9</v>
      </c>
      <c r="P7" s="35">
        <f t="shared" si="2"/>
        <v>11</v>
      </c>
      <c r="Q7" s="35">
        <f t="shared" si="2"/>
        <v>13</v>
      </c>
      <c r="R7" s="35">
        <f t="shared" si="2"/>
        <v>13</v>
      </c>
      <c r="S7" s="35">
        <f t="shared" si="2"/>
        <v>15</v>
      </c>
      <c r="T7" s="35">
        <f t="shared" si="2"/>
        <v>16</v>
      </c>
      <c r="U7" s="35">
        <f t="shared" si="2"/>
        <v>15</v>
      </c>
      <c r="V7" s="35">
        <f t="shared" si="2"/>
        <v>13</v>
      </c>
      <c r="W7" s="35">
        <f t="shared" si="2"/>
        <v>12</v>
      </c>
      <c r="X7" s="35">
        <f t="shared" si="2"/>
        <v>12</v>
      </c>
      <c r="Y7" s="35">
        <f t="shared" si="2"/>
        <v>10</v>
      </c>
      <c r="Z7" s="35">
        <f t="shared" si="2"/>
        <v>12</v>
      </c>
      <c r="AA7" s="35">
        <f t="shared" si="2"/>
        <v>9</v>
      </c>
      <c r="AB7" s="35">
        <f t="shared" si="2"/>
        <v>6</v>
      </c>
      <c r="AC7" s="35">
        <f t="shared" si="2"/>
        <v>5</v>
      </c>
      <c r="AD7" s="35">
        <f t="shared" si="2"/>
        <v>4</v>
      </c>
      <c r="AE7" s="30">
        <f t="shared" si="1"/>
        <v>203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87" t="s">
        <v>46</v>
      </c>
      <c r="F8" s="88">
        <f t="shared" ref="F8:F14" si="3">SUM(G8:AD8)</f>
        <v>12</v>
      </c>
      <c r="G8" s="77"/>
      <c r="H8" s="77"/>
      <c r="I8" s="77"/>
      <c r="J8" s="77"/>
      <c r="K8" s="77"/>
      <c r="L8" s="77"/>
      <c r="M8" s="77"/>
      <c r="N8" s="226"/>
      <c r="O8" s="102">
        <v>1</v>
      </c>
      <c r="P8" s="102">
        <v>1</v>
      </c>
      <c r="Q8" s="102">
        <v>1</v>
      </c>
      <c r="R8" s="102">
        <v>1</v>
      </c>
      <c r="S8" s="102">
        <v>1</v>
      </c>
      <c r="T8" s="102">
        <v>1</v>
      </c>
      <c r="U8" s="226"/>
      <c r="V8" s="102">
        <v>1</v>
      </c>
      <c r="W8" s="102">
        <v>1</v>
      </c>
      <c r="X8" s="102">
        <v>1</v>
      </c>
      <c r="Y8" s="102">
        <v>1</v>
      </c>
      <c r="Z8" s="102">
        <v>1</v>
      </c>
      <c r="AA8" s="102">
        <v>1</v>
      </c>
      <c r="AB8" s="102"/>
      <c r="AC8" s="102"/>
      <c r="AD8" s="102"/>
      <c r="AE8" s="101">
        <f t="shared" si="1"/>
        <v>12</v>
      </c>
      <c r="AF8" s="43" t="s">
        <v>346</v>
      </c>
      <c r="AG8" s="44" t="s">
        <v>499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40" t="s">
        <v>53</v>
      </c>
      <c r="F9" s="41">
        <f t="shared" si="3"/>
        <v>6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102">
        <v>1</v>
      </c>
      <c r="Z9" s="42">
        <v>1</v>
      </c>
      <c r="AA9" s="42">
        <v>1</v>
      </c>
      <c r="AB9" s="42">
        <v>1</v>
      </c>
      <c r="AC9" s="42">
        <v>1</v>
      </c>
      <c r="AD9" s="42">
        <v>1</v>
      </c>
      <c r="AE9" s="41">
        <f t="shared" si="1"/>
        <v>6</v>
      </c>
      <c r="AF9" s="46" t="s">
        <v>281</v>
      </c>
      <c r="AG9" s="44" t="s">
        <v>499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87" t="s">
        <v>56</v>
      </c>
      <c r="F10" s="88">
        <f t="shared" si="3"/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  <c r="Z10" s="77">
        <v>0</v>
      </c>
      <c r="AA10" s="77">
        <v>0</v>
      </c>
      <c r="AB10" s="77">
        <v>0</v>
      </c>
      <c r="AC10" s="77">
        <v>0</v>
      </c>
      <c r="AD10" s="77">
        <v>0</v>
      </c>
      <c r="AE10" s="41">
        <f t="shared" si="1"/>
        <v>0</v>
      </c>
      <c r="AF10" s="89" t="s">
        <v>225</v>
      </c>
      <c r="AG10" s="105" t="s">
        <v>499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40" t="s">
        <v>58</v>
      </c>
      <c r="F11" s="41">
        <f t="shared" si="3"/>
        <v>0</v>
      </c>
      <c r="G11" s="42"/>
      <c r="H11" s="42"/>
      <c r="I11" s="42"/>
      <c r="J11" s="42"/>
      <c r="K11" s="42"/>
      <c r="L11" s="42"/>
      <c r="M11" s="42" t="s">
        <v>199</v>
      </c>
      <c r="N11" s="42" t="s">
        <v>200</v>
      </c>
      <c r="O11" s="42" t="s">
        <v>528</v>
      </c>
      <c r="P11" s="42" t="s">
        <v>348</v>
      </c>
      <c r="Q11" s="42" t="s">
        <v>350</v>
      </c>
      <c r="R11" s="42" t="s">
        <v>348</v>
      </c>
      <c r="S11" s="42"/>
      <c r="T11" s="42" t="s">
        <v>347</v>
      </c>
      <c r="U11" s="42" t="s">
        <v>200</v>
      </c>
      <c r="V11" s="42" t="s">
        <v>529</v>
      </c>
      <c r="W11" s="42" t="s">
        <v>203</v>
      </c>
      <c r="X11" s="102" t="s">
        <v>47</v>
      </c>
      <c r="Y11" s="102" t="s">
        <v>348</v>
      </c>
      <c r="Z11" s="102"/>
      <c r="AA11" s="42"/>
      <c r="AB11" s="42"/>
      <c r="AC11" s="42"/>
      <c r="AD11" s="42"/>
      <c r="AE11" s="41">
        <f t="shared" si="1"/>
        <v>0</v>
      </c>
      <c r="AF11" s="43" t="s">
        <v>366</v>
      </c>
      <c r="AG11" s="44" t="s">
        <v>499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00" t="s">
        <v>147</v>
      </c>
      <c r="F12" s="101">
        <f t="shared" si="3"/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Z12" s="226">
        <v>0</v>
      </c>
      <c r="AA12" s="226">
        <v>0</v>
      </c>
      <c r="AB12" s="226">
        <v>0</v>
      </c>
      <c r="AC12" s="226">
        <v>0</v>
      </c>
      <c r="AD12" s="226">
        <v>0</v>
      </c>
      <c r="AE12" s="112">
        <v>0</v>
      </c>
      <c r="AF12" s="89" t="s">
        <v>225</v>
      </c>
      <c r="AG12" s="44" t="s">
        <v>499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40" t="s">
        <v>60</v>
      </c>
      <c r="F13" s="41">
        <f t="shared" si="3"/>
        <v>0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  <c r="Z13" s="77">
        <v>0</v>
      </c>
      <c r="AA13" s="77">
        <v>0</v>
      </c>
      <c r="AB13" s="77">
        <v>0</v>
      </c>
      <c r="AC13" s="77">
        <v>0</v>
      </c>
      <c r="AD13" s="77">
        <v>0</v>
      </c>
      <c r="AE13" s="41">
        <f t="shared" ref="AE13:AE14" si="4">SUM(G13:AD13)</f>
        <v>0</v>
      </c>
      <c r="AF13" s="89" t="s">
        <v>225</v>
      </c>
      <c r="AG13" s="44" t="s">
        <v>499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40" t="s">
        <v>63</v>
      </c>
      <c r="F14" s="41">
        <f t="shared" si="3"/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41">
        <f t="shared" si="4"/>
        <v>0</v>
      </c>
      <c r="AF14" s="89" t="s">
        <v>225</v>
      </c>
      <c r="AG14" s="44" t="s">
        <v>499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87" t="s">
        <v>65</v>
      </c>
      <c r="F15" s="41">
        <v>8</v>
      </c>
      <c r="G15" s="109"/>
      <c r="H15" s="109"/>
      <c r="I15" s="109"/>
      <c r="J15" s="109"/>
      <c r="K15" s="109"/>
      <c r="L15" s="109"/>
      <c r="M15" s="109"/>
      <c r="N15" s="573" t="s">
        <v>292</v>
      </c>
      <c r="O15" s="555"/>
      <c r="P15" s="555"/>
      <c r="Q15" s="555"/>
      <c r="R15" s="555"/>
      <c r="S15" s="555"/>
      <c r="T15" s="555"/>
      <c r="U15" s="542"/>
      <c r="V15" s="42"/>
      <c r="W15" s="42"/>
      <c r="X15" s="42"/>
      <c r="Y15" s="42"/>
      <c r="Z15" s="42"/>
      <c r="AA15" s="42"/>
      <c r="AB15" s="42"/>
      <c r="AC15" s="42"/>
      <c r="AD15" s="42"/>
      <c r="AE15" s="41">
        <v>8</v>
      </c>
      <c r="AF15" s="43" t="s">
        <v>288</v>
      </c>
      <c r="AG15" s="44" t="s">
        <v>499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40" t="s">
        <v>71</v>
      </c>
      <c r="F16" s="41">
        <f t="shared" ref="F16:F17" si="5">SUM(G16:AD16)</f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41">
        <f t="shared" ref="AE16:AE34" si="6">SUM(G16:AD16)</f>
        <v>0</v>
      </c>
      <c r="AF16" s="89" t="s">
        <v>225</v>
      </c>
      <c r="AG16" s="44" t="s">
        <v>499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40" t="s">
        <v>73</v>
      </c>
      <c r="F17" s="41">
        <f t="shared" si="5"/>
        <v>11</v>
      </c>
      <c r="G17" s="42"/>
      <c r="H17" s="42"/>
      <c r="I17" s="42"/>
      <c r="J17" s="42"/>
      <c r="K17" s="42"/>
      <c r="L17" s="42"/>
      <c r="M17" s="42">
        <v>1</v>
      </c>
      <c r="N17" s="42">
        <v>1</v>
      </c>
      <c r="O17" s="42">
        <v>1</v>
      </c>
      <c r="P17" s="42">
        <v>1</v>
      </c>
      <c r="Q17" s="42">
        <v>1</v>
      </c>
      <c r="R17" s="42">
        <v>1</v>
      </c>
      <c r="S17" s="42">
        <v>1</v>
      </c>
      <c r="T17" s="42">
        <v>1</v>
      </c>
      <c r="U17" s="42"/>
      <c r="V17" s="102">
        <v>1</v>
      </c>
      <c r="W17" s="102">
        <v>1</v>
      </c>
      <c r="X17" s="102">
        <v>1</v>
      </c>
      <c r="Y17" s="42"/>
      <c r="Z17" s="42"/>
      <c r="AA17" s="42"/>
      <c r="AB17" s="42"/>
      <c r="AC17" s="42"/>
      <c r="AD17" s="42"/>
      <c r="AE17" s="41">
        <f t="shared" si="6"/>
        <v>11</v>
      </c>
      <c r="AF17" s="43" t="s">
        <v>274</v>
      </c>
      <c r="AG17" s="44" t="s">
        <v>499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40" t="s">
        <v>80</v>
      </c>
      <c r="F18" s="41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  <c r="Z18" s="77">
        <v>0</v>
      </c>
      <c r="AA18" s="77">
        <v>0</v>
      </c>
      <c r="AB18" s="77">
        <v>0</v>
      </c>
      <c r="AC18" s="77">
        <v>0</v>
      </c>
      <c r="AD18" s="77">
        <v>0</v>
      </c>
      <c r="AE18" s="41">
        <f t="shared" si="6"/>
        <v>0</v>
      </c>
      <c r="AF18" s="89" t="s">
        <v>225</v>
      </c>
      <c r="AG18" s="44" t="s">
        <v>499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40" t="s">
        <v>83</v>
      </c>
      <c r="F19" s="41">
        <f>SUM(G19:AD19)</f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  <c r="Z19" s="77">
        <v>0</v>
      </c>
      <c r="AA19" s="77">
        <v>0</v>
      </c>
      <c r="AB19" s="77">
        <v>0</v>
      </c>
      <c r="AC19" s="77">
        <v>0</v>
      </c>
      <c r="AD19" s="77">
        <v>0</v>
      </c>
      <c r="AE19" s="41">
        <f t="shared" si="6"/>
        <v>0</v>
      </c>
      <c r="AF19" s="89" t="s">
        <v>225</v>
      </c>
      <c r="AG19" s="44" t="s">
        <v>499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40" t="s">
        <v>89</v>
      </c>
      <c r="F20" s="41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77">
        <v>0</v>
      </c>
      <c r="AC20" s="77">
        <v>0</v>
      </c>
      <c r="AD20" s="77">
        <v>0</v>
      </c>
      <c r="AE20" s="41">
        <f t="shared" si="6"/>
        <v>0</v>
      </c>
      <c r="AF20" s="89" t="s">
        <v>225</v>
      </c>
      <c r="AG20" s="44" t="s">
        <v>499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00" t="s">
        <v>91</v>
      </c>
      <c r="F21" s="101">
        <f>SUM(G21:AD21)</f>
        <v>12</v>
      </c>
      <c r="G21" s="77"/>
      <c r="H21" s="77"/>
      <c r="I21" s="77"/>
      <c r="J21" s="77"/>
      <c r="K21" s="77"/>
      <c r="L21" s="77"/>
      <c r="M21" s="77"/>
      <c r="N21" s="102">
        <v>1</v>
      </c>
      <c r="O21" s="102">
        <v>1</v>
      </c>
      <c r="P21" s="102">
        <v>1</v>
      </c>
      <c r="Q21" s="42">
        <v>1</v>
      </c>
      <c r="R21" s="42">
        <v>1</v>
      </c>
      <c r="S21" s="42"/>
      <c r="T21" s="42">
        <v>1</v>
      </c>
      <c r="U21" s="42">
        <v>1</v>
      </c>
      <c r="V21" s="42">
        <v>1</v>
      </c>
      <c r="W21" s="42">
        <v>1</v>
      </c>
      <c r="X21" s="42">
        <v>1</v>
      </c>
      <c r="Y21" s="42">
        <v>1</v>
      </c>
      <c r="Z21" s="42">
        <v>1</v>
      </c>
      <c r="AA21" s="42"/>
      <c r="AB21" s="42"/>
      <c r="AC21" s="42"/>
      <c r="AD21" s="42"/>
      <c r="AE21" s="41">
        <f t="shared" si="6"/>
        <v>12</v>
      </c>
      <c r="AF21" s="43" t="s">
        <v>406</v>
      </c>
      <c r="AG21" s="44" t="s">
        <v>499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40" t="s">
        <v>93</v>
      </c>
      <c r="F22" s="41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7">
        <v>0</v>
      </c>
      <c r="AB22" s="77">
        <v>0</v>
      </c>
      <c r="AC22" s="77">
        <v>0</v>
      </c>
      <c r="AD22" s="77">
        <v>0</v>
      </c>
      <c r="AE22" s="41">
        <f t="shared" si="6"/>
        <v>0</v>
      </c>
      <c r="AF22" s="89" t="s">
        <v>225</v>
      </c>
      <c r="AG22" s="44" t="s">
        <v>499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40" t="s">
        <v>95</v>
      </c>
      <c r="F23" s="41">
        <f t="shared" ref="F23:F32" si="7">SUM(G23:AD23)</f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0</v>
      </c>
      <c r="AB23" s="77">
        <v>0</v>
      </c>
      <c r="AC23" s="77">
        <v>0</v>
      </c>
      <c r="AD23" s="77">
        <v>0</v>
      </c>
      <c r="AE23" s="41">
        <f t="shared" si="6"/>
        <v>0</v>
      </c>
      <c r="AF23" s="89" t="s">
        <v>225</v>
      </c>
      <c r="AG23" s="44" t="s">
        <v>499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87" t="s">
        <v>99</v>
      </c>
      <c r="F24" s="41">
        <f t="shared" si="7"/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  <c r="Z24" s="77">
        <v>0</v>
      </c>
      <c r="AA24" s="77">
        <v>0</v>
      </c>
      <c r="AB24" s="77">
        <v>0</v>
      </c>
      <c r="AC24" s="77">
        <v>0</v>
      </c>
      <c r="AD24" s="77">
        <v>0</v>
      </c>
      <c r="AE24" s="41">
        <f t="shared" si="6"/>
        <v>0</v>
      </c>
      <c r="AF24" s="89" t="s">
        <v>225</v>
      </c>
      <c r="AG24" s="44" t="s">
        <v>499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40" t="s">
        <v>102</v>
      </c>
      <c r="F25" s="41">
        <f t="shared" si="7"/>
        <v>9</v>
      </c>
      <c r="G25" s="77"/>
      <c r="H25" s="77"/>
      <c r="I25" s="77"/>
      <c r="J25" s="77"/>
      <c r="K25" s="77"/>
      <c r="L25" s="77"/>
      <c r="M25" s="102">
        <v>1</v>
      </c>
      <c r="N25" s="102">
        <v>1</v>
      </c>
      <c r="O25" s="102">
        <v>1</v>
      </c>
      <c r="P25" s="102">
        <v>1</v>
      </c>
      <c r="Q25" s="102">
        <v>1</v>
      </c>
      <c r="R25" s="102"/>
      <c r="S25" s="102">
        <v>1</v>
      </c>
      <c r="T25" s="102">
        <v>1</v>
      </c>
      <c r="U25" s="102">
        <v>1</v>
      </c>
      <c r="V25" s="102">
        <v>1</v>
      </c>
      <c r="W25" s="102"/>
      <c r="X25" s="102"/>
      <c r="Y25" s="102"/>
      <c r="Z25" s="102"/>
      <c r="AA25" s="102"/>
      <c r="AB25" s="102"/>
      <c r="AC25" s="102"/>
      <c r="AD25" s="102"/>
      <c r="AE25" s="101">
        <f t="shared" si="6"/>
        <v>9</v>
      </c>
      <c r="AF25" s="104" t="s">
        <v>232</v>
      </c>
      <c r="AG25" s="44" t="s">
        <v>499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40" t="s">
        <v>104</v>
      </c>
      <c r="F26" s="41">
        <f t="shared" si="7"/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Z26" s="77">
        <v>0</v>
      </c>
      <c r="AA26" s="77">
        <v>0</v>
      </c>
      <c r="AB26" s="77">
        <v>0</v>
      </c>
      <c r="AC26" s="77">
        <v>0</v>
      </c>
      <c r="AD26" s="77">
        <v>0</v>
      </c>
      <c r="AE26" s="41">
        <f t="shared" si="6"/>
        <v>0</v>
      </c>
      <c r="AF26" s="89" t="s">
        <v>225</v>
      </c>
      <c r="AG26" s="44" t="s">
        <v>499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40" t="s">
        <v>333</v>
      </c>
      <c r="F27" s="41">
        <f t="shared" si="7"/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  <c r="Z27" s="77">
        <v>0</v>
      </c>
      <c r="AA27" s="77">
        <v>0</v>
      </c>
      <c r="AB27" s="77">
        <v>0</v>
      </c>
      <c r="AC27" s="77">
        <v>0</v>
      </c>
      <c r="AD27" s="77">
        <v>0</v>
      </c>
      <c r="AE27" s="41">
        <f t="shared" si="6"/>
        <v>0</v>
      </c>
      <c r="AF27" s="89" t="s">
        <v>225</v>
      </c>
      <c r="AG27" s="44" t="s">
        <v>499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40" t="s">
        <v>172</v>
      </c>
      <c r="F28" s="41">
        <f t="shared" si="7"/>
        <v>0</v>
      </c>
      <c r="G28" s="77">
        <v>0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  <c r="Z28" s="77">
        <v>0</v>
      </c>
      <c r="AA28" s="77">
        <v>0</v>
      </c>
      <c r="AB28" s="77">
        <v>0</v>
      </c>
      <c r="AC28" s="77">
        <v>0</v>
      </c>
      <c r="AD28" s="77">
        <v>0</v>
      </c>
      <c r="AE28" s="41">
        <f t="shared" si="6"/>
        <v>0</v>
      </c>
      <c r="AF28" s="89" t="s">
        <v>225</v>
      </c>
      <c r="AG28" s="105" t="s">
        <v>499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40" t="s">
        <v>106</v>
      </c>
      <c r="F29" s="41">
        <f t="shared" si="7"/>
        <v>12</v>
      </c>
      <c r="G29" s="42">
        <v>1</v>
      </c>
      <c r="H29" s="42">
        <v>1</v>
      </c>
      <c r="I29" s="42">
        <v>1</v>
      </c>
      <c r="J29" s="42">
        <v>1</v>
      </c>
      <c r="K29" s="42">
        <v>1</v>
      </c>
      <c r="L29" s="42">
        <v>1</v>
      </c>
      <c r="M29" s="42">
        <v>1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>
        <v>1</v>
      </c>
      <c r="AA29" s="42">
        <v>1</v>
      </c>
      <c r="AB29" s="42">
        <v>1</v>
      </c>
      <c r="AC29" s="42">
        <v>1</v>
      </c>
      <c r="AD29" s="42">
        <v>1</v>
      </c>
      <c r="AE29" s="41">
        <f t="shared" si="6"/>
        <v>12</v>
      </c>
      <c r="AF29" s="43" t="s">
        <v>311</v>
      </c>
      <c r="AG29" s="44" t="s">
        <v>499</v>
      </c>
    </row>
    <row r="30" spans="1:33" ht="14.25" customHeight="1">
      <c r="A30" s="38" t="s">
        <v>41</v>
      </c>
      <c r="B30" s="98" t="s">
        <v>111</v>
      </c>
      <c r="C30" s="98"/>
      <c r="D30" s="39">
        <v>23</v>
      </c>
      <c r="E30" s="100" t="s">
        <v>112</v>
      </c>
      <c r="F30" s="41">
        <f t="shared" si="7"/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  <c r="Z30" s="77">
        <v>0</v>
      </c>
      <c r="AA30" s="77">
        <v>0</v>
      </c>
      <c r="AB30" s="77">
        <v>0</v>
      </c>
      <c r="AC30" s="77">
        <v>0</v>
      </c>
      <c r="AD30" s="77">
        <v>0</v>
      </c>
      <c r="AE30" s="41">
        <f t="shared" si="6"/>
        <v>0</v>
      </c>
      <c r="AF30" s="89" t="s">
        <v>225</v>
      </c>
      <c r="AG30" s="44" t="s">
        <v>499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40" t="s">
        <v>116</v>
      </c>
      <c r="F31" s="41">
        <f t="shared" si="7"/>
        <v>12</v>
      </c>
      <c r="G31" s="42">
        <v>1</v>
      </c>
      <c r="H31" s="42">
        <v>1</v>
      </c>
      <c r="I31" s="42">
        <v>1</v>
      </c>
      <c r="J31" s="42">
        <v>1</v>
      </c>
      <c r="K31" s="42">
        <v>1</v>
      </c>
      <c r="L31" s="42">
        <v>1</v>
      </c>
      <c r="M31" s="42">
        <v>1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>
        <v>1</v>
      </c>
      <c r="AA31" s="42">
        <v>1</v>
      </c>
      <c r="AB31" s="42">
        <v>1</v>
      </c>
      <c r="AC31" s="42">
        <v>1</v>
      </c>
      <c r="AD31" s="42">
        <v>1</v>
      </c>
      <c r="AE31" s="41">
        <f t="shared" si="6"/>
        <v>12</v>
      </c>
      <c r="AF31" s="46" t="s">
        <v>311</v>
      </c>
      <c r="AG31" s="44" t="s">
        <v>499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100" t="s">
        <v>121</v>
      </c>
      <c r="F32" s="41">
        <f t="shared" si="7"/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Z32" s="77">
        <v>0</v>
      </c>
      <c r="AA32" s="77">
        <v>0</v>
      </c>
      <c r="AB32" s="77">
        <v>0</v>
      </c>
      <c r="AC32" s="77">
        <v>0</v>
      </c>
      <c r="AD32" s="77">
        <v>0</v>
      </c>
      <c r="AE32" s="41">
        <f t="shared" si="6"/>
        <v>0</v>
      </c>
      <c r="AF32" s="89" t="s">
        <v>225</v>
      </c>
      <c r="AG32" s="44" t="s">
        <v>499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100" t="s">
        <v>123</v>
      </c>
      <c r="F33" s="41">
        <v>0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  <c r="Z33" s="77">
        <v>0</v>
      </c>
      <c r="AA33" s="77">
        <v>0</v>
      </c>
      <c r="AB33" s="77">
        <v>0</v>
      </c>
      <c r="AC33" s="77">
        <v>0</v>
      </c>
      <c r="AD33" s="77">
        <v>0</v>
      </c>
      <c r="AE33" s="41">
        <f t="shared" si="6"/>
        <v>0</v>
      </c>
      <c r="AF33" s="89" t="s">
        <v>225</v>
      </c>
      <c r="AG33" s="44" t="s">
        <v>499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40" t="s">
        <v>125</v>
      </c>
      <c r="F34" s="41">
        <f>SUM(G34:AD34)</f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0</v>
      </c>
      <c r="Z34" s="77">
        <v>0</v>
      </c>
      <c r="AA34" s="77">
        <v>0</v>
      </c>
      <c r="AB34" s="77">
        <v>0</v>
      </c>
      <c r="AC34" s="77">
        <v>0</v>
      </c>
      <c r="AD34" s="77">
        <v>0</v>
      </c>
      <c r="AE34" s="41">
        <f t="shared" si="6"/>
        <v>0</v>
      </c>
      <c r="AF34" s="89" t="s">
        <v>225</v>
      </c>
      <c r="AG34" s="44" t="s">
        <v>499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87" t="s">
        <v>127</v>
      </c>
      <c r="F35" s="41">
        <v>12</v>
      </c>
      <c r="G35" s="77"/>
      <c r="H35" s="77"/>
      <c r="I35" s="77"/>
      <c r="J35" s="77"/>
      <c r="K35" s="77"/>
      <c r="L35" s="77"/>
      <c r="M35" s="77"/>
      <c r="N35" s="77"/>
      <c r="O35" s="573" t="s">
        <v>364</v>
      </c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542"/>
      <c r="AA35" s="42"/>
      <c r="AB35" s="42"/>
      <c r="AC35" s="42"/>
      <c r="AD35" s="42"/>
      <c r="AE35" s="41">
        <v>12</v>
      </c>
      <c r="AF35" s="43" t="s">
        <v>66</v>
      </c>
      <c r="AG35" s="44" t="s">
        <v>499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40" t="s">
        <v>129</v>
      </c>
      <c r="F36" s="41">
        <f t="shared" ref="F36:F37" si="8">SUM(G36:AD36)</f>
        <v>11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102">
        <v>1</v>
      </c>
      <c r="S36" s="247">
        <v>1</v>
      </c>
      <c r="T36" s="140">
        <v>1</v>
      </c>
      <c r="U36" s="42"/>
      <c r="V36" s="42">
        <v>1</v>
      </c>
      <c r="W36" s="42">
        <v>1</v>
      </c>
      <c r="X36" s="42">
        <v>1</v>
      </c>
      <c r="Y36" s="42">
        <v>1</v>
      </c>
      <c r="Z36" s="42">
        <v>1</v>
      </c>
      <c r="AA36" s="42">
        <v>1</v>
      </c>
      <c r="AB36" s="42">
        <v>1</v>
      </c>
      <c r="AC36" s="42">
        <v>1</v>
      </c>
      <c r="AD36" s="42"/>
      <c r="AE36" s="41">
        <f t="shared" ref="AE36:AE37" si="9">SUM(G36:AD36)</f>
        <v>11</v>
      </c>
      <c r="AF36" s="43" t="s">
        <v>318</v>
      </c>
      <c r="AG36" s="44" t="s">
        <v>499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100" t="s">
        <v>131</v>
      </c>
      <c r="F37" s="41">
        <f t="shared" si="8"/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41">
        <f t="shared" si="9"/>
        <v>0</v>
      </c>
      <c r="AF37" s="89" t="s">
        <v>225</v>
      </c>
      <c r="AG37" s="44" t="s">
        <v>499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31" t="s">
        <v>50</v>
      </c>
      <c r="F38" s="41">
        <v>11</v>
      </c>
      <c r="G38" s="77"/>
      <c r="H38" s="77"/>
      <c r="I38" s="77"/>
      <c r="J38" s="77"/>
      <c r="K38" s="77"/>
      <c r="L38" s="77"/>
      <c r="M38" s="42"/>
      <c r="N38" s="42"/>
      <c r="O38" s="42"/>
      <c r="P38" s="573" t="s">
        <v>187</v>
      </c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102"/>
      <c r="AB38" s="47"/>
      <c r="AC38" s="47"/>
      <c r="AD38" s="47"/>
      <c r="AE38" s="41">
        <v>11</v>
      </c>
      <c r="AF38" s="43" t="s">
        <v>164</v>
      </c>
      <c r="AG38" s="44" t="s">
        <v>499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31" t="s">
        <v>135</v>
      </c>
      <c r="F39" s="41">
        <f t="shared" ref="F39:F57" si="10">SUM(G39:AD39)</f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  <c r="Z39" s="77">
        <v>0</v>
      </c>
      <c r="AA39" s="77">
        <v>0</v>
      </c>
      <c r="AB39" s="77">
        <v>0</v>
      </c>
      <c r="AC39" s="77">
        <v>0</v>
      </c>
      <c r="AD39" s="77">
        <v>0</v>
      </c>
      <c r="AE39" s="41">
        <f t="shared" ref="AE39:AE57" si="11">SUM(G39:AD39)</f>
        <v>0</v>
      </c>
      <c r="AF39" s="89" t="s">
        <v>225</v>
      </c>
      <c r="AG39" s="44" t="s">
        <v>499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31" t="s">
        <v>140</v>
      </c>
      <c r="F40" s="41">
        <f t="shared" si="10"/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  <c r="Z40" s="77">
        <v>0</v>
      </c>
      <c r="AA40" s="77">
        <v>0</v>
      </c>
      <c r="AB40" s="77">
        <v>0</v>
      </c>
      <c r="AC40" s="77">
        <v>0</v>
      </c>
      <c r="AD40" s="77">
        <v>0</v>
      </c>
      <c r="AE40" s="41">
        <f t="shared" si="11"/>
        <v>0</v>
      </c>
      <c r="AF40" s="89" t="s">
        <v>225</v>
      </c>
      <c r="AG40" s="44" t="s">
        <v>499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31" t="s">
        <v>118</v>
      </c>
      <c r="F41" s="41">
        <f t="shared" si="10"/>
        <v>13</v>
      </c>
      <c r="G41" s="42">
        <v>1</v>
      </c>
      <c r="H41" s="42">
        <v>1</v>
      </c>
      <c r="I41" s="42">
        <v>1</v>
      </c>
      <c r="J41" s="42">
        <v>1</v>
      </c>
      <c r="K41" s="42">
        <v>1</v>
      </c>
      <c r="L41" s="42">
        <v>1</v>
      </c>
      <c r="M41" s="42">
        <v>1</v>
      </c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102">
        <v>1</v>
      </c>
      <c r="Z41" s="102">
        <v>1</v>
      </c>
      <c r="AA41" s="102">
        <v>1</v>
      </c>
      <c r="AB41" s="102">
        <v>1</v>
      </c>
      <c r="AC41" s="102">
        <v>1</v>
      </c>
      <c r="AD41" s="102">
        <v>1</v>
      </c>
      <c r="AE41" s="101">
        <f t="shared" si="11"/>
        <v>13</v>
      </c>
      <c r="AF41" s="115" t="s">
        <v>530</v>
      </c>
      <c r="AG41" s="44" t="s">
        <v>499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35" t="s">
        <v>143</v>
      </c>
      <c r="F42" s="88">
        <f t="shared" si="10"/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  <c r="Z42" s="77">
        <v>0</v>
      </c>
      <c r="AA42" s="77">
        <v>0</v>
      </c>
      <c r="AB42" s="77">
        <v>0</v>
      </c>
      <c r="AC42" s="77">
        <v>0</v>
      </c>
      <c r="AD42" s="77">
        <v>0</v>
      </c>
      <c r="AE42" s="41">
        <f t="shared" si="11"/>
        <v>0</v>
      </c>
      <c r="AF42" s="89" t="s">
        <v>225</v>
      </c>
      <c r="AG42" s="44" t="s">
        <v>499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32" t="s">
        <v>455</v>
      </c>
      <c r="F43" s="41">
        <f t="shared" si="10"/>
        <v>8</v>
      </c>
      <c r="G43" s="102"/>
      <c r="H43" s="102"/>
      <c r="I43" s="102"/>
      <c r="J43" s="102"/>
      <c r="K43" s="102"/>
      <c r="L43" s="102"/>
      <c r="M43" s="102"/>
      <c r="N43" s="102">
        <v>1</v>
      </c>
      <c r="O43" s="102">
        <v>1</v>
      </c>
      <c r="P43" s="227">
        <v>1</v>
      </c>
      <c r="Q43" s="227">
        <v>1</v>
      </c>
      <c r="R43" s="227">
        <v>1</v>
      </c>
      <c r="S43" s="227">
        <v>1</v>
      </c>
      <c r="T43" s="227">
        <v>1</v>
      </c>
      <c r="U43" s="227">
        <v>1</v>
      </c>
      <c r="V43" s="227"/>
      <c r="W43" s="227"/>
      <c r="X43" s="227"/>
      <c r="Y43" s="227"/>
      <c r="Z43" s="227"/>
      <c r="AA43" s="227"/>
      <c r="AB43" s="227"/>
      <c r="AC43" s="227"/>
      <c r="AD43" s="227"/>
      <c r="AE43" s="41">
        <f t="shared" si="11"/>
        <v>8</v>
      </c>
      <c r="AF43" s="104" t="s">
        <v>288</v>
      </c>
      <c r="AG43" s="44" t="s">
        <v>499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32" t="s">
        <v>457</v>
      </c>
      <c r="F44" s="41">
        <f t="shared" si="10"/>
        <v>8</v>
      </c>
      <c r="G44" s="102"/>
      <c r="H44" s="102"/>
      <c r="I44" s="102"/>
      <c r="J44" s="102"/>
      <c r="K44" s="102"/>
      <c r="L44" s="102"/>
      <c r="M44" s="102"/>
      <c r="N44" s="102">
        <v>1</v>
      </c>
      <c r="O44" s="102">
        <v>1</v>
      </c>
      <c r="P44" s="227">
        <v>1</v>
      </c>
      <c r="Q44" s="227">
        <v>1</v>
      </c>
      <c r="R44" s="227">
        <v>1</v>
      </c>
      <c r="S44" s="227">
        <v>1</v>
      </c>
      <c r="T44" s="227">
        <v>1</v>
      </c>
      <c r="U44" s="227">
        <v>1</v>
      </c>
      <c r="V44" s="227"/>
      <c r="W44" s="227"/>
      <c r="X44" s="227"/>
      <c r="Y44" s="227"/>
      <c r="Z44" s="227"/>
      <c r="AA44" s="227"/>
      <c r="AB44" s="227"/>
      <c r="AC44" s="227"/>
      <c r="AD44" s="227"/>
      <c r="AE44" s="41">
        <f t="shared" si="11"/>
        <v>8</v>
      </c>
      <c r="AF44" s="104" t="s">
        <v>288</v>
      </c>
      <c r="AG44" s="44" t="s">
        <v>499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32" t="s">
        <v>460</v>
      </c>
      <c r="F45" s="41">
        <f t="shared" si="10"/>
        <v>7</v>
      </c>
      <c r="G45" s="102"/>
      <c r="H45" s="102"/>
      <c r="I45" s="102"/>
      <c r="J45" s="102"/>
      <c r="K45" s="102"/>
      <c r="L45" s="102"/>
      <c r="M45" s="102"/>
      <c r="N45" s="227"/>
      <c r="O45" s="227"/>
      <c r="P45" s="227">
        <v>1</v>
      </c>
      <c r="Q45" s="227">
        <v>1</v>
      </c>
      <c r="R45" s="227">
        <v>1</v>
      </c>
      <c r="S45" s="227">
        <v>1</v>
      </c>
      <c r="T45" s="227">
        <v>1</v>
      </c>
      <c r="U45" s="227">
        <v>1</v>
      </c>
      <c r="V45" s="102">
        <v>1</v>
      </c>
      <c r="W45" s="102"/>
      <c r="X45" s="227"/>
      <c r="Y45" s="227"/>
      <c r="Z45" s="227"/>
      <c r="AA45" s="227"/>
      <c r="AB45" s="227"/>
      <c r="AC45" s="227"/>
      <c r="AD45" s="227"/>
      <c r="AE45" s="41">
        <f t="shared" si="11"/>
        <v>7</v>
      </c>
      <c r="AF45" s="104" t="s">
        <v>285</v>
      </c>
      <c r="AG45" s="44" t="s">
        <v>499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32" t="s">
        <v>478</v>
      </c>
      <c r="F46" s="41">
        <f t="shared" si="10"/>
        <v>7</v>
      </c>
      <c r="G46" s="77"/>
      <c r="H46" s="77"/>
      <c r="I46" s="77"/>
      <c r="J46" s="77"/>
      <c r="K46" s="77"/>
      <c r="L46" s="77"/>
      <c r="M46" s="77"/>
      <c r="N46" s="77"/>
      <c r="O46" s="227">
        <v>1</v>
      </c>
      <c r="P46" s="227">
        <v>1</v>
      </c>
      <c r="Q46" s="227">
        <v>1</v>
      </c>
      <c r="R46" s="227">
        <v>1</v>
      </c>
      <c r="S46" s="227">
        <v>1</v>
      </c>
      <c r="T46" s="102">
        <v>1</v>
      </c>
      <c r="U46" s="102">
        <v>1</v>
      </c>
      <c r="V46" s="102"/>
      <c r="W46" s="227"/>
      <c r="X46" s="227"/>
      <c r="Y46" s="227"/>
      <c r="Z46" s="227"/>
      <c r="AA46" s="227"/>
      <c r="AB46" s="227"/>
      <c r="AC46" s="227"/>
      <c r="AD46" s="227"/>
      <c r="AE46" s="41">
        <f t="shared" si="11"/>
        <v>7</v>
      </c>
      <c r="AF46" s="104" t="s">
        <v>87</v>
      </c>
      <c r="AG46" s="44" t="s">
        <v>499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32" t="s">
        <v>461</v>
      </c>
      <c r="F47" s="41">
        <f t="shared" si="10"/>
        <v>7</v>
      </c>
      <c r="G47" s="77"/>
      <c r="H47" s="77"/>
      <c r="I47" s="77"/>
      <c r="J47" s="77"/>
      <c r="K47" s="77"/>
      <c r="L47" s="77"/>
      <c r="M47" s="77"/>
      <c r="N47" s="77"/>
      <c r="O47" s="227">
        <v>1</v>
      </c>
      <c r="P47" s="227">
        <v>1</v>
      </c>
      <c r="Q47" s="227">
        <v>1</v>
      </c>
      <c r="R47" s="227">
        <v>1</v>
      </c>
      <c r="S47" s="227">
        <v>1</v>
      </c>
      <c r="T47" s="102">
        <v>1</v>
      </c>
      <c r="U47" s="102">
        <v>1</v>
      </c>
      <c r="V47" s="102"/>
      <c r="W47" s="227"/>
      <c r="X47" s="227"/>
      <c r="Y47" s="227"/>
      <c r="Z47" s="227"/>
      <c r="AA47" s="227"/>
      <c r="AB47" s="227"/>
      <c r="AC47" s="227"/>
      <c r="AD47" s="227"/>
      <c r="AE47" s="41">
        <f t="shared" si="11"/>
        <v>7</v>
      </c>
      <c r="AF47" s="104" t="s">
        <v>87</v>
      </c>
      <c r="AG47" s="44" t="s">
        <v>499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32" t="s">
        <v>463</v>
      </c>
      <c r="F48" s="41">
        <f t="shared" si="10"/>
        <v>7</v>
      </c>
      <c r="G48" s="77"/>
      <c r="H48" s="77"/>
      <c r="I48" s="77"/>
      <c r="J48" s="77"/>
      <c r="K48" s="77"/>
      <c r="L48" s="77"/>
      <c r="M48" s="77"/>
      <c r="N48" s="77"/>
      <c r="O48" s="227">
        <v>1</v>
      </c>
      <c r="P48" s="227">
        <v>1</v>
      </c>
      <c r="Q48" s="227">
        <v>1</v>
      </c>
      <c r="R48" s="227">
        <v>1</v>
      </c>
      <c r="S48" s="227">
        <v>1</v>
      </c>
      <c r="T48" s="102">
        <v>1</v>
      </c>
      <c r="U48" s="102">
        <v>1</v>
      </c>
      <c r="V48" s="102"/>
      <c r="W48" s="227"/>
      <c r="X48" s="227"/>
      <c r="Y48" s="227"/>
      <c r="Z48" s="227"/>
      <c r="AA48" s="227"/>
      <c r="AB48" s="227"/>
      <c r="AC48" s="227"/>
      <c r="AD48" s="227"/>
      <c r="AE48" s="41">
        <f t="shared" si="11"/>
        <v>7</v>
      </c>
      <c r="AF48" s="104" t="s">
        <v>87</v>
      </c>
      <c r="AG48" s="44" t="s">
        <v>499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32" t="s">
        <v>465</v>
      </c>
      <c r="F49" s="41">
        <f t="shared" si="10"/>
        <v>7</v>
      </c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227">
        <v>1</v>
      </c>
      <c r="V49" s="227">
        <v>1</v>
      </c>
      <c r="W49" s="227">
        <v>1</v>
      </c>
      <c r="X49" s="227">
        <v>1</v>
      </c>
      <c r="Y49" s="227">
        <v>1</v>
      </c>
      <c r="Z49" s="227">
        <v>1</v>
      </c>
      <c r="AA49" s="227">
        <v>1</v>
      </c>
      <c r="AB49" s="77"/>
      <c r="AC49" s="77"/>
      <c r="AD49" s="77"/>
      <c r="AE49" s="41">
        <f t="shared" si="11"/>
        <v>7</v>
      </c>
      <c r="AF49" s="241" t="s">
        <v>100</v>
      </c>
      <c r="AG49" s="44" t="s">
        <v>499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32" t="s">
        <v>466</v>
      </c>
      <c r="F50" s="41">
        <f t="shared" si="10"/>
        <v>8</v>
      </c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227">
        <v>1</v>
      </c>
      <c r="V50" s="227">
        <v>1</v>
      </c>
      <c r="W50" s="227">
        <v>1</v>
      </c>
      <c r="X50" s="227">
        <v>1</v>
      </c>
      <c r="Y50" s="227">
        <v>1</v>
      </c>
      <c r="Z50" s="227">
        <v>1</v>
      </c>
      <c r="AA50" s="227">
        <v>1</v>
      </c>
      <c r="AB50" s="102">
        <v>1</v>
      </c>
      <c r="AC50" s="77"/>
      <c r="AD50" s="77"/>
      <c r="AE50" s="41">
        <f t="shared" si="11"/>
        <v>8</v>
      </c>
      <c r="AF50" s="241" t="s">
        <v>78</v>
      </c>
      <c r="AG50" s="44" t="s">
        <v>499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32" t="s">
        <v>467</v>
      </c>
      <c r="F51" s="41">
        <f t="shared" si="10"/>
        <v>8</v>
      </c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227"/>
      <c r="T51" s="227">
        <v>1</v>
      </c>
      <c r="U51" s="227">
        <v>1</v>
      </c>
      <c r="V51" s="227">
        <v>1</v>
      </c>
      <c r="W51" s="227">
        <v>1</v>
      </c>
      <c r="X51" s="227">
        <v>1</v>
      </c>
      <c r="Y51" s="227">
        <v>1</v>
      </c>
      <c r="Z51" s="102">
        <v>1</v>
      </c>
      <c r="AA51" s="102">
        <v>1</v>
      </c>
      <c r="AB51" s="77"/>
      <c r="AC51" s="77"/>
      <c r="AD51" s="77"/>
      <c r="AE51" s="41">
        <f t="shared" si="11"/>
        <v>8</v>
      </c>
      <c r="AF51" s="241" t="s">
        <v>293</v>
      </c>
      <c r="AG51" s="44"/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32" t="s">
        <v>491</v>
      </c>
      <c r="F52" s="41">
        <f t="shared" si="10"/>
        <v>7</v>
      </c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102"/>
      <c r="S52" s="227">
        <v>1</v>
      </c>
      <c r="T52" s="227">
        <v>1</v>
      </c>
      <c r="U52" s="227">
        <v>1</v>
      </c>
      <c r="V52" s="227"/>
      <c r="W52" s="227">
        <v>1</v>
      </c>
      <c r="X52" s="227">
        <v>1</v>
      </c>
      <c r="Y52" s="102">
        <v>1</v>
      </c>
      <c r="Z52" s="42">
        <v>1</v>
      </c>
      <c r="AA52" s="102"/>
      <c r="AB52" s="102"/>
      <c r="AC52" s="102"/>
      <c r="AD52" s="102"/>
      <c r="AE52" s="101">
        <f t="shared" si="11"/>
        <v>7</v>
      </c>
      <c r="AF52" s="104" t="s">
        <v>531</v>
      </c>
      <c r="AG52" s="44"/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32" t="s">
        <v>493</v>
      </c>
      <c r="F53" s="41">
        <f t="shared" si="10"/>
        <v>8</v>
      </c>
      <c r="G53" s="77"/>
      <c r="H53" s="77"/>
      <c r="I53" s="77"/>
      <c r="J53" s="77"/>
      <c r="K53" s="77"/>
      <c r="L53" s="77"/>
      <c r="M53" s="77"/>
      <c r="N53" s="77"/>
      <c r="O53" s="77"/>
      <c r="P53" s="42">
        <v>1</v>
      </c>
      <c r="Q53" s="102">
        <v>1</v>
      </c>
      <c r="R53" s="102">
        <v>1</v>
      </c>
      <c r="S53" s="227">
        <v>1</v>
      </c>
      <c r="T53" s="227"/>
      <c r="U53" s="227">
        <v>1</v>
      </c>
      <c r="V53" s="227">
        <v>1</v>
      </c>
      <c r="W53" s="227">
        <v>1</v>
      </c>
      <c r="X53" s="227">
        <v>1</v>
      </c>
      <c r="Y53" s="102"/>
      <c r="Z53" s="102"/>
      <c r="AA53" s="102"/>
      <c r="AB53" s="102"/>
      <c r="AC53" s="102"/>
      <c r="AD53" s="102"/>
      <c r="AE53" s="101">
        <f t="shared" si="11"/>
        <v>8</v>
      </c>
      <c r="AF53" s="104" t="s">
        <v>532</v>
      </c>
      <c r="AG53" s="44"/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32" t="s">
        <v>469</v>
      </c>
      <c r="F54" s="41">
        <f t="shared" si="10"/>
        <v>7</v>
      </c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102">
        <v>1</v>
      </c>
      <c r="R54" s="102">
        <v>1</v>
      </c>
      <c r="S54" s="227">
        <v>1</v>
      </c>
      <c r="T54" s="227">
        <v>1</v>
      </c>
      <c r="U54" s="227"/>
      <c r="V54" s="227">
        <v>1</v>
      </c>
      <c r="W54" s="227">
        <v>1</v>
      </c>
      <c r="X54" s="227">
        <v>1</v>
      </c>
      <c r="Y54" s="102"/>
      <c r="Z54" s="102"/>
      <c r="AA54" s="102"/>
      <c r="AB54" s="102"/>
      <c r="AC54" s="102"/>
      <c r="AD54" s="102"/>
      <c r="AE54" s="101">
        <f t="shared" si="11"/>
        <v>7</v>
      </c>
      <c r="AF54" s="104" t="s">
        <v>533</v>
      </c>
      <c r="AG54" s="44"/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32" t="s">
        <v>495</v>
      </c>
      <c r="F55" s="41">
        <f t="shared" si="10"/>
        <v>8</v>
      </c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227"/>
      <c r="S55" s="227">
        <v>1</v>
      </c>
      <c r="T55" s="227">
        <v>1</v>
      </c>
      <c r="U55" s="227">
        <v>1</v>
      </c>
      <c r="V55" s="227">
        <v>1</v>
      </c>
      <c r="W55" s="227">
        <v>1</v>
      </c>
      <c r="X55" s="227">
        <v>1</v>
      </c>
      <c r="Y55" s="102">
        <v>1</v>
      </c>
      <c r="Z55" s="102">
        <v>1</v>
      </c>
      <c r="AA55" s="102"/>
      <c r="AB55" s="102"/>
      <c r="AC55" s="102"/>
      <c r="AD55" s="102"/>
      <c r="AE55" s="101">
        <f t="shared" si="11"/>
        <v>8</v>
      </c>
      <c r="AF55" s="104" t="s">
        <v>365</v>
      </c>
      <c r="AG55" s="44"/>
    </row>
    <row r="56" spans="1:33" ht="14.25" customHeight="1">
      <c r="A56" s="38" t="s">
        <v>41</v>
      </c>
      <c r="B56" s="188" t="s">
        <v>507</v>
      </c>
      <c r="C56" s="98"/>
      <c r="D56" s="86">
        <v>49</v>
      </c>
      <c r="E56" s="232" t="s">
        <v>508</v>
      </c>
      <c r="F56" s="41">
        <f t="shared" si="10"/>
        <v>0</v>
      </c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113" t="s">
        <v>199</v>
      </c>
      <c r="R56" s="113" t="s">
        <v>200</v>
      </c>
      <c r="S56" s="230" t="s">
        <v>201</v>
      </c>
      <c r="T56" s="230" t="s">
        <v>202</v>
      </c>
      <c r="U56" s="230" t="s">
        <v>201</v>
      </c>
      <c r="V56" s="230" t="s">
        <v>47</v>
      </c>
      <c r="W56" s="230" t="s">
        <v>203</v>
      </c>
      <c r="X56" s="230" t="s">
        <v>204</v>
      </c>
      <c r="Y56" s="102"/>
      <c r="Z56" s="102"/>
      <c r="AA56" s="102"/>
      <c r="AB56" s="102"/>
      <c r="AC56" s="102"/>
      <c r="AD56" s="102"/>
      <c r="AE56" s="101">
        <f t="shared" si="11"/>
        <v>0</v>
      </c>
      <c r="AF56" s="104" t="s">
        <v>267</v>
      </c>
      <c r="AG56" s="44"/>
    </row>
    <row r="57" spans="1:33" ht="14.25" customHeight="1">
      <c r="A57" s="38" t="s">
        <v>41</v>
      </c>
      <c r="B57" s="188" t="s">
        <v>496</v>
      </c>
      <c r="C57" s="98">
        <v>999013936</v>
      </c>
      <c r="D57" s="39">
        <v>50</v>
      </c>
      <c r="E57" s="232" t="s">
        <v>497</v>
      </c>
      <c r="F57" s="41">
        <f t="shared" si="10"/>
        <v>8</v>
      </c>
      <c r="G57" s="77"/>
      <c r="H57" s="77"/>
      <c r="I57" s="102"/>
      <c r="J57" s="102"/>
      <c r="K57" s="102"/>
      <c r="L57" s="102"/>
      <c r="M57" s="102"/>
      <c r="N57" s="102"/>
      <c r="O57" s="102"/>
      <c r="P57" s="102"/>
      <c r="Q57" s="102">
        <v>1</v>
      </c>
      <c r="R57" s="102">
        <v>1</v>
      </c>
      <c r="S57" s="227">
        <v>1</v>
      </c>
      <c r="T57" s="227">
        <v>1</v>
      </c>
      <c r="U57" s="227">
        <v>1</v>
      </c>
      <c r="V57" s="227">
        <v>1</v>
      </c>
      <c r="W57" s="227">
        <v>1</v>
      </c>
      <c r="X57" s="227">
        <v>1</v>
      </c>
      <c r="Y57" s="102"/>
      <c r="Z57" s="102"/>
      <c r="AA57" s="102"/>
      <c r="AB57" s="102"/>
      <c r="AC57" s="102"/>
      <c r="AD57" s="102"/>
      <c r="AE57" s="101">
        <f t="shared" si="11"/>
        <v>8</v>
      </c>
      <c r="AF57" s="104" t="s">
        <v>267</v>
      </c>
      <c r="AG57" s="44"/>
    </row>
    <row r="58" spans="1:33" ht="14.25" customHeight="1">
      <c r="A58" s="98"/>
      <c r="B58" s="98"/>
      <c r="C58" s="98"/>
      <c r="D58" s="86">
        <v>1</v>
      </c>
      <c r="E58" s="134" t="s">
        <v>138</v>
      </c>
      <c r="F58" s="88">
        <v>8</v>
      </c>
      <c r="G58" s="77"/>
      <c r="H58" s="77"/>
      <c r="I58" s="77"/>
      <c r="J58" s="77"/>
      <c r="K58" s="77"/>
      <c r="L58" s="77"/>
      <c r="M58" s="77"/>
      <c r="N58" s="226"/>
      <c r="O58" s="226"/>
      <c r="P58" s="226"/>
      <c r="Q58" s="226"/>
      <c r="R58" s="226"/>
      <c r="S58" s="226"/>
      <c r="T58" s="226"/>
      <c r="U58" s="226"/>
      <c r="V58" s="573" t="s">
        <v>292</v>
      </c>
      <c r="W58" s="555"/>
      <c r="X58" s="555"/>
      <c r="Y58" s="555"/>
      <c r="Z58" s="555"/>
      <c r="AA58" s="555"/>
      <c r="AB58" s="555"/>
      <c r="AC58" s="542"/>
      <c r="AD58" s="47"/>
      <c r="AE58" s="41">
        <v>8</v>
      </c>
      <c r="AF58" s="43" t="s">
        <v>218</v>
      </c>
      <c r="AG58" s="44"/>
    </row>
    <row r="59" spans="1:33" ht="14.25" customHeight="1">
      <c r="A59" s="98"/>
      <c r="B59" s="98"/>
      <c r="C59" s="98"/>
      <c r="D59" s="39">
        <v>2</v>
      </c>
      <c r="E59" s="131" t="s">
        <v>191</v>
      </c>
      <c r="F59" s="41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  <c r="Z59" s="77">
        <v>0</v>
      </c>
      <c r="AA59" s="77">
        <v>0</v>
      </c>
      <c r="AB59" s="77">
        <v>0</v>
      </c>
      <c r="AC59" s="77">
        <v>0</v>
      </c>
      <c r="AD59" s="77">
        <v>0</v>
      </c>
      <c r="AE59" s="41">
        <f t="shared" ref="AE59:AE60" si="12">SUM(G59:AD59)</f>
        <v>0</v>
      </c>
      <c r="AF59" s="89" t="s">
        <v>225</v>
      </c>
      <c r="AG59" s="44"/>
    </row>
    <row r="60" spans="1:33" ht="14.25" customHeight="1">
      <c r="A60" s="98"/>
      <c r="B60" s="98"/>
      <c r="C60" s="98"/>
      <c r="D60" s="39">
        <v>1</v>
      </c>
      <c r="E60" s="133" t="s">
        <v>363</v>
      </c>
      <c r="F60" s="41">
        <v>0</v>
      </c>
      <c r="G60" s="42" t="s">
        <v>352</v>
      </c>
      <c r="H60" s="42" t="s">
        <v>352</v>
      </c>
      <c r="I60" s="42" t="s">
        <v>352</v>
      </c>
      <c r="J60" s="42" t="s">
        <v>352</v>
      </c>
      <c r="K60" s="42" t="s">
        <v>352</v>
      </c>
      <c r="L60" s="42" t="s">
        <v>352</v>
      </c>
      <c r="M60" s="42" t="s">
        <v>352</v>
      </c>
      <c r="N60" s="42" t="s">
        <v>352</v>
      </c>
      <c r="O60" s="42" t="s">
        <v>352</v>
      </c>
      <c r="P60" s="42" t="s">
        <v>352</v>
      </c>
      <c r="Q60" s="42" t="s">
        <v>352</v>
      </c>
      <c r="R60" s="42" t="s">
        <v>352</v>
      </c>
      <c r="S60" s="42" t="s">
        <v>352</v>
      </c>
      <c r="T60" s="42" t="s">
        <v>352</v>
      </c>
      <c r="U60" s="42" t="s">
        <v>352</v>
      </c>
      <c r="V60" s="42" t="s">
        <v>352</v>
      </c>
      <c r="W60" s="42" t="s">
        <v>352</v>
      </c>
      <c r="X60" s="42" t="s">
        <v>352</v>
      </c>
      <c r="Y60" s="42" t="s">
        <v>352</v>
      </c>
      <c r="Z60" s="42" t="s">
        <v>352</v>
      </c>
      <c r="AA60" s="42" t="s">
        <v>352</v>
      </c>
      <c r="AB60" s="42" t="s">
        <v>352</v>
      </c>
      <c r="AC60" s="42" t="s">
        <v>352</v>
      </c>
      <c r="AD60" s="42" t="s">
        <v>352</v>
      </c>
      <c r="AE60" s="41">
        <f t="shared" si="12"/>
        <v>0</v>
      </c>
      <c r="AF60" s="64" t="s">
        <v>6</v>
      </c>
      <c r="AG60" s="44"/>
    </row>
    <row r="61" spans="1:33" ht="14.25" customHeight="1">
      <c r="A61" s="2"/>
      <c r="B61" s="2"/>
      <c r="C61" s="2"/>
      <c r="D61" s="48"/>
      <c r="E61" s="49"/>
      <c r="F61" s="50"/>
      <c r="G61" s="51" t="s">
        <v>9</v>
      </c>
      <c r="H61" s="51" t="s">
        <v>10</v>
      </c>
      <c r="I61" s="51" t="s">
        <v>11</v>
      </c>
      <c r="J61" s="51" t="s">
        <v>12</v>
      </c>
      <c r="K61" s="51" t="s">
        <v>13</v>
      </c>
      <c r="L61" s="51" t="s">
        <v>14</v>
      </c>
      <c r="M61" s="51" t="s">
        <v>15</v>
      </c>
      <c r="N61" s="51" t="s">
        <v>16</v>
      </c>
      <c r="O61" s="106" t="s">
        <v>17</v>
      </c>
      <c r="P61" s="106" t="s">
        <v>18</v>
      </c>
      <c r="Q61" s="107" t="s">
        <v>19</v>
      </c>
      <c r="R61" s="107" t="s">
        <v>20</v>
      </c>
      <c r="S61" s="107" t="s">
        <v>21</v>
      </c>
      <c r="T61" s="107" t="s">
        <v>22</v>
      </c>
      <c r="U61" s="107" t="s">
        <v>23</v>
      </c>
      <c r="V61" s="107" t="s">
        <v>24</v>
      </c>
      <c r="W61" s="107" t="s">
        <v>25</v>
      </c>
      <c r="X61" s="107" t="s">
        <v>26</v>
      </c>
      <c r="Y61" s="107" t="s">
        <v>27</v>
      </c>
      <c r="Z61" s="107" t="s">
        <v>28</v>
      </c>
      <c r="AA61" s="52" t="s">
        <v>29</v>
      </c>
      <c r="AB61" s="52" t="s">
        <v>30</v>
      </c>
      <c r="AC61" s="52" t="s">
        <v>31</v>
      </c>
      <c r="AD61" s="51" t="s">
        <v>32</v>
      </c>
      <c r="AE61" s="53"/>
      <c r="AF61" s="25"/>
      <c r="AG61" s="25"/>
    </row>
    <row r="62" spans="1:3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4.25" customHeight="1">
      <c r="A63" s="3"/>
      <c r="B63" s="3"/>
      <c r="C63" s="3"/>
      <c r="D63" s="48"/>
      <c r="E63" s="547" t="s">
        <v>8</v>
      </c>
      <c r="F63" s="548"/>
      <c r="G63" s="12">
        <v>2</v>
      </c>
      <c r="H63" s="12">
        <v>2</v>
      </c>
      <c r="I63" s="12">
        <v>2</v>
      </c>
      <c r="J63" s="12">
        <v>2</v>
      </c>
      <c r="K63" s="12">
        <v>2</v>
      </c>
      <c r="L63" s="12">
        <v>2</v>
      </c>
      <c r="M63" s="12">
        <v>2</v>
      </c>
      <c r="N63" s="12">
        <v>2</v>
      </c>
      <c r="O63" s="242">
        <v>4</v>
      </c>
      <c r="P63" s="56">
        <v>5</v>
      </c>
      <c r="Q63" s="56">
        <v>5</v>
      </c>
      <c r="R63" s="56">
        <v>5</v>
      </c>
      <c r="S63" s="144">
        <v>6</v>
      </c>
      <c r="T63" s="144">
        <v>6</v>
      </c>
      <c r="U63" s="56">
        <v>5</v>
      </c>
      <c r="V63" s="56">
        <v>5</v>
      </c>
      <c r="W63" s="144">
        <v>6</v>
      </c>
      <c r="X63" s="144">
        <v>6</v>
      </c>
      <c r="Y63" s="144">
        <v>6</v>
      </c>
      <c r="Z63" s="144">
        <v>6</v>
      </c>
      <c r="AA63" s="234">
        <v>3</v>
      </c>
      <c r="AB63" s="234">
        <v>3</v>
      </c>
      <c r="AC63" s="12">
        <v>2</v>
      </c>
      <c r="AD63" s="12">
        <v>2</v>
      </c>
      <c r="AE63" s="18">
        <f>SUM(G63:AD63)</f>
        <v>91</v>
      </c>
      <c r="AF63" s="25"/>
      <c r="AG63" s="3"/>
    </row>
    <row r="64" spans="1:33" ht="14.25" customHeight="1">
      <c r="A64" s="3"/>
      <c r="B64" s="3"/>
      <c r="C64" s="3"/>
      <c r="D64" s="48"/>
      <c r="E64" s="59"/>
      <c r="F64" s="59"/>
      <c r="G64" s="28">
        <f t="shared" ref="G64:AD64" si="13">G66-G63</f>
        <v>0</v>
      </c>
      <c r="H64" s="28">
        <f t="shared" si="13"/>
        <v>0</v>
      </c>
      <c r="I64" s="28">
        <f t="shared" si="13"/>
        <v>0</v>
      </c>
      <c r="J64" s="28">
        <f t="shared" si="13"/>
        <v>0</v>
      </c>
      <c r="K64" s="28">
        <f t="shared" si="13"/>
        <v>0</v>
      </c>
      <c r="L64" s="28">
        <f t="shared" si="13"/>
        <v>0</v>
      </c>
      <c r="M64" s="28">
        <f t="shared" si="13"/>
        <v>0</v>
      </c>
      <c r="N64" s="28">
        <f t="shared" si="13"/>
        <v>1</v>
      </c>
      <c r="O64" s="28">
        <f t="shared" si="13"/>
        <v>0</v>
      </c>
      <c r="P64" s="28">
        <f t="shared" si="13"/>
        <v>0</v>
      </c>
      <c r="Q64" s="28">
        <f t="shared" si="13"/>
        <v>0</v>
      </c>
      <c r="R64" s="28">
        <f t="shared" si="13"/>
        <v>0</v>
      </c>
      <c r="S64" s="205">
        <f t="shared" si="13"/>
        <v>-1</v>
      </c>
      <c r="T64" s="205">
        <f t="shared" si="13"/>
        <v>-2</v>
      </c>
      <c r="U64" s="205">
        <f t="shared" si="13"/>
        <v>-1</v>
      </c>
      <c r="V64" s="205">
        <f t="shared" si="13"/>
        <v>-1</v>
      </c>
      <c r="W64" s="205">
        <f t="shared" si="13"/>
        <v>-1</v>
      </c>
      <c r="X64" s="205">
        <f t="shared" si="13"/>
        <v>-1</v>
      </c>
      <c r="Y64" s="28">
        <f t="shared" si="13"/>
        <v>0</v>
      </c>
      <c r="Z64" s="28">
        <f t="shared" si="13"/>
        <v>0</v>
      </c>
      <c r="AA64" s="28">
        <f t="shared" si="13"/>
        <v>0</v>
      </c>
      <c r="AB64" s="28">
        <f t="shared" si="13"/>
        <v>0</v>
      </c>
      <c r="AC64" s="84">
        <f t="shared" si="13"/>
        <v>1</v>
      </c>
      <c r="AD64" s="28">
        <f t="shared" si="13"/>
        <v>0</v>
      </c>
      <c r="AE64" s="53"/>
      <c r="AF64" s="3"/>
      <c r="AG64" s="3"/>
    </row>
    <row r="65" spans="1:33" ht="14.25" customHeight="1">
      <c r="A65" s="3"/>
      <c r="B65" s="3"/>
      <c r="C65" s="3"/>
      <c r="D65" s="48"/>
      <c r="E65" s="60" t="s">
        <v>145</v>
      </c>
      <c r="F65" s="59"/>
      <c r="G65" s="51" t="s">
        <v>9</v>
      </c>
      <c r="H65" s="51" t="s">
        <v>10</v>
      </c>
      <c r="I65" s="51" t="s">
        <v>11</v>
      </c>
      <c r="J65" s="51" t="s">
        <v>12</v>
      </c>
      <c r="K65" s="51" t="s">
        <v>13</v>
      </c>
      <c r="L65" s="51" t="s">
        <v>14</v>
      </c>
      <c r="M65" s="51" t="s">
        <v>15</v>
      </c>
      <c r="N65" s="51" t="s">
        <v>16</v>
      </c>
      <c r="O65" s="51" t="s">
        <v>17</v>
      </c>
      <c r="P65" s="51" t="s">
        <v>18</v>
      </c>
      <c r="Q65" s="52" t="s">
        <v>19</v>
      </c>
      <c r="R65" s="52" t="s">
        <v>20</v>
      </c>
      <c r="S65" s="52" t="s">
        <v>21</v>
      </c>
      <c r="T65" s="52" t="s">
        <v>22</v>
      </c>
      <c r="U65" s="52" t="s">
        <v>23</v>
      </c>
      <c r="V65" s="52" t="s">
        <v>24</v>
      </c>
      <c r="W65" s="52" t="s">
        <v>25</v>
      </c>
      <c r="X65" s="52" t="s">
        <v>26</v>
      </c>
      <c r="Y65" s="52" t="s">
        <v>27</v>
      </c>
      <c r="Z65" s="52" t="s">
        <v>28</v>
      </c>
      <c r="AA65" s="52" t="s">
        <v>29</v>
      </c>
      <c r="AB65" s="52" t="s">
        <v>30</v>
      </c>
      <c r="AC65" s="52" t="s">
        <v>31</v>
      </c>
      <c r="AD65" s="51" t="s">
        <v>32</v>
      </c>
      <c r="AE65" s="53"/>
      <c r="AF65" s="25"/>
      <c r="AG65" s="3"/>
    </row>
    <row r="66" spans="1:33" ht="14.25" customHeight="1">
      <c r="A66" s="3"/>
      <c r="B66" s="3"/>
      <c r="C66" s="3"/>
      <c r="D66" s="48"/>
      <c r="E66" s="61" t="s">
        <v>37</v>
      </c>
      <c r="F66" s="37" t="s">
        <v>38</v>
      </c>
      <c r="G66" s="35">
        <f t="shared" ref="G66:AD66" si="14">SUM(G67:G83)</f>
        <v>2</v>
      </c>
      <c r="H66" s="35">
        <f t="shared" si="14"/>
        <v>2</v>
      </c>
      <c r="I66" s="35">
        <f t="shared" si="14"/>
        <v>2</v>
      </c>
      <c r="J66" s="35">
        <f t="shared" si="14"/>
        <v>2</v>
      </c>
      <c r="K66" s="35">
        <f t="shared" si="14"/>
        <v>2</v>
      </c>
      <c r="L66" s="35">
        <f t="shared" si="14"/>
        <v>2</v>
      </c>
      <c r="M66" s="35">
        <f t="shared" si="14"/>
        <v>2</v>
      </c>
      <c r="N66" s="35">
        <f t="shared" si="14"/>
        <v>3</v>
      </c>
      <c r="O66" s="35">
        <f t="shared" si="14"/>
        <v>4</v>
      </c>
      <c r="P66" s="35">
        <f t="shared" si="14"/>
        <v>5</v>
      </c>
      <c r="Q66" s="35">
        <f t="shared" si="14"/>
        <v>5</v>
      </c>
      <c r="R66" s="35">
        <f t="shared" si="14"/>
        <v>5</v>
      </c>
      <c r="S66" s="35">
        <f t="shared" si="14"/>
        <v>5</v>
      </c>
      <c r="T66" s="35">
        <f t="shared" si="14"/>
        <v>4</v>
      </c>
      <c r="U66" s="35">
        <f t="shared" si="14"/>
        <v>4</v>
      </c>
      <c r="V66" s="35">
        <f t="shared" si="14"/>
        <v>4</v>
      </c>
      <c r="W66" s="35">
        <f t="shared" si="14"/>
        <v>5</v>
      </c>
      <c r="X66" s="35">
        <f t="shared" si="14"/>
        <v>5</v>
      </c>
      <c r="Y66" s="35">
        <f t="shared" si="14"/>
        <v>6</v>
      </c>
      <c r="Z66" s="35">
        <f t="shared" si="14"/>
        <v>6</v>
      </c>
      <c r="AA66" s="35">
        <f t="shared" si="14"/>
        <v>3</v>
      </c>
      <c r="AB66" s="35">
        <f t="shared" si="14"/>
        <v>3</v>
      </c>
      <c r="AC66" s="35">
        <f t="shared" si="14"/>
        <v>3</v>
      </c>
      <c r="AD66" s="35">
        <f t="shared" si="14"/>
        <v>2</v>
      </c>
      <c r="AE66" s="30">
        <f>SUM(G66:AD66)</f>
        <v>86</v>
      </c>
      <c r="AF66" s="36" t="s">
        <v>39</v>
      </c>
      <c r="AG66" s="37" t="s">
        <v>40</v>
      </c>
    </row>
    <row r="67" spans="1:33" ht="14.25" customHeight="1">
      <c r="A67" s="38" t="s">
        <v>145</v>
      </c>
      <c r="B67" s="38" t="s">
        <v>67</v>
      </c>
      <c r="C67" s="38">
        <v>996585473</v>
      </c>
      <c r="D67" s="99">
        <v>1</v>
      </c>
      <c r="E67" s="40" t="s">
        <v>68</v>
      </c>
      <c r="F67" s="41">
        <f t="shared" ref="F67:F83" si="15">SUM(G67:AD67)</f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226">
        <v>0</v>
      </c>
      <c r="O67" s="226">
        <v>0</v>
      </c>
      <c r="P67" s="226">
        <v>0</v>
      </c>
      <c r="Q67" s="226">
        <v>0</v>
      </c>
      <c r="R67" s="226">
        <v>0</v>
      </c>
      <c r="S67" s="226">
        <v>0</v>
      </c>
      <c r="T67" s="226">
        <v>0</v>
      </c>
      <c r="U67" s="226">
        <v>0</v>
      </c>
      <c r="V67" s="226">
        <v>0</v>
      </c>
      <c r="W67" s="226">
        <v>0</v>
      </c>
      <c r="X67" s="226">
        <v>0</v>
      </c>
      <c r="Y67" s="226">
        <v>0</v>
      </c>
      <c r="Z67" s="226">
        <v>0</v>
      </c>
      <c r="AA67" s="226">
        <v>0</v>
      </c>
      <c r="AB67" s="226">
        <v>0</v>
      </c>
      <c r="AC67" s="226">
        <v>0</v>
      </c>
      <c r="AD67" s="226">
        <v>0</v>
      </c>
      <c r="AE67" s="112">
        <v>0</v>
      </c>
      <c r="AF67" s="89" t="s">
        <v>225</v>
      </c>
      <c r="AG67" s="44" t="s">
        <v>499</v>
      </c>
    </row>
    <row r="68" spans="1:33" ht="14.25" customHeight="1">
      <c r="A68" s="38" t="s">
        <v>145</v>
      </c>
      <c r="B68" s="38" t="s">
        <v>149</v>
      </c>
      <c r="C68" s="38"/>
      <c r="D68" s="62">
        <v>2</v>
      </c>
      <c r="E68" s="40" t="s">
        <v>150</v>
      </c>
      <c r="F68" s="41">
        <f t="shared" si="15"/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226">
        <v>0</v>
      </c>
      <c r="O68" s="226">
        <v>0</v>
      </c>
      <c r="P68" s="226">
        <v>0</v>
      </c>
      <c r="Q68" s="226">
        <v>0</v>
      </c>
      <c r="R68" s="226">
        <v>0</v>
      </c>
      <c r="S68" s="226">
        <v>0</v>
      </c>
      <c r="T68" s="226">
        <v>0</v>
      </c>
      <c r="U68" s="226">
        <v>0</v>
      </c>
      <c r="V68" s="226">
        <v>0</v>
      </c>
      <c r="W68" s="226">
        <v>0</v>
      </c>
      <c r="X68" s="226">
        <v>0</v>
      </c>
      <c r="Y68" s="226">
        <v>0</v>
      </c>
      <c r="Z68" s="226">
        <v>0</v>
      </c>
      <c r="AA68" s="226">
        <v>0</v>
      </c>
      <c r="AB68" s="226">
        <v>0</v>
      </c>
      <c r="AC68" s="226">
        <v>0</v>
      </c>
      <c r="AD68" s="226">
        <v>0</v>
      </c>
      <c r="AE68" s="112">
        <v>0</v>
      </c>
      <c r="AF68" s="89" t="s">
        <v>225</v>
      </c>
      <c r="AG68" s="44" t="s">
        <v>499</v>
      </c>
    </row>
    <row r="69" spans="1:33" ht="14.25" customHeight="1">
      <c r="A69" s="38" t="s">
        <v>145</v>
      </c>
      <c r="B69" s="38" t="s">
        <v>76</v>
      </c>
      <c r="C69" s="38">
        <v>969250973</v>
      </c>
      <c r="D69" s="39">
        <v>3</v>
      </c>
      <c r="E69" s="40" t="s">
        <v>77</v>
      </c>
      <c r="F69" s="41">
        <f t="shared" si="15"/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Z69" s="226">
        <v>0</v>
      </c>
      <c r="AA69" s="226">
        <v>0</v>
      </c>
      <c r="AB69" s="226">
        <v>0</v>
      </c>
      <c r="AC69" s="226">
        <v>0</v>
      </c>
      <c r="AD69" s="226">
        <v>0</v>
      </c>
      <c r="AE69" s="112">
        <v>0</v>
      </c>
      <c r="AF69" s="89" t="s">
        <v>225</v>
      </c>
      <c r="AG69" s="44" t="s">
        <v>499</v>
      </c>
    </row>
    <row r="70" spans="1:33" ht="14.25" customHeight="1">
      <c r="A70" s="38" t="s">
        <v>145</v>
      </c>
      <c r="B70" s="38" t="s">
        <v>152</v>
      </c>
      <c r="C70" s="38">
        <v>990911747</v>
      </c>
      <c r="D70" s="99">
        <v>4</v>
      </c>
      <c r="E70" s="40" t="s">
        <v>153</v>
      </c>
      <c r="F70" s="41">
        <f t="shared" si="15"/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Z70" s="226">
        <v>0</v>
      </c>
      <c r="AA70" s="226">
        <v>0</v>
      </c>
      <c r="AB70" s="226">
        <v>0</v>
      </c>
      <c r="AC70" s="226">
        <v>0</v>
      </c>
      <c r="AD70" s="226">
        <v>0</v>
      </c>
      <c r="AE70" s="41">
        <f>SUM(G70:AD70)</f>
        <v>0</v>
      </c>
      <c r="AF70" s="89" t="s">
        <v>225</v>
      </c>
      <c r="AG70" s="44" t="s">
        <v>499</v>
      </c>
    </row>
    <row r="71" spans="1:33" ht="14.25" customHeight="1">
      <c r="A71" s="38" t="s">
        <v>145</v>
      </c>
      <c r="B71" s="38" t="s">
        <v>85</v>
      </c>
      <c r="C71" s="38">
        <v>993901115</v>
      </c>
      <c r="D71" s="62">
        <v>5</v>
      </c>
      <c r="E71" s="40" t="s">
        <v>86</v>
      </c>
      <c r="F71" s="41">
        <f t="shared" si="15"/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Z71" s="226">
        <v>0</v>
      </c>
      <c r="AA71" s="226">
        <v>0</v>
      </c>
      <c r="AB71" s="226">
        <v>0</v>
      </c>
      <c r="AC71" s="226">
        <v>0</v>
      </c>
      <c r="AD71" s="226">
        <v>0</v>
      </c>
      <c r="AE71" s="112">
        <v>0</v>
      </c>
      <c r="AF71" s="89" t="s">
        <v>225</v>
      </c>
      <c r="AG71" s="44" t="s">
        <v>499</v>
      </c>
    </row>
    <row r="72" spans="1:33" ht="14.25" customHeight="1">
      <c r="A72" s="38" t="s">
        <v>145</v>
      </c>
      <c r="B72" s="38" t="s">
        <v>157</v>
      </c>
      <c r="C72" s="38">
        <v>992994680</v>
      </c>
      <c r="D72" s="39">
        <v>6</v>
      </c>
      <c r="E72" s="40" t="s">
        <v>158</v>
      </c>
      <c r="F72" s="41">
        <f t="shared" si="15"/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226">
        <v>0</v>
      </c>
      <c r="O72" s="226">
        <v>0</v>
      </c>
      <c r="P72" s="226">
        <v>0</v>
      </c>
      <c r="Q72" s="226">
        <v>0</v>
      </c>
      <c r="R72" s="226">
        <v>0</v>
      </c>
      <c r="S72" s="226">
        <v>0</v>
      </c>
      <c r="T72" s="226">
        <v>0</v>
      </c>
      <c r="U72" s="226">
        <v>0</v>
      </c>
      <c r="V72" s="226">
        <v>0</v>
      </c>
      <c r="W72" s="226">
        <v>0</v>
      </c>
      <c r="X72" s="226">
        <v>0</v>
      </c>
      <c r="Y72" s="226">
        <v>0</v>
      </c>
      <c r="Z72" s="226">
        <v>0</v>
      </c>
      <c r="AA72" s="226">
        <v>0</v>
      </c>
      <c r="AB72" s="226">
        <v>0</v>
      </c>
      <c r="AC72" s="226">
        <v>0</v>
      </c>
      <c r="AD72" s="226">
        <v>0</v>
      </c>
      <c r="AE72" s="112">
        <v>0</v>
      </c>
      <c r="AF72" s="89" t="s">
        <v>225</v>
      </c>
      <c r="AG72" s="44" t="s">
        <v>499</v>
      </c>
    </row>
    <row r="73" spans="1:33" ht="14.25" customHeight="1">
      <c r="A73" s="38" t="s">
        <v>145</v>
      </c>
      <c r="B73" s="38" t="s">
        <v>160</v>
      </c>
      <c r="C73" s="38"/>
      <c r="D73" s="99">
        <v>7</v>
      </c>
      <c r="E73" s="40" t="s">
        <v>161</v>
      </c>
      <c r="F73" s="41">
        <f t="shared" si="15"/>
        <v>13</v>
      </c>
      <c r="G73" s="42">
        <v>1</v>
      </c>
      <c r="H73" s="42">
        <v>1</v>
      </c>
      <c r="I73" s="42">
        <v>1</v>
      </c>
      <c r="J73" s="42">
        <v>1</v>
      </c>
      <c r="K73" s="42">
        <v>1</v>
      </c>
      <c r="L73" s="42">
        <v>1</v>
      </c>
      <c r="M73" s="42">
        <v>1</v>
      </c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>
        <v>1</v>
      </c>
      <c r="Z73" s="42">
        <v>1</v>
      </c>
      <c r="AA73" s="42">
        <v>1</v>
      </c>
      <c r="AB73" s="42">
        <v>1</v>
      </c>
      <c r="AC73" s="42">
        <v>1</v>
      </c>
      <c r="AD73" s="42">
        <v>1</v>
      </c>
      <c r="AE73" s="41">
        <f t="shared" ref="AE73:AE75" si="16">SUM(G73:AD73)</f>
        <v>13</v>
      </c>
      <c r="AF73" s="43" t="s">
        <v>280</v>
      </c>
      <c r="AG73" s="44" t="s">
        <v>499</v>
      </c>
    </row>
    <row r="74" spans="1:33" ht="14.25" customHeight="1">
      <c r="A74" s="76" t="s">
        <v>145</v>
      </c>
      <c r="B74" s="76" t="s">
        <v>165</v>
      </c>
      <c r="C74" s="76"/>
      <c r="D74" s="62">
        <v>8</v>
      </c>
      <c r="E74" s="40" t="s">
        <v>166</v>
      </c>
      <c r="F74" s="41">
        <f t="shared" si="15"/>
        <v>12</v>
      </c>
      <c r="G74" s="42"/>
      <c r="H74" s="42"/>
      <c r="I74" s="42"/>
      <c r="J74" s="42"/>
      <c r="K74" s="42"/>
      <c r="L74" s="42"/>
      <c r="M74" s="42"/>
      <c r="N74" s="63">
        <v>1</v>
      </c>
      <c r="O74" s="42">
        <v>1</v>
      </c>
      <c r="P74" s="42">
        <v>1</v>
      </c>
      <c r="Q74" s="42">
        <v>1</v>
      </c>
      <c r="R74" s="42">
        <v>1</v>
      </c>
      <c r="S74" s="63">
        <v>1</v>
      </c>
      <c r="T74" s="42">
        <v>1</v>
      </c>
      <c r="U74" s="42">
        <v>1</v>
      </c>
      <c r="V74" s="42">
        <v>1</v>
      </c>
      <c r="W74" s="42">
        <v>1</v>
      </c>
      <c r="X74" s="42">
        <v>1</v>
      </c>
      <c r="Y74" s="42">
        <v>1</v>
      </c>
      <c r="Z74" s="42"/>
      <c r="AA74" s="42"/>
      <c r="AB74" s="42"/>
      <c r="AC74" s="42"/>
      <c r="AD74" s="42"/>
      <c r="AE74" s="41">
        <f t="shared" si="16"/>
        <v>12</v>
      </c>
      <c r="AF74" s="43" t="s">
        <v>534</v>
      </c>
      <c r="AG74" s="44" t="s">
        <v>499</v>
      </c>
    </row>
    <row r="75" spans="1:33" ht="14.25" customHeight="1">
      <c r="A75" s="38" t="s">
        <v>145</v>
      </c>
      <c r="B75" s="38" t="s">
        <v>168</v>
      </c>
      <c r="C75" s="38"/>
      <c r="D75" s="39">
        <v>9</v>
      </c>
      <c r="E75" s="40" t="s">
        <v>169</v>
      </c>
      <c r="F75" s="88">
        <f t="shared" si="15"/>
        <v>12</v>
      </c>
      <c r="G75" s="42">
        <v>1</v>
      </c>
      <c r="H75" s="42">
        <v>1</v>
      </c>
      <c r="I75" s="42">
        <v>1</v>
      </c>
      <c r="J75" s="42">
        <v>1</v>
      </c>
      <c r="K75" s="42">
        <v>1</v>
      </c>
      <c r="L75" s="42">
        <v>1</v>
      </c>
      <c r="M75" s="42">
        <v>1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>
        <v>1</v>
      </c>
      <c r="AA75" s="42">
        <v>1</v>
      </c>
      <c r="AB75" s="42">
        <v>1</v>
      </c>
      <c r="AC75" s="42">
        <v>1</v>
      </c>
      <c r="AD75" s="42">
        <v>1</v>
      </c>
      <c r="AE75" s="41">
        <f t="shared" si="16"/>
        <v>12</v>
      </c>
      <c r="AF75" s="43" t="s">
        <v>311</v>
      </c>
      <c r="AG75" s="44" t="s">
        <v>499</v>
      </c>
    </row>
    <row r="76" spans="1:33" ht="14.25" customHeight="1">
      <c r="A76" s="38" t="s">
        <v>145</v>
      </c>
      <c r="B76" s="38" t="s">
        <v>176</v>
      </c>
      <c r="C76" s="38"/>
      <c r="D76" s="99">
        <v>10</v>
      </c>
      <c r="E76" s="100" t="s">
        <v>177</v>
      </c>
      <c r="F76" s="101">
        <f t="shared" si="15"/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X76" s="226">
        <v>0</v>
      </c>
      <c r="Y76" s="226">
        <v>0</v>
      </c>
      <c r="Z76" s="226">
        <v>0</v>
      </c>
      <c r="AA76" s="226">
        <v>0</v>
      </c>
      <c r="AB76" s="226">
        <v>0</v>
      </c>
      <c r="AC76" s="226">
        <v>0</v>
      </c>
      <c r="AD76" s="226">
        <v>0</v>
      </c>
      <c r="AE76" s="112">
        <v>0</v>
      </c>
      <c r="AF76" s="89" t="s">
        <v>225</v>
      </c>
      <c r="AG76" s="44" t="s">
        <v>499</v>
      </c>
    </row>
    <row r="77" spans="1:33" ht="14.25" customHeight="1">
      <c r="A77" s="38"/>
      <c r="B77" s="38" t="s">
        <v>178</v>
      </c>
      <c r="C77" s="38"/>
      <c r="D77" s="62">
        <v>11</v>
      </c>
      <c r="E77" s="40" t="s">
        <v>179</v>
      </c>
      <c r="F77" s="41">
        <f t="shared" si="15"/>
        <v>13</v>
      </c>
      <c r="G77" s="77"/>
      <c r="H77" s="77"/>
      <c r="I77" s="77"/>
      <c r="J77" s="77"/>
      <c r="K77" s="77"/>
      <c r="L77" s="77"/>
      <c r="M77" s="77"/>
      <c r="N77" s="226"/>
      <c r="O77" s="226"/>
      <c r="P77" s="42">
        <v>1</v>
      </c>
      <c r="Q77" s="42">
        <v>1</v>
      </c>
      <c r="R77" s="42">
        <v>1</v>
      </c>
      <c r="S77" s="42">
        <v>1</v>
      </c>
      <c r="T77" s="42">
        <v>1</v>
      </c>
      <c r="U77" s="226"/>
      <c r="V77" s="42">
        <v>1</v>
      </c>
      <c r="W77" s="42">
        <v>1</v>
      </c>
      <c r="X77" s="42">
        <v>1</v>
      </c>
      <c r="Y77" s="42">
        <v>1</v>
      </c>
      <c r="Z77" s="42">
        <v>1</v>
      </c>
      <c r="AA77" s="42">
        <v>1</v>
      </c>
      <c r="AB77" s="42">
        <v>1</v>
      </c>
      <c r="AC77" s="42">
        <v>1</v>
      </c>
      <c r="AD77" s="42"/>
      <c r="AE77" s="41">
        <f>SUM(G77:AD77)</f>
        <v>13</v>
      </c>
      <c r="AF77" s="43" t="s">
        <v>351</v>
      </c>
      <c r="AG77" s="44"/>
    </row>
    <row r="78" spans="1:33" ht="14.25" customHeight="1">
      <c r="A78" s="38"/>
      <c r="B78" s="38" t="s">
        <v>181</v>
      </c>
      <c r="C78" s="38"/>
      <c r="D78" s="39">
        <v>12</v>
      </c>
      <c r="E78" s="40" t="s">
        <v>182</v>
      </c>
      <c r="F78" s="41">
        <f t="shared" si="15"/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Z78" s="226">
        <v>0</v>
      </c>
      <c r="AA78" s="226">
        <v>0</v>
      </c>
      <c r="AB78" s="226">
        <v>0</v>
      </c>
      <c r="AC78" s="226">
        <v>0</v>
      </c>
      <c r="AD78" s="226">
        <v>0</v>
      </c>
      <c r="AE78" s="112">
        <v>0</v>
      </c>
      <c r="AF78" s="89" t="s">
        <v>225</v>
      </c>
      <c r="AG78" s="44"/>
    </row>
    <row r="79" spans="1:33" ht="14.25" customHeight="1">
      <c r="A79" s="38"/>
      <c r="B79" s="38" t="s">
        <v>107</v>
      </c>
      <c r="C79" s="38"/>
      <c r="D79" s="99">
        <v>13</v>
      </c>
      <c r="E79" s="40" t="s">
        <v>108</v>
      </c>
      <c r="F79" s="41">
        <f t="shared" si="15"/>
        <v>12</v>
      </c>
      <c r="G79" s="77"/>
      <c r="H79" s="77"/>
      <c r="I79" s="77"/>
      <c r="J79" s="77"/>
      <c r="K79" s="77"/>
      <c r="L79" s="77"/>
      <c r="M79" s="42"/>
      <c r="N79" s="248">
        <v>1</v>
      </c>
      <c r="O79" s="248">
        <v>1</v>
      </c>
      <c r="P79" s="248">
        <v>1</v>
      </c>
      <c r="Q79" s="248">
        <v>1</v>
      </c>
      <c r="R79" s="248">
        <v>1</v>
      </c>
      <c r="S79" s="248">
        <v>1</v>
      </c>
      <c r="T79" s="248">
        <v>1</v>
      </c>
      <c r="U79" s="248">
        <v>1</v>
      </c>
      <c r="V79" s="42"/>
      <c r="W79" s="248">
        <v>1</v>
      </c>
      <c r="X79" s="248">
        <v>1</v>
      </c>
      <c r="Y79" s="248">
        <v>1</v>
      </c>
      <c r="Z79" s="248">
        <v>1</v>
      </c>
      <c r="AA79" s="42"/>
      <c r="AB79" s="42"/>
      <c r="AC79" s="42"/>
      <c r="AD79" s="42"/>
      <c r="AE79" s="41">
        <f>SUM(G79:AD79)</f>
        <v>12</v>
      </c>
      <c r="AF79" s="116" t="s">
        <v>535</v>
      </c>
      <c r="AG79" s="44"/>
    </row>
    <row r="80" spans="1:33" ht="14.25" customHeight="1">
      <c r="A80" s="38"/>
      <c r="B80" s="38" t="s">
        <v>167</v>
      </c>
      <c r="C80" s="38"/>
      <c r="D80" s="62">
        <v>14</v>
      </c>
      <c r="E80" s="40" t="s">
        <v>144</v>
      </c>
      <c r="F80" s="41">
        <f t="shared" si="15"/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Z80" s="226">
        <v>0</v>
      </c>
      <c r="AA80" s="226">
        <v>0</v>
      </c>
      <c r="AB80" s="226">
        <v>0</v>
      </c>
      <c r="AC80" s="226">
        <v>0</v>
      </c>
      <c r="AD80" s="226">
        <v>0</v>
      </c>
      <c r="AE80" s="112">
        <v>0</v>
      </c>
      <c r="AF80" s="89" t="s">
        <v>225</v>
      </c>
      <c r="AG80" s="44"/>
    </row>
    <row r="81" spans="1:33" ht="14.25" customHeight="1">
      <c r="A81" s="38"/>
      <c r="B81" s="38" t="s">
        <v>173</v>
      </c>
      <c r="C81" s="38"/>
      <c r="D81" s="39">
        <v>15</v>
      </c>
      <c r="E81" s="235" t="s">
        <v>174</v>
      </c>
      <c r="F81" s="41">
        <f t="shared" si="15"/>
        <v>12</v>
      </c>
      <c r="G81" s="77"/>
      <c r="H81" s="77"/>
      <c r="I81" s="77"/>
      <c r="J81" s="77"/>
      <c r="K81" s="77"/>
      <c r="L81" s="77"/>
      <c r="M81" s="77"/>
      <c r="N81" s="42">
        <v>1</v>
      </c>
      <c r="O81" s="42">
        <v>1</v>
      </c>
      <c r="P81" s="42">
        <v>1</v>
      </c>
      <c r="Q81" s="42">
        <v>1</v>
      </c>
      <c r="R81" s="42">
        <v>1</v>
      </c>
      <c r="S81" s="42">
        <v>1</v>
      </c>
      <c r="T81" s="42"/>
      <c r="U81" s="42">
        <v>1</v>
      </c>
      <c r="V81" s="42">
        <v>1</v>
      </c>
      <c r="W81" s="42">
        <v>1</v>
      </c>
      <c r="X81" s="42">
        <v>1</v>
      </c>
      <c r="Y81" s="42">
        <v>1</v>
      </c>
      <c r="Z81" s="42">
        <v>1</v>
      </c>
      <c r="AA81" s="42"/>
      <c r="AB81" s="42"/>
      <c r="AC81" s="42"/>
      <c r="AD81" s="42"/>
      <c r="AE81" s="41">
        <f t="shared" ref="AE81:AE82" si="17">SUM(G81:AD81)</f>
        <v>12</v>
      </c>
      <c r="AF81" s="43" t="s">
        <v>265</v>
      </c>
      <c r="AG81" s="44"/>
    </row>
    <row r="82" spans="1:33" ht="14.25" customHeight="1">
      <c r="A82" s="38"/>
      <c r="B82" s="38" t="s">
        <v>97</v>
      </c>
      <c r="C82" s="38"/>
      <c r="D82" s="99">
        <v>16</v>
      </c>
      <c r="E82" s="87" t="s">
        <v>98</v>
      </c>
      <c r="F82" s="41">
        <f t="shared" si="15"/>
        <v>12</v>
      </c>
      <c r="G82" s="77"/>
      <c r="H82" s="77"/>
      <c r="I82" s="77"/>
      <c r="J82" s="77"/>
      <c r="K82" s="77"/>
      <c r="L82" s="77"/>
      <c r="M82" s="77"/>
      <c r="N82" s="77"/>
      <c r="O82" s="42">
        <v>1</v>
      </c>
      <c r="P82" s="42">
        <v>1</v>
      </c>
      <c r="Q82" s="42">
        <v>1</v>
      </c>
      <c r="R82" s="42">
        <v>1</v>
      </c>
      <c r="S82" s="42">
        <v>1</v>
      </c>
      <c r="T82" s="42">
        <v>1</v>
      </c>
      <c r="U82" s="63">
        <v>1</v>
      </c>
      <c r="V82" s="42">
        <v>1</v>
      </c>
      <c r="W82" s="42">
        <v>1</v>
      </c>
      <c r="X82" s="42">
        <v>1</v>
      </c>
      <c r="Y82" s="42">
        <v>1</v>
      </c>
      <c r="Z82" s="42">
        <v>1</v>
      </c>
      <c r="AA82" s="42"/>
      <c r="AB82" s="42"/>
      <c r="AC82" s="42"/>
      <c r="AD82" s="42"/>
      <c r="AE82" s="41">
        <f t="shared" si="17"/>
        <v>12</v>
      </c>
      <c r="AF82" s="43" t="s">
        <v>66</v>
      </c>
      <c r="AG82" s="44"/>
    </row>
    <row r="83" spans="1:33" ht="14.25" customHeight="1">
      <c r="A83" s="38" t="s">
        <v>145</v>
      </c>
      <c r="B83" s="38" t="s">
        <v>183</v>
      </c>
      <c r="C83" s="38"/>
      <c r="D83" s="39">
        <v>18</v>
      </c>
      <c r="E83" s="40" t="s">
        <v>184</v>
      </c>
      <c r="F83" s="41">
        <f t="shared" si="15"/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226">
        <v>0</v>
      </c>
      <c r="O83" s="226">
        <v>0</v>
      </c>
      <c r="P83" s="226">
        <v>0</v>
      </c>
      <c r="Q83" s="226">
        <v>0</v>
      </c>
      <c r="R83" s="226">
        <v>0</v>
      </c>
      <c r="S83" s="226">
        <v>0</v>
      </c>
      <c r="T83" s="226">
        <v>0</v>
      </c>
      <c r="U83" s="226">
        <v>0</v>
      </c>
      <c r="V83" s="226">
        <v>0</v>
      </c>
      <c r="W83" s="226">
        <v>0</v>
      </c>
      <c r="X83" s="226">
        <v>0</v>
      </c>
      <c r="Y83" s="226">
        <v>0</v>
      </c>
      <c r="Z83" s="226">
        <v>0</v>
      </c>
      <c r="AA83" s="226">
        <v>0</v>
      </c>
      <c r="AB83" s="226">
        <v>0</v>
      </c>
      <c r="AC83" s="226">
        <v>0</v>
      </c>
      <c r="AD83" s="226">
        <v>0</v>
      </c>
      <c r="AE83" s="112">
        <v>0</v>
      </c>
      <c r="AF83" s="89" t="s">
        <v>225</v>
      </c>
      <c r="AG83" s="44" t="s">
        <v>499</v>
      </c>
    </row>
    <row r="84" spans="1:33" ht="14.25" customHeight="1">
      <c r="A84" s="3"/>
      <c r="B84" s="3"/>
      <c r="C84" s="3"/>
      <c r="D84" s="3"/>
      <c r="E84" s="3"/>
      <c r="F84" s="3"/>
      <c r="G84" s="65" t="s">
        <v>9</v>
      </c>
      <c r="H84" s="65" t="s">
        <v>10</v>
      </c>
      <c r="I84" s="65" t="s">
        <v>11</v>
      </c>
      <c r="J84" s="65" t="s">
        <v>12</v>
      </c>
      <c r="K84" s="65" t="s">
        <v>13</v>
      </c>
      <c r="L84" s="65" t="s">
        <v>14</v>
      </c>
      <c r="M84" s="65" t="s">
        <v>15</v>
      </c>
      <c r="N84" s="65" t="s">
        <v>16</v>
      </c>
      <c r="O84" s="65" t="s">
        <v>17</v>
      </c>
      <c r="P84" s="65" t="s">
        <v>18</v>
      </c>
      <c r="Q84" s="66" t="s">
        <v>19</v>
      </c>
      <c r="R84" s="66" t="s">
        <v>20</v>
      </c>
      <c r="S84" s="66" t="s">
        <v>21</v>
      </c>
      <c r="T84" s="66" t="s">
        <v>22</v>
      </c>
      <c r="U84" s="66" t="s">
        <v>23</v>
      </c>
      <c r="V84" s="66" t="s">
        <v>24</v>
      </c>
      <c r="W84" s="66" t="s">
        <v>25</v>
      </c>
      <c r="X84" s="66" t="s">
        <v>26</v>
      </c>
      <c r="Y84" s="66" t="s">
        <v>27</v>
      </c>
      <c r="Z84" s="66" t="s">
        <v>28</v>
      </c>
      <c r="AA84" s="66" t="s">
        <v>29</v>
      </c>
      <c r="AB84" s="66" t="s">
        <v>30</v>
      </c>
      <c r="AC84" s="66" t="s">
        <v>31</v>
      </c>
      <c r="AD84" s="65" t="s">
        <v>32</v>
      </c>
      <c r="AE84" s="53"/>
      <c r="AF84" s="3"/>
      <c r="AG84" s="3"/>
    </row>
    <row r="85" spans="1:3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</sheetData>
  <customSheetViews>
    <customSheetView guid="{D6F95600-F5D2-44BC-80B6-0F2773D5BD92}" filter="1" showAutoFilter="1">
      <pageMargins left="0.7" right="0.7" top="0.75" bottom="0.75" header="0.3" footer="0.3"/>
      <autoFilter ref="A3:AG85" xr:uid="{6E751E94-2815-4817-8995-F1506DFF8122}"/>
    </customSheetView>
    <customSheetView guid="{833D6734-F5E1-4449-B5A1-8C3A51A61651}" filter="1" showAutoFilter="1">
      <pageMargins left="0.7" right="0.7" top="0.75" bottom="0.75" header="0.3" footer="0.3"/>
      <autoFilter ref="A7:AG85" xr:uid="{C29FBECC-970C-42DB-BE5F-92BEDAACAC20}">
        <filterColumn colId="26">
          <filters>
            <filter val="-"/>
            <filter val="1"/>
            <filter val="3"/>
            <filter val="CLIENTES VIP"/>
            <filter val="V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5" xr:uid="{EAF56615-AA89-445D-8A26-E4D1616E940E}">
        <filterColumn colId="15">
          <filters>
            <filter val="-"/>
            <filter val="(1)"/>
            <filter val="1"/>
            <filter val="13"/>
            <filter val="4"/>
            <filter val="5"/>
            <filter val="C"/>
            <filter val="CLIENTES VIP"/>
            <filter val="D"/>
            <filter val="SEGUIMIENTO TRANSFERENCIAS"/>
            <filter val="SOPORTE DTH"/>
            <filter val="V"/>
          </filters>
        </filterColumn>
      </autoFilter>
    </customSheetView>
  </customSheetViews>
  <mergeCells count="9">
    <mergeCell ref="E5:F5"/>
    <mergeCell ref="E63:F63"/>
    <mergeCell ref="A1:B1"/>
    <mergeCell ref="D3:AE3"/>
    <mergeCell ref="E4:F4"/>
    <mergeCell ref="N15:U15"/>
    <mergeCell ref="O35:Z35"/>
    <mergeCell ref="P38:Z38"/>
    <mergeCell ref="V58:AC58"/>
  </mergeCells>
  <conditionalFormatting sqref="E4:F4 E63:F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5:AB65 N84:AB84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G8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12">
        <v>2</v>
      </c>
      <c r="J4" s="12">
        <v>2</v>
      </c>
      <c r="K4" s="12">
        <v>2</v>
      </c>
      <c r="L4" s="93">
        <v>3</v>
      </c>
      <c r="M4" s="94">
        <v>10</v>
      </c>
      <c r="N4" s="13">
        <v>11</v>
      </c>
      <c r="O4" s="108">
        <v>15</v>
      </c>
      <c r="P4" s="80">
        <v>21</v>
      </c>
      <c r="Q4" s="81">
        <v>25</v>
      </c>
      <c r="R4" s="135">
        <v>26</v>
      </c>
      <c r="S4" s="135">
        <v>26</v>
      </c>
      <c r="T4" s="81">
        <v>25</v>
      </c>
      <c r="U4" s="120">
        <v>22</v>
      </c>
      <c r="V4" s="120">
        <v>22</v>
      </c>
      <c r="W4" s="120">
        <v>22</v>
      </c>
      <c r="X4" s="120">
        <v>22</v>
      </c>
      <c r="Y4" s="80">
        <v>21</v>
      </c>
      <c r="Z4" s="137">
        <v>20</v>
      </c>
      <c r="AA4" s="83">
        <v>17</v>
      </c>
      <c r="AB4" s="94">
        <v>10</v>
      </c>
      <c r="AC4" s="225">
        <v>8</v>
      </c>
      <c r="AD4" s="11">
        <v>4</v>
      </c>
      <c r="AE4" s="18">
        <f>SUM(G4:AD4)</f>
        <v>343</v>
      </c>
      <c r="AF4" s="3"/>
      <c r="AG4" s="3"/>
    </row>
    <row r="5" spans="1:33" ht="62.25">
      <c r="A5" s="3"/>
      <c r="B5" s="2"/>
      <c r="C5" s="2"/>
      <c r="D5" s="19"/>
      <c r="E5" s="569">
        <v>5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1</v>
      </c>
      <c r="P6" s="28">
        <f t="shared" si="0"/>
        <v>0</v>
      </c>
      <c r="Q6" s="28">
        <f t="shared" si="0"/>
        <v>1</v>
      </c>
      <c r="R6" s="28">
        <f t="shared" si="0"/>
        <v>1</v>
      </c>
      <c r="S6" s="28">
        <f t="shared" si="0"/>
        <v>1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-1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9" si="1">SUM(G6:AD6)</f>
        <v>3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SUM(G8:G59)</f>
        <v>4</v>
      </c>
      <c r="H7" s="35">
        <f t="shared" si="2"/>
        <v>3</v>
      </c>
      <c r="I7" s="35">
        <f t="shared" si="2"/>
        <v>2</v>
      </c>
      <c r="J7" s="35">
        <f t="shared" si="2"/>
        <v>2</v>
      </c>
      <c r="K7" s="35">
        <f t="shared" si="2"/>
        <v>2</v>
      </c>
      <c r="L7" s="35">
        <f t="shared" si="2"/>
        <v>3</v>
      </c>
      <c r="M7" s="35">
        <f t="shared" si="2"/>
        <v>10</v>
      </c>
      <c r="N7" s="35">
        <f t="shared" si="2"/>
        <v>11</v>
      </c>
      <c r="O7" s="35">
        <f t="shared" si="2"/>
        <v>16</v>
      </c>
      <c r="P7" s="35">
        <f t="shared" si="2"/>
        <v>21</v>
      </c>
      <c r="Q7" s="35">
        <f t="shared" si="2"/>
        <v>26</v>
      </c>
      <c r="R7" s="35">
        <f t="shared" si="2"/>
        <v>27</v>
      </c>
      <c r="S7" s="35">
        <f t="shared" si="2"/>
        <v>27</v>
      </c>
      <c r="T7" s="35">
        <f t="shared" si="2"/>
        <v>25</v>
      </c>
      <c r="U7" s="35">
        <f t="shared" si="2"/>
        <v>22</v>
      </c>
      <c r="V7" s="35">
        <f t="shared" si="2"/>
        <v>22</v>
      </c>
      <c r="W7" s="35">
        <f t="shared" si="2"/>
        <v>22</v>
      </c>
      <c r="X7" s="35">
        <f t="shared" si="2"/>
        <v>22</v>
      </c>
      <c r="Y7" s="35">
        <f t="shared" si="2"/>
        <v>20</v>
      </c>
      <c r="Z7" s="35">
        <f t="shared" si="2"/>
        <v>20</v>
      </c>
      <c r="AA7" s="35">
        <f t="shared" si="2"/>
        <v>17</v>
      </c>
      <c r="AB7" s="35">
        <f t="shared" si="2"/>
        <v>10</v>
      </c>
      <c r="AC7" s="35">
        <f t="shared" si="2"/>
        <v>8</v>
      </c>
      <c r="AD7" s="35">
        <f t="shared" si="2"/>
        <v>4</v>
      </c>
      <c r="AE7" s="30">
        <f t="shared" si="1"/>
        <v>346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145" t="s">
        <v>46</v>
      </c>
      <c r="F8" s="249">
        <f t="shared" ref="F8:F19" si="3">SUM(G8:AD8)</f>
        <v>8</v>
      </c>
      <c r="G8" s="250"/>
      <c r="H8" s="250"/>
      <c r="I8" s="250"/>
      <c r="J8" s="250"/>
      <c r="K8" s="250"/>
      <c r="L8" s="250">
        <v>1</v>
      </c>
      <c r="M8" s="250">
        <v>1</v>
      </c>
      <c r="N8" s="250">
        <v>1</v>
      </c>
      <c r="O8" s="250">
        <v>1</v>
      </c>
      <c r="P8" s="250">
        <v>1</v>
      </c>
      <c r="Q8" s="250">
        <v>1</v>
      </c>
      <c r="R8" s="250">
        <v>1</v>
      </c>
      <c r="S8" s="250">
        <v>1</v>
      </c>
      <c r="T8" s="251" t="s">
        <v>47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2">
        <f t="shared" si="1"/>
        <v>8</v>
      </c>
      <c r="AF8" s="116" t="s">
        <v>536</v>
      </c>
      <c r="AG8" s="189" t="s">
        <v>537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45" t="s">
        <v>53</v>
      </c>
      <c r="F9" s="249">
        <f t="shared" si="3"/>
        <v>8</v>
      </c>
      <c r="G9" s="250">
        <v>1</v>
      </c>
      <c r="H9" s="250">
        <v>1</v>
      </c>
      <c r="I9" s="250">
        <v>1</v>
      </c>
      <c r="J9" s="250">
        <v>1</v>
      </c>
      <c r="K9" s="250">
        <v>1</v>
      </c>
      <c r="L9" s="250">
        <v>1</v>
      </c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>
        <v>1</v>
      </c>
      <c r="AD9" s="250">
        <v>1</v>
      </c>
      <c r="AE9" s="252">
        <f t="shared" si="1"/>
        <v>8</v>
      </c>
      <c r="AF9" s="111" t="s">
        <v>538</v>
      </c>
      <c r="AG9" s="189" t="s">
        <v>537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45" t="s">
        <v>56</v>
      </c>
      <c r="F10" s="249">
        <f t="shared" si="3"/>
        <v>9</v>
      </c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1" t="s">
        <v>47</v>
      </c>
      <c r="V10" s="250">
        <v>1</v>
      </c>
      <c r="W10" s="250">
        <v>1</v>
      </c>
      <c r="X10" s="250">
        <v>1</v>
      </c>
      <c r="Y10" s="250">
        <v>1</v>
      </c>
      <c r="Z10" s="250">
        <v>1</v>
      </c>
      <c r="AA10" s="250">
        <v>1</v>
      </c>
      <c r="AB10" s="250">
        <v>1</v>
      </c>
      <c r="AC10" s="250">
        <v>1</v>
      </c>
      <c r="AD10" s="250">
        <v>1</v>
      </c>
      <c r="AE10" s="252">
        <f t="shared" si="1"/>
        <v>9</v>
      </c>
      <c r="AF10" s="116" t="s">
        <v>75</v>
      </c>
      <c r="AG10" s="189" t="s">
        <v>537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249">
        <f t="shared" si="3"/>
        <v>9</v>
      </c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1" t="s">
        <v>47</v>
      </c>
      <c r="U11" s="250">
        <v>1</v>
      </c>
      <c r="V11" s="250">
        <v>1</v>
      </c>
      <c r="W11" s="250">
        <v>1</v>
      </c>
      <c r="X11" s="250">
        <v>1</v>
      </c>
      <c r="Y11" s="250">
        <v>1</v>
      </c>
      <c r="Z11" s="250">
        <v>1</v>
      </c>
      <c r="AA11" s="250">
        <v>1</v>
      </c>
      <c r="AB11" s="250">
        <v>1</v>
      </c>
      <c r="AC11" s="250">
        <v>1</v>
      </c>
      <c r="AD11" s="250"/>
      <c r="AE11" s="252">
        <f t="shared" si="1"/>
        <v>9</v>
      </c>
      <c r="AF11" s="116" t="s">
        <v>175</v>
      </c>
      <c r="AG11" s="189" t="s">
        <v>537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45" t="s">
        <v>147</v>
      </c>
      <c r="F12" s="249">
        <f t="shared" si="3"/>
        <v>7</v>
      </c>
      <c r="G12" s="250"/>
      <c r="H12" s="250"/>
      <c r="I12" s="250"/>
      <c r="J12" s="250"/>
      <c r="K12" s="250"/>
      <c r="L12" s="250"/>
      <c r="M12" s="250">
        <v>1</v>
      </c>
      <c r="N12" s="250">
        <v>1</v>
      </c>
      <c r="O12" s="250">
        <v>1</v>
      </c>
      <c r="P12" s="250">
        <v>1</v>
      </c>
      <c r="Q12" s="250">
        <v>1</v>
      </c>
      <c r="R12" s="250">
        <v>1</v>
      </c>
      <c r="S12" s="250">
        <v>1</v>
      </c>
      <c r="T12" s="251" t="s">
        <v>47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2">
        <f t="shared" si="1"/>
        <v>7</v>
      </c>
      <c r="AF12" s="116" t="s">
        <v>252</v>
      </c>
      <c r="AG12" s="189" t="s">
        <v>537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53" t="s">
        <v>60</v>
      </c>
      <c r="F13" s="249">
        <f t="shared" si="3"/>
        <v>8</v>
      </c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>
        <v>1</v>
      </c>
      <c r="R13" s="250">
        <v>1</v>
      </c>
      <c r="S13" s="250">
        <v>1</v>
      </c>
      <c r="T13" s="250">
        <v>1</v>
      </c>
      <c r="U13" s="251" t="s">
        <v>47</v>
      </c>
      <c r="V13" s="250">
        <v>1</v>
      </c>
      <c r="W13" s="250">
        <v>1</v>
      </c>
      <c r="X13" s="250">
        <v>1</v>
      </c>
      <c r="Y13" s="250">
        <v>1</v>
      </c>
      <c r="Z13" s="250"/>
      <c r="AA13" s="250"/>
      <c r="AB13" s="250"/>
      <c r="AC13" s="250"/>
      <c r="AD13" s="250"/>
      <c r="AE13" s="252">
        <f t="shared" si="1"/>
        <v>8</v>
      </c>
      <c r="AF13" s="116" t="s">
        <v>368</v>
      </c>
      <c r="AG13" s="189" t="s">
        <v>537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53" t="s">
        <v>63</v>
      </c>
      <c r="F14" s="249">
        <f t="shared" si="3"/>
        <v>8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>
        <v>1</v>
      </c>
      <c r="S14" s="251" t="s">
        <v>47</v>
      </c>
      <c r="T14" s="250">
        <v>1</v>
      </c>
      <c r="U14" s="250">
        <v>1</v>
      </c>
      <c r="V14" s="250">
        <v>1</v>
      </c>
      <c r="W14" s="250">
        <v>1</v>
      </c>
      <c r="X14" s="250">
        <v>1</v>
      </c>
      <c r="Y14" s="250">
        <v>1</v>
      </c>
      <c r="Z14" s="250">
        <v>1</v>
      </c>
      <c r="AA14" s="250"/>
      <c r="AB14" s="250"/>
      <c r="AC14" s="250"/>
      <c r="AD14" s="250"/>
      <c r="AE14" s="252">
        <f t="shared" si="1"/>
        <v>8</v>
      </c>
      <c r="AF14" s="116" t="s">
        <v>254</v>
      </c>
      <c r="AG14" s="189" t="s">
        <v>537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53" t="s">
        <v>65</v>
      </c>
      <c r="F15" s="249">
        <f t="shared" si="3"/>
        <v>7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>
        <v>1</v>
      </c>
      <c r="R15" s="250">
        <v>1</v>
      </c>
      <c r="S15" s="250">
        <v>1</v>
      </c>
      <c r="T15" s="250">
        <v>1</v>
      </c>
      <c r="U15" s="250">
        <v>1</v>
      </c>
      <c r="V15" s="250">
        <v>1</v>
      </c>
      <c r="W15" s="251" t="s">
        <v>47</v>
      </c>
      <c r="X15" s="250">
        <v>1</v>
      </c>
      <c r="Y15" s="250"/>
      <c r="Z15" s="250"/>
      <c r="AA15" s="250"/>
      <c r="AB15" s="250"/>
      <c r="AC15" s="250"/>
      <c r="AD15" s="250"/>
      <c r="AE15" s="252">
        <f t="shared" si="1"/>
        <v>7</v>
      </c>
      <c r="AF15" s="111" t="s">
        <v>267</v>
      </c>
      <c r="AG15" s="189" t="s">
        <v>537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45" t="s">
        <v>71</v>
      </c>
      <c r="F16" s="249">
        <f t="shared" si="3"/>
        <v>7</v>
      </c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>
        <v>1</v>
      </c>
      <c r="R16" s="250">
        <v>1</v>
      </c>
      <c r="S16" s="250">
        <v>1</v>
      </c>
      <c r="T16" s="250">
        <v>1</v>
      </c>
      <c r="U16" s="250">
        <v>1</v>
      </c>
      <c r="V16" s="250">
        <v>1</v>
      </c>
      <c r="W16" s="251" t="s">
        <v>47</v>
      </c>
      <c r="X16" s="250">
        <v>1</v>
      </c>
      <c r="Y16" s="250"/>
      <c r="Z16" s="250"/>
      <c r="AA16" s="250"/>
      <c r="AB16" s="250"/>
      <c r="AC16" s="250"/>
      <c r="AD16" s="250"/>
      <c r="AE16" s="252">
        <f t="shared" si="1"/>
        <v>7</v>
      </c>
      <c r="AF16" s="116" t="s">
        <v>267</v>
      </c>
      <c r="AG16" s="189" t="s">
        <v>537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145" t="s">
        <v>73</v>
      </c>
      <c r="F17" s="249">
        <f t="shared" si="3"/>
        <v>6</v>
      </c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1" t="s">
        <v>47</v>
      </c>
      <c r="X17" s="250">
        <v>1</v>
      </c>
      <c r="Y17" s="250">
        <v>1</v>
      </c>
      <c r="Z17" s="250">
        <v>1</v>
      </c>
      <c r="AA17" s="250">
        <v>1</v>
      </c>
      <c r="AB17" s="250">
        <v>1</v>
      </c>
      <c r="AC17" s="250">
        <v>1</v>
      </c>
      <c r="AD17" s="250"/>
      <c r="AE17" s="252">
        <f t="shared" si="1"/>
        <v>6</v>
      </c>
      <c r="AF17" s="111" t="s">
        <v>226</v>
      </c>
      <c r="AG17" s="189" t="s">
        <v>537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145" t="s">
        <v>80</v>
      </c>
      <c r="F18" s="249">
        <f t="shared" si="3"/>
        <v>7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>
        <v>1</v>
      </c>
      <c r="W18" s="251" t="s">
        <v>47</v>
      </c>
      <c r="X18" s="250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/>
      <c r="AE18" s="252">
        <f t="shared" si="1"/>
        <v>7</v>
      </c>
      <c r="AF18" s="111" t="s">
        <v>218</v>
      </c>
      <c r="AG18" s="189" t="s">
        <v>537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45" t="s">
        <v>83</v>
      </c>
      <c r="F19" s="249">
        <f t="shared" si="3"/>
        <v>8</v>
      </c>
      <c r="G19" s="250"/>
      <c r="H19" s="250"/>
      <c r="I19" s="250"/>
      <c r="J19" s="250"/>
      <c r="K19" s="250"/>
      <c r="L19" s="250"/>
      <c r="M19" s="250"/>
      <c r="N19" s="250"/>
      <c r="O19" s="250">
        <v>1</v>
      </c>
      <c r="P19" s="250">
        <v>1</v>
      </c>
      <c r="Q19" s="250">
        <v>1</v>
      </c>
      <c r="R19" s="250">
        <v>1</v>
      </c>
      <c r="S19" s="250">
        <v>1</v>
      </c>
      <c r="T19" s="250">
        <v>1</v>
      </c>
      <c r="U19" s="250">
        <v>1</v>
      </c>
      <c r="V19" s="251" t="s">
        <v>47</v>
      </c>
      <c r="W19" s="250">
        <v>1</v>
      </c>
      <c r="X19" s="250"/>
      <c r="Y19" s="250"/>
      <c r="Z19" s="250"/>
      <c r="AA19" s="250"/>
      <c r="AB19" s="250"/>
      <c r="AC19" s="250"/>
      <c r="AD19" s="250"/>
      <c r="AE19" s="252">
        <f t="shared" si="1"/>
        <v>8</v>
      </c>
      <c r="AF19" s="116" t="s">
        <v>298</v>
      </c>
      <c r="AG19" s="189" t="s">
        <v>537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249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579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42"/>
      <c r="AA20" s="77"/>
      <c r="AB20" s="77"/>
      <c r="AC20" s="42"/>
      <c r="AD20" s="42"/>
      <c r="AE20" s="252">
        <v>11</v>
      </c>
      <c r="AF20" s="116" t="s">
        <v>164</v>
      </c>
      <c r="AG20" s="189" t="s">
        <v>537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45" t="s">
        <v>91</v>
      </c>
      <c r="F21" s="249">
        <f t="shared" ref="F21:F56" si="4">SUM(G21:AD21)</f>
        <v>8</v>
      </c>
      <c r="G21" s="250"/>
      <c r="H21" s="250"/>
      <c r="I21" s="250"/>
      <c r="J21" s="250"/>
      <c r="K21" s="250"/>
      <c r="L21" s="250"/>
      <c r="M21" s="250">
        <v>1</v>
      </c>
      <c r="N21" s="250">
        <v>1</v>
      </c>
      <c r="O21" s="250">
        <v>1</v>
      </c>
      <c r="P21" s="250">
        <v>1</v>
      </c>
      <c r="Q21" s="250">
        <v>1</v>
      </c>
      <c r="R21" s="250">
        <v>1</v>
      </c>
      <c r="S21" s="250">
        <v>1</v>
      </c>
      <c r="T21" s="250">
        <v>1</v>
      </c>
      <c r="U21" s="251" t="s">
        <v>47</v>
      </c>
      <c r="V21" s="250"/>
      <c r="W21" s="250"/>
      <c r="X21" s="250"/>
      <c r="Y21" s="250"/>
      <c r="Z21" s="250"/>
      <c r="AA21" s="250"/>
      <c r="AB21" s="250"/>
      <c r="AC21" s="250"/>
      <c r="AD21" s="250"/>
      <c r="AE21" s="252">
        <f t="shared" ref="AE21:AE56" si="5">SUM(G21:AD21)</f>
        <v>8</v>
      </c>
      <c r="AF21" s="116" t="s">
        <v>244</v>
      </c>
      <c r="AG21" s="189" t="s">
        <v>537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145" t="s">
        <v>93</v>
      </c>
      <c r="F22" s="249">
        <f t="shared" si="4"/>
        <v>7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>
        <v>1</v>
      </c>
      <c r="Q22" s="250">
        <v>1</v>
      </c>
      <c r="R22" s="250">
        <v>1</v>
      </c>
      <c r="S22" s="250">
        <v>1</v>
      </c>
      <c r="T22" s="250">
        <v>1</v>
      </c>
      <c r="U22" s="250">
        <v>1</v>
      </c>
      <c r="V22" s="251" t="s">
        <v>47</v>
      </c>
      <c r="W22" s="250">
        <v>1</v>
      </c>
      <c r="X22" s="250"/>
      <c r="Y22" s="250"/>
      <c r="Z22" s="250"/>
      <c r="AA22" s="250"/>
      <c r="AB22" s="250"/>
      <c r="AC22" s="250"/>
      <c r="AD22" s="250"/>
      <c r="AE22" s="252">
        <f t="shared" si="5"/>
        <v>7</v>
      </c>
      <c r="AF22" s="116" t="s">
        <v>269</v>
      </c>
      <c r="AG22" s="189" t="s">
        <v>537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145" t="s">
        <v>95</v>
      </c>
      <c r="F23" s="249">
        <f t="shared" si="4"/>
        <v>7</v>
      </c>
      <c r="G23" s="250"/>
      <c r="H23" s="250"/>
      <c r="I23" s="250"/>
      <c r="J23" s="250"/>
      <c r="K23" s="250"/>
      <c r="L23" s="250"/>
      <c r="M23" s="250"/>
      <c r="N23" s="250"/>
      <c r="O23" s="250">
        <v>1</v>
      </c>
      <c r="P23" s="250">
        <v>1</v>
      </c>
      <c r="Q23" s="250">
        <v>1</v>
      </c>
      <c r="R23" s="250"/>
      <c r="S23" s="250">
        <v>1</v>
      </c>
      <c r="T23" s="250">
        <v>1</v>
      </c>
      <c r="U23" s="250">
        <v>1</v>
      </c>
      <c r="V23" s="250">
        <v>1</v>
      </c>
      <c r="W23" s="251" t="s">
        <v>47</v>
      </c>
      <c r="X23" s="250"/>
      <c r="Y23" s="250"/>
      <c r="Z23" s="250"/>
      <c r="AA23" s="250"/>
      <c r="AB23" s="250"/>
      <c r="AC23" s="250"/>
      <c r="AD23" s="250"/>
      <c r="AE23" s="252">
        <f t="shared" si="5"/>
        <v>7</v>
      </c>
      <c r="AF23" s="116" t="s">
        <v>253</v>
      </c>
      <c r="AG23" s="189" t="s">
        <v>537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145" t="s">
        <v>99</v>
      </c>
      <c r="F24" s="249">
        <f t="shared" si="4"/>
        <v>6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1" t="s">
        <v>47</v>
      </c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/>
      <c r="AC24" s="250"/>
      <c r="AD24" s="250"/>
      <c r="AE24" s="252">
        <f t="shared" si="5"/>
        <v>6</v>
      </c>
      <c r="AF24" s="116" t="s">
        <v>539</v>
      </c>
      <c r="AG24" s="189" t="s">
        <v>537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145" t="s">
        <v>102</v>
      </c>
      <c r="F25" s="249">
        <f t="shared" si="4"/>
        <v>7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>
        <v>1</v>
      </c>
      <c r="Q25" s="250">
        <v>1</v>
      </c>
      <c r="R25" s="250">
        <v>1</v>
      </c>
      <c r="S25" s="250">
        <v>1</v>
      </c>
      <c r="T25" s="250">
        <v>1</v>
      </c>
      <c r="U25" s="250">
        <v>1</v>
      </c>
      <c r="V25" s="250">
        <v>1</v>
      </c>
      <c r="W25" s="251" t="s">
        <v>47</v>
      </c>
      <c r="X25" s="250"/>
      <c r="Y25" s="250"/>
      <c r="Z25" s="250"/>
      <c r="AA25" s="250"/>
      <c r="AB25" s="250"/>
      <c r="AC25" s="250"/>
      <c r="AD25" s="250"/>
      <c r="AE25" s="252">
        <f t="shared" si="5"/>
        <v>7</v>
      </c>
      <c r="AF25" s="116" t="s">
        <v>269</v>
      </c>
      <c r="AG25" s="189" t="s">
        <v>537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145" t="s">
        <v>104</v>
      </c>
      <c r="F26" s="249">
        <f t="shared" si="4"/>
        <v>7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1" t="s">
        <v>47</v>
      </c>
      <c r="U26" s="250">
        <v>1</v>
      </c>
      <c r="V26" s="250">
        <v>1</v>
      </c>
      <c r="W26" s="250">
        <v>1</v>
      </c>
      <c r="X26" s="250">
        <v>1</v>
      </c>
      <c r="Y26" s="250">
        <v>1</v>
      </c>
      <c r="Z26" s="250">
        <v>1</v>
      </c>
      <c r="AA26" s="250">
        <v>1</v>
      </c>
      <c r="AB26" s="250"/>
      <c r="AC26" s="250"/>
      <c r="AD26" s="250"/>
      <c r="AE26" s="252">
        <f t="shared" si="5"/>
        <v>7</v>
      </c>
      <c r="AF26" s="116" t="s">
        <v>293</v>
      </c>
      <c r="AG26" s="189" t="s">
        <v>537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145" t="s">
        <v>333</v>
      </c>
      <c r="F27" s="249">
        <f t="shared" si="4"/>
        <v>6</v>
      </c>
      <c r="G27" s="250"/>
      <c r="H27" s="250"/>
      <c r="I27" s="250"/>
      <c r="J27" s="250"/>
      <c r="K27" s="250"/>
      <c r="L27" s="250"/>
      <c r="M27" s="250"/>
      <c r="N27" s="250"/>
      <c r="O27" s="250"/>
      <c r="P27" s="250">
        <v>1</v>
      </c>
      <c r="Q27" s="250">
        <v>1</v>
      </c>
      <c r="R27" s="250">
        <v>1</v>
      </c>
      <c r="S27" s="250">
        <v>1</v>
      </c>
      <c r="T27" s="250">
        <v>1</v>
      </c>
      <c r="U27" s="250">
        <v>1</v>
      </c>
      <c r="V27" s="251" t="s">
        <v>47</v>
      </c>
      <c r="W27" s="250"/>
      <c r="X27" s="250"/>
      <c r="Y27" s="250"/>
      <c r="Z27" s="250"/>
      <c r="AA27" s="250"/>
      <c r="AB27" s="250"/>
      <c r="AC27" s="250"/>
      <c r="AD27" s="250"/>
      <c r="AE27" s="252">
        <f t="shared" si="5"/>
        <v>6</v>
      </c>
      <c r="AF27" s="116" t="s">
        <v>285</v>
      </c>
      <c r="AG27" s="189" t="s">
        <v>537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53" t="s">
        <v>172</v>
      </c>
      <c r="F28" s="249">
        <f t="shared" si="4"/>
        <v>8</v>
      </c>
      <c r="G28" s="250"/>
      <c r="H28" s="250"/>
      <c r="I28" s="250"/>
      <c r="J28" s="250"/>
      <c r="K28" s="250"/>
      <c r="L28" s="250"/>
      <c r="M28" s="250">
        <v>1</v>
      </c>
      <c r="N28" s="250">
        <v>1</v>
      </c>
      <c r="O28" s="250">
        <v>1</v>
      </c>
      <c r="P28" s="250"/>
      <c r="Q28" s="250">
        <v>1</v>
      </c>
      <c r="R28" s="250">
        <v>1</v>
      </c>
      <c r="S28" s="250">
        <v>1</v>
      </c>
      <c r="T28" s="250">
        <v>1</v>
      </c>
      <c r="U28" s="250">
        <v>1</v>
      </c>
      <c r="V28" s="251" t="s">
        <v>47</v>
      </c>
      <c r="W28" s="250"/>
      <c r="X28" s="250"/>
      <c r="Y28" s="250"/>
      <c r="Z28" s="250"/>
      <c r="AA28" s="250"/>
      <c r="AB28" s="250"/>
      <c r="AC28" s="250"/>
      <c r="AD28" s="250"/>
      <c r="AE28" s="252">
        <f t="shared" si="5"/>
        <v>8</v>
      </c>
      <c r="AF28" s="116" t="s">
        <v>540</v>
      </c>
      <c r="AG28" s="189" t="s">
        <v>537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145" t="s">
        <v>106</v>
      </c>
      <c r="F29" s="249">
        <f t="shared" si="4"/>
        <v>7</v>
      </c>
      <c r="G29" s="250">
        <v>1</v>
      </c>
      <c r="H29" s="250"/>
      <c r="I29" s="250"/>
      <c r="J29" s="250"/>
      <c r="K29" s="250"/>
      <c r="L29" s="250"/>
      <c r="M29" s="250"/>
      <c r="N29" s="250"/>
      <c r="O29" s="250"/>
      <c r="P29" s="250"/>
      <c r="Q29" s="254">
        <v>1</v>
      </c>
      <c r="R29" s="250">
        <v>1</v>
      </c>
      <c r="S29" s="250">
        <v>1</v>
      </c>
      <c r="T29" s="250">
        <v>1</v>
      </c>
      <c r="U29" s="250">
        <v>1</v>
      </c>
      <c r="V29" s="250">
        <v>1</v>
      </c>
      <c r="W29" s="251" t="s">
        <v>47</v>
      </c>
      <c r="X29" s="250"/>
      <c r="Y29" s="250"/>
      <c r="Z29" s="250"/>
      <c r="AA29" s="250"/>
      <c r="AB29" s="250"/>
      <c r="AC29" s="250"/>
      <c r="AD29" s="250"/>
      <c r="AE29" s="252">
        <f t="shared" si="5"/>
        <v>7</v>
      </c>
      <c r="AF29" s="116" t="s">
        <v>541</v>
      </c>
      <c r="AG29" s="189" t="s">
        <v>537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145" t="s">
        <v>112</v>
      </c>
      <c r="F30" s="249">
        <f t="shared" si="4"/>
        <v>8</v>
      </c>
      <c r="G30" s="250"/>
      <c r="H30" s="250"/>
      <c r="I30" s="250"/>
      <c r="J30" s="250"/>
      <c r="K30" s="250"/>
      <c r="L30" s="250"/>
      <c r="M30" s="250">
        <v>1</v>
      </c>
      <c r="N30" s="250">
        <v>1</v>
      </c>
      <c r="O30" s="250">
        <v>1</v>
      </c>
      <c r="P30" s="250">
        <v>1</v>
      </c>
      <c r="Q30" s="250">
        <v>1</v>
      </c>
      <c r="R30" s="250">
        <v>1</v>
      </c>
      <c r="S30" s="250">
        <v>1</v>
      </c>
      <c r="T30" s="250">
        <v>1</v>
      </c>
      <c r="U30" s="251" t="s">
        <v>47</v>
      </c>
      <c r="V30" s="250"/>
      <c r="W30" s="250"/>
      <c r="X30" s="250"/>
      <c r="Y30" s="250"/>
      <c r="Z30" s="250"/>
      <c r="AA30" s="250"/>
      <c r="AB30" s="250"/>
      <c r="AC30" s="250"/>
      <c r="AD30" s="250"/>
      <c r="AE30" s="252">
        <f t="shared" si="5"/>
        <v>8</v>
      </c>
      <c r="AF30" s="116" t="s">
        <v>244</v>
      </c>
      <c r="AG30" s="189" t="s">
        <v>537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145" t="s">
        <v>116</v>
      </c>
      <c r="F31" s="249">
        <f t="shared" si="4"/>
        <v>6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2">
        <f t="shared" si="5"/>
        <v>6</v>
      </c>
      <c r="AF31" s="111" t="s">
        <v>159</v>
      </c>
      <c r="AG31" s="189" t="s">
        <v>537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145" t="s">
        <v>121</v>
      </c>
      <c r="F32" s="249">
        <f t="shared" si="4"/>
        <v>7</v>
      </c>
      <c r="G32" s="250"/>
      <c r="H32" s="250"/>
      <c r="I32" s="250"/>
      <c r="J32" s="250"/>
      <c r="K32" s="250"/>
      <c r="L32" s="250"/>
      <c r="M32" s="250">
        <v>1</v>
      </c>
      <c r="N32" s="250">
        <v>1</v>
      </c>
      <c r="O32" s="250">
        <v>1</v>
      </c>
      <c r="P32" s="250">
        <v>1</v>
      </c>
      <c r="Q32" s="250">
        <v>1</v>
      </c>
      <c r="R32" s="250">
        <v>1</v>
      </c>
      <c r="S32" s="250">
        <v>1</v>
      </c>
      <c r="T32" s="251" t="s">
        <v>47</v>
      </c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2">
        <f t="shared" si="5"/>
        <v>7</v>
      </c>
      <c r="AF32" s="116" t="s">
        <v>252</v>
      </c>
      <c r="AG32" s="189" t="s">
        <v>537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145" t="s">
        <v>123</v>
      </c>
      <c r="F33" s="249">
        <f t="shared" si="4"/>
        <v>8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>
        <v>1</v>
      </c>
      <c r="Q33" s="250">
        <v>1</v>
      </c>
      <c r="R33" s="250">
        <v>1</v>
      </c>
      <c r="S33" s="250">
        <v>1</v>
      </c>
      <c r="T33" s="251" t="s">
        <v>47</v>
      </c>
      <c r="U33" s="250">
        <v>1</v>
      </c>
      <c r="V33" s="250">
        <v>1</v>
      </c>
      <c r="W33" s="250">
        <v>1</v>
      </c>
      <c r="X33" s="250">
        <v>1</v>
      </c>
      <c r="Y33" s="250"/>
      <c r="Z33" s="250"/>
      <c r="AA33" s="250"/>
      <c r="AB33" s="250"/>
      <c r="AC33" s="250"/>
      <c r="AD33" s="250"/>
      <c r="AE33" s="252">
        <f t="shared" si="5"/>
        <v>8</v>
      </c>
      <c r="AF33" s="116" t="s">
        <v>193</v>
      </c>
      <c r="AG33" s="189" t="s">
        <v>537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145" t="s">
        <v>125</v>
      </c>
      <c r="F34" s="249">
        <f t="shared" si="4"/>
        <v>0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2">
        <f t="shared" si="5"/>
        <v>0</v>
      </c>
      <c r="AF34" s="116" t="s">
        <v>225</v>
      </c>
      <c r="AG34" s="189" t="s">
        <v>537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145" t="s">
        <v>127</v>
      </c>
      <c r="F35" s="249">
        <f t="shared" si="4"/>
        <v>9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5">
        <v>1</v>
      </c>
      <c r="Q35" s="255">
        <v>1</v>
      </c>
      <c r="R35" s="255">
        <v>1</v>
      </c>
      <c r="S35" s="250">
        <v>1</v>
      </c>
      <c r="T35" s="250">
        <v>1</v>
      </c>
      <c r="U35" s="251" t="s">
        <v>47</v>
      </c>
      <c r="V35" s="250">
        <v>1</v>
      </c>
      <c r="W35" s="250">
        <v>1</v>
      </c>
      <c r="X35" s="250"/>
      <c r="Y35" s="250">
        <v>1</v>
      </c>
      <c r="Z35" s="250">
        <v>1</v>
      </c>
      <c r="AA35" s="250"/>
      <c r="AB35" s="250"/>
      <c r="AC35" s="250"/>
      <c r="AD35" s="250"/>
      <c r="AE35" s="252">
        <f t="shared" si="5"/>
        <v>9</v>
      </c>
      <c r="AF35" s="116" t="s">
        <v>542</v>
      </c>
      <c r="AG35" s="189" t="s">
        <v>537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145" t="s">
        <v>129</v>
      </c>
      <c r="F36" s="249">
        <f t="shared" si="4"/>
        <v>8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4">
        <v>1</v>
      </c>
      <c r="Q36" s="250">
        <v>1</v>
      </c>
      <c r="R36" s="250">
        <v>1</v>
      </c>
      <c r="S36" s="250">
        <v>1</v>
      </c>
      <c r="T36" s="250">
        <v>1</v>
      </c>
      <c r="U36" s="251" t="s">
        <v>47</v>
      </c>
      <c r="V36" s="250">
        <v>1</v>
      </c>
      <c r="W36" s="250">
        <v>1</v>
      </c>
      <c r="X36" s="250">
        <v>1</v>
      </c>
      <c r="Y36" s="250"/>
      <c r="Z36" s="250"/>
      <c r="AA36" s="250"/>
      <c r="AB36" s="250"/>
      <c r="AC36" s="250"/>
      <c r="AD36" s="250"/>
      <c r="AE36" s="252">
        <f t="shared" si="5"/>
        <v>8</v>
      </c>
      <c r="AF36" s="116" t="s">
        <v>193</v>
      </c>
      <c r="AG36" s="189" t="s">
        <v>537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145" t="s">
        <v>131</v>
      </c>
      <c r="F37" s="249">
        <f t="shared" si="4"/>
        <v>8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>
        <v>1</v>
      </c>
      <c r="S37" s="250">
        <v>1</v>
      </c>
      <c r="T37" s="250">
        <v>1</v>
      </c>
      <c r="U37" s="250">
        <v>1</v>
      </c>
      <c r="V37" s="251" t="s">
        <v>47</v>
      </c>
      <c r="W37" s="250">
        <v>1</v>
      </c>
      <c r="X37" s="250">
        <v>1</v>
      </c>
      <c r="Y37" s="250">
        <v>1</v>
      </c>
      <c r="Z37" s="250">
        <v>1</v>
      </c>
      <c r="AA37" s="250"/>
      <c r="AB37" s="250"/>
      <c r="AC37" s="250"/>
      <c r="AD37" s="250"/>
      <c r="AE37" s="252">
        <f t="shared" si="5"/>
        <v>8</v>
      </c>
      <c r="AF37" s="116" t="s">
        <v>254</v>
      </c>
      <c r="AG37" s="189" t="s">
        <v>537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56" t="s">
        <v>50</v>
      </c>
      <c r="F38" s="249">
        <f t="shared" si="4"/>
        <v>7</v>
      </c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1" t="s">
        <v>47</v>
      </c>
      <c r="V38" s="250">
        <v>1</v>
      </c>
      <c r="W38" s="250">
        <v>1</v>
      </c>
      <c r="X38" s="250">
        <v>1</v>
      </c>
      <c r="Y38" s="250">
        <v>1</v>
      </c>
      <c r="Z38" s="250">
        <v>1</v>
      </c>
      <c r="AA38" s="250">
        <v>1</v>
      </c>
      <c r="AB38" s="250">
        <v>1</v>
      </c>
      <c r="AC38" s="250"/>
      <c r="AD38" s="250"/>
      <c r="AE38" s="252">
        <f t="shared" si="5"/>
        <v>7</v>
      </c>
      <c r="AF38" s="111" t="s">
        <v>78</v>
      </c>
      <c r="AG38" s="189" t="s">
        <v>537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56" t="s">
        <v>135</v>
      </c>
      <c r="F39" s="249">
        <f t="shared" si="4"/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>
        <v>1</v>
      </c>
      <c r="V39" s="251" t="s">
        <v>47</v>
      </c>
      <c r="W39" s="250">
        <v>1</v>
      </c>
      <c r="X39" s="250">
        <v>1</v>
      </c>
      <c r="Y39" s="250">
        <v>1</v>
      </c>
      <c r="Z39" s="250">
        <v>1</v>
      </c>
      <c r="AA39" s="250">
        <v>1</v>
      </c>
      <c r="AB39" s="250">
        <v>1</v>
      </c>
      <c r="AC39" s="250">
        <v>1</v>
      </c>
      <c r="AD39" s="250"/>
      <c r="AE39" s="252">
        <f t="shared" si="5"/>
        <v>8</v>
      </c>
      <c r="AF39" s="116" t="s">
        <v>81</v>
      </c>
      <c r="AG39" s="189" t="s">
        <v>537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56" t="s">
        <v>140</v>
      </c>
      <c r="F40" s="249">
        <f t="shared" si="4"/>
        <v>5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1" t="s">
        <v>47</v>
      </c>
      <c r="X40" s="250"/>
      <c r="Y40" s="250"/>
      <c r="Z40" s="250">
        <v>1</v>
      </c>
      <c r="AA40" s="250">
        <v>1</v>
      </c>
      <c r="AB40" s="250">
        <v>1</v>
      </c>
      <c r="AC40" s="250">
        <v>1</v>
      </c>
      <c r="AD40" s="250">
        <v>1</v>
      </c>
      <c r="AE40" s="252">
        <f t="shared" si="5"/>
        <v>5</v>
      </c>
      <c r="AF40" s="116" t="s">
        <v>270</v>
      </c>
      <c r="AG40" s="189" t="s">
        <v>537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56" t="s">
        <v>118</v>
      </c>
      <c r="F41" s="249">
        <f t="shared" si="4"/>
        <v>8</v>
      </c>
      <c r="G41" s="250">
        <v>1</v>
      </c>
      <c r="H41" s="250">
        <v>1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>
        <v>1</v>
      </c>
      <c r="Z41" s="250">
        <v>1</v>
      </c>
      <c r="AA41" s="250">
        <v>1</v>
      </c>
      <c r="AB41" s="250">
        <v>1</v>
      </c>
      <c r="AC41" s="250">
        <v>1</v>
      </c>
      <c r="AD41" s="250">
        <v>1</v>
      </c>
      <c r="AE41" s="252">
        <f t="shared" si="5"/>
        <v>8</v>
      </c>
      <c r="AF41" s="116" t="s">
        <v>543</v>
      </c>
      <c r="AG41" s="189" t="s">
        <v>537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56" t="s">
        <v>143</v>
      </c>
      <c r="F42" s="249">
        <f t="shared" si="4"/>
        <v>7</v>
      </c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>
        <v>1</v>
      </c>
      <c r="V42" s="251" t="s">
        <v>47</v>
      </c>
      <c r="W42" s="250">
        <v>1</v>
      </c>
      <c r="X42" s="250">
        <v>1</v>
      </c>
      <c r="Y42" s="250">
        <v>1</v>
      </c>
      <c r="Z42" s="250">
        <v>1</v>
      </c>
      <c r="AA42" s="250">
        <v>1</v>
      </c>
      <c r="AB42" s="250">
        <v>1</v>
      </c>
      <c r="AC42" s="250"/>
      <c r="AD42" s="250"/>
      <c r="AE42" s="252">
        <f t="shared" si="5"/>
        <v>7</v>
      </c>
      <c r="AF42" s="116" t="s">
        <v>78</v>
      </c>
      <c r="AG42" s="189" t="s">
        <v>537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56" t="s">
        <v>455</v>
      </c>
      <c r="F43" s="249">
        <f t="shared" si="4"/>
        <v>8</v>
      </c>
      <c r="G43" s="250"/>
      <c r="H43" s="250"/>
      <c r="I43" s="250"/>
      <c r="J43" s="250"/>
      <c r="K43" s="250"/>
      <c r="L43" s="250"/>
      <c r="M43" s="250"/>
      <c r="N43" s="250"/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>
        <v>1</v>
      </c>
      <c r="V43" s="251" t="s">
        <v>47</v>
      </c>
      <c r="W43" s="250">
        <v>1</v>
      </c>
      <c r="X43" s="250"/>
      <c r="Y43" s="250"/>
      <c r="Z43" s="250"/>
      <c r="AA43" s="250"/>
      <c r="AB43" s="250"/>
      <c r="AC43" s="250"/>
      <c r="AD43" s="250"/>
      <c r="AE43" s="252">
        <f t="shared" si="5"/>
        <v>8</v>
      </c>
      <c r="AF43" s="116" t="s">
        <v>298</v>
      </c>
      <c r="AG43" s="189" t="s">
        <v>537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56" t="s">
        <v>457</v>
      </c>
      <c r="F44" s="249">
        <f t="shared" si="4"/>
        <v>8</v>
      </c>
      <c r="G44" s="250"/>
      <c r="H44" s="250"/>
      <c r="I44" s="250"/>
      <c r="J44" s="250"/>
      <c r="K44" s="250"/>
      <c r="L44" s="250"/>
      <c r="M44" s="250"/>
      <c r="N44" s="250">
        <v>1</v>
      </c>
      <c r="O44" s="250">
        <v>1</v>
      </c>
      <c r="P44" s="250">
        <v>1</v>
      </c>
      <c r="Q44" s="250">
        <v>1</v>
      </c>
      <c r="R44" s="250">
        <v>1</v>
      </c>
      <c r="S44" s="250">
        <v>1</v>
      </c>
      <c r="T44" s="250">
        <v>1</v>
      </c>
      <c r="U44" s="250">
        <v>1</v>
      </c>
      <c r="V44" s="251" t="s">
        <v>47</v>
      </c>
      <c r="W44" s="250"/>
      <c r="X44" s="250"/>
      <c r="Y44" s="250"/>
      <c r="Z44" s="250"/>
      <c r="AA44" s="250"/>
      <c r="AB44" s="250"/>
      <c r="AC44" s="250"/>
      <c r="AD44" s="250"/>
      <c r="AE44" s="252">
        <f t="shared" si="5"/>
        <v>8</v>
      </c>
      <c r="AF44" s="116" t="s">
        <v>228</v>
      </c>
      <c r="AG44" s="189" t="s">
        <v>537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56" t="s">
        <v>460</v>
      </c>
      <c r="F45" s="249">
        <f t="shared" si="4"/>
        <v>7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1"/>
      <c r="U45" s="250">
        <v>1</v>
      </c>
      <c r="V45" s="250">
        <v>1</v>
      </c>
      <c r="W45" s="250">
        <v>1</v>
      </c>
      <c r="X45" s="250">
        <v>1</v>
      </c>
      <c r="Y45" s="250">
        <v>1</v>
      </c>
      <c r="Z45" s="250">
        <v>1</v>
      </c>
      <c r="AA45" s="250">
        <v>1</v>
      </c>
      <c r="AB45" s="250"/>
      <c r="AC45" s="250"/>
      <c r="AD45" s="250"/>
      <c r="AE45" s="252">
        <f t="shared" si="5"/>
        <v>7</v>
      </c>
      <c r="AF45" s="116" t="s">
        <v>293</v>
      </c>
      <c r="AG45" s="189" t="s">
        <v>537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56" t="s">
        <v>478</v>
      </c>
      <c r="F46" s="249">
        <f t="shared" si="4"/>
        <v>7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1" t="s">
        <v>47</v>
      </c>
      <c r="U46" s="250">
        <v>1</v>
      </c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>
        <v>1</v>
      </c>
      <c r="AB46" s="250"/>
      <c r="AC46" s="250"/>
      <c r="AD46" s="250"/>
      <c r="AE46" s="252">
        <f t="shared" si="5"/>
        <v>7</v>
      </c>
      <c r="AF46" s="116" t="s">
        <v>293</v>
      </c>
      <c r="AG46" s="189" t="s">
        <v>537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56" t="s">
        <v>461</v>
      </c>
      <c r="F47" s="249">
        <f t="shared" si="4"/>
        <v>7</v>
      </c>
      <c r="G47" s="250"/>
      <c r="H47" s="250"/>
      <c r="I47" s="250"/>
      <c r="J47" s="250"/>
      <c r="K47" s="250"/>
      <c r="L47" s="250"/>
      <c r="M47" s="250">
        <v>1</v>
      </c>
      <c r="N47" s="250">
        <v>1</v>
      </c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1" t="s">
        <v>47</v>
      </c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2">
        <f t="shared" si="5"/>
        <v>7</v>
      </c>
      <c r="AF47" s="116" t="s">
        <v>252</v>
      </c>
      <c r="AG47" s="189" t="s">
        <v>537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56" t="s">
        <v>463</v>
      </c>
      <c r="F48" s="249">
        <f t="shared" si="4"/>
        <v>7</v>
      </c>
      <c r="G48" s="250"/>
      <c r="H48" s="250"/>
      <c r="I48" s="250"/>
      <c r="J48" s="250"/>
      <c r="K48" s="250"/>
      <c r="L48" s="250"/>
      <c r="M48" s="250">
        <v>1</v>
      </c>
      <c r="N48" s="250">
        <v>1</v>
      </c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1" t="s">
        <v>47</v>
      </c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2">
        <f t="shared" si="5"/>
        <v>7</v>
      </c>
      <c r="AF48" s="116" t="s">
        <v>252</v>
      </c>
      <c r="AG48" s="189" t="s">
        <v>537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57" t="s">
        <v>465</v>
      </c>
      <c r="F49" s="249">
        <f t="shared" si="4"/>
        <v>7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>
        <v>1</v>
      </c>
      <c r="U49" s="251" t="s">
        <v>47</v>
      </c>
      <c r="V49" s="250">
        <v>1</v>
      </c>
      <c r="W49" s="250">
        <v>1</v>
      </c>
      <c r="X49" s="250">
        <v>1</v>
      </c>
      <c r="Y49" s="250">
        <v>1</v>
      </c>
      <c r="Z49" s="250">
        <v>1</v>
      </c>
      <c r="AA49" s="250">
        <v>1</v>
      </c>
      <c r="AB49" s="250"/>
      <c r="AC49" s="250"/>
      <c r="AD49" s="250"/>
      <c r="AE49" s="252">
        <f t="shared" si="5"/>
        <v>7</v>
      </c>
      <c r="AF49" s="116" t="s">
        <v>293</v>
      </c>
      <c r="AG49" s="189" t="s">
        <v>537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57" t="s">
        <v>466</v>
      </c>
      <c r="F50" s="249">
        <f t="shared" si="4"/>
        <v>8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>
        <v>1</v>
      </c>
      <c r="U50" s="251" t="s">
        <v>47</v>
      </c>
      <c r="V50" s="250">
        <v>1</v>
      </c>
      <c r="W50" s="250">
        <v>1</v>
      </c>
      <c r="X50" s="250">
        <v>1</v>
      </c>
      <c r="Y50" s="250">
        <v>1</v>
      </c>
      <c r="Z50" s="250">
        <v>1</v>
      </c>
      <c r="AA50" s="250">
        <v>1</v>
      </c>
      <c r="AB50" s="250">
        <v>1</v>
      </c>
      <c r="AC50" s="250"/>
      <c r="AD50" s="250"/>
      <c r="AE50" s="252">
        <f t="shared" si="5"/>
        <v>8</v>
      </c>
      <c r="AF50" s="116" t="s">
        <v>255</v>
      </c>
      <c r="AG50" s="189" t="s">
        <v>537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57" t="s">
        <v>467</v>
      </c>
      <c r="F51" s="249">
        <f t="shared" si="4"/>
        <v>7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>
        <v>1</v>
      </c>
      <c r="U51" s="251" t="s">
        <v>47</v>
      </c>
      <c r="V51" s="250">
        <v>1</v>
      </c>
      <c r="W51" s="250">
        <v>1</v>
      </c>
      <c r="X51" s="250">
        <v>1</v>
      </c>
      <c r="Y51" s="250">
        <v>1</v>
      </c>
      <c r="Z51" s="250">
        <v>1</v>
      </c>
      <c r="AA51" s="250">
        <v>1</v>
      </c>
      <c r="AB51" s="250"/>
      <c r="AC51" s="250"/>
      <c r="AD51" s="250"/>
      <c r="AE51" s="252">
        <f t="shared" si="5"/>
        <v>7</v>
      </c>
      <c r="AF51" s="116" t="s">
        <v>293</v>
      </c>
      <c r="AG51" s="189" t="s">
        <v>537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56" t="s">
        <v>491</v>
      </c>
      <c r="F52" s="249">
        <f t="shared" si="4"/>
        <v>8</v>
      </c>
      <c r="G52" s="250"/>
      <c r="H52" s="250"/>
      <c r="I52" s="250"/>
      <c r="J52" s="250"/>
      <c r="K52" s="250"/>
      <c r="L52" s="250"/>
      <c r="M52" s="254">
        <v>1</v>
      </c>
      <c r="N52" s="250">
        <v>1</v>
      </c>
      <c r="O52" s="250">
        <v>1</v>
      </c>
      <c r="P52" s="250">
        <v>1</v>
      </c>
      <c r="Q52" s="250">
        <v>1</v>
      </c>
      <c r="R52" s="250">
        <v>1</v>
      </c>
      <c r="S52" s="250">
        <v>1</v>
      </c>
      <c r="T52" s="250">
        <v>1</v>
      </c>
      <c r="U52" s="251" t="s">
        <v>47</v>
      </c>
      <c r="V52" s="250"/>
      <c r="W52" s="250"/>
      <c r="X52" s="250"/>
      <c r="Y52" s="250"/>
      <c r="Z52" s="250"/>
      <c r="AA52" s="250"/>
      <c r="AB52" s="250"/>
      <c r="AC52" s="250"/>
      <c r="AD52" s="250"/>
      <c r="AE52" s="252">
        <f t="shared" si="5"/>
        <v>8</v>
      </c>
      <c r="AF52" s="116" t="s">
        <v>244</v>
      </c>
      <c r="AG52" s="189" t="s">
        <v>537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56" t="s">
        <v>493</v>
      </c>
      <c r="F53" s="249">
        <f t="shared" si="4"/>
        <v>7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>
        <v>1</v>
      </c>
      <c r="U53" s="251" t="s">
        <v>47</v>
      </c>
      <c r="V53" s="250">
        <v>1</v>
      </c>
      <c r="W53" s="250">
        <v>1</v>
      </c>
      <c r="X53" s="250">
        <v>1</v>
      </c>
      <c r="Y53" s="250">
        <v>1</v>
      </c>
      <c r="Z53" s="250">
        <v>1</v>
      </c>
      <c r="AA53" s="250">
        <v>1</v>
      </c>
      <c r="AB53" s="250"/>
      <c r="AC53" s="250"/>
      <c r="AD53" s="250"/>
      <c r="AE53" s="252">
        <f t="shared" si="5"/>
        <v>7</v>
      </c>
      <c r="AF53" s="116" t="s">
        <v>293</v>
      </c>
      <c r="AG53" s="189" t="s">
        <v>537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56" t="s">
        <v>469</v>
      </c>
      <c r="F54" s="249">
        <f t="shared" si="4"/>
        <v>7</v>
      </c>
      <c r="G54" s="250"/>
      <c r="H54" s="250"/>
      <c r="I54" s="250"/>
      <c r="J54" s="250"/>
      <c r="K54" s="250"/>
      <c r="L54" s="250"/>
      <c r="M54" s="250"/>
      <c r="N54" s="250"/>
      <c r="O54" s="250">
        <v>1</v>
      </c>
      <c r="P54" s="250">
        <v>1</v>
      </c>
      <c r="Q54" s="250">
        <v>1</v>
      </c>
      <c r="R54" s="250">
        <v>1</v>
      </c>
      <c r="S54" s="250">
        <v>1</v>
      </c>
      <c r="T54" s="250">
        <v>1</v>
      </c>
      <c r="U54" s="250">
        <v>1</v>
      </c>
      <c r="V54" s="251" t="s">
        <v>47</v>
      </c>
      <c r="W54" s="250"/>
      <c r="X54" s="250"/>
      <c r="Y54" s="250"/>
      <c r="Z54" s="250"/>
      <c r="AA54" s="250"/>
      <c r="AB54" s="250"/>
      <c r="AC54" s="250"/>
      <c r="AD54" s="250"/>
      <c r="AE54" s="252">
        <f t="shared" si="5"/>
        <v>7</v>
      </c>
      <c r="AF54" s="116" t="s">
        <v>258</v>
      </c>
      <c r="AG54" s="189" t="s">
        <v>537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56" t="s">
        <v>495</v>
      </c>
      <c r="F55" s="249">
        <f t="shared" si="4"/>
        <v>7</v>
      </c>
      <c r="G55" s="250"/>
      <c r="H55" s="250"/>
      <c r="I55" s="250"/>
      <c r="J55" s="250"/>
      <c r="K55" s="250"/>
      <c r="L55" s="250"/>
      <c r="M55" s="250"/>
      <c r="N55" s="250"/>
      <c r="O55" s="250">
        <v>1</v>
      </c>
      <c r="P55" s="250">
        <v>1</v>
      </c>
      <c r="Q55" s="250">
        <v>1</v>
      </c>
      <c r="R55" s="250">
        <v>1</v>
      </c>
      <c r="S55" s="250">
        <v>1</v>
      </c>
      <c r="T55" s="250">
        <v>1</v>
      </c>
      <c r="U55" s="250">
        <v>1</v>
      </c>
      <c r="V55" s="251" t="s">
        <v>47</v>
      </c>
      <c r="W55" s="250"/>
      <c r="X55" s="250"/>
      <c r="Y55" s="250"/>
      <c r="Z55" s="250"/>
      <c r="AA55" s="250"/>
      <c r="AB55" s="250"/>
      <c r="AC55" s="250"/>
      <c r="AD55" s="250"/>
      <c r="AE55" s="252">
        <f t="shared" si="5"/>
        <v>7</v>
      </c>
      <c r="AF55" s="116" t="s">
        <v>258</v>
      </c>
      <c r="AG55" s="189" t="s">
        <v>537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56" t="s">
        <v>497</v>
      </c>
      <c r="F56" s="249">
        <f t="shared" si="4"/>
        <v>7</v>
      </c>
      <c r="G56" s="250"/>
      <c r="H56" s="250"/>
      <c r="I56" s="250"/>
      <c r="J56" s="250"/>
      <c r="K56" s="250"/>
      <c r="L56" s="250"/>
      <c r="M56" s="250">
        <v>1</v>
      </c>
      <c r="N56" s="250">
        <v>1</v>
      </c>
      <c r="O56" s="250">
        <v>1</v>
      </c>
      <c r="P56" s="250">
        <v>1</v>
      </c>
      <c r="Q56" s="250">
        <v>1</v>
      </c>
      <c r="R56" s="250">
        <v>1</v>
      </c>
      <c r="S56" s="250">
        <v>1</v>
      </c>
      <c r="T56" s="251" t="s">
        <v>47</v>
      </c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2">
        <f t="shared" si="5"/>
        <v>7</v>
      </c>
      <c r="AF56" s="116" t="s">
        <v>252</v>
      </c>
      <c r="AG56" s="189" t="s">
        <v>537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249">
        <v>8</v>
      </c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42"/>
      <c r="U57" s="251" t="s">
        <v>47</v>
      </c>
      <c r="V57" s="577" t="s">
        <v>292</v>
      </c>
      <c r="W57" s="555"/>
      <c r="X57" s="555"/>
      <c r="Y57" s="555"/>
      <c r="Z57" s="555"/>
      <c r="AA57" s="555"/>
      <c r="AB57" s="555"/>
      <c r="AC57" s="555"/>
      <c r="AD57" s="42"/>
      <c r="AE57" s="252">
        <v>8</v>
      </c>
      <c r="AF57" s="116" t="s">
        <v>81</v>
      </c>
      <c r="AG57" s="189" t="s">
        <v>537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249">
        <v>8</v>
      </c>
      <c r="G58" s="258"/>
      <c r="H58" s="258"/>
      <c r="I58" s="258"/>
      <c r="J58" s="258"/>
      <c r="K58" s="258"/>
      <c r="L58" s="258"/>
      <c r="M58" s="258"/>
      <c r="N58" s="577" t="s">
        <v>292</v>
      </c>
      <c r="O58" s="555"/>
      <c r="P58" s="555"/>
      <c r="Q58" s="555"/>
      <c r="R58" s="555"/>
      <c r="S58" s="555"/>
      <c r="T58" s="555"/>
      <c r="U58" s="555"/>
      <c r="V58" s="251" t="s">
        <v>544</v>
      </c>
      <c r="W58" s="42"/>
      <c r="X58" s="42"/>
      <c r="Y58" s="42"/>
      <c r="Z58" s="42"/>
      <c r="AA58" s="42"/>
      <c r="AB58" s="42"/>
      <c r="AC58" s="42"/>
      <c r="AD58" s="258"/>
      <c r="AE58" s="252">
        <v>8</v>
      </c>
      <c r="AF58" s="116" t="s">
        <v>228</v>
      </c>
      <c r="AG58" s="189" t="s">
        <v>537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249">
        <v>12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42"/>
      <c r="Z59" s="259"/>
      <c r="AA59" s="42"/>
      <c r="AB59" s="42"/>
      <c r="AC59" s="42"/>
      <c r="AD59" s="42"/>
      <c r="AE59" s="252">
        <v>12</v>
      </c>
      <c r="AF59" s="111" t="s">
        <v>66</v>
      </c>
      <c r="AG59" s="189" t="s">
        <v>537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144">
        <v>6</v>
      </c>
      <c r="P62" s="143">
        <v>8</v>
      </c>
      <c r="Q62" s="57">
        <v>9</v>
      </c>
      <c r="R62" s="57">
        <v>9</v>
      </c>
      <c r="S62" s="143">
        <v>8</v>
      </c>
      <c r="T62" s="143">
        <v>8</v>
      </c>
      <c r="U62" s="143">
        <v>8</v>
      </c>
      <c r="V62" s="143">
        <v>8</v>
      </c>
      <c r="W62" s="143">
        <v>8</v>
      </c>
      <c r="X62" s="143">
        <v>8</v>
      </c>
      <c r="Y62" s="143">
        <v>8</v>
      </c>
      <c r="Z62" s="143">
        <v>8</v>
      </c>
      <c r="AA62" s="144">
        <v>6</v>
      </c>
      <c r="AB62" s="56">
        <v>5</v>
      </c>
      <c r="AC62" s="234">
        <v>3</v>
      </c>
      <c r="AD62" s="12">
        <v>2</v>
      </c>
      <c r="AE62" s="18">
        <f>SUM(G62:AD62)</f>
        <v>132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6">G65-G62</f>
        <v>0</v>
      </c>
      <c r="H63" s="28">
        <f t="shared" si="6"/>
        <v>0</v>
      </c>
      <c r="I63" s="28">
        <f t="shared" si="6"/>
        <v>0</v>
      </c>
      <c r="J63" s="28">
        <f t="shared" si="6"/>
        <v>0</v>
      </c>
      <c r="K63" s="28">
        <f t="shared" si="6"/>
        <v>0</v>
      </c>
      <c r="L63" s="28">
        <f t="shared" si="6"/>
        <v>0</v>
      </c>
      <c r="M63" s="28">
        <f t="shared" si="6"/>
        <v>0</v>
      </c>
      <c r="N63" s="28">
        <f t="shared" si="6"/>
        <v>0</v>
      </c>
      <c r="O63" s="28">
        <f t="shared" si="6"/>
        <v>0</v>
      </c>
      <c r="P63" s="28">
        <f t="shared" si="6"/>
        <v>0</v>
      </c>
      <c r="Q63" s="28">
        <f t="shared" si="6"/>
        <v>0</v>
      </c>
      <c r="R63" s="28">
        <f t="shared" si="6"/>
        <v>0</v>
      </c>
      <c r="S63" s="28">
        <f t="shared" si="6"/>
        <v>1</v>
      </c>
      <c r="T63" s="28">
        <f t="shared" si="6"/>
        <v>1</v>
      </c>
      <c r="U63" s="28">
        <f t="shared" si="6"/>
        <v>0</v>
      </c>
      <c r="V63" s="28">
        <f t="shared" si="6"/>
        <v>1</v>
      </c>
      <c r="W63" s="28">
        <f t="shared" si="6"/>
        <v>0</v>
      </c>
      <c r="X63" s="28">
        <f t="shared" si="6"/>
        <v>0</v>
      </c>
      <c r="Y63" s="28">
        <f t="shared" si="6"/>
        <v>0</v>
      </c>
      <c r="Z63" s="28">
        <f t="shared" si="6"/>
        <v>0</v>
      </c>
      <c r="AA63" s="28">
        <f t="shared" si="6"/>
        <v>0</v>
      </c>
      <c r="AB63" s="28">
        <f t="shared" si="6"/>
        <v>0</v>
      </c>
      <c r="AC63" s="28">
        <f t="shared" si="6"/>
        <v>0</v>
      </c>
      <c r="AD63" s="28">
        <f t="shared" si="6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7">SUM(G66:G82)</f>
        <v>2</v>
      </c>
      <c r="H65" s="35">
        <f t="shared" si="7"/>
        <v>2</v>
      </c>
      <c r="I65" s="35">
        <f t="shared" si="7"/>
        <v>2</v>
      </c>
      <c r="J65" s="35">
        <f t="shared" si="7"/>
        <v>2</v>
      </c>
      <c r="K65" s="35">
        <f t="shared" si="7"/>
        <v>2</v>
      </c>
      <c r="L65" s="35">
        <f t="shared" si="7"/>
        <v>2</v>
      </c>
      <c r="M65" s="35">
        <f t="shared" si="7"/>
        <v>4</v>
      </c>
      <c r="N65" s="35">
        <f t="shared" si="7"/>
        <v>4</v>
      </c>
      <c r="O65" s="35">
        <f t="shared" si="7"/>
        <v>6</v>
      </c>
      <c r="P65" s="35">
        <f t="shared" si="7"/>
        <v>8</v>
      </c>
      <c r="Q65" s="35">
        <f t="shared" si="7"/>
        <v>9</v>
      </c>
      <c r="R65" s="35">
        <f t="shared" si="7"/>
        <v>9</v>
      </c>
      <c r="S65" s="35">
        <f t="shared" si="7"/>
        <v>9</v>
      </c>
      <c r="T65" s="35">
        <f t="shared" si="7"/>
        <v>9</v>
      </c>
      <c r="U65" s="35">
        <f t="shared" si="7"/>
        <v>8</v>
      </c>
      <c r="V65" s="35">
        <f t="shared" si="7"/>
        <v>9</v>
      </c>
      <c r="W65" s="35">
        <f t="shared" si="7"/>
        <v>8</v>
      </c>
      <c r="X65" s="35">
        <f t="shared" si="7"/>
        <v>8</v>
      </c>
      <c r="Y65" s="35">
        <f t="shared" si="7"/>
        <v>8</v>
      </c>
      <c r="Z65" s="35">
        <f t="shared" si="7"/>
        <v>8</v>
      </c>
      <c r="AA65" s="35">
        <f t="shared" si="7"/>
        <v>6</v>
      </c>
      <c r="AB65" s="35">
        <f t="shared" si="7"/>
        <v>5</v>
      </c>
      <c r="AC65" s="35">
        <f t="shared" si="7"/>
        <v>3</v>
      </c>
      <c r="AD65" s="35">
        <f t="shared" si="7"/>
        <v>2</v>
      </c>
      <c r="AE65" s="30">
        <f t="shared" ref="AE65:AE82" si="8">SUM(G65:AD65)</f>
        <v>135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9">SUM(G66:AD66)</f>
        <v>8</v>
      </c>
      <c r="G66" s="42"/>
      <c r="H66" s="42"/>
      <c r="I66" s="42"/>
      <c r="J66" s="42"/>
      <c r="K66" s="42"/>
      <c r="L66" s="42"/>
      <c r="M66" s="42"/>
      <c r="N66" s="42"/>
      <c r="O66" s="42"/>
      <c r="P66" s="42">
        <v>1</v>
      </c>
      <c r="Q66" s="42">
        <v>1</v>
      </c>
      <c r="R66" s="42">
        <v>1</v>
      </c>
      <c r="S66" s="42"/>
      <c r="T66" s="42">
        <v>1</v>
      </c>
      <c r="U66" s="42">
        <v>1</v>
      </c>
      <c r="V66" s="42">
        <v>1</v>
      </c>
      <c r="W66" s="42">
        <v>1</v>
      </c>
      <c r="X66" s="45" t="s">
        <v>47</v>
      </c>
      <c r="Y66" s="42">
        <v>1</v>
      </c>
      <c r="Z66" s="42"/>
      <c r="AA66" s="42"/>
      <c r="AB66" s="42"/>
      <c r="AC66" s="42"/>
      <c r="AD66" s="42"/>
      <c r="AE66" s="41">
        <f t="shared" si="8"/>
        <v>8</v>
      </c>
      <c r="AF66" s="111" t="s">
        <v>545</v>
      </c>
      <c r="AG66" s="44" t="s">
        <v>499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9"/>
        <v>8</v>
      </c>
      <c r="G67" s="42"/>
      <c r="H67" s="42"/>
      <c r="I67" s="42"/>
      <c r="J67" s="42"/>
      <c r="K67" s="42"/>
      <c r="L67" s="42"/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/>
      <c r="V67" s="42"/>
      <c r="W67" s="42"/>
      <c r="X67" s="42"/>
      <c r="Y67" s="45" t="s">
        <v>47</v>
      </c>
      <c r="Z67" s="42"/>
      <c r="AA67" s="42"/>
      <c r="AB67" s="42"/>
      <c r="AC67" s="42"/>
      <c r="AD67" s="42"/>
      <c r="AE67" s="41">
        <f t="shared" si="8"/>
        <v>8</v>
      </c>
      <c r="AF67" s="111" t="s">
        <v>252</v>
      </c>
      <c r="AG67" s="189" t="s">
        <v>537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9"/>
        <v>8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>
        <v>1</v>
      </c>
      <c r="V68" s="42">
        <v>1</v>
      </c>
      <c r="W68" s="45" t="s">
        <v>47</v>
      </c>
      <c r="X68" s="42">
        <v>1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/>
      <c r="AE68" s="41">
        <f t="shared" si="8"/>
        <v>8</v>
      </c>
      <c r="AF68" s="111" t="s">
        <v>81</v>
      </c>
      <c r="AG68" s="189" t="s">
        <v>537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9"/>
        <v>9</v>
      </c>
      <c r="G69" s="42"/>
      <c r="H69" s="42"/>
      <c r="I69" s="42"/>
      <c r="J69" s="42"/>
      <c r="K69" s="42"/>
      <c r="L69" s="42"/>
      <c r="M69" s="42"/>
      <c r="N69" s="42"/>
      <c r="O69" s="42">
        <v>1</v>
      </c>
      <c r="P69" s="42">
        <v>1</v>
      </c>
      <c r="Q69" s="42">
        <v>1</v>
      </c>
      <c r="R69" s="42">
        <v>1</v>
      </c>
      <c r="S69" s="42">
        <v>1</v>
      </c>
      <c r="T69" s="42">
        <v>1</v>
      </c>
      <c r="U69" s="42">
        <v>1</v>
      </c>
      <c r="V69" s="42"/>
      <c r="W69" s="42">
        <v>1</v>
      </c>
      <c r="X69" s="42">
        <v>1</v>
      </c>
      <c r="Y69" s="45" t="s">
        <v>47</v>
      </c>
      <c r="Z69" s="42"/>
      <c r="AA69" s="42"/>
      <c r="AB69" s="42"/>
      <c r="AC69" s="42"/>
      <c r="AD69" s="42"/>
      <c r="AE69" s="41">
        <f t="shared" si="8"/>
        <v>9</v>
      </c>
      <c r="AF69" s="111" t="s">
        <v>546</v>
      </c>
      <c r="AG69" s="189" t="s">
        <v>537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9"/>
        <v>6</v>
      </c>
      <c r="G70" s="42"/>
      <c r="H70" s="42"/>
      <c r="I70" s="42"/>
      <c r="J70" s="42"/>
      <c r="K70" s="42"/>
      <c r="L70" s="42"/>
      <c r="M70" s="42"/>
      <c r="N70" s="42">
        <v>1</v>
      </c>
      <c r="O70" s="42">
        <v>1</v>
      </c>
      <c r="P70" s="42">
        <v>1</v>
      </c>
      <c r="Q70" s="42">
        <v>1</v>
      </c>
      <c r="R70" s="63">
        <v>1</v>
      </c>
      <c r="S70" s="42">
        <v>1</v>
      </c>
      <c r="T70" s="42"/>
      <c r="U70" s="42"/>
      <c r="V70" s="42"/>
      <c r="W70" s="42"/>
      <c r="X70" s="42"/>
      <c r="Y70" s="45" t="s">
        <v>47</v>
      </c>
      <c r="Z70" s="42"/>
      <c r="AA70" s="42"/>
      <c r="AB70" s="42"/>
      <c r="AC70" s="42"/>
      <c r="AD70" s="42"/>
      <c r="AE70" s="41">
        <f t="shared" si="8"/>
        <v>6</v>
      </c>
      <c r="AF70" s="111" t="s">
        <v>315</v>
      </c>
      <c r="AG70" s="189" t="s">
        <v>537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9"/>
        <v>8</v>
      </c>
      <c r="G71" s="42"/>
      <c r="H71" s="42"/>
      <c r="I71" s="42"/>
      <c r="J71" s="42"/>
      <c r="K71" s="42"/>
      <c r="L71" s="42"/>
      <c r="M71" s="42">
        <v>1</v>
      </c>
      <c r="N71" s="42">
        <v>1</v>
      </c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>
        <v>1</v>
      </c>
      <c r="U71" s="42"/>
      <c r="V71" s="42"/>
      <c r="W71" s="42"/>
      <c r="X71" s="42"/>
      <c r="Y71" s="45" t="s">
        <v>47</v>
      </c>
      <c r="Z71" s="42"/>
      <c r="AA71" s="42"/>
      <c r="AB71" s="42"/>
      <c r="AC71" s="42"/>
      <c r="AD71" s="42"/>
      <c r="AE71" s="41">
        <f t="shared" si="8"/>
        <v>8</v>
      </c>
      <c r="AF71" s="111" t="s">
        <v>252</v>
      </c>
      <c r="AG71" s="189" t="s">
        <v>537</v>
      </c>
    </row>
    <row r="72" spans="1:33" ht="18.7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9"/>
        <v>11</v>
      </c>
      <c r="G72" s="42">
        <v>1</v>
      </c>
      <c r="H72" s="42">
        <v>1</v>
      </c>
      <c r="I72" s="42">
        <v>1</v>
      </c>
      <c r="J72" s="42">
        <v>1</v>
      </c>
      <c r="K72" s="42">
        <v>1</v>
      </c>
      <c r="L72" s="42">
        <v>1</v>
      </c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5" t="s">
        <v>47</v>
      </c>
      <c r="Z72" s="42">
        <v>1</v>
      </c>
      <c r="AA72" s="42">
        <v>1</v>
      </c>
      <c r="AB72" s="42">
        <v>1</v>
      </c>
      <c r="AC72" s="42">
        <v>1</v>
      </c>
      <c r="AD72" s="42">
        <v>1</v>
      </c>
      <c r="AE72" s="41">
        <f t="shared" si="8"/>
        <v>11</v>
      </c>
      <c r="AF72" s="111" t="s">
        <v>432</v>
      </c>
      <c r="AG72" s="189" t="s">
        <v>537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9"/>
        <v>6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>
        <v>1</v>
      </c>
      <c r="U73" s="42">
        <v>1</v>
      </c>
      <c r="V73" s="42">
        <v>1</v>
      </c>
      <c r="W73" s="42">
        <v>1</v>
      </c>
      <c r="X73" s="42">
        <v>1</v>
      </c>
      <c r="Y73" s="42">
        <v>1</v>
      </c>
      <c r="Z73" s="42"/>
      <c r="AA73" s="42"/>
      <c r="AB73" s="42"/>
      <c r="AC73" s="42"/>
      <c r="AD73" s="42"/>
      <c r="AE73" s="41">
        <f t="shared" si="8"/>
        <v>6</v>
      </c>
      <c r="AF73" s="111" t="s">
        <v>547</v>
      </c>
      <c r="AG73" s="189" t="s">
        <v>537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9"/>
        <v>12</v>
      </c>
      <c r="G74" s="42">
        <v>1</v>
      </c>
      <c r="H74" s="42">
        <v>1</v>
      </c>
      <c r="I74" s="42">
        <v>1</v>
      </c>
      <c r="J74" s="42">
        <v>1</v>
      </c>
      <c r="K74" s="42">
        <v>1</v>
      </c>
      <c r="L74" s="42">
        <v>1</v>
      </c>
      <c r="M74" s="42">
        <v>1</v>
      </c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5" t="s">
        <v>47</v>
      </c>
      <c r="Z74" s="42">
        <v>1</v>
      </c>
      <c r="AA74" s="42">
        <v>1</v>
      </c>
      <c r="AB74" s="42">
        <v>1</v>
      </c>
      <c r="AC74" s="42">
        <v>1</v>
      </c>
      <c r="AD74" s="42">
        <v>1</v>
      </c>
      <c r="AE74" s="41">
        <f t="shared" si="8"/>
        <v>12</v>
      </c>
      <c r="AF74" s="111" t="s">
        <v>311</v>
      </c>
      <c r="AG74" s="189" t="s">
        <v>537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100" t="s">
        <v>177</v>
      </c>
      <c r="F75" s="101">
        <f t="shared" si="9"/>
        <v>7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>
        <v>1</v>
      </c>
      <c r="W75" s="42">
        <v>1</v>
      </c>
      <c r="X75" s="42">
        <v>1</v>
      </c>
      <c r="Y75" s="42">
        <v>1</v>
      </c>
      <c r="Z75" s="42">
        <v>1</v>
      </c>
      <c r="AA75" s="42">
        <v>1</v>
      </c>
      <c r="AB75" s="42">
        <v>1</v>
      </c>
      <c r="AC75" s="42"/>
      <c r="AD75" s="42"/>
      <c r="AE75" s="101">
        <f t="shared" si="8"/>
        <v>7</v>
      </c>
      <c r="AF75" s="111" t="s">
        <v>282</v>
      </c>
      <c r="AG75" s="189" t="s">
        <v>537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9"/>
        <v>8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>
        <v>1</v>
      </c>
      <c r="R76" s="42">
        <v>1</v>
      </c>
      <c r="S76" s="42">
        <v>1</v>
      </c>
      <c r="T76" s="42"/>
      <c r="U76" s="42">
        <v>1</v>
      </c>
      <c r="V76" s="42">
        <v>1</v>
      </c>
      <c r="W76" s="42">
        <v>1</v>
      </c>
      <c r="X76" s="45" t="s">
        <v>47</v>
      </c>
      <c r="Y76" s="42">
        <v>1</v>
      </c>
      <c r="Z76" s="42">
        <v>1</v>
      </c>
      <c r="AA76" s="42"/>
      <c r="AB76" s="42"/>
      <c r="AC76" s="42"/>
      <c r="AD76" s="42"/>
      <c r="AE76" s="41">
        <f t="shared" si="8"/>
        <v>8</v>
      </c>
      <c r="AF76" s="111" t="s">
        <v>548</v>
      </c>
      <c r="AG76" s="189" t="s">
        <v>537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9"/>
        <v>6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>
        <v>1</v>
      </c>
      <c r="V77" s="42">
        <v>1</v>
      </c>
      <c r="W77" s="42">
        <v>1</v>
      </c>
      <c r="X77" s="45" t="s">
        <v>47</v>
      </c>
      <c r="Y77" s="42">
        <v>1</v>
      </c>
      <c r="Z77" s="42">
        <v>1</v>
      </c>
      <c r="AA77" s="42">
        <v>1</v>
      </c>
      <c r="AB77" s="42"/>
      <c r="AC77" s="42"/>
      <c r="AD77" s="42"/>
      <c r="AE77" s="41">
        <f t="shared" si="8"/>
        <v>6</v>
      </c>
      <c r="AF77" s="111" t="s">
        <v>100</v>
      </c>
      <c r="AG77" s="189" t="s">
        <v>537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9"/>
        <v>8</v>
      </c>
      <c r="G78" s="42"/>
      <c r="H78" s="42"/>
      <c r="I78" s="42"/>
      <c r="J78" s="42"/>
      <c r="K78" s="42"/>
      <c r="L78" s="42"/>
      <c r="M78" s="42">
        <v>1</v>
      </c>
      <c r="N78" s="42">
        <v>1</v>
      </c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>
        <v>1</v>
      </c>
      <c r="U78" s="42"/>
      <c r="V78" s="42"/>
      <c r="W78" s="42"/>
      <c r="X78" s="42"/>
      <c r="Y78" s="45" t="s">
        <v>47</v>
      </c>
      <c r="Z78" s="42"/>
      <c r="AA78" s="42"/>
      <c r="AB78" s="42"/>
      <c r="AC78" s="42"/>
      <c r="AD78" s="42"/>
      <c r="AE78" s="41">
        <f t="shared" si="8"/>
        <v>8</v>
      </c>
      <c r="AF78" s="111" t="s">
        <v>252</v>
      </c>
      <c r="AG78" s="189" t="s">
        <v>537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9"/>
        <v>7</v>
      </c>
      <c r="G79" s="102"/>
      <c r="H79" s="102"/>
      <c r="I79" s="102"/>
      <c r="J79" s="102"/>
      <c r="K79" s="102"/>
      <c r="L79" s="102"/>
      <c r="M79" s="102"/>
      <c r="N79" s="102"/>
      <c r="O79" s="102"/>
      <c r="P79" s="102">
        <v>1</v>
      </c>
      <c r="Q79" s="102">
        <v>1</v>
      </c>
      <c r="R79" s="102">
        <v>1</v>
      </c>
      <c r="S79" s="102">
        <v>1</v>
      </c>
      <c r="T79" s="102">
        <v>1</v>
      </c>
      <c r="U79" s="102">
        <v>1</v>
      </c>
      <c r="V79" s="102"/>
      <c r="W79" s="260" t="s">
        <v>47</v>
      </c>
      <c r="X79" s="102">
        <v>1</v>
      </c>
      <c r="Y79" s="102"/>
      <c r="Z79" s="102"/>
      <c r="AA79" s="102"/>
      <c r="AB79" s="102"/>
      <c r="AC79" s="102"/>
      <c r="AD79" s="42"/>
      <c r="AE79" s="41">
        <f t="shared" si="8"/>
        <v>7</v>
      </c>
      <c r="AF79" s="111" t="s">
        <v>549</v>
      </c>
      <c r="AG79" s="189" t="s">
        <v>537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232" t="s">
        <v>174</v>
      </c>
      <c r="F80" s="101">
        <f t="shared" si="9"/>
        <v>7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>
        <v>1</v>
      </c>
      <c r="W80" s="102">
        <v>1</v>
      </c>
      <c r="X80" s="102">
        <v>1</v>
      </c>
      <c r="Y80" s="102">
        <v>1</v>
      </c>
      <c r="Z80" s="102">
        <v>1</v>
      </c>
      <c r="AA80" s="102">
        <v>1</v>
      </c>
      <c r="AB80" s="102">
        <v>1</v>
      </c>
      <c r="AC80" s="102"/>
      <c r="AD80" s="77"/>
      <c r="AE80" s="41">
        <f t="shared" si="8"/>
        <v>7</v>
      </c>
      <c r="AF80" s="111" t="s">
        <v>282</v>
      </c>
      <c r="AG80" s="189" t="s">
        <v>537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9"/>
        <v>7</v>
      </c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>
        <v>1</v>
      </c>
      <c r="T81" s="102">
        <v>1</v>
      </c>
      <c r="U81" s="102">
        <v>1</v>
      </c>
      <c r="V81" s="102">
        <v>1</v>
      </c>
      <c r="W81" s="260" t="s">
        <v>47</v>
      </c>
      <c r="X81" s="102">
        <v>1</v>
      </c>
      <c r="Y81" s="102">
        <v>1</v>
      </c>
      <c r="Z81" s="102">
        <v>1</v>
      </c>
      <c r="AA81" s="102"/>
      <c r="AB81" s="102"/>
      <c r="AC81" s="102"/>
      <c r="AD81" s="77"/>
      <c r="AE81" s="41">
        <f t="shared" si="8"/>
        <v>7</v>
      </c>
      <c r="AF81" s="111" t="s">
        <v>365</v>
      </c>
      <c r="AG81" s="189" t="s">
        <v>537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9"/>
        <v>9</v>
      </c>
      <c r="G82" s="42"/>
      <c r="H82" s="42"/>
      <c r="I82" s="42"/>
      <c r="J82" s="42"/>
      <c r="K82" s="42"/>
      <c r="L82" s="42"/>
      <c r="M82" s="42"/>
      <c r="N82" s="42"/>
      <c r="O82" s="42">
        <v>1</v>
      </c>
      <c r="P82" s="42">
        <v>1</v>
      </c>
      <c r="Q82" s="42">
        <v>1</v>
      </c>
      <c r="R82" s="42">
        <v>1</v>
      </c>
      <c r="S82" s="42">
        <v>1</v>
      </c>
      <c r="T82" s="42">
        <v>1</v>
      </c>
      <c r="U82" s="42"/>
      <c r="V82" s="42">
        <v>1</v>
      </c>
      <c r="W82" s="42">
        <v>1</v>
      </c>
      <c r="X82" s="42">
        <v>1</v>
      </c>
      <c r="Y82" s="260" t="s">
        <v>47</v>
      </c>
      <c r="Z82" s="42"/>
      <c r="AA82" s="42"/>
      <c r="AB82" s="42"/>
      <c r="AC82" s="42"/>
      <c r="AD82" s="42"/>
      <c r="AE82" s="41">
        <f t="shared" si="8"/>
        <v>9</v>
      </c>
      <c r="AF82" s="111" t="s">
        <v>296</v>
      </c>
      <c r="AG82" s="189" t="s">
        <v>537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D6F95600-F5D2-44BC-80B6-0F2773D5BD92}" filter="1" showAutoFilter="1">
      <pageMargins left="0.7" right="0.7" top="0.75" bottom="0.75" header="0.3" footer="0.3"/>
      <autoFilter ref="A3:AG84" xr:uid="{EA4804D0-DCF1-4295-B30E-24980366F051}"/>
    </customSheetView>
    <customSheetView guid="{49BA5E93-E473-4F11-BE7E-FD55CB28D969}" filter="1" showAutoFilter="1">
      <pageMargins left="0.7" right="0.7" top="0.75" bottom="0.75" header="0.3" footer="0.3"/>
      <autoFilter ref="G5:AD84" xr:uid="{9B9C4D3B-E355-4251-963E-6418D150A109}">
        <filterColumn colId="15">
          <filters>
            <filter val="-"/>
            <filter val="1"/>
            <filter val="22"/>
            <filter val="8"/>
            <filter val="9"/>
            <filter val="C"/>
            <filter val="CLIENTES VIP"/>
            <filter val="SEGUIMIENTO TRANSFERENCIAS"/>
            <filter val="SOPORTE DTH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84" xr:uid="{543E6BED-2D3E-480D-85FC-F597528BF4D7}">
        <filterColumn colId="26">
          <filters>
            <filter val="-"/>
            <filter val="1"/>
            <filter val="6"/>
            <filter val="CLIENTES VIP"/>
          </filters>
        </filterColumn>
      </autoFilter>
    </customSheetView>
  </customSheetViews>
  <mergeCells count="9">
    <mergeCell ref="O59:Y59"/>
    <mergeCell ref="E62:F62"/>
    <mergeCell ref="A1:B1"/>
    <mergeCell ref="D3:AE3"/>
    <mergeCell ref="E4:F4"/>
    <mergeCell ref="E5:F5"/>
    <mergeCell ref="P20:Z20"/>
    <mergeCell ref="V57:AC57"/>
    <mergeCell ref="N58:U58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G8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219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14">
        <v>12</v>
      </c>
      <c r="N4" s="56">
        <v>13</v>
      </c>
      <c r="O4" s="144">
        <v>18</v>
      </c>
      <c r="P4" s="120">
        <v>22</v>
      </c>
      <c r="Q4" s="81">
        <v>25</v>
      </c>
      <c r="R4" s="81">
        <v>25</v>
      </c>
      <c r="S4" s="136">
        <v>23</v>
      </c>
      <c r="T4" s="136">
        <v>23</v>
      </c>
      <c r="U4" s="136">
        <v>23</v>
      </c>
      <c r="V4" s="136">
        <v>23</v>
      </c>
      <c r="W4" s="120">
        <v>22</v>
      </c>
      <c r="X4" s="120">
        <v>22</v>
      </c>
      <c r="Y4" s="119">
        <v>24</v>
      </c>
      <c r="Z4" s="120">
        <v>22</v>
      </c>
      <c r="AA4" s="149">
        <v>19</v>
      </c>
      <c r="AB4" s="13">
        <v>11</v>
      </c>
      <c r="AC4" s="225">
        <v>8</v>
      </c>
      <c r="AD4" s="11">
        <v>4</v>
      </c>
      <c r="AE4" s="18">
        <f>SUM(G4:AD4)</f>
        <v>358</v>
      </c>
      <c r="AF4" s="3"/>
      <c r="AG4" s="3"/>
    </row>
    <row r="5" spans="1:33" ht="62.25">
      <c r="A5" s="3"/>
      <c r="B5" s="2"/>
      <c r="C5" s="2"/>
      <c r="D5" s="19"/>
      <c r="E5" s="569">
        <v>6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1</v>
      </c>
      <c r="O6" s="28">
        <f t="shared" si="0"/>
        <v>0</v>
      </c>
      <c r="P6" s="28">
        <f t="shared" si="0"/>
        <v>0</v>
      </c>
      <c r="Q6" s="28">
        <f t="shared" si="0"/>
        <v>1</v>
      </c>
      <c r="R6" s="28">
        <f t="shared" si="0"/>
        <v>1</v>
      </c>
      <c r="S6" s="28">
        <f t="shared" si="0"/>
        <v>1</v>
      </c>
      <c r="T6" s="28">
        <f t="shared" si="0"/>
        <v>0</v>
      </c>
      <c r="U6" s="28">
        <f t="shared" si="0"/>
        <v>-1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-1</v>
      </c>
      <c r="Z6" s="28">
        <f t="shared" si="0"/>
        <v>-1</v>
      </c>
      <c r="AA6" s="28">
        <f t="shared" si="0"/>
        <v>0</v>
      </c>
      <c r="AB6" s="28">
        <f t="shared" si="0"/>
        <v>-1</v>
      </c>
      <c r="AC6" s="28">
        <f t="shared" si="0"/>
        <v>-1</v>
      </c>
      <c r="AD6" s="28">
        <f t="shared" si="0"/>
        <v>0</v>
      </c>
      <c r="AE6" s="29">
        <f t="shared" ref="AE6:AE19" si="1">SUM(G6:AD6)</f>
        <v>-1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SUM(G8:G59)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12</v>
      </c>
      <c r="N7" s="35">
        <f t="shared" si="2"/>
        <v>14</v>
      </c>
      <c r="O7" s="35">
        <f t="shared" si="2"/>
        <v>18</v>
      </c>
      <c r="P7" s="35">
        <f t="shared" si="2"/>
        <v>22</v>
      </c>
      <c r="Q7" s="35">
        <f t="shared" si="2"/>
        <v>26</v>
      </c>
      <c r="R7" s="35">
        <f t="shared" si="2"/>
        <v>26</v>
      </c>
      <c r="S7" s="35">
        <f t="shared" si="2"/>
        <v>24</v>
      </c>
      <c r="T7" s="35">
        <f t="shared" si="2"/>
        <v>23</v>
      </c>
      <c r="U7" s="35">
        <f t="shared" si="2"/>
        <v>22</v>
      </c>
      <c r="V7" s="35">
        <f t="shared" si="2"/>
        <v>23</v>
      </c>
      <c r="W7" s="35">
        <f t="shared" si="2"/>
        <v>22</v>
      </c>
      <c r="X7" s="35">
        <f t="shared" si="2"/>
        <v>22</v>
      </c>
      <c r="Y7" s="35">
        <f t="shared" si="2"/>
        <v>23</v>
      </c>
      <c r="Z7" s="35">
        <f t="shared" si="2"/>
        <v>21</v>
      </c>
      <c r="AA7" s="35">
        <f t="shared" si="2"/>
        <v>19</v>
      </c>
      <c r="AB7" s="35">
        <f t="shared" si="2"/>
        <v>10</v>
      </c>
      <c r="AC7" s="35">
        <f t="shared" si="2"/>
        <v>7</v>
      </c>
      <c r="AD7" s="35">
        <f t="shared" si="2"/>
        <v>4</v>
      </c>
      <c r="AE7" s="30">
        <f t="shared" si="1"/>
        <v>357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145" t="s">
        <v>46</v>
      </c>
      <c r="F8" s="249">
        <f t="shared" ref="F8:F19" si="3">SUM(G8:AD8)</f>
        <v>8</v>
      </c>
      <c r="G8" s="250"/>
      <c r="H8" s="250"/>
      <c r="I8" s="250"/>
      <c r="J8" s="250"/>
      <c r="K8" s="250"/>
      <c r="L8" s="250"/>
      <c r="M8" s="250">
        <v>1</v>
      </c>
      <c r="N8" s="250">
        <v>1</v>
      </c>
      <c r="O8" s="250">
        <v>1</v>
      </c>
      <c r="P8" s="250">
        <v>1</v>
      </c>
      <c r="Q8" s="250">
        <v>1</v>
      </c>
      <c r="R8" s="250">
        <v>1</v>
      </c>
      <c r="S8" s="250">
        <v>1</v>
      </c>
      <c r="T8" s="250">
        <v>1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2">
        <f t="shared" si="1"/>
        <v>8</v>
      </c>
      <c r="AF8" s="116" t="s">
        <v>252</v>
      </c>
      <c r="AG8" s="189" t="s">
        <v>550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45" t="s">
        <v>53</v>
      </c>
      <c r="F9" s="249">
        <f t="shared" si="3"/>
        <v>11</v>
      </c>
      <c r="G9" s="250">
        <v>1</v>
      </c>
      <c r="H9" s="250">
        <v>1</v>
      </c>
      <c r="I9" s="250">
        <v>1</v>
      </c>
      <c r="J9" s="250">
        <v>1</v>
      </c>
      <c r="K9" s="250">
        <v>1</v>
      </c>
      <c r="L9" s="250">
        <v>1</v>
      </c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>
        <v>1</v>
      </c>
      <c r="AA9" s="250">
        <v>1</v>
      </c>
      <c r="AB9" s="250">
        <v>1</v>
      </c>
      <c r="AC9" s="250">
        <v>1</v>
      </c>
      <c r="AD9" s="250">
        <v>1</v>
      </c>
      <c r="AE9" s="252">
        <f t="shared" si="1"/>
        <v>11</v>
      </c>
      <c r="AF9" s="111" t="s">
        <v>432</v>
      </c>
      <c r="AG9" s="189" t="s">
        <v>550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45" t="s">
        <v>56</v>
      </c>
      <c r="F10" s="249">
        <f t="shared" si="3"/>
        <v>6</v>
      </c>
      <c r="G10" s="250">
        <v>1</v>
      </c>
      <c r="H10" s="250">
        <v>1</v>
      </c>
      <c r="I10" s="250">
        <v>1</v>
      </c>
      <c r="J10" s="250">
        <v>1</v>
      </c>
      <c r="K10" s="250">
        <v>1</v>
      </c>
      <c r="L10" s="250">
        <v>1</v>
      </c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2">
        <f t="shared" si="1"/>
        <v>6</v>
      </c>
      <c r="AF10" s="116" t="s">
        <v>159</v>
      </c>
      <c r="AG10" s="189" t="s">
        <v>550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249">
        <f t="shared" si="3"/>
        <v>9</v>
      </c>
      <c r="G11" s="250"/>
      <c r="H11" s="250"/>
      <c r="I11" s="250"/>
      <c r="J11" s="250"/>
      <c r="K11" s="250"/>
      <c r="L11" s="250"/>
      <c r="M11" s="250">
        <v>1</v>
      </c>
      <c r="N11" s="250">
        <v>1</v>
      </c>
      <c r="O11" s="250">
        <v>1</v>
      </c>
      <c r="P11" s="250">
        <v>1</v>
      </c>
      <c r="Q11" s="250">
        <v>1</v>
      </c>
      <c r="R11" s="250">
        <v>1</v>
      </c>
      <c r="S11" s="250"/>
      <c r="T11" s="250">
        <v>1</v>
      </c>
      <c r="U11" s="250">
        <v>1</v>
      </c>
      <c r="V11" s="250">
        <v>1</v>
      </c>
      <c r="W11" s="250"/>
      <c r="X11" s="250"/>
      <c r="Y11" s="250"/>
      <c r="Z11" s="250"/>
      <c r="AA11" s="250"/>
      <c r="AB11" s="250"/>
      <c r="AC11" s="250"/>
      <c r="AD11" s="250"/>
      <c r="AE11" s="252">
        <f t="shared" si="1"/>
        <v>9</v>
      </c>
      <c r="AF11" s="116" t="s">
        <v>224</v>
      </c>
      <c r="AG11" s="189" t="s">
        <v>550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45" t="s">
        <v>147</v>
      </c>
      <c r="F12" s="249">
        <f t="shared" si="3"/>
        <v>8</v>
      </c>
      <c r="G12" s="250"/>
      <c r="H12" s="250"/>
      <c r="I12" s="250"/>
      <c r="J12" s="250"/>
      <c r="K12" s="250"/>
      <c r="L12" s="250"/>
      <c r="M12" s="250">
        <v>1</v>
      </c>
      <c r="N12" s="250">
        <v>1</v>
      </c>
      <c r="O12" s="250">
        <v>1</v>
      </c>
      <c r="P12" s="250">
        <v>1</v>
      </c>
      <c r="Q12" s="250">
        <v>1</v>
      </c>
      <c r="R12" s="250">
        <v>1</v>
      </c>
      <c r="S12" s="250">
        <v>1</v>
      </c>
      <c r="T12" s="250">
        <v>1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2">
        <f t="shared" si="1"/>
        <v>8</v>
      </c>
      <c r="AF12" s="116" t="s">
        <v>252</v>
      </c>
      <c r="AG12" s="189" t="s">
        <v>550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53" t="s">
        <v>60</v>
      </c>
      <c r="F13" s="249">
        <f t="shared" si="3"/>
        <v>8</v>
      </c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>
        <v>1</v>
      </c>
      <c r="W13" s="250">
        <v>1</v>
      </c>
      <c r="X13" s="250">
        <v>1</v>
      </c>
      <c r="Y13" s="250">
        <v>1</v>
      </c>
      <c r="Z13" s="250">
        <v>1</v>
      </c>
      <c r="AA13" s="250">
        <v>1</v>
      </c>
      <c r="AB13" s="250">
        <v>1</v>
      </c>
      <c r="AC13" s="250">
        <v>1</v>
      </c>
      <c r="AD13" s="250"/>
      <c r="AE13" s="252">
        <f t="shared" si="1"/>
        <v>8</v>
      </c>
      <c r="AF13" s="116" t="s">
        <v>218</v>
      </c>
      <c r="AG13" s="189" t="s">
        <v>550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53" t="s">
        <v>63</v>
      </c>
      <c r="F14" s="249">
        <f t="shared" si="3"/>
        <v>9</v>
      </c>
      <c r="G14" s="250"/>
      <c r="H14" s="250"/>
      <c r="I14" s="250"/>
      <c r="J14" s="250"/>
      <c r="K14" s="250"/>
      <c r="L14" s="250"/>
      <c r="M14" s="250">
        <v>1</v>
      </c>
      <c r="N14" s="250">
        <v>1</v>
      </c>
      <c r="O14" s="250">
        <v>1</v>
      </c>
      <c r="P14" s="250">
        <v>1</v>
      </c>
      <c r="Q14" s="250">
        <v>1</v>
      </c>
      <c r="R14" s="250">
        <v>1</v>
      </c>
      <c r="S14" s="250">
        <v>1</v>
      </c>
      <c r="T14" s="250">
        <v>1</v>
      </c>
      <c r="U14" s="250">
        <v>1</v>
      </c>
      <c r="V14" s="250"/>
      <c r="W14" s="250"/>
      <c r="X14" s="250"/>
      <c r="Y14" s="250"/>
      <c r="Z14" s="250"/>
      <c r="AA14" s="250"/>
      <c r="AB14" s="250"/>
      <c r="AC14" s="250"/>
      <c r="AD14" s="250"/>
      <c r="AE14" s="252">
        <f t="shared" si="1"/>
        <v>9</v>
      </c>
      <c r="AF14" s="116" t="s">
        <v>244</v>
      </c>
      <c r="AG14" s="189" t="s">
        <v>550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53" t="s">
        <v>65</v>
      </c>
      <c r="F15" s="249">
        <f t="shared" si="3"/>
        <v>10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0">
        <v>1</v>
      </c>
      <c r="V15" s="250">
        <v>1</v>
      </c>
      <c r="W15" s="250">
        <v>1</v>
      </c>
      <c r="X15" s="250">
        <v>1</v>
      </c>
      <c r="Y15" s="250">
        <v>1</v>
      </c>
      <c r="Z15" s="250"/>
      <c r="AA15" s="250"/>
      <c r="AB15" s="250"/>
      <c r="AC15" s="250"/>
      <c r="AD15" s="250"/>
      <c r="AE15" s="252">
        <f t="shared" si="1"/>
        <v>10</v>
      </c>
      <c r="AF15" s="111" t="s">
        <v>302</v>
      </c>
      <c r="AG15" s="189" t="s">
        <v>550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45" t="s">
        <v>71</v>
      </c>
      <c r="F16" s="249">
        <f t="shared" si="3"/>
        <v>8</v>
      </c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>
        <v>1</v>
      </c>
      <c r="R16" s="250">
        <v>1</v>
      </c>
      <c r="S16" s="250">
        <v>1</v>
      </c>
      <c r="T16" s="250">
        <v>1</v>
      </c>
      <c r="U16" s="250"/>
      <c r="V16" s="250">
        <v>1</v>
      </c>
      <c r="W16" s="250">
        <v>1</v>
      </c>
      <c r="X16" s="250">
        <v>1</v>
      </c>
      <c r="Y16" s="250">
        <v>1</v>
      </c>
      <c r="Z16" s="250"/>
      <c r="AA16" s="250"/>
      <c r="AB16" s="250"/>
      <c r="AC16" s="250"/>
      <c r="AD16" s="250"/>
      <c r="AE16" s="252">
        <f t="shared" si="1"/>
        <v>8</v>
      </c>
      <c r="AF16" s="116" t="s">
        <v>520</v>
      </c>
      <c r="AG16" s="189" t="s">
        <v>550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145" t="s">
        <v>73</v>
      </c>
      <c r="F17" s="249">
        <f t="shared" si="3"/>
        <v>8</v>
      </c>
      <c r="G17" s="250"/>
      <c r="H17" s="250"/>
      <c r="I17" s="250"/>
      <c r="J17" s="250"/>
      <c r="K17" s="250"/>
      <c r="L17" s="250"/>
      <c r="M17" s="250"/>
      <c r="N17" s="250">
        <v>1</v>
      </c>
      <c r="O17" s="250">
        <v>1</v>
      </c>
      <c r="P17" s="250">
        <v>1</v>
      </c>
      <c r="Q17" s="250">
        <v>1</v>
      </c>
      <c r="R17" s="250">
        <v>1</v>
      </c>
      <c r="S17" s="250">
        <v>1</v>
      </c>
      <c r="T17" s="250">
        <v>1</v>
      </c>
      <c r="U17" s="250">
        <v>1</v>
      </c>
      <c r="V17" s="250"/>
      <c r="W17" s="250"/>
      <c r="X17" s="250"/>
      <c r="Y17" s="250"/>
      <c r="Z17" s="250"/>
      <c r="AA17" s="250"/>
      <c r="AB17" s="250"/>
      <c r="AC17" s="250"/>
      <c r="AD17" s="250"/>
      <c r="AE17" s="252">
        <f t="shared" si="1"/>
        <v>8</v>
      </c>
      <c r="AF17" s="111" t="s">
        <v>288</v>
      </c>
      <c r="AG17" s="189" t="s">
        <v>550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145" t="s">
        <v>80</v>
      </c>
      <c r="F18" s="249">
        <f t="shared" si="3"/>
        <v>7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>
        <v>1</v>
      </c>
      <c r="AE18" s="252">
        <f t="shared" si="1"/>
        <v>7</v>
      </c>
      <c r="AF18" s="111" t="s">
        <v>74</v>
      </c>
      <c r="AG18" s="189" t="s">
        <v>550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45" t="s">
        <v>83</v>
      </c>
      <c r="F19" s="249">
        <f t="shared" si="3"/>
        <v>9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>
        <v>1</v>
      </c>
      <c r="Q19" s="250">
        <v>1</v>
      </c>
      <c r="R19" s="250">
        <v>1</v>
      </c>
      <c r="S19" s="250">
        <v>1</v>
      </c>
      <c r="T19" s="250">
        <v>1</v>
      </c>
      <c r="U19" s="250"/>
      <c r="V19" s="250">
        <v>1</v>
      </c>
      <c r="W19" s="250">
        <v>1</v>
      </c>
      <c r="X19" s="250">
        <v>1</v>
      </c>
      <c r="Y19" s="250">
        <v>1</v>
      </c>
      <c r="Z19" s="250"/>
      <c r="AA19" s="250"/>
      <c r="AB19" s="250"/>
      <c r="AC19" s="250"/>
      <c r="AD19" s="250"/>
      <c r="AE19" s="252">
        <f t="shared" si="1"/>
        <v>9</v>
      </c>
      <c r="AF19" s="116" t="s">
        <v>242</v>
      </c>
      <c r="AG19" s="189" t="s">
        <v>550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249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579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42"/>
      <c r="AA20" s="77"/>
      <c r="AB20" s="77"/>
      <c r="AC20" s="42"/>
      <c r="AD20" s="42"/>
      <c r="AE20" s="252">
        <v>11</v>
      </c>
      <c r="AF20" s="116" t="s">
        <v>164</v>
      </c>
      <c r="AG20" s="189" t="s">
        <v>550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45" t="s">
        <v>91</v>
      </c>
      <c r="F21" s="249">
        <f t="shared" ref="F21:F37" si="4">SUM(G21:AD21)</f>
        <v>9</v>
      </c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>
        <v>1</v>
      </c>
      <c r="U21" s="250">
        <v>1</v>
      </c>
      <c r="V21" s="250">
        <v>1</v>
      </c>
      <c r="W21" s="250">
        <v>1</v>
      </c>
      <c r="X21" s="250">
        <v>1</v>
      </c>
      <c r="Y21" s="250">
        <v>1</v>
      </c>
      <c r="Z21" s="250">
        <v>1</v>
      </c>
      <c r="AA21" s="250">
        <v>1</v>
      </c>
      <c r="AB21" s="250">
        <v>1</v>
      </c>
      <c r="AC21" s="250"/>
      <c r="AD21" s="250"/>
      <c r="AE21" s="252">
        <f t="shared" ref="AE21:AE37" si="5">SUM(G21:AD21)</f>
        <v>9</v>
      </c>
      <c r="AF21" s="116" t="s">
        <v>255</v>
      </c>
      <c r="AG21" s="189" t="s">
        <v>550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53" t="s">
        <v>93</v>
      </c>
      <c r="F22" s="249">
        <f t="shared" si="4"/>
        <v>8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>
        <v>1</v>
      </c>
      <c r="R22" s="250">
        <v>1</v>
      </c>
      <c r="S22" s="250">
        <v>1</v>
      </c>
      <c r="T22" s="250"/>
      <c r="U22" s="250"/>
      <c r="V22" s="250">
        <v>1</v>
      </c>
      <c r="W22" s="250">
        <v>1</v>
      </c>
      <c r="X22" s="250">
        <v>1</v>
      </c>
      <c r="Y22" s="250">
        <v>1</v>
      </c>
      <c r="Z22" s="250">
        <v>1</v>
      </c>
      <c r="AA22" s="250"/>
      <c r="AB22" s="250"/>
      <c r="AC22" s="250"/>
      <c r="AD22" s="250"/>
      <c r="AE22" s="252">
        <f t="shared" si="5"/>
        <v>8</v>
      </c>
      <c r="AF22" s="116" t="s">
        <v>551</v>
      </c>
      <c r="AG22" s="189" t="s">
        <v>550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53" t="s">
        <v>95</v>
      </c>
      <c r="F23" s="249">
        <f t="shared" si="4"/>
        <v>9</v>
      </c>
      <c r="G23" s="250"/>
      <c r="H23" s="250"/>
      <c r="I23" s="250"/>
      <c r="J23" s="250"/>
      <c r="K23" s="250"/>
      <c r="L23" s="250"/>
      <c r="M23" s="250"/>
      <c r="N23" s="250"/>
      <c r="O23" s="250">
        <v>1</v>
      </c>
      <c r="P23" s="250">
        <v>1</v>
      </c>
      <c r="Q23" s="250">
        <v>1</v>
      </c>
      <c r="R23" s="250">
        <v>1</v>
      </c>
      <c r="S23" s="250">
        <v>1</v>
      </c>
      <c r="T23" s="250">
        <v>1</v>
      </c>
      <c r="U23" s="250">
        <v>1</v>
      </c>
      <c r="V23" s="250">
        <v>1</v>
      </c>
      <c r="W23" s="250">
        <v>1</v>
      </c>
      <c r="X23" s="250"/>
      <c r="Y23" s="250"/>
      <c r="Z23" s="250"/>
      <c r="AA23" s="250"/>
      <c r="AB23" s="250"/>
      <c r="AC23" s="250"/>
      <c r="AD23" s="250"/>
      <c r="AE23" s="252">
        <f t="shared" si="5"/>
        <v>9</v>
      </c>
      <c r="AF23" s="116" t="s">
        <v>298</v>
      </c>
      <c r="AG23" s="189" t="s">
        <v>550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53" t="s">
        <v>99</v>
      </c>
      <c r="F24" s="249">
        <f t="shared" si="4"/>
        <v>8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>
        <v>1</v>
      </c>
      <c r="AC24" s="250">
        <v>1</v>
      </c>
      <c r="AD24" s="250"/>
      <c r="AE24" s="252">
        <f t="shared" si="5"/>
        <v>8</v>
      </c>
      <c r="AF24" s="116" t="s">
        <v>218</v>
      </c>
      <c r="AG24" s="189" t="s">
        <v>550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53" t="s">
        <v>102</v>
      </c>
      <c r="F25" s="249">
        <f t="shared" si="4"/>
        <v>10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>
        <v>1</v>
      </c>
      <c r="Q25" s="250">
        <v>1</v>
      </c>
      <c r="R25" s="250">
        <v>1</v>
      </c>
      <c r="S25" s="250">
        <v>1</v>
      </c>
      <c r="T25" s="250">
        <v>1</v>
      </c>
      <c r="U25" s="250"/>
      <c r="V25" s="250">
        <v>1</v>
      </c>
      <c r="W25" s="250">
        <v>1</v>
      </c>
      <c r="X25" s="250">
        <v>1</v>
      </c>
      <c r="Y25" s="250">
        <v>1</v>
      </c>
      <c r="Z25" s="250">
        <v>1</v>
      </c>
      <c r="AA25" s="250"/>
      <c r="AB25" s="250"/>
      <c r="AC25" s="250"/>
      <c r="AD25" s="250"/>
      <c r="AE25" s="252">
        <f t="shared" si="5"/>
        <v>10</v>
      </c>
      <c r="AF25" s="116" t="s">
        <v>222</v>
      </c>
      <c r="AG25" s="189" t="s">
        <v>550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53" t="s">
        <v>104</v>
      </c>
      <c r="F26" s="249">
        <f t="shared" si="4"/>
        <v>8</v>
      </c>
      <c r="G26" s="250"/>
      <c r="H26" s="250"/>
      <c r="I26" s="250"/>
      <c r="J26" s="250"/>
      <c r="K26" s="250"/>
      <c r="L26" s="250"/>
      <c r="M26" s="250">
        <v>1</v>
      </c>
      <c r="N26" s="250">
        <v>1</v>
      </c>
      <c r="O26" s="250">
        <v>1</v>
      </c>
      <c r="P26" s="250">
        <v>1</v>
      </c>
      <c r="Q26" s="250">
        <v>1</v>
      </c>
      <c r="R26" s="250">
        <v>1</v>
      </c>
      <c r="S26" s="250">
        <v>1</v>
      </c>
      <c r="T26" s="250">
        <v>1</v>
      </c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2">
        <f t="shared" si="5"/>
        <v>8</v>
      </c>
      <c r="AF26" s="116" t="s">
        <v>252</v>
      </c>
      <c r="AG26" s="189" t="s">
        <v>550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53" t="s">
        <v>333</v>
      </c>
      <c r="F27" s="249">
        <f t="shared" si="4"/>
        <v>6</v>
      </c>
      <c r="G27" s="250"/>
      <c r="H27" s="250"/>
      <c r="I27" s="250"/>
      <c r="J27" s="250"/>
      <c r="K27" s="250"/>
      <c r="L27" s="250"/>
      <c r="M27" s="250"/>
      <c r="N27" s="250">
        <v>1</v>
      </c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2">
        <f t="shared" si="5"/>
        <v>6</v>
      </c>
      <c r="AF27" s="116" t="s">
        <v>315</v>
      </c>
      <c r="AG27" s="189" t="s">
        <v>550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53" t="s">
        <v>172</v>
      </c>
      <c r="F28" s="249">
        <f t="shared" si="4"/>
        <v>9</v>
      </c>
      <c r="G28" s="250"/>
      <c r="H28" s="250"/>
      <c r="I28" s="250"/>
      <c r="J28" s="250"/>
      <c r="K28" s="250"/>
      <c r="L28" s="250"/>
      <c r="M28" s="250">
        <v>1</v>
      </c>
      <c r="N28" s="250">
        <v>1</v>
      </c>
      <c r="O28" s="250">
        <v>1</v>
      </c>
      <c r="P28" s="250">
        <v>1</v>
      </c>
      <c r="Q28" s="250">
        <v>1</v>
      </c>
      <c r="R28" s="250">
        <v>1</v>
      </c>
      <c r="S28" s="250">
        <v>1</v>
      </c>
      <c r="T28" s="250">
        <v>1</v>
      </c>
      <c r="U28" s="250">
        <v>1</v>
      </c>
      <c r="V28" s="250"/>
      <c r="W28" s="250"/>
      <c r="X28" s="250"/>
      <c r="Y28" s="250"/>
      <c r="Z28" s="250"/>
      <c r="AA28" s="250"/>
      <c r="AB28" s="250"/>
      <c r="AC28" s="250"/>
      <c r="AD28" s="250"/>
      <c r="AE28" s="252">
        <f t="shared" si="5"/>
        <v>9</v>
      </c>
      <c r="AF28" s="116" t="s">
        <v>244</v>
      </c>
      <c r="AG28" s="189" t="s">
        <v>550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53" t="s">
        <v>106</v>
      </c>
      <c r="F29" s="249">
        <f t="shared" si="4"/>
        <v>8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>
        <v>1</v>
      </c>
      <c r="V29" s="250">
        <v>1</v>
      </c>
      <c r="W29" s="250">
        <v>1</v>
      </c>
      <c r="X29" s="250">
        <v>1</v>
      </c>
      <c r="Y29" s="250">
        <v>1</v>
      </c>
      <c r="Z29" s="250">
        <v>1</v>
      </c>
      <c r="AA29" s="250">
        <v>1</v>
      </c>
      <c r="AB29" s="250">
        <v>1</v>
      </c>
      <c r="AC29" s="250"/>
      <c r="AD29" s="250"/>
      <c r="AE29" s="252">
        <f t="shared" si="5"/>
        <v>8</v>
      </c>
      <c r="AF29" s="116" t="s">
        <v>78</v>
      </c>
      <c r="AG29" s="189" t="s">
        <v>550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53" t="s">
        <v>112</v>
      </c>
      <c r="F30" s="249">
        <f t="shared" si="4"/>
        <v>8</v>
      </c>
      <c r="G30" s="250"/>
      <c r="H30" s="250"/>
      <c r="I30" s="250"/>
      <c r="J30" s="250"/>
      <c r="K30" s="250"/>
      <c r="L30" s="250"/>
      <c r="M30" s="250">
        <v>1</v>
      </c>
      <c r="N30" s="250">
        <v>1</v>
      </c>
      <c r="O30" s="250">
        <v>1</v>
      </c>
      <c r="P30" s="250">
        <v>1</v>
      </c>
      <c r="Q30" s="250">
        <v>1</v>
      </c>
      <c r="R30" s="250">
        <v>1</v>
      </c>
      <c r="S30" s="250">
        <v>1</v>
      </c>
      <c r="T30" s="250">
        <v>1</v>
      </c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2">
        <f t="shared" si="5"/>
        <v>8</v>
      </c>
      <c r="AF30" s="116" t="s">
        <v>252</v>
      </c>
      <c r="AG30" s="189" t="s">
        <v>550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53" t="s">
        <v>116</v>
      </c>
      <c r="F31" s="249">
        <f t="shared" si="4"/>
        <v>7</v>
      </c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>
        <v>1</v>
      </c>
      <c r="Y31" s="250">
        <v>1</v>
      </c>
      <c r="Z31" s="250">
        <v>1</v>
      </c>
      <c r="AA31" s="250">
        <v>1</v>
      </c>
      <c r="AB31" s="250">
        <v>1</v>
      </c>
      <c r="AC31" s="250">
        <v>1</v>
      </c>
      <c r="AD31" s="250">
        <v>1</v>
      </c>
      <c r="AE31" s="252">
        <f t="shared" si="5"/>
        <v>7</v>
      </c>
      <c r="AF31" s="111" t="s">
        <v>74</v>
      </c>
      <c r="AG31" s="189" t="s">
        <v>550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53" t="s">
        <v>121</v>
      </c>
      <c r="F32" s="249">
        <f t="shared" si="4"/>
        <v>9</v>
      </c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>
        <v>1</v>
      </c>
      <c r="V32" s="250">
        <v>1</v>
      </c>
      <c r="W32" s="250">
        <v>1</v>
      </c>
      <c r="X32" s="250">
        <v>1</v>
      </c>
      <c r="Y32" s="250">
        <v>1</v>
      </c>
      <c r="Z32" s="250">
        <v>1</v>
      </c>
      <c r="AA32" s="250">
        <v>1</v>
      </c>
      <c r="AB32" s="250">
        <v>1</v>
      </c>
      <c r="AC32" s="250">
        <v>1</v>
      </c>
      <c r="AD32" s="250"/>
      <c r="AE32" s="252">
        <f t="shared" si="5"/>
        <v>9</v>
      </c>
      <c r="AF32" s="116" t="s">
        <v>81</v>
      </c>
      <c r="AG32" s="189" t="s">
        <v>550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53" t="s">
        <v>123</v>
      </c>
      <c r="F33" s="249">
        <f t="shared" si="4"/>
        <v>11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>
        <v>1</v>
      </c>
      <c r="R33" s="250">
        <v>1</v>
      </c>
      <c r="S33" s="250">
        <v>1</v>
      </c>
      <c r="T33" s="250">
        <v>1</v>
      </c>
      <c r="U33" s="250">
        <v>1</v>
      </c>
      <c r="V33" s="250">
        <v>1</v>
      </c>
      <c r="W33" s="250">
        <v>1</v>
      </c>
      <c r="X33" s="250">
        <v>1</v>
      </c>
      <c r="Y33" s="250">
        <v>1</v>
      </c>
      <c r="Z33" s="250">
        <v>1</v>
      </c>
      <c r="AA33" s="250">
        <v>1</v>
      </c>
      <c r="AB33" s="250"/>
      <c r="AC33" s="250"/>
      <c r="AD33" s="250"/>
      <c r="AE33" s="252">
        <f t="shared" si="5"/>
        <v>11</v>
      </c>
      <c r="AF33" s="116" t="s">
        <v>170</v>
      </c>
      <c r="AG33" s="189" t="s">
        <v>550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53" t="s">
        <v>125</v>
      </c>
      <c r="F34" s="249">
        <f t="shared" si="4"/>
        <v>0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61" t="s">
        <v>231</v>
      </c>
      <c r="V34" s="261" t="s">
        <v>231</v>
      </c>
      <c r="W34" s="261" t="s">
        <v>231</v>
      </c>
      <c r="X34" s="261" t="s">
        <v>231</v>
      </c>
      <c r="Y34" s="261" t="s">
        <v>231</v>
      </c>
      <c r="Z34" s="261" t="s">
        <v>231</v>
      </c>
      <c r="AA34" s="261" t="s">
        <v>231</v>
      </c>
      <c r="AB34" s="261" t="s">
        <v>231</v>
      </c>
      <c r="AC34" s="261" t="s">
        <v>231</v>
      </c>
      <c r="AD34" s="250"/>
      <c r="AE34" s="252">
        <f t="shared" si="5"/>
        <v>0</v>
      </c>
      <c r="AF34" s="116" t="s">
        <v>81</v>
      </c>
      <c r="AG34" s="189" t="s">
        <v>550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53" t="s">
        <v>127</v>
      </c>
      <c r="F35" s="249">
        <f t="shared" si="4"/>
        <v>11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>
        <v>1</v>
      </c>
      <c r="Q35" s="250">
        <v>1</v>
      </c>
      <c r="R35" s="250">
        <v>1</v>
      </c>
      <c r="S35" s="250">
        <v>1</v>
      </c>
      <c r="T35" s="250"/>
      <c r="U35" s="250">
        <v>1</v>
      </c>
      <c r="V35" s="250">
        <v>1</v>
      </c>
      <c r="W35" s="250">
        <v>1</v>
      </c>
      <c r="X35" s="250">
        <v>1</v>
      </c>
      <c r="Y35" s="250">
        <v>1</v>
      </c>
      <c r="Z35" s="250">
        <v>1</v>
      </c>
      <c r="AA35" s="250">
        <v>1</v>
      </c>
      <c r="AB35" s="250"/>
      <c r="AC35" s="250"/>
      <c r="AD35" s="250"/>
      <c r="AE35" s="252">
        <f t="shared" si="5"/>
        <v>11</v>
      </c>
      <c r="AF35" s="116" t="s">
        <v>256</v>
      </c>
      <c r="AG35" s="189" t="s">
        <v>550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53" t="s">
        <v>129</v>
      </c>
      <c r="F36" s="249">
        <f t="shared" si="4"/>
        <v>10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>
        <v>1</v>
      </c>
      <c r="R36" s="250">
        <v>1</v>
      </c>
      <c r="S36" s="250"/>
      <c r="T36" s="250">
        <v>1</v>
      </c>
      <c r="U36" s="250">
        <v>1</v>
      </c>
      <c r="V36" s="250">
        <v>1</v>
      </c>
      <c r="W36" s="250">
        <v>1</v>
      </c>
      <c r="X36" s="250">
        <v>1</v>
      </c>
      <c r="Y36" s="250">
        <v>1</v>
      </c>
      <c r="Z36" s="250">
        <v>1</v>
      </c>
      <c r="AA36" s="250">
        <v>1</v>
      </c>
      <c r="AB36" s="250"/>
      <c r="AC36" s="250"/>
      <c r="AD36" s="250"/>
      <c r="AE36" s="252">
        <f t="shared" si="5"/>
        <v>10</v>
      </c>
      <c r="AF36" s="116" t="s">
        <v>552</v>
      </c>
      <c r="AG36" s="189" t="s">
        <v>550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53" t="s">
        <v>131</v>
      </c>
      <c r="F37" s="249">
        <f t="shared" si="4"/>
        <v>8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>
        <v>1</v>
      </c>
      <c r="U37" s="250">
        <v>1</v>
      </c>
      <c r="V37" s="250">
        <v>1</v>
      </c>
      <c r="W37" s="250">
        <v>1</v>
      </c>
      <c r="X37" s="250">
        <v>1</v>
      </c>
      <c r="Y37" s="250">
        <v>1</v>
      </c>
      <c r="Z37" s="250">
        <v>1</v>
      </c>
      <c r="AA37" s="250">
        <v>1</v>
      </c>
      <c r="AB37" s="250"/>
      <c r="AC37" s="250"/>
      <c r="AD37" s="250"/>
      <c r="AE37" s="252">
        <f t="shared" si="5"/>
        <v>8</v>
      </c>
      <c r="AF37" s="116" t="s">
        <v>293</v>
      </c>
      <c r="AG37" s="189" t="s">
        <v>550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53" t="s">
        <v>50</v>
      </c>
      <c r="F38" s="249">
        <v>8</v>
      </c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583" t="s">
        <v>209</v>
      </c>
      <c r="W38" s="555"/>
      <c r="X38" s="555"/>
      <c r="Y38" s="555"/>
      <c r="Z38" s="555"/>
      <c r="AA38" s="555"/>
      <c r="AB38" s="555"/>
      <c r="AC38" s="542"/>
      <c r="AD38" s="250"/>
      <c r="AE38" s="252">
        <v>8</v>
      </c>
      <c r="AF38" s="111" t="s">
        <v>218</v>
      </c>
      <c r="AG38" s="189" t="s">
        <v>550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53" t="s">
        <v>135</v>
      </c>
      <c r="F39" s="249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252">
        <v>8</v>
      </c>
      <c r="AF39" s="111" t="s">
        <v>218</v>
      </c>
      <c r="AG39" s="189" t="s">
        <v>550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53" t="s">
        <v>140</v>
      </c>
      <c r="F40" s="249">
        <v>9</v>
      </c>
      <c r="G40" s="250">
        <v>1</v>
      </c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252">
        <v>9</v>
      </c>
      <c r="AF40" s="111" t="s">
        <v>505</v>
      </c>
      <c r="AG40" s="189" t="s">
        <v>550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53" t="s">
        <v>118</v>
      </c>
      <c r="F41" s="249">
        <f t="shared" ref="F41:F56" si="6">SUM(G41:AD41)</f>
        <v>12</v>
      </c>
      <c r="G41" s="250">
        <v>1</v>
      </c>
      <c r="H41" s="250">
        <v>1</v>
      </c>
      <c r="I41" s="250">
        <v>1</v>
      </c>
      <c r="J41" s="250">
        <v>1</v>
      </c>
      <c r="K41" s="250">
        <v>1</v>
      </c>
      <c r="L41" s="250">
        <v>1</v>
      </c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>
        <v>1</v>
      </c>
      <c r="Z41" s="250">
        <v>1</v>
      </c>
      <c r="AA41" s="250">
        <v>1</v>
      </c>
      <c r="AB41" s="250">
        <v>1</v>
      </c>
      <c r="AC41" s="250">
        <v>1</v>
      </c>
      <c r="AD41" s="250">
        <v>1</v>
      </c>
      <c r="AE41" s="252">
        <f>SUM(G41:AD41)</f>
        <v>12</v>
      </c>
      <c r="AF41" s="116" t="s">
        <v>221</v>
      </c>
      <c r="AG41" s="189" t="s">
        <v>550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53" t="s">
        <v>143</v>
      </c>
      <c r="F42" s="249">
        <f t="shared" si="6"/>
        <v>0</v>
      </c>
      <c r="G42" s="250"/>
      <c r="H42" s="250"/>
      <c r="I42" s="250"/>
      <c r="J42" s="250"/>
      <c r="K42" s="250"/>
      <c r="L42" s="250"/>
      <c r="M42" s="250"/>
      <c r="N42" s="583" t="s">
        <v>209</v>
      </c>
      <c r="O42" s="555"/>
      <c r="P42" s="555"/>
      <c r="Q42" s="555"/>
      <c r="R42" s="555"/>
      <c r="S42" s="555"/>
      <c r="T42" s="555"/>
      <c r="U42" s="542"/>
      <c r="V42" s="250"/>
      <c r="W42" s="250"/>
      <c r="X42" s="250"/>
      <c r="Y42" s="250"/>
      <c r="Z42" s="250"/>
      <c r="AA42" s="250"/>
      <c r="AB42" s="250"/>
      <c r="AC42" s="250"/>
      <c r="AD42" s="250"/>
      <c r="AE42" s="252">
        <v>8</v>
      </c>
      <c r="AF42" s="116" t="s">
        <v>288</v>
      </c>
      <c r="AG42" s="189" t="s">
        <v>550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53" t="s">
        <v>455</v>
      </c>
      <c r="F43" s="249">
        <f t="shared" si="6"/>
        <v>9</v>
      </c>
      <c r="G43" s="250"/>
      <c r="H43" s="250"/>
      <c r="I43" s="250"/>
      <c r="J43" s="250"/>
      <c r="K43" s="250"/>
      <c r="L43" s="250"/>
      <c r="M43" s="250">
        <v>1</v>
      </c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>
        <v>1</v>
      </c>
      <c r="V43" s="250"/>
      <c r="W43" s="250"/>
      <c r="X43" s="250"/>
      <c r="Y43" s="250"/>
      <c r="Z43" s="250"/>
      <c r="AA43" s="250"/>
      <c r="AB43" s="250"/>
      <c r="AC43" s="250"/>
      <c r="AD43" s="250"/>
      <c r="AE43" s="252">
        <f t="shared" ref="AE43:AE56" si="7">SUM(G43:AD43)</f>
        <v>9</v>
      </c>
      <c r="AF43" s="116" t="s">
        <v>244</v>
      </c>
      <c r="AG43" s="189" t="s">
        <v>550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53" t="s">
        <v>457</v>
      </c>
      <c r="F44" s="249">
        <f t="shared" si="6"/>
        <v>8</v>
      </c>
      <c r="G44" s="250"/>
      <c r="H44" s="250"/>
      <c r="I44" s="250"/>
      <c r="J44" s="250"/>
      <c r="K44" s="250"/>
      <c r="L44" s="250"/>
      <c r="M44" s="250"/>
      <c r="N44" s="250"/>
      <c r="O44" s="250">
        <v>1</v>
      </c>
      <c r="P44" s="250">
        <v>1</v>
      </c>
      <c r="Q44" s="250">
        <v>1</v>
      </c>
      <c r="R44" s="250">
        <v>1</v>
      </c>
      <c r="S44" s="250">
        <v>1</v>
      </c>
      <c r="T44" s="250"/>
      <c r="U44" s="250">
        <v>1</v>
      </c>
      <c r="V44" s="250">
        <v>1</v>
      </c>
      <c r="W44" s="250">
        <v>1</v>
      </c>
      <c r="X44" s="250"/>
      <c r="Y44" s="250"/>
      <c r="Z44" s="250"/>
      <c r="AA44" s="250"/>
      <c r="AB44" s="250"/>
      <c r="AC44" s="250"/>
      <c r="AD44" s="250"/>
      <c r="AE44" s="252">
        <f t="shared" si="7"/>
        <v>8</v>
      </c>
      <c r="AF44" s="116" t="s">
        <v>217</v>
      </c>
      <c r="AG44" s="189" t="s">
        <v>550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53" t="s">
        <v>460</v>
      </c>
      <c r="F45" s="249">
        <f t="shared" si="6"/>
        <v>8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>
        <v>1</v>
      </c>
      <c r="U45" s="250">
        <v>1</v>
      </c>
      <c r="V45" s="250">
        <v>1</v>
      </c>
      <c r="W45" s="250">
        <v>1</v>
      </c>
      <c r="X45" s="250">
        <v>1</v>
      </c>
      <c r="Y45" s="250">
        <v>1</v>
      </c>
      <c r="Z45" s="250">
        <v>1</v>
      </c>
      <c r="AA45" s="250">
        <v>1</v>
      </c>
      <c r="AB45" s="250"/>
      <c r="AC45" s="250"/>
      <c r="AD45" s="250"/>
      <c r="AE45" s="252">
        <f t="shared" si="7"/>
        <v>8</v>
      </c>
      <c r="AF45" s="116" t="s">
        <v>293</v>
      </c>
      <c r="AG45" s="189" t="s">
        <v>550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53" t="s">
        <v>478</v>
      </c>
      <c r="F46" s="249">
        <f t="shared" si="6"/>
        <v>7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>
        <v>1</v>
      </c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>
        <v>1</v>
      </c>
      <c r="AB46" s="250"/>
      <c r="AC46" s="250"/>
      <c r="AD46" s="250"/>
      <c r="AE46" s="252">
        <f t="shared" si="7"/>
        <v>7</v>
      </c>
      <c r="AF46" s="116" t="s">
        <v>100</v>
      </c>
      <c r="AG46" s="189" t="s">
        <v>550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53" t="s">
        <v>461</v>
      </c>
      <c r="F47" s="249">
        <f t="shared" si="6"/>
        <v>7</v>
      </c>
      <c r="G47" s="250"/>
      <c r="H47" s="250"/>
      <c r="I47" s="250"/>
      <c r="J47" s="250"/>
      <c r="K47" s="250"/>
      <c r="L47" s="250"/>
      <c r="M47" s="250">
        <v>1</v>
      </c>
      <c r="N47" s="250">
        <v>1</v>
      </c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2">
        <f t="shared" si="7"/>
        <v>7</v>
      </c>
      <c r="AF47" s="116" t="s">
        <v>379</v>
      </c>
      <c r="AG47" s="189" t="s">
        <v>550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53" t="s">
        <v>463</v>
      </c>
      <c r="F48" s="249">
        <f t="shared" si="6"/>
        <v>7</v>
      </c>
      <c r="G48" s="250"/>
      <c r="H48" s="250"/>
      <c r="I48" s="250"/>
      <c r="J48" s="250"/>
      <c r="K48" s="250"/>
      <c r="L48" s="250"/>
      <c r="M48" s="250">
        <v>1</v>
      </c>
      <c r="N48" s="250">
        <v>1</v>
      </c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2">
        <f t="shared" si="7"/>
        <v>7</v>
      </c>
      <c r="AF48" s="116" t="s">
        <v>379</v>
      </c>
      <c r="AG48" s="189" t="s">
        <v>550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53" t="s">
        <v>465</v>
      </c>
      <c r="F49" s="249">
        <f t="shared" si="6"/>
        <v>7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>
        <v>1</v>
      </c>
      <c r="V49" s="250">
        <v>1</v>
      </c>
      <c r="W49" s="250">
        <v>1</v>
      </c>
      <c r="X49" s="250">
        <v>1</v>
      </c>
      <c r="Y49" s="250">
        <v>1</v>
      </c>
      <c r="Z49" s="250">
        <v>1</v>
      </c>
      <c r="AA49" s="250">
        <v>1</v>
      </c>
      <c r="AB49" s="250"/>
      <c r="AC49" s="250"/>
      <c r="AD49" s="250"/>
      <c r="AE49" s="252">
        <f t="shared" si="7"/>
        <v>7</v>
      </c>
      <c r="AF49" s="116" t="s">
        <v>100</v>
      </c>
      <c r="AG49" s="189" t="s">
        <v>550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53" t="s">
        <v>466</v>
      </c>
      <c r="F50" s="249">
        <f t="shared" si="6"/>
        <v>7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>
        <v>1</v>
      </c>
      <c r="W50" s="250">
        <v>1</v>
      </c>
      <c r="X50" s="250">
        <v>1</v>
      </c>
      <c r="Y50" s="250">
        <v>1</v>
      </c>
      <c r="Z50" s="250">
        <v>1</v>
      </c>
      <c r="AA50" s="250">
        <v>1</v>
      </c>
      <c r="AB50" s="250">
        <v>1</v>
      </c>
      <c r="AC50" s="250"/>
      <c r="AD50" s="250"/>
      <c r="AE50" s="252">
        <f t="shared" si="7"/>
        <v>7</v>
      </c>
      <c r="AF50" s="116" t="s">
        <v>282</v>
      </c>
      <c r="AG50" s="189" t="s">
        <v>550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53" t="s">
        <v>467</v>
      </c>
      <c r="F51" s="249">
        <f t="shared" si="6"/>
        <v>7</v>
      </c>
      <c r="G51" s="250"/>
      <c r="H51" s="250"/>
      <c r="I51" s="250"/>
      <c r="J51" s="250"/>
      <c r="K51" s="250"/>
      <c r="L51" s="250"/>
      <c r="M51" s="250"/>
      <c r="N51" s="250"/>
      <c r="O51" s="250">
        <v>1</v>
      </c>
      <c r="P51" s="250">
        <v>1</v>
      </c>
      <c r="Q51" s="250">
        <v>1</v>
      </c>
      <c r="R51" s="250">
        <v>1</v>
      </c>
      <c r="S51" s="250">
        <v>1</v>
      </c>
      <c r="T51" s="250">
        <v>1</v>
      </c>
      <c r="U51" s="250">
        <v>1</v>
      </c>
      <c r="V51" s="250"/>
      <c r="W51" s="250"/>
      <c r="X51" s="250"/>
      <c r="Y51" s="250"/>
      <c r="Z51" s="250"/>
      <c r="AA51" s="250"/>
      <c r="AB51" s="250"/>
      <c r="AC51" s="250"/>
      <c r="AD51" s="250"/>
      <c r="AE51" s="252">
        <f t="shared" si="7"/>
        <v>7</v>
      </c>
      <c r="AF51" s="116" t="s">
        <v>87</v>
      </c>
      <c r="AG51" s="189" t="s">
        <v>550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53" t="s">
        <v>491</v>
      </c>
      <c r="F52" s="249">
        <f t="shared" si="6"/>
        <v>8</v>
      </c>
      <c r="G52" s="250"/>
      <c r="H52" s="250"/>
      <c r="I52" s="250"/>
      <c r="J52" s="250"/>
      <c r="K52" s="250"/>
      <c r="L52" s="250"/>
      <c r="M52" s="250">
        <v>1</v>
      </c>
      <c r="N52" s="250">
        <v>1</v>
      </c>
      <c r="O52" s="250">
        <v>1</v>
      </c>
      <c r="P52" s="250">
        <v>1</v>
      </c>
      <c r="Q52" s="250">
        <v>1</v>
      </c>
      <c r="R52" s="250">
        <v>1</v>
      </c>
      <c r="S52" s="250">
        <v>1</v>
      </c>
      <c r="T52" s="250">
        <v>1</v>
      </c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2">
        <f t="shared" si="7"/>
        <v>8</v>
      </c>
      <c r="AF52" s="116" t="s">
        <v>252</v>
      </c>
      <c r="AG52" s="189" t="s">
        <v>550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53" t="s">
        <v>493</v>
      </c>
      <c r="F53" s="249">
        <f t="shared" si="6"/>
        <v>7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>
        <v>1</v>
      </c>
      <c r="V53" s="250">
        <v>1</v>
      </c>
      <c r="W53" s="250">
        <v>1</v>
      </c>
      <c r="X53" s="250">
        <v>1</v>
      </c>
      <c r="Y53" s="250">
        <v>1</v>
      </c>
      <c r="Z53" s="250">
        <v>1</v>
      </c>
      <c r="AA53" s="250">
        <v>1</v>
      </c>
      <c r="AB53" s="250"/>
      <c r="AC53" s="250"/>
      <c r="AD53" s="250"/>
      <c r="AE53" s="252">
        <f t="shared" si="7"/>
        <v>7</v>
      </c>
      <c r="AF53" s="116" t="s">
        <v>100</v>
      </c>
      <c r="AG53" s="189" t="s">
        <v>550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53" t="s">
        <v>469</v>
      </c>
      <c r="F54" s="249">
        <f t="shared" si="6"/>
        <v>7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>
        <v>1</v>
      </c>
      <c r="V54" s="250">
        <v>1</v>
      </c>
      <c r="W54" s="250">
        <v>1</v>
      </c>
      <c r="X54" s="250">
        <v>1</v>
      </c>
      <c r="Y54" s="250">
        <v>1</v>
      </c>
      <c r="Z54" s="250">
        <v>1</v>
      </c>
      <c r="AA54" s="250">
        <v>1</v>
      </c>
      <c r="AB54" s="250"/>
      <c r="AC54" s="250"/>
      <c r="AD54" s="250"/>
      <c r="AE54" s="252">
        <f t="shared" si="7"/>
        <v>7</v>
      </c>
      <c r="AF54" s="116" t="s">
        <v>100</v>
      </c>
      <c r="AG54" s="189" t="s">
        <v>550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53" t="s">
        <v>495</v>
      </c>
      <c r="F55" s="249">
        <f t="shared" si="6"/>
        <v>7</v>
      </c>
      <c r="G55" s="250"/>
      <c r="H55" s="250"/>
      <c r="I55" s="250"/>
      <c r="J55" s="250"/>
      <c r="K55" s="250"/>
      <c r="L55" s="250"/>
      <c r="M55" s="250"/>
      <c r="N55" s="250"/>
      <c r="O55" s="250">
        <v>1</v>
      </c>
      <c r="P55" s="250">
        <v>1</v>
      </c>
      <c r="Q55" s="250">
        <v>1</v>
      </c>
      <c r="R55" s="250">
        <v>1</v>
      </c>
      <c r="S55" s="250">
        <v>1</v>
      </c>
      <c r="T55" s="250">
        <v>1</v>
      </c>
      <c r="U55" s="250">
        <v>1</v>
      </c>
      <c r="V55" s="250"/>
      <c r="W55" s="250"/>
      <c r="X55" s="250"/>
      <c r="Y55" s="250"/>
      <c r="Z55" s="250"/>
      <c r="AA55" s="250"/>
      <c r="AB55" s="250"/>
      <c r="AC55" s="250"/>
      <c r="AD55" s="250"/>
      <c r="AE55" s="252">
        <f t="shared" si="7"/>
        <v>7</v>
      </c>
      <c r="AF55" s="116" t="s">
        <v>87</v>
      </c>
      <c r="AG55" s="189" t="s">
        <v>550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53" t="s">
        <v>497</v>
      </c>
      <c r="F56" s="249">
        <f t="shared" si="6"/>
        <v>8</v>
      </c>
      <c r="G56" s="250"/>
      <c r="H56" s="250"/>
      <c r="I56" s="250"/>
      <c r="J56" s="250"/>
      <c r="K56" s="250"/>
      <c r="L56" s="250"/>
      <c r="M56" s="250">
        <v>1</v>
      </c>
      <c r="N56" s="250">
        <v>1</v>
      </c>
      <c r="O56" s="250">
        <v>1</v>
      </c>
      <c r="P56" s="250">
        <v>1</v>
      </c>
      <c r="Q56" s="250">
        <v>1</v>
      </c>
      <c r="R56" s="250">
        <v>1</v>
      </c>
      <c r="S56" s="250">
        <v>1</v>
      </c>
      <c r="T56" s="250">
        <v>1</v>
      </c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2">
        <f t="shared" si="7"/>
        <v>8</v>
      </c>
      <c r="AF56" s="116" t="s">
        <v>252</v>
      </c>
      <c r="AG56" s="189" t="s">
        <v>550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249">
        <v>8</v>
      </c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42"/>
      <c r="U57" s="250"/>
      <c r="V57" s="577" t="s">
        <v>292</v>
      </c>
      <c r="W57" s="555"/>
      <c r="X57" s="555"/>
      <c r="Y57" s="555"/>
      <c r="Z57" s="555"/>
      <c r="AA57" s="555"/>
      <c r="AB57" s="555"/>
      <c r="AC57" s="555"/>
      <c r="AD57" s="42"/>
      <c r="AE57" s="252">
        <v>8</v>
      </c>
      <c r="AF57" s="116" t="s">
        <v>218</v>
      </c>
      <c r="AG57" s="189" t="s">
        <v>550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249">
        <v>8</v>
      </c>
      <c r="G58" s="258"/>
      <c r="H58" s="258"/>
      <c r="I58" s="258"/>
      <c r="J58" s="258"/>
      <c r="K58" s="258"/>
      <c r="L58" s="258"/>
      <c r="M58" s="258"/>
      <c r="N58" s="577" t="s">
        <v>292</v>
      </c>
      <c r="O58" s="555"/>
      <c r="P58" s="555"/>
      <c r="Q58" s="555"/>
      <c r="R58" s="555"/>
      <c r="S58" s="555"/>
      <c r="T58" s="555"/>
      <c r="U58" s="555"/>
      <c r="V58" s="250"/>
      <c r="W58" s="42"/>
      <c r="X58" s="42"/>
      <c r="Y58" s="42"/>
      <c r="Z58" s="42"/>
      <c r="AA58" s="42"/>
      <c r="AB58" s="42"/>
      <c r="AC58" s="42"/>
      <c r="AD58" s="258"/>
      <c r="AE58" s="252">
        <v>8</v>
      </c>
      <c r="AF58" s="116" t="s">
        <v>288</v>
      </c>
      <c r="AG58" s="189" t="s">
        <v>550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249">
        <v>12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42"/>
      <c r="Z59" s="259"/>
      <c r="AA59" s="42"/>
      <c r="AB59" s="42"/>
      <c r="AC59" s="42"/>
      <c r="AD59" s="42"/>
      <c r="AE59" s="252">
        <v>12</v>
      </c>
      <c r="AF59" s="111" t="s">
        <v>66</v>
      </c>
      <c r="AG59" s="189" t="s">
        <v>550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136">
        <v>7</v>
      </c>
      <c r="P62" s="143">
        <v>8</v>
      </c>
      <c r="Q62" s="57">
        <v>9</v>
      </c>
      <c r="R62" s="57">
        <v>9</v>
      </c>
      <c r="S62" s="57">
        <v>9</v>
      </c>
      <c r="T62" s="57">
        <v>9</v>
      </c>
      <c r="U62" s="57">
        <v>9</v>
      </c>
      <c r="V62" s="57">
        <v>9</v>
      </c>
      <c r="W62" s="57">
        <v>9</v>
      </c>
      <c r="X62" s="57">
        <v>9</v>
      </c>
      <c r="Y62" s="57">
        <v>9</v>
      </c>
      <c r="Z62" s="136">
        <v>7</v>
      </c>
      <c r="AA62" s="144">
        <v>6</v>
      </c>
      <c r="AB62" s="144">
        <v>6</v>
      </c>
      <c r="AC62" s="234">
        <v>3</v>
      </c>
      <c r="AD62" s="12">
        <v>2</v>
      </c>
      <c r="AE62" s="18">
        <f>SUM(G62:AD62)</f>
        <v>140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8">G65-G62</f>
        <v>0</v>
      </c>
      <c r="H63" s="28">
        <f t="shared" si="8"/>
        <v>0</v>
      </c>
      <c r="I63" s="28">
        <f t="shared" si="8"/>
        <v>0</v>
      </c>
      <c r="J63" s="28">
        <f t="shared" si="8"/>
        <v>0</v>
      </c>
      <c r="K63" s="28">
        <f t="shared" si="8"/>
        <v>0</v>
      </c>
      <c r="L63" s="28">
        <f t="shared" si="8"/>
        <v>0</v>
      </c>
      <c r="M63" s="28">
        <f t="shared" si="8"/>
        <v>0</v>
      </c>
      <c r="N63" s="28">
        <f t="shared" si="8"/>
        <v>0</v>
      </c>
      <c r="O63" s="28">
        <f t="shared" si="8"/>
        <v>0</v>
      </c>
      <c r="P63" s="28">
        <f t="shared" si="8"/>
        <v>0</v>
      </c>
      <c r="Q63" s="28">
        <f t="shared" si="8"/>
        <v>0</v>
      </c>
      <c r="R63" s="28">
        <f t="shared" si="8"/>
        <v>0</v>
      </c>
      <c r="S63" s="28">
        <f t="shared" si="8"/>
        <v>0</v>
      </c>
      <c r="T63" s="28">
        <f t="shared" si="8"/>
        <v>0</v>
      </c>
      <c r="U63" s="28">
        <f t="shared" si="8"/>
        <v>0</v>
      </c>
      <c r="V63" s="28">
        <f t="shared" si="8"/>
        <v>0</v>
      </c>
      <c r="W63" s="28">
        <f t="shared" si="8"/>
        <v>1</v>
      </c>
      <c r="X63" s="28">
        <f t="shared" si="8"/>
        <v>0</v>
      </c>
      <c r="Y63" s="28">
        <f t="shared" si="8"/>
        <v>1</v>
      </c>
      <c r="Z63" s="28">
        <f t="shared" si="8"/>
        <v>0</v>
      </c>
      <c r="AA63" s="28">
        <f t="shared" si="8"/>
        <v>0</v>
      </c>
      <c r="AB63" s="28">
        <f t="shared" si="8"/>
        <v>0</v>
      </c>
      <c r="AC63" s="28">
        <f t="shared" si="8"/>
        <v>0</v>
      </c>
      <c r="AD63" s="28">
        <f t="shared" si="8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9">SUM(G66:G82)</f>
        <v>2</v>
      </c>
      <c r="H65" s="35">
        <f t="shared" si="9"/>
        <v>2</v>
      </c>
      <c r="I65" s="35">
        <f t="shared" si="9"/>
        <v>2</v>
      </c>
      <c r="J65" s="35">
        <f t="shared" si="9"/>
        <v>2</v>
      </c>
      <c r="K65" s="35">
        <f t="shared" si="9"/>
        <v>2</v>
      </c>
      <c r="L65" s="35">
        <f t="shared" si="9"/>
        <v>2</v>
      </c>
      <c r="M65" s="35">
        <f t="shared" si="9"/>
        <v>4</v>
      </c>
      <c r="N65" s="35">
        <f t="shared" si="9"/>
        <v>4</v>
      </c>
      <c r="O65" s="35">
        <f t="shared" si="9"/>
        <v>7</v>
      </c>
      <c r="P65" s="35">
        <f t="shared" si="9"/>
        <v>8</v>
      </c>
      <c r="Q65" s="35">
        <f t="shared" si="9"/>
        <v>9</v>
      </c>
      <c r="R65" s="35">
        <f t="shared" si="9"/>
        <v>9</v>
      </c>
      <c r="S65" s="35">
        <f t="shared" si="9"/>
        <v>9</v>
      </c>
      <c r="T65" s="35">
        <f t="shared" si="9"/>
        <v>9</v>
      </c>
      <c r="U65" s="35">
        <f t="shared" si="9"/>
        <v>9</v>
      </c>
      <c r="V65" s="35">
        <f t="shared" si="9"/>
        <v>9</v>
      </c>
      <c r="W65" s="35">
        <f t="shared" si="9"/>
        <v>10</v>
      </c>
      <c r="X65" s="35">
        <f t="shared" si="9"/>
        <v>9</v>
      </c>
      <c r="Y65" s="35">
        <f t="shared" si="9"/>
        <v>10</v>
      </c>
      <c r="Z65" s="35">
        <f t="shared" si="9"/>
        <v>7</v>
      </c>
      <c r="AA65" s="35">
        <f t="shared" si="9"/>
        <v>6</v>
      </c>
      <c r="AB65" s="35">
        <f t="shared" si="9"/>
        <v>6</v>
      </c>
      <c r="AC65" s="35">
        <f t="shared" si="9"/>
        <v>3</v>
      </c>
      <c r="AD65" s="35">
        <f t="shared" si="9"/>
        <v>2</v>
      </c>
      <c r="AE65" s="30">
        <f t="shared" ref="AE65:AE79" si="10">SUM(G65:AD65)</f>
        <v>142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79" si="11">SUM(G66:AD66)</f>
        <v>10</v>
      </c>
      <c r="G66" s="42"/>
      <c r="H66" s="42"/>
      <c r="I66" s="42"/>
      <c r="J66" s="42"/>
      <c r="K66" s="42"/>
      <c r="L66" s="42"/>
      <c r="M66" s="42"/>
      <c r="N66" s="42"/>
      <c r="O66" s="42">
        <v>1</v>
      </c>
      <c r="P66" s="42">
        <v>1</v>
      </c>
      <c r="Q66" s="42">
        <v>1</v>
      </c>
      <c r="R66" s="42">
        <v>1</v>
      </c>
      <c r="S66" s="42"/>
      <c r="T66" s="42">
        <v>1</v>
      </c>
      <c r="U66" s="42">
        <v>1</v>
      </c>
      <c r="V66" s="42">
        <v>1</v>
      </c>
      <c r="W66" s="42">
        <v>1</v>
      </c>
      <c r="X66" s="42">
        <v>1</v>
      </c>
      <c r="Y66" s="42">
        <v>1</v>
      </c>
      <c r="Z66" s="42"/>
      <c r="AA66" s="42"/>
      <c r="AB66" s="42"/>
      <c r="AC66" s="42"/>
      <c r="AD66" s="42"/>
      <c r="AE66" s="41">
        <f t="shared" si="10"/>
        <v>10</v>
      </c>
      <c r="AF66" s="111" t="s">
        <v>553</v>
      </c>
      <c r="AG66" s="189" t="s">
        <v>550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1"/>
        <v>8</v>
      </c>
      <c r="G67" s="42"/>
      <c r="H67" s="42"/>
      <c r="I67" s="42"/>
      <c r="J67" s="42"/>
      <c r="K67" s="42"/>
      <c r="L67" s="42"/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5" t="s">
        <v>47</v>
      </c>
      <c r="S67" s="45" t="s">
        <v>47</v>
      </c>
      <c r="T67" s="42">
        <v>1</v>
      </c>
      <c r="U67" s="42">
        <v>1</v>
      </c>
      <c r="V67" s="42">
        <v>1</v>
      </c>
      <c r="W67" s="42"/>
      <c r="X67" s="42"/>
      <c r="Y67" s="42"/>
      <c r="Z67" s="42"/>
      <c r="AA67" s="42"/>
      <c r="AB67" s="42"/>
      <c r="AC67" s="42"/>
      <c r="AD67" s="42"/>
      <c r="AE67" s="41">
        <f t="shared" si="10"/>
        <v>8</v>
      </c>
      <c r="AF67" s="111" t="s">
        <v>151</v>
      </c>
      <c r="AG67" s="189" t="s">
        <v>550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1"/>
        <v>7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>
        <v>1</v>
      </c>
      <c r="X68" s="42">
        <v>1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/>
      <c r="AE68" s="41">
        <f t="shared" si="10"/>
        <v>7</v>
      </c>
      <c r="AF68" s="111" t="s">
        <v>226</v>
      </c>
      <c r="AG68" s="189" t="s">
        <v>550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1"/>
        <v>10</v>
      </c>
      <c r="G69" s="42"/>
      <c r="H69" s="42"/>
      <c r="I69" s="42"/>
      <c r="J69" s="42"/>
      <c r="K69" s="42"/>
      <c r="L69" s="42"/>
      <c r="M69" s="42"/>
      <c r="N69" s="42"/>
      <c r="O69" s="42">
        <v>1</v>
      </c>
      <c r="P69" s="42">
        <v>1</v>
      </c>
      <c r="Q69" s="42">
        <v>1</v>
      </c>
      <c r="R69" s="42">
        <v>1</v>
      </c>
      <c r="S69" s="42">
        <v>1</v>
      </c>
      <c r="T69" s="42">
        <v>1</v>
      </c>
      <c r="U69" s="42"/>
      <c r="V69" s="42">
        <v>1</v>
      </c>
      <c r="W69" s="42">
        <v>1</v>
      </c>
      <c r="X69" s="42">
        <v>1</v>
      </c>
      <c r="Y69" s="42">
        <v>1</v>
      </c>
      <c r="Z69" s="42"/>
      <c r="AA69" s="42"/>
      <c r="AB69" s="42"/>
      <c r="AC69" s="42"/>
      <c r="AD69" s="42"/>
      <c r="AE69" s="41">
        <f t="shared" si="10"/>
        <v>10</v>
      </c>
      <c r="AF69" s="111" t="s">
        <v>296</v>
      </c>
      <c r="AG69" s="189" t="s">
        <v>550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199" t="s">
        <v>86</v>
      </c>
      <c r="F70" s="41">
        <f t="shared" si="11"/>
        <v>6</v>
      </c>
      <c r="G70" s="42"/>
      <c r="H70" s="42"/>
      <c r="I70" s="42"/>
      <c r="J70" s="42"/>
      <c r="K70" s="42"/>
      <c r="L70" s="42"/>
      <c r="M70" s="42"/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1">
        <f t="shared" si="10"/>
        <v>6</v>
      </c>
      <c r="AF70" s="111" t="s">
        <v>315</v>
      </c>
      <c r="AG70" s="189" t="s">
        <v>550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1"/>
        <v>7</v>
      </c>
      <c r="G71" s="42"/>
      <c r="H71" s="42"/>
      <c r="I71" s="42"/>
      <c r="J71" s="42"/>
      <c r="K71" s="42"/>
      <c r="L71" s="42"/>
      <c r="M71" s="42">
        <v>1</v>
      </c>
      <c r="N71" s="42">
        <v>1</v>
      </c>
      <c r="O71" s="42">
        <v>1</v>
      </c>
      <c r="P71" s="42">
        <v>1</v>
      </c>
      <c r="Q71" s="42">
        <v>1</v>
      </c>
      <c r="R71" s="45" t="s">
        <v>47</v>
      </c>
      <c r="S71" s="42">
        <v>1</v>
      </c>
      <c r="T71" s="42">
        <v>1</v>
      </c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1">
        <f t="shared" si="10"/>
        <v>7</v>
      </c>
      <c r="AF71" s="111" t="s">
        <v>252</v>
      </c>
      <c r="AG71" s="189" t="s">
        <v>550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1"/>
        <v>10</v>
      </c>
      <c r="G72" s="42">
        <v>1</v>
      </c>
      <c r="H72" s="42">
        <v>1</v>
      </c>
      <c r="I72" s="42">
        <v>1</v>
      </c>
      <c r="J72" s="42">
        <v>1</v>
      </c>
      <c r="K72" s="42">
        <v>1</v>
      </c>
      <c r="L72" s="42">
        <v>1</v>
      </c>
      <c r="M72" s="42">
        <v>1</v>
      </c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>
        <v>1</v>
      </c>
      <c r="AC72" s="42">
        <v>1</v>
      </c>
      <c r="AD72" s="42">
        <v>1</v>
      </c>
      <c r="AE72" s="41">
        <f t="shared" si="10"/>
        <v>10</v>
      </c>
      <c r="AF72" s="111" t="s">
        <v>554</v>
      </c>
      <c r="AG72" s="189" t="s">
        <v>550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1"/>
        <v>10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>
        <v>1</v>
      </c>
      <c r="S73" s="42">
        <v>1</v>
      </c>
      <c r="T73" s="42">
        <v>1</v>
      </c>
      <c r="U73" s="42">
        <v>1</v>
      </c>
      <c r="V73" s="42">
        <v>1</v>
      </c>
      <c r="W73" s="42">
        <v>1</v>
      </c>
      <c r="X73" s="42"/>
      <c r="Y73" s="42">
        <v>1</v>
      </c>
      <c r="Z73" s="42">
        <v>1</v>
      </c>
      <c r="AA73" s="42">
        <v>1</v>
      </c>
      <c r="AB73" s="42">
        <v>1</v>
      </c>
      <c r="AC73" s="42"/>
      <c r="AD73" s="42"/>
      <c r="AE73" s="41">
        <f t="shared" si="10"/>
        <v>10</v>
      </c>
      <c r="AF73" s="111" t="s">
        <v>555</v>
      </c>
      <c r="AG73" s="189" t="s">
        <v>550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1"/>
        <v>10</v>
      </c>
      <c r="G74" s="42">
        <v>1</v>
      </c>
      <c r="H74" s="42">
        <v>1</v>
      </c>
      <c r="I74" s="42">
        <v>1</v>
      </c>
      <c r="J74" s="42">
        <v>1</v>
      </c>
      <c r="K74" s="42">
        <v>1</v>
      </c>
      <c r="L74" s="42">
        <v>1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>
        <v>1</v>
      </c>
      <c r="AB74" s="42">
        <v>1</v>
      </c>
      <c r="AC74" s="42">
        <v>1</v>
      </c>
      <c r="AD74" s="42">
        <v>1</v>
      </c>
      <c r="AE74" s="41">
        <f t="shared" si="10"/>
        <v>10</v>
      </c>
      <c r="AF74" s="111" t="s">
        <v>556</v>
      </c>
      <c r="AG74" s="189" t="s">
        <v>550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1"/>
        <v>8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>
        <v>1</v>
      </c>
      <c r="V75" s="42">
        <v>1</v>
      </c>
      <c r="W75" s="42">
        <v>1</v>
      </c>
      <c r="X75" s="42">
        <v>1</v>
      </c>
      <c r="Y75" s="42">
        <v>1</v>
      </c>
      <c r="Z75" s="42">
        <v>1</v>
      </c>
      <c r="AA75" s="42">
        <v>1</v>
      </c>
      <c r="AB75" s="42">
        <v>1</v>
      </c>
      <c r="AC75" s="42"/>
      <c r="AD75" s="42"/>
      <c r="AE75" s="101">
        <f t="shared" si="10"/>
        <v>8</v>
      </c>
      <c r="AF75" s="111" t="s">
        <v>78</v>
      </c>
      <c r="AG75" s="189" t="s">
        <v>550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1"/>
        <v>10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>
        <v>1</v>
      </c>
      <c r="R76" s="42">
        <v>1</v>
      </c>
      <c r="S76" s="42">
        <v>1</v>
      </c>
      <c r="T76" s="42"/>
      <c r="U76" s="42">
        <v>1</v>
      </c>
      <c r="V76" s="42">
        <v>1</v>
      </c>
      <c r="W76" s="42">
        <v>1</v>
      </c>
      <c r="X76" s="42">
        <v>1</v>
      </c>
      <c r="Y76" s="42">
        <v>1</v>
      </c>
      <c r="Z76" s="42">
        <v>1</v>
      </c>
      <c r="AA76" s="42">
        <v>1</v>
      </c>
      <c r="AB76" s="42"/>
      <c r="AC76" s="42"/>
      <c r="AD76" s="42"/>
      <c r="AE76" s="41">
        <f t="shared" si="10"/>
        <v>10</v>
      </c>
      <c r="AF76" s="111" t="s">
        <v>194</v>
      </c>
      <c r="AG76" s="189" t="s">
        <v>550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1"/>
        <v>9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>
        <v>1</v>
      </c>
      <c r="U77" s="42">
        <v>1</v>
      </c>
      <c r="V77" s="42">
        <v>1</v>
      </c>
      <c r="W77" s="42">
        <v>1</v>
      </c>
      <c r="X77" s="42">
        <v>1</v>
      </c>
      <c r="Y77" s="42">
        <v>1</v>
      </c>
      <c r="Z77" s="42">
        <v>1</v>
      </c>
      <c r="AA77" s="42">
        <v>1</v>
      </c>
      <c r="AB77" s="42">
        <v>1</v>
      </c>
      <c r="AC77" s="42"/>
      <c r="AD77" s="42"/>
      <c r="AE77" s="41">
        <f t="shared" si="10"/>
        <v>9</v>
      </c>
      <c r="AF77" s="111" t="s">
        <v>255</v>
      </c>
      <c r="AG77" s="189" t="s">
        <v>550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1"/>
        <v>8</v>
      </c>
      <c r="G78" s="42"/>
      <c r="H78" s="42"/>
      <c r="I78" s="42"/>
      <c r="J78" s="42"/>
      <c r="K78" s="42"/>
      <c r="L78" s="42"/>
      <c r="M78" s="42">
        <v>1</v>
      </c>
      <c r="N78" s="42">
        <v>1</v>
      </c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>
        <v>1</v>
      </c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1">
        <f t="shared" si="10"/>
        <v>8</v>
      </c>
      <c r="AF78" s="111" t="s">
        <v>252</v>
      </c>
      <c r="AG78" s="189" t="s">
        <v>550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1"/>
        <v>10</v>
      </c>
      <c r="G79" s="102"/>
      <c r="H79" s="102"/>
      <c r="I79" s="102"/>
      <c r="J79" s="102"/>
      <c r="K79" s="102"/>
      <c r="L79" s="102"/>
      <c r="M79" s="102"/>
      <c r="N79" s="102"/>
      <c r="O79" s="102">
        <v>1</v>
      </c>
      <c r="P79" s="102">
        <v>1</v>
      </c>
      <c r="Q79" s="102">
        <v>1</v>
      </c>
      <c r="R79" s="102">
        <v>1</v>
      </c>
      <c r="S79" s="102">
        <v>1</v>
      </c>
      <c r="T79" s="102">
        <v>1</v>
      </c>
      <c r="U79" s="102">
        <v>1</v>
      </c>
      <c r="V79" s="102"/>
      <c r="W79" s="42">
        <v>1</v>
      </c>
      <c r="X79" s="102">
        <v>1</v>
      </c>
      <c r="Y79" s="129">
        <v>1</v>
      </c>
      <c r="Z79" s="102"/>
      <c r="AA79" s="102"/>
      <c r="AB79" s="102"/>
      <c r="AC79" s="102"/>
      <c r="AD79" s="42"/>
      <c r="AE79" s="41">
        <f t="shared" si="10"/>
        <v>10</v>
      </c>
      <c r="AF79" s="111" t="s">
        <v>546</v>
      </c>
      <c r="AG79" s="189" t="s">
        <v>550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262" t="s">
        <v>174</v>
      </c>
      <c r="F80" s="101">
        <v>8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583" t="s">
        <v>209</v>
      </c>
      <c r="W80" s="555"/>
      <c r="X80" s="555"/>
      <c r="Y80" s="555"/>
      <c r="Z80" s="555"/>
      <c r="AA80" s="555"/>
      <c r="AB80" s="555"/>
      <c r="AC80" s="542"/>
      <c r="AD80" s="77"/>
      <c r="AE80" s="41">
        <v>8</v>
      </c>
      <c r="AF80" s="111" t="s">
        <v>218</v>
      </c>
      <c r="AG80" s="189" t="s">
        <v>550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ref="F81:F82" si="12">SUM(G81:AD81)</f>
        <v>9</v>
      </c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>
        <v>1</v>
      </c>
      <c r="S81" s="102">
        <v>1</v>
      </c>
      <c r="T81" s="102">
        <v>1</v>
      </c>
      <c r="U81" s="102">
        <v>1</v>
      </c>
      <c r="V81" s="102">
        <v>1</v>
      </c>
      <c r="W81" s="42">
        <v>1</v>
      </c>
      <c r="X81" s="102">
        <v>1</v>
      </c>
      <c r="Y81" s="102">
        <v>1</v>
      </c>
      <c r="Z81" s="102">
        <v>1</v>
      </c>
      <c r="AA81" s="102"/>
      <c r="AB81" s="102"/>
      <c r="AC81" s="102"/>
      <c r="AD81" s="77"/>
      <c r="AE81" s="41">
        <f t="shared" ref="AE81:AE82" si="13">SUM(G81:AD81)</f>
        <v>9</v>
      </c>
      <c r="AF81" s="111" t="s">
        <v>254</v>
      </c>
      <c r="AG81" s="189" t="s">
        <v>550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12"/>
        <v>10</v>
      </c>
      <c r="G82" s="42"/>
      <c r="H82" s="42"/>
      <c r="I82" s="42"/>
      <c r="J82" s="42"/>
      <c r="K82" s="42"/>
      <c r="L82" s="42"/>
      <c r="M82" s="42"/>
      <c r="N82" s="42"/>
      <c r="O82" s="42"/>
      <c r="P82" s="42">
        <v>1</v>
      </c>
      <c r="Q82" s="42">
        <v>1</v>
      </c>
      <c r="R82" s="42">
        <v>1</v>
      </c>
      <c r="S82" s="42">
        <v>1</v>
      </c>
      <c r="T82" s="42"/>
      <c r="U82" s="42">
        <v>1</v>
      </c>
      <c r="V82" s="42">
        <v>1</v>
      </c>
      <c r="W82" s="42">
        <v>1</v>
      </c>
      <c r="X82" s="42">
        <v>1</v>
      </c>
      <c r="Y82" s="42">
        <v>1</v>
      </c>
      <c r="Z82" s="42">
        <v>1</v>
      </c>
      <c r="AA82" s="42"/>
      <c r="AB82" s="42"/>
      <c r="AC82" s="42"/>
      <c r="AD82" s="42"/>
      <c r="AE82" s="41">
        <f t="shared" si="13"/>
        <v>10</v>
      </c>
      <c r="AF82" s="111" t="s">
        <v>206</v>
      </c>
      <c r="AG82" s="189" t="s">
        <v>550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D6F95600-F5D2-44BC-80B6-0F2773D5BD92}" filter="1" showAutoFilter="1">
      <pageMargins left="0.7" right="0.7" top="0.75" bottom="0.75" header="0.3" footer="0.3"/>
      <autoFilter ref="A3:AG84" xr:uid="{7E498059-92A1-4466-986B-16E763AB7C00}"/>
    </customSheetView>
    <customSheetView guid="{833D6734-F5E1-4449-B5A1-8C3A51A61651}" filter="1" showAutoFilter="1">
      <pageMargins left="0.7" right="0.7" top="0.75" bottom="0.75" header="0.3" footer="0.3"/>
      <autoFilter ref="A7:AG84" xr:uid="{2DA761B1-077E-4531-BEB7-B501017045E4}">
        <filterColumn colId="26">
          <filters>
            <filter val="-"/>
            <filter val="1"/>
            <filter val="6"/>
            <filter val="CLIENTES VIP"/>
            <filter val="FI"/>
            <filter val="MONITOREOS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4" xr:uid="{26104B2E-C1EA-4B80-B349-1DC7872FE8C4}">
        <filterColumn colId="15">
          <filters>
            <filter val="-"/>
            <filter val="1"/>
            <filter val="23"/>
            <filter val="9"/>
            <filter val="CLIENTES VIP"/>
            <filter val="FI"/>
            <filter val="MONITOREOS"/>
            <filter val="SEGUIMIENTO TRANSFERENCIAS"/>
            <filter val="SOPORTE DTH"/>
          </filters>
        </filterColumn>
      </autoFilter>
    </customSheetView>
  </customSheetViews>
  <mergeCells count="14">
    <mergeCell ref="E62:F62"/>
    <mergeCell ref="V80:AC80"/>
    <mergeCell ref="A1:B1"/>
    <mergeCell ref="D3:AE3"/>
    <mergeCell ref="E4:F4"/>
    <mergeCell ref="E5:F5"/>
    <mergeCell ref="P20:Z20"/>
    <mergeCell ref="V38:AC38"/>
    <mergeCell ref="V39:AC39"/>
    <mergeCell ref="V40:AC40"/>
    <mergeCell ref="N42:U42"/>
    <mergeCell ref="V57:AC57"/>
    <mergeCell ref="N58:U58"/>
    <mergeCell ref="O59:Y59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G84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13">
        <v>11</v>
      </c>
      <c r="N4" s="150">
        <v>14</v>
      </c>
      <c r="O4" s="83">
        <v>17</v>
      </c>
      <c r="P4" s="80">
        <v>21</v>
      </c>
      <c r="Q4" s="119">
        <v>24</v>
      </c>
      <c r="R4" s="119">
        <v>24</v>
      </c>
      <c r="S4" s="80">
        <v>21</v>
      </c>
      <c r="T4" s="80">
        <v>21</v>
      </c>
      <c r="U4" s="80">
        <v>21</v>
      </c>
      <c r="V4" s="80">
        <v>21</v>
      </c>
      <c r="W4" s="80">
        <v>21</v>
      </c>
      <c r="X4" s="80">
        <v>21</v>
      </c>
      <c r="Y4" s="149">
        <v>19</v>
      </c>
      <c r="Z4" s="83">
        <v>17</v>
      </c>
      <c r="AA4" s="150">
        <v>14</v>
      </c>
      <c r="AB4" s="94">
        <v>10</v>
      </c>
      <c r="AC4" s="225">
        <v>8</v>
      </c>
      <c r="AD4" s="11">
        <v>4</v>
      </c>
      <c r="AE4" s="18">
        <f>SUM(G4:AD4)</f>
        <v>328</v>
      </c>
      <c r="AF4" s="3"/>
      <c r="AG4" s="3"/>
    </row>
    <row r="5" spans="1:33" ht="62.25">
      <c r="A5" s="3"/>
      <c r="B5" s="2"/>
      <c r="C5" s="2"/>
      <c r="D5" s="19"/>
      <c r="E5" s="569">
        <v>7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1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84">
        <f t="shared" si="0"/>
        <v>1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9" si="1">SUM(G6:AD6)</f>
        <v>2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SUM(G8:G59)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11</v>
      </c>
      <c r="N7" s="35">
        <f t="shared" si="2"/>
        <v>14</v>
      </c>
      <c r="O7" s="35">
        <f t="shared" si="2"/>
        <v>17</v>
      </c>
      <c r="P7" s="35">
        <f t="shared" si="2"/>
        <v>21</v>
      </c>
      <c r="Q7" s="35">
        <f t="shared" si="2"/>
        <v>24</v>
      </c>
      <c r="R7" s="35">
        <f t="shared" si="2"/>
        <v>24</v>
      </c>
      <c r="S7" s="35">
        <f t="shared" si="2"/>
        <v>21</v>
      </c>
      <c r="T7" s="35">
        <f t="shared" si="2"/>
        <v>21</v>
      </c>
      <c r="U7" s="35">
        <f t="shared" si="2"/>
        <v>22</v>
      </c>
      <c r="V7" s="35">
        <f t="shared" si="2"/>
        <v>21</v>
      </c>
      <c r="W7" s="35">
        <f t="shared" si="2"/>
        <v>21</v>
      </c>
      <c r="X7" s="35">
        <f t="shared" si="2"/>
        <v>21</v>
      </c>
      <c r="Y7" s="35">
        <f t="shared" si="2"/>
        <v>20</v>
      </c>
      <c r="Z7" s="35">
        <f t="shared" si="2"/>
        <v>17</v>
      </c>
      <c r="AA7" s="35">
        <f t="shared" si="2"/>
        <v>14</v>
      </c>
      <c r="AB7" s="35">
        <f t="shared" si="2"/>
        <v>10</v>
      </c>
      <c r="AC7" s="35">
        <f t="shared" si="2"/>
        <v>8</v>
      </c>
      <c r="AD7" s="35">
        <f t="shared" si="2"/>
        <v>4</v>
      </c>
      <c r="AE7" s="30">
        <f t="shared" si="1"/>
        <v>330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145" t="s">
        <v>46</v>
      </c>
      <c r="F8" s="249">
        <f t="shared" ref="F8:F19" si="3">SUM(G8:AD8)</f>
        <v>8</v>
      </c>
      <c r="G8" s="250"/>
      <c r="H8" s="250"/>
      <c r="I8" s="250"/>
      <c r="J8" s="250"/>
      <c r="K8" s="250"/>
      <c r="L8" s="250"/>
      <c r="M8" s="250">
        <v>1</v>
      </c>
      <c r="N8" s="250">
        <v>1</v>
      </c>
      <c r="O8" s="250">
        <v>1</v>
      </c>
      <c r="P8" s="250">
        <v>1</v>
      </c>
      <c r="Q8" s="250">
        <v>1</v>
      </c>
      <c r="R8" s="250">
        <v>1</v>
      </c>
      <c r="S8" s="250">
        <v>1</v>
      </c>
      <c r="T8" s="250">
        <v>1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2">
        <f t="shared" si="1"/>
        <v>8</v>
      </c>
      <c r="AF8" s="116" t="s">
        <v>252</v>
      </c>
      <c r="AG8" s="189" t="s">
        <v>558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45" t="s">
        <v>53</v>
      </c>
      <c r="F9" s="249">
        <f t="shared" si="3"/>
        <v>9</v>
      </c>
      <c r="G9" s="250">
        <v>1</v>
      </c>
      <c r="H9" s="250">
        <v>1</v>
      </c>
      <c r="I9" s="250">
        <v>1</v>
      </c>
      <c r="J9" s="250">
        <v>1</v>
      </c>
      <c r="K9" s="250">
        <v>1</v>
      </c>
      <c r="L9" s="250">
        <v>1</v>
      </c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>
        <v>1</v>
      </c>
      <c r="AC9" s="250">
        <v>1</v>
      </c>
      <c r="AD9" s="250">
        <v>1</v>
      </c>
      <c r="AE9" s="252">
        <f t="shared" si="1"/>
        <v>9</v>
      </c>
      <c r="AF9" s="111" t="s">
        <v>559</v>
      </c>
      <c r="AG9" s="189" t="s">
        <v>558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45" t="s">
        <v>56</v>
      </c>
      <c r="F10" s="249">
        <f t="shared" si="3"/>
        <v>7</v>
      </c>
      <c r="G10" s="250"/>
      <c r="H10" s="250"/>
      <c r="I10" s="250"/>
      <c r="J10" s="250"/>
      <c r="K10" s="250"/>
      <c r="L10" s="250"/>
      <c r="M10" s="250"/>
      <c r="N10" s="250"/>
      <c r="O10" s="250"/>
      <c r="P10" s="250">
        <v>1</v>
      </c>
      <c r="Q10" s="250">
        <v>1</v>
      </c>
      <c r="R10" s="250">
        <v>1</v>
      </c>
      <c r="S10" s="250">
        <v>1</v>
      </c>
      <c r="T10" s="250"/>
      <c r="U10" s="250">
        <v>1</v>
      </c>
      <c r="V10" s="250">
        <v>1</v>
      </c>
      <c r="W10" s="250">
        <v>1</v>
      </c>
      <c r="X10" s="250"/>
      <c r="Y10" s="250"/>
      <c r="Z10" s="250"/>
      <c r="AA10" s="250"/>
      <c r="AB10" s="250"/>
      <c r="AC10" s="250"/>
      <c r="AD10" s="250"/>
      <c r="AE10" s="252">
        <f t="shared" si="1"/>
        <v>7</v>
      </c>
      <c r="AF10" s="116" t="s">
        <v>560</v>
      </c>
      <c r="AG10" s="189" t="s">
        <v>558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249">
        <f t="shared" si="3"/>
        <v>8</v>
      </c>
      <c r="G11" s="250"/>
      <c r="H11" s="250"/>
      <c r="I11" s="250"/>
      <c r="J11" s="250"/>
      <c r="K11" s="250"/>
      <c r="L11" s="250"/>
      <c r="M11" s="250">
        <v>1</v>
      </c>
      <c r="N11" s="250">
        <v>1</v>
      </c>
      <c r="O11" s="250">
        <v>1</v>
      </c>
      <c r="P11" s="250">
        <v>1</v>
      </c>
      <c r="Q11" s="250">
        <v>1</v>
      </c>
      <c r="R11" s="250">
        <v>1</v>
      </c>
      <c r="S11" s="250"/>
      <c r="T11" s="250">
        <v>1</v>
      </c>
      <c r="U11" s="250">
        <v>1</v>
      </c>
      <c r="V11" s="250"/>
      <c r="W11" s="250"/>
      <c r="X11" s="250"/>
      <c r="Y11" s="250"/>
      <c r="Z11" s="250"/>
      <c r="AA11" s="250"/>
      <c r="AB11" s="250"/>
      <c r="AC11" s="250"/>
      <c r="AD11" s="250"/>
      <c r="AE11" s="252">
        <f t="shared" si="1"/>
        <v>8</v>
      </c>
      <c r="AF11" s="116" t="s">
        <v>271</v>
      </c>
      <c r="AG11" s="189" t="s">
        <v>558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45" t="s">
        <v>147</v>
      </c>
      <c r="F12" s="249">
        <f t="shared" si="3"/>
        <v>7</v>
      </c>
      <c r="G12" s="250"/>
      <c r="H12" s="250"/>
      <c r="I12" s="250"/>
      <c r="J12" s="250"/>
      <c r="K12" s="250"/>
      <c r="L12" s="250"/>
      <c r="M12" s="250">
        <v>1</v>
      </c>
      <c r="N12" s="250">
        <v>1</v>
      </c>
      <c r="O12" s="250">
        <v>1</v>
      </c>
      <c r="P12" s="250">
        <v>1</v>
      </c>
      <c r="Q12" s="250">
        <v>1</v>
      </c>
      <c r="R12" s="250"/>
      <c r="S12" s="250">
        <v>1</v>
      </c>
      <c r="T12" s="250">
        <v>1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2">
        <f t="shared" si="1"/>
        <v>7</v>
      </c>
      <c r="AF12" s="116" t="s">
        <v>561</v>
      </c>
      <c r="AG12" s="189" t="s">
        <v>558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53" t="s">
        <v>60</v>
      </c>
      <c r="F13" s="249">
        <f t="shared" si="3"/>
        <v>8</v>
      </c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>
        <v>1</v>
      </c>
      <c r="W13" s="250">
        <v>1</v>
      </c>
      <c r="X13" s="250">
        <v>1</v>
      </c>
      <c r="Y13" s="250">
        <v>1</v>
      </c>
      <c r="Z13" s="250">
        <v>1</v>
      </c>
      <c r="AA13" s="250">
        <v>1</v>
      </c>
      <c r="AB13" s="250">
        <v>1</v>
      </c>
      <c r="AC13" s="250">
        <v>1</v>
      </c>
      <c r="AD13" s="250"/>
      <c r="AE13" s="252">
        <f t="shared" si="1"/>
        <v>8</v>
      </c>
      <c r="AF13" s="116" t="s">
        <v>218</v>
      </c>
      <c r="AG13" s="189" t="s">
        <v>558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53" t="s">
        <v>63</v>
      </c>
      <c r="F14" s="249">
        <f t="shared" si="3"/>
        <v>8</v>
      </c>
      <c r="G14" s="250"/>
      <c r="H14" s="250"/>
      <c r="I14" s="250"/>
      <c r="J14" s="250"/>
      <c r="K14" s="250"/>
      <c r="L14" s="250"/>
      <c r="M14" s="250">
        <v>1</v>
      </c>
      <c r="N14" s="250">
        <v>1</v>
      </c>
      <c r="O14" s="250">
        <v>1</v>
      </c>
      <c r="P14" s="250">
        <v>1</v>
      </c>
      <c r="Q14" s="250">
        <v>1</v>
      </c>
      <c r="R14" s="250">
        <v>1</v>
      </c>
      <c r="S14" s="250">
        <v>1</v>
      </c>
      <c r="T14" s="250">
        <v>1</v>
      </c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2">
        <f t="shared" si="1"/>
        <v>8</v>
      </c>
      <c r="AF14" s="116" t="s">
        <v>252</v>
      </c>
      <c r="AG14" s="189" t="s">
        <v>558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53" t="s">
        <v>65</v>
      </c>
      <c r="F15" s="249">
        <f t="shared" si="3"/>
        <v>8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0"/>
      <c r="V15" s="250">
        <v>1</v>
      </c>
      <c r="W15" s="250">
        <v>1</v>
      </c>
      <c r="X15" s="250">
        <v>1</v>
      </c>
      <c r="Y15" s="250"/>
      <c r="Z15" s="250"/>
      <c r="AA15" s="250"/>
      <c r="AB15" s="250"/>
      <c r="AC15" s="250"/>
      <c r="AD15" s="250"/>
      <c r="AE15" s="252">
        <f t="shared" si="1"/>
        <v>8</v>
      </c>
      <c r="AF15" s="111" t="s">
        <v>215</v>
      </c>
      <c r="AG15" s="189" t="s">
        <v>558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45" t="s">
        <v>71</v>
      </c>
      <c r="F16" s="249">
        <f t="shared" si="3"/>
        <v>8</v>
      </c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>
        <v>1</v>
      </c>
      <c r="R16" s="250">
        <v>1</v>
      </c>
      <c r="S16" s="250">
        <v>1</v>
      </c>
      <c r="T16" s="250">
        <v>1</v>
      </c>
      <c r="U16" s="250"/>
      <c r="V16" s="250">
        <v>1</v>
      </c>
      <c r="W16" s="250">
        <v>1</v>
      </c>
      <c r="X16" s="250">
        <v>1</v>
      </c>
      <c r="Y16" s="250">
        <v>1</v>
      </c>
      <c r="Z16" s="250"/>
      <c r="AA16" s="250"/>
      <c r="AB16" s="250"/>
      <c r="AC16" s="250"/>
      <c r="AD16" s="250"/>
      <c r="AE16" s="252">
        <f t="shared" si="1"/>
        <v>8</v>
      </c>
      <c r="AF16" s="116" t="s">
        <v>520</v>
      </c>
      <c r="AG16" s="189" t="s">
        <v>558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145" t="s">
        <v>73</v>
      </c>
      <c r="F17" s="249">
        <f t="shared" si="3"/>
        <v>8</v>
      </c>
      <c r="G17" s="250"/>
      <c r="H17" s="250"/>
      <c r="I17" s="250"/>
      <c r="J17" s="250"/>
      <c r="K17" s="250"/>
      <c r="L17" s="250"/>
      <c r="M17" s="250">
        <v>1</v>
      </c>
      <c r="N17" s="250">
        <v>1</v>
      </c>
      <c r="O17" s="250">
        <v>1</v>
      </c>
      <c r="P17" s="250">
        <v>1</v>
      </c>
      <c r="Q17" s="250">
        <v>1</v>
      </c>
      <c r="R17" s="250">
        <v>1</v>
      </c>
      <c r="S17" s="250"/>
      <c r="T17" s="250">
        <v>1</v>
      </c>
      <c r="U17" s="250">
        <v>1</v>
      </c>
      <c r="V17" s="250"/>
      <c r="W17" s="250"/>
      <c r="X17" s="250"/>
      <c r="Y17" s="250"/>
      <c r="Z17" s="250"/>
      <c r="AA17" s="250"/>
      <c r="AB17" s="250"/>
      <c r="AC17" s="250"/>
      <c r="AD17" s="250"/>
      <c r="AE17" s="252">
        <f t="shared" si="1"/>
        <v>8</v>
      </c>
      <c r="AF17" s="111" t="s">
        <v>271</v>
      </c>
      <c r="AG17" s="189" t="s">
        <v>558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145" t="s">
        <v>80</v>
      </c>
      <c r="F18" s="249">
        <f t="shared" si="3"/>
        <v>7</v>
      </c>
      <c r="G18" s="250">
        <v>1</v>
      </c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>
        <v>1</v>
      </c>
      <c r="Y18" s="255">
        <v>1</v>
      </c>
      <c r="Z18" s="250">
        <v>1</v>
      </c>
      <c r="AA18" s="250">
        <v>1</v>
      </c>
      <c r="AB18" s="250">
        <v>1</v>
      </c>
      <c r="AC18" s="250">
        <v>1</v>
      </c>
      <c r="AD18" s="250"/>
      <c r="AE18" s="252">
        <f t="shared" si="1"/>
        <v>7</v>
      </c>
      <c r="AF18" s="111" t="s">
        <v>278</v>
      </c>
      <c r="AG18" s="189" t="s">
        <v>558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45" t="s">
        <v>83</v>
      </c>
      <c r="F19" s="249">
        <f t="shared" si="3"/>
        <v>9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>
        <v>1</v>
      </c>
      <c r="Q19" s="250">
        <v>1</v>
      </c>
      <c r="R19" s="250">
        <v>1</v>
      </c>
      <c r="S19" s="250">
        <v>1</v>
      </c>
      <c r="T19" s="250"/>
      <c r="U19" s="250">
        <v>1</v>
      </c>
      <c r="V19" s="250">
        <v>1</v>
      </c>
      <c r="W19" s="250">
        <v>1</v>
      </c>
      <c r="X19" s="250">
        <v>1</v>
      </c>
      <c r="Y19" s="250">
        <v>1</v>
      </c>
      <c r="Z19" s="250"/>
      <c r="AA19" s="250"/>
      <c r="AB19" s="250"/>
      <c r="AC19" s="250"/>
      <c r="AD19" s="250"/>
      <c r="AE19" s="252">
        <f t="shared" si="1"/>
        <v>9</v>
      </c>
      <c r="AF19" s="116" t="s">
        <v>415</v>
      </c>
      <c r="AG19" s="189" t="s">
        <v>558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249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579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42"/>
      <c r="AA20" s="77"/>
      <c r="AB20" s="77"/>
      <c r="AC20" s="42"/>
      <c r="AD20" s="42"/>
      <c r="AE20" s="252">
        <v>11</v>
      </c>
      <c r="AF20" s="116" t="s">
        <v>164</v>
      </c>
      <c r="AG20" s="189" t="s">
        <v>558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45" t="s">
        <v>91</v>
      </c>
      <c r="F21" s="249">
        <f t="shared" ref="F21:F56" si="4">SUM(G21:AD21)</f>
        <v>8</v>
      </c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>
        <v>1</v>
      </c>
      <c r="U21" s="250">
        <v>1</v>
      </c>
      <c r="V21" s="250"/>
      <c r="W21" s="250">
        <v>1</v>
      </c>
      <c r="X21" s="250">
        <v>1</v>
      </c>
      <c r="Y21" s="250">
        <v>1</v>
      </c>
      <c r="Z21" s="250">
        <v>1</v>
      </c>
      <c r="AA21" s="250">
        <v>1</v>
      </c>
      <c r="AB21" s="250">
        <v>1</v>
      </c>
      <c r="AC21" s="250"/>
      <c r="AD21" s="250"/>
      <c r="AE21" s="252">
        <f t="shared" ref="AE21:AE38" si="5">SUM(G21:AD21)</f>
        <v>8</v>
      </c>
      <c r="AF21" s="116" t="s">
        <v>562</v>
      </c>
      <c r="AG21" s="189" t="s">
        <v>558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53" t="s">
        <v>93</v>
      </c>
      <c r="F22" s="249">
        <f t="shared" si="4"/>
        <v>7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>
        <v>1</v>
      </c>
      <c r="Q22" s="250">
        <v>1</v>
      </c>
      <c r="R22" s="250">
        <v>1</v>
      </c>
      <c r="S22" s="250">
        <v>1</v>
      </c>
      <c r="T22" s="250">
        <v>1</v>
      </c>
      <c r="U22" s="250">
        <v>1</v>
      </c>
      <c r="V22" s="250">
        <v>1</v>
      </c>
      <c r="W22" s="250"/>
      <c r="X22" s="250"/>
      <c r="Y22" s="250"/>
      <c r="Z22" s="250"/>
      <c r="AA22" s="250"/>
      <c r="AB22" s="250"/>
      <c r="AC22" s="250"/>
      <c r="AD22" s="250"/>
      <c r="AE22" s="252">
        <f t="shared" si="5"/>
        <v>7</v>
      </c>
      <c r="AF22" s="116" t="s">
        <v>285</v>
      </c>
      <c r="AG22" s="189" t="s">
        <v>558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53" t="s">
        <v>95</v>
      </c>
      <c r="F23" s="249">
        <f t="shared" si="4"/>
        <v>7</v>
      </c>
      <c r="G23" s="250"/>
      <c r="H23" s="250"/>
      <c r="I23" s="250"/>
      <c r="J23" s="250"/>
      <c r="K23" s="250"/>
      <c r="L23" s="250"/>
      <c r="M23" s="250"/>
      <c r="N23" s="250"/>
      <c r="O23" s="250">
        <v>1</v>
      </c>
      <c r="P23" s="250">
        <v>1</v>
      </c>
      <c r="Q23" s="250">
        <v>1</v>
      </c>
      <c r="R23" s="250">
        <v>1</v>
      </c>
      <c r="S23" s="250"/>
      <c r="T23" s="250">
        <v>1</v>
      </c>
      <c r="U23" s="250">
        <v>1</v>
      </c>
      <c r="V23" s="250">
        <v>1</v>
      </c>
      <c r="W23" s="250"/>
      <c r="X23" s="250"/>
      <c r="Y23" s="250"/>
      <c r="Z23" s="250"/>
      <c r="AA23" s="250"/>
      <c r="AB23" s="250"/>
      <c r="AC23" s="250"/>
      <c r="AD23" s="250"/>
      <c r="AE23" s="252">
        <f t="shared" si="5"/>
        <v>7</v>
      </c>
      <c r="AF23" s="116" t="s">
        <v>563</v>
      </c>
      <c r="AG23" s="189" t="s">
        <v>558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53" t="s">
        <v>99</v>
      </c>
      <c r="F24" s="249">
        <f t="shared" si="4"/>
        <v>8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>
        <v>1</v>
      </c>
      <c r="AC24" s="250">
        <v>1</v>
      </c>
      <c r="AD24" s="250"/>
      <c r="AE24" s="252">
        <f t="shared" si="5"/>
        <v>8</v>
      </c>
      <c r="AF24" s="116" t="s">
        <v>218</v>
      </c>
      <c r="AG24" s="189" t="s">
        <v>558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53" t="s">
        <v>102</v>
      </c>
      <c r="F25" s="249">
        <f t="shared" si="4"/>
        <v>8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>
        <v>1</v>
      </c>
      <c r="S25" s="250">
        <v>1</v>
      </c>
      <c r="T25" s="250">
        <v>1</v>
      </c>
      <c r="U25" s="250"/>
      <c r="V25" s="250">
        <v>1</v>
      </c>
      <c r="W25" s="250">
        <v>1</v>
      </c>
      <c r="X25" s="250">
        <v>1</v>
      </c>
      <c r="Y25" s="250">
        <v>1</v>
      </c>
      <c r="Z25" s="250">
        <v>1</v>
      </c>
      <c r="AA25" s="250"/>
      <c r="AB25" s="250"/>
      <c r="AC25" s="250"/>
      <c r="AD25" s="250"/>
      <c r="AE25" s="252">
        <f t="shared" si="5"/>
        <v>8</v>
      </c>
      <c r="AF25" s="116" t="s">
        <v>266</v>
      </c>
      <c r="AG25" s="189" t="s">
        <v>558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53" t="s">
        <v>104</v>
      </c>
      <c r="F26" s="249">
        <f t="shared" si="4"/>
        <v>8</v>
      </c>
      <c r="G26" s="250"/>
      <c r="H26" s="250"/>
      <c r="I26" s="250"/>
      <c r="J26" s="250"/>
      <c r="K26" s="250"/>
      <c r="L26" s="250"/>
      <c r="M26" s="250">
        <v>1</v>
      </c>
      <c r="N26" s="250">
        <v>1</v>
      </c>
      <c r="O26" s="250">
        <v>1</v>
      </c>
      <c r="P26" s="250">
        <v>1</v>
      </c>
      <c r="Q26" s="250">
        <v>1</v>
      </c>
      <c r="R26" s="250">
        <v>1</v>
      </c>
      <c r="S26" s="250">
        <v>1</v>
      </c>
      <c r="T26" s="250">
        <v>1</v>
      </c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2">
        <f t="shared" si="5"/>
        <v>8</v>
      </c>
      <c r="AF26" s="116" t="s">
        <v>252</v>
      </c>
      <c r="AG26" s="189" t="s">
        <v>558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53" t="s">
        <v>333</v>
      </c>
      <c r="F27" s="249">
        <f t="shared" si="4"/>
        <v>6</v>
      </c>
      <c r="G27" s="250"/>
      <c r="H27" s="250"/>
      <c r="I27" s="250"/>
      <c r="J27" s="250"/>
      <c r="K27" s="250"/>
      <c r="L27" s="250"/>
      <c r="M27" s="250"/>
      <c r="N27" s="250">
        <v>1</v>
      </c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2">
        <f t="shared" si="5"/>
        <v>6</v>
      </c>
      <c r="AF27" s="116" t="s">
        <v>315</v>
      </c>
      <c r="AG27" s="189" t="s">
        <v>558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53" t="s">
        <v>172</v>
      </c>
      <c r="F28" s="249">
        <f t="shared" si="4"/>
        <v>8</v>
      </c>
      <c r="G28" s="250"/>
      <c r="H28" s="250"/>
      <c r="I28" s="250"/>
      <c r="J28" s="250"/>
      <c r="K28" s="250"/>
      <c r="L28" s="250"/>
      <c r="M28" s="250">
        <v>1</v>
      </c>
      <c r="N28" s="250">
        <v>1</v>
      </c>
      <c r="O28" s="250">
        <v>1</v>
      </c>
      <c r="P28" s="250">
        <v>1</v>
      </c>
      <c r="Q28" s="250">
        <v>1</v>
      </c>
      <c r="R28" s="250">
        <v>1</v>
      </c>
      <c r="S28" s="250"/>
      <c r="T28" s="250">
        <v>1</v>
      </c>
      <c r="U28" s="250">
        <v>1</v>
      </c>
      <c r="V28" s="250"/>
      <c r="W28" s="250"/>
      <c r="X28" s="250"/>
      <c r="Y28" s="250"/>
      <c r="Z28" s="250"/>
      <c r="AA28" s="250"/>
      <c r="AB28" s="250"/>
      <c r="AC28" s="250"/>
      <c r="AD28" s="250"/>
      <c r="AE28" s="252">
        <f t="shared" si="5"/>
        <v>8</v>
      </c>
      <c r="AF28" s="116" t="s">
        <v>271</v>
      </c>
      <c r="AG28" s="189" t="s">
        <v>558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53" t="s">
        <v>106</v>
      </c>
      <c r="F29" s="249">
        <f t="shared" si="4"/>
        <v>8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>
        <v>1</v>
      </c>
      <c r="V29" s="250">
        <v>1</v>
      </c>
      <c r="W29" s="250">
        <v>1</v>
      </c>
      <c r="X29" s="250">
        <v>1</v>
      </c>
      <c r="Y29" s="250">
        <v>1</v>
      </c>
      <c r="Z29" s="250">
        <v>1</v>
      </c>
      <c r="AA29" s="250">
        <v>1</v>
      </c>
      <c r="AB29" s="250">
        <v>1</v>
      </c>
      <c r="AC29" s="250"/>
      <c r="AD29" s="250"/>
      <c r="AE29" s="252">
        <f t="shared" si="5"/>
        <v>8</v>
      </c>
      <c r="AF29" s="116" t="s">
        <v>78</v>
      </c>
      <c r="AG29" s="189" t="s">
        <v>558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53" t="s">
        <v>112</v>
      </c>
      <c r="F30" s="249">
        <f t="shared" si="4"/>
        <v>8</v>
      </c>
      <c r="G30" s="250"/>
      <c r="H30" s="250"/>
      <c r="I30" s="250"/>
      <c r="J30" s="250"/>
      <c r="K30" s="250"/>
      <c r="L30" s="250"/>
      <c r="M30" s="250">
        <v>1</v>
      </c>
      <c r="N30" s="250">
        <v>1</v>
      </c>
      <c r="O30" s="250">
        <v>1</v>
      </c>
      <c r="P30" s="250">
        <v>1</v>
      </c>
      <c r="Q30" s="250">
        <v>1</v>
      </c>
      <c r="R30" s="250">
        <v>1</v>
      </c>
      <c r="S30" s="250">
        <v>1</v>
      </c>
      <c r="T30" s="250">
        <v>1</v>
      </c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2">
        <f t="shared" si="5"/>
        <v>8</v>
      </c>
      <c r="AF30" s="116" t="s">
        <v>252</v>
      </c>
      <c r="AG30" s="189" t="s">
        <v>558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53" t="s">
        <v>116</v>
      </c>
      <c r="F31" s="249">
        <f t="shared" si="4"/>
        <v>11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>
        <v>1</v>
      </c>
      <c r="AB31" s="250">
        <v>1</v>
      </c>
      <c r="AC31" s="250">
        <v>1</v>
      </c>
      <c r="AD31" s="250">
        <v>1</v>
      </c>
      <c r="AE31" s="252">
        <f t="shared" si="5"/>
        <v>11</v>
      </c>
      <c r="AF31" s="111" t="s">
        <v>424</v>
      </c>
      <c r="AG31" s="189" t="s">
        <v>558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53" t="s">
        <v>121</v>
      </c>
      <c r="F32" s="249">
        <f t="shared" si="4"/>
        <v>7</v>
      </c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>
        <v>1</v>
      </c>
      <c r="X32" s="250">
        <v>1</v>
      </c>
      <c r="Y32" s="250">
        <v>1</v>
      </c>
      <c r="Z32" s="250">
        <v>1</v>
      </c>
      <c r="AA32" s="250">
        <v>1</v>
      </c>
      <c r="AB32" s="250">
        <v>1</v>
      </c>
      <c r="AC32" s="250">
        <v>1</v>
      </c>
      <c r="AD32" s="250"/>
      <c r="AE32" s="252">
        <f t="shared" si="5"/>
        <v>7</v>
      </c>
      <c r="AF32" s="116" t="s">
        <v>226</v>
      </c>
      <c r="AG32" s="189" t="s">
        <v>558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53" t="s">
        <v>123</v>
      </c>
      <c r="F33" s="249">
        <f t="shared" si="4"/>
        <v>0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2">
        <f t="shared" si="5"/>
        <v>0</v>
      </c>
      <c r="AF33" s="116" t="s">
        <v>225</v>
      </c>
      <c r="AG33" s="189" t="s">
        <v>558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53" t="s">
        <v>125</v>
      </c>
      <c r="F34" s="249">
        <f t="shared" si="4"/>
        <v>9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>
        <v>1</v>
      </c>
      <c r="V34" s="250">
        <v>1</v>
      </c>
      <c r="W34" s="250">
        <v>1</v>
      </c>
      <c r="X34" s="250">
        <v>1</v>
      </c>
      <c r="Y34" s="250">
        <v>1</v>
      </c>
      <c r="Z34" s="250">
        <v>1</v>
      </c>
      <c r="AA34" s="250"/>
      <c r="AB34" s="250">
        <v>1</v>
      </c>
      <c r="AC34" s="250">
        <v>1</v>
      </c>
      <c r="AD34" s="250">
        <v>1</v>
      </c>
      <c r="AE34" s="252">
        <f t="shared" si="5"/>
        <v>9</v>
      </c>
      <c r="AF34" s="116" t="s">
        <v>564</v>
      </c>
      <c r="AG34" s="189" t="s">
        <v>558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53" t="s">
        <v>127</v>
      </c>
      <c r="F35" s="249">
        <f t="shared" si="4"/>
        <v>8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>
        <v>1</v>
      </c>
      <c r="R35" s="250">
        <v>1</v>
      </c>
      <c r="S35" s="250"/>
      <c r="T35" s="250">
        <v>1</v>
      </c>
      <c r="U35" s="255">
        <v>1</v>
      </c>
      <c r="V35" s="250">
        <v>1</v>
      </c>
      <c r="W35" s="250">
        <v>1</v>
      </c>
      <c r="X35" s="250">
        <v>1</v>
      </c>
      <c r="Y35" s="250">
        <v>1</v>
      </c>
      <c r="Z35" s="250"/>
      <c r="AA35" s="250"/>
      <c r="AB35" s="250"/>
      <c r="AC35" s="250"/>
      <c r="AD35" s="250"/>
      <c r="AE35" s="252">
        <f t="shared" si="5"/>
        <v>8</v>
      </c>
      <c r="AF35" s="116" t="s">
        <v>565</v>
      </c>
      <c r="AG35" s="189" t="s">
        <v>558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53" t="s">
        <v>129</v>
      </c>
      <c r="F36" s="249">
        <f t="shared" si="4"/>
        <v>8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>
        <v>1</v>
      </c>
      <c r="T36" s="250">
        <v>1</v>
      </c>
      <c r="U36" s="250">
        <v>1</v>
      </c>
      <c r="V36" s="250">
        <v>1</v>
      </c>
      <c r="W36" s="250">
        <v>1</v>
      </c>
      <c r="X36" s="250">
        <v>1</v>
      </c>
      <c r="Y36" s="250">
        <v>1</v>
      </c>
      <c r="Z36" s="250">
        <v>1</v>
      </c>
      <c r="AA36" s="250"/>
      <c r="AB36" s="250"/>
      <c r="AC36" s="250"/>
      <c r="AD36" s="250"/>
      <c r="AE36" s="252">
        <f t="shared" si="5"/>
        <v>8</v>
      </c>
      <c r="AF36" s="116" t="s">
        <v>365</v>
      </c>
      <c r="AG36" s="189" t="s">
        <v>558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53" t="s">
        <v>131</v>
      </c>
      <c r="F37" s="249">
        <f t="shared" si="4"/>
        <v>7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63">
        <v>1</v>
      </c>
      <c r="U37" s="263">
        <v>1</v>
      </c>
      <c r="V37" s="263">
        <v>1</v>
      </c>
      <c r="W37" s="263">
        <v>1</v>
      </c>
      <c r="X37" s="263">
        <v>1</v>
      </c>
      <c r="Y37" s="263">
        <v>1</v>
      </c>
      <c r="Z37" s="263">
        <v>1</v>
      </c>
      <c r="AA37" s="263"/>
      <c r="AB37" s="263"/>
      <c r="AC37" s="263"/>
      <c r="AD37" s="250"/>
      <c r="AE37" s="252">
        <f t="shared" si="5"/>
        <v>7</v>
      </c>
      <c r="AF37" s="116" t="s">
        <v>518</v>
      </c>
      <c r="AG37" s="189" t="s">
        <v>558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53" t="s">
        <v>50</v>
      </c>
      <c r="F38" s="249">
        <f t="shared" si="4"/>
        <v>0</v>
      </c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54"/>
      <c r="AE38" s="252">
        <f t="shared" si="5"/>
        <v>0</v>
      </c>
      <c r="AF38" s="111" t="s">
        <v>6</v>
      </c>
      <c r="AG38" s="189" t="s">
        <v>558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53" t="s">
        <v>135</v>
      </c>
      <c r="F39" s="249">
        <f t="shared" si="4"/>
        <v>0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252">
        <v>8</v>
      </c>
      <c r="AF39" s="111" t="s">
        <v>218</v>
      </c>
      <c r="AG39" s="189" t="s">
        <v>558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53" t="s">
        <v>140</v>
      </c>
      <c r="F40" s="249">
        <f t="shared" si="4"/>
        <v>0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252">
        <v>8</v>
      </c>
      <c r="AF40" s="111" t="s">
        <v>566</v>
      </c>
      <c r="AG40" s="189" t="s">
        <v>558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53" t="s">
        <v>118</v>
      </c>
      <c r="F41" s="249">
        <f t="shared" si="4"/>
        <v>11</v>
      </c>
      <c r="G41" s="250">
        <v>1</v>
      </c>
      <c r="H41" s="250">
        <v>1</v>
      </c>
      <c r="I41" s="250">
        <v>1</v>
      </c>
      <c r="J41" s="250">
        <v>1</v>
      </c>
      <c r="K41" s="250">
        <v>1</v>
      </c>
      <c r="L41" s="250">
        <v>1</v>
      </c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>
        <v>1</v>
      </c>
      <c r="AA41" s="250">
        <v>1</v>
      </c>
      <c r="AB41" s="250">
        <v>1</v>
      </c>
      <c r="AC41" s="250">
        <v>1</v>
      </c>
      <c r="AD41" s="250">
        <v>1</v>
      </c>
      <c r="AE41" s="252">
        <f t="shared" ref="AE41:AE56" si="6">SUM(G41:AD41)</f>
        <v>11</v>
      </c>
      <c r="AF41" s="116" t="s">
        <v>432</v>
      </c>
      <c r="AG41" s="189" t="s">
        <v>558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53" t="s">
        <v>143</v>
      </c>
      <c r="F42" s="249">
        <f t="shared" si="4"/>
        <v>0</v>
      </c>
      <c r="G42" s="250"/>
      <c r="H42" s="250"/>
      <c r="I42" s="250"/>
      <c r="J42" s="250"/>
      <c r="K42" s="250"/>
      <c r="L42" s="250"/>
      <c r="M42" s="250"/>
      <c r="N42" s="583" t="s">
        <v>209</v>
      </c>
      <c r="O42" s="555"/>
      <c r="P42" s="555"/>
      <c r="Q42" s="555"/>
      <c r="R42" s="555"/>
      <c r="S42" s="555"/>
      <c r="T42" s="555"/>
      <c r="U42" s="542"/>
      <c r="V42" s="250"/>
      <c r="W42" s="250"/>
      <c r="X42" s="250"/>
      <c r="Y42" s="250"/>
      <c r="Z42" s="250"/>
      <c r="AA42" s="250"/>
      <c r="AB42" s="250"/>
      <c r="AC42" s="250"/>
      <c r="AD42" s="250"/>
      <c r="AE42" s="252">
        <f t="shared" si="6"/>
        <v>0</v>
      </c>
      <c r="AF42" s="116" t="s">
        <v>288</v>
      </c>
      <c r="AG42" s="189" t="s">
        <v>558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53" t="s">
        <v>455</v>
      </c>
      <c r="F43" s="249">
        <f t="shared" si="4"/>
        <v>7</v>
      </c>
      <c r="G43" s="250"/>
      <c r="H43" s="250"/>
      <c r="I43" s="250"/>
      <c r="J43" s="250"/>
      <c r="K43" s="250"/>
      <c r="L43" s="250"/>
      <c r="M43" s="250">
        <v>1</v>
      </c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2">
        <f t="shared" si="6"/>
        <v>7</v>
      </c>
      <c r="AF43" s="116" t="s">
        <v>379</v>
      </c>
      <c r="AG43" s="189" t="s">
        <v>558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53" t="s">
        <v>457</v>
      </c>
      <c r="F44" s="249">
        <f t="shared" si="4"/>
        <v>8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>
        <v>1</v>
      </c>
      <c r="R44" s="250">
        <v>1</v>
      </c>
      <c r="S44" s="250">
        <v>1</v>
      </c>
      <c r="T44" s="250"/>
      <c r="U44" s="250">
        <v>1</v>
      </c>
      <c r="V44" s="250">
        <v>1</v>
      </c>
      <c r="W44" s="250">
        <v>1</v>
      </c>
      <c r="X44" s="250">
        <v>1</v>
      </c>
      <c r="Y44" s="250">
        <v>1</v>
      </c>
      <c r="Z44" s="250"/>
      <c r="AA44" s="250"/>
      <c r="AB44" s="250"/>
      <c r="AC44" s="250"/>
      <c r="AD44" s="250"/>
      <c r="AE44" s="252">
        <f t="shared" si="6"/>
        <v>8</v>
      </c>
      <c r="AF44" s="116" t="s">
        <v>245</v>
      </c>
      <c r="AG44" s="189" t="s">
        <v>558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53" t="s">
        <v>460</v>
      </c>
      <c r="F45" s="249">
        <f t="shared" si="4"/>
        <v>7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>
        <v>1</v>
      </c>
      <c r="V45" s="250">
        <v>1</v>
      </c>
      <c r="W45" s="250">
        <v>1</v>
      </c>
      <c r="X45" s="250">
        <v>1</v>
      </c>
      <c r="Y45" s="250">
        <v>1</v>
      </c>
      <c r="Z45" s="250">
        <v>1</v>
      </c>
      <c r="AA45" s="250">
        <v>1</v>
      </c>
      <c r="AB45" s="250"/>
      <c r="AC45" s="250"/>
      <c r="AD45" s="250"/>
      <c r="AE45" s="252">
        <f t="shared" si="6"/>
        <v>7</v>
      </c>
      <c r="AF45" s="116" t="s">
        <v>100</v>
      </c>
      <c r="AG45" s="189" t="s">
        <v>558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53" t="s">
        <v>478</v>
      </c>
      <c r="F46" s="249">
        <f t="shared" si="4"/>
        <v>7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>
        <v>1</v>
      </c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>
        <v>1</v>
      </c>
      <c r="AB46" s="250"/>
      <c r="AC46" s="250"/>
      <c r="AD46" s="250"/>
      <c r="AE46" s="252">
        <f t="shared" si="6"/>
        <v>7</v>
      </c>
      <c r="AF46" s="116" t="s">
        <v>100</v>
      </c>
      <c r="AG46" s="189" t="s">
        <v>558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53" t="s">
        <v>461</v>
      </c>
      <c r="F47" s="249">
        <f t="shared" si="4"/>
        <v>6</v>
      </c>
      <c r="G47" s="250"/>
      <c r="H47" s="250"/>
      <c r="I47" s="250"/>
      <c r="J47" s="250"/>
      <c r="K47" s="250"/>
      <c r="L47" s="250"/>
      <c r="M47" s="250"/>
      <c r="N47" s="250">
        <v>1</v>
      </c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2">
        <f t="shared" si="6"/>
        <v>6</v>
      </c>
      <c r="AF47" s="116" t="s">
        <v>315</v>
      </c>
      <c r="AG47" s="189" t="s">
        <v>558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53" t="s">
        <v>463</v>
      </c>
      <c r="F48" s="249">
        <f t="shared" si="4"/>
        <v>7</v>
      </c>
      <c r="G48" s="250"/>
      <c r="H48" s="250"/>
      <c r="I48" s="250"/>
      <c r="J48" s="250"/>
      <c r="K48" s="250"/>
      <c r="L48" s="250"/>
      <c r="M48" s="250"/>
      <c r="N48" s="250">
        <v>1</v>
      </c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0">
        <v>1</v>
      </c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2">
        <f t="shared" si="6"/>
        <v>7</v>
      </c>
      <c r="AF48" s="116" t="s">
        <v>196</v>
      </c>
      <c r="AG48" s="189" t="s">
        <v>558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53" t="s">
        <v>465</v>
      </c>
      <c r="F49" s="249">
        <f t="shared" si="4"/>
        <v>7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>
        <v>1</v>
      </c>
      <c r="V49" s="250">
        <v>1</v>
      </c>
      <c r="W49" s="250">
        <v>1</v>
      </c>
      <c r="X49" s="250">
        <v>1</v>
      </c>
      <c r="Y49" s="250">
        <v>1</v>
      </c>
      <c r="Z49" s="250">
        <v>1</v>
      </c>
      <c r="AA49" s="250">
        <v>1</v>
      </c>
      <c r="AB49" s="250"/>
      <c r="AC49" s="250"/>
      <c r="AD49" s="250"/>
      <c r="AE49" s="252">
        <f t="shared" si="6"/>
        <v>7</v>
      </c>
      <c r="AF49" s="116" t="s">
        <v>100</v>
      </c>
      <c r="AG49" s="189" t="s">
        <v>558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53" t="s">
        <v>466</v>
      </c>
      <c r="F50" s="249">
        <f t="shared" si="4"/>
        <v>7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>
        <v>1</v>
      </c>
      <c r="V50" s="250">
        <v>1</v>
      </c>
      <c r="W50" s="250">
        <v>1</v>
      </c>
      <c r="X50" s="250">
        <v>1</v>
      </c>
      <c r="Y50" s="250">
        <v>1</v>
      </c>
      <c r="Z50" s="250">
        <v>1</v>
      </c>
      <c r="AA50" s="250">
        <v>1</v>
      </c>
      <c r="AB50" s="250"/>
      <c r="AC50" s="250"/>
      <c r="AD50" s="250"/>
      <c r="AE50" s="252">
        <f t="shared" si="6"/>
        <v>7</v>
      </c>
      <c r="AF50" s="116" t="s">
        <v>100</v>
      </c>
      <c r="AG50" s="189" t="s">
        <v>558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53" t="s">
        <v>467</v>
      </c>
      <c r="F51" s="249">
        <f t="shared" si="4"/>
        <v>7</v>
      </c>
      <c r="G51" s="250"/>
      <c r="H51" s="250"/>
      <c r="I51" s="250"/>
      <c r="J51" s="250"/>
      <c r="K51" s="250"/>
      <c r="L51" s="250"/>
      <c r="M51" s="250"/>
      <c r="N51" s="250"/>
      <c r="O51" s="250">
        <v>1</v>
      </c>
      <c r="P51" s="250">
        <v>1</v>
      </c>
      <c r="Q51" s="250">
        <v>1</v>
      </c>
      <c r="R51" s="250">
        <v>1</v>
      </c>
      <c r="S51" s="250">
        <v>1</v>
      </c>
      <c r="T51" s="250">
        <v>1</v>
      </c>
      <c r="U51" s="250">
        <v>1</v>
      </c>
      <c r="V51" s="250"/>
      <c r="W51" s="250"/>
      <c r="X51" s="250"/>
      <c r="Y51" s="250"/>
      <c r="Z51" s="250"/>
      <c r="AA51" s="250"/>
      <c r="AB51" s="250"/>
      <c r="AC51" s="250"/>
      <c r="AD51" s="250"/>
      <c r="AE51" s="252">
        <f t="shared" si="6"/>
        <v>7</v>
      </c>
      <c r="AF51" s="116" t="s">
        <v>87</v>
      </c>
      <c r="AG51" s="189" t="s">
        <v>558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53" t="s">
        <v>491</v>
      </c>
      <c r="F52" s="249">
        <f t="shared" si="4"/>
        <v>7</v>
      </c>
      <c r="G52" s="250"/>
      <c r="H52" s="250"/>
      <c r="I52" s="250"/>
      <c r="J52" s="250"/>
      <c r="K52" s="250"/>
      <c r="L52" s="250"/>
      <c r="M52" s="250"/>
      <c r="N52" s="250">
        <v>1</v>
      </c>
      <c r="O52" s="250">
        <v>1</v>
      </c>
      <c r="P52" s="250">
        <v>1</v>
      </c>
      <c r="Q52" s="250">
        <v>1</v>
      </c>
      <c r="R52" s="250">
        <v>1</v>
      </c>
      <c r="S52" s="250">
        <v>1</v>
      </c>
      <c r="T52" s="250">
        <v>1</v>
      </c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2">
        <f t="shared" si="6"/>
        <v>7</v>
      </c>
      <c r="AF52" s="116" t="s">
        <v>196</v>
      </c>
      <c r="AG52" s="189" t="s">
        <v>558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53" t="s">
        <v>493</v>
      </c>
      <c r="F53" s="249">
        <f t="shared" si="4"/>
        <v>7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>
        <v>1</v>
      </c>
      <c r="V53" s="250">
        <v>1</v>
      </c>
      <c r="W53" s="250">
        <v>1</v>
      </c>
      <c r="X53" s="250">
        <v>1</v>
      </c>
      <c r="Y53" s="250">
        <v>1</v>
      </c>
      <c r="Z53" s="250">
        <v>1</v>
      </c>
      <c r="AA53" s="250">
        <v>1</v>
      </c>
      <c r="AB53" s="250"/>
      <c r="AC53" s="250"/>
      <c r="AD53" s="250"/>
      <c r="AE53" s="252">
        <f t="shared" si="6"/>
        <v>7</v>
      </c>
      <c r="AF53" s="116" t="s">
        <v>100</v>
      </c>
      <c r="AG53" s="189" t="s">
        <v>558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53" t="s">
        <v>469</v>
      </c>
      <c r="F54" s="249">
        <f t="shared" si="4"/>
        <v>7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>
        <v>1</v>
      </c>
      <c r="V54" s="250">
        <v>1</v>
      </c>
      <c r="W54" s="250">
        <v>1</v>
      </c>
      <c r="X54" s="250">
        <v>1</v>
      </c>
      <c r="Y54" s="250">
        <v>1</v>
      </c>
      <c r="Z54" s="250">
        <v>1</v>
      </c>
      <c r="AA54" s="250">
        <v>1</v>
      </c>
      <c r="AB54" s="250"/>
      <c r="AC54" s="250"/>
      <c r="AD54" s="250"/>
      <c r="AE54" s="252">
        <f t="shared" si="6"/>
        <v>7</v>
      </c>
      <c r="AF54" s="116" t="s">
        <v>100</v>
      </c>
      <c r="AG54" s="189" t="s">
        <v>558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53" t="s">
        <v>495</v>
      </c>
      <c r="F55" s="249">
        <f t="shared" si="4"/>
        <v>7</v>
      </c>
      <c r="G55" s="250"/>
      <c r="H55" s="250"/>
      <c r="I55" s="250"/>
      <c r="J55" s="250"/>
      <c r="K55" s="250"/>
      <c r="L55" s="250"/>
      <c r="M55" s="250"/>
      <c r="N55" s="250"/>
      <c r="O55" s="250">
        <v>1</v>
      </c>
      <c r="P55" s="250">
        <v>1</v>
      </c>
      <c r="Q55" s="250">
        <v>1</v>
      </c>
      <c r="R55" s="250">
        <v>1</v>
      </c>
      <c r="S55" s="250">
        <v>1</v>
      </c>
      <c r="T55" s="250">
        <v>1</v>
      </c>
      <c r="U55" s="250">
        <v>1</v>
      </c>
      <c r="V55" s="250"/>
      <c r="W55" s="250"/>
      <c r="X55" s="250"/>
      <c r="Y55" s="250"/>
      <c r="Z55" s="250"/>
      <c r="AA55" s="250"/>
      <c r="AB55" s="250"/>
      <c r="AC55" s="250"/>
      <c r="AD55" s="250"/>
      <c r="AE55" s="252">
        <f t="shared" si="6"/>
        <v>7</v>
      </c>
      <c r="AF55" s="116" t="s">
        <v>87</v>
      </c>
      <c r="AG55" s="189" t="s">
        <v>558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53" t="s">
        <v>497</v>
      </c>
      <c r="F56" s="249">
        <f t="shared" si="4"/>
        <v>7</v>
      </c>
      <c r="G56" s="250"/>
      <c r="H56" s="250"/>
      <c r="I56" s="250"/>
      <c r="J56" s="250"/>
      <c r="K56" s="250"/>
      <c r="L56" s="250"/>
      <c r="M56" s="250">
        <v>1</v>
      </c>
      <c r="N56" s="250">
        <v>1</v>
      </c>
      <c r="O56" s="250">
        <v>1</v>
      </c>
      <c r="P56" s="250">
        <v>1</v>
      </c>
      <c r="Q56" s="250">
        <v>1</v>
      </c>
      <c r="R56" s="250">
        <v>1</v>
      </c>
      <c r="S56" s="250">
        <v>1</v>
      </c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2">
        <f t="shared" si="6"/>
        <v>7</v>
      </c>
      <c r="AF56" s="116" t="s">
        <v>379</v>
      </c>
      <c r="AG56" s="189" t="s">
        <v>558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249">
        <v>8</v>
      </c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42"/>
      <c r="U57" s="250"/>
      <c r="V57" s="577" t="s">
        <v>292</v>
      </c>
      <c r="W57" s="555"/>
      <c r="X57" s="555"/>
      <c r="Y57" s="555"/>
      <c r="Z57" s="555"/>
      <c r="AA57" s="555"/>
      <c r="AB57" s="555"/>
      <c r="AC57" s="555"/>
      <c r="AD57" s="42"/>
      <c r="AE57" s="252">
        <v>8</v>
      </c>
      <c r="AF57" s="116" t="s">
        <v>218</v>
      </c>
      <c r="AG57" s="189" t="s">
        <v>558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249">
        <v>8</v>
      </c>
      <c r="G58" s="258"/>
      <c r="H58" s="258"/>
      <c r="I58" s="258"/>
      <c r="J58" s="258"/>
      <c r="K58" s="258"/>
      <c r="L58" s="258"/>
      <c r="M58" s="258"/>
      <c r="N58" s="577" t="s">
        <v>292</v>
      </c>
      <c r="O58" s="555"/>
      <c r="P58" s="555"/>
      <c r="Q58" s="555"/>
      <c r="R58" s="555"/>
      <c r="S58" s="555"/>
      <c r="T58" s="555"/>
      <c r="U58" s="555"/>
      <c r="V58" s="250"/>
      <c r="W58" s="42"/>
      <c r="X58" s="42"/>
      <c r="Y58" s="42"/>
      <c r="Z58" s="42"/>
      <c r="AA58" s="42"/>
      <c r="AB58" s="42"/>
      <c r="AC58" s="42"/>
      <c r="AD58" s="258"/>
      <c r="AE58" s="252">
        <v>8</v>
      </c>
      <c r="AF58" s="116" t="s">
        <v>288</v>
      </c>
      <c r="AG58" s="189" t="s">
        <v>558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249">
        <v>12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42"/>
      <c r="Z59" s="259"/>
      <c r="AA59" s="42"/>
      <c r="AB59" s="42"/>
      <c r="AC59" s="42"/>
      <c r="AD59" s="42"/>
      <c r="AE59" s="252">
        <v>12</v>
      </c>
      <c r="AF59" s="111" t="s">
        <v>66</v>
      </c>
      <c r="AG59" s="189" t="s">
        <v>558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136">
        <v>7</v>
      </c>
      <c r="P62" s="143">
        <v>8</v>
      </c>
      <c r="Q62" s="143">
        <v>8</v>
      </c>
      <c r="R62" s="143">
        <v>8</v>
      </c>
      <c r="S62" s="143">
        <v>8</v>
      </c>
      <c r="T62" s="143">
        <v>8</v>
      </c>
      <c r="U62" s="136">
        <v>7</v>
      </c>
      <c r="V62" s="136">
        <v>7</v>
      </c>
      <c r="W62" s="136">
        <v>7</v>
      </c>
      <c r="X62" s="136">
        <v>7</v>
      </c>
      <c r="Y62" s="143">
        <v>8</v>
      </c>
      <c r="Z62" s="144">
        <v>6</v>
      </c>
      <c r="AA62" s="56">
        <v>5</v>
      </c>
      <c r="AB62" s="242">
        <v>4</v>
      </c>
      <c r="AC62" s="242">
        <v>4</v>
      </c>
      <c r="AD62" s="12">
        <v>2</v>
      </c>
      <c r="AE62" s="18">
        <f>SUM(G62:AD62)</f>
        <v>124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7">G65-G62</f>
        <v>0</v>
      </c>
      <c r="H63" s="28">
        <f t="shared" si="7"/>
        <v>0</v>
      </c>
      <c r="I63" s="28">
        <f t="shared" si="7"/>
        <v>0</v>
      </c>
      <c r="J63" s="28">
        <f t="shared" si="7"/>
        <v>0</v>
      </c>
      <c r="K63" s="28">
        <f t="shared" si="7"/>
        <v>0</v>
      </c>
      <c r="L63" s="28">
        <f t="shared" si="7"/>
        <v>0</v>
      </c>
      <c r="M63" s="28">
        <f t="shared" si="7"/>
        <v>0</v>
      </c>
      <c r="N63" s="28">
        <f t="shared" si="7"/>
        <v>0</v>
      </c>
      <c r="O63" s="28">
        <f t="shared" si="7"/>
        <v>0</v>
      </c>
      <c r="P63" s="28">
        <f t="shared" si="7"/>
        <v>0</v>
      </c>
      <c r="Q63" s="28">
        <f t="shared" si="7"/>
        <v>0</v>
      </c>
      <c r="R63" s="28">
        <f t="shared" si="7"/>
        <v>0</v>
      </c>
      <c r="S63" s="28">
        <f t="shared" si="7"/>
        <v>0</v>
      </c>
      <c r="T63" s="28">
        <f t="shared" si="7"/>
        <v>0</v>
      </c>
      <c r="U63" s="28">
        <f t="shared" si="7"/>
        <v>0</v>
      </c>
      <c r="V63" s="28">
        <f t="shared" si="7"/>
        <v>0</v>
      </c>
      <c r="W63" s="28">
        <f t="shared" si="7"/>
        <v>0</v>
      </c>
      <c r="X63" s="28">
        <f t="shared" si="7"/>
        <v>0</v>
      </c>
      <c r="Y63" s="205">
        <f t="shared" si="7"/>
        <v>-1</v>
      </c>
      <c r="Z63" s="28">
        <f t="shared" si="7"/>
        <v>0</v>
      </c>
      <c r="AA63" s="28">
        <f t="shared" si="7"/>
        <v>0</v>
      </c>
      <c r="AB63" s="28">
        <f t="shared" si="7"/>
        <v>0</v>
      </c>
      <c r="AC63" s="28">
        <f t="shared" si="7"/>
        <v>0</v>
      </c>
      <c r="AD63" s="28">
        <f t="shared" si="7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8">SUM(G66:G82)</f>
        <v>2</v>
      </c>
      <c r="H65" s="35">
        <f t="shared" si="8"/>
        <v>2</v>
      </c>
      <c r="I65" s="35">
        <f t="shared" si="8"/>
        <v>2</v>
      </c>
      <c r="J65" s="35">
        <f t="shared" si="8"/>
        <v>2</v>
      </c>
      <c r="K65" s="35">
        <f t="shared" si="8"/>
        <v>2</v>
      </c>
      <c r="L65" s="35">
        <f t="shared" si="8"/>
        <v>2</v>
      </c>
      <c r="M65" s="35">
        <f t="shared" si="8"/>
        <v>4</v>
      </c>
      <c r="N65" s="35">
        <f t="shared" si="8"/>
        <v>4</v>
      </c>
      <c r="O65" s="35">
        <f t="shared" si="8"/>
        <v>7</v>
      </c>
      <c r="P65" s="35">
        <f t="shared" si="8"/>
        <v>8</v>
      </c>
      <c r="Q65" s="35">
        <f t="shared" si="8"/>
        <v>8</v>
      </c>
      <c r="R65" s="35">
        <f t="shared" si="8"/>
        <v>8</v>
      </c>
      <c r="S65" s="35">
        <f t="shared" si="8"/>
        <v>8</v>
      </c>
      <c r="T65" s="35">
        <f t="shared" si="8"/>
        <v>8</v>
      </c>
      <c r="U65" s="35">
        <f t="shared" si="8"/>
        <v>7</v>
      </c>
      <c r="V65" s="35">
        <f t="shared" si="8"/>
        <v>7</v>
      </c>
      <c r="W65" s="35">
        <f t="shared" si="8"/>
        <v>7</v>
      </c>
      <c r="X65" s="35">
        <f t="shared" si="8"/>
        <v>7</v>
      </c>
      <c r="Y65" s="35">
        <f t="shared" si="8"/>
        <v>7</v>
      </c>
      <c r="Z65" s="35">
        <f t="shared" si="8"/>
        <v>6</v>
      </c>
      <c r="AA65" s="35">
        <f t="shared" si="8"/>
        <v>5</v>
      </c>
      <c r="AB65" s="35">
        <f t="shared" si="8"/>
        <v>4</v>
      </c>
      <c r="AC65" s="35">
        <f t="shared" si="8"/>
        <v>4</v>
      </c>
      <c r="AD65" s="35">
        <f t="shared" si="8"/>
        <v>2</v>
      </c>
      <c r="AE65" s="30">
        <f t="shared" ref="AE65:AE82" si="9">SUM(G65:AD65)</f>
        <v>123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0">SUM(G66:AD66)</f>
        <v>7</v>
      </c>
      <c r="G66" s="42"/>
      <c r="H66" s="42"/>
      <c r="I66" s="42"/>
      <c r="J66" s="42"/>
      <c r="K66" s="42"/>
      <c r="L66" s="42"/>
      <c r="M66" s="42"/>
      <c r="N66" s="42"/>
      <c r="O66" s="42">
        <v>1</v>
      </c>
      <c r="P66" s="42">
        <v>1</v>
      </c>
      <c r="Q66" s="42">
        <v>1</v>
      </c>
      <c r="R66" s="42">
        <v>1</v>
      </c>
      <c r="S66" s="42"/>
      <c r="T66" s="42">
        <v>1</v>
      </c>
      <c r="U66" s="42">
        <v>1</v>
      </c>
      <c r="V66" s="42">
        <v>1</v>
      </c>
      <c r="W66" s="42"/>
      <c r="X66" s="42"/>
      <c r="Y66" s="42"/>
      <c r="Z66" s="42"/>
      <c r="AA66" s="42"/>
      <c r="AB66" s="42"/>
      <c r="AC66" s="42"/>
      <c r="AD66" s="42"/>
      <c r="AE66" s="41">
        <f t="shared" si="9"/>
        <v>7</v>
      </c>
      <c r="AF66" s="111" t="s">
        <v>563</v>
      </c>
      <c r="AG66" s="189" t="s">
        <v>558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0"/>
        <v>9</v>
      </c>
      <c r="G67" s="42"/>
      <c r="H67" s="42"/>
      <c r="I67" s="42"/>
      <c r="J67" s="42"/>
      <c r="K67" s="42"/>
      <c r="L67" s="42"/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2"/>
      <c r="W67" s="42"/>
      <c r="X67" s="42"/>
      <c r="Y67" s="42"/>
      <c r="Z67" s="42"/>
      <c r="AA67" s="42"/>
      <c r="AB67" s="42"/>
      <c r="AC67" s="42"/>
      <c r="AD67" s="42"/>
      <c r="AE67" s="41">
        <f t="shared" si="9"/>
        <v>9</v>
      </c>
      <c r="AF67" s="111" t="s">
        <v>244</v>
      </c>
      <c r="AG67" s="189" t="s">
        <v>558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0"/>
        <v>7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>
        <v>1</v>
      </c>
      <c r="X68" s="42">
        <v>1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/>
      <c r="AE68" s="41">
        <f t="shared" si="9"/>
        <v>7</v>
      </c>
      <c r="AF68" s="111" t="s">
        <v>226</v>
      </c>
      <c r="AG68" s="189" t="s">
        <v>558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0"/>
        <v>9</v>
      </c>
      <c r="G69" s="42"/>
      <c r="H69" s="42"/>
      <c r="I69" s="42"/>
      <c r="J69" s="42"/>
      <c r="K69" s="42"/>
      <c r="L69" s="42"/>
      <c r="M69" s="42"/>
      <c r="N69" s="42"/>
      <c r="O69" s="42"/>
      <c r="P69" s="42">
        <v>1</v>
      </c>
      <c r="Q69" s="42">
        <v>1</v>
      </c>
      <c r="R69" s="42">
        <v>1</v>
      </c>
      <c r="S69" s="42">
        <v>1</v>
      </c>
      <c r="T69" s="42">
        <v>1</v>
      </c>
      <c r="U69" s="42"/>
      <c r="V69" s="42">
        <v>1</v>
      </c>
      <c r="W69" s="42">
        <v>1</v>
      </c>
      <c r="X69" s="42">
        <v>1</v>
      </c>
      <c r="Y69" s="42">
        <v>1</v>
      </c>
      <c r="Z69" s="42"/>
      <c r="AA69" s="42"/>
      <c r="AB69" s="42"/>
      <c r="AC69" s="42"/>
      <c r="AD69" s="42"/>
      <c r="AE69" s="41">
        <f t="shared" si="9"/>
        <v>9</v>
      </c>
      <c r="AF69" s="111" t="s">
        <v>242</v>
      </c>
      <c r="AG69" s="189" t="s">
        <v>558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0"/>
        <v>6</v>
      </c>
      <c r="G70" s="42"/>
      <c r="H70" s="42"/>
      <c r="I70" s="42"/>
      <c r="J70" s="42"/>
      <c r="K70" s="42"/>
      <c r="L70" s="42"/>
      <c r="M70" s="42"/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1">
        <f t="shared" si="9"/>
        <v>6</v>
      </c>
      <c r="AF70" s="111" t="s">
        <v>315</v>
      </c>
      <c r="AG70" s="189" t="s">
        <v>558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0"/>
        <v>8</v>
      </c>
      <c r="G71" s="42"/>
      <c r="H71" s="42"/>
      <c r="I71" s="42"/>
      <c r="J71" s="42"/>
      <c r="K71" s="42"/>
      <c r="L71" s="42"/>
      <c r="M71" s="42">
        <v>1</v>
      </c>
      <c r="N71" s="42">
        <v>1</v>
      </c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>
        <v>1</v>
      </c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1">
        <f t="shared" si="9"/>
        <v>8</v>
      </c>
      <c r="AF71" s="111" t="s">
        <v>252</v>
      </c>
      <c r="AG71" s="189" t="s">
        <v>558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0"/>
        <v>9</v>
      </c>
      <c r="G72" s="42">
        <v>1</v>
      </c>
      <c r="H72" s="42">
        <v>1</v>
      </c>
      <c r="I72" s="42">
        <v>1</v>
      </c>
      <c r="J72" s="42">
        <v>1</v>
      </c>
      <c r="K72" s="42">
        <v>1</v>
      </c>
      <c r="L72" s="42">
        <v>1</v>
      </c>
      <c r="M72" s="42">
        <v>1</v>
      </c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>
        <v>1</v>
      </c>
      <c r="AD72" s="42">
        <v>1</v>
      </c>
      <c r="AE72" s="41">
        <f t="shared" si="9"/>
        <v>9</v>
      </c>
      <c r="AF72" s="111" t="s">
        <v>567</v>
      </c>
      <c r="AG72" s="189" t="s">
        <v>558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0"/>
        <v>8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>
        <v>1</v>
      </c>
      <c r="V73" s="42">
        <v>1</v>
      </c>
      <c r="W73" s="42">
        <v>1</v>
      </c>
      <c r="X73" s="42">
        <v>1</v>
      </c>
      <c r="Y73" s="42">
        <v>1</v>
      </c>
      <c r="Z73" s="42">
        <v>1</v>
      </c>
      <c r="AA73" s="42">
        <v>1</v>
      </c>
      <c r="AB73" s="42">
        <v>1</v>
      </c>
      <c r="AC73" s="42"/>
      <c r="AD73" s="42"/>
      <c r="AE73" s="41">
        <f t="shared" si="9"/>
        <v>8</v>
      </c>
      <c r="AF73" s="111" t="s">
        <v>78</v>
      </c>
      <c r="AG73" s="189" t="s">
        <v>558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0"/>
        <v>10</v>
      </c>
      <c r="G74" s="42">
        <v>1</v>
      </c>
      <c r="H74" s="42">
        <v>1</v>
      </c>
      <c r="I74" s="42">
        <v>1</v>
      </c>
      <c r="J74" s="42">
        <v>1</v>
      </c>
      <c r="K74" s="42">
        <v>1</v>
      </c>
      <c r="L74" s="42">
        <v>1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>
        <v>1</v>
      </c>
      <c r="AB74" s="42">
        <v>1</v>
      </c>
      <c r="AC74" s="42">
        <v>1</v>
      </c>
      <c r="AD74" s="42">
        <v>1</v>
      </c>
      <c r="AE74" s="41">
        <f t="shared" si="9"/>
        <v>10</v>
      </c>
      <c r="AF74" s="111" t="s">
        <v>556</v>
      </c>
      <c r="AG74" s="189" t="s">
        <v>558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0"/>
        <v>8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63">
        <v>1</v>
      </c>
      <c r="W75" s="63">
        <v>1</v>
      </c>
      <c r="X75" s="63">
        <v>1</v>
      </c>
      <c r="Y75" s="63">
        <v>1</v>
      </c>
      <c r="Z75" s="63">
        <v>1</v>
      </c>
      <c r="AA75" s="63">
        <v>1</v>
      </c>
      <c r="AB75" s="63">
        <v>1</v>
      </c>
      <c r="AC75" s="63">
        <v>1</v>
      </c>
      <c r="AD75" s="42"/>
      <c r="AE75" s="101">
        <f t="shared" si="9"/>
        <v>8</v>
      </c>
      <c r="AF75" s="111" t="s">
        <v>218</v>
      </c>
      <c r="AG75" s="189" t="s">
        <v>558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0"/>
        <v>9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>
        <v>1</v>
      </c>
      <c r="T76" s="42">
        <v>1</v>
      </c>
      <c r="U76" s="42">
        <v>1</v>
      </c>
      <c r="V76" s="42">
        <v>1</v>
      </c>
      <c r="W76" s="42">
        <v>1</v>
      </c>
      <c r="X76" s="42">
        <v>1</v>
      </c>
      <c r="Y76" s="42">
        <v>1</v>
      </c>
      <c r="Z76" s="42">
        <v>1</v>
      </c>
      <c r="AA76" s="42">
        <v>1</v>
      </c>
      <c r="AB76" s="42"/>
      <c r="AC76" s="42"/>
      <c r="AD76" s="42"/>
      <c r="AE76" s="41">
        <f t="shared" si="9"/>
        <v>9</v>
      </c>
      <c r="AF76" s="111" t="s">
        <v>312</v>
      </c>
      <c r="AG76" s="189" t="s">
        <v>558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0"/>
        <v>7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>
        <v>1</v>
      </c>
      <c r="U77" s="42">
        <v>1</v>
      </c>
      <c r="V77" s="42">
        <v>1</v>
      </c>
      <c r="W77" s="42">
        <v>1</v>
      </c>
      <c r="X77" s="42">
        <v>1</v>
      </c>
      <c r="Y77" s="42">
        <v>1</v>
      </c>
      <c r="Z77" s="42">
        <v>1</v>
      </c>
      <c r="AA77" s="42"/>
      <c r="AB77" s="42"/>
      <c r="AC77" s="42"/>
      <c r="AD77" s="42"/>
      <c r="AE77" s="41">
        <f t="shared" si="9"/>
        <v>7</v>
      </c>
      <c r="AF77" s="111" t="s">
        <v>518</v>
      </c>
      <c r="AG77" s="189" t="s">
        <v>558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0"/>
        <v>8</v>
      </c>
      <c r="G78" s="42"/>
      <c r="H78" s="42"/>
      <c r="I78" s="42"/>
      <c r="J78" s="42"/>
      <c r="K78" s="42"/>
      <c r="L78" s="42"/>
      <c r="M78" s="42">
        <v>1</v>
      </c>
      <c r="N78" s="42">
        <v>1</v>
      </c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>
        <v>1</v>
      </c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1">
        <f t="shared" si="9"/>
        <v>8</v>
      </c>
      <c r="AF78" s="111" t="s">
        <v>252</v>
      </c>
      <c r="AG78" s="189" t="s">
        <v>558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0"/>
        <v>7</v>
      </c>
      <c r="G79" s="102"/>
      <c r="H79" s="102"/>
      <c r="I79" s="102"/>
      <c r="J79" s="102"/>
      <c r="K79" s="102"/>
      <c r="L79" s="102"/>
      <c r="M79" s="102"/>
      <c r="N79" s="102"/>
      <c r="O79" s="102">
        <v>1</v>
      </c>
      <c r="P79" s="102">
        <v>1</v>
      </c>
      <c r="Q79" s="102">
        <v>1</v>
      </c>
      <c r="R79" s="102">
        <v>1</v>
      </c>
      <c r="S79" s="102">
        <v>1</v>
      </c>
      <c r="T79" s="102">
        <v>1</v>
      </c>
      <c r="U79" s="102">
        <v>1</v>
      </c>
      <c r="V79" s="102"/>
      <c r="W79" s="42"/>
      <c r="X79" s="102"/>
      <c r="Y79" s="102"/>
      <c r="Z79" s="102"/>
      <c r="AA79" s="102"/>
      <c r="AB79" s="102"/>
      <c r="AC79" s="102"/>
      <c r="AD79" s="42"/>
      <c r="AE79" s="41">
        <f t="shared" si="9"/>
        <v>7</v>
      </c>
      <c r="AF79" s="111" t="s">
        <v>568</v>
      </c>
      <c r="AG79" s="189" t="s">
        <v>558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0"/>
        <v>0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583" t="s">
        <v>209</v>
      </c>
      <c r="W80" s="555"/>
      <c r="X80" s="555"/>
      <c r="Y80" s="555"/>
      <c r="Z80" s="555"/>
      <c r="AA80" s="555"/>
      <c r="AB80" s="555"/>
      <c r="AC80" s="542"/>
      <c r="AD80" s="77"/>
      <c r="AE80" s="41">
        <f t="shared" si="9"/>
        <v>0</v>
      </c>
      <c r="AF80" s="111" t="s">
        <v>218</v>
      </c>
      <c r="AG80" s="189" t="s">
        <v>558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0"/>
        <v>0</v>
      </c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583" t="s">
        <v>209</v>
      </c>
      <c r="W81" s="555"/>
      <c r="X81" s="555"/>
      <c r="Y81" s="555"/>
      <c r="Z81" s="555"/>
      <c r="AA81" s="555"/>
      <c r="AB81" s="555"/>
      <c r="AC81" s="542"/>
      <c r="AD81" s="77"/>
      <c r="AE81" s="41">
        <f t="shared" si="9"/>
        <v>0</v>
      </c>
      <c r="AF81" s="111" t="s">
        <v>218</v>
      </c>
      <c r="AG81" s="189" t="s">
        <v>558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10"/>
        <v>11</v>
      </c>
      <c r="G82" s="42"/>
      <c r="H82" s="42"/>
      <c r="I82" s="42"/>
      <c r="J82" s="42"/>
      <c r="K82" s="42"/>
      <c r="L82" s="42"/>
      <c r="M82" s="42"/>
      <c r="N82" s="42"/>
      <c r="O82" s="42">
        <v>1</v>
      </c>
      <c r="P82" s="42">
        <v>1</v>
      </c>
      <c r="Q82" s="42">
        <v>1</v>
      </c>
      <c r="R82" s="42">
        <v>1</v>
      </c>
      <c r="S82" s="42">
        <v>1</v>
      </c>
      <c r="T82" s="42"/>
      <c r="U82" s="63">
        <v>1</v>
      </c>
      <c r="V82" s="63">
        <v>1</v>
      </c>
      <c r="W82" s="63">
        <v>1</v>
      </c>
      <c r="X82" s="63">
        <v>1</v>
      </c>
      <c r="Y82" s="63">
        <v>1</v>
      </c>
      <c r="Z82" s="63">
        <v>1</v>
      </c>
      <c r="AA82" s="42"/>
      <c r="AB82" s="42"/>
      <c r="AC82" s="42"/>
      <c r="AD82" s="42"/>
      <c r="AE82" s="41">
        <f t="shared" si="9"/>
        <v>11</v>
      </c>
      <c r="AF82" s="111" t="s">
        <v>210</v>
      </c>
      <c r="AG82" s="189" t="s">
        <v>558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49BA5E93-E473-4F11-BE7E-FD55CB28D969}" filter="1" showAutoFilter="1">
      <pageMargins left="0.7" right="0.7" top="0.75" bottom="0.75" header="0.3" footer="0.3"/>
      <autoFilter ref="G5:AD84" xr:uid="{8ADF25B8-ECEF-4C46-87DF-238D9D096499}">
        <filterColumn colId="15">
          <filters>
            <filter val="-"/>
            <filter val="1"/>
            <filter val="21"/>
            <filter val="7"/>
            <filter val="CLIENTES VIP"/>
            <filter val="MONITOREOS"/>
            <filter val="SEGUIMIENTO TRANSFERENCIAS"/>
            <filter val="SOPORTE DTH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BE6C17D3-0775-4286-BBF1-29EF7822D403}"/>
    </customSheetView>
    <customSheetView guid="{833D6734-F5E1-4449-B5A1-8C3A51A61651}" filter="1" showAutoFilter="1">
      <pageMargins left="0.7" right="0.7" top="0.75" bottom="0.75" header="0.3" footer="0.3"/>
      <autoFilter ref="A7:AG84" xr:uid="{DFE3A3A3-6DFB-4852-9411-4EFCB0D703C0}">
        <filterColumn colId="26">
          <filters>
            <filter val="-"/>
            <filter val="1"/>
            <filter val="5"/>
            <filter val="CLIENTES VIP"/>
            <filter val="MONITOREOS"/>
          </filters>
        </filterColumn>
      </autoFilter>
    </customSheetView>
  </customSheetViews>
  <mergeCells count="14">
    <mergeCell ref="V80:AC80"/>
    <mergeCell ref="V81:AC81"/>
    <mergeCell ref="A1:B1"/>
    <mergeCell ref="D3:AE3"/>
    <mergeCell ref="E4:F4"/>
    <mergeCell ref="E5:F5"/>
    <mergeCell ref="P20:Z20"/>
    <mergeCell ref="V39:AC39"/>
    <mergeCell ref="N42:U42"/>
    <mergeCell ref="V40:AC40"/>
    <mergeCell ref="V57:AC57"/>
    <mergeCell ref="N58:U58"/>
    <mergeCell ref="O59:Y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G84"/>
  <sheetViews>
    <sheetView showGridLines="0" workbookViewId="0"/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13">
        <v>11</v>
      </c>
      <c r="N4" s="150">
        <v>14</v>
      </c>
      <c r="O4" s="150">
        <v>14</v>
      </c>
      <c r="P4" s="137">
        <v>20</v>
      </c>
      <c r="Q4" s="136">
        <v>23</v>
      </c>
      <c r="R4" s="136">
        <v>23</v>
      </c>
      <c r="S4" s="120">
        <v>22</v>
      </c>
      <c r="T4" s="80">
        <v>21</v>
      </c>
      <c r="U4" s="137">
        <v>20</v>
      </c>
      <c r="V4" s="137">
        <v>20</v>
      </c>
      <c r="W4" s="137">
        <v>20</v>
      </c>
      <c r="X4" s="137">
        <v>20</v>
      </c>
      <c r="Y4" s="149">
        <v>19</v>
      </c>
      <c r="Z4" s="108">
        <v>15</v>
      </c>
      <c r="AA4" s="150">
        <v>14</v>
      </c>
      <c r="AB4" s="94">
        <v>10</v>
      </c>
      <c r="AC4" s="225">
        <v>8</v>
      </c>
      <c r="AD4" s="11">
        <v>4</v>
      </c>
      <c r="AE4" s="18">
        <f>SUM(G4:AD4)</f>
        <v>317</v>
      </c>
      <c r="AG4" s="3"/>
    </row>
    <row r="5" spans="1:33" ht="62.25">
      <c r="A5" s="3"/>
      <c r="B5" s="2"/>
      <c r="C5" s="2"/>
      <c r="D5" s="19"/>
      <c r="E5" s="569">
        <v>8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1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1</v>
      </c>
      <c r="T6" s="28">
        <f t="shared" si="0"/>
        <v>1</v>
      </c>
      <c r="U6" s="28">
        <f t="shared" si="0"/>
        <v>1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9" si="1">SUM(G6:AD6)</f>
        <v>4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SUM(G8:G59)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11</v>
      </c>
      <c r="N7" s="35">
        <f t="shared" si="2"/>
        <v>14</v>
      </c>
      <c r="O7" s="35">
        <f t="shared" si="2"/>
        <v>15</v>
      </c>
      <c r="P7" s="35">
        <f t="shared" si="2"/>
        <v>20</v>
      </c>
      <c r="Q7" s="35">
        <f t="shared" si="2"/>
        <v>23</v>
      </c>
      <c r="R7" s="35">
        <f t="shared" si="2"/>
        <v>23</v>
      </c>
      <c r="S7" s="35">
        <f t="shared" si="2"/>
        <v>23</v>
      </c>
      <c r="T7" s="35">
        <f t="shared" si="2"/>
        <v>22</v>
      </c>
      <c r="U7" s="35">
        <f t="shared" si="2"/>
        <v>21</v>
      </c>
      <c r="V7" s="35">
        <f t="shared" si="2"/>
        <v>20</v>
      </c>
      <c r="W7" s="35">
        <f t="shared" si="2"/>
        <v>20</v>
      </c>
      <c r="X7" s="35">
        <f t="shared" si="2"/>
        <v>20</v>
      </c>
      <c r="Y7" s="35">
        <f t="shared" si="2"/>
        <v>19</v>
      </c>
      <c r="Z7" s="35">
        <f t="shared" si="2"/>
        <v>15</v>
      </c>
      <c r="AA7" s="35">
        <f t="shared" si="2"/>
        <v>14</v>
      </c>
      <c r="AB7" s="35">
        <f t="shared" si="2"/>
        <v>10</v>
      </c>
      <c r="AC7" s="35">
        <f t="shared" si="2"/>
        <v>8</v>
      </c>
      <c r="AD7" s="35">
        <f t="shared" si="2"/>
        <v>4</v>
      </c>
      <c r="AE7" s="30">
        <f t="shared" si="1"/>
        <v>321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145" t="s">
        <v>46</v>
      </c>
      <c r="F8" s="249">
        <f t="shared" ref="F8:F19" si="3">SUM(G8:AD8)</f>
        <v>7</v>
      </c>
      <c r="G8" s="250"/>
      <c r="H8" s="250"/>
      <c r="I8" s="250"/>
      <c r="J8" s="250"/>
      <c r="K8" s="250"/>
      <c r="L8" s="250"/>
      <c r="M8" s="250">
        <v>1</v>
      </c>
      <c r="N8" s="250">
        <v>1</v>
      </c>
      <c r="O8" s="250"/>
      <c r="P8" s="250">
        <v>1</v>
      </c>
      <c r="Q8" s="250">
        <v>1</v>
      </c>
      <c r="R8" s="250">
        <v>1</v>
      </c>
      <c r="S8" s="250">
        <v>1</v>
      </c>
      <c r="T8" s="250">
        <v>1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2">
        <f t="shared" si="1"/>
        <v>7</v>
      </c>
      <c r="AF8" s="116" t="s">
        <v>569</v>
      </c>
      <c r="AG8" s="189" t="s">
        <v>570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45" t="s">
        <v>53</v>
      </c>
      <c r="F9" s="249">
        <f t="shared" si="3"/>
        <v>10</v>
      </c>
      <c r="G9" s="250">
        <v>1</v>
      </c>
      <c r="H9" s="250">
        <v>1</v>
      </c>
      <c r="I9" s="250">
        <v>1</v>
      </c>
      <c r="J9" s="250">
        <v>1</v>
      </c>
      <c r="K9" s="250">
        <v>1</v>
      </c>
      <c r="L9" s="250">
        <v>1</v>
      </c>
      <c r="M9" s="250">
        <v>1</v>
      </c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>
        <v>1</v>
      </c>
      <c r="AC9" s="250">
        <v>1</v>
      </c>
      <c r="AD9" s="250">
        <v>1</v>
      </c>
      <c r="AE9" s="252">
        <f t="shared" si="1"/>
        <v>10</v>
      </c>
      <c r="AF9" s="116" t="s">
        <v>554</v>
      </c>
      <c r="AG9" s="189" t="s">
        <v>558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45" t="s">
        <v>56</v>
      </c>
      <c r="F10" s="249">
        <f t="shared" si="3"/>
        <v>7</v>
      </c>
      <c r="G10" s="250"/>
      <c r="H10" s="250"/>
      <c r="I10" s="250"/>
      <c r="J10" s="250"/>
      <c r="K10" s="250"/>
      <c r="L10" s="250"/>
      <c r="M10" s="250"/>
      <c r="N10" s="250"/>
      <c r="O10" s="250"/>
      <c r="P10" s="250">
        <v>1</v>
      </c>
      <c r="Q10" s="250">
        <v>1</v>
      </c>
      <c r="R10" s="250">
        <v>1</v>
      </c>
      <c r="S10" s="250">
        <v>1</v>
      </c>
      <c r="T10" s="250"/>
      <c r="U10" s="250">
        <v>1</v>
      </c>
      <c r="V10" s="250">
        <v>1</v>
      </c>
      <c r="W10" s="250">
        <v>1</v>
      </c>
      <c r="X10" s="250"/>
      <c r="Y10" s="250"/>
      <c r="Z10" s="250"/>
      <c r="AA10" s="250"/>
      <c r="AB10" s="250"/>
      <c r="AC10" s="250"/>
      <c r="AD10" s="250"/>
      <c r="AE10" s="252">
        <f t="shared" si="1"/>
        <v>7</v>
      </c>
      <c r="AF10" s="116" t="s">
        <v>560</v>
      </c>
      <c r="AG10" s="189" t="s">
        <v>558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249">
        <f t="shared" si="3"/>
        <v>8</v>
      </c>
      <c r="G11" s="250"/>
      <c r="H11" s="250"/>
      <c r="I11" s="250"/>
      <c r="J11" s="250"/>
      <c r="K11" s="250"/>
      <c r="L11" s="250"/>
      <c r="M11" s="250">
        <v>1</v>
      </c>
      <c r="N11" s="250">
        <v>1</v>
      </c>
      <c r="O11" s="250">
        <v>1</v>
      </c>
      <c r="P11" s="250">
        <v>1</v>
      </c>
      <c r="Q11" s="250">
        <v>1</v>
      </c>
      <c r="R11" s="250">
        <v>1</v>
      </c>
      <c r="S11" s="250"/>
      <c r="T11" s="250">
        <v>1</v>
      </c>
      <c r="U11" s="250">
        <v>1</v>
      </c>
      <c r="V11" s="250"/>
      <c r="W11" s="250"/>
      <c r="X11" s="250"/>
      <c r="Y11" s="250"/>
      <c r="Z11" s="250"/>
      <c r="AA11" s="250"/>
      <c r="AB11" s="250"/>
      <c r="AC11" s="250"/>
      <c r="AD11" s="250"/>
      <c r="AE11" s="252">
        <f t="shared" si="1"/>
        <v>8</v>
      </c>
      <c r="AF11" s="116" t="s">
        <v>271</v>
      </c>
      <c r="AG11" s="189" t="s">
        <v>558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45" t="s">
        <v>147</v>
      </c>
      <c r="F12" s="249">
        <f t="shared" si="3"/>
        <v>8</v>
      </c>
      <c r="G12" s="250"/>
      <c r="H12" s="250"/>
      <c r="I12" s="250"/>
      <c r="J12" s="250"/>
      <c r="K12" s="250"/>
      <c r="L12" s="250"/>
      <c r="M12" s="250">
        <v>1</v>
      </c>
      <c r="N12" s="250">
        <v>1</v>
      </c>
      <c r="O12" s="250">
        <v>1</v>
      </c>
      <c r="P12" s="250">
        <v>1</v>
      </c>
      <c r="Q12" s="250">
        <v>1</v>
      </c>
      <c r="R12" s="250"/>
      <c r="S12" s="250">
        <v>1</v>
      </c>
      <c r="T12" s="250">
        <v>1</v>
      </c>
      <c r="U12" s="250">
        <v>1</v>
      </c>
      <c r="V12" s="250"/>
      <c r="W12" s="250"/>
      <c r="X12" s="250"/>
      <c r="Y12" s="250"/>
      <c r="Z12" s="250"/>
      <c r="AA12" s="250"/>
      <c r="AB12" s="250"/>
      <c r="AC12" s="250"/>
      <c r="AD12" s="250"/>
      <c r="AE12" s="252">
        <f t="shared" si="1"/>
        <v>8</v>
      </c>
      <c r="AF12" s="116" t="s">
        <v>239</v>
      </c>
      <c r="AG12" s="189" t="s">
        <v>558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53" t="s">
        <v>60</v>
      </c>
      <c r="F13" s="249">
        <f t="shared" si="3"/>
        <v>8</v>
      </c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>
        <v>1</v>
      </c>
      <c r="W13" s="250">
        <v>1</v>
      </c>
      <c r="X13" s="250">
        <v>1</v>
      </c>
      <c r="Y13" s="250">
        <v>1</v>
      </c>
      <c r="Z13" s="250">
        <v>1</v>
      </c>
      <c r="AA13" s="250">
        <v>1</v>
      </c>
      <c r="AB13" s="250">
        <v>1</v>
      </c>
      <c r="AC13" s="250">
        <v>1</v>
      </c>
      <c r="AD13" s="250"/>
      <c r="AE13" s="252">
        <f t="shared" si="1"/>
        <v>8</v>
      </c>
      <c r="AF13" s="116" t="s">
        <v>571</v>
      </c>
      <c r="AG13" s="189" t="s">
        <v>558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53" t="s">
        <v>63</v>
      </c>
      <c r="F14" s="249">
        <f t="shared" si="3"/>
        <v>8</v>
      </c>
      <c r="G14" s="250"/>
      <c r="H14" s="250"/>
      <c r="I14" s="250"/>
      <c r="J14" s="250"/>
      <c r="K14" s="250"/>
      <c r="L14" s="250"/>
      <c r="M14" s="250">
        <v>1</v>
      </c>
      <c r="N14" s="250">
        <v>1</v>
      </c>
      <c r="O14" s="250">
        <v>1</v>
      </c>
      <c r="P14" s="250">
        <v>1</v>
      </c>
      <c r="Q14" s="250">
        <v>1</v>
      </c>
      <c r="R14" s="250">
        <v>1</v>
      </c>
      <c r="S14" s="250">
        <v>1</v>
      </c>
      <c r="T14" s="250">
        <v>1</v>
      </c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2">
        <f t="shared" si="1"/>
        <v>8</v>
      </c>
      <c r="AF14" s="116" t="s">
        <v>438</v>
      </c>
      <c r="AG14" s="189" t="s">
        <v>558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53" t="s">
        <v>65</v>
      </c>
      <c r="F15" s="249">
        <f t="shared" si="3"/>
        <v>7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0"/>
      <c r="V15" s="250">
        <v>1</v>
      </c>
      <c r="W15" s="250">
        <v>1</v>
      </c>
      <c r="X15" s="250"/>
      <c r="Y15" s="250"/>
      <c r="Z15" s="250"/>
      <c r="AA15" s="250"/>
      <c r="AB15" s="250"/>
      <c r="AC15" s="250"/>
      <c r="AD15" s="250"/>
      <c r="AE15" s="252">
        <f t="shared" si="1"/>
        <v>7</v>
      </c>
      <c r="AF15" s="116" t="s">
        <v>572</v>
      </c>
      <c r="AG15" s="189" t="s">
        <v>558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45" t="s">
        <v>71</v>
      </c>
      <c r="F16" s="249">
        <f t="shared" si="3"/>
        <v>8</v>
      </c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>
        <v>1</v>
      </c>
      <c r="R16" s="250">
        <v>1</v>
      </c>
      <c r="S16" s="250"/>
      <c r="T16" s="250">
        <v>1</v>
      </c>
      <c r="U16" s="250">
        <v>1</v>
      </c>
      <c r="V16" s="250">
        <v>1</v>
      </c>
      <c r="W16" s="250">
        <v>1</v>
      </c>
      <c r="X16" s="250">
        <v>1</v>
      </c>
      <c r="Y16" s="250">
        <v>1</v>
      </c>
      <c r="Z16" s="250"/>
      <c r="AA16" s="250"/>
      <c r="AB16" s="250"/>
      <c r="AC16" s="250"/>
      <c r="AD16" s="250"/>
      <c r="AE16" s="252">
        <f t="shared" si="1"/>
        <v>8</v>
      </c>
      <c r="AF16" s="116" t="s">
        <v>565</v>
      </c>
      <c r="AG16" s="189" t="s">
        <v>558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145" t="s">
        <v>73</v>
      </c>
      <c r="F17" s="249">
        <f t="shared" si="3"/>
        <v>7</v>
      </c>
      <c r="G17" s="250"/>
      <c r="H17" s="250"/>
      <c r="I17" s="250"/>
      <c r="J17" s="250"/>
      <c r="K17" s="250"/>
      <c r="L17" s="250"/>
      <c r="M17" s="250">
        <v>1</v>
      </c>
      <c r="N17" s="250">
        <v>1</v>
      </c>
      <c r="O17" s="250">
        <v>1</v>
      </c>
      <c r="P17" s="250">
        <v>1</v>
      </c>
      <c r="Q17" s="250">
        <v>1</v>
      </c>
      <c r="R17" s="250">
        <v>1</v>
      </c>
      <c r="S17" s="250">
        <v>1</v>
      </c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2">
        <f t="shared" si="1"/>
        <v>7</v>
      </c>
      <c r="AF17" s="116" t="s">
        <v>573</v>
      </c>
      <c r="AG17" s="189" t="s">
        <v>558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145" t="s">
        <v>80</v>
      </c>
      <c r="F18" s="249">
        <f t="shared" si="3"/>
        <v>7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>
        <v>1</v>
      </c>
      <c r="X18" s="250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/>
      <c r="AE18" s="252">
        <f t="shared" si="1"/>
        <v>7</v>
      </c>
      <c r="AF18" s="116" t="s">
        <v>574</v>
      </c>
      <c r="AG18" s="189" t="s">
        <v>558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45" t="s">
        <v>83</v>
      </c>
      <c r="F19" s="249">
        <f t="shared" si="3"/>
        <v>8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>
        <v>1</v>
      </c>
      <c r="R19" s="250">
        <v>1</v>
      </c>
      <c r="S19" s="250">
        <v>1</v>
      </c>
      <c r="T19" s="250"/>
      <c r="U19" s="250">
        <v>1</v>
      </c>
      <c r="V19" s="250">
        <v>1</v>
      </c>
      <c r="W19" s="250">
        <v>1</v>
      </c>
      <c r="X19" s="250">
        <v>1</v>
      </c>
      <c r="Y19" s="250">
        <v>1</v>
      </c>
      <c r="Z19" s="250"/>
      <c r="AA19" s="250"/>
      <c r="AB19" s="250"/>
      <c r="AC19" s="250"/>
      <c r="AD19" s="250"/>
      <c r="AE19" s="252">
        <f t="shared" si="1"/>
        <v>8</v>
      </c>
      <c r="AF19" s="116" t="s">
        <v>245</v>
      </c>
      <c r="AG19" s="189" t="s">
        <v>558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249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579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42"/>
      <c r="AA20" s="77"/>
      <c r="AB20" s="77"/>
      <c r="AC20" s="42"/>
      <c r="AD20" s="42"/>
      <c r="AE20" s="252">
        <v>11</v>
      </c>
      <c r="AF20" s="116" t="s">
        <v>575</v>
      </c>
      <c r="AG20" s="189" t="s">
        <v>558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45" t="s">
        <v>91</v>
      </c>
      <c r="F21" s="249">
        <f t="shared" ref="F21:F38" si="4">SUM(G21:AD21)</f>
        <v>8</v>
      </c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>
        <v>1</v>
      </c>
      <c r="U21" s="250">
        <v>1</v>
      </c>
      <c r="V21" s="250"/>
      <c r="W21" s="250">
        <v>1</v>
      </c>
      <c r="X21" s="250">
        <v>1</v>
      </c>
      <c r="Y21" s="250">
        <v>1</v>
      </c>
      <c r="Z21" s="250">
        <v>1</v>
      </c>
      <c r="AA21" s="250">
        <v>1</v>
      </c>
      <c r="AB21" s="250">
        <v>1</v>
      </c>
      <c r="AC21" s="250"/>
      <c r="AD21" s="250"/>
      <c r="AE21" s="252">
        <f t="shared" ref="AE21:AE38" si="5">SUM(G21:AD21)</f>
        <v>8</v>
      </c>
      <c r="AF21" s="116" t="s">
        <v>562</v>
      </c>
      <c r="AG21" s="189" t="s">
        <v>558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53" t="s">
        <v>93</v>
      </c>
      <c r="F22" s="249">
        <f t="shared" si="4"/>
        <v>7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>
        <v>1</v>
      </c>
      <c r="Q22" s="250">
        <v>1</v>
      </c>
      <c r="R22" s="250">
        <v>1</v>
      </c>
      <c r="S22" s="250">
        <v>1</v>
      </c>
      <c r="T22" s="250">
        <v>1</v>
      </c>
      <c r="U22" s="250">
        <v>1</v>
      </c>
      <c r="V22" s="250">
        <v>1</v>
      </c>
      <c r="W22" s="250"/>
      <c r="X22" s="250"/>
      <c r="Y22" s="250"/>
      <c r="Z22" s="250"/>
      <c r="AA22" s="250"/>
      <c r="AB22" s="250"/>
      <c r="AC22" s="250"/>
      <c r="AD22" s="250"/>
      <c r="AE22" s="252">
        <f t="shared" si="5"/>
        <v>7</v>
      </c>
      <c r="AF22" s="116" t="s">
        <v>576</v>
      </c>
      <c r="AG22" s="189" t="s">
        <v>558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53" t="s">
        <v>95</v>
      </c>
      <c r="F23" s="249">
        <f t="shared" si="4"/>
        <v>7</v>
      </c>
      <c r="G23" s="250"/>
      <c r="H23" s="250"/>
      <c r="I23" s="250"/>
      <c r="J23" s="250"/>
      <c r="K23" s="250"/>
      <c r="L23" s="250"/>
      <c r="M23" s="250"/>
      <c r="N23" s="250"/>
      <c r="O23" s="250"/>
      <c r="P23" s="250">
        <v>1</v>
      </c>
      <c r="Q23" s="250">
        <v>1</v>
      </c>
      <c r="R23" s="250">
        <v>1</v>
      </c>
      <c r="S23" s="250">
        <v>1</v>
      </c>
      <c r="T23" s="250">
        <v>1</v>
      </c>
      <c r="U23" s="250">
        <v>1</v>
      </c>
      <c r="V23" s="250">
        <v>1</v>
      </c>
      <c r="W23" s="250"/>
      <c r="X23" s="250"/>
      <c r="Y23" s="250"/>
      <c r="Z23" s="250"/>
      <c r="AA23" s="250"/>
      <c r="AB23" s="250"/>
      <c r="AC23" s="250"/>
      <c r="AD23" s="250"/>
      <c r="AE23" s="252">
        <f t="shared" si="5"/>
        <v>7</v>
      </c>
      <c r="AF23" s="116" t="s">
        <v>576</v>
      </c>
      <c r="AG23" s="189" t="s">
        <v>558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53" t="s">
        <v>99</v>
      </c>
      <c r="F24" s="249">
        <f t="shared" si="4"/>
        <v>7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>
        <v>1</v>
      </c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/>
      <c r="AC24" s="250"/>
      <c r="AD24" s="250"/>
      <c r="AE24" s="252">
        <f t="shared" si="5"/>
        <v>7</v>
      </c>
      <c r="AF24" s="116" t="s">
        <v>539</v>
      </c>
      <c r="AG24" s="189" t="s">
        <v>558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53" t="s">
        <v>102</v>
      </c>
      <c r="F25" s="249">
        <f t="shared" si="4"/>
        <v>7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>
        <v>1</v>
      </c>
      <c r="S25" s="250">
        <v>1</v>
      </c>
      <c r="T25" s="250">
        <v>1</v>
      </c>
      <c r="U25" s="250"/>
      <c r="V25" s="250">
        <v>1</v>
      </c>
      <c r="W25" s="250">
        <v>1</v>
      </c>
      <c r="X25" s="250">
        <v>1</v>
      </c>
      <c r="Y25" s="250">
        <v>1</v>
      </c>
      <c r="Z25" s="250"/>
      <c r="AA25" s="250"/>
      <c r="AB25" s="250"/>
      <c r="AC25" s="250"/>
      <c r="AD25" s="250"/>
      <c r="AE25" s="252">
        <f t="shared" si="5"/>
        <v>7</v>
      </c>
      <c r="AF25" s="116" t="s">
        <v>577</v>
      </c>
      <c r="AG25" s="189" t="s">
        <v>558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53" t="s">
        <v>104</v>
      </c>
      <c r="F26" s="249">
        <f t="shared" si="4"/>
        <v>8</v>
      </c>
      <c r="G26" s="250"/>
      <c r="H26" s="250"/>
      <c r="I26" s="250"/>
      <c r="J26" s="250"/>
      <c r="K26" s="250"/>
      <c r="L26" s="250"/>
      <c r="M26" s="250">
        <v>1</v>
      </c>
      <c r="N26" s="250">
        <v>1</v>
      </c>
      <c r="O26" s="250">
        <v>1</v>
      </c>
      <c r="P26" s="250">
        <v>1</v>
      </c>
      <c r="Q26" s="250">
        <v>1</v>
      </c>
      <c r="R26" s="250">
        <v>1</v>
      </c>
      <c r="S26" s="250">
        <v>1</v>
      </c>
      <c r="T26" s="250">
        <v>1</v>
      </c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2">
        <f t="shared" si="5"/>
        <v>8</v>
      </c>
      <c r="AF26" s="116" t="s">
        <v>438</v>
      </c>
      <c r="AG26" s="189" t="s">
        <v>558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53" t="s">
        <v>333</v>
      </c>
      <c r="F27" s="249">
        <f t="shared" si="4"/>
        <v>6</v>
      </c>
      <c r="G27" s="250"/>
      <c r="H27" s="250"/>
      <c r="I27" s="250"/>
      <c r="J27" s="250"/>
      <c r="K27" s="250"/>
      <c r="L27" s="250"/>
      <c r="M27" s="250"/>
      <c r="N27" s="250">
        <v>1</v>
      </c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2">
        <f t="shared" si="5"/>
        <v>6</v>
      </c>
      <c r="AF27" s="116" t="s">
        <v>578</v>
      </c>
      <c r="AG27" s="189" t="s">
        <v>558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53" t="s">
        <v>172</v>
      </c>
      <c r="F28" s="249">
        <f t="shared" si="4"/>
        <v>8</v>
      </c>
      <c r="G28" s="250"/>
      <c r="H28" s="250"/>
      <c r="I28" s="250"/>
      <c r="J28" s="250"/>
      <c r="K28" s="250"/>
      <c r="L28" s="250"/>
      <c r="M28" s="250">
        <v>1</v>
      </c>
      <c r="N28" s="250">
        <v>1</v>
      </c>
      <c r="O28" s="250">
        <v>1</v>
      </c>
      <c r="P28" s="250">
        <v>1</v>
      </c>
      <c r="Q28" s="250">
        <v>1</v>
      </c>
      <c r="R28" s="250">
        <v>1</v>
      </c>
      <c r="S28" s="250">
        <v>1</v>
      </c>
      <c r="T28" s="250">
        <v>1</v>
      </c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2">
        <f t="shared" si="5"/>
        <v>8</v>
      </c>
      <c r="AF28" s="116" t="s">
        <v>438</v>
      </c>
      <c r="AG28" s="189" t="s">
        <v>558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53" t="s">
        <v>106</v>
      </c>
      <c r="F29" s="249">
        <f t="shared" si="4"/>
        <v>8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>
        <v>1</v>
      </c>
      <c r="W29" s="250">
        <v>1</v>
      </c>
      <c r="X29" s="250">
        <v>1</v>
      </c>
      <c r="Y29" s="250">
        <v>1</v>
      </c>
      <c r="Z29" s="250">
        <v>1</v>
      </c>
      <c r="AA29" s="250">
        <v>1</v>
      </c>
      <c r="AB29" s="250">
        <v>1</v>
      </c>
      <c r="AC29" s="250">
        <v>1</v>
      </c>
      <c r="AD29" s="250"/>
      <c r="AE29" s="252">
        <f t="shared" si="5"/>
        <v>8</v>
      </c>
      <c r="AF29" s="116" t="s">
        <v>571</v>
      </c>
      <c r="AG29" s="189" t="s">
        <v>558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53" t="s">
        <v>112</v>
      </c>
      <c r="F30" s="249">
        <f t="shared" si="4"/>
        <v>7</v>
      </c>
      <c r="G30" s="250"/>
      <c r="H30" s="250"/>
      <c r="I30" s="250"/>
      <c r="J30" s="250"/>
      <c r="K30" s="250"/>
      <c r="L30" s="250"/>
      <c r="M30" s="250">
        <v>1</v>
      </c>
      <c r="N30" s="250">
        <v>1</v>
      </c>
      <c r="O30" s="250">
        <v>1</v>
      </c>
      <c r="P30" s="250">
        <v>1</v>
      </c>
      <c r="Q30" s="250">
        <v>1</v>
      </c>
      <c r="R30" s="250">
        <v>1</v>
      </c>
      <c r="S30" s="250">
        <v>1</v>
      </c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2">
        <f t="shared" si="5"/>
        <v>7</v>
      </c>
      <c r="AF30" s="116" t="s">
        <v>573</v>
      </c>
      <c r="AG30" s="189" t="s">
        <v>558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53" t="s">
        <v>116</v>
      </c>
      <c r="F31" s="249">
        <f t="shared" si="4"/>
        <v>11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>
        <v>1</v>
      </c>
      <c r="AB31" s="250">
        <v>1</v>
      </c>
      <c r="AC31" s="250">
        <v>1</v>
      </c>
      <c r="AD31" s="250">
        <v>1</v>
      </c>
      <c r="AE31" s="252">
        <f t="shared" si="5"/>
        <v>11</v>
      </c>
      <c r="AF31" s="116" t="s">
        <v>424</v>
      </c>
      <c r="AG31" s="189" t="s">
        <v>558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53" t="s">
        <v>121</v>
      </c>
      <c r="F32" s="249">
        <f t="shared" si="4"/>
        <v>7</v>
      </c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>
        <v>1</v>
      </c>
      <c r="X32" s="250">
        <v>1</v>
      </c>
      <c r="Y32" s="250">
        <v>1</v>
      </c>
      <c r="Z32" s="250">
        <v>1</v>
      </c>
      <c r="AA32" s="250">
        <v>1</v>
      </c>
      <c r="AB32" s="250">
        <v>1</v>
      </c>
      <c r="AC32" s="250">
        <v>1</v>
      </c>
      <c r="AD32" s="250"/>
      <c r="AE32" s="252">
        <f t="shared" si="5"/>
        <v>7</v>
      </c>
      <c r="AF32" s="116" t="s">
        <v>574</v>
      </c>
      <c r="AG32" s="189" t="s">
        <v>558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53" t="s">
        <v>123</v>
      </c>
      <c r="F33" s="249">
        <f t="shared" si="4"/>
        <v>8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>
        <v>1</v>
      </c>
      <c r="U33" s="250">
        <v>1</v>
      </c>
      <c r="V33" s="250">
        <v>1</v>
      </c>
      <c r="W33" s="250">
        <v>1</v>
      </c>
      <c r="X33" s="250">
        <v>1</v>
      </c>
      <c r="Y33" s="250">
        <v>1</v>
      </c>
      <c r="Z33" s="250">
        <v>1</v>
      </c>
      <c r="AA33" s="250">
        <v>1</v>
      </c>
      <c r="AB33" s="250"/>
      <c r="AC33" s="250"/>
      <c r="AD33" s="250"/>
      <c r="AE33" s="252">
        <f t="shared" si="5"/>
        <v>8</v>
      </c>
      <c r="AF33" s="116" t="s">
        <v>579</v>
      </c>
      <c r="AG33" s="189" t="s">
        <v>558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53" t="s">
        <v>125</v>
      </c>
      <c r="F34" s="249">
        <f t="shared" si="4"/>
        <v>7</v>
      </c>
      <c r="G34" s="250">
        <v>1</v>
      </c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>
        <v>1</v>
      </c>
      <c r="Y34" s="250">
        <v>1</v>
      </c>
      <c r="Z34" s="250">
        <v>1</v>
      </c>
      <c r="AA34" s="250"/>
      <c r="AB34" s="250">
        <v>1</v>
      </c>
      <c r="AC34" s="250">
        <v>1</v>
      </c>
      <c r="AD34" s="250">
        <v>1</v>
      </c>
      <c r="AE34" s="252">
        <f t="shared" si="5"/>
        <v>7</v>
      </c>
      <c r="AF34" s="116" t="s">
        <v>580</v>
      </c>
      <c r="AG34" s="189" t="s">
        <v>558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53" t="s">
        <v>127</v>
      </c>
      <c r="F35" s="249">
        <f t="shared" si="4"/>
        <v>7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>
        <v>1</v>
      </c>
      <c r="U35" s="250">
        <v>1</v>
      </c>
      <c r="V35" s="250">
        <v>1</v>
      </c>
      <c r="W35" s="250">
        <v>1</v>
      </c>
      <c r="X35" s="250">
        <v>1</v>
      </c>
      <c r="Y35" s="250">
        <v>1</v>
      </c>
      <c r="Z35" s="250">
        <v>1</v>
      </c>
      <c r="AA35" s="250"/>
      <c r="AB35" s="250"/>
      <c r="AC35" s="250"/>
      <c r="AD35" s="250"/>
      <c r="AE35" s="252">
        <f t="shared" si="5"/>
        <v>7</v>
      </c>
      <c r="AF35" s="116" t="s">
        <v>581</v>
      </c>
      <c r="AG35" s="189" t="s">
        <v>558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53" t="s">
        <v>129</v>
      </c>
      <c r="F36" s="249">
        <f t="shared" si="4"/>
        <v>8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>
        <v>1</v>
      </c>
      <c r="U36" s="250">
        <v>1</v>
      </c>
      <c r="V36" s="250">
        <v>1</v>
      </c>
      <c r="W36" s="250"/>
      <c r="X36" s="250">
        <v>1</v>
      </c>
      <c r="Y36" s="250">
        <v>1</v>
      </c>
      <c r="Z36" s="250">
        <v>1</v>
      </c>
      <c r="AA36" s="250">
        <v>1</v>
      </c>
      <c r="AB36" s="250">
        <v>1</v>
      </c>
      <c r="AC36" s="250"/>
      <c r="AD36" s="250"/>
      <c r="AE36" s="252">
        <f t="shared" si="5"/>
        <v>8</v>
      </c>
      <c r="AF36" s="116" t="s">
        <v>241</v>
      </c>
      <c r="AG36" s="189" t="s">
        <v>558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53" t="s">
        <v>131</v>
      </c>
      <c r="F37" s="249">
        <f t="shared" si="4"/>
        <v>7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>
        <v>1</v>
      </c>
      <c r="T37" s="263">
        <v>1</v>
      </c>
      <c r="U37" s="263">
        <v>1</v>
      </c>
      <c r="V37" s="263">
        <v>1</v>
      </c>
      <c r="W37" s="263">
        <v>1</v>
      </c>
      <c r="X37" s="263">
        <v>1</v>
      </c>
      <c r="Y37" s="263">
        <v>1</v>
      </c>
      <c r="Z37" s="263"/>
      <c r="AA37" s="263"/>
      <c r="AB37" s="263"/>
      <c r="AC37" s="263"/>
      <c r="AD37" s="250"/>
      <c r="AE37" s="252">
        <f t="shared" si="5"/>
        <v>7</v>
      </c>
      <c r="AF37" s="116" t="s">
        <v>582</v>
      </c>
      <c r="AG37" s="189" t="s">
        <v>558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53" t="s">
        <v>50</v>
      </c>
      <c r="F38" s="249">
        <f t="shared" si="4"/>
        <v>0</v>
      </c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54"/>
      <c r="AE38" s="252">
        <f t="shared" si="5"/>
        <v>0</v>
      </c>
      <c r="AF38" s="111" t="s">
        <v>6</v>
      </c>
      <c r="AG38" s="189" t="s">
        <v>558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53" t="s">
        <v>135</v>
      </c>
      <c r="F39" s="249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252">
        <v>8</v>
      </c>
      <c r="AF39" s="116" t="s">
        <v>571</v>
      </c>
      <c r="AG39" s="189" t="s">
        <v>558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53" t="s">
        <v>140</v>
      </c>
      <c r="F40" s="249">
        <v>8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252">
        <v>8</v>
      </c>
      <c r="AF40" s="111" t="s">
        <v>571</v>
      </c>
      <c r="AG40" s="189" t="s">
        <v>558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53" t="s">
        <v>118</v>
      </c>
      <c r="F41" s="249">
        <f>SUM(G41:AD41)</f>
        <v>9</v>
      </c>
      <c r="G41" s="250">
        <v>1</v>
      </c>
      <c r="H41" s="250">
        <v>1</v>
      </c>
      <c r="I41" s="250">
        <v>1</v>
      </c>
      <c r="J41" s="250">
        <v>1</v>
      </c>
      <c r="K41" s="250">
        <v>1</v>
      </c>
      <c r="L41" s="250">
        <v>1</v>
      </c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>
        <v>1</v>
      </c>
      <c r="AC41" s="250">
        <v>1</v>
      </c>
      <c r="AD41" s="250">
        <v>1</v>
      </c>
      <c r="AE41" s="252">
        <f>SUM(G41:AD41)</f>
        <v>9</v>
      </c>
      <c r="AF41" s="116" t="s">
        <v>559</v>
      </c>
      <c r="AG41" s="189" t="s">
        <v>558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53" t="s">
        <v>143</v>
      </c>
      <c r="F42" s="249">
        <v>8</v>
      </c>
      <c r="G42" s="250"/>
      <c r="H42" s="250"/>
      <c r="I42" s="250"/>
      <c r="J42" s="250"/>
      <c r="K42" s="250"/>
      <c r="L42" s="250"/>
      <c r="M42" s="250"/>
      <c r="N42" s="583" t="s">
        <v>209</v>
      </c>
      <c r="O42" s="555"/>
      <c r="P42" s="555"/>
      <c r="Q42" s="555"/>
      <c r="R42" s="555"/>
      <c r="S42" s="555"/>
      <c r="T42" s="555"/>
      <c r="U42" s="542"/>
      <c r="V42" s="250"/>
      <c r="W42" s="250"/>
      <c r="X42" s="250"/>
      <c r="Y42" s="250"/>
      <c r="Z42" s="250"/>
      <c r="AA42" s="250"/>
      <c r="AB42" s="250"/>
      <c r="AC42" s="250"/>
      <c r="AD42" s="250"/>
      <c r="AE42" s="252">
        <v>8</v>
      </c>
      <c r="AF42" s="111" t="s">
        <v>583</v>
      </c>
      <c r="AG42" s="189" t="s">
        <v>558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53" t="s">
        <v>455</v>
      </c>
      <c r="F43" s="249">
        <f t="shared" ref="F43:F56" si="6">SUM(G43:AD43)</f>
        <v>7</v>
      </c>
      <c r="G43" s="250"/>
      <c r="H43" s="250"/>
      <c r="I43" s="250"/>
      <c r="J43" s="250"/>
      <c r="K43" s="250"/>
      <c r="L43" s="250"/>
      <c r="M43" s="250"/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2">
        <f t="shared" ref="AE43:AE56" si="7">SUM(G43:AD43)</f>
        <v>7</v>
      </c>
      <c r="AF43" s="111" t="s">
        <v>584</v>
      </c>
      <c r="AG43" s="189" t="s">
        <v>558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53" t="s">
        <v>457</v>
      </c>
      <c r="F44" s="249">
        <f t="shared" si="6"/>
        <v>7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>
        <v>1</v>
      </c>
      <c r="R44" s="250">
        <v>1</v>
      </c>
      <c r="S44" s="250">
        <v>1</v>
      </c>
      <c r="T44" s="250"/>
      <c r="U44" s="250">
        <v>1</v>
      </c>
      <c r="V44" s="250">
        <v>1</v>
      </c>
      <c r="W44" s="250">
        <v>1</v>
      </c>
      <c r="X44" s="250">
        <v>1</v>
      </c>
      <c r="Y44" s="250"/>
      <c r="Z44" s="250"/>
      <c r="AA44" s="250"/>
      <c r="AB44" s="250"/>
      <c r="AC44" s="250"/>
      <c r="AD44" s="250"/>
      <c r="AE44" s="252">
        <f t="shared" si="7"/>
        <v>7</v>
      </c>
      <c r="AF44" s="116" t="s">
        <v>585</v>
      </c>
      <c r="AG44" s="189" t="s">
        <v>558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53" t="s">
        <v>460</v>
      </c>
      <c r="F45" s="249">
        <f t="shared" si="6"/>
        <v>7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>
        <v>1</v>
      </c>
      <c r="V45" s="250">
        <v>1</v>
      </c>
      <c r="W45" s="250">
        <v>1</v>
      </c>
      <c r="X45" s="250">
        <v>1</v>
      </c>
      <c r="Y45" s="250">
        <v>1</v>
      </c>
      <c r="Z45" s="250">
        <v>1</v>
      </c>
      <c r="AA45" s="250">
        <v>1</v>
      </c>
      <c r="AB45" s="250"/>
      <c r="AC45" s="250"/>
      <c r="AD45" s="250"/>
      <c r="AE45" s="252">
        <f t="shared" si="7"/>
        <v>7</v>
      </c>
      <c r="AF45" s="111" t="s">
        <v>539</v>
      </c>
      <c r="AG45" s="189" t="s">
        <v>558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53" t="s">
        <v>478</v>
      </c>
      <c r="F46" s="249">
        <f t="shared" si="6"/>
        <v>7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>
        <v>1</v>
      </c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>
        <v>1</v>
      </c>
      <c r="AB46" s="250"/>
      <c r="AC46" s="250"/>
      <c r="AD46" s="250"/>
      <c r="AE46" s="252">
        <f t="shared" si="7"/>
        <v>7</v>
      </c>
      <c r="AF46" s="111" t="s">
        <v>539</v>
      </c>
      <c r="AG46" s="189" t="s">
        <v>558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53" t="s">
        <v>461</v>
      </c>
      <c r="F47" s="249">
        <f t="shared" si="6"/>
        <v>7</v>
      </c>
      <c r="G47" s="250"/>
      <c r="H47" s="250"/>
      <c r="I47" s="250"/>
      <c r="J47" s="250"/>
      <c r="K47" s="250"/>
      <c r="L47" s="250"/>
      <c r="M47" s="250"/>
      <c r="N47" s="250">
        <v>1</v>
      </c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0">
        <v>1</v>
      </c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2">
        <f t="shared" si="7"/>
        <v>7</v>
      </c>
      <c r="AF47" s="111" t="s">
        <v>584</v>
      </c>
      <c r="AG47" s="189" t="s">
        <v>558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53" t="s">
        <v>463</v>
      </c>
      <c r="F48" s="249">
        <f t="shared" si="6"/>
        <v>7</v>
      </c>
      <c r="G48" s="250"/>
      <c r="H48" s="250"/>
      <c r="I48" s="250"/>
      <c r="J48" s="250"/>
      <c r="K48" s="250"/>
      <c r="L48" s="250"/>
      <c r="M48" s="250"/>
      <c r="N48" s="250">
        <v>1</v>
      </c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0">
        <v>1</v>
      </c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2">
        <f t="shared" si="7"/>
        <v>7</v>
      </c>
      <c r="AF48" s="111" t="s">
        <v>584</v>
      </c>
      <c r="AG48" s="189" t="s">
        <v>558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53" t="s">
        <v>465</v>
      </c>
      <c r="F49" s="249">
        <f t="shared" si="6"/>
        <v>7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>
        <v>1</v>
      </c>
      <c r="V49" s="250">
        <v>1</v>
      </c>
      <c r="W49" s="250">
        <v>1</v>
      </c>
      <c r="X49" s="250">
        <v>1</v>
      </c>
      <c r="Y49" s="250">
        <v>1</v>
      </c>
      <c r="Z49" s="250">
        <v>1</v>
      </c>
      <c r="AA49" s="250">
        <v>1</v>
      </c>
      <c r="AB49" s="250"/>
      <c r="AC49" s="250"/>
      <c r="AD49" s="250"/>
      <c r="AE49" s="252">
        <f t="shared" si="7"/>
        <v>7</v>
      </c>
      <c r="AF49" s="111" t="s">
        <v>539</v>
      </c>
      <c r="AG49" s="189" t="s">
        <v>558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53" t="s">
        <v>466</v>
      </c>
      <c r="F50" s="249">
        <f t="shared" si="6"/>
        <v>7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>
        <v>1</v>
      </c>
      <c r="V50" s="250">
        <v>1</v>
      </c>
      <c r="W50" s="250">
        <v>1</v>
      </c>
      <c r="X50" s="250">
        <v>1</v>
      </c>
      <c r="Y50" s="250">
        <v>1</v>
      </c>
      <c r="Z50" s="250">
        <v>1</v>
      </c>
      <c r="AA50" s="250">
        <v>1</v>
      </c>
      <c r="AB50" s="250"/>
      <c r="AC50" s="250"/>
      <c r="AD50" s="250"/>
      <c r="AE50" s="252">
        <f t="shared" si="7"/>
        <v>7</v>
      </c>
      <c r="AF50" s="111" t="s">
        <v>539</v>
      </c>
      <c r="AG50" s="189" t="s">
        <v>558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53" t="s">
        <v>467</v>
      </c>
      <c r="F51" s="249">
        <f t="shared" si="6"/>
        <v>7</v>
      </c>
      <c r="G51" s="250"/>
      <c r="H51" s="250"/>
      <c r="I51" s="250"/>
      <c r="J51" s="250"/>
      <c r="K51" s="250"/>
      <c r="L51" s="250"/>
      <c r="M51" s="250"/>
      <c r="N51" s="250"/>
      <c r="O51" s="250">
        <v>1</v>
      </c>
      <c r="P51" s="250">
        <v>1</v>
      </c>
      <c r="Q51" s="250">
        <v>1</v>
      </c>
      <c r="R51" s="250">
        <v>1</v>
      </c>
      <c r="S51" s="250">
        <v>1</v>
      </c>
      <c r="T51" s="250">
        <v>1</v>
      </c>
      <c r="U51" s="250">
        <v>1</v>
      </c>
      <c r="V51" s="250"/>
      <c r="W51" s="250"/>
      <c r="X51" s="250"/>
      <c r="Y51" s="250"/>
      <c r="Z51" s="250"/>
      <c r="AA51" s="250"/>
      <c r="AB51" s="250"/>
      <c r="AC51" s="250"/>
      <c r="AD51" s="250"/>
      <c r="AE51" s="252">
        <f t="shared" si="7"/>
        <v>7</v>
      </c>
      <c r="AF51" s="111" t="s">
        <v>568</v>
      </c>
      <c r="AG51" s="189" t="s">
        <v>558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53" t="s">
        <v>491</v>
      </c>
      <c r="F52" s="249">
        <f t="shared" si="6"/>
        <v>7</v>
      </c>
      <c r="G52" s="250"/>
      <c r="H52" s="250"/>
      <c r="I52" s="250"/>
      <c r="J52" s="250"/>
      <c r="K52" s="250"/>
      <c r="L52" s="250"/>
      <c r="M52" s="250"/>
      <c r="N52" s="250">
        <v>1</v>
      </c>
      <c r="O52" s="250">
        <v>1</v>
      </c>
      <c r="P52" s="250">
        <v>1</v>
      </c>
      <c r="Q52" s="250">
        <v>1</v>
      </c>
      <c r="R52" s="250">
        <v>1</v>
      </c>
      <c r="S52" s="250">
        <v>1</v>
      </c>
      <c r="T52" s="250">
        <v>1</v>
      </c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2">
        <f t="shared" si="7"/>
        <v>7</v>
      </c>
      <c r="AF52" s="111" t="s">
        <v>584</v>
      </c>
      <c r="AG52" s="189" t="s">
        <v>558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53" t="s">
        <v>493</v>
      </c>
      <c r="F53" s="249">
        <f t="shared" si="6"/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  <c r="Z53" s="77">
        <v>0</v>
      </c>
      <c r="AA53" s="77">
        <v>0</v>
      </c>
      <c r="AB53" s="77">
        <v>0</v>
      </c>
      <c r="AC53" s="77">
        <v>0</v>
      </c>
      <c r="AD53" s="77">
        <v>0</v>
      </c>
      <c r="AE53" s="101">
        <f t="shared" si="7"/>
        <v>0</v>
      </c>
      <c r="AF53" s="89" t="s">
        <v>225</v>
      </c>
      <c r="AG53" s="189" t="s">
        <v>558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53" t="s">
        <v>469</v>
      </c>
      <c r="F54" s="249">
        <f t="shared" si="6"/>
        <v>7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>
        <v>1</v>
      </c>
      <c r="V54" s="250">
        <v>1</v>
      </c>
      <c r="W54" s="250">
        <v>1</v>
      </c>
      <c r="X54" s="250">
        <v>1</v>
      </c>
      <c r="Y54" s="250">
        <v>1</v>
      </c>
      <c r="Z54" s="250">
        <v>1</v>
      </c>
      <c r="AA54" s="250">
        <v>1</v>
      </c>
      <c r="AB54" s="250"/>
      <c r="AC54" s="250"/>
      <c r="AD54" s="250"/>
      <c r="AE54" s="252">
        <f t="shared" si="7"/>
        <v>7</v>
      </c>
      <c r="AF54" s="111" t="s">
        <v>539</v>
      </c>
      <c r="AG54" s="189" t="s">
        <v>558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53" t="s">
        <v>495</v>
      </c>
      <c r="F55" s="249">
        <f t="shared" si="6"/>
        <v>7</v>
      </c>
      <c r="G55" s="250"/>
      <c r="H55" s="250"/>
      <c r="I55" s="250"/>
      <c r="J55" s="250"/>
      <c r="K55" s="250"/>
      <c r="L55" s="250"/>
      <c r="M55" s="250"/>
      <c r="N55" s="250"/>
      <c r="O55" s="250">
        <v>1</v>
      </c>
      <c r="P55" s="250">
        <v>1</v>
      </c>
      <c r="Q55" s="250">
        <v>1</v>
      </c>
      <c r="R55" s="250">
        <v>1</v>
      </c>
      <c r="S55" s="250">
        <v>1</v>
      </c>
      <c r="T55" s="250">
        <v>1</v>
      </c>
      <c r="U55" s="250">
        <v>1</v>
      </c>
      <c r="V55" s="250"/>
      <c r="W55" s="250"/>
      <c r="X55" s="250"/>
      <c r="Y55" s="250"/>
      <c r="Z55" s="250"/>
      <c r="AA55" s="250"/>
      <c r="AB55" s="250"/>
      <c r="AC55" s="250"/>
      <c r="AD55" s="250"/>
      <c r="AE55" s="252">
        <f t="shared" si="7"/>
        <v>7</v>
      </c>
      <c r="AF55" s="111" t="s">
        <v>568</v>
      </c>
      <c r="AG55" s="189" t="s">
        <v>558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53" t="s">
        <v>497</v>
      </c>
      <c r="F56" s="249">
        <f t="shared" si="6"/>
        <v>7</v>
      </c>
      <c r="G56" s="250"/>
      <c r="H56" s="250"/>
      <c r="I56" s="250"/>
      <c r="J56" s="250"/>
      <c r="K56" s="250"/>
      <c r="L56" s="250"/>
      <c r="M56" s="250">
        <v>1</v>
      </c>
      <c r="N56" s="250">
        <v>1</v>
      </c>
      <c r="O56" s="250">
        <v>1</v>
      </c>
      <c r="P56" s="250">
        <v>1</v>
      </c>
      <c r="Q56" s="250">
        <v>1</v>
      </c>
      <c r="R56" s="250">
        <v>1</v>
      </c>
      <c r="S56" s="250">
        <v>1</v>
      </c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2">
        <f t="shared" si="7"/>
        <v>7</v>
      </c>
      <c r="AF56" s="111" t="s">
        <v>573</v>
      </c>
      <c r="AG56" s="189" t="s">
        <v>558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249">
        <v>8</v>
      </c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42"/>
      <c r="U57" s="250"/>
      <c r="V57" s="577" t="s">
        <v>292</v>
      </c>
      <c r="W57" s="555"/>
      <c r="X57" s="555"/>
      <c r="Y57" s="555"/>
      <c r="Z57" s="555"/>
      <c r="AA57" s="555"/>
      <c r="AB57" s="555"/>
      <c r="AC57" s="555"/>
      <c r="AD57" s="42"/>
      <c r="AE57" s="252">
        <v>8</v>
      </c>
      <c r="AF57" s="111" t="s">
        <v>571</v>
      </c>
      <c r="AG57" s="189" t="s">
        <v>558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249">
        <v>8</v>
      </c>
      <c r="G58" s="258"/>
      <c r="H58" s="258"/>
      <c r="I58" s="258"/>
      <c r="J58" s="258"/>
      <c r="K58" s="258"/>
      <c r="L58" s="258"/>
      <c r="M58" s="258"/>
      <c r="N58" s="577" t="s">
        <v>292</v>
      </c>
      <c r="O58" s="555"/>
      <c r="P58" s="555"/>
      <c r="Q58" s="555"/>
      <c r="R58" s="555"/>
      <c r="S58" s="555"/>
      <c r="T58" s="555"/>
      <c r="U58" s="555"/>
      <c r="V58" s="250"/>
      <c r="W58" s="42"/>
      <c r="X58" s="42"/>
      <c r="Y58" s="42"/>
      <c r="Z58" s="42"/>
      <c r="AA58" s="42"/>
      <c r="AB58" s="42"/>
      <c r="AC58" s="42"/>
      <c r="AD58" s="258"/>
      <c r="AE58" s="252">
        <v>8</v>
      </c>
      <c r="AF58" s="116" t="s">
        <v>583</v>
      </c>
      <c r="AG58" s="189" t="s">
        <v>558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249">
        <v>12</v>
      </c>
      <c r="G59" s="42"/>
      <c r="H59" s="42"/>
      <c r="I59" s="42"/>
      <c r="J59" s="42"/>
      <c r="K59" s="42"/>
      <c r="L59" s="42"/>
      <c r="M59" s="42"/>
      <c r="N59" s="42"/>
      <c r="O59" s="42"/>
      <c r="P59" s="577" t="s">
        <v>364</v>
      </c>
      <c r="Q59" s="555"/>
      <c r="R59" s="555"/>
      <c r="S59" s="555"/>
      <c r="T59" s="555"/>
      <c r="U59" s="555"/>
      <c r="V59" s="555"/>
      <c r="W59" s="555"/>
      <c r="X59" s="555"/>
      <c r="Y59" s="555"/>
      <c r="Z59" s="542"/>
      <c r="AA59" s="42"/>
      <c r="AB59" s="42"/>
      <c r="AC59" s="42"/>
      <c r="AD59" s="42"/>
      <c r="AE59" s="252">
        <v>11</v>
      </c>
      <c r="AF59" s="111" t="s">
        <v>586</v>
      </c>
      <c r="AG59" s="189" t="s">
        <v>558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56">
        <v>5</v>
      </c>
      <c r="P62" s="143">
        <v>8</v>
      </c>
      <c r="Q62" s="143">
        <v>8</v>
      </c>
      <c r="R62" s="143">
        <v>8</v>
      </c>
      <c r="S62" s="143">
        <v>8</v>
      </c>
      <c r="T62" s="143">
        <v>8</v>
      </c>
      <c r="U62" s="143">
        <v>8</v>
      </c>
      <c r="V62" s="143">
        <v>8</v>
      </c>
      <c r="W62" s="57">
        <v>9</v>
      </c>
      <c r="X62" s="57">
        <v>9</v>
      </c>
      <c r="Y62" s="57">
        <v>9</v>
      </c>
      <c r="Z62" s="144">
        <v>6</v>
      </c>
      <c r="AA62" s="56">
        <v>5</v>
      </c>
      <c r="AB62" s="56">
        <v>5</v>
      </c>
      <c r="AC62" s="234">
        <v>3</v>
      </c>
      <c r="AD62" s="12">
        <v>2</v>
      </c>
      <c r="AE62" s="18">
        <f>SUM(G62:AD62)</f>
        <v>129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8">G65-G62</f>
        <v>0</v>
      </c>
      <c r="H63" s="28">
        <f t="shared" si="8"/>
        <v>0</v>
      </c>
      <c r="I63" s="28">
        <f t="shared" si="8"/>
        <v>0</v>
      </c>
      <c r="J63" s="28">
        <f t="shared" si="8"/>
        <v>0</v>
      </c>
      <c r="K63" s="28">
        <f t="shared" si="8"/>
        <v>0</v>
      </c>
      <c r="L63" s="28">
        <f t="shared" si="8"/>
        <v>0</v>
      </c>
      <c r="M63" s="28">
        <f t="shared" si="8"/>
        <v>0</v>
      </c>
      <c r="N63" s="28">
        <f t="shared" si="8"/>
        <v>0</v>
      </c>
      <c r="O63" s="28">
        <f t="shared" si="8"/>
        <v>0</v>
      </c>
      <c r="P63" s="28">
        <f t="shared" si="8"/>
        <v>0</v>
      </c>
      <c r="Q63" s="28">
        <f t="shared" si="8"/>
        <v>0</v>
      </c>
      <c r="R63" s="28">
        <f t="shared" si="8"/>
        <v>1</v>
      </c>
      <c r="S63" s="28">
        <f t="shared" si="8"/>
        <v>0</v>
      </c>
      <c r="T63" s="28">
        <f t="shared" si="8"/>
        <v>1</v>
      </c>
      <c r="U63" s="28">
        <f t="shared" si="8"/>
        <v>0</v>
      </c>
      <c r="V63" s="28">
        <f t="shared" si="8"/>
        <v>0</v>
      </c>
      <c r="W63" s="28">
        <f t="shared" si="8"/>
        <v>0</v>
      </c>
      <c r="X63" s="28">
        <f t="shared" si="8"/>
        <v>0</v>
      </c>
      <c r="Y63" s="28">
        <f t="shared" si="8"/>
        <v>0</v>
      </c>
      <c r="Z63" s="28">
        <f t="shared" si="8"/>
        <v>0</v>
      </c>
      <c r="AA63" s="28">
        <f t="shared" si="8"/>
        <v>0</v>
      </c>
      <c r="AB63" s="28">
        <f t="shared" si="8"/>
        <v>0</v>
      </c>
      <c r="AC63" s="28">
        <f t="shared" si="8"/>
        <v>0</v>
      </c>
      <c r="AD63" s="28">
        <f t="shared" si="8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9">SUM(G66:G82)</f>
        <v>2</v>
      </c>
      <c r="H65" s="35">
        <f t="shared" si="9"/>
        <v>2</v>
      </c>
      <c r="I65" s="35">
        <f t="shared" si="9"/>
        <v>2</v>
      </c>
      <c r="J65" s="35">
        <f t="shared" si="9"/>
        <v>2</v>
      </c>
      <c r="K65" s="35">
        <f t="shared" si="9"/>
        <v>2</v>
      </c>
      <c r="L65" s="35">
        <f t="shared" si="9"/>
        <v>2</v>
      </c>
      <c r="M65" s="35">
        <f t="shared" si="9"/>
        <v>4</v>
      </c>
      <c r="N65" s="35">
        <f t="shared" si="9"/>
        <v>4</v>
      </c>
      <c r="O65" s="35">
        <f t="shared" si="9"/>
        <v>5</v>
      </c>
      <c r="P65" s="35">
        <f t="shared" si="9"/>
        <v>8</v>
      </c>
      <c r="Q65" s="35">
        <f t="shared" si="9"/>
        <v>8</v>
      </c>
      <c r="R65" s="35">
        <f t="shared" si="9"/>
        <v>9</v>
      </c>
      <c r="S65" s="35">
        <f t="shared" si="9"/>
        <v>8</v>
      </c>
      <c r="T65" s="35">
        <f t="shared" si="9"/>
        <v>9</v>
      </c>
      <c r="U65" s="35">
        <f t="shared" si="9"/>
        <v>8</v>
      </c>
      <c r="V65" s="35">
        <f t="shared" si="9"/>
        <v>8</v>
      </c>
      <c r="W65" s="35">
        <f t="shared" si="9"/>
        <v>9</v>
      </c>
      <c r="X65" s="35">
        <f t="shared" si="9"/>
        <v>9</v>
      </c>
      <c r="Y65" s="35">
        <f t="shared" si="9"/>
        <v>9</v>
      </c>
      <c r="Z65" s="35">
        <f t="shared" si="9"/>
        <v>6</v>
      </c>
      <c r="AA65" s="35">
        <f t="shared" si="9"/>
        <v>5</v>
      </c>
      <c r="AB65" s="35">
        <f t="shared" si="9"/>
        <v>5</v>
      </c>
      <c r="AC65" s="35">
        <f t="shared" si="9"/>
        <v>3</v>
      </c>
      <c r="AD65" s="35">
        <f t="shared" si="9"/>
        <v>2</v>
      </c>
      <c r="AE65" s="30">
        <f t="shared" ref="AE65:AE82" si="10">SUM(G65:AD65)</f>
        <v>131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1">SUM(G66:AD66)</f>
        <v>9</v>
      </c>
      <c r="G66" s="42"/>
      <c r="H66" s="42"/>
      <c r="I66" s="42"/>
      <c r="J66" s="42"/>
      <c r="K66" s="42"/>
      <c r="L66" s="42"/>
      <c r="M66" s="42"/>
      <c r="N66" s="42"/>
      <c r="O66" s="42"/>
      <c r="P66" s="42">
        <v>1</v>
      </c>
      <c r="Q66" s="42">
        <v>1</v>
      </c>
      <c r="R66" s="42">
        <v>1</v>
      </c>
      <c r="S66" s="42"/>
      <c r="T66" s="42">
        <v>1</v>
      </c>
      <c r="U66" s="42">
        <v>1</v>
      </c>
      <c r="V66" s="42">
        <v>1</v>
      </c>
      <c r="W66" s="42">
        <v>1</v>
      </c>
      <c r="X66" s="42">
        <v>1</v>
      </c>
      <c r="Y66" s="42">
        <v>1</v>
      </c>
      <c r="Z66" s="42"/>
      <c r="AA66" s="42"/>
      <c r="AB66" s="42"/>
      <c r="AC66" s="42"/>
      <c r="AD66" s="42"/>
      <c r="AE66" s="41">
        <f t="shared" si="10"/>
        <v>9</v>
      </c>
      <c r="AF66" s="116" t="s">
        <v>545</v>
      </c>
      <c r="AG66" s="189" t="s">
        <v>558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1"/>
        <v>9</v>
      </c>
      <c r="G67" s="42"/>
      <c r="H67" s="42"/>
      <c r="I67" s="42"/>
      <c r="J67" s="42"/>
      <c r="K67" s="42"/>
      <c r="L67" s="42"/>
      <c r="M67" s="42"/>
      <c r="N67" s="42"/>
      <c r="O67" s="42"/>
      <c r="P67" s="42">
        <v>1</v>
      </c>
      <c r="Q67" s="42">
        <v>1</v>
      </c>
      <c r="R67" s="42">
        <v>1</v>
      </c>
      <c r="S67" s="42"/>
      <c r="T67" s="42">
        <v>1</v>
      </c>
      <c r="U67" s="42">
        <v>1</v>
      </c>
      <c r="V67" s="42">
        <v>1</v>
      </c>
      <c r="W67" s="42">
        <v>1</v>
      </c>
      <c r="X67" s="42">
        <v>1</v>
      </c>
      <c r="Y67" s="42">
        <v>1</v>
      </c>
      <c r="Z67" s="42"/>
      <c r="AA67" s="42"/>
      <c r="AB67" s="42"/>
      <c r="AC67" s="42"/>
      <c r="AD67" s="42"/>
      <c r="AE67" s="41">
        <f t="shared" si="10"/>
        <v>9</v>
      </c>
      <c r="AF67" s="116" t="s">
        <v>545</v>
      </c>
      <c r="AG67" s="189" t="s">
        <v>558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1"/>
        <v>7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>
        <v>1</v>
      </c>
      <c r="X68" s="42">
        <v>1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/>
      <c r="AE68" s="41">
        <f t="shared" si="10"/>
        <v>7</v>
      </c>
      <c r="AF68" s="111" t="s">
        <v>574</v>
      </c>
      <c r="AG68" s="189" t="s">
        <v>558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1"/>
        <v>10</v>
      </c>
      <c r="G69" s="42"/>
      <c r="H69" s="42"/>
      <c r="I69" s="42"/>
      <c r="J69" s="42"/>
      <c r="K69" s="42"/>
      <c r="L69" s="42"/>
      <c r="M69" s="42"/>
      <c r="N69" s="42"/>
      <c r="O69" s="42">
        <v>1</v>
      </c>
      <c r="P69" s="42">
        <v>1</v>
      </c>
      <c r="Q69" s="42">
        <v>1</v>
      </c>
      <c r="R69" s="42">
        <v>1</v>
      </c>
      <c r="S69" s="42">
        <v>1</v>
      </c>
      <c r="T69" s="42">
        <v>1</v>
      </c>
      <c r="U69" s="42"/>
      <c r="V69" s="42">
        <v>1</v>
      </c>
      <c r="W69" s="42">
        <v>1</v>
      </c>
      <c r="X69" s="42">
        <v>1</v>
      </c>
      <c r="Y69" s="42">
        <v>1</v>
      </c>
      <c r="Z69" s="42"/>
      <c r="AA69" s="42"/>
      <c r="AB69" s="42"/>
      <c r="AC69" s="42"/>
      <c r="AD69" s="42"/>
      <c r="AE69" s="41">
        <f t="shared" si="10"/>
        <v>10</v>
      </c>
      <c r="AF69" s="116" t="s">
        <v>296</v>
      </c>
      <c r="AG69" s="189" t="s">
        <v>558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1"/>
        <v>6</v>
      </c>
      <c r="G70" s="42"/>
      <c r="H70" s="42"/>
      <c r="I70" s="42"/>
      <c r="J70" s="42"/>
      <c r="K70" s="42"/>
      <c r="L70" s="42"/>
      <c r="M70" s="42"/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1">
        <f t="shared" si="10"/>
        <v>6</v>
      </c>
      <c r="AF70" s="111" t="s">
        <v>578</v>
      </c>
      <c r="AG70" s="189" t="s">
        <v>558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1"/>
        <v>9</v>
      </c>
      <c r="G71" s="42"/>
      <c r="H71" s="42"/>
      <c r="I71" s="42"/>
      <c r="J71" s="42"/>
      <c r="K71" s="42"/>
      <c r="L71" s="42"/>
      <c r="M71" s="42">
        <v>1</v>
      </c>
      <c r="N71" s="42">
        <v>1</v>
      </c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>
        <v>1</v>
      </c>
      <c r="U71" s="42">
        <v>1</v>
      </c>
      <c r="V71" s="42"/>
      <c r="W71" s="42"/>
      <c r="X71" s="42"/>
      <c r="Y71" s="42"/>
      <c r="Z71" s="42"/>
      <c r="AA71" s="42"/>
      <c r="AB71" s="42"/>
      <c r="AC71" s="42"/>
      <c r="AD71" s="42"/>
      <c r="AE71" s="41">
        <f t="shared" si="10"/>
        <v>9</v>
      </c>
      <c r="AF71" s="111" t="s">
        <v>587</v>
      </c>
      <c r="AG71" s="189" t="s">
        <v>558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1"/>
        <v>11</v>
      </c>
      <c r="G72" s="42">
        <v>1</v>
      </c>
      <c r="H72" s="42">
        <v>1</v>
      </c>
      <c r="I72" s="42">
        <v>1</v>
      </c>
      <c r="J72" s="42">
        <v>1</v>
      </c>
      <c r="K72" s="42">
        <v>1</v>
      </c>
      <c r="L72" s="42">
        <v>1</v>
      </c>
      <c r="M72" s="42">
        <v>1</v>
      </c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>
        <v>1</v>
      </c>
      <c r="AB72" s="42">
        <v>1</v>
      </c>
      <c r="AC72" s="42">
        <v>1</v>
      </c>
      <c r="AD72" s="42">
        <v>1</v>
      </c>
      <c r="AE72" s="41">
        <f t="shared" si="10"/>
        <v>11</v>
      </c>
      <c r="AF72" s="116" t="s">
        <v>424</v>
      </c>
      <c r="AG72" s="189" t="s">
        <v>558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1"/>
        <v>8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>
        <v>1</v>
      </c>
      <c r="V73" s="42">
        <v>1</v>
      </c>
      <c r="W73" s="42">
        <v>1</v>
      </c>
      <c r="X73" s="42">
        <v>1</v>
      </c>
      <c r="Y73" s="42">
        <v>1</v>
      </c>
      <c r="Z73" s="42">
        <v>1</v>
      </c>
      <c r="AA73" s="42">
        <v>1</v>
      </c>
      <c r="AB73" s="42">
        <v>1</v>
      </c>
      <c r="AC73" s="42"/>
      <c r="AD73" s="42"/>
      <c r="AE73" s="41">
        <f t="shared" si="10"/>
        <v>8</v>
      </c>
      <c r="AF73" s="111" t="s">
        <v>588</v>
      </c>
      <c r="AG73" s="189" t="s">
        <v>558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1"/>
        <v>11</v>
      </c>
      <c r="G74" s="42">
        <v>1</v>
      </c>
      <c r="H74" s="42">
        <v>1</v>
      </c>
      <c r="I74" s="42">
        <v>1</v>
      </c>
      <c r="J74" s="42">
        <v>1</v>
      </c>
      <c r="K74" s="42">
        <v>1</v>
      </c>
      <c r="L74" s="42">
        <v>1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>
        <v>1</v>
      </c>
      <c r="AA74" s="42">
        <v>1</v>
      </c>
      <c r="AB74" s="42">
        <v>1</v>
      </c>
      <c r="AC74" s="42">
        <v>1</v>
      </c>
      <c r="AD74" s="42">
        <v>1</v>
      </c>
      <c r="AE74" s="41">
        <f t="shared" si="10"/>
        <v>11</v>
      </c>
      <c r="AF74" s="116" t="s">
        <v>432</v>
      </c>
      <c r="AG74" s="189" t="s">
        <v>558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1"/>
        <v>8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63">
        <v>1</v>
      </c>
      <c r="V75" s="63">
        <v>1</v>
      </c>
      <c r="W75" s="63">
        <v>1</v>
      </c>
      <c r="X75" s="42">
        <v>1</v>
      </c>
      <c r="Y75" s="42">
        <v>1</v>
      </c>
      <c r="Z75" s="42">
        <v>1</v>
      </c>
      <c r="AA75" s="42">
        <v>1</v>
      </c>
      <c r="AB75" s="42">
        <v>1</v>
      </c>
      <c r="AC75" s="42"/>
      <c r="AD75" s="42"/>
      <c r="AE75" s="101">
        <f t="shared" si="10"/>
        <v>8</v>
      </c>
      <c r="AF75" s="111" t="s">
        <v>588</v>
      </c>
      <c r="AG75" s="189" t="s">
        <v>558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1"/>
        <v>8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>
        <v>1</v>
      </c>
      <c r="T76" s="42">
        <v>1</v>
      </c>
      <c r="U76" s="42">
        <v>1</v>
      </c>
      <c r="V76" s="42">
        <v>1</v>
      </c>
      <c r="W76" s="42">
        <v>1</v>
      </c>
      <c r="X76" s="42">
        <v>1</v>
      </c>
      <c r="Y76" s="42">
        <v>1</v>
      </c>
      <c r="Z76" s="42">
        <v>1</v>
      </c>
      <c r="AA76" s="42"/>
      <c r="AB76" s="42"/>
      <c r="AC76" s="42"/>
      <c r="AD76" s="42"/>
      <c r="AE76" s="41">
        <f t="shared" si="10"/>
        <v>8</v>
      </c>
      <c r="AF76" s="111" t="s">
        <v>589</v>
      </c>
      <c r="AG76" s="189" t="s">
        <v>558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1"/>
        <v>9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>
        <v>1</v>
      </c>
      <c r="S77" s="42">
        <v>1</v>
      </c>
      <c r="T77" s="42">
        <v>1</v>
      </c>
      <c r="U77" s="42">
        <v>1</v>
      </c>
      <c r="V77" s="42">
        <v>1</v>
      </c>
      <c r="W77" s="42">
        <v>1</v>
      </c>
      <c r="X77" s="42">
        <v>1</v>
      </c>
      <c r="Y77" s="42">
        <v>1</v>
      </c>
      <c r="Z77" s="42">
        <v>1</v>
      </c>
      <c r="AA77" s="42"/>
      <c r="AB77" s="42"/>
      <c r="AC77" s="42"/>
      <c r="AD77" s="42"/>
      <c r="AE77" s="41">
        <f t="shared" si="10"/>
        <v>9</v>
      </c>
      <c r="AF77" s="111" t="s">
        <v>590</v>
      </c>
      <c r="AG77" s="189" t="s">
        <v>558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1"/>
        <v>9</v>
      </c>
      <c r="G78" s="42"/>
      <c r="H78" s="42"/>
      <c r="I78" s="42"/>
      <c r="J78" s="42"/>
      <c r="K78" s="42"/>
      <c r="L78" s="42"/>
      <c r="M78" s="42">
        <v>1</v>
      </c>
      <c r="N78" s="42">
        <v>1</v>
      </c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>
        <v>1</v>
      </c>
      <c r="U78" s="42">
        <v>1</v>
      </c>
      <c r="V78" s="42"/>
      <c r="W78" s="42"/>
      <c r="X78" s="42"/>
      <c r="Y78" s="42"/>
      <c r="Z78" s="42"/>
      <c r="AA78" s="42"/>
      <c r="AB78" s="42"/>
      <c r="AC78" s="42"/>
      <c r="AD78" s="42"/>
      <c r="AE78" s="41">
        <f t="shared" si="10"/>
        <v>9</v>
      </c>
      <c r="AF78" s="111" t="s">
        <v>587</v>
      </c>
      <c r="AG78" s="189" t="s">
        <v>558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1"/>
        <v>9</v>
      </c>
      <c r="G79" s="102"/>
      <c r="H79" s="102"/>
      <c r="I79" s="102"/>
      <c r="J79" s="102"/>
      <c r="K79" s="102"/>
      <c r="L79" s="102"/>
      <c r="M79" s="102"/>
      <c r="N79" s="102"/>
      <c r="O79" s="102"/>
      <c r="P79" s="102">
        <v>1</v>
      </c>
      <c r="Q79" s="102">
        <v>1</v>
      </c>
      <c r="R79" s="102">
        <v>1</v>
      </c>
      <c r="S79" s="102">
        <v>1</v>
      </c>
      <c r="T79" s="102">
        <v>1</v>
      </c>
      <c r="U79" s="102"/>
      <c r="V79" s="102">
        <v>1</v>
      </c>
      <c r="W79" s="42">
        <v>1</v>
      </c>
      <c r="X79" s="102">
        <v>1</v>
      </c>
      <c r="Y79" s="102">
        <v>1</v>
      </c>
      <c r="Z79" s="102"/>
      <c r="AA79" s="102"/>
      <c r="AB79" s="102"/>
      <c r="AC79" s="102"/>
      <c r="AD79" s="42"/>
      <c r="AE79" s="41">
        <f t="shared" si="10"/>
        <v>9</v>
      </c>
      <c r="AF79" s="116" t="s">
        <v>242</v>
      </c>
      <c r="AG79" s="189" t="s">
        <v>558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1"/>
        <v>0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583" t="s">
        <v>209</v>
      </c>
      <c r="W80" s="555"/>
      <c r="X80" s="555"/>
      <c r="Y80" s="555"/>
      <c r="Z80" s="555"/>
      <c r="AA80" s="555"/>
      <c r="AB80" s="555"/>
      <c r="AC80" s="542"/>
      <c r="AD80" s="77"/>
      <c r="AE80" s="41">
        <f t="shared" si="10"/>
        <v>0</v>
      </c>
      <c r="AF80" s="111" t="s">
        <v>571</v>
      </c>
      <c r="AG80" s="189" t="s">
        <v>558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1"/>
        <v>0</v>
      </c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583" t="s">
        <v>209</v>
      </c>
      <c r="W81" s="555"/>
      <c r="X81" s="555"/>
      <c r="Y81" s="555"/>
      <c r="Z81" s="555"/>
      <c r="AA81" s="555"/>
      <c r="AB81" s="555"/>
      <c r="AC81" s="542"/>
      <c r="AD81" s="77"/>
      <c r="AE81" s="41">
        <f t="shared" si="10"/>
        <v>0</v>
      </c>
      <c r="AF81" s="111" t="s">
        <v>571</v>
      </c>
      <c r="AG81" s="189" t="s">
        <v>558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11"/>
        <v>8</v>
      </c>
      <c r="G82" s="42"/>
      <c r="H82" s="42"/>
      <c r="I82" s="42"/>
      <c r="J82" s="42"/>
      <c r="K82" s="42"/>
      <c r="L82" s="42"/>
      <c r="M82" s="63">
        <v>1</v>
      </c>
      <c r="N82" s="63">
        <v>1</v>
      </c>
      <c r="O82" s="63">
        <v>1</v>
      </c>
      <c r="P82" s="63">
        <v>1</v>
      </c>
      <c r="Q82" s="63">
        <v>1</v>
      </c>
      <c r="R82" s="63">
        <v>1</v>
      </c>
      <c r="S82" s="63">
        <v>1</v>
      </c>
      <c r="T82" s="63">
        <v>1</v>
      </c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1">
        <f t="shared" si="10"/>
        <v>8</v>
      </c>
      <c r="AF82" s="111" t="s">
        <v>438</v>
      </c>
      <c r="AG82" s="189" t="s">
        <v>558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833D6734-F5E1-4449-B5A1-8C3A51A61651}" filter="1" showAutoFilter="1">
      <pageMargins left="0.7" right="0.7" top="0.75" bottom="0.75" header="0.3" footer="0.3"/>
      <autoFilter ref="A7:AG84" xr:uid="{C54079D9-6BEF-4B6D-AF78-60503F4897B8}">
        <filterColumn colId="26">
          <filters>
            <filter val="-"/>
            <filter val="1"/>
            <filter val="5"/>
            <filter val="CLIENTES VIP"/>
            <filter val="MONITOREOS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4" xr:uid="{B5D2EFC3-34CD-41CB-890B-1EF0D9ABE73E}">
        <filterColumn colId="15">
          <filters>
            <filter val="-"/>
            <filter val="1"/>
            <filter val="20"/>
            <filter val="8"/>
            <filter val="CLIENTES VIP"/>
            <filter val="MONITOREOS"/>
            <filter val="SEGUIMIENTO TRANSFERENCIAS"/>
            <filter val="SOPORTE DTH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6721EE11-C039-4C52-9040-1807D77160C8}"/>
    </customSheetView>
  </customSheetViews>
  <mergeCells count="14">
    <mergeCell ref="V80:AC80"/>
    <mergeCell ref="V81:AC81"/>
    <mergeCell ref="A1:B1"/>
    <mergeCell ref="D3:AE3"/>
    <mergeCell ref="E4:F4"/>
    <mergeCell ref="E5:F5"/>
    <mergeCell ref="P20:Z20"/>
    <mergeCell ref="V39:AC39"/>
    <mergeCell ref="N42:U42"/>
    <mergeCell ref="V40:AC40"/>
    <mergeCell ref="V57:AC57"/>
    <mergeCell ref="N58:U58"/>
    <mergeCell ref="P59:Z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G84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268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94">
        <v>10</v>
      </c>
      <c r="N4" s="14">
        <v>12</v>
      </c>
      <c r="O4" s="14">
        <v>12</v>
      </c>
      <c r="P4" s="144">
        <v>18</v>
      </c>
      <c r="Q4" s="119">
        <v>24</v>
      </c>
      <c r="R4" s="119">
        <v>24</v>
      </c>
      <c r="S4" s="136">
        <v>23</v>
      </c>
      <c r="T4" s="136">
        <v>23</v>
      </c>
      <c r="U4" s="120">
        <v>22</v>
      </c>
      <c r="V4" s="120">
        <v>22</v>
      </c>
      <c r="W4" s="120">
        <v>22</v>
      </c>
      <c r="X4" s="80">
        <v>21</v>
      </c>
      <c r="Y4" s="83">
        <v>17</v>
      </c>
      <c r="Z4" s="108">
        <v>15</v>
      </c>
      <c r="AA4" s="150">
        <v>14</v>
      </c>
      <c r="AB4" s="246">
        <v>9</v>
      </c>
      <c r="AC4" s="225">
        <v>8</v>
      </c>
      <c r="AD4" s="11">
        <v>4</v>
      </c>
      <c r="AE4" s="18">
        <f>SUM(G4:AD4)</f>
        <v>319</v>
      </c>
      <c r="AF4" s="3"/>
      <c r="AG4" s="3"/>
    </row>
    <row r="5" spans="1:33" ht="62.25">
      <c r="A5" s="3"/>
      <c r="B5" s="2"/>
      <c r="C5" s="2"/>
      <c r="D5" s="19"/>
      <c r="E5" s="569">
        <v>9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1</v>
      </c>
      <c r="O6" s="28">
        <f t="shared" si="0"/>
        <v>0</v>
      </c>
      <c r="P6" s="28">
        <f t="shared" si="0"/>
        <v>0</v>
      </c>
      <c r="Q6" s="28">
        <f t="shared" si="0"/>
        <v>-1</v>
      </c>
      <c r="R6" s="28">
        <f t="shared" si="0"/>
        <v>-1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1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-1</v>
      </c>
      <c r="AD6" s="28">
        <f t="shared" si="0"/>
        <v>0</v>
      </c>
      <c r="AE6" s="29">
        <f t="shared" ref="AE6:AE19" si="1">SUM(G6:AD6)</f>
        <v>-1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SUM(G8:G59)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10</v>
      </c>
      <c r="N7" s="35">
        <f t="shared" si="2"/>
        <v>13</v>
      </c>
      <c r="O7" s="35">
        <f t="shared" si="2"/>
        <v>12</v>
      </c>
      <c r="P7" s="35">
        <f t="shared" si="2"/>
        <v>18</v>
      </c>
      <c r="Q7" s="35">
        <f t="shared" si="2"/>
        <v>23</v>
      </c>
      <c r="R7" s="35">
        <f t="shared" si="2"/>
        <v>23</v>
      </c>
      <c r="S7" s="35">
        <f t="shared" si="2"/>
        <v>23</v>
      </c>
      <c r="T7" s="35">
        <f t="shared" si="2"/>
        <v>23</v>
      </c>
      <c r="U7" s="35">
        <f t="shared" si="2"/>
        <v>22</v>
      </c>
      <c r="V7" s="35">
        <f t="shared" si="2"/>
        <v>22</v>
      </c>
      <c r="W7" s="35">
        <f t="shared" si="2"/>
        <v>22</v>
      </c>
      <c r="X7" s="35">
        <f t="shared" si="2"/>
        <v>21</v>
      </c>
      <c r="Y7" s="35">
        <f t="shared" si="2"/>
        <v>18</v>
      </c>
      <c r="Z7" s="35">
        <f t="shared" si="2"/>
        <v>15</v>
      </c>
      <c r="AA7" s="35">
        <f t="shared" si="2"/>
        <v>14</v>
      </c>
      <c r="AB7" s="35">
        <f t="shared" si="2"/>
        <v>9</v>
      </c>
      <c r="AC7" s="35">
        <f t="shared" si="2"/>
        <v>7</v>
      </c>
      <c r="AD7" s="35">
        <f t="shared" si="2"/>
        <v>4</v>
      </c>
      <c r="AE7" s="30">
        <f t="shared" si="1"/>
        <v>318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145" t="s">
        <v>46</v>
      </c>
      <c r="F8" s="249">
        <f t="shared" ref="F8:F19" si="3">SUM(G8:AD8)</f>
        <v>7</v>
      </c>
      <c r="G8" s="250"/>
      <c r="H8" s="250"/>
      <c r="I8" s="250"/>
      <c r="J8" s="250"/>
      <c r="K8" s="250"/>
      <c r="L8" s="250"/>
      <c r="M8" s="250">
        <v>1</v>
      </c>
      <c r="N8" s="250">
        <v>1</v>
      </c>
      <c r="O8" s="250"/>
      <c r="P8" s="250">
        <v>1</v>
      </c>
      <c r="Q8" s="250">
        <v>1</v>
      </c>
      <c r="R8" s="250">
        <v>1</v>
      </c>
      <c r="S8" s="250">
        <v>1</v>
      </c>
      <c r="T8" s="250">
        <v>1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2">
        <f t="shared" si="1"/>
        <v>7</v>
      </c>
      <c r="AF8" s="116" t="s">
        <v>569</v>
      </c>
      <c r="AG8" s="189" t="s">
        <v>570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45" t="s">
        <v>53</v>
      </c>
      <c r="F9" s="249">
        <f t="shared" si="3"/>
        <v>10</v>
      </c>
      <c r="G9" s="250">
        <v>1</v>
      </c>
      <c r="H9" s="250">
        <v>1</v>
      </c>
      <c r="I9" s="250">
        <v>1</v>
      </c>
      <c r="J9" s="250">
        <v>1</v>
      </c>
      <c r="K9" s="250">
        <v>1</v>
      </c>
      <c r="L9" s="250">
        <v>1</v>
      </c>
      <c r="M9" s="250">
        <v>1</v>
      </c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>
        <v>1</v>
      </c>
      <c r="AC9" s="250">
        <v>1</v>
      </c>
      <c r="AD9" s="250">
        <v>1</v>
      </c>
      <c r="AE9" s="252">
        <f t="shared" si="1"/>
        <v>10</v>
      </c>
      <c r="AF9" s="116" t="s">
        <v>554</v>
      </c>
      <c r="AG9" s="189" t="s">
        <v>558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45" t="s">
        <v>56</v>
      </c>
      <c r="F10" s="249">
        <f t="shared" si="3"/>
        <v>8</v>
      </c>
      <c r="G10" s="250"/>
      <c r="H10" s="250"/>
      <c r="I10" s="250"/>
      <c r="J10" s="250"/>
      <c r="K10" s="250"/>
      <c r="L10" s="250"/>
      <c r="M10" s="250"/>
      <c r="N10" s="250"/>
      <c r="O10" s="250"/>
      <c r="P10" s="250">
        <v>1</v>
      </c>
      <c r="Q10" s="250">
        <v>1</v>
      </c>
      <c r="R10" s="250">
        <v>1</v>
      </c>
      <c r="S10" s="250">
        <v>1</v>
      </c>
      <c r="T10" s="250">
        <v>1</v>
      </c>
      <c r="U10" s="250">
        <v>1</v>
      </c>
      <c r="V10" s="250">
        <v>1</v>
      </c>
      <c r="W10" s="250">
        <v>1</v>
      </c>
      <c r="X10" s="250"/>
      <c r="Y10" s="250"/>
      <c r="Z10" s="250"/>
      <c r="AA10" s="250"/>
      <c r="AB10" s="250"/>
      <c r="AC10" s="250"/>
      <c r="AD10" s="250"/>
      <c r="AE10" s="252">
        <f t="shared" si="1"/>
        <v>8</v>
      </c>
      <c r="AF10" s="116" t="s">
        <v>269</v>
      </c>
      <c r="AG10" s="189" t="s">
        <v>558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249">
        <f t="shared" si="3"/>
        <v>0</v>
      </c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2">
        <f t="shared" si="1"/>
        <v>0</v>
      </c>
      <c r="AF11" s="116" t="s">
        <v>271</v>
      </c>
      <c r="AG11" s="189" t="s">
        <v>558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45" t="s">
        <v>147</v>
      </c>
      <c r="F12" s="249">
        <f t="shared" si="3"/>
        <v>10</v>
      </c>
      <c r="G12" s="250"/>
      <c r="H12" s="250"/>
      <c r="I12" s="250"/>
      <c r="J12" s="250"/>
      <c r="K12" s="250"/>
      <c r="L12" s="250"/>
      <c r="M12" s="250">
        <v>1</v>
      </c>
      <c r="N12" s="250">
        <v>1</v>
      </c>
      <c r="O12" s="250">
        <v>1</v>
      </c>
      <c r="P12" s="255">
        <v>1</v>
      </c>
      <c r="Q12" s="255">
        <v>1</v>
      </c>
      <c r="R12" s="255">
        <v>1</v>
      </c>
      <c r="S12" s="255">
        <v>1</v>
      </c>
      <c r="T12" s="255">
        <v>1</v>
      </c>
      <c r="U12" s="255">
        <v>1</v>
      </c>
      <c r="V12" s="250">
        <v>1</v>
      </c>
      <c r="W12" s="250"/>
      <c r="X12" s="250"/>
      <c r="Y12" s="250"/>
      <c r="Z12" s="250"/>
      <c r="AA12" s="250"/>
      <c r="AB12" s="250"/>
      <c r="AC12" s="250"/>
      <c r="AD12" s="250"/>
      <c r="AE12" s="252">
        <f t="shared" si="1"/>
        <v>10</v>
      </c>
      <c r="AF12" s="116" t="s">
        <v>151</v>
      </c>
      <c r="AG12" s="189" t="s">
        <v>558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53" t="s">
        <v>60</v>
      </c>
      <c r="F13" s="249">
        <f t="shared" si="3"/>
        <v>8</v>
      </c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>
        <v>1</v>
      </c>
      <c r="W13" s="250">
        <v>1</v>
      </c>
      <c r="X13" s="250">
        <v>1</v>
      </c>
      <c r="Y13" s="250">
        <v>1</v>
      </c>
      <c r="Z13" s="250">
        <v>1</v>
      </c>
      <c r="AA13" s="250">
        <v>1</v>
      </c>
      <c r="AB13" s="250">
        <v>1</v>
      </c>
      <c r="AC13" s="250">
        <v>1</v>
      </c>
      <c r="AD13" s="250"/>
      <c r="AE13" s="252">
        <f t="shared" si="1"/>
        <v>8</v>
      </c>
      <c r="AF13" s="116" t="s">
        <v>571</v>
      </c>
      <c r="AG13" s="189" t="s">
        <v>558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53" t="s">
        <v>63</v>
      </c>
      <c r="F14" s="249">
        <f t="shared" si="3"/>
        <v>7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>
        <v>1</v>
      </c>
      <c r="Q14" s="250">
        <v>1</v>
      </c>
      <c r="R14" s="250">
        <v>1</v>
      </c>
      <c r="S14" s="250">
        <v>1</v>
      </c>
      <c r="T14" s="250">
        <v>1</v>
      </c>
      <c r="U14" s="250">
        <v>1</v>
      </c>
      <c r="V14" s="250">
        <v>1</v>
      </c>
      <c r="W14" s="250"/>
      <c r="X14" s="250"/>
      <c r="Y14" s="250"/>
      <c r="Z14" s="250"/>
      <c r="AA14" s="250"/>
      <c r="AB14" s="250"/>
      <c r="AC14" s="250"/>
      <c r="AD14" s="250"/>
      <c r="AE14" s="252">
        <f t="shared" si="1"/>
        <v>7</v>
      </c>
      <c r="AF14" s="116" t="s">
        <v>591</v>
      </c>
      <c r="AG14" s="189" t="s">
        <v>558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53" t="s">
        <v>65</v>
      </c>
      <c r="F15" s="249">
        <f t="shared" si="3"/>
        <v>9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0">
        <v>1</v>
      </c>
      <c r="V15" s="250">
        <v>1</v>
      </c>
      <c r="W15" s="250">
        <v>1</v>
      </c>
      <c r="X15" s="250">
        <v>1</v>
      </c>
      <c r="Y15" s="250"/>
      <c r="Z15" s="250"/>
      <c r="AA15" s="250"/>
      <c r="AB15" s="250"/>
      <c r="AC15" s="250"/>
      <c r="AD15" s="250"/>
      <c r="AE15" s="252">
        <f t="shared" si="1"/>
        <v>9</v>
      </c>
      <c r="AF15" s="116" t="s">
        <v>193</v>
      </c>
      <c r="AG15" s="189" t="s">
        <v>558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45" t="s">
        <v>71</v>
      </c>
      <c r="F16" s="249">
        <f t="shared" si="3"/>
        <v>7</v>
      </c>
      <c r="G16" s="250"/>
      <c r="H16" s="250"/>
      <c r="I16" s="250"/>
      <c r="J16" s="250"/>
      <c r="K16" s="250"/>
      <c r="L16" s="250"/>
      <c r="M16" s="250">
        <v>1</v>
      </c>
      <c r="N16" s="250">
        <v>1</v>
      </c>
      <c r="O16" s="250">
        <v>1</v>
      </c>
      <c r="P16" s="250"/>
      <c r="Q16" s="250">
        <v>1</v>
      </c>
      <c r="R16" s="250">
        <v>1</v>
      </c>
      <c r="S16" s="250">
        <v>1</v>
      </c>
      <c r="T16" s="250">
        <v>1</v>
      </c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2">
        <f t="shared" si="1"/>
        <v>7</v>
      </c>
      <c r="AF16" s="116" t="s">
        <v>592</v>
      </c>
      <c r="AG16" s="189" t="s">
        <v>558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145" t="s">
        <v>73</v>
      </c>
      <c r="F17" s="249">
        <f t="shared" si="3"/>
        <v>8</v>
      </c>
      <c r="G17" s="250"/>
      <c r="H17" s="250"/>
      <c r="I17" s="250"/>
      <c r="J17" s="250"/>
      <c r="K17" s="250"/>
      <c r="L17" s="250"/>
      <c r="M17" s="250">
        <v>1</v>
      </c>
      <c r="N17" s="250">
        <v>1</v>
      </c>
      <c r="O17" s="250">
        <v>1</v>
      </c>
      <c r="P17" s="250">
        <v>1</v>
      </c>
      <c r="Q17" s="250">
        <v>1</v>
      </c>
      <c r="R17" s="250">
        <v>1</v>
      </c>
      <c r="S17" s="250">
        <v>1</v>
      </c>
      <c r="T17" s="250">
        <v>1</v>
      </c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2">
        <f t="shared" si="1"/>
        <v>8</v>
      </c>
      <c r="AF17" s="116" t="s">
        <v>438</v>
      </c>
      <c r="AG17" s="189" t="s">
        <v>558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145" t="s">
        <v>80</v>
      </c>
      <c r="F18" s="249">
        <f t="shared" si="3"/>
        <v>6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4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/>
      <c r="AE18" s="252">
        <f t="shared" si="1"/>
        <v>6</v>
      </c>
      <c r="AF18" s="116" t="s">
        <v>593</v>
      </c>
      <c r="AG18" s="189" t="s">
        <v>558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45" t="s">
        <v>83</v>
      </c>
      <c r="F19" s="249">
        <f t="shared" si="3"/>
        <v>8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>
        <v>1</v>
      </c>
      <c r="R19" s="250">
        <v>1</v>
      </c>
      <c r="S19" s="250">
        <v>1</v>
      </c>
      <c r="T19" s="250"/>
      <c r="U19" s="250">
        <v>1</v>
      </c>
      <c r="V19" s="250">
        <v>1</v>
      </c>
      <c r="W19" s="250">
        <v>1</v>
      </c>
      <c r="X19" s="250">
        <v>1</v>
      </c>
      <c r="Y19" s="250">
        <v>1</v>
      </c>
      <c r="Z19" s="250"/>
      <c r="AA19" s="250"/>
      <c r="AB19" s="250"/>
      <c r="AC19" s="250"/>
      <c r="AD19" s="250"/>
      <c r="AE19" s="252">
        <f t="shared" si="1"/>
        <v>8</v>
      </c>
      <c r="AF19" s="116" t="s">
        <v>245</v>
      </c>
      <c r="AG19" s="189" t="s">
        <v>558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249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579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42"/>
      <c r="AA20" s="77"/>
      <c r="AB20" s="77"/>
      <c r="AC20" s="42"/>
      <c r="AD20" s="42"/>
      <c r="AE20" s="252">
        <v>11</v>
      </c>
      <c r="AF20" s="116" t="s">
        <v>575</v>
      </c>
      <c r="AG20" s="189" t="s">
        <v>558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45" t="s">
        <v>91</v>
      </c>
      <c r="F21" s="249">
        <f t="shared" ref="F21:F28" si="4">SUM(G21:AD21)</f>
        <v>8</v>
      </c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>
        <v>1</v>
      </c>
      <c r="U21" s="250">
        <v>1</v>
      </c>
      <c r="V21" s="250"/>
      <c r="W21" s="250">
        <v>1</v>
      </c>
      <c r="X21" s="250">
        <v>1</v>
      </c>
      <c r="Y21" s="250">
        <v>1</v>
      </c>
      <c r="Z21" s="250">
        <v>1</v>
      </c>
      <c r="AA21" s="250">
        <v>1</v>
      </c>
      <c r="AB21" s="250">
        <v>1</v>
      </c>
      <c r="AC21" s="250"/>
      <c r="AD21" s="250"/>
      <c r="AE21" s="252">
        <f t="shared" ref="AE21:AE28" si="5">SUM(G21:AD21)</f>
        <v>8</v>
      </c>
      <c r="AF21" s="116" t="s">
        <v>562</v>
      </c>
      <c r="AG21" s="189" t="s">
        <v>558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53" t="s">
        <v>93</v>
      </c>
      <c r="F22" s="249">
        <f t="shared" si="4"/>
        <v>8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>
        <v>1</v>
      </c>
      <c r="Q22" s="250">
        <v>1</v>
      </c>
      <c r="R22" s="250">
        <v>1</v>
      </c>
      <c r="S22" s="250">
        <v>1</v>
      </c>
      <c r="T22" s="250">
        <v>1</v>
      </c>
      <c r="U22" s="250">
        <v>1</v>
      </c>
      <c r="V22" s="250">
        <v>1</v>
      </c>
      <c r="W22" s="250">
        <v>1</v>
      </c>
      <c r="X22" s="250"/>
      <c r="Y22" s="250"/>
      <c r="Z22" s="250"/>
      <c r="AA22" s="250"/>
      <c r="AB22" s="250"/>
      <c r="AC22" s="250"/>
      <c r="AD22" s="250"/>
      <c r="AE22" s="252">
        <f t="shared" si="5"/>
        <v>8</v>
      </c>
      <c r="AF22" s="116" t="s">
        <v>594</v>
      </c>
      <c r="AG22" s="189" t="s">
        <v>558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53" t="s">
        <v>95</v>
      </c>
      <c r="F23" s="249">
        <f t="shared" si="4"/>
        <v>8</v>
      </c>
      <c r="G23" s="250"/>
      <c r="H23" s="250"/>
      <c r="I23" s="250"/>
      <c r="J23" s="250"/>
      <c r="K23" s="250"/>
      <c r="L23" s="250"/>
      <c r="M23" s="250">
        <v>1</v>
      </c>
      <c r="N23" s="250">
        <v>1</v>
      </c>
      <c r="O23" s="250">
        <v>1</v>
      </c>
      <c r="P23" s="250">
        <v>1</v>
      </c>
      <c r="Q23" s="250">
        <v>1</v>
      </c>
      <c r="R23" s="250">
        <v>1</v>
      </c>
      <c r="S23" s="250">
        <v>1</v>
      </c>
      <c r="T23" s="250">
        <v>1</v>
      </c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2">
        <f t="shared" si="5"/>
        <v>8</v>
      </c>
      <c r="AF23" s="116" t="s">
        <v>595</v>
      </c>
      <c r="AG23" s="189" t="s">
        <v>558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53" t="s">
        <v>99</v>
      </c>
      <c r="F24" s="249">
        <f t="shared" si="4"/>
        <v>8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>
        <v>1</v>
      </c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>
        <v>1</v>
      </c>
      <c r="AC24" s="250"/>
      <c r="AD24" s="250"/>
      <c r="AE24" s="252">
        <f t="shared" si="5"/>
        <v>8</v>
      </c>
      <c r="AF24" s="116" t="s">
        <v>588</v>
      </c>
      <c r="AG24" s="189" t="s">
        <v>558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53" t="s">
        <v>102</v>
      </c>
      <c r="F25" s="249">
        <f t="shared" si="4"/>
        <v>8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>
        <v>1</v>
      </c>
      <c r="R25" s="250">
        <v>1</v>
      </c>
      <c r="S25" s="250">
        <v>1</v>
      </c>
      <c r="T25" s="250">
        <v>1</v>
      </c>
      <c r="U25" s="250"/>
      <c r="V25" s="250">
        <v>1</v>
      </c>
      <c r="W25" s="250">
        <v>1</v>
      </c>
      <c r="X25" s="250">
        <v>1</v>
      </c>
      <c r="Y25" s="250">
        <v>1</v>
      </c>
      <c r="Z25" s="250"/>
      <c r="AA25" s="250"/>
      <c r="AB25" s="250"/>
      <c r="AC25" s="250"/>
      <c r="AD25" s="250"/>
      <c r="AE25" s="252">
        <f t="shared" si="5"/>
        <v>8</v>
      </c>
      <c r="AF25" s="116" t="s">
        <v>520</v>
      </c>
      <c r="AG25" s="189" t="s">
        <v>558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53" t="s">
        <v>104</v>
      </c>
      <c r="F26" s="249">
        <f t="shared" si="4"/>
        <v>7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>
        <v>1</v>
      </c>
      <c r="R26" s="250">
        <v>1</v>
      </c>
      <c r="S26" s="250"/>
      <c r="T26" s="250">
        <v>1</v>
      </c>
      <c r="U26" s="250">
        <v>1</v>
      </c>
      <c r="V26" s="250">
        <v>1</v>
      </c>
      <c r="W26" s="250">
        <v>1</v>
      </c>
      <c r="X26" s="250">
        <v>1</v>
      </c>
      <c r="Y26" s="250"/>
      <c r="Z26" s="250"/>
      <c r="AA26" s="250"/>
      <c r="AB26" s="250"/>
      <c r="AC26" s="250"/>
      <c r="AD26" s="250"/>
      <c r="AE26" s="252">
        <f t="shared" si="5"/>
        <v>7</v>
      </c>
      <c r="AF26" s="116" t="s">
        <v>596</v>
      </c>
      <c r="AG26" s="189" t="s">
        <v>558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53" t="s">
        <v>333</v>
      </c>
      <c r="F27" s="249">
        <f t="shared" si="4"/>
        <v>6</v>
      </c>
      <c r="G27" s="250"/>
      <c r="H27" s="250"/>
      <c r="I27" s="250"/>
      <c r="J27" s="250"/>
      <c r="K27" s="250"/>
      <c r="L27" s="250"/>
      <c r="M27" s="250"/>
      <c r="N27" s="250">
        <v>1</v>
      </c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2">
        <f t="shared" si="5"/>
        <v>6</v>
      </c>
      <c r="AF27" s="116" t="s">
        <v>578</v>
      </c>
      <c r="AG27" s="189" t="s">
        <v>558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53" t="s">
        <v>172</v>
      </c>
      <c r="F28" s="249">
        <f t="shared" si="4"/>
        <v>7</v>
      </c>
      <c r="G28" s="250"/>
      <c r="H28" s="250"/>
      <c r="I28" s="250"/>
      <c r="J28" s="250"/>
      <c r="K28" s="250"/>
      <c r="L28" s="250"/>
      <c r="M28" s="250">
        <v>1</v>
      </c>
      <c r="N28" s="250">
        <v>1</v>
      </c>
      <c r="O28" s="250"/>
      <c r="P28" s="250">
        <v>1</v>
      </c>
      <c r="Q28" s="250">
        <v>1</v>
      </c>
      <c r="R28" s="250">
        <v>1</v>
      </c>
      <c r="S28" s="250">
        <v>1</v>
      </c>
      <c r="T28" s="250">
        <v>1</v>
      </c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2">
        <f t="shared" si="5"/>
        <v>7</v>
      </c>
      <c r="AF28" s="116" t="s">
        <v>597</v>
      </c>
      <c r="AG28" s="189" t="s">
        <v>558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53" t="s">
        <v>106</v>
      </c>
      <c r="F29" s="249">
        <v>7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>
        <v>1</v>
      </c>
      <c r="W29" s="250">
        <v>1</v>
      </c>
      <c r="X29" s="250">
        <v>1</v>
      </c>
      <c r="Y29" s="250">
        <v>1</v>
      </c>
      <c r="Z29" s="250">
        <v>1</v>
      </c>
      <c r="AA29" s="250">
        <v>1</v>
      </c>
      <c r="AB29" s="250"/>
      <c r="AC29" s="250"/>
      <c r="AD29" s="250"/>
      <c r="AE29" s="252">
        <v>7</v>
      </c>
      <c r="AF29" s="116" t="s">
        <v>598</v>
      </c>
      <c r="AG29" s="189" t="s">
        <v>558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53" t="s">
        <v>112</v>
      </c>
      <c r="F30" s="249">
        <f t="shared" ref="F30:F38" si="6">SUM(G30:AD30)</f>
        <v>8</v>
      </c>
      <c r="G30" s="250"/>
      <c r="H30" s="250"/>
      <c r="I30" s="250"/>
      <c r="J30" s="250"/>
      <c r="K30" s="250"/>
      <c r="L30" s="250"/>
      <c r="M30" s="250">
        <v>1</v>
      </c>
      <c r="N30" s="250">
        <v>1</v>
      </c>
      <c r="O30" s="250"/>
      <c r="P30" s="250">
        <v>1</v>
      </c>
      <c r="Q30" s="250">
        <v>1</v>
      </c>
      <c r="R30" s="250">
        <v>1</v>
      </c>
      <c r="S30" s="250">
        <v>1</v>
      </c>
      <c r="T30" s="250">
        <v>1</v>
      </c>
      <c r="U30" s="250">
        <v>1</v>
      </c>
      <c r="V30" s="250"/>
      <c r="W30" s="250"/>
      <c r="X30" s="250"/>
      <c r="Y30" s="250"/>
      <c r="Z30" s="250"/>
      <c r="AA30" s="250"/>
      <c r="AB30" s="250"/>
      <c r="AC30" s="250"/>
      <c r="AD30" s="250"/>
      <c r="AE30" s="252">
        <f t="shared" ref="AE30:AE38" si="7">SUM(G30:AD30)</f>
        <v>8</v>
      </c>
      <c r="AF30" s="116" t="s">
        <v>599</v>
      </c>
      <c r="AG30" s="189" t="s">
        <v>558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53" t="s">
        <v>116</v>
      </c>
      <c r="F31" s="249">
        <f t="shared" si="6"/>
        <v>11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>
        <v>1</v>
      </c>
      <c r="AB31" s="250">
        <v>1</v>
      </c>
      <c r="AC31" s="250">
        <v>1</v>
      </c>
      <c r="AD31" s="250">
        <v>1</v>
      </c>
      <c r="AE31" s="252">
        <f t="shared" si="7"/>
        <v>11</v>
      </c>
      <c r="AF31" s="116" t="s">
        <v>424</v>
      </c>
      <c r="AG31" s="189" t="s">
        <v>558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53" t="s">
        <v>121</v>
      </c>
      <c r="F32" s="249">
        <f t="shared" si="6"/>
        <v>8</v>
      </c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>
        <v>1</v>
      </c>
      <c r="W32" s="250">
        <v>1</v>
      </c>
      <c r="X32" s="250">
        <v>1</v>
      </c>
      <c r="Y32" s="250">
        <v>1</v>
      </c>
      <c r="Z32" s="250">
        <v>1</v>
      </c>
      <c r="AA32" s="250">
        <v>1</v>
      </c>
      <c r="AB32" s="250">
        <v>1</v>
      </c>
      <c r="AC32" s="250">
        <v>1</v>
      </c>
      <c r="AD32" s="250"/>
      <c r="AE32" s="252">
        <f t="shared" si="7"/>
        <v>8</v>
      </c>
      <c r="AF32" s="116" t="s">
        <v>571</v>
      </c>
      <c r="AG32" s="189" t="s">
        <v>558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53" t="s">
        <v>123</v>
      </c>
      <c r="F33" s="249">
        <f t="shared" si="6"/>
        <v>7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>
        <v>1</v>
      </c>
      <c r="V33" s="250">
        <v>1</v>
      </c>
      <c r="W33" s="250">
        <v>1</v>
      </c>
      <c r="X33" s="250">
        <v>1</v>
      </c>
      <c r="Y33" s="250">
        <v>1</v>
      </c>
      <c r="Z33" s="250">
        <v>1</v>
      </c>
      <c r="AA33" s="250">
        <v>1</v>
      </c>
      <c r="AB33" s="250"/>
      <c r="AC33" s="250"/>
      <c r="AD33" s="250"/>
      <c r="AE33" s="252">
        <f t="shared" si="7"/>
        <v>7</v>
      </c>
      <c r="AF33" s="116" t="s">
        <v>539</v>
      </c>
      <c r="AG33" s="189" t="s">
        <v>558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53" t="s">
        <v>125</v>
      </c>
      <c r="F34" s="249">
        <f t="shared" si="6"/>
        <v>8</v>
      </c>
      <c r="G34" s="250">
        <v>1</v>
      </c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>
        <v>1</v>
      </c>
      <c r="X34" s="250">
        <v>1</v>
      </c>
      <c r="Y34" s="250">
        <v>1</v>
      </c>
      <c r="Z34" s="250">
        <v>1</v>
      </c>
      <c r="AA34" s="250"/>
      <c r="AB34" s="250">
        <v>1</v>
      </c>
      <c r="AC34" s="250">
        <v>1</v>
      </c>
      <c r="AD34" s="250">
        <v>1</v>
      </c>
      <c r="AE34" s="252">
        <f t="shared" si="7"/>
        <v>8</v>
      </c>
      <c r="AF34" s="116" t="s">
        <v>600</v>
      </c>
      <c r="AG34" s="189" t="s">
        <v>558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53" t="s">
        <v>127</v>
      </c>
      <c r="F35" s="249">
        <f t="shared" si="6"/>
        <v>7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>
        <v>1</v>
      </c>
      <c r="U35" s="250">
        <v>1</v>
      </c>
      <c r="V35" s="250">
        <v>1</v>
      </c>
      <c r="W35" s="250">
        <v>1</v>
      </c>
      <c r="X35" s="250">
        <v>1</v>
      </c>
      <c r="Y35" s="250">
        <v>1</v>
      </c>
      <c r="Z35" s="250">
        <v>1</v>
      </c>
      <c r="AA35" s="250"/>
      <c r="AB35" s="250"/>
      <c r="AC35" s="250"/>
      <c r="AD35" s="250"/>
      <c r="AE35" s="252">
        <f t="shared" si="7"/>
        <v>7</v>
      </c>
      <c r="AF35" s="116" t="s">
        <v>581</v>
      </c>
      <c r="AG35" s="189" t="s">
        <v>558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53" t="s">
        <v>129</v>
      </c>
      <c r="F36" s="249">
        <f t="shared" si="6"/>
        <v>8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>
        <v>1</v>
      </c>
      <c r="U36" s="250">
        <v>1</v>
      </c>
      <c r="V36" s="250">
        <v>1</v>
      </c>
      <c r="W36" s="250">
        <v>1</v>
      </c>
      <c r="X36" s="250">
        <v>1</v>
      </c>
      <c r="Y36" s="250">
        <v>1</v>
      </c>
      <c r="Z36" s="250">
        <v>1</v>
      </c>
      <c r="AA36" s="250">
        <v>1</v>
      </c>
      <c r="AB36" s="250"/>
      <c r="AC36" s="250"/>
      <c r="AD36" s="250"/>
      <c r="AE36" s="252">
        <f t="shared" si="7"/>
        <v>8</v>
      </c>
      <c r="AF36" s="116" t="s">
        <v>293</v>
      </c>
      <c r="AG36" s="189" t="s">
        <v>558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53" t="s">
        <v>131</v>
      </c>
      <c r="F37" s="249">
        <f t="shared" si="6"/>
        <v>7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>
        <v>1</v>
      </c>
      <c r="T37" s="263">
        <v>1</v>
      </c>
      <c r="U37" s="263">
        <v>1</v>
      </c>
      <c r="V37" s="263">
        <v>1</v>
      </c>
      <c r="W37" s="263">
        <v>1</v>
      </c>
      <c r="X37" s="263">
        <v>1</v>
      </c>
      <c r="Y37" s="263">
        <v>1</v>
      </c>
      <c r="Z37" s="263"/>
      <c r="AA37" s="263"/>
      <c r="AB37" s="263"/>
      <c r="AC37" s="263"/>
      <c r="AD37" s="250"/>
      <c r="AE37" s="252">
        <f t="shared" si="7"/>
        <v>7</v>
      </c>
      <c r="AF37" s="116" t="s">
        <v>582</v>
      </c>
      <c r="AG37" s="189" t="s">
        <v>558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53" t="s">
        <v>50</v>
      </c>
      <c r="F38" s="249">
        <f t="shared" si="6"/>
        <v>0</v>
      </c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54"/>
      <c r="AE38" s="252">
        <f t="shared" si="7"/>
        <v>0</v>
      </c>
      <c r="AF38" s="111" t="s">
        <v>6</v>
      </c>
      <c r="AG38" s="189" t="s">
        <v>558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53" t="s">
        <v>135</v>
      </c>
      <c r="F39" s="249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252">
        <v>8</v>
      </c>
      <c r="AF39" s="116" t="s">
        <v>571</v>
      </c>
      <c r="AG39" s="189" t="s">
        <v>558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53" t="s">
        <v>140</v>
      </c>
      <c r="F40" s="249">
        <v>8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252">
        <v>8</v>
      </c>
      <c r="AF40" s="111" t="s">
        <v>571</v>
      </c>
      <c r="AG40" s="189" t="s">
        <v>558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53" t="s">
        <v>118</v>
      </c>
      <c r="F41" s="249">
        <f>SUM(G41:AD41)</f>
        <v>10</v>
      </c>
      <c r="G41" s="250">
        <v>1</v>
      </c>
      <c r="H41" s="250">
        <v>1</v>
      </c>
      <c r="I41" s="250">
        <v>1</v>
      </c>
      <c r="J41" s="250">
        <v>1</v>
      </c>
      <c r="K41" s="250">
        <v>1</v>
      </c>
      <c r="L41" s="250">
        <v>1</v>
      </c>
      <c r="M41" s="250">
        <v>1</v>
      </c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>
        <v>1</v>
      </c>
      <c r="AC41" s="250">
        <v>1</v>
      </c>
      <c r="AD41" s="250">
        <v>1</v>
      </c>
      <c r="AE41" s="252">
        <f>SUM(G41:AD41)</f>
        <v>10</v>
      </c>
      <c r="AF41" s="116" t="s">
        <v>554</v>
      </c>
      <c r="AG41" s="189" t="s">
        <v>558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53" t="s">
        <v>143</v>
      </c>
      <c r="F42" s="249">
        <v>8</v>
      </c>
      <c r="G42" s="250"/>
      <c r="H42" s="250"/>
      <c r="I42" s="250"/>
      <c r="J42" s="250"/>
      <c r="K42" s="250"/>
      <c r="L42" s="250"/>
      <c r="M42" s="250"/>
      <c r="N42" s="583" t="s">
        <v>209</v>
      </c>
      <c r="O42" s="555"/>
      <c r="P42" s="555"/>
      <c r="Q42" s="555"/>
      <c r="R42" s="555"/>
      <c r="S42" s="555"/>
      <c r="T42" s="555"/>
      <c r="U42" s="542"/>
      <c r="V42" s="250"/>
      <c r="W42" s="250"/>
      <c r="X42" s="250"/>
      <c r="Y42" s="250"/>
      <c r="Z42" s="250"/>
      <c r="AA42" s="250"/>
      <c r="AB42" s="250"/>
      <c r="AC42" s="250"/>
      <c r="AD42" s="250"/>
      <c r="AE42" s="252">
        <v>8</v>
      </c>
      <c r="AF42" s="111" t="s">
        <v>583</v>
      </c>
      <c r="AG42" s="189" t="s">
        <v>558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53" t="s">
        <v>455</v>
      </c>
      <c r="F43" s="249">
        <f t="shared" ref="F43:F56" si="8">SUM(G43:AD43)</f>
        <v>7</v>
      </c>
      <c r="G43" s="250"/>
      <c r="H43" s="250"/>
      <c r="I43" s="250"/>
      <c r="J43" s="250"/>
      <c r="K43" s="250"/>
      <c r="L43" s="250"/>
      <c r="M43" s="250"/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2">
        <f t="shared" ref="AE43:AE56" si="9">SUM(G43:AD43)</f>
        <v>7</v>
      </c>
      <c r="AF43" s="111" t="s">
        <v>584</v>
      </c>
      <c r="AG43" s="189" t="s">
        <v>558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53" t="s">
        <v>457</v>
      </c>
      <c r="F44" s="249">
        <f t="shared" si="8"/>
        <v>7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>
        <v>1</v>
      </c>
      <c r="R44" s="250">
        <v>1</v>
      </c>
      <c r="S44" s="250">
        <v>1</v>
      </c>
      <c r="T44" s="250"/>
      <c r="U44" s="250">
        <v>1</v>
      </c>
      <c r="V44" s="250">
        <v>1</v>
      </c>
      <c r="W44" s="250">
        <v>1</v>
      </c>
      <c r="X44" s="250">
        <v>1</v>
      </c>
      <c r="Y44" s="250"/>
      <c r="Z44" s="250"/>
      <c r="AA44" s="250"/>
      <c r="AB44" s="250"/>
      <c r="AC44" s="250"/>
      <c r="AD44" s="250"/>
      <c r="AE44" s="252">
        <f t="shared" si="9"/>
        <v>7</v>
      </c>
      <c r="AF44" s="116" t="s">
        <v>585</v>
      </c>
      <c r="AG44" s="189" t="s">
        <v>558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53" t="s">
        <v>460</v>
      </c>
      <c r="F45" s="249">
        <f t="shared" si="8"/>
        <v>7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>
        <v>1</v>
      </c>
      <c r="V45" s="250">
        <v>1</v>
      </c>
      <c r="W45" s="250">
        <v>1</v>
      </c>
      <c r="X45" s="250">
        <v>1</v>
      </c>
      <c r="Y45" s="250">
        <v>1</v>
      </c>
      <c r="Z45" s="250">
        <v>1</v>
      </c>
      <c r="AA45" s="250">
        <v>1</v>
      </c>
      <c r="AB45" s="250"/>
      <c r="AC45" s="250"/>
      <c r="AD45" s="250"/>
      <c r="AE45" s="252">
        <f t="shared" si="9"/>
        <v>7</v>
      </c>
      <c r="AF45" s="111" t="s">
        <v>539</v>
      </c>
      <c r="AG45" s="189" t="s">
        <v>558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53" t="s">
        <v>478</v>
      </c>
      <c r="F46" s="249">
        <f t="shared" si="8"/>
        <v>7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>
        <v>1</v>
      </c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>
        <v>1</v>
      </c>
      <c r="AB46" s="250"/>
      <c r="AC46" s="250"/>
      <c r="AD46" s="250"/>
      <c r="AE46" s="252">
        <f t="shared" si="9"/>
        <v>7</v>
      </c>
      <c r="AF46" s="111" t="s">
        <v>539</v>
      </c>
      <c r="AG46" s="189" t="s">
        <v>558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53" t="s">
        <v>461</v>
      </c>
      <c r="F47" s="249">
        <f t="shared" si="8"/>
        <v>7</v>
      </c>
      <c r="G47" s="250"/>
      <c r="H47" s="250"/>
      <c r="I47" s="250"/>
      <c r="J47" s="250"/>
      <c r="K47" s="250"/>
      <c r="L47" s="250"/>
      <c r="M47" s="250"/>
      <c r="N47" s="250">
        <v>1</v>
      </c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0">
        <v>1</v>
      </c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2">
        <f t="shared" si="9"/>
        <v>7</v>
      </c>
      <c r="AF47" s="111" t="s">
        <v>584</v>
      </c>
      <c r="AG47" s="189" t="s">
        <v>558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53" t="s">
        <v>463</v>
      </c>
      <c r="F48" s="249">
        <f t="shared" si="8"/>
        <v>7</v>
      </c>
      <c r="G48" s="250"/>
      <c r="H48" s="250"/>
      <c r="I48" s="250"/>
      <c r="J48" s="250"/>
      <c r="K48" s="250"/>
      <c r="L48" s="250"/>
      <c r="M48" s="250"/>
      <c r="N48" s="250">
        <v>1</v>
      </c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0">
        <v>1</v>
      </c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2">
        <f t="shared" si="9"/>
        <v>7</v>
      </c>
      <c r="AF48" s="111" t="s">
        <v>584</v>
      </c>
      <c r="AG48" s="189" t="s">
        <v>558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53" t="s">
        <v>465</v>
      </c>
      <c r="F49" s="249">
        <f t="shared" si="8"/>
        <v>7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>
        <v>1</v>
      </c>
      <c r="V49" s="250">
        <v>1</v>
      </c>
      <c r="W49" s="250">
        <v>1</v>
      </c>
      <c r="X49" s="250">
        <v>1</v>
      </c>
      <c r="Y49" s="250">
        <v>1</v>
      </c>
      <c r="Z49" s="250">
        <v>1</v>
      </c>
      <c r="AA49" s="250">
        <v>1</v>
      </c>
      <c r="AB49" s="250"/>
      <c r="AC49" s="250"/>
      <c r="AD49" s="250"/>
      <c r="AE49" s="252">
        <f t="shared" si="9"/>
        <v>7</v>
      </c>
      <c r="AF49" s="111" t="s">
        <v>539</v>
      </c>
      <c r="AG49" s="189" t="s">
        <v>558</v>
      </c>
    </row>
    <row r="50" spans="1:33" ht="14.25" customHeight="1">
      <c r="A50" s="38" t="s">
        <v>41</v>
      </c>
      <c r="B50" s="188" t="s">
        <v>464</v>
      </c>
      <c r="C50" s="38">
        <v>979138395</v>
      </c>
      <c r="D50" s="86">
        <v>43</v>
      </c>
      <c r="E50" s="253" t="s">
        <v>466</v>
      </c>
      <c r="F50" s="249">
        <f t="shared" si="8"/>
        <v>7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>
        <v>1</v>
      </c>
      <c r="V50" s="250">
        <v>1</v>
      </c>
      <c r="W50" s="250">
        <v>1</v>
      </c>
      <c r="X50" s="250">
        <v>1</v>
      </c>
      <c r="Y50" s="250">
        <v>1</v>
      </c>
      <c r="Z50" s="250">
        <v>1</v>
      </c>
      <c r="AA50" s="250">
        <v>1</v>
      </c>
      <c r="AB50" s="250"/>
      <c r="AC50" s="250"/>
      <c r="AD50" s="250"/>
      <c r="AE50" s="252">
        <f t="shared" si="9"/>
        <v>7</v>
      </c>
      <c r="AF50" s="111" t="s">
        <v>539</v>
      </c>
      <c r="AG50" s="189" t="s">
        <v>558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53" t="s">
        <v>467</v>
      </c>
      <c r="F51" s="249">
        <f t="shared" si="8"/>
        <v>7</v>
      </c>
      <c r="G51" s="250"/>
      <c r="H51" s="250"/>
      <c r="I51" s="250"/>
      <c r="J51" s="250"/>
      <c r="K51" s="250"/>
      <c r="L51" s="250"/>
      <c r="M51" s="250"/>
      <c r="N51" s="250"/>
      <c r="O51" s="250">
        <v>1</v>
      </c>
      <c r="P51" s="250">
        <v>1</v>
      </c>
      <c r="Q51" s="250">
        <v>1</v>
      </c>
      <c r="R51" s="250">
        <v>1</v>
      </c>
      <c r="S51" s="250">
        <v>1</v>
      </c>
      <c r="T51" s="250">
        <v>1</v>
      </c>
      <c r="U51" s="250">
        <v>1</v>
      </c>
      <c r="V51" s="250"/>
      <c r="W51" s="250"/>
      <c r="X51" s="250"/>
      <c r="Y51" s="250"/>
      <c r="Z51" s="250"/>
      <c r="AA51" s="250"/>
      <c r="AB51" s="250"/>
      <c r="AC51" s="250"/>
      <c r="AD51" s="250"/>
      <c r="AE51" s="252">
        <f t="shared" si="9"/>
        <v>7</v>
      </c>
      <c r="AF51" s="111" t="s">
        <v>568</v>
      </c>
      <c r="AG51" s="189" t="s">
        <v>558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53" t="s">
        <v>491</v>
      </c>
      <c r="F52" s="249">
        <f t="shared" si="8"/>
        <v>7</v>
      </c>
      <c r="G52" s="250"/>
      <c r="H52" s="250"/>
      <c r="I52" s="250"/>
      <c r="J52" s="250"/>
      <c r="K52" s="250"/>
      <c r="L52" s="250"/>
      <c r="M52" s="250"/>
      <c r="N52" s="250">
        <v>1</v>
      </c>
      <c r="O52" s="250">
        <v>1</v>
      </c>
      <c r="P52" s="250">
        <v>1</v>
      </c>
      <c r="Q52" s="250">
        <v>1</v>
      </c>
      <c r="R52" s="250">
        <v>1</v>
      </c>
      <c r="S52" s="250">
        <v>1</v>
      </c>
      <c r="T52" s="250">
        <v>1</v>
      </c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2">
        <f t="shared" si="9"/>
        <v>7</v>
      </c>
      <c r="AF52" s="111" t="s">
        <v>584</v>
      </c>
      <c r="AG52" s="189" t="s">
        <v>558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53" t="s">
        <v>493</v>
      </c>
      <c r="F53" s="249">
        <f t="shared" si="8"/>
        <v>0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61"/>
      <c r="R53" s="261"/>
      <c r="S53" s="261"/>
      <c r="T53" s="261"/>
      <c r="U53" s="261"/>
      <c r="V53" s="261"/>
      <c r="W53" s="261"/>
      <c r="X53" s="250"/>
      <c r="Y53" s="250"/>
      <c r="Z53" s="250"/>
      <c r="AA53" s="250"/>
      <c r="AB53" s="250"/>
      <c r="AC53" s="250"/>
      <c r="AD53" s="250"/>
      <c r="AE53" s="252">
        <f t="shared" si="9"/>
        <v>0</v>
      </c>
      <c r="AF53" s="111" t="s">
        <v>389</v>
      </c>
      <c r="AG53" s="189" t="s">
        <v>558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53" t="s">
        <v>469</v>
      </c>
      <c r="F54" s="249">
        <f t="shared" si="8"/>
        <v>7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>
        <v>1</v>
      </c>
      <c r="V54" s="250">
        <v>1</v>
      </c>
      <c r="W54" s="250">
        <v>1</v>
      </c>
      <c r="X54" s="250">
        <v>1</v>
      </c>
      <c r="Y54" s="250">
        <v>1</v>
      </c>
      <c r="Z54" s="250">
        <v>1</v>
      </c>
      <c r="AA54" s="250">
        <v>1</v>
      </c>
      <c r="AB54" s="250"/>
      <c r="AC54" s="250"/>
      <c r="AD54" s="250"/>
      <c r="AE54" s="252">
        <f t="shared" si="9"/>
        <v>7</v>
      </c>
      <c r="AF54" s="111" t="s">
        <v>539</v>
      </c>
      <c r="AG54" s="189" t="s">
        <v>558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53" t="s">
        <v>495</v>
      </c>
      <c r="F55" s="249">
        <f t="shared" si="8"/>
        <v>7</v>
      </c>
      <c r="G55" s="250"/>
      <c r="H55" s="250"/>
      <c r="I55" s="250"/>
      <c r="J55" s="250"/>
      <c r="K55" s="250"/>
      <c r="L55" s="250"/>
      <c r="M55" s="250"/>
      <c r="N55" s="250"/>
      <c r="O55" s="250">
        <v>1</v>
      </c>
      <c r="P55" s="250">
        <v>1</v>
      </c>
      <c r="Q55" s="250">
        <v>1</v>
      </c>
      <c r="R55" s="250">
        <v>1</v>
      </c>
      <c r="S55" s="250">
        <v>1</v>
      </c>
      <c r="T55" s="250">
        <v>1</v>
      </c>
      <c r="U55" s="250">
        <v>1</v>
      </c>
      <c r="V55" s="250"/>
      <c r="W55" s="250"/>
      <c r="X55" s="250"/>
      <c r="Y55" s="250"/>
      <c r="Z55" s="250"/>
      <c r="AA55" s="250"/>
      <c r="AB55" s="250"/>
      <c r="AC55" s="250"/>
      <c r="AD55" s="250"/>
      <c r="AE55" s="252">
        <f t="shared" si="9"/>
        <v>7</v>
      </c>
      <c r="AF55" s="111" t="s">
        <v>568</v>
      </c>
      <c r="AG55" s="189" t="s">
        <v>558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53" t="s">
        <v>497</v>
      </c>
      <c r="F56" s="249">
        <f t="shared" si="8"/>
        <v>6</v>
      </c>
      <c r="G56" s="250"/>
      <c r="H56" s="250"/>
      <c r="I56" s="250"/>
      <c r="J56" s="250"/>
      <c r="K56" s="250"/>
      <c r="L56" s="250"/>
      <c r="M56" s="250"/>
      <c r="N56" s="250">
        <v>1</v>
      </c>
      <c r="O56" s="250">
        <v>1</v>
      </c>
      <c r="P56" s="250">
        <v>1</v>
      </c>
      <c r="Q56" s="250">
        <v>1</v>
      </c>
      <c r="R56" s="250">
        <v>1</v>
      </c>
      <c r="S56" s="250">
        <v>1</v>
      </c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2">
        <f t="shared" si="9"/>
        <v>6</v>
      </c>
      <c r="AF56" s="111" t="s">
        <v>573</v>
      </c>
      <c r="AG56" s="189" t="s">
        <v>558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249">
        <v>8</v>
      </c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42"/>
      <c r="U57" s="250"/>
      <c r="V57" s="577" t="s">
        <v>292</v>
      </c>
      <c r="W57" s="555"/>
      <c r="X57" s="555"/>
      <c r="Y57" s="555"/>
      <c r="Z57" s="555"/>
      <c r="AA57" s="555"/>
      <c r="AB57" s="555"/>
      <c r="AC57" s="555"/>
      <c r="AD57" s="42"/>
      <c r="AE57" s="252">
        <v>8</v>
      </c>
      <c r="AF57" s="111" t="s">
        <v>571</v>
      </c>
      <c r="AG57" s="189" t="s">
        <v>558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249">
        <v>8</v>
      </c>
      <c r="G58" s="258"/>
      <c r="H58" s="258"/>
      <c r="I58" s="258"/>
      <c r="J58" s="258"/>
      <c r="K58" s="258"/>
      <c r="L58" s="258"/>
      <c r="M58" s="258"/>
      <c r="N58" s="577" t="s">
        <v>292</v>
      </c>
      <c r="O58" s="555"/>
      <c r="P58" s="555"/>
      <c r="Q58" s="555"/>
      <c r="R58" s="555"/>
      <c r="S58" s="555"/>
      <c r="T58" s="555"/>
      <c r="U58" s="555"/>
      <c r="V58" s="250"/>
      <c r="W58" s="42"/>
      <c r="X58" s="42"/>
      <c r="Y58" s="42"/>
      <c r="Z58" s="42"/>
      <c r="AA58" s="42"/>
      <c r="AB58" s="42"/>
      <c r="AC58" s="42"/>
      <c r="AD58" s="258"/>
      <c r="AE58" s="252">
        <v>8</v>
      </c>
      <c r="AF58" s="116" t="s">
        <v>583</v>
      </c>
      <c r="AG58" s="189" t="s">
        <v>558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249">
        <v>12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42"/>
      <c r="Z59" s="201"/>
      <c r="AA59" s="42"/>
      <c r="AB59" s="42"/>
      <c r="AC59" s="42"/>
      <c r="AD59" s="42"/>
      <c r="AE59" s="252">
        <v>12</v>
      </c>
      <c r="AF59" s="111" t="s">
        <v>586</v>
      </c>
      <c r="AG59" s="189" t="s">
        <v>558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56">
        <v>5</v>
      </c>
      <c r="P62" s="143">
        <v>8</v>
      </c>
      <c r="Q62" s="57">
        <v>9</v>
      </c>
      <c r="R62" s="57">
        <v>9</v>
      </c>
      <c r="S62" s="57">
        <v>9</v>
      </c>
      <c r="T62" s="143">
        <v>8</v>
      </c>
      <c r="U62" s="143">
        <v>8</v>
      </c>
      <c r="V62" s="143">
        <v>8</v>
      </c>
      <c r="W62" s="143">
        <v>8</v>
      </c>
      <c r="X62" s="144">
        <v>6</v>
      </c>
      <c r="Y62" s="144">
        <v>6</v>
      </c>
      <c r="Z62" s="56">
        <v>5</v>
      </c>
      <c r="AA62" s="56">
        <v>5</v>
      </c>
      <c r="AB62" s="242">
        <v>4</v>
      </c>
      <c r="AC62" s="234">
        <v>3</v>
      </c>
      <c r="AD62" s="12">
        <v>2</v>
      </c>
      <c r="AE62" s="18">
        <f>SUM(G62:AD62)</f>
        <v>123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10">G65-G62</f>
        <v>0</v>
      </c>
      <c r="H63" s="28">
        <f t="shared" si="10"/>
        <v>0</v>
      </c>
      <c r="I63" s="28">
        <f t="shared" si="10"/>
        <v>0</v>
      </c>
      <c r="J63" s="28">
        <f t="shared" si="10"/>
        <v>0</v>
      </c>
      <c r="K63" s="28">
        <f t="shared" si="10"/>
        <v>0</v>
      </c>
      <c r="L63" s="28">
        <f t="shared" si="10"/>
        <v>0</v>
      </c>
      <c r="M63" s="28">
        <f t="shared" si="10"/>
        <v>0</v>
      </c>
      <c r="N63" s="28">
        <f t="shared" si="10"/>
        <v>0</v>
      </c>
      <c r="O63" s="28">
        <f t="shared" si="10"/>
        <v>0</v>
      </c>
      <c r="P63" s="28">
        <f t="shared" si="10"/>
        <v>0</v>
      </c>
      <c r="Q63" s="28">
        <f t="shared" si="10"/>
        <v>0</v>
      </c>
      <c r="R63" s="28">
        <f t="shared" si="10"/>
        <v>0</v>
      </c>
      <c r="S63" s="28">
        <f t="shared" si="10"/>
        <v>0</v>
      </c>
      <c r="T63" s="28">
        <f t="shared" si="10"/>
        <v>0</v>
      </c>
      <c r="U63" s="28">
        <f t="shared" si="10"/>
        <v>0</v>
      </c>
      <c r="V63" s="28">
        <f t="shared" si="10"/>
        <v>0</v>
      </c>
      <c r="W63" s="28">
        <f t="shared" si="10"/>
        <v>0</v>
      </c>
      <c r="X63" s="28">
        <f t="shared" si="10"/>
        <v>1</v>
      </c>
      <c r="Y63" s="28">
        <f t="shared" si="10"/>
        <v>0</v>
      </c>
      <c r="Z63" s="28">
        <f t="shared" si="10"/>
        <v>0</v>
      </c>
      <c r="AA63" s="28">
        <f t="shared" si="10"/>
        <v>0</v>
      </c>
      <c r="AB63" s="28">
        <f t="shared" si="10"/>
        <v>1</v>
      </c>
      <c r="AC63" s="84">
        <f t="shared" si="10"/>
        <v>1</v>
      </c>
      <c r="AD63" s="28">
        <f t="shared" si="10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1">SUM(G66:G82)</f>
        <v>2</v>
      </c>
      <c r="H65" s="35">
        <f t="shared" si="11"/>
        <v>2</v>
      </c>
      <c r="I65" s="35">
        <f t="shared" si="11"/>
        <v>2</v>
      </c>
      <c r="J65" s="35">
        <f t="shared" si="11"/>
        <v>2</v>
      </c>
      <c r="K65" s="35">
        <f t="shared" si="11"/>
        <v>2</v>
      </c>
      <c r="L65" s="35">
        <f t="shared" si="11"/>
        <v>2</v>
      </c>
      <c r="M65" s="35">
        <f t="shared" si="11"/>
        <v>4</v>
      </c>
      <c r="N65" s="35">
        <f t="shared" si="11"/>
        <v>4</v>
      </c>
      <c r="O65" s="35">
        <f t="shared" si="11"/>
        <v>5</v>
      </c>
      <c r="P65" s="35">
        <f t="shared" si="11"/>
        <v>8</v>
      </c>
      <c r="Q65" s="35">
        <f t="shared" si="11"/>
        <v>9</v>
      </c>
      <c r="R65" s="35">
        <f t="shared" si="11"/>
        <v>9</v>
      </c>
      <c r="S65" s="35">
        <f t="shared" si="11"/>
        <v>9</v>
      </c>
      <c r="T65" s="35">
        <f t="shared" si="11"/>
        <v>8</v>
      </c>
      <c r="U65" s="35">
        <f t="shared" si="11"/>
        <v>8</v>
      </c>
      <c r="V65" s="35">
        <f t="shared" si="11"/>
        <v>8</v>
      </c>
      <c r="W65" s="35">
        <f t="shared" si="11"/>
        <v>8</v>
      </c>
      <c r="X65" s="35">
        <f t="shared" si="11"/>
        <v>7</v>
      </c>
      <c r="Y65" s="35">
        <f t="shared" si="11"/>
        <v>6</v>
      </c>
      <c r="Z65" s="35">
        <f t="shared" si="11"/>
        <v>5</v>
      </c>
      <c r="AA65" s="35">
        <f t="shared" si="11"/>
        <v>5</v>
      </c>
      <c r="AB65" s="35">
        <f t="shared" si="11"/>
        <v>5</v>
      </c>
      <c r="AC65" s="35">
        <f t="shared" si="11"/>
        <v>4</v>
      </c>
      <c r="AD65" s="35">
        <f t="shared" si="11"/>
        <v>2</v>
      </c>
      <c r="AE65" s="30">
        <f t="shared" ref="AE65:AE82" si="12">SUM(G65:AD65)</f>
        <v>126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3">SUM(G66:AD66)</f>
        <v>8</v>
      </c>
      <c r="G66" s="42"/>
      <c r="H66" s="42"/>
      <c r="I66" s="42"/>
      <c r="J66" s="42"/>
      <c r="K66" s="42"/>
      <c r="L66" s="42"/>
      <c r="M66" s="42"/>
      <c r="N66" s="42"/>
      <c r="O66" s="42"/>
      <c r="P66" s="42">
        <v>1</v>
      </c>
      <c r="Q66" s="42">
        <v>1</v>
      </c>
      <c r="R66" s="42">
        <v>1</v>
      </c>
      <c r="S66" s="42">
        <v>1</v>
      </c>
      <c r="T66" s="42">
        <v>1</v>
      </c>
      <c r="U66" s="42">
        <v>1</v>
      </c>
      <c r="V66" s="42">
        <v>1</v>
      </c>
      <c r="W66" s="42">
        <v>1</v>
      </c>
      <c r="X66" s="42"/>
      <c r="Y66" s="42"/>
      <c r="Z66" s="42"/>
      <c r="AA66" s="42"/>
      <c r="AB66" s="42"/>
      <c r="AC66" s="42"/>
      <c r="AD66" s="42"/>
      <c r="AE66" s="41">
        <f t="shared" si="12"/>
        <v>8</v>
      </c>
      <c r="AF66" s="116" t="s">
        <v>269</v>
      </c>
      <c r="AG66" s="189" t="s">
        <v>558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3"/>
        <v>8</v>
      </c>
      <c r="G67" s="42"/>
      <c r="H67" s="42"/>
      <c r="I67" s="42"/>
      <c r="J67" s="42"/>
      <c r="K67" s="42"/>
      <c r="L67" s="42"/>
      <c r="M67" s="42"/>
      <c r="N67" s="42"/>
      <c r="O67" s="42"/>
      <c r="P67" s="42">
        <v>1</v>
      </c>
      <c r="Q67" s="42">
        <v>1</v>
      </c>
      <c r="R67" s="42">
        <v>1</v>
      </c>
      <c r="S67" s="42"/>
      <c r="T67" s="42">
        <v>1</v>
      </c>
      <c r="U67" s="42">
        <v>1</v>
      </c>
      <c r="V67" s="42">
        <v>1</v>
      </c>
      <c r="W67" s="42">
        <v>1</v>
      </c>
      <c r="X67" s="42">
        <v>1</v>
      </c>
      <c r="Y67" s="42"/>
      <c r="Z67" s="42"/>
      <c r="AA67" s="42"/>
      <c r="AB67" s="42"/>
      <c r="AC67" s="42"/>
      <c r="AD67" s="42"/>
      <c r="AE67" s="41">
        <f t="shared" si="12"/>
        <v>8</v>
      </c>
      <c r="AF67" s="116" t="s">
        <v>391</v>
      </c>
      <c r="AG67" s="189" t="s">
        <v>558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3"/>
        <v>6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>
        <v>1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/>
      <c r="AE68" s="41">
        <f t="shared" si="12"/>
        <v>6</v>
      </c>
      <c r="AF68" s="111" t="s">
        <v>593</v>
      </c>
      <c r="AG68" s="189" t="s">
        <v>558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3"/>
        <v>10</v>
      </c>
      <c r="G69" s="42"/>
      <c r="H69" s="42"/>
      <c r="I69" s="42"/>
      <c r="J69" s="42"/>
      <c r="K69" s="42"/>
      <c r="L69" s="42"/>
      <c r="M69" s="42"/>
      <c r="N69" s="42"/>
      <c r="O69" s="42">
        <v>1</v>
      </c>
      <c r="P69" s="42">
        <v>1</v>
      </c>
      <c r="Q69" s="42">
        <v>1</v>
      </c>
      <c r="R69" s="42">
        <v>1</v>
      </c>
      <c r="S69" s="42">
        <v>1</v>
      </c>
      <c r="T69" s="42"/>
      <c r="U69" s="42">
        <v>1</v>
      </c>
      <c r="V69" s="42">
        <v>1</v>
      </c>
      <c r="W69" s="42">
        <v>1</v>
      </c>
      <c r="X69" s="42">
        <v>1</v>
      </c>
      <c r="Y69" s="42">
        <v>1</v>
      </c>
      <c r="Z69" s="42"/>
      <c r="AA69" s="42"/>
      <c r="AB69" s="42"/>
      <c r="AC69" s="42"/>
      <c r="AD69" s="42"/>
      <c r="AE69" s="41">
        <f t="shared" si="12"/>
        <v>10</v>
      </c>
      <c r="AF69" s="116" t="s">
        <v>236</v>
      </c>
      <c r="AG69" s="189" t="s">
        <v>558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3"/>
        <v>6</v>
      </c>
      <c r="G70" s="42"/>
      <c r="H70" s="42"/>
      <c r="I70" s="42"/>
      <c r="J70" s="42"/>
      <c r="K70" s="42"/>
      <c r="L70" s="42"/>
      <c r="M70" s="42"/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1">
        <f t="shared" si="12"/>
        <v>6</v>
      </c>
      <c r="AF70" s="111" t="s">
        <v>578</v>
      </c>
      <c r="AG70" s="189" t="s">
        <v>558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3"/>
        <v>8</v>
      </c>
      <c r="G71" s="42"/>
      <c r="H71" s="42"/>
      <c r="I71" s="42"/>
      <c r="J71" s="42"/>
      <c r="K71" s="42"/>
      <c r="L71" s="42"/>
      <c r="M71" s="42">
        <v>1</v>
      </c>
      <c r="N71" s="42">
        <v>1</v>
      </c>
      <c r="O71" s="42">
        <v>1</v>
      </c>
      <c r="P71" s="42">
        <v>1</v>
      </c>
      <c r="Q71" s="42">
        <v>1</v>
      </c>
      <c r="R71" s="42">
        <v>1</v>
      </c>
      <c r="S71" s="42">
        <v>1</v>
      </c>
      <c r="T71" s="42">
        <v>1</v>
      </c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1">
        <f t="shared" si="12"/>
        <v>8</v>
      </c>
      <c r="AF71" s="111" t="s">
        <v>438</v>
      </c>
      <c r="AG71" s="189" t="s">
        <v>558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3"/>
        <v>11</v>
      </c>
      <c r="G72" s="42">
        <v>1</v>
      </c>
      <c r="H72" s="42">
        <v>1</v>
      </c>
      <c r="I72" s="42">
        <v>1</v>
      </c>
      <c r="J72" s="42">
        <v>1</v>
      </c>
      <c r="K72" s="42">
        <v>1</v>
      </c>
      <c r="L72" s="42">
        <v>1</v>
      </c>
      <c r="M72" s="42">
        <v>1</v>
      </c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>
        <v>1</v>
      </c>
      <c r="AB72" s="42">
        <v>1</v>
      </c>
      <c r="AC72" s="42">
        <v>1</v>
      </c>
      <c r="AD72" s="42">
        <v>1</v>
      </c>
      <c r="AE72" s="41">
        <f t="shared" si="12"/>
        <v>11</v>
      </c>
      <c r="AF72" s="116" t="s">
        <v>424</v>
      </c>
      <c r="AG72" s="189" t="s">
        <v>558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3"/>
        <v>7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>
        <v>1</v>
      </c>
      <c r="V73" s="42">
        <v>1</v>
      </c>
      <c r="W73" s="42">
        <v>1</v>
      </c>
      <c r="X73" s="42"/>
      <c r="Y73" s="42">
        <v>1</v>
      </c>
      <c r="Z73" s="42">
        <v>1</v>
      </c>
      <c r="AA73" s="42">
        <v>1</v>
      </c>
      <c r="AB73" s="42">
        <v>1</v>
      </c>
      <c r="AC73" s="42"/>
      <c r="AD73" s="42"/>
      <c r="AE73" s="41">
        <f t="shared" si="12"/>
        <v>7</v>
      </c>
      <c r="AF73" s="111" t="s">
        <v>601</v>
      </c>
      <c r="AG73" s="189" t="s">
        <v>558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3"/>
        <v>11</v>
      </c>
      <c r="G74" s="42">
        <v>1</v>
      </c>
      <c r="H74" s="42">
        <v>1</v>
      </c>
      <c r="I74" s="42">
        <v>1</v>
      </c>
      <c r="J74" s="42">
        <v>1</v>
      </c>
      <c r="K74" s="42">
        <v>1</v>
      </c>
      <c r="L74" s="42">
        <v>1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>
        <v>1</v>
      </c>
      <c r="AA74" s="42">
        <v>1</v>
      </c>
      <c r="AB74" s="42">
        <v>1</v>
      </c>
      <c r="AC74" s="63">
        <v>1</v>
      </c>
      <c r="AD74" s="42">
        <v>1</v>
      </c>
      <c r="AE74" s="41">
        <f t="shared" si="12"/>
        <v>11</v>
      </c>
      <c r="AF74" s="116" t="s">
        <v>432</v>
      </c>
      <c r="AG74" s="189" t="s">
        <v>558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3"/>
        <v>9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63">
        <v>1</v>
      </c>
      <c r="V75" s="63">
        <v>1</v>
      </c>
      <c r="W75" s="63">
        <v>1</v>
      </c>
      <c r="X75" s="63">
        <v>1</v>
      </c>
      <c r="Y75" s="63">
        <v>1</v>
      </c>
      <c r="Z75" s="63">
        <v>1</v>
      </c>
      <c r="AA75" s="63">
        <v>1</v>
      </c>
      <c r="AB75" s="63">
        <v>1</v>
      </c>
      <c r="AC75" s="63">
        <v>1</v>
      </c>
      <c r="AD75" s="42"/>
      <c r="AE75" s="101">
        <f t="shared" si="12"/>
        <v>9</v>
      </c>
      <c r="AF75" s="111" t="s">
        <v>515</v>
      </c>
      <c r="AG75" s="189" t="s">
        <v>558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3"/>
        <v>8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>
        <v>1</v>
      </c>
      <c r="T76" s="42">
        <v>1</v>
      </c>
      <c r="U76" s="42">
        <v>1</v>
      </c>
      <c r="V76" s="42">
        <v>1</v>
      </c>
      <c r="W76" s="42">
        <v>1</v>
      </c>
      <c r="X76" s="42">
        <v>1</v>
      </c>
      <c r="Y76" s="42">
        <v>1</v>
      </c>
      <c r="Z76" s="42">
        <v>1</v>
      </c>
      <c r="AA76" s="42"/>
      <c r="AB76" s="42"/>
      <c r="AC76" s="42"/>
      <c r="AD76" s="42"/>
      <c r="AE76" s="41">
        <f t="shared" si="12"/>
        <v>8</v>
      </c>
      <c r="AF76" s="111" t="s">
        <v>589</v>
      </c>
      <c r="AG76" s="189" t="s">
        <v>558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3"/>
        <v>8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>
        <v>1</v>
      </c>
      <c r="R77" s="42">
        <v>1</v>
      </c>
      <c r="S77" s="42">
        <v>1</v>
      </c>
      <c r="T77" s="42">
        <v>1</v>
      </c>
      <c r="U77" s="42">
        <v>1</v>
      </c>
      <c r="V77" s="42">
        <v>1</v>
      </c>
      <c r="W77" s="42">
        <v>1</v>
      </c>
      <c r="X77" s="42">
        <v>1</v>
      </c>
      <c r="Y77" s="42"/>
      <c r="Z77" s="42"/>
      <c r="AA77" s="42"/>
      <c r="AB77" s="42"/>
      <c r="AC77" s="42"/>
      <c r="AD77" s="42"/>
      <c r="AE77" s="41">
        <f t="shared" si="12"/>
        <v>8</v>
      </c>
      <c r="AF77" s="111" t="s">
        <v>602</v>
      </c>
      <c r="AG77" s="189" t="s">
        <v>558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3"/>
        <v>9</v>
      </c>
      <c r="G78" s="42"/>
      <c r="H78" s="42"/>
      <c r="I78" s="42"/>
      <c r="J78" s="42"/>
      <c r="K78" s="42"/>
      <c r="L78" s="42"/>
      <c r="M78" s="42">
        <v>1</v>
      </c>
      <c r="N78" s="42">
        <v>1</v>
      </c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>
        <v>1</v>
      </c>
      <c r="U78" s="42">
        <v>1</v>
      </c>
      <c r="V78" s="42"/>
      <c r="W78" s="42"/>
      <c r="X78" s="42"/>
      <c r="Y78" s="42"/>
      <c r="Z78" s="42"/>
      <c r="AA78" s="42"/>
      <c r="AB78" s="42"/>
      <c r="AC78" s="42"/>
      <c r="AD78" s="42"/>
      <c r="AE78" s="41">
        <f t="shared" si="12"/>
        <v>9</v>
      </c>
      <c r="AF78" s="111" t="s">
        <v>587</v>
      </c>
      <c r="AG78" s="189" t="s">
        <v>558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3"/>
        <v>9</v>
      </c>
      <c r="G79" s="102"/>
      <c r="H79" s="102"/>
      <c r="I79" s="102"/>
      <c r="J79" s="102"/>
      <c r="K79" s="102"/>
      <c r="L79" s="102"/>
      <c r="M79" s="102"/>
      <c r="N79" s="102"/>
      <c r="O79" s="102"/>
      <c r="P79" s="102">
        <v>1</v>
      </c>
      <c r="Q79" s="102">
        <v>1</v>
      </c>
      <c r="R79" s="102">
        <v>1</v>
      </c>
      <c r="S79" s="102">
        <v>1</v>
      </c>
      <c r="T79" s="102">
        <v>1</v>
      </c>
      <c r="U79" s="102"/>
      <c r="V79" s="102">
        <v>1</v>
      </c>
      <c r="W79" s="42">
        <v>1</v>
      </c>
      <c r="X79" s="102">
        <v>1</v>
      </c>
      <c r="Y79" s="102">
        <v>1</v>
      </c>
      <c r="Z79" s="102"/>
      <c r="AA79" s="102"/>
      <c r="AB79" s="102"/>
      <c r="AC79" s="102"/>
      <c r="AD79" s="42"/>
      <c r="AE79" s="41">
        <f t="shared" si="12"/>
        <v>9</v>
      </c>
      <c r="AF79" s="116" t="s">
        <v>242</v>
      </c>
      <c r="AG79" s="189" t="s">
        <v>558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3"/>
        <v>0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583" t="s">
        <v>209</v>
      </c>
      <c r="W80" s="555"/>
      <c r="X80" s="555"/>
      <c r="Y80" s="555"/>
      <c r="Z80" s="555"/>
      <c r="AA80" s="555"/>
      <c r="AB80" s="555"/>
      <c r="AC80" s="542"/>
      <c r="AD80" s="77"/>
      <c r="AE80" s="41">
        <f t="shared" si="12"/>
        <v>0</v>
      </c>
      <c r="AF80" s="111" t="s">
        <v>571</v>
      </c>
      <c r="AG80" s="189" t="s">
        <v>558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3"/>
        <v>0</v>
      </c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583" t="s">
        <v>209</v>
      </c>
      <c r="W81" s="555"/>
      <c r="X81" s="555"/>
      <c r="Y81" s="555"/>
      <c r="Z81" s="555"/>
      <c r="AA81" s="555"/>
      <c r="AB81" s="555"/>
      <c r="AC81" s="542"/>
      <c r="AD81" s="77"/>
      <c r="AE81" s="41">
        <f t="shared" si="12"/>
        <v>0</v>
      </c>
      <c r="AF81" s="111" t="s">
        <v>571</v>
      </c>
      <c r="AG81" s="189" t="s">
        <v>558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13"/>
        <v>8</v>
      </c>
      <c r="G82" s="42"/>
      <c r="H82" s="42"/>
      <c r="I82" s="42"/>
      <c r="J82" s="42"/>
      <c r="K82" s="42"/>
      <c r="L82" s="42"/>
      <c r="M82" s="63">
        <v>1</v>
      </c>
      <c r="N82" s="63">
        <v>1</v>
      </c>
      <c r="O82" s="63">
        <v>1</v>
      </c>
      <c r="P82" s="63">
        <v>1</v>
      </c>
      <c r="Q82" s="63">
        <v>1</v>
      </c>
      <c r="R82" s="63">
        <v>1</v>
      </c>
      <c r="S82" s="63">
        <v>1</v>
      </c>
      <c r="T82" s="63">
        <v>1</v>
      </c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1">
        <f t="shared" si="12"/>
        <v>8</v>
      </c>
      <c r="AF82" s="111" t="s">
        <v>438</v>
      </c>
      <c r="AG82" s="189" t="s">
        <v>558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49BA5E93-E473-4F11-BE7E-FD55CB28D969}" filter="1" showAutoFilter="1">
      <pageMargins left="0.7" right="0.7" top="0.75" bottom="0.75" header="0.3" footer="0.3"/>
      <autoFilter ref="G5:AD84" xr:uid="{8E5BEB81-2427-4E13-BD99-205C5A85944B}">
        <filterColumn colId="15">
          <filters>
            <filter val="-"/>
            <filter val="1"/>
            <filter val="22"/>
            <filter val="8"/>
            <filter val="CLIENTES VIP"/>
            <filter val="MONITOREOS"/>
            <filter val="SEGUIMIENTO TRANSFERENCIAS"/>
            <filter val="SOPORTE DTH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EC12DC6B-0620-487C-B796-AED4889E52AC}"/>
    </customSheetView>
    <customSheetView guid="{833D6734-F5E1-4449-B5A1-8C3A51A61651}" filter="1" showAutoFilter="1">
      <pageMargins left="0.7" right="0.7" top="0.75" bottom="0.75" header="0.3" footer="0.3"/>
      <autoFilter ref="A7:AG84" xr:uid="{4C781F16-483C-4D44-A9C0-D676A2E53F7F}">
        <filterColumn colId="26">
          <filters>
            <filter val="-"/>
            <filter val="1"/>
            <filter val="5"/>
            <filter val="CLIENTES VIP"/>
            <filter val="MONITOREOS"/>
          </filters>
        </filterColumn>
      </autoFilter>
    </customSheetView>
  </customSheetViews>
  <mergeCells count="14">
    <mergeCell ref="V80:AC80"/>
    <mergeCell ref="V81:AC81"/>
    <mergeCell ref="A1:B1"/>
    <mergeCell ref="D3:AE3"/>
    <mergeCell ref="E4:F4"/>
    <mergeCell ref="E5:F5"/>
    <mergeCell ref="P20:Z20"/>
    <mergeCell ref="V39:AC39"/>
    <mergeCell ref="N42:U42"/>
    <mergeCell ref="V40:AC40"/>
    <mergeCell ref="V57:AC57"/>
    <mergeCell ref="N58:U58"/>
    <mergeCell ref="O59:Y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G84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487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246">
        <v>9</v>
      </c>
      <c r="N4" s="94">
        <v>10</v>
      </c>
      <c r="O4" s="13">
        <v>11</v>
      </c>
      <c r="P4" s="72">
        <v>16</v>
      </c>
      <c r="Q4" s="149">
        <v>19</v>
      </c>
      <c r="R4" s="149">
        <v>19</v>
      </c>
      <c r="S4" s="83">
        <v>17</v>
      </c>
      <c r="T4" s="83">
        <v>17</v>
      </c>
      <c r="U4" s="83">
        <v>17</v>
      </c>
      <c r="V4" s="83">
        <v>17</v>
      </c>
      <c r="W4" s="83">
        <v>17</v>
      </c>
      <c r="X4" s="108">
        <v>15</v>
      </c>
      <c r="Y4" s="56">
        <v>13</v>
      </c>
      <c r="Z4" s="56">
        <v>13</v>
      </c>
      <c r="AA4" s="13">
        <v>11</v>
      </c>
      <c r="AB4" s="17">
        <v>7</v>
      </c>
      <c r="AC4" s="17">
        <v>7</v>
      </c>
      <c r="AD4" s="11">
        <v>4</v>
      </c>
      <c r="AE4" s="18">
        <f>SUM(G4:AD4)</f>
        <v>258</v>
      </c>
      <c r="AF4" s="3"/>
      <c r="AG4" s="3"/>
    </row>
    <row r="5" spans="1:33" ht="62.25">
      <c r="A5" s="3"/>
      <c r="B5" s="2"/>
      <c r="C5" s="2"/>
      <c r="D5" s="19"/>
      <c r="E5" s="569">
        <v>10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-1</v>
      </c>
      <c r="Q6" s="28">
        <f t="shared" si="0"/>
        <v>-2</v>
      </c>
      <c r="R6" s="28">
        <f t="shared" si="0"/>
        <v>-2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1</v>
      </c>
      <c r="W6" s="28">
        <f t="shared" si="0"/>
        <v>0</v>
      </c>
      <c r="X6" s="28">
        <f t="shared" si="0"/>
        <v>0</v>
      </c>
      <c r="Y6" s="28">
        <f t="shared" si="0"/>
        <v>-1</v>
      </c>
      <c r="Z6" s="28">
        <f t="shared" si="0"/>
        <v>-1</v>
      </c>
      <c r="AA6" s="28">
        <f t="shared" si="0"/>
        <v>-1</v>
      </c>
      <c r="AB6" s="28">
        <f t="shared" si="0"/>
        <v>-1</v>
      </c>
      <c r="AC6" s="28">
        <f t="shared" si="0"/>
        <v>-1</v>
      </c>
      <c r="AD6" s="28">
        <f t="shared" si="0"/>
        <v>0</v>
      </c>
      <c r="AE6" s="29">
        <f t="shared" ref="AE6:AE19" si="1">SUM(G6:AD6)</f>
        <v>-9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SUM(G8:G59)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9</v>
      </c>
      <c r="N7" s="35">
        <f t="shared" si="2"/>
        <v>10</v>
      </c>
      <c r="O7" s="35">
        <f t="shared" si="2"/>
        <v>11</v>
      </c>
      <c r="P7" s="35">
        <f t="shared" si="2"/>
        <v>15</v>
      </c>
      <c r="Q7" s="35">
        <f t="shared" si="2"/>
        <v>17</v>
      </c>
      <c r="R7" s="35">
        <f t="shared" si="2"/>
        <v>17</v>
      </c>
      <c r="S7" s="35">
        <f t="shared" si="2"/>
        <v>17</v>
      </c>
      <c r="T7" s="35">
        <f t="shared" si="2"/>
        <v>17</v>
      </c>
      <c r="U7" s="35">
        <f t="shared" si="2"/>
        <v>17</v>
      </c>
      <c r="V7" s="35">
        <f t="shared" si="2"/>
        <v>18</v>
      </c>
      <c r="W7" s="35">
        <f t="shared" si="2"/>
        <v>17</v>
      </c>
      <c r="X7" s="35">
        <f t="shared" si="2"/>
        <v>15</v>
      </c>
      <c r="Y7" s="35">
        <f t="shared" si="2"/>
        <v>12</v>
      </c>
      <c r="Z7" s="35">
        <f t="shared" si="2"/>
        <v>12</v>
      </c>
      <c r="AA7" s="35">
        <f t="shared" si="2"/>
        <v>10</v>
      </c>
      <c r="AB7" s="35">
        <f t="shared" si="2"/>
        <v>6</v>
      </c>
      <c r="AC7" s="35">
        <f t="shared" si="2"/>
        <v>6</v>
      </c>
      <c r="AD7" s="35">
        <f t="shared" si="2"/>
        <v>4</v>
      </c>
      <c r="AE7" s="30">
        <f t="shared" si="1"/>
        <v>249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145" t="s">
        <v>46</v>
      </c>
      <c r="F8" s="249">
        <f t="shared" ref="F8:F19" si="3">SUM(G8:AD8)</f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  <c r="Z8" s="77">
        <v>0</v>
      </c>
      <c r="AA8" s="77">
        <v>0</v>
      </c>
      <c r="AB8" s="77">
        <v>0</v>
      </c>
      <c r="AC8" s="77">
        <v>0</v>
      </c>
      <c r="AD8" s="77">
        <v>0</v>
      </c>
      <c r="AE8" s="41">
        <f t="shared" si="1"/>
        <v>0</v>
      </c>
      <c r="AF8" s="89" t="s">
        <v>225</v>
      </c>
      <c r="AG8" s="189" t="s">
        <v>570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45" t="s">
        <v>53</v>
      </c>
      <c r="F9" s="249">
        <f t="shared" si="3"/>
        <v>8</v>
      </c>
      <c r="G9" s="250">
        <v>1</v>
      </c>
      <c r="H9" s="250">
        <v>1</v>
      </c>
      <c r="I9" s="250">
        <v>1</v>
      </c>
      <c r="J9" s="250">
        <v>1</v>
      </c>
      <c r="K9" s="250">
        <v>1</v>
      </c>
      <c r="L9" s="250">
        <v>1</v>
      </c>
      <c r="M9" s="250">
        <v>1</v>
      </c>
      <c r="N9" s="250">
        <v>1</v>
      </c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2">
        <f t="shared" si="1"/>
        <v>8</v>
      </c>
      <c r="AF9" s="116" t="s">
        <v>603</v>
      </c>
      <c r="AG9" s="189" t="s">
        <v>558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45" t="s">
        <v>56</v>
      </c>
      <c r="F10" s="249">
        <f t="shared" si="3"/>
        <v>0</v>
      </c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61" t="s">
        <v>231</v>
      </c>
      <c r="V10" s="261" t="s">
        <v>231</v>
      </c>
      <c r="W10" s="261" t="s">
        <v>231</v>
      </c>
      <c r="X10" s="261" t="s">
        <v>231</v>
      </c>
      <c r="Y10" s="261" t="s">
        <v>231</v>
      </c>
      <c r="Z10" s="261" t="s">
        <v>231</v>
      </c>
      <c r="AA10" s="261" t="s">
        <v>231</v>
      </c>
      <c r="AB10" s="261" t="s">
        <v>231</v>
      </c>
      <c r="AC10" s="261" t="s">
        <v>231</v>
      </c>
      <c r="AD10" s="261" t="s">
        <v>231</v>
      </c>
      <c r="AE10" s="252">
        <f t="shared" si="1"/>
        <v>0</v>
      </c>
      <c r="AF10" s="116" t="s">
        <v>75</v>
      </c>
      <c r="AG10" s="189" t="s">
        <v>558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249">
        <f t="shared" si="3"/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  <c r="Z11" s="77">
        <v>0</v>
      </c>
      <c r="AA11" s="77">
        <v>0</v>
      </c>
      <c r="AB11" s="77">
        <v>0</v>
      </c>
      <c r="AC11" s="77">
        <v>0</v>
      </c>
      <c r="AD11" s="77">
        <v>0</v>
      </c>
      <c r="AE11" s="41">
        <f t="shared" si="1"/>
        <v>0</v>
      </c>
      <c r="AF11" s="89" t="s">
        <v>225</v>
      </c>
      <c r="AG11" s="189" t="s">
        <v>558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45" t="s">
        <v>147</v>
      </c>
      <c r="F12" s="249">
        <f t="shared" si="3"/>
        <v>9</v>
      </c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>
        <v>1</v>
      </c>
      <c r="U12" s="250">
        <v>1</v>
      </c>
      <c r="V12" s="250">
        <v>1</v>
      </c>
      <c r="W12" s="250"/>
      <c r="X12" s="250">
        <v>1</v>
      </c>
      <c r="Y12" s="250">
        <v>1</v>
      </c>
      <c r="Z12" s="250">
        <v>1</v>
      </c>
      <c r="AA12" s="250">
        <v>1</v>
      </c>
      <c r="AB12" s="250">
        <v>1</v>
      </c>
      <c r="AC12" s="250">
        <v>1</v>
      </c>
      <c r="AD12" s="250"/>
      <c r="AE12" s="252">
        <f t="shared" si="1"/>
        <v>9</v>
      </c>
      <c r="AF12" s="116" t="s">
        <v>604</v>
      </c>
      <c r="AG12" s="189" t="s">
        <v>558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53" t="s">
        <v>60</v>
      </c>
      <c r="F13" s="249">
        <f t="shared" si="3"/>
        <v>5</v>
      </c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>
        <v>1</v>
      </c>
      <c r="AA13" s="250">
        <v>1</v>
      </c>
      <c r="AB13" s="250">
        <v>1</v>
      </c>
      <c r="AC13" s="250">
        <v>1</v>
      </c>
      <c r="AD13" s="250">
        <v>1</v>
      </c>
      <c r="AE13" s="252">
        <f t="shared" si="1"/>
        <v>5</v>
      </c>
      <c r="AF13" s="116" t="s">
        <v>605</v>
      </c>
      <c r="AG13" s="189" t="s">
        <v>558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53" t="s">
        <v>63</v>
      </c>
      <c r="F14" s="249">
        <f t="shared" si="3"/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41">
        <f t="shared" si="1"/>
        <v>0</v>
      </c>
      <c r="AF14" s="89" t="s">
        <v>225</v>
      </c>
      <c r="AG14" s="189" t="s">
        <v>558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53" t="s">
        <v>65</v>
      </c>
      <c r="F15" s="249">
        <f t="shared" si="3"/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41">
        <f t="shared" si="1"/>
        <v>0</v>
      </c>
      <c r="AF15" s="89" t="s">
        <v>225</v>
      </c>
      <c r="AG15" s="189" t="s">
        <v>558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45" t="s">
        <v>71</v>
      </c>
      <c r="F16" s="249">
        <f t="shared" si="3"/>
        <v>10</v>
      </c>
      <c r="G16" s="250"/>
      <c r="H16" s="250"/>
      <c r="I16" s="250"/>
      <c r="J16" s="250"/>
      <c r="K16" s="250"/>
      <c r="L16" s="250"/>
      <c r="M16" s="250">
        <v>1</v>
      </c>
      <c r="N16" s="250">
        <v>1</v>
      </c>
      <c r="O16" s="250">
        <v>1</v>
      </c>
      <c r="P16" s="250">
        <v>1</v>
      </c>
      <c r="Q16" s="250">
        <v>1</v>
      </c>
      <c r="R16" s="250">
        <v>1</v>
      </c>
      <c r="S16" s="250">
        <v>1</v>
      </c>
      <c r="T16" s="250">
        <v>1</v>
      </c>
      <c r="U16" s="250">
        <v>1</v>
      </c>
      <c r="V16" s="250">
        <v>1</v>
      </c>
      <c r="W16" s="250"/>
      <c r="X16" s="250"/>
      <c r="Y16" s="250"/>
      <c r="Z16" s="250"/>
      <c r="AA16" s="250"/>
      <c r="AB16" s="250"/>
      <c r="AC16" s="250"/>
      <c r="AD16" s="250"/>
      <c r="AE16" s="252">
        <f t="shared" si="1"/>
        <v>10</v>
      </c>
      <c r="AF16" s="116" t="s">
        <v>606</v>
      </c>
      <c r="AG16" s="189" t="s">
        <v>558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145" t="s">
        <v>73</v>
      </c>
      <c r="F17" s="249">
        <f t="shared" si="3"/>
        <v>11</v>
      </c>
      <c r="G17" s="250"/>
      <c r="H17" s="250"/>
      <c r="I17" s="250"/>
      <c r="J17" s="250"/>
      <c r="K17" s="250"/>
      <c r="L17" s="250"/>
      <c r="M17" s="250"/>
      <c r="N17" s="250"/>
      <c r="O17" s="250"/>
      <c r="P17" s="250">
        <v>1</v>
      </c>
      <c r="Q17" s="250">
        <v>1</v>
      </c>
      <c r="R17" s="250">
        <v>1</v>
      </c>
      <c r="S17" s="250">
        <v>1</v>
      </c>
      <c r="T17" s="250">
        <v>1</v>
      </c>
      <c r="U17" s="250">
        <v>1</v>
      </c>
      <c r="V17" s="250"/>
      <c r="W17" s="250">
        <v>1</v>
      </c>
      <c r="X17" s="250">
        <v>1</v>
      </c>
      <c r="Y17" s="250">
        <v>1</v>
      </c>
      <c r="Z17" s="250">
        <v>1</v>
      </c>
      <c r="AA17" s="250">
        <v>1</v>
      </c>
      <c r="AB17" s="250"/>
      <c r="AC17" s="250"/>
      <c r="AD17" s="250"/>
      <c r="AE17" s="252">
        <f t="shared" si="1"/>
        <v>11</v>
      </c>
      <c r="AF17" s="116" t="s">
        <v>607</v>
      </c>
      <c r="AG17" s="189" t="s">
        <v>558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145" t="s">
        <v>80</v>
      </c>
      <c r="F18" s="249">
        <f t="shared" si="3"/>
        <v>5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>
        <v>1</v>
      </c>
      <c r="AA18" s="250">
        <v>1</v>
      </c>
      <c r="AB18" s="250">
        <v>1</v>
      </c>
      <c r="AC18" s="250">
        <v>1</v>
      </c>
      <c r="AD18" s="250">
        <v>1</v>
      </c>
      <c r="AE18" s="252">
        <f t="shared" si="1"/>
        <v>5</v>
      </c>
      <c r="AF18" s="116" t="s">
        <v>605</v>
      </c>
      <c r="AG18" s="189" t="s">
        <v>558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45" t="s">
        <v>83</v>
      </c>
      <c r="F19" s="249">
        <f t="shared" si="3"/>
        <v>11</v>
      </c>
      <c r="G19" s="250"/>
      <c r="H19" s="250"/>
      <c r="I19" s="250"/>
      <c r="J19" s="250"/>
      <c r="K19" s="250"/>
      <c r="L19" s="250"/>
      <c r="M19" s="250"/>
      <c r="N19" s="250">
        <v>1</v>
      </c>
      <c r="O19" s="250">
        <v>1</v>
      </c>
      <c r="P19" s="250">
        <v>1</v>
      </c>
      <c r="Q19" s="250">
        <v>1</v>
      </c>
      <c r="R19" s="250">
        <v>1</v>
      </c>
      <c r="S19" s="250">
        <v>1</v>
      </c>
      <c r="T19" s="250">
        <v>1</v>
      </c>
      <c r="U19" s="250"/>
      <c r="V19" s="250">
        <v>1</v>
      </c>
      <c r="W19" s="250">
        <v>1</v>
      </c>
      <c r="X19" s="250">
        <v>1</v>
      </c>
      <c r="Y19" s="250">
        <v>1</v>
      </c>
      <c r="Z19" s="250"/>
      <c r="AA19" s="250"/>
      <c r="AB19" s="250"/>
      <c r="AC19" s="250"/>
      <c r="AD19" s="250"/>
      <c r="AE19" s="252">
        <f t="shared" si="1"/>
        <v>11</v>
      </c>
      <c r="AF19" s="116" t="s">
        <v>273</v>
      </c>
      <c r="AG19" s="189" t="s">
        <v>558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249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579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42"/>
      <c r="AA20" s="77"/>
      <c r="AB20" s="77"/>
      <c r="AC20" s="42"/>
      <c r="AD20" s="42"/>
      <c r="AE20" s="252">
        <v>11</v>
      </c>
      <c r="AF20" s="116" t="s">
        <v>575</v>
      </c>
      <c r="AG20" s="189" t="s">
        <v>558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45" t="s">
        <v>91</v>
      </c>
      <c r="F21" s="249">
        <f>SUM(G21:AD21)</f>
        <v>10</v>
      </c>
      <c r="G21" s="250"/>
      <c r="H21" s="250"/>
      <c r="I21" s="250"/>
      <c r="J21" s="250"/>
      <c r="K21" s="250"/>
      <c r="L21" s="250"/>
      <c r="M21" s="250">
        <v>1</v>
      </c>
      <c r="N21" s="250">
        <v>1</v>
      </c>
      <c r="O21" s="250">
        <v>1</v>
      </c>
      <c r="P21" s="250">
        <v>1</v>
      </c>
      <c r="Q21" s="250">
        <v>1</v>
      </c>
      <c r="R21" s="250">
        <v>1</v>
      </c>
      <c r="S21" s="250">
        <v>1</v>
      </c>
      <c r="T21" s="250">
        <v>1</v>
      </c>
      <c r="U21" s="250">
        <v>1</v>
      </c>
      <c r="V21" s="250">
        <v>1</v>
      </c>
      <c r="W21" s="250"/>
      <c r="X21" s="250"/>
      <c r="Y21" s="250"/>
      <c r="Z21" s="250"/>
      <c r="AA21" s="250"/>
      <c r="AB21" s="250"/>
      <c r="AC21" s="250"/>
      <c r="AD21" s="250"/>
      <c r="AE21" s="41">
        <f>SUM(G21:AD21)</f>
        <v>10</v>
      </c>
      <c r="AF21" s="89" t="s">
        <v>606</v>
      </c>
      <c r="AG21" s="189" t="s">
        <v>558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53" t="s">
        <v>93</v>
      </c>
      <c r="F22" s="249">
        <v>8</v>
      </c>
      <c r="G22" s="250"/>
      <c r="H22" s="250"/>
      <c r="I22" s="250"/>
      <c r="J22" s="250"/>
      <c r="K22" s="250"/>
      <c r="L22" s="250"/>
      <c r="M22" s="250"/>
      <c r="N22" s="577" t="s">
        <v>292</v>
      </c>
      <c r="O22" s="555"/>
      <c r="P22" s="555"/>
      <c r="Q22" s="555"/>
      <c r="R22" s="555"/>
      <c r="S22" s="555"/>
      <c r="T22" s="555"/>
      <c r="U22" s="555"/>
      <c r="V22" s="250"/>
      <c r="W22" s="250"/>
      <c r="X22" s="250"/>
      <c r="Y22" s="250"/>
      <c r="Z22" s="250"/>
      <c r="AA22" s="250"/>
      <c r="AB22" s="250"/>
      <c r="AC22" s="250"/>
      <c r="AD22" s="250"/>
      <c r="AE22" s="252">
        <v>8</v>
      </c>
      <c r="AF22" s="116" t="s">
        <v>583</v>
      </c>
      <c r="AG22" s="189" t="s">
        <v>558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53" t="s">
        <v>95</v>
      </c>
      <c r="F23" s="249">
        <f t="shared" ref="F23:F28" si="4">SUM(G23:AD23)</f>
        <v>10</v>
      </c>
      <c r="G23" s="250"/>
      <c r="H23" s="250"/>
      <c r="I23" s="250"/>
      <c r="J23" s="250"/>
      <c r="K23" s="250"/>
      <c r="L23" s="250"/>
      <c r="M23" s="250">
        <v>1</v>
      </c>
      <c r="N23" s="250">
        <v>1</v>
      </c>
      <c r="O23" s="250">
        <v>1</v>
      </c>
      <c r="P23" s="250">
        <v>1</v>
      </c>
      <c r="Q23" s="250">
        <v>1</v>
      </c>
      <c r="R23" s="250">
        <v>1</v>
      </c>
      <c r="S23" s="250"/>
      <c r="T23" s="250">
        <v>1</v>
      </c>
      <c r="U23" s="250">
        <v>1</v>
      </c>
      <c r="V23" s="250">
        <v>1</v>
      </c>
      <c r="W23" s="250">
        <v>1</v>
      </c>
      <c r="X23" s="250"/>
      <c r="Y23" s="250"/>
      <c r="Z23" s="250"/>
      <c r="AA23" s="250"/>
      <c r="AB23" s="250"/>
      <c r="AC23" s="250"/>
      <c r="AD23" s="250"/>
      <c r="AE23" s="252">
        <f t="shared" ref="AE23:AE38" si="5">SUM(G23:AD23)</f>
        <v>10</v>
      </c>
      <c r="AF23" s="116" t="s">
        <v>275</v>
      </c>
      <c r="AG23" s="189" t="s">
        <v>558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53" t="s">
        <v>99</v>
      </c>
      <c r="F24" s="249">
        <f t="shared" si="4"/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  <c r="Z24" s="77">
        <v>0</v>
      </c>
      <c r="AA24" s="77">
        <v>0</v>
      </c>
      <c r="AB24" s="77">
        <v>0</v>
      </c>
      <c r="AC24" s="77">
        <v>0</v>
      </c>
      <c r="AD24" s="77">
        <v>0</v>
      </c>
      <c r="AE24" s="41">
        <f t="shared" si="5"/>
        <v>0</v>
      </c>
      <c r="AF24" s="89" t="s">
        <v>225</v>
      </c>
      <c r="AG24" s="189" t="s">
        <v>558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53" t="s">
        <v>102</v>
      </c>
      <c r="F25" s="249">
        <f t="shared" si="4"/>
        <v>8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61" t="s">
        <v>231</v>
      </c>
      <c r="Q25" s="261" t="s">
        <v>231</v>
      </c>
      <c r="R25" s="261" t="s">
        <v>231</v>
      </c>
      <c r="S25" s="250">
        <v>1</v>
      </c>
      <c r="T25" s="250">
        <v>1</v>
      </c>
      <c r="U25" s="250">
        <v>1</v>
      </c>
      <c r="V25" s="250">
        <v>1</v>
      </c>
      <c r="W25" s="250">
        <v>1</v>
      </c>
      <c r="X25" s="250">
        <v>1</v>
      </c>
      <c r="Y25" s="250">
        <v>1</v>
      </c>
      <c r="Z25" s="250">
        <v>1</v>
      </c>
      <c r="AA25" s="250"/>
      <c r="AB25" s="250"/>
      <c r="AC25" s="250"/>
      <c r="AD25" s="250"/>
      <c r="AE25" s="252">
        <f t="shared" si="5"/>
        <v>8</v>
      </c>
      <c r="AF25" s="116" t="s">
        <v>608</v>
      </c>
      <c r="AG25" s="189" t="s">
        <v>558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53" t="s">
        <v>104</v>
      </c>
      <c r="F26" s="249">
        <f t="shared" si="4"/>
        <v>11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>
        <v>1</v>
      </c>
      <c r="Q26" s="250">
        <v>1</v>
      </c>
      <c r="R26" s="250">
        <v>1</v>
      </c>
      <c r="S26" s="250">
        <v>1</v>
      </c>
      <c r="T26" s="250">
        <v>1</v>
      </c>
      <c r="U26" s="250"/>
      <c r="V26" s="250">
        <v>1</v>
      </c>
      <c r="W26" s="250">
        <v>1</v>
      </c>
      <c r="X26" s="250">
        <v>1</v>
      </c>
      <c r="Y26" s="250">
        <v>1</v>
      </c>
      <c r="Z26" s="250">
        <v>1</v>
      </c>
      <c r="AA26" s="250">
        <v>1</v>
      </c>
      <c r="AB26" s="250"/>
      <c r="AC26" s="250"/>
      <c r="AD26" s="250"/>
      <c r="AE26" s="252">
        <f t="shared" si="5"/>
        <v>11</v>
      </c>
      <c r="AF26" s="116" t="s">
        <v>609</v>
      </c>
      <c r="AG26" s="189" t="s">
        <v>558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53" t="s">
        <v>333</v>
      </c>
      <c r="F27" s="249">
        <f t="shared" si="4"/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  <c r="Z27" s="77">
        <v>0</v>
      </c>
      <c r="AA27" s="77">
        <v>0</v>
      </c>
      <c r="AB27" s="77">
        <v>0</v>
      </c>
      <c r="AC27" s="77">
        <v>0</v>
      </c>
      <c r="AD27" s="77">
        <v>0</v>
      </c>
      <c r="AE27" s="41">
        <f t="shared" si="5"/>
        <v>0</v>
      </c>
      <c r="AF27" s="89" t="s">
        <v>225</v>
      </c>
      <c r="AG27" s="189" t="s">
        <v>558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53" t="s">
        <v>172</v>
      </c>
      <c r="F28" s="249">
        <f t="shared" si="4"/>
        <v>0</v>
      </c>
      <c r="G28" s="77">
        <v>0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  <c r="Z28" s="77">
        <v>0</v>
      </c>
      <c r="AA28" s="77">
        <v>0</v>
      </c>
      <c r="AB28" s="77">
        <v>0</v>
      </c>
      <c r="AC28" s="77">
        <v>0</v>
      </c>
      <c r="AD28" s="77">
        <v>0</v>
      </c>
      <c r="AE28" s="41">
        <f t="shared" si="5"/>
        <v>0</v>
      </c>
      <c r="AF28" s="89" t="s">
        <v>225</v>
      </c>
      <c r="AG28" s="189" t="s">
        <v>558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53" t="s">
        <v>106</v>
      </c>
      <c r="F29" s="249">
        <v>7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>
        <v>1</v>
      </c>
      <c r="Q29" s="250">
        <v>1</v>
      </c>
      <c r="R29" s="250">
        <v>1</v>
      </c>
      <c r="S29" s="250">
        <v>1</v>
      </c>
      <c r="T29" s="250">
        <v>1</v>
      </c>
      <c r="U29" s="250">
        <v>1</v>
      </c>
      <c r="V29" s="250"/>
      <c r="W29" s="250">
        <v>1</v>
      </c>
      <c r="X29" s="250">
        <v>1</v>
      </c>
      <c r="Y29" s="250">
        <v>1</v>
      </c>
      <c r="Z29" s="250">
        <v>1</v>
      </c>
      <c r="AA29" s="250">
        <v>1</v>
      </c>
      <c r="AB29" s="250">
        <v>1</v>
      </c>
      <c r="AC29" s="250">
        <v>1</v>
      </c>
      <c r="AD29" s="250"/>
      <c r="AE29" s="252">
        <f t="shared" si="5"/>
        <v>13</v>
      </c>
      <c r="AF29" s="116" t="s">
        <v>610</v>
      </c>
      <c r="AG29" s="189" t="s">
        <v>558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53" t="s">
        <v>112</v>
      </c>
      <c r="F30" s="249">
        <f t="shared" ref="F30:F38" si="6">SUM(G30:AD30)</f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  <c r="Z30" s="77">
        <v>0</v>
      </c>
      <c r="AA30" s="77">
        <v>0</v>
      </c>
      <c r="AB30" s="77">
        <v>0</v>
      </c>
      <c r="AC30" s="77">
        <v>0</v>
      </c>
      <c r="AD30" s="77">
        <v>0</v>
      </c>
      <c r="AE30" s="41">
        <f t="shared" si="5"/>
        <v>0</v>
      </c>
      <c r="AF30" s="89" t="s">
        <v>225</v>
      </c>
      <c r="AG30" s="189" t="s">
        <v>558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53" t="s">
        <v>116</v>
      </c>
      <c r="F31" s="249">
        <f t="shared" si="6"/>
        <v>10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>
        <v>1</v>
      </c>
      <c r="O31" s="250">
        <v>1</v>
      </c>
      <c r="P31" s="250">
        <v>1</v>
      </c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2">
        <f t="shared" si="5"/>
        <v>10</v>
      </c>
      <c r="AF31" s="116" t="s">
        <v>611</v>
      </c>
      <c r="AG31" s="189" t="s">
        <v>558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53" t="s">
        <v>121</v>
      </c>
      <c r="F32" s="249">
        <f t="shared" si="6"/>
        <v>5</v>
      </c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>
        <v>1</v>
      </c>
      <c r="AA32" s="250">
        <v>1</v>
      </c>
      <c r="AB32" s="250">
        <v>1</v>
      </c>
      <c r="AC32" s="250">
        <v>1</v>
      </c>
      <c r="AD32" s="250">
        <v>1</v>
      </c>
      <c r="AE32" s="252">
        <f t="shared" si="5"/>
        <v>5</v>
      </c>
      <c r="AF32" s="116" t="s">
        <v>270</v>
      </c>
      <c r="AG32" s="189" t="s">
        <v>558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9" t="s">
        <v>123</v>
      </c>
      <c r="F33" s="249">
        <f t="shared" si="6"/>
        <v>0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  <c r="Z33" s="77">
        <v>0</v>
      </c>
      <c r="AA33" s="77">
        <v>0</v>
      </c>
      <c r="AB33" s="77">
        <v>0</v>
      </c>
      <c r="AC33" s="77">
        <v>0</v>
      </c>
      <c r="AD33" s="77">
        <v>0</v>
      </c>
      <c r="AE33" s="41">
        <f t="shared" si="5"/>
        <v>0</v>
      </c>
      <c r="AF33" s="89" t="s">
        <v>225</v>
      </c>
      <c r="AG33" s="189" t="s">
        <v>558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53" t="s">
        <v>125</v>
      </c>
      <c r="F34" s="249">
        <f t="shared" si="6"/>
        <v>1</v>
      </c>
      <c r="G34" s="250">
        <v>1</v>
      </c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2">
        <f t="shared" si="5"/>
        <v>1</v>
      </c>
      <c r="AF34" s="116" t="s">
        <v>412</v>
      </c>
      <c r="AG34" s="189" t="s">
        <v>558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53" t="s">
        <v>127</v>
      </c>
      <c r="F35" s="249">
        <f t="shared" si="6"/>
        <v>12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>
        <v>1</v>
      </c>
      <c r="R35" s="250">
        <v>1</v>
      </c>
      <c r="S35" s="250">
        <v>1</v>
      </c>
      <c r="T35" s="250">
        <v>1</v>
      </c>
      <c r="U35" s="250"/>
      <c r="V35" s="250">
        <v>1</v>
      </c>
      <c r="W35" s="250">
        <v>1</v>
      </c>
      <c r="X35" s="250">
        <v>1</v>
      </c>
      <c r="Y35" s="250">
        <v>1</v>
      </c>
      <c r="Z35" s="250">
        <v>1</v>
      </c>
      <c r="AA35" s="250">
        <v>1</v>
      </c>
      <c r="AB35" s="250">
        <v>1</v>
      </c>
      <c r="AC35" s="250">
        <v>1</v>
      </c>
      <c r="AD35" s="250"/>
      <c r="AE35" s="252">
        <f t="shared" si="5"/>
        <v>12</v>
      </c>
      <c r="AF35" s="116" t="s">
        <v>612</v>
      </c>
      <c r="AG35" s="189" t="s">
        <v>558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53" t="s">
        <v>129</v>
      </c>
      <c r="F36" s="249">
        <f t="shared" si="6"/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  <c r="Z36" s="77">
        <v>0</v>
      </c>
      <c r="AA36" s="77">
        <v>0</v>
      </c>
      <c r="AB36" s="77">
        <v>0</v>
      </c>
      <c r="AC36" s="77">
        <v>0</v>
      </c>
      <c r="AD36" s="77">
        <v>0</v>
      </c>
      <c r="AE36" s="41">
        <f t="shared" si="5"/>
        <v>0</v>
      </c>
      <c r="AF36" s="89" t="s">
        <v>225</v>
      </c>
      <c r="AG36" s="189" t="s">
        <v>558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53" t="s">
        <v>131</v>
      </c>
      <c r="F37" s="249">
        <f t="shared" si="6"/>
        <v>10</v>
      </c>
      <c r="G37" s="250"/>
      <c r="H37" s="250"/>
      <c r="I37" s="250"/>
      <c r="J37" s="250"/>
      <c r="K37" s="250"/>
      <c r="L37" s="250"/>
      <c r="M37" s="250"/>
      <c r="N37" s="250"/>
      <c r="O37" s="250">
        <v>1</v>
      </c>
      <c r="P37" s="250">
        <v>1</v>
      </c>
      <c r="Q37" s="250">
        <v>1</v>
      </c>
      <c r="R37" s="250">
        <v>1</v>
      </c>
      <c r="S37" s="250">
        <v>1</v>
      </c>
      <c r="T37" s="263"/>
      <c r="U37" s="263">
        <v>1</v>
      </c>
      <c r="V37" s="263">
        <v>1</v>
      </c>
      <c r="W37" s="263">
        <v>1</v>
      </c>
      <c r="X37" s="263">
        <v>1</v>
      </c>
      <c r="Y37" s="263">
        <v>1</v>
      </c>
      <c r="Z37" s="263"/>
      <c r="AA37" s="263"/>
      <c r="AB37" s="263"/>
      <c r="AC37" s="263"/>
      <c r="AD37" s="250"/>
      <c r="AE37" s="252">
        <f t="shared" si="5"/>
        <v>10</v>
      </c>
      <c r="AF37" s="116" t="s">
        <v>613</v>
      </c>
      <c r="AG37" s="189" t="s">
        <v>558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53" t="s">
        <v>50</v>
      </c>
      <c r="F38" s="249">
        <f t="shared" si="6"/>
        <v>0</v>
      </c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54"/>
      <c r="AE38" s="252">
        <f t="shared" si="5"/>
        <v>0</v>
      </c>
      <c r="AF38" s="111" t="s">
        <v>6</v>
      </c>
      <c r="AG38" s="189" t="s">
        <v>558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53" t="s">
        <v>135</v>
      </c>
      <c r="F39" s="249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>
        <v>1</v>
      </c>
      <c r="AE39" s="252">
        <v>8</v>
      </c>
      <c r="AF39" s="116" t="s">
        <v>614</v>
      </c>
      <c r="AG39" s="189" t="s">
        <v>558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53" t="s">
        <v>140</v>
      </c>
      <c r="F40" s="249">
        <v>8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252">
        <v>8</v>
      </c>
      <c r="AF40" s="111" t="s">
        <v>571</v>
      </c>
      <c r="AG40" s="189" t="s">
        <v>558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53" t="s">
        <v>118</v>
      </c>
      <c r="F41" s="249">
        <f>SUM(G41:AD41)</f>
        <v>7</v>
      </c>
      <c r="G41" s="250">
        <v>1</v>
      </c>
      <c r="H41" s="250">
        <v>1</v>
      </c>
      <c r="I41" s="250">
        <v>1</v>
      </c>
      <c r="J41" s="250">
        <v>1</v>
      </c>
      <c r="K41" s="250">
        <v>1</v>
      </c>
      <c r="L41" s="250">
        <v>1</v>
      </c>
      <c r="M41" s="250">
        <v>1</v>
      </c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2">
        <f>SUM(G41:AD41)</f>
        <v>7</v>
      </c>
      <c r="AF41" s="116" t="s">
        <v>284</v>
      </c>
      <c r="AG41" s="189" t="s">
        <v>558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53" t="s">
        <v>143</v>
      </c>
      <c r="F42" s="249">
        <v>8</v>
      </c>
      <c r="G42" s="250"/>
      <c r="H42" s="250"/>
      <c r="I42" s="250"/>
      <c r="J42" s="250"/>
      <c r="K42" s="250"/>
      <c r="L42" s="250"/>
      <c r="M42" s="250"/>
      <c r="N42" s="583" t="s">
        <v>209</v>
      </c>
      <c r="O42" s="555"/>
      <c r="P42" s="555"/>
      <c r="Q42" s="555"/>
      <c r="R42" s="555"/>
      <c r="S42" s="555"/>
      <c r="T42" s="555"/>
      <c r="U42" s="542"/>
      <c r="V42" s="250"/>
      <c r="W42" s="250">
        <v>1</v>
      </c>
      <c r="X42" s="250">
        <v>1</v>
      </c>
      <c r="Y42" s="250">
        <v>1</v>
      </c>
      <c r="Z42" s="250">
        <v>1</v>
      </c>
      <c r="AA42" s="250"/>
      <c r="AB42" s="250"/>
      <c r="AC42" s="250"/>
      <c r="AD42" s="250"/>
      <c r="AE42" s="252">
        <v>12</v>
      </c>
      <c r="AF42" s="116" t="s">
        <v>615</v>
      </c>
      <c r="AG42" s="189" t="s">
        <v>558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53" t="s">
        <v>455</v>
      </c>
      <c r="F43" s="249">
        <f t="shared" ref="F43:F56" si="7">SUM(G43:AD43)</f>
        <v>12</v>
      </c>
      <c r="G43" s="250"/>
      <c r="H43" s="250"/>
      <c r="I43" s="250"/>
      <c r="J43" s="250"/>
      <c r="K43" s="250"/>
      <c r="L43" s="250"/>
      <c r="M43" s="250">
        <v>1</v>
      </c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>
        <v>1</v>
      </c>
      <c r="V43" s="250">
        <v>1</v>
      </c>
      <c r="W43" s="250">
        <v>1</v>
      </c>
      <c r="X43" s="250">
        <v>1</v>
      </c>
      <c r="Y43" s="250"/>
      <c r="Z43" s="250"/>
      <c r="AA43" s="250"/>
      <c r="AB43" s="250"/>
      <c r="AC43" s="250"/>
      <c r="AD43" s="250"/>
      <c r="AE43" s="252">
        <f t="shared" ref="AE43:AE57" si="8">SUM(G43:AD43)</f>
        <v>12</v>
      </c>
      <c r="AF43" s="116" t="s">
        <v>616</v>
      </c>
      <c r="AG43" s="189" t="s">
        <v>558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53" t="s">
        <v>457</v>
      </c>
      <c r="F44" s="249">
        <f t="shared" si="7"/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0</v>
      </c>
      <c r="Z44" s="77">
        <v>0</v>
      </c>
      <c r="AA44" s="77">
        <v>0</v>
      </c>
      <c r="AB44" s="77">
        <v>0</v>
      </c>
      <c r="AC44" s="77">
        <v>0</v>
      </c>
      <c r="AD44" s="77">
        <v>0</v>
      </c>
      <c r="AE44" s="41">
        <f t="shared" si="8"/>
        <v>0</v>
      </c>
      <c r="AF44" s="89" t="s">
        <v>225</v>
      </c>
      <c r="AG44" s="189" t="s">
        <v>558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53" t="s">
        <v>460</v>
      </c>
      <c r="F45" s="249">
        <f t="shared" si="7"/>
        <v>10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>
        <v>1</v>
      </c>
      <c r="R45" s="250">
        <v>1</v>
      </c>
      <c r="S45" s="250">
        <v>1</v>
      </c>
      <c r="T45" s="250"/>
      <c r="U45" s="250">
        <v>1</v>
      </c>
      <c r="V45" s="250">
        <v>1</v>
      </c>
      <c r="W45" s="250">
        <v>1</v>
      </c>
      <c r="X45" s="250">
        <v>1</v>
      </c>
      <c r="Y45" s="250">
        <v>1</v>
      </c>
      <c r="Z45" s="250">
        <v>1</v>
      </c>
      <c r="AA45" s="250">
        <v>1</v>
      </c>
      <c r="AB45" s="250"/>
      <c r="AC45" s="250"/>
      <c r="AD45" s="250"/>
      <c r="AE45" s="252">
        <f t="shared" si="8"/>
        <v>10</v>
      </c>
      <c r="AF45" s="116" t="s">
        <v>617</v>
      </c>
      <c r="AG45" s="189" t="s">
        <v>558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53" t="s">
        <v>478</v>
      </c>
      <c r="F46" s="249">
        <f t="shared" si="7"/>
        <v>9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4">
        <v>1</v>
      </c>
      <c r="Q46" s="250">
        <v>1</v>
      </c>
      <c r="R46" s="250">
        <v>1</v>
      </c>
      <c r="S46" s="250">
        <v>1</v>
      </c>
      <c r="T46" s="250">
        <v>1</v>
      </c>
      <c r="U46" s="250">
        <v>1</v>
      </c>
      <c r="V46" s="250">
        <v>1</v>
      </c>
      <c r="W46" s="250">
        <v>1</v>
      </c>
      <c r="X46" s="250">
        <v>1</v>
      </c>
      <c r="Y46" s="250"/>
      <c r="Z46" s="250"/>
      <c r="AA46" s="250"/>
      <c r="AB46" s="250"/>
      <c r="AC46" s="250"/>
      <c r="AD46" s="250"/>
      <c r="AE46" s="252">
        <f t="shared" si="8"/>
        <v>9</v>
      </c>
      <c r="AF46" s="111" t="s">
        <v>618</v>
      </c>
      <c r="AG46" s="189" t="s">
        <v>558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53" t="s">
        <v>461</v>
      </c>
      <c r="F47" s="249">
        <f t="shared" si="7"/>
        <v>10</v>
      </c>
      <c r="G47" s="250"/>
      <c r="H47" s="250"/>
      <c r="I47" s="250"/>
      <c r="J47" s="250"/>
      <c r="K47" s="250"/>
      <c r="L47" s="250"/>
      <c r="M47" s="250">
        <v>1</v>
      </c>
      <c r="N47" s="250">
        <v>1</v>
      </c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0">
        <v>1</v>
      </c>
      <c r="U47" s="250">
        <v>1</v>
      </c>
      <c r="V47" s="250">
        <v>1</v>
      </c>
      <c r="W47" s="250"/>
      <c r="X47" s="250"/>
      <c r="Y47" s="250"/>
      <c r="Z47" s="250"/>
      <c r="AA47" s="250"/>
      <c r="AB47" s="250"/>
      <c r="AC47" s="250"/>
      <c r="AD47" s="250"/>
      <c r="AE47" s="252">
        <f t="shared" si="8"/>
        <v>10</v>
      </c>
      <c r="AF47" s="111" t="s">
        <v>619</v>
      </c>
      <c r="AG47" s="189" t="s">
        <v>558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53" t="s">
        <v>463</v>
      </c>
      <c r="F48" s="249">
        <f t="shared" si="7"/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  <c r="Z48" s="77">
        <v>0</v>
      </c>
      <c r="AA48" s="77">
        <v>0</v>
      </c>
      <c r="AB48" s="77">
        <v>0</v>
      </c>
      <c r="AC48" s="77">
        <v>0</v>
      </c>
      <c r="AD48" s="77">
        <v>0</v>
      </c>
      <c r="AE48" s="41">
        <f t="shared" si="8"/>
        <v>0</v>
      </c>
      <c r="AF48" s="89" t="s">
        <v>225</v>
      </c>
      <c r="AG48" s="189" t="s">
        <v>558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53" t="s">
        <v>465</v>
      </c>
      <c r="F49" s="249">
        <f t="shared" si="7"/>
        <v>7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>
        <v>1</v>
      </c>
      <c r="V49" s="250">
        <v>1</v>
      </c>
      <c r="W49" s="250">
        <v>1</v>
      </c>
      <c r="X49" s="250">
        <v>1</v>
      </c>
      <c r="Y49" s="250">
        <v>1</v>
      </c>
      <c r="Z49" s="250">
        <v>1</v>
      </c>
      <c r="AA49" s="250">
        <v>1</v>
      </c>
      <c r="AB49" s="250"/>
      <c r="AC49" s="250"/>
      <c r="AD49" s="250"/>
      <c r="AE49" s="252">
        <f t="shared" si="8"/>
        <v>7</v>
      </c>
      <c r="AF49" s="111" t="s">
        <v>539</v>
      </c>
      <c r="AG49" s="189" t="s">
        <v>558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53" t="s">
        <v>466</v>
      </c>
      <c r="F50" s="249">
        <f t="shared" si="7"/>
        <v>0</v>
      </c>
      <c r="G50" s="77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  <c r="Z50" s="77">
        <v>0</v>
      </c>
      <c r="AA50" s="77">
        <v>0</v>
      </c>
      <c r="AB50" s="77">
        <v>0</v>
      </c>
      <c r="AC50" s="77">
        <v>0</v>
      </c>
      <c r="AD50" s="77">
        <v>0</v>
      </c>
      <c r="AE50" s="41">
        <f t="shared" si="8"/>
        <v>0</v>
      </c>
      <c r="AF50" s="89" t="s">
        <v>225</v>
      </c>
      <c r="AG50" s="189" t="s">
        <v>558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53" t="s">
        <v>467</v>
      </c>
      <c r="F51" s="249">
        <f t="shared" si="7"/>
        <v>11</v>
      </c>
      <c r="G51" s="250"/>
      <c r="H51" s="250"/>
      <c r="I51" s="250"/>
      <c r="J51" s="250"/>
      <c r="K51" s="250"/>
      <c r="L51" s="250"/>
      <c r="M51" s="250"/>
      <c r="N51" s="250"/>
      <c r="O51" s="250">
        <v>1</v>
      </c>
      <c r="P51" s="250">
        <v>1</v>
      </c>
      <c r="Q51" s="250">
        <v>1</v>
      </c>
      <c r="R51" s="250">
        <v>1</v>
      </c>
      <c r="S51" s="250">
        <v>1</v>
      </c>
      <c r="T51" s="250">
        <v>1</v>
      </c>
      <c r="U51" s="250">
        <v>1</v>
      </c>
      <c r="V51" s="250">
        <v>1</v>
      </c>
      <c r="W51" s="250">
        <v>1</v>
      </c>
      <c r="X51" s="250">
        <v>1</v>
      </c>
      <c r="Y51" s="250">
        <v>1</v>
      </c>
      <c r="Z51" s="250"/>
      <c r="AA51" s="250"/>
      <c r="AB51" s="250"/>
      <c r="AC51" s="250"/>
      <c r="AD51" s="250"/>
      <c r="AE51" s="252">
        <f t="shared" si="8"/>
        <v>11</v>
      </c>
      <c r="AF51" s="111" t="s">
        <v>620</v>
      </c>
      <c r="AG51" s="189" t="s">
        <v>558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53" t="s">
        <v>491</v>
      </c>
      <c r="F52" s="249">
        <f t="shared" si="7"/>
        <v>0</v>
      </c>
      <c r="G52" s="77">
        <v>0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  <c r="Z52" s="77">
        <v>0</v>
      </c>
      <c r="AA52" s="77">
        <v>0</v>
      </c>
      <c r="AB52" s="77">
        <v>0</v>
      </c>
      <c r="AC52" s="77">
        <v>0</v>
      </c>
      <c r="AD52" s="77">
        <v>0</v>
      </c>
      <c r="AE52" s="41">
        <f t="shared" si="8"/>
        <v>0</v>
      </c>
      <c r="AF52" s="89" t="s">
        <v>225</v>
      </c>
      <c r="AG52" s="189" t="s">
        <v>558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53" t="s">
        <v>493</v>
      </c>
      <c r="F53" s="249">
        <f t="shared" si="7"/>
        <v>7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65">
        <v>1</v>
      </c>
      <c r="R53" s="265">
        <v>1</v>
      </c>
      <c r="S53" s="265">
        <v>1</v>
      </c>
      <c r="T53" s="265">
        <v>1</v>
      </c>
      <c r="U53" s="265">
        <v>1</v>
      </c>
      <c r="V53" s="265">
        <v>1</v>
      </c>
      <c r="W53" s="265">
        <v>1</v>
      </c>
      <c r="X53" s="250"/>
      <c r="Y53" s="250"/>
      <c r="Z53" s="250"/>
      <c r="AA53" s="250"/>
      <c r="AB53" s="250"/>
      <c r="AC53" s="250"/>
      <c r="AD53" s="250"/>
      <c r="AE53" s="252">
        <f t="shared" si="8"/>
        <v>7</v>
      </c>
      <c r="AF53" s="111" t="s">
        <v>389</v>
      </c>
      <c r="AG53" s="189" t="s">
        <v>558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53" t="s">
        <v>469</v>
      </c>
      <c r="F54" s="249">
        <f t="shared" si="7"/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  <c r="Z54" s="77">
        <v>0</v>
      </c>
      <c r="AA54" s="77">
        <v>0</v>
      </c>
      <c r="AB54" s="77">
        <v>0</v>
      </c>
      <c r="AC54" s="77">
        <v>0</v>
      </c>
      <c r="AD54" s="77">
        <v>0</v>
      </c>
      <c r="AE54" s="41">
        <f t="shared" si="8"/>
        <v>0</v>
      </c>
      <c r="AF54" s="89" t="s">
        <v>225</v>
      </c>
      <c r="AG54" s="189" t="s">
        <v>558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53" t="s">
        <v>495</v>
      </c>
      <c r="F55" s="249">
        <f t="shared" si="7"/>
        <v>11</v>
      </c>
      <c r="G55" s="250"/>
      <c r="H55" s="250"/>
      <c r="I55" s="250"/>
      <c r="J55" s="250"/>
      <c r="K55" s="250"/>
      <c r="L55" s="250"/>
      <c r="M55" s="250">
        <v>1</v>
      </c>
      <c r="N55" s="250">
        <v>1</v>
      </c>
      <c r="O55" s="250">
        <v>1</v>
      </c>
      <c r="P55" s="250">
        <v>1</v>
      </c>
      <c r="Q55" s="250">
        <v>1</v>
      </c>
      <c r="R55" s="250">
        <v>1</v>
      </c>
      <c r="S55" s="250">
        <v>1</v>
      </c>
      <c r="T55" s="250">
        <v>1</v>
      </c>
      <c r="U55" s="250">
        <v>1</v>
      </c>
      <c r="V55" s="250">
        <v>1</v>
      </c>
      <c r="W55" s="250">
        <v>1</v>
      </c>
      <c r="X55" s="250"/>
      <c r="Y55" s="250"/>
      <c r="Z55" s="250"/>
      <c r="AA55" s="250"/>
      <c r="AB55" s="250"/>
      <c r="AC55" s="250"/>
      <c r="AD55" s="250"/>
      <c r="AE55" s="252">
        <f t="shared" si="8"/>
        <v>11</v>
      </c>
      <c r="AF55" s="111" t="s">
        <v>621</v>
      </c>
      <c r="AG55" s="189" t="s">
        <v>558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53" t="s">
        <v>497</v>
      </c>
      <c r="F56" s="249">
        <f t="shared" si="7"/>
        <v>11</v>
      </c>
      <c r="G56" s="250"/>
      <c r="H56" s="250"/>
      <c r="I56" s="250"/>
      <c r="J56" s="250"/>
      <c r="K56" s="250"/>
      <c r="L56" s="250"/>
      <c r="M56" s="250"/>
      <c r="N56" s="250">
        <v>1</v>
      </c>
      <c r="O56" s="250">
        <v>1</v>
      </c>
      <c r="P56" s="250">
        <v>1</v>
      </c>
      <c r="Q56" s="250">
        <v>1</v>
      </c>
      <c r="R56" s="250">
        <v>1</v>
      </c>
      <c r="S56" s="250">
        <v>1</v>
      </c>
      <c r="T56" s="250">
        <v>1</v>
      </c>
      <c r="U56" s="250">
        <v>1</v>
      </c>
      <c r="V56" s="250">
        <v>1</v>
      </c>
      <c r="W56" s="250">
        <v>1</v>
      </c>
      <c r="X56" s="250">
        <v>1</v>
      </c>
      <c r="Y56" s="250"/>
      <c r="Z56" s="250"/>
      <c r="AA56" s="250"/>
      <c r="AB56" s="250"/>
      <c r="AC56" s="250"/>
      <c r="AD56" s="250"/>
      <c r="AE56" s="252">
        <f t="shared" si="8"/>
        <v>11</v>
      </c>
      <c r="AF56" s="111" t="s">
        <v>622</v>
      </c>
      <c r="AG56" s="189" t="s">
        <v>558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249">
        <v>8</v>
      </c>
      <c r="G57" s="77">
        <v>0</v>
      </c>
      <c r="H57" s="77">
        <v>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0</v>
      </c>
      <c r="Z57" s="77">
        <v>0</v>
      </c>
      <c r="AA57" s="77">
        <v>0</v>
      </c>
      <c r="AB57" s="77">
        <v>0</v>
      </c>
      <c r="AC57" s="77">
        <v>0</v>
      </c>
      <c r="AD57" s="77">
        <v>0</v>
      </c>
      <c r="AE57" s="41">
        <f t="shared" si="8"/>
        <v>0</v>
      </c>
      <c r="AF57" s="89" t="s">
        <v>225</v>
      </c>
      <c r="AG57" s="189" t="s">
        <v>558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249">
        <v>8</v>
      </c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577" t="s">
        <v>292</v>
      </c>
      <c r="W58" s="555"/>
      <c r="X58" s="555"/>
      <c r="Y58" s="555"/>
      <c r="Z58" s="555"/>
      <c r="AA58" s="555"/>
      <c r="AB58" s="555"/>
      <c r="AC58" s="555"/>
      <c r="AD58" s="258"/>
      <c r="AE58" s="252">
        <v>8</v>
      </c>
      <c r="AF58" s="116" t="s">
        <v>571</v>
      </c>
      <c r="AG58" s="189" t="s">
        <v>558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249">
        <v>12</v>
      </c>
      <c r="G59" s="42"/>
      <c r="H59" s="42"/>
      <c r="I59" s="42"/>
      <c r="J59" s="42"/>
      <c r="K59" s="42"/>
      <c r="L59" s="42"/>
      <c r="M59" s="42"/>
      <c r="N59" s="42"/>
      <c r="O59" s="584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42"/>
      <c r="Z59" s="201"/>
      <c r="AA59" s="42"/>
      <c r="AB59" s="42"/>
      <c r="AC59" s="42"/>
      <c r="AD59" s="42"/>
      <c r="AE59" s="252">
        <v>12</v>
      </c>
      <c r="AF59" s="111" t="s">
        <v>586</v>
      </c>
      <c r="AG59" s="189" t="s">
        <v>558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242">
        <v>4</v>
      </c>
      <c r="P62" s="136">
        <v>7</v>
      </c>
      <c r="Q62" s="136">
        <v>7</v>
      </c>
      <c r="R62" s="136">
        <v>7</v>
      </c>
      <c r="S62" s="144">
        <v>6</v>
      </c>
      <c r="T62" s="144">
        <v>6</v>
      </c>
      <c r="U62" s="144">
        <v>6</v>
      </c>
      <c r="V62" s="144">
        <v>6</v>
      </c>
      <c r="W62" s="144">
        <v>6</v>
      </c>
      <c r="X62" s="56">
        <v>5</v>
      </c>
      <c r="Y62" s="56">
        <v>5</v>
      </c>
      <c r="Z62" s="56">
        <v>5</v>
      </c>
      <c r="AA62" s="242">
        <v>4</v>
      </c>
      <c r="AB62" s="234">
        <v>3</v>
      </c>
      <c r="AC62" s="234">
        <v>3</v>
      </c>
      <c r="AD62" s="12">
        <v>2</v>
      </c>
      <c r="AE62" s="18">
        <f>SUM(G62:AD62)</f>
        <v>102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9">G65-G62</f>
        <v>0</v>
      </c>
      <c r="H63" s="28">
        <f t="shared" si="9"/>
        <v>0</v>
      </c>
      <c r="I63" s="28">
        <f t="shared" si="9"/>
        <v>0</v>
      </c>
      <c r="J63" s="28">
        <f t="shared" si="9"/>
        <v>0</v>
      </c>
      <c r="K63" s="28">
        <f t="shared" si="9"/>
        <v>0</v>
      </c>
      <c r="L63" s="28">
        <f t="shared" si="9"/>
        <v>0</v>
      </c>
      <c r="M63" s="28">
        <f t="shared" si="9"/>
        <v>-1</v>
      </c>
      <c r="N63" s="28">
        <f t="shared" si="9"/>
        <v>0</v>
      </c>
      <c r="O63" s="28">
        <f t="shared" si="9"/>
        <v>0</v>
      </c>
      <c r="P63" s="28">
        <f t="shared" si="9"/>
        <v>0</v>
      </c>
      <c r="Q63" s="28">
        <f t="shared" si="9"/>
        <v>0</v>
      </c>
      <c r="R63" s="28">
        <f t="shared" si="9"/>
        <v>0</v>
      </c>
      <c r="S63" s="28">
        <f t="shared" si="9"/>
        <v>1</v>
      </c>
      <c r="T63" s="28">
        <f t="shared" si="9"/>
        <v>1</v>
      </c>
      <c r="U63" s="28">
        <f t="shared" si="9"/>
        <v>0</v>
      </c>
      <c r="V63" s="28">
        <f t="shared" si="9"/>
        <v>1</v>
      </c>
      <c r="W63" s="28">
        <f t="shared" si="9"/>
        <v>0</v>
      </c>
      <c r="X63" s="28">
        <f t="shared" si="9"/>
        <v>0</v>
      </c>
      <c r="Y63" s="28">
        <f t="shared" si="9"/>
        <v>0</v>
      </c>
      <c r="Z63" s="28">
        <f t="shared" si="9"/>
        <v>0</v>
      </c>
      <c r="AA63" s="28">
        <f t="shared" si="9"/>
        <v>0</v>
      </c>
      <c r="AB63" s="28">
        <f t="shared" si="9"/>
        <v>0</v>
      </c>
      <c r="AC63" s="84">
        <f t="shared" si="9"/>
        <v>0</v>
      </c>
      <c r="AD63" s="28">
        <f t="shared" si="9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0">SUM(G66:G82)</f>
        <v>2</v>
      </c>
      <c r="H65" s="35">
        <f t="shared" si="10"/>
        <v>2</v>
      </c>
      <c r="I65" s="35">
        <f t="shared" si="10"/>
        <v>2</v>
      </c>
      <c r="J65" s="35">
        <f t="shared" si="10"/>
        <v>2</v>
      </c>
      <c r="K65" s="35">
        <f t="shared" si="10"/>
        <v>2</v>
      </c>
      <c r="L65" s="35">
        <f t="shared" si="10"/>
        <v>2</v>
      </c>
      <c r="M65" s="35">
        <f t="shared" si="10"/>
        <v>3</v>
      </c>
      <c r="N65" s="35">
        <f t="shared" si="10"/>
        <v>4</v>
      </c>
      <c r="O65" s="35">
        <f t="shared" si="10"/>
        <v>4</v>
      </c>
      <c r="P65" s="35">
        <f t="shared" si="10"/>
        <v>7</v>
      </c>
      <c r="Q65" s="35">
        <f t="shared" si="10"/>
        <v>7</v>
      </c>
      <c r="R65" s="35">
        <f t="shared" si="10"/>
        <v>7</v>
      </c>
      <c r="S65" s="35">
        <f t="shared" si="10"/>
        <v>7</v>
      </c>
      <c r="T65" s="35">
        <f t="shared" si="10"/>
        <v>7</v>
      </c>
      <c r="U65" s="35">
        <f t="shared" si="10"/>
        <v>6</v>
      </c>
      <c r="V65" s="35">
        <f t="shared" si="10"/>
        <v>7</v>
      </c>
      <c r="W65" s="35">
        <f t="shared" si="10"/>
        <v>6</v>
      </c>
      <c r="X65" s="35">
        <f t="shared" si="10"/>
        <v>5</v>
      </c>
      <c r="Y65" s="35">
        <f t="shared" si="10"/>
        <v>5</v>
      </c>
      <c r="Z65" s="35">
        <f t="shared" si="10"/>
        <v>5</v>
      </c>
      <c r="AA65" s="35">
        <f t="shared" si="10"/>
        <v>4</v>
      </c>
      <c r="AB65" s="35">
        <f t="shared" si="10"/>
        <v>3</v>
      </c>
      <c r="AC65" s="35">
        <f t="shared" si="10"/>
        <v>3</v>
      </c>
      <c r="AD65" s="35">
        <f t="shared" si="10"/>
        <v>2</v>
      </c>
      <c r="AE65" s="30">
        <f t="shared" ref="AE65:AE79" si="11">SUM(G65:AD65)</f>
        <v>104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2">SUM(G66:AD66)</f>
        <v>11</v>
      </c>
      <c r="G66" s="42"/>
      <c r="H66" s="42"/>
      <c r="I66" s="42"/>
      <c r="J66" s="42"/>
      <c r="K66" s="42"/>
      <c r="L66" s="42"/>
      <c r="M66" s="42"/>
      <c r="N66" s="42"/>
      <c r="O66" s="42"/>
      <c r="P66" s="42">
        <v>1</v>
      </c>
      <c r="Q66" s="42">
        <v>1</v>
      </c>
      <c r="R66" s="42">
        <v>1</v>
      </c>
      <c r="S66" s="42">
        <v>1</v>
      </c>
      <c r="T66" s="42">
        <v>1</v>
      </c>
      <c r="U66" s="42">
        <v>1</v>
      </c>
      <c r="V66" s="42">
        <v>1</v>
      </c>
      <c r="W66" s="42">
        <v>1</v>
      </c>
      <c r="X66" s="42">
        <v>1</v>
      </c>
      <c r="Y66" s="42">
        <v>1</v>
      </c>
      <c r="Z66" s="42">
        <v>1</v>
      </c>
      <c r="AA66" s="42"/>
      <c r="AB66" s="42"/>
      <c r="AC66" s="42"/>
      <c r="AD66" s="42"/>
      <c r="AE66" s="41">
        <f t="shared" si="11"/>
        <v>11</v>
      </c>
      <c r="AF66" s="116" t="s">
        <v>164</v>
      </c>
      <c r="AG66" s="189" t="s">
        <v>558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2"/>
        <v>11</v>
      </c>
      <c r="G67" s="42"/>
      <c r="H67" s="42"/>
      <c r="I67" s="42"/>
      <c r="J67" s="42"/>
      <c r="K67" s="42"/>
      <c r="L67" s="42"/>
      <c r="M67" s="42"/>
      <c r="N67" s="42"/>
      <c r="O67" s="42"/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/>
      <c r="V67" s="42">
        <v>1</v>
      </c>
      <c r="W67" s="42">
        <v>1</v>
      </c>
      <c r="X67" s="42">
        <v>1</v>
      </c>
      <c r="Y67" s="42">
        <v>1</v>
      </c>
      <c r="Z67" s="42">
        <v>1</v>
      </c>
      <c r="AA67" s="42">
        <v>1</v>
      </c>
      <c r="AB67" s="42"/>
      <c r="AC67" s="42"/>
      <c r="AD67" s="42"/>
      <c r="AE67" s="41">
        <f t="shared" si="11"/>
        <v>11</v>
      </c>
      <c r="AF67" s="116" t="s">
        <v>276</v>
      </c>
      <c r="AG67" s="189" t="s">
        <v>558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2"/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41">
        <f t="shared" si="11"/>
        <v>0</v>
      </c>
      <c r="AF68" s="89" t="s">
        <v>225</v>
      </c>
      <c r="AG68" s="189" t="s">
        <v>558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2"/>
        <v>12</v>
      </c>
      <c r="G69" s="42"/>
      <c r="H69" s="42"/>
      <c r="I69" s="42"/>
      <c r="J69" s="42"/>
      <c r="K69" s="42"/>
      <c r="L69" s="42"/>
      <c r="M69" s="42"/>
      <c r="N69" s="63">
        <v>1</v>
      </c>
      <c r="O69" s="63">
        <v>1</v>
      </c>
      <c r="P69" s="63">
        <v>1</v>
      </c>
      <c r="Q69" s="63">
        <v>1</v>
      </c>
      <c r="R69" s="63">
        <v>1</v>
      </c>
      <c r="S69" s="63">
        <v>1</v>
      </c>
      <c r="T69" s="63">
        <v>1</v>
      </c>
      <c r="U69" s="63">
        <v>1</v>
      </c>
      <c r="V69" s="63">
        <v>1</v>
      </c>
      <c r="W69" s="63">
        <v>1</v>
      </c>
      <c r="X69" s="63">
        <v>1</v>
      </c>
      <c r="Y69" s="63">
        <v>1</v>
      </c>
      <c r="Z69" s="42"/>
      <c r="AA69" s="42"/>
      <c r="AB69" s="42"/>
      <c r="AC69" s="42"/>
      <c r="AD69" s="42"/>
      <c r="AE69" s="41">
        <f t="shared" si="11"/>
        <v>12</v>
      </c>
      <c r="AF69" s="111" t="s">
        <v>623</v>
      </c>
      <c r="AG69" s="189" t="s">
        <v>558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2"/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  <c r="Z70" s="77">
        <v>0</v>
      </c>
      <c r="AA70" s="77">
        <v>0</v>
      </c>
      <c r="AB70" s="77">
        <v>0</v>
      </c>
      <c r="AC70" s="77">
        <v>0</v>
      </c>
      <c r="AD70" s="77">
        <v>0</v>
      </c>
      <c r="AE70" s="41">
        <f t="shared" si="11"/>
        <v>0</v>
      </c>
      <c r="AF70" s="89" t="s">
        <v>225</v>
      </c>
      <c r="AG70" s="189" t="s">
        <v>558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2"/>
        <v>5</v>
      </c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>
        <v>1</v>
      </c>
      <c r="AA71" s="42">
        <v>1</v>
      </c>
      <c r="AB71" s="42">
        <v>1</v>
      </c>
      <c r="AC71" s="42">
        <v>1</v>
      </c>
      <c r="AD71" s="42">
        <v>1</v>
      </c>
      <c r="AE71" s="41">
        <f t="shared" si="11"/>
        <v>5</v>
      </c>
      <c r="AF71" s="111" t="s">
        <v>605</v>
      </c>
      <c r="AG71" s="189" t="s">
        <v>558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2"/>
        <v>7</v>
      </c>
      <c r="G72" s="42">
        <v>1</v>
      </c>
      <c r="H72" s="42">
        <v>1</v>
      </c>
      <c r="I72" s="42">
        <v>1</v>
      </c>
      <c r="J72" s="42">
        <v>1</v>
      </c>
      <c r="K72" s="42">
        <v>1</v>
      </c>
      <c r="L72" s="42">
        <v>1</v>
      </c>
      <c r="M72" s="42">
        <v>1</v>
      </c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1">
        <f t="shared" si="11"/>
        <v>7</v>
      </c>
      <c r="AF72" s="116" t="s">
        <v>624</v>
      </c>
      <c r="AG72" s="189" t="s">
        <v>558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2"/>
        <v>11</v>
      </c>
      <c r="G73" s="42"/>
      <c r="H73" s="42"/>
      <c r="I73" s="42"/>
      <c r="J73" s="42"/>
      <c r="K73" s="42"/>
      <c r="L73" s="42"/>
      <c r="M73" s="42">
        <v>1</v>
      </c>
      <c r="N73" s="42">
        <v>1</v>
      </c>
      <c r="O73" s="42">
        <v>1</v>
      </c>
      <c r="P73" s="42">
        <v>1</v>
      </c>
      <c r="Q73" s="42">
        <v>1</v>
      </c>
      <c r="R73" s="42">
        <v>1</v>
      </c>
      <c r="S73" s="42">
        <v>1</v>
      </c>
      <c r="T73" s="42">
        <v>1</v>
      </c>
      <c r="U73" s="42">
        <v>1</v>
      </c>
      <c r="V73" s="42">
        <v>1</v>
      </c>
      <c r="W73" s="42">
        <v>1</v>
      </c>
      <c r="X73" s="42"/>
      <c r="Y73" s="42"/>
      <c r="Z73" s="42"/>
      <c r="AA73" s="42"/>
      <c r="AB73" s="42"/>
      <c r="AC73" s="42"/>
      <c r="AD73" s="42"/>
      <c r="AE73" s="41">
        <f t="shared" si="11"/>
        <v>11</v>
      </c>
      <c r="AF73" s="116" t="s">
        <v>621</v>
      </c>
      <c r="AG73" s="189" t="s">
        <v>558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2"/>
        <v>6</v>
      </c>
      <c r="G74" s="42">
        <v>1</v>
      </c>
      <c r="H74" s="42">
        <v>1</v>
      </c>
      <c r="I74" s="42">
        <v>1</v>
      </c>
      <c r="J74" s="42">
        <v>1</v>
      </c>
      <c r="K74" s="42">
        <v>1</v>
      </c>
      <c r="L74" s="42">
        <v>1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1">
        <f t="shared" si="11"/>
        <v>6</v>
      </c>
      <c r="AF74" s="116" t="s">
        <v>159</v>
      </c>
      <c r="AG74" s="189" t="s">
        <v>558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2"/>
        <v>13</v>
      </c>
      <c r="G75" s="42"/>
      <c r="H75" s="42"/>
      <c r="I75" s="42"/>
      <c r="J75" s="42"/>
      <c r="K75" s="42"/>
      <c r="L75" s="42"/>
      <c r="M75" s="42"/>
      <c r="N75" s="42"/>
      <c r="O75" s="42"/>
      <c r="P75" s="75">
        <v>1</v>
      </c>
      <c r="Q75" s="63">
        <v>1</v>
      </c>
      <c r="R75" s="63">
        <v>1</v>
      </c>
      <c r="S75" s="63">
        <v>1</v>
      </c>
      <c r="T75" s="63">
        <v>1</v>
      </c>
      <c r="U75" s="63">
        <v>1</v>
      </c>
      <c r="V75" s="63">
        <v>1</v>
      </c>
      <c r="W75" s="42"/>
      <c r="X75" s="63">
        <v>1</v>
      </c>
      <c r="Y75" s="63">
        <v>1</v>
      </c>
      <c r="Z75" s="63">
        <v>1</v>
      </c>
      <c r="AA75" s="63">
        <v>1</v>
      </c>
      <c r="AB75" s="63">
        <v>1</v>
      </c>
      <c r="AC75" s="63">
        <v>1</v>
      </c>
      <c r="AD75" s="42"/>
      <c r="AE75" s="101">
        <f t="shared" si="11"/>
        <v>13</v>
      </c>
      <c r="AF75" s="116" t="s">
        <v>343</v>
      </c>
      <c r="AG75" s="189" t="s">
        <v>558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2"/>
        <v>6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>
        <v>1</v>
      </c>
      <c r="Z76" s="42">
        <v>1</v>
      </c>
      <c r="AA76" s="42">
        <v>1</v>
      </c>
      <c r="AB76" s="42">
        <v>1</v>
      </c>
      <c r="AC76" s="42">
        <v>1</v>
      </c>
      <c r="AD76" s="42">
        <v>1</v>
      </c>
      <c r="AE76" s="41">
        <f t="shared" si="11"/>
        <v>6</v>
      </c>
      <c r="AF76" s="116" t="s">
        <v>625</v>
      </c>
      <c r="AG76" s="189" t="s">
        <v>558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2"/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41">
        <f t="shared" si="11"/>
        <v>0</v>
      </c>
      <c r="AF77" s="89" t="s">
        <v>225</v>
      </c>
      <c r="AG77" s="189" t="s">
        <v>558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2"/>
        <v>11</v>
      </c>
      <c r="G78" s="42"/>
      <c r="H78" s="42"/>
      <c r="I78" s="42"/>
      <c r="J78" s="42"/>
      <c r="K78" s="42"/>
      <c r="L78" s="42"/>
      <c r="M78" s="42">
        <v>1</v>
      </c>
      <c r="N78" s="42">
        <v>1</v>
      </c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>
        <v>1</v>
      </c>
      <c r="U78" s="42">
        <v>1</v>
      </c>
      <c r="V78" s="42">
        <v>1</v>
      </c>
      <c r="W78" s="42">
        <v>1</v>
      </c>
      <c r="X78" s="42"/>
      <c r="Y78" s="42"/>
      <c r="Z78" s="42"/>
      <c r="AA78" s="42"/>
      <c r="AB78" s="42"/>
      <c r="AC78" s="42"/>
      <c r="AD78" s="42"/>
      <c r="AE78" s="41">
        <f t="shared" si="11"/>
        <v>11</v>
      </c>
      <c r="AF78" s="111" t="s">
        <v>621</v>
      </c>
      <c r="AG78" s="189" t="s">
        <v>558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2"/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41">
        <f t="shared" si="11"/>
        <v>0</v>
      </c>
      <c r="AF79" s="89" t="s">
        <v>225</v>
      </c>
      <c r="AG79" s="189" t="s">
        <v>558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2"/>
        <v>0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583" t="s">
        <v>209</v>
      </c>
      <c r="W80" s="555"/>
      <c r="X80" s="555"/>
      <c r="Y80" s="555"/>
      <c r="Z80" s="555"/>
      <c r="AA80" s="555"/>
      <c r="AB80" s="555"/>
      <c r="AC80" s="542"/>
      <c r="AD80" s="77"/>
      <c r="AE80" s="41">
        <v>8</v>
      </c>
      <c r="AF80" s="111" t="s">
        <v>571</v>
      </c>
      <c r="AG80" s="189" t="s">
        <v>558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2"/>
        <v>0</v>
      </c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583" t="s">
        <v>209</v>
      </c>
      <c r="W81" s="555"/>
      <c r="X81" s="555"/>
      <c r="Y81" s="555"/>
      <c r="Z81" s="555"/>
      <c r="AA81" s="555"/>
      <c r="AB81" s="555"/>
      <c r="AC81" s="542"/>
      <c r="AD81" s="77"/>
      <c r="AE81" s="41">
        <v>8</v>
      </c>
      <c r="AF81" s="111" t="s">
        <v>571</v>
      </c>
      <c r="AG81" s="189" t="s">
        <v>558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12"/>
        <v>11</v>
      </c>
      <c r="G82" s="42"/>
      <c r="H82" s="42"/>
      <c r="I82" s="42"/>
      <c r="J82" s="42"/>
      <c r="K82" s="42"/>
      <c r="L82" s="42"/>
      <c r="M82" s="78" t="s">
        <v>231</v>
      </c>
      <c r="N82" s="63">
        <v>1</v>
      </c>
      <c r="O82" s="63">
        <v>1</v>
      </c>
      <c r="P82" s="63">
        <v>1</v>
      </c>
      <c r="Q82" s="63">
        <v>1</v>
      </c>
      <c r="R82" s="63">
        <v>1</v>
      </c>
      <c r="S82" s="63">
        <v>1</v>
      </c>
      <c r="T82" s="63">
        <v>1</v>
      </c>
      <c r="U82" s="63">
        <v>1</v>
      </c>
      <c r="V82" s="63">
        <v>1</v>
      </c>
      <c r="W82" s="63">
        <v>1</v>
      </c>
      <c r="X82" s="63">
        <v>1</v>
      </c>
      <c r="Y82" s="42"/>
      <c r="Z82" s="42"/>
      <c r="AA82" s="42"/>
      <c r="AB82" s="42"/>
      <c r="AC82" s="42"/>
      <c r="AD82" s="42"/>
      <c r="AE82" s="41">
        <f>SUM(G82:AD82)</f>
        <v>11</v>
      </c>
      <c r="AF82" s="111" t="s">
        <v>626</v>
      </c>
      <c r="AG82" s="189" t="s">
        <v>558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49BA5E93-E473-4F11-BE7E-FD55CB28D969}" filter="1" showAutoFilter="1">
      <pageMargins left="0.7" right="0.7" top="0.75" bottom="0.75" header="0.3" footer="0.3"/>
      <autoFilter ref="G5:AD84" xr:uid="{FCF539A8-A37C-49B0-A91F-8DEDFE36E07B}">
        <filterColumn colId="15">
          <filters>
            <filter val="1"/>
            <filter val="18"/>
            <filter val="6"/>
            <filter val="7"/>
            <filter val="CLIENTES VIP"/>
            <filter val="FI"/>
            <filter val="MONITOREOS"/>
            <filter val="SEGUIMIENTO TRANSFERENCIAS"/>
            <filter val="SOPORTE DTH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9149AD2C-AE30-4D75-BCC0-352D691A0342}"/>
    </customSheetView>
    <customSheetView guid="{833D6734-F5E1-4449-B5A1-8C3A51A61651}" filter="1" showAutoFilter="1">
      <pageMargins left="0.7" right="0.7" top="0.75" bottom="0.75" header="0.3" footer="0.3"/>
      <autoFilter ref="A7:AG84" xr:uid="{DB85A8BF-C709-4AEC-9DD9-D6D6E65DE3C2}">
        <filterColumn colId="26">
          <filters>
            <filter val="-"/>
            <filter val="1"/>
            <filter val="4"/>
            <filter val="CLIENTES VIP"/>
            <filter val="FI"/>
            <filter val="MONITOREOS"/>
          </filters>
        </filterColumn>
      </autoFilter>
    </customSheetView>
  </customSheetViews>
  <mergeCells count="14">
    <mergeCell ref="V80:AC80"/>
    <mergeCell ref="V81:AC81"/>
    <mergeCell ref="A1:B1"/>
    <mergeCell ref="D3:AE3"/>
    <mergeCell ref="E4:F4"/>
    <mergeCell ref="E5:F5"/>
    <mergeCell ref="P20:Z20"/>
    <mergeCell ref="N22:U22"/>
    <mergeCell ref="V39:AC39"/>
    <mergeCell ref="V40:AC40"/>
    <mergeCell ref="N42:U42"/>
    <mergeCell ref="V58:AC58"/>
    <mergeCell ref="O59:Y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G8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291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266">
        <v>5</v>
      </c>
      <c r="N4" s="225">
        <v>8</v>
      </c>
      <c r="O4" s="225">
        <v>8</v>
      </c>
      <c r="P4" s="94">
        <v>10</v>
      </c>
      <c r="Q4" s="56">
        <v>13</v>
      </c>
      <c r="R4" s="150">
        <v>14</v>
      </c>
      <c r="S4" s="150">
        <v>14</v>
      </c>
      <c r="T4" s="72">
        <v>16</v>
      </c>
      <c r="U4" s="108">
        <v>15</v>
      </c>
      <c r="V4" s="94">
        <v>10</v>
      </c>
      <c r="W4" s="13">
        <v>11</v>
      </c>
      <c r="X4" s="14">
        <v>12</v>
      </c>
      <c r="Y4" s="94">
        <v>10</v>
      </c>
      <c r="Z4" s="14">
        <v>12</v>
      </c>
      <c r="AA4" s="94">
        <v>10</v>
      </c>
      <c r="AB4" s="17">
        <v>7</v>
      </c>
      <c r="AC4" s="245">
        <v>6</v>
      </c>
      <c r="AD4" s="93">
        <v>3</v>
      </c>
      <c r="AE4" s="18">
        <f>SUM(G4:AD4)</f>
        <v>203</v>
      </c>
      <c r="AF4" s="3"/>
      <c r="AG4" s="3"/>
    </row>
    <row r="5" spans="1:33" ht="62.25">
      <c r="A5" s="3"/>
      <c r="B5" s="2"/>
      <c r="C5" s="2"/>
      <c r="D5" s="19"/>
      <c r="E5" s="569">
        <v>11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-1</v>
      </c>
      <c r="O6" s="28">
        <f t="shared" si="0"/>
        <v>-1</v>
      </c>
      <c r="P6" s="28">
        <f t="shared" si="0"/>
        <v>-1</v>
      </c>
      <c r="Q6" s="28">
        <f t="shared" si="0"/>
        <v>-1</v>
      </c>
      <c r="R6" s="28">
        <f t="shared" si="0"/>
        <v>-1</v>
      </c>
      <c r="S6" s="28">
        <f t="shared" si="0"/>
        <v>-1</v>
      </c>
      <c r="T6" s="28">
        <f t="shared" si="0"/>
        <v>-1</v>
      </c>
      <c r="U6" s="28">
        <f t="shared" si="0"/>
        <v>0</v>
      </c>
      <c r="V6" s="28">
        <f t="shared" si="0"/>
        <v>1</v>
      </c>
      <c r="W6" s="28">
        <f t="shared" si="0"/>
        <v>0</v>
      </c>
      <c r="X6" s="84">
        <f t="shared" si="0"/>
        <v>-1</v>
      </c>
      <c r="Y6" s="28">
        <f t="shared" si="0"/>
        <v>-1</v>
      </c>
      <c r="Z6" s="28">
        <f t="shared" si="0"/>
        <v>-1</v>
      </c>
      <c r="AA6" s="28">
        <f t="shared" si="0"/>
        <v>-1</v>
      </c>
      <c r="AB6" s="28">
        <f t="shared" si="0"/>
        <v>-1</v>
      </c>
      <c r="AC6" s="28">
        <f t="shared" si="0"/>
        <v>-1</v>
      </c>
      <c r="AD6" s="28">
        <f t="shared" si="0"/>
        <v>0</v>
      </c>
      <c r="AE6" s="29">
        <f t="shared" ref="AE6:AE14" si="1">SUM(G6:AD6)</f>
        <v>-12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SUM(G8:G59)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5</v>
      </c>
      <c r="N7" s="35">
        <f t="shared" si="2"/>
        <v>7</v>
      </c>
      <c r="O7" s="35">
        <f t="shared" si="2"/>
        <v>7</v>
      </c>
      <c r="P7" s="35">
        <f t="shared" si="2"/>
        <v>9</v>
      </c>
      <c r="Q7" s="35">
        <f t="shared" si="2"/>
        <v>12</v>
      </c>
      <c r="R7" s="35">
        <f t="shared" si="2"/>
        <v>13</v>
      </c>
      <c r="S7" s="35">
        <f t="shared" si="2"/>
        <v>13</v>
      </c>
      <c r="T7" s="35">
        <f t="shared" si="2"/>
        <v>15</v>
      </c>
      <c r="U7" s="35">
        <f t="shared" si="2"/>
        <v>15</v>
      </c>
      <c r="V7" s="35">
        <f t="shared" si="2"/>
        <v>11</v>
      </c>
      <c r="W7" s="35">
        <f t="shared" si="2"/>
        <v>11</v>
      </c>
      <c r="X7" s="35">
        <f t="shared" si="2"/>
        <v>11</v>
      </c>
      <c r="Y7" s="35">
        <f t="shared" si="2"/>
        <v>9</v>
      </c>
      <c r="Z7" s="35">
        <f t="shared" si="2"/>
        <v>11</v>
      </c>
      <c r="AA7" s="35">
        <f t="shared" si="2"/>
        <v>9</v>
      </c>
      <c r="AB7" s="35">
        <f t="shared" si="2"/>
        <v>6</v>
      </c>
      <c r="AC7" s="35">
        <f t="shared" si="2"/>
        <v>5</v>
      </c>
      <c r="AD7" s="35">
        <f t="shared" si="2"/>
        <v>3</v>
      </c>
      <c r="AE7" s="30">
        <f t="shared" si="1"/>
        <v>191</v>
      </c>
      <c r="AF7" s="36" t="s">
        <v>39</v>
      </c>
      <c r="AG7" s="3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145" t="s">
        <v>46</v>
      </c>
      <c r="F8" s="249">
        <f t="shared" ref="F8:F14" si="3">SUM(G8:AD8)</f>
        <v>0</v>
      </c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61" t="s">
        <v>231</v>
      </c>
      <c r="Y8" s="261" t="s">
        <v>231</v>
      </c>
      <c r="Z8" s="261" t="s">
        <v>231</v>
      </c>
      <c r="AA8" s="261" t="s">
        <v>231</v>
      </c>
      <c r="AB8" s="261" t="s">
        <v>231</v>
      </c>
      <c r="AC8" s="261" t="s">
        <v>231</v>
      </c>
      <c r="AD8" s="261" t="s">
        <v>231</v>
      </c>
      <c r="AE8" s="252">
        <f t="shared" si="1"/>
        <v>0</v>
      </c>
      <c r="AF8" s="116" t="s">
        <v>74</v>
      </c>
      <c r="AG8" s="189" t="s">
        <v>627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45" t="s">
        <v>53</v>
      </c>
      <c r="F9" s="249">
        <f t="shared" si="3"/>
        <v>0</v>
      </c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2">
        <f t="shared" si="1"/>
        <v>0</v>
      </c>
      <c r="AF9" s="116" t="s">
        <v>225</v>
      </c>
      <c r="AG9" s="189" t="s">
        <v>627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45" t="s">
        <v>56</v>
      </c>
      <c r="F10" s="249">
        <f t="shared" si="3"/>
        <v>10</v>
      </c>
      <c r="G10" s="250">
        <v>1</v>
      </c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>
        <v>1</v>
      </c>
      <c r="S10" s="250">
        <v>1</v>
      </c>
      <c r="T10" s="250">
        <v>1</v>
      </c>
      <c r="U10" s="250">
        <v>1</v>
      </c>
      <c r="V10" s="250">
        <v>1</v>
      </c>
      <c r="W10" s="250">
        <v>1</v>
      </c>
      <c r="X10" s="250">
        <v>1</v>
      </c>
      <c r="Y10" s="250">
        <v>1</v>
      </c>
      <c r="Z10" s="250">
        <v>1</v>
      </c>
      <c r="AA10" s="250"/>
      <c r="AB10" s="250"/>
      <c r="AC10" s="250"/>
      <c r="AD10" s="250"/>
      <c r="AE10" s="41">
        <f t="shared" si="1"/>
        <v>10</v>
      </c>
      <c r="AF10" s="116" t="s">
        <v>628</v>
      </c>
      <c r="AG10" s="189" t="s">
        <v>627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249">
        <f t="shared" si="3"/>
        <v>0</v>
      </c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2">
        <f t="shared" si="1"/>
        <v>0</v>
      </c>
      <c r="AF11" s="116" t="s">
        <v>382</v>
      </c>
      <c r="AG11" s="189" t="s">
        <v>627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145" t="s">
        <v>147</v>
      </c>
      <c r="F12" s="249">
        <f t="shared" si="3"/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7">
        <v>0</v>
      </c>
      <c r="AC12" s="77">
        <v>0</v>
      </c>
      <c r="AD12" s="77">
        <v>0</v>
      </c>
      <c r="AE12" s="41">
        <f t="shared" si="1"/>
        <v>0</v>
      </c>
      <c r="AF12" s="89" t="s">
        <v>225</v>
      </c>
      <c r="AG12" s="189" t="s">
        <v>627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53" t="s">
        <v>60</v>
      </c>
      <c r="F13" s="249">
        <f t="shared" si="3"/>
        <v>13</v>
      </c>
      <c r="G13" s="250">
        <v>1</v>
      </c>
      <c r="H13" s="250">
        <v>1</v>
      </c>
      <c r="I13" s="250">
        <v>1</v>
      </c>
      <c r="J13" s="250">
        <v>1</v>
      </c>
      <c r="K13" s="250">
        <v>1</v>
      </c>
      <c r="L13" s="250">
        <v>1</v>
      </c>
      <c r="M13" s="250">
        <v>1</v>
      </c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>
        <v>1</v>
      </c>
      <c r="Z13" s="250">
        <v>1</v>
      </c>
      <c r="AA13" s="250">
        <v>1</v>
      </c>
      <c r="AB13" s="250">
        <v>1</v>
      </c>
      <c r="AC13" s="250">
        <v>1</v>
      </c>
      <c r="AD13" s="250">
        <v>1</v>
      </c>
      <c r="AE13" s="252">
        <f t="shared" si="1"/>
        <v>13</v>
      </c>
      <c r="AF13" s="116" t="s">
        <v>280</v>
      </c>
      <c r="AG13" s="189" t="s">
        <v>627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53" t="s">
        <v>63</v>
      </c>
      <c r="F14" s="249">
        <f t="shared" si="3"/>
        <v>11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>
        <v>1</v>
      </c>
      <c r="Q14" s="250">
        <v>1</v>
      </c>
      <c r="R14" s="250">
        <v>1</v>
      </c>
      <c r="S14" s="250">
        <v>1</v>
      </c>
      <c r="T14" s="250">
        <v>1</v>
      </c>
      <c r="U14" s="250">
        <v>1</v>
      </c>
      <c r="V14" s="250">
        <v>1</v>
      </c>
      <c r="W14" s="250">
        <v>1</v>
      </c>
      <c r="X14" s="250">
        <v>1</v>
      </c>
      <c r="Y14" s="250"/>
      <c r="Z14" s="250">
        <v>1</v>
      </c>
      <c r="AA14" s="250">
        <v>1</v>
      </c>
      <c r="AB14" s="250"/>
      <c r="AC14" s="250"/>
      <c r="AD14" s="250"/>
      <c r="AE14" s="252">
        <f t="shared" si="1"/>
        <v>11</v>
      </c>
      <c r="AF14" s="116" t="s">
        <v>629</v>
      </c>
      <c r="AG14" s="189" t="s">
        <v>627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53" t="s">
        <v>65</v>
      </c>
      <c r="F15" s="249">
        <v>10</v>
      </c>
      <c r="G15" s="250"/>
      <c r="H15" s="250"/>
      <c r="I15" s="250"/>
      <c r="J15" s="250"/>
      <c r="K15" s="250"/>
      <c r="L15" s="250"/>
      <c r="M15" s="250"/>
      <c r="N15" s="263"/>
      <c r="O15" s="263"/>
      <c r="P15" s="263"/>
      <c r="Q15" s="263"/>
      <c r="R15" s="263"/>
      <c r="S15" s="263"/>
      <c r="T15" s="263">
        <v>1</v>
      </c>
      <c r="U15" s="263">
        <v>1</v>
      </c>
      <c r="V15" s="577" t="s">
        <v>292</v>
      </c>
      <c r="W15" s="555"/>
      <c r="X15" s="555"/>
      <c r="Y15" s="555"/>
      <c r="Z15" s="555"/>
      <c r="AA15" s="555"/>
      <c r="AB15" s="555"/>
      <c r="AC15" s="555"/>
      <c r="AD15" s="250"/>
      <c r="AE15" s="252">
        <v>10</v>
      </c>
      <c r="AF15" s="116" t="s">
        <v>175</v>
      </c>
      <c r="AG15" s="189" t="s">
        <v>627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45" t="s">
        <v>71</v>
      </c>
      <c r="F16" s="249">
        <f t="shared" ref="F16:F19" si="4">SUM(G16:AD16)</f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41">
        <f t="shared" ref="AE16:AE32" si="5">SUM(G16:AD16)</f>
        <v>0</v>
      </c>
      <c r="AF16" s="89" t="s">
        <v>225</v>
      </c>
      <c r="AG16" s="189" t="s">
        <v>627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145" t="s">
        <v>73</v>
      </c>
      <c r="F17" s="249">
        <f t="shared" si="4"/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41">
        <f t="shared" si="5"/>
        <v>0</v>
      </c>
      <c r="AF17" s="89" t="s">
        <v>225</v>
      </c>
      <c r="AG17" s="189" t="s">
        <v>627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145" t="s">
        <v>80</v>
      </c>
      <c r="F18" s="249">
        <f t="shared" si="4"/>
        <v>8</v>
      </c>
      <c r="G18" s="250">
        <v>1</v>
      </c>
      <c r="H18" s="250">
        <v>1</v>
      </c>
      <c r="I18" s="250">
        <v>1</v>
      </c>
      <c r="J18" s="250">
        <v>1</v>
      </c>
      <c r="K18" s="250">
        <v>1</v>
      </c>
      <c r="L18" s="250">
        <v>1</v>
      </c>
      <c r="M18" s="250">
        <v>1</v>
      </c>
      <c r="N18" s="250">
        <v>1</v>
      </c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2">
        <f t="shared" si="5"/>
        <v>8</v>
      </c>
      <c r="AF18" s="116" t="s">
        <v>603</v>
      </c>
      <c r="AG18" s="189" t="s">
        <v>627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45" t="s">
        <v>83</v>
      </c>
      <c r="F19" s="249">
        <f t="shared" si="4"/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  <c r="Z19" s="77">
        <v>0</v>
      </c>
      <c r="AA19" s="77">
        <v>0</v>
      </c>
      <c r="AB19" s="77">
        <v>0</v>
      </c>
      <c r="AC19" s="77">
        <v>0</v>
      </c>
      <c r="AD19" s="77">
        <v>0</v>
      </c>
      <c r="AE19" s="41">
        <f t="shared" si="5"/>
        <v>0</v>
      </c>
      <c r="AF19" s="89" t="s">
        <v>225</v>
      </c>
      <c r="AG19" s="189" t="s">
        <v>627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249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77">
        <v>0</v>
      </c>
      <c r="AC20" s="77">
        <v>0</v>
      </c>
      <c r="AD20" s="77">
        <v>0</v>
      </c>
      <c r="AE20" s="41">
        <f t="shared" si="5"/>
        <v>0</v>
      </c>
      <c r="AF20" s="89" t="s">
        <v>225</v>
      </c>
      <c r="AG20" s="189" t="s">
        <v>627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145" t="s">
        <v>91</v>
      </c>
      <c r="F21" s="249">
        <f t="shared" ref="F21:F28" si="6">SUM(G21:AD21)</f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  <c r="Z21" s="77">
        <v>0</v>
      </c>
      <c r="AA21" s="77">
        <v>0</v>
      </c>
      <c r="AB21" s="77">
        <v>0</v>
      </c>
      <c r="AC21" s="77">
        <v>0</v>
      </c>
      <c r="AD21" s="77">
        <v>0</v>
      </c>
      <c r="AE21" s="41">
        <f t="shared" si="5"/>
        <v>0</v>
      </c>
      <c r="AF21" s="89" t="s">
        <v>225</v>
      </c>
      <c r="AG21" s="189" t="s">
        <v>627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53" t="s">
        <v>93</v>
      </c>
      <c r="F22" s="249">
        <f t="shared" si="6"/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7">
        <v>0</v>
      </c>
      <c r="AB22" s="77">
        <v>0</v>
      </c>
      <c r="AC22" s="77">
        <v>0</v>
      </c>
      <c r="AD22" s="77">
        <v>0</v>
      </c>
      <c r="AE22" s="41">
        <f t="shared" si="5"/>
        <v>0</v>
      </c>
      <c r="AF22" s="89" t="s">
        <v>225</v>
      </c>
      <c r="AG22" s="189" t="s">
        <v>627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53" t="s">
        <v>95</v>
      </c>
      <c r="F23" s="249">
        <f t="shared" si="6"/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0</v>
      </c>
      <c r="AB23" s="77">
        <v>0</v>
      </c>
      <c r="AC23" s="77">
        <v>0</v>
      </c>
      <c r="AD23" s="77">
        <v>0</v>
      </c>
      <c r="AE23" s="41">
        <f t="shared" si="5"/>
        <v>0</v>
      </c>
      <c r="AF23" s="89" t="s">
        <v>225</v>
      </c>
      <c r="AG23" s="189" t="s">
        <v>627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53" t="s">
        <v>99</v>
      </c>
      <c r="F24" s="249">
        <f t="shared" si="6"/>
        <v>13</v>
      </c>
      <c r="G24" s="250"/>
      <c r="H24" s="250"/>
      <c r="I24" s="250"/>
      <c r="J24" s="250"/>
      <c r="K24" s="250"/>
      <c r="L24" s="250"/>
      <c r="M24" s="250">
        <v>1</v>
      </c>
      <c r="N24" s="250">
        <v>1</v>
      </c>
      <c r="O24" s="250">
        <v>1</v>
      </c>
      <c r="P24" s="250">
        <v>1</v>
      </c>
      <c r="Q24" s="250">
        <v>1</v>
      </c>
      <c r="R24" s="250">
        <v>1</v>
      </c>
      <c r="S24" s="250">
        <v>1</v>
      </c>
      <c r="T24" s="250">
        <v>1</v>
      </c>
      <c r="U24" s="250">
        <v>1</v>
      </c>
      <c r="V24" s="250">
        <v>1</v>
      </c>
      <c r="W24" s="250"/>
      <c r="X24" s="250">
        <v>1</v>
      </c>
      <c r="Y24" s="250">
        <v>1</v>
      </c>
      <c r="Z24" s="250">
        <v>1</v>
      </c>
      <c r="AA24" s="250"/>
      <c r="AB24" s="250"/>
      <c r="AC24" s="250"/>
      <c r="AD24" s="250"/>
      <c r="AE24" s="252">
        <f t="shared" si="5"/>
        <v>13</v>
      </c>
      <c r="AF24" s="116" t="s">
        <v>630</v>
      </c>
      <c r="AG24" s="189" t="s">
        <v>627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53" t="s">
        <v>102</v>
      </c>
      <c r="F25" s="249">
        <f t="shared" si="6"/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  <c r="Z25" s="77">
        <v>0</v>
      </c>
      <c r="AA25" s="77">
        <v>0</v>
      </c>
      <c r="AB25" s="77">
        <v>0</v>
      </c>
      <c r="AC25" s="77">
        <v>0</v>
      </c>
      <c r="AD25" s="77">
        <v>0</v>
      </c>
      <c r="AE25" s="41">
        <f t="shared" si="5"/>
        <v>0</v>
      </c>
      <c r="AF25" s="89" t="s">
        <v>225</v>
      </c>
      <c r="AG25" s="189" t="s">
        <v>627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53" t="s">
        <v>104</v>
      </c>
      <c r="F26" s="249">
        <f t="shared" si="6"/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Z26" s="77">
        <v>0</v>
      </c>
      <c r="AA26" s="77">
        <v>0</v>
      </c>
      <c r="AB26" s="77">
        <v>0</v>
      </c>
      <c r="AC26" s="77">
        <v>0</v>
      </c>
      <c r="AD26" s="77">
        <v>0</v>
      </c>
      <c r="AE26" s="41">
        <f t="shared" si="5"/>
        <v>0</v>
      </c>
      <c r="AF26" s="89" t="s">
        <v>225</v>
      </c>
      <c r="AG26" s="189" t="s">
        <v>627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53" t="s">
        <v>333</v>
      </c>
      <c r="F27" s="249">
        <f t="shared" si="6"/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  <c r="Z27" s="77">
        <v>0</v>
      </c>
      <c r="AA27" s="77">
        <v>0</v>
      </c>
      <c r="AB27" s="77">
        <v>0</v>
      </c>
      <c r="AC27" s="77">
        <v>0</v>
      </c>
      <c r="AD27" s="77">
        <v>0</v>
      </c>
      <c r="AE27" s="41">
        <f t="shared" si="5"/>
        <v>0</v>
      </c>
      <c r="AF27" s="89" t="s">
        <v>225</v>
      </c>
      <c r="AG27" s="189" t="s">
        <v>627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53" t="s">
        <v>172</v>
      </c>
      <c r="F28" s="249">
        <f t="shared" si="6"/>
        <v>12</v>
      </c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>
        <v>1</v>
      </c>
      <c r="R28" s="250">
        <v>1</v>
      </c>
      <c r="S28" s="250">
        <v>1</v>
      </c>
      <c r="T28" s="250">
        <v>1</v>
      </c>
      <c r="U28" s="250">
        <v>1</v>
      </c>
      <c r="V28" s="250">
        <v>1</v>
      </c>
      <c r="W28" s="250">
        <v>1</v>
      </c>
      <c r="X28" s="250">
        <v>1</v>
      </c>
      <c r="Y28" s="250"/>
      <c r="Z28" s="250">
        <v>1</v>
      </c>
      <c r="AA28" s="250">
        <v>1</v>
      </c>
      <c r="AB28" s="250">
        <v>1</v>
      </c>
      <c r="AC28" s="250">
        <v>1</v>
      </c>
      <c r="AD28" s="250"/>
      <c r="AE28" s="252">
        <f t="shared" si="5"/>
        <v>12</v>
      </c>
      <c r="AF28" s="116" t="s">
        <v>631</v>
      </c>
      <c r="AG28" s="189" t="s">
        <v>627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53" t="s">
        <v>106</v>
      </c>
      <c r="F29" s="249"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  <c r="Z29" s="77">
        <v>0</v>
      </c>
      <c r="AA29" s="77">
        <v>0</v>
      </c>
      <c r="AB29" s="77">
        <v>0</v>
      </c>
      <c r="AC29" s="77">
        <v>0</v>
      </c>
      <c r="AD29" s="77">
        <v>0</v>
      </c>
      <c r="AE29" s="41">
        <f t="shared" si="5"/>
        <v>0</v>
      </c>
      <c r="AF29" s="89" t="s">
        <v>225</v>
      </c>
      <c r="AG29" s="189" t="s">
        <v>627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53" t="s">
        <v>112</v>
      </c>
      <c r="F30" s="249">
        <f t="shared" ref="F30:F32" si="7">SUM(G30:AD30)</f>
        <v>12</v>
      </c>
      <c r="G30" s="250"/>
      <c r="H30" s="250"/>
      <c r="I30" s="250"/>
      <c r="J30" s="250"/>
      <c r="K30" s="250"/>
      <c r="L30" s="250"/>
      <c r="M30" s="250">
        <v>1</v>
      </c>
      <c r="N30" s="250">
        <v>1</v>
      </c>
      <c r="O30" s="250">
        <v>1</v>
      </c>
      <c r="P30" s="250">
        <v>1</v>
      </c>
      <c r="Q30" s="250">
        <v>1</v>
      </c>
      <c r="R30" s="250">
        <v>1</v>
      </c>
      <c r="S30" s="250">
        <v>1</v>
      </c>
      <c r="T30" s="250">
        <v>1</v>
      </c>
      <c r="U30" s="250">
        <v>1</v>
      </c>
      <c r="V30" s="250">
        <v>1</v>
      </c>
      <c r="W30" s="250"/>
      <c r="X30" s="250">
        <v>1</v>
      </c>
      <c r="Y30" s="250">
        <v>1</v>
      </c>
      <c r="Z30" s="250"/>
      <c r="AA30" s="250"/>
      <c r="AB30" s="250"/>
      <c r="AC30" s="250"/>
      <c r="AD30" s="250"/>
      <c r="AE30" s="252">
        <f t="shared" si="5"/>
        <v>12</v>
      </c>
      <c r="AF30" s="116" t="s">
        <v>632</v>
      </c>
      <c r="AG30" s="189" t="s">
        <v>627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53" t="s">
        <v>116</v>
      </c>
      <c r="F31" s="249">
        <f t="shared" si="7"/>
        <v>0</v>
      </c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2">
        <f t="shared" si="5"/>
        <v>0</v>
      </c>
      <c r="AF31" s="116" t="s">
        <v>225</v>
      </c>
      <c r="AG31" s="189" t="s">
        <v>627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53" t="s">
        <v>121</v>
      </c>
      <c r="F32" s="249">
        <f t="shared" si="7"/>
        <v>12</v>
      </c>
      <c r="G32" s="250">
        <v>1</v>
      </c>
      <c r="H32" s="250">
        <v>1</v>
      </c>
      <c r="I32" s="250">
        <v>1</v>
      </c>
      <c r="J32" s="250">
        <v>1</v>
      </c>
      <c r="K32" s="250">
        <v>1</v>
      </c>
      <c r="L32" s="250">
        <v>1</v>
      </c>
      <c r="M32" s="250">
        <v>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>
        <v>1</v>
      </c>
      <c r="AA32" s="250">
        <v>1</v>
      </c>
      <c r="AB32" s="250">
        <v>1</v>
      </c>
      <c r="AC32" s="250">
        <v>1</v>
      </c>
      <c r="AD32" s="250">
        <v>1</v>
      </c>
      <c r="AE32" s="252">
        <f t="shared" si="5"/>
        <v>12</v>
      </c>
      <c r="AF32" s="116" t="s">
        <v>311</v>
      </c>
      <c r="AG32" s="189" t="s">
        <v>627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9" t="s">
        <v>123</v>
      </c>
      <c r="F33" s="249">
        <v>12</v>
      </c>
      <c r="G33" s="250"/>
      <c r="H33" s="250"/>
      <c r="I33" s="250"/>
      <c r="J33" s="250"/>
      <c r="K33" s="250"/>
      <c r="L33" s="250"/>
      <c r="M33" s="250"/>
      <c r="N33" s="250"/>
      <c r="O33" s="250"/>
      <c r="P33" s="579" t="s">
        <v>187</v>
      </c>
      <c r="Q33" s="555"/>
      <c r="R33" s="555"/>
      <c r="S33" s="555"/>
      <c r="T33" s="555"/>
      <c r="U33" s="555"/>
      <c r="V33" s="555"/>
      <c r="W33" s="555"/>
      <c r="X33" s="555"/>
      <c r="Y33" s="555"/>
      <c r="Z33" s="542"/>
      <c r="AA33" s="250">
        <v>1</v>
      </c>
      <c r="AB33" s="250"/>
      <c r="AC33" s="250"/>
      <c r="AD33" s="250"/>
      <c r="AE33" s="252">
        <v>12</v>
      </c>
      <c r="AF33" s="116" t="s">
        <v>69</v>
      </c>
      <c r="AG33" s="189" t="s">
        <v>627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53" t="s">
        <v>125</v>
      </c>
      <c r="F34" s="249">
        <f t="shared" ref="F34:F38" si="8">SUM(G34:AD34)</f>
        <v>11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>
        <v>1</v>
      </c>
      <c r="U34" s="250">
        <v>1</v>
      </c>
      <c r="V34" s="250">
        <v>1</v>
      </c>
      <c r="W34" s="250">
        <v>1</v>
      </c>
      <c r="X34" s="250">
        <v>1</v>
      </c>
      <c r="Y34" s="250">
        <v>1</v>
      </c>
      <c r="Z34" s="250">
        <v>1</v>
      </c>
      <c r="AA34" s="250">
        <v>1</v>
      </c>
      <c r="AB34" s="250">
        <v>1</v>
      </c>
      <c r="AC34" s="250">
        <v>1</v>
      </c>
      <c r="AD34" s="250">
        <v>1</v>
      </c>
      <c r="AE34" s="252">
        <f t="shared" ref="AE34:AE56" si="9">SUM(G34:AD34)</f>
        <v>11</v>
      </c>
      <c r="AF34" s="116" t="s">
        <v>328</v>
      </c>
      <c r="AG34" s="189" t="s">
        <v>627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53" t="s">
        <v>127</v>
      </c>
      <c r="F35" s="249">
        <f t="shared" si="8"/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  <c r="Z35" s="77">
        <v>0</v>
      </c>
      <c r="AA35" s="77">
        <v>0</v>
      </c>
      <c r="AB35" s="77">
        <v>0</v>
      </c>
      <c r="AC35" s="77">
        <v>0</v>
      </c>
      <c r="AD35" s="77">
        <v>0</v>
      </c>
      <c r="AE35" s="41">
        <f t="shared" si="9"/>
        <v>0</v>
      </c>
      <c r="AF35" s="89" t="s">
        <v>225</v>
      </c>
      <c r="AG35" s="189" t="s">
        <v>627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53" t="s">
        <v>129</v>
      </c>
      <c r="F36" s="249">
        <f t="shared" si="8"/>
        <v>12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>
        <v>1</v>
      </c>
      <c r="R36" s="250">
        <v>1</v>
      </c>
      <c r="S36" s="250">
        <v>1</v>
      </c>
      <c r="T36" s="250">
        <v>1</v>
      </c>
      <c r="U36" s="250">
        <v>1</v>
      </c>
      <c r="V36" s="250">
        <v>1</v>
      </c>
      <c r="W36" s="250">
        <v>1</v>
      </c>
      <c r="X36" s="250">
        <v>1</v>
      </c>
      <c r="Y36" s="250"/>
      <c r="Z36" s="250">
        <v>1</v>
      </c>
      <c r="AA36" s="250">
        <v>1</v>
      </c>
      <c r="AB36" s="250">
        <v>1</v>
      </c>
      <c r="AC36" s="250">
        <v>1</v>
      </c>
      <c r="AD36" s="250"/>
      <c r="AE36" s="252">
        <f t="shared" si="9"/>
        <v>12</v>
      </c>
      <c r="AF36" s="116" t="s">
        <v>633</v>
      </c>
      <c r="AG36" s="189" t="s">
        <v>627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53" t="s">
        <v>131</v>
      </c>
      <c r="F37" s="249">
        <f t="shared" si="8"/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41">
        <f t="shared" si="9"/>
        <v>0</v>
      </c>
      <c r="AF37" s="89" t="s">
        <v>225</v>
      </c>
      <c r="AG37" s="189" t="s">
        <v>627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53" t="s">
        <v>50</v>
      </c>
      <c r="F38" s="249">
        <f t="shared" si="8"/>
        <v>0</v>
      </c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54"/>
      <c r="AE38" s="252">
        <f t="shared" si="9"/>
        <v>0</v>
      </c>
      <c r="AF38" s="111" t="s">
        <v>6</v>
      </c>
      <c r="AG38" s="189" t="s">
        <v>627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53" t="s">
        <v>135</v>
      </c>
      <c r="F39" s="249"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  <c r="Z39" s="77">
        <v>0</v>
      </c>
      <c r="AA39" s="77">
        <v>0</v>
      </c>
      <c r="AB39" s="77">
        <v>0</v>
      </c>
      <c r="AC39" s="77">
        <v>0</v>
      </c>
      <c r="AD39" s="77">
        <v>0</v>
      </c>
      <c r="AE39" s="41">
        <f t="shared" si="9"/>
        <v>0</v>
      </c>
      <c r="AF39" s="89" t="s">
        <v>225</v>
      </c>
      <c r="AG39" s="189" t="s">
        <v>627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53" t="s">
        <v>140</v>
      </c>
      <c r="F40" s="249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  <c r="Z40" s="77">
        <v>0</v>
      </c>
      <c r="AA40" s="77">
        <v>0</v>
      </c>
      <c r="AB40" s="77">
        <v>0</v>
      </c>
      <c r="AC40" s="77">
        <v>0</v>
      </c>
      <c r="AD40" s="77">
        <v>0</v>
      </c>
      <c r="AE40" s="41">
        <f t="shared" si="9"/>
        <v>0</v>
      </c>
      <c r="AF40" s="89" t="s">
        <v>225</v>
      </c>
      <c r="AG40" s="189" t="s">
        <v>627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53" t="s">
        <v>118</v>
      </c>
      <c r="F41" s="249">
        <f>SUM(G41:AD41)</f>
        <v>0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2">
        <f t="shared" si="9"/>
        <v>0</v>
      </c>
      <c r="AF41" s="89" t="s">
        <v>225</v>
      </c>
      <c r="AG41" s="189" t="s">
        <v>627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53" t="s">
        <v>143</v>
      </c>
      <c r="F42" s="249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  <c r="Z42" s="77">
        <v>0</v>
      </c>
      <c r="AA42" s="77">
        <v>0</v>
      </c>
      <c r="AB42" s="77">
        <v>0</v>
      </c>
      <c r="AC42" s="77">
        <v>0</v>
      </c>
      <c r="AD42" s="77">
        <v>0</v>
      </c>
      <c r="AE42" s="41">
        <f t="shared" si="9"/>
        <v>0</v>
      </c>
      <c r="AF42" s="89" t="s">
        <v>225</v>
      </c>
      <c r="AG42" s="189" t="s">
        <v>627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53" t="s">
        <v>455</v>
      </c>
      <c r="F43" s="249">
        <f t="shared" ref="F43:F56" si="10">SUM(G43:AD43)</f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0</v>
      </c>
      <c r="X43" s="77">
        <v>0</v>
      </c>
      <c r="Y43" s="77">
        <v>0</v>
      </c>
      <c r="Z43" s="77">
        <v>0</v>
      </c>
      <c r="AA43" s="77">
        <v>0</v>
      </c>
      <c r="AB43" s="77">
        <v>0</v>
      </c>
      <c r="AC43" s="77">
        <v>0</v>
      </c>
      <c r="AD43" s="77">
        <v>0</v>
      </c>
      <c r="AE43" s="41">
        <f t="shared" si="9"/>
        <v>0</v>
      </c>
      <c r="AF43" s="89" t="s">
        <v>225</v>
      </c>
      <c r="AG43" s="189" t="s">
        <v>627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53" t="s">
        <v>457</v>
      </c>
      <c r="F44" s="249">
        <f t="shared" si="10"/>
        <v>11</v>
      </c>
      <c r="G44" s="250"/>
      <c r="H44" s="250"/>
      <c r="I44" s="250"/>
      <c r="J44" s="250"/>
      <c r="K44" s="250"/>
      <c r="L44" s="250"/>
      <c r="M44" s="250"/>
      <c r="N44" s="250">
        <v>1</v>
      </c>
      <c r="O44" s="250">
        <v>1</v>
      </c>
      <c r="P44" s="250">
        <v>1</v>
      </c>
      <c r="Q44" s="250">
        <v>1</v>
      </c>
      <c r="R44" s="250">
        <v>1</v>
      </c>
      <c r="S44" s="250">
        <v>1</v>
      </c>
      <c r="T44" s="250">
        <v>1</v>
      </c>
      <c r="U44" s="250">
        <v>1</v>
      </c>
      <c r="V44" s="250"/>
      <c r="W44" s="250">
        <v>1</v>
      </c>
      <c r="X44" s="250">
        <v>1</v>
      </c>
      <c r="Y44" s="250">
        <v>1</v>
      </c>
      <c r="Z44" s="250"/>
      <c r="AA44" s="250"/>
      <c r="AB44" s="250"/>
      <c r="AC44" s="250"/>
      <c r="AD44" s="250"/>
      <c r="AE44" s="252">
        <f t="shared" si="9"/>
        <v>11</v>
      </c>
      <c r="AF44" s="116" t="s">
        <v>357</v>
      </c>
      <c r="AG44" s="189" t="s">
        <v>627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53" t="s">
        <v>460</v>
      </c>
      <c r="F45" s="249">
        <f t="shared" si="10"/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  <c r="Z45" s="77">
        <v>0</v>
      </c>
      <c r="AA45" s="77">
        <v>0</v>
      </c>
      <c r="AB45" s="77">
        <v>0</v>
      </c>
      <c r="AC45" s="77">
        <v>0</v>
      </c>
      <c r="AD45" s="77">
        <v>0</v>
      </c>
      <c r="AE45" s="41">
        <f t="shared" si="9"/>
        <v>0</v>
      </c>
      <c r="AF45" s="89" t="s">
        <v>225</v>
      </c>
      <c r="AG45" s="189" t="s">
        <v>627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53" t="s">
        <v>478</v>
      </c>
      <c r="F46" s="249">
        <f t="shared" si="10"/>
        <v>12</v>
      </c>
      <c r="G46" s="250"/>
      <c r="H46" s="250"/>
      <c r="I46" s="250"/>
      <c r="J46" s="250"/>
      <c r="K46" s="250"/>
      <c r="L46" s="250"/>
      <c r="M46" s="250"/>
      <c r="N46" s="250">
        <v>1</v>
      </c>
      <c r="O46" s="250">
        <v>1</v>
      </c>
      <c r="P46" s="250">
        <v>1</v>
      </c>
      <c r="Q46" s="250">
        <v>1</v>
      </c>
      <c r="R46" s="250">
        <v>1</v>
      </c>
      <c r="S46" s="250">
        <v>1</v>
      </c>
      <c r="T46" s="250">
        <v>1</v>
      </c>
      <c r="U46" s="250">
        <v>1</v>
      </c>
      <c r="V46" s="250">
        <v>1</v>
      </c>
      <c r="W46" s="250">
        <v>1</v>
      </c>
      <c r="X46" s="250"/>
      <c r="Y46" s="250">
        <v>1</v>
      </c>
      <c r="Z46" s="250">
        <v>1</v>
      </c>
      <c r="AA46" s="250"/>
      <c r="AB46" s="250"/>
      <c r="AC46" s="250"/>
      <c r="AD46" s="250"/>
      <c r="AE46" s="252">
        <f t="shared" si="9"/>
        <v>12</v>
      </c>
      <c r="AF46" s="116" t="s">
        <v>341</v>
      </c>
      <c r="AG46" s="189" t="s">
        <v>627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53" t="s">
        <v>461</v>
      </c>
      <c r="F47" s="249">
        <f t="shared" si="10"/>
        <v>0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0</v>
      </c>
      <c r="Z47" s="77">
        <v>0</v>
      </c>
      <c r="AA47" s="77">
        <v>0</v>
      </c>
      <c r="AB47" s="77">
        <v>0</v>
      </c>
      <c r="AC47" s="77">
        <v>0</v>
      </c>
      <c r="AD47" s="77">
        <v>0</v>
      </c>
      <c r="AE47" s="41">
        <f t="shared" si="9"/>
        <v>0</v>
      </c>
      <c r="AF47" s="89" t="s">
        <v>225</v>
      </c>
      <c r="AG47" s="189" t="s">
        <v>627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53" t="s">
        <v>463</v>
      </c>
      <c r="F48" s="249">
        <f t="shared" si="10"/>
        <v>10</v>
      </c>
      <c r="G48" s="250"/>
      <c r="H48" s="250"/>
      <c r="I48" s="250"/>
      <c r="J48" s="250"/>
      <c r="K48" s="250"/>
      <c r="L48" s="250"/>
      <c r="M48" s="250"/>
      <c r="N48" s="250">
        <v>1</v>
      </c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0">
        <v>1</v>
      </c>
      <c r="U48" s="250">
        <v>1</v>
      </c>
      <c r="V48" s="250"/>
      <c r="W48" s="250">
        <v>1</v>
      </c>
      <c r="X48" s="250">
        <v>1</v>
      </c>
      <c r="Y48" s="250"/>
      <c r="Z48" s="250"/>
      <c r="AA48" s="250"/>
      <c r="AB48" s="250"/>
      <c r="AC48" s="250"/>
      <c r="AD48" s="250"/>
      <c r="AE48" s="252">
        <f t="shared" si="9"/>
        <v>10</v>
      </c>
      <c r="AF48" s="116" t="s">
        <v>378</v>
      </c>
      <c r="AG48" s="189" t="s">
        <v>627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53" t="s">
        <v>465</v>
      </c>
      <c r="F49" s="249">
        <f t="shared" si="10"/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  <c r="Z49" s="77">
        <v>0</v>
      </c>
      <c r="AA49" s="77">
        <v>0</v>
      </c>
      <c r="AB49" s="77">
        <v>0</v>
      </c>
      <c r="AC49" s="77">
        <v>0</v>
      </c>
      <c r="AD49" s="77">
        <v>0</v>
      </c>
      <c r="AE49" s="41">
        <f t="shared" si="9"/>
        <v>0</v>
      </c>
      <c r="AF49" s="89" t="s">
        <v>225</v>
      </c>
      <c r="AG49" s="189" t="s">
        <v>627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53" t="s">
        <v>466</v>
      </c>
      <c r="F50" s="249">
        <f t="shared" si="10"/>
        <v>9</v>
      </c>
      <c r="G50" s="250"/>
      <c r="H50" s="250"/>
      <c r="I50" s="250"/>
      <c r="J50" s="250"/>
      <c r="K50" s="250"/>
      <c r="L50" s="250"/>
      <c r="M50" s="250"/>
      <c r="N50" s="250">
        <v>1</v>
      </c>
      <c r="O50" s="250">
        <v>1</v>
      </c>
      <c r="P50" s="250">
        <v>1</v>
      </c>
      <c r="Q50" s="250">
        <v>1</v>
      </c>
      <c r="R50" s="250">
        <v>1</v>
      </c>
      <c r="S50" s="250">
        <v>1</v>
      </c>
      <c r="T50" s="250">
        <v>1</v>
      </c>
      <c r="U50" s="250">
        <v>1</v>
      </c>
      <c r="V50" s="250">
        <v>1</v>
      </c>
      <c r="W50" s="250"/>
      <c r="X50" s="250"/>
      <c r="Y50" s="250"/>
      <c r="Z50" s="250"/>
      <c r="AA50" s="250"/>
      <c r="AB50" s="250"/>
      <c r="AC50" s="250"/>
      <c r="AD50" s="250"/>
      <c r="AE50" s="252">
        <f t="shared" si="9"/>
        <v>9</v>
      </c>
      <c r="AF50" s="111" t="s">
        <v>356</v>
      </c>
      <c r="AG50" s="189" t="s">
        <v>627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53" t="s">
        <v>467</v>
      </c>
      <c r="F51" s="249">
        <f t="shared" si="10"/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  <c r="Z51" s="77">
        <v>0</v>
      </c>
      <c r="AA51" s="77">
        <v>0</v>
      </c>
      <c r="AB51" s="77">
        <v>0</v>
      </c>
      <c r="AC51" s="77">
        <v>0</v>
      </c>
      <c r="AD51" s="77">
        <v>0</v>
      </c>
      <c r="AE51" s="41">
        <f t="shared" si="9"/>
        <v>0</v>
      </c>
      <c r="AF51" s="89" t="s">
        <v>225</v>
      </c>
      <c r="AG51" s="189" t="s">
        <v>627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53" t="s">
        <v>491</v>
      </c>
      <c r="F52" s="249">
        <f t="shared" si="10"/>
        <v>0</v>
      </c>
      <c r="G52" s="250"/>
      <c r="H52" s="250"/>
      <c r="I52" s="250"/>
      <c r="J52" s="250"/>
      <c r="K52" s="250"/>
      <c r="L52" s="250"/>
      <c r="M52" s="250"/>
      <c r="N52" s="261" t="s">
        <v>205</v>
      </c>
      <c r="O52" s="261" t="s">
        <v>205</v>
      </c>
      <c r="P52" s="261" t="s">
        <v>205</v>
      </c>
      <c r="Q52" s="261" t="s">
        <v>205</v>
      </c>
      <c r="R52" s="261" t="s">
        <v>205</v>
      </c>
      <c r="S52" s="261" t="s">
        <v>205</v>
      </c>
      <c r="T52" s="261" t="s">
        <v>205</v>
      </c>
      <c r="U52" s="261" t="s">
        <v>205</v>
      </c>
      <c r="V52" s="250"/>
      <c r="W52" s="261" t="s">
        <v>205</v>
      </c>
      <c r="X52" s="261" t="s">
        <v>205</v>
      </c>
      <c r="Y52" s="250"/>
      <c r="Z52" s="250"/>
      <c r="AA52" s="250"/>
      <c r="AB52" s="250"/>
      <c r="AC52" s="250"/>
      <c r="AD52" s="250"/>
      <c r="AE52" s="252">
        <f t="shared" si="9"/>
        <v>0</v>
      </c>
      <c r="AF52" s="116" t="s">
        <v>340</v>
      </c>
      <c r="AG52" s="189" t="s">
        <v>627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53" t="s">
        <v>493</v>
      </c>
      <c r="F53" s="249">
        <f t="shared" si="10"/>
        <v>11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>
        <v>1</v>
      </c>
      <c r="R53" s="250">
        <v>1</v>
      </c>
      <c r="S53" s="250">
        <v>1</v>
      </c>
      <c r="T53" s="250">
        <v>1</v>
      </c>
      <c r="U53" s="250">
        <v>1</v>
      </c>
      <c r="V53" s="250">
        <v>1</v>
      </c>
      <c r="W53" s="250">
        <v>1</v>
      </c>
      <c r="X53" s="250">
        <v>1</v>
      </c>
      <c r="Y53" s="250">
        <v>1</v>
      </c>
      <c r="Z53" s="250">
        <v>1</v>
      </c>
      <c r="AA53" s="250">
        <v>1</v>
      </c>
      <c r="AB53" s="250"/>
      <c r="AC53" s="250"/>
      <c r="AD53" s="250"/>
      <c r="AE53" s="252">
        <f t="shared" si="9"/>
        <v>11</v>
      </c>
      <c r="AF53" s="116" t="s">
        <v>170</v>
      </c>
      <c r="AG53" s="189" t="s">
        <v>627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53" t="s">
        <v>469</v>
      </c>
      <c r="F54" s="249">
        <f t="shared" si="10"/>
        <v>12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>
        <v>1</v>
      </c>
      <c r="Q54" s="250">
        <v>1</v>
      </c>
      <c r="R54" s="250">
        <v>1</v>
      </c>
      <c r="S54" s="250">
        <v>1</v>
      </c>
      <c r="T54" s="250">
        <v>1</v>
      </c>
      <c r="U54" s="250">
        <v>1</v>
      </c>
      <c r="V54" s="250"/>
      <c r="W54" s="250">
        <v>1</v>
      </c>
      <c r="X54" s="250">
        <v>1</v>
      </c>
      <c r="Y54" s="250">
        <v>1</v>
      </c>
      <c r="Z54" s="250">
        <v>1</v>
      </c>
      <c r="AA54" s="250">
        <v>1</v>
      </c>
      <c r="AB54" s="250">
        <v>1</v>
      </c>
      <c r="AC54" s="250"/>
      <c r="AD54" s="250"/>
      <c r="AE54" s="252">
        <f t="shared" si="9"/>
        <v>12</v>
      </c>
      <c r="AF54" s="111" t="s">
        <v>289</v>
      </c>
      <c r="AG54" s="189" t="s">
        <v>627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53" t="s">
        <v>495</v>
      </c>
      <c r="F55" s="249">
        <f t="shared" si="10"/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  <c r="Z55" s="77">
        <v>0</v>
      </c>
      <c r="AA55" s="77">
        <v>0</v>
      </c>
      <c r="AB55" s="77">
        <v>0</v>
      </c>
      <c r="AC55" s="77">
        <v>0</v>
      </c>
      <c r="AD55" s="77">
        <v>0</v>
      </c>
      <c r="AE55" s="41">
        <f t="shared" si="9"/>
        <v>0</v>
      </c>
      <c r="AF55" s="89" t="s">
        <v>225</v>
      </c>
      <c r="AG55" s="189" t="s">
        <v>627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53" t="s">
        <v>497</v>
      </c>
      <c r="F56" s="249">
        <f t="shared" si="10"/>
        <v>9</v>
      </c>
      <c r="G56" s="250"/>
      <c r="H56" s="250"/>
      <c r="I56" s="250"/>
      <c r="J56" s="250"/>
      <c r="K56" s="250"/>
      <c r="L56" s="250"/>
      <c r="M56" s="250"/>
      <c r="N56" s="250"/>
      <c r="O56" s="250">
        <v>1</v>
      </c>
      <c r="P56" s="250">
        <v>1</v>
      </c>
      <c r="Q56" s="250">
        <v>1</v>
      </c>
      <c r="R56" s="250">
        <v>1</v>
      </c>
      <c r="S56" s="250">
        <v>1</v>
      </c>
      <c r="T56" s="250">
        <v>1</v>
      </c>
      <c r="U56" s="250">
        <v>1</v>
      </c>
      <c r="V56" s="250">
        <v>1</v>
      </c>
      <c r="W56" s="250">
        <v>1</v>
      </c>
      <c r="X56" s="250"/>
      <c r="Y56" s="250"/>
      <c r="Z56" s="250"/>
      <c r="AA56" s="250"/>
      <c r="AB56" s="250"/>
      <c r="AC56" s="250"/>
      <c r="AD56" s="250"/>
      <c r="AE56" s="41">
        <f t="shared" si="9"/>
        <v>9</v>
      </c>
      <c r="AF56" s="111" t="s">
        <v>298</v>
      </c>
      <c r="AG56" s="189" t="s">
        <v>627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249">
        <v>11</v>
      </c>
      <c r="G57" s="258"/>
      <c r="H57" s="258"/>
      <c r="I57" s="258"/>
      <c r="J57" s="258"/>
      <c r="K57" s="258"/>
      <c r="L57" s="258"/>
      <c r="M57" s="258"/>
      <c r="N57" s="577" t="s">
        <v>292</v>
      </c>
      <c r="O57" s="555"/>
      <c r="P57" s="555"/>
      <c r="Q57" s="555"/>
      <c r="R57" s="555"/>
      <c r="S57" s="555"/>
      <c r="T57" s="555"/>
      <c r="U57" s="555"/>
      <c r="V57" s="263"/>
      <c r="W57" s="263"/>
      <c r="X57" s="263"/>
      <c r="Y57" s="263"/>
      <c r="Z57" s="263"/>
      <c r="AA57" s="263"/>
      <c r="AB57" s="263"/>
      <c r="AC57" s="263"/>
      <c r="AD57" s="42"/>
      <c r="AE57" s="252">
        <v>11</v>
      </c>
      <c r="AF57" s="116" t="s">
        <v>288</v>
      </c>
      <c r="AG57" s="189" t="s">
        <v>627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249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0</v>
      </c>
      <c r="X58" s="77">
        <v>0</v>
      </c>
      <c r="Y58" s="77">
        <v>0</v>
      </c>
      <c r="Z58" s="77">
        <v>0</v>
      </c>
      <c r="AA58" s="77">
        <v>0</v>
      </c>
      <c r="AB58" s="77">
        <v>0</v>
      </c>
      <c r="AC58" s="77">
        <v>0</v>
      </c>
      <c r="AD58" s="77">
        <v>0</v>
      </c>
      <c r="AE58" s="41">
        <f t="shared" ref="AE58:AE59" si="11">SUM(G58:AD58)</f>
        <v>0</v>
      </c>
      <c r="AF58" s="89" t="s">
        <v>225</v>
      </c>
      <c r="AG58" s="189" t="s">
        <v>627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249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  <c r="Z59" s="77">
        <v>0</v>
      </c>
      <c r="AA59" s="77">
        <v>0</v>
      </c>
      <c r="AB59" s="77">
        <v>0</v>
      </c>
      <c r="AC59" s="77">
        <v>0</v>
      </c>
      <c r="AD59" s="77">
        <v>0</v>
      </c>
      <c r="AE59" s="41">
        <f t="shared" si="11"/>
        <v>0</v>
      </c>
      <c r="AF59" s="89" t="s">
        <v>225</v>
      </c>
      <c r="AG59" s="189" t="s">
        <v>627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12">
        <v>2</v>
      </c>
      <c r="N62" s="12">
        <v>2</v>
      </c>
      <c r="O62" s="242">
        <v>4</v>
      </c>
      <c r="P62" s="56">
        <v>5</v>
      </c>
      <c r="Q62" s="56">
        <v>5</v>
      </c>
      <c r="R62" s="56">
        <v>5</v>
      </c>
      <c r="S62" s="144">
        <v>6</v>
      </c>
      <c r="T62" s="144">
        <v>6</v>
      </c>
      <c r="U62" s="56">
        <v>5</v>
      </c>
      <c r="V62" s="56">
        <v>5</v>
      </c>
      <c r="W62" s="56">
        <v>5</v>
      </c>
      <c r="X62" s="144">
        <v>6</v>
      </c>
      <c r="Y62" s="144">
        <v>6</v>
      </c>
      <c r="Z62" s="144">
        <v>6</v>
      </c>
      <c r="AA62" s="56">
        <v>5</v>
      </c>
      <c r="AB62" s="242">
        <v>4</v>
      </c>
      <c r="AC62" s="234">
        <v>3</v>
      </c>
      <c r="AD62" s="12">
        <v>2</v>
      </c>
      <c r="AE62" s="18">
        <f>SUM(G62:AD62)</f>
        <v>94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12">G65-G62</f>
        <v>0</v>
      </c>
      <c r="H63" s="28">
        <f t="shared" si="12"/>
        <v>0</v>
      </c>
      <c r="I63" s="28">
        <f t="shared" si="12"/>
        <v>0</v>
      </c>
      <c r="J63" s="28">
        <f t="shared" si="12"/>
        <v>0</v>
      </c>
      <c r="K63" s="28">
        <f t="shared" si="12"/>
        <v>0</v>
      </c>
      <c r="L63" s="28">
        <f t="shared" si="12"/>
        <v>0</v>
      </c>
      <c r="M63" s="28">
        <f t="shared" si="12"/>
        <v>0</v>
      </c>
      <c r="N63" s="28">
        <f t="shared" si="12"/>
        <v>0</v>
      </c>
      <c r="O63" s="28">
        <f t="shared" si="12"/>
        <v>0</v>
      </c>
      <c r="P63" s="28">
        <f t="shared" si="12"/>
        <v>0</v>
      </c>
      <c r="Q63" s="28">
        <f t="shared" si="12"/>
        <v>0</v>
      </c>
      <c r="R63" s="28">
        <f t="shared" si="12"/>
        <v>0</v>
      </c>
      <c r="S63" s="28">
        <f t="shared" si="12"/>
        <v>0</v>
      </c>
      <c r="T63" s="28">
        <f t="shared" si="12"/>
        <v>0</v>
      </c>
      <c r="U63" s="28">
        <f t="shared" si="12"/>
        <v>0</v>
      </c>
      <c r="V63" s="28">
        <f t="shared" si="12"/>
        <v>0</v>
      </c>
      <c r="W63" s="28">
        <f t="shared" si="12"/>
        <v>0</v>
      </c>
      <c r="X63" s="205">
        <f t="shared" si="12"/>
        <v>-1</v>
      </c>
      <c r="Y63" s="28">
        <f t="shared" si="12"/>
        <v>0</v>
      </c>
      <c r="Z63" s="28">
        <f t="shared" si="12"/>
        <v>0</v>
      </c>
      <c r="AA63" s="28">
        <f t="shared" si="12"/>
        <v>0</v>
      </c>
      <c r="AB63" s="28">
        <f t="shared" si="12"/>
        <v>0</v>
      </c>
      <c r="AC63" s="28">
        <f t="shared" si="12"/>
        <v>0</v>
      </c>
      <c r="AD63" s="28">
        <f t="shared" si="12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3">SUM(G66:G82)</f>
        <v>2</v>
      </c>
      <c r="H65" s="35">
        <f t="shared" si="13"/>
        <v>2</v>
      </c>
      <c r="I65" s="35">
        <f t="shared" si="13"/>
        <v>2</v>
      </c>
      <c r="J65" s="35">
        <f t="shared" si="13"/>
        <v>2</v>
      </c>
      <c r="K65" s="35">
        <f t="shared" si="13"/>
        <v>2</v>
      </c>
      <c r="L65" s="35">
        <f t="shared" si="13"/>
        <v>2</v>
      </c>
      <c r="M65" s="35">
        <f t="shared" si="13"/>
        <v>2</v>
      </c>
      <c r="N65" s="35">
        <f t="shared" si="13"/>
        <v>2</v>
      </c>
      <c r="O65" s="35">
        <f t="shared" si="13"/>
        <v>4</v>
      </c>
      <c r="P65" s="35">
        <f t="shared" si="13"/>
        <v>5</v>
      </c>
      <c r="Q65" s="35">
        <f t="shared" si="13"/>
        <v>5</v>
      </c>
      <c r="R65" s="35">
        <f t="shared" si="13"/>
        <v>5</v>
      </c>
      <c r="S65" s="35">
        <f t="shared" si="13"/>
        <v>6</v>
      </c>
      <c r="T65" s="35">
        <f t="shared" si="13"/>
        <v>6</v>
      </c>
      <c r="U65" s="35">
        <f t="shared" si="13"/>
        <v>5</v>
      </c>
      <c r="V65" s="35">
        <f t="shared" si="13"/>
        <v>5</v>
      </c>
      <c r="W65" s="35">
        <f t="shared" si="13"/>
        <v>5</v>
      </c>
      <c r="X65" s="35">
        <f t="shared" si="13"/>
        <v>5</v>
      </c>
      <c r="Y65" s="35">
        <f t="shared" si="13"/>
        <v>6</v>
      </c>
      <c r="Z65" s="35">
        <f t="shared" si="13"/>
        <v>6</v>
      </c>
      <c r="AA65" s="35">
        <f t="shared" si="13"/>
        <v>5</v>
      </c>
      <c r="AB65" s="35">
        <f t="shared" si="13"/>
        <v>4</v>
      </c>
      <c r="AC65" s="35">
        <f t="shared" si="13"/>
        <v>3</v>
      </c>
      <c r="AD65" s="35">
        <f t="shared" si="13"/>
        <v>2</v>
      </c>
      <c r="AE65" s="30">
        <f t="shared" ref="AE65:AE82" si="14">SUM(G65:AD65)</f>
        <v>93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5">SUM(G66:AD66)</f>
        <v>0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7">
        <v>0</v>
      </c>
      <c r="W66" s="77">
        <v>0</v>
      </c>
      <c r="X66" s="77">
        <v>0</v>
      </c>
      <c r="Y66" s="77">
        <v>0</v>
      </c>
      <c r="Z66" s="77">
        <v>0</v>
      </c>
      <c r="AA66" s="77">
        <v>0</v>
      </c>
      <c r="AB66" s="77">
        <v>0</v>
      </c>
      <c r="AC66" s="77">
        <v>0</v>
      </c>
      <c r="AD66" s="77">
        <v>0</v>
      </c>
      <c r="AE66" s="41">
        <f t="shared" si="14"/>
        <v>0</v>
      </c>
      <c r="AF66" s="89" t="s">
        <v>225</v>
      </c>
      <c r="AG66" s="189" t="s">
        <v>627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5"/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  <c r="Z67" s="77">
        <v>0</v>
      </c>
      <c r="AA67" s="77">
        <v>0</v>
      </c>
      <c r="AB67" s="77">
        <v>0</v>
      </c>
      <c r="AC67" s="77">
        <v>0</v>
      </c>
      <c r="AD67" s="77">
        <v>0</v>
      </c>
      <c r="AE67" s="41">
        <f t="shared" si="14"/>
        <v>0</v>
      </c>
      <c r="AF67" s="89" t="s">
        <v>225</v>
      </c>
      <c r="AG67" s="189" t="s">
        <v>627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5"/>
        <v>0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1">
        <f t="shared" si="14"/>
        <v>0</v>
      </c>
      <c r="AF68" s="89" t="s">
        <v>225</v>
      </c>
      <c r="AG68" s="189" t="s">
        <v>627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5"/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41">
        <f t="shared" si="14"/>
        <v>0</v>
      </c>
      <c r="AF69" s="89" t="s">
        <v>225</v>
      </c>
      <c r="AG69" s="189" t="s">
        <v>627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5"/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  <c r="Z70" s="77">
        <v>0</v>
      </c>
      <c r="AA70" s="77">
        <v>0</v>
      </c>
      <c r="AB70" s="77">
        <v>0</v>
      </c>
      <c r="AC70" s="77">
        <v>0</v>
      </c>
      <c r="AD70" s="77">
        <v>0</v>
      </c>
      <c r="AE70" s="41">
        <f t="shared" si="14"/>
        <v>0</v>
      </c>
      <c r="AF70" s="89" t="s">
        <v>225</v>
      </c>
      <c r="AG70" s="189" t="s">
        <v>627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5"/>
        <v>12</v>
      </c>
      <c r="G71" s="42">
        <v>1</v>
      </c>
      <c r="H71" s="42">
        <v>1</v>
      </c>
      <c r="I71" s="42">
        <v>1</v>
      </c>
      <c r="J71" s="42">
        <v>1</v>
      </c>
      <c r="K71" s="42">
        <v>1</v>
      </c>
      <c r="L71" s="42">
        <v>1</v>
      </c>
      <c r="M71" s="42">
        <v>1</v>
      </c>
      <c r="N71" s="42">
        <v>1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>
        <v>1</v>
      </c>
      <c r="AB71" s="42">
        <v>1</v>
      </c>
      <c r="AC71" s="42">
        <v>1</v>
      </c>
      <c r="AD71" s="42">
        <v>1</v>
      </c>
      <c r="AE71" s="41">
        <f t="shared" si="14"/>
        <v>12</v>
      </c>
      <c r="AF71" s="111" t="s">
        <v>634</v>
      </c>
      <c r="AG71" s="189" t="s">
        <v>627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5"/>
        <v>9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>
        <v>1</v>
      </c>
      <c r="S72" s="42">
        <v>1</v>
      </c>
      <c r="T72" s="42">
        <v>1</v>
      </c>
      <c r="U72" s="42">
        <v>1</v>
      </c>
      <c r="V72" s="42">
        <v>1</v>
      </c>
      <c r="W72" s="42">
        <v>1</v>
      </c>
      <c r="X72" s="42">
        <v>1</v>
      </c>
      <c r="Y72" s="42">
        <v>1</v>
      </c>
      <c r="Z72" s="42">
        <v>1</v>
      </c>
      <c r="AA72" s="42"/>
      <c r="AB72" s="42"/>
      <c r="AC72" s="42"/>
      <c r="AD72" s="42"/>
      <c r="AE72" s="41">
        <f t="shared" si="14"/>
        <v>9</v>
      </c>
      <c r="AF72" s="116" t="s">
        <v>635</v>
      </c>
      <c r="AG72" s="189" t="s">
        <v>627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5"/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41">
        <f t="shared" si="14"/>
        <v>0</v>
      </c>
      <c r="AF73" s="89" t="s">
        <v>225</v>
      </c>
      <c r="AG73" s="189" t="s">
        <v>627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5"/>
        <v>13</v>
      </c>
      <c r="G74" s="42"/>
      <c r="H74" s="42"/>
      <c r="I74" s="42"/>
      <c r="J74" s="42"/>
      <c r="K74" s="42"/>
      <c r="L74" s="42"/>
      <c r="M74" s="42"/>
      <c r="N74" s="42">
        <v>1</v>
      </c>
      <c r="O74" s="42">
        <v>1</v>
      </c>
      <c r="P74" s="42">
        <v>1</v>
      </c>
      <c r="Q74" s="42">
        <v>1</v>
      </c>
      <c r="R74" s="42"/>
      <c r="S74" s="42">
        <v>1</v>
      </c>
      <c r="T74" s="42">
        <v>1</v>
      </c>
      <c r="U74" s="42">
        <v>1</v>
      </c>
      <c r="V74" s="42">
        <v>1</v>
      </c>
      <c r="W74" s="42">
        <v>1</v>
      </c>
      <c r="X74" s="42">
        <v>1</v>
      </c>
      <c r="Y74" s="42">
        <v>1</v>
      </c>
      <c r="Z74" s="42">
        <v>1</v>
      </c>
      <c r="AA74" s="42">
        <v>1</v>
      </c>
      <c r="AB74" s="42"/>
      <c r="AC74" s="42"/>
      <c r="AD74" s="42"/>
      <c r="AE74" s="41">
        <f t="shared" si="14"/>
        <v>13</v>
      </c>
      <c r="AF74" s="116" t="s">
        <v>636</v>
      </c>
      <c r="AG74" s="189" t="s">
        <v>627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5"/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41">
        <f t="shared" si="14"/>
        <v>0</v>
      </c>
      <c r="AF75" s="89" t="s">
        <v>225</v>
      </c>
      <c r="AG75" s="189" t="s">
        <v>627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5"/>
        <v>13</v>
      </c>
      <c r="G76" s="42">
        <v>1</v>
      </c>
      <c r="H76" s="42">
        <v>1</v>
      </c>
      <c r="I76" s="42">
        <v>1</v>
      </c>
      <c r="J76" s="42">
        <v>1</v>
      </c>
      <c r="K76" s="42">
        <v>1</v>
      </c>
      <c r="L76" s="42">
        <v>1</v>
      </c>
      <c r="M76" s="42">
        <v>1</v>
      </c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>
        <v>1</v>
      </c>
      <c r="Z76" s="42">
        <v>1</v>
      </c>
      <c r="AA76" s="42">
        <v>1</v>
      </c>
      <c r="AB76" s="42">
        <v>1</v>
      </c>
      <c r="AC76" s="42">
        <v>1</v>
      </c>
      <c r="AD76" s="42">
        <v>1</v>
      </c>
      <c r="AE76" s="41">
        <f t="shared" si="14"/>
        <v>13</v>
      </c>
      <c r="AF76" s="111" t="s">
        <v>280</v>
      </c>
      <c r="AG76" s="189" t="s">
        <v>627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5"/>
        <v>14</v>
      </c>
      <c r="G77" s="42"/>
      <c r="H77" s="42"/>
      <c r="I77" s="42"/>
      <c r="J77" s="42"/>
      <c r="K77" s="42"/>
      <c r="L77" s="42"/>
      <c r="M77" s="42"/>
      <c r="N77" s="42"/>
      <c r="O77" s="42"/>
      <c r="P77" s="42">
        <v>1</v>
      </c>
      <c r="Q77" s="42">
        <v>1</v>
      </c>
      <c r="R77" s="42">
        <v>1</v>
      </c>
      <c r="S77" s="42">
        <v>1</v>
      </c>
      <c r="T77" s="42">
        <v>1</v>
      </c>
      <c r="U77" s="42">
        <v>1</v>
      </c>
      <c r="V77" s="42">
        <v>1</v>
      </c>
      <c r="W77" s="42">
        <v>1</v>
      </c>
      <c r="X77" s="42">
        <v>1</v>
      </c>
      <c r="Y77" s="42">
        <v>1</v>
      </c>
      <c r="Z77" s="42">
        <v>1</v>
      </c>
      <c r="AA77" s="42">
        <v>1</v>
      </c>
      <c r="AB77" s="42">
        <v>1</v>
      </c>
      <c r="AC77" s="42">
        <v>1</v>
      </c>
      <c r="AD77" s="42"/>
      <c r="AE77" s="41">
        <f t="shared" si="14"/>
        <v>14</v>
      </c>
      <c r="AF77" s="116" t="s">
        <v>48</v>
      </c>
      <c r="AG77" s="189" t="s">
        <v>627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5"/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41">
        <f t="shared" si="14"/>
        <v>0</v>
      </c>
      <c r="AF78" s="89" t="s">
        <v>225</v>
      </c>
      <c r="AG78" s="189" t="s">
        <v>627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5"/>
        <v>14</v>
      </c>
      <c r="G79" s="102"/>
      <c r="H79" s="102"/>
      <c r="I79" s="102"/>
      <c r="J79" s="102"/>
      <c r="K79" s="102"/>
      <c r="L79" s="102"/>
      <c r="M79" s="102"/>
      <c r="N79" s="102"/>
      <c r="O79" s="102">
        <v>1</v>
      </c>
      <c r="P79" s="102">
        <v>1</v>
      </c>
      <c r="Q79" s="102">
        <v>1</v>
      </c>
      <c r="R79" s="102">
        <v>1</v>
      </c>
      <c r="S79" s="102">
        <v>1</v>
      </c>
      <c r="T79" s="102">
        <v>1</v>
      </c>
      <c r="U79" s="102">
        <v>1</v>
      </c>
      <c r="V79" s="102">
        <v>1</v>
      </c>
      <c r="W79" s="42">
        <v>1</v>
      </c>
      <c r="X79" s="102">
        <v>1</v>
      </c>
      <c r="Y79" s="102">
        <v>1</v>
      </c>
      <c r="Z79" s="102">
        <v>1</v>
      </c>
      <c r="AA79" s="102">
        <v>1</v>
      </c>
      <c r="AB79" s="102">
        <v>1</v>
      </c>
      <c r="AC79" s="102"/>
      <c r="AD79" s="42"/>
      <c r="AE79" s="41">
        <f t="shared" si="14"/>
        <v>14</v>
      </c>
      <c r="AF79" s="116" t="s">
        <v>385</v>
      </c>
      <c r="AG79" s="189" t="s">
        <v>627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5"/>
        <v>6</v>
      </c>
      <c r="G80" s="102"/>
      <c r="H80" s="102"/>
      <c r="I80" s="102"/>
      <c r="J80" s="102"/>
      <c r="K80" s="102"/>
      <c r="L80" s="102"/>
      <c r="M80" s="102"/>
      <c r="N80" s="102"/>
      <c r="O80" s="102">
        <v>1</v>
      </c>
      <c r="P80" s="102">
        <v>1</v>
      </c>
      <c r="Q80" s="102">
        <v>1</v>
      </c>
      <c r="R80" s="102">
        <v>1</v>
      </c>
      <c r="S80" s="102">
        <v>1</v>
      </c>
      <c r="T80" s="102">
        <v>1</v>
      </c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41">
        <f t="shared" si="14"/>
        <v>6</v>
      </c>
      <c r="AF80" s="116" t="s">
        <v>305</v>
      </c>
      <c r="AG80" s="189" t="s">
        <v>627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5"/>
        <v>12</v>
      </c>
      <c r="G81" s="102"/>
      <c r="H81" s="102"/>
      <c r="I81" s="102"/>
      <c r="J81" s="102"/>
      <c r="K81" s="102"/>
      <c r="L81" s="102"/>
      <c r="M81" s="102"/>
      <c r="N81" s="102"/>
      <c r="O81" s="102">
        <v>1</v>
      </c>
      <c r="P81" s="102">
        <v>1</v>
      </c>
      <c r="Q81" s="102">
        <v>1</v>
      </c>
      <c r="R81" s="102">
        <v>1</v>
      </c>
      <c r="S81" s="102">
        <v>1</v>
      </c>
      <c r="T81" s="102">
        <v>1</v>
      </c>
      <c r="U81" s="102">
        <v>1</v>
      </c>
      <c r="V81" s="102">
        <v>1</v>
      </c>
      <c r="W81" s="102">
        <v>1</v>
      </c>
      <c r="X81" s="102">
        <v>1</v>
      </c>
      <c r="Y81" s="102">
        <v>1</v>
      </c>
      <c r="Z81" s="102">
        <v>1</v>
      </c>
      <c r="AA81" s="102"/>
      <c r="AB81" s="102"/>
      <c r="AC81" s="102"/>
      <c r="AD81" s="102"/>
      <c r="AE81" s="41">
        <f t="shared" si="14"/>
        <v>12</v>
      </c>
      <c r="AF81" s="116" t="s">
        <v>66</v>
      </c>
      <c r="AG81" s="189" t="s">
        <v>627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15"/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41">
        <f t="shared" si="14"/>
        <v>0</v>
      </c>
      <c r="AF82" s="89" t="s">
        <v>225</v>
      </c>
      <c r="AG82" s="189" t="s">
        <v>627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D6F95600-F5D2-44BC-80B6-0F2773D5BD92}" filter="1" showAutoFilter="1">
      <pageMargins left="0.7" right="0.7" top="0.75" bottom="0.75" header="0.3" footer="0.3"/>
      <autoFilter ref="A3:AG84" xr:uid="{E87FEF48-666E-416A-9D99-3CFAC30286F9}"/>
    </customSheetView>
    <customSheetView guid="{833D6734-F5E1-4449-B5A1-8C3A51A61651}" filter="1" showAutoFilter="1">
      <pageMargins left="0.7" right="0.7" top="0.75" bottom="0.75" header="0.3" footer="0.3"/>
      <autoFilter ref="A7:AG84" xr:uid="{B306006B-E52F-4B1A-B5E0-B16A7E0EF12F}">
        <filterColumn colId="26">
          <filters>
            <filter val="-"/>
            <filter val="1"/>
            <filter val="5"/>
            <filter val="CLIENTES VIP"/>
            <filter val="FI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4" xr:uid="{25E2FC90-2482-4236-BCD2-303C47EA5360}">
        <filterColumn colId="15">
          <filters>
            <filter val="-"/>
            <filter val="1"/>
            <filter val="11"/>
            <filter val="5"/>
            <filter val="CLIENTES VIP"/>
            <filter val="SOPORTE DTH"/>
          </filters>
        </filterColumn>
      </autoFilter>
    </customSheetView>
  </customSheetViews>
  <mergeCells count="8">
    <mergeCell ref="P33:Z33"/>
    <mergeCell ref="N57:U57"/>
    <mergeCell ref="E62:F62"/>
    <mergeCell ref="A1:B1"/>
    <mergeCell ref="D3:AE3"/>
    <mergeCell ref="E4:F4"/>
    <mergeCell ref="E5:F5"/>
    <mergeCell ref="V15:AC15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G84"/>
  <sheetViews>
    <sheetView showGridLines="0" workbookViewId="0"/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93">
        <v>3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246">
        <v>9</v>
      </c>
      <c r="N4" s="14">
        <v>12</v>
      </c>
      <c r="O4" s="108">
        <v>15</v>
      </c>
      <c r="P4" s="80">
        <v>21</v>
      </c>
      <c r="Q4" s="135">
        <v>26</v>
      </c>
      <c r="R4" s="135">
        <v>26</v>
      </c>
      <c r="S4" s="135">
        <v>26</v>
      </c>
      <c r="T4" s="135">
        <v>26</v>
      </c>
      <c r="U4" s="80">
        <v>21</v>
      </c>
      <c r="V4" s="120">
        <v>22</v>
      </c>
      <c r="W4" s="120">
        <v>22</v>
      </c>
      <c r="X4" s="120">
        <v>22</v>
      </c>
      <c r="Y4" s="80">
        <v>21</v>
      </c>
      <c r="Z4" s="137">
        <v>20</v>
      </c>
      <c r="AA4" s="83">
        <v>17</v>
      </c>
      <c r="AB4" s="94">
        <v>10</v>
      </c>
      <c r="AC4" s="225">
        <v>8</v>
      </c>
      <c r="AD4" s="11">
        <v>4</v>
      </c>
      <c r="AE4" s="18">
        <f>SUM(G4:AD4)</f>
        <v>346</v>
      </c>
      <c r="AF4" s="3"/>
      <c r="AG4" s="3"/>
    </row>
    <row r="5" spans="1:33" ht="62.25">
      <c r="A5" s="3"/>
      <c r="B5" s="2"/>
      <c r="C5" s="2"/>
      <c r="D5" s="19"/>
      <c r="E5" s="569">
        <v>12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1</v>
      </c>
      <c r="T6" s="28">
        <f t="shared" si="0"/>
        <v>1</v>
      </c>
      <c r="U6" s="28">
        <f t="shared" si="0"/>
        <v>0</v>
      </c>
      <c r="V6" s="28">
        <f t="shared" si="0"/>
        <v>0</v>
      </c>
      <c r="W6" s="28">
        <f t="shared" si="0"/>
        <v>-1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-1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9" si="1">SUM(G6:AD6)</f>
        <v>0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3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9</v>
      </c>
      <c r="N7" s="172">
        <f t="shared" si="2"/>
        <v>12</v>
      </c>
      <c r="O7" s="172">
        <f t="shared" si="2"/>
        <v>15</v>
      </c>
      <c r="P7" s="172">
        <f t="shared" si="2"/>
        <v>21</v>
      </c>
      <c r="Q7" s="172">
        <f t="shared" si="2"/>
        <v>26</v>
      </c>
      <c r="R7" s="172">
        <f t="shared" si="2"/>
        <v>26</v>
      </c>
      <c r="S7" s="172">
        <f t="shared" si="2"/>
        <v>27</v>
      </c>
      <c r="T7" s="172">
        <f t="shared" si="2"/>
        <v>27</v>
      </c>
      <c r="U7" s="172">
        <f t="shared" si="2"/>
        <v>21</v>
      </c>
      <c r="V7" s="172">
        <f t="shared" si="2"/>
        <v>22</v>
      </c>
      <c r="W7" s="172">
        <f t="shared" si="2"/>
        <v>21</v>
      </c>
      <c r="X7" s="172">
        <f t="shared" si="2"/>
        <v>22</v>
      </c>
      <c r="Y7" s="172">
        <f t="shared" si="2"/>
        <v>21</v>
      </c>
      <c r="Z7" s="172">
        <f t="shared" si="2"/>
        <v>20</v>
      </c>
      <c r="AA7" s="172">
        <f t="shared" si="2"/>
        <v>16</v>
      </c>
      <c r="AB7" s="172">
        <f t="shared" si="2"/>
        <v>10</v>
      </c>
      <c r="AC7" s="172">
        <f t="shared" si="2"/>
        <v>8</v>
      </c>
      <c r="AD7" s="172">
        <f t="shared" si="2"/>
        <v>4</v>
      </c>
      <c r="AE7" s="168">
        <f t="shared" si="1"/>
        <v>346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06" t="s">
        <v>46</v>
      </c>
      <c r="F8" s="41">
        <f t="shared" ref="F8:F14" si="3">SUM(G8:AD8)</f>
        <v>6</v>
      </c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>
        <v>1</v>
      </c>
      <c r="R8" s="250">
        <v>1</v>
      </c>
      <c r="S8" s="250">
        <v>1</v>
      </c>
      <c r="T8" s="250">
        <v>1</v>
      </c>
      <c r="U8" s="250">
        <v>1</v>
      </c>
      <c r="V8" s="250">
        <v>1</v>
      </c>
      <c r="W8" s="250"/>
      <c r="X8" s="250"/>
      <c r="Y8" s="250"/>
      <c r="Z8" s="250"/>
      <c r="AA8" s="250"/>
      <c r="AB8" s="250"/>
      <c r="AC8" s="250"/>
      <c r="AD8" s="250"/>
      <c r="AE8" s="41">
        <f t="shared" si="1"/>
        <v>6</v>
      </c>
      <c r="AF8" s="116" t="s">
        <v>376</v>
      </c>
      <c r="AG8" s="189" t="s">
        <v>627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11</v>
      </c>
      <c r="G9" s="250"/>
      <c r="H9" s="250"/>
      <c r="I9" s="250"/>
      <c r="J9" s="250"/>
      <c r="K9" s="250"/>
      <c r="L9" s="250"/>
      <c r="M9" s="250"/>
      <c r="N9" s="250">
        <v>1</v>
      </c>
      <c r="O9" s="250">
        <v>1</v>
      </c>
      <c r="P9" s="250">
        <v>1</v>
      </c>
      <c r="Q9" s="250">
        <v>1</v>
      </c>
      <c r="R9" s="250">
        <v>1</v>
      </c>
      <c r="S9" s="250">
        <v>1</v>
      </c>
      <c r="T9" s="251" t="s">
        <v>47</v>
      </c>
      <c r="U9" s="250">
        <v>1</v>
      </c>
      <c r="V9" s="250">
        <v>1</v>
      </c>
      <c r="W9" s="250">
        <v>1</v>
      </c>
      <c r="X9" s="250"/>
      <c r="Y9" s="250">
        <v>1</v>
      </c>
      <c r="Z9" s="250">
        <v>1</v>
      </c>
      <c r="AA9" s="250"/>
      <c r="AB9" s="250"/>
      <c r="AC9" s="250"/>
      <c r="AD9" s="250"/>
      <c r="AE9" s="41">
        <f t="shared" si="1"/>
        <v>11</v>
      </c>
      <c r="AF9" s="116" t="s">
        <v>341</v>
      </c>
      <c r="AG9" s="189" t="s">
        <v>627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75" t="s">
        <v>56</v>
      </c>
      <c r="F10" s="41">
        <f t="shared" si="3"/>
        <v>12</v>
      </c>
      <c r="G10" s="250"/>
      <c r="H10" s="250"/>
      <c r="I10" s="250"/>
      <c r="J10" s="250"/>
      <c r="K10" s="250"/>
      <c r="L10" s="250"/>
      <c r="M10" s="250"/>
      <c r="N10" s="250">
        <v>1</v>
      </c>
      <c r="O10" s="250">
        <v>1</v>
      </c>
      <c r="P10" s="250">
        <v>1</v>
      </c>
      <c r="Q10" s="250">
        <v>1</v>
      </c>
      <c r="R10" s="250">
        <v>1</v>
      </c>
      <c r="S10" s="250">
        <v>1</v>
      </c>
      <c r="T10" s="250">
        <v>1</v>
      </c>
      <c r="U10" s="251" t="s">
        <v>47</v>
      </c>
      <c r="V10" s="250">
        <v>1</v>
      </c>
      <c r="W10" s="250">
        <v>1</v>
      </c>
      <c r="X10" s="250"/>
      <c r="Y10" s="250">
        <v>1</v>
      </c>
      <c r="Z10" s="250">
        <v>1</v>
      </c>
      <c r="AA10" s="250">
        <v>1</v>
      </c>
      <c r="AB10" s="250"/>
      <c r="AC10" s="250"/>
      <c r="AD10" s="250"/>
      <c r="AE10" s="41">
        <f t="shared" si="1"/>
        <v>12</v>
      </c>
      <c r="AF10" s="116" t="s">
        <v>384</v>
      </c>
      <c r="AG10" s="189" t="s">
        <v>627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41">
        <f t="shared" si="3"/>
        <v>9</v>
      </c>
      <c r="G11" s="250"/>
      <c r="H11" s="250"/>
      <c r="I11" s="250"/>
      <c r="J11" s="250"/>
      <c r="K11" s="250"/>
      <c r="L11" s="250"/>
      <c r="M11" s="250"/>
      <c r="N11" s="250"/>
      <c r="O11" s="250"/>
      <c r="P11" s="250">
        <v>1</v>
      </c>
      <c r="Q11" s="250">
        <v>1</v>
      </c>
      <c r="R11" s="250">
        <v>1</v>
      </c>
      <c r="S11" s="250">
        <v>1</v>
      </c>
      <c r="T11" s="250">
        <v>1</v>
      </c>
      <c r="U11" s="251" t="s">
        <v>47</v>
      </c>
      <c r="V11" s="250">
        <v>1</v>
      </c>
      <c r="W11" s="250">
        <v>1</v>
      </c>
      <c r="X11" s="250">
        <v>1</v>
      </c>
      <c r="Y11" s="250">
        <v>1</v>
      </c>
      <c r="Z11" s="250"/>
      <c r="AA11" s="250"/>
      <c r="AB11" s="250"/>
      <c r="AC11" s="250"/>
      <c r="AD11" s="250"/>
      <c r="AE11" s="41">
        <f t="shared" si="1"/>
        <v>9</v>
      </c>
      <c r="AF11" s="116" t="s">
        <v>302</v>
      </c>
      <c r="AG11" s="189" t="s">
        <v>627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f t="shared" si="3"/>
        <v>10</v>
      </c>
      <c r="G12" s="250"/>
      <c r="H12" s="250"/>
      <c r="I12" s="250"/>
      <c r="J12" s="250"/>
      <c r="K12" s="250"/>
      <c r="L12" s="250"/>
      <c r="M12" s="250">
        <v>1</v>
      </c>
      <c r="N12" s="250">
        <v>1</v>
      </c>
      <c r="O12" s="250">
        <v>1</v>
      </c>
      <c r="P12" s="250">
        <v>1</v>
      </c>
      <c r="Q12" s="250">
        <v>1</v>
      </c>
      <c r="R12" s="250">
        <v>1</v>
      </c>
      <c r="S12" s="250">
        <v>1</v>
      </c>
      <c r="T12" s="250">
        <v>1</v>
      </c>
      <c r="U12" s="250">
        <v>1</v>
      </c>
      <c r="V12" s="250">
        <v>1</v>
      </c>
      <c r="W12" s="251" t="s">
        <v>47</v>
      </c>
      <c r="X12" s="250"/>
      <c r="Y12" s="250"/>
      <c r="Z12" s="250"/>
      <c r="AA12" s="250"/>
      <c r="AB12" s="250"/>
      <c r="AC12" s="250"/>
      <c r="AD12" s="250"/>
      <c r="AE12" s="41">
        <f t="shared" si="1"/>
        <v>10</v>
      </c>
      <c r="AF12" s="89" t="s">
        <v>192</v>
      </c>
      <c r="AG12" s="189" t="s">
        <v>627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7" t="s">
        <v>60</v>
      </c>
      <c r="F13" s="41">
        <f t="shared" si="3"/>
        <v>9</v>
      </c>
      <c r="G13" s="250">
        <v>1</v>
      </c>
      <c r="H13" s="250">
        <v>1</v>
      </c>
      <c r="I13" s="250">
        <v>1</v>
      </c>
      <c r="J13" s="250">
        <v>1</v>
      </c>
      <c r="K13" s="250">
        <v>1</v>
      </c>
      <c r="L13" s="250">
        <v>1</v>
      </c>
      <c r="M13" s="250">
        <v>1</v>
      </c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>
        <v>1</v>
      </c>
      <c r="AD13" s="250">
        <v>1</v>
      </c>
      <c r="AE13" s="41">
        <f t="shared" si="1"/>
        <v>9</v>
      </c>
      <c r="AF13" s="116" t="s">
        <v>567</v>
      </c>
      <c r="AG13" s="189" t="s">
        <v>627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11" t="s">
        <v>63</v>
      </c>
      <c r="F14" s="41">
        <f t="shared" si="3"/>
        <v>12</v>
      </c>
      <c r="G14" s="250"/>
      <c r="H14" s="250"/>
      <c r="I14" s="250"/>
      <c r="J14" s="250"/>
      <c r="K14" s="250"/>
      <c r="L14" s="250"/>
      <c r="M14" s="250">
        <v>1</v>
      </c>
      <c r="N14" s="250">
        <v>1</v>
      </c>
      <c r="O14" s="250">
        <v>1</v>
      </c>
      <c r="P14" s="250">
        <v>1</v>
      </c>
      <c r="Q14" s="250">
        <v>1</v>
      </c>
      <c r="R14" s="250">
        <v>1</v>
      </c>
      <c r="S14" s="250">
        <v>1</v>
      </c>
      <c r="T14" s="250">
        <v>1</v>
      </c>
      <c r="U14" s="250"/>
      <c r="V14" s="250">
        <v>1</v>
      </c>
      <c r="W14" s="251" t="s">
        <v>47</v>
      </c>
      <c r="X14" s="250">
        <v>1</v>
      </c>
      <c r="Y14" s="250">
        <v>1</v>
      </c>
      <c r="Z14" s="250">
        <v>1</v>
      </c>
      <c r="AA14" s="250"/>
      <c r="AB14" s="250"/>
      <c r="AC14" s="250"/>
      <c r="AD14" s="250"/>
      <c r="AE14" s="41">
        <f t="shared" si="1"/>
        <v>12</v>
      </c>
      <c r="AF14" s="116" t="s">
        <v>637</v>
      </c>
      <c r="AG14" s="189" t="s">
        <v>627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68" t="s">
        <v>65</v>
      </c>
      <c r="F15" s="41">
        <v>10</v>
      </c>
      <c r="G15" s="250"/>
      <c r="H15" s="250"/>
      <c r="I15" s="250"/>
      <c r="J15" s="250"/>
      <c r="K15" s="250"/>
      <c r="L15" s="250"/>
      <c r="M15" s="250"/>
      <c r="N15" s="250">
        <v>1</v>
      </c>
      <c r="O15" s="250">
        <v>1</v>
      </c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0">
        <v>1</v>
      </c>
      <c r="V15" s="250">
        <v>1</v>
      </c>
      <c r="W15" s="251" t="s">
        <v>47</v>
      </c>
      <c r="X15" s="250"/>
      <c r="Y15" s="250"/>
      <c r="Z15" s="250"/>
      <c r="AA15" s="250"/>
      <c r="AB15" s="250"/>
      <c r="AC15" s="250"/>
      <c r="AD15" s="250"/>
      <c r="AE15" s="41">
        <f t="shared" si="1"/>
        <v>9</v>
      </c>
      <c r="AF15" s="116" t="s">
        <v>61</v>
      </c>
      <c r="AG15" s="189" t="s">
        <v>627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208" t="s">
        <v>71</v>
      </c>
      <c r="F16" s="41">
        <f t="shared" ref="F16:F19" si="4">SUM(G16:AD16)</f>
        <v>10</v>
      </c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>
        <v>1</v>
      </c>
      <c r="R16" s="250">
        <v>1</v>
      </c>
      <c r="S16" s="250">
        <v>1</v>
      </c>
      <c r="T16" s="250">
        <v>1</v>
      </c>
      <c r="U16" s="250">
        <v>1</v>
      </c>
      <c r="V16" s="250">
        <v>1</v>
      </c>
      <c r="W16" s="251" t="s">
        <v>47</v>
      </c>
      <c r="X16" s="250">
        <v>1</v>
      </c>
      <c r="Y16" s="250">
        <v>1</v>
      </c>
      <c r="Z16" s="250">
        <v>1</v>
      </c>
      <c r="AA16" s="250">
        <v>1</v>
      </c>
      <c r="AB16" s="250"/>
      <c r="AC16" s="250"/>
      <c r="AD16" s="250"/>
      <c r="AE16" s="41">
        <f t="shared" si="1"/>
        <v>10</v>
      </c>
      <c r="AF16" s="89" t="s">
        <v>170</v>
      </c>
      <c r="AG16" s="189" t="s">
        <v>627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208" t="s">
        <v>73</v>
      </c>
      <c r="F17" s="41">
        <f t="shared" si="4"/>
        <v>9</v>
      </c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>
        <v>1</v>
      </c>
      <c r="U17" s="250">
        <v>1</v>
      </c>
      <c r="V17" s="250">
        <v>1</v>
      </c>
      <c r="W17" s="251" t="s">
        <v>47</v>
      </c>
      <c r="X17" s="250">
        <v>1</v>
      </c>
      <c r="Y17" s="250">
        <v>1</v>
      </c>
      <c r="Z17" s="250">
        <v>1</v>
      </c>
      <c r="AA17" s="250">
        <v>1</v>
      </c>
      <c r="AB17" s="250">
        <v>1</v>
      </c>
      <c r="AC17" s="250">
        <v>1</v>
      </c>
      <c r="AD17" s="250"/>
      <c r="AE17" s="41">
        <f t="shared" si="1"/>
        <v>9</v>
      </c>
      <c r="AF17" s="89" t="s">
        <v>175</v>
      </c>
      <c r="AG17" s="189" t="s">
        <v>627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4"/>
        <v>7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1" t="s">
        <v>47</v>
      </c>
      <c r="X18" s="250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>
        <v>1</v>
      </c>
      <c r="AE18" s="41">
        <f t="shared" si="1"/>
        <v>7</v>
      </c>
      <c r="AF18" s="116" t="s">
        <v>377</v>
      </c>
      <c r="AG18" s="189" t="s">
        <v>627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75" t="s">
        <v>83</v>
      </c>
      <c r="F19" s="41">
        <f t="shared" si="4"/>
        <v>12</v>
      </c>
      <c r="G19" s="250"/>
      <c r="H19" s="250"/>
      <c r="I19" s="250"/>
      <c r="J19" s="250"/>
      <c r="K19" s="250"/>
      <c r="L19" s="250"/>
      <c r="M19" s="250">
        <v>1</v>
      </c>
      <c r="N19" s="250">
        <v>1</v>
      </c>
      <c r="O19" s="250">
        <v>1</v>
      </c>
      <c r="P19" s="250">
        <v>1</v>
      </c>
      <c r="Q19" s="250">
        <v>1</v>
      </c>
      <c r="R19" s="250">
        <v>1</v>
      </c>
      <c r="S19" s="250">
        <v>1</v>
      </c>
      <c r="T19" s="250">
        <v>1</v>
      </c>
      <c r="U19" s="250">
        <v>1</v>
      </c>
      <c r="V19" s="251" t="s">
        <v>47</v>
      </c>
      <c r="W19" s="250">
        <v>1</v>
      </c>
      <c r="X19" s="250"/>
      <c r="Y19" s="250">
        <v>1</v>
      </c>
      <c r="Z19" s="250">
        <v>1</v>
      </c>
      <c r="AA19" s="250"/>
      <c r="AB19" s="250"/>
      <c r="AC19" s="250"/>
      <c r="AD19" s="250"/>
      <c r="AE19" s="41">
        <f t="shared" si="1"/>
        <v>12</v>
      </c>
      <c r="AF19" s="89" t="s">
        <v>638</v>
      </c>
      <c r="AG19" s="189" t="s">
        <v>627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v>12</v>
      </c>
      <c r="G20" s="42"/>
      <c r="H20" s="77"/>
      <c r="I20" s="77"/>
      <c r="J20" s="77"/>
      <c r="K20" s="77"/>
      <c r="L20" s="77"/>
      <c r="M20" s="77"/>
      <c r="N20" s="77"/>
      <c r="O20" s="77"/>
      <c r="P20" s="210"/>
      <c r="Q20" s="269"/>
      <c r="R20" s="269"/>
      <c r="S20" s="269"/>
      <c r="T20" s="269"/>
      <c r="U20" s="251" t="s">
        <v>47</v>
      </c>
      <c r="V20" s="269"/>
      <c r="W20" s="269"/>
      <c r="X20" s="269"/>
      <c r="Y20" s="269"/>
      <c r="Z20" s="270"/>
      <c r="AA20" s="255">
        <v>1</v>
      </c>
      <c r="AB20" s="77"/>
      <c r="AC20" s="42"/>
      <c r="AD20" s="42"/>
      <c r="AE20" s="41">
        <v>12</v>
      </c>
      <c r="AF20" s="89" t="s">
        <v>69</v>
      </c>
      <c r="AG20" s="189" t="s">
        <v>627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06" t="s">
        <v>91</v>
      </c>
      <c r="F21" s="41">
        <f t="shared" ref="F21:F28" si="5">SUM(G21:AD21)</f>
        <v>11</v>
      </c>
      <c r="G21" s="250"/>
      <c r="H21" s="250"/>
      <c r="I21" s="250"/>
      <c r="J21" s="250"/>
      <c r="K21" s="250"/>
      <c r="L21" s="250"/>
      <c r="M21" s="250">
        <v>1</v>
      </c>
      <c r="N21" s="250">
        <v>1</v>
      </c>
      <c r="O21" s="250">
        <v>1</v>
      </c>
      <c r="P21" s="250">
        <v>1</v>
      </c>
      <c r="Q21" s="250">
        <v>1</v>
      </c>
      <c r="R21" s="250">
        <v>1</v>
      </c>
      <c r="S21" s="250">
        <v>1</v>
      </c>
      <c r="T21" s="250">
        <v>1</v>
      </c>
      <c r="U21" s="251" t="s">
        <v>47</v>
      </c>
      <c r="V21" s="250">
        <v>1</v>
      </c>
      <c r="W21" s="250">
        <v>1</v>
      </c>
      <c r="X21" s="250">
        <v>1</v>
      </c>
      <c r="Y21" s="250"/>
      <c r="Z21" s="250"/>
      <c r="AA21" s="250"/>
      <c r="AB21" s="250"/>
      <c r="AC21" s="250"/>
      <c r="AD21" s="250"/>
      <c r="AE21" s="41">
        <f t="shared" ref="AE21:AE34" si="6">SUM(G21:AD21)</f>
        <v>11</v>
      </c>
      <c r="AF21" s="89" t="s">
        <v>84</v>
      </c>
      <c r="AG21" s="189" t="s">
        <v>627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07" t="s">
        <v>93</v>
      </c>
      <c r="F22" s="41">
        <f t="shared" si="5"/>
        <v>8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>
        <v>1</v>
      </c>
      <c r="U22" s="250">
        <v>1</v>
      </c>
      <c r="V22" s="251" t="s">
        <v>47</v>
      </c>
      <c r="W22" s="250">
        <v>1</v>
      </c>
      <c r="X22" s="250">
        <v>1</v>
      </c>
      <c r="Y22" s="250">
        <v>1</v>
      </c>
      <c r="Z22" s="250">
        <v>1</v>
      </c>
      <c r="AA22" s="250">
        <v>1</v>
      </c>
      <c r="AB22" s="250">
        <v>1</v>
      </c>
      <c r="AC22" s="250"/>
      <c r="AD22" s="250"/>
      <c r="AE22" s="41">
        <f t="shared" si="6"/>
        <v>8</v>
      </c>
      <c r="AF22" s="89" t="s">
        <v>255</v>
      </c>
      <c r="AG22" s="189" t="s">
        <v>627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68" t="s">
        <v>95</v>
      </c>
      <c r="F23" s="41">
        <f t="shared" si="5"/>
        <v>9</v>
      </c>
      <c r="G23" s="250"/>
      <c r="H23" s="250"/>
      <c r="I23" s="250"/>
      <c r="J23" s="250"/>
      <c r="K23" s="250"/>
      <c r="L23" s="250"/>
      <c r="M23" s="250">
        <v>1</v>
      </c>
      <c r="N23" s="250">
        <v>1</v>
      </c>
      <c r="O23" s="250">
        <v>1</v>
      </c>
      <c r="P23" s="250">
        <v>1</v>
      </c>
      <c r="Q23" s="250">
        <v>1</v>
      </c>
      <c r="R23" s="250">
        <v>1</v>
      </c>
      <c r="S23" s="250">
        <v>1</v>
      </c>
      <c r="T23" s="250">
        <v>1</v>
      </c>
      <c r="U23" s="250">
        <v>1</v>
      </c>
      <c r="V23" s="251" t="s">
        <v>47</v>
      </c>
      <c r="W23" s="250"/>
      <c r="X23" s="250"/>
      <c r="Y23" s="250"/>
      <c r="Z23" s="250"/>
      <c r="AA23" s="250"/>
      <c r="AB23" s="250"/>
      <c r="AC23" s="250"/>
      <c r="AD23" s="250"/>
      <c r="AE23" s="41">
        <f t="shared" si="6"/>
        <v>9</v>
      </c>
      <c r="AF23" s="89" t="s">
        <v>151</v>
      </c>
      <c r="AG23" s="189" t="s">
        <v>627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11" t="s">
        <v>99</v>
      </c>
      <c r="F24" s="41">
        <f t="shared" si="5"/>
        <v>5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>
        <v>1</v>
      </c>
      <c r="V24" s="250">
        <v>1</v>
      </c>
      <c r="W24" s="251" t="s">
        <v>47</v>
      </c>
      <c r="X24" s="250">
        <v>1</v>
      </c>
      <c r="Y24" s="250">
        <v>1</v>
      </c>
      <c r="Z24" s="250">
        <v>1</v>
      </c>
      <c r="AA24" s="250"/>
      <c r="AB24" s="250"/>
      <c r="AC24" s="250"/>
      <c r="AD24" s="250"/>
      <c r="AE24" s="41">
        <f t="shared" si="6"/>
        <v>5</v>
      </c>
      <c r="AF24" s="116" t="s">
        <v>307</v>
      </c>
      <c r="AG24" s="189" t="s">
        <v>627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11" t="s">
        <v>102</v>
      </c>
      <c r="F25" s="41">
        <f t="shared" si="5"/>
        <v>12</v>
      </c>
      <c r="G25" s="250"/>
      <c r="H25" s="250"/>
      <c r="I25" s="250"/>
      <c r="J25" s="250"/>
      <c r="K25" s="250"/>
      <c r="L25" s="250"/>
      <c r="M25" s="250">
        <v>1</v>
      </c>
      <c r="N25" s="250">
        <v>1</v>
      </c>
      <c r="O25" s="250">
        <v>1</v>
      </c>
      <c r="P25" s="250">
        <v>1</v>
      </c>
      <c r="Q25" s="250">
        <v>1</v>
      </c>
      <c r="R25" s="250">
        <v>1</v>
      </c>
      <c r="S25" s="250">
        <v>1</v>
      </c>
      <c r="T25" s="250">
        <v>1</v>
      </c>
      <c r="U25" s="250">
        <v>1</v>
      </c>
      <c r="V25" s="250">
        <v>1</v>
      </c>
      <c r="W25" s="251" t="s">
        <v>47</v>
      </c>
      <c r="X25" s="250"/>
      <c r="Y25" s="250">
        <v>1</v>
      </c>
      <c r="Z25" s="250">
        <v>1</v>
      </c>
      <c r="AA25" s="250"/>
      <c r="AB25" s="250"/>
      <c r="AC25" s="250"/>
      <c r="AD25" s="250"/>
      <c r="AE25" s="41">
        <f t="shared" si="6"/>
        <v>12</v>
      </c>
      <c r="AF25" s="89" t="s">
        <v>638</v>
      </c>
      <c r="AG25" s="189" t="s">
        <v>627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7" t="s">
        <v>104</v>
      </c>
      <c r="F26" s="41">
        <f t="shared" si="5"/>
        <v>9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>
        <v>1</v>
      </c>
      <c r="U26" s="250">
        <v>1</v>
      </c>
      <c r="V26" s="250">
        <v>1</v>
      </c>
      <c r="W26" s="251" t="s">
        <v>47</v>
      </c>
      <c r="X26" s="250">
        <v>1</v>
      </c>
      <c r="Y26" s="250">
        <v>1</v>
      </c>
      <c r="Z26" s="250">
        <v>1</v>
      </c>
      <c r="AA26" s="250">
        <v>1</v>
      </c>
      <c r="AB26" s="250">
        <v>1</v>
      </c>
      <c r="AC26" s="250">
        <v>1</v>
      </c>
      <c r="AD26" s="250"/>
      <c r="AE26" s="41">
        <f t="shared" si="6"/>
        <v>9</v>
      </c>
      <c r="AF26" s="89" t="s">
        <v>175</v>
      </c>
      <c r="AG26" s="189" t="s">
        <v>627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7" t="s">
        <v>333</v>
      </c>
      <c r="F27" s="41">
        <f t="shared" si="5"/>
        <v>6</v>
      </c>
      <c r="G27" s="250"/>
      <c r="H27" s="250"/>
      <c r="I27" s="250"/>
      <c r="J27" s="250"/>
      <c r="K27" s="250"/>
      <c r="L27" s="250"/>
      <c r="M27" s="250"/>
      <c r="N27" s="250"/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>
        <v>1</v>
      </c>
      <c r="U27" s="251" t="s">
        <v>47</v>
      </c>
      <c r="V27" s="250"/>
      <c r="W27" s="250"/>
      <c r="X27" s="250"/>
      <c r="Y27" s="250"/>
      <c r="Z27" s="250"/>
      <c r="AA27" s="250"/>
      <c r="AB27" s="250"/>
      <c r="AC27" s="250"/>
      <c r="AD27" s="250"/>
      <c r="AE27" s="41">
        <f t="shared" si="6"/>
        <v>6</v>
      </c>
      <c r="AF27" s="89" t="s">
        <v>87</v>
      </c>
      <c r="AG27" s="189" t="s">
        <v>627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07" t="s">
        <v>172</v>
      </c>
      <c r="F28" s="41">
        <f t="shared" si="5"/>
        <v>6</v>
      </c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1" t="s">
        <v>47</v>
      </c>
      <c r="X28" s="250">
        <v>1</v>
      </c>
      <c r="Y28" s="250">
        <v>1</v>
      </c>
      <c r="Z28" s="250">
        <v>1</v>
      </c>
      <c r="AA28" s="250">
        <v>1</v>
      </c>
      <c r="AB28" s="250">
        <v>1</v>
      </c>
      <c r="AC28" s="250">
        <v>1</v>
      </c>
      <c r="AD28" s="250"/>
      <c r="AE28" s="41">
        <f t="shared" si="6"/>
        <v>6</v>
      </c>
      <c r="AF28" s="116" t="s">
        <v>226</v>
      </c>
      <c r="AG28" s="189" t="s">
        <v>627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68" t="s">
        <v>106</v>
      </c>
      <c r="F29" s="41">
        <v>0</v>
      </c>
      <c r="G29" s="271">
        <v>0</v>
      </c>
      <c r="H29" s="271">
        <v>0</v>
      </c>
      <c r="I29" s="271">
        <v>0</v>
      </c>
      <c r="J29" s="271">
        <v>0</v>
      </c>
      <c r="K29" s="271">
        <v>0</v>
      </c>
      <c r="L29" s="271">
        <v>0</v>
      </c>
      <c r="M29" s="271">
        <v>0</v>
      </c>
      <c r="N29" s="271">
        <v>0</v>
      </c>
      <c r="O29" s="271">
        <v>0</v>
      </c>
      <c r="P29" s="271">
        <v>0</v>
      </c>
      <c r="Q29" s="271">
        <v>0</v>
      </c>
      <c r="R29" s="271">
        <v>0</v>
      </c>
      <c r="S29" s="271">
        <v>0</v>
      </c>
      <c r="T29" s="271">
        <v>0</v>
      </c>
      <c r="U29" s="271">
        <v>0</v>
      </c>
      <c r="V29" s="271">
        <v>0</v>
      </c>
      <c r="W29" s="271">
        <v>0</v>
      </c>
      <c r="X29" s="271">
        <v>0</v>
      </c>
      <c r="Y29" s="271">
        <v>0</v>
      </c>
      <c r="Z29" s="271">
        <v>0</v>
      </c>
      <c r="AA29" s="271">
        <v>0</v>
      </c>
      <c r="AB29" s="271">
        <v>0</v>
      </c>
      <c r="AC29" s="271">
        <v>0</v>
      </c>
      <c r="AD29" s="271">
        <v>0</v>
      </c>
      <c r="AE29" s="41">
        <f t="shared" si="6"/>
        <v>0</v>
      </c>
      <c r="AF29" s="89" t="s">
        <v>225</v>
      </c>
      <c r="AG29" s="189" t="s">
        <v>627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7" t="s">
        <v>112</v>
      </c>
      <c r="F30" s="41">
        <f t="shared" ref="F30:F32" si="7">SUM(G30:AD30)</f>
        <v>6</v>
      </c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1" t="s">
        <v>47</v>
      </c>
      <c r="W30" s="250">
        <v>1</v>
      </c>
      <c r="X30" s="250">
        <v>1</v>
      </c>
      <c r="Y30" s="250">
        <v>1</v>
      </c>
      <c r="Z30" s="250">
        <v>1</v>
      </c>
      <c r="AA30" s="250">
        <v>1</v>
      </c>
      <c r="AB30" s="250">
        <v>1</v>
      </c>
      <c r="AC30" s="250"/>
      <c r="AD30" s="250"/>
      <c r="AE30" s="41">
        <f t="shared" si="6"/>
        <v>6</v>
      </c>
      <c r="AF30" s="116" t="s">
        <v>282</v>
      </c>
      <c r="AG30" s="189" t="s">
        <v>627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07" t="s">
        <v>116</v>
      </c>
      <c r="F31" s="41">
        <f t="shared" si="7"/>
        <v>5</v>
      </c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>
        <v>1</v>
      </c>
      <c r="AA31" s="250">
        <v>1</v>
      </c>
      <c r="AB31" s="250">
        <v>1</v>
      </c>
      <c r="AC31" s="250">
        <v>1</v>
      </c>
      <c r="AD31" s="250">
        <v>1</v>
      </c>
      <c r="AE31" s="41">
        <f t="shared" si="6"/>
        <v>5</v>
      </c>
      <c r="AF31" s="116" t="s">
        <v>270</v>
      </c>
      <c r="AG31" s="189" t="s">
        <v>627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7" t="s">
        <v>121</v>
      </c>
      <c r="F32" s="41">
        <f t="shared" si="7"/>
        <v>12</v>
      </c>
      <c r="G32" s="250">
        <v>1</v>
      </c>
      <c r="H32" s="250">
        <v>1</v>
      </c>
      <c r="I32" s="250">
        <v>1</v>
      </c>
      <c r="J32" s="250">
        <v>1</v>
      </c>
      <c r="K32" s="250">
        <v>1</v>
      </c>
      <c r="L32" s="250">
        <v>1</v>
      </c>
      <c r="M32" s="250">
        <v>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>
        <v>1</v>
      </c>
      <c r="AA32" s="250">
        <v>1</v>
      </c>
      <c r="AB32" s="250">
        <v>1</v>
      </c>
      <c r="AC32" s="250">
        <v>1</v>
      </c>
      <c r="AD32" s="250">
        <v>1</v>
      </c>
      <c r="AE32" s="41">
        <f t="shared" si="6"/>
        <v>12</v>
      </c>
      <c r="AF32" s="116" t="s">
        <v>311</v>
      </c>
      <c r="AG32" s="189" t="s">
        <v>627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8" t="s">
        <v>123</v>
      </c>
      <c r="F33" s="41">
        <v>12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>
        <v>1</v>
      </c>
      <c r="R33" s="250">
        <v>1</v>
      </c>
      <c r="S33" s="250">
        <v>1</v>
      </c>
      <c r="T33" s="251" t="s">
        <v>47</v>
      </c>
      <c r="U33" s="269"/>
      <c r="V33" s="250">
        <v>1</v>
      </c>
      <c r="W33" s="250">
        <v>1</v>
      </c>
      <c r="X33" s="250">
        <v>1</v>
      </c>
      <c r="Y33" s="250">
        <v>1</v>
      </c>
      <c r="Z33" s="250">
        <v>1</v>
      </c>
      <c r="AA33" s="250">
        <v>1</v>
      </c>
      <c r="AB33" s="250">
        <v>1</v>
      </c>
      <c r="AC33" s="250"/>
      <c r="AD33" s="250"/>
      <c r="AE33" s="41">
        <f t="shared" si="6"/>
        <v>10</v>
      </c>
      <c r="AF33" s="116" t="s">
        <v>96</v>
      </c>
      <c r="AG33" s="189" t="s">
        <v>627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7" t="s">
        <v>125</v>
      </c>
      <c r="F34" s="41">
        <f>SUM(G34:AD34)</f>
        <v>6</v>
      </c>
      <c r="G34" s="250">
        <v>1</v>
      </c>
      <c r="H34" s="250">
        <v>1</v>
      </c>
      <c r="I34" s="250">
        <v>1</v>
      </c>
      <c r="J34" s="250">
        <v>1</v>
      </c>
      <c r="K34" s="250">
        <v>1</v>
      </c>
      <c r="L34" s="250">
        <v>1</v>
      </c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41">
        <f t="shared" si="6"/>
        <v>6</v>
      </c>
      <c r="AF34" s="116" t="s">
        <v>159</v>
      </c>
      <c r="AG34" s="189" t="s">
        <v>627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72" t="s">
        <v>127</v>
      </c>
      <c r="F35" s="41">
        <v>10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>
        <v>1</v>
      </c>
      <c r="T35" s="250">
        <v>1</v>
      </c>
      <c r="U35" s="251" t="s">
        <v>47</v>
      </c>
      <c r="V35" s="583" t="s">
        <v>209</v>
      </c>
      <c r="W35" s="555"/>
      <c r="X35" s="555"/>
      <c r="Y35" s="555"/>
      <c r="Z35" s="555"/>
      <c r="AA35" s="555"/>
      <c r="AB35" s="555"/>
      <c r="AC35" s="542"/>
      <c r="AD35" s="250"/>
      <c r="AE35" s="41">
        <v>10</v>
      </c>
      <c r="AF35" s="89" t="s">
        <v>259</v>
      </c>
      <c r="AG35" s="189" t="s">
        <v>627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07" t="s">
        <v>129</v>
      </c>
      <c r="F36" s="41">
        <f t="shared" ref="F36:F38" si="8">SUM(G36:AD36)</f>
        <v>7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1" t="s">
        <v>47</v>
      </c>
      <c r="W36" s="250">
        <v>1</v>
      </c>
      <c r="X36" s="250">
        <v>1</v>
      </c>
      <c r="Y36" s="250">
        <v>1</v>
      </c>
      <c r="Z36" s="250">
        <v>1</v>
      </c>
      <c r="AA36" s="250">
        <v>1</v>
      </c>
      <c r="AB36" s="250">
        <v>1</v>
      </c>
      <c r="AC36" s="250">
        <v>1</v>
      </c>
      <c r="AD36" s="250"/>
      <c r="AE36" s="41">
        <f t="shared" ref="AE36:AE38" si="9">SUM(G36:AD36)</f>
        <v>7</v>
      </c>
      <c r="AF36" s="116" t="s">
        <v>218</v>
      </c>
      <c r="AG36" s="189" t="s">
        <v>627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11" t="s">
        <v>131</v>
      </c>
      <c r="F37" s="41">
        <f t="shared" si="8"/>
        <v>12</v>
      </c>
      <c r="G37" s="250"/>
      <c r="H37" s="250"/>
      <c r="I37" s="250"/>
      <c r="J37" s="250"/>
      <c r="K37" s="250"/>
      <c r="L37" s="250"/>
      <c r="M37" s="250">
        <v>1</v>
      </c>
      <c r="N37" s="250">
        <v>1</v>
      </c>
      <c r="O37" s="250">
        <v>1</v>
      </c>
      <c r="P37" s="250">
        <v>1</v>
      </c>
      <c r="Q37" s="250">
        <v>1</v>
      </c>
      <c r="R37" s="250">
        <v>1</v>
      </c>
      <c r="S37" s="250">
        <v>1</v>
      </c>
      <c r="T37" s="250">
        <v>1</v>
      </c>
      <c r="U37" s="250">
        <v>1</v>
      </c>
      <c r="V37" s="251" t="s">
        <v>47</v>
      </c>
      <c r="W37" s="250">
        <v>1</v>
      </c>
      <c r="X37" s="250">
        <v>1</v>
      </c>
      <c r="Y37" s="250">
        <v>1</v>
      </c>
      <c r="Z37" s="250"/>
      <c r="AA37" s="250"/>
      <c r="AB37" s="250"/>
      <c r="AC37" s="250"/>
      <c r="AD37" s="250"/>
      <c r="AE37" s="41">
        <f t="shared" si="9"/>
        <v>12</v>
      </c>
      <c r="AF37" s="89" t="s">
        <v>261</v>
      </c>
      <c r="AG37" s="189" t="s">
        <v>627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72" t="s">
        <v>50</v>
      </c>
      <c r="F38" s="41">
        <f t="shared" si="8"/>
        <v>0</v>
      </c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41">
        <f t="shared" si="9"/>
        <v>0</v>
      </c>
      <c r="AF38" s="111" t="s">
        <v>6</v>
      </c>
      <c r="AG38" s="189" t="s">
        <v>627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72" t="s">
        <v>135</v>
      </c>
      <c r="F39" s="41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1" t="s">
        <v>47</v>
      </c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41">
        <v>8</v>
      </c>
      <c r="AF39" s="89" t="s">
        <v>81</v>
      </c>
      <c r="AG39" s="189" t="s">
        <v>627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72" t="s">
        <v>140</v>
      </c>
      <c r="F40" s="41">
        <v>9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>
        <v>1</v>
      </c>
      <c r="U40" s="251" t="s">
        <v>47</v>
      </c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41">
        <v>9</v>
      </c>
      <c r="AF40" s="89" t="s">
        <v>175</v>
      </c>
      <c r="AG40" s="189" t="s">
        <v>627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7" t="s">
        <v>118</v>
      </c>
      <c r="F41" s="41">
        <f>SUM(G41:AD41)</f>
        <v>7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>
        <v>1</v>
      </c>
      <c r="U41" s="250">
        <v>1</v>
      </c>
      <c r="V41" s="250">
        <v>1</v>
      </c>
      <c r="W41" s="251" t="s">
        <v>47</v>
      </c>
      <c r="X41" s="250">
        <v>1</v>
      </c>
      <c r="Y41" s="250">
        <v>1</v>
      </c>
      <c r="Z41" s="250">
        <v>1</v>
      </c>
      <c r="AA41" s="250">
        <v>1</v>
      </c>
      <c r="AB41" s="250"/>
      <c r="AC41" s="250"/>
      <c r="AD41" s="250"/>
      <c r="AE41" s="41">
        <f>SUM(G41:AD41)</f>
        <v>7</v>
      </c>
      <c r="AF41" s="89" t="s">
        <v>293</v>
      </c>
      <c r="AG41" s="189" t="s">
        <v>627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72" t="s">
        <v>143</v>
      </c>
      <c r="F42" s="41">
        <v>9</v>
      </c>
      <c r="G42" s="250"/>
      <c r="H42" s="250"/>
      <c r="I42" s="250"/>
      <c r="J42" s="250"/>
      <c r="K42" s="250"/>
      <c r="L42" s="250"/>
      <c r="M42" s="250"/>
      <c r="N42" s="583" t="s">
        <v>209</v>
      </c>
      <c r="O42" s="555"/>
      <c r="P42" s="555"/>
      <c r="Q42" s="555"/>
      <c r="R42" s="555"/>
      <c r="S42" s="555"/>
      <c r="T42" s="555"/>
      <c r="U42" s="542"/>
      <c r="V42" s="251" t="s">
        <v>47</v>
      </c>
      <c r="W42" s="250">
        <v>1</v>
      </c>
      <c r="X42" s="250"/>
      <c r="Y42" s="250"/>
      <c r="Z42" s="250"/>
      <c r="AA42" s="250"/>
      <c r="AB42" s="250"/>
      <c r="AC42" s="250"/>
      <c r="AD42" s="250"/>
      <c r="AE42" s="41">
        <v>9</v>
      </c>
      <c r="AF42" s="89" t="s">
        <v>61</v>
      </c>
      <c r="AG42" s="189" t="s">
        <v>627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5" t="s">
        <v>455</v>
      </c>
      <c r="F43" s="41">
        <f t="shared" ref="F43:F56" si="10">SUM(G43:AD43)</f>
        <v>8</v>
      </c>
      <c r="G43" s="250"/>
      <c r="H43" s="250"/>
      <c r="I43" s="250"/>
      <c r="J43" s="250"/>
      <c r="K43" s="250"/>
      <c r="L43" s="250"/>
      <c r="M43" s="250"/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>
        <v>1</v>
      </c>
      <c r="V43" s="251" t="s">
        <v>47</v>
      </c>
      <c r="W43" s="250"/>
      <c r="X43" s="250"/>
      <c r="Y43" s="250"/>
      <c r="Z43" s="250"/>
      <c r="AA43" s="250"/>
      <c r="AB43" s="250"/>
      <c r="AC43" s="250"/>
      <c r="AD43" s="250"/>
      <c r="AE43" s="41">
        <f t="shared" ref="AE43:AE56" si="11">SUM(G43:AD43)</f>
        <v>8</v>
      </c>
      <c r="AF43" s="89" t="s">
        <v>228</v>
      </c>
      <c r="AG43" s="189" t="s">
        <v>627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5" t="s">
        <v>457</v>
      </c>
      <c r="F44" s="41">
        <f t="shared" si="10"/>
        <v>8</v>
      </c>
      <c r="G44" s="250"/>
      <c r="H44" s="250"/>
      <c r="I44" s="250"/>
      <c r="J44" s="250"/>
      <c r="K44" s="250"/>
      <c r="L44" s="250"/>
      <c r="M44" s="250"/>
      <c r="N44" s="250"/>
      <c r="O44" s="250">
        <v>1</v>
      </c>
      <c r="P44" s="250">
        <v>1</v>
      </c>
      <c r="Q44" s="250">
        <v>1</v>
      </c>
      <c r="R44" s="250">
        <v>1</v>
      </c>
      <c r="S44" s="250">
        <v>1</v>
      </c>
      <c r="T44" s="250">
        <v>1</v>
      </c>
      <c r="U44" s="250">
        <v>1</v>
      </c>
      <c r="V44" s="251" t="s">
        <v>47</v>
      </c>
      <c r="W44" s="250">
        <v>1</v>
      </c>
      <c r="X44" s="250"/>
      <c r="Y44" s="250"/>
      <c r="Z44" s="250"/>
      <c r="AA44" s="250"/>
      <c r="AB44" s="250"/>
      <c r="AC44" s="250"/>
      <c r="AD44" s="250"/>
      <c r="AE44" s="41">
        <f t="shared" si="11"/>
        <v>8</v>
      </c>
      <c r="AF44" s="116" t="s">
        <v>298</v>
      </c>
      <c r="AG44" s="189" t="s">
        <v>627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5" t="s">
        <v>460</v>
      </c>
      <c r="F45" s="41">
        <f t="shared" si="10"/>
        <v>9</v>
      </c>
      <c r="G45" s="250"/>
      <c r="H45" s="250"/>
      <c r="I45" s="250"/>
      <c r="J45" s="250"/>
      <c r="K45" s="250"/>
      <c r="L45" s="250"/>
      <c r="M45" s="250"/>
      <c r="N45" s="250">
        <v>1</v>
      </c>
      <c r="O45" s="250">
        <v>1</v>
      </c>
      <c r="P45" s="250">
        <v>1</v>
      </c>
      <c r="Q45" s="250">
        <v>1</v>
      </c>
      <c r="R45" s="250">
        <v>1</v>
      </c>
      <c r="S45" s="250">
        <v>1</v>
      </c>
      <c r="T45" s="251" t="s">
        <v>47</v>
      </c>
      <c r="U45" s="250">
        <v>1</v>
      </c>
      <c r="V45" s="250">
        <v>1</v>
      </c>
      <c r="W45" s="250">
        <v>1</v>
      </c>
      <c r="X45" s="250"/>
      <c r="Y45" s="250"/>
      <c r="Z45" s="250"/>
      <c r="AA45" s="250"/>
      <c r="AB45" s="250"/>
      <c r="AC45" s="250"/>
      <c r="AD45" s="250"/>
      <c r="AE45" s="41">
        <f t="shared" si="11"/>
        <v>9</v>
      </c>
      <c r="AF45" s="116" t="s">
        <v>61</v>
      </c>
      <c r="AG45" s="189" t="s">
        <v>627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15" t="s">
        <v>478</v>
      </c>
      <c r="F46" s="41">
        <f t="shared" si="10"/>
        <v>0</v>
      </c>
      <c r="G46" s="271">
        <v>0</v>
      </c>
      <c r="H46" s="271">
        <v>0</v>
      </c>
      <c r="I46" s="271">
        <v>0</v>
      </c>
      <c r="J46" s="271">
        <v>0</v>
      </c>
      <c r="K46" s="271">
        <v>0</v>
      </c>
      <c r="L46" s="271">
        <v>0</v>
      </c>
      <c r="M46" s="271">
        <v>0</v>
      </c>
      <c r="N46" s="271">
        <v>0</v>
      </c>
      <c r="O46" s="271">
        <v>0</v>
      </c>
      <c r="P46" s="271">
        <v>0</v>
      </c>
      <c r="Q46" s="271">
        <v>0</v>
      </c>
      <c r="R46" s="271">
        <v>0</v>
      </c>
      <c r="S46" s="271">
        <v>0</v>
      </c>
      <c r="T46" s="271">
        <v>0</v>
      </c>
      <c r="U46" s="271">
        <v>0</v>
      </c>
      <c r="V46" s="271">
        <v>0</v>
      </c>
      <c r="W46" s="271">
        <v>0</v>
      </c>
      <c r="X46" s="271">
        <v>0</v>
      </c>
      <c r="Y46" s="271">
        <v>0</v>
      </c>
      <c r="Z46" s="271">
        <v>0</v>
      </c>
      <c r="AA46" s="271">
        <v>0</v>
      </c>
      <c r="AB46" s="271">
        <v>0</v>
      </c>
      <c r="AC46" s="271">
        <v>0</v>
      </c>
      <c r="AD46" s="271">
        <v>0</v>
      </c>
      <c r="AE46" s="41">
        <f t="shared" si="11"/>
        <v>0</v>
      </c>
      <c r="AF46" s="116" t="s">
        <v>225</v>
      </c>
      <c r="AG46" s="189" t="s">
        <v>627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5" t="s">
        <v>461</v>
      </c>
      <c r="F47" s="41">
        <f t="shared" si="10"/>
        <v>8</v>
      </c>
      <c r="G47" s="250"/>
      <c r="H47" s="250"/>
      <c r="I47" s="250"/>
      <c r="J47" s="250"/>
      <c r="K47" s="250"/>
      <c r="L47" s="250"/>
      <c r="M47" s="250"/>
      <c r="N47" s="250"/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1" t="s">
        <v>47</v>
      </c>
      <c r="U47" s="250">
        <v>1</v>
      </c>
      <c r="V47" s="250">
        <v>1</v>
      </c>
      <c r="W47" s="250">
        <v>1</v>
      </c>
      <c r="X47" s="250"/>
      <c r="Y47" s="250"/>
      <c r="Z47" s="250"/>
      <c r="AA47" s="250"/>
      <c r="AB47" s="250"/>
      <c r="AC47" s="250"/>
      <c r="AD47" s="250"/>
      <c r="AE47" s="41">
        <f t="shared" si="11"/>
        <v>8</v>
      </c>
      <c r="AF47" s="116" t="s">
        <v>298</v>
      </c>
      <c r="AG47" s="189" t="s">
        <v>627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5" t="s">
        <v>463</v>
      </c>
      <c r="F48" s="41">
        <f t="shared" si="10"/>
        <v>9</v>
      </c>
      <c r="G48" s="250"/>
      <c r="H48" s="250"/>
      <c r="I48" s="250"/>
      <c r="J48" s="250"/>
      <c r="K48" s="250"/>
      <c r="L48" s="250"/>
      <c r="M48" s="250"/>
      <c r="N48" s="250"/>
      <c r="O48" s="250"/>
      <c r="P48" s="250">
        <v>1</v>
      </c>
      <c r="Q48" s="250">
        <v>1</v>
      </c>
      <c r="R48" s="250">
        <v>1</v>
      </c>
      <c r="S48" s="250">
        <v>1</v>
      </c>
      <c r="T48" s="251" t="s">
        <v>47</v>
      </c>
      <c r="U48" s="250">
        <v>1</v>
      </c>
      <c r="V48" s="250">
        <v>1</v>
      </c>
      <c r="W48" s="250">
        <v>1</v>
      </c>
      <c r="X48" s="250">
        <v>1</v>
      </c>
      <c r="Y48" s="250">
        <v>1</v>
      </c>
      <c r="Z48" s="250"/>
      <c r="AA48" s="250"/>
      <c r="AB48" s="250"/>
      <c r="AC48" s="250"/>
      <c r="AD48" s="250"/>
      <c r="AE48" s="41">
        <f t="shared" si="11"/>
        <v>9</v>
      </c>
      <c r="AF48" s="116" t="s">
        <v>302</v>
      </c>
      <c r="AG48" s="189" t="s">
        <v>627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5" t="s">
        <v>465</v>
      </c>
      <c r="F49" s="41">
        <f t="shared" si="10"/>
        <v>8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>
        <v>1</v>
      </c>
      <c r="Q49" s="250">
        <v>1</v>
      </c>
      <c r="R49" s="250">
        <v>1</v>
      </c>
      <c r="S49" s="250">
        <v>1</v>
      </c>
      <c r="T49" s="250">
        <v>1</v>
      </c>
      <c r="U49" s="251" t="s">
        <v>47</v>
      </c>
      <c r="V49" s="250">
        <v>1</v>
      </c>
      <c r="W49" s="250">
        <v>1</v>
      </c>
      <c r="X49" s="250">
        <v>1</v>
      </c>
      <c r="Y49" s="250"/>
      <c r="Z49" s="250"/>
      <c r="AA49" s="250"/>
      <c r="AB49" s="250"/>
      <c r="AC49" s="250"/>
      <c r="AD49" s="250"/>
      <c r="AE49" s="41">
        <f t="shared" si="11"/>
        <v>8</v>
      </c>
      <c r="AF49" s="116" t="s">
        <v>193</v>
      </c>
      <c r="AG49" s="189" t="s">
        <v>627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5" t="s">
        <v>466</v>
      </c>
      <c r="F50" s="41">
        <f t="shared" si="10"/>
        <v>8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>
        <v>1</v>
      </c>
      <c r="Q50" s="250">
        <v>1</v>
      </c>
      <c r="R50" s="250">
        <v>1</v>
      </c>
      <c r="S50" s="250">
        <v>1</v>
      </c>
      <c r="T50" s="250">
        <v>1</v>
      </c>
      <c r="U50" s="251" t="s">
        <v>47</v>
      </c>
      <c r="V50" s="250">
        <v>1</v>
      </c>
      <c r="W50" s="250">
        <v>1</v>
      </c>
      <c r="X50" s="250">
        <v>1</v>
      </c>
      <c r="Y50" s="250"/>
      <c r="Z50" s="250"/>
      <c r="AA50" s="250"/>
      <c r="AB50" s="250"/>
      <c r="AC50" s="250"/>
      <c r="AD50" s="250"/>
      <c r="AE50" s="41">
        <f t="shared" si="11"/>
        <v>8</v>
      </c>
      <c r="AF50" s="116" t="s">
        <v>193</v>
      </c>
      <c r="AG50" s="189" t="s">
        <v>627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5" t="s">
        <v>467</v>
      </c>
      <c r="F51" s="41">
        <f t="shared" si="10"/>
        <v>8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>
        <v>1</v>
      </c>
      <c r="Q51" s="250">
        <v>1</v>
      </c>
      <c r="R51" s="250">
        <v>1</v>
      </c>
      <c r="S51" s="250">
        <v>1</v>
      </c>
      <c r="T51" s="250">
        <v>1</v>
      </c>
      <c r="U51" s="251" t="s">
        <v>47</v>
      </c>
      <c r="V51" s="250">
        <v>1</v>
      </c>
      <c r="W51" s="250">
        <v>1</v>
      </c>
      <c r="X51" s="250">
        <v>1</v>
      </c>
      <c r="Y51" s="250"/>
      <c r="Z51" s="250"/>
      <c r="AA51" s="250"/>
      <c r="AB51" s="250"/>
      <c r="AC51" s="250"/>
      <c r="AD51" s="250"/>
      <c r="AE51" s="41">
        <f t="shared" si="11"/>
        <v>8</v>
      </c>
      <c r="AF51" s="116" t="s">
        <v>193</v>
      </c>
      <c r="AG51" s="189" t="s">
        <v>627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5" t="s">
        <v>491</v>
      </c>
      <c r="F52" s="41">
        <f t="shared" si="10"/>
        <v>8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>
        <v>1</v>
      </c>
      <c r="Q52" s="250">
        <v>1</v>
      </c>
      <c r="R52" s="250">
        <v>1</v>
      </c>
      <c r="S52" s="250">
        <v>1</v>
      </c>
      <c r="T52" s="250">
        <v>1</v>
      </c>
      <c r="U52" s="251" t="s">
        <v>47</v>
      </c>
      <c r="V52" s="250">
        <v>1</v>
      </c>
      <c r="W52" s="250">
        <v>1</v>
      </c>
      <c r="X52" s="250">
        <v>1</v>
      </c>
      <c r="Y52" s="250"/>
      <c r="Z52" s="250"/>
      <c r="AA52" s="250"/>
      <c r="AB52" s="250"/>
      <c r="AC52" s="250"/>
      <c r="AD52" s="250"/>
      <c r="AE52" s="41">
        <f t="shared" si="11"/>
        <v>8</v>
      </c>
      <c r="AF52" s="116" t="s">
        <v>193</v>
      </c>
      <c r="AG52" s="189" t="s">
        <v>627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5" t="s">
        <v>493</v>
      </c>
      <c r="F53" s="41">
        <f t="shared" si="10"/>
        <v>0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50"/>
      <c r="AC53" s="250"/>
      <c r="AD53" s="250"/>
      <c r="AE53" s="41">
        <f t="shared" si="11"/>
        <v>0</v>
      </c>
      <c r="AF53" s="116" t="s">
        <v>639</v>
      </c>
      <c r="AG53" s="189" t="s">
        <v>627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5" t="s">
        <v>469</v>
      </c>
      <c r="F54" s="41">
        <f t="shared" si="10"/>
        <v>10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>
        <v>1</v>
      </c>
      <c r="R54" s="250">
        <v>1</v>
      </c>
      <c r="S54" s="250">
        <v>1</v>
      </c>
      <c r="T54" s="250">
        <v>1</v>
      </c>
      <c r="U54" s="250">
        <v>1</v>
      </c>
      <c r="V54" s="251" t="s">
        <v>47</v>
      </c>
      <c r="W54" s="250">
        <v>1</v>
      </c>
      <c r="X54" s="250">
        <v>1</v>
      </c>
      <c r="Y54" s="250">
        <v>1</v>
      </c>
      <c r="Z54" s="250">
        <v>1</v>
      </c>
      <c r="AA54" s="250">
        <v>1</v>
      </c>
      <c r="AB54" s="250"/>
      <c r="AC54" s="250"/>
      <c r="AD54" s="250"/>
      <c r="AE54" s="41">
        <f t="shared" si="11"/>
        <v>10</v>
      </c>
      <c r="AF54" s="116" t="s">
        <v>639</v>
      </c>
      <c r="AG54" s="189" t="s">
        <v>627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5" t="s">
        <v>495</v>
      </c>
      <c r="F55" s="41">
        <f t="shared" si="10"/>
        <v>10</v>
      </c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>
        <v>1</v>
      </c>
      <c r="R55" s="250">
        <v>1</v>
      </c>
      <c r="S55" s="250">
        <v>1</v>
      </c>
      <c r="T55" s="250">
        <v>1</v>
      </c>
      <c r="U55" s="250">
        <v>1</v>
      </c>
      <c r="V55" s="251" t="s">
        <v>47</v>
      </c>
      <c r="W55" s="250">
        <v>1</v>
      </c>
      <c r="X55" s="250">
        <v>1</v>
      </c>
      <c r="Y55" s="250">
        <v>1</v>
      </c>
      <c r="Z55" s="250">
        <v>1</v>
      </c>
      <c r="AA55" s="250">
        <v>1</v>
      </c>
      <c r="AB55" s="250"/>
      <c r="AC55" s="250"/>
      <c r="AD55" s="250"/>
      <c r="AE55" s="41">
        <f t="shared" si="11"/>
        <v>10</v>
      </c>
      <c r="AF55" s="116" t="s">
        <v>639</v>
      </c>
      <c r="AG55" s="189" t="s">
        <v>627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5" t="s">
        <v>497</v>
      </c>
      <c r="F56" s="41">
        <f t="shared" si="10"/>
        <v>0</v>
      </c>
      <c r="G56" s="271">
        <v>0</v>
      </c>
      <c r="H56" s="271">
        <v>0</v>
      </c>
      <c r="I56" s="271">
        <v>0</v>
      </c>
      <c r="J56" s="271">
        <v>0</v>
      </c>
      <c r="K56" s="271">
        <v>0</v>
      </c>
      <c r="L56" s="271">
        <v>0</v>
      </c>
      <c r="M56" s="271">
        <v>0</v>
      </c>
      <c r="N56" s="271">
        <v>0</v>
      </c>
      <c r="O56" s="271">
        <v>0</v>
      </c>
      <c r="P56" s="271">
        <v>0</v>
      </c>
      <c r="Q56" s="271">
        <v>0</v>
      </c>
      <c r="R56" s="271">
        <v>0</v>
      </c>
      <c r="S56" s="271">
        <v>0</v>
      </c>
      <c r="T56" s="271">
        <v>0</v>
      </c>
      <c r="U56" s="271">
        <v>0</v>
      </c>
      <c r="V56" s="271">
        <v>0</v>
      </c>
      <c r="W56" s="271">
        <v>0</v>
      </c>
      <c r="X56" s="271">
        <v>0</v>
      </c>
      <c r="Y56" s="271">
        <v>0</v>
      </c>
      <c r="Z56" s="271">
        <v>0</v>
      </c>
      <c r="AA56" s="271">
        <v>0</v>
      </c>
      <c r="AB56" s="271">
        <v>0</v>
      </c>
      <c r="AC56" s="271">
        <v>0</v>
      </c>
      <c r="AD56" s="271">
        <v>0</v>
      </c>
      <c r="AE56" s="41">
        <f t="shared" si="11"/>
        <v>0</v>
      </c>
      <c r="AF56" s="116" t="s">
        <v>225</v>
      </c>
      <c r="AG56" s="189" t="s">
        <v>627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8</v>
      </c>
      <c r="G57" s="258"/>
      <c r="H57" s="258"/>
      <c r="I57" s="258"/>
      <c r="J57" s="258"/>
      <c r="K57" s="258"/>
      <c r="L57" s="258"/>
      <c r="M57" s="258"/>
      <c r="N57" s="577" t="s">
        <v>292</v>
      </c>
      <c r="O57" s="555"/>
      <c r="P57" s="555"/>
      <c r="Q57" s="555"/>
      <c r="R57" s="555"/>
      <c r="S57" s="555"/>
      <c r="T57" s="555"/>
      <c r="U57" s="555"/>
      <c r="V57" s="251" t="s">
        <v>544</v>
      </c>
      <c r="W57" s="42"/>
      <c r="X57" s="42"/>
      <c r="Y57" s="42"/>
      <c r="Z57" s="42"/>
      <c r="AA57" s="42"/>
      <c r="AB57" s="42"/>
      <c r="AC57" s="42"/>
      <c r="AD57" s="42"/>
      <c r="AE57" s="41">
        <v>8</v>
      </c>
      <c r="AF57" s="116" t="s">
        <v>228</v>
      </c>
      <c r="AG57" s="189" t="s">
        <v>627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v>8</v>
      </c>
      <c r="G58" s="258"/>
      <c r="H58" s="258"/>
      <c r="I58" s="258"/>
      <c r="J58" s="258"/>
      <c r="K58" s="258"/>
      <c r="L58" s="258"/>
      <c r="M58" s="258"/>
      <c r="N58" s="273"/>
      <c r="O58" s="273"/>
      <c r="P58" s="273"/>
      <c r="Q58" s="273"/>
      <c r="R58" s="273"/>
      <c r="S58" s="273"/>
      <c r="T58" s="273"/>
      <c r="U58" s="251" t="s">
        <v>544</v>
      </c>
      <c r="V58" s="577" t="s">
        <v>292</v>
      </c>
      <c r="W58" s="555"/>
      <c r="X58" s="555"/>
      <c r="Y58" s="555"/>
      <c r="Z58" s="555"/>
      <c r="AA58" s="555"/>
      <c r="AB58" s="555"/>
      <c r="AC58" s="555"/>
      <c r="AD58" s="258"/>
      <c r="AE58" s="41">
        <v>8</v>
      </c>
      <c r="AF58" s="116" t="s">
        <v>81</v>
      </c>
      <c r="AG58" s="189" t="s">
        <v>627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42"/>
      <c r="AA59" s="42"/>
      <c r="AB59" s="42"/>
      <c r="AC59" s="42"/>
      <c r="AD59" s="42"/>
      <c r="AE59" s="41">
        <f>SUM(G59:AD59)</f>
        <v>0</v>
      </c>
      <c r="AF59" s="89" t="s">
        <v>66</v>
      </c>
      <c r="AG59" s="189" t="s">
        <v>627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144">
        <v>6</v>
      </c>
      <c r="P62" s="143">
        <v>8</v>
      </c>
      <c r="Q62" s="57">
        <v>9</v>
      </c>
      <c r="R62" s="57">
        <v>9</v>
      </c>
      <c r="S62" s="57">
        <v>9</v>
      </c>
      <c r="T62" s="143">
        <v>8</v>
      </c>
      <c r="U62" s="143">
        <v>8</v>
      </c>
      <c r="V62" s="143">
        <v>8</v>
      </c>
      <c r="W62" s="143">
        <v>8</v>
      </c>
      <c r="X62" s="143">
        <v>8</v>
      </c>
      <c r="Y62" s="143">
        <v>8</v>
      </c>
      <c r="Z62" s="143">
        <v>8</v>
      </c>
      <c r="AA62" s="144">
        <v>6</v>
      </c>
      <c r="AB62" s="56">
        <v>5</v>
      </c>
      <c r="AC62" s="234">
        <v>3</v>
      </c>
      <c r="AD62" s="12">
        <v>2</v>
      </c>
      <c r="AE62" s="18">
        <f>SUM(G62:AD62)</f>
        <v>133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12">G65-G62</f>
        <v>0</v>
      </c>
      <c r="H63" s="28">
        <f t="shared" si="12"/>
        <v>0</v>
      </c>
      <c r="I63" s="28">
        <f t="shared" si="12"/>
        <v>0</v>
      </c>
      <c r="J63" s="28">
        <f t="shared" si="12"/>
        <v>0</v>
      </c>
      <c r="K63" s="28">
        <f t="shared" si="12"/>
        <v>0</v>
      </c>
      <c r="L63" s="28">
        <f t="shared" si="12"/>
        <v>0</v>
      </c>
      <c r="M63" s="28">
        <f t="shared" si="12"/>
        <v>0</v>
      </c>
      <c r="N63" s="28">
        <f t="shared" si="12"/>
        <v>1</v>
      </c>
      <c r="O63" s="28">
        <f t="shared" si="12"/>
        <v>-1</v>
      </c>
      <c r="P63" s="28">
        <f t="shared" si="12"/>
        <v>-1</v>
      </c>
      <c r="Q63" s="28">
        <f t="shared" si="12"/>
        <v>-2</v>
      </c>
      <c r="R63" s="28">
        <f t="shared" si="12"/>
        <v>-2</v>
      </c>
      <c r="S63" s="28">
        <f t="shared" si="12"/>
        <v>-1</v>
      </c>
      <c r="T63" s="28">
        <f t="shared" si="12"/>
        <v>-1</v>
      </c>
      <c r="U63" s="28">
        <f t="shared" si="12"/>
        <v>-1</v>
      </c>
      <c r="V63" s="28">
        <f t="shared" si="12"/>
        <v>-1</v>
      </c>
      <c r="W63" s="28">
        <f t="shared" si="12"/>
        <v>0</v>
      </c>
      <c r="X63" s="28">
        <f t="shared" si="12"/>
        <v>0</v>
      </c>
      <c r="Y63" s="28">
        <f t="shared" si="12"/>
        <v>0</v>
      </c>
      <c r="Z63" s="28">
        <f t="shared" si="12"/>
        <v>0</v>
      </c>
      <c r="AA63" s="28">
        <f t="shared" si="12"/>
        <v>1</v>
      </c>
      <c r="AB63" s="28">
        <f t="shared" si="12"/>
        <v>0</v>
      </c>
      <c r="AC63" s="28">
        <f t="shared" si="12"/>
        <v>0</v>
      </c>
      <c r="AD63" s="28">
        <f t="shared" si="12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3">SUM(G66:G82)</f>
        <v>2</v>
      </c>
      <c r="H65" s="35">
        <f t="shared" si="13"/>
        <v>2</v>
      </c>
      <c r="I65" s="35">
        <f t="shared" si="13"/>
        <v>2</v>
      </c>
      <c r="J65" s="35">
        <f t="shared" si="13"/>
        <v>2</v>
      </c>
      <c r="K65" s="35">
        <f t="shared" si="13"/>
        <v>2</v>
      </c>
      <c r="L65" s="35">
        <f t="shared" si="13"/>
        <v>2</v>
      </c>
      <c r="M65" s="35">
        <f t="shared" si="13"/>
        <v>4</v>
      </c>
      <c r="N65" s="35">
        <f t="shared" si="13"/>
        <v>5</v>
      </c>
      <c r="O65" s="35">
        <f t="shared" si="13"/>
        <v>5</v>
      </c>
      <c r="P65" s="35">
        <f t="shared" si="13"/>
        <v>7</v>
      </c>
      <c r="Q65" s="35">
        <f t="shared" si="13"/>
        <v>7</v>
      </c>
      <c r="R65" s="35">
        <f t="shared" si="13"/>
        <v>7</v>
      </c>
      <c r="S65" s="35">
        <f t="shared" si="13"/>
        <v>8</v>
      </c>
      <c r="T65" s="35">
        <f t="shared" si="13"/>
        <v>7</v>
      </c>
      <c r="U65" s="35">
        <f t="shared" si="13"/>
        <v>7</v>
      </c>
      <c r="V65" s="35">
        <f t="shared" si="13"/>
        <v>7</v>
      </c>
      <c r="W65" s="35">
        <f t="shared" si="13"/>
        <v>8</v>
      </c>
      <c r="X65" s="35">
        <f t="shared" si="13"/>
        <v>8</v>
      </c>
      <c r="Y65" s="35">
        <f t="shared" si="13"/>
        <v>8</v>
      </c>
      <c r="Z65" s="35">
        <f t="shared" si="13"/>
        <v>8</v>
      </c>
      <c r="AA65" s="35">
        <f t="shared" si="13"/>
        <v>7</v>
      </c>
      <c r="AB65" s="35">
        <f t="shared" si="13"/>
        <v>5</v>
      </c>
      <c r="AC65" s="35">
        <f t="shared" si="13"/>
        <v>3</v>
      </c>
      <c r="AD65" s="35">
        <f t="shared" si="13"/>
        <v>2</v>
      </c>
      <c r="AE65" s="30">
        <f t="shared" ref="AE65:AE82" si="14">SUM(G65:AD65)</f>
        <v>125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5">SUM(G66:AD66)</f>
        <v>11</v>
      </c>
      <c r="G66" s="42"/>
      <c r="H66" s="42"/>
      <c r="I66" s="42"/>
      <c r="J66" s="42"/>
      <c r="K66" s="42"/>
      <c r="L66" s="42"/>
      <c r="M66" s="42"/>
      <c r="N66" s="42"/>
      <c r="O66" s="42"/>
      <c r="P66" s="42">
        <v>1</v>
      </c>
      <c r="Q66" s="42">
        <v>1</v>
      </c>
      <c r="R66" s="42">
        <v>1</v>
      </c>
      <c r="S66" s="42">
        <v>1</v>
      </c>
      <c r="T66" s="42">
        <v>1</v>
      </c>
      <c r="U66" s="42">
        <v>1</v>
      </c>
      <c r="V66" s="42"/>
      <c r="W66" s="42">
        <v>1</v>
      </c>
      <c r="X66" s="42">
        <v>1</v>
      </c>
      <c r="Y66" s="42">
        <v>1</v>
      </c>
      <c r="Z66" s="42">
        <v>1</v>
      </c>
      <c r="AA66" s="42">
        <v>1</v>
      </c>
      <c r="AB66" s="42"/>
      <c r="AC66" s="42"/>
      <c r="AD66" s="42"/>
      <c r="AE66" s="41">
        <f t="shared" si="14"/>
        <v>11</v>
      </c>
      <c r="AF66" s="89" t="s">
        <v>248</v>
      </c>
      <c r="AG66" s="189" t="s">
        <v>627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5"/>
        <v>4</v>
      </c>
      <c r="G67" s="42"/>
      <c r="H67" s="42"/>
      <c r="I67" s="42"/>
      <c r="J67" s="42"/>
      <c r="K67" s="42"/>
      <c r="L67" s="42"/>
      <c r="M67" s="42">
        <v>1</v>
      </c>
      <c r="N67" s="42">
        <v>1</v>
      </c>
      <c r="O67" s="42">
        <v>1</v>
      </c>
      <c r="P67" s="42">
        <v>1</v>
      </c>
      <c r="Q67" s="78"/>
      <c r="R67" s="78"/>
      <c r="S67" s="78"/>
      <c r="T67" s="78"/>
      <c r="U67" s="78"/>
      <c r="V67" s="78"/>
      <c r="W67" s="42"/>
      <c r="X67" s="42"/>
      <c r="Y67" s="42"/>
      <c r="Z67" s="42"/>
      <c r="AA67" s="42"/>
      <c r="AB67" s="42"/>
      <c r="AC67" s="42"/>
      <c r="AD67" s="42"/>
      <c r="AE67" s="41">
        <f t="shared" si="14"/>
        <v>4</v>
      </c>
      <c r="AF67" s="89" t="s">
        <v>151</v>
      </c>
      <c r="AG67" s="189" t="s">
        <v>627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5"/>
        <v>8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>
        <v>1</v>
      </c>
      <c r="W68" s="42">
        <v>1</v>
      </c>
      <c r="X68" s="42">
        <v>1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/>
      <c r="AE68" s="41">
        <f t="shared" si="14"/>
        <v>8</v>
      </c>
      <c r="AF68" s="89" t="s">
        <v>218</v>
      </c>
      <c r="AG68" s="189" t="s">
        <v>627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5"/>
        <v>10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>
        <v>1</v>
      </c>
      <c r="R69" s="42">
        <v>1</v>
      </c>
      <c r="S69" s="42">
        <v>1</v>
      </c>
      <c r="T69" s="42">
        <v>1</v>
      </c>
      <c r="U69" s="42">
        <v>1</v>
      </c>
      <c r="V69" s="42">
        <v>1</v>
      </c>
      <c r="W69" s="42">
        <v>1</v>
      </c>
      <c r="X69" s="42">
        <v>1</v>
      </c>
      <c r="Y69" s="42">
        <v>1</v>
      </c>
      <c r="Z69" s="42">
        <v>1</v>
      </c>
      <c r="AA69" s="42"/>
      <c r="AB69" s="42"/>
      <c r="AC69" s="42"/>
      <c r="AD69" s="42"/>
      <c r="AE69" s="41">
        <f t="shared" si="14"/>
        <v>10</v>
      </c>
      <c r="AF69" s="89" t="s">
        <v>262</v>
      </c>
      <c r="AG69" s="189" t="s">
        <v>627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5"/>
        <v>6</v>
      </c>
      <c r="G70" s="42"/>
      <c r="H70" s="42"/>
      <c r="I70" s="42"/>
      <c r="J70" s="42"/>
      <c r="K70" s="42"/>
      <c r="L70" s="42"/>
      <c r="M70" s="42"/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1">
        <f t="shared" si="14"/>
        <v>6</v>
      </c>
      <c r="AF70" s="89" t="s">
        <v>315</v>
      </c>
      <c r="AG70" s="189" t="s">
        <v>627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5"/>
        <v>6</v>
      </c>
      <c r="G71" s="42">
        <v>1</v>
      </c>
      <c r="H71" s="42">
        <v>1</v>
      </c>
      <c r="I71" s="42">
        <v>1</v>
      </c>
      <c r="J71" s="42">
        <v>1</v>
      </c>
      <c r="K71" s="42">
        <v>1</v>
      </c>
      <c r="L71" s="42">
        <v>1</v>
      </c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1">
        <f t="shared" si="14"/>
        <v>6</v>
      </c>
      <c r="AF71" s="111" t="s">
        <v>159</v>
      </c>
      <c r="AG71" s="189" t="s">
        <v>627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5"/>
        <v>6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>
        <v>1</v>
      </c>
      <c r="Z72" s="42">
        <v>1</v>
      </c>
      <c r="AA72" s="42">
        <v>1</v>
      </c>
      <c r="AB72" s="42">
        <v>1</v>
      </c>
      <c r="AC72" s="42">
        <v>1</v>
      </c>
      <c r="AD72" s="42">
        <v>1</v>
      </c>
      <c r="AE72" s="41">
        <f t="shared" si="14"/>
        <v>6</v>
      </c>
      <c r="AF72" s="116" t="s">
        <v>281</v>
      </c>
      <c r="AG72" s="189" t="s">
        <v>627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5"/>
        <v>9</v>
      </c>
      <c r="G73" s="42"/>
      <c r="H73" s="42"/>
      <c r="I73" s="42"/>
      <c r="J73" s="42"/>
      <c r="K73" s="42"/>
      <c r="L73" s="42"/>
      <c r="M73" s="42">
        <v>1</v>
      </c>
      <c r="N73" s="42">
        <v>1</v>
      </c>
      <c r="O73" s="42">
        <v>1</v>
      </c>
      <c r="P73" s="42">
        <v>1</v>
      </c>
      <c r="Q73" s="42">
        <v>1</v>
      </c>
      <c r="R73" s="42">
        <v>1</v>
      </c>
      <c r="S73" s="42">
        <v>1</v>
      </c>
      <c r="T73" s="42">
        <v>1</v>
      </c>
      <c r="U73" s="42">
        <v>1</v>
      </c>
      <c r="V73" s="42"/>
      <c r="W73" s="42"/>
      <c r="X73" s="42"/>
      <c r="Y73" s="42"/>
      <c r="Z73" s="42"/>
      <c r="AA73" s="42"/>
      <c r="AB73" s="42"/>
      <c r="AC73" s="42"/>
      <c r="AD73" s="42"/>
      <c r="AE73" s="41">
        <f t="shared" si="14"/>
        <v>9</v>
      </c>
      <c r="AF73" s="89" t="s">
        <v>244</v>
      </c>
      <c r="AG73" s="189" t="s">
        <v>627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5"/>
        <v>8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>
        <v>1</v>
      </c>
      <c r="V74" s="42">
        <v>1</v>
      </c>
      <c r="W74" s="42">
        <v>1</v>
      </c>
      <c r="X74" s="42">
        <v>1</v>
      </c>
      <c r="Y74" s="42">
        <v>1</v>
      </c>
      <c r="Z74" s="42">
        <v>1</v>
      </c>
      <c r="AA74" s="42">
        <v>1</v>
      </c>
      <c r="AB74" s="42">
        <v>1</v>
      </c>
      <c r="AC74" s="42"/>
      <c r="AD74" s="42"/>
      <c r="AE74" s="41">
        <f t="shared" si="14"/>
        <v>8</v>
      </c>
      <c r="AF74" s="116" t="s">
        <v>78</v>
      </c>
      <c r="AG74" s="189" t="s">
        <v>627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5"/>
        <v>11</v>
      </c>
      <c r="G75" s="42"/>
      <c r="H75" s="42"/>
      <c r="I75" s="42"/>
      <c r="J75" s="42"/>
      <c r="K75" s="42"/>
      <c r="L75" s="42"/>
      <c r="M75" s="42"/>
      <c r="N75" s="42"/>
      <c r="O75" s="42"/>
      <c r="P75" s="42">
        <v>1</v>
      </c>
      <c r="Q75" s="42">
        <v>1</v>
      </c>
      <c r="R75" s="42">
        <v>1</v>
      </c>
      <c r="S75" s="63">
        <v>1</v>
      </c>
      <c r="T75" s="42">
        <v>1</v>
      </c>
      <c r="U75" s="42">
        <v>1</v>
      </c>
      <c r="V75" s="42">
        <v>1</v>
      </c>
      <c r="W75" s="42">
        <v>1</v>
      </c>
      <c r="X75" s="42">
        <v>1</v>
      </c>
      <c r="Y75" s="42">
        <v>1</v>
      </c>
      <c r="Z75" s="42">
        <v>1</v>
      </c>
      <c r="AA75" s="42"/>
      <c r="AB75" s="42"/>
      <c r="AC75" s="42"/>
      <c r="AD75" s="42"/>
      <c r="AE75" s="41">
        <f t="shared" si="14"/>
        <v>11</v>
      </c>
      <c r="AF75" s="89" t="s">
        <v>164</v>
      </c>
      <c r="AG75" s="189" t="s">
        <v>627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5"/>
        <v>10</v>
      </c>
      <c r="G76" s="42">
        <v>1</v>
      </c>
      <c r="H76" s="42">
        <v>1</v>
      </c>
      <c r="I76" s="42">
        <v>1</v>
      </c>
      <c r="J76" s="42">
        <v>1</v>
      </c>
      <c r="K76" s="42">
        <v>1</v>
      </c>
      <c r="L76" s="42">
        <v>1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>
        <v>1</v>
      </c>
      <c r="AB76" s="42">
        <v>1</v>
      </c>
      <c r="AC76" s="42">
        <v>1</v>
      </c>
      <c r="AD76" s="42">
        <v>1</v>
      </c>
      <c r="AE76" s="41">
        <f t="shared" si="14"/>
        <v>10</v>
      </c>
      <c r="AF76" s="111" t="s">
        <v>556</v>
      </c>
      <c r="AG76" s="189" t="s">
        <v>627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5"/>
        <v>9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>
        <v>1</v>
      </c>
      <c r="T77" s="42">
        <v>1</v>
      </c>
      <c r="U77" s="42"/>
      <c r="V77" s="42">
        <v>1</v>
      </c>
      <c r="W77" s="42">
        <v>1</v>
      </c>
      <c r="X77" s="42">
        <v>1</v>
      </c>
      <c r="Y77" s="42">
        <v>1</v>
      </c>
      <c r="Z77" s="42">
        <v>1</v>
      </c>
      <c r="AA77" s="42">
        <v>1</v>
      </c>
      <c r="AB77" s="42">
        <v>1</v>
      </c>
      <c r="AC77" s="42"/>
      <c r="AD77" s="42"/>
      <c r="AE77" s="41">
        <f t="shared" si="14"/>
        <v>9</v>
      </c>
      <c r="AF77" s="116" t="s">
        <v>640</v>
      </c>
      <c r="AG77" s="189" t="s">
        <v>627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5"/>
        <v>3</v>
      </c>
      <c r="G78" s="42"/>
      <c r="H78" s="42"/>
      <c r="I78" s="42"/>
      <c r="J78" s="42"/>
      <c r="K78" s="42"/>
      <c r="L78" s="42"/>
      <c r="M78" s="42">
        <v>1</v>
      </c>
      <c r="N78" s="42">
        <v>1</v>
      </c>
      <c r="O78" s="42">
        <v>1</v>
      </c>
      <c r="P78" s="78"/>
      <c r="Q78" s="78"/>
      <c r="R78" s="78"/>
      <c r="S78" s="78"/>
      <c r="T78" s="78"/>
      <c r="U78" s="78"/>
      <c r="V78" s="42"/>
      <c r="W78" s="42"/>
      <c r="X78" s="42"/>
      <c r="Y78" s="42"/>
      <c r="Z78" s="42"/>
      <c r="AA78" s="42"/>
      <c r="AB78" s="42"/>
      <c r="AC78" s="42"/>
      <c r="AD78" s="42"/>
      <c r="AE78" s="41">
        <f t="shared" si="14"/>
        <v>3</v>
      </c>
      <c r="AF78" s="89" t="s">
        <v>244</v>
      </c>
      <c r="AG78" s="189" t="s">
        <v>627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5"/>
        <v>12</v>
      </c>
      <c r="G79" s="102"/>
      <c r="H79" s="102"/>
      <c r="I79" s="102"/>
      <c r="J79" s="102"/>
      <c r="K79" s="102"/>
      <c r="L79" s="102"/>
      <c r="M79" s="102"/>
      <c r="N79" s="102"/>
      <c r="O79" s="102"/>
      <c r="P79" s="102">
        <v>1</v>
      </c>
      <c r="Q79" s="102">
        <v>1</v>
      </c>
      <c r="R79" s="102">
        <v>1</v>
      </c>
      <c r="S79" s="102">
        <v>1</v>
      </c>
      <c r="T79" s="63">
        <v>1</v>
      </c>
      <c r="U79" s="102">
        <v>1</v>
      </c>
      <c r="V79" s="102">
        <v>1</v>
      </c>
      <c r="W79" s="42">
        <v>1</v>
      </c>
      <c r="X79" s="102">
        <v>1</v>
      </c>
      <c r="Y79" s="102">
        <v>1</v>
      </c>
      <c r="Z79" s="102">
        <v>1</v>
      </c>
      <c r="AA79" s="129">
        <v>1</v>
      </c>
      <c r="AB79" s="102"/>
      <c r="AC79" s="102"/>
      <c r="AD79" s="42"/>
      <c r="AE79" s="41">
        <f t="shared" si="14"/>
        <v>12</v>
      </c>
      <c r="AF79" s="116" t="s">
        <v>69</v>
      </c>
      <c r="AG79" s="189" t="s">
        <v>627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5"/>
        <v>1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>
        <v>1</v>
      </c>
      <c r="V80" s="583" t="s">
        <v>209</v>
      </c>
      <c r="W80" s="555"/>
      <c r="X80" s="555"/>
      <c r="Y80" s="555"/>
      <c r="Z80" s="555"/>
      <c r="AA80" s="555"/>
      <c r="AB80" s="555"/>
      <c r="AC80" s="542"/>
      <c r="AD80" s="77"/>
      <c r="AE80" s="41">
        <f t="shared" si="14"/>
        <v>1</v>
      </c>
      <c r="AF80" s="116" t="s">
        <v>81</v>
      </c>
      <c r="AG80" s="189" t="s">
        <v>627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5"/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41">
        <f t="shared" si="14"/>
        <v>0</v>
      </c>
      <c r="AF81" s="116" t="s">
        <v>225</v>
      </c>
      <c r="AG81" s="189" t="s">
        <v>627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15"/>
        <v>11</v>
      </c>
      <c r="G82" s="42"/>
      <c r="H82" s="42"/>
      <c r="I82" s="42"/>
      <c r="J82" s="42"/>
      <c r="K82" s="42"/>
      <c r="L82" s="42"/>
      <c r="M82" s="63">
        <v>1</v>
      </c>
      <c r="N82" s="63">
        <v>1</v>
      </c>
      <c r="O82" s="63">
        <v>1</v>
      </c>
      <c r="P82" s="63">
        <v>1</v>
      </c>
      <c r="Q82" s="63">
        <v>1</v>
      </c>
      <c r="R82" s="63">
        <v>1</v>
      </c>
      <c r="S82" s="63">
        <v>1</v>
      </c>
      <c r="T82" s="63">
        <v>1</v>
      </c>
      <c r="U82" s="42"/>
      <c r="V82" s="63">
        <v>1</v>
      </c>
      <c r="W82" s="63">
        <v>1</v>
      </c>
      <c r="X82" s="63">
        <v>1</v>
      </c>
      <c r="Y82" s="42"/>
      <c r="Z82" s="42"/>
      <c r="AA82" s="42"/>
      <c r="AB82" s="42"/>
      <c r="AC82" s="42"/>
      <c r="AD82" s="42"/>
      <c r="AE82" s="41">
        <f t="shared" si="14"/>
        <v>11</v>
      </c>
      <c r="AF82" s="89" t="s">
        <v>641</v>
      </c>
      <c r="AG82" s="189" t="s">
        <v>627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D6F95600-F5D2-44BC-80B6-0F2773D5BD92}" filter="1" showAutoFilter="1">
      <pageMargins left="0.7" right="0.7" top="0.75" bottom="0.75" header="0.3" footer="0.3"/>
      <autoFilter ref="A3:AG84" xr:uid="{03FD9630-C29D-4621-A3F5-AE4066A4164E}"/>
    </customSheetView>
    <customSheetView guid="{49BA5E93-E473-4F11-BE7E-FD55CB28D969}" filter="1" showAutoFilter="1">
      <pageMargins left="0.7" right="0.7" top="0.75" bottom="0.75" header="0.3" footer="0.3"/>
      <autoFilter ref="G5:AD84" xr:uid="{EE01A10D-48D6-41AC-8444-C377BD07E171}">
        <filterColumn colId="15">
          <filters>
            <filter val="-"/>
            <filter val="(1)"/>
            <filter val="1"/>
            <filter val="22"/>
            <filter val="7"/>
            <filter val="8"/>
            <filter val="C"/>
            <filter val="CLIENTES VIP"/>
            <filter val="MONITOREOS"/>
            <filter val="SEGUIMIENTO TRANSFERENCIAS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84" xr:uid="{7E70BEFD-DC35-434F-AAE0-6C4F04A31BFC}">
        <filterColumn colId="26">
          <filters>
            <filter val="1"/>
            <filter val="6"/>
            <filter val="7"/>
            <filter val="CLIENTES VIP"/>
            <filter val="MONITOREOS"/>
          </filters>
        </filterColumn>
      </autoFilter>
    </customSheetView>
  </customSheetViews>
  <mergeCells count="13">
    <mergeCell ref="V80:AC80"/>
    <mergeCell ref="A1:B1"/>
    <mergeCell ref="D3:AE3"/>
    <mergeCell ref="E4:F4"/>
    <mergeCell ref="E5:F5"/>
    <mergeCell ref="V35:AC35"/>
    <mergeCell ref="V39:AC39"/>
    <mergeCell ref="V40:AC40"/>
    <mergeCell ref="N42:U42"/>
    <mergeCell ref="N57:U57"/>
    <mergeCell ref="V58:AC58"/>
    <mergeCell ref="O59:Z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G84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219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94">
        <v>10</v>
      </c>
      <c r="N4" s="56">
        <v>13</v>
      </c>
      <c r="O4" s="72">
        <v>16</v>
      </c>
      <c r="P4" s="137">
        <v>20</v>
      </c>
      <c r="Q4" s="136">
        <v>23</v>
      </c>
      <c r="R4" s="81">
        <v>25</v>
      </c>
      <c r="S4" s="80">
        <v>21</v>
      </c>
      <c r="T4" s="80">
        <v>21</v>
      </c>
      <c r="U4" s="80">
        <v>21</v>
      </c>
      <c r="V4" s="80">
        <v>21</v>
      </c>
      <c r="W4" s="137">
        <v>20</v>
      </c>
      <c r="X4" s="137">
        <v>20</v>
      </c>
      <c r="Y4" s="137">
        <v>20</v>
      </c>
      <c r="Z4" s="137">
        <v>20</v>
      </c>
      <c r="AA4" s="83">
        <v>17</v>
      </c>
      <c r="AB4" s="94">
        <v>10</v>
      </c>
      <c r="AC4" s="225">
        <v>8</v>
      </c>
      <c r="AD4" s="11">
        <v>4</v>
      </c>
      <c r="AE4" s="18">
        <f>SUM(G4:AD4)</f>
        <v>329</v>
      </c>
      <c r="AF4" s="3"/>
      <c r="AG4" s="3"/>
    </row>
    <row r="5" spans="1:33" ht="62.25">
      <c r="A5" s="3"/>
      <c r="B5" s="2"/>
      <c r="C5" s="2"/>
      <c r="D5" s="19"/>
      <c r="E5" s="569">
        <v>13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1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-1</v>
      </c>
      <c r="X6" s="28">
        <f t="shared" si="0"/>
        <v>0</v>
      </c>
      <c r="Y6" s="28">
        <f t="shared" si="0"/>
        <v>-1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1" si="1">SUM(G6:AD6)</f>
        <v>-1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10</v>
      </c>
      <c r="N7" s="172">
        <f t="shared" si="2"/>
        <v>13</v>
      </c>
      <c r="O7" s="172">
        <f t="shared" si="2"/>
        <v>16</v>
      </c>
      <c r="P7" s="172">
        <f t="shared" si="2"/>
        <v>20</v>
      </c>
      <c r="Q7" s="172">
        <f t="shared" si="2"/>
        <v>23</v>
      </c>
      <c r="R7" s="172">
        <f t="shared" si="2"/>
        <v>25</v>
      </c>
      <c r="S7" s="172">
        <f t="shared" si="2"/>
        <v>22</v>
      </c>
      <c r="T7" s="172">
        <f t="shared" si="2"/>
        <v>21</v>
      </c>
      <c r="U7" s="172">
        <f t="shared" si="2"/>
        <v>21</v>
      </c>
      <c r="V7" s="172">
        <f t="shared" si="2"/>
        <v>21</v>
      </c>
      <c r="W7" s="172">
        <f t="shared" si="2"/>
        <v>19</v>
      </c>
      <c r="X7" s="172">
        <f t="shared" si="2"/>
        <v>20</v>
      </c>
      <c r="Y7" s="172">
        <f t="shared" si="2"/>
        <v>19</v>
      </c>
      <c r="Z7" s="172">
        <f t="shared" si="2"/>
        <v>20</v>
      </c>
      <c r="AA7" s="172">
        <f t="shared" si="2"/>
        <v>17</v>
      </c>
      <c r="AB7" s="172">
        <f t="shared" si="2"/>
        <v>10</v>
      </c>
      <c r="AC7" s="172">
        <f t="shared" si="2"/>
        <v>8</v>
      </c>
      <c r="AD7" s="172">
        <f t="shared" si="2"/>
        <v>4</v>
      </c>
      <c r="AE7" s="168">
        <f t="shared" si="1"/>
        <v>328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06" t="s">
        <v>46</v>
      </c>
      <c r="F8" s="41">
        <f t="shared" ref="F8:F14" si="3">SUM(G8:AD8)</f>
        <v>10</v>
      </c>
      <c r="G8" s="250"/>
      <c r="H8" s="250"/>
      <c r="I8" s="250"/>
      <c r="J8" s="250"/>
      <c r="K8" s="250"/>
      <c r="L8" s="250"/>
      <c r="M8" s="250">
        <v>1</v>
      </c>
      <c r="N8" s="250">
        <v>1</v>
      </c>
      <c r="O8" s="250">
        <v>1</v>
      </c>
      <c r="P8" s="250">
        <v>1</v>
      </c>
      <c r="Q8" s="250">
        <v>1</v>
      </c>
      <c r="R8" s="250">
        <v>1</v>
      </c>
      <c r="S8" s="250">
        <v>1</v>
      </c>
      <c r="T8" s="250">
        <v>1</v>
      </c>
      <c r="U8" s="250">
        <v>1</v>
      </c>
      <c r="V8" s="250">
        <v>1</v>
      </c>
      <c r="W8" s="250"/>
      <c r="X8" s="250"/>
      <c r="Y8" s="250"/>
      <c r="Z8" s="250"/>
      <c r="AA8" s="250"/>
      <c r="AB8" s="250"/>
      <c r="AC8" s="250"/>
      <c r="AD8" s="250"/>
      <c r="AE8" s="41">
        <f t="shared" si="1"/>
        <v>10</v>
      </c>
      <c r="AF8" s="116" t="s">
        <v>151</v>
      </c>
      <c r="AG8" s="189" t="s">
        <v>642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8</v>
      </c>
      <c r="G9" s="250"/>
      <c r="H9" s="250"/>
      <c r="I9" s="250"/>
      <c r="J9" s="250"/>
      <c r="K9" s="250"/>
      <c r="L9" s="250"/>
      <c r="M9" s="250"/>
      <c r="N9" s="250">
        <v>1</v>
      </c>
      <c r="O9" s="250">
        <v>1</v>
      </c>
      <c r="P9" s="250">
        <v>1</v>
      </c>
      <c r="Q9" s="250">
        <v>1</v>
      </c>
      <c r="R9" s="250">
        <v>1</v>
      </c>
      <c r="S9" s="250">
        <v>1</v>
      </c>
      <c r="T9" s="250">
        <v>1</v>
      </c>
      <c r="U9" s="250">
        <v>1</v>
      </c>
      <c r="V9" s="250"/>
      <c r="W9" s="250"/>
      <c r="X9" s="250"/>
      <c r="Y9" s="250"/>
      <c r="Z9" s="250"/>
      <c r="AA9" s="250"/>
      <c r="AB9" s="250"/>
      <c r="AC9" s="250"/>
      <c r="AD9" s="250"/>
      <c r="AE9" s="41">
        <f t="shared" si="1"/>
        <v>8</v>
      </c>
      <c r="AF9" s="116" t="s">
        <v>288</v>
      </c>
      <c r="AG9" s="189" t="s">
        <v>642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75" t="s">
        <v>56</v>
      </c>
      <c r="F10" s="41">
        <f t="shared" si="3"/>
        <v>8</v>
      </c>
      <c r="G10" s="250"/>
      <c r="H10" s="250"/>
      <c r="I10" s="250"/>
      <c r="J10" s="250"/>
      <c r="K10" s="250"/>
      <c r="L10" s="250"/>
      <c r="M10" s="250">
        <v>1</v>
      </c>
      <c r="N10" s="250">
        <v>1</v>
      </c>
      <c r="O10" s="250">
        <v>1</v>
      </c>
      <c r="P10" s="250">
        <v>1</v>
      </c>
      <c r="Q10" s="250">
        <v>1</v>
      </c>
      <c r="R10" s="250">
        <v>1</v>
      </c>
      <c r="S10" s="250">
        <v>1</v>
      </c>
      <c r="T10" s="250">
        <v>1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41">
        <f t="shared" si="1"/>
        <v>8</v>
      </c>
      <c r="AF10" s="116" t="s">
        <v>252</v>
      </c>
      <c r="AG10" s="189" t="s">
        <v>642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41">
        <f t="shared" si="3"/>
        <v>9</v>
      </c>
      <c r="G11" s="250"/>
      <c r="H11" s="250"/>
      <c r="I11" s="250"/>
      <c r="J11" s="250"/>
      <c r="K11" s="250"/>
      <c r="L11" s="250"/>
      <c r="M11" s="250"/>
      <c r="N11" s="250">
        <v>1</v>
      </c>
      <c r="O11" s="250">
        <v>1</v>
      </c>
      <c r="P11" s="250">
        <v>1</v>
      </c>
      <c r="Q11" s="250">
        <v>1</v>
      </c>
      <c r="R11" s="250">
        <v>1</v>
      </c>
      <c r="S11" s="250">
        <v>1</v>
      </c>
      <c r="T11" s="250">
        <v>1</v>
      </c>
      <c r="U11" s="250"/>
      <c r="V11" s="250">
        <v>1</v>
      </c>
      <c r="W11" s="250">
        <v>1</v>
      </c>
      <c r="X11" s="250"/>
      <c r="Y11" s="250"/>
      <c r="Z11" s="250"/>
      <c r="AA11" s="250"/>
      <c r="AB11" s="250"/>
      <c r="AC11" s="250"/>
      <c r="AD11" s="250"/>
      <c r="AE11" s="41">
        <f t="shared" si="1"/>
        <v>9</v>
      </c>
      <c r="AF11" s="116" t="s">
        <v>643</v>
      </c>
      <c r="AG11" s="189" t="s">
        <v>642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f t="shared" si="3"/>
        <v>1</v>
      </c>
      <c r="G12" s="250"/>
      <c r="H12" s="250"/>
      <c r="I12" s="250"/>
      <c r="J12" s="250"/>
      <c r="K12" s="250"/>
      <c r="L12" s="250"/>
      <c r="M12" s="250"/>
      <c r="N12" s="250"/>
      <c r="O12" s="274">
        <v>1</v>
      </c>
      <c r="P12" s="274"/>
      <c r="Q12" s="274"/>
      <c r="R12" s="274"/>
      <c r="S12" s="274"/>
      <c r="T12" s="274"/>
      <c r="U12" s="274"/>
      <c r="V12" s="274"/>
      <c r="W12" s="274"/>
      <c r="X12" s="250"/>
      <c r="Y12" s="250"/>
      <c r="Z12" s="250"/>
      <c r="AA12" s="250"/>
      <c r="AB12" s="250"/>
      <c r="AC12" s="250"/>
      <c r="AD12" s="250"/>
      <c r="AE12" s="41">
        <v>9</v>
      </c>
      <c r="AF12" s="89" t="s">
        <v>298</v>
      </c>
      <c r="AG12" s="189" t="s">
        <v>642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7" t="s">
        <v>60</v>
      </c>
      <c r="F13" s="41">
        <f t="shared" si="3"/>
        <v>12</v>
      </c>
      <c r="G13" s="250">
        <v>1</v>
      </c>
      <c r="H13" s="250">
        <v>1</v>
      </c>
      <c r="I13" s="250">
        <v>1</v>
      </c>
      <c r="J13" s="250">
        <v>1</v>
      </c>
      <c r="K13" s="250">
        <v>1</v>
      </c>
      <c r="L13" s="250">
        <v>1</v>
      </c>
      <c r="M13" s="250">
        <v>1</v>
      </c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>
        <v>1</v>
      </c>
      <c r="AA13" s="250">
        <v>1</v>
      </c>
      <c r="AB13" s="250">
        <v>1</v>
      </c>
      <c r="AC13" s="250">
        <v>1</v>
      </c>
      <c r="AD13" s="250">
        <v>1</v>
      </c>
      <c r="AE13" s="41">
        <f t="shared" ref="AE13:AE19" si="4">SUM(G13:AD13)</f>
        <v>12</v>
      </c>
      <c r="AF13" s="116" t="s">
        <v>311</v>
      </c>
      <c r="AG13" s="189" t="s">
        <v>642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11" t="s">
        <v>63</v>
      </c>
      <c r="F14" s="41">
        <f t="shared" si="3"/>
        <v>6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>
        <v>1</v>
      </c>
      <c r="Q14" s="250">
        <v>1</v>
      </c>
      <c r="R14" s="250">
        <v>1</v>
      </c>
      <c r="S14" s="250">
        <v>1</v>
      </c>
      <c r="T14" s="250"/>
      <c r="U14" s="250">
        <v>1</v>
      </c>
      <c r="V14" s="250">
        <v>1</v>
      </c>
      <c r="W14" s="250"/>
      <c r="X14" s="250"/>
      <c r="Y14" s="250"/>
      <c r="Z14" s="250"/>
      <c r="AA14" s="250"/>
      <c r="AB14" s="250"/>
      <c r="AC14" s="250"/>
      <c r="AD14" s="250"/>
      <c r="AE14" s="41">
        <f t="shared" si="4"/>
        <v>6</v>
      </c>
      <c r="AF14" s="116" t="s">
        <v>644</v>
      </c>
      <c r="AG14" s="189" t="s">
        <v>642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68" t="s">
        <v>65</v>
      </c>
      <c r="F15" s="41">
        <v>10</v>
      </c>
      <c r="G15" s="250"/>
      <c r="H15" s="250"/>
      <c r="I15" s="250"/>
      <c r="J15" s="250"/>
      <c r="K15" s="250"/>
      <c r="L15" s="250"/>
      <c r="M15" s="250"/>
      <c r="N15" s="250">
        <v>1</v>
      </c>
      <c r="O15" s="250">
        <v>1</v>
      </c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0">
        <v>1</v>
      </c>
      <c r="V15" s="250"/>
      <c r="W15" s="250"/>
      <c r="X15" s="250"/>
      <c r="Y15" s="250"/>
      <c r="Z15" s="250"/>
      <c r="AA15" s="250"/>
      <c r="AB15" s="250"/>
      <c r="AC15" s="250"/>
      <c r="AD15" s="250"/>
      <c r="AE15" s="41">
        <f t="shared" si="4"/>
        <v>8</v>
      </c>
      <c r="AF15" s="116" t="s">
        <v>288</v>
      </c>
      <c r="AG15" s="189" t="s">
        <v>642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208" t="s">
        <v>71</v>
      </c>
      <c r="F16" s="41">
        <f t="shared" ref="F16:F19" si="5">SUM(G16:AD16)</f>
        <v>7</v>
      </c>
      <c r="G16" s="250"/>
      <c r="H16" s="250"/>
      <c r="I16" s="250"/>
      <c r="J16" s="250"/>
      <c r="K16" s="250"/>
      <c r="L16" s="250"/>
      <c r="M16" s="250"/>
      <c r="N16" s="250">
        <v>1</v>
      </c>
      <c r="O16" s="250">
        <v>1</v>
      </c>
      <c r="P16" s="250">
        <v>1</v>
      </c>
      <c r="Q16" s="250">
        <v>1</v>
      </c>
      <c r="R16" s="250">
        <v>1</v>
      </c>
      <c r="S16" s="250"/>
      <c r="T16" s="250">
        <v>1</v>
      </c>
      <c r="U16" s="250">
        <v>1</v>
      </c>
      <c r="V16" s="250"/>
      <c r="W16" s="250"/>
      <c r="X16" s="250"/>
      <c r="Y16" s="250"/>
      <c r="Z16" s="250"/>
      <c r="AA16" s="250"/>
      <c r="AB16" s="250"/>
      <c r="AC16" s="250"/>
      <c r="AD16" s="250"/>
      <c r="AE16" s="41">
        <f t="shared" si="4"/>
        <v>7</v>
      </c>
      <c r="AF16" s="89" t="s">
        <v>645</v>
      </c>
      <c r="AG16" s="189" t="s">
        <v>642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208" t="s">
        <v>73</v>
      </c>
      <c r="F17" s="41">
        <f t="shared" si="5"/>
        <v>8</v>
      </c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>
        <v>1</v>
      </c>
      <c r="W17" s="250">
        <v>1</v>
      </c>
      <c r="X17" s="250">
        <v>1</v>
      </c>
      <c r="Y17" s="250">
        <v>1</v>
      </c>
      <c r="Z17" s="250">
        <v>1</v>
      </c>
      <c r="AA17" s="250">
        <v>1</v>
      </c>
      <c r="AB17" s="250"/>
      <c r="AC17" s="250">
        <v>1</v>
      </c>
      <c r="AD17" s="250">
        <v>1</v>
      </c>
      <c r="AE17" s="41">
        <f t="shared" si="4"/>
        <v>8</v>
      </c>
      <c r="AF17" s="89" t="s">
        <v>646</v>
      </c>
      <c r="AG17" s="189" t="s">
        <v>642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5"/>
        <v>7</v>
      </c>
      <c r="G18" s="250">
        <v>1</v>
      </c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/>
      <c r="AE18" s="41">
        <f t="shared" si="4"/>
        <v>7</v>
      </c>
      <c r="AF18" s="116" t="s">
        <v>331</v>
      </c>
      <c r="AG18" s="189" t="s">
        <v>642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75" t="s">
        <v>83</v>
      </c>
      <c r="F19" s="41">
        <f t="shared" si="5"/>
        <v>8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>
        <v>1</v>
      </c>
      <c r="V19" s="250">
        <v>1</v>
      </c>
      <c r="W19" s="250">
        <v>1</v>
      </c>
      <c r="X19" s="250">
        <v>1</v>
      </c>
      <c r="Y19" s="250">
        <v>1</v>
      </c>
      <c r="Z19" s="250">
        <v>1</v>
      </c>
      <c r="AA19" s="250">
        <v>1</v>
      </c>
      <c r="AB19" s="250">
        <v>1</v>
      </c>
      <c r="AC19" s="250"/>
      <c r="AD19" s="250"/>
      <c r="AE19" s="41">
        <f t="shared" si="4"/>
        <v>8</v>
      </c>
      <c r="AF19" s="89" t="s">
        <v>78</v>
      </c>
      <c r="AG19" s="189" t="s">
        <v>642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f>AE20</f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210"/>
      <c r="Q20" s="269"/>
      <c r="R20" s="269"/>
      <c r="S20" s="269"/>
      <c r="T20" s="269" t="s">
        <v>471</v>
      </c>
      <c r="U20" s="269"/>
      <c r="V20" s="269"/>
      <c r="W20" s="269"/>
      <c r="X20" s="269"/>
      <c r="Y20" s="269"/>
      <c r="Z20" s="270"/>
      <c r="AA20" s="250"/>
      <c r="AB20" s="77"/>
      <c r="AC20" s="42"/>
      <c r="AD20" s="42"/>
      <c r="AE20" s="41">
        <v>11</v>
      </c>
      <c r="AF20" s="89" t="s">
        <v>164</v>
      </c>
      <c r="AG20" s="189" t="s">
        <v>642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06" t="s">
        <v>91</v>
      </c>
      <c r="F21" s="41">
        <f t="shared" ref="F21:F28" si="6">SUM(G21:AD21)</f>
        <v>6</v>
      </c>
      <c r="G21" s="250"/>
      <c r="H21" s="250"/>
      <c r="I21" s="250"/>
      <c r="J21" s="250"/>
      <c r="K21" s="250"/>
      <c r="L21" s="250"/>
      <c r="M21" s="250">
        <v>1</v>
      </c>
      <c r="N21" s="250">
        <v>1</v>
      </c>
      <c r="O21" s="250">
        <v>1</v>
      </c>
      <c r="P21" s="250">
        <v>1</v>
      </c>
      <c r="Q21" s="250">
        <v>1</v>
      </c>
      <c r="R21" s="250">
        <v>1</v>
      </c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41">
        <f t="shared" ref="AE21:AE34" si="7">SUM(G21:AD21)</f>
        <v>6</v>
      </c>
      <c r="AF21" s="89" t="s">
        <v>227</v>
      </c>
      <c r="AG21" s="189" t="s">
        <v>642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07" t="s">
        <v>93</v>
      </c>
      <c r="F22" s="41">
        <f t="shared" si="6"/>
        <v>7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>
        <v>1</v>
      </c>
      <c r="W22" s="250">
        <v>1</v>
      </c>
      <c r="X22" s="250">
        <v>1</v>
      </c>
      <c r="Y22" s="250">
        <v>1</v>
      </c>
      <c r="Z22" s="250">
        <v>1</v>
      </c>
      <c r="AA22" s="250">
        <v>1</v>
      </c>
      <c r="AB22" s="250">
        <v>1</v>
      </c>
      <c r="AC22" s="250"/>
      <c r="AD22" s="250"/>
      <c r="AE22" s="41">
        <f t="shared" si="7"/>
        <v>7</v>
      </c>
      <c r="AF22" s="89" t="s">
        <v>282</v>
      </c>
      <c r="AG22" s="189" t="s">
        <v>642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68" t="s">
        <v>95</v>
      </c>
      <c r="F23" s="41">
        <f t="shared" si="6"/>
        <v>9</v>
      </c>
      <c r="G23" s="250"/>
      <c r="H23" s="250"/>
      <c r="I23" s="250"/>
      <c r="J23" s="250"/>
      <c r="K23" s="250"/>
      <c r="L23" s="250"/>
      <c r="M23" s="250">
        <v>1</v>
      </c>
      <c r="N23" s="250">
        <v>1</v>
      </c>
      <c r="O23" s="250">
        <v>1</v>
      </c>
      <c r="P23" s="250">
        <v>1</v>
      </c>
      <c r="Q23" s="250">
        <v>1</v>
      </c>
      <c r="R23" s="250">
        <v>1</v>
      </c>
      <c r="S23" s="250">
        <v>1</v>
      </c>
      <c r="T23" s="250">
        <v>1</v>
      </c>
      <c r="U23" s="250">
        <v>1</v>
      </c>
      <c r="V23" s="250"/>
      <c r="W23" s="250"/>
      <c r="X23" s="250"/>
      <c r="Y23" s="250"/>
      <c r="Z23" s="250"/>
      <c r="AA23" s="250"/>
      <c r="AB23" s="250"/>
      <c r="AC23" s="250"/>
      <c r="AD23" s="250"/>
      <c r="AE23" s="41">
        <f t="shared" si="7"/>
        <v>9</v>
      </c>
      <c r="AF23" s="89" t="s">
        <v>244</v>
      </c>
      <c r="AG23" s="189" t="s">
        <v>642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11" t="s">
        <v>99</v>
      </c>
      <c r="F24" s="41">
        <f t="shared" si="6"/>
        <v>7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>
        <v>1</v>
      </c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/>
      <c r="AC24" s="250"/>
      <c r="AD24" s="250"/>
      <c r="AE24" s="41">
        <f t="shared" si="7"/>
        <v>7</v>
      </c>
      <c r="AF24" s="116" t="s">
        <v>100</v>
      </c>
      <c r="AG24" s="189" t="s">
        <v>642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11" t="s">
        <v>102</v>
      </c>
      <c r="F25" s="41">
        <f t="shared" si="6"/>
        <v>7</v>
      </c>
      <c r="G25" s="250"/>
      <c r="H25" s="250"/>
      <c r="I25" s="250"/>
      <c r="J25" s="250"/>
      <c r="K25" s="250"/>
      <c r="L25" s="250"/>
      <c r="M25" s="250">
        <v>1</v>
      </c>
      <c r="N25" s="250">
        <v>1</v>
      </c>
      <c r="O25" s="250">
        <v>1</v>
      </c>
      <c r="P25" s="250">
        <v>1</v>
      </c>
      <c r="Q25" s="250">
        <v>1</v>
      </c>
      <c r="R25" s="250">
        <v>1</v>
      </c>
      <c r="S25" s="250">
        <v>1</v>
      </c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41">
        <f t="shared" si="7"/>
        <v>7</v>
      </c>
      <c r="AF25" s="89" t="s">
        <v>379</v>
      </c>
      <c r="AG25" s="189" t="s">
        <v>642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7" t="s">
        <v>104</v>
      </c>
      <c r="F26" s="41">
        <f t="shared" si="6"/>
        <v>8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>
        <v>1</v>
      </c>
      <c r="W26" s="250">
        <v>1</v>
      </c>
      <c r="X26" s="250">
        <v>1</v>
      </c>
      <c r="Y26" s="250">
        <v>1</v>
      </c>
      <c r="Z26" s="250">
        <v>1</v>
      </c>
      <c r="AA26" s="250">
        <v>1</v>
      </c>
      <c r="AB26" s="250">
        <v>1</v>
      </c>
      <c r="AC26" s="250">
        <v>1</v>
      </c>
      <c r="AD26" s="250"/>
      <c r="AE26" s="41">
        <f t="shared" si="7"/>
        <v>8</v>
      </c>
      <c r="AF26" s="89" t="s">
        <v>218</v>
      </c>
      <c r="AG26" s="189" t="s">
        <v>642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7" t="s">
        <v>333</v>
      </c>
      <c r="F27" s="41">
        <f t="shared" si="6"/>
        <v>6</v>
      </c>
      <c r="G27" s="250"/>
      <c r="H27" s="250"/>
      <c r="I27" s="250"/>
      <c r="J27" s="250"/>
      <c r="K27" s="250"/>
      <c r="L27" s="250"/>
      <c r="M27" s="250"/>
      <c r="N27" s="250"/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>
        <v>1</v>
      </c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41">
        <f t="shared" si="7"/>
        <v>6</v>
      </c>
      <c r="AF27" s="89" t="s">
        <v>305</v>
      </c>
      <c r="AG27" s="189" t="s">
        <v>642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07" t="s">
        <v>172</v>
      </c>
      <c r="F28" s="41">
        <f t="shared" si="6"/>
        <v>8</v>
      </c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>
        <v>1</v>
      </c>
      <c r="W28" s="250">
        <v>1</v>
      </c>
      <c r="X28" s="250">
        <v>1</v>
      </c>
      <c r="Y28" s="250">
        <v>1</v>
      </c>
      <c r="Z28" s="250">
        <v>1</v>
      </c>
      <c r="AA28" s="250">
        <v>1</v>
      </c>
      <c r="AB28" s="250">
        <v>1</v>
      </c>
      <c r="AC28" s="250">
        <v>1</v>
      </c>
      <c r="AD28" s="250"/>
      <c r="AE28" s="41">
        <f t="shared" si="7"/>
        <v>8</v>
      </c>
      <c r="AF28" s="116" t="s">
        <v>218</v>
      </c>
      <c r="AG28" s="189" t="s">
        <v>642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68" t="s">
        <v>106</v>
      </c>
      <c r="F29" s="41">
        <v>0</v>
      </c>
      <c r="G29" s="250"/>
      <c r="H29" s="250"/>
      <c r="I29" s="250"/>
      <c r="J29" s="250"/>
      <c r="K29" s="250"/>
      <c r="L29" s="250"/>
      <c r="M29" s="250"/>
      <c r="N29" s="250">
        <v>1</v>
      </c>
      <c r="O29" s="250">
        <v>1</v>
      </c>
      <c r="P29" s="250">
        <v>1</v>
      </c>
      <c r="Q29" s="250">
        <v>1</v>
      </c>
      <c r="R29" s="250">
        <v>1</v>
      </c>
      <c r="S29" s="250"/>
      <c r="T29" s="250">
        <v>1</v>
      </c>
      <c r="U29" s="250">
        <v>1</v>
      </c>
      <c r="V29" s="250">
        <v>1</v>
      </c>
      <c r="W29" s="250"/>
      <c r="X29" s="250"/>
      <c r="Y29" s="250"/>
      <c r="Z29" s="250"/>
      <c r="AA29" s="250"/>
      <c r="AB29" s="250"/>
      <c r="AC29" s="250"/>
      <c r="AD29" s="250"/>
      <c r="AE29" s="41">
        <f t="shared" si="7"/>
        <v>8</v>
      </c>
      <c r="AF29" s="89" t="s">
        <v>647</v>
      </c>
      <c r="AG29" s="189" t="s">
        <v>642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7" t="s">
        <v>112</v>
      </c>
      <c r="F30" s="41">
        <f t="shared" ref="F30:F32" si="8">SUM(G30:AD30)</f>
        <v>7</v>
      </c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>
        <v>1</v>
      </c>
      <c r="W30" s="250">
        <v>1</v>
      </c>
      <c r="X30" s="250">
        <v>1</v>
      </c>
      <c r="Y30" s="250">
        <v>1</v>
      </c>
      <c r="Z30" s="250">
        <v>1</v>
      </c>
      <c r="AA30" s="250">
        <v>1</v>
      </c>
      <c r="AB30" s="250">
        <v>1</v>
      </c>
      <c r="AC30" s="250"/>
      <c r="AD30" s="250"/>
      <c r="AE30" s="41">
        <f t="shared" si="7"/>
        <v>7</v>
      </c>
      <c r="AF30" s="116" t="s">
        <v>282</v>
      </c>
      <c r="AG30" s="189" t="s">
        <v>642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07" t="s">
        <v>116</v>
      </c>
      <c r="F31" s="41">
        <f t="shared" si="8"/>
        <v>12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>
        <v>1</v>
      </c>
      <c r="AA31" s="250">
        <v>1</v>
      </c>
      <c r="AB31" s="250">
        <v>1</v>
      </c>
      <c r="AC31" s="250">
        <v>1</v>
      </c>
      <c r="AD31" s="250">
        <v>1</v>
      </c>
      <c r="AE31" s="41">
        <f t="shared" si="7"/>
        <v>12</v>
      </c>
      <c r="AF31" s="116" t="s">
        <v>311</v>
      </c>
      <c r="AG31" s="189" t="s">
        <v>642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7" t="s">
        <v>121</v>
      </c>
      <c r="F32" s="41">
        <f t="shared" si="8"/>
        <v>12</v>
      </c>
      <c r="G32" s="250">
        <v>1</v>
      </c>
      <c r="H32" s="250">
        <v>1</v>
      </c>
      <c r="I32" s="250">
        <v>1</v>
      </c>
      <c r="J32" s="250">
        <v>1</v>
      </c>
      <c r="K32" s="250">
        <v>1</v>
      </c>
      <c r="L32" s="250">
        <v>1</v>
      </c>
      <c r="M32" s="250">
        <v>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>
        <v>1</v>
      </c>
      <c r="AA32" s="250">
        <v>1</v>
      </c>
      <c r="AB32" s="250">
        <v>1</v>
      </c>
      <c r="AC32" s="250">
        <v>1</v>
      </c>
      <c r="AD32" s="250">
        <v>1</v>
      </c>
      <c r="AE32" s="41">
        <f t="shared" si="7"/>
        <v>12</v>
      </c>
      <c r="AF32" s="116" t="s">
        <v>311</v>
      </c>
      <c r="AG32" s="189" t="s">
        <v>642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8" t="s">
        <v>123</v>
      </c>
      <c r="F33" s="41">
        <v>12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41">
        <f t="shared" si="7"/>
        <v>0</v>
      </c>
      <c r="AF33" s="116" t="s">
        <v>225</v>
      </c>
      <c r="AG33" s="189" t="s">
        <v>642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7" t="s">
        <v>125</v>
      </c>
      <c r="F34" s="41">
        <f>SUM(G34:AD34)</f>
        <v>7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>
        <v>1</v>
      </c>
      <c r="V34" s="250">
        <v>1</v>
      </c>
      <c r="W34" s="250">
        <v>1</v>
      </c>
      <c r="X34" s="250">
        <v>1</v>
      </c>
      <c r="Y34" s="250">
        <v>1</v>
      </c>
      <c r="Z34" s="250">
        <v>1</v>
      </c>
      <c r="AA34" s="250">
        <v>1</v>
      </c>
      <c r="AB34" s="250"/>
      <c r="AC34" s="250"/>
      <c r="AD34" s="250"/>
      <c r="AE34" s="41">
        <f t="shared" si="7"/>
        <v>7</v>
      </c>
      <c r="AF34" s="116" t="s">
        <v>100</v>
      </c>
      <c r="AG34" s="189" t="s">
        <v>642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72" t="s">
        <v>127</v>
      </c>
      <c r="F35" s="41">
        <v>10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583" t="s">
        <v>209</v>
      </c>
      <c r="W35" s="555"/>
      <c r="X35" s="555"/>
      <c r="Y35" s="555"/>
      <c r="Z35" s="555"/>
      <c r="AA35" s="555"/>
      <c r="AB35" s="555"/>
      <c r="AC35" s="542"/>
      <c r="AD35" s="250"/>
      <c r="AE35" s="41">
        <v>8</v>
      </c>
      <c r="AF35" s="89" t="s">
        <v>218</v>
      </c>
      <c r="AG35" s="189" t="s">
        <v>642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07" t="s">
        <v>129</v>
      </c>
      <c r="F36" s="41">
        <f t="shared" ref="F36:F38" si="9">SUM(G36:AD36)</f>
        <v>8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>
        <v>1</v>
      </c>
      <c r="W36" s="250">
        <v>1</v>
      </c>
      <c r="X36" s="250">
        <v>1</v>
      </c>
      <c r="Y36" s="250">
        <v>1</v>
      </c>
      <c r="Z36" s="250">
        <v>1</v>
      </c>
      <c r="AA36" s="250">
        <v>1</v>
      </c>
      <c r="AB36" s="250">
        <v>1</v>
      </c>
      <c r="AC36" s="250">
        <v>1</v>
      </c>
      <c r="AD36" s="250"/>
      <c r="AE36" s="41">
        <f t="shared" ref="AE36:AE38" si="10">SUM(G36:AD36)</f>
        <v>8</v>
      </c>
      <c r="AF36" s="89" t="s">
        <v>218</v>
      </c>
      <c r="AG36" s="189" t="s">
        <v>642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11" t="s">
        <v>131</v>
      </c>
      <c r="F37" s="41">
        <f t="shared" si="9"/>
        <v>8</v>
      </c>
      <c r="G37" s="250"/>
      <c r="H37" s="250"/>
      <c r="I37" s="250"/>
      <c r="J37" s="250"/>
      <c r="K37" s="250"/>
      <c r="L37" s="250"/>
      <c r="M37" s="250">
        <v>1</v>
      </c>
      <c r="N37" s="250">
        <v>1</v>
      </c>
      <c r="O37" s="250">
        <v>1</v>
      </c>
      <c r="P37" s="250">
        <v>1</v>
      </c>
      <c r="Q37" s="250">
        <v>1</v>
      </c>
      <c r="R37" s="250">
        <v>1</v>
      </c>
      <c r="S37" s="250">
        <v>1</v>
      </c>
      <c r="T37" s="250">
        <v>1</v>
      </c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41">
        <f t="shared" si="10"/>
        <v>8</v>
      </c>
      <c r="AF37" s="89" t="s">
        <v>252</v>
      </c>
      <c r="AG37" s="189" t="s">
        <v>642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72" t="s">
        <v>50</v>
      </c>
      <c r="F38" s="41">
        <f t="shared" si="9"/>
        <v>0</v>
      </c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41">
        <f t="shared" si="10"/>
        <v>0</v>
      </c>
      <c r="AF38" s="111" t="s">
        <v>6</v>
      </c>
      <c r="AG38" s="189" t="s">
        <v>642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72" t="s">
        <v>135</v>
      </c>
      <c r="F39" s="41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41">
        <v>8</v>
      </c>
      <c r="AF39" s="89" t="s">
        <v>218</v>
      </c>
      <c r="AG39" s="189" t="s">
        <v>642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72" t="s">
        <v>140</v>
      </c>
      <c r="F40" s="41">
        <v>9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41">
        <v>8</v>
      </c>
      <c r="AF40" s="89" t="s">
        <v>218</v>
      </c>
      <c r="AG40" s="189" t="s">
        <v>642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7" t="s">
        <v>118</v>
      </c>
      <c r="F41" s="41">
        <f>SUM(G41:AD41)</f>
        <v>9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>
        <v>1</v>
      </c>
      <c r="S41" s="250">
        <v>1</v>
      </c>
      <c r="T41" s="250">
        <v>1</v>
      </c>
      <c r="U41" s="250">
        <v>1</v>
      </c>
      <c r="V41" s="250">
        <v>1</v>
      </c>
      <c r="W41" s="250"/>
      <c r="X41" s="250">
        <v>1</v>
      </c>
      <c r="Y41" s="250">
        <v>1</v>
      </c>
      <c r="Z41" s="250">
        <v>1</v>
      </c>
      <c r="AA41" s="250">
        <v>1</v>
      </c>
      <c r="AB41" s="250"/>
      <c r="AC41" s="250"/>
      <c r="AD41" s="250"/>
      <c r="AE41" s="41">
        <f>SUM(G41:AD41)</f>
        <v>9</v>
      </c>
      <c r="AF41" s="89" t="s">
        <v>648</v>
      </c>
      <c r="AG41" s="189" t="s">
        <v>642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72" t="s">
        <v>143</v>
      </c>
      <c r="F42" s="41">
        <v>9</v>
      </c>
      <c r="G42" s="250"/>
      <c r="H42" s="250"/>
      <c r="I42" s="250"/>
      <c r="J42" s="250"/>
      <c r="K42" s="250"/>
      <c r="L42" s="250"/>
      <c r="M42" s="250">
        <v>1</v>
      </c>
      <c r="N42" s="583" t="s">
        <v>209</v>
      </c>
      <c r="O42" s="555"/>
      <c r="P42" s="555"/>
      <c r="Q42" s="555"/>
      <c r="R42" s="555"/>
      <c r="S42" s="555"/>
      <c r="T42" s="555"/>
      <c r="U42" s="542"/>
      <c r="V42" s="250"/>
      <c r="W42" s="250"/>
      <c r="X42" s="250"/>
      <c r="Y42" s="250"/>
      <c r="Z42" s="250"/>
      <c r="AA42" s="250"/>
      <c r="AB42" s="250"/>
      <c r="AC42" s="250"/>
      <c r="AD42" s="250"/>
      <c r="AE42" s="41">
        <v>9</v>
      </c>
      <c r="AF42" s="89" t="s">
        <v>244</v>
      </c>
      <c r="AG42" s="189" t="s">
        <v>642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5" t="s">
        <v>455</v>
      </c>
      <c r="F43" s="41">
        <f t="shared" ref="F43:F56" si="11">SUM(G43:AD43)</f>
        <v>7</v>
      </c>
      <c r="G43" s="250"/>
      <c r="H43" s="250"/>
      <c r="I43" s="250"/>
      <c r="J43" s="250"/>
      <c r="K43" s="250"/>
      <c r="L43" s="250"/>
      <c r="M43" s="250"/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41">
        <f t="shared" ref="AE43:AE56" si="12">SUM(G43:AD43)</f>
        <v>7</v>
      </c>
      <c r="AF43" s="89" t="s">
        <v>196</v>
      </c>
      <c r="AG43" s="189" t="s">
        <v>642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5" t="s">
        <v>457</v>
      </c>
      <c r="F44" s="41">
        <f t="shared" si="11"/>
        <v>8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>
        <v>1</v>
      </c>
      <c r="U44" s="250">
        <v>1</v>
      </c>
      <c r="V44" s="250">
        <v>1</v>
      </c>
      <c r="W44" s="250">
        <v>1</v>
      </c>
      <c r="X44" s="250">
        <v>1</v>
      </c>
      <c r="Y44" s="250">
        <v>1</v>
      </c>
      <c r="Z44" s="250">
        <v>1</v>
      </c>
      <c r="AA44" s="250">
        <v>1</v>
      </c>
      <c r="AB44" s="250"/>
      <c r="AC44" s="250"/>
      <c r="AD44" s="250"/>
      <c r="AE44" s="41">
        <f t="shared" si="12"/>
        <v>8</v>
      </c>
      <c r="AF44" s="116" t="s">
        <v>293</v>
      </c>
      <c r="AG44" s="189" t="s">
        <v>642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5" t="s">
        <v>460</v>
      </c>
      <c r="F45" s="41">
        <f t="shared" si="11"/>
        <v>7</v>
      </c>
      <c r="G45" s="250"/>
      <c r="H45" s="250"/>
      <c r="I45" s="250"/>
      <c r="J45" s="250"/>
      <c r="K45" s="250"/>
      <c r="L45" s="250"/>
      <c r="M45" s="250"/>
      <c r="N45" s="250">
        <v>1</v>
      </c>
      <c r="O45" s="250">
        <v>1</v>
      </c>
      <c r="P45" s="250">
        <v>1</v>
      </c>
      <c r="Q45" s="250">
        <v>1</v>
      </c>
      <c r="R45" s="250">
        <v>1</v>
      </c>
      <c r="S45" s="250">
        <v>1</v>
      </c>
      <c r="T45" s="250">
        <v>1</v>
      </c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41">
        <f t="shared" si="12"/>
        <v>7</v>
      </c>
      <c r="AF45" s="89" t="s">
        <v>196</v>
      </c>
      <c r="AG45" s="189" t="s">
        <v>642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15" t="s">
        <v>478</v>
      </c>
      <c r="F46" s="41">
        <f t="shared" si="11"/>
        <v>9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>
        <v>1</v>
      </c>
      <c r="R46" s="250">
        <v>1</v>
      </c>
      <c r="S46" s="250">
        <v>1</v>
      </c>
      <c r="T46" s="250"/>
      <c r="U46" s="250">
        <v>1</v>
      </c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/>
      <c r="AB46" s="250"/>
      <c r="AC46" s="250"/>
      <c r="AD46" s="250"/>
      <c r="AE46" s="41">
        <f t="shared" si="12"/>
        <v>9</v>
      </c>
      <c r="AF46" s="116" t="s">
        <v>245</v>
      </c>
      <c r="AG46" s="189" t="s">
        <v>642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5" t="s">
        <v>461</v>
      </c>
      <c r="F47" s="41">
        <f t="shared" si="11"/>
        <v>7</v>
      </c>
      <c r="G47" s="250"/>
      <c r="H47" s="250"/>
      <c r="I47" s="250"/>
      <c r="J47" s="250"/>
      <c r="K47" s="250"/>
      <c r="L47" s="250"/>
      <c r="M47" s="250"/>
      <c r="N47" s="250"/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0">
        <v>1</v>
      </c>
      <c r="U47" s="250">
        <v>1</v>
      </c>
      <c r="V47" s="250"/>
      <c r="W47" s="250"/>
      <c r="X47" s="250"/>
      <c r="Y47" s="250"/>
      <c r="Z47" s="250"/>
      <c r="AA47" s="250"/>
      <c r="AB47" s="250"/>
      <c r="AC47" s="250"/>
      <c r="AD47" s="250"/>
      <c r="AE47" s="41">
        <f t="shared" si="12"/>
        <v>7</v>
      </c>
      <c r="AF47" s="116" t="s">
        <v>87</v>
      </c>
      <c r="AG47" s="189" t="s">
        <v>642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5" t="s">
        <v>463</v>
      </c>
      <c r="F48" s="41">
        <f t="shared" si="11"/>
        <v>7</v>
      </c>
      <c r="G48" s="250"/>
      <c r="H48" s="250"/>
      <c r="I48" s="250"/>
      <c r="J48" s="250"/>
      <c r="K48" s="250"/>
      <c r="L48" s="250"/>
      <c r="M48" s="250"/>
      <c r="N48" s="250"/>
      <c r="O48" s="250"/>
      <c r="P48" s="250">
        <v>1</v>
      </c>
      <c r="Q48" s="250">
        <v>1</v>
      </c>
      <c r="R48" s="250">
        <v>1</v>
      </c>
      <c r="S48" s="250">
        <v>1</v>
      </c>
      <c r="T48" s="250"/>
      <c r="U48" s="250">
        <v>1</v>
      </c>
      <c r="V48" s="250">
        <v>1</v>
      </c>
      <c r="W48" s="250">
        <v>1</v>
      </c>
      <c r="X48" s="250"/>
      <c r="Y48" s="250"/>
      <c r="Z48" s="250"/>
      <c r="AA48" s="250"/>
      <c r="AB48" s="250"/>
      <c r="AC48" s="250"/>
      <c r="AD48" s="250"/>
      <c r="AE48" s="41">
        <f t="shared" si="12"/>
        <v>7</v>
      </c>
      <c r="AF48" s="116" t="s">
        <v>560</v>
      </c>
      <c r="AG48" s="189" t="s">
        <v>642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5" t="s">
        <v>465</v>
      </c>
      <c r="F49" s="41">
        <f t="shared" si="11"/>
        <v>9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>
        <v>1</v>
      </c>
      <c r="Q49" s="250">
        <v>1</v>
      </c>
      <c r="R49" s="250">
        <v>1</v>
      </c>
      <c r="S49" s="250">
        <v>1</v>
      </c>
      <c r="T49" s="250">
        <v>1</v>
      </c>
      <c r="U49" s="250">
        <v>1</v>
      </c>
      <c r="V49" s="250">
        <v>1</v>
      </c>
      <c r="W49" s="250"/>
      <c r="X49" s="250">
        <v>1</v>
      </c>
      <c r="Y49" s="250">
        <v>1</v>
      </c>
      <c r="Z49" s="250"/>
      <c r="AA49" s="250"/>
      <c r="AB49" s="250"/>
      <c r="AC49" s="250"/>
      <c r="AD49" s="250"/>
      <c r="AE49" s="41">
        <f t="shared" si="12"/>
        <v>9</v>
      </c>
      <c r="AF49" s="116" t="s">
        <v>649</v>
      </c>
      <c r="AG49" s="189" t="s">
        <v>642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5" t="s">
        <v>466</v>
      </c>
      <c r="F50" s="41">
        <f t="shared" si="11"/>
        <v>9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>
        <v>1</v>
      </c>
      <c r="Q50" s="250">
        <v>1</v>
      </c>
      <c r="R50" s="250">
        <v>1</v>
      </c>
      <c r="S50" s="250">
        <v>1</v>
      </c>
      <c r="T50" s="250">
        <v>1</v>
      </c>
      <c r="U50" s="250">
        <v>1</v>
      </c>
      <c r="V50" s="250"/>
      <c r="W50" s="250">
        <v>1</v>
      </c>
      <c r="X50" s="250">
        <v>1</v>
      </c>
      <c r="Y50" s="250">
        <v>1</v>
      </c>
      <c r="Z50" s="250"/>
      <c r="AA50" s="250"/>
      <c r="AB50" s="250"/>
      <c r="AC50" s="250"/>
      <c r="AD50" s="250"/>
      <c r="AE50" s="41">
        <f t="shared" si="12"/>
        <v>9</v>
      </c>
      <c r="AF50" s="116" t="s">
        <v>650</v>
      </c>
      <c r="AG50" s="189" t="s">
        <v>642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5" t="s">
        <v>467</v>
      </c>
      <c r="F51" s="41">
        <f t="shared" si="11"/>
        <v>8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>
        <v>1</v>
      </c>
      <c r="Q51" s="250">
        <v>1</v>
      </c>
      <c r="R51" s="250">
        <v>1</v>
      </c>
      <c r="S51" s="250">
        <v>1</v>
      </c>
      <c r="T51" s="250">
        <v>1</v>
      </c>
      <c r="U51" s="250">
        <v>1</v>
      </c>
      <c r="V51" s="250"/>
      <c r="W51" s="250">
        <v>1</v>
      </c>
      <c r="X51" s="250">
        <v>1</v>
      </c>
      <c r="Y51" s="250"/>
      <c r="Z51" s="250"/>
      <c r="AA51" s="250"/>
      <c r="AB51" s="250"/>
      <c r="AC51" s="250"/>
      <c r="AD51" s="250"/>
      <c r="AE51" s="41">
        <f t="shared" si="12"/>
        <v>8</v>
      </c>
      <c r="AF51" s="116" t="s">
        <v>549</v>
      </c>
      <c r="AG51" s="189" t="s">
        <v>642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5" t="s">
        <v>491</v>
      </c>
      <c r="F52" s="41">
        <f t="shared" si="11"/>
        <v>5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>
        <v>1</v>
      </c>
      <c r="W52" s="250">
        <v>1</v>
      </c>
      <c r="X52" s="250">
        <v>1</v>
      </c>
      <c r="Y52" s="250">
        <v>1</v>
      </c>
      <c r="Z52" s="250">
        <v>1</v>
      </c>
      <c r="AA52" s="250"/>
      <c r="AB52" s="250"/>
      <c r="AC52" s="250"/>
      <c r="AD52" s="250"/>
      <c r="AE52" s="41">
        <f t="shared" si="12"/>
        <v>5</v>
      </c>
      <c r="AF52" s="116" t="s">
        <v>651</v>
      </c>
      <c r="AG52" s="189" t="s">
        <v>642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5" t="s">
        <v>493</v>
      </c>
      <c r="F53" s="41">
        <f t="shared" si="11"/>
        <v>0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50"/>
      <c r="AC53" s="250"/>
      <c r="AD53" s="250"/>
      <c r="AE53" s="41">
        <f t="shared" si="12"/>
        <v>0</v>
      </c>
      <c r="AF53" s="116" t="s">
        <v>652</v>
      </c>
      <c r="AG53" s="189" t="s">
        <v>642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5" t="s">
        <v>469</v>
      </c>
      <c r="F54" s="41">
        <f t="shared" si="11"/>
        <v>10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>
        <v>1</v>
      </c>
      <c r="R54" s="250">
        <v>1</v>
      </c>
      <c r="S54" s="250">
        <v>1</v>
      </c>
      <c r="T54" s="250">
        <v>1</v>
      </c>
      <c r="U54" s="250"/>
      <c r="V54" s="250">
        <v>1</v>
      </c>
      <c r="W54" s="250">
        <v>1</v>
      </c>
      <c r="X54" s="250">
        <v>1</v>
      </c>
      <c r="Y54" s="250">
        <v>1</v>
      </c>
      <c r="Z54" s="250">
        <v>1</v>
      </c>
      <c r="AA54" s="250">
        <v>1</v>
      </c>
      <c r="AB54" s="250"/>
      <c r="AC54" s="250"/>
      <c r="AD54" s="250"/>
      <c r="AE54" s="41">
        <f t="shared" si="12"/>
        <v>10</v>
      </c>
      <c r="AF54" s="116" t="s">
        <v>313</v>
      </c>
      <c r="AG54" s="189" t="s">
        <v>642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5" t="s">
        <v>495</v>
      </c>
      <c r="F55" s="41">
        <f t="shared" si="11"/>
        <v>8</v>
      </c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>
        <v>1</v>
      </c>
      <c r="S55" s="250">
        <v>1</v>
      </c>
      <c r="T55" s="250">
        <v>1</v>
      </c>
      <c r="U55" s="250">
        <v>1</v>
      </c>
      <c r="V55" s="250"/>
      <c r="W55" s="250">
        <v>1</v>
      </c>
      <c r="X55" s="250">
        <v>1</v>
      </c>
      <c r="Y55" s="250">
        <v>1</v>
      </c>
      <c r="Z55" s="250">
        <v>1</v>
      </c>
      <c r="AA55" s="250"/>
      <c r="AB55" s="250"/>
      <c r="AC55" s="250"/>
      <c r="AD55" s="250"/>
      <c r="AE55" s="41">
        <f t="shared" si="12"/>
        <v>8</v>
      </c>
      <c r="AF55" s="116" t="s">
        <v>653</v>
      </c>
      <c r="AG55" s="189" t="s">
        <v>642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5" t="s">
        <v>497</v>
      </c>
      <c r="F56" s="41">
        <f t="shared" si="11"/>
        <v>8</v>
      </c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>
        <v>1</v>
      </c>
      <c r="U56" s="250">
        <v>1</v>
      </c>
      <c r="V56" s="250">
        <v>1</v>
      </c>
      <c r="W56" s="250">
        <v>1</v>
      </c>
      <c r="X56" s="250">
        <v>1</v>
      </c>
      <c r="Y56" s="250">
        <v>1</v>
      </c>
      <c r="Z56" s="250">
        <v>1</v>
      </c>
      <c r="AA56" s="250">
        <v>1</v>
      </c>
      <c r="AB56" s="250"/>
      <c r="AC56" s="250"/>
      <c r="AD56" s="250"/>
      <c r="AE56" s="41">
        <f t="shared" si="12"/>
        <v>8</v>
      </c>
      <c r="AF56" s="116" t="s">
        <v>293</v>
      </c>
      <c r="AG56" s="189" t="s">
        <v>642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8</v>
      </c>
      <c r="G57" s="258"/>
      <c r="H57" s="258"/>
      <c r="I57" s="258"/>
      <c r="J57" s="258"/>
      <c r="K57" s="258"/>
      <c r="L57" s="258"/>
      <c r="M57" s="258"/>
      <c r="N57" s="577" t="s">
        <v>292</v>
      </c>
      <c r="O57" s="555"/>
      <c r="P57" s="555"/>
      <c r="Q57" s="555"/>
      <c r="R57" s="555"/>
      <c r="S57" s="555"/>
      <c r="T57" s="555"/>
      <c r="U57" s="555"/>
      <c r="V57" s="250"/>
      <c r="W57" s="42"/>
      <c r="X57" s="42"/>
      <c r="Y57" s="42"/>
      <c r="Z57" s="42"/>
      <c r="AA57" s="42"/>
      <c r="AB57" s="42"/>
      <c r="AC57" s="42"/>
      <c r="AD57" s="42"/>
      <c r="AE57" s="41">
        <v>8</v>
      </c>
      <c r="AF57" s="116" t="s">
        <v>288</v>
      </c>
      <c r="AG57" s="189" t="s">
        <v>642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v>8</v>
      </c>
      <c r="G58" s="258"/>
      <c r="H58" s="258"/>
      <c r="I58" s="258"/>
      <c r="J58" s="258"/>
      <c r="K58" s="258"/>
      <c r="L58" s="258"/>
      <c r="M58" s="258"/>
      <c r="N58" s="273"/>
      <c r="O58" s="273"/>
      <c r="P58" s="273"/>
      <c r="Q58" s="275">
        <v>1</v>
      </c>
      <c r="R58" s="275">
        <v>1</v>
      </c>
      <c r="S58" s="275">
        <v>1</v>
      </c>
      <c r="T58" s="273"/>
      <c r="U58" s="255">
        <v>1</v>
      </c>
      <c r="V58" s="577" t="s">
        <v>292</v>
      </c>
      <c r="W58" s="555"/>
      <c r="X58" s="555"/>
      <c r="Y58" s="555"/>
      <c r="Z58" s="555"/>
      <c r="AA58" s="555"/>
      <c r="AB58" s="555"/>
      <c r="AC58" s="555"/>
      <c r="AD58" s="258"/>
      <c r="AE58" s="41">
        <v>8</v>
      </c>
      <c r="AF58" s="116" t="s">
        <v>654</v>
      </c>
      <c r="AG58" s="189" t="s">
        <v>642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42"/>
      <c r="AA59" s="42"/>
      <c r="AB59" s="42"/>
      <c r="AC59" s="42"/>
      <c r="AD59" s="42"/>
      <c r="AE59" s="41">
        <v>12</v>
      </c>
      <c r="AF59" s="116" t="s">
        <v>66</v>
      </c>
      <c r="AG59" s="189" t="s">
        <v>642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144">
        <v>6</v>
      </c>
      <c r="P62" s="143">
        <v>8</v>
      </c>
      <c r="Q62" s="57">
        <v>9</v>
      </c>
      <c r="R62" s="57">
        <v>9</v>
      </c>
      <c r="S62" s="57">
        <v>9</v>
      </c>
      <c r="T62" s="143">
        <v>8</v>
      </c>
      <c r="U62" s="143">
        <v>8</v>
      </c>
      <c r="V62" s="143">
        <v>8</v>
      </c>
      <c r="W62" s="143">
        <v>8</v>
      </c>
      <c r="X62" s="143">
        <v>8</v>
      </c>
      <c r="Y62" s="143">
        <v>8</v>
      </c>
      <c r="Z62" s="143">
        <v>8</v>
      </c>
      <c r="AA62" s="144">
        <v>6</v>
      </c>
      <c r="AB62" s="56">
        <v>5</v>
      </c>
      <c r="AC62" s="234">
        <v>3</v>
      </c>
      <c r="AD62" s="12">
        <v>2</v>
      </c>
      <c r="AE62" s="18">
        <f>SUM(G62:AD62)</f>
        <v>133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13">G65-G62</f>
        <v>0</v>
      </c>
      <c r="H63" s="28">
        <f t="shared" si="13"/>
        <v>0</v>
      </c>
      <c r="I63" s="28">
        <f t="shared" si="13"/>
        <v>0</v>
      </c>
      <c r="J63" s="28">
        <f t="shared" si="13"/>
        <v>0</v>
      </c>
      <c r="K63" s="28">
        <f t="shared" si="13"/>
        <v>0</v>
      </c>
      <c r="L63" s="28">
        <f t="shared" si="13"/>
        <v>0</v>
      </c>
      <c r="M63" s="28">
        <f t="shared" si="13"/>
        <v>0</v>
      </c>
      <c r="N63" s="28">
        <f t="shared" si="13"/>
        <v>1</v>
      </c>
      <c r="O63" s="28">
        <f t="shared" si="13"/>
        <v>0</v>
      </c>
      <c r="P63" s="28">
        <f t="shared" si="13"/>
        <v>0</v>
      </c>
      <c r="Q63" s="28">
        <f t="shared" si="13"/>
        <v>0</v>
      </c>
      <c r="R63" s="28">
        <f t="shared" si="13"/>
        <v>1</v>
      </c>
      <c r="S63" s="28">
        <f t="shared" si="13"/>
        <v>0</v>
      </c>
      <c r="T63" s="28">
        <f t="shared" si="13"/>
        <v>0</v>
      </c>
      <c r="U63" s="28">
        <f t="shared" si="13"/>
        <v>0</v>
      </c>
      <c r="V63" s="28">
        <f t="shared" si="13"/>
        <v>0</v>
      </c>
      <c r="W63" s="28">
        <f t="shared" si="13"/>
        <v>0</v>
      </c>
      <c r="X63" s="28">
        <f t="shared" si="13"/>
        <v>0</v>
      </c>
      <c r="Y63" s="28">
        <f t="shared" si="13"/>
        <v>0</v>
      </c>
      <c r="Z63" s="28">
        <f t="shared" si="13"/>
        <v>0</v>
      </c>
      <c r="AA63" s="28">
        <f t="shared" si="13"/>
        <v>0</v>
      </c>
      <c r="AB63" s="28">
        <f t="shared" si="13"/>
        <v>0</v>
      </c>
      <c r="AC63" s="28">
        <f t="shared" si="13"/>
        <v>0</v>
      </c>
      <c r="AD63" s="28">
        <f t="shared" si="13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4">SUM(G66:G82)</f>
        <v>2</v>
      </c>
      <c r="H65" s="35">
        <f t="shared" si="14"/>
        <v>2</v>
      </c>
      <c r="I65" s="35">
        <f t="shared" si="14"/>
        <v>2</v>
      </c>
      <c r="J65" s="35">
        <f t="shared" si="14"/>
        <v>2</v>
      </c>
      <c r="K65" s="35">
        <f t="shared" si="14"/>
        <v>2</v>
      </c>
      <c r="L65" s="35">
        <f t="shared" si="14"/>
        <v>2</v>
      </c>
      <c r="M65" s="35">
        <f t="shared" si="14"/>
        <v>4</v>
      </c>
      <c r="N65" s="35">
        <f t="shared" si="14"/>
        <v>5</v>
      </c>
      <c r="O65" s="35">
        <f t="shared" si="14"/>
        <v>6</v>
      </c>
      <c r="P65" s="35">
        <f t="shared" si="14"/>
        <v>8</v>
      </c>
      <c r="Q65" s="35">
        <f t="shared" si="14"/>
        <v>9</v>
      </c>
      <c r="R65" s="35">
        <f t="shared" si="14"/>
        <v>10</v>
      </c>
      <c r="S65" s="35">
        <f t="shared" si="14"/>
        <v>9</v>
      </c>
      <c r="T65" s="35">
        <f t="shared" si="14"/>
        <v>8</v>
      </c>
      <c r="U65" s="35">
        <f t="shared" si="14"/>
        <v>8</v>
      </c>
      <c r="V65" s="35">
        <f t="shared" si="14"/>
        <v>8</v>
      </c>
      <c r="W65" s="35">
        <f t="shared" si="14"/>
        <v>8</v>
      </c>
      <c r="X65" s="35">
        <f t="shared" si="14"/>
        <v>8</v>
      </c>
      <c r="Y65" s="35">
        <f t="shared" si="14"/>
        <v>8</v>
      </c>
      <c r="Z65" s="35">
        <f t="shared" si="14"/>
        <v>8</v>
      </c>
      <c r="AA65" s="35">
        <f t="shared" si="14"/>
        <v>6</v>
      </c>
      <c r="AB65" s="35">
        <f t="shared" si="14"/>
        <v>5</v>
      </c>
      <c r="AC65" s="35">
        <f t="shared" si="14"/>
        <v>3</v>
      </c>
      <c r="AD65" s="35">
        <f t="shared" si="14"/>
        <v>2</v>
      </c>
      <c r="AE65" s="30">
        <f t="shared" ref="AE65:AE79" si="15">SUM(G65:AD65)</f>
        <v>135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6">SUM(G66:AD66)</f>
        <v>8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>
        <v>1</v>
      </c>
      <c r="T66" s="42">
        <v>1</v>
      </c>
      <c r="U66" s="45" t="s">
        <v>47</v>
      </c>
      <c r="V66" s="42">
        <v>1</v>
      </c>
      <c r="W66" s="42">
        <v>1</v>
      </c>
      <c r="X66" s="42">
        <v>1</v>
      </c>
      <c r="Y66" s="42">
        <v>1</v>
      </c>
      <c r="Z66" s="42">
        <v>1</v>
      </c>
      <c r="AA66" s="42">
        <v>1</v>
      </c>
      <c r="AB66" s="42"/>
      <c r="AC66" s="42"/>
      <c r="AD66" s="42"/>
      <c r="AE66" s="41">
        <f t="shared" si="15"/>
        <v>8</v>
      </c>
      <c r="AF66" s="89" t="s">
        <v>312</v>
      </c>
      <c r="AG66" s="189" t="s">
        <v>642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6"/>
        <v>8</v>
      </c>
      <c r="G67" s="42"/>
      <c r="H67" s="42"/>
      <c r="I67" s="42"/>
      <c r="J67" s="42"/>
      <c r="K67" s="42"/>
      <c r="L67" s="42"/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5" t="s">
        <v>47</v>
      </c>
      <c r="V67" s="42"/>
      <c r="W67" s="42"/>
      <c r="X67" s="42"/>
      <c r="Y67" s="42"/>
      <c r="Z67" s="42"/>
      <c r="AA67" s="42"/>
      <c r="AB67" s="42"/>
      <c r="AC67" s="42"/>
      <c r="AD67" s="42"/>
      <c r="AE67" s="41">
        <f t="shared" si="15"/>
        <v>8</v>
      </c>
      <c r="AF67" s="89" t="s">
        <v>244</v>
      </c>
      <c r="AG67" s="189" t="s">
        <v>642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6"/>
        <v>7</v>
      </c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5" t="s">
        <v>47</v>
      </c>
      <c r="W68" s="42">
        <v>1</v>
      </c>
      <c r="X68" s="42">
        <v>1</v>
      </c>
      <c r="Y68" s="42">
        <v>1</v>
      </c>
      <c r="Z68" s="42">
        <v>1</v>
      </c>
      <c r="AA68" s="42">
        <v>1</v>
      </c>
      <c r="AB68" s="42">
        <v>1</v>
      </c>
      <c r="AC68" s="42">
        <v>1</v>
      </c>
      <c r="AD68" s="42"/>
      <c r="AE68" s="41">
        <f t="shared" si="15"/>
        <v>7</v>
      </c>
      <c r="AF68" s="89" t="s">
        <v>218</v>
      </c>
      <c r="AG68" s="189" t="s">
        <v>642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6"/>
        <v>8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>
        <v>1</v>
      </c>
      <c r="S69" s="42">
        <v>1</v>
      </c>
      <c r="T69" s="42">
        <v>1</v>
      </c>
      <c r="U69" s="42">
        <v>1</v>
      </c>
      <c r="V69" s="45" t="s">
        <v>47</v>
      </c>
      <c r="W69" s="42">
        <v>1</v>
      </c>
      <c r="X69" s="42">
        <v>1</v>
      </c>
      <c r="Y69" s="42">
        <v>1</v>
      </c>
      <c r="Z69" s="42">
        <v>1</v>
      </c>
      <c r="AA69" s="42"/>
      <c r="AB69" s="42"/>
      <c r="AC69" s="42"/>
      <c r="AD69" s="42"/>
      <c r="AE69" s="41">
        <f t="shared" si="15"/>
        <v>8</v>
      </c>
      <c r="AF69" s="89" t="s">
        <v>254</v>
      </c>
      <c r="AG69" s="189" t="s">
        <v>642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6"/>
        <v>6</v>
      </c>
      <c r="G70" s="42"/>
      <c r="H70" s="42"/>
      <c r="I70" s="42"/>
      <c r="J70" s="42"/>
      <c r="K70" s="42"/>
      <c r="L70" s="42"/>
      <c r="M70" s="42"/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5" t="s">
        <v>47</v>
      </c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1">
        <f t="shared" si="15"/>
        <v>6</v>
      </c>
      <c r="AF70" s="89" t="s">
        <v>196</v>
      </c>
      <c r="AG70" s="189" t="s">
        <v>642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6"/>
        <v>8</v>
      </c>
      <c r="G71" s="42"/>
      <c r="H71" s="42"/>
      <c r="I71" s="42"/>
      <c r="J71" s="42"/>
      <c r="K71" s="42"/>
      <c r="L71" s="42"/>
      <c r="M71" s="42"/>
      <c r="N71" s="42"/>
      <c r="O71" s="42"/>
      <c r="P71" s="42">
        <v>1</v>
      </c>
      <c r="Q71" s="42">
        <v>1</v>
      </c>
      <c r="R71" s="42">
        <v>1</v>
      </c>
      <c r="S71" s="42">
        <v>1</v>
      </c>
      <c r="T71" s="42">
        <v>1</v>
      </c>
      <c r="U71" s="42">
        <v>1</v>
      </c>
      <c r="V71" s="42">
        <v>1</v>
      </c>
      <c r="W71" s="42">
        <v>1</v>
      </c>
      <c r="X71" s="42"/>
      <c r="Y71" s="42"/>
      <c r="Z71" s="42"/>
      <c r="AA71" s="42"/>
      <c r="AB71" s="42"/>
      <c r="AC71" s="42"/>
      <c r="AD71" s="42"/>
      <c r="AE71" s="41">
        <f t="shared" si="15"/>
        <v>8</v>
      </c>
      <c r="AF71" s="111" t="s">
        <v>269</v>
      </c>
      <c r="AG71" s="189" t="s">
        <v>642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6"/>
        <v>12</v>
      </c>
      <c r="G72" s="42">
        <v>1</v>
      </c>
      <c r="H72" s="42">
        <v>1</v>
      </c>
      <c r="I72" s="42">
        <v>1</v>
      </c>
      <c r="J72" s="42">
        <v>1</v>
      </c>
      <c r="K72" s="42">
        <v>1</v>
      </c>
      <c r="L72" s="42">
        <v>1</v>
      </c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>
        <v>1</v>
      </c>
      <c r="Z72" s="42">
        <v>1</v>
      </c>
      <c r="AA72" s="42">
        <v>1</v>
      </c>
      <c r="AB72" s="42">
        <v>1</v>
      </c>
      <c r="AC72" s="42">
        <v>1</v>
      </c>
      <c r="AD72" s="42">
        <v>1</v>
      </c>
      <c r="AE72" s="41">
        <f t="shared" si="15"/>
        <v>12</v>
      </c>
      <c r="AF72" s="116" t="s">
        <v>221</v>
      </c>
      <c r="AG72" s="189" t="s">
        <v>642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6"/>
        <v>8</v>
      </c>
      <c r="G73" s="42"/>
      <c r="H73" s="42"/>
      <c r="I73" s="42"/>
      <c r="J73" s="42"/>
      <c r="K73" s="42"/>
      <c r="L73" s="42"/>
      <c r="M73" s="42">
        <v>1</v>
      </c>
      <c r="N73" s="42">
        <v>1</v>
      </c>
      <c r="O73" s="42">
        <v>1</v>
      </c>
      <c r="P73" s="42">
        <v>1</v>
      </c>
      <c r="Q73" s="42">
        <v>1</v>
      </c>
      <c r="R73" s="42">
        <v>1</v>
      </c>
      <c r="S73" s="42"/>
      <c r="T73" s="42">
        <v>1</v>
      </c>
      <c r="U73" s="42">
        <v>1</v>
      </c>
      <c r="V73" s="45" t="s">
        <v>47</v>
      </c>
      <c r="W73" s="42"/>
      <c r="X73" s="42"/>
      <c r="Y73" s="42"/>
      <c r="Z73" s="42"/>
      <c r="AA73" s="42"/>
      <c r="AB73" s="42"/>
      <c r="AC73" s="42"/>
      <c r="AD73" s="42"/>
      <c r="AE73" s="41">
        <f t="shared" si="15"/>
        <v>8</v>
      </c>
      <c r="AF73" s="89" t="s">
        <v>224</v>
      </c>
      <c r="AG73" s="189" t="s">
        <v>642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6"/>
        <v>8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5" t="s">
        <v>47</v>
      </c>
      <c r="U74" s="42">
        <v>1</v>
      </c>
      <c r="V74" s="42">
        <v>1</v>
      </c>
      <c r="W74" s="42">
        <v>1</v>
      </c>
      <c r="X74" s="42">
        <v>1</v>
      </c>
      <c r="Y74" s="42">
        <v>1</v>
      </c>
      <c r="Z74" s="42">
        <v>1</v>
      </c>
      <c r="AA74" s="42">
        <v>1</v>
      </c>
      <c r="AB74" s="42">
        <v>1</v>
      </c>
      <c r="AC74" s="42"/>
      <c r="AD74" s="42"/>
      <c r="AE74" s="41">
        <f t="shared" si="15"/>
        <v>8</v>
      </c>
      <c r="AF74" s="116" t="s">
        <v>255</v>
      </c>
      <c r="AG74" s="189" t="s">
        <v>642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6"/>
        <v>8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>
        <v>1</v>
      </c>
      <c r="R75" s="42">
        <v>1</v>
      </c>
      <c r="S75" s="42"/>
      <c r="T75" s="45" t="s">
        <v>47</v>
      </c>
      <c r="U75" s="42">
        <v>1</v>
      </c>
      <c r="V75" s="42">
        <v>1</v>
      </c>
      <c r="W75" s="42">
        <v>1</v>
      </c>
      <c r="X75" s="42">
        <v>1</v>
      </c>
      <c r="Y75" s="42">
        <v>1</v>
      </c>
      <c r="Z75" s="42">
        <v>1</v>
      </c>
      <c r="AA75" s="42"/>
      <c r="AB75" s="42"/>
      <c r="AC75" s="42"/>
      <c r="AD75" s="42"/>
      <c r="AE75" s="41">
        <f t="shared" si="15"/>
        <v>8</v>
      </c>
      <c r="AF75" s="89" t="s">
        <v>655</v>
      </c>
      <c r="AG75" s="189" t="s">
        <v>642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6"/>
        <v>10</v>
      </c>
      <c r="G76" s="42">
        <v>1</v>
      </c>
      <c r="H76" s="42">
        <v>1</v>
      </c>
      <c r="I76" s="42">
        <v>1</v>
      </c>
      <c r="J76" s="42">
        <v>1</v>
      </c>
      <c r="K76" s="42">
        <v>1</v>
      </c>
      <c r="L76" s="42">
        <v>1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>
        <v>1</v>
      </c>
      <c r="AB76" s="42">
        <v>1</v>
      </c>
      <c r="AC76" s="42">
        <v>1</v>
      </c>
      <c r="AD76" s="42">
        <v>1</v>
      </c>
      <c r="AE76" s="41">
        <f t="shared" si="15"/>
        <v>10</v>
      </c>
      <c r="AF76" s="111" t="s">
        <v>556</v>
      </c>
      <c r="AG76" s="189" t="s">
        <v>642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6"/>
        <v>9</v>
      </c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>
        <v>1</v>
      </c>
      <c r="T77" s="42">
        <v>1</v>
      </c>
      <c r="U77" s="45" t="s">
        <v>47</v>
      </c>
      <c r="V77" s="42">
        <v>1</v>
      </c>
      <c r="W77" s="42">
        <v>1</v>
      </c>
      <c r="X77" s="42">
        <v>1</v>
      </c>
      <c r="Y77" s="42">
        <v>1</v>
      </c>
      <c r="Z77" s="42">
        <v>1</v>
      </c>
      <c r="AA77" s="42">
        <v>1</v>
      </c>
      <c r="AB77" s="42">
        <v>1</v>
      </c>
      <c r="AC77" s="42"/>
      <c r="AD77" s="42"/>
      <c r="AE77" s="41">
        <f t="shared" si="15"/>
        <v>9</v>
      </c>
      <c r="AF77" s="116" t="s">
        <v>148</v>
      </c>
      <c r="AG77" s="189" t="s">
        <v>642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6"/>
        <v>8</v>
      </c>
      <c r="G78" s="42"/>
      <c r="H78" s="42"/>
      <c r="I78" s="42"/>
      <c r="J78" s="42"/>
      <c r="K78" s="42"/>
      <c r="L78" s="42"/>
      <c r="M78" s="42">
        <v>1</v>
      </c>
      <c r="N78" s="42">
        <v>1</v>
      </c>
      <c r="O78" s="42">
        <v>1</v>
      </c>
      <c r="P78" s="42">
        <v>1</v>
      </c>
      <c r="Q78" s="42">
        <v>1</v>
      </c>
      <c r="R78" s="42">
        <v>1</v>
      </c>
      <c r="S78" s="42">
        <v>1</v>
      </c>
      <c r="T78" s="42">
        <v>1</v>
      </c>
      <c r="U78" s="45" t="s">
        <v>47</v>
      </c>
      <c r="V78" s="42"/>
      <c r="W78" s="42"/>
      <c r="X78" s="42"/>
      <c r="Y78" s="42"/>
      <c r="Z78" s="42"/>
      <c r="AA78" s="42"/>
      <c r="AB78" s="42"/>
      <c r="AC78" s="42"/>
      <c r="AD78" s="42"/>
      <c r="AE78" s="41">
        <f t="shared" si="15"/>
        <v>8</v>
      </c>
      <c r="AF78" s="89" t="s">
        <v>244</v>
      </c>
      <c r="AG78" s="189" t="s">
        <v>642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6"/>
        <v>9</v>
      </c>
      <c r="G79" s="102"/>
      <c r="H79" s="102"/>
      <c r="I79" s="102"/>
      <c r="J79" s="102"/>
      <c r="K79" s="102"/>
      <c r="L79" s="102"/>
      <c r="M79" s="102"/>
      <c r="N79" s="102"/>
      <c r="O79" s="102"/>
      <c r="P79" s="102">
        <v>1</v>
      </c>
      <c r="Q79" s="102">
        <v>1</v>
      </c>
      <c r="R79" s="102">
        <v>1</v>
      </c>
      <c r="S79" s="45" t="s">
        <v>47</v>
      </c>
      <c r="T79" s="42">
        <v>1</v>
      </c>
      <c r="U79" s="102">
        <v>1</v>
      </c>
      <c r="V79" s="102">
        <v>1</v>
      </c>
      <c r="W79" s="42"/>
      <c r="X79" s="102">
        <v>1</v>
      </c>
      <c r="Y79" s="102">
        <v>1</v>
      </c>
      <c r="Z79" s="102">
        <v>1</v>
      </c>
      <c r="AA79" s="102"/>
      <c r="AB79" s="102"/>
      <c r="AC79" s="102"/>
      <c r="AD79" s="42"/>
      <c r="AE79" s="41">
        <f t="shared" si="15"/>
        <v>9</v>
      </c>
      <c r="AF79" s="116" t="s">
        <v>308</v>
      </c>
      <c r="AG79" s="189" t="s">
        <v>642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6"/>
        <v>0</v>
      </c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45" t="s">
        <v>47</v>
      </c>
      <c r="V80" s="583" t="s">
        <v>209</v>
      </c>
      <c r="W80" s="555"/>
      <c r="X80" s="555"/>
      <c r="Y80" s="555"/>
      <c r="Z80" s="555"/>
      <c r="AA80" s="555"/>
      <c r="AB80" s="555"/>
      <c r="AC80" s="542"/>
      <c r="AD80" s="77"/>
      <c r="AE80" s="41">
        <v>8</v>
      </c>
      <c r="AF80" s="116" t="s">
        <v>81</v>
      </c>
      <c r="AG80" s="189" t="s">
        <v>642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6"/>
        <v>9</v>
      </c>
      <c r="G81" s="42"/>
      <c r="H81" s="42"/>
      <c r="I81" s="42"/>
      <c r="J81" s="42"/>
      <c r="K81" s="42"/>
      <c r="L81" s="42"/>
      <c r="M81" s="42"/>
      <c r="N81" s="42"/>
      <c r="O81" s="42">
        <v>1</v>
      </c>
      <c r="P81" s="42">
        <v>1</v>
      </c>
      <c r="Q81" s="42">
        <v>1</v>
      </c>
      <c r="R81" s="42">
        <v>1</v>
      </c>
      <c r="S81" s="42">
        <v>1</v>
      </c>
      <c r="T81" s="45" t="s">
        <v>47</v>
      </c>
      <c r="U81" s="42">
        <v>1</v>
      </c>
      <c r="V81" s="42">
        <v>1</v>
      </c>
      <c r="W81" s="42">
        <v>1</v>
      </c>
      <c r="X81" s="42">
        <v>1</v>
      </c>
      <c r="Y81" s="42"/>
      <c r="Z81" s="42"/>
      <c r="AA81" s="42"/>
      <c r="AB81" s="42"/>
      <c r="AC81" s="42"/>
      <c r="AD81" s="42"/>
      <c r="AE81" s="41">
        <f t="shared" ref="AE81:AE82" si="17">SUM(G81:AD81)</f>
        <v>9</v>
      </c>
      <c r="AF81" s="116" t="s">
        <v>180</v>
      </c>
      <c r="AG81" s="189" t="s">
        <v>642</v>
      </c>
    </row>
    <row r="82" spans="1:33" ht="14.25" customHeight="1">
      <c r="A82" s="38" t="s">
        <v>145</v>
      </c>
      <c r="B82" s="38" t="s">
        <v>183</v>
      </c>
      <c r="C82" s="38"/>
      <c r="D82" s="39">
        <v>18</v>
      </c>
      <c r="E82" s="40" t="s">
        <v>184</v>
      </c>
      <c r="F82" s="41">
        <f t="shared" si="16"/>
        <v>9</v>
      </c>
      <c r="G82" s="42"/>
      <c r="H82" s="42"/>
      <c r="I82" s="42"/>
      <c r="J82" s="42"/>
      <c r="K82" s="42"/>
      <c r="L82" s="42"/>
      <c r="M82" s="42">
        <v>1</v>
      </c>
      <c r="N82" s="42">
        <v>1</v>
      </c>
      <c r="O82" s="42">
        <v>1</v>
      </c>
      <c r="P82" s="42">
        <v>1</v>
      </c>
      <c r="Q82" s="42">
        <v>1</v>
      </c>
      <c r="R82" s="42">
        <v>1</v>
      </c>
      <c r="S82" s="42">
        <v>1</v>
      </c>
      <c r="T82" s="45" t="s">
        <v>47</v>
      </c>
      <c r="U82" s="42">
        <v>1</v>
      </c>
      <c r="V82" s="42">
        <v>1</v>
      </c>
      <c r="W82" s="42"/>
      <c r="X82" s="42"/>
      <c r="Y82" s="42"/>
      <c r="Z82" s="42"/>
      <c r="AA82" s="42"/>
      <c r="AB82" s="42"/>
      <c r="AC82" s="42"/>
      <c r="AD82" s="42"/>
      <c r="AE82" s="41">
        <f t="shared" si="17"/>
        <v>9</v>
      </c>
      <c r="AF82" s="89" t="s">
        <v>151</v>
      </c>
      <c r="AG82" s="189" t="s">
        <v>642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833D6734-F5E1-4449-B5A1-8C3A51A61651}" filter="1" showAutoFilter="1">
      <pageMargins left="0.7" right="0.7" top="0.75" bottom="0.75" header="0.3" footer="0.3"/>
      <autoFilter ref="A7:AG84" xr:uid="{BCA6D4BD-873F-4AA4-9C39-67C8B28C75FF}">
        <filterColumn colId="26">
          <filters>
            <filter val="-"/>
            <filter val="1"/>
            <filter val="6"/>
            <filter val="CLIENTES VIP"/>
            <filter val="MONITOREOS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68FEA279-F912-4F5E-9EE4-D664F007D437}"/>
    </customSheetView>
    <customSheetView guid="{49BA5E93-E473-4F11-BE7E-FD55CB28D969}" filter="1" showAutoFilter="1">
      <pageMargins left="0.7" right="0.7" top="0.75" bottom="0.75" header="0.3" footer="0.3"/>
      <autoFilter ref="G5:AD84" xr:uid="{347E5C17-94E3-4A15-AA83-676F11911745}">
        <filterColumn colId="15">
          <filters>
            <filter val="-"/>
            <filter val="1"/>
            <filter val="21"/>
            <filter val="8"/>
            <filter val="C"/>
            <filter val="CLIENTES VIP"/>
            <filter val="MONITOREOS"/>
            <filter val="SEGUIMIENTO TRANSFERENCIAS"/>
          </filters>
        </filterColumn>
      </autoFilter>
    </customSheetView>
  </customSheetViews>
  <mergeCells count="13">
    <mergeCell ref="V80:AC80"/>
    <mergeCell ref="A1:B1"/>
    <mergeCell ref="D3:AE3"/>
    <mergeCell ref="E4:F4"/>
    <mergeCell ref="E5:F5"/>
    <mergeCell ref="V35:AC35"/>
    <mergeCell ref="V39:AC39"/>
    <mergeCell ref="V40:AC40"/>
    <mergeCell ref="N42:U42"/>
    <mergeCell ref="N57:U57"/>
    <mergeCell ref="V58:AC58"/>
    <mergeCell ref="O59:Z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G8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13">
        <v>11</v>
      </c>
      <c r="N4" s="56">
        <v>13</v>
      </c>
      <c r="O4" s="83">
        <v>17</v>
      </c>
      <c r="P4" s="80">
        <v>21</v>
      </c>
      <c r="Q4" s="119">
        <v>24</v>
      </c>
      <c r="R4" s="119">
        <v>24</v>
      </c>
      <c r="S4" s="120">
        <v>22</v>
      </c>
      <c r="T4" s="120">
        <v>22</v>
      </c>
      <c r="U4" s="80">
        <v>21</v>
      </c>
      <c r="V4" s="80">
        <v>21</v>
      </c>
      <c r="W4" s="80">
        <v>21</v>
      </c>
      <c r="X4" s="137">
        <v>20</v>
      </c>
      <c r="Y4" s="149">
        <v>19</v>
      </c>
      <c r="Z4" s="83">
        <v>17</v>
      </c>
      <c r="AA4" s="150">
        <v>14</v>
      </c>
      <c r="AB4" s="94">
        <v>10</v>
      </c>
      <c r="AC4" s="225">
        <v>8</v>
      </c>
      <c r="AD4" s="11">
        <v>4</v>
      </c>
      <c r="AE4" s="18">
        <f>SUM(G4:AD4)</f>
        <v>328</v>
      </c>
      <c r="AF4" s="3"/>
      <c r="AG4" s="3"/>
    </row>
    <row r="5" spans="1:33" ht="62.25">
      <c r="A5" s="3"/>
      <c r="B5" s="2"/>
      <c r="C5" s="2"/>
      <c r="D5" s="19"/>
      <c r="E5" s="569">
        <v>14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-1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-1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-1</v>
      </c>
      <c r="W6" s="28">
        <f t="shared" si="0"/>
        <v>-1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1" si="1">SUM(G6:AD6)</f>
        <v>-4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3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11</v>
      </c>
      <c r="N7" s="172">
        <f t="shared" si="2"/>
        <v>13</v>
      </c>
      <c r="O7" s="172">
        <f t="shared" si="2"/>
        <v>17</v>
      </c>
      <c r="P7" s="172">
        <f t="shared" si="2"/>
        <v>21</v>
      </c>
      <c r="Q7" s="172">
        <f t="shared" si="2"/>
        <v>24</v>
      </c>
      <c r="R7" s="172">
        <f t="shared" si="2"/>
        <v>23</v>
      </c>
      <c r="S7" s="172">
        <f t="shared" si="2"/>
        <v>22</v>
      </c>
      <c r="T7" s="172">
        <f t="shared" si="2"/>
        <v>22</v>
      </c>
      <c r="U7" s="172">
        <f t="shared" si="2"/>
        <v>21</v>
      </c>
      <c r="V7" s="172">
        <f t="shared" si="2"/>
        <v>20</v>
      </c>
      <c r="W7" s="172">
        <f t="shared" si="2"/>
        <v>20</v>
      </c>
      <c r="X7" s="172">
        <f t="shared" si="2"/>
        <v>20</v>
      </c>
      <c r="Y7" s="172">
        <f t="shared" si="2"/>
        <v>19</v>
      </c>
      <c r="Z7" s="172">
        <f t="shared" si="2"/>
        <v>17</v>
      </c>
      <c r="AA7" s="172">
        <f t="shared" si="2"/>
        <v>14</v>
      </c>
      <c r="AB7" s="172">
        <f t="shared" si="2"/>
        <v>10</v>
      </c>
      <c r="AC7" s="172">
        <f t="shared" si="2"/>
        <v>8</v>
      </c>
      <c r="AD7" s="172">
        <f t="shared" si="2"/>
        <v>4</v>
      </c>
      <c r="AE7" s="168">
        <f t="shared" si="1"/>
        <v>324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06" t="s">
        <v>46</v>
      </c>
      <c r="F8" s="41">
        <f t="shared" ref="F8:F14" si="3">SUM(G8:AD8)</f>
        <v>9</v>
      </c>
      <c r="G8" s="250"/>
      <c r="H8" s="250"/>
      <c r="I8" s="250"/>
      <c r="J8" s="250"/>
      <c r="K8" s="250"/>
      <c r="L8" s="250"/>
      <c r="M8" s="250">
        <v>1</v>
      </c>
      <c r="N8" s="250">
        <v>1</v>
      </c>
      <c r="O8" s="250">
        <v>1</v>
      </c>
      <c r="P8" s="250">
        <v>1</v>
      </c>
      <c r="Q8" s="250">
        <v>1</v>
      </c>
      <c r="R8" s="250"/>
      <c r="S8" s="255">
        <v>1</v>
      </c>
      <c r="T8" s="250">
        <v>1</v>
      </c>
      <c r="U8" s="250">
        <v>1</v>
      </c>
      <c r="V8" s="250">
        <v>1</v>
      </c>
      <c r="W8" s="250"/>
      <c r="X8" s="250"/>
      <c r="Y8" s="250"/>
      <c r="Z8" s="250"/>
      <c r="AA8" s="250"/>
      <c r="AB8" s="250"/>
      <c r="AC8" s="250"/>
      <c r="AD8" s="250"/>
      <c r="AE8" s="41">
        <f t="shared" si="1"/>
        <v>9</v>
      </c>
      <c r="AF8" s="116" t="s">
        <v>295</v>
      </c>
      <c r="AG8" s="189" t="s">
        <v>656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8</v>
      </c>
      <c r="G9" s="250"/>
      <c r="H9" s="250"/>
      <c r="I9" s="250"/>
      <c r="J9" s="250"/>
      <c r="K9" s="250"/>
      <c r="L9" s="250"/>
      <c r="M9" s="250">
        <v>1</v>
      </c>
      <c r="N9" s="250">
        <v>1</v>
      </c>
      <c r="O9" s="250">
        <v>1</v>
      </c>
      <c r="P9" s="250">
        <v>1</v>
      </c>
      <c r="Q9" s="250">
        <v>1</v>
      </c>
      <c r="R9" s="250">
        <v>1</v>
      </c>
      <c r="S9" s="251" t="s">
        <v>47</v>
      </c>
      <c r="T9" s="250">
        <v>1</v>
      </c>
      <c r="U9" s="250">
        <v>1</v>
      </c>
      <c r="V9" s="250"/>
      <c r="W9" s="250"/>
      <c r="X9" s="250"/>
      <c r="Y9" s="250"/>
      <c r="Z9" s="250"/>
      <c r="AA9" s="250"/>
      <c r="AB9" s="250"/>
      <c r="AC9" s="250"/>
      <c r="AD9" s="250"/>
      <c r="AE9" s="41">
        <f t="shared" si="1"/>
        <v>8</v>
      </c>
      <c r="AF9" s="116" t="s">
        <v>244</v>
      </c>
      <c r="AG9" s="189" t="s">
        <v>656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75" t="s">
        <v>56</v>
      </c>
      <c r="F10" s="41">
        <f t="shared" si="3"/>
        <v>8</v>
      </c>
      <c r="G10" s="250"/>
      <c r="H10" s="250"/>
      <c r="I10" s="250"/>
      <c r="J10" s="250"/>
      <c r="K10" s="250"/>
      <c r="L10" s="250"/>
      <c r="M10" s="250">
        <v>1</v>
      </c>
      <c r="N10" s="250">
        <v>1</v>
      </c>
      <c r="O10" s="250">
        <v>1</v>
      </c>
      <c r="P10" s="250">
        <v>1</v>
      </c>
      <c r="Q10" s="250">
        <v>1</v>
      </c>
      <c r="R10" s="250">
        <v>1</v>
      </c>
      <c r="S10" s="250">
        <v>1</v>
      </c>
      <c r="T10" s="255">
        <v>1</v>
      </c>
      <c r="U10" s="251" t="s">
        <v>47</v>
      </c>
      <c r="V10" s="250"/>
      <c r="W10" s="250"/>
      <c r="X10" s="250"/>
      <c r="Y10" s="250"/>
      <c r="Z10" s="250"/>
      <c r="AA10" s="250"/>
      <c r="AB10" s="250"/>
      <c r="AC10" s="250"/>
      <c r="AD10" s="250"/>
      <c r="AE10" s="41">
        <f t="shared" si="1"/>
        <v>8</v>
      </c>
      <c r="AF10" s="116" t="s">
        <v>244</v>
      </c>
      <c r="AG10" s="189" t="s">
        <v>656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41">
        <f t="shared" si="3"/>
        <v>8</v>
      </c>
      <c r="G11" s="250"/>
      <c r="H11" s="250"/>
      <c r="I11" s="250"/>
      <c r="J11" s="250"/>
      <c r="K11" s="250"/>
      <c r="L11" s="250"/>
      <c r="M11" s="250"/>
      <c r="N11" s="250">
        <v>1</v>
      </c>
      <c r="O11" s="250">
        <v>1</v>
      </c>
      <c r="P11" s="250">
        <v>1</v>
      </c>
      <c r="Q11" s="250">
        <v>1</v>
      </c>
      <c r="R11" s="250">
        <v>1</v>
      </c>
      <c r="S11" s="250">
        <v>1</v>
      </c>
      <c r="T11" s="250">
        <v>1</v>
      </c>
      <c r="U11" s="251" t="s">
        <v>47</v>
      </c>
      <c r="V11" s="250">
        <v>1</v>
      </c>
      <c r="W11" s="250"/>
      <c r="X11" s="250"/>
      <c r="Y11" s="250"/>
      <c r="Z11" s="250"/>
      <c r="AA11" s="250"/>
      <c r="AB11" s="250"/>
      <c r="AC11" s="250"/>
      <c r="AD11" s="250"/>
      <c r="AE11" s="41">
        <f t="shared" si="1"/>
        <v>8</v>
      </c>
      <c r="AF11" s="116" t="s">
        <v>228</v>
      </c>
      <c r="AG11" s="189" t="s">
        <v>656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f t="shared" si="3"/>
        <v>0</v>
      </c>
      <c r="G12" s="250"/>
      <c r="H12" s="250"/>
      <c r="I12" s="250"/>
      <c r="J12" s="250"/>
      <c r="K12" s="250"/>
      <c r="L12" s="250"/>
      <c r="M12" s="250"/>
      <c r="N12" s="250"/>
      <c r="O12" s="274"/>
      <c r="P12" s="274"/>
      <c r="Q12" s="274"/>
      <c r="R12" s="274"/>
      <c r="S12" s="274"/>
      <c r="T12" s="251" t="s">
        <v>47</v>
      </c>
      <c r="U12" s="274"/>
      <c r="V12" s="274"/>
      <c r="W12" s="274"/>
      <c r="X12" s="250"/>
      <c r="Y12" s="250"/>
      <c r="Z12" s="250"/>
      <c r="AA12" s="250"/>
      <c r="AB12" s="250"/>
      <c r="AC12" s="250"/>
      <c r="AD12" s="250"/>
      <c r="AE12" s="41">
        <v>8</v>
      </c>
      <c r="AF12" s="116" t="s">
        <v>298</v>
      </c>
      <c r="AG12" s="189" t="s">
        <v>656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7" t="s">
        <v>60</v>
      </c>
      <c r="F13" s="41">
        <f t="shared" si="3"/>
        <v>11</v>
      </c>
      <c r="G13" s="250">
        <v>1</v>
      </c>
      <c r="H13" s="250">
        <v>1</v>
      </c>
      <c r="I13" s="250">
        <v>1</v>
      </c>
      <c r="J13" s="250">
        <v>1</v>
      </c>
      <c r="K13" s="250">
        <v>1</v>
      </c>
      <c r="L13" s="250">
        <v>1</v>
      </c>
      <c r="M13" s="250">
        <v>1</v>
      </c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>
        <v>1</v>
      </c>
      <c r="AB13" s="250">
        <v>1</v>
      </c>
      <c r="AC13" s="250">
        <v>1</v>
      </c>
      <c r="AD13" s="250">
        <v>1</v>
      </c>
      <c r="AE13" s="41">
        <f t="shared" ref="AE13:AE59" si="4">SUM(G13:AD13)</f>
        <v>11</v>
      </c>
      <c r="AF13" s="116" t="s">
        <v>424</v>
      </c>
      <c r="AG13" s="189" t="s">
        <v>656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11" t="s">
        <v>63</v>
      </c>
      <c r="F14" s="41">
        <f t="shared" si="3"/>
        <v>8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>
        <v>1</v>
      </c>
      <c r="Q14" s="250">
        <v>1</v>
      </c>
      <c r="R14" s="250">
        <v>1</v>
      </c>
      <c r="S14" s="250">
        <v>1</v>
      </c>
      <c r="T14" s="251" t="s">
        <v>47</v>
      </c>
      <c r="U14" s="250">
        <v>1</v>
      </c>
      <c r="V14" s="250">
        <v>1</v>
      </c>
      <c r="W14" s="250"/>
      <c r="X14" s="250">
        <v>1</v>
      </c>
      <c r="Y14" s="250">
        <v>1</v>
      </c>
      <c r="Z14" s="250"/>
      <c r="AA14" s="250"/>
      <c r="AB14" s="250"/>
      <c r="AC14" s="250"/>
      <c r="AD14" s="250"/>
      <c r="AE14" s="41">
        <f t="shared" si="4"/>
        <v>8</v>
      </c>
      <c r="AF14" s="116" t="s">
        <v>649</v>
      </c>
      <c r="AG14" s="189" t="s">
        <v>656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68" t="s">
        <v>65</v>
      </c>
      <c r="F15" s="41">
        <v>10</v>
      </c>
      <c r="G15" s="250"/>
      <c r="H15" s="250"/>
      <c r="I15" s="250"/>
      <c r="J15" s="250"/>
      <c r="K15" s="250"/>
      <c r="L15" s="250"/>
      <c r="M15" s="250"/>
      <c r="N15" s="250">
        <v>1</v>
      </c>
      <c r="O15" s="250">
        <v>1</v>
      </c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1" t="s">
        <v>47</v>
      </c>
      <c r="V15" s="250"/>
      <c r="W15" s="250"/>
      <c r="X15" s="250"/>
      <c r="Y15" s="250"/>
      <c r="Z15" s="250"/>
      <c r="AA15" s="250"/>
      <c r="AB15" s="250"/>
      <c r="AC15" s="250"/>
      <c r="AD15" s="250"/>
      <c r="AE15" s="41">
        <f t="shared" si="4"/>
        <v>7</v>
      </c>
      <c r="AF15" s="116" t="s">
        <v>288</v>
      </c>
      <c r="AG15" s="189" t="s">
        <v>656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208" t="s">
        <v>71</v>
      </c>
      <c r="F16" s="41">
        <f t="shared" ref="F16:F19" si="5">SUM(G16:AD16)</f>
        <v>7</v>
      </c>
      <c r="G16" s="250"/>
      <c r="H16" s="250"/>
      <c r="I16" s="250"/>
      <c r="J16" s="250"/>
      <c r="K16" s="250"/>
      <c r="L16" s="250"/>
      <c r="M16" s="250"/>
      <c r="N16" s="250">
        <v>1</v>
      </c>
      <c r="O16" s="250">
        <v>1</v>
      </c>
      <c r="P16" s="250">
        <v>1</v>
      </c>
      <c r="Q16" s="250">
        <v>1</v>
      </c>
      <c r="R16" s="250">
        <v>1</v>
      </c>
      <c r="S16" s="251" t="s">
        <v>47</v>
      </c>
      <c r="T16" s="250">
        <v>1</v>
      </c>
      <c r="U16" s="250">
        <v>1</v>
      </c>
      <c r="V16" s="250"/>
      <c r="W16" s="250"/>
      <c r="X16" s="250"/>
      <c r="Y16" s="250"/>
      <c r="Z16" s="250"/>
      <c r="AA16" s="250"/>
      <c r="AB16" s="250"/>
      <c r="AC16" s="250"/>
      <c r="AD16" s="250"/>
      <c r="AE16" s="41">
        <f t="shared" si="4"/>
        <v>7</v>
      </c>
      <c r="AF16" s="116" t="s">
        <v>288</v>
      </c>
      <c r="AG16" s="189" t="s">
        <v>656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208" t="s">
        <v>73</v>
      </c>
      <c r="F17" s="41">
        <f t="shared" si="5"/>
        <v>7</v>
      </c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1" t="s">
        <v>47</v>
      </c>
      <c r="T17" s="250">
        <v>1</v>
      </c>
      <c r="U17" s="250">
        <v>1</v>
      </c>
      <c r="V17" s="250">
        <v>1</v>
      </c>
      <c r="W17" s="250">
        <v>1</v>
      </c>
      <c r="X17" s="250">
        <v>1</v>
      </c>
      <c r="Y17" s="250">
        <v>1</v>
      </c>
      <c r="Z17" s="250">
        <v>1</v>
      </c>
      <c r="AA17" s="250"/>
      <c r="AB17" s="250"/>
      <c r="AC17" s="250"/>
      <c r="AD17" s="250"/>
      <c r="AE17" s="41">
        <f t="shared" si="4"/>
        <v>7</v>
      </c>
      <c r="AF17" s="116" t="s">
        <v>365</v>
      </c>
      <c r="AG17" s="189" t="s">
        <v>656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5"/>
        <v>8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>
        <v>1</v>
      </c>
      <c r="X18" s="250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>
        <v>1</v>
      </c>
      <c r="AE18" s="41">
        <f t="shared" si="4"/>
        <v>8</v>
      </c>
      <c r="AF18" s="116" t="s">
        <v>377</v>
      </c>
      <c r="AG18" s="189" t="s">
        <v>656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75" t="s">
        <v>83</v>
      </c>
      <c r="F19" s="41">
        <f t="shared" si="5"/>
        <v>7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1" t="s">
        <v>47</v>
      </c>
      <c r="V19" s="250">
        <v>1</v>
      </c>
      <c r="W19" s="250">
        <v>1</v>
      </c>
      <c r="X19" s="250">
        <v>1</v>
      </c>
      <c r="Y19" s="250"/>
      <c r="Z19" s="250">
        <v>1</v>
      </c>
      <c r="AA19" s="250">
        <v>1</v>
      </c>
      <c r="AB19" s="250">
        <v>1</v>
      </c>
      <c r="AC19" s="250">
        <v>1</v>
      </c>
      <c r="AD19" s="250"/>
      <c r="AE19" s="41">
        <f t="shared" si="4"/>
        <v>7</v>
      </c>
      <c r="AF19" s="116" t="s">
        <v>657</v>
      </c>
      <c r="AG19" s="189" t="s">
        <v>656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210"/>
      <c r="Q20" s="269"/>
      <c r="R20" s="269"/>
      <c r="S20" s="269"/>
      <c r="T20" s="269" t="s">
        <v>471</v>
      </c>
      <c r="U20" s="251"/>
      <c r="V20" s="269"/>
      <c r="W20" s="269"/>
      <c r="X20" s="269"/>
      <c r="Y20" s="269"/>
      <c r="Z20" s="270"/>
      <c r="AA20" s="250"/>
      <c r="AB20" s="77"/>
      <c r="AC20" s="42"/>
      <c r="AD20" s="42"/>
      <c r="AE20" s="41">
        <f t="shared" si="4"/>
        <v>0</v>
      </c>
      <c r="AF20" s="116" t="s">
        <v>164</v>
      </c>
      <c r="AG20" s="189" t="s">
        <v>656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06" t="s">
        <v>91</v>
      </c>
      <c r="F21" s="41">
        <f t="shared" ref="F21:F28" si="6">SUM(G21:AD21)</f>
        <v>8</v>
      </c>
      <c r="G21" s="250"/>
      <c r="H21" s="250"/>
      <c r="I21" s="250"/>
      <c r="J21" s="250"/>
      <c r="K21" s="250"/>
      <c r="L21" s="250"/>
      <c r="M21" s="250">
        <v>1</v>
      </c>
      <c r="N21" s="250">
        <v>1</v>
      </c>
      <c r="O21" s="250">
        <v>1</v>
      </c>
      <c r="P21" s="250">
        <v>1</v>
      </c>
      <c r="Q21" s="250">
        <v>1</v>
      </c>
      <c r="R21" s="250">
        <v>1</v>
      </c>
      <c r="S21" s="250">
        <v>1</v>
      </c>
      <c r="T21" s="250">
        <v>1</v>
      </c>
      <c r="U21" s="251" t="s">
        <v>47</v>
      </c>
      <c r="V21" s="250"/>
      <c r="W21" s="250"/>
      <c r="X21" s="250"/>
      <c r="Y21" s="250"/>
      <c r="Z21" s="250"/>
      <c r="AA21" s="250"/>
      <c r="AB21" s="250"/>
      <c r="AC21" s="250"/>
      <c r="AD21" s="250"/>
      <c r="AE21" s="41">
        <f t="shared" si="4"/>
        <v>8</v>
      </c>
      <c r="AF21" s="116" t="s">
        <v>658</v>
      </c>
      <c r="AG21" s="189" t="s">
        <v>656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07" t="s">
        <v>93</v>
      </c>
      <c r="F22" s="41">
        <f t="shared" si="6"/>
        <v>7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>
        <v>1</v>
      </c>
      <c r="U22" s="251" t="s">
        <v>47</v>
      </c>
      <c r="V22" s="250">
        <v>1</v>
      </c>
      <c r="W22" s="250">
        <v>1</v>
      </c>
      <c r="X22" s="250">
        <v>1</v>
      </c>
      <c r="Y22" s="250">
        <v>1</v>
      </c>
      <c r="Z22" s="250">
        <v>1</v>
      </c>
      <c r="AA22" s="250">
        <v>1</v>
      </c>
      <c r="AB22" s="250"/>
      <c r="AC22" s="250"/>
      <c r="AD22" s="250"/>
      <c r="AE22" s="41">
        <f t="shared" si="4"/>
        <v>7</v>
      </c>
      <c r="AF22" s="116" t="s">
        <v>293</v>
      </c>
      <c r="AG22" s="189" t="s">
        <v>656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68" t="s">
        <v>95</v>
      </c>
      <c r="F23" s="41">
        <f t="shared" si="6"/>
        <v>8</v>
      </c>
      <c r="G23" s="250"/>
      <c r="H23" s="250"/>
      <c r="I23" s="250"/>
      <c r="J23" s="250"/>
      <c r="K23" s="250"/>
      <c r="L23" s="250"/>
      <c r="M23" s="250">
        <v>1</v>
      </c>
      <c r="N23" s="250">
        <v>1</v>
      </c>
      <c r="O23" s="250">
        <v>1</v>
      </c>
      <c r="P23" s="250">
        <v>1</v>
      </c>
      <c r="Q23" s="250">
        <v>1</v>
      </c>
      <c r="R23" s="250">
        <v>1</v>
      </c>
      <c r="S23" s="251" t="s">
        <v>47</v>
      </c>
      <c r="T23" s="250">
        <v>1</v>
      </c>
      <c r="U23" s="250">
        <v>1</v>
      </c>
      <c r="V23" s="250"/>
      <c r="W23" s="250"/>
      <c r="X23" s="250"/>
      <c r="Y23" s="250"/>
      <c r="Z23" s="250"/>
      <c r="AA23" s="250"/>
      <c r="AB23" s="250"/>
      <c r="AC23" s="250"/>
      <c r="AD23" s="250"/>
      <c r="AE23" s="41">
        <f t="shared" si="4"/>
        <v>8</v>
      </c>
      <c r="AF23" s="116" t="s">
        <v>244</v>
      </c>
      <c r="AG23" s="189" t="s">
        <v>656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11" t="s">
        <v>99</v>
      </c>
      <c r="F24" s="41">
        <f t="shared" si="6"/>
        <v>6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1" t="s">
        <v>47</v>
      </c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/>
      <c r="AC24" s="250"/>
      <c r="AD24" s="250"/>
      <c r="AE24" s="41">
        <f t="shared" si="4"/>
        <v>6</v>
      </c>
      <c r="AF24" s="116" t="s">
        <v>100</v>
      </c>
      <c r="AG24" s="189" t="s">
        <v>656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11" t="s">
        <v>102</v>
      </c>
      <c r="F25" s="41">
        <f t="shared" si="6"/>
        <v>8</v>
      </c>
      <c r="G25" s="250"/>
      <c r="H25" s="250"/>
      <c r="I25" s="250"/>
      <c r="J25" s="250"/>
      <c r="K25" s="250"/>
      <c r="L25" s="250"/>
      <c r="M25" s="250">
        <v>1</v>
      </c>
      <c r="N25" s="250">
        <v>1</v>
      </c>
      <c r="O25" s="250">
        <v>1</v>
      </c>
      <c r="P25" s="250">
        <v>1</v>
      </c>
      <c r="Q25" s="250">
        <v>1</v>
      </c>
      <c r="R25" s="250">
        <v>1</v>
      </c>
      <c r="S25" s="250">
        <v>1</v>
      </c>
      <c r="T25" s="251" t="s">
        <v>47</v>
      </c>
      <c r="U25" s="250">
        <v>1</v>
      </c>
      <c r="V25" s="250"/>
      <c r="W25" s="250"/>
      <c r="X25" s="250"/>
      <c r="Y25" s="250"/>
      <c r="Z25" s="250"/>
      <c r="AA25" s="250"/>
      <c r="AB25" s="250"/>
      <c r="AC25" s="250"/>
      <c r="AD25" s="250"/>
      <c r="AE25" s="41">
        <f t="shared" si="4"/>
        <v>8</v>
      </c>
      <c r="AF25" s="116" t="s">
        <v>244</v>
      </c>
      <c r="AG25" s="189" t="s">
        <v>656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7" t="s">
        <v>104</v>
      </c>
      <c r="F26" s="41">
        <f t="shared" si="6"/>
        <v>8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1" t="s">
        <v>47</v>
      </c>
      <c r="V26" s="250">
        <v>1</v>
      </c>
      <c r="W26" s="250">
        <v>1</v>
      </c>
      <c r="X26" s="250">
        <v>1</v>
      </c>
      <c r="Y26" s="250">
        <v>1</v>
      </c>
      <c r="Z26" s="250">
        <v>1</v>
      </c>
      <c r="AA26" s="250">
        <v>1</v>
      </c>
      <c r="AB26" s="250">
        <v>1</v>
      </c>
      <c r="AC26" s="250">
        <v>1</v>
      </c>
      <c r="AD26" s="250"/>
      <c r="AE26" s="41">
        <f t="shared" si="4"/>
        <v>8</v>
      </c>
      <c r="AF26" s="116" t="s">
        <v>81</v>
      </c>
      <c r="AG26" s="189" t="s">
        <v>656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7" t="s">
        <v>333</v>
      </c>
      <c r="F27" s="41">
        <f t="shared" si="6"/>
        <v>6</v>
      </c>
      <c r="G27" s="250"/>
      <c r="H27" s="250"/>
      <c r="I27" s="250"/>
      <c r="J27" s="250"/>
      <c r="K27" s="250"/>
      <c r="L27" s="250"/>
      <c r="M27" s="250"/>
      <c r="N27" s="250"/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>
        <v>1</v>
      </c>
      <c r="U27" s="251" t="s">
        <v>47</v>
      </c>
      <c r="V27" s="250"/>
      <c r="W27" s="250"/>
      <c r="X27" s="250"/>
      <c r="Y27" s="250"/>
      <c r="Z27" s="250"/>
      <c r="AA27" s="250"/>
      <c r="AB27" s="250"/>
      <c r="AC27" s="250"/>
      <c r="AD27" s="250"/>
      <c r="AE27" s="41">
        <f t="shared" si="4"/>
        <v>6</v>
      </c>
      <c r="AF27" s="116" t="s">
        <v>87</v>
      </c>
      <c r="AG27" s="189" t="s">
        <v>656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07" t="s">
        <v>172</v>
      </c>
      <c r="F28" s="41">
        <f t="shared" si="6"/>
        <v>8</v>
      </c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1" t="s">
        <v>47</v>
      </c>
      <c r="U28" s="250">
        <v>1</v>
      </c>
      <c r="V28" s="250">
        <v>1</v>
      </c>
      <c r="W28" s="250"/>
      <c r="X28" s="250">
        <v>1</v>
      </c>
      <c r="Y28" s="250">
        <v>1</v>
      </c>
      <c r="Z28" s="250">
        <v>1</v>
      </c>
      <c r="AA28" s="250">
        <v>1</v>
      </c>
      <c r="AB28" s="250">
        <v>1</v>
      </c>
      <c r="AC28" s="250">
        <v>1</v>
      </c>
      <c r="AD28" s="250"/>
      <c r="AE28" s="41">
        <f t="shared" si="4"/>
        <v>8</v>
      </c>
      <c r="AF28" s="116" t="s">
        <v>659</v>
      </c>
      <c r="AG28" s="189" t="s">
        <v>656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68" t="s">
        <v>106</v>
      </c>
      <c r="F29" s="41">
        <v>0</v>
      </c>
      <c r="G29" s="250"/>
      <c r="H29" s="250"/>
      <c r="I29" s="250"/>
      <c r="J29" s="250"/>
      <c r="K29" s="250"/>
      <c r="L29" s="250"/>
      <c r="M29" s="250">
        <v>1</v>
      </c>
      <c r="N29" s="250">
        <v>1</v>
      </c>
      <c r="O29" s="250">
        <v>1</v>
      </c>
      <c r="P29" s="250">
        <v>1</v>
      </c>
      <c r="Q29" s="250">
        <v>1</v>
      </c>
      <c r="R29" s="250">
        <v>1</v>
      </c>
      <c r="S29" s="250">
        <v>1</v>
      </c>
      <c r="T29" s="250">
        <v>1</v>
      </c>
      <c r="U29" s="251" t="s">
        <v>47</v>
      </c>
      <c r="V29" s="250"/>
      <c r="W29" s="250"/>
      <c r="X29" s="250"/>
      <c r="Y29" s="250"/>
      <c r="Z29" s="250"/>
      <c r="AA29" s="250"/>
      <c r="AB29" s="250"/>
      <c r="AC29" s="250"/>
      <c r="AD29" s="250"/>
      <c r="AE29" s="41">
        <f t="shared" si="4"/>
        <v>8</v>
      </c>
      <c r="AF29" s="116" t="s">
        <v>244</v>
      </c>
      <c r="AG29" s="189" t="s">
        <v>656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7" t="s">
        <v>112</v>
      </c>
      <c r="F30" s="41">
        <f t="shared" ref="F30:F32" si="7">SUM(G30:AD30)</f>
        <v>8</v>
      </c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1" t="s">
        <v>47</v>
      </c>
      <c r="U30" s="250">
        <v>1</v>
      </c>
      <c r="V30" s="250">
        <v>1</v>
      </c>
      <c r="W30" s="250">
        <v>1</v>
      </c>
      <c r="X30" s="250">
        <v>1</v>
      </c>
      <c r="Y30" s="250">
        <v>1</v>
      </c>
      <c r="Z30" s="250">
        <v>1</v>
      </c>
      <c r="AA30" s="250">
        <v>1</v>
      </c>
      <c r="AB30" s="250">
        <v>1</v>
      </c>
      <c r="AC30" s="250"/>
      <c r="AD30" s="250"/>
      <c r="AE30" s="41">
        <f t="shared" si="4"/>
        <v>8</v>
      </c>
      <c r="AF30" s="116" t="s">
        <v>255</v>
      </c>
      <c r="AG30" s="189" t="s">
        <v>656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07" t="s">
        <v>116</v>
      </c>
      <c r="F31" s="41">
        <f t="shared" si="7"/>
        <v>11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>
        <v>1</v>
      </c>
      <c r="AB31" s="250">
        <v>1</v>
      </c>
      <c r="AC31" s="250">
        <v>1</v>
      </c>
      <c r="AD31" s="250">
        <v>1</v>
      </c>
      <c r="AE31" s="41">
        <f t="shared" si="4"/>
        <v>11</v>
      </c>
      <c r="AF31" s="116" t="s">
        <v>424</v>
      </c>
      <c r="AG31" s="189" t="s">
        <v>656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7" t="s">
        <v>121</v>
      </c>
      <c r="F32" s="41">
        <f t="shared" si="7"/>
        <v>11</v>
      </c>
      <c r="G32" s="250">
        <v>1</v>
      </c>
      <c r="H32" s="250">
        <v>1</v>
      </c>
      <c r="I32" s="250">
        <v>1</v>
      </c>
      <c r="J32" s="250">
        <v>1</v>
      </c>
      <c r="K32" s="250">
        <v>1</v>
      </c>
      <c r="L32" s="250">
        <v>1</v>
      </c>
      <c r="M32" s="250">
        <v>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>
        <v>1</v>
      </c>
      <c r="AB32" s="250">
        <v>1</v>
      </c>
      <c r="AC32" s="250">
        <v>1</v>
      </c>
      <c r="AD32" s="250">
        <v>1</v>
      </c>
      <c r="AE32" s="41">
        <f t="shared" si="4"/>
        <v>11</v>
      </c>
      <c r="AF32" s="116" t="s">
        <v>424</v>
      </c>
      <c r="AG32" s="189" t="s">
        <v>656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8" t="s">
        <v>123</v>
      </c>
      <c r="F33" s="41">
        <v>12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>
        <v>1</v>
      </c>
      <c r="R33" s="250">
        <v>1</v>
      </c>
      <c r="S33" s="250">
        <v>1</v>
      </c>
      <c r="T33" s="251" t="s">
        <v>47</v>
      </c>
      <c r="U33" s="269">
        <v>1</v>
      </c>
      <c r="V33" s="250">
        <v>1</v>
      </c>
      <c r="W33" s="250">
        <v>1</v>
      </c>
      <c r="X33" s="250">
        <v>1</v>
      </c>
      <c r="Y33" s="250">
        <v>1</v>
      </c>
      <c r="Z33" s="250"/>
      <c r="AA33" s="250"/>
      <c r="AB33" s="250"/>
      <c r="AC33" s="250"/>
      <c r="AD33" s="250"/>
      <c r="AE33" s="41">
        <f t="shared" si="4"/>
        <v>8</v>
      </c>
      <c r="AF33" s="116" t="s">
        <v>368</v>
      </c>
      <c r="AG33" s="189" t="s">
        <v>656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7" t="s">
        <v>125</v>
      </c>
      <c r="F34" s="41">
        <f>SUM(G34:AD34)</f>
        <v>8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1" t="s">
        <v>47</v>
      </c>
      <c r="U34" s="250">
        <v>1</v>
      </c>
      <c r="V34" s="250">
        <v>1</v>
      </c>
      <c r="W34" s="250">
        <v>1</v>
      </c>
      <c r="X34" s="250">
        <v>1</v>
      </c>
      <c r="Y34" s="250">
        <v>1</v>
      </c>
      <c r="Z34" s="250">
        <v>1</v>
      </c>
      <c r="AA34" s="250">
        <v>1</v>
      </c>
      <c r="AB34" s="250">
        <v>1</v>
      </c>
      <c r="AC34" s="250"/>
      <c r="AD34" s="250"/>
      <c r="AE34" s="41">
        <f t="shared" si="4"/>
        <v>8</v>
      </c>
      <c r="AF34" s="116" t="s">
        <v>255</v>
      </c>
      <c r="AG34" s="189" t="s">
        <v>656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72" t="s">
        <v>127</v>
      </c>
      <c r="F35" s="41">
        <v>10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41">
        <f t="shared" si="4"/>
        <v>0</v>
      </c>
      <c r="AF35" s="116" t="s">
        <v>365</v>
      </c>
      <c r="AG35" s="189" t="s">
        <v>656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07" t="s">
        <v>129</v>
      </c>
      <c r="F36" s="41">
        <f t="shared" ref="F36:F38" si="8">SUM(G36:AD36)</f>
        <v>8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1" t="s">
        <v>47</v>
      </c>
      <c r="V36" s="250">
        <v>1</v>
      </c>
      <c r="W36" s="250">
        <v>1</v>
      </c>
      <c r="X36" s="250">
        <v>1</v>
      </c>
      <c r="Y36" s="250">
        <v>1</v>
      </c>
      <c r="Z36" s="250">
        <v>1</v>
      </c>
      <c r="AA36" s="250">
        <v>1</v>
      </c>
      <c r="AB36" s="250">
        <v>1</v>
      </c>
      <c r="AC36" s="250">
        <v>1</v>
      </c>
      <c r="AD36" s="250"/>
      <c r="AE36" s="41">
        <f t="shared" si="4"/>
        <v>8</v>
      </c>
      <c r="AF36" s="116" t="s">
        <v>81</v>
      </c>
      <c r="AG36" s="189" t="s">
        <v>656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11" t="s">
        <v>131</v>
      </c>
      <c r="F37" s="41">
        <f t="shared" si="8"/>
        <v>8</v>
      </c>
      <c r="G37" s="250"/>
      <c r="H37" s="250"/>
      <c r="I37" s="250"/>
      <c r="J37" s="250"/>
      <c r="K37" s="250"/>
      <c r="L37" s="250"/>
      <c r="M37" s="250">
        <v>1</v>
      </c>
      <c r="N37" s="250">
        <v>1</v>
      </c>
      <c r="O37" s="250">
        <v>1</v>
      </c>
      <c r="P37" s="250">
        <v>1</v>
      </c>
      <c r="Q37" s="250">
        <v>1</v>
      </c>
      <c r="R37" s="250">
        <v>1</v>
      </c>
      <c r="S37" s="250">
        <v>1</v>
      </c>
      <c r="T37" s="250">
        <v>1</v>
      </c>
      <c r="U37" s="251" t="s">
        <v>47</v>
      </c>
      <c r="V37" s="250"/>
      <c r="W37" s="250"/>
      <c r="X37" s="250"/>
      <c r="Y37" s="250"/>
      <c r="Z37" s="250"/>
      <c r="AA37" s="250"/>
      <c r="AB37" s="250"/>
      <c r="AC37" s="250"/>
      <c r="AD37" s="250"/>
      <c r="AE37" s="41">
        <f t="shared" si="4"/>
        <v>8</v>
      </c>
      <c r="AF37" s="116" t="s">
        <v>660</v>
      </c>
      <c r="AG37" s="189" t="s">
        <v>656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72" t="s">
        <v>50</v>
      </c>
      <c r="F38" s="41">
        <f t="shared" si="8"/>
        <v>7</v>
      </c>
      <c r="G38" s="250"/>
      <c r="H38" s="250"/>
      <c r="I38" s="250"/>
      <c r="J38" s="250"/>
      <c r="K38" s="250"/>
      <c r="L38" s="250"/>
      <c r="M38" s="250"/>
      <c r="N38" s="250"/>
      <c r="O38" s="250">
        <v>1</v>
      </c>
      <c r="P38" s="250">
        <v>1</v>
      </c>
      <c r="Q38" s="250">
        <v>1</v>
      </c>
      <c r="R38" s="250">
        <v>1</v>
      </c>
      <c r="S38" s="250">
        <v>1</v>
      </c>
      <c r="T38" s="251" t="s">
        <v>47</v>
      </c>
      <c r="U38" s="250">
        <v>1</v>
      </c>
      <c r="V38" s="250">
        <v>1</v>
      </c>
      <c r="W38" s="250"/>
      <c r="X38" s="250"/>
      <c r="Y38" s="250"/>
      <c r="Z38" s="250"/>
      <c r="AA38" s="250"/>
      <c r="AB38" s="250"/>
      <c r="AC38" s="250"/>
      <c r="AD38" s="250"/>
      <c r="AE38" s="41">
        <f t="shared" si="4"/>
        <v>7</v>
      </c>
      <c r="AF38" s="111" t="s">
        <v>258</v>
      </c>
      <c r="AG38" s="189" t="s">
        <v>656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72" t="s">
        <v>135</v>
      </c>
      <c r="F39" s="41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1" t="s">
        <v>47</v>
      </c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41">
        <f t="shared" si="4"/>
        <v>0</v>
      </c>
      <c r="AF39" s="116" t="s">
        <v>81</v>
      </c>
      <c r="AG39" s="189" t="s">
        <v>656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72" t="s">
        <v>140</v>
      </c>
      <c r="F40" s="41">
        <v>9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1" t="s">
        <v>47</v>
      </c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41">
        <f t="shared" si="4"/>
        <v>0</v>
      </c>
      <c r="AF40" s="116" t="s">
        <v>218</v>
      </c>
      <c r="AG40" s="189" t="s">
        <v>656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7" t="s">
        <v>118</v>
      </c>
      <c r="F41" s="41">
        <f>SUM(G41:AD41)</f>
        <v>8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>
        <v>1</v>
      </c>
      <c r="T41" s="250">
        <v>1</v>
      </c>
      <c r="U41" s="251" t="s">
        <v>47</v>
      </c>
      <c r="V41" s="250">
        <v>1</v>
      </c>
      <c r="W41" s="250">
        <v>1</v>
      </c>
      <c r="X41" s="250">
        <v>1</v>
      </c>
      <c r="Y41" s="250">
        <v>1</v>
      </c>
      <c r="Z41" s="250">
        <v>1</v>
      </c>
      <c r="AA41" s="250">
        <v>1</v>
      </c>
      <c r="AB41" s="250"/>
      <c r="AC41" s="250"/>
      <c r="AD41" s="250"/>
      <c r="AE41" s="41">
        <f t="shared" si="4"/>
        <v>8</v>
      </c>
      <c r="AF41" s="116" t="s">
        <v>312</v>
      </c>
      <c r="AG41" s="189" t="s">
        <v>656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72" t="s">
        <v>143</v>
      </c>
      <c r="F42" s="41">
        <v>9</v>
      </c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1" t="s">
        <v>47</v>
      </c>
      <c r="V42" s="583" t="s">
        <v>209</v>
      </c>
      <c r="W42" s="555"/>
      <c r="X42" s="555"/>
      <c r="Y42" s="555"/>
      <c r="Z42" s="555"/>
      <c r="AA42" s="555"/>
      <c r="AB42" s="555"/>
      <c r="AC42" s="542"/>
      <c r="AD42" s="250"/>
      <c r="AE42" s="41">
        <f t="shared" si="4"/>
        <v>0</v>
      </c>
      <c r="AF42" s="116" t="s">
        <v>81</v>
      </c>
      <c r="AG42" s="189" t="s">
        <v>656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5" t="s">
        <v>455</v>
      </c>
      <c r="F43" s="41">
        <f t="shared" ref="F43:F56" si="9">SUM(G43:AD43)</f>
        <v>7</v>
      </c>
      <c r="G43" s="250"/>
      <c r="H43" s="250"/>
      <c r="I43" s="250"/>
      <c r="J43" s="250"/>
      <c r="K43" s="250"/>
      <c r="L43" s="250"/>
      <c r="M43" s="250"/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1" t="s">
        <v>47</v>
      </c>
      <c r="V43" s="250"/>
      <c r="W43" s="250"/>
      <c r="X43" s="250"/>
      <c r="Y43" s="250"/>
      <c r="Z43" s="250"/>
      <c r="AA43" s="250"/>
      <c r="AB43" s="250"/>
      <c r="AC43" s="250"/>
      <c r="AD43" s="250"/>
      <c r="AE43" s="41">
        <f t="shared" si="4"/>
        <v>7</v>
      </c>
      <c r="AF43" s="116" t="s">
        <v>288</v>
      </c>
      <c r="AG43" s="189" t="s">
        <v>656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5" t="s">
        <v>457</v>
      </c>
      <c r="F44" s="41">
        <f t="shared" si="9"/>
        <v>7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1" t="s">
        <v>47</v>
      </c>
      <c r="U44" s="250">
        <v>1</v>
      </c>
      <c r="V44" s="250">
        <v>1</v>
      </c>
      <c r="W44" s="250">
        <v>1</v>
      </c>
      <c r="X44" s="250">
        <v>1</v>
      </c>
      <c r="Y44" s="250">
        <v>1</v>
      </c>
      <c r="Z44" s="250">
        <v>1</v>
      </c>
      <c r="AA44" s="250">
        <v>1</v>
      </c>
      <c r="AB44" s="250"/>
      <c r="AC44" s="250"/>
      <c r="AD44" s="250"/>
      <c r="AE44" s="41">
        <f t="shared" si="4"/>
        <v>7</v>
      </c>
      <c r="AF44" s="116" t="s">
        <v>293</v>
      </c>
      <c r="AG44" s="189" t="s">
        <v>656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5" t="s">
        <v>460</v>
      </c>
      <c r="F45" s="41">
        <f t="shared" si="9"/>
        <v>7</v>
      </c>
      <c r="G45" s="250"/>
      <c r="H45" s="250"/>
      <c r="I45" s="250"/>
      <c r="J45" s="250"/>
      <c r="K45" s="250"/>
      <c r="L45" s="250"/>
      <c r="M45" s="250"/>
      <c r="N45" s="250">
        <v>1</v>
      </c>
      <c r="O45" s="250">
        <v>1</v>
      </c>
      <c r="P45" s="250">
        <v>1</v>
      </c>
      <c r="Q45" s="250">
        <v>1</v>
      </c>
      <c r="R45" s="250">
        <v>1</v>
      </c>
      <c r="S45" s="250">
        <v>1</v>
      </c>
      <c r="T45" s="250">
        <v>1</v>
      </c>
      <c r="U45" s="251" t="s">
        <v>47</v>
      </c>
      <c r="V45" s="250"/>
      <c r="W45" s="250"/>
      <c r="X45" s="250"/>
      <c r="Y45" s="250"/>
      <c r="Z45" s="250"/>
      <c r="AA45" s="250"/>
      <c r="AB45" s="250"/>
      <c r="AC45" s="250"/>
      <c r="AD45" s="250"/>
      <c r="AE45" s="41">
        <f t="shared" si="4"/>
        <v>7</v>
      </c>
      <c r="AF45" s="116" t="s">
        <v>288</v>
      </c>
      <c r="AG45" s="189" t="s">
        <v>656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15" t="s">
        <v>478</v>
      </c>
      <c r="F46" s="41">
        <f t="shared" si="9"/>
        <v>9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>
        <v>1</v>
      </c>
      <c r="R46" s="250">
        <v>1</v>
      </c>
      <c r="S46" s="250">
        <v>1</v>
      </c>
      <c r="T46" s="251" t="s">
        <v>47</v>
      </c>
      <c r="U46" s="250">
        <v>1</v>
      </c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/>
      <c r="AB46" s="250"/>
      <c r="AC46" s="250"/>
      <c r="AD46" s="250"/>
      <c r="AE46" s="41">
        <f t="shared" si="4"/>
        <v>9</v>
      </c>
      <c r="AF46" s="116" t="s">
        <v>262</v>
      </c>
      <c r="AG46" s="189" t="s">
        <v>656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5" t="s">
        <v>461</v>
      </c>
      <c r="F47" s="41">
        <f t="shared" si="9"/>
        <v>6</v>
      </c>
      <c r="G47" s="250"/>
      <c r="H47" s="250"/>
      <c r="I47" s="250"/>
      <c r="J47" s="250"/>
      <c r="K47" s="250"/>
      <c r="L47" s="250"/>
      <c r="M47" s="250"/>
      <c r="N47" s="250"/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0">
        <v>1</v>
      </c>
      <c r="U47" s="251" t="s">
        <v>47</v>
      </c>
      <c r="V47" s="250"/>
      <c r="W47" s="250"/>
      <c r="X47" s="250"/>
      <c r="Y47" s="250"/>
      <c r="Z47" s="250"/>
      <c r="AA47" s="250"/>
      <c r="AB47" s="250"/>
      <c r="AC47" s="250"/>
      <c r="AD47" s="250"/>
      <c r="AE47" s="41">
        <f t="shared" si="4"/>
        <v>6</v>
      </c>
      <c r="AF47" s="116" t="s">
        <v>87</v>
      </c>
      <c r="AG47" s="189" t="s">
        <v>656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5" t="s">
        <v>463</v>
      </c>
      <c r="F48" s="41">
        <f t="shared" si="9"/>
        <v>8</v>
      </c>
      <c r="G48" s="250"/>
      <c r="H48" s="250"/>
      <c r="I48" s="250"/>
      <c r="J48" s="250"/>
      <c r="K48" s="250"/>
      <c r="L48" s="250"/>
      <c r="M48" s="250"/>
      <c r="N48" s="250"/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1" t="s">
        <v>47</v>
      </c>
      <c r="U48" s="250">
        <v>1</v>
      </c>
      <c r="V48" s="250">
        <v>1</v>
      </c>
      <c r="W48" s="250">
        <v>1</v>
      </c>
      <c r="X48" s="250"/>
      <c r="Y48" s="250"/>
      <c r="Z48" s="250"/>
      <c r="AA48" s="250"/>
      <c r="AB48" s="250"/>
      <c r="AC48" s="250"/>
      <c r="AD48" s="250"/>
      <c r="AE48" s="41">
        <f t="shared" si="4"/>
        <v>8</v>
      </c>
      <c r="AF48" s="116" t="s">
        <v>298</v>
      </c>
      <c r="AG48" s="189" t="s">
        <v>656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5" t="s">
        <v>465</v>
      </c>
      <c r="F49" s="41">
        <f t="shared" si="9"/>
        <v>9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>
        <v>1</v>
      </c>
      <c r="Q49" s="250">
        <v>1</v>
      </c>
      <c r="R49" s="250">
        <v>1</v>
      </c>
      <c r="S49" s="250">
        <v>1</v>
      </c>
      <c r="T49" s="251" t="s">
        <v>47</v>
      </c>
      <c r="U49" s="250">
        <v>1</v>
      </c>
      <c r="V49" s="250">
        <v>1</v>
      </c>
      <c r="W49" s="250">
        <v>1</v>
      </c>
      <c r="X49" s="250"/>
      <c r="Y49" s="250">
        <v>1</v>
      </c>
      <c r="Z49" s="250">
        <v>1</v>
      </c>
      <c r="AA49" s="250"/>
      <c r="AB49" s="250"/>
      <c r="AC49" s="250"/>
      <c r="AD49" s="250"/>
      <c r="AE49" s="41">
        <f t="shared" si="4"/>
        <v>9</v>
      </c>
      <c r="AF49" s="116" t="s">
        <v>542</v>
      </c>
      <c r="AG49" s="189" t="s">
        <v>656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5" t="s">
        <v>466</v>
      </c>
      <c r="F50" s="41">
        <f t="shared" si="9"/>
        <v>9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>
        <v>1</v>
      </c>
      <c r="Q50" s="250">
        <v>1</v>
      </c>
      <c r="R50" s="250">
        <v>1</v>
      </c>
      <c r="S50" s="250">
        <v>1</v>
      </c>
      <c r="T50" s="250">
        <v>1</v>
      </c>
      <c r="U50" s="250">
        <v>1</v>
      </c>
      <c r="V50" s="251" t="s">
        <v>47</v>
      </c>
      <c r="W50" s="250">
        <v>1</v>
      </c>
      <c r="X50" s="250">
        <v>1</v>
      </c>
      <c r="Y50" s="250">
        <v>1</v>
      </c>
      <c r="Z50" s="250"/>
      <c r="AA50" s="250"/>
      <c r="AB50" s="250"/>
      <c r="AC50" s="250"/>
      <c r="AD50" s="250"/>
      <c r="AE50" s="41">
        <f t="shared" si="4"/>
        <v>9</v>
      </c>
      <c r="AF50" s="116" t="s">
        <v>302</v>
      </c>
      <c r="AG50" s="189" t="s">
        <v>656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5" t="s">
        <v>467</v>
      </c>
      <c r="F51" s="41">
        <f t="shared" si="9"/>
        <v>7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>
        <v>1</v>
      </c>
      <c r="Q51" s="250">
        <v>1</v>
      </c>
      <c r="R51" s="250">
        <v>1</v>
      </c>
      <c r="S51" s="251" t="s">
        <v>47</v>
      </c>
      <c r="T51" s="250">
        <v>1</v>
      </c>
      <c r="U51" s="250">
        <v>1</v>
      </c>
      <c r="V51" s="250"/>
      <c r="W51" s="250">
        <v>1</v>
      </c>
      <c r="X51" s="250">
        <v>1</v>
      </c>
      <c r="Y51" s="250"/>
      <c r="Z51" s="250"/>
      <c r="AA51" s="250"/>
      <c r="AB51" s="250"/>
      <c r="AC51" s="250"/>
      <c r="AD51" s="250"/>
      <c r="AE51" s="41">
        <f t="shared" si="4"/>
        <v>7</v>
      </c>
      <c r="AF51" s="116" t="s">
        <v>549</v>
      </c>
      <c r="AG51" s="189" t="s">
        <v>656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5" t="s">
        <v>491</v>
      </c>
      <c r="F52" s="41">
        <f t="shared" si="9"/>
        <v>7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1" t="s">
        <v>47</v>
      </c>
      <c r="T52" s="250">
        <v>1</v>
      </c>
      <c r="U52" s="250">
        <v>1</v>
      </c>
      <c r="V52" s="250">
        <v>1</v>
      </c>
      <c r="W52" s="250">
        <v>1</v>
      </c>
      <c r="X52" s="250">
        <v>1</v>
      </c>
      <c r="Y52" s="250">
        <v>1</v>
      </c>
      <c r="Z52" s="250">
        <v>1</v>
      </c>
      <c r="AA52" s="250"/>
      <c r="AB52" s="250"/>
      <c r="AC52" s="250"/>
      <c r="AD52" s="250"/>
      <c r="AE52" s="41">
        <f t="shared" si="4"/>
        <v>7</v>
      </c>
      <c r="AF52" s="116" t="s">
        <v>365</v>
      </c>
      <c r="AG52" s="189" t="s">
        <v>656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5" t="s">
        <v>493</v>
      </c>
      <c r="F53" s="41">
        <f t="shared" si="9"/>
        <v>0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50"/>
      <c r="AC53" s="250"/>
      <c r="AD53" s="250"/>
      <c r="AE53" s="41">
        <f t="shared" si="4"/>
        <v>0</v>
      </c>
      <c r="AF53" s="116" t="s">
        <v>480</v>
      </c>
      <c r="AG53" s="189" t="s">
        <v>656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5" t="s">
        <v>469</v>
      </c>
      <c r="F54" s="41">
        <f t="shared" si="9"/>
        <v>9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>
        <v>1</v>
      </c>
      <c r="R54" s="250">
        <v>1</v>
      </c>
      <c r="S54" s="250">
        <v>1</v>
      </c>
      <c r="T54" s="250">
        <v>1</v>
      </c>
      <c r="U54" s="250">
        <v>1</v>
      </c>
      <c r="V54" s="251" t="s">
        <v>47</v>
      </c>
      <c r="W54" s="250">
        <v>1</v>
      </c>
      <c r="X54" s="250">
        <v>1</v>
      </c>
      <c r="Y54" s="250">
        <v>1</v>
      </c>
      <c r="Z54" s="250">
        <v>1</v>
      </c>
      <c r="AA54" s="250"/>
      <c r="AB54" s="250"/>
      <c r="AC54" s="250"/>
      <c r="AD54" s="250"/>
      <c r="AE54" s="41">
        <f t="shared" si="4"/>
        <v>9</v>
      </c>
      <c r="AF54" s="116" t="s">
        <v>262</v>
      </c>
      <c r="AG54" s="189" t="s">
        <v>656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5" t="s">
        <v>495</v>
      </c>
      <c r="F55" s="41">
        <f t="shared" si="9"/>
        <v>0</v>
      </c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61"/>
      <c r="S55" s="261"/>
      <c r="T55" s="261"/>
      <c r="U55" s="261"/>
      <c r="V55" s="261"/>
      <c r="W55" s="261"/>
      <c r="X55" s="261"/>
      <c r="Y55" s="261"/>
      <c r="Z55" s="261"/>
      <c r="AA55" s="250"/>
      <c r="AB55" s="250"/>
      <c r="AC55" s="250"/>
      <c r="AD55" s="250"/>
      <c r="AE55" s="41">
        <f t="shared" si="4"/>
        <v>0</v>
      </c>
      <c r="AF55" s="116" t="s">
        <v>254</v>
      </c>
      <c r="AG55" s="189" t="s">
        <v>656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5" t="s">
        <v>497</v>
      </c>
      <c r="F56" s="41">
        <f t="shared" si="9"/>
        <v>7</v>
      </c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>
        <v>1</v>
      </c>
      <c r="T56" s="250">
        <v>1</v>
      </c>
      <c r="U56" s="250">
        <v>1</v>
      </c>
      <c r="V56" s="251" t="s">
        <v>47</v>
      </c>
      <c r="W56" s="250">
        <v>1</v>
      </c>
      <c r="X56" s="250">
        <v>1</v>
      </c>
      <c r="Y56" s="250">
        <v>1</v>
      </c>
      <c r="Z56" s="250">
        <v>1</v>
      </c>
      <c r="AA56" s="250"/>
      <c r="AB56" s="250"/>
      <c r="AC56" s="250"/>
      <c r="AD56" s="250"/>
      <c r="AE56" s="41">
        <f t="shared" si="4"/>
        <v>7</v>
      </c>
      <c r="AF56" s="116" t="s">
        <v>365</v>
      </c>
      <c r="AG56" s="189" t="s">
        <v>656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8</v>
      </c>
      <c r="G57" s="258"/>
      <c r="H57" s="258"/>
      <c r="I57" s="258"/>
      <c r="J57" s="258"/>
      <c r="K57" s="258"/>
      <c r="L57" s="258"/>
      <c r="M57" s="258"/>
      <c r="N57" s="577" t="s">
        <v>292</v>
      </c>
      <c r="O57" s="555"/>
      <c r="P57" s="555"/>
      <c r="Q57" s="555"/>
      <c r="R57" s="555"/>
      <c r="S57" s="555"/>
      <c r="T57" s="555"/>
      <c r="U57" s="555"/>
      <c r="V57" s="251" t="s">
        <v>47</v>
      </c>
      <c r="W57" s="42"/>
      <c r="X57" s="42"/>
      <c r="Y57" s="42"/>
      <c r="Z57" s="42"/>
      <c r="AA57" s="42"/>
      <c r="AB57" s="42"/>
      <c r="AC57" s="42"/>
      <c r="AD57" s="42"/>
      <c r="AE57" s="41">
        <f t="shared" si="4"/>
        <v>0</v>
      </c>
      <c r="AF57" s="116" t="s">
        <v>228</v>
      </c>
      <c r="AG57" s="189" t="s">
        <v>656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v>8</v>
      </c>
      <c r="G58" s="258"/>
      <c r="H58" s="258"/>
      <c r="I58" s="258"/>
      <c r="J58" s="258"/>
      <c r="K58" s="258"/>
      <c r="L58" s="258"/>
      <c r="M58" s="258"/>
      <c r="N58" s="273"/>
      <c r="O58" s="273"/>
      <c r="P58" s="273"/>
      <c r="Q58" s="273"/>
      <c r="R58" s="273"/>
      <c r="S58" s="273"/>
      <c r="T58" s="273"/>
      <c r="U58" s="251" t="s">
        <v>47</v>
      </c>
      <c r="V58" s="577" t="s">
        <v>292</v>
      </c>
      <c r="W58" s="555"/>
      <c r="X58" s="555"/>
      <c r="Y58" s="555"/>
      <c r="Z58" s="555"/>
      <c r="AA58" s="555"/>
      <c r="AB58" s="555"/>
      <c r="AC58" s="555"/>
      <c r="AD58" s="258"/>
      <c r="AE58" s="41">
        <f t="shared" si="4"/>
        <v>0</v>
      </c>
      <c r="AF58" s="116" t="s">
        <v>81</v>
      </c>
      <c r="AG58" s="189" t="s">
        <v>656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42"/>
      <c r="AA59" s="42"/>
      <c r="AB59" s="42"/>
      <c r="AC59" s="42"/>
      <c r="AD59" s="42"/>
      <c r="AE59" s="41">
        <f t="shared" si="4"/>
        <v>0</v>
      </c>
      <c r="AF59" s="116" t="s">
        <v>66</v>
      </c>
      <c r="AG59" s="189" t="s">
        <v>656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136">
        <v>7</v>
      </c>
      <c r="P62" s="143">
        <v>8</v>
      </c>
      <c r="Q62" s="143">
        <v>8</v>
      </c>
      <c r="R62" s="143">
        <v>8</v>
      </c>
      <c r="S62" s="143">
        <v>8</v>
      </c>
      <c r="T62" s="143">
        <v>8</v>
      </c>
      <c r="U62" s="136">
        <v>7</v>
      </c>
      <c r="V62" s="136">
        <v>7</v>
      </c>
      <c r="W62" s="136">
        <v>7</v>
      </c>
      <c r="X62" s="136">
        <v>7</v>
      </c>
      <c r="Y62" s="136">
        <v>7</v>
      </c>
      <c r="Z62" s="144">
        <v>6</v>
      </c>
      <c r="AA62" s="56">
        <v>5</v>
      </c>
      <c r="AB62" s="242">
        <v>4</v>
      </c>
      <c r="AC62" s="242">
        <v>4</v>
      </c>
      <c r="AD62" s="12">
        <v>2</v>
      </c>
      <c r="AE62" s="18">
        <f>SUM(G62:AD62)</f>
        <v>123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10">G65-G62</f>
        <v>0</v>
      </c>
      <c r="H63" s="28">
        <f t="shared" si="10"/>
        <v>0</v>
      </c>
      <c r="I63" s="28">
        <f t="shared" si="10"/>
        <v>0</v>
      </c>
      <c r="J63" s="28">
        <f t="shared" si="10"/>
        <v>0</v>
      </c>
      <c r="K63" s="28">
        <f t="shared" si="10"/>
        <v>0</v>
      </c>
      <c r="L63" s="28">
        <f t="shared" si="10"/>
        <v>0</v>
      </c>
      <c r="M63" s="28">
        <f t="shared" si="10"/>
        <v>0</v>
      </c>
      <c r="N63" s="28">
        <f t="shared" si="10"/>
        <v>0</v>
      </c>
      <c r="O63" s="28">
        <f t="shared" si="10"/>
        <v>0</v>
      </c>
      <c r="P63" s="28">
        <f t="shared" si="10"/>
        <v>0</v>
      </c>
      <c r="Q63" s="28">
        <f t="shared" si="10"/>
        <v>0</v>
      </c>
      <c r="R63" s="28">
        <f t="shared" si="10"/>
        <v>0</v>
      </c>
      <c r="S63" s="28">
        <f t="shared" si="10"/>
        <v>1</v>
      </c>
      <c r="T63" s="28">
        <f t="shared" si="10"/>
        <v>0</v>
      </c>
      <c r="U63" s="28">
        <f t="shared" si="10"/>
        <v>0</v>
      </c>
      <c r="V63" s="28">
        <f t="shared" si="10"/>
        <v>0</v>
      </c>
      <c r="W63" s="28">
        <f t="shared" si="10"/>
        <v>0</v>
      </c>
      <c r="X63" s="28">
        <f t="shared" si="10"/>
        <v>0</v>
      </c>
      <c r="Y63" s="28">
        <f t="shared" si="10"/>
        <v>0</v>
      </c>
      <c r="Z63" s="28">
        <f t="shared" si="10"/>
        <v>0</v>
      </c>
      <c r="AA63" s="28">
        <f t="shared" si="10"/>
        <v>0</v>
      </c>
      <c r="AB63" s="28">
        <f t="shared" si="10"/>
        <v>0</v>
      </c>
      <c r="AC63" s="28">
        <f t="shared" si="10"/>
        <v>0</v>
      </c>
      <c r="AD63" s="28">
        <f t="shared" si="10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1">SUM(G66:G82)</f>
        <v>2</v>
      </c>
      <c r="H65" s="35">
        <f t="shared" si="11"/>
        <v>2</v>
      </c>
      <c r="I65" s="35">
        <f t="shared" si="11"/>
        <v>2</v>
      </c>
      <c r="J65" s="35">
        <f t="shared" si="11"/>
        <v>2</v>
      </c>
      <c r="K65" s="35">
        <f t="shared" si="11"/>
        <v>2</v>
      </c>
      <c r="L65" s="35">
        <f t="shared" si="11"/>
        <v>2</v>
      </c>
      <c r="M65" s="35">
        <f t="shared" si="11"/>
        <v>4</v>
      </c>
      <c r="N65" s="35">
        <f t="shared" si="11"/>
        <v>4</v>
      </c>
      <c r="O65" s="35">
        <f t="shared" si="11"/>
        <v>7</v>
      </c>
      <c r="P65" s="35">
        <f t="shared" si="11"/>
        <v>8</v>
      </c>
      <c r="Q65" s="35">
        <f t="shared" si="11"/>
        <v>8</v>
      </c>
      <c r="R65" s="35">
        <f t="shared" si="11"/>
        <v>8</v>
      </c>
      <c r="S65" s="35">
        <f t="shared" si="11"/>
        <v>9</v>
      </c>
      <c r="T65" s="35">
        <f t="shared" si="11"/>
        <v>8</v>
      </c>
      <c r="U65" s="35">
        <f t="shared" si="11"/>
        <v>7</v>
      </c>
      <c r="V65" s="35">
        <f t="shared" si="11"/>
        <v>7</v>
      </c>
      <c r="W65" s="35">
        <f t="shared" si="11"/>
        <v>7</v>
      </c>
      <c r="X65" s="35">
        <f t="shared" si="11"/>
        <v>7</v>
      </c>
      <c r="Y65" s="35">
        <f t="shared" si="11"/>
        <v>7</v>
      </c>
      <c r="Z65" s="35">
        <f t="shared" si="11"/>
        <v>6</v>
      </c>
      <c r="AA65" s="35">
        <f t="shared" si="11"/>
        <v>5</v>
      </c>
      <c r="AB65" s="35">
        <f t="shared" si="11"/>
        <v>4</v>
      </c>
      <c r="AC65" s="35">
        <f t="shared" si="11"/>
        <v>4</v>
      </c>
      <c r="AD65" s="35">
        <f t="shared" si="11"/>
        <v>2</v>
      </c>
      <c r="AE65" s="30">
        <f t="shared" ref="AE65:AE79" si="12">SUM(G65:AD65)</f>
        <v>124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3">SUM(G66:AD66)</f>
        <v>7</v>
      </c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58">
        <v>1</v>
      </c>
      <c r="X66" s="258">
        <v>1</v>
      </c>
      <c r="Y66" s="258">
        <v>1</v>
      </c>
      <c r="Z66" s="258">
        <v>1</v>
      </c>
      <c r="AA66" s="258">
        <v>1</v>
      </c>
      <c r="AB66" s="258">
        <v>1</v>
      </c>
      <c r="AC66" s="258">
        <v>1</v>
      </c>
      <c r="AD66" s="258"/>
      <c r="AE66" s="41">
        <f t="shared" si="12"/>
        <v>7</v>
      </c>
      <c r="AF66" s="116" t="s">
        <v>226</v>
      </c>
      <c r="AG66" s="189" t="s">
        <v>656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3"/>
        <v>7</v>
      </c>
      <c r="G67" s="258"/>
      <c r="H67" s="258"/>
      <c r="I67" s="258"/>
      <c r="J67" s="258"/>
      <c r="K67" s="258"/>
      <c r="L67" s="258"/>
      <c r="M67" s="258">
        <v>1</v>
      </c>
      <c r="N67" s="258">
        <v>1</v>
      </c>
      <c r="O67" s="258">
        <v>1</v>
      </c>
      <c r="P67" s="258">
        <v>1</v>
      </c>
      <c r="Q67" s="258">
        <v>1</v>
      </c>
      <c r="R67" s="258">
        <v>1</v>
      </c>
      <c r="S67" s="258">
        <v>1</v>
      </c>
      <c r="T67" s="258"/>
      <c r="U67" s="258"/>
      <c r="V67" s="258"/>
      <c r="W67" s="258"/>
      <c r="X67" s="258"/>
      <c r="Y67" s="258"/>
      <c r="Z67" s="258"/>
      <c r="AA67" s="258"/>
      <c r="AB67" s="258"/>
      <c r="AC67" s="258"/>
      <c r="AD67" s="258"/>
      <c r="AE67" s="41">
        <f t="shared" si="12"/>
        <v>7</v>
      </c>
      <c r="AF67" s="116" t="s">
        <v>379</v>
      </c>
      <c r="AG67" s="189" t="s">
        <v>656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3"/>
        <v>7</v>
      </c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>
        <v>1</v>
      </c>
      <c r="V68" s="258">
        <v>1</v>
      </c>
      <c r="W68" s="258">
        <v>1</v>
      </c>
      <c r="X68" s="258">
        <v>1</v>
      </c>
      <c r="Y68" s="258">
        <v>1</v>
      </c>
      <c r="Z68" s="258">
        <v>1</v>
      </c>
      <c r="AA68" s="258">
        <v>1</v>
      </c>
      <c r="AB68" s="258"/>
      <c r="AC68" s="258"/>
      <c r="AD68" s="258"/>
      <c r="AE68" s="41">
        <f t="shared" si="12"/>
        <v>7</v>
      </c>
      <c r="AF68" s="116" t="s">
        <v>100</v>
      </c>
      <c r="AG68" s="189" t="s">
        <v>656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3"/>
        <v>9</v>
      </c>
      <c r="G69" s="258"/>
      <c r="H69" s="258"/>
      <c r="I69" s="258"/>
      <c r="J69" s="258"/>
      <c r="K69" s="258"/>
      <c r="L69" s="258"/>
      <c r="M69" s="258"/>
      <c r="N69" s="258"/>
      <c r="O69" s="258"/>
      <c r="P69" s="258">
        <v>1</v>
      </c>
      <c r="Q69" s="258">
        <v>1</v>
      </c>
      <c r="R69" s="258">
        <v>1</v>
      </c>
      <c r="S69" s="258">
        <v>1</v>
      </c>
      <c r="T69" s="258">
        <v>1</v>
      </c>
      <c r="U69" s="258">
        <v>1</v>
      </c>
      <c r="V69" s="258"/>
      <c r="W69" s="258">
        <v>1</v>
      </c>
      <c r="X69" s="258">
        <v>1</v>
      </c>
      <c r="Y69" s="258">
        <v>1</v>
      </c>
      <c r="Z69" s="258"/>
      <c r="AA69" s="258"/>
      <c r="AB69" s="258"/>
      <c r="AC69" s="258"/>
      <c r="AD69" s="258"/>
      <c r="AE69" s="41">
        <f t="shared" si="12"/>
        <v>9</v>
      </c>
      <c r="AF69" s="116" t="s">
        <v>650</v>
      </c>
      <c r="AG69" s="189" t="s">
        <v>656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3"/>
        <v>6</v>
      </c>
      <c r="G70" s="258"/>
      <c r="H70" s="258"/>
      <c r="I70" s="258"/>
      <c r="J70" s="258"/>
      <c r="K70" s="258"/>
      <c r="L70" s="258"/>
      <c r="M70" s="258"/>
      <c r="N70" s="258"/>
      <c r="O70" s="258">
        <v>1</v>
      </c>
      <c r="P70" s="258">
        <v>1</v>
      </c>
      <c r="Q70" s="258">
        <v>1</v>
      </c>
      <c r="R70" s="258">
        <v>1</v>
      </c>
      <c r="S70" s="258">
        <v>1</v>
      </c>
      <c r="T70" s="258">
        <v>1</v>
      </c>
      <c r="U70" s="258"/>
      <c r="V70" s="258"/>
      <c r="W70" s="258"/>
      <c r="X70" s="258"/>
      <c r="Y70" s="258"/>
      <c r="Z70" s="258"/>
      <c r="AA70" s="258"/>
      <c r="AB70" s="258"/>
      <c r="AC70" s="258"/>
      <c r="AD70" s="258"/>
      <c r="AE70" s="41">
        <f t="shared" si="12"/>
        <v>6</v>
      </c>
      <c r="AF70" s="116" t="s">
        <v>305</v>
      </c>
      <c r="AG70" s="189" t="s">
        <v>656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3"/>
        <v>7</v>
      </c>
      <c r="G71" s="258"/>
      <c r="H71" s="258"/>
      <c r="I71" s="258"/>
      <c r="J71" s="258"/>
      <c r="K71" s="258"/>
      <c r="L71" s="258"/>
      <c r="M71" s="258">
        <v>1</v>
      </c>
      <c r="N71" s="258">
        <v>1</v>
      </c>
      <c r="O71" s="258">
        <v>1</v>
      </c>
      <c r="P71" s="258">
        <v>1</v>
      </c>
      <c r="Q71" s="258">
        <v>1</v>
      </c>
      <c r="R71" s="258">
        <v>1</v>
      </c>
      <c r="S71" s="258">
        <v>1</v>
      </c>
      <c r="T71" s="258"/>
      <c r="U71" s="258"/>
      <c r="V71" s="258"/>
      <c r="W71" s="258"/>
      <c r="X71" s="258"/>
      <c r="Y71" s="258"/>
      <c r="Z71" s="258"/>
      <c r="AA71" s="258"/>
      <c r="AB71" s="258"/>
      <c r="AC71" s="258"/>
      <c r="AD71" s="258"/>
      <c r="AE71" s="41">
        <f t="shared" si="12"/>
        <v>7</v>
      </c>
      <c r="AF71" s="111" t="s">
        <v>379</v>
      </c>
      <c r="AG71" s="189" t="s">
        <v>656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3"/>
        <v>10</v>
      </c>
      <c r="G72" s="258">
        <v>1</v>
      </c>
      <c r="H72" s="258">
        <v>1</v>
      </c>
      <c r="I72" s="258">
        <v>1</v>
      </c>
      <c r="J72" s="258">
        <v>1</v>
      </c>
      <c r="K72" s="258">
        <v>1</v>
      </c>
      <c r="L72" s="258">
        <v>1</v>
      </c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  <c r="AA72" s="258">
        <v>1</v>
      </c>
      <c r="AB72" s="258">
        <v>1</v>
      </c>
      <c r="AC72" s="258">
        <v>1</v>
      </c>
      <c r="AD72" s="258">
        <v>1</v>
      </c>
      <c r="AE72" s="41">
        <f t="shared" si="12"/>
        <v>10</v>
      </c>
      <c r="AF72" s="116" t="s">
        <v>556</v>
      </c>
      <c r="AG72" s="189" t="s">
        <v>656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3"/>
        <v>7</v>
      </c>
      <c r="G73" s="258"/>
      <c r="H73" s="258"/>
      <c r="I73" s="258"/>
      <c r="J73" s="258"/>
      <c r="K73" s="258"/>
      <c r="L73" s="258"/>
      <c r="M73" s="258"/>
      <c r="N73" s="258"/>
      <c r="O73" s="258">
        <v>1</v>
      </c>
      <c r="P73" s="258">
        <v>1</v>
      </c>
      <c r="Q73" s="258">
        <v>1</v>
      </c>
      <c r="R73" s="258">
        <v>1</v>
      </c>
      <c r="S73" s="258"/>
      <c r="T73" s="258">
        <v>1</v>
      </c>
      <c r="U73" s="258">
        <v>1</v>
      </c>
      <c r="V73" s="258">
        <v>1</v>
      </c>
      <c r="W73" s="258"/>
      <c r="X73" s="258"/>
      <c r="Y73" s="258"/>
      <c r="Z73" s="258"/>
      <c r="AA73" s="258"/>
      <c r="AB73" s="258"/>
      <c r="AC73" s="258"/>
      <c r="AD73" s="258"/>
      <c r="AE73" s="41">
        <f t="shared" si="12"/>
        <v>7</v>
      </c>
      <c r="AF73" s="116" t="s">
        <v>563</v>
      </c>
      <c r="AG73" s="189" t="s">
        <v>656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3"/>
        <v>8</v>
      </c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>
        <v>1</v>
      </c>
      <c r="T74" s="258">
        <v>1</v>
      </c>
      <c r="U74" s="258">
        <v>1</v>
      </c>
      <c r="V74" s="258">
        <v>1</v>
      </c>
      <c r="W74" s="258">
        <v>1</v>
      </c>
      <c r="X74" s="258">
        <v>1</v>
      </c>
      <c r="Y74" s="258">
        <v>1</v>
      </c>
      <c r="Z74" s="258">
        <v>1</v>
      </c>
      <c r="AA74" s="258"/>
      <c r="AB74" s="258"/>
      <c r="AC74" s="258"/>
      <c r="AD74" s="258"/>
      <c r="AE74" s="41">
        <f t="shared" si="12"/>
        <v>8</v>
      </c>
      <c r="AF74" s="116" t="s">
        <v>365</v>
      </c>
      <c r="AG74" s="189" t="s">
        <v>656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3"/>
        <v>7</v>
      </c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>
        <v>1</v>
      </c>
      <c r="U75" s="258">
        <v>1</v>
      </c>
      <c r="V75" s="258">
        <v>1</v>
      </c>
      <c r="W75" s="258">
        <v>1</v>
      </c>
      <c r="X75" s="258">
        <v>1</v>
      </c>
      <c r="Y75" s="258">
        <v>1</v>
      </c>
      <c r="Z75" s="258">
        <v>1</v>
      </c>
      <c r="AA75" s="258"/>
      <c r="AB75" s="258"/>
      <c r="AC75" s="258"/>
      <c r="AD75" s="258"/>
      <c r="AE75" s="41">
        <f t="shared" si="12"/>
        <v>7</v>
      </c>
      <c r="AF75" s="116" t="s">
        <v>518</v>
      </c>
      <c r="AG75" s="189" t="s">
        <v>656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3"/>
        <v>10</v>
      </c>
      <c r="G76" s="258">
        <v>1</v>
      </c>
      <c r="H76" s="258">
        <v>1</v>
      </c>
      <c r="I76" s="258">
        <v>1</v>
      </c>
      <c r="J76" s="258">
        <v>1</v>
      </c>
      <c r="K76" s="258">
        <v>1</v>
      </c>
      <c r="L76" s="258">
        <v>1</v>
      </c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  <c r="AA76" s="258">
        <v>1</v>
      </c>
      <c r="AB76" s="258">
        <v>1</v>
      </c>
      <c r="AC76" s="258">
        <v>1</v>
      </c>
      <c r="AD76" s="258">
        <v>1</v>
      </c>
      <c r="AE76" s="41">
        <f t="shared" si="12"/>
        <v>10</v>
      </c>
      <c r="AF76" s="111" t="s">
        <v>556</v>
      </c>
      <c r="AG76" s="189" t="s">
        <v>656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3"/>
        <v>8</v>
      </c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>
        <v>1</v>
      </c>
      <c r="W77" s="258">
        <v>1</v>
      </c>
      <c r="X77" s="258">
        <v>1</v>
      </c>
      <c r="Y77" s="258">
        <v>1</v>
      </c>
      <c r="Z77" s="258">
        <v>1</v>
      </c>
      <c r="AA77" s="258">
        <v>1</v>
      </c>
      <c r="AB77" s="258">
        <v>1</v>
      </c>
      <c r="AC77" s="258">
        <v>1</v>
      </c>
      <c r="AD77" s="258"/>
      <c r="AE77" s="41">
        <f t="shared" si="12"/>
        <v>8</v>
      </c>
      <c r="AF77" s="116" t="s">
        <v>218</v>
      </c>
      <c r="AG77" s="189" t="s">
        <v>656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3"/>
        <v>8</v>
      </c>
      <c r="G78" s="258"/>
      <c r="H78" s="258"/>
      <c r="I78" s="258"/>
      <c r="J78" s="258"/>
      <c r="K78" s="258"/>
      <c r="L78" s="258"/>
      <c r="M78" s="258">
        <v>1</v>
      </c>
      <c r="N78" s="258">
        <v>1</v>
      </c>
      <c r="O78" s="258">
        <v>1</v>
      </c>
      <c r="P78" s="258">
        <v>1</v>
      </c>
      <c r="Q78" s="258">
        <v>1</v>
      </c>
      <c r="R78" s="258">
        <v>1</v>
      </c>
      <c r="S78" s="258">
        <v>1</v>
      </c>
      <c r="T78" s="258">
        <v>1</v>
      </c>
      <c r="U78" s="258"/>
      <c r="V78" s="258"/>
      <c r="W78" s="258"/>
      <c r="X78" s="258"/>
      <c r="Y78" s="258"/>
      <c r="Z78" s="258"/>
      <c r="AA78" s="258"/>
      <c r="AB78" s="258"/>
      <c r="AC78" s="258"/>
      <c r="AD78" s="258"/>
      <c r="AE78" s="41">
        <f t="shared" si="12"/>
        <v>8</v>
      </c>
      <c r="AF78" s="116" t="s">
        <v>252</v>
      </c>
      <c r="AG78" s="189" t="s">
        <v>656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3"/>
        <v>8</v>
      </c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58">
        <v>1</v>
      </c>
      <c r="T79" s="258">
        <v>1</v>
      </c>
      <c r="U79" s="276">
        <v>1</v>
      </c>
      <c r="V79" s="276">
        <v>1</v>
      </c>
      <c r="W79" s="258">
        <v>1</v>
      </c>
      <c r="X79" s="276">
        <v>1</v>
      </c>
      <c r="Y79" s="276">
        <v>1</v>
      </c>
      <c r="Z79" s="276">
        <v>1</v>
      </c>
      <c r="AA79" s="276"/>
      <c r="AB79" s="276"/>
      <c r="AC79" s="276"/>
      <c r="AD79" s="258"/>
      <c r="AE79" s="41">
        <f t="shared" si="12"/>
        <v>8</v>
      </c>
      <c r="AF79" s="116" t="s">
        <v>365</v>
      </c>
      <c r="AG79" s="189" t="s">
        <v>656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3"/>
        <v>0</v>
      </c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583" t="s">
        <v>209</v>
      </c>
      <c r="W80" s="555"/>
      <c r="X80" s="555"/>
      <c r="Y80" s="555"/>
      <c r="Z80" s="555"/>
      <c r="AA80" s="555"/>
      <c r="AB80" s="555"/>
      <c r="AC80" s="542"/>
      <c r="AD80" s="277"/>
      <c r="AE80" s="41">
        <v>8</v>
      </c>
      <c r="AF80" s="116" t="s">
        <v>661</v>
      </c>
      <c r="AG80" s="189" t="s">
        <v>656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3"/>
        <v>7</v>
      </c>
      <c r="G81" s="258"/>
      <c r="H81" s="258"/>
      <c r="I81" s="258"/>
      <c r="J81" s="258"/>
      <c r="K81" s="258"/>
      <c r="L81" s="258"/>
      <c r="M81" s="258"/>
      <c r="N81" s="258"/>
      <c r="O81" s="258">
        <v>1</v>
      </c>
      <c r="P81" s="258">
        <v>1</v>
      </c>
      <c r="Q81" s="258">
        <v>1</v>
      </c>
      <c r="R81" s="258">
        <v>1</v>
      </c>
      <c r="S81" s="258">
        <v>1</v>
      </c>
      <c r="T81" s="258"/>
      <c r="U81" s="258">
        <v>1</v>
      </c>
      <c r="V81" s="258">
        <v>1</v>
      </c>
      <c r="W81" s="258"/>
      <c r="X81" s="258"/>
      <c r="Y81" s="258"/>
      <c r="Z81" s="258"/>
      <c r="AA81" s="258"/>
      <c r="AB81" s="258"/>
      <c r="AC81" s="258"/>
      <c r="AD81" s="258"/>
      <c r="AE81" s="41">
        <f t="shared" ref="AE81:AE82" si="14">SUM(G81:AD81)</f>
        <v>7</v>
      </c>
      <c r="AF81" s="116" t="s">
        <v>216</v>
      </c>
      <c r="AG81" s="189" t="s">
        <v>656</v>
      </c>
    </row>
    <row r="82" spans="1:33" ht="14.25" customHeight="1">
      <c r="A82" s="38" t="s">
        <v>145</v>
      </c>
      <c r="B82" s="38" t="s">
        <v>183</v>
      </c>
      <c r="C82" s="38"/>
      <c r="D82" s="39">
        <v>17</v>
      </c>
      <c r="E82" s="40" t="s">
        <v>184</v>
      </c>
      <c r="F82" s="41">
        <f t="shared" si="13"/>
        <v>8</v>
      </c>
      <c r="G82" s="258"/>
      <c r="H82" s="258"/>
      <c r="I82" s="258"/>
      <c r="J82" s="258"/>
      <c r="K82" s="258"/>
      <c r="L82" s="258"/>
      <c r="M82" s="258">
        <v>1</v>
      </c>
      <c r="N82" s="258">
        <v>1</v>
      </c>
      <c r="O82" s="258">
        <v>1</v>
      </c>
      <c r="P82" s="258">
        <v>1</v>
      </c>
      <c r="Q82" s="258">
        <v>1</v>
      </c>
      <c r="R82" s="258">
        <v>1</v>
      </c>
      <c r="S82" s="258">
        <v>1</v>
      </c>
      <c r="T82" s="258">
        <v>1</v>
      </c>
      <c r="U82" s="258"/>
      <c r="V82" s="258"/>
      <c r="W82" s="258"/>
      <c r="X82" s="258"/>
      <c r="Y82" s="258"/>
      <c r="Z82" s="258"/>
      <c r="AA82" s="258"/>
      <c r="AB82" s="258"/>
      <c r="AC82" s="258"/>
      <c r="AD82" s="258"/>
      <c r="AE82" s="41">
        <f t="shared" si="14"/>
        <v>8</v>
      </c>
      <c r="AF82" s="116" t="s">
        <v>252</v>
      </c>
      <c r="AG82" s="189" t="s">
        <v>656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833D6734-F5E1-4449-B5A1-8C3A51A61651}" filter="1" showAutoFilter="1">
      <pageMargins left="0.7" right="0.7" top="0.75" bottom="0.75" header="0.3" footer="0.3"/>
      <autoFilter ref="A7:AG84" xr:uid="{0B8EC78A-2675-40AB-89E2-E74137A2679D}">
        <filterColumn colId="26">
          <filters>
            <filter val="-"/>
            <filter val="1"/>
            <filter val="5"/>
            <filter val="CLIENTES VIP"/>
            <filter val="MONITOREOS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9E9AFC6F-78A9-4646-B432-F7C3F845CDEE}"/>
    </customSheetView>
    <customSheetView guid="{49BA5E93-E473-4F11-BE7E-FD55CB28D969}" filter="1" showAutoFilter="1">
      <pageMargins left="0.7" right="0.7" top="0.75" bottom="0.75" header="0.3" footer="0.3"/>
      <autoFilter ref="G5:AD84" xr:uid="{44C9C789-BE0B-4BCF-B343-D6E035873D18}">
        <filterColumn colId="15">
          <filters>
            <filter val="-"/>
            <filter val="(1)"/>
            <filter val="1"/>
            <filter val="20"/>
            <filter val="7"/>
            <filter val="C"/>
            <filter val="CLIENTES VIP"/>
            <filter val="MONITOREOS"/>
            <filter val="SEGUIMIENTO TRANSFERENCIAS"/>
          </filters>
        </filterColumn>
      </autoFilter>
    </customSheetView>
  </customSheetViews>
  <mergeCells count="12">
    <mergeCell ref="V40:AC40"/>
    <mergeCell ref="V42:AC42"/>
    <mergeCell ref="A1:B1"/>
    <mergeCell ref="D3:AE3"/>
    <mergeCell ref="E4:F4"/>
    <mergeCell ref="E5:F5"/>
    <mergeCell ref="V39:AC39"/>
    <mergeCell ref="N57:U57"/>
    <mergeCell ref="V58:AC58"/>
    <mergeCell ref="O59:Z59"/>
    <mergeCell ref="E62:F62"/>
    <mergeCell ref="V80:AC80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G8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13">
        <v>11</v>
      </c>
      <c r="N4" s="56">
        <v>13</v>
      </c>
      <c r="O4" s="83">
        <v>17</v>
      </c>
      <c r="P4" s="80">
        <v>21</v>
      </c>
      <c r="Q4" s="119">
        <v>24</v>
      </c>
      <c r="R4" s="119">
        <v>24</v>
      </c>
      <c r="S4" s="120">
        <v>22</v>
      </c>
      <c r="T4" s="120">
        <v>22</v>
      </c>
      <c r="U4" s="80">
        <v>21</v>
      </c>
      <c r="V4" s="80">
        <v>21</v>
      </c>
      <c r="W4" s="80">
        <v>21</v>
      </c>
      <c r="X4" s="137">
        <v>20</v>
      </c>
      <c r="Y4" s="149">
        <v>19</v>
      </c>
      <c r="Z4" s="83">
        <v>17</v>
      </c>
      <c r="AA4" s="150">
        <v>14</v>
      </c>
      <c r="AB4" s="94">
        <v>10</v>
      </c>
      <c r="AC4" s="225">
        <v>8</v>
      </c>
      <c r="AD4" s="11">
        <v>4</v>
      </c>
      <c r="AE4" s="18">
        <f>SUM(G4:AD4)</f>
        <v>328</v>
      </c>
      <c r="AF4" s="3"/>
      <c r="AG4" s="3"/>
    </row>
    <row r="5" spans="1:33" ht="62.25">
      <c r="A5" s="3"/>
      <c r="B5" s="2"/>
      <c r="C5" s="2"/>
      <c r="D5" s="19"/>
      <c r="E5" s="569">
        <v>15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-1</v>
      </c>
      <c r="N6" s="28">
        <f t="shared" si="0"/>
        <v>-2</v>
      </c>
      <c r="O6" s="28">
        <f t="shared" si="0"/>
        <v>-2</v>
      </c>
      <c r="P6" s="28">
        <f t="shared" si="0"/>
        <v>-2</v>
      </c>
      <c r="Q6" s="28">
        <f t="shared" si="0"/>
        <v>-1</v>
      </c>
      <c r="R6" s="28">
        <f t="shared" si="0"/>
        <v>-1</v>
      </c>
      <c r="S6" s="28">
        <f t="shared" si="0"/>
        <v>-2</v>
      </c>
      <c r="T6" s="28">
        <f t="shared" si="0"/>
        <v>0</v>
      </c>
      <c r="U6" s="28">
        <f t="shared" si="0"/>
        <v>1</v>
      </c>
      <c r="V6" s="28">
        <f t="shared" si="0"/>
        <v>2</v>
      </c>
      <c r="W6" s="28">
        <f t="shared" si="0"/>
        <v>1</v>
      </c>
      <c r="X6" s="28">
        <f t="shared" si="0"/>
        <v>0</v>
      </c>
      <c r="Y6" s="28">
        <f t="shared" si="0"/>
        <v>2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1" si="1">SUM(G6:AD6)</f>
        <v>-5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10</v>
      </c>
      <c r="N7" s="172">
        <f t="shared" si="2"/>
        <v>11</v>
      </c>
      <c r="O7" s="172">
        <f t="shared" si="2"/>
        <v>15</v>
      </c>
      <c r="P7" s="172">
        <f t="shared" si="2"/>
        <v>19</v>
      </c>
      <c r="Q7" s="172">
        <f t="shared" si="2"/>
        <v>23</v>
      </c>
      <c r="R7" s="172">
        <f t="shared" si="2"/>
        <v>23</v>
      </c>
      <c r="S7" s="172">
        <f t="shared" si="2"/>
        <v>20</v>
      </c>
      <c r="T7" s="172">
        <f t="shared" si="2"/>
        <v>22</v>
      </c>
      <c r="U7" s="172">
        <f t="shared" si="2"/>
        <v>22</v>
      </c>
      <c r="V7" s="172">
        <f t="shared" si="2"/>
        <v>23</v>
      </c>
      <c r="W7" s="172">
        <f t="shared" si="2"/>
        <v>22</v>
      </c>
      <c r="X7" s="172">
        <f t="shared" si="2"/>
        <v>20</v>
      </c>
      <c r="Y7" s="172">
        <f t="shared" si="2"/>
        <v>21</v>
      </c>
      <c r="Z7" s="172">
        <f t="shared" si="2"/>
        <v>17</v>
      </c>
      <c r="AA7" s="172">
        <f t="shared" si="2"/>
        <v>14</v>
      </c>
      <c r="AB7" s="172">
        <f t="shared" si="2"/>
        <v>10</v>
      </c>
      <c r="AC7" s="172">
        <f t="shared" si="2"/>
        <v>8</v>
      </c>
      <c r="AD7" s="172">
        <f t="shared" si="2"/>
        <v>4</v>
      </c>
      <c r="AE7" s="168">
        <f t="shared" si="1"/>
        <v>323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06" t="s">
        <v>46</v>
      </c>
      <c r="F8" s="41">
        <f t="shared" ref="F8:F14" si="3">SUM(G8:AD8)</f>
        <v>9</v>
      </c>
      <c r="G8" s="250"/>
      <c r="H8" s="250"/>
      <c r="I8" s="250"/>
      <c r="J8" s="250"/>
      <c r="K8" s="250"/>
      <c r="L8" s="250"/>
      <c r="M8" s="250">
        <v>1</v>
      </c>
      <c r="N8" s="250">
        <v>1</v>
      </c>
      <c r="O8" s="250">
        <v>1</v>
      </c>
      <c r="P8" s="250">
        <v>1</v>
      </c>
      <c r="Q8" s="250">
        <v>1</v>
      </c>
      <c r="R8" s="250">
        <v>1</v>
      </c>
      <c r="S8" s="250">
        <v>1</v>
      </c>
      <c r="T8" s="251" t="s">
        <v>47</v>
      </c>
      <c r="U8" s="250">
        <v>1</v>
      </c>
      <c r="V8" s="250">
        <v>1</v>
      </c>
      <c r="W8" s="250"/>
      <c r="X8" s="250"/>
      <c r="Y8" s="250"/>
      <c r="Z8" s="250"/>
      <c r="AA8" s="250"/>
      <c r="AB8" s="250"/>
      <c r="AC8" s="250"/>
      <c r="AD8" s="250"/>
      <c r="AE8" s="41">
        <f t="shared" si="1"/>
        <v>9</v>
      </c>
      <c r="AF8" s="116" t="s">
        <v>151</v>
      </c>
      <c r="AG8" s="189" t="s">
        <v>656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8</v>
      </c>
      <c r="G9" s="250"/>
      <c r="H9" s="250"/>
      <c r="I9" s="250"/>
      <c r="J9" s="250"/>
      <c r="K9" s="250"/>
      <c r="L9" s="250"/>
      <c r="M9" s="250">
        <v>1</v>
      </c>
      <c r="N9" s="250">
        <v>1</v>
      </c>
      <c r="O9" s="250">
        <v>1</v>
      </c>
      <c r="P9" s="250">
        <v>1</v>
      </c>
      <c r="Q9" s="250">
        <v>1</v>
      </c>
      <c r="R9" s="250">
        <v>1</v>
      </c>
      <c r="S9" s="251" t="s">
        <v>47</v>
      </c>
      <c r="T9" s="250">
        <v>1</v>
      </c>
      <c r="U9" s="250">
        <v>1</v>
      </c>
      <c r="V9" s="250"/>
      <c r="W9" s="250"/>
      <c r="X9" s="250"/>
      <c r="Y9" s="250"/>
      <c r="Z9" s="250"/>
      <c r="AA9" s="250"/>
      <c r="AB9" s="250"/>
      <c r="AC9" s="250"/>
      <c r="AD9" s="250"/>
      <c r="AE9" s="41">
        <f t="shared" si="1"/>
        <v>8</v>
      </c>
      <c r="AF9" s="116" t="s">
        <v>244</v>
      </c>
      <c r="AG9" s="189" t="s">
        <v>656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75" t="s">
        <v>56</v>
      </c>
      <c r="F10" s="41">
        <f t="shared" si="3"/>
        <v>8</v>
      </c>
      <c r="G10" s="250"/>
      <c r="H10" s="250"/>
      <c r="I10" s="250"/>
      <c r="J10" s="250"/>
      <c r="K10" s="250"/>
      <c r="L10" s="250"/>
      <c r="M10" s="250">
        <v>1</v>
      </c>
      <c r="N10" s="250">
        <v>1</v>
      </c>
      <c r="O10" s="250">
        <v>1</v>
      </c>
      <c r="P10" s="250">
        <v>1</v>
      </c>
      <c r="Q10" s="250">
        <v>1</v>
      </c>
      <c r="R10" s="250">
        <v>1</v>
      </c>
      <c r="S10" s="250">
        <v>1</v>
      </c>
      <c r="T10" s="250">
        <v>1</v>
      </c>
      <c r="U10" s="251" t="s">
        <v>47</v>
      </c>
      <c r="V10" s="250"/>
      <c r="W10" s="250"/>
      <c r="X10" s="250"/>
      <c r="Y10" s="250"/>
      <c r="Z10" s="250"/>
      <c r="AA10" s="250"/>
      <c r="AB10" s="250"/>
      <c r="AC10" s="250"/>
      <c r="AD10" s="250"/>
      <c r="AE10" s="41">
        <f t="shared" si="1"/>
        <v>8</v>
      </c>
      <c r="AF10" s="116" t="s">
        <v>244</v>
      </c>
      <c r="AG10" s="189" t="s">
        <v>656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41">
        <f t="shared" si="3"/>
        <v>7</v>
      </c>
      <c r="G11" s="250"/>
      <c r="H11" s="250"/>
      <c r="I11" s="250"/>
      <c r="J11" s="250"/>
      <c r="K11" s="250"/>
      <c r="L11" s="250"/>
      <c r="M11" s="250"/>
      <c r="N11" s="250">
        <v>1</v>
      </c>
      <c r="O11" s="250">
        <v>1</v>
      </c>
      <c r="P11" s="250">
        <v>1</v>
      </c>
      <c r="Q11" s="250">
        <v>1</v>
      </c>
      <c r="R11" s="250">
        <v>1</v>
      </c>
      <c r="S11" s="250">
        <v>1</v>
      </c>
      <c r="T11" s="250">
        <v>1</v>
      </c>
      <c r="U11" s="251" t="s">
        <v>47</v>
      </c>
      <c r="V11" s="250"/>
      <c r="W11" s="250"/>
      <c r="X11" s="250"/>
      <c r="Y11" s="250"/>
      <c r="Z11" s="250"/>
      <c r="AA11" s="250"/>
      <c r="AB11" s="250"/>
      <c r="AC11" s="250"/>
      <c r="AD11" s="250"/>
      <c r="AE11" s="41">
        <f t="shared" si="1"/>
        <v>7</v>
      </c>
      <c r="AF11" s="116" t="s">
        <v>288</v>
      </c>
      <c r="AG11" s="189" t="s">
        <v>656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f t="shared" si="3"/>
        <v>7</v>
      </c>
      <c r="G12" s="250"/>
      <c r="H12" s="250"/>
      <c r="I12" s="250"/>
      <c r="J12" s="250"/>
      <c r="K12" s="250"/>
      <c r="L12" s="250"/>
      <c r="M12" s="250"/>
      <c r="N12" s="250"/>
      <c r="O12" s="250"/>
      <c r="P12" s="250">
        <v>1</v>
      </c>
      <c r="Q12" s="250">
        <v>1</v>
      </c>
      <c r="R12" s="250">
        <v>1</v>
      </c>
      <c r="S12" s="250">
        <v>1</v>
      </c>
      <c r="T12" s="251" t="s">
        <v>47</v>
      </c>
      <c r="U12" s="250">
        <v>1</v>
      </c>
      <c r="V12" s="250">
        <v>1</v>
      </c>
      <c r="W12" s="250">
        <v>1</v>
      </c>
      <c r="X12" s="250"/>
      <c r="Y12" s="250"/>
      <c r="Z12" s="250"/>
      <c r="AA12" s="250"/>
      <c r="AB12" s="250"/>
      <c r="AC12" s="250"/>
      <c r="AD12" s="250"/>
      <c r="AE12" s="41">
        <v>8</v>
      </c>
      <c r="AF12" s="116" t="s">
        <v>269</v>
      </c>
      <c r="AG12" s="189" t="s">
        <v>656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7" t="s">
        <v>60</v>
      </c>
      <c r="F13" s="41">
        <f t="shared" si="3"/>
        <v>11</v>
      </c>
      <c r="G13" s="250">
        <v>1</v>
      </c>
      <c r="H13" s="250">
        <v>1</v>
      </c>
      <c r="I13" s="250">
        <v>1</v>
      </c>
      <c r="J13" s="250">
        <v>1</v>
      </c>
      <c r="K13" s="250">
        <v>1</v>
      </c>
      <c r="L13" s="250">
        <v>1</v>
      </c>
      <c r="M13" s="250">
        <v>1</v>
      </c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>
        <v>1</v>
      </c>
      <c r="AB13" s="250">
        <v>1</v>
      </c>
      <c r="AC13" s="250">
        <v>1</v>
      </c>
      <c r="AD13" s="250">
        <v>1</v>
      </c>
      <c r="AE13" s="41">
        <f t="shared" ref="AE13:AE59" si="4">SUM(G13:AD13)</f>
        <v>11</v>
      </c>
      <c r="AF13" s="116" t="s">
        <v>424</v>
      </c>
      <c r="AG13" s="189" t="s">
        <v>656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11" t="s">
        <v>63</v>
      </c>
      <c r="F14" s="41">
        <f t="shared" si="3"/>
        <v>7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>
        <v>1</v>
      </c>
      <c r="R14" s="250">
        <v>1</v>
      </c>
      <c r="S14" s="250">
        <v>1</v>
      </c>
      <c r="T14" s="251" t="s">
        <v>47</v>
      </c>
      <c r="U14" s="250">
        <v>1</v>
      </c>
      <c r="V14" s="250">
        <v>1</v>
      </c>
      <c r="W14" s="250"/>
      <c r="X14" s="250">
        <v>1</v>
      </c>
      <c r="Y14" s="250">
        <v>1</v>
      </c>
      <c r="Z14" s="250"/>
      <c r="AA14" s="250"/>
      <c r="AB14" s="250"/>
      <c r="AC14" s="250"/>
      <c r="AD14" s="250"/>
      <c r="AE14" s="41">
        <f t="shared" si="4"/>
        <v>7</v>
      </c>
      <c r="AF14" s="116" t="s">
        <v>662</v>
      </c>
      <c r="AG14" s="189" t="s">
        <v>656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68" t="s">
        <v>65</v>
      </c>
      <c r="F15" s="41">
        <v>10</v>
      </c>
      <c r="G15" s="250"/>
      <c r="H15" s="250"/>
      <c r="I15" s="250"/>
      <c r="J15" s="250"/>
      <c r="K15" s="250"/>
      <c r="L15" s="250"/>
      <c r="M15" s="250"/>
      <c r="N15" s="250">
        <v>1</v>
      </c>
      <c r="O15" s="250">
        <v>1</v>
      </c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1" t="s">
        <v>47</v>
      </c>
      <c r="V15" s="250"/>
      <c r="W15" s="250"/>
      <c r="X15" s="250"/>
      <c r="Y15" s="250"/>
      <c r="Z15" s="250"/>
      <c r="AA15" s="250"/>
      <c r="AB15" s="250"/>
      <c r="AC15" s="250"/>
      <c r="AD15" s="250"/>
      <c r="AE15" s="41">
        <f t="shared" si="4"/>
        <v>7</v>
      </c>
      <c r="AF15" s="116" t="s">
        <v>288</v>
      </c>
      <c r="AG15" s="189" t="s">
        <v>656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208" t="s">
        <v>71</v>
      </c>
      <c r="F16" s="41">
        <f t="shared" ref="F16:F19" si="5">SUM(G16:AD16)</f>
        <v>7</v>
      </c>
      <c r="G16" s="250"/>
      <c r="H16" s="250"/>
      <c r="I16" s="250"/>
      <c r="J16" s="250"/>
      <c r="K16" s="250"/>
      <c r="L16" s="250"/>
      <c r="M16" s="250"/>
      <c r="N16" s="250">
        <v>1</v>
      </c>
      <c r="O16" s="250">
        <v>1</v>
      </c>
      <c r="P16" s="250">
        <v>1</v>
      </c>
      <c r="Q16" s="250">
        <v>1</v>
      </c>
      <c r="R16" s="250">
        <v>1</v>
      </c>
      <c r="S16" s="251" t="s">
        <v>47</v>
      </c>
      <c r="T16" s="250">
        <v>1</v>
      </c>
      <c r="U16" s="250">
        <v>1</v>
      </c>
      <c r="V16" s="250"/>
      <c r="W16" s="250"/>
      <c r="X16" s="250"/>
      <c r="Y16" s="250"/>
      <c r="Z16" s="250"/>
      <c r="AA16" s="250"/>
      <c r="AB16" s="250"/>
      <c r="AC16" s="250"/>
      <c r="AD16" s="250"/>
      <c r="AE16" s="41">
        <f t="shared" si="4"/>
        <v>7</v>
      </c>
      <c r="AF16" s="116" t="s">
        <v>288</v>
      </c>
      <c r="AG16" s="189" t="s">
        <v>656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208" t="s">
        <v>73</v>
      </c>
      <c r="F17" s="41">
        <f t="shared" si="5"/>
        <v>6</v>
      </c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1" t="s">
        <v>47</v>
      </c>
      <c r="T17" s="250">
        <v>1</v>
      </c>
      <c r="U17" s="250">
        <v>1</v>
      </c>
      <c r="V17" s="250">
        <v>1</v>
      </c>
      <c r="W17" s="250">
        <v>1</v>
      </c>
      <c r="X17" s="250">
        <v>1</v>
      </c>
      <c r="Y17" s="250">
        <v>1</v>
      </c>
      <c r="Z17" s="250"/>
      <c r="AA17" s="250"/>
      <c r="AB17" s="250"/>
      <c r="AC17" s="250"/>
      <c r="AD17" s="250"/>
      <c r="AE17" s="41">
        <f t="shared" si="4"/>
        <v>6</v>
      </c>
      <c r="AF17" s="116" t="s">
        <v>519</v>
      </c>
      <c r="AG17" s="189" t="s">
        <v>656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5"/>
        <v>9</v>
      </c>
      <c r="G18" s="250">
        <v>1</v>
      </c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>
        <v>1</v>
      </c>
      <c r="X18" s="250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>
        <v>1</v>
      </c>
      <c r="AE18" s="41">
        <f t="shared" si="4"/>
        <v>9</v>
      </c>
      <c r="AF18" s="116" t="s">
        <v>246</v>
      </c>
      <c r="AG18" s="189" t="s">
        <v>656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75" t="s">
        <v>83</v>
      </c>
      <c r="F19" s="41">
        <f t="shared" si="5"/>
        <v>8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1" t="s">
        <v>47</v>
      </c>
      <c r="V19" s="250">
        <v>1</v>
      </c>
      <c r="W19" s="250">
        <v>1</v>
      </c>
      <c r="X19" s="250">
        <v>1</v>
      </c>
      <c r="Y19" s="250">
        <v>1</v>
      </c>
      <c r="Z19" s="250">
        <v>1</v>
      </c>
      <c r="AA19" s="250">
        <v>1</v>
      </c>
      <c r="AB19" s="250">
        <v>1</v>
      </c>
      <c r="AC19" s="250">
        <v>1</v>
      </c>
      <c r="AD19" s="250"/>
      <c r="AE19" s="41">
        <f t="shared" si="4"/>
        <v>8</v>
      </c>
      <c r="AF19" s="116" t="s">
        <v>81</v>
      </c>
      <c r="AG19" s="189" t="s">
        <v>656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210"/>
      <c r="Q20" s="269"/>
      <c r="R20" s="269"/>
      <c r="S20" s="269"/>
      <c r="T20" s="269" t="s">
        <v>471</v>
      </c>
      <c r="U20" s="251" t="s">
        <v>47</v>
      </c>
      <c r="V20" s="269"/>
      <c r="W20" s="269"/>
      <c r="X20" s="269"/>
      <c r="Y20" s="269"/>
      <c r="Z20" s="270"/>
      <c r="AA20" s="250"/>
      <c r="AB20" s="77"/>
      <c r="AC20" s="42"/>
      <c r="AD20" s="42"/>
      <c r="AE20" s="41">
        <f t="shared" si="4"/>
        <v>0</v>
      </c>
      <c r="AF20" s="116" t="s">
        <v>164</v>
      </c>
      <c r="AG20" s="189" t="s">
        <v>656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06" t="s">
        <v>91</v>
      </c>
      <c r="F21" s="41">
        <f t="shared" ref="F21:F28" si="6">SUM(G21:AD21)</f>
        <v>8</v>
      </c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1" t="s">
        <v>47</v>
      </c>
      <c r="U21" s="250">
        <v>1</v>
      </c>
      <c r="V21" s="250">
        <v>1</v>
      </c>
      <c r="W21" s="250">
        <v>1</v>
      </c>
      <c r="X21" s="250">
        <v>1</v>
      </c>
      <c r="Y21" s="250">
        <v>1</v>
      </c>
      <c r="Z21" s="250">
        <v>1</v>
      </c>
      <c r="AA21" s="250">
        <v>1</v>
      </c>
      <c r="AB21" s="250">
        <v>1</v>
      </c>
      <c r="AC21" s="250"/>
      <c r="AD21" s="250"/>
      <c r="AE21" s="41">
        <f t="shared" si="4"/>
        <v>8</v>
      </c>
      <c r="AF21" s="116" t="s">
        <v>663</v>
      </c>
      <c r="AG21" s="189" t="s">
        <v>656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07" t="s">
        <v>93</v>
      </c>
      <c r="F22" s="41">
        <f t="shared" si="6"/>
        <v>7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>
        <v>1</v>
      </c>
      <c r="U22" s="251" t="s">
        <v>47</v>
      </c>
      <c r="V22" s="250">
        <v>1</v>
      </c>
      <c r="W22" s="250">
        <v>1</v>
      </c>
      <c r="X22" s="250">
        <v>1</v>
      </c>
      <c r="Y22" s="250">
        <v>1</v>
      </c>
      <c r="Z22" s="250">
        <v>1</v>
      </c>
      <c r="AA22" s="250">
        <v>1</v>
      </c>
      <c r="AB22" s="250"/>
      <c r="AC22" s="250"/>
      <c r="AD22" s="250"/>
      <c r="AE22" s="41">
        <f t="shared" si="4"/>
        <v>7</v>
      </c>
      <c r="AF22" s="116" t="s">
        <v>293</v>
      </c>
      <c r="AG22" s="189" t="s">
        <v>656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68" t="s">
        <v>95</v>
      </c>
      <c r="F23" s="41">
        <f t="shared" si="6"/>
        <v>8</v>
      </c>
      <c r="G23" s="250"/>
      <c r="H23" s="250"/>
      <c r="I23" s="250"/>
      <c r="J23" s="250"/>
      <c r="K23" s="250"/>
      <c r="L23" s="250"/>
      <c r="M23" s="250">
        <v>1</v>
      </c>
      <c r="N23" s="250">
        <v>1</v>
      </c>
      <c r="O23" s="250">
        <v>1</v>
      </c>
      <c r="P23" s="250">
        <v>1</v>
      </c>
      <c r="Q23" s="250">
        <v>1</v>
      </c>
      <c r="R23" s="250">
        <v>1</v>
      </c>
      <c r="S23" s="251" t="s">
        <v>47</v>
      </c>
      <c r="T23" s="250">
        <v>1</v>
      </c>
      <c r="U23" s="250">
        <v>1</v>
      </c>
      <c r="V23" s="250"/>
      <c r="W23" s="250"/>
      <c r="X23" s="250"/>
      <c r="Y23" s="250"/>
      <c r="Z23" s="250"/>
      <c r="AA23" s="250"/>
      <c r="AB23" s="250"/>
      <c r="AC23" s="250"/>
      <c r="AD23" s="250"/>
      <c r="AE23" s="41">
        <f t="shared" si="4"/>
        <v>8</v>
      </c>
      <c r="AF23" s="116" t="s">
        <v>244</v>
      </c>
      <c r="AG23" s="189" t="s">
        <v>656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11" t="s">
        <v>99</v>
      </c>
      <c r="F24" s="41">
        <f t="shared" si="6"/>
        <v>6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1" t="s">
        <v>47</v>
      </c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/>
      <c r="AC24" s="250"/>
      <c r="AD24" s="250"/>
      <c r="AE24" s="41">
        <f t="shared" si="4"/>
        <v>6</v>
      </c>
      <c r="AF24" s="116" t="s">
        <v>100</v>
      </c>
      <c r="AG24" s="189" t="s">
        <v>656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11" t="s">
        <v>102</v>
      </c>
      <c r="F25" s="41">
        <f t="shared" si="6"/>
        <v>0</v>
      </c>
      <c r="G25" s="250"/>
      <c r="H25" s="250"/>
      <c r="I25" s="250"/>
      <c r="J25" s="250"/>
      <c r="K25" s="250"/>
      <c r="L25" s="250"/>
      <c r="M25" s="261" t="s">
        <v>205</v>
      </c>
      <c r="N25" s="261" t="s">
        <v>205</v>
      </c>
      <c r="O25" s="261" t="s">
        <v>205</v>
      </c>
      <c r="P25" s="261" t="s">
        <v>205</v>
      </c>
      <c r="Q25" s="261" t="s">
        <v>205</v>
      </c>
      <c r="R25" s="261" t="s">
        <v>205</v>
      </c>
      <c r="S25" s="261" t="s">
        <v>205</v>
      </c>
      <c r="T25" s="261" t="s">
        <v>205</v>
      </c>
      <c r="U25" s="261" t="s">
        <v>205</v>
      </c>
      <c r="V25" s="250"/>
      <c r="W25" s="250"/>
      <c r="X25" s="250"/>
      <c r="Y25" s="250"/>
      <c r="Z25" s="250"/>
      <c r="AA25" s="250"/>
      <c r="AB25" s="250"/>
      <c r="AC25" s="250"/>
      <c r="AD25" s="250"/>
      <c r="AE25" s="41">
        <f t="shared" si="4"/>
        <v>0</v>
      </c>
      <c r="AF25" s="116" t="s">
        <v>244</v>
      </c>
      <c r="AG25" s="189" t="s">
        <v>656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7" t="s">
        <v>104</v>
      </c>
      <c r="F26" s="41">
        <f t="shared" si="6"/>
        <v>9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>
        <v>1</v>
      </c>
      <c r="U26" s="251" t="s">
        <v>47</v>
      </c>
      <c r="V26" s="250">
        <v>1</v>
      </c>
      <c r="W26" s="250">
        <v>1</v>
      </c>
      <c r="X26" s="250">
        <v>1</v>
      </c>
      <c r="Y26" s="250">
        <v>1</v>
      </c>
      <c r="Z26" s="250">
        <v>1</v>
      </c>
      <c r="AA26" s="250">
        <v>1</v>
      </c>
      <c r="AB26" s="250">
        <v>1</v>
      </c>
      <c r="AC26" s="250">
        <v>1</v>
      </c>
      <c r="AD26" s="250"/>
      <c r="AE26" s="41">
        <f t="shared" si="4"/>
        <v>9</v>
      </c>
      <c r="AF26" s="116" t="s">
        <v>175</v>
      </c>
      <c r="AG26" s="189" t="s">
        <v>656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7" t="s">
        <v>333</v>
      </c>
      <c r="F27" s="41">
        <f t="shared" si="6"/>
        <v>6</v>
      </c>
      <c r="G27" s="250"/>
      <c r="H27" s="250"/>
      <c r="I27" s="250"/>
      <c r="J27" s="250"/>
      <c r="K27" s="250"/>
      <c r="L27" s="250"/>
      <c r="M27" s="250"/>
      <c r="N27" s="250"/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>
        <v>1</v>
      </c>
      <c r="U27" s="251" t="s">
        <v>47</v>
      </c>
      <c r="V27" s="250"/>
      <c r="W27" s="250"/>
      <c r="X27" s="250"/>
      <c r="Y27" s="250"/>
      <c r="Z27" s="250"/>
      <c r="AA27" s="250"/>
      <c r="AB27" s="250"/>
      <c r="AC27" s="250"/>
      <c r="AD27" s="250"/>
      <c r="AE27" s="41">
        <f t="shared" si="4"/>
        <v>6</v>
      </c>
      <c r="AF27" s="116" t="s">
        <v>87</v>
      </c>
      <c r="AG27" s="189" t="s">
        <v>656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07" t="s">
        <v>172</v>
      </c>
      <c r="F28" s="41">
        <f t="shared" si="6"/>
        <v>8</v>
      </c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1" t="s">
        <v>47</v>
      </c>
      <c r="U28" s="250">
        <v>1</v>
      </c>
      <c r="V28" s="250">
        <v>1</v>
      </c>
      <c r="W28" s="250"/>
      <c r="X28" s="250">
        <v>1</v>
      </c>
      <c r="Y28" s="250">
        <v>1</v>
      </c>
      <c r="Z28" s="250">
        <v>1</v>
      </c>
      <c r="AA28" s="250">
        <v>1</v>
      </c>
      <c r="AB28" s="250">
        <v>1</v>
      </c>
      <c r="AC28" s="250">
        <v>1</v>
      </c>
      <c r="AD28" s="250"/>
      <c r="AE28" s="41">
        <f t="shared" si="4"/>
        <v>8</v>
      </c>
      <c r="AF28" s="116" t="s">
        <v>659</v>
      </c>
      <c r="AG28" s="189" t="s">
        <v>656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68" t="s">
        <v>106</v>
      </c>
      <c r="F29" s="41">
        <v>0</v>
      </c>
      <c r="G29" s="250"/>
      <c r="H29" s="250"/>
      <c r="I29" s="250"/>
      <c r="J29" s="250"/>
      <c r="K29" s="250"/>
      <c r="L29" s="250"/>
      <c r="M29" s="250">
        <v>1</v>
      </c>
      <c r="N29" s="250">
        <v>1</v>
      </c>
      <c r="O29" s="250">
        <v>1</v>
      </c>
      <c r="P29" s="250">
        <v>1</v>
      </c>
      <c r="Q29" s="250">
        <v>1</v>
      </c>
      <c r="R29" s="250">
        <v>1</v>
      </c>
      <c r="S29" s="250">
        <v>1</v>
      </c>
      <c r="T29" s="250">
        <v>1</v>
      </c>
      <c r="U29" s="251" t="s">
        <v>47</v>
      </c>
      <c r="V29" s="250"/>
      <c r="W29" s="250"/>
      <c r="X29" s="250"/>
      <c r="Y29" s="250"/>
      <c r="Z29" s="250"/>
      <c r="AA29" s="250"/>
      <c r="AB29" s="250"/>
      <c r="AC29" s="250"/>
      <c r="AD29" s="250"/>
      <c r="AE29" s="41">
        <f t="shared" si="4"/>
        <v>8</v>
      </c>
      <c r="AF29" s="116" t="s">
        <v>244</v>
      </c>
      <c r="AG29" s="189" t="s">
        <v>656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7" t="s">
        <v>112</v>
      </c>
      <c r="F30" s="41">
        <f t="shared" ref="F30:F32" si="7">SUM(G30:AD30)</f>
        <v>8</v>
      </c>
      <c r="G30" s="250"/>
      <c r="H30" s="250"/>
      <c r="I30" s="250"/>
      <c r="J30" s="250"/>
      <c r="K30" s="250"/>
      <c r="L30" s="250"/>
      <c r="M30" s="250">
        <v>1</v>
      </c>
      <c r="N30" s="250">
        <v>1</v>
      </c>
      <c r="O30" s="250">
        <v>1</v>
      </c>
      <c r="P30" s="250">
        <v>1</v>
      </c>
      <c r="Q30" s="250">
        <v>1</v>
      </c>
      <c r="R30" s="250">
        <v>1</v>
      </c>
      <c r="S30" s="250">
        <v>1</v>
      </c>
      <c r="T30" s="250">
        <v>1</v>
      </c>
      <c r="U30" s="251" t="s">
        <v>47</v>
      </c>
      <c r="V30" s="250"/>
      <c r="W30" s="250"/>
      <c r="X30" s="250"/>
      <c r="Y30" s="250"/>
      <c r="Z30" s="250"/>
      <c r="AA30" s="250"/>
      <c r="AB30" s="250"/>
      <c r="AC30" s="250"/>
      <c r="AD30" s="250"/>
      <c r="AE30" s="41">
        <f t="shared" si="4"/>
        <v>8</v>
      </c>
      <c r="AF30" s="116" t="s">
        <v>664</v>
      </c>
      <c r="AG30" s="189" t="s">
        <v>656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07" t="s">
        <v>116</v>
      </c>
      <c r="F31" s="41">
        <f t="shared" si="7"/>
        <v>11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>
        <v>1</v>
      </c>
      <c r="AB31" s="250">
        <v>1</v>
      </c>
      <c r="AC31" s="250">
        <v>1</v>
      </c>
      <c r="AD31" s="250">
        <v>1</v>
      </c>
      <c r="AE31" s="41">
        <f t="shared" si="4"/>
        <v>11</v>
      </c>
      <c r="AF31" s="116" t="s">
        <v>424</v>
      </c>
      <c r="AG31" s="189" t="s">
        <v>656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7" t="s">
        <v>121</v>
      </c>
      <c r="F32" s="41">
        <f t="shared" si="7"/>
        <v>11</v>
      </c>
      <c r="G32" s="250">
        <v>1</v>
      </c>
      <c r="H32" s="250">
        <v>1</v>
      </c>
      <c r="I32" s="250">
        <v>1</v>
      </c>
      <c r="J32" s="250">
        <v>1</v>
      </c>
      <c r="K32" s="250">
        <v>1</v>
      </c>
      <c r="L32" s="250">
        <v>1</v>
      </c>
      <c r="M32" s="250">
        <v>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>
        <v>1</v>
      </c>
      <c r="AB32" s="250">
        <v>1</v>
      </c>
      <c r="AC32" s="250">
        <v>1</v>
      </c>
      <c r="AD32" s="250">
        <v>1</v>
      </c>
      <c r="AE32" s="41">
        <f t="shared" si="4"/>
        <v>11</v>
      </c>
      <c r="AF32" s="116" t="s">
        <v>424</v>
      </c>
      <c r="AG32" s="189" t="s">
        <v>656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8" t="s">
        <v>123</v>
      </c>
      <c r="F33" s="41">
        <v>12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>
        <v>1</v>
      </c>
      <c r="T33" s="251" t="s">
        <v>47</v>
      </c>
      <c r="U33" s="269">
        <v>1</v>
      </c>
      <c r="V33" s="250">
        <v>1</v>
      </c>
      <c r="W33" s="250">
        <v>1</v>
      </c>
      <c r="X33" s="250">
        <v>1</v>
      </c>
      <c r="Y33" s="250">
        <v>1</v>
      </c>
      <c r="Z33" s="250">
        <v>1</v>
      </c>
      <c r="AA33" s="250"/>
      <c r="AB33" s="250"/>
      <c r="AC33" s="250"/>
      <c r="AD33" s="250"/>
      <c r="AE33" s="41">
        <f t="shared" si="4"/>
        <v>7</v>
      </c>
      <c r="AF33" s="116" t="s">
        <v>365</v>
      </c>
      <c r="AG33" s="189" t="s">
        <v>656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7" t="s">
        <v>125</v>
      </c>
      <c r="F34" s="41">
        <f>SUM(G34:AD34)</f>
        <v>7</v>
      </c>
      <c r="G34" s="250"/>
      <c r="H34" s="250"/>
      <c r="I34" s="250"/>
      <c r="J34" s="250"/>
      <c r="K34" s="250"/>
      <c r="L34" s="250"/>
      <c r="M34" s="250"/>
      <c r="N34" s="250">
        <v>1</v>
      </c>
      <c r="O34" s="250">
        <v>1</v>
      </c>
      <c r="P34" s="250">
        <v>1</v>
      </c>
      <c r="Q34" s="250">
        <v>1</v>
      </c>
      <c r="R34" s="250">
        <v>1</v>
      </c>
      <c r="S34" s="250">
        <v>1</v>
      </c>
      <c r="T34" s="250">
        <v>1</v>
      </c>
      <c r="U34" s="251" t="s">
        <v>47</v>
      </c>
      <c r="V34" s="250"/>
      <c r="W34" s="250"/>
      <c r="X34" s="250"/>
      <c r="Y34" s="250"/>
      <c r="Z34" s="250"/>
      <c r="AA34" s="250"/>
      <c r="AB34" s="250"/>
      <c r="AC34" s="250"/>
      <c r="AD34" s="250"/>
      <c r="AE34" s="41">
        <f t="shared" si="4"/>
        <v>7</v>
      </c>
      <c r="AF34" s="116" t="s">
        <v>288</v>
      </c>
      <c r="AG34" s="189" t="s">
        <v>656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72" t="s">
        <v>127</v>
      </c>
      <c r="F35" s="41">
        <v>10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1" t="s">
        <v>47</v>
      </c>
      <c r="V35" s="585"/>
      <c r="W35" s="555"/>
      <c r="X35" s="555"/>
      <c r="Y35" s="555"/>
      <c r="Z35" s="555"/>
      <c r="AA35" s="555"/>
      <c r="AB35" s="555"/>
      <c r="AC35" s="542"/>
      <c r="AD35" s="250"/>
      <c r="AE35" s="41">
        <f t="shared" si="4"/>
        <v>0</v>
      </c>
      <c r="AF35" s="116" t="s">
        <v>365</v>
      </c>
      <c r="AG35" s="189" t="s">
        <v>656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07" t="s">
        <v>129</v>
      </c>
      <c r="F36" s="41">
        <f t="shared" ref="F36:F38" si="8">SUM(G36:AD36)</f>
        <v>8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1" t="s">
        <v>47</v>
      </c>
      <c r="V36" s="250">
        <v>1</v>
      </c>
      <c r="W36" s="250">
        <v>1</v>
      </c>
      <c r="X36" s="250">
        <v>1</v>
      </c>
      <c r="Y36" s="250">
        <v>1</v>
      </c>
      <c r="Z36" s="250">
        <v>1</v>
      </c>
      <c r="AA36" s="250">
        <v>1</v>
      </c>
      <c r="AB36" s="250">
        <v>1</v>
      </c>
      <c r="AC36" s="250">
        <v>1</v>
      </c>
      <c r="AD36" s="250"/>
      <c r="AE36" s="41">
        <f t="shared" si="4"/>
        <v>8</v>
      </c>
      <c r="AF36" s="116" t="s">
        <v>81</v>
      </c>
      <c r="AG36" s="189" t="s">
        <v>656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11" t="s">
        <v>131</v>
      </c>
      <c r="F37" s="41">
        <f t="shared" si="8"/>
        <v>8</v>
      </c>
      <c r="G37" s="250"/>
      <c r="H37" s="250"/>
      <c r="I37" s="250"/>
      <c r="J37" s="250"/>
      <c r="K37" s="250"/>
      <c r="L37" s="250"/>
      <c r="M37" s="250">
        <v>1</v>
      </c>
      <c r="N37" s="250">
        <v>1</v>
      </c>
      <c r="O37" s="250">
        <v>1</v>
      </c>
      <c r="P37" s="250">
        <v>1</v>
      </c>
      <c r="Q37" s="250">
        <v>1</v>
      </c>
      <c r="R37" s="250">
        <v>1</v>
      </c>
      <c r="S37" s="250">
        <v>1</v>
      </c>
      <c r="T37" s="250">
        <v>1</v>
      </c>
      <c r="U37" s="251" t="s">
        <v>47</v>
      </c>
      <c r="V37" s="250"/>
      <c r="W37" s="250"/>
      <c r="X37" s="250"/>
      <c r="Y37" s="250"/>
      <c r="Z37" s="250"/>
      <c r="AA37" s="250"/>
      <c r="AB37" s="250"/>
      <c r="AC37" s="250"/>
      <c r="AD37" s="250"/>
      <c r="AE37" s="41">
        <f t="shared" si="4"/>
        <v>8</v>
      </c>
      <c r="AF37" s="116" t="s">
        <v>244</v>
      </c>
      <c r="AG37" s="189" t="s">
        <v>656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72" t="s">
        <v>50</v>
      </c>
      <c r="F38" s="41">
        <f t="shared" si="8"/>
        <v>7</v>
      </c>
      <c r="G38" s="250"/>
      <c r="H38" s="250"/>
      <c r="I38" s="250"/>
      <c r="J38" s="250"/>
      <c r="K38" s="250"/>
      <c r="L38" s="250"/>
      <c r="M38" s="250"/>
      <c r="N38" s="250"/>
      <c r="O38" s="250">
        <v>1</v>
      </c>
      <c r="P38" s="250">
        <v>1</v>
      </c>
      <c r="Q38" s="250">
        <v>1</v>
      </c>
      <c r="R38" s="250">
        <v>1</v>
      </c>
      <c r="S38" s="250">
        <v>1</v>
      </c>
      <c r="T38" s="251" t="s">
        <v>47</v>
      </c>
      <c r="U38" s="250">
        <v>1</v>
      </c>
      <c r="V38" s="250">
        <v>1</v>
      </c>
      <c r="W38" s="250"/>
      <c r="X38" s="250"/>
      <c r="Y38" s="250"/>
      <c r="Z38" s="250"/>
      <c r="AA38" s="250"/>
      <c r="AB38" s="250"/>
      <c r="AC38" s="250"/>
      <c r="AD38" s="250"/>
      <c r="AE38" s="41">
        <f t="shared" si="4"/>
        <v>7</v>
      </c>
      <c r="AF38" s="111" t="s">
        <v>258</v>
      </c>
      <c r="AG38" s="189" t="s">
        <v>656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72" t="s">
        <v>135</v>
      </c>
      <c r="F39" s="41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1" t="s">
        <v>47</v>
      </c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41">
        <f t="shared" si="4"/>
        <v>0</v>
      </c>
      <c r="AF39" s="116" t="s">
        <v>81</v>
      </c>
      <c r="AG39" s="189" t="s">
        <v>656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72" t="s">
        <v>140</v>
      </c>
      <c r="F40" s="41">
        <v>9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1" t="s">
        <v>47</v>
      </c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41">
        <f t="shared" si="4"/>
        <v>0</v>
      </c>
      <c r="AF40" s="116" t="s">
        <v>218</v>
      </c>
      <c r="AG40" s="189" t="s">
        <v>656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7" t="s">
        <v>118</v>
      </c>
      <c r="F41" s="41">
        <f>SUM(G41:AD41)</f>
        <v>7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>
        <v>1</v>
      </c>
      <c r="U41" s="251" t="s">
        <v>47</v>
      </c>
      <c r="V41" s="250">
        <v>1</v>
      </c>
      <c r="W41" s="250">
        <v>1</v>
      </c>
      <c r="X41" s="250">
        <v>1</v>
      </c>
      <c r="Y41" s="250">
        <v>1</v>
      </c>
      <c r="Z41" s="250">
        <v>1</v>
      </c>
      <c r="AA41" s="250">
        <v>1</v>
      </c>
      <c r="AB41" s="250"/>
      <c r="AC41" s="250"/>
      <c r="AD41" s="250"/>
      <c r="AE41" s="41">
        <f t="shared" si="4"/>
        <v>7</v>
      </c>
      <c r="AF41" s="116" t="s">
        <v>293</v>
      </c>
      <c r="AG41" s="189" t="s">
        <v>656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72" t="s">
        <v>143</v>
      </c>
      <c r="F42" s="41">
        <v>9</v>
      </c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1" t="s">
        <v>47</v>
      </c>
      <c r="V42" s="583" t="s">
        <v>209</v>
      </c>
      <c r="W42" s="555"/>
      <c r="X42" s="555"/>
      <c r="Y42" s="555"/>
      <c r="Z42" s="555"/>
      <c r="AA42" s="555"/>
      <c r="AB42" s="555"/>
      <c r="AC42" s="542"/>
      <c r="AD42" s="250"/>
      <c r="AE42" s="41">
        <f t="shared" si="4"/>
        <v>0</v>
      </c>
      <c r="AF42" s="116" t="s">
        <v>81</v>
      </c>
      <c r="AG42" s="189" t="s">
        <v>656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5" t="s">
        <v>455</v>
      </c>
      <c r="F43" s="41">
        <f t="shared" ref="F43:F56" si="9">SUM(G43:AD43)</f>
        <v>8</v>
      </c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1" t="s">
        <v>47</v>
      </c>
      <c r="U43" s="250">
        <v>1</v>
      </c>
      <c r="V43" s="250">
        <v>1</v>
      </c>
      <c r="W43" s="250">
        <v>1</v>
      </c>
      <c r="X43" s="250">
        <v>1</v>
      </c>
      <c r="Y43" s="250">
        <v>1</v>
      </c>
      <c r="Z43" s="250">
        <v>1</v>
      </c>
      <c r="AA43" s="250">
        <v>1</v>
      </c>
      <c r="AB43" s="250">
        <v>1</v>
      </c>
      <c r="AC43" s="250"/>
      <c r="AD43" s="250"/>
      <c r="AE43" s="41">
        <f t="shared" si="4"/>
        <v>8</v>
      </c>
      <c r="AF43" s="116" t="s">
        <v>255</v>
      </c>
      <c r="AG43" s="189" t="s">
        <v>656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5" t="s">
        <v>457</v>
      </c>
      <c r="F44" s="41">
        <f t="shared" si="9"/>
        <v>7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1" t="s">
        <v>47</v>
      </c>
      <c r="U44" s="250">
        <v>1</v>
      </c>
      <c r="V44" s="250">
        <v>1</v>
      </c>
      <c r="W44" s="250">
        <v>1</v>
      </c>
      <c r="X44" s="250">
        <v>1</v>
      </c>
      <c r="Y44" s="250">
        <v>1</v>
      </c>
      <c r="Z44" s="250">
        <v>1</v>
      </c>
      <c r="AA44" s="250">
        <v>1</v>
      </c>
      <c r="AB44" s="250"/>
      <c r="AC44" s="250"/>
      <c r="AD44" s="250"/>
      <c r="AE44" s="41">
        <f t="shared" si="4"/>
        <v>7</v>
      </c>
      <c r="AF44" s="116" t="s">
        <v>293</v>
      </c>
      <c r="AG44" s="189" t="s">
        <v>656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5" t="s">
        <v>460</v>
      </c>
      <c r="F45" s="41">
        <f t="shared" si="9"/>
        <v>7</v>
      </c>
      <c r="G45" s="250"/>
      <c r="H45" s="250"/>
      <c r="I45" s="250"/>
      <c r="J45" s="250"/>
      <c r="K45" s="250"/>
      <c r="L45" s="250"/>
      <c r="M45" s="250"/>
      <c r="N45" s="261" t="s">
        <v>205</v>
      </c>
      <c r="O45" s="261" t="s">
        <v>205</v>
      </c>
      <c r="P45" s="261" t="s">
        <v>205</v>
      </c>
      <c r="Q45" s="261" t="s">
        <v>205</v>
      </c>
      <c r="R45" s="261" t="s">
        <v>205</v>
      </c>
      <c r="S45" s="261" t="s">
        <v>205</v>
      </c>
      <c r="T45" s="250">
        <v>1</v>
      </c>
      <c r="U45" s="250">
        <v>1</v>
      </c>
      <c r="V45" s="250">
        <v>1</v>
      </c>
      <c r="W45" s="250">
        <v>1</v>
      </c>
      <c r="X45" s="250">
        <v>1</v>
      </c>
      <c r="Y45" s="250">
        <v>1</v>
      </c>
      <c r="Z45" s="250">
        <v>1</v>
      </c>
      <c r="AA45" s="250"/>
      <c r="AB45" s="250"/>
      <c r="AC45" s="250"/>
      <c r="AD45" s="250"/>
      <c r="AE45" s="41">
        <f t="shared" si="4"/>
        <v>7</v>
      </c>
      <c r="AF45" s="116" t="s">
        <v>154</v>
      </c>
      <c r="AG45" s="189" t="s">
        <v>656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15" t="s">
        <v>478</v>
      </c>
      <c r="F46" s="41">
        <f t="shared" si="9"/>
        <v>9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>
        <v>1</v>
      </c>
      <c r="R46" s="250">
        <v>1</v>
      </c>
      <c r="S46" s="250">
        <v>1</v>
      </c>
      <c r="T46" s="251" t="s">
        <v>47</v>
      </c>
      <c r="U46" s="250">
        <v>1</v>
      </c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/>
      <c r="AB46" s="250"/>
      <c r="AC46" s="250"/>
      <c r="AD46" s="250"/>
      <c r="AE46" s="41">
        <f t="shared" si="4"/>
        <v>9</v>
      </c>
      <c r="AF46" s="116" t="s">
        <v>262</v>
      </c>
      <c r="AG46" s="189" t="s">
        <v>656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5" t="s">
        <v>461</v>
      </c>
      <c r="F47" s="41">
        <f t="shared" si="9"/>
        <v>7</v>
      </c>
      <c r="G47" s="250"/>
      <c r="H47" s="250"/>
      <c r="I47" s="250"/>
      <c r="J47" s="250"/>
      <c r="K47" s="250"/>
      <c r="L47" s="250"/>
      <c r="M47" s="250"/>
      <c r="N47" s="250"/>
      <c r="O47" s="250">
        <v>1</v>
      </c>
      <c r="P47" s="250">
        <v>1</v>
      </c>
      <c r="Q47" s="250">
        <v>1</v>
      </c>
      <c r="R47" s="250">
        <v>1</v>
      </c>
      <c r="S47" s="250">
        <v>1</v>
      </c>
      <c r="T47" s="250">
        <v>1</v>
      </c>
      <c r="U47" s="251" t="s">
        <v>47</v>
      </c>
      <c r="V47" s="250">
        <v>1</v>
      </c>
      <c r="W47" s="250"/>
      <c r="X47" s="250"/>
      <c r="Y47" s="250"/>
      <c r="Z47" s="250"/>
      <c r="AA47" s="250"/>
      <c r="AB47" s="250"/>
      <c r="AC47" s="250"/>
      <c r="AD47" s="250"/>
      <c r="AE47" s="41">
        <f t="shared" si="4"/>
        <v>7</v>
      </c>
      <c r="AF47" s="116" t="s">
        <v>258</v>
      </c>
      <c r="AG47" s="189" t="s">
        <v>656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5" t="s">
        <v>463</v>
      </c>
      <c r="F48" s="41">
        <f t="shared" si="9"/>
        <v>8</v>
      </c>
      <c r="G48" s="250"/>
      <c r="H48" s="250"/>
      <c r="I48" s="250"/>
      <c r="J48" s="250"/>
      <c r="K48" s="250"/>
      <c r="L48" s="250"/>
      <c r="M48" s="250"/>
      <c r="N48" s="250"/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1" t="s">
        <v>47</v>
      </c>
      <c r="U48" s="250">
        <v>1</v>
      </c>
      <c r="V48" s="250">
        <v>1</v>
      </c>
      <c r="W48" s="250">
        <v>1</v>
      </c>
      <c r="X48" s="250"/>
      <c r="Y48" s="250"/>
      <c r="Z48" s="250"/>
      <c r="AA48" s="250"/>
      <c r="AB48" s="250"/>
      <c r="AC48" s="250"/>
      <c r="AD48" s="250"/>
      <c r="AE48" s="41">
        <f t="shared" si="4"/>
        <v>8</v>
      </c>
      <c r="AF48" s="116" t="s">
        <v>298</v>
      </c>
      <c r="AG48" s="189" t="s">
        <v>656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5" t="s">
        <v>465</v>
      </c>
      <c r="F49" s="41">
        <f t="shared" si="9"/>
        <v>8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>
        <v>1</v>
      </c>
      <c r="Q49" s="250">
        <v>1</v>
      </c>
      <c r="R49" s="250">
        <v>1</v>
      </c>
      <c r="S49" s="250">
        <v>1</v>
      </c>
      <c r="T49" s="251" t="s">
        <v>47</v>
      </c>
      <c r="U49" s="250">
        <v>1</v>
      </c>
      <c r="V49" s="250">
        <v>1</v>
      </c>
      <c r="W49" s="250">
        <v>1</v>
      </c>
      <c r="X49" s="250"/>
      <c r="Y49" s="250">
        <v>1</v>
      </c>
      <c r="Z49" s="250"/>
      <c r="AA49" s="250"/>
      <c r="AB49" s="250"/>
      <c r="AC49" s="250"/>
      <c r="AD49" s="250"/>
      <c r="AE49" s="41">
        <f t="shared" si="4"/>
        <v>8</v>
      </c>
      <c r="AF49" s="116" t="s">
        <v>665</v>
      </c>
      <c r="AG49" s="189" t="s">
        <v>656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5" t="s">
        <v>466</v>
      </c>
      <c r="F50" s="41">
        <f t="shared" si="9"/>
        <v>9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>
        <v>1</v>
      </c>
      <c r="Q50" s="250">
        <v>1</v>
      </c>
      <c r="R50" s="250">
        <v>1</v>
      </c>
      <c r="S50" s="250">
        <v>1</v>
      </c>
      <c r="T50" s="250">
        <v>1</v>
      </c>
      <c r="U50" s="250">
        <v>1</v>
      </c>
      <c r="V50" s="251" t="s">
        <v>47</v>
      </c>
      <c r="W50" s="250">
        <v>1</v>
      </c>
      <c r="X50" s="250">
        <v>1</v>
      </c>
      <c r="Y50" s="250">
        <v>1</v>
      </c>
      <c r="Z50" s="250"/>
      <c r="AA50" s="250"/>
      <c r="AB50" s="250"/>
      <c r="AC50" s="250"/>
      <c r="AD50" s="250"/>
      <c r="AE50" s="41">
        <f t="shared" si="4"/>
        <v>9</v>
      </c>
      <c r="AF50" s="116" t="s">
        <v>302</v>
      </c>
      <c r="AG50" s="189" t="s">
        <v>656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5" t="s">
        <v>467</v>
      </c>
      <c r="F51" s="41">
        <f t="shared" si="9"/>
        <v>9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>
        <v>1</v>
      </c>
      <c r="Q51" s="250">
        <v>1</v>
      </c>
      <c r="R51" s="250">
        <v>1</v>
      </c>
      <c r="S51" s="251" t="s">
        <v>47</v>
      </c>
      <c r="T51" s="250">
        <v>1</v>
      </c>
      <c r="U51" s="250">
        <v>1</v>
      </c>
      <c r="V51" s="250"/>
      <c r="W51" s="250">
        <v>1</v>
      </c>
      <c r="X51" s="250">
        <v>1</v>
      </c>
      <c r="Y51" s="250">
        <v>1</v>
      </c>
      <c r="Z51" s="250">
        <v>1</v>
      </c>
      <c r="AA51" s="250"/>
      <c r="AB51" s="250"/>
      <c r="AC51" s="250"/>
      <c r="AD51" s="250"/>
      <c r="AE51" s="41">
        <f t="shared" si="4"/>
        <v>9</v>
      </c>
      <c r="AF51" s="116" t="s">
        <v>306</v>
      </c>
      <c r="AG51" s="189" t="s">
        <v>656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5" t="s">
        <v>491</v>
      </c>
      <c r="F52" s="41">
        <f t="shared" si="9"/>
        <v>7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1" t="s">
        <v>47</v>
      </c>
      <c r="T52" s="250">
        <v>1</v>
      </c>
      <c r="U52" s="250">
        <v>1</v>
      </c>
      <c r="V52" s="250">
        <v>1</v>
      </c>
      <c r="W52" s="250">
        <v>1</v>
      </c>
      <c r="X52" s="250">
        <v>1</v>
      </c>
      <c r="Y52" s="250">
        <v>1</v>
      </c>
      <c r="Z52" s="250">
        <v>1</v>
      </c>
      <c r="AA52" s="250"/>
      <c r="AB52" s="250"/>
      <c r="AC52" s="250"/>
      <c r="AD52" s="250"/>
      <c r="AE52" s="41">
        <f t="shared" si="4"/>
        <v>7</v>
      </c>
      <c r="AF52" s="116" t="s">
        <v>365</v>
      </c>
      <c r="AG52" s="189" t="s">
        <v>656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5" t="s">
        <v>493</v>
      </c>
      <c r="F53" s="41">
        <f t="shared" si="9"/>
        <v>0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586" t="s">
        <v>382</v>
      </c>
      <c r="R53" s="555"/>
      <c r="S53" s="555"/>
      <c r="T53" s="555"/>
      <c r="U53" s="555"/>
      <c r="V53" s="555"/>
      <c r="W53" s="555"/>
      <c r="X53" s="555"/>
      <c r="Y53" s="555"/>
      <c r="Z53" s="555"/>
      <c r="AA53" s="542"/>
      <c r="AB53" s="250"/>
      <c r="AC53" s="250"/>
      <c r="AD53" s="250"/>
      <c r="AE53" s="41">
        <f t="shared" si="4"/>
        <v>0</v>
      </c>
      <c r="AF53" s="116" t="s">
        <v>652</v>
      </c>
      <c r="AG53" s="189" t="s">
        <v>656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5" t="s">
        <v>469</v>
      </c>
      <c r="F54" s="41">
        <f t="shared" si="9"/>
        <v>9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>
        <v>1</v>
      </c>
      <c r="R54" s="250">
        <v>1</v>
      </c>
      <c r="S54" s="250">
        <v>1</v>
      </c>
      <c r="T54" s="250">
        <v>1</v>
      </c>
      <c r="U54" s="250">
        <v>1</v>
      </c>
      <c r="V54" s="251" t="s">
        <v>47</v>
      </c>
      <c r="W54" s="250">
        <v>1</v>
      </c>
      <c r="X54" s="250">
        <v>1</v>
      </c>
      <c r="Y54" s="250">
        <v>1</v>
      </c>
      <c r="Z54" s="250">
        <v>1</v>
      </c>
      <c r="AA54" s="250"/>
      <c r="AB54" s="250"/>
      <c r="AC54" s="250"/>
      <c r="AD54" s="250"/>
      <c r="AE54" s="41">
        <f t="shared" si="4"/>
        <v>9</v>
      </c>
      <c r="AF54" s="116" t="s">
        <v>262</v>
      </c>
      <c r="AG54" s="189" t="s">
        <v>656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5" t="s">
        <v>495</v>
      </c>
      <c r="F55" s="41">
        <f t="shared" si="9"/>
        <v>0</v>
      </c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586" t="s">
        <v>382</v>
      </c>
      <c r="S55" s="555"/>
      <c r="T55" s="555"/>
      <c r="U55" s="555"/>
      <c r="V55" s="555"/>
      <c r="W55" s="555"/>
      <c r="X55" s="555"/>
      <c r="Y55" s="555"/>
      <c r="Z55" s="542"/>
      <c r="AA55" s="250"/>
      <c r="AB55" s="250"/>
      <c r="AC55" s="250"/>
      <c r="AD55" s="250"/>
      <c r="AE55" s="41">
        <f t="shared" si="4"/>
        <v>0</v>
      </c>
      <c r="AF55" s="116" t="s">
        <v>652</v>
      </c>
      <c r="AG55" s="189" t="s">
        <v>656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5" t="s">
        <v>497</v>
      </c>
      <c r="F56" s="41">
        <f t="shared" si="9"/>
        <v>7</v>
      </c>
      <c r="G56" s="250"/>
      <c r="H56" s="250"/>
      <c r="I56" s="250"/>
      <c r="J56" s="250"/>
      <c r="K56" s="250"/>
      <c r="L56" s="250"/>
      <c r="M56" s="250"/>
      <c r="N56" s="250"/>
      <c r="O56" s="250"/>
      <c r="P56" s="261" t="s">
        <v>205</v>
      </c>
      <c r="Q56" s="250">
        <v>1</v>
      </c>
      <c r="R56" s="250">
        <v>1</v>
      </c>
      <c r="S56" s="250">
        <v>1</v>
      </c>
      <c r="T56" s="250">
        <v>1</v>
      </c>
      <c r="U56" s="250">
        <v>1</v>
      </c>
      <c r="V56" s="250">
        <v>1</v>
      </c>
      <c r="W56" s="250">
        <v>1</v>
      </c>
      <c r="X56" s="250"/>
      <c r="Y56" s="250"/>
      <c r="Z56" s="250"/>
      <c r="AA56" s="250"/>
      <c r="AB56" s="250"/>
      <c r="AC56" s="250"/>
      <c r="AD56" s="250"/>
      <c r="AE56" s="41">
        <f t="shared" si="4"/>
        <v>7</v>
      </c>
      <c r="AF56" s="116" t="s">
        <v>269</v>
      </c>
      <c r="AG56" s="189" t="s">
        <v>656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8</v>
      </c>
      <c r="G57" s="258"/>
      <c r="H57" s="258"/>
      <c r="I57" s="258"/>
      <c r="J57" s="258"/>
      <c r="K57" s="258"/>
      <c r="L57" s="258"/>
      <c r="M57" s="258"/>
      <c r="N57" s="577" t="s">
        <v>292</v>
      </c>
      <c r="O57" s="555"/>
      <c r="P57" s="555"/>
      <c r="Q57" s="555"/>
      <c r="R57" s="555"/>
      <c r="S57" s="555"/>
      <c r="T57" s="555"/>
      <c r="U57" s="555"/>
      <c r="V57" s="251" t="s">
        <v>47</v>
      </c>
      <c r="W57" s="42"/>
      <c r="X57" s="42"/>
      <c r="Y57" s="42"/>
      <c r="Z57" s="42"/>
      <c r="AA57" s="42"/>
      <c r="AB57" s="42"/>
      <c r="AC57" s="42"/>
      <c r="AD57" s="42"/>
      <c r="AE57" s="41">
        <f t="shared" si="4"/>
        <v>0</v>
      </c>
      <c r="AF57" s="116" t="s">
        <v>228</v>
      </c>
      <c r="AG57" s="189" t="s">
        <v>656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v>8</v>
      </c>
      <c r="G58" s="258"/>
      <c r="H58" s="258"/>
      <c r="I58" s="258"/>
      <c r="J58" s="258"/>
      <c r="K58" s="258"/>
      <c r="L58" s="258"/>
      <c r="M58" s="258"/>
      <c r="N58" s="273"/>
      <c r="O58" s="273"/>
      <c r="P58" s="273"/>
      <c r="Q58" s="273"/>
      <c r="R58" s="273"/>
      <c r="S58" s="273"/>
      <c r="T58" s="273"/>
      <c r="U58" s="251" t="s">
        <v>47</v>
      </c>
      <c r="V58" s="577" t="s">
        <v>292</v>
      </c>
      <c r="W58" s="555"/>
      <c r="X58" s="555"/>
      <c r="Y58" s="555"/>
      <c r="Z58" s="555"/>
      <c r="AA58" s="555"/>
      <c r="AB58" s="555"/>
      <c r="AC58" s="555"/>
      <c r="AD58" s="258"/>
      <c r="AE58" s="41">
        <f t="shared" si="4"/>
        <v>0</v>
      </c>
      <c r="AF58" s="116" t="s">
        <v>81</v>
      </c>
      <c r="AG58" s="189" t="s">
        <v>656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42"/>
      <c r="AA59" s="42"/>
      <c r="AB59" s="42"/>
      <c r="AC59" s="42"/>
      <c r="AD59" s="42"/>
      <c r="AE59" s="41">
        <f t="shared" si="4"/>
        <v>0</v>
      </c>
      <c r="AF59" s="116" t="s">
        <v>258</v>
      </c>
      <c r="AG59" s="189" t="s">
        <v>656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56">
        <v>5</v>
      </c>
      <c r="P62" s="143">
        <v>8</v>
      </c>
      <c r="Q62" s="143">
        <v>8</v>
      </c>
      <c r="R62" s="143">
        <v>8</v>
      </c>
      <c r="S62" s="143">
        <v>8</v>
      </c>
      <c r="T62" s="143">
        <v>8</v>
      </c>
      <c r="U62" s="143">
        <v>8</v>
      </c>
      <c r="V62" s="143">
        <v>8</v>
      </c>
      <c r="W62" s="57">
        <v>9</v>
      </c>
      <c r="X62" s="57">
        <v>9</v>
      </c>
      <c r="Y62" s="57">
        <v>9</v>
      </c>
      <c r="Z62" s="144">
        <v>6</v>
      </c>
      <c r="AA62" s="56">
        <v>5</v>
      </c>
      <c r="AB62" s="56">
        <v>5</v>
      </c>
      <c r="AC62" s="234">
        <v>3</v>
      </c>
      <c r="AD62" s="12">
        <v>2</v>
      </c>
      <c r="AE62" s="18">
        <f>SUM(G62:AD62)</f>
        <v>129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10">G65-G62</f>
        <v>0</v>
      </c>
      <c r="H63" s="28">
        <f t="shared" si="10"/>
        <v>0</v>
      </c>
      <c r="I63" s="28">
        <f t="shared" si="10"/>
        <v>0</v>
      </c>
      <c r="J63" s="28">
        <f t="shared" si="10"/>
        <v>0</v>
      </c>
      <c r="K63" s="28">
        <f t="shared" si="10"/>
        <v>0</v>
      </c>
      <c r="L63" s="28">
        <f t="shared" si="10"/>
        <v>0</v>
      </c>
      <c r="M63" s="28">
        <f t="shared" si="10"/>
        <v>0</v>
      </c>
      <c r="N63" s="28">
        <f t="shared" si="10"/>
        <v>0</v>
      </c>
      <c r="O63" s="28">
        <f t="shared" si="10"/>
        <v>2</v>
      </c>
      <c r="P63" s="28">
        <f t="shared" si="10"/>
        <v>0</v>
      </c>
      <c r="Q63" s="28">
        <f t="shared" si="10"/>
        <v>0</v>
      </c>
      <c r="R63" s="28">
        <f t="shared" si="10"/>
        <v>0</v>
      </c>
      <c r="S63" s="28">
        <f t="shared" si="10"/>
        <v>0</v>
      </c>
      <c r="T63" s="28">
        <f t="shared" si="10"/>
        <v>0</v>
      </c>
      <c r="U63" s="28">
        <f t="shared" si="10"/>
        <v>-1</v>
      </c>
      <c r="V63" s="28">
        <f t="shared" si="10"/>
        <v>-1</v>
      </c>
      <c r="W63" s="28">
        <f t="shared" si="10"/>
        <v>0</v>
      </c>
      <c r="X63" s="28">
        <f t="shared" si="10"/>
        <v>-1</v>
      </c>
      <c r="Y63" s="28">
        <f t="shared" si="10"/>
        <v>-1</v>
      </c>
      <c r="Z63" s="28">
        <f t="shared" si="10"/>
        <v>0</v>
      </c>
      <c r="AA63" s="28">
        <f t="shared" si="10"/>
        <v>0</v>
      </c>
      <c r="AB63" s="28">
        <f t="shared" si="10"/>
        <v>-1</v>
      </c>
      <c r="AC63" s="28">
        <f t="shared" si="10"/>
        <v>1</v>
      </c>
      <c r="AD63" s="28">
        <f t="shared" si="10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1">SUM(G66:G82)</f>
        <v>2</v>
      </c>
      <c r="H65" s="35">
        <f t="shared" si="11"/>
        <v>2</v>
      </c>
      <c r="I65" s="35">
        <f t="shared" si="11"/>
        <v>2</v>
      </c>
      <c r="J65" s="35">
        <f t="shared" si="11"/>
        <v>2</v>
      </c>
      <c r="K65" s="35">
        <f t="shared" si="11"/>
        <v>2</v>
      </c>
      <c r="L65" s="35">
        <f t="shared" si="11"/>
        <v>2</v>
      </c>
      <c r="M65" s="35">
        <f t="shared" si="11"/>
        <v>4</v>
      </c>
      <c r="N65" s="35">
        <f t="shared" si="11"/>
        <v>4</v>
      </c>
      <c r="O65" s="35">
        <f t="shared" si="11"/>
        <v>7</v>
      </c>
      <c r="P65" s="35">
        <f t="shared" si="11"/>
        <v>8</v>
      </c>
      <c r="Q65" s="35">
        <f t="shared" si="11"/>
        <v>8</v>
      </c>
      <c r="R65" s="35">
        <f t="shared" si="11"/>
        <v>8</v>
      </c>
      <c r="S65" s="35">
        <f t="shared" si="11"/>
        <v>8</v>
      </c>
      <c r="T65" s="35">
        <f t="shared" si="11"/>
        <v>8</v>
      </c>
      <c r="U65" s="35">
        <f t="shared" si="11"/>
        <v>7</v>
      </c>
      <c r="V65" s="35">
        <f t="shared" si="11"/>
        <v>7</v>
      </c>
      <c r="W65" s="35">
        <f t="shared" si="11"/>
        <v>9</v>
      </c>
      <c r="X65" s="35">
        <f t="shared" si="11"/>
        <v>8</v>
      </c>
      <c r="Y65" s="35">
        <f t="shared" si="11"/>
        <v>8</v>
      </c>
      <c r="Z65" s="35">
        <f t="shared" si="11"/>
        <v>6</v>
      </c>
      <c r="AA65" s="35">
        <f t="shared" si="11"/>
        <v>5</v>
      </c>
      <c r="AB65" s="35">
        <f t="shared" si="11"/>
        <v>4</v>
      </c>
      <c r="AC65" s="35">
        <f t="shared" si="11"/>
        <v>4</v>
      </c>
      <c r="AD65" s="35">
        <f t="shared" si="11"/>
        <v>2</v>
      </c>
      <c r="AE65" s="30">
        <f t="shared" ref="AE65:AE79" si="12">SUM(G65:AD65)</f>
        <v>127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3">SUM(G66:AD66)</f>
        <v>8</v>
      </c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  <c r="U66" s="258">
        <v>1</v>
      </c>
      <c r="V66" s="278" t="s">
        <v>47</v>
      </c>
      <c r="W66" s="258">
        <v>1</v>
      </c>
      <c r="X66" s="258">
        <v>1</v>
      </c>
      <c r="Y66" s="258">
        <v>1</v>
      </c>
      <c r="Z66" s="258">
        <v>1</v>
      </c>
      <c r="AA66" s="258">
        <v>1</v>
      </c>
      <c r="AB66" s="258">
        <v>1</v>
      </c>
      <c r="AC66" s="258">
        <v>1</v>
      </c>
      <c r="AD66" s="258"/>
      <c r="AE66" s="41">
        <f t="shared" si="12"/>
        <v>8</v>
      </c>
      <c r="AF66" s="116" t="s">
        <v>81</v>
      </c>
      <c r="AG66" s="189" t="s">
        <v>656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3"/>
        <v>7</v>
      </c>
      <c r="G67" s="258"/>
      <c r="H67" s="258"/>
      <c r="I67" s="258"/>
      <c r="J67" s="258"/>
      <c r="K67" s="258"/>
      <c r="L67" s="258"/>
      <c r="M67" s="258">
        <v>1</v>
      </c>
      <c r="N67" s="258">
        <v>1</v>
      </c>
      <c r="O67" s="258">
        <v>1</v>
      </c>
      <c r="P67" s="258">
        <v>1</v>
      </c>
      <c r="Q67" s="258">
        <v>1</v>
      </c>
      <c r="R67" s="258">
        <v>1</v>
      </c>
      <c r="S67" s="258">
        <v>1</v>
      </c>
      <c r="T67" s="258"/>
      <c r="U67" s="278" t="s">
        <v>47</v>
      </c>
      <c r="V67" s="258"/>
      <c r="W67" s="258"/>
      <c r="X67" s="258"/>
      <c r="Y67" s="258"/>
      <c r="Z67" s="258"/>
      <c r="AA67" s="258"/>
      <c r="AB67" s="258"/>
      <c r="AC67" s="258"/>
      <c r="AD67" s="258"/>
      <c r="AE67" s="41">
        <f t="shared" si="12"/>
        <v>7</v>
      </c>
      <c r="AF67" s="116" t="s">
        <v>666</v>
      </c>
      <c r="AG67" s="189" t="s">
        <v>656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3"/>
        <v>7</v>
      </c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78" t="s">
        <v>47</v>
      </c>
      <c r="T68" s="258"/>
      <c r="U68" s="258">
        <v>1</v>
      </c>
      <c r="V68" s="258">
        <v>1</v>
      </c>
      <c r="W68" s="258">
        <v>1</v>
      </c>
      <c r="X68" s="258">
        <v>1</v>
      </c>
      <c r="Y68" s="258">
        <v>1</v>
      </c>
      <c r="Z68" s="258">
        <v>1</v>
      </c>
      <c r="AA68" s="258">
        <v>1</v>
      </c>
      <c r="AB68" s="258"/>
      <c r="AC68" s="258"/>
      <c r="AD68" s="258"/>
      <c r="AE68" s="41">
        <f t="shared" si="12"/>
        <v>7</v>
      </c>
      <c r="AF68" s="116" t="s">
        <v>667</v>
      </c>
      <c r="AG68" s="189" t="s">
        <v>656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3"/>
        <v>8</v>
      </c>
      <c r="G69" s="258"/>
      <c r="H69" s="258"/>
      <c r="I69" s="258"/>
      <c r="J69" s="258"/>
      <c r="K69" s="258"/>
      <c r="L69" s="258"/>
      <c r="M69" s="258"/>
      <c r="N69" s="258"/>
      <c r="O69" s="258"/>
      <c r="P69" s="258">
        <v>1</v>
      </c>
      <c r="Q69" s="258">
        <v>1</v>
      </c>
      <c r="R69" s="258">
        <v>1</v>
      </c>
      <c r="S69" s="258">
        <v>1</v>
      </c>
      <c r="T69" s="258"/>
      <c r="U69" s="258">
        <v>1</v>
      </c>
      <c r="V69" s="278" t="s">
        <v>47</v>
      </c>
      <c r="W69" s="258">
        <v>1</v>
      </c>
      <c r="X69" s="258">
        <v>1</v>
      </c>
      <c r="Y69" s="258">
        <v>1</v>
      </c>
      <c r="Z69" s="258"/>
      <c r="AA69" s="258"/>
      <c r="AB69" s="258"/>
      <c r="AC69" s="258"/>
      <c r="AD69" s="258"/>
      <c r="AE69" s="41">
        <f t="shared" si="12"/>
        <v>8</v>
      </c>
      <c r="AF69" s="116" t="s">
        <v>415</v>
      </c>
      <c r="AG69" s="189" t="s">
        <v>656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3"/>
        <v>6</v>
      </c>
      <c r="G70" s="258"/>
      <c r="H70" s="258"/>
      <c r="I70" s="258"/>
      <c r="J70" s="258"/>
      <c r="K70" s="258"/>
      <c r="L70" s="258"/>
      <c r="M70" s="258"/>
      <c r="N70" s="258"/>
      <c r="O70" s="258">
        <v>1</v>
      </c>
      <c r="P70" s="258">
        <v>1</v>
      </c>
      <c r="Q70" s="258">
        <v>1</v>
      </c>
      <c r="R70" s="258">
        <v>1</v>
      </c>
      <c r="S70" s="258">
        <v>1</v>
      </c>
      <c r="T70" s="258">
        <v>1</v>
      </c>
      <c r="U70" s="278" t="s">
        <v>47</v>
      </c>
      <c r="V70" s="258"/>
      <c r="W70" s="258"/>
      <c r="X70" s="258"/>
      <c r="Y70" s="258"/>
      <c r="Z70" s="258"/>
      <c r="AA70" s="258"/>
      <c r="AB70" s="258"/>
      <c r="AC70" s="258"/>
      <c r="AD70" s="258"/>
      <c r="AE70" s="41">
        <f t="shared" si="12"/>
        <v>6</v>
      </c>
      <c r="AF70" s="116" t="s">
        <v>87</v>
      </c>
      <c r="AG70" s="189" t="s">
        <v>656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3"/>
        <v>7</v>
      </c>
      <c r="G71" s="258"/>
      <c r="H71" s="258"/>
      <c r="I71" s="258"/>
      <c r="J71" s="258"/>
      <c r="K71" s="258"/>
      <c r="L71" s="258"/>
      <c r="M71" s="258">
        <v>1</v>
      </c>
      <c r="N71" s="258">
        <v>1</v>
      </c>
      <c r="O71" s="258">
        <v>1</v>
      </c>
      <c r="P71" s="258">
        <v>1</v>
      </c>
      <c r="Q71" s="258">
        <v>1</v>
      </c>
      <c r="R71" s="258">
        <v>1</v>
      </c>
      <c r="S71" s="258">
        <v>1</v>
      </c>
      <c r="T71" s="258"/>
      <c r="U71" s="278" t="s">
        <v>47</v>
      </c>
      <c r="V71" s="258"/>
      <c r="W71" s="258"/>
      <c r="X71" s="258"/>
      <c r="Y71" s="258"/>
      <c r="Z71" s="258"/>
      <c r="AA71" s="258"/>
      <c r="AB71" s="258"/>
      <c r="AC71" s="258"/>
      <c r="AD71" s="258"/>
      <c r="AE71" s="41">
        <f t="shared" si="12"/>
        <v>7</v>
      </c>
      <c r="AF71" s="111" t="s">
        <v>668</v>
      </c>
      <c r="AG71" s="189" t="s">
        <v>656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3"/>
        <v>10</v>
      </c>
      <c r="G72" s="258">
        <v>1</v>
      </c>
      <c r="H72" s="258">
        <v>1</v>
      </c>
      <c r="I72" s="258">
        <v>1</v>
      </c>
      <c r="J72" s="258">
        <v>1</v>
      </c>
      <c r="K72" s="258">
        <v>1</v>
      </c>
      <c r="L72" s="258">
        <v>1</v>
      </c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  <c r="AA72" s="258">
        <v>1</v>
      </c>
      <c r="AB72" s="258">
        <v>1</v>
      </c>
      <c r="AC72" s="258">
        <v>1</v>
      </c>
      <c r="AD72" s="258">
        <v>1</v>
      </c>
      <c r="AE72" s="41">
        <f t="shared" si="12"/>
        <v>10</v>
      </c>
      <c r="AF72" s="116" t="s">
        <v>556</v>
      </c>
      <c r="AG72" s="189" t="s">
        <v>656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3"/>
        <v>9</v>
      </c>
      <c r="G73" s="258"/>
      <c r="H73" s="258"/>
      <c r="I73" s="258"/>
      <c r="J73" s="258"/>
      <c r="K73" s="258"/>
      <c r="L73" s="258"/>
      <c r="M73" s="258"/>
      <c r="N73" s="258"/>
      <c r="O73" s="258">
        <v>1</v>
      </c>
      <c r="P73" s="258">
        <v>1</v>
      </c>
      <c r="Q73" s="258">
        <v>1</v>
      </c>
      <c r="R73" s="258">
        <v>1</v>
      </c>
      <c r="S73" s="258">
        <v>1</v>
      </c>
      <c r="T73" s="258">
        <v>1</v>
      </c>
      <c r="U73" s="258">
        <v>1</v>
      </c>
      <c r="V73" s="258">
        <v>1</v>
      </c>
      <c r="W73" s="278">
        <v>1</v>
      </c>
      <c r="X73" s="258"/>
      <c r="Y73" s="258"/>
      <c r="Z73" s="258"/>
      <c r="AA73" s="258"/>
      <c r="AB73" s="258"/>
      <c r="AC73" s="258"/>
      <c r="AD73" s="258"/>
      <c r="AE73" s="41">
        <f t="shared" si="12"/>
        <v>9</v>
      </c>
      <c r="AF73" s="116" t="s">
        <v>298</v>
      </c>
      <c r="AG73" s="189" t="s">
        <v>656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3"/>
        <v>7</v>
      </c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>
        <v>1</v>
      </c>
      <c r="T74" s="258">
        <v>1</v>
      </c>
      <c r="U74" s="278" t="s">
        <v>47</v>
      </c>
      <c r="V74" s="258">
        <v>1</v>
      </c>
      <c r="W74" s="258">
        <v>1</v>
      </c>
      <c r="X74" s="258">
        <v>1</v>
      </c>
      <c r="Y74" s="258">
        <v>1</v>
      </c>
      <c r="Z74" s="258">
        <v>1</v>
      </c>
      <c r="AA74" s="258"/>
      <c r="AB74" s="258"/>
      <c r="AC74" s="258"/>
      <c r="AD74" s="258"/>
      <c r="AE74" s="41">
        <f t="shared" si="12"/>
        <v>7</v>
      </c>
      <c r="AF74" s="116" t="s">
        <v>365</v>
      </c>
      <c r="AG74" s="189" t="s">
        <v>656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3"/>
        <v>7</v>
      </c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78" t="s">
        <v>47</v>
      </c>
      <c r="T75" s="258">
        <v>1</v>
      </c>
      <c r="U75" s="258">
        <v>1</v>
      </c>
      <c r="V75" s="258">
        <v>1</v>
      </c>
      <c r="W75" s="258">
        <v>1</v>
      </c>
      <c r="X75" s="258">
        <v>1</v>
      </c>
      <c r="Y75" s="258">
        <v>1</v>
      </c>
      <c r="Z75" s="258">
        <v>1</v>
      </c>
      <c r="AA75" s="258"/>
      <c r="AB75" s="258"/>
      <c r="AC75" s="258"/>
      <c r="AD75" s="258"/>
      <c r="AE75" s="41">
        <f t="shared" si="12"/>
        <v>7</v>
      </c>
      <c r="AF75" s="116" t="s">
        <v>365</v>
      </c>
      <c r="AG75" s="189" t="s">
        <v>656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3"/>
        <v>10</v>
      </c>
      <c r="G76" s="258">
        <v>1</v>
      </c>
      <c r="H76" s="258">
        <v>1</v>
      </c>
      <c r="I76" s="258">
        <v>1</v>
      </c>
      <c r="J76" s="258">
        <v>1</v>
      </c>
      <c r="K76" s="258">
        <v>1</v>
      </c>
      <c r="L76" s="258">
        <v>1</v>
      </c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  <c r="AA76" s="258">
        <v>1</v>
      </c>
      <c r="AB76" s="258">
        <v>1</v>
      </c>
      <c r="AC76" s="258">
        <v>1</v>
      </c>
      <c r="AD76" s="258">
        <v>1</v>
      </c>
      <c r="AE76" s="41">
        <f t="shared" si="12"/>
        <v>10</v>
      </c>
      <c r="AF76" s="111" t="s">
        <v>556</v>
      </c>
      <c r="AG76" s="189" t="s">
        <v>656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3"/>
        <v>8</v>
      </c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78" t="s">
        <v>47</v>
      </c>
      <c r="V77" s="258">
        <v>1</v>
      </c>
      <c r="W77" s="258">
        <v>1</v>
      </c>
      <c r="X77" s="258">
        <v>1</v>
      </c>
      <c r="Y77" s="258">
        <v>1</v>
      </c>
      <c r="Z77" s="258">
        <v>1</v>
      </c>
      <c r="AA77" s="258">
        <v>1</v>
      </c>
      <c r="AB77" s="258">
        <v>1</v>
      </c>
      <c r="AC77" s="258">
        <v>1</v>
      </c>
      <c r="AD77" s="258"/>
      <c r="AE77" s="41">
        <f t="shared" si="12"/>
        <v>8</v>
      </c>
      <c r="AF77" s="116" t="s">
        <v>218</v>
      </c>
      <c r="AG77" s="189" t="s">
        <v>656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3"/>
        <v>12</v>
      </c>
      <c r="G78" s="258"/>
      <c r="H78" s="258"/>
      <c r="I78" s="258"/>
      <c r="J78" s="258"/>
      <c r="K78" s="258"/>
      <c r="L78" s="258"/>
      <c r="M78" s="258">
        <v>1</v>
      </c>
      <c r="N78" s="258">
        <v>1</v>
      </c>
      <c r="O78" s="258">
        <v>1</v>
      </c>
      <c r="P78" s="258">
        <v>1</v>
      </c>
      <c r="Q78" s="258">
        <v>1</v>
      </c>
      <c r="R78" s="258">
        <v>1</v>
      </c>
      <c r="S78" s="278" t="s">
        <v>47</v>
      </c>
      <c r="T78" s="258">
        <v>1</v>
      </c>
      <c r="U78" s="258">
        <v>1</v>
      </c>
      <c r="V78" s="258">
        <v>1</v>
      </c>
      <c r="W78" s="258">
        <v>1</v>
      </c>
      <c r="X78" s="258">
        <v>1</v>
      </c>
      <c r="Y78" s="258">
        <v>1</v>
      </c>
      <c r="Z78" s="258"/>
      <c r="AA78" s="258"/>
      <c r="AB78" s="258"/>
      <c r="AC78" s="258"/>
      <c r="AD78" s="258"/>
      <c r="AE78" s="41">
        <f t="shared" si="12"/>
        <v>12</v>
      </c>
      <c r="AF78" s="116" t="s">
        <v>261</v>
      </c>
      <c r="AG78" s="189" t="s">
        <v>656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3"/>
        <v>7</v>
      </c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58">
        <v>1</v>
      </c>
      <c r="T79" s="258">
        <v>1</v>
      </c>
      <c r="U79" s="276">
        <v>1</v>
      </c>
      <c r="V79" s="278" t="s">
        <v>47</v>
      </c>
      <c r="W79" s="258">
        <v>1</v>
      </c>
      <c r="X79" s="276">
        <v>1</v>
      </c>
      <c r="Y79" s="276">
        <v>1</v>
      </c>
      <c r="Z79" s="276">
        <v>1</v>
      </c>
      <c r="AA79" s="276"/>
      <c r="AB79" s="276"/>
      <c r="AC79" s="276"/>
      <c r="AD79" s="258"/>
      <c r="AE79" s="41">
        <f t="shared" si="12"/>
        <v>7</v>
      </c>
      <c r="AF79" s="116" t="s">
        <v>365</v>
      </c>
      <c r="AG79" s="189" t="s">
        <v>656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3"/>
        <v>0</v>
      </c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8" t="s">
        <v>47</v>
      </c>
      <c r="V80" s="583" t="s">
        <v>209</v>
      </c>
      <c r="W80" s="555"/>
      <c r="X80" s="555"/>
      <c r="Y80" s="555"/>
      <c r="Z80" s="555"/>
      <c r="AA80" s="555"/>
      <c r="AB80" s="555"/>
      <c r="AC80" s="542"/>
      <c r="AD80" s="277"/>
      <c r="AE80" s="41">
        <v>8</v>
      </c>
      <c r="AF80" s="116" t="s">
        <v>669</v>
      </c>
      <c r="AG80" s="189" t="s">
        <v>656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3"/>
        <v>7</v>
      </c>
      <c r="G81" s="258"/>
      <c r="H81" s="258"/>
      <c r="I81" s="258"/>
      <c r="J81" s="258"/>
      <c r="K81" s="258"/>
      <c r="L81" s="258"/>
      <c r="M81" s="258"/>
      <c r="N81" s="258"/>
      <c r="O81" s="258">
        <v>1</v>
      </c>
      <c r="P81" s="258">
        <v>1</v>
      </c>
      <c r="Q81" s="258">
        <v>1</v>
      </c>
      <c r="R81" s="258">
        <v>1</v>
      </c>
      <c r="S81" s="258">
        <v>1</v>
      </c>
      <c r="T81" s="258">
        <v>1</v>
      </c>
      <c r="U81" s="278" t="s">
        <v>47</v>
      </c>
      <c r="V81" s="258">
        <v>1</v>
      </c>
      <c r="W81" s="258"/>
      <c r="X81" s="258"/>
      <c r="Y81" s="258"/>
      <c r="Z81" s="258"/>
      <c r="AA81" s="258"/>
      <c r="AB81" s="258"/>
      <c r="AC81" s="258"/>
      <c r="AD81" s="258"/>
      <c r="AE81" s="41">
        <f t="shared" ref="AE81:AE82" si="14">SUM(G81:AD81)</f>
        <v>7</v>
      </c>
      <c r="AF81" s="116" t="s">
        <v>258</v>
      </c>
      <c r="AG81" s="189" t="s">
        <v>656</v>
      </c>
    </row>
    <row r="82" spans="1:33" ht="14.25" customHeight="1">
      <c r="A82" s="38" t="s">
        <v>145</v>
      </c>
      <c r="B82" s="38" t="s">
        <v>183</v>
      </c>
      <c r="C82" s="38"/>
      <c r="D82" s="39">
        <v>17</v>
      </c>
      <c r="E82" s="40" t="s">
        <v>184</v>
      </c>
      <c r="F82" s="41">
        <f t="shared" si="13"/>
        <v>7</v>
      </c>
      <c r="G82" s="258"/>
      <c r="H82" s="258"/>
      <c r="I82" s="258"/>
      <c r="J82" s="258"/>
      <c r="K82" s="258"/>
      <c r="L82" s="258"/>
      <c r="M82" s="279">
        <v>1</v>
      </c>
      <c r="N82" s="279">
        <v>1</v>
      </c>
      <c r="O82" s="279">
        <v>1</v>
      </c>
      <c r="P82" s="279">
        <v>1</v>
      </c>
      <c r="Q82" s="279">
        <v>1</v>
      </c>
      <c r="R82" s="279">
        <v>1</v>
      </c>
      <c r="S82" s="278" t="s">
        <v>47</v>
      </c>
      <c r="T82" s="279">
        <v>1</v>
      </c>
      <c r="U82" s="258"/>
      <c r="V82" s="258"/>
      <c r="W82" s="258"/>
      <c r="X82" s="258"/>
      <c r="Y82" s="258"/>
      <c r="Z82" s="258"/>
      <c r="AA82" s="258"/>
      <c r="AB82" s="258"/>
      <c r="AC82" s="258"/>
      <c r="AD82" s="258"/>
      <c r="AE82" s="41">
        <f t="shared" si="14"/>
        <v>7</v>
      </c>
      <c r="AF82" s="116" t="s">
        <v>252</v>
      </c>
      <c r="AG82" s="189" t="s">
        <v>656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49BA5E93-E473-4F11-BE7E-FD55CB28D969}" filter="1" showAutoFilter="1">
      <pageMargins left="0.7" right="0.7" top="0.75" bottom="0.75" header="0.3" footer="0.3"/>
      <autoFilter ref="G5:AD84" xr:uid="{54807B08-1F9C-44BE-BC13-513423CCC16C}">
        <filterColumn colId="15">
          <filters>
            <filter val="(1)"/>
            <filter val="1"/>
            <filter val="2"/>
            <filter val="23"/>
            <filter val="7"/>
            <filter val="8"/>
            <filter val="C"/>
            <filter val="CLIENTES VIP"/>
            <filter val="MONITOREOS"/>
            <filter val="RENUNCIA"/>
            <filter val="SEGUIMIENTO TRANSFERENCIAS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84" xr:uid="{60BB0B1C-A951-4FA1-ADBD-163F9A86BFBB}">
        <filterColumn colId="26">
          <filters>
            <filter val="-"/>
            <filter val="1"/>
            <filter val="5"/>
            <filter val="CLIENTES VIP"/>
            <filter val="MONITOREOS"/>
            <filter val="RENUNCIA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6E0743D9-E088-47D3-BE67-C3E72373B80B}"/>
    </customSheetView>
  </customSheetViews>
  <mergeCells count="15">
    <mergeCell ref="O59:Z59"/>
    <mergeCell ref="E62:F62"/>
    <mergeCell ref="V80:AC80"/>
    <mergeCell ref="A1:B1"/>
    <mergeCell ref="D3:AE3"/>
    <mergeCell ref="E4:F4"/>
    <mergeCell ref="E5:F5"/>
    <mergeCell ref="V35:AC35"/>
    <mergeCell ref="V39:AC39"/>
    <mergeCell ref="V40:AC40"/>
    <mergeCell ref="V42:AC42"/>
    <mergeCell ref="Q53:AA53"/>
    <mergeCell ref="R55:Z55"/>
    <mergeCell ref="N57:U57"/>
    <mergeCell ref="V58:AC58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G8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268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94">
        <v>10</v>
      </c>
      <c r="N4" s="14">
        <v>12</v>
      </c>
      <c r="O4" s="14">
        <v>12</v>
      </c>
      <c r="P4" s="144">
        <v>18</v>
      </c>
      <c r="Q4" s="119">
        <v>24</v>
      </c>
      <c r="R4" s="119">
        <v>24</v>
      </c>
      <c r="S4" s="136">
        <v>23</v>
      </c>
      <c r="T4" s="136">
        <v>23</v>
      </c>
      <c r="U4" s="120">
        <v>22</v>
      </c>
      <c r="V4" s="120">
        <v>22</v>
      </c>
      <c r="W4" s="120">
        <v>22</v>
      </c>
      <c r="X4" s="80">
        <v>21</v>
      </c>
      <c r="Y4" s="83">
        <v>17</v>
      </c>
      <c r="Z4" s="108">
        <v>15</v>
      </c>
      <c r="AA4" s="150">
        <v>14</v>
      </c>
      <c r="AB4" s="246">
        <v>9</v>
      </c>
      <c r="AC4" s="225">
        <v>8</v>
      </c>
      <c r="AD4" s="11">
        <v>4</v>
      </c>
      <c r="AE4" s="18">
        <f>SUM(G4:AD4)</f>
        <v>319</v>
      </c>
      <c r="AF4" s="3"/>
      <c r="AG4" s="3"/>
    </row>
    <row r="5" spans="1:33" ht="62.25">
      <c r="A5" s="3"/>
      <c r="B5" s="2"/>
      <c r="C5" s="2"/>
      <c r="D5" s="19"/>
      <c r="E5" s="569">
        <v>16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-1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-1</v>
      </c>
      <c r="V6" s="28">
        <f t="shared" si="0"/>
        <v>-1</v>
      </c>
      <c r="W6" s="28">
        <f t="shared" si="0"/>
        <v>-1</v>
      </c>
      <c r="X6" s="28">
        <f t="shared" si="0"/>
        <v>-1</v>
      </c>
      <c r="Y6" s="28">
        <f t="shared" si="0"/>
        <v>-1</v>
      </c>
      <c r="Z6" s="28">
        <f t="shared" si="0"/>
        <v>-1</v>
      </c>
      <c r="AA6" s="28">
        <f t="shared" si="0"/>
        <v>-1</v>
      </c>
      <c r="AB6" s="28">
        <f t="shared" si="0"/>
        <v>-1</v>
      </c>
      <c r="AC6" s="28">
        <f t="shared" si="0"/>
        <v>-1</v>
      </c>
      <c r="AD6" s="28">
        <f t="shared" si="0"/>
        <v>0</v>
      </c>
      <c r="AE6" s="29">
        <f t="shared" ref="AE6:AE11" si="1">SUM(G6:AD6)</f>
        <v>-10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3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10</v>
      </c>
      <c r="N7" s="172">
        <f t="shared" si="2"/>
        <v>12</v>
      </c>
      <c r="O7" s="172">
        <f t="shared" si="2"/>
        <v>12</v>
      </c>
      <c r="P7" s="172">
        <f t="shared" si="2"/>
        <v>18</v>
      </c>
      <c r="Q7" s="172">
        <f t="shared" si="2"/>
        <v>24</v>
      </c>
      <c r="R7" s="172">
        <f t="shared" si="2"/>
        <v>24</v>
      </c>
      <c r="S7" s="172">
        <f t="shared" si="2"/>
        <v>23</v>
      </c>
      <c r="T7" s="172">
        <f t="shared" si="2"/>
        <v>23</v>
      </c>
      <c r="U7" s="172">
        <f t="shared" si="2"/>
        <v>21</v>
      </c>
      <c r="V7" s="172">
        <f t="shared" si="2"/>
        <v>21</v>
      </c>
      <c r="W7" s="172">
        <f t="shared" si="2"/>
        <v>21</v>
      </c>
      <c r="X7" s="172">
        <f t="shared" si="2"/>
        <v>20</v>
      </c>
      <c r="Y7" s="172">
        <f t="shared" si="2"/>
        <v>16</v>
      </c>
      <c r="Z7" s="172">
        <f t="shared" si="2"/>
        <v>14</v>
      </c>
      <c r="AA7" s="172">
        <f t="shared" si="2"/>
        <v>13</v>
      </c>
      <c r="AB7" s="172">
        <f t="shared" si="2"/>
        <v>8</v>
      </c>
      <c r="AC7" s="172">
        <f t="shared" si="2"/>
        <v>7</v>
      </c>
      <c r="AD7" s="172">
        <f t="shared" si="2"/>
        <v>4</v>
      </c>
      <c r="AE7" s="168">
        <f t="shared" si="1"/>
        <v>309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06" t="s">
        <v>46</v>
      </c>
      <c r="F8" s="41">
        <f t="shared" ref="F8:F11" si="3">SUM(G8:AD8)</f>
        <v>8</v>
      </c>
      <c r="G8" s="250"/>
      <c r="H8" s="250"/>
      <c r="I8" s="250"/>
      <c r="J8" s="250"/>
      <c r="K8" s="250"/>
      <c r="L8" s="250"/>
      <c r="M8" s="250">
        <v>1</v>
      </c>
      <c r="N8" s="250">
        <v>1</v>
      </c>
      <c r="O8" s="250">
        <v>1</v>
      </c>
      <c r="P8" s="250">
        <v>1</v>
      </c>
      <c r="Q8" s="250">
        <v>1</v>
      </c>
      <c r="R8" s="250">
        <v>1</v>
      </c>
      <c r="S8" s="250">
        <v>1</v>
      </c>
      <c r="T8" s="250">
        <v>1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41">
        <f t="shared" si="1"/>
        <v>8</v>
      </c>
      <c r="AF8" s="116" t="s">
        <v>252</v>
      </c>
      <c r="AG8" s="189" t="s">
        <v>656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9</v>
      </c>
      <c r="G9" s="250"/>
      <c r="H9" s="250"/>
      <c r="I9" s="250"/>
      <c r="J9" s="250"/>
      <c r="K9" s="250"/>
      <c r="L9" s="250"/>
      <c r="M9" s="250">
        <v>1</v>
      </c>
      <c r="N9" s="250">
        <v>1</v>
      </c>
      <c r="O9" s="250">
        <v>1</v>
      </c>
      <c r="P9" s="250">
        <v>1</v>
      </c>
      <c r="Q9" s="250">
        <v>1</v>
      </c>
      <c r="R9" s="250">
        <v>1</v>
      </c>
      <c r="S9" s="250">
        <v>1</v>
      </c>
      <c r="T9" s="250"/>
      <c r="U9" s="250">
        <v>1</v>
      </c>
      <c r="V9" s="250">
        <v>1</v>
      </c>
      <c r="W9" s="250"/>
      <c r="X9" s="250"/>
      <c r="Y9" s="250"/>
      <c r="Z9" s="250"/>
      <c r="AA9" s="250"/>
      <c r="AB9" s="250"/>
      <c r="AC9" s="250"/>
      <c r="AD9" s="250"/>
      <c r="AE9" s="41">
        <f t="shared" si="1"/>
        <v>9</v>
      </c>
      <c r="AF9" s="116" t="s">
        <v>314</v>
      </c>
      <c r="AG9" s="189" t="s">
        <v>656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75" t="s">
        <v>56</v>
      </c>
      <c r="F10" s="41">
        <f t="shared" si="3"/>
        <v>8</v>
      </c>
      <c r="G10" s="250"/>
      <c r="H10" s="250"/>
      <c r="I10" s="250"/>
      <c r="J10" s="250"/>
      <c r="K10" s="250"/>
      <c r="L10" s="250"/>
      <c r="M10" s="250">
        <v>1</v>
      </c>
      <c r="N10" s="250">
        <v>1</v>
      </c>
      <c r="O10" s="250"/>
      <c r="P10" s="250">
        <v>1</v>
      </c>
      <c r="Q10" s="250">
        <v>1</v>
      </c>
      <c r="R10" s="250">
        <v>1</v>
      </c>
      <c r="S10" s="250">
        <v>1</v>
      </c>
      <c r="T10" s="250">
        <v>1</v>
      </c>
      <c r="U10" s="250">
        <v>1</v>
      </c>
      <c r="V10" s="250"/>
      <c r="W10" s="250"/>
      <c r="X10" s="250"/>
      <c r="Y10" s="250"/>
      <c r="Z10" s="250"/>
      <c r="AA10" s="250"/>
      <c r="AB10" s="250"/>
      <c r="AC10" s="250"/>
      <c r="AD10" s="250"/>
      <c r="AE10" s="41">
        <f t="shared" si="1"/>
        <v>8</v>
      </c>
      <c r="AF10" s="116" t="s">
        <v>213</v>
      </c>
      <c r="AG10" s="189" t="s">
        <v>656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41">
        <f t="shared" si="3"/>
        <v>8</v>
      </c>
      <c r="G11" s="250"/>
      <c r="H11" s="250"/>
      <c r="I11" s="250"/>
      <c r="J11" s="250"/>
      <c r="K11" s="250"/>
      <c r="L11" s="250"/>
      <c r="M11" s="250"/>
      <c r="N11" s="250">
        <v>1</v>
      </c>
      <c r="O11" s="250">
        <v>1</v>
      </c>
      <c r="P11" s="250">
        <v>1</v>
      </c>
      <c r="Q11" s="250">
        <v>1</v>
      </c>
      <c r="R11" s="250">
        <v>1</v>
      </c>
      <c r="S11" s="250">
        <v>1</v>
      </c>
      <c r="T11" s="250">
        <v>1</v>
      </c>
      <c r="U11" s="250">
        <v>1</v>
      </c>
      <c r="V11" s="250"/>
      <c r="W11" s="250"/>
      <c r="X11" s="250"/>
      <c r="Y11" s="250"/>
      <c r="Z11" s="250"/>
      <c r="AA11" s="250"/>
      <c r="AB11" s="250"/>
      <c r="AC11" s="250"/>
      <c r="AD11" s="250"/>
      <c r="AE11" s="41">
        <f t="shared" si="1"/>
        <v>8</v>
      </c>
      <c r="AF11" s="116" t="s">
        <v>288</v>
      </c>
      <c r="AG11" s="189" t="s">
        <v>656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v>8</v>
      </c>
      <c r="G12" s="250"/>
      <c r="H12" s="250"/>
      <c r="I12" s="250"/>
      <c r="J12" s="250"/>
      <c r="K12" s="250"/>
      <c r="L12" s="250"/>
      <c r="M12" s="250"/>
      <c r="N12" s="250"/>
      <c r="O12" s="587" t="s">
        <v>670</v>
      </c>
      <c r="P12" s="555"/>
      <c r="Q12" s="555"/>
      <c r="R12" s="555"/>
      <c r="S12" s="555"/>
      <c r="T12" s="555"/>
      <c r="U12" s="542"/>
      <c r="V12" s="250"/>
      <c r="W12" s="250"/>
      <c r="X12" s="250"/>
      <c r="Y12" s="250"/>
      <c r="Z12" s="250"/>
      <c r="AA12" s="250"/>
      <c r="AB12" s="250"/>
      <c r="AC12" s="250"/>
      <c r="AD12" s="250"/>
      <c r="AE12" s="41">
        <v>8</v>
      </c>
      <c r="AF12" s="116" t="s">
        <v>87</v>
      </c>
      <c r="AG12" s="189" t="s">
        <v>656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7" t="s">
        <v>60</v>
      </c>
      <c r="F13" s="41">
        <f t="shared" ref="F13:F14" si="4">SUM(G13:AD13)</f>
        <v>11</v>
      </c>
      <c r="G13" s="250">
        <v>1</v>
      </c>
      <c r="H13" s="250">
        <v>1</v>
      </c>
      <c r="I13" s="250">
        <v>1</v>
      </c>
      <c r="J13" s="250">
        <v>1</v>
      </c>
      <c r="K13" s="250">
        <v>1</v>
      </c>
      <c r="L13" s="250">
        <v>1</v>
      </c>
      <c r="M13" s="250">
        <v>1</v>
      </c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>
        <v>1</v>
      </c>
      <c r="AB13" s="250">
        <v>1</v>
      </c>
      <c r="AC13" s="250">
        <v>1</v>
      </c>
      <c r="AD13" s="250">
        <v>1</v>
      </c>
      <c r="AE13" s="41">
        <f t="shared" ref="AE13:AE19" si="5">SUM(G13:AD13)</f>
        <v>11</v>
      </c>
      <c r="AF13" s="116" t="s">
        <v>424</v>
      </c>
      <c r="AG13" s="189" t="s">
        <v>656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11" t="s">
        <v>63</v>
      </c>
      <c r="F14" s="41">
        <f t="shared" si="4"/>
        <v>7</v>
      </c>
      <c r="G14" s="250"/>
      <c r="H14" s="250"/>
      <c r="I14" s="250"/>
      <c r="J14" s="250"/>
      <c r="K14" s="250"/>
      <c r="L14" s="250"/>
      <c r="M14" s="250"/>
      <c r="N14" s="250">
        <v>1</v>
      </c>
      <c r="O14" s="250">
        <v>1</v>
      </c>
      <c r="P14" s="250">
        <v>1</v>
      </c>
      <c r="Q14" s="250">
        <v>1</v>
      </c>
      <c r="R14" s="250">
        <v>1</v>
      </c>
      <c r="S14" s="250">
        <v>1</v>
      </c>
      <c r="T14" s="250">
        <v>1</v>
      </c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41">
        <f t="shared" si="5"/>
        <v>7</v>
      </c>
      <c r="AF14" s="116" t="s">
        <v>196</v>
      </c>
      <c r="AG14" s="189" t="s">
        <v>656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68" t="s">
        <v>65</v>
      </c>
      <c r="F15" s="41">
        <v>10</v>
      </c>
      <c r="G15" s="250"/>
      <c r="H15" s="250"/>
      <c r="I15" s="250"/>
      <c r="J15" s="250"/>
      <c r="K15" s="250"/>
      <c r="L15" s="250"/>
      <c r="M15" s="250"/>
      <c r="N15" s="250">
        <v>1</v>
      </c>
      <c r="O15" s="250">
        <v>1</v>
      </c>
      <c r="P15" s="250">
        <v>1</v>
      </c>
      <c r="Q15" s="250">
        <v>1</v>
      </c>
      <c r="R15" s="250">
        <v>1</v>
      </c>
      <c r="S15" s="250">
        <v>1</v>
      </c>
      <c r="T15" s="250">
        <v>1</v>
      </c>
      <c r="U15" s="250">
        <v>1</v>
      </c>
      <c r="V15" s="250"/>
      <c r="W15" s="250"/>
      <c r="X15" s="250"/>
      <c r="Y15" s="250"/>
      <c r="Z15" s="250"/>
      <c r="AA15" s="250"/>
      <c r="AB15" s="250"/>
      <c r="AC15" s="250"/>
      <c r="AD15" s="250"/>
      <c r="AE15" s="41">
        <f t="shared" si="5"/>
        <v>8</v>
      </c>
      <c r="AF15" s="116" t="s">
        <v>288</v>
      </c>
      <c r="AG15" s="189" t="s">
        <v>656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208" t="s">
        <v>71</v>
      </c>
      <c r="F16" s="41">
        <f t="shared" ref="F16:F19" si="6">SUM(G16:AD16)</f>
        <v>9</v>
      </c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>
        <v>1</v>
      </c>
      <c r="R16" s="250">
        <v>1</v>
      </c>
      <c r="S16" s="250">
        <v>1</v>
      </c>
      <c r="T16" s="250">
        <v>1</v>
      </c>
      <c r="U16" s="250"/>
      <c r="V16" s="250">
        <v>1</v>
      </c>
      <c r="W16" s="250">
        <v>1</v>
      </c>
      <c r="X16" s="250">
        <v>1</v>
      </c>
      <c r="Y16" s="250">
        <v>1</v>
      </c>
      <c r="Z16" s="250">
        <v>1</v>
      </c>
      <c r="AA16" s="250"/>
      <c r="AB16" s="250"/>
      <c r="AC16" s="250"/>
      <c r="AD16" s="250"/>
      <c r="AE16" s="41">
        <f t="shared" si="5"/>
        <v>9</v>
      </c>
      <c r="AF16" s="116" t="s">
        <v>313</v>
      </c>
      <c r="AG16" s="189" t="s">
        <v>656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208" t="s">
        <v>73</v>
      </c>
      <c r="F17" s="41">
        <f t="shared" si="6"/>
        <v>8</v>
      </c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>
        <v>1</v>
      </c>
      <c r="T17" s="250">
        <v>1</v>
      </c>
      <c r="U17" s="250">
        <v>1</v>
      </c>
      <c r="V17" s="250">
        <v>1</v>
      </c>
      <c r="W17" s="250">
        <v>1</v>
      </c>
      <c r="X17" s="250">
        <v>1</v>
      </c>
      <c r="Y17" s="250">
        <v>1</v>
      </c>
      <c r="Z17" s="250">
        <v>1</v>
      </c>
      <c r="AA17" s="250"/>
      <c r="AB17" s="250"/>
      <c r="AC17" s="250"/>
      <c r="AD17" s="250"/>
      <c r="AE17" s="41">
        <f t="shared" si="5"/>
        <v>8</v>
      </c>
      <c r="AF17" s="116" t="s">
        <v>365</v>
      </c>
      <c r="AG17" s="189" t="s">
        <v>656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6"/>
        <v>7</v>
      </c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>
        <v>1</v>
      </c>
      <c r="Y18" s="250">
        <v>1</v>
      </c>
      <c r="Z18" s="250">
        <v>1</v>
      </c>
      <c r="AA18" s="250">
        <v>1</v>
      </c>
      <c r="AB18" s="250">
        <v>1</v>
      </c>
      <c r="AC18" s="250">
        <v>1</v>
      </c>
      <c r="AD18" s="250">
        <v>1</v>
      </c>
      <c r="AE18" s="41">
        <f t="shared" si="5"/>
        <v>7</v>
      </c>
      <c r="AF18" s="116" t="s">
        <v>74</v>
      </c>
      <c r="AG18" s="189" t="s">
        <v>656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75" t="s">
        <v>83</v>
      </c>
      <c r="F19" s="41">
        <f t="shared" si="6"/>
        <v>9</v>
      </c>
      <c r="G19" s="250"/>
      <c r="H19" s="250"/>
      <c r="I19" s="250"/>
      <c r="J19" s="250"/>
      <c r="K19" s="250"/>
      <c r="L19" s="250"/>
      <c r="M19" s="250"/>
      <c r="N19" s="250"/>
      <c r="O19" s="250"/>
      <c r="P19" s="250">
        <v>1</v>
      </c>
      <c r="Q19" s="250">
        <v>1</v>
      </c>
      <c r="R19" s="250">
        <v>1</v>
      </c>
      <c r="S19" s="250">
        <v>1</v>
      </c>
      <c r="T19" s="250"/>
      <c r="U19" s="250">
        <v>1</v>
      </c>
      <c r="V19" s="250">
        <v>1</v>
      </c>
      <c r="W19" s="250">
        <v>1</v>
      </c>
      <c r="X19" s="250">
        <v>1</v>
      </c>
      <c r="Y19" s="250">
        <v>1</v>
      </c>
      <c r="Z19" s="250"/>
      <c r="AA19" s="250"/>
      <c r="AB19" s="250"/>
      <c r="AC19" s="250"/>
      <c r="AD19" s="250"/>
      <c r="AE19" s="41">
        <f t="shared" si="5"/>
        <v>9</v>
      </c>
      <c r="AF19" s="116" t="s">
        <v>415</v>
      </c>
      <c r="AG19" s="189" t="s">
        <v>656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210"/>
      <c r="Q20" s="269"/>
      <c r="R20" s="269"/>
      <c r="S20" s="269"/>
      <c r="T20" s="269" t="s">
        <v>471</v>
      </c>
      <c r="U20" s="269"/>
      <c r="V20" s="269"/>
      <c r="W20" s="269"/>
      <c r="X20" s="269"/>
      <c r="Y20" s="269"/>
      <c r="Z20" s="270"/>
      <c r="AA20" s="250"/>
      <c r="AB20" s="77"/>
      <c r="AC20" s="42"/>
      <c r="AD20" s="42"/>
      <c r="AE20" s="41">
        <v>11</v>
      </c>
      <c r="AF20" s="116" t="s">
        <v>164</v>
      </c>
      <c r="AG20" s="189" t="s">
        <v>656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06" t="s">
        <v>91</v>
      </c>
      <c r="F21" s="41">
        <f t="shared" ref="F21:F28" si="7">SUM(G21:AD21)</f>
        <v>0</v>
      </c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41">
        <f t="shared" ref="AE21:AE34" si="8">SUM(G21:AD21)</f>
        <v>0</v>
      </c>
      <c r="AF21" s="116" t="s">
        <v>225</v>
      </c>
      <c r="AG21" s="189" t="s">
        <v>656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07" t="s">
        <v>93</v>
      </c>
      <c r="F22" s="41">
        <f t="shared" si="7"/>
        <v>9</v>
      </c>
      <c r="G22" s="250"/>
      <c r="H22" s="250"/>
      <c r="I22" s="250"/>
      <c r="J22" s="250"/>
      <c r="K22" s="250"/>
      <c r="L22" s="250"/>
      <c r="M22" s="250"/>
      <c r="N22" s="250">
        <v>1</v>
      </c>
      <c r="O22" s="250">
        <v>1</v>
      </c>
      <c r="P22" s="250">
        <v>1</v>
      </c>
      <c r="Q22" s="250">
        <v>1</v>
      </c>
      <c r="R22" s="250">
        <v>1</v>
      </c>
      <c r="S22" s="250"/>
      <c r="T22" s="250">
        <v>1</v>
      </c>
      <c r="U22" s="250">
        <v>1</v>
      </c>
      <c r="V22" s="250">
        <v>1</v>
      </c>
      <c r="W22" s="250">
        <v>1</v>
      </c>
      <c r="X22" s="250"/>
      <c r="Y22" s="250"/>
      <c r="Z22" s="250"/>
      <c r="AA22" s="250"/>
      <c r="AB22" s="250"/>
      <c r="AC22" s="250"/>
      <c r="AD22" s="250"/>
      <c r="AE22" s="41">
        <f t="shared" si="8"/>
        <v>9</v>
      </c>
      <c r="AF22" s="116" t="s">
        <v>235</v>
      </c>
      <c r="AG22" s="189" t="s">
        <v>656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68" t="s">
        <v>95</v>
      </c>
      <c r="F23" s="41">
        <f t="shared" si="7"/>
        <v>8</v>
      </c>
      <c r="G23" s="250"/>
      <c r="H23" s="250"/>
      <c r="I23" s="250"/>
      <c r="J23" s="250"/>
      <c r="K23" s="250"/>
      <c r="L23" s="250"/>
      <c r="M23" s="250">
        <v>1</v>
      </c>
      <c r="N23" s="250">
        <v>1</v>
      </c>
      <c r="O23" s="250">
        <v>1</v>
      </c>
      <c r="P23" s="250">
        <v>1</v>
      </c>
      <c r="Q23" s="250">
        <v>1</v>
      </c>
      <c r="R23" s="250">
        <v>1</v>
      </c>
      <c r="S23" s="250">
        <v>1</v>
      </c>
      <c r="T23" s="250">
        <v>1</v>
      </c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41">
        <f t="shared" si="8"/>
        <v>8</v>
      </c>
      <c r="AF23" s="116" t="s">
        <v>252</v>
      </c>
      <c r="AG23" s="189" t="s">
        <v>656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11" t="s">
        <v>99</v>
      </c>
      <c r="F24" s="41">
        <f t="shared" si="7"/>
        <v>8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>
        <v>1</v>
      </c>
      <c r="U24" s="250">
        <v>1</v>
      </c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>
        <v>1</v>
      </c>
      <c r="AB24" s="250"/>
      <c r="AC24" s="250"/>
      <c r="AD24" s="250"/>
      <c r="AE24" s="41">
        <f t="shared" si="8"/>
        <v>8</v>
      </c>
      <c r="AF24" s="116" t="s">
        <v>293</v>
      </c>
      <c r="AG24" s="189" t="s">
        <v>656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11" t="s">
        <v>102</v>
      </c>
      <c r="F25" s="41">
        <f t="shared" si="7"/>
        <v>8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>
        <v>1</v>
      </c>
      <c r="V25" s="250">
        <v>1</v>
      </c>
      <c r="W25" s="250">
        <v>1</v>
      </c>
      <c r="X25" s="250">
        <v>1</v>
      </c>
      <c r="Y25" s="250">
        <v>1</v>
      </c>
      <c r="Z25" s="250">
        <v>1</v>
      </c>
      <c r="AA25" s="250">
        <v>1</v>
      </c>
      <c r="AB25" s="250">
        <v>1</v>
      </c>
      <c r="AC25" s="250"/>
      <c r="AD25" s="250"/>
      <c r="AE25" s="41">
        <f t="shared" si="8"/>
        <v>8</v>
      </c>
      <c r="AF25" s="116" t="s">
        <v>78</v>
      </c>
      <c r="AG25" s="189" t="s">
        <v>656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7" t="s">
        <v>104</v>
      </c>
      <c r="F26" s="41">
        <f t="shared" si="7"/>
        <v>8</v>
      </c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>
        <v>1</v>
      </c>
      <c r="W26" s="250">
        <v>1</v>
      </c>
      <c r="X26" s="250">
        <v>1</v>
      </c>
      <c r="Y26" s="250">
        <v>1</v>
      </c>
      <c r="Z26" s="250">
        <v>1</v>
      </c>
      <c r="AA26" s="250">
        <v>1</v>
      </c>
      <c r="AB26" s="250">
        <v>1</v>
      </c>
      <c r="AC26" s="250">
        <v>1</v>
      </c>
      <c r="AD26" s="250"/>
      <c r="AE26" s="41">
        <f t="shared" si="8"/>
        <v>8</v>
      </c>
      <c r="AF26" s="116" t="s">
        <v>218</v>
      </c>
      <c r="AG26" s="189" t="s">
        <v>656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7" t="s">
        <v>333</v>
      </c>
      <c r="F27" s="41">
        <f t="shared" si="7"/>
        <v>7</v>
      </c>
      <c r="G27" s="250"/>
      <c r="H27" s="250"/>
      <c r="I27" s="250"/>
      <c r="J27" s="250"/>
      <c r="K27" s="250"/>
      <c r="L27" s="250"/>
      <c r="M27" s="250"/>
      <c r="N27" s="250"/>
      <c r="O27" s="250">
        <v>1</v>
      </c>
      <c r="P27" s="250">
        <v>1</v>
      </c>
      <c r="Q27" s="250">
        <v>1</v>
      </c>
      <c r="R27" s="250">
        <v>1</v>
      </c>
      <c r="S27" s="250">
        <v>1</v>
      </c>
      <c r="T27" s="250">
        <v>1</v>
      </c>
      <c r="U27" s="250">
        <v>1</v>
      </c>
      <c r="V27" s="250"/>
      <c r="W27" s="250"/>
      <c r="X27" s="250"/>
      <c r="Y27" s="250"/>
      <c r="Z27" s="250"/>
      <c r="AA27" s="250"/>
      <c r="AB27" s="250"/>
      <c r="AC27" s="250"/>
      <c r="AD27" s="250"/>
      <c r="AE27" s="41">
        <f t="shared" si="8"/>
        <v>7</v>
      </c>
      <c r="AF27" s="116" t="s">
        <v>87</v>
      </c>
      <c r="AG27" s="189" t="s">
        <v>656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07" t="s">
        <v>172</v>
      </c>
      <c r="F28" s="41">
        <f t="shared" si="7"/>
        <v>0</v>
      </c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61" t="s">
        <v>231</v>
      </c>
      <c r="V28" s="261" t="s">
        <v>231</v>
      </c>
      <c r="W28" s="261" t="s">
        <v>231</v>
      </c>
      <c r="X28" s="261" t="s">
        <v>231</v>
      </c>
      <c r="Y28" s="261" t="s">
        <v>231</v>
      </c>
      <c r="Z28" s="261" t="s">
        <v>231</v>
      </c>
      <c r="AA28" s="261" t="s">
        <v>231</v>
      </c>
      <c r="AB28" s="261" t="s">
        <v>231</v>
      </c>
      <c r="AC28" s="261" t="s">
        <v>231</v>
      </c>
      <c r="AD28" s="250"/>
      <c r="AE28" s="41">
        <f t="shared" si="8"/>
        <v>0</v>
      </c>
      <c r="AF28" s="116" t="s">
        <v>81</v>
      </c>
      <c r="AG28" s="189" t="s">
        <v>656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68" t="s">
        <v>106</v>
      </c>
      <c r="F29" s="41">
        <v>0</v>
      </c>
      <c r="G29" s="250"/>
      <c r="H29" s="250"/>
      <c r="I29" s="250"/>
      <c r="J29" s="250"/>
      <c r="K29" s="250"/>
      <c r="L29" s="250"/>
      <c r="M29" s="250">
        <v>1</v>
      </c>
      <c r="N29" s="250">
        <v>1</v>
      </c>
      <c r="O29" s="250">
        <v>1</v>
      </c>
      <c r="P29" s="250">
        <v>1</v>
      </c>
      <c r="Q29" s="250">
        <v>1</v>
      </c>
      <c r="R29" s="250">
        <v>1</v>
      </c>
      <c r="S29" s="250">
        <v>1</v>
      </c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41">
        <f t="shared" si="8"/>
        <v>7</v>
      </c>
      <c r="AF29" s="116" t="s">
        <v>379</v>
      </c>
      <c r="AG29" s="189" t="s">
        <v>656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7" t="s">
        <v>112</v>
      </c>
      <c r="F30" s="41">
        <f t="shared" ref="F30:F32" si="9">SUM(G30:AD30)</f>
        <v>8</v>
      </c>
      <c r="G30" s="250"/>
      <c r="H30" s="250"/>
      <c r="I30" s="250"/>
      <c r="J30" s="250"/>
      <c r="K30" s="250"/>
      <c r="L30" s="250"/>
      <c r="M30" s="250">
        <v>1</v>
      </c>
      <c r="N30" s="250">
        <v>1</v>
      </c>
      <c r="O30" s="250">
        <v>1</v>
      </c>
      <c r="P30" s="250">
        <v>1</v>
      </c>
      <c r="Q30" s="250">
        <v>1</v>
      </c>
      <c r="R30" s="250">
        <v>1</v>
      </c>
      <c r="S30" s="250">
        <v>1</v>
      </c>
      <c r="T30" s="250">
        <v>1</v>
      </c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41">
        <f t="shared" si="8"/>
        <v>8</v>
      </c>
      <c r="AF30" s="116" t="s">
        <v>252</v>
      </c>
      <c r="AG30" s="189" t="s">
        <v>656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07" t="s">
        <v>116</v>
      </c>
      <c r="F31" s="41">
        <f t="shared" si="9"/>
        <v>11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>
        <v>1</v>
      </c>
      <c r="AB31" s="250">
        <v>1</v>
      </c>
      <c r="AC31" s="250">
        <v>1</v>
      </c>
      <c r="AD31" s="250">
        <v>1</v>
      </c>
      <c r="AE31" s="41">
        <f t="shared" si="8"/>
        <v>11</v>
      </c>
      <c r="AF31" s="116" t="s">
        <v>424</v>
      </c>
      <c r="AG31" s="189" t="s">
        <v>656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7" t="s">
        <v>121</v>
      </c>
      <c r="F32" s="41">
        <f t="shared" si="9"/>
        <v>11</v>
      </c>
      <c r="G32" s="250">
        <v>1</v>
      </c>
      <c r="H32" s="250">
        <v>1</v>
      </c>
      <c r="I32" s="250">
        <v>1</v>
      </c>
      <c r="J32" s="250">
        <v>1</v>
      </c>
      <c r="K32" s="250">
        <v>1</v>
      </c>
      <c r="L32" s="250">
        <v>1</v>
      </c>
      <c r="M32" s="250">
        <v>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>
        <v>1</v>
      </c>
      <c r="AB32" s="250">
        <v>1</v>
      </c>
      <c r="AC32" s="250">
        <v>1</v>
      </c>
      <c r="AD32" s="250">
        <v>1</v>
      </c>
      <c r="AE32" s="41">
        <f t="shared" si="8"/>
        <v>11</v>
      </c>
      <c r="AF32" s="116" t="s">
        <v>424</v>
      </c>
      <c r="AG32" s="189" t="s">
        <v>656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8" t="s">
        <v>123</v>
      </c>
      <c r="F33" s="41">
        <v>12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>
        <v>1</v>
      </c>
      <c r="R33" s="250">
        <v>1</v>
      </c>
      <c r="S33" s="250">
        <v>1</v>
      </c>
      <c r="T33" s="250"/>
      <c r="U33" s="250">
        <v>1</v>
      </c>
      <c r="V33" s="250">
        <v>1</v>
      </c>
      <c r="W33" s="250">
        <v>1</v>
      </c>
      <c r="X33" s="250">
        <v>1</v>
      </c>
      <c r="Y33" s="250">
        <v>1</v>
      </c>
      <c r="Z33" s="250">
        <v>1</v>
      </c>
      <c r="AA33" s="250"/>
      <c r="AB33" s="250"/>
      <c r="AC33" s="250"/>
      <c r="AD33" s="250"/>
      <c r="AE33" s="41">
        <f t="shared" si="8"/>
        <v>9</v>
      </c>
      <c r="AF33" s="116" t="s">
        <v>548</v>
      </c>
      <c r="AG33" s="189" t="s">
        <v>656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7" t="s">
        <v>125</v>
      </c>
      <c r="F34" s="41">
        <f>SUM(G34:AD34)</f>
        <v>7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>
        <v>1</v>
      </c>
      <c r="X34" s="250">
        <v>1</v>
      </c>
      <c r="Y34" s="250">
        <v>1</v>
      </c>
      <c r="Z34" s="250">
        <v>1</v>
      </c>
      <c r="AA34" s="250">
        <v>1</v>
      </c>
      <c r="AB34" s="250">
        <v>1</v>
      </c>
      <c r="AC34" s="250">
        <v>1</v>
      </c>
      <c r="AD34" s="250"/>
      <c r="AE34" s="41">
        <f t="shared" si="8"/>
        <v>7</v>
      </c>
      <c r="AF34" s="116" t="s">
        <v>226</v>
      </c>
      <c r="AG34" s="189" t="s">
        <v>656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72" t="s">
        <v>127</v>
      </c>
      <c r="F35" s="41">
        <v>10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577" t="s">
        <v>364</v>
      </c>
      <c r="T35" s="555"/>
      <c r="U35" s="555"/>
      <c r="V35" s="555"/>
      <c r="W35" s="555"/>
      <c r="X35" s="555"/>
      <c r="Y35" s="555"/>
      <c r="Z35" s="555"/>
      <c r="AA35" s="250"/>
      <c r="AB35" s="250"/>
      <c r="AC35" s="250"/>
      <c r="AD35" s="250"/>
      <c r="AE35" s="41">
        <v>8</v>
      </c>
      <c r="AF35" s="116" t="s">
        <v>365</v>
      </c>
      <c r="AG35" s="189" t="s">
        <v>656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07" t="s">
        <v>129</v>
      </c>
      <c r="F36" s="41">
        <f t="shared" ref="F36:F38" si="10">SUM(G36:AD36)</f>
        <v>8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>
        <v>1</v>
      </c>
      <c r="W36" s="250">
        <v>1</v>
      </c>
      <c r="X36" s="250">
        <v>1</v>
      </c>
      <c r="Y36" s="250">
        <v>1</v>
      </c>
      <c r="Z36" s="250">
        <v>1</v>
      </c>
      <c r="AA36" s="250">
        <v>1</v>
      </c>
      <c r="AB36" s="250">
        <v>1</v>
      </c>
      <c r="AC36" s="250">
        <v>1</v>
      </c>
      <c r="AD36" s="250"/>
      <c r="AE36" s="41">
        <f t="shared" ref="AE36:AE38" si="11">SUM(G36:AD36)</f>
        <v>8</v>
      </c>
      <c r="AF36" s="116" t="s">
        <v>218</v>
      </c>
      <c r="AG36" s="189" t="s">
        <v>656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11" t="s">
        <v>131</v>
      </c>
      <c r="F37" s="41">
        <f t="shared" si="10"/>
        <v>8</v>
      </c>
      <c r="G37" s="250"/>
      <c r="H37" s="250"/>
      <c r="I37" s="250"/>
      <c r="J37" s="250"/>
      <c r="K37" s="250"/>
      <c r="L37" s="250"/>
      <c r="M37" s="250">
        <v>1</v>
      </c>
      <c r="N37" s="250">
        <v>1</v>
      </c>
      <c r="O37" s="250">
        <v>1</v>
      </c>
      <c r="P37" s="250">
        <v>1</v>
      </c>
      <c r="Q37" s="250">
        <v>1</v>
      </c>
      <c r="R37" s="250">
        <v>1</v>
      </c>
      <c r="S37" s="250">
        <v>1</v>
      </c>
      <c r="T37" s="250">
        <v>1</v>
      </c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41">
        <f t="shared" si="11"/>
        <v>8</v>
      </c>
      <c r="AF37" s="116" t="s">
        <v>252</v>
      </c>
      <c r="AG37" s="189" t="s">
        <v>656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72" t="s">
        <v>50</v>
      </c>
      <c r="F38" s="41">
        <f t="shared" si="10"/>
        <v>8</v>
      </c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>
        <v>1</v>
      </c>
      <c r="U38" s="250">
        <v>1</v>
      </c>
      <c r="V38" s="250">
        <v>1</v>
      </c>
      <c r="W38" s="250">
        <v>1</v>
      </c>
      <c r="X38" s="250">
        <v>1</v>
      </c>
      <c r="Y38" s="250">
        <v>1</v>
      </c>
      <c r="Z38" s="250">
        <v>1</v>
      </c>
      <c r="AA38" s="250">
        <v>1</v>
      </c>
      <c r="AB38" s="250"/>
      <c r="AC38" s="250"/>
      <c r="AD38" s="250"/>
      <c r="AE38" s="41">
        <f t="shared" si="11"/>
        <v>8</v>
      </c>
      <c r="AF38" s="116" t="s">
        <v>293</v>
      </c>
      <c r="AG38" s="189" t="s">
        <v>656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72" t="s">
        <v>135</v>
      </c>
      <c r="F39" s="41">
        <v>8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41">
        <v>8</v>
      </c>
      <c r="AF39" s="116" t="s">
        <v>218</v>
      </c>
      <c r="AG39" s="189" t="s">
        <v>656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72" t="s">
        <v>140</v>
      </c>
      <c r="F40" s="41">
        <v>9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41">
        <v>8</v>
      </c>
      <c r="AF40" s="116" t="s">
        <v>218</v>
      </c>
      <c r="AG40" s="189" t="s">
        <v>656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7" t="s">
        <v>118</v>
      </c>
      <c r="F41" s="41">
        <f>SUM(G41:AD41)</f>
        <v>7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>
        <v>1</v>
      </c>
      <c r="V41" s="250">
        <v>1</v>
      </c>
      <c r="W41" s="250">
        <v>1</v>
      </c>
      <c r="X41" s="250">
        <v>1</v>
      </c>
      <c r="Y41" s="250">
        <v>1</v>
      </c>
      <c r="Z41" s="250">
        <v>1</v>
      </c>
      <c r="AA41" s="250">
        <v>1</v>
      </c>
      <c r="AB41" s="250"/>
      <c r="AC41" s="250"/>
      <c r="AD41" s="250"/>
      <c r="AE41" s="41">
        <f>SUM(G41:AD41)</f>
        <v>7</v>
      </c>
      <c r="AF41" s="116" t="s">
        <v>100</v>
      </c>
      <c r="AG41" s="189" t="s">
        <v>656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72" t="s">
        <v>143</v>
      </c>
      <c r="F42" s="41">
        <v>9</v>
      </c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583" t="s">
        <v>209</v>
      </c>
      <c r="W42" s="555"/>
      <c r="X42" s="555"/>
      <c r="Y42" s="555"/>
      <c r="Z42" s="555"/>
      <c r="AA42" s="555"/>
      <c r="AB42" s="555"/>
      <c r="AC42" s="542"/>
      <c r="AD42" s="250"/>
      <c r="AE42" s="41">
        <v>8</v>
      </c>
      <c r="AF42" s="116" t="s">
        <v>218</v>
      </c>
      <c r="AG42" s="189" t="s">
        <v>656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5" t="s">
        <v>455</v>
      </c>
      <c r="F43" s="41">
        <f t="shared" ref="F43:F56" si="12">SUM(G43:AD43)</f>
        <v>8</v>
      </c>
      <c r="G43" s="250"/>
      <c r="H43" s="250"/>
      <c r="I43" s="250"/>
      <c r="J43" s="250"/>
      <c r="K43" s="250"/>
      <c r="L43" s="250"/>
      <c r="M43" s="250"/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>
        <v>1</v>
      </c>
      <c r="V43" s="250"/>
      <c r="W43" s="250"/>
      <c r="X43" s="250"/>
      <c r="Y43" s="250"/>
      <c r="Z43" s="250"/>
      <c r="AA43" s="250"/>
      <c r="AB43" s="250"/>
      <c r="AC43" s="250"/>
      <c r="AD43" s="250"/>
      <c r="AE43" s="41">
        <f t="shared" ref="AE43:AE56" si="13">SUM(G43:AD43)</f>
        <v>8</v>
      </c>
      <c r="AF43" s="116" t="s">
        <v>288</v>
      </c>
      <c r="AG43" s="189" t="s">
        <v>656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5" t="s">
        <v>457</v>
      </c>
      <c r="F44" s="41">
        <f t="shared" si="12"/>
        <v>8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>
        <v>1</v>
      </c>
      <c r="U44" s="250">
        <v>1</v>
      </c>
      <c r="V44" s="250">
        <v>1</v>
      </c>
      <c r="W44" s="250">
        <v>1</v>
      </c>
      <c r="X44" s="250">
        <v>1</v>
      </c>
      <c r="Y44" s="250">
        <v>1</v>
      </c>
      <c r="Z44" s="250">
        <v>1</v>
      </c>
      <c r="AA44" s="250">
        <v>1</v>
      </c>
      <c r="AB44" s="250"/>
      <c r="AC44" s="250"/>
      <c r="AD44" s="250"/>
      <c r="AE44" s="41">
        <f t="shared" si="13"/>
        <v>8</v>
      </c>
      <c r="AF44" s="116" t="s">
        <v>293</v>
      </c>
      <c r="AG44" s="189" t="s">
        <v>656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5" t="s">
        <v>460</v>
      </c>
      <c r="F45" s="41">
        <f t="shared" si="12"/>
        <v>8</v>
      </c>
      <c r="G45" s="250"/>
      <c r="H45" s="250"/>
      <c r="I45" s="250"/>
      <c r="J45" s="250"/>
      <c r="K45" s="250"/>
      <c r="L45" s="250"/>
      <c r="M45" s="250"/>
      <c r="N45" s="250"/>
      <c r="O45" s="250"/>
      <c r="P45" s="250">
        <v>1</v>
      </c>
      <c r="Q45" s="250">
        <v>1</v>
      </c>
      <c r="R45" s="250">
        <v>1</v>
      </c>
      <c r="S45" s="250">
        <v>1</v>
      </c>
      <c r="T45" s="250">
        <v>1</v>
      </c>
      <c r="U45" s="250"/>
      <c r="V45" s="250">
        <v>1</v>
      </c>
      <c r="W45" s="250">
        <v>1</v>
      </c>
      <c r="X45" s="250">
        <v>1</v>
      </c>
      <c r="Y45" s="250"/>
      <c r="Z45" s="250"/>
      <c r="AA45" s="250"/>
      <c r="AB45" s="250"/>
      <c r="AC45" s="250"/>
      <c r="AD45" s="250"/>
      <c r="AE45" s="41">
        <f t="shared" si="13"/>
        <v>8</v>
      </c>
      <c r="AF45" s="116" t="s">
        <v>215</v>
      </c>
      <c r="AG45" s="189" t="s">
        <v>656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15" t="s">
        <v>478</v>
      </c>
      <c r="F46" s="41">
        <f t="shared" si="12"/>
        <v>8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>
        <v>1</v>
      </c>
      <c r="Q46" s="250">
        <v>1</v>
      </c>
      <c r="R46" s="250">
        <v>1</v>
      </c>
      <c r="S46" s="250"/>
      <c r="T46" s="250">
        <v>1</v>
      </c>
      <c r="U46" s="250">
        <v>1</v>
      </c>
      <c r="V46" s="250">
        <v>1</v>
      </c>
      <c r="W46" s="250">
        <v>1</v>
      </c>
      <c r="X46" s="250">
        <v>1</v>
      </c>
      <c r="Y46" s="250"/>
      <c r="Z46" s="250"/>
      <c r="AA46" s="250"/>
      <c r="AB46" s="250"/>
      <c r="AC46" s="250"/>
      <c r="AD46" s="250"/>
      <c r="AE46" s="41">
        <f t="shared" si="13"/>
        <v>8</v>
      </c>
      <c r="AF46" s="116" t="s">
        <v>391</v>
      </c>
      <c r="AG46" s="189" t="s">
        <v>656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5" t="s">
        <v>461</v>
      </c>
      <c r="F47" s="41">
        <f t="shared" si="12"/>
        <v>7</v>
      </c>
      <c r="G47" s="250"/>
      <c r="H47" s="250"/>
      <c r="I47" s="250"/>
      <c r="J47" s="250"/>
      <c r="K47" s="250"/>
      <c r="L47" s="250"/>
      <c r="M47" s="250"/>
      <c r="N47" s="250"/>
      <c r="O47" s="250"/>
      <c r="P47" s="250">
        <v>1</v>
      </c>
      <c r="Q47" s="250">
        <v>1</v>
      </c>
      <c r="R47" s="250">
        <v>1</v>
      </c>
      <c r="S47" s="250">
        <v>1</v>
      </c>
      <c r="T47" s="250"/>
      <c r="U47" s="250">
        <v>1</v>
      </c>
      <c r="V47" s="250">
        <v>1</v>
      </c>
      <c r="W47" s="250">
        <v>1</v>
      </c>
      <c r="X47" s="250"/>
      <c r="Y47" s="250"/>
      <c r="Z47" s="250"/>
      <c r="AA47" s="250"/>
      <c r="AB47" s="250"/>
      <c r="AC47" s="250"/>
      <c r="AD47" s="250"/>
      <c r="AE47" s="41">
        <f t="shared" si="13"/>
        <v>7</v>
      </c>
      <c r="AF47" s="116" t="s">
        <v>560</v>
      </c>
      <c r="AG47" s="189" t="s">
        <v>656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5" t="s">
        <v>463</v>
      </c>
      <c r="F48" s="41">
        <f t="shared" si="12"/>
        <v>7</v>
      </c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>
        <v>1</v>
      </c>
      <c r="R48" s="250">
        <v>1</v>
      </c>
      <c r="S48" s="250">
        <v>1</v>
      </c>
      <c r="T48" s="250"/>
      <c r="U48" s="250">
        <v>1</v>
      </c>
      <c r="V48" s="250">
        <v>1</v>
      </c>
      <c r="W48" s="250">
        <v>1</v>
      </c>
      <c r="X48" s="250">
        <v>1</v>
      </c>
      <c r="Y48" s="250"/>
      <c r="Z48" s="250"/>
      <c r="AA48" s="250"/>
      <c r="AB48" s="250"/>
      <c r="AC48" s="250"/>
      <c r="AD48" s="250"/>
      <c r="AE48" s="41">
        <f t="shared" si="13"/>
        <v>7</v>
      </c>
      <c r="AF48" s="116" t="s">
        <v>585</v>
      </c>
      <c r="AG48" s="189" t="s">
        <v>656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5" t="s">
        <v>465</v>
      </c>
      <c r="F49" s="41">
        <f t="shared" si="12"/>
        <v>7</v>
      </c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>
        <v>1</v>
      </c>
      <c r="R49" s="250">
        <v>1</v>
      </c>
      <c r="S49" s="250"/>
      <c r="T49" s="250">
        <v>1</v>
      </c>
      <c r="U49" s="250">
        <v>1</v>
      </c>
      <c r="V49" s="250">
        <v>1</v>
      </c>
      <c r="W49" s="250">
        <v>1</v>
      </c>
      <c r="X49" s="250">
        <v>1</v>
      </c>
      <c r="Y49" s="250"/>
      <c r="Z49" s="250"/>
      <c r="AA49" s="250"/>
      <c r="AB49" s="250"/>
      <c r="AC49" s="250"/>
      <c r="AD49" s="250"/>
      <c r="AE49" s="41">
        <f t="shared" si="13"/>
        <v>7</v>
      </c>
      <c r="AF49" s="116" t="s">
        <v>345</v>
      </c>
      <c r="AG49" s="189" t="s">
        <v>656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5" t="s">
        <v>466</v>
      </c>
      <c r="F50" s="41">
        <f t="shared" si="12"/>
        <v>8</v>
      </c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>
        <v>1</v>
      </c>
      <c r="R50" s="250">
        <v>1</v>
      </c>
      <c r="S50" s="250">
        <v>1</v>
      </c>
      <c r="T50" s="250">
        <v>1</v>
      </c>
      <c r="U50" s="250"/>
      <c r="V50" s="250">
        <v>1</v>
      </c>
      <c r="W50" s="250">
        <v>1</v>
      </c>
      <c r="X50" s="250">
        <v>1</v>
      </c>
      <c r="Y50" s="250">
        <v>1</v>
      </c>
      <c r="Z50" s="250"/>
      <c r="AA50" s="250"/>
      <c r="AB50" s="250"/>
      <c r="AC50" s="250"/>
      <c r="AD50" s="250"/>
      <c r="AE50" s="41">
        <f t="shared" si="13"/>
        <v>8</v>
      </c>
      <c r="AF50" s="116" t="s">
        <v>520</v>
      </c>
      <c r="AG50" s="189" t="s">
        <v>656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5" t="s">
        <v>467</v>
      </c>
      <c r="F51" s="41">
        <f t="shared" si="12"/>
        <v>9</v>
      </c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>
        <v>1</v>
      </c>
      <c r="R51" s="250">
        <v>1</v>
      </c>
      <c r="S51" s="250">
        <v>1</v>
      </c>
      <c r="T51" s="250">
        <v>1</v>
      </c>
      <c r="U51" s="250">
        <v>1</v>
      </c>
      <c r="V51" s="250"/>
      <c r="W51" s="250">
        <v>1</v>
      </c>
      <c r="X51" s="250">
        <v>1</v>
      </c>
      <c r="Y51" s="250">
        <v>1</v>
      </c>
      <c r="Z51" s="250">
        <v>1</v>
      </c>
      <c r="AA51" s="250"/>
      <c r="AB51" s="250"/>
      <c r="AC51" s="250"/>
      <c r="AD51" s="250"/>
      <c r="AE51" s="41">
        <f t="shared" si="13"/>
        <v>9</v>
      </c>
      <c r="AF51" s="116" t="s">
        <v>671</v>
      </c>
      <c r="AG51" s="189" t="s">
        <v>656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5" t="s">
        <v>491</v>
      </c>
      <c r="F52" s="41">
        <f t="shared" si="12"/>
        <v>8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>
        <v>1</v>
      </c>
      <c r="T52" s="250">
        <v>1</v>
      </c>
      <c r="U52" s="250"/>
      <c r="V52" s="250">
        <v>1</v>
      </c>
      <c r="W52" s="250">
        <v>1</v>
      </c>
      <c r="X52" s="250">
        <v>1</v>
      </c>
      <c r="Y52" s="250">
        <v>1</v>
      </c>
      <c r="Z52" s="250">
        <v>1</v>
      </c>
      <c r="AA52" s="250">
        <v>1</v>
      </c>
      <c r="AB52" s="250"/>
      <c r="AC52" s="250"/>
      <c r="AD52" s="250"/>
      <c r="AE52" s="41">
        <f t="shared" si="13"/>
        <v>8</v>
      </c>
      <c r="AF52" s="116" t="s">
        <v>672</v>
      </c>
      <c r="AG52" s="189" t="s">
        <v>656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5" t="s">
        <v>493</v>
      </c>
      <c r="F53" s="41">
        <f t="shared" si="12"/>
        <v>0</v>
      </c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586" t="s">
        <v>382</v>
      </c>
      <c r="R53" s="555"/>
      <c r="S53" s="555"/>
      <c r="T53" s="555"/>
      <c r="U53" s="555"/>
      <c r="V53" s="555"/>
      <c r="W53" s="555"/>
      <c r="X53" s="555"/>
      <c r="Y53" s="555"/>
      <c r="Z53" s="555"/>
      <c r="AA53" s="542"/>
      <c r="AB53" s="250"/>
      <c r="AC53" s="250"/>
      <c r="AD53" s="250"/>
      <c r="AE53" s="41">
        <f t="shared" si="13"/>
        <v>0</v>
      </c>
      <c r="AF53" s="116" t="s">
        <v>382</v>
      </c>
      <c r="AG53" s="189" t="s">
        <v>656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5" t="s">
        <v>469</v>
      </c>
      <c r="F54" s="41">
        <f t="shared" si="12"/>
        <v>0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41">
        <f t="shared" si="13"/>
        <v>0</v>
      </c>
      <c r="AF54" s="116" t="s">
        <v>225</v>
      </c>
      <c r="AG54" s="189" t="s">
        <v>656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5" t="s">
        <v>495</v>
      </c>
      <c r="F55" s="41">
        <f t="shared" si="12"/>
        <v>0</v>
      </c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586" t="s">
        <v>382</v>
      </c>
      <c r="S55" s="555"/>
      <c r="T55" s="555"/>
      <c r="U55" s="555"/>
      <c r="V55" s="555"/>
      <c r="W55" s="555"/>
      <c r="X55" s="555"/>
      <c r="Y55" s="555"/>
      <c r="Z55" s="542"/>
      <c r="AA55" s="250"/>
      <c r="AB55" s="250"/>
      <c r="AC55" s="250"/>
      <c r="AD55" s="250"/>
      <c r="AE55" s="41">
        <f t="shared" si="13"/>
        <v>0</v>
      </c>
      <c r="AF55" s="116" t="s">
        <v>382</v>
      </c>
      <c r="AG55" s="189" t="s">
        <v>656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5" t="s">
        <v>497</v>
      </c>
      <c r="F56" s="41">
        <f t="shared" si="12"/>
        <v>7</v>
      </c>
      <c r="G56" s="250"/>
      <c r="H56" s="250"/>
      <c r="I56" s="250"/>
      <c r="J56" s="250"/>
      <c r="K56" s="250"/>
      <c r="L56" s="250"/>
      <c r="M56" s="250"/>
      <c r="N56" s="250"/>
      <c r="O56" s="250"/>
      <c r="P56" s="250">
        <v>1</v>
      </c>
      <c r="Q56" s="250">
        <v>1</v>
      </c>
      <c r="R56" s="250">
        <v>1</v>
      </c>
      <c r="S56" s="250">
        <v>1</v>
      </c>
      <c r="T56" s="250">
        <v>1</v>
      </c>
      <c r="U56" s="250">
        <v>1</v>
      </c>
      <c r="V56" s="250">
        <v>1</v>
      </c>
      <c r="W56" s="250"/>
      <c r="X56" s="250"/>
      <c r="Y56" s="250"/>
      <c r="Z56" s="250"/>
      <c r="AA56" s="250"/>
      <c r="AB56" s="250"/>
      <c r="AC56" s="250"/>
      <c r="AD56" s="250"/>
      <c r="AE56" s="41">
        <f t="shared" si="13"/>
        <v>7</v>
      </c>
      <c r="AF56" s="116" t="s">
        <v>285</v>
      </c>
      <c r="AG56" s="189" t="s">
        <v>656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8</v>
      </c>
      <c r="G57" s="258"/>
      <c r="H57" s="258"/>
      <c r="I57" s="258"/>
      <c r="J57" s="258"/>
      <c r="K57" s="258"/>
      <c r="L57" s="258"/>
      <c r="M57" s="258"/>
      <c r="N57" s="577" t="s">
        <v>292</v>
      </c>
      <c r="O57" s="555"/>
      <c r="P57" s="555"/>
      <c r="Q57" s="555"/>
      <c r="R57" s="555"/>
      <c r="S57" s="555"/>
      <c r="T57" s="555"/>
      <c r="U57" s="555"/>
      <c r="V57" s="42"/>
      <c r="W57" s="42"/>
      <c r="X57" s="42"/>
      <c r="Y57" s="42"/>
      <c r="Z57" s="42"/>
      <c r="AA57" s="42"/>
      <c r="AB57" s="42"/>
      <c r="AC57" s="42"/>
      <c r="AD57" s="42"/>
      <c r="AE57" s="41">
        <v>8</v>
      </c>
      <c r="AF57" s="116" t="s">
        <v>288</v>
      </c>
      <c r="AG57" s="189" t="s">
        <v>656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v>8</v>
      </c>
      <c r="G58" s="258"/>
      <c r="H58" s="258"/>
      <c r="I58" s="258"/>
      <c r="J58" s="258"/>
      <c r="K58" s="258"/>
      <c r="L58" s="258"/>
      <c r="M58" s="258"/>
      <c r="N58" s="273"/>
      <c r="O58" s="273"/>
      <c r="P58" s="273"/>
      <c r="Q58" s="273"/>
      <c r="R58" s="273"/>
      <c r="S58" s="273"/>
      <c r="T58" s="273"/>
      <c r="U58" s="42"/>
      <c r="V58" s="577" t="s">
        <v>292</v>
      </c>
      <c r="W58" s="555"/>
      <c r="X58" s="555"/>
      <c r="Y58" s="555"/>
      <c r="Z58" s="555"/>
      <c r="AA58" s="555"/>
      <c r="AB58" s="555"/>
      <c r="AC58" s="555"/>
      <c r="AD58" s="258"/>
      <c r="AE58" s="41">
        <v>8</v>
      </c>
      <c r="AF58" s="116" t="s">
        <v>218</v>
      </c>
      <c r="AG58" s="189" t="s">
        <v>656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42"/>
      <c r="X59" s="42"/>
      <c r="Y59" s="42"/>
      <c r="Z59" s="42"/>
      <c r="AA59" s="42"/>
      <c r="AB59" s="42"/>
      <c r="AC59" s="42"/>
      <c r="AD59" s="42"/>
      <c r="AE59" s="41">
        <v>8</v>
      </c>
      <c r="AF59" s="116" t="s">
        <v>258</v>
      </c>
      <c r="AG59" s="189" t="s">
        <v>656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242">
        <v>4</v>
      </c>
      <c r="O62" s="56">
        <v>5</v>
      </c>
      <c r="P62" s="143">
        <v>8</v>
      </c>
      <c r="Q62" s="57">
        <v>9</v>
      </c>
      <c r="R62" s="57">
        <v>9</v>
      </c>
      <c r="S62" s="57">
        <v>9</v>
      </c>
      <c r="T62" s="143">
        <v>8</v>
      </c>
      <c r="U62" s="143">
        <v>8</v>
      </c>
      <c r="V62" s="143">
        <v>8</v>
      </c>
      <c r="W62" s="143">
        <v>8</v>
      </c>
      <c r="X62" s="144">
        <v>6</v>
      </c>
      <c r="Y62" s="144">
        <v>6</v>
      </c>
      <c r="Z62" s="56">
        <v>5</v>
      </c>
      <c r="AA62" s="56">
        <v>5</v>
      </c>
      <c r="AB62" s="242">
        <v>4</v>
      </c>
      <c r="AC62" s="234">
        <v>3</v>
      </c>
      <c r="AD62" s="12">
        <v>2</v>
      </c>
      <c r="AE62" s="18">
        <f>SUM(G62:AD62)</f>
        <v>123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14">G65-G62</f>
        <v>0</v>
      </c>
      <c r="H63" s="28">
        <f t="shared" si="14"/>
        <v>0</v>
      </c>
      <c r="I63" s="28">
        <f t="shared" si="14"/>
        <v>0</v>
      </c>
      <c r="J63" s="28">
        <f t="shared" si="14"/>
        <v>0</v>
      </c>
      <c r="K63" s="28">
        <f t="shared" si="14"/>
        <v>0</v>
      </c>
      <c r="L63" s="28">
        <f t="shared" si="14"/>
        <v>0</v>
      </c>
      <c r="M63" s="28">
        <f t="shared" si="14"/>
        <v>0</v>
      </c>
      <c r="N63" s="28">
        <f t="shared" si="14"/>
        <v>0</v>
      </c>
      <c r="O63" s="28">
        <f t="shared" si="14"/>
        <v>0</v>
      </c>
      <c r="P63" s="28">
        <f t="shared" si="14"/>
        <v>0</v>
      </c>
      <c r="Q63" s="28">
        <f t="shared" si="14"/>
        <v>0</v>
      </c>
      <c r="R63" s="28">
        <f t="shared" si="14"/>
        <v>0</v>
      </c>
      <c r="S63" s="28">
        <f t="shared" si="14"/>
        <v>0</v>
      </c>
      <c r="T63" s="28">
        <f t="shared" si="14"/>
        <v>0</v>
      </c>
      <c r="U63" s="28">
        <f t="shared" si="14"/>
        <v>0</v>
      </c>
      <c r="V63" s="28">
        <f t="shared" si="14"/>
        <v>0</v>
      </c>
      <c r="W63" s="28">
        <f t="shared" si="14"/>
        <v>0</v>
      </c>
      <c r="X63" s="28">
        <f t="shared" si="14"/>
        <v>0</v>
      </c>
      <c r="Y63" s="28">
        <f t="shared" si="14"/>
        <v>0</v>
      </c>
      <c r="Z63" s="28">
        <f t="shared" si="14"/>
        <v>0</v>
      </c>
      <c r="AA63" s="28">
        <f t="shared" si="14"/>
        <v>0</v>
      </c>
      <c r="AB63" s="28">
        <f t="shared" si="14"/>
        <v>0</v>
      </c>
      <c r="AC63" s="28">
        <f t="shared" si="14"/>
        <v>0</v>
      </c>
      <c r="AD63" s="28">
        <f t="shared" si="14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5">SUM(G66:G82)</f>
        <v>2</v>
      </c>
      <c r="H65" s="35">
        <f t="shared" si="15"/>
        <v>2</v>
      </c>
      <c r="I65" s="35">
        <f t="shared" si="15"/>
        <v>2</v>
      </c>
      <c r="J65" s="35">
        <f t="shared" si="15"/>
        <v>2</v>
      </c>
      <c r="K65" s="35">
        <f t="shared" si="15"/>
        <v>2</v>
      </c>
      <c r="L65" s="35">
        <f t="shared" si="15"/>
        <v>2</v>
      </c>
      <c r="M65" s="35">
        <f t="shared" si="15"/>
        <v>4</v>
      </c>
      <c r="N65" s="35">
        <f t="shared" si="15"/>
        <v>4</v>
      </c>
      <c r="O65" s="35">
        <f t="shared" si="15"/>
        <v>5</v>
      </c>
      <c r="P65" s="35">
        <f t="shared" si="15"/>
        <v>8</v>
      </c>
      <c r="Q65" s="35">
        <f t="shared" si="15"/>
        <v>9</v>
      </c>
      <c r="R65" s="35">
        <f t="shared" si="15"/>
        <v>9</v>
      </c>
      <c r="S65" s="35">
        <f t="shared" si="15"/>
        <v>9</v>
      </c>
      <c r="T65" s="35">
        <f t="shared" si="15"/>
        <v>8</v>
      </c>
      <c r="U65" s="35">
        <f t="shared" si="15"/>
        <v>8</v>
      </c>
      <c r="V65" s="35">
        <f t="shared" si="15"/>
        <v>8</v>
      </c>
      <c r="W65" s="35">
        <f t="shared" si="15"/>
        <v>8</v>
      </c>
      <c r="X65" s="35">
        <f t="shared" si="15"/>
        <v>6</v>
      </c>
      <c r="Y65" s="35">
        <f t="shared" si="15"/>
        <v>6</v>
      </c>
      <c r="Z65" s="35">
        <f t="shared" si="15"/>
        <v>5</v>
      </c>
      <c r="AA65" s="35">
        <f t="shared" si="15"/>
        <v>5</v>
      </c>
      <c r="AB65" s="35">
        <f t="shared" si="15"/>
        <v>4</v>
      </c>
      <c r="AC65" s="35">
        <f t="shared" si="15"/>
        <v>3</v>
      </c>
      <c r="AD65" s="35">
        <f t="shared" si="15"/>
        <v>2</v>
      </c>
      <c r="AE65" s="30">
        <f t="shared" ref="AE65:AE79" si="16">SUM(G65:AD65)</f>
        <v>123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7">SUM(G66:AD66)</f>
        <v>7</v>
      </c>
      <c r="G66" s="258"/>
      <c r="H66" s="258"/>
      <c r="I66" s="258"/>
      <c r="J66" s="258"/>
      <c r="K66" s="258"/>
      <c r="L66" s="258"/>
      <c r="M66" s="258"/>
      <c r="N66" s="258"/>
      <c r="O66" s="258"/>
      <c r="P66" s="258">
        <v>1</v>
      </c>
      <c r="Q66" s="258">
        <v>1</v>
      </c>
      <c r="R66" s="258">
        <v>1</v>
      </c>
      <c r="S66" s="258">
        <v>1</v>
      </c>
      <c r="T66" s="258">
        <v>1</v>
      </c>
      <c r="U66" s="258"/>
      <c r="V66" s="258">
        <v>1</v>
      </c>
      <c r="W66" s="258">
        <v>1</v>
      </c>
      <c r="X66" s="258"/>
      <c r="Y66" s="258"/>
      <c r="Z66" s="258"/>
      <c r="AA66" s="258"/>
      <c r="AB66" s="258"/>
      <c r="AC66" s="258"/>
      <c r="AD66" s="258"/>
      <c r="AE66" s="41">
        <f t="shared" si="16"/>
        <v>7</v>
      </c>
      <c r="AF66" s="116" t="s">
        <v>572</v>
      </c>
      <c r="AG66" s="189" t="s">
        <v>656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7"/>
        <v>7</v>
      </c>
      <c r="G67" s="258"/>
      <c r="H67" s="258"/>
      <c r="I67" s="258"/>
      <c r="J67" s="258"/>
      <c r="K67" s="258"/>
      <c r="L67" s="258"/>
      <c r="M67" s="258">
        <v>1</v>
      </c>
      <c r="N67" s="258">
        <v>1</v>
      </c>
      <c r="O67" s="258">
        <v>1</v>
      </c>
      <c r="P67" s="258">
        <v>1</v>
      </c>
      <c r="Q67" s="258">
        <v>1</v>
      </c>
      <c r="R67" s="258">
        <v>1</v>
      </c>
      <c r="S67" s="258">
        <v>1</v>
      </c>
      <c r="T67" s="258"/>
      <c r="U67" s="258"/>
      <c r="V67" s="258"/>
      <c r="W67" s="258"/>
      <c r="X67" s="258"/>
      <c r="Y67" s="258"/>
      <c r="Z67" s="258"/>
      <c r="AA67" s="258"/>
      <c r="AB67" s="258"/>
      <c r="AC67" s="258"/>
      <c r="AD67" s="258"/>
      <c r="AE67" s="41">
        <f t="shared" si="16"/>
        <v>7</v>
      </c>
      <c r="AF67" s="116" t="s">
        <v>379</v>
      </c>
      <c r="AG67" s="189" t="s">
        <v>656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7"/>
        <v>7</v>
      </c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>
        <v>1</v>
      </c>
      <c r="V68" s="258">
        <v>1</v>
      </c>
      <c r="W68" s="258">
        <v>1</v>
      </c>
      <c r="X68" s="258"/>
      <c r="Y68" s="258">
        <v>1</v>
      </c>
      <c r="Z68" s="258">
        <v>1</v>
      </c>
      <c r="AA68" s="258">
        <v>1</v>
      </c>
      <c r="AB68" s="258">
        <v>1</v>
      </c>
      <c r="AC68" s="258"/>
      <c r="AD68" s="258"/>
      <c r="AE68" s="41">
        <f t="shared" si="16"/>
        <v>7</v>
      </c>
      <c r="AF68" s="116" t="s">
        <v>673</v>
      </c>
      <c r="AG68" s="189" t="s">
        <v>656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7"/>
        <v>8</v>
      </c>
      <c r="G69" s="258"/>
      <c r="H69" s="258"/>
      <c r="I69" s="258"/>
      <c r="J69" s="258"/>
      <c r="K69" s="258"/>
      <c r="L69" s="258"/>
      <c r="M69" s="258"/>
      <c r="N69" s="258"/>
      <c r="O69" s="258"/>
      <c r="P69" s="258">
        <v>1</v>
      </c>
      <c r="Q69" s="258">
        <v>1</v>
      </c>
      <c r="R69" s="258">
        <v>1</v>
      </c>
      <c r="S69" s="258">
        <v>1</v>
      </c>
      <c r="T69" s="258"/>
      <c r="U69" s="258">
        <v>1</v>
      </c>
      <c r="V69" s="258">
        <v>1</v>
      </c>
      <c r="W69" s="258">
        <v>1</v>
      </c>
      <c r="X69" s="258">
        <v>1</v>
      </c>
      <c r="Y69" s="258"/>
      <c r="Z69" s="258"/>
      <c r="AA69" s="258"/>
      <c r="AB69" s="258"/>
      <c r="AC69" s="258"/>
      <c r="AD69" s="258"/>
      <c r="AE69" s="41">
        <f t="shared" si="16"/>
        <v>8</v>
      </c>
      <c r="AF69" s="116" t="s">
        <v>238</v>
      </c>
      <c r="AG69" s="189" t="s">
        <v>656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7"/>
        <v>6</v>
      </c>
      <c r="G70" s="258"/>
      <c r="H70" s="258"/>
      <c r="I70" s="258"/>
      <c r="J70" s="258"/>
      <c r="K70" s="258"/>
      <c r="L70" s="258"/>
      <c r="M70" s="258"/>
      <c r="N70" s="258"/>
      <c r="O70" s="258">
        <v>1</v>
      </c>
      <c r="P70" s="258">
        <v>1</v>
      </c>
      <c r="Q70" s="258">
        <v>1</v>
      </c>
      <c r="R70" s="258">
        <v>1</v>
      </c>
      <c r="S70" s="258">
        <v>1</v>
      </c>
      <c r="T70" s="258">
        <v>1</v>
      </c>
      <c r="U70" s="258"/>
      <c r="V70" s="258"/>
      <c r="W70" s="258"/>
      <c r="X70" s="258"/>
      <c r="Y70" s="258"/>
      <c r="Z70" s="258"/>
      <c r="AA70" s="258"/>
      <c r="AB70" s="258"/>
      <c r="AC70" s="258"/>
      <c r="AD70" s="258"/>
      <c r="AE70" s="41">
        <f t="shared" si="16"/>
        <v>6</v>
      </c>
      <c r="AF70" s="116" t="s">
        <v>305</v>
      </c>
      <c r="AG70" s="189" t="s">
        <v>656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7"/>
        <v>7</v>
      </c>
      <c r="G71" s="258"/>
      <c r="H71" s="258"/>
      <c r="I71" s="258"/>
      <c r="J71" s="258"/>
      <c r="K71" s="258"/>
      <c r="L71" s="258"/>
      <c r="M71" s="258">
        <v>1</v>
      </c>
      <c r="N71" s="258">
        <v>1</v>
      </c>
      <c r="O71" s="258">
        <v>1</v>
      </c>
      <c r="P71" s="258">
        <v>1</v>
      </c>
      <c r="Q71" s="258">
        <v>1</v>
      </c>
      <c r="R71" s="258">
        <v>1</v>
      </c>
      <c r="S71" s="258">
        <v>1</v>
      </c>
      <c r="T71" s="258"/>
      <c r="U71" s="258"/>
      <c r="V71" s="258"/>
      <c r="W71" s="258"/>
      <c r="X71" s="258"/>
      <c r="Y71" s="258"/>
      <c r="Z71" s="258"/>
      <c r="AA71" s="258"/>
      <c r="AB71" s="258"/>
      <c r="AC71" s="258"/>
      <c r="AD71" s="258"/>
      <c r="AE71" s="41">
        <f t="shared" si="16"/>
        <v>7</v>
      </c>
      <c r="AF71" s="111" t="s">
        <v>379</v>
      </c>
      <c r="AG71" s="189" t="s">
        <v>656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7"/>
        <v>10</v>
      </c>
      <c r="G72" s="258">
        <v>1</v>
      </c>
      <c r="H72" s="258">
        <v>1</v>
      </c>
      <c r="I72" s="258">
        <v>1</v>
      </c>
      <c r="J72" s="258">
        <v>1</v>
      </c>
      <c r="K72" s="258">
        <v>1</v>
      </c>
      <c r="L72" s="258">
        <v>1</v>
      </c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  <c r="AA72" s="258">
        <v>1</v>
      </c>
      <c r="AB72" s="258">
        <v>1</v>
      </c>
      <c r="AC72" s="258">
        <v>1</v>
      </c>
      <c r="AD72" s="258">
        <v>1</v>
      </c>
      <c r="AE72" s="41">
        <f t="shared" si="16"/>
        <v>10</v>
      </c>
      <c r="AF72" s="116" t="s">
        <v>674</v>
      </c>
      <c r="AG72" s="189" t="s">
        <v>656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7"/>
        <v>7</v>
      </c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  <c r="U73" s="258">
        <v>1</v>
      </c>
      <c r="V73" s="258">
        <v>1</v>
      </c>
      <c r="W73" s="258">
        <v>1</v>
      </c>
      <c r="X73" s="258">
        <v>1</v>
      </c>
      <c r="Y73" s="258">
        <v>1</v>
      </c>
      <c r="Z73" s="258">
        <v>1</v>
      </c>
      <c r="AA73" s="258">
        <v>1</v>
      </c>
      <c r="AB73" s="258"/>
      <c r="AC73" s="258"/>
      <c r="AD73" s="258"/>
      <c r="AE73" s="41">
        <f t="shared" si="16"/>
        <v>7</v>
      </c>
      <c r="AF73" s="116" t="s">
        <v>100</v>
      </c>
      <c r="AG73" s="189" t="s">
        <v>656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17"/>
        <v>8</v>
      </c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>
        <v>1</v>
      </c>
      <c r="R74" s="258">
        <v>1</v>
      </c>
      <c r="S74" s="258">
        <v>1</v>
      </c>
      <c r="T74" s="258">
        <v>1</v>
      </c>
      <c r="U74" s="258"/>
      <c r="V74" s="258">
        <v>1</v>
      </c>
      <c r="W74" s="258">
        <v>1</v>
      </c>
      <c r="X74" s="258">
        <v>1</v>
      </c>
      <c r="Y74" s="258">
        <v>1</v>
      </c>
      <c r="Z74" s="258"/>
      <c r="AA74" s="258"/>
      <c r="AB74" s="258"/>
      <c r="AC74" s="258"/>
      <c r="AD74" s="258"/>
      <c r="AE74" s="41">
        <f t="shared" si="16"/>
        <v>8</v>
      </c>
      <c r="AF74" s="116" t="s">
        <v>520</v>
      </c>
      <c r="AG74" s="189" t="s">
        <v>656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17"/>
        <v>8</v>
      </c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>
        <v>1</v>
      </c>
      <c r="T75" s="258">
        <v>1</v>
      </c>
      <c r="U75" s="258">
        <v>1</v>
      </c>
      <c r="V75" s="258">
        <v>1</v>
      </c>
      <c r="W75" s="258">
        <v>1</v>
      </c>
      <c r="X75" s="258">
        <v>1</v>
      </c>
      <c r="Y75" s="258">
        <v>1</v>
      </c>
      <c r="Z75" s="258">
        <v>1</v>
      </c>
      <c r="AA75" s="258"/>
      <c r="AB75" s="258"/>
      <c r="AC75" s="258"/>
      <c r="AD75" s="258"/>
      <c r="AE75" s="41">
        <f t="shared" si="16"/>
        <v>8</v>
      </c>
      <c r="AF75" s="116" t="s">
        <v>365</v>
      </c>
      <c r="AG75" s="189" t="s">
        <v>656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7"/>
        <v>10</v>
      </c>
      <c r="G76" s="258">
        <v>1</v>
      </c>
      <c r="H76" s="258">
        <v>1</v>
      </c>
      <c r="I76" s="258">
        <v>1</v>
      </c>
      <c r="J76" s="258">
        <v>1</v>
      </c>
      <c r="K76" s="258">
        <v>1</v>
      </c>
      <c r="L76" s="258">
        <v>1</v>
      </c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  <c r="AA76" s="258">
        <v>1</v>
      </c>
      <c r="AB76" s="258">
        <v>1</v>
      </c>
      <c r="AC76" s="258">
        <v>1</v>
      </c>
      <c r="AD76" s="258">
        <v>1</v>
      </c>
      <c r="AE76" s="41">
        <f t="shared" si="16"/>
        <v>10</v>
      </c>
      <c r="AF76" s="116" t="s">
        <v>674</v>
      </c>
      <c r="AG76" s="189" t="s">
        <v>656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7"/>
        <v>8</v>
      </c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>
        <v>1</v>
      </c>
      <c r="W77" s="258">
        <v>1</v>
      </c>
      <c r="X77" s="258">
        <v>1</v>
      </c>
      <c r="Y77" s="258">
        <v>1</v>
      </c>
      <c r="Z77" s="258">
        <v>1</v>
      </c>
      <c r="AA77" s="258">
        <v>1</v>
      </c>
      <c r="AB77" s="258">
        <v>1</v>
      </c>
      <c r="AC77" s="258">
        <v>1</v>
      </c>
      <c r="AD77" s="258"/>
      <c r="AE77" s="41">
        <f t="shared" si="16"/>
        <v>8</v>
      </c>
      <c r="AF77" s="116" t="s">
        <v>218</v>
      </c>
      <c r="AG77" s="189" t="s">
        <v>656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7"/>
        <v>8</v>
      </c>
      <c r="G78" s="258"/>
      <c r="H78" s="258"/>
      <c r="I78" s="258"/>
      <c r="J78" s="258"/>
      <c r="K78" s="258"/>
      <c r="L78" s="258"/>
      <c r="M78" s="258">
        <v>1</v>
      </c>
      <c r="N78" s="258">
        <v>1</v>
      </c>
      <c r="O78" s="258">
        <v>1</v>
      </c>
      <c r="P78" s="258">
        <v>1</v>
      </c>
      <c r="Q78" s="258">
        <v>1</v>
      </c>
      <c r="R78" s="258">
        <v>1</v>
      </c>
      <c r="S78" s="258"/>
      <c r="T78" s="258">
        <v>1</v>
      </c>
      <c r="U78" s="258">
        <v>1</v>
      </c>
      <c r="V78" s="258"/>
      <c r="W78" s="258"/>
      <c r="X78" s="258"/>
      <c r="Y78" s="258"/>
      <c r="Z78" s="258"/>
      <c r="AA78" s="258"/>
      <c r="AB78" s="258"/>
      <c r="AC78" s="258"/>
      <c r="AD78" s="258"/>
      <c r="AE78" s="41">
        <f t="shared" si="16"/>
        <v>8</v>
      </c>
      <c r="AF78" s="116" t="s">
        <v>271</v>
      </c>
      <c r="AG78" s="189" t="s">
        <v>656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17"/>
        <v>7</v>
      </c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58"/>
      <c r="T79" s="258">
        <v>1</v>
      </c>
      <c r="U79" s="276">
        <v>1</v>
      </c>
      <c r="V79" s="258">
        <v>1</v>
      </c>
      <c r="W79" s="258">
        <v>1</v>
      </c>
      <c r="X79" s="276">
        <v>1</v>
      </c>
      <c r="Y79" s="276">
        <v>1</v>
      </c>
      <c r="Z79" s="276">
        <v>1</v>
      </c>
      <c r="AA79" s="276"/>
      <c r="AB79" s="276"/>
      <c r="AC79" s="276"/>
      <c r="AD79" s="258"/>
      <c r="AE79" s="41">
        <f t="shared" si="16"/>
        <v>7</v>
      </c>
      <c r="AF79" s="116" t="s">
        <v>518</v>
      </c>
      <c r="AG79" s="189" t="s">
        <v>656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17"/>
        <v>0</v>
      </c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583" t="s">
        <v>209</v>
      </c>
      <c r="W80" s="555"/>
      <c r="X80" s="555"/>
      <c r="Y80" s="555"/>
      <c r="Z80" s="555"/>
      <c r="AA80" s="555"/>
      <c r="AB80" s="555"/>
      <c r="AC80" s="542"/>
      <c r="AD80" s="277"/>
      <c r="AE80" s="41">
        <v>8</v>
      </c>
      <c r="AF80" s="116" t="s">
        <v>218</v>
      </c>
      <c r="AG80" s="189" t="s">
        <v>656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17"/>
        <v>7</v>
      </c>
      <c r="G81" s="258"/>
      <c r="H81" s="258"/>
      <c r="I81" s="258"/>
      <c r="J81" s="258"/>
      <c r="K81" s="258"/>
      <c r="L81" s="258"/>
      <c r="M81" s="258"/>
      <c r="N81" s="258"/>
      <c r="O81" s="258">
        <v>1</v>
      </c>
      <c r="P81" s="258">
        <v>1</v>
      </c>
      <c r="Q81" s="258">
        <v>1</v>
      </c>
      <c r="R81" s="258">
        <v>1</v>
      </c>
      <c r="S81" s="258">
        <v>1</v>
      </c>
      <c r="T81" s="258">
        <v>1</v>
      </c>
      <c r="U81" s="258">
        <v>1</v>
      </c>
      <c r="V81" s="258"/>
      <c r="W81" s="258"/>
      <c r="X81" s="258"/>
      <c r="Y81" s="258"/>
      <c r="Z81" s="258"/>
      <c r="AA81" s="258"/>
      <c r="AB81" s="258"/>
      <c r="AC81" s="258"/>
      <c r="AD81" s="258"/>
      <c r="AE81" s="41">
        <f t="shared" ref="AE81:AE82" si="18">SUM(G81:AD81)</f>
        <v>7</v>
      </c>
      <c r="AF81" s="116" t="s">
        <v>87</v>
      </c>
      <c r="AG81" s="189" t="s">
        <v>656</v>
      </c>
    </row>
    <row r="82" spans="1:33" ht="14.25" customHeight="1">
      <c r="A82" s="38" t="s">
        <v>145</v>
      </c>
      <c r="B82" s="38" t="s">
        <v>183</v>
      </c>
      <c r="C82" s="38"/>
      <c r="D82" s="39">
        <v>17</v>
      </c>
      <c r="E82" s="40" t="s">
        <v>184</v>
      </c>
      <c r="F82" s="41">
        <f t="shared" si="17"/>
        <v>8</v>
      </c>
      <c r="G82" s="258"/>
      <c r="H82" s="258"/>
      <c r="I82" s="258"/>
      <c r="J82" s="258"/>
      <c r="K82" s="258"/>
      <c r="L82" s="258"/>
      <c r="M82" s="279">
        <v>1</v>
      </c>
      <c r="N82" s="279">
        <v>1</v>
      </c>
      <c r="O82" s="279"/>
      <c r="P82" s="279">
        <v>1</v>
      </c>
      <c r="Q82" s="279">
        <v>1</v>
      </c>
      <c r="R82" s="279">
        <v>1</v>
      </c>
      <c r="S82" s="279">
        <v>1</v>
      </c>
      <c r="T82" s="279">
        <v>1</v>
      </c>
      <c r="U82" s="258">
        <v>1</v>
      </c>
      <c r="V82" s="258"/>
      <c r="W82" s="258"/>
      <c r="X82" s="258"/>
      <c r="Y82" s="258"/>
      <c r="Z82" s="258"/>
      <c r="AA82" s="258"/>
      <c r="AB82" s="258"/>
      <c r="AC82" s="258"/>
      <c r="AD82" s="258"/>
      <c r="AE82" s="41">
        <f t="shared" si="18"/>
        <v>8</v>
      </c>
      <c r="AF82" s="116" t="s">
        <v>213</v>
      </c>
      <c r="AG82" s="189" t="s">
        <v>656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D6F95600-F5D2-44BC-80B6-0F2773D5BD92}" filter="1" showAutoFilter="1">
      <pageMargins left="0.7" right="0.7" top="0.75" bottom="0.75" header="0.3" footer="0.3"/>
      <autoFilter ref="A3:AG84" xr:uid="{03D96479-95DC-4F11-A6A7-87BB787F7B67}"/>
    </customSheetView>
    <customSheetView guid="{833D6734-F5E1-4449-B5A1-8C3A51A61651}" filter="1" showAutoFilter="1">
      <pageMargins left="0.7" right="0.7" top="0.75" bottom="0.75" header="0.3" footer="0.3"/>
      <autoFilter ref="A7:AG84" xr:uid="{AA85FA93-B922-41F3-AB11-1F99FF8027CD}">
        <filterColumn colId="26">
          <filters>
            <filter val="-"/>
            <filter val="1"/>
            <filter val="5"/>
            <filter val="CLIENTES VIP"/>
            <filter val="FI"/>
            <filter val="MONITOREOS"/>
            <filter val="RENUNCIA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4" xr:uid="{41A7593F-26E6-41A4-9D4B-91F793C5A2DC}">
        <filterColumn colId="15">
          <filters>
            <filter val="-"/>
            <filter val="(1)"/>
            <filter val="1"/>
            <filter val="21"/>
            <filter val="8"/>
            <filter val="CLIENTES VIP"/>
            <filter val="FI"/>
            <filter val="MONITOREOS"/>
            <filter val="RENUNCIA"/>
            <filter val="SEGUIMIENTO TRANSFERENCIAS"/>
          </filters>
        </filterColumn>
      </autoFilter>
    </customSheetView>
  </customSheetViews>
  <mergeCells count="16">
    <mergeCell ref="E62:F62"/>
    <mergeCell ref="S35:Z35"/>
    <mergeCell ref="V39:AC39"/>
    <mergeCell ref="V58:AC58"/>
    <mergeCell ref="V80:AC80"/>
    <mergeCell ref="V40:AC40"/>
    <mergeCell ref="V42:AC42"/>
    <mergeCell ref="Q53:AA53"/>
    <mergeCell ref="R55:Z55"/>
    <mergeCell ref="N57:U57"/>
    <mergeCell ref="O59:V59"/>
    <mergeCell ref="A1:B1"/>
    <mergeCell ref="D3:AE3"/>
    <mergeCell ref="E4:F4"/>
    <mergeCell ref="E5:F5"/>
    <mergeCell ref="O12:U1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G84"/>
  <sheetViews>
    <sheetView showGridLines="0" workbookViewId="0"/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487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44</v>
      </c>
      <c r="AG3" s="3">
        <f>AE4/12</f>
        <v>21.083333333333332</v>
      </c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1">
        <v>4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225">
        <v>8</v>
      </c>
      <c r="N4" s="94">
        <v>10</v>
      </c>
      <c r="O4" s="14">
        <v>12</v>
      </c>
      <c r="P4" s="83">
        <v>17</v>
      </c>
      <c r="Q4" s="149">
        <v>19</v>
      </c>
      <c r="R4" s="120">
        <v>22</v>
      </c>
      <c r="S4" s="149">
        <v>19</v>
      </c>
      <c r="T4" s="72">
        <v>16</v>
      </c>
      <c r="U4" s="72">
        <v>16</v>
      </c>
      <c r="V4" s="108">
        <v>15</v>
      </c>
      <c r="W4" s="108">
        <v>15</v>
      </c>
      <c r="X4" s="56">
        <v>13</v>
      </c>
      <c r="Y4" s="56">
        <v>13</v>
      </c>
      <c r="Z4" s="13">
        <v>11</v>
      </c>
      <c r="AA4" s="13">
        <v>11</v>
      </c>
      <c r="AB4" s="17">
        <v>7</v>
      </c>
      <c r="AC4" s="17">
        <v>7</v>
      </c>
      <c r="AD4" s="93">
        <v>3</v>
      </c>
      <c r="AE4" s="18">
        <f>SUM(G4:AD4)</f>
        <v>253</v>
      </c>
      <c r="AF4" s="3"/>
      <c r="AG4" s="3"/>
    </row>
    <row r="5" spans="1:33" ht="62.25">
      <c r="A5" s="3"/>
      <c r="B5" s="2"/>
      <c r="C5" s="2"/>
      <c r="D5" s="19"/>
      <c r="E5" s="569">
        <v>17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32" si="1">SUM(G6:AD6)</f>
        <v>0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8</v>
      </c>
      <c r="N7" s="172">
        <f t="shared" si="2"/>
        <v>10</v>
      </c>
      <c r="O7" s="172">
        <f t="shared" si="2"/>
        <v>12</v>
      </c>
      <c r="P7" s="172">
        <f t="shared" si="2"/>
        <v>17</v>
      </c>
      <c r="Q7" s="172">
        <f t="shared" si="2"/>
        <v>19</v>
      </c>
      <c r="R7" s="172">
        <f t="shared" si="2"/>
        <v>22</v>
      </c>
      <c r="S7" s="172">
        <f t="shared" si="2"/>
        <v>19</v>
      </c>
      <c r="T7" s="172">
        <f t="shared" si="2"/>
        <v>16</v>
      </c>
      <c r="U7" s="172">
        <f t="shared" si="2"/>
        <v>16</v>
      </c>
      <c r="V7" s="172">
        <f t="shared" si="2"/>
        <v>15</v>
      </c>
      <c r="W7" s="172">
        <f t="shared" si="2"/>
        <v>15</v>
      </c>
      <c r="X7" s="172">
        <f t="shared" si="2"/>
        <v>13</v>
      </c>
      <c r="Y7" s="172">
        <f t="shared" si="2"/>
        <v>13</v>
      </c>
      <c r="Z7" s="172">
        <f t="shared" si="2"/>
        <v>11</v>
      </c>
      <c r="AA7" s="172">
        <f t="shared" si="2"/>
        <v>11</v>
      </c>
      <c r="AB7" s="172">
        <f t="shared" si="2"/>
        <v>7</v>
      </c>
      <c r="AC7" s="172">
        <f t="shared" si="2"/>
        <v>7</v>
      </c>
      <c r="AD7" s="172">
        <f t="shared" si="2"/>
        <v>3</v>
      </c>
      <c r="AE7" s="168">
        <f t="shared" si="1"/>
        <v>253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06" t="s">
        <v>46</v>
      </c>
      <c r="F8" s="41">
        <f t="shared" ref="F8:F59" si="3">SUM(G8:AD8)</f>
        <v>0</v>
      </c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41">
        <f t="shared" si="1"/>
        <v>0</v>
      </c>
      <c r="AF8" s="116" t="s">
        <v>225</v>
      </c>
      <c r="AG8" s="189" t="s">
        <v>675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0</v>
      </c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41">
        <f t="shared" si="1"/>
        <v>0</v>
      </c>
      <c r="AF9" s="116" t="s">
        <v>225</v>
      </c>
      <c r="AG9" s="189" t="s">
        <v>675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75" t="s">
        <v>56</v>
      </c>
      <c r="F10" s="41">
        <f t="shared" si="3"/>
        <v>10</v>
      </c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>
        <v>1</v>
      </c>
      <c r="R10" s="250">
        <v>1</v>
      </c>
      <c r="S10" s="250">
        <v>1</v>
      </c>
      <c r="T10" s="250">
        <v>1</v>
      </c>
      <c r="U10" s="250"/>
      <c r="V10" s="250">
        <v>1</v>
      </c>
      <c r="W10" s="250">
        <v>1</v>
      </c>
      <c r="X10" s="250">
        <v>1</v>
      </c>
      <c r="Y10" s="250">
        <v>1</v>
      </c>
      <c r="Z10" s="250">
        <v>1</v>
      </c>
      <c r="AA10" s="250">
        <v>1</v>
      </c>
      <c r="AB10" s="250"/>
      <c r="AC10" s="250"/>
      <c r="AD10" s="250"/>
      <c r="AE10" s="41">
        <f t="shared" si="1"/>
        <v>10</v>
      </c>
      <c r="AF10" s="116" t="s">
        <v>233</v>
      </c>
      <c r="AG10" s="189" t="s">
        <v>675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41">
        <f t="shared" si="3"/>
        <v>9</v>
      </c>
      <c r="G11" s="250"/>
      <c r="H11" s="250"/>
      <c r="I11" s="250"/>
      <c r="J11" s="250"/>
      <c r="K11" s="250"/>
      <c r="L11" s="250"/>
      <c r="M11" s="250">
        <v>1</v>
      </c>
      <c r="N11" s="250">
        <v>1</v>
      </c>
      <c r="O11" s="250">
        <v>1</v>
      </c>
      <c r="P11" s="250">
        <v>1</v>
      </c>
      <c r="Q11" s="250">
        <v>1</v>
      </c>
      <c r="R11" s="250">
        <v>1</v>
      </c>
      <c r="S11" s="250"/>
      <c r="T11" s="250">
        <v>1</v>
      </c>
      <c r="U11" s="250">
        <v>1</v>
      </c>
      <c r="V11" s="250">
        <v>1</v>
      </c>
      <c r="W11" s="250"/>
      <c r="X11" s="250"/>
      <c r="Y11" s="250"/>
      <c r="Z11" s="250"/>
      <c r="AA11" s="250"/>
      <c r="AB11" s="250"/>
      <c r="AC11" s="250"/>
      <c r="AD11" s="250"/>
      <c r="AE11" s="41">
        <f t="shared" si="1"/>
        <v>9</v>
      </c>
      <c r="AF11" s="116" t="s">
        <v>224</v>
      </c>
      <c r="AG11" s="189" t="s">
        <v>675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f t="shared" si="3"/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7">
        <v>0</v>
      </c>
      <c r="AC12" s="77">
        <v>0</v>
      </c>
      <c r="AD12" s="77">
        <v>0</v>
      </c>
      <c r="AE12" s="41">
        <f t="shared" si="1"/>
        <v>0</v>
      </c>
      <c r="AF12" s="116" t="s">
        <v>225</v>
      </c>
      <c r="AG12" s="189" t="s">
        <v>675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7" t="s">
        <v>60</v>
      </c>
      <c r="F13" s="41">
        <f t="shared" si="3"/>
        <v>10</v>
      </c>
      <c r="G13" s="250">
        <v>1</v>
      </c>
      <c r="H13" s="250">
        <v>1</v>
      </c>
      <c r="I13" s="250">
        <v>1</v>
      </c>
      <c r="J13" s="250">
        <v>1</v>
      </c>
      <c r="K13" s="250">
        <v>1</v>
      </c>
      <c r="L13" s="250">
        <v>1</v>
      </c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>
        <v>1</v>
      </c>
      <c r="AB13" s="250">
        <v>1</v>
      </c>
      <c r="AC13" s="250">
        <v>1</v>
      </c>
      <c r="AD13" s="250">
        <v>1</v>
      </c>
      <c r="AE13" s="41">
        <f t="shared" si="1"/>
        <v>10</v>
      </c>
      <c r="AF13" s="116" t="s">
        <v>556</v>
      </c>
      <c r="AG13" s="189" t="s">
        <v>675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11" t="s">
        <v>63</v>
      </c>
      <c r="F14" s="41">
        <f t="shared" si="3"/>
        <v>12</v>
      </c>
      <c r="G14" s="250"/>
      <c r="H14" s="250"/>
      <c r="I14" s="250"/>
      <c r="J14" s="250"/>
      <c r="K14" s="250"/>
      <c r="L14" s="250"/>
      <c r="M14" s="250"/>
      <c r="N14" s="250"/>
      <c r="O14" s="250">
        <v>1</v>
      </c>
      <c r="P14" s="250">
        <v>1</v>
      </c>
      <c r="Q14" s="250">
        <v>1</v>
      </c>
      <c r="R14" s="250">
        <v>1</v>
      </c>
      <c r="S14" s="250">
        <v>1</v>
      </c>
      <c r="T14" s="250"/>
      <c r="U14" s="250">
        <v>1</v>
      </c>
      <c r="V14" s="250">
        <v>1</v>
      </c>
      <c r="W14" s="250">
        <v>1</v>
      </c>
      <c r="X14" s="250">
        <v>1</v>
      </c>
      <c r="Y14" s="250">
        <v>1</v>
      </c>
      <c r="Z14" s="250">
        <v>1</v>
      </c>
      <c r="AA14" s="250">
        <v>1</v>
      </c>
      <c r="AB14" s="250"/>
      <c r="AC14" s="250"/>
      <c r="AD14" s="250"/>
      <c r="AE14" s="41">
        <f t="shared" si="1"/>
        <v>12</v>
      </c>
      <c r="AF14" s="116" t="s">
        <v>676</v>
      </c>
      <c r="AG14" s="189" t="s">
        <v>675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68" t="s">
        <v>65</v>
      </c>
      <c r="F15" s="41">
        <f t="shared" si="3"/>
        <v>8</v>
      </c>
      <c r="G15" s="250"/>
      <c r="H15" s="250"/>
      <c r="I15" s="250"/>
      <c r="J15" s="250"/>
      <c r="K15" s="250"/>
      <c r="L15" s="250"/>
      <c r="M15" s="250"/>
      <c r="N15" s="280">
        <v>1</v>
      </c>
      <c r="O15" s="280">
        <v>1</v>
      </c>
      <c r="P15" s="280">
        <v>1</v>
      </c>
      <c r="Q15" s="280">
        <v>1</v>
      </c>
      <c r="R15" s="280">
        <v>1</v>
      </c>
      <c r="S15" s="280">
        <v>1</v>
      </c>
      <c r="T15" s="280">
        <v>1</v>
      </c>
      <c r="U15" s="280">
        <v>1</v>
      </c>
      <c r="V15" s="263"/>
      <c r="W15" s="263"/>
      <c r="X15" s="263"/>
      <c r="Y15" s="263"/>
      <c r="Z15" s="263"/>
      <c r="AA15" s="263"/>
      <c r="AB15" s="263"/>
      <c r="AC15" s="263"/>
      <c r="AD15" s="250"/>
      <c r="AE15" s="41">
        <f t="shared" si="1"/>
        <v>8</v>
      </c>
      <c r="AF15" s="116" t="s">
        <v>288</v>
      </c>
      <c r="AG15" s="189" t="s">
        <v>675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208" t="s">
        <v>71</v>
      </c>
      <c r="F16" s="41">
        <f t="shared" si="3"/>
        <v>12</v>
      </c>
      <c r="G16" s="250"/>
      <c r="H16" s="250"/>
      <c r="I16" s="250"/>
      <c r="J16" s="250"/>
      <c r="K16" s="250"/>
      <c r="L16" s="250"/>
      <c r="M16" s="250">
        <v>1</v>
      </c>
      <c r="N16" s="250">
        <v>1</v>
      </c>
      <c r="O16" s="250">
        <v>1</v>
      </c>
      <c r="P16" s="250">
        <v>1</v>
      </c>
      <c r="Q16" s="250">
        <v>1</v>
      </c>
      <c r="R16" s="250">
        <v>1</v>
      </c>
      <c r="S16" s="250">
        <v>1</v>
      </c>
      <c r="T16" s="250"/>
      <c r="U16" s="250">
        <v>1</v>
      </c>
      <c r="V16" s="250">
        <v>1</v>
      </c>
      <c r="W16" s="250">
        <v>1</v>
      </c>
      <c r="X16" s="250">
        <v>1</v>
      </c>
      <c r="Y16" s="250">
        <v>1</v>
      </c>
      <c r="Z16" s="250"/>
      <c r="AA16" s="250"/>
      <c r="AB16" s="250"/>
      <c r="AC16" s="250"/>
      <c r="AD16" s="250"/>
      <c r="AE16" s="41">
        <f t="shared" si="1"/>
        <v>12</v>
      </c>
      <c r="AF16" s="116" t="s">
        <v>323</v>
      </c>
      <c r="AG16" s="189" t="s">
        <v>675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208" t="s">
        <v>73</v>
      </c>
      <c r="F17" s="41">
        <f t="shared" si="3"/>
        <v>11</v>
      </c>
      <c r="G17" s="250"/>
      <c r="H17" s="250"/>
      <c r="I17" s="250"/>
      <c r="J17" s="250"/>
      <c r="K17" s="250"/>
      <c r="L17" s="250"/>
      <c r="M17" s="250"/>
      <c r="N17" s="250"/>
      <c r="O17" s="250"/>
      <c r="P17" s="250">
        <v>1</v>
      </c>
      <c r="Q17" s="250">
        <v>1</v>
      </c>
      <c r="R17" s="250">
        <v>1</v>
      </c>
      <c r="S17" s="250">
        <v>1</v>
      </c>
      <c r="T17" s="250">
        <v>1</v>
      </c>
      <c r="U17" s="250"/>
      <c r="V17" s="250">
        <v>1</v>
      </c>
      <c r="W17" s="250">
        <v>1</v>
      </c>
      <c r="X17" s="250">
        <v>1</v>
      </c>
      <c r="Y17" s="250">
        <v>1</v>
      </c>
      <c r="Z17" s="250">
        <v>1</v>
      </c>
      <c r="AA17" s="250">
        <v>1</v>
      </c>
      <c r="AB17" s="250"/>
      <c r="AC17" s="250"/>
      <c r="AD17" s="250"/>
      <c r="AE17" s="41">
        <f t="shared" si="1"/>
        <v>11</v>
      </c>
      <c r="AF17" s="116" t="s">
        <v>276</v>
      </c>
      <c r="AG17" s="189" t="s">
        <v>675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3"/>
        <v>1</v>
      </c>
      <c r="G18" s="250">
        <v>1</v>
      </c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41">
        <f t="shared" si="1"/>
        <v>1</v>
      </c>
      <c r="AF18" s="116" t="s">
        <v>412</v>
      </c>
      <c r="AG18" s="189" t="s">
        <v>675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75" t="s">
        <v>83</v>
      </c>
      <c r="F19" s="41">
        <f t="shared" si="3"/>
        <v>10</v>
      </c>
      <c r="G19" s="250"/>
      <c r="H19" s="250"/>
      <c r="I19" s="250"/>
      <c r="J19" s="250"/>
      <c r="K19" s="250"/>
      <c r="L19" s="250"/>
      <c r="M19" s="250"/>
      <c r="N19" s="250"/>
      <c r="O19" s="250">
        <v>1</v>
      </c>
      <c r="P19" s="250">
        <v>1</v>
      </c>
      <c r="Q19" s="250">
        <v>1</v>
      </c>
      <c r="R19" s="250">
        <v>1</v>
      </c>
      <c r="S19" s="250">
        <v>1</v>
      </c>
      <c r="T19" s="250">
        <v>1</v>
      </c>
      <c r="U19" s="250">
        <v>1</v>
      </c>
      <c r="V19" s="250"/>
      <c r="W19" s="250">
        <v>1</v>
      </c>
      <c r="X19" s="250">
        <v>1</v>
      </c>
      <c r="Y19" s="250">
        <v>1</v>
      </c>
      <c r="Z19" s="250"/>
      <c r="AA19" s="250"/>
      <c r="AB19" s="250"/>
      <c r="AC19" s="250"/>
      <c r="AD19" s="250"/>
      <c r="AE19" s="41">
        <f t="shared" si="1"/>
        <v>10</v>
      </c>
      <c r="AF19" s="116" t="s">
        <v>290</v>
      </c>
      <c r="AG19" s="189" t="s">
        <v>675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f t="shared" si="3"/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  <c r="Z20" s="77">
        <v>0</v>
      </c>
      <c r="AA20" s="77">
        <v>0</v>
      </c>
      <c r="AB20" s="77">
        <v>0</v>
      </c>
      <c r="AC20" s="77">
        <v>0</v>
      </c>
      <c r="AD20" s="77">
        <v>0</v>
      </c>
      <c r="AE20" s="41">
        <f t="shared" si="1"/>
        <v>0</v>
      </c>
      <c r="AF20" s="116" t="s">
        <v>225</v>
      </c>
      <c r="AG20" s="189" t="s">
        <v>675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06" t="s">
        <v>91</v>
      </c>
      <c r="F21" s="41">
        <f t="shared" si="3"/>
        <v>9</v>
      </c>
      <c r="G21" s="77"/>
      <c r="H21" s="77"/>
      <c r="I21" s="77"/>
      <c r="J21" s="77"/>
      <c r="K21" s="77"/>
      <c r="L21" s="77"/>
      <c r="M21" s="250">
        <v>1</v>
      </c>
      <c r="N21" s="250">
        <v>1</v>
      </c>
      <c r="O21" s="250">
        <v>1</v>
      </c>
      <c r="P21" s="250">
        <v>1</v>
      </c>
      <c r="Q21" s="250">
        <v>1</v>
      </c>
      <c r="R21" s="250">
        <v>1</v>
      </c>
      <c r="S21" s="250">
        <v>1</v>
      </c>
      <c r="T21" s="250"/>
      <c r="U21" s="250">
        <v>1</v>
      </c>
      <c r="V21" s="250">
        <v>1</v>
      </c>
      <c r="W21" s="250"/>
      <c r="X21" s="250"/>
      <c r="Y21" s="77"/>
      <c r="Z21" s="77"/>
      <c r="AA21" s="77"/>
      <c r="AB21" s="77"/>
      <c r="AC21" s="77"/>
      <c r="AD21" s="77"/>
      <c r="AE21" s="41">
        <f t="shared" si="1"/>
        <v>9</v>
      </c>
      <c r="AF21" s="116" t="s">
        <v>314</v>
      </c>
      <c r="AG21" s="189" t="s">
        <v>675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07" t="s">
        <v>93</v>
      </c>
      <c r="F22" s="41">
        <f t="shared" si="3"/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  <c r="Z22" s="77">
        <v>0</v>
      </c>
      <c r="AA22" s="77">
        <v>0</v>
      </c>
      <c r="AB22" s="77">
        <v>0</v>
      </c>
      <c r="AC22" s="77">
        <v>0</v>
      </c>
      <c r="AD22" s="77">
        <v>0</v>
      </c>
      <c r="AE22" s="41">
        <f t="shared" si="1"/>
        <v>0</v>
      </c>
      <c r="AF22" s="116" t="s">
        <v>225</v>
      </c>
      <c r="AG22" s="189" t="s">
        <v>675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68" t="s">
        <v>95</v>
      </c>
      <c r="F23" s="41">
        <f t="shared" si="3"/>
        <v>9</v>
      </c>
      <c r="G23" s="77"/>
      <c r="H23" s="77"/>
      <c r="I23" s="77"/>
      <c r="J23" s="77"/>
      <c r="K23" s="77"/>
      <c r="L23" s="77"/>
      <c r="M23" s="250">
        <v>1</v>
      </c>
      <c r="N23" s="250">
        <v>1</v>
      </c>
      <c r="O23" s="250">
        <v>1</v>
      </c>
      <c r="P23" s="250">
        <v>1</v>
      </c>
      <c r="Q23" s="250">
        <v>1</v>
      </c>
      <c r="R23" s="250">
        <v>1</v>
      </c>
      <c r="S23" s="250">
        <v>1</v>
      </c>
      <c r="T23" s="250"/>
      <c r="U23" s="250">
        <v>1</v>
      </c>
      <c r="V23" s="250">
        <v>1</v>
      </c>
      <c r="W23" s="77"/>
      <c r="X23" s="77"/>
      <c r="Y23" s="77"/>
      <c r="Z23" s="77"/>
      <c r="AA23" s="77"/>
      <c r="AB23" s="77"/>
      <c r="AC23" s="77"/>
      <c r="AD23" s="77"/>
      <c r="AE23" s="41">
        <f t="shared" si="1"/>
        <v>9</v>
      </c>
      <c r="AF23" s="116" t="s">
        <v>314</v>
      </c>
      <c r="AG23" s="189" t="s">
        <v>675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11" t="s">
        <v>99</v>
      </c>
      <c r="F24" s="41">
        <f t="shared" si="3"/>
        <v>11</v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>
        <v>1</v>
      </c>
      <c r="Q24" s="250">
        <v>1</v>
      </c>
      <c r="R24" s="250">
        <v>1</v>
      </c>
      <c r="S24" s="250">
        <v>1</v>
      </c>
      <c r="T24" s="250">
        <v>1</v>
      </c>
      <c r="U24" s="250">
        <v>1</v>
      </c>
      <c r="V24" s="250">
        <v>1</v>
      </c>
      <c r="W24" s="250">
        <v>1</v>
      </c>
      <c r="X24" s="250">
        <v>1</v>
      </c>
      <c r="Y24" s="250">
        <v>1</v>
      </c>
      <c r="Z24" s="250">
        <v>1</v>
      </c>
      <c r="AA24" s="250"/>
      <c r="AB24" s="250"/>
      <c r="AC24" s="250"/>
      <c r="AD24" s="250"/>
      <c r="AE24" s="41">
        <f t="shared" si="1"/>
        <v>11</v>
      </c>
      <c r="AF24" s="116" t="s">
        <v>164</v>
      </c>
      <c r="AG24" s="189" t="s">
        <v>675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11" t="s">
        <v>102</v>
      </c>
      <c r="F25" s="41">
        <f t="shared" si="3"/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  <c r="Z25" s="77">
        <v>0</v>
      </c>
      <c r="AA25" s="77">
        <v>0</v>
      </c>
      <c r="AB25" s="77">
        <v>0</v>
      </c>
      <c r="AC25" s="77">
        <v>0</v>
      </c>
      <c r="AD25" s="77">
        <v>0</v>
      </c>
      <c r="AE25" s="41">
        <f t="shared" si="1"/>
        <v>0</v>
      </c>
      <c r="AF25" s="116" t="s">
        <v>225</v>
      </c>
      <c r="AG25" s="189" t="s">
        <v>675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7" t="s">
        <v>104</v>
      </c>
      <c r="F26" s="41">
        <f t="shared" si="3"/>
        <v>9</v>
      </c>
      <c r="G26" s="250"/>
      <c r="H26" s="250"/>
      <c r="I26" s="250"/>
      <c r="J26" s="250"/>
      <c r="K26" s="250"/>
      <c r="L26" s="250"/>
      <c r="M26" s="250"/>
      <c r="N26" s="250">
        <v>1</v>
      </c>
      <c r="O26" s="250">
        <v>1</v>
      </c>
      <c r="P26" s="250">
        <v>1</v>
      </c>
      <c r="Q26" s="250">
        <v>1</v>
      </c>
      <c r="R26" s="250">
        <v>1</v>
      </c>
      <c r="S26" s="250">
        <v>1</v>
      </c>
      <c r="T26" s="250"/>
      <c r="U26" s="250">
        <v>1</v>
      </c>
      <c r="V26" s="250">
        <v>1</v>
      </c>
      <c r="W26" s="250">
        <v>1</v>
      </c>
      <c r="X26" s="250"/>
      <c r="Y26" s="250"/>
      <c r="Z26" s="250"/>
      <c r="AA26" s="250"/>
      <c r="AB26" s="250"/>
      <c r="AC26" s="250"/>
      <c r="AD26" s="250"/>
      <c r="AE26" s="41">
        <f t="shared" si="1"/>
        <v>9</v>
      </c>
      <c r="AF26" s="116" t="s">
        <v>272</v>
      </c>
      <c r="AG26" s="189" t="s">
        <v>675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7" t="s">
        <v>333</v>
      </c>
      <c r="F27" s="41">
        <f t="shared" si="3"/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  <c r="Z27" s="77">
        <v>0</v>
      </c>
      <c r="AA27" s="77">
        <v>0</v>
      </c>
      <c r="AB27" s="77">
        <v>0</v>
      </c>
      <c r="AC27" s="77">
        <v>0</v>
      </c>
      <c r="AD27" s="77">
        <v>0</v>
      </c>
      <c r="AE27" s="41">
        <f t="shared" si="1"/>
        <v>0</v>
      </c>
      <c r="AF27" s="116" t="s">
        <v>225</v>
      </c>
      <c r="AG27" s="189" t="s">
        <v>675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07" t="s">
        <v>172</v>
      </c>
      <c r="F28" s="41">
        <f t="shared" si="3"/>
        <v>10</v>
      </c>
      <c r="G28" s="250"/>
      <c r="H28" s="250"/>
      <c r="I28" s="250"/>
      <c r="J28" s="250"/>
      <c r="K28" s="250"/>
      <c r="L28" s="250"/>
      <c r="M28" s="250"/>
      <c r="N28" s="250"/>
      <c r="O28" s="250"/>
      <c r="P28" s="250">
        <v>1</v>
      </c>
      <c r="Q28" s="250">
        <v>1</v>
      </c>
      <c r="R28" s="250">
        <v>1</v>
      </c>
      <c r="S28" s="250"/>
      <c r="T28" s="250">
        <v>1</v>
      </c>
      <c r="U28" s="250">
        <v>1</v>
      </c>
      <c r="V28" s="250">
        <v>1</v>
      </c>
      <c r="W28" s="250">
        <v>1</v>
      </c>
      <c r="X28" s="250">
        <v>1</v>
      </c>
      <c r="Y28" s="250">
        <v>1</v>
      </c>
      <c r="Z28" s="250">
        <v>1</v>
      </c>
      <c r="AA28" s="250"/>
      <c r="AB28" s="250"/>
      <c r="AC28" s="250"/>
      <c r="AD28" s="250"/>
      <c r="AE28" s="41">
        <f t="shared" si="1"/>
        <v>10</v>
      </c>
      <c r="AF28" s="116" t="s">
        <v>677</v>
      </c>
      <c r="AG28" s="189" t="s">
        <v>675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68" t="s">
        <v>106</v>
      </c>
      <c r="F29" s="41">
        <f t="shared" si="3"/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  <c r="Z29" s="77">
        <v>0</v>
      </c>
      <c r="AA29" s="77">
        <v>0</v>
      </c>
      <c r="AB29" s="77">
        <v>0</v>
      </c>
      <c r="AC29" s="77">
        <v>0</v>
      </c>
      <c r="AD29" s="77">
        <v>0</v>
      </c>
      <c r="AE29" s="41">
        <f t="shared" si="1"/>
        <v>0</v>
      </c>
      <c r="AF29" s="116" t="s">
        <v>225</v>
      </c>
      <c r="AG29" s="189" t="s">
        <v>675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7" t="s">
        <v>112</v>
      </c>
      <c r="F30" s="41">
        <f t="shared" si="3"/>
        <v>8</v>
      </c>
      <c r="G30" s="250"/>
      <c r="H30" s="250"/>
      <c r="I30" s="250"/>
      <c r="J30" s="250"/>
      <c r="K30" s="250"/>
      <c r="L30" s="250"/>
      <c r="M30" s="250"/>
      <c r="N30" s="250">
        <v>1</v>
      </c>
      <c r="O30" s="250">
        <v>1</v>
      </c>
      <c r="P30" s="250">
        <v>1</v>
      </c>
      <c r="Q30" s="250">
        <v>1</v>
      </c>
      <c r="R30" s="250">
        <v>1</v>
      </c>
      <c r="S30" s="250">
        <v>1</v>
      </c>
      <c r="T30" s="250">
        <v>1</v>
      </c>
      <c r="U30" s="250">
        <v>1</v>
      </c>
      <c r="V30" s="250"/>
      <c r="W30" s="250"/>
      <c r="X30" s="250"/>
      <c r="Y30" s="250"/>
      <c r="Z30" s="250"/>
      <c r="AA30" s="250"/>
      <c r="AB30" s="250"/>
      <c r="AC30" s="250"/>
      <c r="AD30" s="250"/>
      <c r="AE30" s="41">
        <f t="shared" si="1"/>
        <v>8</v>
      </c>
      <c r="AF30" s="116" t="s">
        <v>288</v>
      </c>
      <c r="AG30" s="189" t="s">
        <v>675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07" t="s">
        <v>116</v>
      </c>
      <c r="F31" s="41">
        <f t="shared" si="3"/>
        <v>7</v>
      </c>
      <c r="G31" s="250">
        <v>1</v>
      </c>
      <c r="H31" s="250">
        <v>1</v>
      </c>
      <c r="I31" s="250">
        <v>1</v>
      </c>
      <c r="J31" s="250">
        <v>1</v>
      </c>
      <c r="K31" s="250">
        <v>1</v>
      </c>
      <c r="L31" s="250">
        <v>1</v>
      </c>
      <c r="M31" s="250">
        <v>1</v>
      </c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41">
        <f t="shared" si="1"/>
        <v>7</v>
      </c>
      <c r="AF31" s="116" t="s">
        <v>624</v>
      </c>
      <c r="AG31" s="189" t="s">
        <v>675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7" t="s">
        <v>121</v>
      </c>
      <c r="F32" s="41">
        <f t="shared" si="3"/>
        <v>11</v>
      </c>
      <c r="G32" s="250">
        <v>1</v>
      </c>
      <c r="H32" s="250">
        <v>1</v>
      </c>
      <c r="I32" s="250">
        <v>1</v>
      </c>
      <c r="J32" s="250">
        <v>1</v>
      </c>
      <c r="K32" s="250">
        <v>1</v>
      </c>
      <c r="L32" s="250">
        <v>1</v>
      </c>
      <c r="M32" s="250">
        <v>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>
        <v>1</v>
      </c>
      <c r="AB32" s="250">
        <v>1</v>
      </c>
      <c r="AC32" s="250">
        <v>1</v>
      </c>
      <c r="AD32" s="250">
        <v>1</v>
      </c>
      <c r="AE32" s="41">
        <f t="shared" si="1"/>
        <v>11</v>
      </c>
      <c r="AF32" s="116" t="s">
        <v>424</v>
      </c>
      <c r="AG32" s="189" t="s">
        <v>675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8" t="s">
        <v>123</v>
      </c>
      <c r="F33" s="41">
        <f t="shared" si="3"/>
        <v>0</v>
      </c>
      <c r="G33" s="250"/>
      <c r="H33" s="250"/>
      <c r="I33" s="250"/>
      <c r="J33" s="250"/>
      <c r="K33" s="250"/>
      <c r="L33" s="250"/>
      <c r="M33" s="250"/>
      <c r="N33" s="250"/>
      <c r="O33" s="250"/>
      <c r="P33" s="579" t="s">
        <v>187</v>
      </c>
      <c r="Q33" s="555"/>
      <c r="R33" s="555"/>
      <c r="S33" s="555"/>
      <c r="T33" s="555"/>
      <c r="U33" s="555"/>
      <c r="V33" s="555"/>
      <c r="W33" s="555"/>
      <c r="X33" s="555"/>
      <c r="Y33" s="555"/>
      <c r="Z33" s="542"/>
      <c r="AA33" s="250"/>
      <c r="AB33" s="250"/>
      <c r="AC33" s="250"/>
      <c r="AD33" s="250"/>
      <c r="AE33" s="41">
        <v>11</v>
      </c>
      <c r="AF33" s="116" t="s">
        <v>164</v>
      </c>
      <c r="AG33" s="189" t="s">
        <v>675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7" t="s">
        <v>125</v>
      </c>
      <c r="F34" s="41">
        <f t="shared" si="3"/>
        <v>4</v>
      </c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>
        <v>1</v>
      </c>
      <c r="AB34" s="250">
        <v>1</v>
      </c>
      <c r="AC34" s="250">
        <v>1</v>
      </c>
      <c r="AD34" s="250">
        <v>1</v>
      </c>
      <c r="AE34" s="41">
        <f t="shared" ref="AE34:AE38" si="4">SUM(G34:AD34)</f>
        <v>4</v>
      </c>
      <c r="AF34" s="116" t="s">
        <v>443</v>
      </c>
      <c r="AG34" s="189" t="s">
        <v>675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72" t="s">
        <v>127</v>
      </c>
      <c r="F35" s="41">
        <f t="shared" si="3"/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0</v>
      </c>
      <c r="X35" s="77">
        <v>0</v>
      </c>
      <c r="Y35" s="77">
        <v>0</v>
      </c>
      <c r="Z35" s="77">
        <v>0</v>
      </c>
      <c r="AA35" s="77">
        <v>0</v>
      </c>
      <c r="AB35" s="77">
        <v>0</v>
      </c>
      <c r="AC35" s="77">
        <v>0</v>
      </c>
      <c r="AD35" s="77">
        <v>0</v>
      </c>
      <c r="AE35" s="41">
        <f t="shared" si="4"/>
        <v>0</v>
      </c>
      <c r="AF35" s="116" t="s">
        <v>225</v>
      </c>
      <c r="AG35" s="189" t="s">
        <v>675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07" t="s">
        <v>129</v>
      </c>
      <c r="F36" s="41">
        <f t="shared" si="3"/>
        <v>11</v>
      </c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>
        <v>1</v>
      </c>
      <c r="S36" s="250">
        <v>1</v>
      </c>
      <c r="T36" s="250">
        <v>1</v>
      </c>
      <c r="U36" s="250">
        <v>1</v>
      </c>
      <c r="V36" s="250"/>
      <c r="W36" s="250">
        <v>1</v>
      </c>
      <c r="X36" s="250">
        <v>1</v>
      </c>
      <c r="Y36" s="250">
        <v>1</v>
      </c>
      <c r="Z36" s="250">
        <v>1</v>
      </c>
      <c r="AA36" s="250">
        <v>1</v>
      </c>
      <c r="AB36" s="250">
        <v>1</v>
      </c>
      <c r="AC36" s="250">
        <v>1</v>
      </c>
      <c r="AD36" s="250"/>
      <c r="AE36" s="41">
        <f t="shared" si="4"/>
        <v>11</v>
      </c>
      <c r="AF36" s="116" t="s">
        <v>250</v>
      </c>
      <c r="AG36" s="189" t="s">
        <v>675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11" t="s">
        <v>131</v>
      </c>
      <c r="F37" s="41">
        <f t="shared" si="3"/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41">
        <f t="shared" si="4"/>
        <v>0</v>
      </c>
      <c r="AF37" s="116" t="s">
        <v>225</v>
      </c>
      <c r="AG37" s="189" t="s">
        <v>675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72" t="s">
        <v>50</v>
      </c>
      <c r="F38" s="41">
        <f t="shared" si="3"/>
        <v>13</v>
      </c>
      <c r="G38" s="250"/>
      <c r="H38" s="250"/>
      <c r="I38" s="250"/>
      <c r="J38" s="250"/>
      <c r="K38" s="250"/>
      <c r="L38" s="250"/>
      <c r="M38" s="250"/>
      <c r="N38" s="250"/>
      <c r="O38" s="250"/>
      <c r="P38" s="250">
        <v>1</v>
      </c>
      <c r="Q38" s="250">
        <v>1</v>
      </c>
      <c r="R38" s="250">
        <v>1</v>
      </c>
      <c r="S38" s="250">
        <v>1</v>
      </c>
      <c r="T38" s="250">
        <v>1</v>
      </c>
      <c r="U38" s="250">
        <v>1</v>
      </c>
      <c r="V38" s="250">
        <v>1</v>
      </c>
      <c r="W38" s="250">
        <v>1</v>
      </c>
      <c r="X38" s="250"/>
      <c r="Y38" s="250">
        <v>1</v>
      </c>
      <c r="Z38" s="250">
        <v>1</v>
      </c>
      <c r="AA38" s="250">
        <v>1</v>
      </c>
      <c r="AB38" s="250">
        <v>1</v>
      </c>
      <c r="AC38" s="250">
        <v>1</v>
      </c>
      <c r="AD38" s="250"/>
      <c r="AE38" s="41">
        <f t="shared" si="4"/>
        <v>13</v>
      </c>
      <c r="AF38" s="116" t="s">
        <v>483</v>
      </c>
      <c r="AG38" s="189" t="s">
        <v>675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72" t="s">
        <v>135</v>
      </c>
      <c r="F39" s="41">
        <f t="shared" si="3"/>
        <v>0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583" t="s">
        <v>209</v>
      </c>
      <c r="W39" s="555"/>
      <c r="X39" s="555"/>
      <c r="Y39" s="555"/>
      <c r="Z39" s="555"/>
      <c r="AA39" s="555"/>
      <c r="AB39" s="555"/>
      <c r="AC39" s="542"/>
      <c r="AD39" s="250"/>
      <c r="AE39" s="41">
        <v>8</v>
      </c>
      <c r="AF39" s="116" t="s">
        <v>218</v>
      </c>
      <c r="AG39" s="189" t="s">
        <v>675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72" t="s">
        <v>140</v>
      </c>
      <c r="F40" s="41">
        <f t="shared" si="3"/>
        <v>0</v>
      </c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583" t="s">
        <v>209</v>
      </c>
      <c r="W40" s="555"/>
      <c r="X40" s="555"/>
      <c r="Y40" s="555"/>
      <c r="Z40" s="555"/>
      <c r="AA40" s="555"/>
      <c r="AB40" s="555"/>
      <c r="AC40" s="542"/>
      <c r="AD40" s="250"/>
      <c r="AE40" s="41">
        <v>8</v>
      </c>
      <c r="AF40" s="116" t="s">
        <v>218</v>
      </c>
      <c r="AG40" s="189" t="s">
        <v>675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7" t="s">
        <v>118</v>
      </c>
      <c r="F41" s="41">
        <f t="shared" si="3"/>
        <v>11</v>
      </c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>
        <v>1</v>
      </c>
      <c r="S41" s="250">
        <v>1</v>
      </c>
      <c r="T41" s="250">
        <v>1</v>
      </c>
      <c r="U41" s="250"/>
      <c r="V41" s="250">
        <v>1</v>
      </c>
      <c r="W41" s="250">
        <v>1</v>
      </c>
      <c r="X41" s="250">
        <v>1</v>
      </c>
      <c r="Y41" s="250">
        <v>1</v>
      </c>
      <c r="Z41" s="250">
        <v>1</v>
      </c>
      <c r="AA41" s="250">
        <v>1</v>
      </c>
      <c r="AB41" s="250">
        <v>1</v>
      </c>
      <c r="AC41" s="250">
        <v>1</v>
      </c>
      <c r="AD41" s="250"/>
      <c r="AE41" s="41">
        <f t="shared" ref="AE41:AE57" si="5">SUM(G41:AD41)</f>
        <v>11</v>
      </c>
      <c r="AF41" s="116" t="s">
        <v>318</v>
      </c>
      <c r="AG41" s="189" t="s">
        <v>675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72" t="s">
        <v>143</v>
      </c>
      <c r="F42" s="41">
        <f t="shared" si="3"/>
        <v>0</v>
      </c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586" t="s">
        <v>205</v>
      </c>
      <c r="W42" s="555"/>
      <c r="X42" s="555"/>
      <c r="Y42" s="555"/>
      <c r="Z42" s="555"/>
      <c r="AA42" s="555"/>
      <c r="AB42" s="555"/>
      <c r="AC42" s="542"/>
      <c r="AD42" s="250"/>
      <c r="AE42" s="41">
        <f t="shared" si="5"/>
        <v>0</v>
      </c>
      <c r="AF42" s="116" t="s">
        <v>218</v>
      </c>
      <c r="AG42" s="189" t="s">
        <v>675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5" t="s">
        <v>455</v>
      </c>
      <c r="F43" s="41">
        <f t="shared" si="3"/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0</v>
      </c>
      <c r="X43" s="77">
        <v>0</v>
      </c>
      <c r="Y43" s="77">
        <v>0</v>
      </c>
      <c r="Z43" s="77">
        <v>0</v>
      </c>
      <c r="AA43" s="77">
        <v>0</v>
      </c>
      <c r="AB43" s="77">
        <v>0</v>
      </c>
      <c r="AC43" s="77">
        <v>0</v>
      </c>
      <c r="AD43" s="77">
        <v>0</v>
      </c>
      <c r="AE43" s="41">
        <f t="shared" si="5"/>
        <v>0</v>
      </c>
      <c r="AF43" s="116" t="s">
        <v>225</v>
      </c>
      <c r="AG43" s="189" t="s">
        <v>675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5" t="s">
        <v>457</v>
      </c>
      <c r="F44" s="41">
        <f t="shared" si="3"/>
        <v>9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>
        <v>1</v>
      </c>
      <c r="R44" s="250">
        <v>1</v>
      </c>
      <c r="S44" s="250">
        <v>1</v>
      </c>
      <c r="T44" s="250">
        <v>1</v>
      </c>
      <c r="U44" s="250">
        <v>1</v>
      </c>
      <c r="V44" s="250"/>
      <c r="W44" s="250">
        <v>1</v>
      </c>
      <c r="X44" s="250">
        <v>1</v>
      </c>
      <c r="Y44" s="250">
        <v>1</v>
      </c>
      <c r="Z44" s="250">
        <v>1</v>
      </c>
      <c r="AA44" s="250"/>
      <c r="AB44" s="250"/>
      <c r="AC44" s="250"/>
      <c r="AD44" s="250"/>
      <c r="AE44" s="41">
        <f t="shared" si="5"/>
        <v>9</v>
      </c>
      <c r="AF44" s="116" t="s">
        <v>671</v>
      </c>
      <c r="AG44" s="189" t="s">
        <v>675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5" t="s">
        <v>460</v>
      </c>
      <c r="F45" s="41">
        <f t="shared" si="3"/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  <c r="Z45" s="77">
        <v>0</v>
      </c>
      <c r="AA45" s="77">
        <v>0</v>
      </c>
      <c r="AB45" s="77">
        <v>0</v>
      </c>
      <c r="AC45" s="77">
        <v>0</v>
      </c>
      <c r="AD45" s="77">
        <v>0</v>
      </c>
      <c r="AE45" s="41">
        <f t="shared" si="5"/>
        <v>0</v>
      </c>
      <c r="AF45" s="116" t="s">
        <v>225</v>
      </c>
      <c r="AG45" s="189" t="s">
        <v>675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15" t="s">
        <v>478</v>
      </c>
      <c r="F46" s="41">
        <f t="shared" si="3"/>
        <v>9</v>
      </c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>
        <v>1</v>
      </c>
      <c r="S46" s="250">
        <v>1</v>
      </c>
      <c r="T46" s="250">
        <v>1</v>
      </c>
      <c r="U46" s="250"/>
      <c r="V46" s="250">
        <v>1</v>
      </c>
      <c r="W46" s="250">
        <v>1</v>
      </c>
      <c r="X46" s="250">
        <v>1</v>
      </c>
      <c r="Y46" s="250">
        <v>1</v>
      </c>
      <c r="Z46" s="250">
        <v>1</v>
      </c>
      <c r="AA46" s="250">
        <v>1</v>
      </c>
      <c r="AB46" s="250"/>
      <c r="AC46" s="250"/>
      <c r="AD46" s="250"/>
      <c r="AE46" s="41">
        <f t="shared" si="5"/>
        <v>9</v>
      </c>
      <c r="AF46" s="116" t="s">
        <v>240</v>
      </c>
      <c r="AG46" s="189" t="s">
        <v>675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5" t="s">
        <v>461</v>
      </c>
      <c r="F47" s="41">
        <f t="shared" si="3"/>
        <v>0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0</v>
      </c>
      <c r="Z47" s="77">
        <v>0</v>
      </c>
      <c r="AA47" s="77">
        <v>0</v>
      </c>
      <c r="AB47" s="77">
        <v>0</v>
      </c>
      <c r="AC47" s="77">
        <v>0</v>
      </c>
      <c r="AD47" s="77">
        <v>0</v>
      </c>
      <c r="AE47" s="41">
        <f t="shared" si="5"/>
        <v>0</v>
      </c>
      <c r="AF47" s="116" t="s">
        <v>225</v>
      </c>
      <c r="AG47" s="189" t="s">
        <v>675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5" t="s">
        <v>463</v>
      </c>
      <c r="F48" s="41">
        <f t="shared" si="3"/>
        <v>8</v>
      </c>
      <c r="G48" s="250"/>
      <c r="H48" s="250"/>
      <c r="I48" s="250"/>
      <c r="J48" s="250"/>
      <c r="K48" s="250"/>
      <c r="L48" s="250"/>
      <c r="M48" s="250">
        <v>1</v>
      </c>
      <c r="N48" s="250">
        <v>1</v>
      </c>
      <c r="O48" s="250">
        <v>1</v>
      </c>
      <c r="P48" s="250">
        <v>1</v>
      </c>
      <c r="Q48" s="250">
        <v>1</v>
      </c>
      <c r="R48" s="250">
        <v>1</v>
      </c>
      <c r="S48" s="250">
        <v>1</v>
      </c>
      <c r="T48" s="250">
        <v>1</v>
      </c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41">
        <f t="shared" si="5"/>
        <v>8</v>
      </c>
      <c r="AF48" s="116" t="s">
        <v>252</v>
      </c>
      <c r="AG48" s="189" t="s">
        <v>675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5" t="s">
        <v>465</v>
      </c>
      <c r="F49" s="41">
        <f t="shared" si="3"/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  <c r="Z49" s="77">
        <v>0</v>
      </c>
      <c r="AA49" s="77">
        <v>0</v>
      </c>
      <c r="AB49" s="77">
        <v>0</v>
      </c>
      <c r="AC49" s="77">
        <v>0</v>
      </c>
      <c r="AD49" s="77">
        <v>0</v>
      </c>
      <c r="AE49" s="41">
        <f t="shared" si="5"/>
        <v>0</v>
      </c>
      <c r="AF49" s="116" t="s">
        <v>225</v>
      </c>
      <c r="AG49" s="189" t="s">
        <v>675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5" t="s">
        <v>466</v>
      </c>
      <c r="F50" s="41">
        <f t="shared" si="3"/>
        <v>7</v>
      </c>
      <c r="G50" s="250"/>
      <c r="H50" s="250"/>
      <c r="I50" s="250"/>
      <c r="J50" s="250"/>
      <c r="K50" s="250"/>
      <c r="L50" s="250"/>
      <c r="M50" s="250">
        <v>1</v>
      </c>
      <c r="N50" s="250">
        <v>1</v>
      </c>
      <c r="O50" s="250">
        <v>1</v>
      </c>
      <c r="P50" s="250">
        <v>1</v>
      </c>
      <c r="Q50" s="250">
        <v>1</v>
      </c>
      <c r="R50" s="250">
        <v>1</v>
      </c>
      <c r="S50" s="250">
        <v>1</v>
      </c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41">
        <f t="shared" si="5"/>
        <v>7</v>
      </c>
      <c r="AF50" s="116" t="s">
        <v>379</v>
      </c>
      <c r="AG50" s="189" t="s">
        <v>675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5" t="s">
        <v>467</v>
      </c>
      <c r="F51" s="41">
        <f t="shared" si="3"/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  <c r="Z51" s="77">
        <v>0</v>
      </c>
      <c r="AA51" s="77">
        <v>0</v>
      </c>
      <c r="AB51" s="77">
        <v>0</v>
      </c>
      <c r="AC51" s="77">
        <v>0</v>
      </c>
      <c r="AD51" s="77">
        <v>0</v>
      </c>
      <c r="AE51" s="41">
        <f t="shared" si="5"/>
        <v>0</v>
      </c>
      <c r="AF51" s="116" t="s">
        <v>225</v>
      </c>
      <c r="AG51" s="189" t="s">
        <v>675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5" t="s">
        <v>491</v>
      </c>
      <c r="F52" s="41">
        <f t="shared" si="3"/>
        <v>8</v>
      </c>
      <c r="G52" s="250"/>
      <c r="H52" s="250"/>
      <c r="I52" s="250"/>
      <c r="J52" s="250"/>
      <c r="K52" s="250"/>
      <c r="L52" s="250"/>
      <c r="M52" s="250"/>
      <c r="N52" s="250"/>
      <c r="O52" s="250"/>
      <c r="P52" s="250">
        <v>1</v>
      </c>
      <c r="Q52" s="250">
        <v>1</v>
      </c>
      <c r="R52" s="250">
        <v>1</v>
      </c>
      <c r="S52" s="250"/>
      <c r="T52" s="250">
        <v>1</v>
      </c>
      <c r="U52" s="250">
        <v>1</v>
      </c>
      <c r="V52" s="250">
        <v>1</v>
      </c>
      <c r="W52" s="250">
        <v>1</v>
      </c>
      <c r="X52" s="250">
        <v>1</v>
      </c>
      <c r="Y52" s="250"/>
      <c r="Z52" s="250"/>
      <c r="AA52" s="250"/>
      <c r="AB52" s="250"/>
      <c r="AC52" s="250"/>
      <c r="AD52" s="250"/>
      <c r="AE52" s="41">
        <f t="shared" si="5"/>
        <v>8</v>
      </c>
      <c r="AF52" s="116" t="s">
        <v>391</v>
      </c>
      <c r="AG52" s="189" t="s">
        <v>675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5" t="s">
        <v>493</v>
      </c>
      <c r="F53" s="41">
        <f t="shared" si="3"/>
        <v>0</v>
      </c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  <c r="AE53" s="41">
        <f t="shared" si="5"/>
        <v>0</v>
      </c>
      <c r="AF53" s="116" t="s">
        <v>652</v>
      </c>
      <c r="AG53" s="189" t="s">
        <v>675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5" t="s">
        <v>469</v>
      </c>
      <c r="F54" s="41">
        <f t="shared" si="3"/>
        <v>8</v>
      </c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>
        <v>1</v>
      </c>
      <c r="W54" s="250">
        <v>1</v>
      </c>
      <c r="X54" s="250">
        <v>1</v>
      </c>
      <c r="Y54" s="250">
        <v>1</v>
      </c>
      <c r="Z54" s="250">
        <v>1</v>
      </c>
      <c r="AA54" s="250">
        <v>1</v>
      </c>
      <c r="AB54" s="250">
        <v>1</v>
      </c>
      <c r="AC54" s="250">
        <v>1</v>
      </c>
      <c r="AD54" s="250"/>
      <c r="AE54" s="41">
        <f t="shared" si="5"/>
        <v>8</v>
      </c>
      <c r="AF54" s="116" t="s">
        <v>571</v>
      </c>
      <c r="AG54" s="189" t="s">
        <v>675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5" t="s">
        <v>495</v>
      </c>
      <c r="F55" s="41">
        <f t="shared" si="3"/>
        <v>0</v>
      </c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261"/>
      <c r="AB55" s="261"/>
      <c r="AC55" s="261"/>
      <c r="AD55" s="261"/>
      <c r="AE55" s="41">
        <f t="shared" si="5"/>
        <v>0</v>
      </c>
      <c r="AF55" s="116" t="s">
        <v>652</v>
      </c>
      <c r="AG55" s="189" t="s">
        <v>675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5" t="s">
        <v>497</v>
      </c>
      <c r="F56" s="41">
        <f t="shared" si="3"/>
        <v>8</v>
      </c>
      <c r="G56" s="250"/>
      <c r="H56" s="250"/>
      <c r="I56" s="250"/>
      <c r="J56" s="250"/>
      <c r="K56" s="250"/>
      <c r="L56" s="250"/>
      <c r="M56" s="250"/>
      <c r="N56" s="250">
        <v>1</v>
      </c>
      <c r="O56" s="250">
        <v>1</v>
      </c>
      <c r="P56" s="250">
        <v>1</v>
      </c>
      <c r="Q56" s="250">
        <v>1</v>
      </c>
      <c r="R56" s="250">
        <v>1</v>
      </c>
      <c r="S56" s="250">
        <v>1</v>
      </c>
      <c r="T56" s="250">
        <v>1</v>
      </c>
      <c r="U56" s="250">
        <v>1</v>
      </c>
      <c r="V56" s="250"/>
      <c r="W56" s="250"/>
      <c r="X56" s="250"/>
      <c r="Y56" s="250"/>
      <c r="Z56" s="250"/>
      <c r="AA56" s="250"/>
      <c r="AB56" s="250"/>
      <c r="AC56" s="250"/>
      <c r="AD56" s="250"/>
      <c r="AE56" s="41">
        <f t="shared" si="5"/>
        <v>8</v>
      </c>
      <c r="AF56" s="116" t="s">
        <v>288</v>
      </c>
      <c r="AG56" s="189" t="s">
        <v>675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f t="shared" si="3"/>
        <v>0</v>
      </c>
      <c r="G57" s="77">
        <v>0</v>
      </c>
      <c r="H57" s="77">
        <v>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0</v>
      </c>
      <c r="Z57" s="77">
        <v>0</v>
      </c>
      <c r="AA57" s="77">
        <v>0</v>
      </c>
      <c r="AB57" s="77">
        <v>0</v>
      </c>
      <c r="AC57" s="77">
        <v>0</v>
      </c>
      <c r="AD57" s="77">
        <v>0</v>
      </c>
      <c r="AE57" s="41">
        <f t="shared" si="5"/>
        <v>0</v>
      </c>
      <c r="AF57" s="116" t="s">
        <v>225</v>
      </c>
      <c r="AG57" s="189" t="s">
        <v>675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f t="shared" si="3"/>
        <v>0</v>
      </c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577" t="s">
        <v>292</v>
      </c>
      <c r="W58" s="555"/>
      <c r="X58" s="555"/>
      <c r="Y58" s="555"/>
      <c r="Z58" s="555"/>
      <c r="AA58" s="555"/>
      <c r="AB58" s="555"/>
      <c r="AC58" s="555"/>
      <c r="AD58" s="77"/>
      <c r="AE58" s="41">
        <v>8</v>
      </c>
      <c r="AF58" s="116" t="s">
        <v>218</v>
      </c>
      <c r="AG58" s="189" t="s">
        <v>675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f t="shared" si="3"/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42"/>
      <c r="Z59" s="201"/>
      <c r="AA59" s="42"/>
      <c r="AB59" s="42"/>
      <c r="AC59" s="42"/>
      <c r="AD59" s="42"/>
      <c r="AE59" s="41">
        <v>12</v>
      </c>
      <c r="AF59" s="116" t="s">
        <v>66</v>
      </c>
      <c r="AG59" s="189" t="s">
        <v>675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34">
        <v>3</v>
      </c>
      <c r="N62" s="234">
        <v>3</v>
      </c>
      <c r="O62" s="56">
        <v>5</v>
      </c>
      <c r="P62" s="136">
        <v>7</v>
      </c>
      <c r="Q62" s="136">
        <v>7</v>
      </c>
      <c r="R62" s="136">
        <v>7</v>
      </c>
      <c r="S62" s="144">
        <v>6</v>
      </c>
      <c r="T62" s="144">
        <v>6</v>
      </c>
      <c r="U62" s="144">
        <v>6</v>
      </c>
      <c r="V62" s="144">
        <v>6</v>
      </c>
      <c r="W62" s="144">
        <v>6</v>
      </c>
      <c r="X62" s="56">
        <v>5</v>
      </c>
      <c r="Y62" s="56">
        <v>5</v>
      </c>
      <c r="Z62" s="56">
        <v>5</v>
      </c>
      <c r="AA62" s="242">
        <v>4</v>
      </c>
      <c r="AB62" s="234">
        <v>3</v>
      </c>
      <c r="AC62" s="234">
        <v>3</v>
      </c>
      <c r="AD62" s="12">
        <v>2</v>
      </c>
      <c r="AE62" s="18">
        <f>SUM(G62:AD62)</f>
        <v>101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6">G65-G62</f>
        <v>0</v>
      </c>
      <c r="H63" s="28">
        <f t="shared" si="6"/>
        <v>0</v>
      </c>
      <c r="I63" s="28">
        <f t="shared" si="6"/>
        <v>0</v>
      </c>
      <c r="J63" s="28">
        <f t="shared" si="6"/>
        <v>0</v>
      </c>
      <c r="K63" s="28">
        <f t="shared" si="6"/>
        <v>0</v>
      </c>
      <c r="L63" s="28">
        <f t="shared" si="6"/>
        <v>0</v>
      </c>
      <c r="M63" s="28">
        <f t="shared" si="6"/>
        <v>0</v>
      </c>
      <c r="N63" s="28">
        <f t="shared" si="6"/>
        <v>0</v>
      </c>
      <c r="O63" s="28">
        <f t="shared" si="6"/>
        <v>0</v>
      </c>
      <c r="P63" s="28">
        <f t="shared" si="6"/>
        <v>0</v>
      </c>
      <c r="Q63" s="28">
        <f t="shared" si="6"/>
        <v>0</v>
      </c>
      <c r="R63" s="28">
        <f t="shared" si="6"/>
        <v>0</v>
      </c>
      <c r="S63" s="28">
        <f t="shared" si="6"/>
        <v>0</v>
      </c>
      <c r="T63" s="28">
        <f t="shared" si="6"/>
        <v>0</v>
      </c>
      <c r="U63" s="28">
        <f t="shared" si="6"/>
        <v>0</v>
      </c>
      <c r="V63" s="28">
        <f t="shared" si="6"/>
        <v>0</v>
      </c>
      <c r="W63" s="28">
        <f t="shared" si="6"/>
        <v>0</v>
      </c>
      <c r="X63" s="28">
        <f t="shared" si="6"/>
        <v>0</v>
      </c>
      <c r="Y63" s="28">
        <f t="shared" si="6"/>
        <v>0</v>
      </c>
      <c r="Z63" s="28">
        <f t="shared" si="6"/>
        <v>0</v>
      </c>
      <c r="AA63" s="28">
        <f t="shared" si="6"/>
        <v>0</v>
      </c>
      <c r="AB63" s="28">
        <f t="shared" si="6"/>
        <v>0</v>
      </c>
      <c r="AC63" s="28">
        <f t="shared" si="6"/>
        <v>0</v>
      </c>
      <c r="AD63" s="28">
        <f t="shared" si="6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7">SUM(G66:G82)</f>
        <v>2</v>
      </c>
      <c r="H65" s="35">
        <f t="shared" si="7"/>
        <v>2</v>
      </c>
      <c r="I65" s="35">
        <f t="shared" si="7"/>
        <v>2</v>
      </c>
      <c r="J65" s="35">
        <f t="shared" si="7"/>
        <v>2</v>
      </c>
      <c r="K65" s="35">
        <f t="shared" si="7"/>
        <v>2</v>
      </c>
      <c r="L65" s="35">
        <f t="shared" si="7"/>
        <v>2</v>
      </c>
      <c r="M65" s="35">
        <f t="shared" si="7"/>
        <v>3</v>
      </c>
      <c r="N65" s="35">
        <f t="shared" si="7"/>
        <v>3</v>
      </c>
      <c r="O65" s="35">
        <f t="shared" si="7"/>
        <v>5</v>
      </c>
      <c r="P65" s="35">
        <f t="shared" si="7"/>
        <v>7</v>
      </c>
      <c r="Q65" s="35">
        <f t="shared" si="7"/>
        <v>7</v>
      </c>
      <c r="R65" s="35">
        <f t="shared" si="7"/>
        <v>7</v>
      </c>
      <c r="S65" s="35">
        <f t="shared" si="7"/>
        <v>6</v>
      </c>
      <c r="T65" s="35">
        <f t="shared" si="7"/>
        <v>6</v>
      </c>
      <c r="U65" s="35">
        <f t="shared" si="7"/>
        <v>6</v>
      </c>
      <c r="V65" s="35">
        <f t="shared" si="7"/>
        <v>6</v>
      </c>
      <c r="W65" s="35">
        <f t="shared" si="7"/>
        <v>6</v>
      </c>
      <c r="X65" s="35">
        <f t="shared" si="7"/>
        <v>5</v>
      </c>
      <c r="Y65" s="35">
        <f t="shared" si="7"/>
        <v>5</v>
      </c>
      <c r="Z65" s="35">
        <f t="shared" si="7"/>
        <v>5</v>
      </c>
      <c r="AA65" s="35">
        <f t="shared" si="7"/>
        <v>4</v>
      </c>
      <c r="AB65" s="35">
        <f t="shared" si="7"/>
        <v>3</v>
      </c>
      <c r="AC65" s="35">
        <f t="shared" si="7"/>
        <v>3</v>
      </c>
      <c r="AD65" s="35">
        <f t="shared" si="7"/>
        <v>2</v>
      </c>
      <c r="AE65" s="30">
        <f t="shared" ref="AE65:AE79" si="8">SUM(G65:AD65)</f>
        <v>101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9">SUM(G66:AD66)</f>
        <v>12</v>
      </c>
      <c r="G66" s="258"/>
      <c r="H66" s="258"/>
      <c r="I66" s="258"/>
      <c r="J66" s="258"/>
      <c r="K66" s="258"/>
      <c r="L66" s="258"/>
      <c r="M66" s="258">
        <v>1</v>
      </c>
      <c r="N66" s="258">
        <v>1</v>
      </c>
      <c r="O66" s="258">
        <v>1</v>
      </c>
      <c r="P66" s="258">
        <v>1</v>
      </c>
      <c r="Q66" s="258">
        <v>1</v>
      </c>
      <c r="R66" s="258">
        <v>1</v>
      </c>
      <c r="S66" s="258">
        <v>1</v>
      </c>
      <c r="T66" s="258">
        <v>1</v>
      </c>
      <c r="U66" s="258">
        <v>1</v>
      </c>
      <c r="V66" s="258">
        <v>1</v>
      </c>
      <c r="W66" s="258">
        <v>1</v>
      </c>
      <c r="X66" s="258">
        <v>1</v>
      </c>
      <c r="Y66" s="258"/>
      <c r="Z66" s="258"/>
      <c r="AA66" s="258"/>
      <c r="AB66" s="258"/>
      <c r="AC66" s="258"/>
      <c r="AD66" s="258"/>
      <c r="AE66" s="41">
        <f t="shared" si="8"/>
        <v>12</v>
      </c>
      <c r="AF66" s="116" t="s">
        <v>84</v>
      </c>
      <c r="AG66" s="189" t="s">
        <v>675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9"/>
        <v>11</v>
      </c>
      <c r="G67" s="258"/>
      <c r="H67" s="258"/>
      <c r="I67" s="258"/>
      <c r="J67" s="258"/>
      <c r="K67" s="258"/>
      <c r="L67" s="258"/>
      <c r="M67" s="258"/>
      <c r="N67" s="258">
        <v>1</v>
      </c>
      <c r="O67" s="258">
        <v>1</v>
      </c>
      <c r="P67" s="258">
        <v>1</v>
      </c>
      <c r="Q67" s="258">
        <v>1</v>
      </c>
      <c r="R67" s="258">
        <v>1</v>
      </c>
      <c r="S67" s="258">
        <v>1</v>
      </c>
      <c r="T67" s="258">
        <v>1</v>
      </c>
      <c r="U67" s="258">
        <v>1</v>
      </c>
      <c r="V67" s="258">
        <v>1</v>
      </c>
      <c r="W67" s="258">
        <v>1</v>
      </c>
      <c r="X67" s="258">
        <v>1</v>
      </c>
      <c r="Y67" s="258"/>
      <c r="Z67" s="258"/>
      <c r="AA67" s="258"/>
      <c r="AB67" s="258"/>
      <c r="AC67" s="258"/>
      <c r="AD67" s="258"/>
      <c r="AE67" s="41">
        <f t="shared" si="8"/>
        <v>11</v>
      </c>
      <c r="AF67" s="116" t="s">
        <v>154</v>
      </c>
      <c r="AG67" s="189" t="s">
        <v>675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9"/>
        <v>0</v>
      </c>
      <c r="G68" s="277">
        <v>0</v>
      </c>
      <c r="H68" s="277">
        <v>0</v>
      </c>
      <c r="I68" s="277">
        <v>0</v>
      </c>
      <c r="J68" s="277">
        <v>0</v>
      </c>
      <c r="K68" s="277">
        <v>0</v>
      </c>
      <c r="L68" s="277">
        <v>0</v>
      </c>
      <c r="M68" s="277">
        <v>0</v>
      </c>
      <c r="N68" s="277">
        <v>0</v>
      </c>
      <c r="O68" s="277">
        <v>0</v>
      </c>
      <c r="P68" s="277">
        <v>0</v>
      </c>
      <c r="Q68" s="277">
        <v>0</v>
      </c>
      <c r="R68" s="277">
        <v>0</v>
      </c>
      <c r="S68" s="277">
        <v>0</v>
      </c>
      <c r="T68" s="277">
        <v>0</v>
      </c>
      <c r="U68" s="277">
        <v>0</v>
      </c>
      <c r="V68" s="277">
        <v>0</v>
      </c>
      <c r="W68" s="277">
        <v>0</v>
      </c>
      <c r="X68" s="277">
        <v>0</v>
      </c>
      <c r="Y68" s="277">
        <v>0</v>
      </c>
      <c r="Z68" s="277">
        <v>0</v>
      </c>
      <c r="AA68" s="277">
        <v>0</v>
      </c>
      <c r="AB68" s="277">
        <v>0</v>
      </c>
      <c r="AC68" s="277">
        <v>0</v>
      </c>
      <c r="AD68" s="277">
        <v>0</v>
      </c>
      <c r="AE68" s="41">
        <f t="shared" si="8"/>
        <v>0</v>
      </c>
      <c r="AF68" s="116" t="s">
        <v>225</v>
      </c>
      <c r="AG68" s="189" t="s">
        <v>675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9"/>
        <v>0</v>
      </c>
      <c r="G69" s="277">
        <v>0</v>
      </c>
      <c r="H69" s="277">
        <v>0</v>
      </c>
      <c r="I69" s="277">
        <v>0</v>
      </c>
      <c r="J69" s="277">
        <v>0</v>
      </c>
      <c r="K69" s="277">
        <v>0</v>
      </c>
      <c r="L69" s="277">
        <v>0</v>
      </c>
      <c r="M69" s="277">
        <v>0</v>
      </c>
      <c r="N69" s="277">
        <v>0</v>
      </c>
      <c r="O69" s="277">
        <v>0</v>
      </c>
      <c r="P69" s="277">
        <v>0</v>
      </c>
      <c r="Q69" s="277">
        <v>0</v>
      </c>
      <c r="R69" s="277">
        <v>0</v>
      </c>
      <c r="S69" s="277">
        <v>0</v>
      </c>
      <c r="T69" s="277">
        <v>0</v>
      </c>
      <c r="U69" s="277">
        <v>0</v>
      </c>
      <c r="V69" s="277">
        <v>0</v>
      </c>
      <c r="W69" s="277">
        <v>0</v>
      </c>
      <c r="X69" s="277">
        <v>0</v>
      </c>
      <c r="Y69" s="277">
        <v>0</v>
      </c>
      <c r="Z69" s="277">
        <v>0</v>
      </c>
      <c r="AA69" s="277">
        <v>0</v>
      </c>
      <c r="AB69" s="277">
        <v>0</v>
      </c>
      <c r="AC69" s="277">
        <v>0</v>
      </c>
      <c r="AD69" s="277">
        <v>0</v>
      </c>
      <c r="AE69" s="41">
        <f t="shared" si="8"/>
        <v>0</v>
      </c>
      <c r="AF69" s="116" t="s">
        <v>225</v>
      </c>
      <c r="AG69" s="189" t="s">
        <v>675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9"/>
        <v>0</v>
      </c>
      <c r="G70" s="277">
        <v>0</v>
      </c>
      <c r="H70" s="277">
        <v>0</v>
      </c>
      <c r="I70" s="277">
        <v>0</v>
      </c>
      <c r="J70" s="277">
        <v>0</v>
      </c>
      <c r="K70" s="277">
        <v>0</v>
      </c>
      <c r="L70" s="277">
        <v>0</v>
      </c>
      <c r="M70" s="277">
        <v>0</v>
      </c>
      <c r="N70" s="277">
        <v>0</v>
      </c>
      <c r="O70" s="277">
        <v>0</v>
      </c>
      <c r="P70" s="277">
        <v>0</v>
      </c>
      <c r="Q70" s="277">
        <v>0</v>
      </c>
      <c r="R70" s="277">
        <v>0</v>
      </c>
      <c r="S70" s="277">
        <v>0</v>
      </c>
      <c r="T70" s="277">
        <v>0</v>
      </c>
      <c r="U70" s="277">
        <v>0</v>
      </c>
      <c r="V70" s="277">
        <v>0</v>
      </c>
      <c r="W70" s="277">
        <v>0</v>
      </c>
      <c r="X70" s="277">
        <v>0</v>
      </c>
      <c r="Y70" s="277">
        <v>0</v>
      </c>
      <c r="Z70" s="277">
        <v>0</v>
      </c>
      <c r="AA70" s="277">
        <v>0</v>
      </c>
      <c r="AB70" s="277">
        <v>0</v>
      </c>
      <c r="AC70" s="277">
        <v>0</v>
      </c>
      <c r="AD70" s="277">
        <v>0</v>
      </c>
      <c r="AE70" s="41">
        <f t="shared" si="8"/>
        <v>0</v>
      </c>
      <c r="AF70" s="116" t="s">
        <v>225</v>
      </c>
      <c r="AG70" s="189" t="s">
        <v>675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9"/>
        <v>6</v>
      </c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>
        <v>1</v>
      </c>
      <c r="Z71" s="258">
        <v>1</v>
      </c>
      <c r="AA71" s="258">
        <v>1</v>
      </c>
      <c r="AB71" s="258">
        <v>1</v>
      </c>
      <c r="AC71" s="258">
        <v>1</v>
      </c>
      <c r="AD71" s="258">
        <v>1</v>
      </c>
      <c r="AE71" s="41">
        <f t="shared" si="8"/>
        <v>6</v>
      </c>
      <c r="AF71" s="111" t="s">
        <v>281</v>
      </c>
      <c r="AG71" s="189" t="s">
        <v>675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9"/>
        <v>7</v>
      </c>
      <c r="G72" s="258">
        <v>1</v>
      </c>
      <c r="H72" s="258">
        <v>1</v>
      </c>
      <c r="I72" s="258">
        <v>1</v>
      </c>
      <c r="J72" s="258">
        <v>1</v>
      </c>
      <c r="K72" s="258">
        <v>1</v>
      </c>
      <c r="L72" s="258">
        <v>1</v>
      </c>
      <c r="M72" s="258">
        <v>1</v>
      </c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  <c r="AA72" s="258"/>
      <c r="AB72" s="258"/>
      <c r="AC72" s="258"/>
      <c r="AD72" s="258"/>
      <c r="AE72" s="41">
        <f t="shared" si="8"/>
        <v>7</v>
      </c>
      <c r="AF72" s="116" t="s">
        <v>284</v>
      </c>
      <c r="AG72" s="189" t="s">
        <v>675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9"/>
        <v>0</v>
      </c>
      <c r="G73" s="277">
        <v>0</v>
      </c>
      <c r="H73" s="277">
        <v>0</v>
      </c>
      <c r="I73" s="277">
        <v>0</v>
      </c>
      <c r="J73" s="277">
        <v>0</v>
      </c>
      <c r="K73" s="277">
        <v>0</v>
      </c>
      <c r="L73" s="277">
        <v>0</v>
      </c>
      <c r="M73" s="277">
        <v>0</v>
      </c>
      <c r="N73" s="277">
        <v>0</v>
      </c>
      <c r="O73" s="277">
        <v>0</v>
      </c>
      <c r="P73" s="277">
        <v>0</v>
      </c>
      <c r="Q73" s="277">
        <v>0</v>
      </c>
      <c r="R73" s="277">
        <v>0</v>
      </c>
      <c r="S73" s="277">
        <v>0</v>
      </c>
      <c r="T73" s="277">
        <v>0</v>
      </c>
      <c r="U73" s="277">
        <v>0</v>
      </c>
      <c r="V73" s="277">
        <v>0</v>
      </c>
      <c r="W73" s="277">
        <v>0</v>
      </c>
      <c r="X73" s="277">
        <v>0</v>
      </c>
      <c r="Y73" s="277">
        <v>0</v>
      </c>
      <c r="Z73" s="277">
        <v>0</v>
      </c>
      <c r="AA73" s="277">
        <v>0</v>
      </c>
      <c r="AB73" s="277">
        <v>0</v>
      </c>
      <c r="AC73" s="277">
        <v>0</v>
      </c>
      <c r="AD73" s="277">
        <v>0</v>
      </c>
      <c r="AE73" s="41">
        <f t="shared" si="8"/>
        <v>0</v>
      </c>
      <c r="AF73" s="116" t="s">
        <v>225</v>
      </c>
      <c r="AG73" s="189" t="s">
        <v>675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88">
        <f t="shared" si="9"/>
        <v>6</v>
      </c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>
        <v>1</v>
      </c>
      <c r="Z74" s="258">
        <v>1</v>
      </c>
      <c r="AA74" s="258">
        <v>1</v>
      </c>
      <c r="AB74" s="258">
        <v>1</v>
      </c>
      <c r="AC74" s="258">
        <v>1</v>
      </c>
      <c r="AD74" s="258">
        <v>1</v>
      </c>
      <c r="AE74" s="41">
        <f t="shared" si="8"/>
        <v>6</v>
      </c>
      <c r="AF74" s="116" t="s">
        <v>281</v>
      </c>
      <c r="AG74" s="189" t="s">
        <v>675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101">
        <f t="shared" si="9"/>
        <v>10</v>
      </c>
      <c r="G75" s="258"/>
      <c r="H75" s="258"/>
      <c r="I75" s="258"/>
      <c r="J75" s="258"/>
      <c r="K75" s="258"/>
      <c r="L75" s="258"/>
      <c r="M75" s="258"/>
      <c r="N75" s="279">
        <v>1</v>
      </c>
      <c r="O75" s="279">
        <v>1</v>
      </c>
      <c r="P75" s="279">
        <v>1</v>
      </c>
      <c r="Q75" s="279">
        <v>1</v>
      </c>
      <c r="R75" s="279">
        <v>1</v>
      </c>
      <c r="S75" s="258"/>
      <c r="T75" s="279">
        <v>1</v>
      </c>
      <c r="U75" s="279">
        <v>1</v>
      </c>
      <c r="V75" s="279">
        <v>1</v>
      </c>
      <c r="W75" s="279">
        <v>1</v>
      </c>
      <c r="X75" s="279">
        <v>1</v>
      </c>
      <c r="Y75" s="258"/>
      <c r="Z75" s="258"/>
      <c r="AA75" s="258"/>
      <c r="AB75" s="258"/>
      <c r="AC75" s="258"/>
      <c r="AD75" s="258"/>
      <c r="AE75" s="41">
        <f t="shared" si="8"/>
        <v>10</v>
      </c>
      <c r="AF75" s="116" t="s">
        <v>317</v>
      </c>
      <c r="AG75" s="189" t="s">
        <v>675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9"/>
        <v>7</v>
      </c>
      <c r="G76" s="258">
        <v>1</v>
      </c>
      <c r="H76" s="258">
        <v>1</v>
      </c>
      <c r="I76" s="258">
        <v>1</v>
      </c>
      <c r="J76" s="258">
        <v>1</v>
      </c>
      <c r="K76" s="258">
        <v>1</v>
      </c>
      <c r="L76" s="258">
        <v>1</v>
      </c>
      <c r="M76" s="258">
        <v>1</v>
      </c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  <c r="AA76" s="258"/>
      <c r="AB76" s="258"/>
      <c r="AC76" s="258"/>
      <c r="AD76" s="258"/>
      <c r="AE76" s="41">
        <f t="shared" si="8"/>
        <v>7</v>
      </c>
      <c r="AF76" s="116" t="s">
        <v>284</v>
      </c>
      <c r="AG76" s="189" t="s">
        <v>675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9"/>
        <v>11</v>
      </c>
      <c r="G77" s="258"/>
      <c r="H77" s="258"/>
      <c r="I77" s="258"/>
      <c r="J77" s="258"/>
      <c r="K77" s="258"/>
      <c r="L77" s="258"/>
      <c r="M77" s="258"/>
      <c r="N77" s="258"/>
      <c r="O77" s="258">
        <v>1</v>
      </c>
      <c r="P77" s="258">
        <v>1</v>
      </c>
      <c r="Q77" s="258">
        <v>1</v>
      </c>
      <c r="R77" s="258">
        <v>1</v>
      </c>
      <c r="S77" s="258">
        <v>1</v>
      </c>
      <c r="T77" s="258">
        <v>1</v>
      </c>
      <c r="U77" s="258">
        <v>1</v>
      </c>
      <c r="V77" s="258">
        <v>1</v>
      </c>
      <c r="W77" s="258">
        <v>1</v>
      </c>
      <c r="X77" s="258"/>
      <c r="Y77" s="258">
        <v>1</v>
      </c>
      <c r="Z77" s="258">
        <v>1</v>
      </c>
      <c r="AA77" s="258"/>
      <c r="AB77" s="258"/>
      <c r="AC77" s="258"/>
      <c r="AD77" s="258"/>
      <c r="AE77" s="41">
        <f t="shared" si="8"/>
        <v>11</v>
      </c>
      <c r="AF77" s="116" t="s">
        <v>425</v>
      </c>
      <c r="AG77" s="189" t="s">
        <v>675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9"/>
        <v>0</v>
      </c>
      <c r="G78" s="277">
        <v>0</v>
      </c>
      <c r="H78" s="277">
        <v>0</v>
      </c>
      <c r="I78" s="277">
        <v>0</v>
      </c>
      <c r="J78" s="277">
        <v>0</v>
      </c>
      <c r="K78" s="277">
        <v>0</v>
      </c>
      <c r="L78" s="277">
        <v>0</v>
      </c>
      <c r="M78" s="277">
        <v>0</v>
      </c>
      <c r="N78" s="277">
        <v>0</v>
      </c>
      <c r="O78" s="277">
        <v>0</v>
      </c>
      <c r="P78" s="277">
        <v>0</v>
      </c>
      <c r="Q78" s="277">
        <v>0</v>
      </c>
      <c r="R78" s="277">
        <v>0</v>
      </c>
      <c r="S78" s="277">
        <v>0</v>
      </c>
      <c r="T78" s="277">
        <v>0</v>
      </c>
      <c r="U78" s="277">
        <v>0</v>
      </c>
      <c r="V78" s="277">
        <v>0</v>
      </c>
      <c r="W78" s="277">
        <v>0</v>
      </c>
      <c r="X78" s="277">
        <v>0</v>
      </c>
      <c r="Y78" s="277">
        <v>0</v>
      </c>
      <c r="Z78" s="277">
        <v>0</v>
      </c>
      <c r="AA78" s="277">
        <v>0</v>
      </c>
      <c r="AB78" s="277">
        <v>0</v>
      </c>
      <c r="AC78" s="277">
        <v>0</v>
      </c>
      <c r="AD78" s="277">
        <v>0</v>
      </c>
      <c r="AE78" s="41">
        <f t="shared" si="8"/>
        <v>0</v>
      </c>
      <c r="AF78" s="116" t="s">
        <v>225</v>
      </c>
      <c r="AG78" s="189" t="s">
        <v>675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101">
        <f t="shared" si="9"/>
        <v>13</v>
      </c>
      <c r="G79" s="276"/>
      <c r="H79" s="276"/>
      <c r="I79" s="276"/>
      <c r="J79" s="276"/>
      <c r="K79" s="276"/>
      <c r="L79" s="276"/>
      <c r="M79" s="276"/>
      <c r="N79" s="276"/>
      <c r="O79" s="276"/>
      <c r="P79" s="276">
        <v>1</v>
      </c>
      <c r="Q79" s="276">
        <v>1</v>
      </c>
      <c r="R79" s="276">
        <v>1</v>
      </c>
      <c r="S79" s="276">
        <v>1</v>
      </c>
      <c r="T79" s="276"/>
      <c r="U79" s="276">
        <v>1</v>
      </c>
      <c r="V79" s="276">
        <v>1</v>
      </c>
      <c r="W79" s="258">
        <v>1</v>
      </c>
      <c r="X79" s="276">
        <v>1</v>
      </c>
      <c r="Y79" s="276">
        <v>1</v>
      </c>
      <c r="Z79" s="276">
        <v>1</v>
      </c>
      <c r="AA79" s="276">
        <v>1</v>
      </c>
      <c r="AB79" s="276">
        <v>1</v>
      </c>
      <c r="AC79" s="276">
        <v>1</v>
      </c>
      <c r="AD79" s="258"/>
      <c r="AE79" s="41">
        <f t="shared" si="8"/>
        <v>13</v>
      </c>
      <c r="AF79" s="116" t="s">
        <v>678</v>
      </c>
      <c r="AG79" s="189" t="s">
        <v>675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101">
        <f t="shared" si="9"/>
        <v>6</v>
      </c>
      <c r="G80" s="250"/>
      <c r="H80" s="250"/>
      <c r="I80" s="250"/>
      <c r="J80" s="250"/>
      <c r="K80" s="250"/>
      <c r="L80" s="250"/>
      <c r="M80" s="250"/>
      <c r="N80" s="250"/>
      <c r="O80" s="250"/>
      <c r="P80" s="250">
        <v>1</v>
      </c>
      <c r="Q80" s="250">
        <v>1</v>
      </c>
      <c r="R80" s="250">
        <v>1</v>
      </c>
      <c r="S80" s="250">
        <v>1</v>
      </c>
      <c r="T80" s="250">
        <v>1</v>
      </c>
      <c r="U80" s="250">
        <v>1</v>
      </c>
      <c r="V80" s="583" t="s">
        <v>209</v>
      </c>
      <c r="W80" s="555"/>
      <c r="X80" s="555"/>
      <c r="Y80" s="555"/>
      <c r="Z80" s="555"/>
      <c r="AA80" s="555"/>
      <c r="AB80" s="555"/>
      <c r="AC80" s="542"/>
      <c r="AD80" s="250"/>
      <c r="AE80" s="41">
        <v>14</v>
      </c>
      <c r="AF80" s="116" t="s">
        <v>48</v>
      </c>
      <c r="AG80" s="189" t="s">
        <v>675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101">
        <f t="shared" si="9"/>
        <v>12</v>
      </c>
      <c r="G81" s="276"/>
      <c r="H81" s="276"/>
      <c r="I81" s="276"/>
      <c r="J81" s="276"/>
      <c r="K81" s="276"/>
      <c r="L81" s="276"/>
      <c r="M81" s="276"/>
      <c r="N81" s="276"/>
      <c r="O81" s="276">
        <v>1</v>
      </c>
      <c r="P81" s="276">
        <v>1</v>
      </c>
      <c r="Q81" s="276">
        <v>1</v>
      </c>
      <c r="R81" s="276">
        <v>1</v>
      </c>
      <c r="S81" s="276">
        <v>1</v>
      </c>
      <c r="T81" s="276">
        <v>1</v>
      </c>
      <c r="U81" s="276"/>
      <c r="V81" s="276">
        <v>1</v>
      </c>
      <c r="W81" s="276">
        <v>1</v>
      </c>
      <c r="X81" s="276">
        <v>1</v>
      </c>
      <c r="Y81" s="276">
        <v>1</v>
      </c>
      <c r="Z81" s="276">
        <v>1</v>
      </c>
      <c r="AA81" s="276">
        <v>1</v>
      </c>
      <c r="AB81" s="276"/>
      <c r="AC81" s="276"/>
      <c r="AD81" s="276"/>
      <c r="AE81" s="41">
        <f t="shared" ref="AE81:AE82" si="10">SUM(G81:AD81)</f>
        <v>12</v>
      </c>
      <c r="AF81" s="116" t="s">
        <v>346</v>
      </c>
      <c r="AG81" s="189" t="s">
        <v>675</v>
      </c>
    </row>
    <row r="82" spans="1:33" ht="14.25" customHeight="1">
      <c r="A82" s="38" t="s">
        <v>145</v>
      </c>
      <c r="B82" s="38" t="s">
        <v>183</v>
      </c>
      <c r="C82" s="38"/>
      <c r="D82" s="39">
        <v>17</v>
      </c>
      <c r="E82" s="40" t="s">
        <v>184</v>
      </c>
      <c r="F82" s="41">
        <f t="shared" si="9"/>
        <v>0</v>
      </c>
      <c r="G82" s="277">
        <v>0</v>
      </c>
      <c r="H82" s="277">
        <v>0</v>
      </c>
      <c r="I82" s="277">
        <v>0</v>
      </c>
      <c r="J82" s="277">
        <v>0</v>
      </c>
      <c r="K82" s="277">
        <v>0</v>
      </c>
      <c r="L82" s="277">
        <v>0</v>
      </c>
      <c r="M82" s="277">
        <v>0</v>
      </c>
      <c r="N82" s="277">
        <v>0</v>
      </c>
      <c r="O82" s="277">
        <v>0</v>
      </c>
      <c r="P82" s="277">
        <v>0</v>
      </c>
      <c r="Q82" s="277">
        <v>0</v>
      </c>
      <c r="R82" s="277">
        <v>0</v>
      </c>
      <c r="S82" s="277">
        <v>0</v>
      </c>
      <c r="T82" s="277">
        <v>0</v>
      </c>
      <c r="U82" s="277">
        <v>0</v>
      </c>
      <c r="V82" s="277">
        <v>0</v>
      </c>
      <c r="W82" s="277">
        <v>0</v>
      </c>
      <c r="X82" s="277">
        <v>0</v>
      </c>
      <c r="Y82" s="277">
        <v>0</v>
      </c>
      <c r="Z82" s="277">
        <v>0</v>
      </c>
      <c r="AA82" s="277">
        <v>0</v>
      </c>
      <c r="AB82" s="277">
        <v>0</v>
      </c>
      <c r="AC82" s="277">
        <v>0</v>
      </c>
      <c r="AD82" s="277">
        <v>0</v>
      </c>
      <c r="AE82" s="41">
        <f t="shared" si="10"/>
        <v>0</v>
      </c>
      <c r="AF82" s="116" t="s">
        <v>225</v>
      </c>
      <c r="AG82" s="189" t="s">
        <v>675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autoFilter ref="A7:AG60" xr:uid="{00000000-0009-0000-0000-000038000000}"/>
  <customSheetViews>
    <customSheetView guid="{D6F95600-F5D2-44BC-80B6-0F2773D5BD92}" filter="1" showAutoFilter="1">
      <pageMargins left="0.7" right="0.7" top="0.75" bottom="0.75" header="0.3" footer="0.3"/>
      <autoFilter ref="A3:AG84" xr:uid="{D0783721-1A71-44C7-82F6-B0C1B136B07A}"/>
    </customSheetView>
    <customSheetView guid="{49BA5E93-E473-4F11-BE7E-FD55CB28D969}" filter="1" showAutoFilter="1">
      <pageMargins left="0.7" right="0.7" top="0.75" bottom="0.75" header="0.3" footer="0.3"/>
      <autoFilter ref="G5:AD84" xr:uid="{BACF8EB2-24B9-4D22-B507-95D38622DBC1}">
        <filterColumn colId="15">
          <filters>
            <filter val="-"/>
            <filter val="1"/>
            <filter val="15"/>
            <filter val="6"/>
            <filter val="CLIENTES VIP"/>
            <filter val="F"/>
            <filter val="MONITOREOS"/>
            <filter val="SEGUIMIENTO TRANSFERENCIAS"/>
            <filter val="SOPORTE DTH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84" xr:uid="{EA72BB2A-BB2F-408D-AE93-706B4C8FEBEE}">
        <filterColumn colId="26">
          <filters>
            <filter val="-"/>
            <filter val="1"/>
            <filter val="4"/>
            <filter val="CLIENTES VIP"/>
            <filter val="F"/>
            <filter val="MONITOREOS"/>
          </filters>
        </filterColumn>
      </autoFilter>
    </customSheetView>
  </customSheetViews>
  <mergeCells count="12">
    <mergeCell ref="V39:AC39"/>
    <mergeCell ref="V40:AC40"/>
    <mergeCell ref="A1:B1"/>
    <mergeCell ref="D3:AE3"/>
    <mergeCell ref="E4:F4"/>
    <mergeCell ref="E5:F5"/>
    <mergeCell ref="P33:Z33"/>
    <mergeCell ref="V42:AC42"/>
    <mergeCell ref="V58:AC58"/>
    <mergeCell ref="O59:Y59"/>
    <mergeCell ref="E62:F62"/>
    <mergeCell ref="V80:AC80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G7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63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67">
        <v>4</v>
      </c>
      <c r="H4" s="12">
        <v>3</v>
      </c>
      <c r="I4" s="12">
        <v>3</v>
      </c>
      <c r="J4" s="12">
        <v>3</v>
      </c>
      <c r="K4" s="12">
        <v>3</v>
      </c>
      <c r="L4" s="12">
        <v>3</v>
      </c>
      <c r="M4" s="68">
        <v>9</v>
      </c>
      <c r="N4" s="56">
        <v>13</v>
      </c>
      <c r="O4" s="108">
        <v>16</v>
      </c>
      <c r="P4" s="123">
        <v>24</v>
      </c>
      <c r="Q4" s="119">
        <v>29</v>
      </c>
      <c r="R4" s="15">
        <v>30</v>
      </c>
      <c r="S4" s="119">
        <v>29</v>
      </c>
      <c r="T4" s="92">
        <v>28</v>
      </c>
      <c r="U4" s="92">
        <v>28</v>
      </c>
      <c r="V4" s="120">
        <v>26</v>
      </c>
      <c r="W4" s="118">
        <v>25</v>
      </c>
      <c r="X4" s="118">
        <v>25</v>
      </c>
      <c r="Y4" s="16">
        <v>21</v>
      </c>
      <c r="Z4" s="16">
        <v>21</v>
      </c>
      <c r="AA4" s="97">
        <v>18</v>
      </c>
      <c r="AB4" s="85">
        <v>11</v>
      </c>
      <c r="AC4" s="55">
        <v>7</v>
      </c>
      <c r="AD4" s="54">
        <v>5</v>
      </c>
      <c r="AE4" s="18">
        <f>SUM(G4:AD4)</f>
        <v>384</v>
      </c>
      <c r="AF4" s="3">
        <f>AE4/9</f>
        <v>42.666666666666664</v>
      </c>
      <c r="AG4" s="3"/>
    </row>
    <row r="5" spans="1:33" ht="62.25">
      <c r="A5" s="3"/>
      <c r="B5" s="2"/>
      <c r="C5" s="2"/>
      <c r="D5" s="19"/>
      <c r="E5" s="569">
        <v>22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-1</v>
      </c>
      <c r="N6" s="28">
        <f t="shared" si="0"/>
        <v>-1</v>
      </c>
      <c r="O6" s="28">
        <f t="shared" si="0"/>
        <v>-1</v>
      </c>
      <c r="P6" s="125">
        <f t="shared" si="0"/>
        <v>-2</v>
      </c>
      <c r="Q6" s="125">
        <f t="shared" si="0"/>
        <v>-2</v>
      </c>
      <c r="R6" s="125">
        <f t="shared" si="0"/>
        <v>-2</v>
      </c>
      <c r="S6" s="125">
        <f t="shared" si="0"/>
        <v>0</v>
      </c>
      <c r="T6" s="125">
        <f t="shared" si="0"/>
        <v>0</v>
      </c>
      <c r="U6" s="125">
        <f t="shared" si="0"/>
        <v>0</v>
      </c>
      <c r="V6" s="84">
        <f t="shared" si="0"/>
        <v>-2</v>
      </c>
      <c r="W6" s="125">
        <f t="shared" si="0"/>
        <v>-2</v>
      </c>
      <c r="X6" s="125">
        <f t="shared" si="0"/>
        <v>0</v>
      </c>
      <c r="Y6" s="125">
        <f t="shared" si="0"/>
        <v>-2</v>
      </c>
      <c r="Z6" s="125">
        <f t="shared" si="0"/>
        <v>-2</v>
      </c>
      <c r="AA6" s="28">
        <f t="shared" si="0"/>
        <v>-2</v>
      </c>
      <c r="AB6" s="28">
        <f t="shared" si="0"/>
        <v>-1</v>
      </c>
      <c r="AC6" s="28">
        <f t="shared" si="0"/>
        <v>0</v>
      </c>
      <c r="AD6" s="28">
        <f t="shared" si="0"/>
        <v>0</v>
      </c>
      <c r="AE6" s="29">
        <f t="shared" ref="AE6:AE44" si="1">SUM(G6:AD6)</f>
        <v>-20</v>
      </c>
      <c r="AG6" s="24"/>
    </row>
    <row r="7" spans="1:33">
      <c r="A7" s="30" t="s">
        <v>33</v>
      </c>
      <c r="B7" s="30" t="s">
        <v>34</v>
      </c>
      <c r="C7" s="31" t="s">
        <v>35</v>
      </c>
      <c r="D7" s="32" t="s">
        <v>36</v>
      </c>
      <c r="E7" s="33" t="s">
        <v>37</v>
      </c>
      <c r="F7" s="34" t="s">
        <v>38</v>
      </c>
      <c r="G7" s="35">
        <f t="shared" ref="G7:AD7" si="2">SUM(G8:G55)</f>
        <v>4</v>
      </c>
      <c r="H7" s="35">
        <f t="shared" si="2"/>
        <v>3</v>
      </c>
      <c r="I7" s="35">
        <f t="shared" si="2"/>
        <v>3</v>
      </c>
      <c r="J7" s="35">
        <f t="shared" si="2"/>
        <v>3</v>
      </c>
      <c r="K7" s="35">
        <f t="shared" si="2"/>
        <v>3</v>
      </c>
      <c r="L7" s="35">
        <f t="shared" si="2"/>
        <v>3</v>
      </c>
      <c r="M7" s="35">
        <f t="shared" si="2"/>
        <v>8</v>
      </c>
      <c r="N7" s="35">
        <f t="shared" si="2"/>
        <v>12</v>
      </c>
      <c r="O7" s="35">
        <f t="shared" si="2"/>
        <v>15</v>
      </c>
      <c r="P7" s="35">
        <f t="shared" si="2"/>
        <v>22</v>
      </c>
      <c r="Q7" s="35">
        <f t="shared" si="2"/>
        <v>27</v>
      </c>
      <c r="R7" s="35">
        <f t="shared" si="2"/>
        <v>28</v>
      </c>
      <c r="S7" s="35">
        <f t="shared" si="2"/>
        <v>29</v>
      </c>
      <c r="T7" s="35">
        <f t="shared" si="2"/>
        <v>28</v>
      </c>
      <c r="U7" s="35">
        <f t="shared" si="2"/>
        <v>28</v>
      </c>
      <c r="V7" s="35">
        <f t="shared" si="2"/>
        <v>24</v>
      </c>
      <c r="W7" s="35">
        <f t="shared" si="2"/>
        <v>23</v>
      </c>
      <c r="X7" s="35">
        <f t="shared" si="2"/>
        <v>25</v>
      </c>
      <c r="Y7" s="35">
        <f t="shared" si="2"/>
        <v>19</v>
      </c>
      <c r="Z7" s="35">
        <f t="shared" si="2"/>
        <v>19</v>
      </c>
      <c r="AA7" s="35">
        <f t="shared" si="2"/>
        <v>16</v>
      </c>
      <c r="AB7" s="35">
        <f t="shared" si="2"/>
        <v>10</v>
      </c>
      <c r="AC7" s="35">
        <f t="shared" si="2"/>
        <v>7</v>
      </c>
      <c r="AD7" s="35">
        <f t="shared" si="2"/>
        <v>5</v>
      </c>
      <c r="AE7" s="30">
        <f t="shared" si="1"/>
        <v>364</v>
      </c>
      <c r="AF7" s="36" t="s">
        <v>39</v>
      </c>
      <c r="AG7" s="37" t="s">
        <v>40</v>
      </c>
    </row>
    <row r="8" spans="1:33" ht="14.25" customHeight="1">
      <c r="A8" s="38" t="s">
        <v>41</v>
      </c>
      <c r="B8" s="38" t="s">
        <v>42</v>
      </c>
      <c r="C8" s="38"/>
      <c r="D8" s="39">
        <v>0</v>
      </c>
      <c r="E8" s="40" t="s">
        <v>43</v>
      </c>
      <c r="F8" s="41">
        <f t="shared" ref="F8:F44" si="3">SUM(G8:AD8)</f>
        <v>4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>
        <v>1</v>
      </c>
      <c r="Z8" s="42">
        <v>1</v>
      </c>
      <c r="AA8" s="42">
        <v>1</v>
      </c>
      <c r="AB8" s="42">
        <v>1</v>
      </c>
      <c r="AC8" s="42"/>
      <c r="AD8" s="42"/>
      <c r="AE8" s="41">
        <f t="shared" si="1"/>
        <v>4</v>
      </c>
      <c r="AF8" s="43" t="s">
        <v>44</v>
      </c>
      <c r="AG8" s="44" t="s">
        <v>393</v>
      </c>
    </row>
    <row r="9" spans="1:33" ht="15.75">
      <c r="A9" s="38" t="s">
        <v>41</v>
      </c>
      <c r="B9" s="38" t="s">
        <v>45</v>
      </c>
      <c r="C9" s="38">
        <v>999600729</v>
      </c>
      <c r="D9" s="39">
        <v>1</v>
      </c>
      <c r="E9" s="40" t="s">
        <v>46</v>
      </c>
      <c r="F9" s="41">
        <f t="shared" si="3"/>
        <v>13</v>
      </c>
      <c r="G9" s="42"/>
      <c r="H9" s="42"/>
      <c r="I9" s="42"/>
      <c r="J9" s="42"/>
      <c r="K9" s="42"/>
      <c r="L9" s="42"/>
      <c r="M9" s="42"/>
      <c r="N9" s="42"/>
      <c r="O9" s="42"/>
      <c r="P9" s="42">
        <v>1</v>
      </c>
      <c r="Q9" s="42">
        <v>1</v>
      </c>
      <c r="R9" s="42">
        <v>1</v>
      </c>
      <c r="S9" s="42">
        <v>1</v>
      </c>
      <c r="T9" s="42"/>
      <c r="U9" s="42">
        <v>1</v>
      </c>
      <c r="V9" s="42">
        <v>1</v>
      </c>
      <c r="W9" s="45" t="s">
        <v>47</v>
      </c>
      <c r="X9" s="42">
        <v>1</v>
      </c>
      <c r="Y9" s="42">
        <v>1</v>
      </c>
      <c r="Z9" s="42">
        <v>1</v>
      </c>
      <c r="AA9" s="42">
        <v>1</v>
      </c>
      <c r="AB9" s="42">
        <v>1</v>
      </c>
      <c r="AC9" s="42">
        <v>1</v>
      </c>
      <c r="AD9" s="42">
        <v>1</v>
      </c>
      <c r="AE9" s="41">
        <f t="shared" si="1"/>
        <v>13</v>
      </c>
      <c r="AF9" s="43" t="s">
        <v>679</v>
      </c>
      <c r="AG9" s="44" t="s">
        <v>393</v>
      </c>
    </row>
    <row r="10" spans="1:33" ht="15.75" customHeight="1">
      <c r="A10" s="38" t="s">
        <v>41</v>
      </c>
      <c r="B10" s="38" t="s">
        <v>52</v>
      </c>
      <c r="C10" s="38">
        <v>984098910</v>
      </c>
      <c r="D10" s="39">
        <v>2</v>
      </c>
      <c r="E10" s="40" t="s">
        <v>53</v>
      </c>
      <c r="F10" s="41">
        <f t="shared" si="3"/>
        <v>11</v>
      </c>
      <c r="G10" s="42">
        <v>1</v>
      </c>
      <c r="H10" s="42">
        <v>1</v>
      </c>
      <c r="I10" s="42">
        <v>1</v>
      </c>
      <c r="J10" s="42">
        <v>1</v>
      </c>
      <c r="K10" s="42">
        <v>1</v>
      </c>
      <c r="L10" s="42">
        <v>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5" t="s">
        <v>47</v>
      </c>
      <c r="Y10" s="42">
        <v>1</v>
      </c>
      <c r="Z10" s="42">
        <v>1</v>
      </c>
      <c r="AA10" s="42">
        <v>1</v>
      </c>
      <c r="AB10" s="42">
        <v>1</v>
      </c>
      <c r="AC10" s="42">
        <v>1</v>
      </c>
      <c r="AD10" s="42"/>
      <c r="AE10" s="41">
        <f t="shared" si="1"/>
        <v>11</v>
      </c>
      <c r="AF10" s="46" t="s">
        <v>680</v>
      </c>
      <c r="AG10" s="44" t="s">
        <v>393</v>
      </c>
    </row>
    <row r="11" spans="1:33" ht="14.25" customHeight="1">
      <c r="A11" s="38" t="s">
        <v>41</v>
      </c>
      <c r="B11" s="38" t="s">
        <v>55</v>
      </c>
      <c r="C11" s="38">
        <v>987983128</v>
      </c>
      <c r="D11" s="39">
        <v>3</v>
      </c>
      <c r="E11" s="40" t="s">
        <v>56</v>
      </c>
      <c r="F11" s="41">
        <f t="shared" si="3"/>
        <v>11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>
        <v>1</v>
      </c>
      <c r="R11" s="42">
        <v>1</v>
      </c>
      <c r="S11" s="42">
        <v>1</v>
      </c>
      <c r="T11" s="42"/>
      <c r="U11" s="42">
        <v>1</v>
      </c>
      <c r="V11" s="42">
        <v>1</v>
      </c>
      <c r="W11" s="45" t="s">
        <v>47</v>
      </c>
      <c r="X11" s="42">
        <v>1</v>
      </c>
      <c r="Y11" s="42">
        <v>1</v>
      </c>
      <c r="Z11" s="42">
        <v>1</v>
      </c>
      <c r="AA11" s="42">
        <v>1</v>
      </c>
      <c r="AB11" s="42">
        <v>1</v>
      </c>
      <c r="AC11" s="42">
        <v>1</v>
      </c>
      <c r="AD11" s="42"/>
      <c r="AE11" s="41">
        <f t="shared" si="1"/>
        <v>11</v>
      </c>
      <c r="AF11" s="43" t="s">
        <v>430</v>
      </c>
      <c r="AG11" s="44" t="s">
        <v>393</v>
      </c>
    </row>
    <row r="12" spans="1:33" ht="14.25" customHeight="1">
      <c r="A12" s="38" t="s">
        <v>41</v>
      </c>
      <c r="B12" s="38" t="s">
        <v>57</v>
      </c>
      <c r="C12" s="38"/>
      <c r="D12" s="39">
        <v>4</v>
      </c>
      <c r="E12" s="40" t="s">
        <v>58</v>
      </c>
      <c r="F12" s="41">
        <f t="shared" si="3"/>
        <v>10</v>
      </c>
      <c r="G12" s="42"/>
      <c r="H12" s="42"/>
      <c r="I12" s="42"/>
      <c r="J12" s="42"/>
      <c r="K12" s="42"/>
      <c r="L12" s="42"/>
      <c r="M12" s="42"/>
      <c r="N12" s="42"/>
      <c r="O12" s="42"/>
      <c r="P12" s="42">
        <v>1</v>
      </c>
      <c r="Q12" s="42">
        <v>1</v>
      </c>
      <c r="R12" s="42">
        <v>1</v>
      </c>
      <c r="S12" s="42">
        <v>1</v>
      </c>
      <c r="T12" s="42">
        <v>1</v>
      </c>
      <c r="U12" s="42">
        <v>1</v>
      </c>
      <c r="V12" s="45" t="s">
        <v>47</v>
      </c>
      <c r="W12" s="42">
        <v>1</v>
      </c>
      <c r="X12" s="42">
        <v>1</v>
      </c>
      <c r="Y12" s="42">
        <v>1</v>
      </c>
      <c r="Z12" s="42">
        <v>1</v>
      </c>
      <c r="AA12" s="42"/>
      <c r="AB12" s="42"/>
      <c r="AC12" s="42"/>
      <c r="AD12" s="42"/>
      <c r="AE12" s="41">
        <f t="shared" si="1"/>
        <v>10</v>
      </c>
      <c r="AF12" s="43" t="s">
        <v>164</v>
      </c>
      <c r="AG12" s="44" t="s">
        <v>393</v>
      </c>
    </row>
    <row r="13" spans="1:33" ht="14.25" customHeight="1">
      <c r="A13" s="38" t="s">
        <v>145</v>
      </c>
      <c r="B13" s="38" t="s">
        <v>146</v>
      </c>
      <c r="C13" s="38">
        <v>998223732</v>
      </c>
      <c r="D13" s="39">
        <v>5</v>
      </c>
      <c r="E13" s="40" t="s">
        <v>147</v>
      </c>
      <c r="F13" s="41">
        <f t="shared" si="3"/>
        <v>11</v>
      </c>
      <c r="G13" s="42"/>
      <c r="H13" s="42"/>
      <c r="I13" s="42"/>
      <c r="J13" s="42"/>
      <c r="K13" s="42"/>
      <c r="L13" s="42"/>
      <c r="M13" s="42">
        <v>1</v>
      </c>
      <c r="N13" s="42">
        <v>1</v>
      </c>
      <c r="O13" s="42">
        <v>1</v>
      </c>
      <c r="P13" s="42">
        <v>1</v>
      </c>
      <c r="Q13" s="42">
        <v>1</v>
      </c>
      <c r="R13" s="42">
        <v>1</v>
      </c>
      <c r="S13" s="42">
        <v>1</v>
      </c>
      <c r="T13" s="42"/>
      <c r="U13" s="42">
        <v>1</v>
      </c>
      <c r="V13" s="42">
        <v>1</v>
      </c>
      <c r="W13" s="42">
        <v>1</v>
      </c>
      <c r="X13" s="42">
        <v>1</v>
      </c>
      <c r="Y13" s="42"/>
      <c r="Z13" s="42"/>
      <c r="AA13" s="42"/>
      <c r="AB13" s="42"/>
      <c r="AC13" s="42"/>
      <c r="AD13" s="42"/>
      <c r="AE13" s="41">
        <f t="shared" si="1"/>
        <v>11</v>
      </c>
      <c r="AF13" s="43" t="s">
        <v>51</v>
      </c>
      <c r="AG13" s="44" t="s">
        <v>393</v>
      </c>
    </row>
    <row r="14" spans="1:33" ht="14.25" customHeight="1">
      <c r="A14" s="38" t="s">
        <v>41</v>
      </c>
      <c r="B14" s="38" t="s">
        <v>59</v>
      </c>
      <c r="C14" s="38"/>
      <c r="D14" s="39">
        <v>6</v>
      </c>
      <c r="E14" s="40" t="s">
        <v>60</v>
      </c>
      <c r="F14" s="41">
        <f t="shared" si="3"/>
        <v>10</v>
      </c>
      <c r="G14" s="42"/>
      <c r="H14" s="42"/>
      <c r="I14" s="42"/>
      <c r="J14" s="42"/>
      <c r="K14" s="42"/>
      <c r="L14" s="42"/>
      <c r="M14" s="42">
        <v>1</v>
      </c>
      <c r="N14" s="42">
        <v>1</v>
      </c>
      <c r="O14" s="42">
        <v>1</v>
      </c>
      <c r="P14" s="42">
        <v>1</v>
      </c>
      <c r="Q14" s="42">
        <v>1</v>
      </c>
      <c r="R14" s="42">
        <v>1</v>
      </c>
      <c r="S14" s="42">
        <v>1</v>
      </c>
      <c r="T14" s="42"/>
      <c r="U14" s="42">
        <v>1</v>
      </c>
      <c r="V14" s="42">
        <v>1</v>
      </c>
      <c r="W14" s="42">
        <v>1</v>
      </c>
      <c r="X14" s="45" t="s">
        <v>47</v>
      </c>
      <c r="Y14" s="42"/>
      <c r="Z14" s="42"/>
      <c r="AA14" s="42"/>
      <c r="AB14" s="42"/>
      <c r="AC14" s="42"/>
      <c r="AD14" s="42"/>
      <c r="AE14" s="41">
        <f t="shared" si="1"/>
        <v>10</v>
      </c>
      <c r="AF14" s="43" t="s">
        <v>51</v>
      </c>
      <c r="AG14" s="44" t="s">
        <v>393</v>
      </c>
    </row>
    <row r="15" spans="1:33" ht="14.25" customHeight="1">
      <c r="A15" s="38" t="s">
        <v>41</v>
      </c>
      <c r="B15" s="38" t="s">
        <v>62</v>
      </c>
      <c r="C15" s="38">
        <v>979044107</v>
      </c>
      <c r="D15" s="39">
        <v>7</v>
      </c>
      <c r="E15" s="40" t="s">
        <v>63</v>
      </c>
      <c r="F15" s="41">
        <f t="shared" si="3"/>
        <v>10</v>
      </c>
      <c r="G15" s="42"/>
      <c r="H15" s="42"/>
      <c r="I15" s="42"/>
      <c r="J15" s="42"/>
      <c r="K15" s="42"/>
      <c r="L15" s="42"/>
      <c r="M15" s="42">
        <v>1</v>
      </c>
      <c r="N15" s="42">
        <v>1</v>
      </c>
      <c r="O15" s="42">
        <v>1</v>
      </c>
      <c r="P15" s="42">
        <v>1</v>
      </c>
      <c r="Q15" s="42">
        <v>1</v>
      </c>
      <c r="R15" s="42">
        <v>1</v>
      </c>
      <c r="S15" s="42">
        <v>1</v>
      </c>
      <c r="T15" s="42"/>
      <c r="U15" s="42">
        <v>1</v>
      </c>
      <c r="V15" s="42">
        <v>1</v>
      </c>
      <c r="W15" s="42">
        <v>1</v>
      </c>
      <c r="X15" s="45" t="s">
        <v>47</v>
      </c>
      <c r="Y15" s="42"/>
      <c r="Z15" s="42"/>
      <c r="AA15" s="42"/>
      <c r="AB15" s="42"/>
      <c r="AC15" s="42"/>
      <c r="AD15" s="42"/>
      <c r="AE15" s="41">
        <f t="shared" si="1"/>
        <v>10</v>
      </c>
      <c r="AF15" s="43" t="s">
        <v>51</v>
      </c>
      <c r="AG15" s="44" t="s">
        <v>393</v>
      </c>
    </row>
    <row r="16" spans="1:33" ht="14.25" customHeight="1">
      <c r="A16" s="38" t="s">
        <v>41</v>
      </c>
      <c r="B16" s="38" t="s">
        <v>64</v>
      </c>
      <c r="C16" s="38">
        <v>995545886</v>
      </c>
      <c r="D16" s="39">
        <v>8</v>
      </c>
      <c r="E16" s="40" t="s">
        <v>65</v>
      </c>
      <c r="F16" s="41">
        <f t="shared" si="3"/>
        <v>8</v>
      </c>
      <c r="G16" s="42"/>
      <c r="H16" s="42"/>
      <c r="I16" s="42"/>
      <c r="J16" s="42"/>
      <c r="K16" s="42"/>
      <c r="L16" s="42"/>
      <c r="M16" s="42"/>
      <c r="N16" s="42"/>
      <c r="O16" s="42"/>
      <c r="P16" s="42">
        <v>1</v>
      </c>
      <c r="Q16" s="42">
        <v>1</v>
      </c>
      <c r="R16" s="42">
        <v>1</v>
      </c>
      <c r="S16" s="42">
        <v>1</v>
      </c>
      <c r="T16" s="42">
        <v>1</v>
      </c>
      <c r="U16" s="42">
        <v>1</v>
      </c>
      <c r="V16" s="45" t="s">
        <v>47</v>
      </c>
      <c r="W16" s="42">
        <v>1</v>
      </c>
      <c r="X16" s="42">
        <v>1</v>
      </c>
      <c r="Y16" s="42"/>
      <c r="Z16" s="42"/>
      <c r="AA16" s="42"/>
      <c r="AB16" s="42"/>
      <c r="AC16" s="42"/>
      <c r="AD16" s="42"/>
      <c r="AE16" s="41">
        <f t="shared" si="1"/>
        <v>8</v>
      </c>
      <c r="AF16" s="43" t="s">
        <v>193</v>
      </c>
      <c r="AG16" s="44" t="s">
        <v>393</v>
      </c>
    </row>
    <row r="17" spans="1:33" ht="14.25" customHeight="1">
      <c r="A17" s="38" t="s">
        <v>41</v>
      </c>
      <c r="B17" s="38" t="s">
        <v>67</v>
      </c>
      <c r="C17" s="38">
        <v>968594141</v>
      </c>
      <c r="D17" s="39">
        <v>9</v>
      </c>
      <c r="E17" s="40" t="s">
        <v>68</v>
      </c>
      <c r="F17" s="41">
        <f t="shared" si="3"/>
        <v>0</v>
      </c>
      <c r="G17" s="42"/>
      <c r="H17" s="42"/>
      <c r="I17" s="42"/>
      <c r="J17" s="42"/>
      <c r="K17" s="42"/>
      <c r="L17" s="42"/>
      <c r="M17" s="42"/>
      <c r="N17" s="42"/>
      <c r="O17" s="42"/>
      <c r="P17" s="78" t="s">
        <v>231</v>
      </c>
      <c r="Q17" s="78" t="s">
        <v>231</v>
      </c>
      <c r="R17" s="78" t="s">
        <v>231</v>
      </c>
      <c r="S17" s="78" t="s">
        <v>231</v>
      </c>
      <c r="T17" s="78" t="s">
        <v>231</v>
      </c>
      <c r="U17" s="78" t="s">
        <v>231</v>
      </c>
      <c r="V17" s="78" t="s">
        <v>231</v>
      </c>
      <c r="W17" s="78" t="s">
        <v>231</v>
      </c>
      <c r="X17" s="78" t="s">
        <v>231</v>
      </c>
      <c r="Y17" s="78" t="s">
        <v>231</v>
      </c>
      <c r="Z17" s="78" t="s">
        <v>231</v>
      </c>
      <c r="AA17" s="78" t="s">
        <v>231</v>
      </c>
      <c r="AB17" s="42"/>
      <c r="AC17" s="42"/>
      <c r="AD17" s="42"/>
      <c r="AE17" s="41">
        <f t="shared" si="1"/>
        <v>0</v>
      </c>
      <c r="AF17" s="43" t="s">
        <v>69</v>
      </c>
      <c r="AG17" s="44" t="s">
        <v>393</v>
      </c>
    </row>
    <row r="18" spans="1:33" ht="14.25" customHeight="1">
      <c r="A18" s="38" t="s">
        <v>41</v>
      </c>
      <c r="B18" s="38" t="s">
        <v>70</v>
      </c>
      <c r="C18" s="38"/>
      <c r="D18" s="39">
        <v>10</v>
      </c>
      <c r="E18" s="40" t="s">
        <v>71</v>
      </c>
      <c r="F18" s="41">
        <f t="shared" si="3"/>
        <v>10</v>
      </c>
      <c r="G18" s="42"/>
      <c r="H18" s="42"/>
      <c r="I18" s="42"/>
      <c r="J18" s="42"/>
      <c r="K18" s="42"/>
      <c r="L18" s="42"/>
      <c r="M18" s="42"/>
      <c r="N18" s="42">
        <v>1</v>
      </c>
      <c r="O18" s="42">
        <v>1</v>
      </c>
      <c r="P18" s="42">
        <v>1</v>
      </c>
      <c r="Q18" s="42">
        <v>1</v>
      </c>
      <c r="R18" s="42">
        <v>1</v>
      </c>
      <c r="S18" s="42">
        <v>1</v>
      </c>
      <c r="T18" s="42">
        <v>1</v>
      </c>
      <c r="U18" s="42">
        <v>1</v>
      </c>
      <c r="V18" s="42">
        <v>1</v>
      </c>
      <c r="W18" s="42">
        <v>1</v>
      </c>
      <c r="X18" s="45" t="s">
        <v>47</v>
      </c>
      <c r="Y18" s="42"/>
      <c r="Z18" s="42"/>
      <c r="AA18" s="42"/>
      <c r="AB18" s="42"/>
      <c r="AC18" s="42"/>
      <c r="AD18" s="42"/>
      <c r="AE18" s="41">
        <f t="shared" si="1"/>
        <v>10</v>
      </c>
      <c r="AF18" s="43" t="s">
        <v>195</v>
      </c>
      <c r="AG18" s="44" t="s">
        <v>393</v>
      </c>
    </row>
    <row r="19" spans="1:33" ht="14.25" customHeight="1">
      <c r="A19" s="38" t="s">
        <v>41</v>
      </c>
      <c r="B19" s="38" t="s">
        <v>72</v>
      </c>
      <c r="C19" s="38">
        <v>989533877</v>
      </c>
      <c r="D19" s="39">
        <v>11</v>
      </c>
      <c r="E19" s="40" t="s">
        <v>73</v>
      </c>
      <c r="F19" s="41">
        <f t="shared" si="3"/>
        <v>0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5" t="s">
        <v>47</v>
      </c>
      <c r="Y19" s="78" t="s">
        <v>231</v>
      </c>
      <c r="Z19" s="78" t="s">
        <v>231</v>
      </c>
      <c r="AA19" s="78" t="s">
        <v>231</v>
      </c>
      <c r="AB19" s="78" t="s">
        <v>231</v>
      </c>
      <c r="AC19" s="78" t="s">
        <v>231</v>
      </c>
      <c r="AD19" s="78" t="s">
        <v>231</v>
      </c>
      <c r="AE19" s="41">
        <f t="shared" si="1"/>
        <v>0</v>
      </c>
      <c r="AF19" s="46" t="s">
        <v>74</v>
      </c>
      <c r="AG19" s="44" t="s">
        <v>393</v>
      </c>
    </row>
    <row r="20" spans="1:33" ht="14.25" customHeight="1">
      <c r="A20" s="38" t="s">
        <v>41</v>
      </c>
      <c r="B20" s="38" t="s">
        <v>76</v>
      </c>
      <c r="C20" s="38">
        <v>997829699</v>
      </c>
      <c r="D20" s="39">
        <v>12</v>
      </c>
      <c r="E20" s="40" t="s">
        <v>77</v>
      </c>
      <c r="F20" s="41">
        <f t="shared" si="3"/>
        <v>8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>
        <v>1</v>
      </c>
      <c r="V20" s="42">
        <v>1</v>
      </c>
      <c r="W20" s="45" t="s">
        <v>47</v>
      </c>
      <c r="X20" s="42">
        <v>1</v>
      </c>
      <c r="Y20" s="42">
        <v>1</v>
      </c>
      <c r="Z20" s="42">
        <v>1</v>
      </c>
      <c r="AA20" s="42">
        <v>1</v>
      </c>
      <c r="AB20" s="42">
        <v>1</v>
      </c>
      <c r="AC20" s="42">
        <v>1</v>
      </c>
      <c r="AD20" s="42"/>
      <c r="AE20" s="41">
        <f t="shared" si="1"/>
        <v>8</v>
      </c>
      <c r="AF20" s="43" t="s">
        <v>81</v>
      </c>
      <c r="AG20" s="44" t="s">
        <v>393</v>
      </c>
    </row>
    <row r="21" spans="1:33" ht="14.25" customHeight="1">
      <c r="A21" s="38" t="s">
        <v>41</v>
      </c>
      <c r="B21" s="2" t="s">
        <v>79</v>
      </c>
      <c r="C21" s="2"/>
      <c r="D21" s="39">
        <v>13</v>
      </c>
      <c r="E21" s="40" t="s">
        <v>80</v>
      </c>
      <c r="F21" s="41">
        <f t="shared" si="3"/>
        <v>10</v>
      </c>
      <c r="G21" s="42">
        <v>1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>
        <v>1</v>
      </c>
      <c r="V21" s="42">
        <v>1</v>
      </c>
      <c r="W21" s="45" t="s">
        <v>47</v>
      </c>
      <c r="X21" s="42">
        <v>1</v>
      </c>
      <c r="Y21" s="42">
        <v>1</v>
      </c>
      <c r="Z21" s="42">
        <v>1</v>
      </c>
      <c r="AA21" s="42">
        <v>1</v>
      </c>
      <c r="AB21" s="42">
        <v>1</v>
      </c>
      <c r="AC21" s="42">
        <v>1</v>
      </c>
      <c r="AD21" s="42">
        <v>1</v>
      </c>
      <c r="AE21" s="41">
        <f t="shared" si="1"/>
        <v>10</v>
      </c>
      <c r="AF21" s="43" t="s">
        <v>136</v>
      </c>
      <c r="AG21" s="44" t="s">
        <v>393</v>
      </c>
    </row>
    <row r="22" spans="1:33" ht="14.25" customHeight="1">
      <c r="A22" s="38" t="s">
        <v>41</v>
      </c>
      <c r="B22" s="38" t="s">
        <v>82</v>
      </c>
      <c r="C22" s="38">
        <v>996303208</v>
      </c>
      <c r="D22" s="39">
        <v>14</v>
      </c>
      <c r="E22" s="40" t="s">
        <v>83</v>
      </c>
      <c r="F22" s="41">
        <f t="shared" si="3"/>
        <v>10</v>
      </c>
      <c r="G22" s="42"/>
      <c r="H22" s="42"/>
      <c r="I22" s="42"/>
      <c r="J22" s="42"/>
      <c r="K22" s="42"/>
      <c r="L22" s="42"/>
      <c r="M22" s="42">
        <v>1</v>
      </c>
      <c r="N22" s="42">
        <v>1</v>
      </c>
      <c r="O22" s="42">
        <v>1</v>
      </c>
      <c r="P22" s="42">
        <v>1</v>
      </c>
      <c r="Q22" s="42">
        <v>1</v>
      </c>
      <c r="R22" s="42">
        <v>1</v>
      </c>
      <c r="S22" s="42">
        <v>1</v>
      </c>
      <c r="T22" s="42"/>
      <c r="U22" s="42">
        <v>1</v>
      </c>
      <c r="V22" s="42">
        <v>1</v>
      </c>
      <c r="W22" s="42">
        <v>1</v>
      </c>
      <c r="X22" s="45" t="s">
        <v>47</v>
      </c>
      <c r="Y22" s="42"/>
      <c r="Z22" s="42"/>
      <c r="AA22" s="42"/>
      <c r="AB22" s="42"/>
      <c r="AC22" s="42"/>
      <c r="AD22" s="42"/>
      <c r="AE22" s="41">
        <f t="shared" si="1"/>
        <v>10</v>
      </c>
      <c r="AF22" s="43" t="s">
        <v>51</v>
      </c>
      <c r="AG22" s="44" t="s">
        <v>393</v>
      </c>
    </row>
    <row r="23" spans="1:33" ht="14.25" customHeight="1">
      <c r="A23" s="38" t="s">
        <v>41</v>
      </c>
      <c r="B23" s="38" t="s">
        <v>85</v>
      </c>
      <c r="C23" s="38">
        <v>991837641</v>
      </c>
      <c r="D23" s="39">
        <v>15</v>
      </c>
      <c r="E23" s="40" t="s">
        <v>86</v>
      </c>
      <c r="F23" s="41">
        <f t="shared" si="3"/>
        <v>6</v>
      </c>
      <c r="G23" s="42"/>
      <c r="H23" s="42"/>
      <c r="I23" s="42"/>
      <c r="J23" s="42"/>
      <c r="K23" s="42"/>
      <c r="L23" s="42"/>
      <c r="M23" s="42"/>
      <c r="N23" s="42"/>
      <c r="O23" s="42">
        <v>1</v>
      </c>
      <c r="P23" s="42">
        <v>1</v>
      </c>
      <c r="Q23" s="42">
        <v>1</v>
      </c>
      <c r="R23" s="42">
        <v>1</v>
      </c>
      <c r="S23" s="45" t="s">
        <v>47</v>
      </c>
      <c r="T23" s="42">
        <v>1</v>
      </c>
      <c r="U23" s="42">
        <v>1</v>
      </c>
      <c r="V23" s="42"/>
      <c r="W23" s="42"/>
      <c r="X23" s="42"/>
      <c r="Y23" s="42"/>
      <c r="Z23" s="42"/>
      <c r="AA23" s="42"/>
      <c r="AB23" s="42"/>
      <c r="AC23" s="42"/>
      <c r="AD23" s="42"/>
      <c r="AE23" s="41">
        <f t="shared" si="1"/>
        <v>6</v>
      </c>
      <c r="AF23" s="43" t="s">
        <v>87</v>
      </c>
      <c r="AG23" s="44" t="s">
        <v>393</v>
      </c>
    </row>
    <row r="24" spans="1:33" ht="14.25" customHeight="1">
      <c r="A24" s="38" t="s">
        <v>41</v>
      </c>
      <c r="B24" s="38" t="s">
        <v>88</v>
      </c>
      <c r="C24" s="38">
        <v>985570860</v>
      </c>
      <c r="D24" s="39">
        <v>16</v>
      </c>
      <c r="E24" s="40" t="s">
        <v>89</v>
      </c>
      <c r="F24" s="41">
        <f t="shared" si="3"/>
        <v>11</v>
      </c>
      <c r="G24" s="42"/>
      <c r="H24" s="42"/>
      <c r="I24" s="42"/>
      <c r="J24" s="42"/>
      <c r="K24" s="42"/>
      <c r="L24" s="42"/>
      <c r="M24" s="42"/>
      <c r="N24" s="42"/>
      <c r="O24" s="42"/>
      <c r="P24" s="42">
        <v>1</v>
      </c>
      <c r="Q24" s="42">
        <v>1</v>
      </c>
      <c r="R24" s="42">
        <v>1</v>
      </c>
      <c r="S24" s="42">
        <v>1</v>
      </c>
      <c r="T24" s="42">
        <v>1</v>
      </c>
      <c r="U24" s="42">
        <v>1</v>
      </c>
      <c r="V24" s="45" t="s">
        <v>47</v>
      </c>
      <c r="W24" s="42">
        <v>1</v>
      </c>
      <c r="X24" s="42">
        <v>1</v>
      </c>
      <c r="Y24" s="42">
        <v>1</v>
      </c>
      <c r="Z24" s="42">
        <v>1</v>
      </c>
      <c r="AA24" s="42">
        <v>1</v>
      </c>
      <c r="AB24" s="42"/>
      <c r="AC24" s="42"/>
      <c r="AD24" s="42"/>
      <c r="AE24" s="41">
        <f t="shared" si="1"/>
        <v>11</v>
      </c>
      <c r="AF24" s="43" t="s">
        <v>69</v>
      </c>
      <c r="AG24" s="44" t="s">
        <v>393</v>
      </c>
    </row>
    <row r="25" spans="1:33" ht="14.25" customHeight="1">
      <c r="A25" s="38" t="s">
        <v>41</v>
      </c>
      <c r="B25" s="38" t="s">
        <v>90</v>
      </c>
      <c r="C25" s="38">
        <v>961816449</v>
      </c>
      <c r="D25" s="39">
        <v>17</v>
      </c>
      <c r="E25" s="40" t="s">
        <v>91</v>
      </c>
      <c r="F25" s="41">
        <f t="shared" si="3"/>
        <v>10</v>
      </c>
      <c r="G25" s="42"/>
      <c r="H25" s="42"/>
      <c r="I25" s="42"/>
      <c r="J25" s="42"/>
      <c r="K25" s="42"/>
      <c r="L25" s="42"/>
      <c r="M25" s="42">
        <v>1</v>
      </c>
      <c r="N25" s="42">
        <v>1</v>
      </c>
      <c r="O25" s="42">
        <v>1</v>
      </c>
      <c r="P25" s="42">
        <v>1</v>
      </c>
      <c r="Q25" s="42">
        <v>1</v>
      </c>
      <c r="R25" s="42">
        <v>1</v>
      </c>
      <c r="S25" s="42">
        <v>1</v>
      </c>
      <c r="T25" s="42"/>
      <c r="U25" s="42">
        <v>1</v>
      </c>
      <c r="V25" s="42">
        <v>1</v>
      </c>
      <c r="W25" s="42">
        <v>1</v>
      </c>
      <c r="X25" s="45" t="s">
        <v>47</v>
      </c>
      <c r="Y25" s="42"/>
      <c r="Z25" s="42"/>
      <c r="AA25" s="42"/>
      <c r="AB25" s="42"/>
      <c r="AC25" s="42"/>
      <c r="AD25" s="42"/>
      <c r="AE25" s="41">
        <f t="shared" si="1"/>
        <v>10</v>
      </c>
      <c r="AF25" s="43" t="s">
        <v>51</v>
      </c>
      <c r="AG25" s="44" t="s">
        <v>393</v>
      </c>
    </row>
    <row r="26" spans="1:33" ht="14.25" customHeight="1">
      <c r="A26" s="38" t="s">
        <v>41</v>
      </c>
      <c r="B26" s="38" t="s">
        <v>92</v>
      </c>
      <c r="C26" s="38">
        <v>989858490</v>
      </c>
      <c r="D26" s="39">
        <v>18</v>
      </c>
      <c r="E26" s="40" t="s">
        <v>93</v>
      </c>
      <c r="F26" s="41">
        <f t="shared" si="3"/>
        <v>0</v>
      </c>
      <c r="G26" s="42"/>
      <c r="H26" s="42"/>
      <c r="I26" s="42"/>
      <c r="J26" s="42"/>
      <c r="K26" s="42"/>
      <c r="L26" s="42"/>
      <c r="M26" s="78" t="s">
        <v>231</v>
      </c>
      <c r="N26" s="78" t="s">
        <v>231</v>
      </c>
      <c r="O26" s="78" t="s">
        <v>231</v>
      </c>
      <c r="P26" s="78" t="s">
        <v>231</v>
      </c>
      <c r="Q26" s="78" t="s">
        <v>231</v>
      </c>
      <c r="R26" s="78" t="s">
        <v>231</v>
      </c>
      <c r="S26" s="78" t="s">
        <v>231</v>
      </c>
      <c r="T26" s="42"/>
      <c r="U26" s="78" t="s">
        <v>231</v>
      </c>
      <c r="V26" s="78" t="s">
        <v>231</v>
      </c>
      <c r="W26" s="78" t="s">
        <v>231</v>
      </c>
      <c r="X26" s="78" t="s">
        <v>231</v>
      </c>
      <c r="Y26" s="42"/>
      <c r="Z26" s="42"/>
      <c r="AA26" s="42"/>
      <c r="AB26" s="42"/>
      <c r="AC26" s="42"/>
      <c r="AD26" s="42"/>
      <c r="AE26" s="41">
        <f t="shared" si="1"/>
        <v>0</v>
      </c>
      <c r="AF26" s="43" t="s">
        <v>51</v>
      </c>
      <c r="AG26" s="44" t="s">
        <v>393</v>
      </c>
    </row>
    <row r="27" spans="1:33" ht="14.25" customHeight="1">
      <c r="A27" s="38" t="s">
        <v>41</v>
      </c>
      <c r="B27" s="38" t="s">
        <v>94</v>
      </c>
      <c r="C27" s="38">
        <v>988957267</v>
      </c>
      <c r="D27" s="39">
        <v>19</v>
      </c>
      <c r="E27" s="40" t="s">
        <v>95</v>
      </c>
      <c r="F27" s="41">
        <f t="shared" si="3"/>
        <v>11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>
        <v>1</v>
      </c>
      <c r="R27" s="42">
        <v>1</v>
      </c>
      <c r="S27" s="42">
        <v>1</v>
      </c>
      <c r="T27" s="42">
        <v>1</v>
      </c>
      <c r="U27" s="42">
        <v>1</v>
      </c>
      <c r="V27" s="42">
        <v>1</v>
      </c>
      <c r="W27" s="45" t="s">
        <v>47</v>
      </c>
      <c r="X27" s="42">
        <v>1</v>
      </c>
      <c r="Y27" s="42">
        <v>1</v>
      </c>
      <c r="Z27" s="42">
        <v>1</v>
      </c>
      <c r="AA27" s="42">
        <v>1</v>
      </c>
      <c r="AB27" s="42">
        <v>1</v>
      </c>
      <c r="AC27" s="42"/>
      <c r="AD27" s="42"/>
      <c r="AE27" s="41">
        <f t="shared" si="1"/>
        <v>11</v>
      </c>
      <c r="AF27" s="43" t="s">
        <v>96</v>
      </c>
      <c r="AG27" s="44" t="s">
        <v>393</v>
      </c>
    </row>
    <row r="28" spans="1:33" ht="14.25" customHeight="1">
      <c r="A28" s="38" t="s">
        <v>41</v>
      </c>
      <c r="B28" s="38" t="s">
        <v>97</v>
      </c>
      <c r="C28" s="38"/>
      <c r="D28" s="39">
        <v>20</v>
      </c>
      <c r="E28" s="40" t="s">
        <v>98</v>
      </c>
      <c r="F28" s="41">
        <f t="shared" si="3"/>
        <v>11</v>
      </c>
      <c r="G28" s="42"/>
      <c r="H28" s="42"/>
      <c r="I28" s="42"/>
      <c r="J28" s="42"/>
      <c r="K28" s="42"/>
      <c r="L28" s="42"/>
      <c r="M28" s="42"/>
      <c r="N28" s="42"/>
      <c r="O28" s="42">
        <v>1</v>
      </c>
      <c r="P28" s="42">
        <v>1</v>
      </c>
      <c r="Q28" s="42">
        <v>1</v>
      </c>
      <c r="R28" s="42">
        <v>1</v>
      </c>
      <c r="S28" s="42">
        <v>1</v>
      </c>
      <c r="T28" s="42">
        <v>1</v>
      </c>
      <c r="U28" s="45" t="s">
        <v>47</v>
      </c>
      <c r="V28" s="42">
        <v>1</v>
      </c>
      <c r="W28" s="42">
        <v>1</v>
      </c>
      <c r="X28" s="42">
        <v>1</v>
      </c>
      <c r="Y28" s="42">
        <v>1</v>
      </c>
      <c r="Z28" s="42">
        <v>1</v>
      </c>
      <c r="AA28" s="42"/>
      <c r="AB28" s="42"/>
      <c r="AC28" s="42"/>
      <c r="AD28" s="42"/>
      <c r="AE28" s="41">
        <f t="shared" si="1"/>
        <v>11</v>
      </c>
      <c r="AF28" s="43" t="s">
        <v>66</v>
      </c>
      <c r="AG28" s="44" t="s">
        <v>393</v>
      </c>
    </row>
    <row r="29" spans="1:33" ht="14.25" customHeight="1">
      <c r="A29" s="38" t="s">
        <v>41</v>
      </c>
      <c r="B29" s="38" t="s">
        <v>198</v>
      </c>
      <c r="C29" s="38"/>
      <c r="D29" s="39">
        <v>21</v>
      </c>
      <c r="E29" s="40" t="s">
        <v>99</v>
      </c>
      <c r="F29" s="41">
        <f t="shared" si="3"/>
        <v>6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>
        <v>1</v>
      </c>
      <c r="V29" s="42">
        <v>1</v>
      </c>
      <c r="W29" s="45" t="s">
        <v>47</v>
      </c>
      <c r="X29" s="42">
        <v>1</v>
      </c>
      <c r="Y29" s="42">
        <v>1</v>
      </c>
      <c r="Z29" s="42">
        <v>1</v>
      </c>
      <c r="AA29" s="42">
        <v>1</v>
      </c>
      <c r="AB29" s="42"/>
      <c r="AC29" s="42"/>
      <c r="AD29" s="42"/>
      <c r="AE29" s="41">
        <f t="shared" si="1"/>
        <v>6</v>
      </c>
      <c r="AF29" s="43" t="s">
        <v>100</v>
      </c>
      <c r="AG29" s="44" t="s">
        <v>393</v>
      </c>
    </row>
    <row r="30" spans="1:33" ht="14.25" customHeight="1">
      <c r="A30" s="38" t="s">
        <v>41</v>
      </c>
      <c r="B30" s="38" t="s">
        <v>101</v>
      </c>
      <c r="C30" s="38">
        <v>962757006</v>
      </c>
      <c r="D30" s="39">
        <v>22</v>
      </c>
      <c r="E30" s="40" t="s">
        <v>102</v>
      </c>
      <c r="F30" s="41">
        <f t="shared" si="3"/>
        <v>10</v>
      </c>
      <c r="G30" s="42"/>
      <c r="H30" s="42"/>
      <c r="I30" s="42"/>
      <c r="J30" s="42"/>
      <c r="K30" s="42"/>
      <c r="L30" s="42"/>
      <c r="M30" s="42"/>
      <c r="N30" s="42"/>
      <c r="O30" s="42"/>
      <c r="P30" s="42">
        <v>1</v>
      </c>
      <c r="Q30" s="42">
        <v>1</v>
      </c>
      <c r="R30" s="42">
        <v>1</v>
      </c>
      <c r="S30" s="42">
        <v>1</v>
      </c>
      <c r="T30" s="42">
        <v>1</v>
      </c>
      <c r="U30" s="42">
        <v>1</v>
      </c>
      <c r="V30" s="42">
        <v>1</v>
      </c>
      <c r="W30" s="45" t="s">
        <v>47</v>
      </c>
      <c r="X30" s="42">
        <v>1</v>
      </c>
      <c r="Y30" s="42">
        <v>1</v>
      </c>
      <c r="Z30" s="42">
        <v>1</v>
      </c>
      <c r="AA30" s="42"/>
      <c r="AB30" s="42"/>
      <c r="AC30" s="42"/>
      <c r="AD30" s="42"/>
      <c r="AE30" s="41">
        <f t="shared" si="1"/>
        <v>10</v>
      </c>
      <c r="AF30" s="43" t="s">
        <v>164</v>
      </c>
      <c r="AG30" s="44" t="s">
        <v>393</v>
      </c>
    </row>
    <row r="31" spans="1:33" ht="14.25" customHeight="1">
      <c r="A31" s="38" t="s">
        <v>41</v>
      </c>
      <c r="B31" s="38" t="s">
        <v>103</v>
      </c>
      <c r="C31" s="38"/>
      <c r="D31" s="39">
        <v>23</v>
      </c>
      <c r="E31" s="40" t="s">
        <v>104</v>
      </c>
      <c r="F31" s="41">
        <f t="shared" si="3"/>
        <v>11</v>
      </c>
      <c r="G31" s="42"/>
      <c r="H31" s="42"/>
      <c r="I31" s="42"/>
      <c r="J31" s="42"/>
      <c r="K31" s="42"/>
      <c r="L31" s="42"/>
      <c r="M31" s="42"/>
      <c r="N31" s="42"/>
      <c r="O31" s="42"/>
      <c r="P31" s="42">
        <v>1</v>
      </c>
      <c r="Q31" s="42">
        <v>1</v>
      </c>
      <c r="R31" s="42">
        <v>1</v>
      </c>
      <c r="S31" s="42">
        <v>1</v>
      </c>
      <c r="T31" s="42">
        <v>1</v>
      </c>
      <c r="U31" s="42">
        <v>1</v>
      </c>
      <c r="V31" s="45" t="s">
        <v>47</v>
      </c>
      <c r="W31" s="42">
        <v>1</v>
      </c>
      <c r="X31" s="42">
        <v>1</v>
      </c>
      <c r="Y31" s="42">
        <v>1</v>
      </c>
      <c r="Z31" s="42">
        <v>1</v>
      </c>
      <c r="AA31" s="42">
        <v>1</v>
      </c>
      <c r="AB31" s="42"/>
      <c r="AC31" s="42"/>
      <c r="AD31" s="42"/>
      <c r="AE31" s="41">
        <f t="shared" si="1"/>
        <v>11</v>
      </c>
      <c r="AF31" s="43" t="s">
        <v>69</v>
      </c>
      <c r="AG31" s="44" t="s">
        <v>393</v>
      </c>
    </row>
    <row r="32" spans="1:33" ht="14.25" customHeight="1">
      <c r="A32" s="38" t="s">
        <v>145</v>
      </c>
      <c r="B32" s="38" t="s">
        <v>167</v>
      </c>
      <c r="C32" s="38">
        <v>995055956</v>
      </c>
      <c r="D32" s="39">
        <v>24</v>
      </c>
      <c r="E32" s="40" t="s">
        <v>144</v>
      </c>
      <c r="F32" s="41">
        <f t="shared" si="3"/>
        <v>11</v>
      </c>
      <c r="G32" s="42"/>
      <c r="H32" s="42"/>
      <c r="I32" s="42"/>
      <c r="J32" s="42"/>
      <c r="K32" s="42"/>
      <c r="L32" s="42"/>
      <c r="M32" s="42"/>
      <c r="N32" s="42">
        <v>1</v>
      </c>
      <c r="O32" s="42">
        <v>1</v>
      </c>
      <c r="P32" s="42">
        <v>1</v>
      </c>
      <c r="Q32" s="42">
        <v>1</v>
      </c>
      <c r="R32" s="42">
        <v>1</v>
      </c>
      <c r="S32" s="42">
        <v>1</v>
      </c>
      <c r="T32" s="42">
        <v>1</v>
      </c>
      <c r="U32" s="42">
        <v>1</v>
      </c>
      <c r="V32" s="42">
        <v>1</v>
      </c>
      <c r="W32" s="42">
        <v>1</v>
      </c>
      <c r="X32" s="42">
        <v>1</v>
      </c>
      <c r="Y32" s="42"/>
      <c r="Z32" s="42"/>
      <c r="AA32" s="42"/>
      <c r="AB32" s="42"/>
      <c r="AC32" s="42"/>
      <c r="AD32" s="42"/>
      <c r="AE32" s="41">
        <f t="shared" si="1"/>
        <v>11</v>
      </c>
      <c r="AF32" s="43" t="s">
        <v>154</v>
      </c>
      <c r="AG32" s="44" t="s">
        <v>393</v>
      </c>
    </row>
    <row r="33" spans="1:33" ht="14.25" customHeight="1">
      <c r="A33" s="38" t="s">
        <v>41</v>
      </c>
      <c r="B33" s="38" t="s">
        <v>332</v>
      </c>
      <c r="C33" s="38"/>
      <c r="D33" s="39">
        <v>25</v>
      </c>
      <c r="E33" s="40" t="s">
        <v>333</v>
      </c>
      <c r="F33" s="41">
        <f t="shared" si="3"/>
        <v>6</v>
      </c>
      <c r="G33" s="42"/>
      <c r="H33" s="42"/>
      <c r="I33" s="42"/>
      <c r="J33" s="42"/>
      <c r="K33" s="42"/>
      <c r="L33" s="42"/>
      <c r="M33" s="42"/>
      <c r="N33" s="42"/>
      <c r="O33" s="42">
        <v>1</v>
      </c>
      <c r="P33" s="42">
        <v>1</v>
      </c>
      <c r="Q33" s="42">
        <v>1</v>
      </c>
      <c r="R33" s="42">
        <v>1</v>
      </c>
      <c r="S33" s="42">
        <v>1</v>
      </c>
      <c r="T33" s="42">
        <v>1</v>
      </c>
      <c r="U33" s="45" t="s">
        <v>47</v>
      </c>
      <c r="V33" s="42"/>
      <c r="W33" s="42"/>
      <c r="X33" s="42"/>
      <c r="Y33" s="42"/>
      <c r="Z33" s="42"/>
      <c r="AA33" s="42"/>
      <c r="AB33" s="42"/>
      <c r="AC33" s="42"/>
      <c r="AD33" s="42"/>
      <c r="AE33" s="41">
        <f t="shared" si="1"/>
        <v>6</v>
      </c>
      <c r="AF33" s="43" t="s">
        <v>87</v>
      </c>
      <c r="AG33" s="44" t="s">
        <v>393</v>
      </c>
    </row>
    <row r="34" spans="1:33" ht="14.25" customHeight="1">
      <c r="A34" s="38" t="s">
        <v>145</v>
      </c>
      <c r="B34" s="38" t="s">
        <v>171</v>
      </c>
      <c r="C34" s="38">
        <v>990489779</v>
      </c>
      <c r="D34" s="39">
        <v>26</v>
      </c>
      <c r="E34" s="40" t="s">
        <v>172</v>
      </c>
      <c r="F34" s="41">
        <f t="shared" si="3"/>
        <v>11</v>
      </c>
      <c r="G34" s="42"/>
      <c r="H34" s="42"/>
      <c r="I34" s="42"/>
      <c r="J34" s="42"/>
      <c r="K34" s="42"/>
      <c r="L34" s="42"/>
      <c r="M34" s="42">
        <v>1</v>
      </c>
      <c r="N34" s="42">
        <v>1</v>
      </c>
      <c r="O34" s="42">
        <v>1</v>
      </c>
      <c r="P34" s="42">
        <v>1</v>
      </c>
      <c r="Q34" s="42">
        <v>1</v>
      </c>
      <c r="R34" s="42">
        <v>1</v>
      </c>
      <c r="S34" s="45" t="s">
        <v>47</v>
      </c>
      <c r="T34" s="42">
        <v>1</v>
      </c>
      <c r="U34" s="42">
        <v>1</v>
      </c>
      <c r="V34" s="42">
        <v>1</v>
      </c>
      <c r="W34" s="63">
        <v>1</v>
      </c>
      <c r="X34" s="42">
        <v>1</v>
      </c>
      <c r="Y34" s="42"/>
      <c r="Z34" s="42"/>
      <c r="AA34" s="42"/>
      <c r="AB34" s="42"/>
      <c r="AC34" s="42"/>
      <c r="AD34" s="42"/>
      <c r="AE34" s="41">
        <f t="shared" si="1"/>
        <v>11</v>
      </c>
      <c r="AF34" s="43" t="s">
        <v>84</v>
      </c>
      <c r="AG34" s="44" t="s">
        <v>393</v>
      </c>
    </row>
    <row r="35" spans="1:33" ht="14.25" customHeight="1">
      <c r="A35" s="38" t="s">
        <v>41</v>
      </c>
      <c r="B35" s="38" t="s">
        <v>105</v>
      </c>
      <c r="C35" s="38"/>
      <c r="D35" s="39">
        <v>25</v>
      </c>
      <c r="E35" s="40" t="s">
        <v>106</v>
      </c>
      <c r="F35" s="41">
        <f t="shared" si="3"/>
        <v>11</v>
      </c>
      <c r="G35" s="42"/>
      <c r="H35" s="42"/>
      <c r="I35" s="42"/>
      <c r="J35" s="42"/>
      <c r="K35" s="42"/>
      <c r="L35" s="42"/>
      <c r="M35" s="42"/>
      <c r="N35" s="42"/>
      <c r="O35" s="42"/>
      <c r="P35" s="42">
        <v>1</v>
      </c>
      <c r="Q35" s="42">
        <v>1</v>
      </c>
      <c r="R35" s="42">
        <v>1</v>
      </c>
      <c r="S35" s="42">
        <v>1</v>
      </c>
      <c r="T35" s="42">
        <v>1</v>
      </c>
      <c r="U35" s="42">
        <v>1</v>
      </c>
      <c r="V35" s="45" t="s">
        <v>47</v>
      </c>
      <c r="W35" s="42">
        <v>1</v>
      </c>
      <c r="X35" s="42">
        <v>1</v>
      </c>
      <c r="Y35" s="42">
        <v>1</v>
      </c>
      <c r="Z35" s="42">
        <v>1</v>
      </c>
      <c r="AA35" s="42">
        <v>1</v>
      </c>
      <c r="AB35" s="42"/>
      <c r="AC35" s="42"/>
      <c r="AD35" s="42"/>
      <c r="AE35" s="41">
        <f t="shared" si="1"/>
        <v>11</v>
      </c>
      <c r="AF35" s="43" t="s">
        <v>69</v>
      </c>
      <c r="AG35" s="44" t="s">
        <v>393</v>
      </c>
    </row>
    <row r="36" spans="1:33" ht="14.25" customHeight="1">
      <c r="A36" s="38" t="s">
        <v>41</v>
      </c>
      <c r="B36" s="38" t="s">
        <v>107</v>
      </c>
      <c r="C36" s="38">
        <v>981074073</v>
      </c>
      <c r="D36" s="39">
        <v>27</v>
      </c>
      <c r="E36" s="40" t="s">
        <v>108</v>
      </c>
      <c r="F36" s="41">
        <f t="shared" si="3"/>
        <v>10</v>
      </c>
      <c r="G36" s="42"/>
      <c r="H36" s="42"/>
      <c r="I36" s="42"/>
      <c r="J36" s="42"/>
      <c r="K36" s="42"/>
      <c r="L36" s="42"/>
      <c r="M36" s="42"/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1</v>
      </c>
      <c r="T36" s="42">
        <v>1</v>
      </c>
      <c r="U36" s="42">
        <v>1</v>
      </c>
      <c r="V36" s="45" t="s">
        <v>47</v>
      </c>
      <c r="W36" s="42">
        <v>1</v>
      </c>
      <c r="X36" s="42">
        <v>1</v>
      </c>
      <c r="Y36" s="42"/>
      <c r="Z36" s="42"/>
      <c r="AA36" s="42"/>
      <c r="AB36" s="42"/>
      <c r="AC36" s="42"/>
      <c r="AD36" s="42"/>
      <c r="AE36" s="41">
        <f t="shared" si="1"/>
        <v>10</v>
      </c>
      <c r="AF36" s="43" t="s">
        <v>154</v>
      </c>
      <c r="AG36" s="44" t="s">
        <v>393</v>
      </c>
    </row>
    <row r="37" spans="1:33" ht="14.25" customHeight="1">
      <c r="A37" s="38" t="s">
        <v>41</v>
      </c>
      <c r="B37" s="38" t="s">
        <v>111</v>
      </c>
      <c r="C37" s="38"/>
      <c r="D37" s="39">
        <v>29</v>
      </c>
      <c r="E37" s="40" t="s">
        <v>112</v>
      </c>
      <c r="F37" s="41">
        <f t="shared" si="3"/>
        <v>11</v>
      </c>
      <c r="G37" s="42"/>
      <c r="H37" s="42"/>
      <c r="I37" s="42"/>
      <c r="J37" s="42"/>
      <c r="K37" s="42"/>
      <c r="L37" s="42"/>
      <c r="M37" s="42">
        <v>1</v>
      </c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5" t="s">
        <v>47</v>
      </c>
      <c r="T37" s="42">
        <v>1</v>
      </c>
      <c r="U37" s="42">
        <v>1</v>
      </c>
      <c r="V37" s="42">
        <v>1</v>
      </c>
      <c r="W37" s="42">
        <v>1</v>
      </c>
      <c r="X37" s="42">
        <v>1</v>
      </c>
      <c r="Y37" s="42"/>
      <c r="Z37" s="42"/>
      <c r="AA37" s="42"/>
      <c r="AB37" s="42"/>
      <c r="AC37" s="42"/>
      <c r="AD37" s="42"/>
      <c r="AE37" s="41">
        <f t="shared" si="1"/>
        <v>11</v>
      </c>
      <c r="AF37" s="43" t="s">
        <v>84</v>
      </c>
      <c r="AG37" s="44" t="s">
        <v>393</v>
      </c>
    </row>
    <row r="38" spans="1:33" ht="14.25" customHeight="1">
      <c r="A38" s="38" t="s">
        <v>41</v>
      </c>
      <c r="B38" s="38" t="s">
        <v>113</v>
      </c>
      <c r="C38" s="38"/>
      <c r="D38" s="39">
        <v>30</v>
      </c>
      <c r="E38" s="40" t="s">
        <v>114</v>
      </c>
      <c r="F38" s="41">
        <f t="shared" si="3"/>
        <v>11</v>
      </c>
      <c r="G38" s="42"/>
      <c r="H38" s="42"/>
      <c r="I38" s="42"/>
      <c r="J38" s="42"/>
      <c r="K38" s="42"/>
      <c r="L38" s="42"/>
      <c r="M38" s="42"/>
      <c r="N38" s="42">
        <v>1</v>
      </c>
      <c r="O38" s="42">
        <v>1</v>
      </c>
      <c r="P38" s="42">
        <v>1</v>
      </c>
      <c r="Q38" s="42">
        <v>1</v>
      </c>
      <c r="R38" s="42">
        <v>1</v>
      </c>
      <c r="S38" s="42">
        <v>1</v>
      </c>
      <c r="T38" s="42">
        <v>1</v>
      </c>
      <c r="U38" s="42">
        <v>1</v>
      </c>
      <c r="V38" s="42">
        <v>1</v>
      </c>
      <c r="W38" s="42">
        <v>1</v>
      </c>
      <c r="X38" s="42">
        <v>1</v>
      </c>
      <c r="Y38" s="42"/>
      <c r="Z38" s="42"/>
      <c r="AA38" s="42"/>
      <c r="AB38" s="42"/>
      <c r="AC38" s="42"/>
      <c r="AD38" s="42"/>
      <c r="AE38" s="41">
        <f t="shared" si="1"/>
        <v>11</v>
      </c>
      <c r="AF38" s="43" t="s">
        <v>154</v>
      </c>
      <c r="AG38" s="44" t="s">
        <v>393</v>
      </c>
    </row>
    <row r="39" spans="1:33" ht="14.25" customHeight="1">
      <c r="A39" s="38" t="s">
        <v>41</v>
      </c>
      <c r="B39" s="38" t="s">
        <v>115</v>
      </c>
      <c r="C39" s="38">
        <v>962936744</v>
      </c>
      <c r="D39" s="39">
        <v>31</v>
      </c>
      <c r="E39" s="40" t="s">
        <v>116</v>
      </c>
      <c r="F39" s="41">
        <f t="shared" si="3"/>
        <v>13</v>
      </c>
      <c r="G39" s="42">
        <v>1</v>
      </c>
      <c r="H39" s="42">
        <v>1</v>
      </c>
      <c r="I39" s="42">
        <v>1</v>
      </c>
      <c r="J39" s="42">
        <v>1</v>
      </c>
      <c r="K39" s="42">
        <v>1</v>
      </c>
      <c r="L39" s="42">
        <v>1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>
        <v>1</v>
      </c>
      <c r="Y39" s="42">
        <v>1</v>
      </c>
      <c r="Z39" s="42">
        <v>1</v>
      </c>
      <c r="AA39" s="42">
        <v>1</v>
      </c>
      <c r="AB39" s="42">
        <v>1</v>
      </c>
      <c r="AC39" s="42">
        <v>1</v>
      </c>
      <c r="AD39" s="42">
        <v>1</v>
      </c>
      <c r="AE39" s="41">
        <f t="shared" si="1"/>
        <v>13</v>
      </c>
      <c r="AF39" s="46" t="s">
        <v>54</v>
      </c>
      <c r="AG39" s="44" t="s">
        <v>393</v>
      </c>
    </row>
    <row r="40" spans="1:33" ht="14.25" customHeight="1">
      <c r="A40" s="38" t="s">
        <v>41</v>
      </c>
      <c r="B40" s="38" t="s">
        <v>120</v>
      </c>
      <c r="C40" s="38"/>
      <c r="D40" s="39">
        <v>33</v>
      </c>
      <c r="E40" s="40" t="s">
        <v>121</v>
      </c>
      <c r="F40" s="41">
        <f t="shared" si="3"/>
        <v>11</v>
      </c>
      <c r="G40" s="42"/>
      <c r="H40" s="42"/>
      <c r="I40" s="42"/>
      <c r="J40" s="42"/>
      <c r="K40" s="42"/>
      <c r="L40" s="42"/>
      <c r="M40" s="42">
        <v>1</v>
      </c>
      <c r="N40" s="42">
        <v>1</v>
      </c>
      <c r="O40" s="42">
        <v>1</v>
      </c>
      <c r="P40" s="42">
        <v>1</v>
      </c>
      <c r="Q40" s="42">
        <v>1</v>
      </c>
      <c r="R40" s="42">
        <v>1</v>
      </c>
      <c r="S40" s="45" t="s">
        <v>47</v>
      </c>
      <c r="T40" s="42">
        <v>1</v>
      </c>
      <c r="U40" s="42">
        <v>1</v>
      </c>
      <c r="V40" s="42">
        <v>1</v>
      </c>
      <c r="W40" s="42">
        <v>1</v>
      </c>
      <c r="X40" s="42">
        <v>1</v>
      </c>
      <c r="Y40" s="42"/>
      <c r="Z40" s="42"/>
      <c r="AA40" s="42"/>
      <c r="AB40" s="42"/>
      <c r="AC40" s="42"/>
      <c r="AD40" s="42"/>
      <c r="AE40" s="41">
        <f t="shared" si="1"/>
        <v>11</v>
      </c>
      <c r="AF40" s="43" t="s">
        <v>84</v>
      </c>
      <c r="AG40" s="44" t="s">
        <v>393</v>
      </c>
    </row>
    <row r="41" spans="1:33" ht="14.25" customHeight="1">
      <c r="A41" s="38" t="s">
        <v>41</v>
      </c>
      <c r="B41" s="38" t="s">
        <v>122</v>
      </c>
      <c r="C41" s="38">
        <v>984490770</v>
      </c>
      <c r="D41" s="39">
        <v>34</v>
      </c>
      <c r="E41" s="40" t="s">
        <v>123</v>
      </c>
      <c r="F41" s="41">
        <f t="shared" si="3"/>
        <v>11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>
        <v>1</v>
      </c>
      <c r="R41" s="42">
        <v>1</v>
      </c>
      <c r="S41" s="42">
        <v>1</v>
      </c>
      <c r="T41" s="42">
        <v>1</v>
      </c>
      <c r="U41" s="45" t="s">
        <v>47</v>
      </c>
      <c r="V41" s="42">
        <v>1</v>
      </c>
      <c r="W41" s="42">
        <v>1</v>
      </c>
      <c r="X41" s="42">
        <v>1</v>
      </c>
      <c r="Y41" s="42">
        <v>1</v>
      </c>
      <c r="Z41" s="42">
        <v>1</v>
      </c>
      <c r="AA41" s="42">
        <v>1</v>
      </c>
      <c r="AB41" s="42">
        <v>1</v>
      </c>
      <c r="AC41" s="42"/>
      <c r="AD41" s="42"/>
      <c r="AE41" s="41">
        <f t="shared" si="1"/>
        <v>11</v>
      </c>
      <c r="AF41" s="43" t="s">
        <v>96</v>
      </c>
      <c r="AG41" s="44" t="s">
        <v>393</v>
      </c>
    </row>
    <row r="42" spans="1:33" ht="14.25" customHeight="1">
      <c r="A42" s="38" t="s">
        <v>41</v>
      </c>
      <c r="B42" s="38" t="s">
        <v>124</v>
      </c>
      <c r="C42" s="38">
        <v>979137365</v>
      </c>
      <c r="D42" s="39">
        <v>35</v>
      </c>
      <c r="E42" s="40" t="s">
        <v>125</v>
      </c>
      <c r="F42" s="41">
        <f t="shared" si="3"/>
        <v>6</v>
      </c>
      <c r="G42" s="42">
        <v>1</v>
      </c>
      <c r="H42" s="42">
        <v>1</v>
      </c>
      <c r="I42" s="42">
        <v>1</v>
      </c>
      <c r="J42" s="42">
        <v>1</v>
      </c>
      <c r="K42" s="42">
        <v>1</v>
      </c>
      <c r="L42" s="42">
        <v>1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1">
        <f t="shared" si="1"/>
        <v>6</v>
      </c>
      <c r="AF42" s="46" t="s">
        <v>159</v>
      </c>
      <c r="AG42" s="44" t="s">
        <v>393</v>
      </c>
    </row>
    <row r="43" spans="1:33" ht="14.25" customHeight="1">
      <c r="A43" s="38" t="s">
        <v>41</v>
      </c>
      <c r="B43" s="38" t="s">
        <v>128</v>
      </c>
      <c r="C43" s="38"/>
      <c r="D43" s="39">
        <v>37</v>
      </c>
      <c r="E43" s="40" t="s">
        <v>129</v>
      </c>
      <c r="F43" s="41">
        <f t="shared" si="3"/>
        <v>11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>
        <v>1</v>
      </c>
      <c r="R43" s="42">
        <v>1</v>
      </c>
      <c r="S43" s="42">
        <v>1</v>
      </c>
      <c r="T43" s="42">
        <v>1</v>
      </c>
      <c r="U43" s="42">
        <v>1</v>
      </c>
      <c r="V43" s="42">
        <v>1</v>
      </c>
      <c r="W43" s="42">
        <v>1</v>
      </c>
      <c r="X43" s="42">
        <v>1</v>
      </c>
      <c r="Y43" s="42">
        <v>1</v>
      </c>
      <c r="Z43" s="42">
        <v>1</v>
      </c>
      <c r="AA43" s="42">
        <v>1</v>
      </c>
      <c r="AB43" s="42"/>
      <c r="AC43" s="42"/>
      <c r="AD43" s="42"/>
      <c r="AE43" s="41">
        <f t="shared" si="1"/>
        <v>11</v>
      </c>
      <c r="AF43" s="43" t="s">
        <v>170</v>
      </c>
      <c r="AG43" s="44" t="s">
        <v>393</v>
      </c>
    </row>
    <row r="44" spans="1:33" ht="14.25" customHeight="1">
      <c r="A44" s="38" t="s">
        <v>41</v>
      </c>
      <c r="B44" s="38" t="s">
        <v>130</v>
      </c>
      <c r="C44" s="38">
        <v>998810875</v>
      </c>
      <c r="D44" s="39">
        <v>38</v>
      </c>
      <c r="E44" s="40" t="s">
        <v>131</v>
      </c>
      <c r="F44" s="41">
        <f t="shared" si="3"/>
        <v>10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>
        <v>1</v>
      </c>
      <c r="U44" s="45" t="s">
        <v>47</v>
      </c>
      <c r="V44" s="42">
        <v>1</v>
      </c>
      <c r="W44" s="42">
        <v>1</v>
      </c>
      <c r="X44" s="42">
        <v>1</v>
      </c>
      <c r="Y44" s="42">
        <v>1</v>
      </c>
      <c r="Z44" s="42">
        <v>1</v>
      </c>
      <c r="AA44" s="42">
        <v>1</v>
      </c>
      <c r="AB44" s="42">
        <v>1</v>
      </c>
      <c r="AC44" s="42">
        <v>1</v>
      </c>
      <c r="AD44" s="42">
        <v>1</v>
      </c>
      <c r="AE44" s="41">
        <f t="shared" si="1"/>
        <v>10</v>
      </c>
      <c r="AF44" s="43" t="s">
        <v>328</v>
      </c>
      <c r="AG44" s="44" t="s">
        <v>393</v>
      </c>
    </row>
    <row r="45" spans="1:33" ht="14.25" customHeight="1">
      <c r="A45" s="38" t="s">
        <v>209</v>
      </c>
      <c r="B45" s="38" t="s">
        <v>49</v>
      </c>
      <c r="C45" s="38">
        <v>983804379</v>
      </c>
      <c r="D45" s="39">
        <v>1</v>
      </c>
      <c r="E45" s="40" t="s">
        <v>50</v>
      </c>
      <c r="F45" s="41">
        <v>10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>
        <v>1</v>
      </c>
      <c r="T45" s="42">
        <v>1</v>
      </c>
      <c r="U45" s="45" t="s">
        <v>47</v>
      </c>
      <c r="V45" s="573" t="s">
        <v>132</v>
      </c>
      <c r="W45" s="555"/>
      <c r="X45" s="555"/>
      <c r="Y45" s="555"/>
      <c r="Z45" s="555"/>
      <c r="AA45" s="555"/>
      <c r="AB45" s="555"/>
      <c r="AC45" s="542"/>
      <c r="AD45" s="42"/>
      <c r="AE45" s="41">
        <v>10</v>
      </c>
      <c r="AF45" s="43" t="s">
        <v>259</v>
      </c>
      <c r="AG45" s="44" t="s">
        <v>393</v>
      </c>
    </row>
    <row r="46" spans="1:33" ht="14.25" customHeight="1">
      <c r="A46" s="38" t="s">
        <v>209</v>
      </c>
      <c r="B46" s="38" t="s">
        <v>134</v>
      </c>
      <c r="C46" s="38">
        <v>962839078</v>
      </c>
      <c r="D46" s="39">
        <v>2</v>
      </c>
      <c r="E46" s="40" t="s">
        <v>135</v>
      </c>
      <c r="F46" s="41">
        <v>10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>
        <v>1</v>
      </c>
      <c r="T46" s="42">
        <v>1</v>
      </c>
      <c r="U46" s="45" t="s">
        <v>47</v>
      </c>
      <c r="V46" s="573" t="s">
        <v>132</v>
      </c>
      <c r="W46" s="555"/>
      <c r="X46" s="555"/>
      <c r="Y46" s="555"/>
      <c r="Z46" s="555"/>
      <c r="AA46" s="555"/>
      <c r="AB46" s="555"/>
      <c r="AC46" s="542"/>
      <c r="AD46" s="42"/>
      <c r="AE46" s="41">
        <v>10</v>
      </c>
      <c r="AF46" s="43" t="s">
        <v>259</v>
      </c>
      <c r="AG46" s="44" t="s">
        <v>393</v>
      </c>
    </row>
    <row r="47" spans="1:33" ht="14.25" customHeight="1">
      <c r="A47" s="38" t="s">
        <v>209</v>
      </c>
      <c r="B47" s="38" t="s">
        <v>139</v>
      </c>
      <c r="C47" s="38">
        <v>990660059</v>
      </c>
      <c r="D47" s="39">
        <v>3</v>
      </c>
      <c r="E47" s="40" t="s">
        <v>140</v>
      </c>
      <c r="F47" s="41">
        <v>10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>
        <v>1</v>
      </c>
      <c r="T47" s="42">
        <v>1</v>
      </c>
      <c r="U47" s="45" t="s">
        <v>47</v>
      </c>
      <c r="V47" s="573" t="s">
        <v>132</v>
      </c>
      <c r="W47" s="555"/>
      <c r="X47" s="555"/>
      <c r="Y47" s="555"/>
      <c r="Z47" s="555"/>
      <c r="AA47" s="555"/>
      <c r="AB47" s="555"/>
      <c r="AC47" s="542"/>
      <c r="AD47" s="42"/>
      <c r="AE47" s="41">
        <v>10</v>
      </c>
      <c r="AF47" s="43" t="s">
        <v>259</v>
      </c>
      <c r="AG47" s="44" t="s">
        <v>393</v>
      </c>
    </row>
    <row r="48" spans="1:33" ht="14.25" customHeight="1">
      <c r="A48" s="38" t="s">
        <v>209</v>
      </c>
      <c r="B48" s="38" t="s">
        <v>173</v>
      </c>
      <c r="C48" s="38">
        <v>988941361</v>
      </c>
      <c r="D48" s="62">
        <v>4</v>
      </c>
      <c r="E48" s="40" t="s">
        <v>174</v>
      </c>
      <c r="F48" s="41">
        <v>10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>
        <v>1</v>
      </c>
      <c r="T48" s="42">
        <v>1</v>
      </c>
      <c r="U48" s="45" t="s">
        <v>47</v>
      </c>
      <c r="V48" s="573" t="s">
        <v>132</v>
      </c>
      <c r="W48" s="555"/>
      <c r="X48" s="555"/>
      <c r="Y48" s="555"/>
      <c r="Z48" s="555"/>
      <c r="AA48" s="555"/>
      <c r="AB48" s="555"/>
      <c r="AC48" s="542"/>
      <c r="AD48" s="42"/>
      <c r="AE48" s="41">
        <v>10</v>
      </c>
      <c r="AF48" s="43" t="s">
        <v>259</v>
      </c>
      <c r="AG48" s="44" t="s">
        <v>393</v>
      </c>
    </row>
    <row r="49" spans="1:33" ht="14.25" customHeight="1">
      <c r="A49" s="38" t="s">
        <v>209</v>
      </c>
      <c r="B49" s="38" t="s">
        <v>117</v>
      </c>
      <c r="C49" s="38"/>
      <c r="D49" s="39">
        <v>5</v>
      </c>
      <c r="E49" s="40" t="s">
        <v>118</v>
      </c>
      <c r="F49" s="41">
        <v>10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>
        <v>1</v>
      </c>
      <c r="S49" s="42">
        <v>1</v>
      </c>
      <c r="T49" s="42">
        <v>1</v>
      </c>
      <c r="U49" s="45" t="s">
        <v>47</v>
      </c>
      <c r="V49" s="573" t="s">
        <v>132</v>
      </c>
      <c r="W49" s="555"/>
      <c r="X49" s="555"/>
      <c r="Y49" s="555"/>
      <c r="Z49" s="555"/>
      <c r="AA49" s="555"/>
      <c r="AB49" s="555"/>
      <c r="AC49" s="542"/>
      <c r="AD49" s="42">
        <v>1</v>
      </c>
      <c r="AE49" s="41">
        <v>10</v>
      </c>
      <c r="AF49" s="43" t="s">
        <v>375</v>
      </c>
      <c r="AG49" s="44" t="s">
        <v>393</v>
      </c>
    </row>
    <row r="50" spans="1:33" ht="14.25" customHeight="1">
      <c r="A50" s="38" t="s">
        <v>209</v>
      </c>
      <c r="B50" s="38" t="s">
        <v>142</v>
      </c>
      <c r="C50" s="38">
        <v>982807786</v>
      </c>
      <c r="D50" s="39">
        <v>6</v>
      </c>
      <c r="E50" s="40" t="s">
        <v>143</v>
      </c>
      <c r="F50" s="41">
        <v>10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>
        <v>1</v>
      </c>
      <c r="T50" s="42">
        <v>1</v>
      </c>
      <c r="U50" s="45" t="s">
        <v>47</v>
      </c>
      <c r="V50" s="573" t="s">
        <v>132</v>
      </c>
      <c r="W50" s="555"/>
      <c r="X50" s="555"/>
      <c r="Y50" s="555"/>
      <c r="Z50" s="555"/>
      <c r="AA50" s="555"/>
      <c r="AB50" s="555"/>
      <c r="AC50" s="542"/>
      <c r="AD50" s="42"/>
      <c r="AE50" s="41">
        <v>10</v>
      </c>
      <c r="AF50" s="43" t="s">
        <v>259</v>
      </c>
      <c r="AG50" s="44" t="s">
        <v>393</v>
      </c>
    </row>
    <row r="51" spans="1:33" ht="14.25" customHeight="1">
      <c r="A51" s="38" t="s">
        <v>320</v>
      </c>
      <c r="B51" s="38" t="s">
        <v>137</v>
      </c>
      <c r="C51" s="38">
        <v>984891008</v>
      </c>
      <c r="D51" s="39">
        <v>1</v>
      </c>
      <c r="E51" s="40" t="s">
        <v>138</v>
      </c>
      <c r="F51" s="41">
        <v>10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2">
        <v>1</v>
      </c>
      <c r="U51" s="42">
        <v>1</v>
      </c>
      <c r="V51" s="573" t="s">
        <v>292</v>
      </c>
      <c r="W51" s="555"/>
      <c r="X51" s="555"/>
      <c r="Y51" s="555"/>
      <c r="Z51" s="555"/>
      <c r="AA51" s="555"/>
      <c r="AB51" s="555"/>
      <c r="AC51" s="555"/>
      <c r="AD51" s="42"/>
      <c r="AE51" s="114">
        <v>10</v>
      </c>
      <c r="AF51" s="43" t="s">
        <v>175</v>
      </c>
      <c r="AG51" s="44" t="s">
        <v>393</v>
      </c>
    </row>
    <row r="52" spans="1:33" ht="14.25" customHeight="1">
      <c r="A52" s="38" t="s">
        <v>320</v>
      </c>
      <c r="B52" s="38" t="s">
        <v>190</v>
      </c>
      <c r="C52" s="38">
        <v>983356603</v>
      </c>
      <c r="D52" s="39">
        <v>2</v>
      </c>
      <c r="E52" s="40" t="s">
        <v>191</v>
      </c>
      <c r="F52" s="41">
        <v>10</v>
      </c>
      <c r="G52" s="47"/>
      <c r="H52" s="47"/>
      <c r="I52" s="47"/>
      <c r="J52" s="47"/>
      <c r="K52" s="47"/>
      <c r="L52" s="47"/>
      <c r="M52" s="47"/>
      <c r="N52" s="573" t="s">
        <v>292</v>
      </c>
      <c r="O52" s="555"/>
      <c r="P52" s="555"/>
      <c r="Q52" s="555"/>
      <c r="R52" s="555"/>
      <c r="S52" s="555"/>
      <c r="T52" s="555"/>
      <c r="U52" s="555"/>
      <c r="V52" s="42">
        <v>1</v>
      </c>
      <c r="W52" s="42">
        <v>1</v>
      </c>
      <c r="X52" s="42"/>
      <c r="Y52" s="42"/>
      <c r="Z52" s="42"/>
      <c r="AA52" s="42"/>
      <c r="AB52" s="42"/>
      <c r="AC52" s="42"/>
      <c r="AD52" s="47"/>
      <c r="AE52" s="41">
        <v>10</v>
      </c>
      <c r="AF52" s="43" t="s">
        <v>61</v>
      </c>
      <c r="AG52" s="44" t="s">
        <v>393</v>
      </c>
    </row>
    <row r="53" spans="1:33" ht="14.25" customHeight="1">
      <c r="A53" s="38" t="s">
        <v>187</v>
      </c>
      <c r="B53" s="38" t="s">
        <v>188</v>
      </c>
      <c r="C53" s="38"/>
      <c r="D53" s="39">
        <v>1</v>
      </c>
      <c r="E53" s="40" t="s">
        <v>189</v>
      </c>
      <c r="F53" s="41">
        <v>11</v>
      </c>
      <c r="G53" s="47"/>
      <c r="H53" s="47"/>
      <c r="I53" s="47"/>
      <c r="J53" s="47"/>
      <c r="K53" s="47"/>
      <c r="L53" s="47"/>
      <c r="M53" s="47"/>
      <c r="N53" s="47"/>
      <c r="O53" s="47"/>
      <c r="P53" s="573" t="s">
        <v>187</v>
      </c>
      <c r="Q53" s="555"/>
      <c r="R53" s="555"/>
      <c r="S53" s="555"/>
      <c r="T53" s="555"/>
      <c r="U53" s="555"/>
      <c r="V53" s="555"/>
      <c r="W53" s="555"/>
      <c r="X53" s="555"/>
      <c r="Y53" s="555"/>
      <c r="Z53" s="555"/>
      <c r="AA53" s="47"/>
      <c r="AB53" s="47"/>
      <c r="AC53" s="47"/>
      <c r="AD53" s="47"/>
      <c r="AE53" s="41">
        <v>11</v>
      </c>
      <c r="AF53" s="43" t="s">
        <v>164</v>
      </c>
      <c r="AG53" s="44" t="s">
        <v>393</v>
      </c>
    </row>
    <row r="54" spans="1:33" ht="14.25" customHeight="1">
      <c r="A54" s="38"/>
      <c r="B54" s="38"/>
      <c r="C54" s="38"/>
      <c r="D54" s="39">
        <v>1</v>
      </c>
      <c r="E54" s="40" t="s">
        <v>363</v>
      </c>
      <c r="F54" s="41">
        <v>12</v>
      </c>
      <c r="G54" s="42"/>
      <c r="H54" s="42"/>
      <c r="I54" s="42"/>
      <c r="J54" s="42"/>
      <c r="K54" s="42"/>
      <c r="L54" s="42"/>
      <c r="M54" s="42"/>
      <c r="N54" s="42"/>
      <c r="O54" s="573" t="s">
        <v>364</v>
      </c>
      <c r="P54" s="555"/>
      <c r="Q54" s="555"/>
      <c r="R54" s="555"/>
      <c r="S54" s="555"/>
      <c r="T54" s="555"/>
      <c r="U54" s="555"/>
      <c r="V54" s="555"/>
      <c r="W54" s="555"/>
      <c r="X54" s="555"/>
      <c r="Y54" s="542"/>
      <c r="Z54" s="42"/>
      <c r="AA54" s="42"/>
      <c r="AB54" s="42"/>
      <c r="AC54" s="42"/>
      <c r="AD54" s="42"/>
      <c r="AE54" s="41">
        <v>12</v>
      </c>
      <c r="AF54" s="43" t="s">
        <v>66</v>
      </c>
      <c r="AG54" s="44" t="s">
        <v>393</v>
      </c>
    </row>
    <row r="55" spans="1:33" ht="14.25" customHeight="1">
      <c r="A55" s="38" t="s">
        <v>41</v>
      </c>
      <c r="B55" s="38" t="s">
        <v>126</v>
      </c>
      <c r="C55" s="38">
        <v>986256130</v>
      </c>
      <c r="D55" s="39">
        <v>36</v>
      </c>
      <c r="E55" s="40" t="s">
        <v>127</v>
      </c>
      <c r="F55" s="41">
        <f>SUM(G55:AD55)</f>
        <v>11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>
        <v>1</v>
      </c>
      <c r="R55" s="42">
        <v>1</v>
      </c>
      <c r="S55" s="42">
        <v>1</v>
      </c>
      <c r="T55" s="42">
        <v>1</v>
      </c>
      <c r="U55" s="42">
        <v>1</v>
      </c>
      <c r="V55" s="42">
        <v>1</v>
      </c>
      <c r="W55" s="42">
        <v>1</v>
      </c>
      <c r="X55" s="42">
        <v>1</v>
      </c>
      <c r="Y55" s="42">
        <v>1</v>
      </c>
      <c r="Z55" s="42">
        <v>1</v>
      </c>
      <c r="AA55" s="42">
        <v>1</v>
      </c>
      <c r="AB55" s="42"/>
      <c r="AC55" s="42"/>
      <c r="AD55" s="42"/>
      <c r="AE55" s="41">
        <f>SUM(G55:AD55)</f>
        <v>11</v>
      </c>
      <c r="AF55" s="43" t="s">
        <v>170</v>
      </c>
      <c r="AG55" s="44" t="s">
        <v>393</v>
      </c>
    </row>
    <row r="56" spans="1:33" ht="14.25" customHeight="1">
      <c r="A56" s="2"/>
      <c r="B56" s="2"/>
      <c r="C56" s="2"/>
      <c r="D56" s="48"/>
      <c r="E56" s="49"/>
      <c r="F56" s="50"/>
      <c r="G56" s="51" t="s">
        <v>9</v>
      </c>
      <c r="H56" s="51" t="s">
        <v>10</v>
      </c>
      <c r="I56" s="51" t="s">
        <v>11</v>
      </c>
      <c r="J56" s="51" t="s">
        <v>12</v>
      </c>
      <c r="K56" s="51" t="s">
        <v>13</v>
      </c>
      <c r="L56" s="51" t="s">
        <v>14</v>
      </c>
      <c r="M56" s="51" t="s">
        <v>15</v>
      </c>
      <c r="N56" s="51" t="s">
        <v>16</v>
      </c>
      <c r="O56" s="106" t="s">
        <v>17</v>
      </c>
      <c r="P56" s="106" t="s">
        <v>18</v>
      </c>
      <c r="Q56" s="107" t="s">
        <v>19</v>
      </c>
      <c r="R56" s="107" t="s">
        <v>20</v>
      </c>
      <c r="S56" s="107" t="s">
        <v>21</v>
      </c>
      <c r="T56" s="107" t="s">
        <v>22</v>
      </c>
      <c r="U56" s="107" t="s">
        <v>23</v>
      </c>
      <c r="V56" s="107" t="s">
        <v>24</v>
      </c>
      <c r="W56" s="107" t="s">
        <v>25</v>
      </c>
      <c r="X56" s="107" t="s">
        <v>26</v>
      </c>
      <c r="Y56" s="107" t="s">
        <v>27</v>
      </c>
      <c r="Z56" s="107" t="s">
        <v>28</v>
      </c>
      <c r="AA56" s="52" t="s">
        <v>29</v>
      </c>
      <c r="AB56" s="52" t="s">
        <v>30</v>
      </c>
      <c r="AC56" s="52" t="s">
        <v>31</v>
      </c>
      <c r="AD56" s="51" t="s">
        <v>32</v>
      </c>
      <c r="AE56" s="53"/>
      <c r="AF56" s="25"/>
      <c r="AG56" s="25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3"/>
      <c r="B58" s="3"/>
      <c r="C58" s="3"/>
      <c r="D58" s="48"/>
      <c r="E58" s="547" t="s">
        <v>8</v>
      </c>
      <c r="F58" s="548"/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79">
        <v>3</v>
      </c>
      <c r="N58" s="79">
        <v>3</v>
      </c>
      <c r="O58" s="80">
        <v>6</v>
      </c>
      <c r="P58" s="81">
        <v>7</v>
      </c>
      <c r="Q58" s="82">
        <v>8</v>
      </c>
      <c r="R58" s="82">
        <v>8</v>
      </c>
      <c r="S58" s="82">
        <v>8</v>
      </c>
      <c r="T58" s="82">
        <v>8</v>
      </c>
      <c r="U58" s="82">
        <v>8</v>
      </c>
      <c r="V58" s="82">
        <v>8</v>
      </c>
      <c r="W58" s="81">
        <v>7</v>
      </c>
      <c r="X58" s="80">
        <v>6</v>
      </c>
      <c r="Y58" s="80">
        <v>6</v>
      </c>
      <c r="Z58" s="80">
        <v>6</v>
      </c>
      <c r="AA58" s="83">
        <v>5</v>
      </c>
      <c r="AB58" s="56">
        <v>4</v>
      </c>
      <c r="AC58" s="79">
        <v>3</v>
      </c>
      <c r="AD58" s="12">
        <v>2</v>
      </c>
      <c r="AE58" s="18">
        <f>SUM(G58:AD58)</f>
        <v>118</v>
      </c>
      <c r="AF58" s="25"/>
      <c r="AG58" s="3"/>
    </row>
    <row r="59" spans="1:33" ht="14.25" customHeight="1">
      <c r="A59" s="3"/>
      <c r="B59" s="3"/>
      <c r="C59" s="3"/>
      <c r="D59" s="48"/>
      <c r="E59" s="59"/>
      <c r="F59" s="59"/>
      <c r="G59" s="28">
        <f t="shared" ref="G59:AD59" si="4">G61-G58</f>
        <v>0</v>
      </c>
      <c r="H59" s="28">
        <f t="shared" si="4"/>
        <v>0</v>
      </c>
      <c r="I59" s="28">
        <f t="shared" si="4"/>
        <v>0</v>
      </c>
      <c r="J59" s="28">
        <f t="shared" si="4"/>
        <v>0</v>
      </c>
      <c r="K59" s="28">
        <f t="shared" si="4"/>
        <v>0</v>
      </c>
      <c r="L59" s="28">
        <f t="shared" si="4"/>
        <v>0</v>
      </c>
      <c r="M59" s="28">
        <f t="shared" si="4"/>
        <v>0</v>
      </c>
      <c r="N59" s="28">
        <f t="shared" si="4"/>
        <v>0</v>
      </c>
      <c r="O59" s="28">
        <f t="shared" si="4"/>
        <v>0</v>
      </c>
      <c r="P59" s="28">
        <f t="shared" si="4"/>
        <v>0</v>
      </c>
      <c r="Q59" s="28">
        <f t="shared" si="4"/>
        <v>0</v>
      </c>
      <c r="R59" s="28">
        <f t="shared" si="4"/>
        <v>0</v>
      </c>
      <c r="S59" s="28">
        <f t="shared" si="4"/>
        <v>-1</v>
      </c>
      <c r="T59" s="28">
        <f t="shared" si="4"/>
        <v>-1</v>
      </c>
      <c r="U59" s="28">
        <f t="shared" si="4"/>
        <v>-1</v>
      </c>
      <c r="V59" s="84">
        <f t="shared" si="4"/>
        <v>0</v>
      </c>
      <c r="W59" s="28">
        <f t="shared" si="4"/>
        <v>-1</v>
      </c>
      <c r="X59" s="28">
        <f t="shared" si="4"/>
        <v>0</v>
      </c>
      <c r="Y59" s="28">
        <f t="shared" si="4"/>
        <v>1</v>
      </c>
      <c r="Z59" s="28">
        <f t="shared" si="4"/>
        <v>0</v>
      </c>
      <c r="AA59" s="28">
        <f t="shared" si="4"/>
        <v>0</v>
      </c>
      <c r="AB59" s="28">
        <f t="shared" si="4"/>
        <v>0</v>
      </c>
      <c r="AC59" s="28">
        <f t="shared" si="4"/>
        <v>0</v>
      </c>
      <c r="AD59" s="28">
        <f t="shared" si="4"/>
        <v>0</v>
      </c>
      <c r="AE59" s="53"/>
      <c r="AF59" s="3"/>
      <c r="AG59" s="3"/>
    </row>
    <row r="60" spans="1:33" ht="14.25" customHeight="1">
      <c r="A60" s="3"/>
      <c r="B60" s="3"/>
      <c r="C60" s="3"/>
      <c r="D60" s="48"/>
      <c r="E60" s="60" t="s">
        <v>145</v>
      </c>
      <c r="F60" s="59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51" t="s">
        <v>17</v>
      </c>
      <c r="P60" s="51" t="s">
        <v>18</v>
      </c>
      <c r="Q60" s="52" t="s">
        <v>19</v>
      </c>
      <c r="R60" s="52" t="s">
        <v>20</v>
      </c>
      <c r="S60" s="52" t="s">
        <v>21</v>
      </c>
      <c r="T60" s="52" t="s">
        <v>22</v>
      </c>
      <c r="U60" s="52" t="s">
        <v>23</v>
      </c>
      <c r="V60" s="52" t="s">
        <v>24</v>
      </c>
      <c r="W60" s="52" t="s">
        <v>25</v>
      </c>
      <c r="X60" s="52" t="s">
        <v>26</v>
      </c>
      <c r="Y60" s="52" t="s">
        <v>27</v>
      </c>
      <c r="Z60" s="52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3"/>
    </row>
    <row r="61" spans="1:33" ht="14.25" customHeight="1">
      <c r="A61" s="3"/>
      <c r="B61" s="3"/>
      <c r="C61" s="3"/>
      <c r="D61" s="48"/>
      <c r="E61" s="61" t="s">
        <v>37</v>
      </c>
      <c r="F61" s="37" t="s">
        <v>38</v>
      </c>
      <c r="G61" s="35">
        <f t="shared" ref="G61:AD61" si="5">SUM(G62:G72)</f>
        <v>2</v>
      </c>
      <c r="H61" s="35">
        <f t="shared" si="5"/>
        <v>2</v>
      </c>
      <c r="I61" s="35">
        <f t="shared" si="5"/>
        <v>2</v>
      </c>
      <c r="J61" s="35">
        <f t="shared" si="5"/>
        <v>2</v>
      </c>
      <c r="K61" s="35">
        <f t="shared" si="5"/>
        <v>2</v>
      </c>
      <c r="L61" s="35">
        <f t="shared" si="5"/>
        <v>2</v>
      </c>
      <c r="M61" s="35">
        <f t="shared" si="5"/>
        <v>3</v>
      </c>
      <c r="N61" s="35">
        <f t="shared" si="5"/>
        <v>3</v>
      </c>
      <c r="O61" s="35">
        <f t="shared" si="5"/>
        <v>6</v>
      </c>
      <c r="P61" s="35">
        <f t="shared" si="5"/>
        <v>7</v>
      </c>
      <c r="Q61" s="35">
        <f t="shared" si="5"/>
        <v>8</v>
      </c>
      <c r="R61" s="35">
        <f t="shared" si="5"/>
        <v>8</v>
      </c>
      <c r="S61" s="35">
        <f t="shared" si="5"/>
        <v>7</v>
      </c>
      <c r="T61" s="35">
        <f t="shared" si="5"/>
        <v>7</v>
      </c>
      <c r="U61" s="35">
        <f t="shared" si="5"/>
        <v>7</v>
      </c>
      <c r="V61" s="35">
        <f t="shared" si="5"/>
        <v>8</v>
      </c>
      <c r="W61" s="35">
        <f t="shared" si="5"/>
        <v>6</v>
      </c>
      <c r="X61" s="35">
        <f t="shared" si="5"/>
        <v>6</v>
      </c>
      <c r="Y61" s="35">
        <f t="shared" si="5"/>
        <v>7</v>
      </c>
      <c r="Z61" s="35">
        <f t="shared" si="5"/>
        <v>6</v>
      </c>
      <c r="AA61" s="35">
        <f t="shared" si="5"/>
        <v>5</v>
      </c>
      <c r="AB61" s="35">
        <f t="shared" si="5"/>
        <v>4</v>
      </c>
      <c r="AC61" s="35">
        <f t="shared" si="5"/>
        <v>3</v>
      </c>
      <c r="AD61" s="35">
        <f t="shared" si="5"/>
        <v>2</v>
      </c>
      <c r="AE61" s="30">
        <f t="shared" ref="AE61:AE72" si="6">SUM(G61:AD61)</f>
        <v>115</v>
      </c>
      <c r="AF61" s="36" t="s">
        <v>39</v>
      </c>
      <c r="AG61" s="37" t="s">
        <v>40</v>
      </c>
    </row>
    <row r="62" spans="1:33" ht="14.25" customHeight="1">
      <c r="A62" s="38" t="s">
        <v>145</v>
      </c>
      <c r="B62" s="38" t="s">
        <v>149</v>
      </c>
      <c r="C62" s="38">
        <v>996585473</v>
      </c>
      <c r="D62" s="62">
        <v>1</v>
      </c>
      <c r="E62" s="40" t="s">
        <v>150</v>
      </c>
      <c r="F62" s="41">
        <f t="shared" ref="F62:F72" si="7">SUM(G62:AD62)</f>
        <v>11</v>
      </c>
      <c r="G62" s="42"/>
      <c r="H62" s="42"/>
      <c r="I62" s="42"/>
      <c r="J62" s="42"/>
      <c r="K62" s="42"/>
      <c r="L62" s="42"/>
      <c r="M62" s="42">
        <v>1</v>
      </c>
      <c r="N62" s="42">
        <v>1</v>
      </c>
      <c r="O62" s="42">
        <v>1</v>
      </c>
      <c r="P62" s="42">
        <v>1</v>
      </c>
      <c r="Q62" s="42">
        <v>1</v>
      </c>
      <c r="R62" s="42">
        <v>1</v>
      </c>
      <c r="S62" s="42">
        <v>1</v>
      </c>
      <c r="T62" s="42">
        <v>1</v>
      </c>
      <c r="U62" s="42">
        <v>1</v>
      </c>
      <c r="V62" s="63">
        <v>1</v>
      </c>
      <c r="W62" s="45" t="s">
        <v>47</v>
      </c>
      <c r="X62" s="42">
        <v>1</v>
      </c>
      <c r="Y62" s="42"/>
      <c r="Z62" s="42"/>
      <c r="AA62" s="42"/>
      <c r="AB62" s="42"/>
      <c r="AC62" s="42"/>
      <c r="AD62" s="42"/>
      <c r="AE62" s="41">
        <f t="shared" si="6"/>
        <v>11</v>
      </c>
      <c r="AF62" s="46" t="s">
        <v>84</v>
      </c>
      <c r="AG62" s="44" t="s">
        <v>393</v>
      </c>
    </row>
    <row r="63" spans="1:33" ht="14.25" customHeight="1">
      <c r="A63" s="38" t="s">
        <v>145</v>
      </c>
      <c r="B63" s="38" t="s">
        <v>212</v>
      </c>
      <c r="C63" s="38"/>
      <c r="D63" s="62">
        <v>2</v>
      </c>
      <c r="E63" s="40" t="s">
        <v>153</v>
      </c>
      <c r="F63" s="41">
        <f t="shared" si="7"/>
        <v>10</v>
      </c>
      <c r="G63" s="42"/>
      <c r="H63" s="42"/>
      <c r="I63" s="42"/>
      <c r="J63" s="42"/>
      <c r="K63" s="42"/>
      <c r="L63" s="42"/>
      <c r="M63" s="42"/>
      <c r="N63" s="42"/>
      <c r="O63" s="42">
        <v>1</v>
      </c>
      <c r="P63" s="42">
        <v>1</v>
      </c>
      <c r="Q63" s="42">
        <v>1</v>
      </c>
      <c r="R63" s="42">
        <v>1</v>
      </c>
      <c r="S63" s="42">
        <v>1</v>
      </c>
      <c r="T63" s="42">
        <v>1</v>
      </c>
      <c r="U63" s="42">
        <v>1</v>
      </c>
      <c r="V63" s="42">
        <v>1</v>
      </c>
      <c r="W63" s="45" t="s">
        <v>47</v>
      </c>
      <c r="X63" s="42">
        <v>1</v>
      </c>
      <c r="Y63" s="42">
        <v>1</v>
      </c>
      <c r="Z63" s="42"/>
      <c r="AA63" s="42"/>
      <c r="AB63" s="42"/>
      <c r="AC63" s="42"/>
      <c r="AD63" s="42"/>
      <c r="AE63" s="41">
        <f t="shared" si="6"/>
        <v>10</v>
      </c>
      <c r="AF63" s="43" t="s">
        <v>119</v>
      </c>
      <c r="AG63" s="44" t="s">
        <v>393</v>
      </c>
    </row>
    <row r="64" spans="1:33" ht="14.25" customHeight="1">
      <c r="A64" s="38" t="s">
        <v>145</v>
      </c>
      <c r="B64" s="38" t="s">
        <v>155</v>
      </c>
      <c r="C64" s="38">
        <v>969250973</v>
      </c>
      <c r="D64" s="62">
        <v>3</v>
      </c>
      <c r="E64" s="40" t="s">
        <v>156</v>
      </c>
      <c r="F64" s="41">
        <f t="shared" si="7"/>
        <v>11</v>
      </c>
      <c r="G64" s="42"/>
      <c r="H64" s="42"/>
      <c r="I64" s="42"/>
      <c r="J64" s="42"/>
      <c r="K64" s="42"/>
      <c r="L64" s="42"/>
      <c r="M64" s="42">
        <v>1</v>
      </c>
      <c r="N64" s="42">
        <v>1</v>
      </c>
      <c r="O64" s="42">
        <v>1</v>
      </c>
      <c r="P64" s="42">
        <v>1</v>
      </c>
      <c r="Q64" s="42">
        <v>1</v>
      </c>
      <c r="R64" s="42">
        <v>1</v>
      </c>
      <c r="S64" s="42">
        <v>1</v>
      </c>
      <c r="T64" s="42">
        <v>1</v>
      </c>
      <c r="U64" s="42">
        <v>1</v>
      </c>
      <c r="V64" s="42">
        <v>1</v>
      </c>
      <c r="W64" s="42">
        <v>1</v>
      </c>
      <c r="X64" s="45" t="s">
        <v>47</v>
      </c>
      <c r="Y64" s="42"/>
      <c r="Z64" s="42"/>
      <c r="AA64" s="42"/>
      <c r="AB64" s="42"/>
      <c r="AC64" s="42"/>
      <c r="AD64" s="42"/>
      <c r="AE64" s="41">
        <f t="shared" si="6"/>
        <v>11</v>
      </c>
      <c r="AF64" s="46" t="s">
        <v>84</v>
      </c>
      <c r="AG64" s="44" t="s">
        <v>393</v>
      </c>
    </row>
    <row r="65" spans="1:33" ht="14.25" customHeight="1">
      <c r="A65" s="38" t="s">
        <v>145</v>
      </c>
      <c r="B65" s="38" t="s">
        <v>157</v>
      </c>
      <c r="C65" s="38">
        <v>990911747</v>
      </c>
      <c r="D65" s="62">
        <v>4</v>
      </c>
      <c r="E65" s="40" t="s">
        <v>158</v>
      </c>
      <c r="F65" s="41">
        <f t="shared" si="7"/>
        <v>11</v>
      </c>
      <c r="G65" s="42"/>
      <c r="H65" s="42"/>
      <c r="I65" s="42"/>
      <c r="J65" s="42"/>
      <c r="K65" s="42"/>
      <c r="L65" s="42"/>
      <c r="M65" s="42">
        <v>1</v>
      </c>
      <c r="N65" s="42">
        <v>1</v>
      </c>
      <c r="O65" s="42">
        <v>1</v>
      </c>
      <c r="P65" s="42">
        <v>1</v>
      </c>
      <c r="Q65" s="42">
        <v>1</v>
      </c>
      <c r="R65" s="42">
        <v>1</v>
      </c>
      <c r="S65" s="42">
        <v>1</v>
      </c>
      <c r="T65" s="42">
        <v>1</v>
      </c>
      <c r="U65" s="42">
        <v>1</v>
      </c>
      <c r="V65" s="42">
        <v>1</v>
      </c>
      <c r="W65" s="42">
        <v>1</v>
      </c>
      <c r="X65" s="42"/>
      <c r="Y65" s="42"/>
      <c r="Z65" s="42"/>
      <c r="AA65" s="42"/>
      <c r="AB65" s="42"/>
      <c r="AC65" s="42"/>
      <c r="AD65" s="42"/>
      <c r="AE65" s="41">
        <f t="shared" si="6"/>
        <v>11</v>
      </c>
      <c r="AF65" s="46" t="s">
        <v>151</v>
      </c>
      <c r="AG65" s="44" t="s">
        <v>393</v>
      </c>
    </row>
    <row r="66" spans="1:33" ht="14.25" customHeight="1">
      <c r="A66" s="38" t="s">
        <v>145</v>
      </c>
      <c r="B66" s="38" t="s">
        <v>160</v>
      </c>
      <c r="C66" s="38">
        <v>993901115</v>
      </c>
      <c r="D66" s="62">
        <v>5</v>
      </c>
      <c r="E66" s="40" t="s">
        <v>161</v>
      </c>
      <c r="F66" s="41">
        <f t="shared" si="7"/>
        <v>12</v>
      </c>
      <c r="G66" s="42">
        <v>1</v>
      </c>
      <c r="H66" s="42">
        <v>1</v>
      </c>
      <c r="I66" s="42">
        <v>1</v>
      </c>
      <c r="J66" s="42">
        <v>1</v>
      </c>
      <c r="K66" s="42">
        <v>1</v>
      </c>
      <c r="L66" s="42">
        <v>1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5" t="s">
        <v>47</v>
      </c>
      <c r="Y66" s="42">
        <v>1</v>
      </c>
      <c r="Z66" s="42">
        <v>1</v>
      </c>
      <c r="AA66" s="42">
        <v>1</v>
      </c>
      <c r="AB66" s="42">
        <v>1</v>
      </c>
      <c r="AC66" s="42">
        <v>1</v>
      </c>
      <c r="AD66" s="42">
        <v>1</v>
      </c>
      <c r="AE66" s="41">
        <f t="shared" si="6"/>
        <v>12</v>
      </c>
      <c r="AF66" s="46" t="s">
        <v>54</v>
      </c>
      <c r="AG66" s="44" t="s">
        <v>393</v>
      </c>
    </row>
    <row r="67" spans="1:33" ht="14.25" customHeight="1">
      <c r="A67" s="38" t="s">
        <v>145</v>
      </c>
      <c r="B67" s="38" t="s">
        <v>165</v>
      </c>
      <c r="C67" s="38">
        <v>992994680</v>
      </c>
      <c r="D67" s="62">
        <v>7</v>
      </c>
      <c r="E67" s="40" t="s">
        <v>166</v>
      </c>
      <c r="F67" s="41">
        <f t="shared" si="7"/>
        <v>12</v>
      </c>
      <c r="G67" s="42">
        <v>1</v>
      </c>
      <c r="H67" s="42">
        <v>1</v>
      </c>
      <c r="I67" s="42">
        <v>1</v>
      </c>
      <c r="J67" s="42">
        <v>1</v>
      </c>
      <c r="K67" s="42">
        <v>1</v>
      </c>
      <c r="L67" s="42">
        <v>1</v>
      </c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5" t="s">
        <v>47</v>
      </c>
      <c r="Y67" s="42">
        <v>1</v>
      </c>
      <c r="Z67" s="42">
        <v>1</v>
      </c>
      <c r="AA67" s="42">
        <v>1</v>
      </c>
      <c r="AB67" s="42">
        <v>1</v>
      </c>
      <c r="AC67" s="42">
        <v>1</v>
      </c>
      <c r="AD67" s="42">
        <v>1</v>
      </c>
      <c r="AE67" s="41">
        <f t="shared" si="6"/>
        <v>12</v>
      </c>
      <c r="AF67" s="46" t="s">
        <v>54</v>
      </c>
      <c r="AG67" s="44" t="s">
        <v>393</v>
      </c>
    </row>
    <row r="68" spans="1:33" ht="14.25" customHeight="1">
      <c r="A68" s="38" t="s">
        <v>145</v>
      </c>
      <c r="B68" s="38" t="s">
        <v>168</v>
      </c>
      <c r="C68" s="38"/>
      <c r="D68" s="62">
        <v>8</v>
      </c>
      <c r="E68" s="40" t="s">
        <v>169</v>
      </c>
      <c r="F68" s="41">
        <f t="shared" si="7"/>
        <v>12</v>
      </c>
      <c r="G68" s="42"/>
      <c r="H68" s="42"/>
      <c r="I68" s="42"/>
      <c r="J68" s="42"/>
      <c r="K68" s="42"/>
      <c r="L68" s="42"/>
      <c r="M68" s="42"/>
      <c r="N68" s="42"/>
      <c r="O68" s="42">
        <v>1</v>
      </c>
      <c r="P68" s="42">
        <v>1</v>
      </c>
      <c r="Q68" s="42">
        <v>1</v>
      </c>
      <c r="R68" s="42">
        <v>1</v>
      </c>
      <c r="S68" s="42">
        <v>1</v>
      </c>
      <c r="T68" s="42">
        <v>1</v>
      </c>
      <c r="U68" s="42">
        <v>1</v>
      </c>
      <c r="V68" s="42">
        <v>1</v>
      </c>
      <c r="W68" s="42">
        <v>1</v>
      </c>
      <c r="X68" s="42">
        <v>1</v>
      </c>
      <c r="Y68" s="42">
        <v>1</v>
      </c>
      <c r="Z68" s="42">
        <v>1</v>
      </c>
      <c r="AA68" s="42"/>
      <c r="AB68" s="42"/>
      <c r="AC68" s="42"/>
      <c r="AD68" s="42"/>
      <c r="AE68" s="41">
        <f t="shared" si="6"/>
        <v>12</v>
      </c>
      <c r="AF68" s="43" t="s">
        <v>66</v>
      </c>
      <c r="AG68" s="44" t="s">
        <v>393</v>
      </c>
    </row>
    <row r="69" spans="1:33" ht="14.25" customHeight="1">
      <c r="A69" s="38" t="s">
        <v>145</v>
      </c>
      <c r="B69" s="38" t="s">
        <v>176</v>
      </c>
      <c r="C69" s="38"/>
      <c r="D69" s="62">
        <v>10</v>
      </c>
      <c r="E69" s="40" t="s">
        <v>177</v>
      </c>
      <c r="F69" s="41">
        <f t="shared" si="7"/>
        <v>5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78" t="s">
        <v>231</v>
      </c>
      <c r="T69" s="78" t="s">
        <v>231</v>
      </c>
      <c r="U69" s="78" t="s">
        <v>231</v>
      </c>
      <c r="V69" s="78" t="s">
        <v>231</v>
      </c>
      <c r="W69" s="78" t="s">
        <v>231</v>
      </c>
      <c r="X69" s="78" t="s">
        <v>231</v>
      </c>
      <c r="Y69" s="42">
        <v>1</v>
      </c>
      <c r="Z69" s="42">
        <v>1</v>
      </c>
      <c r="AA69" s="42">
        <v>1</v>
      </c>
      <c r="AB69" s="42">
        <v>1</v>
      </c>
      <c r="AC69" s="42">
        <v>1</v>
      </c>
      <c r="AD69" s="42"/>
      <c r="AE69" s="41">
        <f t="shared" si="6"/>
        <v>5</v>
      </c>
      <c r="AF69" s="43" t="s">
        <v>361</v>
      </c>
      <c r="AG69" s="44" t="s">
        <v>393</v>
      </c>
    </row>
    <row r="70" spans="1:33" ht="14.25" customHeight="1">
      <c r="A70" s="38" t="s">
        <v>145</v>
      </c>
      <c r="B70" s="38" t="s">
        <v>178</v>
      </c>
      <c r="C70" s="38"/>
      <c r="D70" s="62">
        <v>11</v>
      </c>
      <c r="E70" s="40" t="s">
        <v>179</v>
      </c>
      <c r="F70" s="41">
        <f t="shared" si="7"/>
        <v>10</v>
      </c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>
        <v>1</v>
      </c>
      <c r="R70" s="42">
        <v>1</v>
      </c>
      <c r="S70" s="42">
        <v>1</v>
      </c>
      <c r="T70" s="42">
        <v>1</v>
      </c>
      <c r="U70" s="45" t="s">
        <v>47</v>
      </c>
      <c r="V70" s="42">
        <v>1</v>
      </c>
      <c r="W70" s="42">
        <v>1</v>
      </c>
      <c r="X70" s="42">
        <v>1</v>
      </c>
      <c r="Y70" s="42">
        <v>1</v>
      </c>
      <c r="Z70" s="42">
        <v>1</v>
      </c>
      <c r="AA70" s="42">
        <v>1</v>
      </c>
      <c r="AB70" s="42"/>
      <c r="AC70" s="42"/>
      <c r="AD70" s="42"/>
      <c r="AE70" s="41">
        <f t="shared" si="6"/>
        <v>10</v>
      </c>
      <c r="AF70" s="43" t="s">
        <v>170</v>
      </c>
      <c r="AG70" s="44" t="s">
        <v>393</v>
      </c>
    </row>
    <row r="71" spans="1:33" ht="14.25" customHeight="1">
      <c r="A71" s="38" t="s">
        <v>145</v>
      </c>
      <c r="B71" s="38" t="s">
        <v>181</v>
      </c>
      <c r="C71" s="38"/>
      <c r="D71" s="62">
        <v>12</v>
      </c>
      <c r="E71" s="40" t="s">
        <v>182</v>
      </c>
      <c r="F71" s="41">
        <f t="shared" si="7"/>
        <v>11</v>
      </c>
      <c r="G71" s="42"/>
      <c r="H71" s="42"/>
      <c r="I71" s="42"/>
      <c r="J71" s="42"/>
      <c r="K71" s="42"/>
      <c r="L71" s="42"/>
      <c r="M71" s="42"/>
      <c r="N71" s="42"/>
      <c r="O71" s="42"/>
      <c r="P71" s="42">
        <v>1</v>
      </c>
      <c r="Q71" s="42">
        <v>1</v>
      </c>
      <c r="R71" s="42">
        <v>1</v>
      </c>
      <c r="S71" s="45" t="s">
        <v>47</v>
      </c>
      <c r="T71" s="42"/>
      <c r="U71" s="42">
        <v>1</v>
      </c>
      <c r="V71" s="42">
        <v>1</v>
      </c>
      <c r="W71" s="42">
        <v>1</v>
      </c>
      <c r="X71" s="42">
        <v>1</v>
      </c>
      <c r="Y71" s="42">
        <v>1</v>
      </c>
      <c r="Z71" s="42">
        <v>1</v>
      </c>
      <c r="AA71" s="42">
        <v>1</v>
      </c>
      <c r="AB71" s="42">
        <v>1</v>
      </c>
      <c r="AC71" s="42"/>
      <c r="AD71" s="42"/>
      <c r="AE71" s="41">
        <f t="shared" si="6"/>
        <v>11</v>
      </c>
      <c r="AF71" s="43" t="s">
        <v>249</v>
      </c>
      <c r="AG71" s="44" t="s">
        <v>393</v>
      </c>
    </row>
    <row r="72" spans="1:33" ht="14.25" customHeight="1">
      <c r="A72" s="38" t="s">
        <v>145</v>
      </c>
      <c r="B72" s="38" t="s">
        <v>183</v>
      </c>
      <c r="C72" s="38"/>
      <c r="D72" s="62">
        <v>13</v>
      </c>
      <c r="E72" s="40" t="s">
        <v>184</v>
      </c>
      <c r="F72" s="41">
        <f t="shared" si="7"/>
        <v>10</v>
      </c>
      <c r="G72" s="42"/>
      <c r="H72" s="42"/>
      <c r="I72" s="42"/>
      <c r="J72" s="42"/>
      <c r="K72" s="42"/>
      <c r="L72" s="42"/>
      <c r="M72" s="42"/>
      <c r="N72" s="42"/>
      <c r="O72" s="42">
        <v>1</v>
      </c>
      <c r="P72" s="42">
        <v>1</v>
      </c>
      <c r="Q72" s="42">
        <v>1</v>
      </c>
      <c r="R72" s="42">
        <v>1</v>
      </c>
      <c r="S72" s="42">
        <v>1</v>
      </c>
      <c r="T72" s="42">
        <v>1</v>
      </c>
      <c r="U72" s="42">
        <v>1</v>
      </c>
      <c r="V72" s="42">
        <v>1</v>
      </c>
      <c r="W72" s="42">
        <v>1</v>
      </c>
      <c r="X72" s="42">
        <v>1</v>
      </c>
      <c r="Y72" s="42"/>
      <c r="Z72" s="42"/>
      <c r="AA72" s="42"/>
      <c r="AB72" s="42"/>
      <c r="AC72" s="42"/>
      <c r="AD72" s="42"/>
      <c r="AE72" s="41">
        <f t="shared" si="6"/>
        <v>10</v>
      </c>
      <c r="AF72" s="43" t="s">
        <v>180</v>
      </c>
      <c r="AG72" s="44" t="s">
        <v>393</v>
      </c>
    </row>
    <row r="73" spans="1:33" ht="14.25" customHeight="1">
      <c r="A73" s="3"/>
      <c r="B73" s="3"/>
      <c r="C73" s="3"/>
      <c r="D73" s="3"/>
      <c r="E73" s="3"/>
      <c r="F73" s="3"/>
      <c r="G73" s="65" t="s">
        <v>9</v>
      </c>
      <c r="H73" s="65" t="s">
        <v>10</v>
      </c>
      <c r="I73" s="65" t="s">
        <v>11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65" t="s">
        <v>17</v>
      </c>
      <c r="P73" s="65" t="s">
        <v>18</v>
      </c>
      <c r="Q73" s="66" t="s">
        <v>19</v>
      </c>
      <c r="R73" s="66" t="s">
        <v>20</v>
      </c>
      <c r="S73" s="66" t="s">
        <v>21</v>
      </c>
      <c r="T73" s="66" t="s">
        <v>22</v>
      </c>
      <c r="U73" s="66" t="s">
        <v>23</v>
      </c>
      <c r="V73" s="66" t="s">
        <v>24</v>
      </c>
      <c r="W73" s="66" t="s">
        <v>25</v>
      </c>
      <c r="X73" s="66" t="s">
        <v>26</v>
      </c>
      <c r="Y73" s="66" t="s">
        <v>27</v>
      </c>
      <c r="Z73" s="66" t="s">
        <v>28</v>
      </c>
      <c r="AA73" s="66" t="s">
        <v>29</v>
      </c>
      <c r="AB73" s="66" t="s">
        <v>30</v>
      </c>
      <c r="AC73" s="66" t="s">
        <v>31</v>
      </c>
      <c r="AD73" s="65" t="s">
        <v>32</v>
      </c>
      <c r="AE73" s="53"/>
      <c r="AF73" s="3"/>
      <c r="AG73" s="3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5"/>
      <c r="X74" s="42"/>
      <c r="Y74" s="42"/>
      <c r="Z74" s="42"/>
      <c r="AA74" s="42"/>
      <c r="AB74" s="42"/>
      <c r="AC74" s="42"/>
      <c r="AD74" s="42"/>
      <c r="AE74" s="41"/>
      <c r="AF74" s="46"/>
      <c r="AG74" s="2"/>
    </row>
  </sheetData>
  <customSheetViews>
    <customSheetView guid="{D6F95600-F5D2-44BC-80B6-0F2773D5BD92}" filter="1" showAutoFilter="1">
      <pageMargins left="0.7" right="0.7" top="0.75" bottom="0.75" header="0.3" footer="0.3"/>
      <autoFilter ref="A3:AG74" xr:uid="{75A8A21B-0989-42FB-A9B6-50CF01436C89}"/>
    </customSheetView>
    <customSheetView guid="{833D6734-F5E1-4449-B5A1-8C3A51A61651}" filter="1" showAutoFilter="1">
      <pageMargins left="0.7" right="0.7" top="0.75" bottom="0.75" header="0.3" footer="0.3"/>
      <autoFilter ref="A7:AG74" xr:uid="{D353E5E6-CF63-420C-A31C-1C32336A3D46}">
        <filterColumn colId="26">
          <filters>
            <filter val="-"/>
            <filter val="1"/>
            <filter val="5"/>
            <filter val="CLIENTES VIP"/>
            <filter val="FI"/>
            <filter val="MONITOREOS BRM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74" xr:uid="{862D1C42-41D9-4A7D-975D-A5A281CE7C6E}">
        <filterColumn colId="15">
          <filters>
            <filter val="-"/>
            <filter val="(2)"/>
            <filter val="1"/>
            <filter val="24"/>
            <filter val="8"/>
            <filter val="C"/>
            <filter val="CLIENTES VIP"/>
            <filter val="FI"/>
            <filter val="MONITOREOS BRM"/>
            <filter val="SEGUIMIENTO TRANSFERENCIAS"/>
            <filter val="SOPORTE DTH"/>
          </filters>
        </filterColumn>
      </autoFilter>
    </customSheetView>
  </customSheetViews>
  <mergeCells count="15">
    <mergeCell ref="P53:Z53"/>
    <mergeCell ref="O54:Y54"/>
    <mergeCell ref="E58:F58"/>
    <mergeCell ref="A1:B1"/>
    <mergeCell ref="D3:AE3"/>
    <mergeCell ref="E4:F4"/>
    <mergeCell ref="E5:F5"/>
    <mergeCell ref="V45:AC45"/>
    <mergeCell ref="V46:AC46"/>
    <mergeCell ref="V47:AC47"/>
    <mergeCell ref="V48:AC48"/>
    <mergeCell ref="V49:AC49"/>
    <mergeCell ref="V50:AC50"/>
    <mergeCell ref="V51:AC51"/>
    <mergeCell ref="N52:U52"/>
  </mergeCells>
  <conditionalFormatting sqref="E4:F4 E58:F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0:AB60 N73:AB7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G8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291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44</v>
      </c>
      <c r="AG3" s="3">
        <f>AE4/12</f>
        <v>17.5</v>
      </c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93">
        <v>3</v>
      </c>
      <c r="H4" s="93">
        <v>3</v>
      </c>
      <c r="I4" s="93">
        <v>3</v>
      </c>
      <c r="J4" s="93">
        <v>3</v>
      </c>
      <c r="K4" s="93">
        <v>3</v>
      </c>
      <c r="L4" s="93">
        <v>3</v>
      </c>
      <c r="M4" s="266">
        <v>5</v>
      </c>
      <c r="N4" s="17">
        <v>7</v>
      </c>
      <c r="O4" s="94">
        <v>10</v>
      </c>
      <c r="P4" s="14">
        <v>12</v>
      </c>
      <c r="Q4" s="150">
        <v>14</v>
      </c>
      <c r="R4" s="150">
        <v>14</v>
      </c>
      <c r="S4" s="150">
        <v>14</v>
      </c>
      <c r="T4" s="72">
        <v>16</v>
      </c>
      <c r="U4" s="150">
        <v>14</v>
      </c>
      <c r="V4" s="14">
        <v>12</v>
      </c>
      <c r="W4" s="56">
        <v>13</v>
      </c>
      <c r="X4" s="56">
        <v>13</v>
      </c>
      <c r="Y4" s="13">
        <v>11</v>
      </c>
      <c r="Z4" s="14">
        <v>12</v>
      </c>
      <c r="AA4" s="246">
        <v>9</v>
      </c>
      <c r="AB4" s="245">
        <v>6</v>
      </c>
      <c r="AC4" s="245">
        <v>6</v>
      </c>
      <c r="AD4" s="11">
        <v>4</v>
      </c>
      <c r="AE4" s="18">
        <f>SUM(G4:AD4)</f>
        <v>210</v>
      </c>
      <c r="AF4" s="3"/>
      <c r="AG4" s="3"/>
    </row>
    <row r="5" spans="1:33" ht="62.25">
      <c r="A5" s="3"/>
      <c r="B5" s="2"/>
      <c r="C5" s="2"/>
      <c r="D5" s="19"/>
      <c r="E5" s="569">
        <v>18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-1</v>
      </c>
      <c r="O6" s="84">
        <f t="shared" si="0"/>
        <v>0</v>
      </c>
      <c r="P6" s="84">
        <f t="shared" si="0"/>
        <v>0</v>
      </c>
      <c r="Q6" s="84">
        <f t="shared" si="0"/>
        <v>0</v>
      </c>
      <c r="R6" s="84">
        <f t="shared" si="0"/>
        <v>0</v>
      </c>
      <c r="S6" s="84">
        <f t="shared" si="0"/>
        <v>0</v>
      </c>
      <c r="T6" s="84">
        <f t="shared" si="0"/>
        <v>0</v>
      </c>
      <c r="U6" s="84">
        <f t="shared" si="0"/>
        <v>0</v>
      </c>
      <c r="V6" s="84">
        <f t="shared" si="0"/>
        <v>0</v>
      </c>
      <c r="W6" s="84">
        <f t="shared" si="0"/>
        <v>0</v>
      </c>
      <c r="X6" s="84">
        <f t="shared" si="0"/>
        <v>0</v>
      </c>
      <c r="Y6" s="28">
        <f t="shared" si="0"/>
        <v>0</v>
      </c>
      <c r="Z6" s="28">
        <f t="shared" si="0"/>
        <v>-1</v>
      </c>
      <c r="AA6" s="28">
        <f t="shared" si="0"/>
        <v>-1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9" si="1">SUM(G6:AD6)</f>
        <v>-3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3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5</v>
      </c>
      <c r="N7" s="172">
        <f t="shared" si="2"/>
        <v>6</v>
      </c>
      <c r="O7" s="172">
        <f t="shared" si="2"/>
        <v>10</v>
      </c>
      <c r="P7" s="172">
        <f t="shared" si="2"/>
        <v>12</v>
      </c>
      <c r="Q7" s="172">
        <f t="shared" si="2"/>
        <v>14</v>
      </c>
      <c r="R7" s="172">
        <f t="shared" si="2"/>
        <v>14</v>
      </c>
      <c r="S7" s="172">
        <f t="shared" si="2"/>
        <v>14</v>
      </c>
      <c r="T7" s="172">
        <f t="shared" si="2"/>
        <v>16</v>
      </c>
      <c r="U7" s="172">
        <f t="shared" si="2"/>
        <v>14</v>
      </c>
      <c r="V7" s="172">
        <f t="shared" si="2"/>
        <v>12</v>
      </c>
      <c r="W7" s="172">
        <f t="shared" si="2"/>
        <v>13</v>
      </c>
      <c r="X7" s="172">
        <f t="shared" si="2"/>
        <v>13</v>
      </c>
      <c r="Y7" s="172">
        <f t="shared" si="2"/>
        <v>11</v>
      </c>
      <c r="Z7" s="172">
        <f t="shared" si="2"/>
        <v>11</v>
      </c>
      <c r="AA7" s="172">
        <f t="shared" si="2"/>
        <v>8</v>
      </c>
      <c r="AB7" s="172">
        <f t="shared" si="2"/>
        <v>6</v>
      </c>
      <c r="AC7" s="172">
        <f t="shared" si="2"/>
        <v>6</v>
      </c>
      <c r="AD7" s="172">
        <f t="shared" si="2"/>
        <v>4</v>
      </c>
      <c r="AE7" s="168">
        <f t="shared" si="1"/>
        <v>207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06" t="s">
        <v>46</v>
      </c>
      <c r="F8" s="41">
        <f t="shared" ref="F8:F19" si="3">SUM(G8:AD8)</f>
        <v>8</v>
      </c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>
        <v>1</v>
      </c>
      <c r="X8" s="250">
        <v>1</v>
      </c>
      <c r="Y8" s="250">
        <v>1</v>
      </c>
      <c r="Z8" s="250">
        <v>1</v>
      </c>
      <c r="AA8" s="250">
        <v>1</v>
      </c>
      <c r="AB8" s="250">
        <v>1</v>
      </c>
      <c r="AC8" s="250">
        <v>1</v>
      </c>
      <c r="AD8" s="250">
        <v>1</v>
      </c>
      <c r="AE8" s="41">
        <f t="shared" si="1"/>
        <v>8</v>
      </c>
      <c r="AF8" s="116" t="s">
        <v>377</v>
      </c>
      <c r="AG8" s="189" t="s">
        <v>675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6</v>
      </c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>
        <v>1</v>
      </c>
      <c r="Z9" s="250">
        <v>1</v>
      </c>
      <c r="AA9" s="250">
        <v>1</v>
      </c>
      <c r="AB9" s="250">
        <v>1</v>
      </c>
      <c r="AC9" s="250">
        <v>1</v>
      </c>
      <c r="AD9" s="250">
        <v>1</v>
      </c>
      <c r="AE9" s="41">
        <f t="shared" si="1"/>
        <v>6</v>
      </c>
      <c r="AF9" s="116" t="s">
        <v>281</v>
      </c>
      <c r="AG9" s="189" t="s">
        <v>675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175" t="s">
        <v>56</v>
      </c>
      <c r="F10" s="41">
        <f t="shared" si="3"/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  <c r="Z10" s="77">
        <v>0</v>
      </c>
      <c r="AA10" s="77">
        <v>0</v>
      </c>
      <c r="AB10" s="77">
        <v>0</v>
      </c>
      <c r="AC10" s="77">
        <v>0</v>
      </c>
      <c r="AD10" s="77">
        <v>0</v>
      </c>
      <c r="AE10" s="41">
        <f t="shared" si="1"/>
        <v>0</v>
      </c>
      <c r="AF10" s="116" t="s">
        <v>225</v>
      </c>
      <c r="AG10" s="189" t="s">
        <v>675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45" t="s">
        <v>58</v>
      </c>
      <c r="F11" s="41">
        <f t="shared" si="3"/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  <c r="Z11" s="77">
        <v>0</v>
      </c>
      <c r="AA11" s="77">
        <v>0</v>
      </c>
      <c r="AB11" s="77">
        <v>0</v>
      </c>
      <c r="AC11" s="77">
        <v>0</v>
      </c>
      <c r="AD11" s="77">
        <v>0</v>
      </c>
      <c r="AE11" s="41">
        <f t="shared" si="1"/>
        <v>0</v>
      </c>
      <c r="AF11" s="116" t="s">
        <v>225</v>
      </c>
      <c r="AG11" s="189" t="s">
        <v>675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f t="shared" si="3"/>
        <v>11</v>
      </c>
      <c r="G12" s="250"/>
      <c r="H12" s="250"/>
      <c r="I12" s="250"/>
      <c r="J12" s="250"/>
      <c r="K12" s="250"/>
      <c r="L12" s="250"/>
      <c r="M12" s="250">
        <v>1</v>
      </c>
      <c r="N12" s="250">
        <v>1</v>
      </c>
      <c r="O12" s="255">
        <v>1</v>
      </c>
      <c r="P12" s="255">
        <v>1</v>
      </c>
      <c r="Q12" s="255">
        <v>1</v>
      </c>
      <c r="R12" s="255">
        <v>1</v>
      </c>
      <c r="S12" s="250"/>
      <c r="T12" s="250">
        <v>1</v>
      </c>
      <c r="U12" s="250">
        <v>1</v>
      </c>
      <c r="V12" s="250">
        <v>1</v>
      </c>
      <c r="W12" s="250">
        <v>1</v>
      </c>
      <c r="X12" s="250">
        <v>1</v>
      </c>
      <c r="Y12" s="250"/>
      <c r="Z12" s="250"/>
      <c r="AA12" s="250"/>
      <c r="AB12" s="250"/>
      <c r="AC12" s="250"/>
      <c r="AD12" s="250"/>
      <c r="AE12" s="41">
        <f t="shared" si="1"/>
        <v>11</v>
      </c>
      <c r="AF12" s="116" t="s">
        <v>220</v>
      </c>
      <c r="AG12" s="189" t="s">
        <v>675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7" t="s">
        <v>60</v>
      </c>
      <c r="F13" s="41">
        <f t="shared" si="3"/>
        <v>7</v>
      </c>
      <c r="G13" s="250">
        <v>1</v>
      </c>
      <c r="H13" s="250">
        <v>1</v>
      </c>
      <c r="I13" s="250">
        <v>1</v>
      </c>
      <c r="J13" s="250">
        <v>1</v>
      </c>
      <c r="K13" s="250">
        <v>1</v>
      </c>
      <c r="L13" s="250">
        <v>1</v>
      </c>
      <c r="M13" s="250">
        <v>1</v>
      </c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41">
        <f t="shared" si="1"/>
        <v>7</v>
      </c>
      <c r="AF13" s="116" t="s">
        <v>284</v>
      </c>
      <c r="AG13" s="189" t="s">
        <v>675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211" t="s">
        <v>63</v>
      </c>
      <c r="F14" s="41">
        <f t="shared" si="3"/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41">
        <f t="shared" si="1"/>
        <v>0</v>
      </c>
      <c r="AF14" s="116" t="s">
        <v>225</v>
      </c>
      <c r="AG14" s="189" t="s">
        <v>675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68" t="s">
        <v>65</v>
      </c>
      <c r="F15" s="41">
        <f t="shared" si="3"/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41">
        <f t="shared" si="1"/>
        <v>0</v>
      </c>
      <c r="AF15" s="116" t="s">
        <v>225</v>
      </c>
      <c r="AG15" s="189" t="s">
        <v>675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208" t="s">
        <v>71</v>
      </c>
      <c r="F16" s="41">
        <f t="shared" si="3"/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41">
        <f t="shared" si="1"/>
        <v>0</v>
      </c>
      <c r="AF16" s="116" t="s">
        <v>225</v>
      </c>
      <c r="AG16" s="189" t="s">
        <v>675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208" t="s">
        <v>73</v>
      </c>
      <c r="F17" s="41">
        <f t="shared" si="3"/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41">
        <f t="shared" si="1"/>
        <v>0</v>
      </c>
      <c r="AF17" s="116" t="s">
        <v>225</v>
      </c>
      <c r="AG17" s="189" t="s">
        <v>675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3"/>
        <v>12</v>
      </c>
      <c r="G18" s="250"/>
      <c r="H18" s="250"/>
      <c r="I18" s="250"/>
      <c r="J18" s="250"/>
      <c r="K18" s="250"/>
      <c r="L18" s="250"/>
      <c r="M18" s="250"/>
      <c r="N18" s="250"/>
      <c r="O18" s="250">
        <v>1</v>
      </c>
      <c r="P18" s="250">
        <v>1</v>
      </c>
      <c r="Q18" s="250">
        <v>1</v>
      </c>
      <c r="R18" s="250"/>
      <c r="S18" s="255">
        <v>1</v>
      </c>
      <c r="T18" s="255">
        <v>1</v>
      </c>
      <c r="U18" s="255">
        <v>1</v>
      </c>
      <c r="V18" s="255">
        <v>1</v>
      </c>
      <c r="W18" s="255">
        <v>1</v>
      </c>
      <c r="X18" s="255">
        <v>1</v>
      </c>
      <c r="Y18" s="250">
        <v>1</v>
      </c>
      <c r="Z18" s="250">
        <v>1</v>
      </c>
      <c r="AA18" s="250">
        <v>1</v>
      </c>
      <c r="AB18" s="250"/>
      <c r="AC18" s="250"/>
      <c r="AD18" s="250"/>
      <c r="AE18" s="41">
        <f t="shared" si="1"/>
        <v>12</v>
      </c>
      <c r="AF18" s="116" t="s">
        <v>322</v>
      </c>
      <c r="AG18" s="189" t="s">
        <v>675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175" t="s">
        <v>83</v>
      </c>
      <c r="F19" s="41">
        <f t="shared" si="3"/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  <c r="Z19" s="77">
        <v>0</v>
      </c>
      <c r="AA19" s="77">
        <v>0</v>
      </c>
      <c r="AB19" s="77">
        <v>0</v>
      </c>
      <c r="AC19" s="77">
        <v>0</v>
      </c>
      <c r="AD19" s="77">
        <v>0</v>
      </c>
      <c r="AE19" s="41">
        <f t="shared" si="1"/>
        <v>0</v>
      </c>
      <c r="AF19" s="116" t="s">
        <v>225</v>
      </c>
      <c r="AG19" s="189" t="s">
        <v>675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579" t="s">
        <v>187</v>
      </c>
      <c r="Q20" s="555"/>
      <c r="R20" s="555"/>
      <c r="S20" s="555"/>
      <c r="T20" s="555"/>
      <c r="U20" s="555"/>
      <c r="V20" s="555"/>
      <c r="W20" s="555"/>
      <c r="X20" s="555"/>
      <c r="Y20" s="555"/>
      <c r="Z20" s="542"/>
      <c r="AA20" s="77"/>
      <c r="AB20" s="77"/>
      <c r="AC20" s="42"/>
      <c r="AD20" s="42"/>
      <c r="AE20" s="41">
        <v>11</v>
      </c>
      <c r="AF20" s="116" t="s">
        <v>164</v>
      </c>
      <c r="AG20" s="189" t="s">
        <v>675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06" t="s">
        <v>91</v>
      </c>
      <c r="F21" s="41">
        <f t="shared" ref="F21:F56" si="4">SUM(G21:AD21)</f>
        <v>12</v>
      </c>
      <c r="G21" s="250"/>
      <c r="H21" s="250"/>
      <c r="I21" s="250"/>
      <c r="J21" s="250"/>
      <c r="K21" s="250"/>
      <c r="L21" s="250"/>
      <c r="M21" s="250">
        <v>1</v>
      </c>
      <c r="N21" s="250">
        <v>1</v>
      </c>
      <c r="O21" s="250">
        <v>1</v>
      </c>
      <c r="P21" s="250">
        <v>1</v>
      </c>
      <c r="Q21" s="250"/>
      <c r="R21" s="250">
        <v>1</v>
      </c>
      <c r="S21" s="250">
        <v>1</v>
      </c>
      <c r="T21" s="250">
        <v>1</v>
      </c>
      <c r="U21" s="250">
        <v>1</v>
      </c>
      <c r="V21" s="250">
        <v>1</v>
      </c>
      <c r="W21" s="250">
        <v>1</v>
      </c>
      <c r="X21" s="250">
        <v>1</v>
      </c>
      <c r="Y21" s="250">
        <v>1</v>
      </c>
      <c r="Z21" s="250"/>
      <c r="AA21" s="250"/>
      <c r="AB21" s="250"/>
      <c r="AC21" s="250"/>
      <c r="AD21" s="250"/>
      <c r="AE21" s="41">
        <f>SUM(G21:AD21)</f>
        <v>12</v>
      </c>
      <c r="AF21" s="116" t="s">
        <v>681</v>
      </c>
      <c r="AG21" s="189" t="s">
        <v>675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07" t="s">
        <v>93</v>
      </c>
      <c r="F22" s="41">
        <f t="shared" si="4"/>
        <v>5</v>
      </c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>
        <v>1</v>
      </c>
      <c r="R22" s="250">
        <v>1</v>
      </c>
      <c r="S22" s="250">
        <v>1</v>
      </c>
      <c r="T22" s="250">
        <v>1</v>
      </c>
      <c r="U22" s="250">
        <v>1</v>
      </c>
      <c r="V22" s="577" t="s">
        <v>292</v>
      </c>
      <c r="W22" s="555"/>
      <c r="X22" s="555"/>
      <c r="Y22" s="555"/>
      <c r="Z22" s="555"/>
      <c r="AA22" s="555"/>
      <c r="AB22" s="555"/>
      <c r="AC22" s="555"/>
      <c r="AD22" s="250"/>
      <c r="AE22" s="41">
        <v>13</v>
      </c>
      <c r="AF22" s="116" t="s">
        <v>359</v>
      </c>
      <c r="AG22" s="189" t="s">
        <v>675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68" t="s">
        <v>95</v>
      </c>
      <c r="F23" s="41">
        <f t="shared" si="4"/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  <c r="Z23" s="77">
        <v>0</v>
      </c>
      <c r="AA23" s="77">
        <v>0</v>
      </c>
      <c r="AB23" s="77">
        <v>0</v>
      </c>
      <c r="AC23" s="77">
        <v>0</v>
      </c>
      <c r="AD23" s="77">
        <v>0</v>
      </c>
      <c r="AE23" s="41">
        <f t="shared" ref="AE23:AE56" si="5">SUM(G23:AD23)</f>
        <v>0</v>
      </c>
      <c r="AF23" s="116" t="s">
        <v>225</v>
      </c>
      <c r="AG23" s="189" t="s">
        <v>675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211" t="s">
        <v>99</v>
      </c>
      <c r="F24" s="41">
        <f t="shared" si="4"/>
        <v>6</v>
      </c>
      <c r="G24" s="250"/>
      <c r="H24" s="250"/>
      <c r="I24" s="250"/>
      <c r="J24" s="250"/>
      <c r="K24" s="250"/>
      <c r="L24" s="250"/>
      <c r="M24" s="250"/>
      <c r="N24" s="250"/>
      <c r="O24" s="250">
        <v>1</v>
      </c>
      <c r="P24" s="250">
        <v>1</v>
      </c>
      <c r="Q24" s="250">
        <v>1</v>
      </c>
      <c r="R24" s="250">
        <v>1</v>
      </c>
      <c r="S24" s="250">
        <v>1</v>
      </c>
      <c r="T24" s="250">
        <v>1</v>
      </c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41">
        <f t="shared" si="5"/>
        <v>6</v>
      </c>
      <c r="AF24" s="116" t="s">
        <v>305</v>
      </c>
      <c r="AG24" s="189" t="s">
        <v>675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211" t="s">
        <v>102</v>
      </c>
      <c r="F25" s="41">
        <f t="shared" si="4"/>
        <v>12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>
        <v>1</v>
      </c>
      <c r="R25" s="250">
        <v>1</v>
      </c>
      <c r="S25" s="250">
        <v>1</v>
      </c>
      <c r="T25" s="250">
        <v>1</v>
      </c>
      <c r="U25" s="250"/>
      <c r="V25" s="250">
        <v>1</v>
      </c>
      <c r="W25" s="250">
        <v>1</v>
      </c>
      <c r="X25" s="250">
        <v>1</v>
      </c>
      <c r="Y25" s="250">
        <v>1</v>
      </c>
      <c r="Z25" s="250">
        <v>1</v>
      </c>
      <c r="AA25" s="250">
        <v>1</v>
      </c>
      <c r="AB25" s="250">
        <v>1</v>
      </c>
      <c r="AC25" s="250">
        <v>1</v>
      </c>
      <c r="AD25" s="250"/>
      <c r="AE25" s="41">
        <f t="shared" si="5"/>
        <v>12</v>
      </c>
      <c r="AF25" s="116" t="s">
        <v>319</v>
      </c>
      <c r="AG25" s="189" t="s">
        <v>675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7" t="s">
        <v>104</v>
      </c>
      <c r="F26" s="41">
        <f t="shared" si="4"/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Z26" s="77">
        <v>0</v>
      </c>
      <c r="AA26" s="77">
        <v>0</v>
      </c>
      <c r="AB26" s="77">
        <v>0</v>
      </c>
      <c r="AC26" s="77">
        <v>0</v>
      </c>
      <c r="AD26" s="77">
        <v>0</v>
      </c>
      <c r="AE26" s="41">
        <f t="shared" si="5"/>
        <v>0</v>
      </c>
      <c r="AF26" s="116" t="s">
        <v>225</v>
      </c>
      <c r="AG26" s="189" t="s">
        <v>675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7" t="s">
        <v>333</v>
      </c>
      <c r="F27" s="41">
        <f t="shared" si="4"/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  <c r="Z27" s="77">
        <v>0</v>
      </c>
      <c r="AA27" s="77">
        <v>0</v>
      </c>
      <c r="AB27" s="77">
        <v>0</v>
      </c>
      <c r="AC27" s="77">
        <v>0</v>
      </c>
      <c r="AD27" s="77">
        <v>0</v>
      </c>
      <c r="AE27" s="41">
        <f t="shared" si="5"/>
        <v>0</v>
      </c>
      <c r="AF27" s="116" t="s">
        <v>225</v>
      </c>
      <c r="AG27" s="189" t="s">
        <v>675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07" t="s">
        <v>172</v>
      </c>
      <c r="F28" s="41">
        <f t="shared" si="4"/>
        <v>0</v>
      </c>
      <c r="G28" s="77">
        <v>0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  <c r="Z28" s="77">
        <v>0</v>
      </c>
      <c r="AA28" s="77">
        <v>0</v>
      </c>
      <c r="AB28" s="77">
        <v>0</v>
      </c>
      <c r="AC28" s="77">
        <v>0</v>
      </c>
      <c r="AD28" s="77">
        <v>0</v>
      </c>
      <c r="AE28" s="41">
        <f t="shared" si="5"/>
        <v>0</v>
      </c>
      <c r="AF28" s="116" t="s">
        <v>225</v>
      </c>
      <c r="AG28" s="189" t="s">
        <v>675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268" t="s">
        <v>106</v>
      </c>
      <c r="F29" s="41">
        <f t="shared" si="4"/>
        <v>13</v>
      </c>
      <c r="G29" s="250"/>
      <c r="H29" s="250"/>
      <c r="I29" s="250"/>
      <c r="J29" s="250"/>
      <c r="K29" s="250"/>
      <c r="L29" s="250"/>
      <c r="M29" s="250"/>
      <c r="N29" s="250"/>
      <c r="O29" s="250"/>
      <c r="P29" s="250">
        <v>1</v>
      </c>
      <c r="Q29" s="250">
        <v>1</v>
      </c>
      <c r="R29" s="250">
        <v>1</v>
      </c>
      <c r="S29" s="250">
        <v>1</v>
      </c>
      <c r="T29" s="250">
        <v>1</v>
      </c>
      <c r="U29" s="250">
        <v>1</v>
      </c>
      <c r="V29" s="250"/>
      <c r="W29" s="250">
        <v>1</v>
      </c>
      <c r="X29" s="250">
        <v>1</v>
      </c>
      <c r="Y29" s="250">
        <v>1</v>
      </c>
      <c r="Z29" s="250">
        <v>1</v>
      </c>
      <c r="AA29" s="250">
        <v>1</v>
      </c>
      <c r="AB29" s="250">
        <v>1</v>
      </c>
      <c r="AC29" s="250">
        <v>1</v>
      </c>
      <c r="AD29" s="250"/>
      <c r="AE29" s="41">
        <f t="shared" si="5"/>
        <v>13</v>
      </c>
      <c r="AF29" s="116" t="s">
        <v>383</v>
      </c>
      <c r="AG29" s="189" t="s">
        <v>675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7" t="s">
        <v>112</v>
      </c>
      <c r="F30" s="41">
        <f t="shared" si="4"/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0</v>
      </c>
      <c r="X30" s="77">
        <v>0</v>
      </c>
      <c r="Y30" s="77">
        <v>0</v>
      </c>
      <c r="Z30" s="77">
        <v>0</v>
      </c>
      <c r="AA30" s="77">
        <v>0</v>
      </c>
      <c r="AB30" s="77">
        <v>0</v>
      </c>
      <c r="AC30" s="77">
        <v>0</v>
      </c>
      <c r="AD30" s="77">
        <v>0</v>
      </c>
      <c r="AE30" s="41">
        <f t="shared" si="5"/>
        <v>0</v>
      </c>
      <c r="AF30" s="116" t="s">
        <v>225</v>
      </c>
      <c r="AG30" s="189" t="s">
        <v>675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207" t="s">
        <v>116</v>
      </c>
      <c r="F31" s="41">
        <f t="shared" si="4"/>
        <v>6</v>
      </c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>
        <v>1</v>
      </c>
      <c r="Z31" s="250">
        <v>1</v>
      </c>
      <c r="AA31" s="250">
        <v>1</v>
      </c>
      <c r="AB31" s="250">
        <v>1</v>
      </c>
      <c r="AC31" s="250">
        <v>1</v>
      </c>
      <c r="AD31" s="250">
        <v>1</v>
      </c>
      <c r="AE31" s="41">
        <f t="shared" si="5"/>
        <v>6</v>
      </c>
      <c r="AF31" s="116" t="s">
        <v>281</v>
      </c>
      <c r="AG31" s="189" t="s">
        <v>675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7" t="s">
        <v>121</v>
      </c>
      <c r="F32" s="41">
        <f t="shared" si="4"/>
        <v>7</v>
      </c>
      <c r="G32" s="250">
        <v>1</v>
      </c>
      <c r="H32" s="250">
        <v>1</v>
      </c>
      <c r="I32" s="250">
        <v>1</v>
      </c>
      <c r="J32" s="250">
        <v>1</v>
      </c>
      <c r="K32" s="250">
        <v>1</v>
      </c>
      <c r="L32" s="250">
        <v>1</v>
      </c>
      <c r="M32" s="250">
        <v>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41">
        <f t="shared" si="5"/>
        <v>7</v>
      </c>
      <c r="AF32" s="116" t="s">
        <v>284</v>
      </c>
      <c r="AG32" s="189" t="s">
        <v>675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08" t="s">
        <v>123</v>
      </c>
      <c r="F33" s="41">
        <f t="shared" si="4"/>
        <v>10</v>
      </c>
      <c r="G33" s="250"/>
      <c r="H33" s="250"/>
      <c r="I33" s="250"/>
      <c r="J33" s="250"/>
      <c r="K33" s="250"/>
      <c r="L33" s="250"/>
      <c r="M33" s="250"/>
      <c r="N33" s="250"/>
      <c r="O33" s="250"/>
      <c r="P33" s="250">
        <v>1</v>
      </c>
      <c r="Q33" s="250">
        <v>1</v>
      </c>
      <c r="R33" s="250">
        <v>1</v>
      </c>
      <c r="S33" s="250">
        <v>1</v>
      </c>
      <c r="T33" s="250">
        <v>1</v>
      </c>
      <c r="U33" s="250">
        <v>1</v>
      </c>
      <c r="V33" s="250">
        <v>1</v>
      </c>
      <c r="W33" s="250">
        <v>1</v>
      </c>
      <c r="X33" s="250">
        <v>1</v>
      </c>
      <c r="Y33" s="250">
        <v>1</v>
      </c>
      <c r="Z33" s="250"/>
      <c r="AA33" s="250"/>
      <c r="AB33" s="250"/>
      <c r="AC33" s="250"/>
      <c r="AD33" s="250"/>
      <c r="AE33" s="41">
        <f t="shared" si="5"/>
        <v>10</v>
      </c>
      <c r="AF33" s="116" t="s">
        <v>302</v>
      </c>
      <c r="AG33" s="189" t="s">
        <v>675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7" t="s">
        <v>125</v>
      </c>
      <c r="F34" s="41">
        <f t="shared" si="4"/>
        <v>6</v>
      </c>
      <c r="G34" s="250">
        <v>1</v>
      </c>
      <c r="H34" s="250">
        <v>1</v>
      </c>
      <c r="I34" s="250">
        <v>1</v>
      </c>
      <c r="J34" s="250">
        <v>1</v>
      </c>
      <c r="K34" s="250">
        <v>1</v>
      </c>
      <c r="L34" s="250">
        <v>1</v>
      </c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41">
        <f t="shared" si="5"/>
        <v>6</v>
      </c>
      <c r="AF34" s="116" t="s">
        <v>159</v>
      </c>
      <c r="AG34" s="189" t="s">
        <v>675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272" t="s">
        <v>127</v>
      </c>
      <c r="F35" s="41">
        <f t="shared" si="4"/>
        <v>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41">
        <f t="shared" si="5"/>
        <v>0</v>
      </c>
      <c r="AF35" s="116" t="s">
        <v>193</v>
      </c>
      <c r="AG35" s="189" t="s">
        <v>675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207" t="s">
        <v>129</v>
      </c>
      <c r="F36" s="41">
        <f t="shared" si="4"/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0</v>
      </c>
      <c r="Z36" s="77">
        <v>0</v>
      </c>
      <c r="AA36" s="77">
        <v>0</v>
      </c>
      <c r="AB36" s="77">
        <v>0</v>
      </c>
      <c r="AC36" s="77">
        <v>0</v>
      </c>
      <c r="AD36" s="77">
        <v>0</v>
      </c>
      <c r="AE36" s="41">
        <f t="shared" si="5"/>
        <v>0</v>
      </c>
      <c r="AF36" s="116" t="s">
        <v>225</v>
      </c>
      <c r="AG36" s="189" t="s">
        <v>675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11" t="s">
        <v>131</v>
      </c>
      <c r="F37" s="41">
        <f t="shared" si="4"/>
        <v>12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>
        <v>1</v>
      </c>
      <c r="S37" s="250">
        <v>1</v>
      </c>
      <c r="T37" s="263">
        <v>1</v>
      </c>
      <c r="U37" s="263">
        <v>1</v>
      </c>
      <c r="V37" s="263">
        <v>1</v>
      </c>
      <c r="W37" s="263">
        <v>1</v>
      </c>
      <c r="X37" s="263">
        <v>1</v>
      </c>
      <c r="Y37" s="263"/>
      <c r="Z37" s="263">
        <v>1</v>
      </c>
      <c r="AA37" s="263">
        <v>1</v>
      </c>
      <c r="AB37" s="263">
        <v>1</v>
      </c>
      <c r="AC37" s="263">
        <v>1</v>
      </c>
      <c r="AD37" s="250">
        <v>1</v>
      </c>
      <c r="AE37" s="41">
        <f t="shared" si="5"/>
        <v>12</v>
      </c>
      <c r="AF37" s="116" t="s">
        <v>682</v>
      </c>
      <c r="AG37" s="189" t="s">
        <v>675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272" t="s">
        <v>50</v>
      </c>
      <c r="F38" s="41">
        <f t="shared" si="4"/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  <c r="Z38" s="77">
        <v>0</v>
      </c>
      <c r="AA38" s="77">
        <v>0</v>
      </c>
      <c r="AB38" s="77">
        <v>0</v>
      </c>
      <c r="AC38" s="77">
        <v>0</v>
      </c>
      <c r="AD38" s="77">
        <v>0</v>
      </c>
      <c r="AE38" s="41">
        <f t="shared" si="5"/>
        <v>0</v>
      </c>
      <c r="AF38" s="116" t="s">
        <v>225</v>
      </c>
      <c r="AG38" s="189" t="s">
        <v>675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272" t="s">
        <v>135</v>
      </c>
      <c r="F39" s="41">
        <f t="shared" si="4"/>
        <v>7</v>
      </c>
      <c r="G39" s="263"/>
      <c r="H39" s="263"/>
      <c r="I39" s="263"/>
      <c r="J39" s="263"/>
      <c r="K39" s="263"/>
      <c r="L39" s="263"/>
      <c r="M39" s="263"/>
      <c r="N39" s="263"/>
      <c r="O39" s="263">
        <v>1</v>
      </c>
      <c r="P39" s="263">
        <v>1</v>
      </c>
      <c r="Q39" s="263">
        <v>1</v>
      </c>
      <c r="R39" s="263">
        <v>1</v>
      </c>
      <c r="S39" s="263">
        <v>1</v>
      </c>
      <c r="T39" s="263">
        <v>1</v>
      </c>
      <c r="U39" s="263">
        <v>1</v>
      </c>
      <c r="V39" s="263"/>
      <c r="W39" s="263"/>
      <c r="X39" s="263"/>
      <c r="Y39" s="263"/>
      <c r="Z39" s="263"/>
      <c r="AA39" s="263"/>
      <c r="AB39" s="263"/>
      <c r="AC39" s="263"/>
      <c r="AD39" s="263"/>
      <c r="AE39" s="41">
        <f t="shared" si="5"/>
        <v>7</v>
      </c>
      <c r="AF39" s="116" t="s">
        <v>87</v>
      </c>
      <c r="AG39" s="189" t="s">
        <v>675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272" t="s">
        <v>140</v>
      </c>
      <c r="F40" s="41">
        <f t="shared" si="4"/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  <c r="Z40" s="77">
        <v>0</v>
      </c>
      <c r="AA40" s="77">
        <v>0</v>
      </c>
      <c r="AB40" s="77">
        <v>0</v>
      </c>
      <c r="AC40" s="77">
        <v>0</v>
      </c>
      <c r="AD40" s="77">
        <v>0</v>
      </c>
      <c r="AE40" s="41">
        <f t="shared" si="5"/>
        <v>0</v>
      </c>
      <c r="AF40" s="116" t="s">
        <v>225</v>
      </c>
      <c r="AG40" s="189" t="s">
        <v>675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7" t="s">
        <v>118</v>
      </c>
      <c r="F41" s="41">
        <f t="shared" si="4"/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  <c r="Z41" s="77">
        <v>0</v>
      </c>
      <c r="AA41" s="77">
        <v>0</v>
      </c>
      <c r="AB41" s="77">
        <v>0</v>
      </c>
      <c r="AC41" s="77">
        <v>0</v>
      </c>
      <c r="AD41" s="77">
        <v>0</v>
      </c>
      <c r="AE41" s="41">
        <f t="shared" si="5"/>
        <v>0</v>
      </c>
      <c r="AF41" s="116" t="s">
        <v>225</v>
      </c>
      <c r="AG41" s="189" t="s">
        <v>675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272" t="s">
        <v>143</v>
      </c>
      <c r="F42" s="41">
        <f t="shared" si="4"/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  <c r="Z42" s="77">
        <v>0</v>
      </c>
      <c r="AA42" s="77">
        <v>0</v>
      </c>
      <c r="AB42" s="77">
        <v>0</v>
      </c>
      <c r="AC42" s="77">
        <v>0</v>
      </c>
      <c r="AD42" s="77">
        <v>0</v>
      </c>
      <c r="AE42" s="41">
        <f t="shared" si="5"/>
        <v>0</v>
      </c>
      <c r="AF42" s="116" t="s">
        <v>225</v>
      </c>
      <c r="AG42" s="189" t="s">
        <v>675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5" t="s">
        <v>455</v>
      </c>
      <c r="F43" s="41">
        <f t="shared" si="4"/>
        <v>13</v>
      </c>
      <c r="G43" s="250"/>
      <c r="H43" s="250"/>
      <c r="I43" s="250"/>
      <c r="J43" s="250"/>
      <c r="K43" s="250"/>
      <c r="L43" s="250"/>
      <c r="M43" s="250">
        <v>1</v>
      </c>
      <c r="N43" s="250">
        <v>1</v>
      </c>
      <c r="O43" s="250">
        <v>1</v>
      </c>
      <c r="P43" s="250">
        <v>1</v>
      </c>
      <c r="Q43" s="250">
        <v>1</v>
      </c>
      <c r="R43" s="250">
        <v>1</v>
      </c>
      <c r="S43" s="250">
        <v>1</v>
      </c>
      <c r="T43" s="250">
        <v>1</v>
      </c>
      <c r="U43" s="250">
        <v>1</v>
      </c>
      <c r="V43" s="250">
        <v>1</v>
      </c>
      <c r="W43" s="250"/>
      <c r="X43" s="250">
        <v>1</v>
      </c>
      <c r="Y43" s="250">
        <v>1</v>
      </c>
      <c r="Z43" s="250">
        <v>1</v>
      </c>
      <c r="AA43" s="250"/>
      <c r="AB43" s="250"/>
      <c r="AC43" s="250"/>
      <c r="AD43" s="250"/>
      <c r="AE43" s="41">
        <f t="shared" si="5"/>
        <v>13</v>
      </c>
      <c r="AF43" s="116" t="s">
        <v>630</v>
      </c>
      <c r="AG43" s="189" t="s">
        <v>675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5" t="s">
        <v>457</v>
      </c>
      <c r="F44" s="41">
        <f t="shared" si="4"/>
        <v>8</v>
      </c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>
        <v>1</v>
      </c>
      <c r="R44" s="250">
        <v>1</v>
      </c>
      <c r="S44" s="250">
        <v>1</v>
      </c>
      <c r="T44" s="250">
        <v>1</v>
      </c>
      <c r="U44" s="250">
        <v>1</v>
      </c>
      <c r="V44" s="250">
        <v>1</v>
      </c>
      <c r="W44" s="250">
        <v>1</v>
      </c>
      <c r="X44" s="250">
        <v>1</v>
      </c>
      <c r="Y44" s="250"/>
      <c r="Z44" s="250"/>
      <c r="AA44" s="250"/>
      <c r="AB44" s="250"/>
      <c r="AC44" s="250"/>
      <c r="AD44" s="250"/>
      <c r="AE44" s="41">
        <f t="shared" si="5"/>
        <v>8</v>
      </c>
      <c r="AF44" s="116" t="s">
        <v>267</v>
      </c>
      <c r="AG44" s="189" t="s">
        <v>675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5" t="s">
        <v>460</v>
      </c>
      <c r="F45" s="41">
        <f t="shared" si="4"/>
        <v>13</v>
      </c>
      <c r="G45" s="250"/>
      <c r="H45" s="250"/>
      <c r="I45" s="250"/>
      <c r="J45" s="250"/>
      <c r="K45" s="250"/>
      <c r="L45" s="250"/>
      <c r="M45" s="250"/>
      <c r="N45" s="250">
        <v>1</v>
      </c>
      <c r="O45" s="250">
        <v>1</v>
      </c>
      <c r="P45" s="250">
        <v>1</v>
      </c>
      <c r="Q45" s="250">
        <v>1</v>
      </c>
      <c r="R45" s="250">
        <v>1</v>
      </c>
      <c r="S45" s="250">
        <v>1</v>
      </c>
      <c r="T45" s="250">
        <v>1</v>
      </c>
      <c r="U45" s="250">
        <v>1</v>
      </c>
      <c r="V45" s="250">
        <v>1</v>
      </c>
      <c r="W45" s="250">
        <v>1</v>
      </c>
      <c r="X45" s="250">
        <v>1</v>
      </c>
      <c r="Y45" s="250"/>
      <c r="Z45" s="250">
        <v>1</v>
      </c>
      <c r="AA45" s="250">
        <v>1</v>
      </c>
      <c r="AB45" s="250"/>
      <c r="AC45" s="250"/>
      <c r="AD45" s="250"/>
      <c r="AE45" s="41">
        <f t="shared" si="5"/>
        <v>13</v>
      </c>
      <c r="AF45" s="116" t="s">
        <v>388</v>
      </c>
      <c r="AG45" s="189" t="s">
        <v>675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15" t="s">
        <v>478</v>
      </c>
      <c r="F46" s="41">
        <f t="shared" si="4"/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0</v>
      </c>
      <c r="X46" s="77">
        <v>0</v>
      </c>
      <c r="Y46" s="77">
        <v>0</v>
      </c>
      <c r="Z46" s="77">
        <v>0</v>
      </c>
      <c r="AA46" s="77">
        <v>0</v>
      </c>
      <c r="AB46" s="77">
        <v>0</v>
      </c>
      <c r="AC46" s="77">
        <v>0</v>
      </c>
      <c r="AD46" s="77">
        <v>0</v>
      </c>
      <c r="AE46" s="41">
        <f t="shared" si="5"/>
        <v>0</v>
      </c>
      <c r="AF46" s="116" t="s">
        <v>225</v>
      </c>
      <c r="AG46" s="189" t="s">
        <v>675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5" t="s">
        <v>461</v>
      </c>
      <c r="F47" s="41">
        <f t="shared" si="4"/>
        <v>12</v>
      </c>
      <c r="G47" s="250"/>
      <c r="H47" s="250"/>
      <c r="I47" s="250"/>
      <c r="J47" s="250"/>
      <c r="K47" s="250"/>
      <c r="L47" s="250"/>
      <c r="M47" s="250"/>
      <c r="N47" s="250">
        <v>1</v>
      </c>
      <c r="O47" s="250">
        <v>1</v>
      </c>
      <c r="P47" s="250">
        <v>1</v>
      </c>
      <c r="Q47" s="250">
        <v>1</v>
      </c>
      <c r="R47" s="250"/>
      <c r="S47" s="250">
        <v>1</v>
      </c>
      <c r="T47" s="250">
        <v>1</v>
      </c>
      <c r="U47" s="250">
        <v>1</v>
      </c>
      <c r="V47" s="250">
        <v>1</v>
      </c>
      <c r="W47" s="250">
        <v>1</v>
      </c>
      <c r="X47" s="250">
        <v>1</v>
      </c>
      <c r="Y47" s="250">
        <v>1</v>
      </c>
      <c r="Z47" s="250">
        <v>1</v>
      </c>
      <c r="AA47" s="250"/>
      <c r="AB47" s="250"/>
      <c r="AC47" s="250"/>
      <c r="AD47" s="250"/>
      <c r="AE47" s="41">
        <f t="shared" si="5"/>
        <v>12</v>
      </c>
      <c r="AF47" s="116" t="s">
        <v>336</v>
      </c>
      <c r="AG47" s="189" t="s">
        <v>675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5" t="s">
        <v>463</v>
      </c>
      <c r="F48" s="41">
        <f t="shared" si="4"/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  <c r="Z48" s="77">
        <v>0</v>
      </c>
      <c r="AA48" s="77">
        <v>0</v>
      </c>
      <c r="AB48" s="77">
        <v>0</v>
      </c>
      <c r="AC48" s="77">
        <v>0</v>
      </c>
      <c r="AD48" s="77">
        <v>0</v>
      </c>
      <c r="AE48" s="41">
        <f t="shared" si="5"/>
        <v>0</v>
      </c>
      <c r="AF48" s="116" t="s">
        <v>225</v>
      </c>
      <c r="AG48" s="189" t="s">
        <v>675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5" t="s">
        <v>465</v>
      </c>
      <c r="F49" s="41">
        <f t="shared" si="4"/>
        <v>0</v>
      </c>
      <c r="G49" s="250"/>
      <c r="H49" s="250"/>
      <c r="I49" s="250"/>
      <c r="J49" s="250"/>
      <c r="K49" s="250"/>
      <c r="L49" s="250"/>
      <c r="M49" s="250"/>
      <c r="N49" s="261" t="s">
        <v>231</v>
      </c>
      <c r="O49" s="261" t="s">
        <v>231</v>
      </c>
      <c r="P49" s="261" t="s">
        <v>231</v>
      </c>
      <c r="Q49" s="261" t="s">
        <v>231</v>
      </c>
      <c r="R49" s="261" t="s">
        <v>231</v>
      </c>
      <c r="S49" s="261" t="s">
        <v>231</v>
      </c>
      <c r="T49" s="261" t="s">
        <v>231</v>
      </c>
      <c r="U49" s="261" t="s">
        <v>231</v>
      </c>
      <c r="V49" s="261" t="s">
        <v>231</v>
      </c>
      <c r="W49" s="261" t="s">
        <v>231</v>
      </c>
      <c r="X49" s="261" t="s">
        <v>231</v>
      </c>
      <c r="Y49" s="250"/>
      <c r="Z49" s="261" t="s">
        <v>231</v>
      </c>
      <c r="AA49" s="261" t="s">
        <v>231</v>
      </c>
      <c r="AB49" s="250"/>
      <c r="AC49" s="250"/>
      <c r="AD49" s="250"/>
      <c r="AE49" s="41">
        <f t="shared" si="5"/>
        <v>0</v>
      </c>
      <c r="AF49" s="116" t="s">
        <v>388</v>
      </c>
      <c r="AG49" s="189" t="s">
        <v>675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5" t="s">
        <v>466</v>
      </c>
      <c r="F50" s="41">
        <f t="shared" si="4"/>
        <v>0</v>
      </c>
      <c r="G50" s="77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0</v>
      </c>
      <c r="Z50" s="77">
        <v>0</v>
      </c>
      <c r="AA50" s="77">
        <v>0</v>
      </c>
      <c r="AB50" s="77">
        <v>0</v>
      </c>
      <c r="AC50" s="77">
        <v>0</v>
      </c>
      <c r="AD50" s="77">
        <v>0</v>
      </c>
      <c r="AE50" s="41">
        <f t="shared" si="5"/>
        <v>0</v>
      </c>
      <c r="AF50" s="116" t="s">
        <v>225</v>
      </c>
      <c r="AG50" s="189" t="s">
        <v>675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5" t="s">
        <v>467</v>
      </c>
      <c r="F51" s="41">
        <f t="shared" si="4"/>
        <v>12</v>
      </c>
      <c r="G51" s="250"/>
      <c r="H51" s="250"/>
      <c r="I51" s="250"/>
      <c r="J51" s="250"/>
      <c r="K51" s="250"/>
      <c r="L51" s="250"/>
      <c r="M51" s="250"/>
      <c r="N51" s="250">
        <v>1</v>
      </c>
      <c r="O51" s="250">
        <v>1</v>
      </c>
      <c r="P51" s="250">
        <v>1</v>
      </c>
      <c r="Q51" s="250">
        <v>1</v>
      </c>
      <c r="R51" s="250">
        <v>1</v>
      </c>
      <c r="S51" s="250"/>
      <c r="T51" s="250">
        <v>1</v>
      </c>
      <c r="U51" s="250">
        <v>1</v>
      </c>
      <c r="V51" s="250">
        <v>1</v>
      </c>
      <c r="W51" s="250">
        <v>1</v>
      </c>
      <c r="X51" s="250">
        <v>1</v>
      </c>
      <c r="Y51" s="250">
        <v>1</v>
      </c>
      <c r="Z51" s="250">
        <v>1</v>
      </c>
      <c r="AA51" s="250"/>
      <c r="AB51" s="250"/>
      <c r="AC51" s="250"/>
      <c r="AD51" s="250"/>
      <c r="AE51" s="41">
        <f t="shared" si="5"/>
        <v>12</v>
      </c>
      <c r="AF51" s="116" t="s">
        <v>406</v>
      </c>
      <c r="AG51" s="189" t="s">
        <v>675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5" t="s">
        <v>491</v>
      </c>
      <c r="F52" s="41">
        <f t="shared" si="4"/>
        <v>0</v>
      </c>
      <c r="G52" s="77">
        <v>0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  <c r="Z52" s="77">
        <v>0</v>
      </c>
      <c r="AA52" s="77">
        <v>0</v>
      </c>
      <c r="AB52" s="77">
        <v>0</v>
      </c>
      <c r="AC52" s="77">
        <v>0</v>
      </c>
      <c r="AD52" s="77">
        <v>0</v>
      </c>
      <c r="AE52" s="41">
        <f t="shared" si="5"/>
        <v>0</v>
      </c>
      <c r="AF52" s="116" t="s">
        <v>225</v>
      </c>
      <c r="AG52" s="189" t="s">
        <v>675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5" t="s">
        <v>493</v>
      </c>
      <c r="F53" s="41">
        <f t="shared" si="4"/>
        <v>0</v>
      </c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  <c r="AE53" s="41">
        <f t="shared" si="5"/>
        <v>0</v>
      </c>
      <c r="AF53" s="116" t="s">
        <v>652</v>
      </c>
      <c r="AG53" s="189" t="s">
        <v>675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5" t="s">
        <v>469</v>
      </c>
      <c r="F54" s="41">
        <f t="shared" si="4"/>
        <v>9</v>
      </c>
      <c r="G54" s="77"/>
      <c r="H54" s="77"/>
      <c r="I54" s="77"/>
      <c r="J54" s="77"/>
      <c r="K54" s="77"/>
      <c r="L54" s="77"/>
      <c r="M54" s="77"/>
      <c r="N54" s="77"/>
      <c r="O54" s="77">
        <v>1</v>
      </c>
      <c r="P54" s="77">
        <v>1</v>
      </c>
      <c r="Q54" s="77">
        <v>1</v>
      </c>
      <c r="R54" s="77">
        <v>1</v>
      </c>
      <c r="S54" s="77">
        <v>1</v>
      </c>
      <c r="T54" s="77">
        <v>1</v>
      </c>
      <c r="U54" s="77">
        <v>1</v>
      </c>
      <c r="V54" s="77">
        <v>1</v>
      </c>
      <c r="W54" s="77">
        <v>1</v>
      </c>
      <c r="X54" s="77"/>
      <c r="Y54" s="77"/>
      <c r="Z54" s="77"/>
      <c r="AA54" s="77"/>
      <c r="AB54" s="77"/>
      <c r="AC54" s="77"/>
      <c r="AD54" s="77"/>
      <c r="AE54" s="41">
        <f t="shared" si="5"/>
        <v>9</v>
      </c>
      <c r="AF54" s="116" t="s">
        <v>298</v>
      </c>
      <c r="AG54" s="189" t="s">
        <v>675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5" t="s">
        <v>495</v>
      </c>
      <c r="F55" s="41">
        <f t="shared" si="4"/>
        <v>0</v>
      </c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261"/>
      <c r="AB55" s="261"/>
      <c r="AC55" s="261"/>
      <c r="AD55" s="261"/>
      <c r="AE55" s="41">
        <f t="shared" si="5"/>
        <v>0</v>
      </c>
      <c r="AF55" s="116" t="s">
        <v>652</v>
      </c>
      <c r="AG55" s="189" t="s">
        <v>675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5" t="s">
        <v>497</v>
      </c>
      <c r="F56" s="41">
        <f t="shared" si="4"/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0</v>
      </c>
      <c r="Z56" s="77">
        <v>0</v>
      </c>
      <c r="AA56" s="77">
        <v>0</v>
      </c>
      <c r="AB56" s="77">
        <v>0</v>
      </c>
      <c r="AC56" s="77">
        <v>0</v>
      </c>
      <c r="AD56" s="77">
        <v>0</v>
      </c>
      <c r="AE56" s="41">
        <f t="shared" si="5"/>
        <v>0</v>
      </c>
      <c r="AF56" s="116" t="s">
        <v>225</v>
      </c>
      <c r="AG56" s="189" t="s">
        <v>675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8</v>
      </c>
      <c r="G57" s="77"/>
      <c r="H57" s="77"/>
      <c r="I57" s="77"/>
      <c r="J57" s="77"/>
      <c r="K57" s="77"/>
      <c r="L57" s="77"/>
      <c r="M57" s="77"/>
      <c r="N57" s="577" t="s">
        <v>292</v>
      </c>
      <c r="O57" s="555"/>
      <c r="P57" s="555"/>
      <c r="Q57" s="555"/>
      <c r="R57" s="555"/>
      <c r="S57" s="555"/>
      <c r="T57" s="555"/>
      <c r="U57" s="555"/>
      <c r="V57" s="250"/>
      <c r="W57" s="77"/>
      <c r="X57" s="77"/>
      <c r="Y57" s="77"/>
      <c r="Z57" s="77"/>
      <c r="AA57" s="77"/>
      <c r="AB57" s="77"/>
      <c r="AC57" s="77"/>
      <c r="AD57" s="77"/>
      <c r="AE57" s="41">
        <v>8</v>
      </c>
      <c r="AF57" s="116" t="s">
        <v>288</v>
      </c>
      <c r="AG57" s="189" t="s">
        <v>675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f t="shared" ref="F58:F59" si="6">SUM(G58:AD58)</f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0</v>
      </c>
      <c r="X58" s="77">
        <v>0</v>
      </c>
      <c r="Y58" s="77">
        <v>0</v>
      </c>
      <c r="Z58" s="77">
        <v>0</v>
      </c>
      <c r="AA58" s="77">
        <v>0</v>
      </c>
      <c r="AB58" s="77">
        <v>0</v>
      </c>
      <c r="AC58" s="77">
        <v>0</v>
      </c>
      <c r="AD58" s="77">
        <v>0</v>
      </c>
      <c r="AE58" s="41">
        <f t="shared" ref="AE58:AE59" si="7">SUM(G58:AD58)</f>
        <v>0</v>
      </c>
      <c r="AF58" s="116" t="s">
        <v>225</v>
      </c>
      <c r="AG58" s="189" t="s">
        <v>675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f t="shared" si="6"/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  <c r="Z59" s="77">
        <v>0</v>
      </c>
      <c r="AA59" s="77">
        <v>0</v>
      </c>
      <c r="AB59" s="77">
        <v>0</v>
      </c>
      <c r="AC59" s="77">
        <v>0</v>
      </c>
      <c r="AD59" s="77">
        <v>0</v>
      </c>
      <c r="AE59" s="41">
        <f t="shared" si="7"/>
        <v>0</v>
      </c>
      <c r="AF59" s="116" t="s">
        <v>225</v>
      </c>
      <c r="AG59" s="189" t="s">
        <v>675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34">
        <v>3</v>
      </c>
      <c r="N62" s="234">
        <v>3</v>
      </c>
      <c r="O62" s="56">
        <v>5</v>
      </c>
      <c r="P62" s="56">
        <v>5</v>
      </c>
      <c r="Q62" s="56">
        <v>5</v>
      </c>
      <c r="R62" s="56">
        <v>5</v>
      </c>
      <c r="S62" s="144">
        <v>6</v>
      </c>
      <c r="T62" s="144">
        <v>6</v>
      </c>
      <c r="U62" s="56">
        <v>5</v>
      </c>
      <c r="V62" s="56">
        <v>5</v>
      </c>
      <c r="W62" s="56">
        <v>5</v>
      </c>
      <c r="X62" s="56">
        <v>5</v>
      </c>
      <c r="Y62" s="56">
        <v>5</v>
      </c>
      <c r="Z62" s="56">
        <v>5</v>
      </c>
      <c r="AA62" s="242">
        <v>4</v>
      </c>
      <c r="AB62" s="242">
        <v>4</v>
      </c>
      <c r="AC62" s="12">
        <v>2</v>
      </c>
      <c r="AD62" s="12">
        <v>2</v>
      </c>
      <c r="AE62" s="18">
        <f>SUM(G62:AD62)</f>
        <v>92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8">G65-G62</f>
        <v>0</v>
      </c>
      <c r="H63" s="28">
        <f t="shared" si="8"/>
        <v>0</v>
      </c>
      <c r="I63" s="28">
        <f t="shared" si="8"/>
        <v>0</v>
      </c>
      <c r="J63" s="28">
        <f t="shared" si="8"/>
        <v>0</v>
      </c>
      <c r="K63" s="28">
        <f t="shared" si="8"/>
        <v>0</v>
      </c>
      <c r="L63" s="28">
        <f t="shared" si="8"/>
        <v>0</v>
      </c>
      <c r="M63" s="28">
        <f t="shared" si="8"/>
        <v>0</v>
      </c>
      <c r="N63" s="28">
        <f t="shared" si="8"/>
        <v>0</v>
      </c>
      <c r="O63" s="28">
        <f t="shared" si="8"/>
        <v>-1</v>
      </c>
      <c r="P63" s="28">
        <f t="shared" si="8"/>
        <v>-1</v>
      </c>
      <c r="Q63" s="28">
        <f t="shared" si="8"/>
        <v>-1</v>
      </c>
      <c r="R63" s="28">
        <f t="shared" si="8"/>
        <v>-1</v>
      </c>
      <c r="S63" s="28">
        <f t="shared" si="8"/>
        <v>-1</v>
      </c>
      <c r="T63" s="28">
        <f t="shared" si="8"/>
        <v>-1</v>
      </c>
      <c r="U63" s="28">
        <f t="shared" si="8"/>
        <v>-1</v>
      </c>
      <c r="V63" s="28">
        <f t="shared" si="8"/>
        <v>-1</v>
      </c>
      <c r="W63" s="28">
        <f t="shared" si="8"/>
        <v>-1</v>
      </c>
      <c r="X63" s="28">
        <f t="shared" si="8"/>
        <v>-1</v>
      </c>
      <c r="Y63" s="28">
        <f t="shared" si="8"/>
        <v>0</v>
      </c>
      <c r="Z63" s="28">
        <f t="shared" si="8"/>
        <v>0</v>
      </c>
      <c r="AA63" s="28">
        <f t="shared" si="8"/>
        <v>0</v>
      </c>
      <c r="AB63" s="28">
        <f t="shared" si="8"/>
        <v>0</v>
      </c>
      <c r="AC63" s="28">
        <f t="shared" si="8"/>
        <v>0</v>
      </c>
      <c r="AD63" s="28">
        <f t="shared" si="8"/>
        <v>0</v>
      </c>
      <c r="AE63" s="53"/>
      <c r="AF63" s="3"/>
      <c r="AG63" s="3"/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9">SUM(G66:G82)</f>
        <v>2</v>
      </c>
      <c r="H65" s="35">
        <f t="shared" si="9"/>
        <v>2</v>
      </c>
      <c r="I65" s="35">
        <f t="shared" si="9"/>
        <v>2</v>
      </c>
      <c r="J65" s="35">
        <f t="shared" si="9"/>
        <v>2</v>
      </c>
      <c r="K65" s="35">
        <f t="shared" si="9"/>
        <v>2</v>
      </c>
      <c r="L65" s="35">
        <f t="shared" si="9"/>
        <v>2</v>
      </c>
      <c r="M65" s="35">
        <f t="shared" si="9"/>
        <v>3</v>
      </c>
      <c r="N65" s="35">
        <f t="shared" si="9"/>
        <v>3</v>
      </c>
      <c r="O65" s="35">
        <f t="shared" si="9"/>
        <v>4</v>
      </c>
      <c r="P65" s="35">
        <f t="shared" si="9"/>
        <v>4</v>
      </c>
      <c r="Q65" s="35">
        <f t="shared" si="9"/>
        <v>4</v>
      </c>
      <c r="R65" s="35">
        <f t="shared" si="9"/>
        <v>4</v>
      </c>
      <c r="S65" s="35">
        <f t="shared" si="9"/>
        <v>5</v>
      </c>
      <c r="T65" s="35">
        <f t="shared" si="9"/>
        <v>5</v>
      </c>
      <c r="U65" s="35">
        <f t="shared" si="9"/>
        <v>4</v>
      </c>
      <c r="V65" s="35">
        <f t="shared" si="9"/>
        <v>4</v>
      </c>
      <c r="W65" s="35">
        <f t="shared" si="9"/>
        <v>4</v>
      </c>
      <c r="X65" s="35">
        <f t="shared" si="9"/>
        <v>4</v>
      </c>
      <c r="Y65" s="35">
        <f t="shared" si="9"/>
        <v>5</v>
      </c>
      <c r="Z65" s="35">
        <f t="shared" si="9"/>
        <v>5</v>
      </c>
      <c r="AA65" s="35">
        <f t="shared" si="9"/>
        <v>4</v>
      </c>
      <c r="AB65" s="35">
        <f t="shared" si="9"/>
        <v>4</v>
      </c>
      <c r="AC65" s="35">
        <f t="shared" si="9"/>
        <v>2</v>
      </c>
      <c r="AD65" s="35">
        <f t="shared" si="9"/>
        <v>2</v>
      </c>
      <c r="AE65" s="30">
        <f t="shared" ref="AE65:AE79" si="10">SUM(G65:AD65)</f>
        <v>82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1">SUM(G66:AD66)</f>
        <v>0</v>
      </c>
      <c r="G66" s="277">
        <v>0</v>
      </c>
      <c r="H66" s="277">
        <v>0</v>
      </c>
      <c r="I66" s="277">
        <v>0</v>
      </c>
      <c r="J66" s="277">
        <v>0</v>
      </c>
      <c r="K66" s="277">
        <v>0</v>
      </c>
      <c r="L66" s="277">
        <v>0</v>
      </c>
      <c r="M66" s="277">
        <v>0</v>
      </c>
      <c r="N66" s="277">
        <v>0</v>
      </c>
      <c r="O66" s="277">
        <v>0</v>
      </c>
      <c r="P66" s="277">
        <v>0</v>
      </c>
      <c r="Q66" s="277">
        <v>0</v>
      </c>
      <c r="R66" s="277">
        <v>0</v>
      </c>
      <c r="S66" s="277">
        <v>0</v>
      </c>
      <c r="T66" s="277">
        <v>0</v>
      </c>
      <c r="U66" s="277">
        <v>0</v>
      </c>
      <c r="V66" s="277">
        <v>0</v>
      </c>
      <c r="W66" s="277">
        <v>0</v>
      </c>
      <c r="X66" s="277">
        <v>0</v>
      </c>
      <c r="Y66" s="277">
        <v>0</v>
      </c>
      <c r="Z66" s="277">
        <v>0</v>
      </c>
      <c r="AA66" s="277">
        <v>0</v>
      </c>
      <c r="AB66" s="277">
        <v>0</v>
      </c>
      <c r="AC66" s="277">
        <v>0</v>
      </c>
      <c r="AD66" s="277">
        <v>0</v>
      </c>
      <c r="AE66" s="41">
        <f t="shared" si="10"/>
        <v>0</v>
      </c>
      <c r="AF66" s="116" t="s">
        <v>225</v>
      </c>
      <c r="AG66" s="189" t="s">
        <v>675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1"/>
        <v>0</v>
      </c>
      <c r="G67" s="277">
        <v>0</v>
      </c>
      <c r="H67" s="277">
        <v>0</v>
      </c>
      <c r="I67" s="277">
        <v>0</v>
      </c>
      <c r="J67" s="277">
        <v>0</v>
      </c>
      <c r="K67" s="277">
        <v>0</v>
      </c>
      <c r="L67" s="277">
        <v>0</v>
      </c>
      <c r="M67" s="277">
        <v>0</v>
      </c>
      <c r="N67" s="277">
        <v>0</v>
      </c>
      <c r="O67" s="277">
        <v>0</v>
      </c>
      <c r="P67" s="277">
        <v>0</v>
      </c>
      <c r="Q67" s="277">
        <v>0</v>
      </c>
      <c r="R67" s="277">
        <v>0</v>
      </c>
      <c r="S67" s="277">
        <v>0</v>
      </c>
      <c r="T67" s="277">
        <v>0</v>
      </c>
      <c r="U67" s="277">
        <v>0</v>
      </c>
      <c r="V67" s="277">
        <v>0</v>
      </c>
      <c r="W67" s="277">
        <v>0</v>
      </c>
      <c r="X67" s="277">
        <v>0</v>
      </c>
      <c r="Y67" s="277">
        <v>0</v>
      </c>
      <c r="Z67" s="277">
        <v>0</v>
      </c>
      <c r="AA67" s="277">
        <v>0</v>
      </c>
      <c r="AB67" s="277">
        <v>0</v>
      </c>
      <c r="AC67" s="277">
        <v>0</v>
      </c>
      <c r="AD67" s="277">
        <v>0</v>
      </c>
      <c r="AE67" s="41">
        <f t="shared" si="10"/>
        <v>0</v>
      </c>
      <c r="AF67" s="116" t="s">
        <v>225</v>
      </c>
      <c r="AG67" s="189" t="s">
        <v>675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1"/>
        <v>13</v>
      </c>
      <c r="G68" s="258"/>
      <c r="H68" s="258"/>
      <c r="I68" s="258"/>
      <c r="J68" s="258"/>
      <c r="K68" s="258"/>
      <c r="L68" s="258"/>
      <c r="M68" s="258"/>
      <c r="N68" s="258"/>
      <c r="O68" s="258">
        <v>1</v>
      </c>
      <c r="P68" s="258">
        <v>1</v>
      </c>
      <c r="Q68" s="258">
        <v>1</v>
      </c>
      <c r="R68" s="258">
        <v>1</v>
      </c>
      <c r="S68" s="258">
        <v>1</v>
      </c>
      <c r="T68" s="258">
        <v>1</v>
      </c>
      <c r="U68" s="258"/>
      <c r="V68" s="258">
        <v>1</v>
      </c>
      <c r="W68" s="258">
        <v>1</v>
      </c>
      <c r="X68" s="258">
        <v>1</v>
      </c>
      <c r="Y68" s="258">
        <v>1</v>
      </c>
      <c r="Z68" s="258">
        <v>1</v>
      </c>
      <c r="AA68" s="258">
        <v>1</v>
      </c>
      <c r="AB68" s="258">
        <v>1</v>
      </c>
      <c r="AC68" s="258"/>
      <c r="AD68" s="258"/>
      <c r="AE68" s="41">
        <f t="shared" si="10"/>
        <v>13</v>
      </c>
      <c r="AF68" s="116" t="s">
        <v>407</v>
      </c>
      <c r="AG68" s="189" t="s">
        <v>675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1"/>
        <v>11</v>
      </c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>
        <v>1</v>
      </c>
      <c r="S69" s="258">
        <v>1</v>
      </c>
      <c r="T69" s="258">
        <v>1</v>
      </c>
      <c r="U69" s="258">
        <v>1</v>
      </c>
      <c r="V69" s="258">
        <v>1</v>
      </c>
      <c r="W69" s="258">
        <v>1</v>
      </c>
      <c r="X69" s="258">
        <v>1</v>
      </c>
      <c r="Y69" s="258">
        <v>1</v>
      </c>
      <c r="Z69" s="258">
        <v>1</v>
      </c>
      <c r="AA69" s="258">
        <v>1</v>
      </c>
      <c r="AB69" s="258">
        <v>1</v>
      </c>
      <c r="AC69" s="258"/>
      <c r="AD69" s="258"/>
      <c r="AE69" s="41">
        <f t="shared" si="10"/>
        <v>11</v>
      </c>
      <c r="AF69" s="116" t="s">
        <v>197</v>
      </c>
      <c r="AG69" s="189" t="s">
        <v>675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1"/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  <c r="Z70" s="77">
        <v>0</v>
      </c>
      <c r="AA70" s="77">
        <v>0</v>
      </c>
      <c r="AB70" s="77">
        <v>0</v>
      </c>
      <c r="AC70" s="77">
        <v>0</v>
      </c>
      <c r="AD70" s="77">
        <v>0</v>
      </c>
      <c r="AE70" s="41">
        <f t="shared" si="10"/>
        <v>0</v>
      </c>
      <c r="AF70" s="116" t="s">
        <v>225</v>
      </c>
      <c r="AG70" s="189" t="s">
        <v>675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1"/>
        <v>11</v>
      </c>
      <c r="G71" s="258">
        <v>1</v>
      </c>
      <c r="H71" s="258">
        <v>1</v>
      </c>
      <c r="I71" s="258">
        <v>1</v>
      </c>
      <c r="J71" s="258">
        <v>1</v>
      </c>
      <c r="K71" s="258">
        <v>1</v>
      </c>
      <c r="L71" s="258">
        <v>1</v>
      </c>
      <c r="M71" s="258">
        <v>1</v>
      </c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  <c r="Z71" s="258"/>
      <c r="AA71" s="258">
        <v>1</v>
      </c>
      <c r="AB71" s="258">
        <v>1</v>
      </c>
      <c r="AC71" s="258">
        <v>1</v>
      </c>
      <c r="AD71" s="258">
        <v>1</v>
      </c>
      <c r="AE71" s="41">
        <f t="shared" si="10"/>
        <v>11</v>
      </c>
      <c r="AF71" s="111" t="s">
        <v>424</v>
      </c>
      <c r="AG71" s="189" t="s">
        <v>675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1"/>
        <v>6</v>
      </c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>
        <v>1</v>
      </c>
      <c r="Z72" s="258">
        <v>1</v>
      </c>
      <c r="AA72" s="258">
        <v>1</v>
      </c>
      <c r="AB72" s="258">
        <v>1</v>
      </c>
      <c r="AC72" s="258">
        <v>1</v>
      </c>
      <c r="AD72" s="258">
        <v>1</v>
      </c>
      <c r="AE72" s="41">
        <f t="shared" si="10"/>
        <v>6</v>
      </c>
      <c r="AF72" s="116" t="s">
        <v>281</v>
      </c>
      <c r="AG72" s="189" t="s">
        <v>675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1"/>
        <v>10</v>
      </c>
      <c r="G73" s="258"/>
      <c r="H73" s="258"/>
      <c r="I73" s="258"/>
      <c r="J73" s="258"/>
      <c r="K73" s="258"/>
      <c r="L73" s="258"/>
      <c r="M73" s="258">
        <v>1</v>
      </c>
      <c r="N73" s="258">
        <v>1</v>
      </c>
      <c r="O73" s="258">
        <v>1</v>
      </c>
      <c r="P73" s="258">
        <v>1</v>
      </c>
      <c r="Q73" s="258">
        <v>1</v>
      </c>
      <c r="R73" s="258"/>
      <c r="S73" s="258">
        <v>1</v>
      </c>
      <c r="T73" s="258">
        <v>1</v>
      </c>
      <c r="U73" s="258">
        <v>1</v>
      </c>
      <c r="V73" s="258">
        <v>1</v>
      </c>
      <c r="W73" s="258">
        <v>1</v>
      </c>
      <c r="X73" s="258"/>
      <c r="Y73" s="258"/>
      <c r="Z73" s="258"/>
      <c r="AA73" s="258"/>
      <c r="AB73" s="258"/>
      <c r="AC73" s="258"/>
      <c r="AD73" s="258"/>
      <c r="AE73" s="41">
        <f t="shared" si="10"/>
        <v>10</v>
      </c>
      <c r="AF73" s="116" t="s">
        <v>295</v>
      </c>
      <c r="AG73" s="189" t="s">
        <v>675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41">
        <f t="shared" si="11"/>
        <v>7</v>
      </c>
      <c r="G74" s="258">
        <v>1</v>
      </c>
      <c r="H74" s="258">
        <v>1</v>
      </c>
      <c r="I74" s="258">
        <v>1</v>
      </c>
      <c r="J74" s="258">
        <v>1</v>
      </c>
      <c r="K74" s="258">
        <v>1</v>
      </c>
      <c r="L74" s="258">
        <v>1</v>
      </c>
      <c r="M74" s="258">
        <v>1</v>
      </c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58"/>
      <c r="AA74" s="258"/>
      <c r="AB74" s="258"/>
      <c r="AC74" s="258"/>
      <c r="AD74" s="258"/>
      <c r="AE74" s="41">
        <f t="shared" si="10"/>
        <v>7</v>
      </c>
      <c r="AF74" s="116" t="s">
        <v>284</v>
      </c>
      <c r="AG74" s="189" t="s">
        <v>675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41">
        <f t="shared" si="11"/>
        <v>0</v>
      </c>
      <c r="G75" s="277">
        <v>0</v>
      </c>
      <c r="H75" s="277">
        <v>0</v>
      </c>
      <c r="I75" s="277">
        <v>0</v>
      </c>
      <c r="J75" s="277">
        <v>0</v>
      </c>
      <c r="K75" s="277">
        <v>0</v>
      </c>
      <c r="L75" s="277">
        <v>0</v>
      </c>
      <c r="M75" s="277">
        <v>0</v>
      </c>
      <c r="N75" s="277">
        <v>0</v>
      </c>
      <c r="O75" s="277">
        <v>0</v>
      </c>
      <c r="P75" s="277">
        <v>0</v>
      </c>
      <c r="Q75" s="277">
        <v>0</v>
      </c>
      <c r="R75" s="277">
        <v>0</v>
      </c>
      <c r="S75" s="277">
        <v>0</v>
      </c>
      <c r="T75" s="277">
        <v>0</v>
      </c>
      <c r="U75" s="277">
        <v>0</v>
      </c>
      <c r="V75" s="277">
        <v>0</v>
      </c>
      <c r="W75" s="277">
        <v>0</v>
      </c>
      <c r="X75" s="277">
        <v>0</v>
      </c>
      <c r="Y75" s="277">
        <v>0</v>
      </c>
      <c r="Z75" s="277">
        <v>0</v>
      </c>
      <c r="AA75" s="277">
        <v>0</v>
      </c>
      <c r="AB75" s="277">
        <v>0</v>
      </c>
      <c r="AC75" s="277">
        <v>0</v>
      </c>
      <c r="AD75" s="277">
        <v>0</v>
      </c>
      <c r="AE75" s="41">
        <f t="shared" si="10"/>
        <v>0</v>
      </c>
      <c r="AF75" s="116" t="s">
        <v>225</v>
      </c>
      <c r="AG75" s="189" t="s">
        <v>675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1"/>
        <v>0</v>
      </c>
      <c r="G76" s="277">
        <v>0</v>
      </c>
      <c r="H76" s="277">
        <v>0</v>
      </c>
      <c r="I76" s="277">
        <v>0</v>
      </c>
      <c r="J76" s="277">
        <v>0</v>
      </c>
      <c r="K76" s="277">
        <v>0</v>
      </c>
      <c r="L76" s="277">
        <v>0</v>
      </c>
      <c r="M76" s="277">
        <v>0</v>
      </c>
      <c r="N76" s="277">
        <v>0</v>
      </c>
      <c r="O76" s="277">
        <v>0</v>
      </c>
      <c r="P76" s="277">
        <v>0</v>
      </c>
      <c r="Q76" s="277">
        <v>0</v>
      </c>
      <c r="R76" s="277">
        <v>0</v>
      </c>
      <c r="S76" s="277">
        <v>0</v>
      </c>
      <c r="T76" s="277">
        <v>0</v>
      </c>
      <c r="U76" s="277">
        <v>0</v>
      </c>
      <c r="V76" s="277">
        <v>0</v>
      </c>
      <c r="W76" s="277">
        <v>0</v>
      </c>
      <c r="X76" s="277">
        <v>0</v>
      </c>
      <c r="Y76" s="277">
        <v>0</v>
      </c>
      <c r="Z76" s="277">
        <v>0</v>
      </c>
      <c r="AA76" s="277">
        <v>0</v>
      </c>
      <c r="AB76" s="277">
        <v>0</v>
      </c>
      <c r="AC76" s="277">
        <v>0</v>
      </c>
      <c r="AD76" s="277">
        <v>0</v>
      </c>
      <c r="AE76" s="41">
        <f t="shared" si="10"/>
        <v>0</v>
      </c>
      <c r="AF76" s="116" t="s">
        <v>225</v>
      </c>
      <c r="AG76" s="189" t="s">
        <v>675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1"/>
        <v>0</v>
      </c>
      <c r="G77" s="277">
        <v>0</v>
      </c>
      <c r="H77" s="277">
        <v>0</v>
      </c>
      <c r="I77" s="277">
        <v>0</v>
      </c>
      <c r="J77" s="277">
        <v>0</v>
      </c>
      <c r="K77" s="277">
        <v>0</v>
      </c>
      <c r="L77" s="277">
        <v>0</v>
      </c>
      <c r="M77" s="277">
        <v>0</v>
      </c>
      <c r="N77" s="277">
        <v>0</v>
      </c>
      <c r="O77" s="277">
        <v>0</v>
      </c>
      <c r="P77" s="277">
        <v>0</v>
      </c>
      <c r="Q77" s="277">
        <v>0</v>
      </c>
      <c r="R77" s="277">
        <v>0</v>
      </c>
      <c r="S77" s="277">
        <v>0</v>
      </c>
      <c r="T77" s="277">
        <v>0</v>
      </c>
      <c r="U77" s="277">
        <v>0</v>
      </c>
      <c r="V77" s="277">
        <v>0</v>
      </c>
      <c r="W77" s="277">
        <v>0</v>
      </c>
      <c r="X77" s="277">
        <v>0</v>
      </c>
      <c r="Y77" s="277">
        <v>0</v>
      </c>
      <c r="Z77" s="277">
        <v>0</v>
      </c>
      <c r="AA77" s="277">
        <v>0</v>
      </c>
      <c r="AB77" s="277">
        <v>0</v>
      </c>
      <c r="AC77" s="277">
        <v>0</v>
      </c>
      <c r="AD77" s="277">
        <v>0</v>
      </c>
      <c r="AE77" s="41">
        <f t="shared" si="10"/>
        <v>0</v>
      </c>
      <c r="AF77" s="116" t="s">
        <v>225</v>
      </c>
      <c r="AG77" s="189" t="s">
        <v>675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1"/>
        <v>12</v>
      </c>
      <c r="G78" s="258"/>
      <c r="H78" s="258"/>
      <c r="I78" s="258"/>
      <c r="J78" s="258"/>
      <c r="K78" s="258"/>
      <c r="L78" s="258"/>
      <c r="M78" s="258"/>
      <c r="N78" s="258">
        <v>1</v>
      </c>
      <c r="O78" s="258">
        <v>1</v>
      </c>
      <c r="P78" s="258">
        <v>1</v>
      </c>
      <c r="Q78" s="258">
        <v>1</v>
      </c>
      <c r="R78" s="258">
        <v>1</v>
      </c>
      <c r="S78" s="258">
        <v>1</v>
      </c>
      <c r="T78" s="258">
        <v>1</v>
      </c>
      <c r="U78" s="258">
        <v>1</v>
      </c>
      <c r="V78" s="258"/>
      <c r="W78" s="258">
        <v>1</v>
      </c>
      <c r="X78" s="258">
        <v>1</v>
      </c>
      <c r="Y78" s="258">
        <v>1</v>
      </c>
      <c r="Z78" s="258">
        <v>1</v>
      </c>
      <c r="AA78" s="258"/>
      <c r="AB78" s="258"/>
      <c r="AC78" s="258"/>
      <c r="AD78" s="258"/>
      <c r="AE78" s="41">
        <f t="shared" si="10"/>
        <v>12</v>
      </c>
      <c r="AF78" s="116" t="s">
        <v>535</v>
      </c>
      <c r="AG78" s="189" t="s">
        <v>675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41">
        <f t="shared" si="11"/>
        <v>0</v>
      </c>
      <c r="G79" s="277">
        <v>0</v>
      </c>
      <c r="H79" s="277">
        <v>0</v>
      </c>
      <c r="I79" s="277">
        <v>0</v>
      </c>
      <c r="J79" s="277">
        <v>0</v>
      </c>
      <c r="K79" s="277">
        <v>0</v>
      </c>
      <c r="L79" s="277">
        <v>0</v>
      </c>
      <c r="M79" s="277">
        <v>0</v>
      </c>
      <c r="N79" s="277">
        <v>0</v>
      </c>
      <c r="O79" s="277">
        <v>0</v>
      </c>
      <c r="P79" s="277">
        <v>0</v>
      </c>
      <c r="Q79" s="277">
        <v>0</v>
      </c>
      <c r="R79" s="277">
        <v>0</v>
      </c>
      <c r="S79" s="277">
        <v>0</v>
      </c>
      <c r="T79" s="277">
        <v>0</v>
      </c>
      <c r="U79" s="277">
        <v>0</v>
      </c>
      <c r="V79" s="277">
        <v>0</v>
      </c>
      <c r="W79" s="277">
        <v>0</v>
      </c>
      <c r="X79" s="277">
        <v>0</v>
      </c>
      <c r="Y79" s="277">
        <v>0</v>
      </c>
      <c r="Z79" s="277">
        <v>0</v>
      </c>
      <c r="AA79" s="277">
        <v>0</v>
      </c>
      <c r="AB79" s="277">
        <v>0</v>
      </c>
      <c r="AC79" s="277">
        <v>0</v>
      </c>
      <c r="AD79" s="277">
        <v>0</v>
      </c>
      <c r="AE79" s="41">
        <f t="shared" si="10"/>
        <v>0</v>
      </c>
      <c r="AF79" s="116" t="s">
        <v>225</v>
      </c>
      <c r="AG79" s="189" t="s">
        <v>675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41">
        <f t="shared" si="11"/>
        <v>0</v>
      </c>
      <c r="G80" s="277">
        <v>0</v>
      </c>
      <c r="H80" s="277">
        <v>0</v>
      </c>
      <c r="I80" s="277">
        <v>0</v>
      </c>
      <c r="J80" s="277">
        <v>0</v>
      </c>
      <c r="K80" s="277">
        <v>0</v>
      </c>
      <c r="L80" s="277">
        <v>0</v>
      </c>
      <c r="M80" s="277">
        <v>0</v>
      </c>
      <c r="N80" s="277">
        <v>0</v>
      </c>
      <c r="O80" s="277">
        <v>0</v>
      </c>
      <c r="P80" s="277">
        <v>0</v>
      </c>
      <c r="Q80" s="277">
        <v>0</v>
      </c>
      <c r="R80" s="277">
        <v>0</v>
      </c>
      <c r="S80" s="277">
        <v>0</v>
      </c>
      <c r="T80" s="277">
        <v>0</v>
      </c>
      <c r="U80" s="277">
        <v>0</v>
      </c>
      <c r="V80" s="277">
        <v>0</v>
      </c>
      <c r="W80" s="277">
        <v>0</v>
      </c>
      <c r="X80" s="277">
        <v>0</v>
      </c>
      <c r="Y80" s="277">
        <v>0</v>
      </c>
      <c r="Z80" s="277">
        <v>0</v>
      </c>
      <c r="AA80" s="277">
        <v>0</v>
      </c>
      <c r="AB80" s="277">
        <v>0</v>
      </c>
      <c r="AC80" s="277">
        <v>0</v>
      </c>
      <c r="AD80" s="277">
        <v>0</v>
      </c>
      <c r="AE80" s="41">
        <v>0</v>
      </c>
      <c r="AF80" s="116" t="s">
        <v>225</v>
      </c>
      <c r="AG80" s="189" t="s">
        <v>675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41">
        <f t="shared" si="11"/>
        <v>0</v>
      </c>
      <c r="G81" s="277">
        <v>0</v>
      </c>
      <c r="H81" s="277">
        <v>0</v>
      </c>
      <c r="I81" s="277">
        <v>0</v>
      </c>
      <c r="J81" s="277">
        <v>0</v>
      </c>
      <c r="K81" s="277">
        <v>0</v>
      </c>
      <c r="L81" s="277">
        <v>0</v>
      </c>
      <c r="M81" s="277">
        <v>0</v>
      </c>
      <c r="N81" s="277">
        <v>0</v>
      </c>
      <c r="O81" s="277">
        <v>0</v>
      </c>
      <c r="P81" s="277">
        <v>0</v>
      </c>
      <c r="Q81" s="277">
        <v>0</v>
      </c>
      <c r="R81" s="277">
        <v>0</v>
      </c>
      <c r="S81" s="277">
        <v>0</v>
      </c>
      <c r="T81" s="277">
        <v>0</v>
      </c>
      <c r="U81" s="277">
        <v>0</v>
      </c>
      <c r="V81" s="277">
        <v>0</v>
      </c>
      <c r="W81" s="277">
        <v>0</v>
      </c>
      <c r="X81" s="277">
        <v>0</v>
      </c>
      <c r="Y81" s="277">
        <v>0</v>
      </c>
      <c r="Z81" s="277">
        <v>0</v>
      </c>
      <c r="AA81" s="277">
        <v>0</v>
      </c>
      <c r="AB81" s="277">
        <v>0</v>
      </c>
      <c r="AC81" s="277">
        <v>0</v>
      </c>
      <c r="AD81" s="277">
        <v>0</v>
      </c>
      <c r="AE81" s="41">
        <f t="shared" ref="AE81:AE82" si="12">SUM(G81:AD81)</f>
        <v>0</v>
      </c>
      <c r="AF81" s="116" t="s">
        <v>225</v>
      </c>
      <c r="AG81" s="189" t="s">
        <v>675</v>
      </c>
    </row>
    <row r="82" spans="1:33" ht="14.25" customHeight="1">
      <c r="A82" s="38" t="s">
        <v>145</v>
      </c>
      <c r="B82" s="38" t="s">
        <v>183</v>
      </c>
      <c r="C82" s="38"/>
      <c r="D82" s="39">
        <v>17</v>
      </c>
      <c r="E82" s="40" t="s">
        <v>184</v>
      </c>
      <c r="F82" s="41">
        <f t="shared" si="11"/>
        <v>12</v>
      </c>
      <c r="G82" s="276"/>
      <c r="H82" s="276"/>
      <c r="I82" s="276"/>
      <c r="J82" s="276"/>
      <c r="K82" s="276"/>
      <c r="L82" s="276"/>
      <c r="M82" s="276"/>
      <c r="N82" s="281">
        <v>1</v>
      </c>
      <c r="O82" s="281">
        <v>1</v>
      </c>
      <c r="P82" s="281">
        <v>1</v>
      </c>
      <c r="Q82" s="281">
        <v>1</v>
      </c>
      <c r="R82" s="281">
        <v>1</v>
      </c>
      <c r="S82" s="281">
        <v>1</v>
      </c>
      <c r="T82" s="281">
        <v>1</v>
      </c>
      <c r="U82" s="281">
        <v>1</v>
      </c>
      <c r="V82" s="281">
        <v>1</v>
      </c>
      <c r="W82" s="281"/>
      <c r="X82" s="281">
        <v>1</v>
      </c>
      <c r="Y82" s="281">
        <v>1</v>
      </c>
      <c r="Z82" s="281">
        <v>1</v>
      </c>
      <c r="AA82" s="276"/>
      <c r="AB82" s="276"/>
      <c r="AC82" s="276"/>
      <c r="AD82" s="276"/>
      <c r="AE82" s="41">
        <f t="shared" si="12"/>
        <v>12</v>
      </c>
      <c r="AF82" s="116" t="s">
        <v>401</v>
      </c>
      <c r="AG82" s="189" t="s">
        <v>675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49BA5E93-E473-4F11-BE7E-FD55CB28D969}" filter="1" showAutoFilter="1">
      <pageMargins left="0.7" right="0.7" top="0.75" bottom="0.75" header="0.3" footer="0.3"/>
      <autoFilter ref="G5:AD84" xr:uid="{8DB23C2E-3E5A-4981-B309-E8C0E32DDECE}">
        <filterColumn colId="15">
          <filters>
            <filter val="-"/>
            <filter val="(1)"/>
            <filter val="1"/>
            <filter val="12"/>
            <filter val="4"/>
            <filter val="5"/>
            <filter val="CLIENTES VIP"/>
            <filter val="FI"/>
            <filter val="SOPORTE DTH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8AC1C8C5-8E2D-4D55-A903-B98FC3400E96}"/>
    </customSheetView>
    <customSheetView guid="{833D6734-F5E1-4449-B5A1-8C3A51A61651}" filter="1" showAutoFilter="1">
      <pageMargins left="0.7" right="0.7" top="0.75" bottom="0.75" header="0.3" footer="0.3"/>
      <autoFilter ref="A7:AG84" xr:uid="{5CB7628C-6850-434A-8824-03FC3192624B}">
        <filterColumn colId="26">
          <filters>
            <filter val="-"/>
            <filter val="1"/>
            <filter val="4"/>
            <filter val="CLIENTES VIP"/>
            <filter val="FI"/>
          </filters>
        </filterColumn>
      </autoFilter>
    </customSheetView>
  </customSheetViews>
  <mergeCells count="8">
    <mergeCell ref="V22:AC22"/>
    <mergeCell ref="N57:U57"/>
    <mergeCell ref="E62:F62"/>
    <mergeCell ref="A1:B1"/>
    <mergeCell ref="D3:AE3"/>
    <mergeCell ref="E4:F4"/>
    <mergeCell ref="E5:F5"/>
    <mergeCell ref="P20:Z20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G84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44</v>
      </c>
      <c r="AG3" s="3">
        <f>AE4/12</f>
        <v>32.083333333333336</v>
      </c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82">
        <v>4</v>
      </c>
      <c r="H4" s="283">
        <v>3</v>
      </c>
      <c r="I4" s="283">
        <v>3</v>
      </c>
      <c r="J4" s="283">
        <v>3</v>
      </c>
      <c r="K4" s="283">
        <v>3</v>
      </c>
      <c r="L4" s="283">
        <v>3</v>
      </c>
      <c r="M4" s="283">
        <v>11</v>
      </c>
      <c r="N4" s="284">
        <v>11</v>
      </c>
      <c r="O4" s="284">
        <v>19</v>
      </c>
      <c r="P4" s="284">
        <v>24</v>
      </c>
      <c r="Q4" s="284">
        <v>29</v>
      </c>
      <c r="R4" s="284">
        <v>29</v>
      </c>
      <c r="S4" s="284">
        <v>28</v>
      </c>
      <c r="T4" s="284">
        <v>27</v>
      </c>
      <c r="U4" s="284">
        <v>27</v>
      </c>
      <c r="V4" s="284">
        <v>26</v>
      </c>
      <c r="W4" s="284">
        <v>25</v>
      </c>
      <c r="X4" s="284">
        <v>24</v>
      </c>
      <c r="Y4" s="284">
        <v>22</v>
      </c>
      <c r="Z4" s="284">
        <v>20</v>
      </c>
      <c r="AA4" s="284">
        <v>19</v>
      </c>
      <c r="AB4" s="284">
        <v>12</v>
      </c>
      <c r="AC4" s="284">
        <v>8</v>
      </c>
      <c r="AD4" s="284">
        <v>5</v>
      </c>
      <c r="AE4" s="18">
        <f>SUM(G4:AD4)</f>
        <v>385</v>
      </c>
      <c r="AF4" s="3"/>
      <c r="AG4" s="3"/>
    </row>
    <row r="5" spans="1:33" ht="62.25">
      <c r="A5" s="3"/>
      <c r="B5" s="2"/>
      <c r="C5" s="2"/>
      <c r="D5" s="19"/>
      <c r="E5" s="569">
        <v>19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1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1</v>
      </c>
      <c r="Z6" s="28">
        <f t="shared" si="0"/>
        <v>1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1" si="1">SUM(G6:AD6)</f>
        <v>3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11</v>
      </c>
      <c r="N7" s="172">
        <f t="shared" si="2"/>
        <v>11</v>
      </c>
      <c r="O7" s="172">
        <f t="shared" si="2"/>
        <v>19</v>
      </c>
      <c r="P7" s="172">
        <f t="shared" si="2"/>
        <v>24</v>
      </c>
      <c r="Q7" s="172">
        <f t="shared" si="2"/>
        <v>29</v>
      </c>
      <c r="R7" s="172">
        <f t="shared" si="2"/>
        <v>29</v>
      </c>
      <c r="S7" s="172">
        <f t="shared" si="2"/>
        <v>28</v>
      </c>
      <c r="T7" s="172">
        <f t="shared" si="2"/>
        <v>27</v>
      </c>
      <c r="U7" s="172">
        <f t="shared" si="2"/>
        <v>28</v>
      </c>
      <c r="V7" s="172">
        <f t="shared" si="2"/>
        <v>26</v>
      </c>
      <c r="W7" s="172">
        <f t="shared" si="2"/>
        <v>25</v>
      </c>
      <c r="X7" s="172">
        <f t="shared" si="2"/>
        <v>24</v>
      </c>
      <c r="Y7" s="172">
        <f t="shared" si="2"/>
        <v>23</v>
      </c>
      <c r="Z7" s="172">
        <f t="shared" si="2"/>
        <v>21</v>
      </c>
      <c r="AA7" s="172">
        <f t="shared" si="2"/>
        <v>19</v>
      </c>
      <c r="AB7" s="172">
        <f t="shared" si="2"/>
        <v>12</v>
      </c>
      <c r="AC7" s="172">
        <f t="shared" si="2"/>
        <v>8</v>
      </c>
      <c r="AD7" s="172">
        <f t="shared" si="2"/>
        <v>5</v>
      </c>
      <c r="AE7" s="168">
        <f t="shared" si="1"/>
        <v>388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06" t="s">
        <v>46</v>
      </c>
      <c r="F8" s="41">
        <f t="shared" ref="F8:F19" si="3">SUM(G8:AD8)</f>
        <v>7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41">
        <f t="shared" si="1"/>
        <v>7</v>
      </c>
      <c r="AF8" s="116" t="s">
        <v>284</v>
      </c>
      <c r="AG8" s="189" t="s">
        <v>683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12</v>
      </c>
      <c r="G9" s="176">
        <v>1</v>
      </c>
      <c r="H9" s="176">
        <v>1</v>
      </c>
      <c r="I9" s="176">
        <v>1</v>
      </c>
      <c r="J9" s="176">
        <v>1</v>
      </c>
      <c r="K9" s="176">
        <v>1</v>
      </c>
      <c r="L9" s="176">
        <v>1</v>
      </c>
      <c r="M9" s="176">
        <v>1</v>
      </c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>
        <v>1</v>
      </c>
      <c r="AA9" s="176">
        <v>1</v>
      </c>
      <c r="AB9" s="176">
        <v>1</v>
      </c>
      <c r="AC9" s="176">
        <v>1</v>
      </c>
      <c r="AD9" s="176">
        <v>1</v>
      </c>
      <c r="AE9" s="41">
        <f t="shared" si="1"/>
        <v>12</v>
      </c>
      <c r="AF9" s="116" t="s">
        <v>311</v>
      </c>
      <c r="AG9" s="189" t="s">
        <v>683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206" t="s">
        <v>56</v>
      </c>
      <c r="F10" s="41">
        <f t="shared" si="3"/>
        <v>11</v>
      </c>
      <c r="G10" s="216"/>
      <c r="H10" s="216"/>
      <c r="I10" s="216"/>
      <c r="J10" s="216"/>
      <c r="K10" s="216"/>
      <c r="L10" s="216"/>
      <c r="M10" s="216">
        <v>1</v>
      </c>
      <c r="N10" s="216">
        <v>1</v>
      </c>
      <c r="O10" s="216">
        <v>1</v>
      </c>
      <c r="P10" s="216">
        <v>1</v>
      </c>
      <c r="Q10" s="216">
        <v>1</v>
      </c>
      <c r="R10" s="216">
        <v>1</v>
      </c>
      <c r="S10" s="216">
        <v>1</v>
      </c>
      <c r="T10" s="216">
        <v>1</v>
      </c>
      <c r="U10" s="216">
        <v>1</v>
      </c>
      <c r="V10" s="285"/>
      <c r="W10" s="216">
        <v>1</v>
      </c>
      <c r="X10" s="216">
        <v>1</v>
      </c>
      <c r="Y10" s="216"/>
      <c r="Z10" s="216"/>
      <c r="AA10" s="216"/>
      <c r="AB10" s="216"/>
      <c r="AC10" s="216"/>
      <c r="AD10" s="216"/>
      <c r="AE10" s="41">
        <f t="shared" si="1"/>
        <v>11</v>
      </c>
      <c r="AF10" s="116" t="s">
        <v>84</v>
      </c>
      <c r="AG10" s="189" t="s">
        <v>683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75" t="s">
        <v>58</v>
      </c>
      <c r="F11" s="41">
        <f t="shared" si="3"/>
        <v>10</v>
      </c>
      <c r="G11" s="216"/>
      <c r="H11" s="216"/>
      <c r="I11" s="216"/>
      <c r="J11" s="216"/>
      <c r="K11" s="216"/>
      <c r="L11" s="216"/>
      <c r="M11" s="216"/>
      <c r="N11" s="216"/>
      <c r="O11" s="216">
        <v>1</v>
      </c>
      <c r="P11" s="216">
        <v>1</v>
      </c>
      <c r="Q11" s="216">
        <v>1</v>
      </c>
      <c r="R11" s="216">
        <v>1</v>
      </c>
      <c r="S11" s="216">
        <v>1</v>
      </c>
      <c r="T11" s="216">
        <v>1</v>
      </c>
      <c r="U11" s="216">
        <v>1</v>
      </c>
      <c r="V11" s="285"/>
      <c r="W11" s="216">
        <v>1</v>
      </c>
      <c r="X11" s="216">
        <v>1</v>
      </c>
      <c r="Y11" s="216">
        <v>1</v>
      </c>
      <c r="Z11" s="216"/>
      <c r="AA11" s="216"/>
      <c r="AB11" s="216"/>
      <c r="AC11" s="216"/>
      <c r="AD11" s="216"/>
      <c r="AE11" s="41">
        <f t="shared" si="1"/>
        <v>10</v>
      </c>
      <c r="AF11" s="116" t="s">
        <v>119</v>
      </c>
      <c r="AG11" s="189" t="s">
        <v>683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f t="shared" si="3"/>
        <v>2</v>
      </c>
      <c r="G12" s="176"/>
      <c r="H12" s="176"/>
      <c r="I12" s="176"/>
      <c r="J12" s="176"/>
      <c r="K12" s="176"/>
      <c r="L12" s="176"/>
      <c r="M12" s="216">
        <v>1</v>
      </c>
      <c r="N12" s="216">
        <v>1</v>
      </c>
      <c r="O12" s="286"/>
      <c r="P12" s="286"/>
      <c r="Q12" s="286"/>
      <c r="R12" s="286"/>
      <c r="S12" s="286"/>
      <c r="T12" s="286"/>
      <c r="U12" s="286"/>
      <c r="V12" s="287"/>
      <c r="W12" s="176"/>
      <c r="X12" s="176"/>
      <c r="Y12" s="176"/>
      <c r="Z12" s="176"/>
      <c r="AA12" s="176"/>
      <c r="AB12" s="176"/>
      <c r="AC12" s="176"/>
      <c r="AD12" s="176"/>
      <c r="AE12" s="41">
        <v>10</v>
      </c>
      <c r="AF12" s="116" t="s">
        <v>151</v>
      </c>
      <c r="AG12" s="189" t="s">
        <v>683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8" t="s">
        <v>60</v>
      </c>
      <c r="F13" s="41">
        <f t="shared" si="3"/>
        <v>0</v>
      </c>
      <c r="G13" s="176">
        <v>0</v>
      </c>
      <c r="H13" s="176">
        <v>0</v>
      </c>
      <c r="I13" s="176">
        <v>0</v>
      </c>
      <c r="J13" s="176">
        <v>0</v>
      </c>
      <c r="K13" s="176">
        <v>0</v>
      </c>
      <c r="L13" s="176">
        <v>0</v>
      </c>
      <c r="M13" s="176">
        <v>0</v>
      </c>
      <c r="N13" s="176">
        <v>0</v>
      </c>
      <c r="O13" s="176">
        <v>0</v>
      </c>
      <c r="P13" s="176">
        <v>0</v>
      </c>
      <c r="Q13" s="176">
        <v>0</v>
      </c>
      <c r="R13" s="176">
        <v>0</v>
      </c>
      <c r="S13" s="176">
        <v>0</v>
      </c>
      <c r="T13" s="176">
        <v>0</v>
      </c>
      <c r="U13" s="176">
        <v>0</v>
      </c>
      <c r="V13" s="176">
        <v>0</v>
      </c>
      <c r="W13" s="176">
        <v>0</v>
      </c>
      <c r="X13" s="176">
        <v>0</v>
      </c>
      <c r="Y13" s="176">
        <v>0</v>
      </c>
      <c r="Z13" s="176">
        <v>0</v>
      </c>
      <c r="AA13" s="176">
        <v>0</v>
      </c>
      <c r="AB13" s="176">
        <v>0</v>
      </c>
      <c r="AC13" s="176">
        <v>0</v>
      </c>
      <c r="AD13" s="176">
        <v>0</v>
      </c>
      <c r="AE13" s="41">
        <f t="shared" ref="AE13:AE19" si="4">SUM(G13:AD13)</f>
        <v>0</v>
      </c>
      <c r="AF13" s="116" t="s">
        <v>225</v>
      </c>
      <c r="AG13" s="189" t="s">
        <v>683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175" t="s">
        <v>63</v>
      </c>
      <c r="F14" s="41">
        <f t="shared" si="3"/>
        <v>8</v>
      </c>
      <c r="G14" s="216"/>
      <c r="H14" s="216"/>
      <c r="I14" s="216"/>
      <c r="J14" s="216"/>
      <c r="K14" s="216"/>
      <c r="L14" s="216"/>
      <c r="M14" s="216"/>
      <c r="N14" s="216"/>
      <c r="O14" s="216">
        <v>1</v>
      </c>
      <c r="P14" s="216">
        <v>1</v>
      </c>
      <c r="Q14" s="216">
        <v>1</v>
      </c>
      <c r="R14" s="216">
        <v>1</v>
      </c>
      <c r="S14" s="216">
        <v>1</v>
      </c>
      <c r="T14" s="216">
        <v>1</v>
      </c>
      <c r="U14" s="216">
        <v>1</v>
      </c>
      <c r="V14" s="216">
        <v>1</v>
      </c>
      <c r="W14" s="285"/>
      <c r="X14" s="216"/>
      <c r="Y14" s="216"/>
      <c r="Z14" s="216"/>
      <c r="AA14" s="216"/>
      <c r="AB14" s="216"/>
      <c r="AC14" s="216"/>
      <c r="AD14" s="216"/>
      <c r="AE14" s="41">
        <f t="shared" si="4"/>
        <v>8</v>
      </c>
      <c r="AF14" s="116" t="s">
        <v>298</v>
      </c>
      <c r="AG14" s="189" t="s">
        <v>683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06" t="s">
        <v>65</v>
      </c>
      <c r="F15" s="41">
        <f t="shared" si="3"/>
        <v>11</v>
      </c>
      <c r="G15" s="216"/>
      <c r="H15" s="216"/>
      <c r="I15" s="216"/>
      <c r="J15" s="216"/>
      <c r="K15" s="216"/>
      <c r="L15" s="216"/>
      <c r="M15" s="216"/>
      <c r="N15" s="216">
        <v>1</v>
      </c>
      <c r="O15" s="216">
        <v>1</v>
      </c>
      <c r="P15" s="216">
        <v>1</v>
      </c>
      <c r="Q15" s="216">
        <v>1</v>
      </c>
      <c r="R15" s="216">
        <v>1</v>
      </c>
      <c r="S15" s="216">
        <v>1</v>
      </c>
      <c r="T15" s="216">
        <v>1</v>
      </c>
      <c r="U15" s="216">
        <v>1</v>
      </c>
      <c r="V15" s="216">
        <v>1</v>
      </c>
      <c r="W15" s="285"/>
      <c r="X15" s="216">
        <v>1</v>
      </c>
      <c r="Y15" s="216">
        <v>1</v>
      </c>
      <c r="Z15" s="216"/>
      <c r="AA15" s="216"/>
      <c r="AB15" s="216"/>
      <c r="AC15" s="216"/>
      <c r="AD15" s="216"/>
      <c r="AE15" s="41">
        <f t="shared" si="4"/>
        <v>11</v>
      </c>
      <c r="AF15" s="116" t="s">
        <v>327</v>
      </c>
      <c r="AG15" s="189" t="s">
        <v>683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75" t="s">
        <v>71</v>
      </c>
      <c r="F16" s="41">
        <f t="shared" si="3"/>
        <v>11</v>
      </c>
      <c r="G16" s="216"/>
      <c r="H16" s="216"/>
      <c r="I16" s="216"/>
      <c r="J16" s="216"/>
      <c r="K16" s="216"/>
      <c r="L16" s="216"/>
      <c r="M16" s="216"/>
      <c r="N16" s="216"/>
      <c r="O16" s="216">
        <v>1</v>
      </c>
      <c r="P16" s="216">
        <v>1</v>
      </c>
      <c r="Q16" s="216">
        <v>1</v>
      </c>
      <c r="R16" s="216">
        <v>1</v>
      </c>
      <c r="S16" s="216">
        <v>1</v>
      </c>
      <c r="T16" s="216">
        <v>1</v>
      </c>
      <c r="U16" s="216">
        <v>1</v>
      </c>
      <c r="V16" s="216">
        <v>1</v>
      </c>
      <c r="W16" s="285"/>
      <c r="X16" s="216">
        <v>1</v>
      </c>
      <c r="Y16" s="216">
        <v>1</v>
      </c>
      <c r="Z16" s="216">
        <v>1</v>
      </c>
      <c r="AA16" s="216"/>
      <c r="AB16" s="216"/>
      <c r="AC16" s="216"/>
      <c r="AD16" s="216"/>
      <c r="AE16" s="41">
        <f t="shared" si="4"/>
        <v>11</v>
      </c>
      <c r="AF16" s="116" t="s">
        <v>66</v>
      </c>
      <c r="AG16" s="189" t="s">
        <v>683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175" t="s">
        <v>73</v>
      </c>
      <c r="F17" s="41">
        <f t="shared" si="3"/>
        <v>11</v>
      </c>
      <c r="G17" s="216"/>
      <c r="H17" s="216"/>
      <c r="I17" s="216"/>
      <c r="J17" s="216"/>
      <c r="K17" s="216"/>
      <c r="L17" s="216"/>
      <c r="M17" s="216"/>
      <c r="N17" s="216"/>
      <c r="O17" s="216">
        <v>1</v>
      </c>
      <c r="P17" s="216">
        <v>1</v>
      </c>
      <c r="Q17" s="216">
        <v>1</v>
      </c>
      <c r="R17" s="216">
        <v>1</v>
      </c>
      <c r="S17" s="216">
        <v>1</v>
      </c>
      <c r="T17" s="216">
        <v>1</v>
      </c>
      <c r="U17" s="216">
        <v>1</v>
      </c>
      <c r="V17" s="216">
        <v>1</v>
      </c>
      <c r="W17" s="285"/>
      <c r="X17" s="216">
        <v>1</v>
      </c>
      <c r="Y17" s="216">
        <v>1</v>
      </c>
      <c r="Z17" s="216">
        <v>1</v>
      </c>
      <c r="AA17" s="216"/>
      <c r="AB17" s="216"/>
      <c r="AC17" s="216"/>
      <c r="AD17" s="216"/>
      <c r="AE17" s="41">
        <f t="shared" si="4"/>
        <v>11</v>
      </c>
      <c r="AF17" s="116" t="s">
        <v>66</v>
      </c>
      <c r="AG17" s="189" t="s">
        <v>683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3"/>
        <v>7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>
        <v>1</v>
      </c>
      <c r="W18" s="285"/>
      <c r="X18" s="176">
        <v>1</v>
      </c>
      <c r="Y18" s="176">
        <v>1</v>
      </c>
      <c r="Z18" s="176">
        <v>1</v>
      </c>
      <c r="AA18" s="176">
        <v>1</v>
      </c>
      <c r="AB18" s="176">
        <v>1</v>
      </c>
      <c r="AC18" s="176">
        <v>1</v>
      </c>
      <c r="AD18" s="176"/>
      <c r="AE18" s="41">
        <f t="shared" si="4"/>
        <v>7</v>
      </c>
      <c r="AF18" s="116" t="s">
        <v>218</v>
      </c>
      <c r="AG18" s="189" t="s">
        <v>683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206" t="s">
        <v>83</v>
      </c>
      <c r="F19" s="41">
        <f t="shared" si="3"/>
        <v>12</v>
      </c>
      <c r="G19" s="216"/>
      <c r="H19" s="216"/>
      <c r="I19" s="216"/>
      <c r="J19" s="216"/>
      <c r="K19" s="216"/>
      <c r="L19" s="216"/>
      <c r="M19" s="216">
        <v>1</v>
      </c>
      <c r="N19" s="216">
        <v>1</v>
      </c>
      <c r="O19" s="216">
        <v>1</v>
      </c>
      <c r="P19" s="216">
        <v>1</v>
      </c>
      <c r="Q19" s="216">
        <v>1</v>
      </c>
      <c r="R19" s="216">
        <v>1</v>
      </c>
      <c r="S19" s="216">
        <v>1</v>
      </c>
      <c r="T19" s="216">
        <v>1</v>
      </c>
      <c r="U19" s="216">
        <v>1</v>
      </c>
      <c r="V19" s="285"/>
      <c r="W19" s="216">
        <v>1</v>
      </c>
      <c r="X19" s="216">
        <v>1</v>
      </c>
      <c r="Y19" s="216">
        <v>1</v>
      </c>
      <c r="Z19" s="216"/>
      <c r="AA19" s="216"/>
      <c r="AB19" s="216"/>
      <c r="AC19" s="216"/>
      <c r="AD19" s="216"/>
      <c r="AE19" s="41">
        <f t="shared" si="4"/>
        <v>12</v>
      </c>
      <c r="AF19" s="116" t="s">
        <v>261</v>
      </c>
      <c r="AG19" s="189" t="s">
        <v>683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v>11</v>
      </c>
      <c r="G20" s="42"/>
      <c r="H20" s="77"/>
      <c r="I20" s="77"/>
      <c r="J20" s="77"/>
      <c r="K20" s="77"/>
      <c r="L20" s="77"/>
      <c r="M20" s="77"/>
      <c r="N20" s="77"/>
      <c r="O20" s="77"/>
      <c r="P20" s="210" t="s">
        <v>471</v>
      </c>
      <c r="Q20" s="269"/>
      <c r="R20" s="269"/>
      <c r="S20" s="269"/>
      <c r="T20" s="269"/>
      <c r="U20" s="269"/>
      <c r="V20" s="269"/>
      <c r="W20" s="288"/>
      <c r="X20" s="269"/>
      <c r="Y20" s="269"/>
      <c r="Z20" s="270"/>
      <c r="AA20" s="77"/>
      <c r="AB20" s="77"/>
      <c r="AC20" s="42"/>
      <c r="AD20" s="42"/>
      <c r="AE20" s="41">
        <v>10</v>
      </c>
      <c r="AF20" s="116" t="s">
        <v>164</v>
      </c>
      <c r="AG20" s="189" t="s">
        <v>683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06" t="s">
        <v>91</v>
      </c>
      <c r="F21" s="41">
        <f t="shared" ref="F21:F56" si="5">SUM(G21:AD21)</f>
        <v>4</v>
      </c>
      <c r="G21" s="176"/>
      <c r="H21" s="176"/>
      <c r="I21" s="176"/>
      <c r="J21" s="176"/>
      <c r="K21" s="176"/>
      <c r="L21" s="176"/>
      <c r="M21" s="176">
        <v>1</v>
      </c>
      <c r="N21" s="176">
        <v>1</v>
      </c>
      <c r="O21" s="176">
        <v>1</v>
      </c>
      <c r="P21" s="286"/>
      <c r="Q21" s="286"/>
      <c r="R21" s="286"/>
      <c r="S21" s="286"/>
      <c r="T21" s="176">
        <v>1</v>
      </c>
      <c r="U21" s="285"/>
      <c r="V21" s="286"/>
      <c r="W21" s="286"/>
      <c r="X21" s="286"/>
      <c r="Y21" s="176"/>
      <c r="Z21" s="176"/>
      <c r="AA21" s="176"/>
      <c r="AB21" s="176"/>
      <c r="AC21" s="176"/>
      <c r="AD21" s="176"/>
      <c r="AE21" s="41">
        <v>11</v>
      </c>
      <c r="AF21" s="116" t="s">
        <v>84</v>
      </c>
      <c r="AG21" s="189" t="s">
        <v>683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175" t="s">
        <v>93</v>
      </c>
      <c r="F22" s="41">
        <f t="shared" si="5"/>
        <v>0</v>
      </c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82" t="s">
        <v>231</v>
      </c>
      <c r="U22" s="217"/>
      <c r="V22" s="588" t="s">
        <v>209</v>
      </c>
      <c r="W22" s="555"/>
      <c r="X22" s="555"/>
      <c r="Y22" s="555"/>
      <c r="Z22" s="555"/>
      <c r="AA22" s="555"/>
      <c r="AB22" s="555"/>
      <c r="AC22" s="542"/>
      <c r="AD22" s="176"/>
      <c r="AE22" s="41">
        <v>9</v>
      </c>
      <c r="AF22" s="116" t="s">
        <v>175</v>
      </c>
      <c r="AG22" s="189" t="s">
        <v>683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06" t="s">
        <v>95</v>
      </c>
      <c r="F23" s="41">
        <f t="shared" si="5"/>
        <v>11</v>
      </c>
      <c r="G23" s="216"/>
      <c r="H23" s="216"/>
      <c r="I23" s="216"/>
      <c r="J23" s="216"/>
      <c r="K23" s="216"/>
      <c r="L23" s="216"/>
      <c r="M23" s="216">
        <v>1</v>
      </c>
      <c r="N23" s="216">
        <v>1</v>
      </c>
      <c r="O23" s="216">
        <v>1</v>
      </c>
      <c r="P23" s="216">
        <v>1</v>
      </c>
      <c r="Q23" s="216">
        <v>1</v>
      </c>
      <c r="R23" s="216">
        <v>1</v>
      </c>
      <c r="S23" s="216">
        <v>1</v>
      </c>
      <c r="T23" s="285"/>
      <c r="U23" s="216">
        <v>1</v>
      </c>
      <c r="V23" s="216">
        <v>1</v>
      </c>
      <c r="W23" s="216">
        <v>1</v>
      </c>
      <c r="X23" s="216">
        <v>1</v>
      </c>
      <c r="Y23" s="216"/>
      <c r="Z23" s="216"/>
      <c r="AA23" s="216"/>
      <c r="AB23" s="216"/>
      <c r="AC23" s="216"/>
      <c r="AD23" s="216"/>
      <c r="AE23" s="41">
        <f t="shared" ref="AE23:AE34" si="6">SUM(G23:AD23)</f>
        <v>11</v>
      </c>
      <c r="AF23" s="116" t="s">
        <v>84</v>
      </c>
      <c r="AG23" s="189" t="s">
        <v>683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175" t="s">
        <v>99</v>
      </c>
      <c r="F24" s="41">
        <f t="shared" si="5"/>
        <v>0</v>
      </c>
      <c r="G24" s="176">
        <v>0</v>
      </c>
      <c r="H24" s="176">
        <v>0</v>
      </c>
      <c r="I24" s="176">
        <v>0</v>
      </c>
      <c r="J24" s="176">
        <v>0</v>
      </c>
      <c r="K24" s="176">
        <v>0</v>
      </c>
      <c r="L24" s="176">
        <v>0</v>
      </c>
      <c r="M24" s="176">
        <v>0</v>
      </c>
      <c r="N24" s="176">
        <v>0</v>
      </c>
      <c r="O24" s="176">
        <v>0</v>
      </c>
      <c r="P24" s="176">
        <v>0</v>
      </c>
      <c r="Q24" s="176">
        <v>0</v>
      </c>
      <c r="R24" s="176">
        <v>0</v>
      </c>
      <c r="S24" s="176">
        <v>0</v>
      </c>
      <c r="T24" s="176">
        <v>0</v>
      </c>
      <c r="U24" s="176">
        <v>0</v>
      </c>
      <c r="V24" s="176">
        <v>0</v>
      </c>
      <c r="W24" s="176">
        <v>0</v>
      </c>
      <c r="X24" s="176">
        <v>0</v>
      </c>
      <c r="Y24" s="176">
        <v>0</v>
      </c>
      <c r="Z24" s="176">
        <v>0</v>
      </c>
      <c r="AA24" s="176">
        <v>0</v>
      </c>
      <c r="AB24" s="176">
        <v>0</v>
      </c>
      <c r="AC24" s="176">
        <v>0</v>
      </c>
      <c r="AD24" s="176">
        <v>0</v>
      </c>
      <c r="AE24" s="41">
        <f t="shared" si="6"/>
        <v>0</v>
      </c>
      <c r="AF24" s="116" t="s">
        <v>225</v>
      </c>
      <c r="AG24" s="189" t="s">
        <v>683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175" t="s">
        <v>102</v>
      </c>
      <c r="F25" s="41">
        <f t="shared" si="5"/>
        <v>12</v>
      </c>
      <c r="G25" s="176"/>
      <c r="H25" s="176"/>
      <c r="I25" s="176"/>
      <c r="J25" s="176"/>
      <c r="K25" s="176"/>
      <c r="L25" s="176"/>
      <c r="M25" s="176"/>
      <c r="N25" s="176"/>
      <c r="O25" s="176">
        <v>1</v>
      </c>
      <c r="P25" s="176">
        <v>1</v>
      </c>
      <c r="Q25" s="176">
        <v>1</v>
      </c>
      <c r="R25" s="176">
        <v>1</v>
      </c>
      <c r="S25" s="176">
        <v>1</v>
      </c>
      <c r="T25" s="285"/>
      <c r="U25" s="176">
        <v>1</v>
      </c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/>
      <c r="AC25" s="176"/>
      <c r="AD25" s="176"/>
      <c r="AE25" s="41">
        <f t="shared" si="6"/>
        <v>12</v>
      </c>
      <c r="AF25" s="116" t="s">
        <v>329</v>
      </c>
      <c r="AG25" s="189" t="s">
        <v>683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8" t="s">
        <v>104</v>
      </c>
      <c r="F26" s="41">
        <f t="shared" si="5"/>
        <v>12</v>
      </c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>
        <v>1</v>
      </c>
      <c r="R26" s="216">
        <v>1</v>
      </c>
      <c r="S26" s="216">
        <v>1</v>
      </c>
      <c r="T26" s="216">
        <v>1</v>
      </c>
      <c r="U26" s="216">
        <v>1</v>
      </c>
      <c r="V26" s="216">
        <v>1</v>
      </c>
      <c r="W26" s="216">
        <v>1</v>
      </c>
      <c r="X26" s="285"/>
      <c r="Y26" s="216">
        <v>1</v>
      </c>
      <c r="Z26" s="216">
        <v>1</v>
      </c>
      <c r="AA26" s="216">
        <v>1</v>
      </c>
      <c r="AB26" s="216">
        <v>1</v>
      </c>
      <c r="AC26" s="216">
        <v>1</v>
      </c>
      <c r="AD26" s="216"/>
      <c r="AE26" s="41">
        <f t="shared" si="6"/>
        <v>12</v>
      </c>
      <c r="AF26" s="116" t="s">
        <v>359</v>
      </c>
      <c r="AG26" s="189" t="s">
        <v>683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8" t="s">
        <v>333</v>
      </c>
      <c r="F27" s="41">
        <f t="shared" si="5"/>
        <v>7</v>
      </c>
      <c r="G27" s="216"/>
      <c r="H27" s="216"/>
      <c r="I27" s="216"/>
      <c r="J27" s="216"/>
      <c r="K27" s="216"/>
      <c r="L27" s="216"/>
      <c r="M27" s="216"/>
      <c r="N27" s="176">
        <v>1</v>
      </c>
      <c r="O27" s="176">
        <v>1</v>
      </c>
      <c r="P27" s="176">
        <v>1</v>
      </c>
      <c r="Q27" s="176">
        <v>1</v>
      </c>
      <c r="R27" s="176">
        <v>1</v>
      </c>
      <c r="S27" s="176">
        <v>1</v>
      </c>
      <c r="T27" s="176">
        <v>1</v>
      </c>
      <c r="U27" s="285"/>
      <c r="V27" s="216"/>
      <c r="W27" s="216"/>
      <c r="X27" s="216"/>
      <c r="Y27" s="216"/>
      <c r="Z27" s="216"/>
      <c r="AA27" s="216"/>
      <c r="AB27" s="216"/>
      <c r="AC27" s="216"/>
      <c r="AD27" s="216"/>
      <c r="AE27" s="41">
        <f t="shared" si="6"/>
        <v>7</v>
      </c>
      <c r="AF27" s="116" t="s">
        <v>288</v>
      </c>
      <c r="AG27" s="189" t="s">
        <v>683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08" t="s">
        <v>172</v>
      </c>
      <c r="F28" s="41">
        <f t="shared" si="5"/>
        <v>12</v>
      </c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>
        <v>1</v>
      </c>
      <c r="R28" s="216">
        <v>1</v>
      </c>
      <c r="S28" s="285"/>
      <c r="T28" s="216">
        <v>1</v>
      </c>
      <c r="U28" s="216">
        <v>1</v>
      </c>
      <c r="V28" s="216">
        <v>1</v>
      </c>
      <c r="W28" s="216">
        <v>1</v>
      </c>
      <c r="X28" s="216">
        <v>1</v>
      </c>
      <c r="Y28" s="216">
        <v>1</v>
      </c>
      <c r="Z28" s="216">
        <v>1</v>
      </c>
      <c r="AA28" s="216">
        <v>1</v>
      </c>
      <c r="AB28" s="216">
        <v>1</v>
      </c>
      <c r="AC28" s="216">
        <v>1</v>
      </c>
      <c r="AD28" s="216"/>
      <c r="AE28" s="41">
        <f t="shared" si="6"/>
        <v>12</v>
      </c>
      <c r="AF28" s="116" t="s">
        <v>359</v>
      </c>
      <c r="AG28" s="189" t="s">
        <v>683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175" t="s">
        <v>106</v>
      </c>
      <c r="F29" s="41">
        <f t="shared" si="5"/>
        <v>11</v>
      </c>
      <c r="G29" s="176"/>
      <c r="H29" s="176"/>
      <c r="I29" s="176"/>
      <c r="J29" s="176"/>
      <c r="K29" s="176"/>
      <c r="L29" s="176"/>
      <c r="M29" s="176">
        <v>1</v>
      </c>
      <c r="N29" s="176">
        <v>1</v>
      </c>
      <c r="O29" s="176">
        <v>1</v>
      </c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176">
        <v>1</v>
      </c>
      <c r="W29" s="176">
        <v>1</v>
      </c>
      <c r="X29" s="285"/>
      <c r="Y29" s="176"/>
      <c r="Z29" s="176"/>
      <c r="AA29" s="176"/>
      <c r="AB29" s="176"/>
      <c r="AC29" s="176"/>
      <c r="AD29" s="176"/>
      <c r="AE29" s="41">
        <f t="shared" si="6"/>
        <v>11</v>
      </c>
      <c r="AF29" s="116" t="s">
        <v>84</v>
      </c>
      <c r="AG29" s="189" t="s">
        <v>683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8" t="s">
        <v>112</v>
      </c>
      <c r="F30" s="41">
        <f t="shared" si="5"/>
        <v>12</v>
      </c>
      <c r="G30" s="216"/>
      <c r="H30" s="216"/>
      <c r="I30" s="216"/>
      <c r="J30" s="216"/>
      <c r="K30" s="216"/>
      <c r="L30" s="216"/>
      <c r="M30" s="216"/>
      <c r="N30" s="216"/>
      <c r="O30" s="216"/>
      <c r="P30" s="216">
        <v>1</v>
      </c>
      <c r="Q30" s="216">
        <v>1</v>
      </c>
      <c r="R30" s="216">
        <v>1</v>
      </c>
      <c r="S30" s="216">
        <v>1</v>
      </c>
      <c r="T30" s="216">
        <v>1</v>
      </c>
      <c r="U30" s="285"/>
      <c r="V30" s="216">
        <v>1</v>
      </c>
      <c r="W30" s="216">
        <v>1</v>
      </c>
      <c r="X30" s="216">
        <v>1</v>
      </c>
      <c r="Y30" s="216">
        <v>1</v>
      </c>
      <c r="Z30" s="216">
        <v>1</v>
      </c>
      <c r="AA30" s="216">
        <v>1</v>
      </c>
      <c r="AB30" s="216">
        <v>1</v>
      </c>
      <c r="AC30" s="216"/>
      <c r="AD30" s="216"/>
      <c r="AE30" s="41">
        <f t="shared" si="6"/>
        <v>12</v>
      </c>
      <c r="AF30" s="116" t="s">
        <v>326</v>
      </c>
      <c r="AG30" s="189" t="s">
        <v>683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145" t="s">
        <v>116</v>
      </c>
      <c r="F31" s="41">
        <f t="shared" si="5"/>
        <v>11</v>
      </c>
      <c r="G31" s="176">
        <v>1</v>
      </c>
      <c r="H31" s="176">
        <v>1</v>
      </c>
      <c r="I31" s="176">
        <v>1</v>
      </c>
      <c r="J31" s="176">
        <v>1</v>
      </c>
      <c r="K31" s="176">
        <v>1</v>
      </c>
      <c r="L31" s="176">
        <v>1</v>
      </c>
      <c r="M31" s="176">
        <v>1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>
        <v>1</v>
      </c>
      <c r="AB31" s="176">
        <v>1</v>
      </c>
      <c r="AC31" s="176">
        <v>1</v>
      </c>
      <c r="AD31" s="176">
        <v>1</v>
      </c>
      <c r="AE31" s="41">
        <f t="shared" si="6"/>
        <v>11</v>
      </c>
      <c r="AF31" s="116" t="s">
        <v>424</v>
      </c>
      <c r="AG31" s="189" t="s">
        <v>683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8" t="s">
        <v>121</v>
      </c>
      <c r="F32" s="41">
        <f t="shared" si="5"/>
        <v>0</v>
      </c>
      <c r="G32" s="176">
        <v>0</v>
      </c>
      <c r="H32" s="176">
        <v>0</v>
      </c>
      <c r="I32" s="176">
        <v>0</v>
      </c>
      <c r="J32" s="176">
        <v>0</v>
      </c>
      <c r="K32" s="176">
        <v>0</v>
      </c>
      <c r="L32" s="176">
        <v>0</v>
      </c>
      <c r="M32" s="176">
        <v>0</v>
      </c>
      <c r="N32" s="176">
        <v>0</v>
      </c>
      <c r="O32" s="176">
        <v>0</v>
      </c>
      <c r="P32" s="176">
        <v>0</v>
      </c>
      <c r="Q32" s="176">
        <v>0</v>
      </c>
      <c r="R32" s="176">
        <v>0</v>
      </c>
      <c r="S32" s="176">
        <v>0</v>
      </c>
      <c r="T32" s="176">
        <v>0</v>
      </c>
      <c r="U32" s="176">
        <v>0</v>
      </c>
      <c r="V32" s="176">
        <v>0</v>
      </c>
      <c r="W32" s="176">
        <v>0</v>
      </c>
      <c r="X32" s="176">
        <v>0</v>
      </c>
      <c r="Y32" s="176">
        <v>0</v>
      </c>
      <c r="Z32" s="176">
        <v>0</v>
      </c>
      <c r="AA32" s="176">
        <v>0</v>
      </c>
      <c r="AB32" s="176">
        <v>0</v>
      </c>
      <c r="AC32" s="176">
        <v>0</v>
      </c>
      <c r="AD32" s="176">
        <v>0</v>
      </c>
      <c r="AE32" s="41">
        <f t="shared" si="6"/>
        <v>0</v>
      </c>
      <c r="AF32" s="116" t="s">
        <v>225</v>
      </c>
      <c r="AG32" s="189" t="s">
        <v>683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175" t="s">
        <v>123</v>
      </c>
      <c r="F33" s="41">
        <f t="shared" si="5"/>
        <v>11</v>
      </c>
      <c r="G33" s="176"/>
      <c r="H33" s="176"/>
      <c r="I33" s="176"/>
      <c r="J33" s="176"/>
      <c r="K33" s="176"/>
      <c r="L33" s="176"/>
      <c r="M33" s="176">
        <v>1</v>
      </c>
      <c r="N33" s="176">
        <v>1</v>
      </c>
      <c r="O33" s="176">
        <v>1</v>
      </c>
      <c r="P33" s="176">
        <v>1</v>
      </c>
      <c r="Q33" s="176">
        <v>1</v>
      </c>
      <c r="R33" s="176">
        <v>1</v>
      </c>
      <c r="S33" s="176">
        <v>1</v>
      </c>
      <c r="T33" s="285"/>
      <c r="U33" s="176">
        <v>1</v>
      </c>
      <c r="V33" s="176">
        <v>1</v>
      </c>
      <c r="W33" s="289">
        <v>1</v>
      </c>
      <c r="X33" s="176">
        <v>1</v>
      </c>
      <c r="Y33" s="176"/>
      <c r="Z33" s="176"/>
      <c r="AA33" s="176"/>
      <c r="AB33" s="176"/>
      <c r="AC33" s="176"/>
      <c r="AD33" s="176"/>
      <c r="AE33" s="41">
        <f t="shared" si="6"/>
        <v>11</v>
      </c>
      <c r="AF33" s="116" t="s">
        <v>84</v>
      </c>
      <c r="AG33" s="189" t="s">
        <v>683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8" t="s">
        <v>125</v>
      </c>
      <c r="F34" s="41">
        <f t="shared" si="5"/>
        <v>7</v>
      </c>
      <c r="G34" s="176"/>
      <c r="H34" s="176"/>
      <c r="I34" s="176"/>
      <c r="J34" s="176"/>
      <c r="K34" s="176"/>
      <c r="L34" s="176"/>
      <c r="M34" s="176"/>
      <c r="N34" s="176"/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285"/>
      <c r="W34" s="176"/>
      <c r="X34" s="176"/>
      <c r="Y34" s="176"/>
      <c r="Z34" s="176"/>
      <c r="AA34" s="176"/>
      <c r="AB34" s="176"/>
      <c r="AC34" s="176"/>
      <c r="AD34" s="176"/>
      <c r="AE34" s="41">
        <f t="shared" si="6"/>
        <v>7</v>
      </c>
      <c r="AF34" s="116" t="s">
        <v>258</v>
      </c>
      <c r="AG34" s="189" t="s">
        <v>683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133" t="s">
        <v>127</v>
      </c>
      <c r="F35" s="41">
        <f t="shared" si="5"/>
        <v>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577" t="s">
        <v>364</v>
      </c>
      <c r="T35" s="555"/>
      <c r="U35" s="555"/>
      <c r="V35" s="555"/>
      <c r="W35" s="555"/>
      <c r="X35" s="555"/>
      <c r="Y35" s="555"/>
      <c r="Z35" s="555"/>
      <c r="AA35" s="250"/>
      <c r="AB35" s="250"/>
      <c r="AC35" s="250"/>
      <c r="AD35" s="250"/>
      <c r="AE35" s="41">
        <v>8</v>
      </c>
      <c r="AF35" s="116" t="s">
        <v>365</v>
      </c>
      <c r="AG35" s="189" t="s">
        <v>683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175" t="s">
        <v>129</v>
      </c>
      <c r="F36" s="41">
        <f t="shared" si="5"/>
        <v>11</v>
      </c>
      <c r="G36" s="216"/>
      <c r="H36" s="216"/>
      <c r="I36" s="216"/>
      <c r="J36" s="216"/>
      <c r="K36" s="216"/>
      <c r="L36" s="216"/>
      <c r="M36" s="216">
        <v>1</v>
      </c>
      <c r="N36" s="216">
        <v>1</v>
      </c>
      <c r="O36" s="216">
        <v>1</v>
      </c>
      <c r="P36" s="216">
        <v>1</v>
      </c>
      <c r="Q36" s="216">
        <v>1</v>
      </c>
      <c r="R36" s="216">
        <v>1</v>
      </c>
      <c r="S36" s="216">
        <v>1</v>
      </c>
      <c r="T36" s="285"/>
      <c r="U36" s="216">
        <v>1</v>
      </c>
      <c r="V36" s="216">
        <v>1</v>
      </c>
      <c r="W36" s="216">
        <v>1</v>
      </c>
      <c r="X36" s="216">
        <v>1</v>
      </c>
      <c r="Y36" s="216"/>
      <c r="Z36" s="216"/>
      <c r="AA36" s="216"/>
      <c r="AB36" s="216"/>
      <c r="AC36" s="216"/>
      <c r="AD36" s="216"/>
      <c r="AE36" s="41">
        <f t="shared" ref="AE36:AE39" si="7">SUM(G36:AD36)</f>
        <v>11</v>
      </c>
      <c r="AF36" s="116" t="s">
        <v>84</v>
      </c>
      <c r="AG36" s="189" t="s">
        <v>683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06" t="s">
        <v>131</v>
      </c>
      <c r="F37" s="41">
        <f t="shared" si="5"/>
        <v>10</v>
      </c>
      <c r="G37" s="176">
        <v>1</v>
      </c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>
        <v>1</v>
      </c>
      <c r="S37" s="176">
        <v>1</v>
      </c>
      <c r="T37" s="290">
        <v>1</v>
      </c>
      <c r="U37" s="290">
        <v>1</v>
      </c>
      <c r="V37" s="290">
        <v>1</v>
      </c>
      <c r="W37" s="290">
        <v>1</v>
      </c>
      <c r="X37" s="285"/>
      <c r="Y37" s="290">
        <v>1</v>
      </c>
      <c r="Z37" s="290">
        <v>1</v>
      </c>
      <c r="AA37" s="290">
        <v>1</v>
      </c>
      <c r="AB37" s="290"/>
      <c r="AC37" s="290"/>
      <c r="AD37" s="176"/>
      <c r="AE37" s="41">
        <f t="shared" si="7"/>
        <v>10</v>
      </c>
      <c r="AF37" s="116" t="s">
        <v>684</v>
      </c>
      <c r="AG37" s="189" t="s">
        <v>683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145" t="s">
        <v>50</v>
      </c>
      <c r="F38" s="41">
        <f t="shared" si="5"/>
        <v>9</v>
      </c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>
        <v>1</v>
      </c>
      <c r="V38" s="290">
        <v>1</v>
      </c>
      <c r="W38" s="285"/>
      <c r="X38" s="290">
        <v>1</v>
      </c>
      <c r="Y38" s="290">
        <v>1</v>
      </c>
      <c r="Z38" s="290">
        <v>1</v>
      </c>
      <c r="AA38" s="290">
        <v>1</v>
      </c>
      <c r="AB38" s="290">
        <v>1</v>
      </c>
      <c r="AC38" s="290">
        <v>1</v>
      </c>
      <c r="AD38" s="290">
        <v>1</v>
      </c>
      <c r="AE38" s="41">
        <f t="shared" si="7"/>
        <v>9</v>
      </c>
      <c r="AF38" s="116" t="s">
        <v>75</v>
      </c>
      <c r="AG38" s="189" t="s">
        <v>683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145" t="s">
        <v>135</v>
      </c>
      <c r="F39" s="41">
        <f t="shared" si="5"/>
        <v>0</v>
      </c>
      <c r="G39" s="290">
        <v>0</v>
      </c>
      <c r="H39" s="290">
        <v>0</v>
      </c>
      <c r="I39" s="290">
        <v>0</v>
      </c>
      <c r="J39" s="290">
        <v>0</v>
      </c>
      <c r="K39" s="290">
        <v>0</v>
      </c>
      <c r="L39" s="290">
        <v>0</v>
      </c>
      <c r="M39" s="290">
        <v>0</v>
      </c>
      <c r="N39" s="290">
        <v>0</v>
      </c>
      <c r="O39" s="290">
        <v>0</v>
      </c>
      <c r="P39" s="290">
        <v>0</v>
      </c>
      <c r="Q39" s="290">
        <v>0</v>
      </c>
      <c r="R39" s="290">
        <v>0</v>
      </c>
      <c r="S39" s="290">
        <v>0</v>
      </c>
      <c r="T39" s="290">
        <v>0</v>
      </c>
      <c r="U39" s="290">
        <v>0</v>
      </c>
      <c r="V39" s="290">
        <v>0</v>
      </c>
      <c r="W39" s="290">
        <v>0</v>
      </c>
      <c r="X39" s="290">
        <v>0</v>
      </c>
      <c r="Y39" s="290">
        <v>0</v>
      </c>
      <c r="Z39" s="290">
        <v>0</v>
      </c>
      <c r="AA39" s="290">
        <v>0</v>
      </c>
      <c r="AB39" s="290">
        <v>0</v>
      </c>
      <c r="AC39" s="290">
        <v>0</v>
      </c>
      <c r="AD39" s="290">
        <v>0</v>
      </c>
      <c r="AE39" s="41">
        <f t="shared" si="7"/>
        <v>0</v>
      </c>
      <c r="AF39" s="116" t="s">
        <v>225</v>
      </c>
      <c r="AG39" s="189" t="s">
        <v>683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145" t="s">
        <v>140</v>
      </c>
      <c r="F40" s="41">
        <f t="shared" si="5"/>
        <v>2</v>
      </c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285"/>
      <c r="U40" s="176">
        <v>1</v>
      </c>
      <c r="V40" s="580" t="s">
        <v>209</v>
      </c>
      <c r="W40" s="555"/>
      <c r="X40" s="555"/>
      <c r="Y40" s="555"/>
      <c r="Z40" s="555"/>
      <c r="AA40" s="555"/>
      <c r="AB40" s="555"/>
      <c r="AC40" s="542"/>
      <c r="AD40" s="176">
        <v>1</v>
      </c>
      <c r="AE40" s="41">
        <v>10</v>
      </c>
      <c r="AF40" s="116" t="s">
        <v>328</v>
      </c>
      <c r="AG40" s="189" t="s">
        <v>683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8" t="s">
        <v>118</v>
      </c>
      <c r="F41" s="41">
        <f t="shared" si="5"/>
        <v>8</v>
      </c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85"/>
      <c r="W41" s="176">
        <v>1</v>
      </c>
      <c r="X41" s="176">
        <v>1</v>
      </c>
      <c r="Y41" s="176">
        <v>1</v>
      </c>
      <c r="Z41" s="176">
        <v>1</v>
      </c>
      <c r="AA41" s="176">
        <v>1</v>
      </c>
      <c r="AB41" s="176">
        <v>1</v>
      </c>
      <c r="AC41" s="176">
        <v>1</v>
      </c>
      <c r="AD41" s="176">
        <v>1</v>
      </c>
      <c r="AE41" s="41">
        <f>SUM(G41:AD41)</f>
        <v>8</v>
      </c>
      <c r="AF41" s="116" t="s">
        <v>237</v>
      </c>
      <c r="AG41" s="189" t="s">
        <v>683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145" t="s">
        <v>143</v>
      </c>
      <c r="F42" s="41">
        <f t="shared" si="5"/>
        <v>2</v>
      </c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285"/>
      <c r="T42" s="176">
        <v>1</v>
      </c>
      <c r="U42" s="176">
        <v>1</v>
      </c>
      <c r="V42" s="580" t="s">
        <v>209</v>
      </c>
      <c r="W42" s="555"/>
      <c r="X42" s="555"/>
      <c r="Y42" s="555"/>
      <c r="Z42" s="555"/>
      <c r="AA42" s="555"/>
      <c r="AB42" s="555"/>
      <c r="AC42" s="542"/>
      <c r="AD42" s="176"/>
      <c r="AE42" s="41">
        <v>10</v>
      </c>
      <c r="AF42" s="116" t="s">
        <v>259</v>
      </c>
      <c r="AG42" s="189" t="s">
        <v>683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4" t="s">
        <v>455</v>
      </c>
      <c r="F43" s="41">
        <f t="shared" si="5"/>
        <v>9</v>
      </c>
      <c r="G43" s="176"/>
      <c r="H43" s="176"/>
      <c r="I43" s="176"/>
      <c r="J43" s="176"/>
      <c r="K43" s="176"/>
      <c r="L43" s="176"/>
      <c r="M43" s="176"/>
      <c r="N43" s="176"/>
      <c r="O43" s="176">
        <v>1</v>
      </c>
      <c r="P43" s="176">
        <v>1</v>
      </c>
      <c r="Q43" s="176">
        <v>1</v>
      </c>
      <c r="R43" s="176">
        <v>1</v>
      </c>
      <c r="S43" s="176">
        <v>1</v>
      </c>
      <c r="T43" s="176">
        <v>1</v>
      </c>
      <c r="U43" s="176">
        <v>1</v>
      </c>
      <c r="V43" s="176">
        <v>1</v>
      </c>
      <c r="W43" s="176">
        <v>1</v>
      </c>
      <c r="X43" s="285"/>
      <c r="Y43" s="176"/>
      <c r="Z43" s="176"/>
      <c r="AA43" s="176"/>
      <c r="AB43" s="176"/>
      <c r="AC43" s="176"/>
      <c r="AD43" s="176"/>
      <c r="AE43" s="41">
        <f t="shared" ref="AE43:AE56" si="8">SUM(G43:AD43)</f>
        <v>9</v>
      </c>
      <c r="AF43" s="116" t="s">
        <v>180</v>
      </c>
      <c r="AG43" s="189" t="s">
        <v>683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4" t="s">
        <v>457</v>
      </c>
      <c r="F44" s="41">
        <f t="shared" si="5"/>
        <v>12</v>
      </c>
      <c r="G44" s="176"/>
      <c r="H44" s="176"/>
      <c r="I44" s="176"/>
      <c r="J44" s="176"/>
      <c r="K44" s="176"/>
      <c r="L44" s="176"/>
      <c r="M44" s="176"/>
      <c r="N44" s="176"/>
      <c r="O44" s="176">
        <v>1</v>
      </c>
      <c r="P44" s="176">
        <v>1</v>
      </c>
      <c r="Q44" s="176">
        <v>1</v>
      </c>
      <c r="R44" s="176">
        <v>1</v>
      </c>
      <c r="S44" s="176">
        <v>1</v>
      </c>
      <c r="T44" s="176">
        <v>1</v>
      </c>
      <c r="U44" s="285"/>
      <c r="V44" s="176">
        <v>1</v>
      </c>
      <c r="W44" s="176">
        <v>1</v>
      </c>
      <c r="X44" s="176">
        <v>1</v>
      </c>
      <c r="Y44" s="176">
        <v>1</v>
      </c>
      <c r="Z44" s="176">
        <v>1</v>
      </c>
      <c r="AA44" s="176">
        <v>1</v>
      </c>
      <c r="AB44" s="176"/>
      <c r="AC44" s="176"/>
      <c r="AD44" s="176"/>
      <c r="AE44" s="41">
        <f t="shared" si="8"/>
        <v>12</v>
      </c>
      <c r="AF44" s="116" t="s">
        <v>329</v>
      </c>
      <c r="AG44" s="189" t="s">
        <v>683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4" t="s">
        <v>460</v>
      </c>
      <c r="F45" s="41">
        <f t="shared" si="5"/>
        <v>11</v>
      </c>
      <c r="G45" s="176"/>
      <c r="H45" s="176"/>
      <c r="I45" s="176"/>
      <c r="J45" s="176"/>
      <c r="K45" s="176"/>
      <c r="L45" s="176"/>
      <c r="M45" s="176"/>
      <c r="N45" s="176"/>
      <c r="O45" s="176">
        <v>1</v>
      </c>
      <c r="P45" s="176">
        <v>1</v>
      </c>
      <c r="Q45" s="176">
        <v>1</v>
      </c>
      <c r="R45" s="176"/>
      <c r="S45" s="176">
        <v>1</v>
      </c>
      <c r="T45" s="176">
        <v>1</v>
      </c>
      <c r="U45" s="176">
        <v>1</v>
      </c>
      <c r="V45" s="176">
        <v>1</v>
      </c>
      <c r="W45" s="176">
        <v>1</v>
      </c>
      <c r="X45" s="285"/>
      <c r="Y45" s="176">
        <v>1</v>
      </c>
      <c r="Z45" s="176">
        <v>1</v>
      </c>
      <c r="AA45" s="176">
        <v>1</v>
      </c>
      <c r="AB45" s="176"/>
      <c r="AC45" s="176"/>
      <c r="AD45" s="176"/>
      <c r="AE45" s="41">
        <f t="shared" si="8"/>
        <v>11</v>
      </c>
      <c r="AF45" s="116" t="s">
        <v>685</v>
      </c>
      <c r="AG45" s="189" t="s">
        <v>683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14" t="s">
        <v>478</v>
      </c>
      <c r="F46" s="41">
        <f t="shared" si="5"/>
        <v>10</v>
      </c>
      <c r="G46" s="216"/>
      <c r="H46" s="216"/>
      <c r="I46" s="216"/>
      <c r="J46" s="216"/>
      <c r="K46" s="216"/>
      <c r="L46" s="216"/>
      <c r="M46" s="216"/>
      <c r="N46" s="216"/>
      <c r="O46" s="216"/>
      <c r="P46" s="216">
        <v>1</v>
      </c>
      <c r="Q46" s="216">
        <v>1</v>
      </c>
      <c r="R46" s="176">
        <v>1</v>
      </c>
      <c r="S46" s="216">
        <v>1</v>
      </c>
      <c r="T46" s="216">
        <v>1</v>
      </c>
      <c r="U46" s="216">
        <v>1</v>
      </c>
      <c r="V46" s="216">
        <v>1</v>
      </c>
      <c r="W46" s="285"/>
      <c r="X46" s="216">
        <v>1</v>
      </c>
      <c r="Y46" s="216">
        <v>1</v>
      </c>
      <c r="Z46" s="216">
        <v>1</v>
      </c>
      <c r="AA46" s="216"/>
      <c r="AB46" s="216"/>
      <c r="AC46" s="216"/>
      <c r="AD46" s="216"/>
      <c r="AE46" s="41">
        <f t="shared" si="8"/>
        <v>10</v>
      </c>
      <c r="AF46" s="116" t="s">
        <v>164</v>
      </c>
      <c r="AG46" s="189" t="s">
        <v>683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4" t="s">
        <v>461</v>
      </c>
      <c r="F47" s="41">
        <f t="shared" si="5"/>
        <v>11</v>
      </c>
      <c r="G47" s="176"/>
      <c r="H47" s="176"/>
      <c r="I47" s="176"/>
      <c r="J47" s="176"/>
      <c r="K47" s="176"/>
      <c r="L47" s="176"/>
      <c r="M47" s="176"/>
      <c r="N47" s="176"/>
      <c r="O47" s="176"/>
      <c r="P47" s="176">
        <v>1</v>
      </c>
      <c r="Q47" s="176">
        <v>1</v>
      </c>
      <c r="R47" s="176">
        <v>1</v>
      </c>
      <c r="S47" s="285"/>
      <c r="T47" s="176">
        <v>1</v>
      </c>
      <c r="U47" s="176">
        <v>1</v>
      </c>
      <c r="V47" s="176">
        <v>1</v>
      </c>
      <c r="W47" s="176">
        <v>1</v>
      </c>
      <c r="X47" s="176">
        <v>1</v>
      </c>
      <c r="Y47" s="176">
        <v>1</v>
      </c>
      <c r="Z47" s="176">
        <v>1</v>
      </c>
      <c r="AA47" s="176">
        <v>1</v>
      </c>
      <c r="AB47" s="176"/>
      <c r="AC47" s="176"/>
      <c r="AD47" s="176"/>
      <c r="AE47" s="41">
        <f t="shared" si="8"/>
        <v>11</v>
      </c>
      <c r="AF47" s="116" t="s">
        <v>69</v>
      </c>
      <c r="AG47" s="189" t="s">
        <v>683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4" t="s">
        <v>463</v>
      </c>
      <c r="F48" s="41">
        <f t="shared" si="5"/>
        <v>11</v>
      </c>
      <c r="G48" s="216"/>
      <c r="H48" s="216"/>
      <c r="I48" s="216"/>
      <c r="J48" s="216"/>
      <c r="K48" s="216"/>
      <c r="L48" s="216"/>
      <c r="M48" s="216"/>
      <c r="N48" s="216"/>
      <c r="O48" s="216"/>
      <c r="P48" s="216">
        <v>1</v>
      </c>
      <c r="Q48" s="216">
        <v>1</v>
      </c>
      <c r="R48" s="216">
        <v>1</v>
      </c>
      <c r="S48" s="216">
        <v>1</v>
      </c>
      <c r="T48" s="216">
        <v>1</v>
      </c>
      <c r="U48" s="216">
        <v>1</v>
      </c>
      <c r="V48" s="285"/>
      <c r="W48" s="216">
        <v>1</v>
      </c>
      <c r="X48" s="216">
        <v>1</v>
      </c>
      <c r="Y48" s="216">
        <v>1</v>
      </c>
      <c r="Z48" s="216">
        <v>1</v>
      </c>
      <c r="AA48" s="216">
        <v>1</v>
      </c>
      <c r="AB48" s="216"/>
      <c r="AC48" s="216"/>
      <c r="AD48" s="216"/>
      <c r="AE48" s="41">
        <f t="shared" si="8"/>
        <v>11</v>
      </c>
      <c r="AF48" s="116" t="s">
        <v>69</v>
      </c>
      <c r="AG48" s="189" t="s">
        <v>683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4" t="s">
        <v>465</v>
      </c>
      <c r="F49" s="41">
        <f t="shared" si="5"/>
        <v>12</v>
      </c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>
        <v>1</v>
      </c>
      <c r="R49" s="176">
        <v>1</v>
      </c>
      <c r="S49" s="176">
        <v>1</v>
      </c>
      <c r="T49" s="176">
        <v>1</v>
      </c>
      <c r="U49" s="176">
        <v>1</v>
      </c>
      <c r="V49" s="176">
        <v>1</v>
      </c>
      <c r="W49" s="176">
        <v>1</v>
      </c>
      <c r="X49" s="285"/>
      <c r="Y49" s="176">
        <v>1</v>
      </c>
      <c r="Z49" s="176">
        <v>1</v>
      </c>
      <c r="AA49" s="176">
        <v>1</v>
      </c>
      <c r="AB49" s="176">
        <v>1</v>
      </c>
      <c r="AC49" s="176">
        <v>1</v>
      </c>
      <c r="AD49" s="176"/>
      <c r="AE49" s="41">
        <f t="shared" si="8"/>
        <v>12</v>
      </c>
      <c r="AF49" s="116" t="s">
        <v>359</v>
      </c>
      <c r="AG49" s="189" t="s">
        <v>683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4" t="s">
        <v>466</v>
      </c>
      <c r="F50" s="41">
        <f t="shared" si="5"/>
        <v>11</v>
      </c>
      <c r="G50" s="216"/>
      <c r="H50" s="216"/>
      <c r="I50" s="216"/>
      <c r="J50" s="216"/>
      <c r="K50" s="216"/>
      <c r="L50" s="216"/>
      <c r="M50" s="216"/>
      <c r="N50" s="216"/>
      <c r="O50" s="216"/>
      <c r="P50" s="216">
        <v>1</v>
      </c>
      <c r="Q50" s="216">
        <v>1</v>
      </c>
      <c r="R50" s="216">
        <v>1</v>
      </c>
      <c r="S50" s="216">
        <v>1</v>
      </c>
      <c r="T50" s="216">
        <v>1</v>
      </c>
      <c r="U50" s="285"/>
      <c r="V50" s="216">
        <v>1</v>
      </c>
      <c r="W50" s="216">
        <v>1</v>
      </c>
      <c r="X50" s="216">
        <v>1</v>
      </c>
      <c r="Y50" s="216">
        <v>1</v>
      </c>
      <c r="Z50" s="216">
        <v>1</v>
      </c>
      <c r="AA50" s="216">
        <v>1</v>
      </c>
      <c r="AB50" s="216"/>
      <c r="AC50" s="216"/>
      <c r="AD50" s="216"/>
      <c r="AE50" s="41">
        <f t="shared" si="8"/>
        <v>11</v>
      </c>
      <c r="AF50" s="116" t="s">
        <v>69</v>
      </c>
      <c r="AG50" s="189" t="s">
        <v>683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4" t="s">
        <v>467</v>
      </c>
      <c r="F51" s="41">
        <f t="shared" si="5"/>
        <v>12</v>
      </c>
      <c r="G51" s="176"/>
      <c r="H51" s="176"/>
      <c r="I51" s="176"/>
      <c r="J51" s="176"/>
      <c r="K51" s="176"/>
      <c r="L51" s="176"/>
      <c r="M51" s="176"/>
      <c r="N51" s="176"/>
      <c r="O51" s="176"/>
      <c r="P51" s="176">
        <v>1</v>
      </c>
      <c r="Q51" s="176">
        <v>1</v>
      </c>
      <c r="R51" s="176">
        <v>1</v>
      </c>
      <c r="S51" s="176">
        <v>1</v>
      </c>
      <c r="T51" s="176">
        <v>1</v>
      </c>
      <c r="U51" s="176">
        <v>1</v>
      </c>
      <c r="V51" s="285"/>
      <c r="W51" s="176">
        <v>1</v>
      </c>
      <c r="X51" s="176">
        <v>1</v>
      </c>
      <c r="Y51" s="176">
        <v>1</v>
      </c>
      <c r="Z51" s="176">
        <v>1</v>
      </c>
      <c r="AA51" s="176">
        <v>1</v>
      </c>
      <c r="AB51" s="176">
        <v>1</v>
      </c>
      <c r="AC51" s="176"/>
      <c r="AD51" s="176"/>
      <c r="AE51" s="41">
        <f t="shared" si="8"/>
        <v>12</v>
      </c>
      <c r="AF51" s="116" t="s">
        <v>326</v>
      </c>
      <c r="AG51" s="189" t="s">
        <v>683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4" t="s">
        <v>491</v>
      </c>
      <c r="F52" s="41">
        <f t="shared" si="5"/>
        <v>10</v>
      </c>
      <c r="G52" s="216"/>
      <c r="H52" s="216"/>
      <c r="I52" s="216"/>
      <c r="J52" s="216"/>
      <c r="K52" s="216"/>
      <c r="L52" s="216"/>
      <c r="M52" s="216"/>
      <c r="N52" s="216">
        <v>1</v>
      </c>
      <c r="O52" s="216">
        <v>1</v>
      </c>
      <c r="P52" s="216">
        <v>1</v>
      </c>
      <c r="Q52" s="216">
        <v>1</v>
      </c>
      <c r="R52" s="216">
        <v>1</v>
      </c>
      <c r="S52" s="216">
        <v>1</v>
      </c>
      <c r="T52" s="285"/>
      <c r="U52" s="216">
        <v>1</v>
      </c>
      <c r="V52" s="216">
        <v>1</v>
      </c>
      <c r="W52" s="216">
        <v>1</v>
      </c>
      <c r="X52" s="216">
        <v>1</v>
      </c>
      <c r="Y52" s="216"/>
      <c r="Z52" s="216"/>
      <c r="AA52" s="216"/>
      <c r="AB52" s="216"/>
      <c r="AC52" s="216"/>
      <c r="AD52" s="216"/>
      <c r="AE52" s="41">
        <f t="shared" si="8"/>
        <v>10</v>
      </c>
      <c r="AF52" s="116" t="s">
        <v>154</v>
      </c>
      <c r="AG52" s="189" t="s">
        <v>683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4" t="s">
        <v>493</v>
      </c>
      <c r="F53" s="41">
        <f t="shared" si="5"/>
        <v>0</v>
      </c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41">
        <f t="shared" si="8"/>
        <v>0</v>
      </c>
      <c r="AF53" s="116" t="s">
        <v>652</v>
      </c>
      <c r="AG53" s="189" t="s">
        <v>683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4" t="s">
        <v>469</v>
      </c>
      <c r="F54" s="41">
        <f t="shared" si="5"/>
        <v>11</v>
      </c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>
        <v>1</v>
      </c>
      <c r="R54" s="216">
        <v>1</v>
      </c>
      <c r="S54" s="216">
        <v>1</v>
      </c>
      <c r="T54" s="285"/>
      <c r="U54" s="216">
        <v>1</v>
      </c>
      <c r="V54" s="216">
        <v>1</v>
      </c>
      <c r="W54" s="216">
        <v>1</v>
      </c>
      <c r="X54" s="216">
        <v>1</v>
      </c>
      <c r="Y54" s="216">
        <v>1</v>
      </c>
      <c r="Z54" s="216">
        <v>1</v>
      </c>
      <c r="AA54" s="216">
        <v>1</v>
      </c>
      <c r="AB54" s="216">
        <v>1</v>
      </c>
      <c r="AC54" s="216"/>
      <c r="AD54" s="216"/>
      <c r="AE54" s="41">
        <f t="shared" si="8"/>
        <v>11</v>
      </c>
      <c r="AF54" s="116" t="s">
        <v>96</v>
      </c>
      <c r="AG54" s="189" t="s">
        <v>683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4" t="s">
        <v>495</v>
      </c>
      <c r="F55" s="41">
        <f t="shared" si="5"/>
        <v>0</v>
      </c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41">
        <f t="shared" si="8"/>
        <v>0</v>
      </c>
      <c r="AF55" s="116" t="s">
        <v>652</v>
      </c>
      <c r="AG55" s="189" t="s">
        <v>683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4" t="s">
        <v>497</v>
      </c>
      <c r="F56" s="41">
        <f t="shared" si="5"/>
        <v>11</v>
      </c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>
        <v>1</v>
      </c>
      <c r="R56" s="216">
        <v>1</v>
      </c>
      <c r="S56" s="216">
        <v>1</v>
      </c>
      <c r="T56" s="216">
        <v>1</v>
      </c>
      <c r="U56" s="285"/>
      <c r="V56" s="216">
        <v>1</v>
      </c>
      <c r="W56" s="216">
        <v>1</v>
      </c>
      <c r="X56" s="216">
        <v>1</v>
      </c>
      <c r="Y56" s="216">
        <v>1</v>
      </c>
      <c r="Z56" s="216">
        <v>1</v>
      </c>
      <c r="AA56" s="216">
        <v>1</v>
      </c>
      <c r="AB56" s="216">
        <v>1</v>
      </c>
      <c r="AC56" s="216"/>
      <c r="AD56" s="216"/>
      <c r="AE56" s="41">
        <f t="shared" si="8"/>
        <v>11</v>
      </c>
      <c r="AF56" s="116" t="s">
        <v>96</v>
      </c>
      <c r="AG56" s="189" t="s">
        <v>683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9</v>
      </c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291">
        <v>1</v>
      </c>
      <c r="U57" s="288"/>
      <c r="V57" s="577" t="s">
        <v>320</v>
      </c>
      <c r="W57" s="555"/>
      <c r="X57" s="555"/>
      <c r="Y57" s="555"/>
      <c r="Z57" s="555"/>
      <c r="AA57" s="555"/>
      <c r="AB57" s="555"/>
      <c r="AC57" s="555"/>
      <c r="AD57" s="77"/>
      <c r="AE57" s="41">
        <v>9</v>
      </c>
      <c r="AF57" s="116" t="s">
        <v>175</v>
      </c>
      <c r="AG57" s="189" t="s">
        <v>683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f t="shared" ref="F58:F59" si="9">SUM(G58:AD58)</f>
        <v>2</v>
      </c>
      <c r="G58" s="77"/>
      <c r="H58" s="77"/>
      <c r="I58" s="77"/>
      <c r="J58" s="77"/>
      <c r="K58" s="77"/>
      <c r="L58" s="77"/>
      <c r="M58" s="77"/>
      <c r="N58" s="577" t="s">
        <v>320</v>
      </c>
      <c r="O58" s="555"/>
      <c r="P58" s="555"/>
      <c r="Q58" s="555"/>
      <c r="R58" s="555"/>
      <c r="S58" s="555"/>
      <c r="T58" s="555"/>
      <c r="U58" s="555"/>
      <c r="V58" s="291">
        <v>1</v>
      </c>
      <c r="W58" s="291">
        <v>1</v>
      </c>
      <c r="X58" s="288"/>
      <c r="Y58" s="77"/>
      <c r="Z58" s="77"/>
      <c r="AA58" s="77"/>
      <c r="AB58" s="77"/>
      <c r="AC58" s="77"/>
      <c r="AD58" s="77"/>
      <c r="AE58" s="41">
        <v>10</v>
      </c>
      <c r="AF58" s="116" t="s">
        <v>154</v>
      </c>
      <c r="AG58" s="189" t="s">
        <v>683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f t="shared" si="9"/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77"/>
      <c r="X59" s="77"/>
      <c r="Y59" s="77"/>
      <c r="Z59" s="77"/>
      <c r="AA59" s="77"/>
      <c r="AB59" s="42"/>
      <c r="AC59" s="42"/>
      <c r="AD59" s="42"/>
      <c r="AE59" s="41">
        <v>8</v>
      </c>
      <c r="AF59" s="116" t="s">
        <v>258</v>
      </c>
      <c r="AG59" s="189" t="s">
        <v>683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12">
        <v>2</v>
      </c>
      <c r="I62" s="12">
        <v>2</v>
      </c>
      <c r="J62" s="12">
        <v>2</v>
      </c>
      <c r="K62" s="12">
        <v>2</v>
      </c>
      <c r="L62" s="12">
        <v>2</v>
      </c>
      <c r="M62" s="242">
        <v>4</v>
      </c>
      <c r="N62" s="56">
        <v>5</v>
      </c>
      <c r="O62" s="136">
        <v>7</v>
      </c>
      <c r="P62" s="143">
        <v>8</v>
      </c>
      <c r="Q62" s="57">
        <v>9</v>
      </c>
      <c r="R62" s="57">
        <v>9</v>
      </c>
      <c r="S62" s="57">
        <v>9</v>
      </c>
      <c r="T62" s="143">
        <v>8</v>
      </c>
      <c r="U62" s="143">
        <v>8</v>
      </c>
      <c r="V62" s="136">
        <v>7</v>
      </c>
      <c r="W62" s="136">
        <v>7</v>
      </c>
      <c r="X62" s="136">
        <v>7</v>
      </c>
      <c r="Y62" s="136">
        <v>7</v>
      </c>
      <c r="Z62" s="144">
        <v>6</v>
      </c>
      <c r="AA62" s="56">
        <v>5</v>
      </c>
      <c r="AB62" s="242">
        <v>4</v>
      </c>
      <c r="AC62" s="242">
        <v>4</v>
      </c>
      <c r="AD62" s="12">
        <v>2</v>
      </c>
      <c r="AE62" s="18">
        <f>SUM(G62:AD62)</f>
        <v>128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10">G65-G62</f>
        <v>0</v>
      </c>
      <c r="H63" s="28">
        <f t="shared" si="10"/>
        <v>0</v>
      </c>
      <c r="I63" s="28">
        <f t="shared" si="10"/>
        <v>0</v>
      </c>
      <c r="J63" s="28">
        <f t="shared" si="10"/>
        <v>0</v>
      </c>
      <c r="K63" s="28">
        <f t="shared" si="10"/>
        <v>0</v>
      </c>
      <c r="L63" s="28">
        <f t="shared" si="10"/>
        <v>0</v>
      </c>
      <c r="M63" s="28">
        <f t="shared" si="10"/>
        <v>0</v>
      </c>
      <c r="N63" s="28">
        <f t="shared" si="10"/>
        <v>0</v>
      </c>
      <c r="O63" s="28">
        <f t="shared" si="10"/>
        <v>0</v>
      </c>
      <c r="P63" s="28">
        <f t="shared" si="10"/>
        <v>0</v>
      </c>
      <c r="Q63" s="28">
        <f t="shared" si="10"/>
        <v>0</v>
      </c>
      <c r="R63" s="28">
        <f t="shared" si="10"/>
        <v>0</v>
      </c>
      <c r="S63" s="28">
        <f t="shared" si="10"/>
        <v>1</v>
      </c>
      <c r="T63" s="28">
        <f t="shared" si="10"/>
        <v>0</v>
      </c>
      <c r="U63" s="28">
        <f t="shared" si="10"/>
        <v>0</v>
      </c>
      <c r="V63" s="28">
        <f t="shared" si="10"/>
        <v>0</v>
      </c>
      <c r="W63" s="28">
        <f t="shared" si="10"/>
        <v>0</v>
      </c>
      <c r="X63" s="28">
        <f t="shared" si="10"/>
        <v>0</v>
      </c>
      <c r="Y63" s="28">
        <f t="shared" si="10"/>
        <v>0</v>
      </c>
      <c r="Z63" s="28">
        <f t="shared" si="10"/>
        <v>0</v>
      </c>
      <c r="AA63" s="28">
        <f t="shared" si="10"/>
        <v>0</v>
      </c>
      <c r="AB63" s="28">
        <f t="shared" si="10"/>
        <v>0</v>
      </c>
      <c r="AC63" s="28">
        <f t="shared" si="10"/>
        <v>0</v>
      </c>
      <c r="AD63" s="28">
        <f t="shared" si="10"/>
        <v>0</v>
      </c>
      <c r="AE63" s="53"/>
      <c r="AF63" s="3">
        <v>16</v>
      </c>
      <c r="AG63" s="3">
        <f>AE62/8</f>
        <v>16</v>
      </c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11">SUM(G66:G82)</f>
        <v>2</v>
      </c>
      <c r="H65" s="35">
        <f t="shared" si="11"/>
        <v>2</v>
      </c>
      <c r="I65" s="35">
        <f t="shared" si="11"/>
        <v>2</v>
      </c>
      <c r="J65" s="35">
        <f t="shared" si="11"/>
        <v>2</v>
      </c>
      <c r="K65" s="35">
        <f t="shared" si="11"/>
        <v>2</v>
      </c>
      <c r="L65" s="35">
        <f t="shared" si="11"/>
        <v>2</v>
      </c>
      <c r="M65" s="35">
        <f t="shared" si="11"/>
        <v>4</v>
      </c>
      <c r="N65" s="35">
        <f t="shared" si="11"/>
        <v>5</v>
      </c>
      <c r="O65" s="35">
        <f t="shared" si="11"/>
        <v>7</v>
      </c>
      <c r="P65" s="35">
        <f t="shared" si="11"/>
        <v>8</v>
      </c>
      <c r="Q65" s="35">
        <f t="shared" si="11"/>
        <v>9</v>
      </c>
      <c r="R65" s="35">
        <f t="shared" si="11"/>
        <v>9</v>
      </c>
      <c r="S65" s="35">
        <f t="shared" si="11"/>
        <v>10</v>
      </c>
      <c r="T65" s="35">
        <f t="shared" si="11"/>
        <v>8</v>
      </c>
      <c r="U65" s="35">
        <f t="shared" si="11"/>
        <v>8</v>
      </c>
      <c r="V65" s="35">
        <f t="shared" si="11"/>
        <v>7</v>
      </c>
      <c r="W65" s="35">
        <f t="shared" si="11"/>
        <v>7</v>
      </c>
      <c r="X65" s="35">
        <f t="shared" si="11"/>
        <v>7</v>
      </c>
      <c r="Y65" s="35">
        <f t="shared" si="11"/>
        <v>7</v>
      </c>
      <c r="Z65" s="35">
        <f t="shared" si="11"/>
        <v>6</v>
      </c>
      <c r="AA65" s="35">
        <f t="shared" si="11"/>
        <v>5</v>
      </c>
      <c r="AB65" s="35">
        <f t="shared" si="11"/>
        <v>4</v>
      </c>
      <c r="AC65" s="35">
        <f t="shared" si="11"/>
        <v>4</v>
      </c>
      <c r="AD65" s="35">
        <f t="shared" si="11"/>
        <v>2</v>
      </c>
      <c r="AE65" s="30">
        <f t="shared" ref="AE65:AE79" si="12">SUM(G65:AD65)</f>
        <v>129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3">SUM(G66:AD66)</f>
        <v>9</v>
      </c>
      <c r="G66" s="202"/>
      <c r="H66" s="202"/>
      <c r="I66" s="202"/>
      <c r="J66" s="202"/>
      <c r="K66" s="202"/>
      <c r="L66" s="202"/>
      <c r="M66" s="202">
        <v>1</v>
      </c>
      <c r="N66" s="202">
        <v>1</v>
      </c>
      <c r="O66" s="202">
        <v>1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/>
      <c r="W66" s="202"/>
      <c r="X66" s="202"/>
      <c r="Y66" s="202"/>
      <c r="Z66" s="202"/>
      <c r="AA66" s="202"/>
      <c r="AB66" s="202"/>
      <c r="AC66" s="202"/>
      <c r="AD66" s="202"/>
      <c r="AE66" s="41">
        <f t="shared" si="12"/>
        <v>9</v>
      </c>
      <c r="AF66" s="116" t="s">
        <v>244</v>
      </c>
      <c r="AG66" s="189" t="s">
        <v>683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3"/>
        <v>9</v>
      </c>
      <c r="G67" s="202"/>
      <c r="H67" s="202"/>
      <c r="I67" s="202"/>
      <c r="J67" s="202"/>
      <c r="K67" s="202"/>
      <c r="L67" s="202"/>
      <c r="M67" s="202">
        <v>1</v>
      </c>
      <c r="N67" s="202">
        <v>1</v>
      </c>
      <c r="O67" s="202">
        <v>1</v>
      </c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/>
      <c r="W67" s="202"/>
      <c r="X67" s="202"/>
      <c r="Y67" s="202"/>
      <c r="Z67" s="202"/>
      <c r="AA67" s="202"/>
      <c r="AB67" s="202"/>
      <c r="AC67" s="202"/>
      <c r="AD67" s="202"/>
      <c r="AE67" s="41">
        <f t="shared" si="12"/>
        <v>9</v>
      </c>
      <c r="AF67" s="116" t="s">
        <v>244</v>
      </c>
      <c r="AG67" s="189" t="s">
        <v>683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3"/>
        <v>8</v>
      </c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>
        <v>1</v>
      </c>
      <c r="W68" s="202">
        <v>1</v>
      </c>
      <c r="X68" s="202">
        <v>1</v>
      </c>
      <c r="Y68" s="202">
        <v>1</v>
      </c>
      <c r="Z68" s="202">
        <v>1</v>
      </c>
      <c r="AA68" s="202">
        <v>1</v>
      </c>
      <c r="AB68" s="202">
        <v>1</v>
      </c>
      <c r="AC68" s="202">
        <v>1</v>
      </c>
      <c r="AD68" s="202"/>
      <c r="AE68" s="41">
        <f t="shared" si="12"/>
        <v>8</v>
      </c>
      <c r="AF68" s="116" t="s">
        <v>218</v>
      </c>
      <c r="AG68" s="189" t="s">
        <v>683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3"/>
        <v>10</v>
      </c>
      <c r="G69" s="202"/>
      <c r="H69" s="202"/>
      <c r="I69" s="202"/>
      <c r="J69" s="202"/>
      <c r="K69" s="202"/>
      <c r="L69" s="202"/>
      <c r="M69" s="202"/>
      <c r="N69" s="202"/>
      <c r="O69" s="202">
        <v>1</v>
      </c>
      <c r="P69" s="202">
        <v>1</v>
      </c>
      <c r="Q69" s="202">
        <v>1</v>
      </c>
      <c r="R69" s="202">
        <v>1</v>
      </c>
      <c r="S69" s="202">
        <v>1</v>
      </c>
      <c r="T69" s="202">
        <v>1</v>
      </c>
      <c r="U69" s="202">
        <v>1</v>
      </c>
      <c r="V69" s="202"/>
      <c r="W69" s="202">
        <v>1</v>
      </c>
      <c r="X69" s="202">
        <v>1</v>
      </c>
      <c r="Y69" s="202">
        <v>1</v>
      </c>
      <c r="Z69" s="202"/>
      <c r="AA69" s="202"/>
      <c r="AB69" s="202"/>
      <c r="AC69" s="202"/>
      <c r="AD69" s="202"/>
      <c r="AE69" s="41">
        <f t="shared" si="12"/>
        <v>10</v>
      </c>
      <c r="AF69" s="116" t="s">
        <v>290</v>
      </c>
      <c r="AG69" s="189" t="s">
        <v>683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3"/>
        <v>6</v>
      </c>
      <c r="G70" s="216"/>
      <c r="H70" s="216"/>
      <c r="I70" s="216"/>
      <c r="J70" s="216"/>
      <c r="K70" s="216"/>
      <c r="L70" s="216"/>
      <c r="M70" s="202"/>
      <c r="N70" s="202">
        <v>1</v>
      </c>
      <c r="O70" s="202">
        <v>1</v>
      </c>
      <c r="P70" s="202">
        <v>1</v>
      </c>
      <c r="Q70" s="202">
        <v>1</v>
      </c>
      <c r="R70" s="202">
        <v>1</v>
      </c>
      <c r="S70" s="202">
        <v>1</v>
      </c>
      <c r="T70" s="202"/>
      <c r="U70" s="202"/>
      <c r="V70" s="216"/>
      <c r="W70" s="216"/>
      <c r="X70" s="216"/>
      <c r="Y70" s="216"/>
      <c r="Z70" s="216"/>
      <c r="AA70" s="216"/>
      <c r="AB70" s="216"/>
      <c r="AC70" s="216"/>
      <c r="AD70" s="216"/>
      <c r="AE70" s="41">
        <f t="shared" si="12"/>
        <v>6</v>
      </c>
      <c r="AF70" s="116" t="s">
        <v>315</v>
      </c>
      <c r="AG70" s="189" t="s">
        <v>683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3"/>
        <v>6</v>
      </c>
      <c r="G71" s="202">
        <v>1</v>
      </c>
      <c r="H71" s="202">
        <v>1</v>
      </c>
      <c r="I71" s="202">
        <v>1</v>
      </c>
      <c r="J71" s="202">
        <v>1</v>
      </c>
      <c r="K71" s="202">
        <v>1</v>
      </c>
      <c r="L71" s="202">
        <v>1</v>
      </c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41">
        <f t="shared" si="12"/>
        <v>6</v>
      </c>
      <c r="AF71" s="111" t="s">
        <v>159</v>
      </c>
      <c r="AG71" s="189" t="s">
        <v>683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3"/>
        <v>12</v>
      </c>
      <c r="G72" s="202">
        <v>1</v>
      </c>
      <c r="H72" s="202">
        <v>1</v>
      </c>
      <c r="I72" s="202">
        <v>1</v>
      </c>
      <c r="J72" s="202">
        <v>1</v>
      </c>
      <c r="K72" s="202">
        <v>1</v>
      </c>
      <c r="L72" s="202">
        <v>1</v>
      </c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>
        <v>1</v>
      </c>
      <c r="Z72" s="202">
        <v>1</v>
      </c>
      <c r="AA72" s="202">
        <v>1</v>
      </c>
      <c r="AB72" s="202">
        <v>1</v>
      </c>
      <c r="AC72" s="202">
        <v>1</v>
      </c>
      <c r="AD72" s="202">
        <v>1</v>
      </c>
      <c r="AE72" s="41">
        <f t="shared" si="12"/>
        <v>12</v>
      </c>
      <c r="AF72" s="116" t="s">
        <v>221</v>
      </c>
      <c r="AG72" s="189" t="s">
        <v>683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3"/>
        <v>9</v>
      </c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>
        <v>1</v>
      </c>
      <c r="V73" s="202">
        <v>1</v>
      </c>
      <c r="W73" s="202">
        <v>1</v>
      </c>
      <c r="X73" s="202">
        <v>1</v>
      </c>
      <c r="Y73" s="202">
        <v>1</v>
      </c>
      <c r="Z73" s="202">
        <v>1</v>
      </c>
      <c r="AA73" s="202">
        <v>1</v>
      </c>
      <c r="AB73" s="202">
        <v>1</v>
      </c>
      <c r="AC73" s="202">
        <v>1</v>
      </c>
      <c r="AD73" s="202"/>
      <c r="AE73" s="41">
        <f t="shared" si="12"/>
        <v>9</v>
      </c>
      <c r="AF73" s="116" t="s">
        <v>81</v>
      </c>
      <c r="AG73" s="189" t="s">
        <v>683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41">
        <f t="shared" si="13"/>
        <v>0</v>
      </c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41">
        <f t="shared" si="12"/>
        <v>0</v>
      </c>
      <c r="AF74" s="116" t="s">
        <v>225</v>
      </c>
      <c r="AG74" s="189" t="s">
        <v>683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41">
        <f t="shared" si="13"/>
        <v>9</v>
      </c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92">
        <v>1</v>
      </c>
      <c r="T75" s="292">
        <v>1</v>
      </c>
      <c r="U75" s="292">
        <v>1</v>
      </c>
      <c r="V75" s="292">
        <v>1</v>
      </c>
      <c r="W75" s="292">
        <v>1</v>
      </c>
      <c r="X75" s="292">
        <v>1</v>
      </c>
      <c r="Y75" s="292">
        <v>1</v>
      </c>
      <c r="Z75" s="292">
        <v>1</v>
      </c>
      <c r="AA75" s="292">
        <v>1</v>
      </c>
      <c r="AB75" s="202"/>
      <c r="AC75" s="202"/>
      <c r="AD75" s="202"/>
      <c r="AE75" s="41">
        <f t="shared" si="12"/>
        <v>9</v>
      </c>
      <c r="AF75" s="116" t="s">
        <v>312</v>
      </c>
      <c r="AG75" s="189" t="s">
        <v>683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3"/>
        <v>4</v>
      </c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>
        <v>1</v>
      </c>
      <c r="AB76" s="202">
        <v>1</v>
      </c>
      <c r="AC76" s="202">
        <v>1</v>
      </c>
      <c r="AD76" s="202">
        <v>1</v>
      </c>
      <c r="AE76" s="41">
        <f t="shared" si="12"/>
        <v>4</v>
      </c>
      <c r="AF76" s="116" t="s">
        <v>443</v>
      </c>
      <c r="AG76" s="189" t="s">
        <v>683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3"/>
        <v>9</v>
      </c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>
        <v>1</v>
      </c>
      <c r="R77" s="202">
        <v>1</v>
      </c>
      <c r="S77" s="202">
        <v>1</v>
      </c>
      <c r="T77" s="202">
        <v>1</v>
      </c>
      <c r="U77" s="202"/>
      <c r="V77" s="202">
        <v>1</v>
      </c>
      <c r="W77" s="202">
        <v>1</v>
      </c>
      <c r="X77" s="202">
        <v>1</v>
      </c>
      <c r="Y77" s="202">
        <v>1</v>
      </c>
      <c r="Z77" s="202">
        <v>1</v>
      </c>
      <c r="AA77" s="202"/>
      <c r="AB77" s="202"/>
      <c r="AC77" s="202"/>
      <c r="AD77" s="202"/>
      <c r="AE77" s="41">
        <f t="shared" si="12"/>
        <v>9</v>
      </c>
      <c r="AF77" s="116" t="s">
        <v>686</v>
      </c>
      <c r="AG77" s="189" t="s">
        <v>683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3"/>
        <v>9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02">
        <v>1</v>
      </c>
      <c r="P78" s="202">
        <v>1</v>
      </c>
      <c r="Q78" s="202">
        <v>1</v>
      </c>
      <c r="R78" s="202">
        <v>1</v>
      </c>
      <c r="S78" s="202">
        <v>1</v>
      </c>
      <c r="T78" s="202">
        <v>1</v>
      </c>
      <c r="U78" s="202">
        <v>1</v>
      </c>
      <c r="V78" s="202"/>
      <c r="W78" s="202"/>
      <c r="X78" s="202"/>
      <c r="Y78" s="202"/>
      <c r="Z78" s="202"/>
      <c r="AA78" s="202"/>
      <c r="AB78" s="202"/>
      <c r="AC78" s="202"/>
      <c r="AD78" s="202"/>
      <c r="AE78" s="41">
        <f t="shared" si="12"/>
        <v>9</v>
      </c>
      <c r="AF78" s="116" t="s">
        <v>244</v>
      </c>
      <c r="AG78" s="189" t="s">
        <v>683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41">
        <f t="shared" si="13"/>
        <v>10</v>
      </c>
      <c r="G79" s="202"/>
      <c r="H79" s="202"/>
      <c r="I79" s="202"/>
      <c r="J79" s="202"/>
      <c r="K79" s="202"/>
      <c r="L79" s="202"/>
      <c r="M79" s="202"/>
      <c r="N79" s="202"/>
      <c r="O79" s="202"/>
      <c r="P79" s="202">
        <v>1</v>
      </c>
      <c r="Q79" s="202">
        <v>1</v>
      </c>
      <c r="R79" s="202">
        <v>1</v>
      </c>
      <c r="S79" s="202">
        <v>1</v>
      </c>
      <c r="T79" s="202">
        <v>1</v>
      </c>
      <c r="U79" s="202"/>
      <c r="V79" s="202">
        <v>1</v>
      </c>
      <c r="W79" s="202">
        <v>1</v>
      </c>
      <c r="X79" s="202">
        <v>1</v>
      </c>
      <c r="Y79" s="202">
        <v>1</v>
      </c>
      <c r="Z79" s="202">
        <v>1</v>
      </c>
      <c r="AA79" s="202"/>
      <c r="AB79" s="202"/>
      <c r="AC79" s="202"/>
      <c r="AD79" s="202"/>
      <c r="AE79" s="41">
        <f t="shared" si="12"/>
        <v>10</v>
      </c>
      <c r="AF79" s="116" t="s">
        <v>222</v>
      </c>
      <c r="AG79" s="189" t="s">
        <v>683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41">
        <f t="shared" si="13"/>
        <v>0</v>
      </c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580" t="s">
        <v>209</v>
      </c>
      <c r="W80" s="555"/>
      <c r="X80" s="555"/>
      <c r="Y80" s="555"/>
      <c r="Z80" s="555"/>
      <c r="AA80" s="555"/>
      <c r="AB80" s="555"/>
      <c r="AC80" s="542"/>
      <c r="AD80" s="176"/>
      <c r="AE80" s="41">
        <v>8</v>
      </c>
      <c r="AF80" s="116" t="s">
        <v>218</v>
      </c>
      <c r="AG80" s="189" t="s">
        <v>683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41">
        <f t="shared" si="13"/>
        <v>10</v>
      </c>
      <c r="G81" s="202"/>
      <c r="H81" s="202"/>
      <c r="I81" s="202"/>
      <c r="J81" s="202"/>
      <c r="K81" s="202"/>
      <c r="L81" s="202"/>
      <c r="M81" s="202"/>
      <c r="N81" s="202"/>
      <c r="O81" s="202">
        <v>1</v>
      </c>
      <c r="P81" s="202">
        <v>1</v>
      </c>
      <c r="Q81" s="202">
        <v>1</v>
      </c>
      <c r="R81" s="202">
        <v>1</v>
      </c>
      <c r="S81" s="202">
        <v>1</v>
      </c>
      <c r="T81" s="202">
        <v>1</v>
      </c>
      <c r="U81" s="202">
        <v>1</v>
      </c>
      <c r="V81" s="202">
        <v>1</v>
      </c>
      <c r="W81" s="202">
        <v>1</v>
      </c>
      <c r="X81" s="202">
        <v>1</v>
      </c>
      <c r="Y81" s="202"/>
      <c r="Z81" s="202"/>
      <c r="AA81" s="202"/>
      <c r="AB81" s="202"/>
      <c r="AC81" s="202"/>
      <c r="AD81" s="202"/>
      <c r="AE81" s="41">
        <f t="shared" ref="AE81:AE82" si="14">SUM(G81:AD81)</f>
        <v>10</v>
      </c>
      <c r="AF81" s="116" t="s">
        <v>180</v>
      </c>
      <c r="AG81" s="189" t="s">
        <v>683</v>
      </c>
    </row>
    <row r="82" spans="1:33" ht="14.25" customHeight="1">
      <c r="A82" s="38" t="s">
        <v>145</v>
      </c>
      <c r="B82" s="38" t="s">
        <v>183</v>
      </c>
      <c r="C82" s="38"/>
      <c r="D82" s="39">
        <v>17</v>
      </c>
      <c r="E82" s="40" t="s">
        <v>184</v>
      </c>
      <c r="F82" s="41">
        <f t="shared" si="13"/>
        <v>9</v>
      </c>
      <c r="G82" s="202"/>
      <c r="H82" s="202"/>
      <c r="I82" s="202"/>
      <c r="J82" s="202"/>
      <c r="K82" s="202"/>
      <c r="L82" s="202"/>
      <c r="M82" s="292">
        <v>1</v>
      </c>
      <c r="N82" s="292">
        <v>1</v>
      </c>
      <c r="O82" s="292">
        <v>1</v>
      </c>
      <c r="P82" s="292">
        <v>1</v>
      </c>
      <c r="Q82" s="292">
        <v>1</v>
      </c>
      <c r="R82" s="292">
        <v>1</v>
      </c>
      <c r="S82" s="292">
        <v>1</v>
      </c>
      <c r="T82" s="292"/>
      <c r="U82" s="292">
        <v>1</v>
      </c>
      <c r="V82" s="292">
        <v>1</v>
      </c>
      <c r="W82" s="202"/>
      <c r="X82" s="202"/>
      <c r="Y82" s="202"/>
      <c r="Z82" s="202"/>
      <c r="AA82" s="202"/>
      <c r="AB82" s="202"/>
      <c r="AC82" s="202"/>
      <c r="AD82" s="202"/>
      <c r="AE82" s="41">
        <f t="shared" si="14"/>
        <v>9</v>
      </c>
      <c r="AF82" s="116" t="s">
        <v>687</v>
      </c>
      <c r="AG82" s="189" t="s">
        <v>683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D6F95600-F5D2-44BC-80B6-0F2773D5BD92}" filter="1" showAutoFilter="1">
      <pageMargins left="0.7" right="0.7" top="0.75" bottom="0.75" header="0.3" footer="0.3"/>
      <autoFilter ref="A3:AG84" xr:uid="{026891A0-6509-4983-B26C-03C59484299E}"/>
    </customSheetView>
    <customSheetView guid="{49BA5E93-E473-4F11-BE7E-FD55CB28D969}" filter="1" showAutoFilter="1">
      <pageMargins left="0.7" right="0.7" top="0.75" bottom="0.75" header="0.3" footer="0.3"/>
      <autoFilter ref="G5:AD84" xr:uid="{291A56DA-C2E5-4687-BD53-BFD71029DA78}">
        <filterColumn colId="15">
          <filters>
            <filter val="-"/>
            <filter val="1"/>
            <filter val="7"/>
            <filter val="MONITOREOS"/>
            <filter val="SEGUIMIENTO TRANSFERENCIAS"/>
            <filter val="VIP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84" xr:uid="{D4ABD240-0B58-4007-9DC6-CB038442ABCA}">
        <filterColumn colId="26">
          <filters>
            <filter val="-"/>
            <filter val="1"/>
            <filter val="5"/>
            <filter val="MONITOREOS"/>
            <filter val="VIP"/>
          </filters>
        </filterColumn>
      </autoFilter>
    </customSheetView>
  </customSheetViews>
  <mergeCells count="13">
    <mergeCell ref="V80:AC80"/>
    <mergeCell ref="A1:B1"/>
    <mergeCell ref="D3:AE3"/>
    <mergeCell ref="E4:F4"/>
    <mergeCell ref="E5:F5"/>
    <mergeCell ref="V22:AC22"/>
    <mergeCell ref="S35:Z35"/>
    <mergeCell ref="V40:AC40"/>
    <mergeCell ref="V42:AC42"/>
    <mergeCell ref="V57:AC57"/>
    <mergeCell ref="N58:U58"/>
    <mergeCell ref="O59:V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G84"/>
  <sheetViews>
    <sheetView showGridLines="0" workbookViewId="0"/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219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44</v>
      </c>
      <c r="AG3" s="3">
        <f>AE4/12</f>
        <v>31.333333333333332</v>
      </c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82">
        <v>5</v>
      </c>
      <c r="H4" s="282">
        <v>3</v>
      </c>
      <c r="I4" s="282">
        <v>3</v>
      </c>
      <c r="J4" s="282">
        <v>3</v>
      </c>
      <c r="K4" s="282">
        <v>3</v>
      </c>
      <c r="L4" s="282">
        <v>3</v>
      </c>
      <c r="M4" s="282">
        <v>13</v>
      </c>
      <c r="N4" s="293">
        <v>14</v>
      </c>
      <c r="O4" s="293">
        <v>19</v>
      </c>
      <c r="P4" s="293">
        <v>23</v>
      </c>
      <c r="Q4" s="293">
        <v>27</v>
      </c>
      <c r="R4" s="293">
        <v>27</v>
      </c>
      <c r="S4" s="293">
        <v>27</v>
      </c>
      <c r="T4" s="293">
        <v>26</v>
      </c>
      <c r="U4" s="293">
        <v>26</v>
      </c>
      <c r="V4" s="293">
        <v>25</v>
      </c>
      <c r="W4" s="293">
        <v>25</v>
      </c>
      <c r="X4" s="293">
        <v>23</v>
      </c>
      <c r="Y4" s="293">
        <v>21</v>
      </c>
      <c r="Z4" s="293">
        <v>19</v>
      </c>
      <c r="AA4" s="293">
        <v>16</v>
      </c>
      <c r="AB4" s="293">
        <v>13</v>
      </c>
      <c r="AC4" s="293">
        <v>7</v>
      </c>
      <c r="AD4" s="293">
        <v>5</v>
      </c>
      <c r="AE4" s="18">
        <f>SUM(G4:AD4)</f>
        <v>376</v>
      </c>
      <c r="AF4" s="3"/>
      <c r="AG4" s="3"/>
    </row>
    <row r="5" spans="1:33" ht="62.25">
      <c r="A5" s="3"/>
      <c r="B5" s="2"/>
      <c r="C5" s="2"/>
      <c r="D5" s="19"/>
      <c r="E5" s="569">
        <v>20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-1</v>
      </c>
      <c r="P6" s="28">
        <f t="shared" si="0"/>
        <v>0</v>
      </c>
      <c r="Q6" s="28">
        <f t="shared" si="0"/>
        <v>-1</v>
      </c>
      <c r="R6" s="28">
        <f t="shared" si="0"/>
        <v>-1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56" si="1">SUM(G6:AD6)</f>
        <v>-3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5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13</v>
      </c>
      <c r="N7" s="172">
        <f t="shared" si="2"/>
        <v>14</v>
      </c>
      <c r="O7" s="172">
        <f t="shared" si="2"/>
        <v>18</v>
      </c>
      <c r="P7" s="172">
        <f t="shared" si="2"/>
        <v>23</v>
      </c>
      <c r="Q7" s="172">
        <f t="shared" si="2"/>
        <v>26</v>
      </c>
      <c r="R7" s="172">
        <f t="shared" si="2"/>
        <v>26</v>
      </c>
      <c r="S7" s="172">
        <f t="shared" si="2"/>
        <v>27</v>
      </c>
      <c r="T7" s="172">
        <f t="shared" si="2"/>
        <v>26</v>
      </c>
      <c r="U7" s="172">
        <f t="shared" si="2"/>
        <v>26</v>
      </c>
      <c r="V7" s="172">
        <f t="shared" si="2"/>
        <v>25</v>
      </c>
      <c r="W7" s="172">
        <f t="shared" si="2"/>
        <v>25</v>
      </c>
      <c r="X7" s="172">
        <f t="shared" si="2"/>
        <v>23</v>
      </c>
      <c r="Y7" s="172">
        <f t="shared" si="2"/>
        <v>21</v>
      </c>
      <c r="Z7" s="172">
        <f t="shared" si="2"/>
        <v>19</v>
      </c>
      <c r="AA7" s="172">
        <f t="shared" si="2"/>
        <v>16</v>
      </c>
      <c r="AB7" s="172">
        <f t="shared" si="2"/>
        <v>13</v>
      </c>
      <c r="AC7" s="172">
        <f t="shared" si="2"/>
        <v>7</v>
      </c>
      <c r="AD7" s="172">
        <f t="shared" si="2"/>
        <v>5</v>
      </c>
      <c r="AE7" s="168">
        <f t="shared" si="1"/>
        <v>373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94" t="s">
        <v>46</v>
      </c>
      <c r="F8" s="41">
        <f t="shared" ref="F8:F19" si="3">SUM(G8:AD8)</f>
        <v>13</v>
      </c>
      <c r="G8" s="176"/>
      <c r="H8" s="176"/>
      <c r="I8" s="176"/>
      <c r="J8" s="176"/>
      <c r="K8" s="176"/>
      <c r="L8" s="176"/>
      <c r="M8" s="176">
        <v>1</v>
      </c>
      <c r="N8" s="176">
        <v>1</v>
      </c>
      <c r="O8" s="285" t="s">
        <v>47</v>
      </c>
      <c r="P8" s="216">
        <v>1</v>
      </c>
      <c r="Q8" s="216">
        <v>1</v>
      </c>
      <c r="R8" s="216">
        <v>1</v>
      </c>
      <c r="S8" s="216">
        <v>1</v>
      </c>
      <c r="T8" s="216">
        <v>1</v>
      </c>
      <c r="U8" s="216">
        <v>1</v>
      </c>
      <c r="V8" s="216">
        <v>1</v>
      </c>
      <c r="W8" s="216">
        <v>1</v>
      </c>
      <c r="X8" s="216">
        <v>1</v>
      </c>
      <c r="Y8" s="216">
        <v>1</v>
      </c>
      <c r="Z8" s="295">
        <v>1</v>
      </c>
      <c r="AA8" s="176"/>
      <c r="AB8" s="176"/>
      <c r="AC8" s="176"/>
      <c r="AD8" s="176"/>
      <c r="AE8" s="41">
        <f t="shared" si="1"/>
        <v>13</v>
      </c>
      <c r="AF8" s="116" t="s">
        <v>355</v>
      </c>
      <c r="AG8" s="189" t="s">
        <v>688</v>
      </c>
    </row>
    <row r="9" spans="1:33" ht="15.75" customHeight="1">
      <c r="A9" s="38" t="s">
        <v>41</v>
      </c>
      <c r="B9" s="38" t="s">
        <v>52</v>
      </c>
      <c r="C9" s="38">
        <v>984098910</v>
      </c>
      <c r="D9" s="39">
        <v>2</v>
      </c>
      <c r="E9" s="175" t="s">
        <v>53</v>
      </c>
      <c r="F9" s="41">
        <f t="shared" si="3"/>
        <v>12</v>
      </c>
      <c r="G9" s="176">
        <v>1</v>
      </c>
      <c r="H9" s="176">
        <v>1</v>
      </c>
      <c r="I9" s="176">
        <v>1</v>
      </c>
      <c r="J9" s="176">
        <v>1</v>
      </c>
      <c r="K9" s="176">
        <v>1</v>
      </c>
      <c r="L9" s="176">
        <v>1</v>
      </c>
      <c r="M9" s="176">
        <v>1</v>
      </c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>
        <v>1</v>
      </c>
      <c r="AA9" s="176">
        <v>1</v>
      </c>
      <c r="AB9" s="176">
        <v>1</v>
      </c>
      <c r="AC9" s="176">
        <v>1</v>
      </c>
      <c r="AD9" s="176">
        <v>1</v>
      </c>
      <c r="AE9" s="41">
        <f t="shared" si="1"/>
        <v>12</v>
      </c>
      <c r="AF9" s="116" t="s">
        <v>311</v>
      </c>
      <c r="AG9" s="189" t="s">
        <v>688</v>
      </c>
    </row>
    <row r="10" spans="1:33" ht="14.25" customHeight="1">
      <c r="A10" s="76" t="s">
        <v>41</v>
      </c>
      <c r="B10" s="76" t="s">
        <v>55</v>
      </c>
      <c r="C10" s="76">
        <v>987983128</v>
      </c>
      <c r="D10" s="86">
        <v>3</v>
      </c>
      <c r="E10" s="206" t="s">
        <v>56</v>
      </c>
      <c r="F10" s="41">
        <f t="shared" si="3"/>
        <v>8</v>
      </c>
      <c r="G10" s="216"/>
      <c r="H10" s="216"/>
      <c r="I10" s="216"/>
      <c r="J10" s="216"/>
      <c r="K10" s="216"/>
      <c r="L10" s="216"/>
      <c r="M10" s="216">
        <v>1</v>
      </c>
      <c r="N10" s="216">
        <v>1</v>
      </c>
      <c r="O10" s="216">
        <v>1</v>
      </c>
      <c r="P10" s="216">
        <v>1</v>
      </c>
      <c r="Q10" s="216">
        <v>1</v>
      </c>
      <c r="R10" s="216">
        <v>1</v>
      </c>
      <c r="S10" s="216">
        <v>1</v>
      </c>
      <c r="T10" s="216">
        <v>1</v>
      </c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41">
        <f t="shared" si="1"/>
        <v>8</v>
      </c>
      <c r="AF10" s="116" t="s">
        <v>252</v>
      </c>
      <c r="AG10" s="189" t="s">
        <v>688</v>
      </c>
    </row>
    <row r="11" spans="1:33" ht="14.25" customHeight="1">
      <c r="A11" s="38" t="s">
        <v>41</v>
      </c>
      <c r="B11" s="38" t="s">
        <v>57</v>
      </c>
      <c r="C11" s="38"/>
      <c r="D11" s="86">
        <v>4</v>
      </c>
      <c r="E11" s="175" t="s">
        <v>58</v>
      </c>
      <c r="F11" s="41">
        <f t="shared" si="3"/>
        <v>13</v>
      </c>
      <c r="G11" s="216"/>
      <c r="H11" s="216"/>
      <c r="I11" s="216"/>
      <c r="J11" s="216"/>
      <c r="K11" s="216"/>
      <c r="L11" s="216"/>
      <c r="M11" s="216">
        <v>1</v>
      </c>
      <c r="N11" s="216">
        <v>1</v>
      </c>
      <c r="O11" s="216">
        <v>1</v>
      </c>
      <c r="P11" s="216">
        <v>1</v>
      </c>
      <c r="Q11" s="216">
        <v>1</v>
      </c>
      <c r="R11" s="216">
        <v>1</v>
      </c>
      <c r="S11" s="291">
        <v>1</v>
      </c>
      <c r="T11" s="216">
        <v>1</v>
      </c>
      <c r="U11" s="216">
        <v>1</v>
      </c>
      <c r="V11" s="216">
        <v>1</v>
      </c>
      <c r="W11" s="216">
        <v>1</v>
      </c>
      <c r="X11" s="216">
        <v>1</v>
      </c>
      <c r="Y11" s="291">
        <v>1</v>
      </c>
      <c r="Z11" s="216"/>
      <c r="AA11" s="216"/>
      <c r="AB11" s="216"/>
      <c r="AC11" s="216"/>
      <c r="AD11" s="216"/>
      <c r="AE11" s="41">
        <f t="shared" si="1"/>
        <v>13</v>
      </c>
      <c r="AF11" s="116" t="s">
        <v>261</v>
      </c>
      <c r="AG11" s="189" t="s">
        <v>688</v>
      </c>
    </row>
    <row r="12" spans="1:33" ht="14.25" customHeight="1">
      <c r="A12" s="98" t="s">
        <v>41</v>
      </c>
      <c r="B12" s="98" t="s">
        <v>146</v>
      </c>
      <c r="C12" s="98">
        <v>998223732</v>
      </c>
      <c r="D12" s="99">
        <v>5</v>
      </c>
      <c r="E12" s="206" t="s">
        <v>147</v>
      </c>
      <c r="F12" s="41">
        <f t="shared" si="3"/>
        <v>10</v>
      </c>
      <c r="G12" s="176"/>
      <c r="H12" s="176"/>
      <c r="I12" s="176"/>
      <c r="J12" s="176"/>
      <c r="K12" s="176"/>
      <c r="L12" s="176"/>
      <c r="M12" s="216">
        <v>1</v>
      </c>
      <c r="N12" s="216">
        <v>1</v>
      </c>
      <c r="O12" s="286">
        <v>1</v>
      </c>
      <c r="P12" s="286">
        <v>1</v>
      </c>
      <c r="Q12" s="286">
        <v>1</v>
      </c>
      <c r="R12" s="286">
        <v>1</v>
      </c>
      <c r="S12" s="286">
        <v>1</v>
      </c>
      <c r="T12" s="286">
        <v>1</v>
      </c>
      <c r="U12" s="286">
        <v>1</v>
      </c>
      <c r="V12" s="287">
        <v>1</v>
      </c>
      <c r="W12" s="176"/>
      <c r="X12" s="176"/>
      <c r="Y12" s="176"/>
      <c r="Z12" s="176"/>
      <c r="AA12" s="176"/>
      <c r="AB12" s="176"/>
      <c r="AC12" s="176"/>
      <c r="AD12" s="176"/>
      <c r="AE12" s="41">
        <f t="shared" si="1"/>
        <v>10</v>
      </c>
      <c r="AF12" s="116" t="s">
        <v>151</v>
      </c>
      <c r="AG12" s="189" t="s">
        <v>688</v>
      </c>
    </row>
    <row r="13" spans="1:33" ht="14.25" customHeight="1">
      <c r="A13" s="38" t="s">
        <v>41</v>
      </c>
      <c r="B13" s="38" t="s">
        <v>59</v>
      </c>
      <c r="C13" s="38"/>
      <c r="D13" s="99">
        <v>6</v>
      </c>
      <c r="E13" s="208" t="s">
        <v>60</v>
      </c>
      <c r="F13" s="41">
        <f t="shared" si="3"/>
        <v>8</v>
      </c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>
        <v>1</v>
      </c>
      <c r="X13" s="176">
        <v>1</v>
      </c>
      <c r="Y13" s="176">
        <v>1</v>
      </c>
      <c r="Z13" s="176">
        <v>1</v>
      </c>
      <c r="AA13" s="176">
        <v>1</v>
      </c>
      <c r="AB13" s="176">
        <v>1</v>
      </c>
      <c r="AC13" s="176">
        <v>1</v>
      </c>
      <c r="AD13" s="176">
        <v>1</v>
      </c>
      <c r="AE13" s="41">
        <f t="shared" si="1"/>
        <v>8</v>
      </c>
      <c r="AF13" s="116" t="s">
        <v>377</v>
      </c>
      <c r="AG13" s="189" t="s">
        <v>688</v>
      </c>
    </row>
    <row r="14" spans="1:33" ht="14.25" customHeight="1">
      <c r="A14" s="38" t="s">
        <v>41</v>
      </c>
      <c r="B14" s="38" t="s">
        <v>62</v>
      </c>
      <c r="C14" s="38">
        <v>979044107</v>
      </c>
      <c r="D14" s="86">
        <v>7</v>
      </c>
      <c r="E14" s="175" t="s">
        <v>63</v>
      </c>
      <c r="F14" s="41">
        <f t="shared" si="3"/>
        <v>7</v>
      </c>
      <c r="G14" s="216"/>
      <c r="H14" s="216"/>
      <c r="I14" s="216"/>
      <c r="J14" s="216"/>
      <c r="K14" s="216"/>
      <c r="L14" s="216"/>
      <c r="M14" s="216"/>
      <c r="N14" s="216"/>
      <c r="O14" s="216">
        <v>1</v>
      </c>
      <c r="P14" s="216">
        <v>1</v>
      </c>
      <c r="Q14" s="216">
        <v>1</v>
      </c>
      <c r="R14" s="216">
        <v>1</v>
      </c>
      <c r="S14" s="216">
        <v>1</v>
      </c>
      <c r="T14" s="216">
        <v>1</v>
      </c>
      <c r="U14" s="216">
        <v>1</v>
      </c>
      <c r="V14" s="216"/>
      <c r="W14" s="216"/>
      <c r="X14" s="216"/>
      <c r="Y14" s="216"/>
      <c r="Z14" s="216"/>
      <c r="AA14" s="216"/>
      <c r="AB14" s="216"/>
      <c r="AC14" s="216"/>
      <c r="AD14" s="216"/>
      <c r="AE14" s="41">
        <f t="shared" si="1"/>
        <v>7</v>
      </c>
      <c r="AF14" s="116" t="s">
        <v>87</v>
      </c>
      <c r="AG14" s="189" t="s">
        <v>688</v>
      </c>
    </row>
    <row r="15" spans="1:33" ht="14.25" customHeight="1">
      <c r="A15" s="38" t="s">
        <v>41</v>
      </c>
      <c r="B15" s="38" t="s">
        <v>64</v>
      </c>
      <c r="C15" s="38">
        <v>995545886</v>
      </c>
      <c r="D15" s="39">
        <v>8</v>
      </c>
      <c r="E15" s="294" t="s">
        <v>65</v>
      </c>
      <c r="F15" s="41">
        <f t="shared" si="3"/>
        <v>10</v>
      </c>
      <c r="G15" s="216"/>
      <c r="H15" s="216"/>
      <c r="I15" s="216"/>
      <c r="J15" s="216"/>
      <c r="K15" s="216"/>
      <c r="L15" s="216"/>
      <c r="M15" s="216"/>
      <c r="N15" s="216"/>
      <c r="O15" s="285" t="s">
        <v>47</v>
      </c>
      <c r="P15" s="216">
        <v>1</v>
      </c>
      <c r="Q15" s="216">
        <v>1</v>
      </c>
      <c r="R15" s="216">
        <v>1</v>
      </c>
      <c r="S15" s="216">
        <v>1</v>
      </c>
      <c r="T15" s="216">
        <v>1</v>
      </c>
      <c r="U15" s="216">
        <v>1</v>
      </c>
      <c r="V15" s="216">
        <v>1</v>
      </c>
      <c r="W15" s="216">
        <v>1</v>
      </c>
      <c r="X15" s="216">
        <v>1</v>
      </c>
      <c r="Y15" s="216">
        <v>1</v>
      </c>
      <c r="Z15" s="216"/>
      <c r="AA15" s="216"/>
      <c r="AB15" s="216"/>
      <c r="AC15" s="216"/>
      <c r="AD15" s="216"/>
      <c r="AE15" s="41">
        <f t="shared" si="1"/>
        <v>10</v>
      </c>
      <c r="AF15" s="116" t="s">
        <v>119</v>
      </c>
      <c r="AG15" s="189" t="s">
        <v>688</v>
      </c>
    </row>
    <row r="16" spans="1:33" ht="14.25" customHeight="1">
      <c r="A16" s="38" t="s">
        <v>41</v>
      </c>
      <c r="B16" s="38" t="s">
        <v>70</v>
      </c>
      <c r="C16" s="38"/>
      <c r="D16" s="99">
        <v>9</v>
      </c>
      <c r="E16" s="175" t="s">
        <v>71</v>
      </c>
      <c r="F16" s="41">
        <f t="shared" si="3"/>
        <v>9</v>
      </c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>
        <v>1</v>
      </c>
      <c r="T16" s="216">
        <v>1</v>
      </c>
      <c r="U16" s="216">
        <v>1</v>
      </c>
      <c r="V16" s="216"/>
      <c r="W16" s="216">
        <v>1</v>
      </c>
      <c r="X16" s="216">
        <v>1</v>
      </c>
      <c r="Y16" s="216">
        <v>1</v>
      </c>
      <c r="Z16" s="216">
        <v>1</v>
      </c>
      <c r="AA16" s="216">
        <v>1</v>
      </c>
      <c r="AB16" s="216">
        <v>1</v>
      </c>
      <c r="AC16" s="216"/>
      <c r="AD16" s="216"/>
      <c r="AE16" s="41">
        <f t="shared" si="1"/>
        <v>9</v>
      </c>
      <c r="AF16" s="116" t="s">
        <v>234</v>
      </c>
      <c r="AG16" s="189" t="s">
        <v>688</v>
      </c>
    </row>
    <row r="17" spans="1:33" ht="14.25" customHeight="1">
      <c r="A17" s="38" t="s">
        <v>41</v>
      </c>
      <c r="B17" s="38" t="s">
        <v>72</v>
      </c>
      <c r="C17" s="38">
        <v>989533877</v>
      </c>
      <c r="D17" s="86">
        <v>10</v>
      </c>
      <c r="E17" s="294" t="s">
        <v>73</v>
      </c>
      <c r="F17" s="41">
        <f t="shared" si="3"/>
        <v>12</v>
      </c>
      <c r="G17" s="216"/>
      <c r="H17" s="216"/>
      <c r="I17" s="216"/>
      <c r="J17" s="216"/>
      <c r="K17" s="216"/>
      <c r="L17" s="216"/>
      <c r="M17" s="216"/>
      <c r="N17" s="216"/>
      <c r="O17" s="285" t="s">
        <v>47</v>
      </c>
      <c r="P17" s="216">
        <v>1</v>
      </c>
      <c r="Q17" s="216">
        <v>1</v>
      </c>
      <c r="R17" s="216">
        <v>1</v>
      </c>
      <c r="S17" s="216">
        <v>1</v>
      </c>
      <c r="T17" s="291">
        <v>1</v>
      </c>
      <c r="U17" s="216">
        <v>1</v>
      </c>
      <c r="V17" s="216">
        <v>1</v>
      </c>
      <c r="W17" s="216">
        <v>1</v>
      </c>
      <c r="X17" s="216">
        <v>1</v>
      </c>
      <c r="Y17" s="216">
        <v>1</v>
      </c>
      <c r="Z17" s="291">
        <v>1</v>
      </c>
      <c r="AA17" s="291">
        <v>1</v>
      </c>
      <c r="AB17" s="216"/>
      <c r="AC17" s="216"/>
      <c r="AD17" s="216"/>
      <c r="AE17" s="41">
        <f t="shared" si="1"/>
        <v>12</v>
      </c>
      <c r="AF17" s="116" t="s">
        <v>329</v>
      </c>
      <c r="AG17" s="189" t="s">
        <v>688</v>
      </c>
    </row>
    <row r="18" spans="1:33" ht="14.25" customHeight="1">
      <c r="A18" s="38" t="s">
        <v>41</v>
      </c>
      <c r="B18" s="2" t="s">
        <v>79</v>
      </c>
      <c r="C18" s="2"/>
      <c r="D18" s="39">
        <v>11</v>
      </c>
      <c r="E18" s="208" t="s">
        <v>80</v>
      </c>
      <c r="F18" s="41">
        <f t="shared" si="3"/>
        <v>6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216"/>
      <c r="W18" s="216"/>
      <c r="X18" s="295">
        <v>1</v>
      </c>
      <c r="Y18" s="295">
        <v>1</v>
      </c>
      <c r="Z18" s="176">
        <v>1</v>
      </c>
      <c r="AA18" s="176">
        <v>1</v>
      </c>
      <c r="AB18" s="176">
        <v>1</v>
      </c>
      <c r="AC18" s="176">
        <v>1</v>
      </c>
      <c r="AD18" s="176"/>
      <c r="AE18" s="41">
        <f t="shared" si="1"/>
        <v>6</v>
      </c>
      <c r="AF18" s="116" t="s">
        <v>331</v>
      </c>
      <c r="AG18" s="189" t="s">
        <v>688</v>
      </c>
    </row>
    <row r="19" spans="1:33" ht="14.25" customHeight="1">
      <c r="A19" s="38" t="s">
        <v>41</v>
      </c>
      <c r="B19" s="38" t="s">
        <v>82</v>
      </c>
      <c r="C19" s="38">
        <v>996303208</v>
      </c>
      <c r="D19" s="99">
        <v>12</v>
      </c>
      <c r="E19" s="206" t="s">
        <v>83</v>
      </c>
      <c r="F19" s="41">
        <f t="shared" si="3"/>
        <v>9</v>
      </c>
      <c r="G19" s="216"/>
      <c r="H19" s="216"/>
      <c r="I19" s="216"/>
      <c r="J19" s="216"/>
      <c r="K19" s="216"/>
      <c r="L19" s="216"/>
      <c r="M19" s="216">
        <v>1</v>
      </c>
      <c r="N19" s="216">
        <v>1</v>
      </c>
      <c r="O19" s="216">
        <v>1</v>
      </c>
      <c r="P19" s="176"/>
      <c r="Q19" s="216">
        <v>1</v>
      </c>
      <c r="R19" s="216">
        <v>1</v>
      </c>
      <c r="S19" s="216">
        <v>1</v>
      </c>
      <c r="T19" s="216">
        <v>1</v>
      </c>
      <c r="U19" s="216">
        <v>1</v>
      </c>
      <c r="V19" s="216">
        <v>1</v>
      </c>
      <c r="W19" s="216"/>
      <c r="X19" s="216"/>
      <c r="Y19" s="216"/>
      <c r="Z19" s="216"/>
      <c r="AA19" s="216"/>
      <c r="AB19" s="216"/>
      <c r="AC19" s="216"/>
      <c r="AD19" s="216"/>
      <c r="AE19" s="41">
        <f t="shared" si="1"/>
        <v>9</v>
      </c>
      <c r="AF19" s="116" t="s">
        <v>689</v>
      </c>
      <c r="AG19" s="189" t="s">
        <v>688</v>
      </c>
    </row>
    <row r="20" spans="1:33" ht="14.25" customHeight="1">
      <c r="A20" s="38" t="s">
        <v>41</v>
      </c>
      <c r="B20" s="38" t="s">
        <v>88</v>
      </c>
      <c r="C20" s="38">
        <v>985570860</v>
      </c>
      <c r="D20" s="86">
        <v>13</v>
      </c>
      <c r="E20" s="209" t="s">
        <v>89</v>
      </c>
      <c r="F20" s="41">
        <v>12</v>
      </c>
      <c r="G20" s="42"/>
      <c r="H20" s="77"/>
      <c r="I20" s="77"/>
      <c r="J20" s="77"/>
      <c r="K20" s="77"/>
      <c r="L20" s="77"/>
      <c r="M20" s="77"/>
      <c r="N20" s="77"/>
      <c r="O20" s="216">
        <v>1</v>
      </c>
      <c r="P20" s="210" t="s">
        <v>471</v>
      </c>
      <c r="Q20" s="269"/>
      <c r="R20" s="269"/>
      <c r="S20" s="269"/>
      <c r="T20" s="269"/>
      <c r="U20" s="269"/>
      <c r="V20" s="269"/>
      <c r="W20" s="269"/>
      <c r="X20" s="269"/>
      <c r="Y20" s="269"/>
      <c r="Z20" s="270"/>
      <c r="AA20" s="77"/>
      <c r="AB20" s="77"/>
      <c r="AC20" s="42"/>
      <c r="AD20" s="42"/>
      <c r="AE20" s="41">
        <f t="shared" si="1"/>
        <v>1</v>
      </c>
      <c r="AF20" s="116" t="s">
        <v>66</v>
      </c>
      <c r="AG20" s="189" t="s">
        <v>688</v>
      </c>
    </row>
    <row r="21" spans="1:33" ht="14.25" customHeight="1">
      <c r="A21" s="98" t="s">
        <v>41</v>
      </c>
      <c r="B21" s="98" t="s">
        <v>90</v>
      </c>
      <c r="C21" s="98">
        <v>961816449</v>
      </c>
      <c r="D21" s="99">
        <v>14</v>
      </c>
      <c r="E21" s="296" t="s">
        <v>91</v>
      </c>
      <c r="F21" s="41">
        <f t="shared" ref="F21:F56" si="4">SUM(G21:AD21)</f>
        <v>9</v>
      </c>
      <c r="G21" s="176"/>
      <c r="H21" s="176"/>
      <c r="I21" s="176"/>
      <c r="J21" s="176"/>
      <c r="K21" s="176"/>
      <c r="L21" s="176"/>
      <c r="M21" s="176">
        <v>1</v>
      </c>
      <c r="N21" s="176">
        <v>1</v>
      </c>
      <c r="O21" s="285" t="s">
        <v>47</v>
      </c>
      <c r="P21" s="176">
        <v>1</v>
      </c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/>
      <c r="X21" s="176"/>
      <c r="Y21" s="176"/>
      <c r="Z21" s="176"/>
      <c r="AA21" s="176"/>
      <c r="AB21" s="176"/>
      <c r="AC21" s="176"/>
      <c r="AD21" s="176"/>
      <c r="AE21" s="41">
        <f t="shared" si="1"/>
        <v>9</v>
      </c>
      <c r="AF21" s="116" t="s">
        <v>540</v>
      </c>
      <c r="AG21" s="189" t="s">
        <v>688</v>
      </c>
    </row>
    <row r="22" spans="1:33" ht="14.25" customHeight="1">
      <c r="A22" s="38" t="s">
        <v>41</v>
      </c>
      <c r="B22" s="38" t="s">
        <v>92</v>
      </c>
      <c r="C22" s="38">
        <v>989858490</v>
      </c>
      <c r="D22" s="99">
        <v>15</v>
      </c>
      <c r="E22" s="294" t="s">
        <v>93</v>
      </c>
      <c r="F22" s="41">
        <f t="shared" si="4"/>
        <v>0</v>
      </c>
      <c r="G22" s="176"/>
      <c r="H22" s="176"/>
      <c r="I22" s="176"/>
      <c r="J22" s="176"/>
      <c r="K22" s="176"/>
      <c r="L22" s="176"/>
      <c r="M22" s="176"/>
      <c r="N22" s="176"/>
      <c r="O22" s="17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176"/>
      <c r="AA22" s="176"/>
      <c r="AB22" s="176"/>
      <c r="AC22" s="176"/>
      <c r="AD22" s="176"/>
      <c r="AE22" s="41">
        <f t="shared" si="1"/>
        <v>0</v>
      </c>
      <c r="AF22" s="116" t="s">
        <v>652</v>
      </c>
      <c r="AG22" s="189" t="s">
        <v>688</v>
      </c>
    </row>
    <row r="23" spans="1:33" ht="14.25" customHeight="1">
      <c r="A23" s="38" t="s">
        <v>41</v>
      </c>
      <c r="B23" s="38" t="s">
        <v>94</v>
      </c>
      <c r="C23" s="38">
        <v>988957267</v>
      </c>
      <c r="D23" s="86">
        <v>16</v>
      </c>
      <c r="E23" s="294" t="s">
        <v>95</v>
      </c>
      <c r="F23" s="41">
        <f t="shared" si="4"/>
        <v>12</v>
      </c>
      <c r="G23" s="216"/>
      <c r="H23" s="216"/>
      <c r="I23" s="216"/>
      <c r="J23" s="216"/>
      <c r="K23" s="216"/>
      <c r="L23" s="216"/>
      <c r="M23" s="216"/>
      <c r="N23" s="216"/>
      <c r="O23" s="285" t="s">
        <v>47</v>
      </c>
      <c r="P23" s="216">
        <v>1</v>
      </c>
      <c r="Q23" s="216">
        <v>1</v>
      </c>
      <c r="R23" s="216">
        <v>1</v>
      </c>
      <c r="S23" s="216">
        <v>1</v>
      </c>
      <c r="T23" s="216">
        <v>1</v>
      </c>
      <c r="U23" s="216">
        <v>1</v>
      </c>
      <c r="V23" s="216">
        <v>1</v>
      </c>
      <c r="W23" s="216">
        <v>1</v>
      </c>
      <c r="X23" s="216">
        <v>1</v>
      </c>
      <c r="Y23" s="216">
        <v>1</v>
      </c>
      <c r="Z23" s="291">
        <v>1</v>
      </c>
      <c r="AA23" s="291">
        <v>1</v>
      </c>
      <c r="AB23" s="216"/>
      <c r="AC23" s="216"/>
      <c r="AD23" s="216"/>
      <c r="AE23" s="41">
        <f t="shared" si="1"/>
        <v>12</v>
      </c>
      <c r="AF23" s="116" t="s">
        <v>329</v>
      </c>
      <c r="AG23" s="189" t="s">
        <v>688</v>
      </c>
    </row>
    <row r="24" spans="1:33" ht="14.25" customHeight="1">
      <c r="A24" s="76" t="s">
        <v>41</v>
      </c>
      <c r="B24" s="76" t="s">
        <v>198</v>
      </c>
      <c r="C24" s="76"/>
      <c r="D24" s="39">
        <v>17</v>
      </c>
      <c r="E24" s="175" t="s">
        <v>99</v>
      </c>
      <c r="F24" s="41">
        <f t="shared" si="4"/>
        <v>7</v>
      </c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>
        <v>1</v>
      </c>
      <c r="W24" s="176">
        <v>1</v>
      </c>
      <c r="X24" s="176">
        <v>1</v>
      </c>
      <c r="Y24" s="176">
        <v>1</v>
      </c>
      <c r="Z24" s="176">
        <v>1</v>
      </c>
      <c r="AA24" s="176">
        <v>1</v>
      </c>
      <c r="AB24" s="176">
        <v>1</v>
      </c>
      <c r="AC24" s="176"/>
      <c r="AD24" s="176"/>
      <c r="AE24" s="41">
        <f t="shared" si="1"/>
        <v>7</v>
      </c>
      <c r="AF24" s="116" t="s">
        <v>282</v>
      </c>
      <c r="AG24" s="189" t="s">
        <v>688</v>
      </c>
    </row>
    <row r="25" spans="1:33" ht="14.25" customHeight="1">
      <c r="A25" s="38" t="s">
        <v>41</v>
      </c>
      <c r="B25" s="38" t="s">
        <v>101</v>
      </c>
      <c r="C25" s="38">
        <v>962757006</v>
      </c>
      <c r="D25" s="99">
        <v>18</v>
      </c>
      <c r="E25" s="175" t="s">
        <v>102</v>
      </c>
      <c r="F25" s="41">
        <f t="shared" si="4"/>
        <v>8</v>
      </c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216"/>
      <c r="U25" s="176">
        <v>1</v>
      </c>
      <c r="V25" s="176">
        <v>1</v>
      </c>
      <c r="W25" s="176">
        <v>1</v>
      </c>
      <c r="X25" s="295">
        <v>1</v>
      </c>
      <c r="Y25" s="295">
        <v>1</v>
      </c>
      <c r="Z25" s="176">
        <v>1</v>
      </c>
      <c r="AA25" s="176">
        <v>1</v>
      </c>
      <c r="AB25" s="176">
        <v>1</v>
      </c>
      <c r="AC25" s="176"/>
      <c r="AD25" s="176"/>
      <c r="AE25" s="41">
        <f t="shared" si="1"/>
        <v>8</v>
      </c>
      <c r="AF25" s="116" t="s">
        <v>78</v>
      </c>
      <c r="AG25" s="189" t="s">
        <v>688</v>
      </c>
    </row>
    <row r="26" spans="1:33" ht="14.25" customHeight="1">
      <c r="A26" s="38" t="s">
        <v>41</v>
      </c>
      <c r="B26" s="38" t="s">
        <v>103</v>
      </c>
      <c r="C26" s="38"/>
      <c r="D26" s="86">
        <v>19</v>
      </c>
      <c r="E26" s="208" t="s">
        <v>104</v>
      </c>
      <c r="F26" s="41">
        <f t="shared" si="4"/>
        <v>8</v>
      </c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>
        <v>1</v>
      </c>
      <c r="V26" s="216">
        <v>1</v>
      </c>
      <c r="W26" s="216">
        <v>1</v>
      </c>
      <c r="X26" s="216">
        <v>1</v>
      </c>
      <c r="Y26" s="216">
        <v>1</v>
      </c>
      <c r="Z26" s="216">
        <v>1</v>
      </c>
      <c r="AA26" s="216">
        <v>1</v>
      </c>
      <c r="AB26" s="216">
        <v>1</v>
      </c>
      <c r="AC26" s="216"/>
      <c r="AD26" s="216"/>
      <c r="AE26" s="41">
        <f t="shared" si="1"/>
        <v>8</v>
      </c>
      <c r="AF26" s="116" t="s">
        <v>78</v>
      </c>
      <c r="AG26" s="189" t="s">
        <v>688</v>
      </c>
    </row>
    <row r="27" spans="1:33" ht="14.25" customHeight="1">
      <c r="A27" s="38" t="s">
        <v>41</v>
      </c>
      <c r="B27" s="38" t="s">
        <v>332</v>
      </c>
      <c r="C27" s="38"/>
      <c r="D27" s="39">
        <v>20</v>
      </c>
      <c r="E27" s="208" t="s">
        <v>333</v>
      </c>
      <c r="F27" s="41">
        <f t="shared" si="4"/>
        <v>6</v>
      </c>
      <c r="G27" s="216"/>
      <c r="H27" s="216"/>
      <c r="I27" s="216"/>
      <c r="J27" s="216"/>
      <c r="K27" s="216"/>
      <c r="L27" s="216"/>
      <c r="M27" s="216"/>
      <c r="N27" s="176">
        <v>1</v>
      </c>
      <c r="O27" s="176">
        <v>1</v>
      </c>
      <c r="P27" s="176">
        <v>1</v>
      </c>
      <c r="Q27" s="176">
        <v>1</v>
      </c>
      <c r="R27" s="176">
        <v>1</v>
      </c>
      <c r="S27" s="176">
        <v>1</v>
      </c>
      <c r="T27" s="17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41">
        <f t="shared" si="1"/>
        <v>6</v>
      </c>
      <c r="AF27" s="116" t="s">
        <v>315</v>
      </c>
      <c r="AG27" s="189" t="s">
        <v>688</v>
      </c>
    </row>
    <row r="28" spans="1:33" ht="14.25" customHeight="1">
      <c r="A28" s="38" t="s">
        <v>41</v>
      </c>
      <c r="B28" s="38" t="s">
        <v>171</v>
      </c>
      <c r="C28" s="38">
        <v>990489779</v>
      </c>
      <c r="D28" s="99">
        <v>21</v>
      </c>
      <c r="E28" s="296" t="s">
        <v>172</v>
      </c>
      <c r="F28" s="41">
        <f t="shared" si="4"/>
        <v>12</v>
      </c>
      <c r="G28" s="216"/>
      <c r="H28" s="216"/>
      <c r="I28" s="216"/>
      <c r="J28" s="216"/>
      <c r="K28" s="216"/>
      <c r="L28" s="216"/>
      <c r="M28" s="216"/>
      <c r="N28" s="216"/>
      <c r="O28" s="285" t="s">
        <v>47</v>
      </c>
      <c r="P28" s="216">
        <v>1</v>
      </c>
      <c r="Q28" s="216">
        <v>1</v>
      </c>
      <c r="R28" s="216">
        <v>1</v>
      </c>
      <c r="S28" s="216">
        <v>1</v>
      </c>
      <c r="T28" s="216">
        <v>1</v>
      </c>
      <c r="U28" s="216">
        <v>1</v>
      </c>
      <c r="V28" s="216">
        <v>1</v>
      </c>
      <c r="W28" s="216">
        <v>1</v>
      </c>
      <c r="X28" s="216">
        <v>1</v>
      </c>
      <c r="Y28" s="216">
        <v>1</v>
      </c>
      <c r="Z28" s="291">
        <v>1</v>
      </c>
      <c r="AA28" s="291">
        <v>1</v>
      </c>
      <c r="AB28" s="216"/>
      <c r="AC28" s="216"/>
      <c r="AD28" s="216"/>
      <c r="AE28" s="41">
        <f t="shared" si="1"/>
        <v>12</v>
      </c>
      <c r="AF28" s="116" t="s">
        <v>329</v>
      </c>
      <c r="AG28" s="189" t="s">
        <v>688</v>
      </c>
    </row>
    <row r="29" spans="1:33" ht="14.25" customHeight="1">
      <c r="A29" s="38" t="s">
        <v>41</v>
      </c>
      <c r="B29" s="38" t="s">
        <v>105</v>
      </c>
      <c r="C29" s="38"/>
      <c r="D29" s="86">
        <v>22</v>
      </c>
      <c r="E29" s="175" t="s">
        <v>106</v>
      </c>
      <c r="F29" s="41">
        <f t="shared" si="4"/>
        <v>8</v>
      </c>
      <c r="G29" s="176"/>
      <c r="H29" s="176"/>
      <c r="I29" s="176"/>
      <c r="J29" s="176"/>
      <c r="K29" s="176"/>
      <c r="L29" s="176"/>
      <c r="M29" s="176">
        <v>1</v>
      </c>
      <c r="N29" s="176">
        <v>1</v>
      </c>
      <c r="O29" s="176">
        <v>1</v>
      </c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/>
      <c r="V29" s="176"/>
      <c r="W29" s="176"/>
      <c r="X29" s="216"/>
      <c r="Y29" s="176"/>
      <c r="Z29" s="176"/>
      <c r="AA29" s="176"/>
      <c r="AB29" s="176"/>
      <c r="AC29" s="176"/>
      <c r="AD29" s="176"/>
      <c r="AE29" s="41">
        <f t="shared" si="1"/>
        <v>8</v>
      </c>
      <c r="AF29" s="116" t="s">
        <v>252</v>
      </c>
      <c r="AG29" s="189" t="s">
        <v>688</v>
      </c>
    </row>
    <row r="30" spans="1:33" ht="14.25" customHeight="1">
      <c r="A30" s="98" t="s">
        <v>41</v>
      </c>
      <c r="B30" s="98" t="s">
        <v>111</v>
      </c>
      <c r="C30" s="98"/>
      <c r="D30" s="39">
        <v>23</v>
      </c>
      <c r="E30" s="208" t="s">
        <v>112</v>
      </c>
      <c r="F30" s="41">
        <f t="shared" si="4"/>
        <v>8</v>
      </c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>
        <v>1</v>
      </c>
      <c r="V30" s="216">
        <v>1</v>
      </c>
      <c r="W30" s="216">
        <v>1</v>
      </c>
      <c r="X30" s="216">
        <v>1</v>
      </c>
      <c r="Y30" s="216">
        <v>1</v>
      </c>
      <c r="Z30" s="216">
        <v>1</v>
      </c>
      <c r="AA30" s="216">
        <v>1</v>
      </c>
      <c r="AB30" s="216">
        <v>1</v>
      </c>
      <c r="AC30" s="216"/>
      <c r="AD30" s="216"/>
      <c r="AE30" s="41">
        <f t="shared" si="1"/>
        <v>8</v>
      </c>
      <c r="AF30" s="116" t="s">
        <v>78</v>
      </c>
      <c r="AG30" s="189" t="s">
        <v>688</v>
      </c>
    </row>
    <row r="31" spans="1:33" ht="14.25" customHeight="1">
      <c r="A31" s="38" t="s">
        <v>41</v>
      </c>
      <c r="B31" s="38" t="s">
        <v>115</v>
      </c>
      <c r="C31" s="38">
        <v>962936744</v>
      </c>
      <c r="D31" s="99">
        <v>24</v>
      </c>
      <c r="E31" s="145" t="s">
        <v>116</v>
      </c>
      <c r="F31" s="41">
        <f t="shared" si="4"/>
        <v>12</v>
      </c>
      <c r="G31" s="176">
        <v>1</v>
      </c>
      <c r="H31" s="176">
        <v>1</v>
      </c>
      <c r="I31" s="176">
        <v>1</v>
      </c>
      <c r="J31" s="176">
        <v>1</v>
      </c>
      <c r="K31" s="176">
        <v>1</v>
      </c>
      <c r="L31" s="176">
        <v>1</v>
      </c>
      <c r="M31" s="176">
        <v>1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>
        <v>1</v>
      </c>
      <c r="AA31" s="176">
        <v>1</v>
      </c>
      <c r="AB31" s="176">
        <v>1</v>
      </c>
      <c r="AC31" s="176">
        <v>1</v>
      </c>
      <c r="AD31" s="176">
        <v>1</v>
      </c>
      <c r="AE31" s="41">
        <f t="shared" si="1"/>
        <v>12</v>
      </c>
      <c r="AF31" s="116" t="s">
        <v>311</v>
      </c>
      <c r="AG31" s="189" t="s">
        <v>688</v>
      </c>
    </row>
    <row r="32" spans="1:33" ht="14.25" customHeight="1">
      <c r="A32" s="38" t="s">
        <v>41</v>
      </c>
      <c r="B32" s="38" t="s">
        <v>120</v>
      </c>
      <c r="C32" s="38"/>
      <c r="D32" s="86">
        <v>25</v>
      </c>
      <c r="E32" s="208" t="s">
        <v>121</v>
      </c>
      <c r="F32" s="41">
        <f t="shared" si="4"/>
        <v>7</v>
      </c>
      <c r="G32" s="176"/>
      <c r="H32" s="176"/>
      <c r="I32" s="176"/>
      <c r="J32" s="176"/>
      <c r="K32" s="176"/>
      <c r="L32" s="176"/>
      <c r="M32" s="176"/>
      <c r="N32" s="176"/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/>
      <c r="W32" s="176"/>
      <c r="X32" s="176"/>
      <c r="Y32" s="176"/>
      <c r="Z32" s="176"/>
      <c r="AA32" s="176"/>
      <c r="AB32" s="176"/>
      <c r="AC32" s="176"/>
      <c r="AD32" s="176"/>
      <c r="AE32" s="41">
        <f t="shared" si="1"/>
        <v>7</v>
      </c>
      <c r="AF32" s="116" t="s">
        <v>87</v>
      </c>
      <c r="AG32" s="189" t="s">
        <v>688</v>
      </c>
    </row>
    <row r="33" spans="1:33" ht="14.25" customHeight="1">
      <c r="A33" s="38" t="s">
        <v>41</v>
      </c>
      <c r="B33" s="38" t="s">
        <v>122</v>
      </c>
      <c r="C33" s="38">
        <v>984490770</v>
      </c>
      <c r="D33" s="39">
        <v>26</v>
      </c>
      <c r="E33" s="294" t="s">
        <v>123</v>
      </c>
      <c r="F33" s="41">
        <f t="shared" si="4"/>
        <v>12</v>
      </c>
      <c r="G33" s="176"/>
      <c r="H33" s="176"/>
      <c r="I33" s="176"/>
      <c r="J33" s="176"/>
      <c r="K33" s="176"/>
      <c r="L33" s="176"/>
      <c r="M33" s="176">
        <v>1</v>
      </c>
      <c r="N33" s="176">
        <v>1</v>
      </c>
      <c r="O33" s="285" t="s">
        <v>47</v>
      </c>
      <c r="P33" s="216">
        <v>1</v>
      </c>
      <c r="Q33" s="216">
        <v>1</v>
      </c>
      <c r="R33" s="216">
        <v>1</v>
      </c>
      <c r="S33" s="216">
        <v>1</v>
      </c>
      <c r="T33" s="216">
        <v>1</v>
      </c>
      <c r="U33" s="216">
        <v>1</v>
      </c>
      <c r="V33" s="216">
        <v>1</v>
      </c>
      <c r="W33" s="216">
        <v>1</v>
      </c>
      <c r="X33" s="216">
        <v>1</v>
      </c>
      <c r="Y33" s="216">
        <v>1</v>
      </c>
      <c r="Z33" s="176"/>
      <c r="AA33" s="176"/>
      <c r="AB33" s="176"/>
      <c r="AC33" s="176"/>
      <c r="AD33" s="176"/>
      <c r="AE33" s="41">
        <f t="shared" si="1"/>
        <v>12</v>
      </c>
      <c r="AF33" s="116" t="s">
        <v>261</v>
      </c>
      <c r="AG33" s="189" t="s">
        <v>688</v>
      </c>
    </row>
    <row r="34" spans="1:33" ht="14.25" customHeight="1">
      <c r="A34" s="38" t="s">
        <v>41</v>
      </c>
      <c r="B34" s="38" t="s">
        <v>124</v>
      </c>
      <c r="C34" s="38">
        <v>979137365</v>
      </c>
      <c r="D34" s="99">
        <v>27</v>
      </c>
      <c r="E34" s="208" t="s">
        <v>125</v>
      </c>
      <c r="F34" s="41">
        <f t="shared" si="4"/>
        <v>8</v>
      </c>
      <c r="G34" s="176"/>
      <c r="H34" s="176"/>
      <c r="I34" s="176"/>
      <c r="J34" s="176"/>
      <c r="K34" s="176"/>
      <c r="L34" s="176"/>
      <c r="M34" s="176">
        <v>1</v>
      </c>
      <c r="N34" s="176">
        <v>1</v>
      </c>
      <c r="O34" s="176">
        <v>1</v>
      </c>
      <c r="P34" s="176"/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216"/>
      <c r="W34" s="176"/>
      <c r="X34" s="176"/>
      <c r="Y34" s="176"/>
      <c r="Z34" s="176"/>
      <c r="AA34" s="176"/>
      <c r="AB34" s="176"/>
      <c r="AC34" s="176"/>
      <c r="AD34" s="176"/>
      <c r="AE34" s="41">
        <f t="shared" si="1"/>
        <v>8</v>
      </c>
      <c r="AF34" s="116" t="s">
        <v>211</v>
      </c>
      <c r="AG34" s="189" t="s">
        <v>688</v>
      </c>
    </row>
    <row r="35" spans="1:33" ht="14.25" customHeight="1">
      <c r="A35" s="38" t="s">
        <v>41</v>
      </c>
      <c r="B35" s="76" t="s">
        <v>126</v>
      </c>
      <c r="C35" s="76">
        <v>986256130</v>
      </c>
      <c r="D35" s="86">
        <v>28</v>
      </c>
      <c r="E35" s="133" t="s">
        <v>127</v>
      </c>
      <c r="F35" s="41">
        <f t="shared" si="4"/>
        <v>0</v>
      </c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577" t="s">
        <v>364</v>
      </c>
      <c r="T35" s="555"/>
      <c r="U35" s="555"/>
      <c r="V35" s="555"/>
      <c r="W35" s="555"/>
      <c r="X35" s="555"/>
      <c r="Y35" s="555"/>
      <c r="Z35" s="555"/>
      <c r="AA35" s="250"/>
      <c r="AB35" s="250"/>
      <c r="AC35" s="250"/>
      <c r="AD35" s="250"/>
      <c r="AE35" s="41">
        <f t="shared" si="1"/>
        <v>0</v>
      </c>
      <c r="AF35" s="116" t="s">
        <v>365</v>
      </c>
      <c r="AG35" s="189" t="s">
        <v>688</v>
      </c>
    </row>
    <row r="36" spans="1:33" ht="14.25" customHeight="1">
      <c r="A36" s="38" t="s">
        <v>41</v>
      </c>
      <c r="B36" s="38" t="s">
        <v>128</v>
      </c>
      <c r="C36" s="38"/>
      <c r="D36" s="39">
        <v>29</v>
      </c>
      <c r="E36" s="175" t="s">
        <v>129</v>
      </c>
      <c r="F36" s="41">
        <f t="shared" si="4"/>
        <v>10</v>
      </c>
      <c r="G36" s="216"/>
      <c r="H36" s="216"/>
      <c r="I36" s="216"/>
      <c r="J36" s="216"/>
      <c r="K36" s="216"/>
      <c r="L36" s="216"/>
      <c r="M36" s="216">
        <v>1</v>
      </c>
      <c r="N36" s="216">
        <v>1</v>
      </c>
      <c r="O36" s="216">
        <v>1</v>
      </c>
      <c r="P36" s="216"/>
      <c r="Q36" s="216">
        <v>1</v>
      </c>
      <c r="R36" s="216">
        <v>1</v>
      </c>
      <c r="S36" s="216">
        <v>1</v>
      </c>
      <c r="T36" s="216">
        <v>1</v>
      </c>
      <c r="U36" s="216">
        <v>1</v>
      </c>
      <c r="V36" s="216">
        <v>1</v>
      </c>
      <c r="W36" s="216">
        <v>1</v>
      </c>
      <c r="X36" s="216"/>
      <c r="Y36" s="216"/>
      <c r="Z36" s="216"/>
      <c r="AA36" s="216"/>
      <c r="AB36" s="216"/>
      <c r="AC36" s="216"/>
      <c r="AD36" s="216"/>
      <c r="AE36" s="41">
        <f t="shared" si="1"/>
        <v>10</v>
      </c>
      <c r="AF36" s="116" t="s">
        <v>690</v>
      </c>
      <c r="AG36" s="189" t="s">
        <v>688</v>
      </c>
    </row>
    <row r="37" spans="1:33" ht="14.25" customHeight="1">
      <c r="A37" s="38" t="s">
        <v>41</v>
      </c>
      <c r="B37" s="98" t="s">
        <v>130</v>
      </c>
      <c r="C37" s="98">
        <v>998810875</v>
      </c>
      <c r="D37" s="99">
        <v>30</v>
      </c>
      <c r="E37" s="294" t="s">
        <v>131</v>
      </c>
      <c r="F37" s="41">
        <f t="shared" si="4"/>
        <v>12</v>
      </c>
      <c r="G37" s="176"/>
      <c r="H37" s="176"/>
      <c r="I37" s="176"/>
      <c r="J37" s="176"/>
      <c r="K37" s="176"/>
      <c r="L37" s="176"/>
      <c r="M37" s="176"/>
      <c r="N37" s="176">
        <v>1</v>
      </c>
      <c r="O37" s="285" t="s">
        <v>47</v>
      </c>
      <c r="P37" s="216">
        <v>1</v>
      </c>
      <c r="Q37" s="216">
        <v>1</v>
      </c>
      <c r="R37" s="216">
        <v>1</v>
      </c>
      <c r="S37" s="216">
        <v>1</v>
      </c>
      <c r="T37" s="216">
        <v>1</v>
      </c>
      <c r="U37" s="216">
        <v>1</v>
      </c>
      <c r="V37" s="216">
        <v>1</v>
      </c>
      <c r="W37" s="216">
        <v>1</v>
      </c>
      <c r="X37" s="216">
        <v>1</v>
      </c>
      <c r="Y37" s="216">
        <v>1</v>
      </c>
      <c r="Z37" s="297">
        <v>1</v>
      </c>
      <c r="AA37" s="290"/>
      <c r="AB37" s="290"/>
      <c r="AC37" s="290"/>
      <c r="AD37" s="176"/>
      <c r="AE37" s="41">
        <f t="shared" si="1"/>
        <v>12</v>
      </c>
      <c r="AF37" s="116" t="s">
        <v>263</v>
      </c>
      <c r="AG37" s="189" t="s">
        <v>688</v>
      </c>
    </row>
    <row r="38" spans="1:33" ht="14.25" customHeight="1">
      <c r="A38" s="38" t="s">
        <v>41</v>
      </c>
      <c r="B38" s="38" t="s">
        <v>49</v>
      </c>
      <c r="C38" s="38">
        <v>983804379</v>
      </c>
      <c r="D38" s="86">
        <v>31</v>
      </c>
      <c r="E38" s="145" t="s">
        <v>50</v>
      </c>
      <c r="F38" s="41">
        <f t="shared" si="4"/>
        <v>12</v>
      </c>
      <c r="G38" s="290">
        <v>1</v>
      </c>
      <c r="H38" s="290">
        <v>1</v>
      </c>
      <c r="I38" s="290">
        <v>1</v>
      </c>
      <c r="J38" s="290">
        <v>1</v>
      </c>
      <c r="K38" s="290">
        <v>1</v>
      </c>
      <c r="L38" s="290">
        <v>1</v>
      </c>
      <c r="M38" s="290">
        <v>1</v>
      </c>
      <c r="N38" s="290"/>
      <c r="O38" s="290"/>
      <c r="P38" s="290"/>
      <c r="Q38" s="290"/>
      <c r="R38" s="290"/>
      <c r="S38" s="290"/>
      <c r="T38" s="290"/>
      <c r="U38" s="290"/>
      <c r="V38" s="290"/>
      <c r="W38" s="216"/>
      <c r="X38" s="290"/>
      <c r="Y38" s="290"/>
      <c r="Z38" s="290">
        <v>1</v>
      </c>
      <c r="AA38" s="290">
        <v>1</v>
      </c>
      <c r="AB38" s="290">
        <v>1</v>
      </c>
      <c r="AC38" s="290">
        <v>1</v>
      </c>
      <c r="AD38" s="290">
        <v>1</v>
      </c>
      <c r="AE38" s="41">
        <f t="shared" si="1"/>
        <v>12</v>
      </c>
      <c r="AF38" s="116" t="s">
        <v>311</v>
      </c>
      <c r="AG38" s="189" t="s">
        <v>688</v>
      </c>
    </row>
    <row r="39" spans="1:33" ht="14.25" customHeight="1">
      <c r="A39" s="38" t="s">
        <v>41</v>
      </c>
      <c r="B39" s="38" t="s">
        <v>134</v>
      </c>
      <c r="C39" s="38">
        <v>962839078</v>
      </c>
      <c r="D39" s="39">
        <v>32</v>
      </c>
      <c r="E39" s="145" t="s">
        <v>135</v>
      </c>
      <c r="F39" s="41">
        <f t="shared" si="4"/>
        <v>0</v>
      </c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580" t="s">
        <v>209</v>
      </c>
      <c r="W39" s="555"/>
      <c r="X39" s="555"/>
      <c r="Y39" s="555"/>
      <c r="Z39" s="555"/>
      <c r="AA39" s="555"/>
      <c r="AB39" s="555"/>
      <c r="AC39" s="542"/>
      <c r="AD39" s="290"/>
      <c r="AE39" s="41">
        <f t="shared" si="1"/>
        <v>0</v>
      </c>
      <c r="AF39" s="116" t="s">
        <v>218</v>
      </c>
      <c r="AG39" s="189" t="s">
        <v>688</v>
      </c>
    </row>
    <row r="40" spans="1:33" ht="14.25" customHeight="1">
      <c r="A40" s="38" t="s">
        <v>41</v>
      </c>
      <c r="B40" s="38" t="s">
        <v>139</v>
      </c>
      <c r="C40" s="38">
        <v>990660059</v>
      </c>
      <c r="D40" s="99">
        <v>33</v>
      </c>
      <c r="E40" s="145" t="s">
        <v>140</v>
      </c>
      <c r="F40" s="41">
        <f t="shared" si="4"/>
        <v>1</v>
      </c>
      <c r="G40" s="176">
        <v>1</v>
      </c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216"/>
      <c r="U40" s="176"/>
      <c r="V40" s="580" t="s">
        <v>209</v>
      </c>
      <c r="W40" s="555"/>
      <c r="X40" s="555"/>
      <c r="Y40" s="555"/>
      <c r="Z40" s="555"/>
      <c r="AA40" s="555"/>
      <c r="AB40" s="555"/>
      <c r="AC40" s="542"/>
      <c r="AD40" s="176"/>
      <c r="AE40" s="41">
        <f t="shared" si="1"/>
        <v>1</v>
      </c>
      <c r="AF40" s="116" t="s">
        <v>505</v>
      </c>
      <c r="AG40" s="189" t="s">
        <v>688</v>
      </c>
    </row>
    <row r="41" spans="1:33" ht="14.25" customHeight="1">
      <c r="A41" s="38" t="s">
        <v>41</v>
      </c>
      <c r="B41" s="38" t="s">
        <v>117</v>
      </c>
      <c r="C41" s="38"/>
      <c r="D41" s="86">
        <v>34</v>
      </c>
      <c r="E41" s="208" t="s">
        <v>118</v>
      </c>
      <c r="F41" s="41">
        <f t="shared" si="4"/>
        <v>9</v>
      </c>
      <c r="G41" s="216">
        <v>1</v>
      </c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176">
        <v>1</v>
      </c>
      <c r="X41" s="176">
        <v>1</v>
      </c>
      <c r="Y41" s="176">
        <v>1</v>
      </c>
      <c r="Z41" s="176">
        <v>1</v>
      </c>
      <c r="AA41" s="176">
        <v>1</v>
      </c>
      <c r="AB41" s="176">
        <v>1</v>
      </c>
      <c r="AC41" s="176">
        <v>1</v>
      </c>
      <c r="AD41" s="176">
        <v>1</v>
      </c>
      <c r="AE41" s="41">
        <f t="shared" si="1"/>
        <v>9</v>
      </c>
      <c r="AF41" s="116" t="s">
        <v>246</v>
      </c>
      <c r="AG41" s="189" t="s">
        <v>688</v>
      </c>
    </row>
    <row r="42" spans="1:33" ht="14.25" customHeight="1">
      <c r="A42" s="38" t="s">
        <v>41</v>
      </c>
      <c r="B42" s="76" t="s">
        <v>142</v>
      </c>
      <c r="C42" s="76">
        <v>982807786</v>
      </c>
      <c r="D42" s="86">
        <v>35</v>
      </c>
      <c r="E42" s="145" t="s">
        <v>143</v>
      </c>
      <c r="F42" s="41">
        <f t="shared" si="4"/>
        <v>0</v>
      </c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216"/>
      <c r="T42" s="176"/>
      <c r="U42" s="176"/>
      <c r="V42" s="580" t="s">
        <v>209</v>
      </c>
      <c r="W42" s="555"/>
      <c r="X42" s="555"/>
      <c r="Y42" s="555"/>
      <c r="Z42" s="555"/>
      <c r="AA42" s="555"/>
      <c r="AB42" s="555"/>
      <c r="AC42" s="542"/>
      <c r="AD42" s="176"/>
      <c r="AE42" s="41">
        <f t="shared" si="1"/>
        <v>0</v>
      </c>
      <c r="AF42" s="116" t="s">
        <v>218</v>
      </c>
      <c r="AG42" s="189" t="s">
        <v>688</v>
      </c>
    </row>
    <row r="43" spans="1:33" ht="14.25" customHeight="1">
      <c r="A43" s="38" t="s">
        <v>41</v>
      </c>
      <c r="B43" s="188" t="s">
        <v>449</v>
      </c>
      <c r="C43" s="38">
        <v>992908618</v>
      </c>
      <c r="D43" s="99">
        <v>36</v>
      </c>
      <c r="E43" s="214" t="s">
        <v>455</v>
      </c>
      <c r="F43" s="41">
        <f t="shared" si="4"/>
        <v>9</v>
      </c>
      <c r="G43" s="176"/>
      <c r="H43" s="176"/>
      <c r="I43" s="176"/>
      <c r="J43" s="176"/>
      <c r="K43" s="176"/>
      <c r="L43" s="176"/>
      <c r="M43" s="176"/>
      <c r="N43" s="176"/>
      <c r="O43" s="176">
        <v>1</v>
      </c>
      <c r="P43" s="176">
        <v>1</v>
      </c>
      <c r="Q43" s="176">
        <v>1</v>
      </c>
      <c r="R43" s="176">
        <v>1</v>
      </c>
      <c r="S43" s="176">
        <v>1</v>
      </c>
      <c r="T43" s="176"/>
      <c r="U43" s="176">
        <v>1</v>
      </c>
      <c r="V43" s="176">
        <v>1</v>
      </c>
      <c r="W43" s="176">
        <v>1</v>
      </c>
      <c r="X43" s="216">
        <v>1</v>
      </c>
      <c r="Y43" s="176"/>
      <c r="Z43" s="176"/>
      <c r="AA43" s="176"/>
      <c r="AB43" s="176"/>
      <c r="AC43" s="176"/>
      <c r="AD43" s="176"/>
      <c r="AE43" s="41">
        <f t="shared" si="1"/>
        <v>9</v>
      </c>
      <c r="AF43" s="116" t="s">
        <v>214</v>
      </c>
      <c r="AG43" s="189" t="s">
        <v>688</v>
      </c>
    </row>
    <row r="44" spans="1:33" ht="14.25" customHeight="1">
      <c r="A44" s="38" t="s">
        <v>41</v>
      </c>
      <c r="B44" s="188" t="s">
        <v>456</v>
      </c>
      <c r="C44" s="98">
        <v>969080587</v>
      </c>
      <c r="D44" s="86">
        <v>37</v>
      </c>
      <c r="E44" s="214" t="s">
        <v>457</v>
      </c>
      <c r="F44" s="41">
        <f t="shared" si="4"/>
        <v>10</v>
      </c>
      <c r="G44" s="176"/>
      <c r="H44" s="176"/>
      <c r="I44" s="176"/>
      <c r="J44" s="176"/>
      <c r="K44" s="176"/>
      <c r="L44" s="176"/>
      <c r="M44" s="176"/>
      <c r="N44" s="176">
        <v>1</v>
      </c>
      <c r="O44" s="176">
        <v>1</v>
      </c>
      <c r="P44" s="176">
        <v>1</v>
      </c>
      <c r="Q44" s="176">
        <v>1</v>
      </c>
      <c r="R44" s="176">
        <v>1</v>
      </c>
      <c r="S44" s="176">
        <v>1</v>
      </c>
      <c r="T44" s="176">
        <v>1</v>
      </c>
      <c r="U44" s="216">
        <v>1</v>
      </c>
      <c r="V44" s="295">
        <v>1</v>
      </c>
      <c r="W44" s="295">
        <v>1</v>
      </c>
      <c r="X44" s="176"/>
      <c r="Y44" s="176"/>
      <c r="Z44" s="176"/>
      <c r="AA44" s="176"/>
      <c r="AB44" s="176"/>
      <c r="AC44" s="176"/>
      <c r="AD44" s="176"/>
      <c r="AE44" s="41">
        <f t="shared" si="1"/>
        <v>10</v>
      </c>
      <c r="AF44" s="116" t="s">
        <v>61</v>
      </c>
      <c r="AG44" s="189" t="s">
        <v>688</v>
      </c>
    </row>
    <row r="45" spans="1:33" ht="14.25" customHeight="1">
      <c r="A45" s="38" t="s">
        <v>41</v>
      </c>
      <c r="B45" s="188" t="s">
        <v>459</v>
      </c>
      <c r="C45" s="38">
        <v>969776425</v>
      </c>
      <c r="D45" s="39">
        <v>38</v>
      </c>
      <c r="E45" s="214" t="s">
        <v>460</v>
      </c>
      <c r="F45" s="41">
        <f t="shared" si="4"/>
        <v>0</v>
      </c>
      <c r="G45" s="176"/>
      <c r="H45" s="176"/>
      <c r="I45" s="176"/>
      <c r="J45" s="176"/>
      <c r="K45" s="176"/>
      <c r="L45" s="176"/>
      <c r="M45" s="176"/>
      <c r="N45" s="176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176"/>
      <c r="AA45" s="176"/>
      <c r="AB45" s="176"/>
      <c r="AC45" s="176"/>
      <c r="AD45" s="176"/>
      <c r="AE45" s="41">
        <f t="shared" si="1"/>
        <v>0</v>
      </c>
      <c r="AF45" s="116" t="s">
        <v>119</v>
      </c>
      <c r="AG45" s="189" t="s">
        <v>688</v>
      </c>
    </row>
    <row r="46" spans="1:33" ht="14.25" customHeight="1">
      <c r="A46" s="38" t="s">
        <v>41</v>
      </c>
      <c r="B46" s="188" t="s">
        <v>477</v>
      </c>
      <c r="C46" s="38">
        <v>999763726</v>
      </c>
      <c r="D46" s="99">
        <v>39</v>
      </c>
      <c r="E46" s="294" t="s">
        <v>478</v>
      </c>
      <c r="F46" s="41">
        <f t="shared" si="4"/>
        <v>10</v>
      </c>
      <c r="G46" s="216"/>
      <c r="H46" s="216"/>
      <c r="I46" s="216"/>
      <c r="J46" s="216"/>
      <c r="K46" s="216"/>
      <c r="L46" s="216"/>
      <c r="M46" s="216"/>
      <c r="N46" s="216"/>
      <c r="O46" s="285" t="s">
        <v>47</v>
      </c>
      <c r="P46" s="216">
        <v>1</v>
      </c>
      <c r="Q46" s="216">
        <v>1</v>
      </c>
      <c r="R46" s="216">
        <v>1</v>
      </c>
      <c r="S46" s="216">
        <v>1</v>
      </c>
      <c r="T46" s="216">
        <v>1</v>
      </c>
      <c r="U46" s="216">
        <v>1</v>
      </c>
      <c r="V46" s="216">
        <v>1</v>
      </c>
      <c r="W46" s="216">
        <v>1</v>
      </c>
      <c r="X46" s="216">
        <v>1</v>
      </c>
      <c r="Y46" s="216">
        <v>1</v>
      </c>
      <c r="Z46" s="216"/>
      <c r="AA46" s="216"/>
      <c r="AB46" s="216"/>
      <c r="AC46" s="216"/>
      <c r="AD46" s="216"/>
      <c r="AE46" s="41">
        <f t="shared" si="1"/>
        <v>10</v>
      </c>
      <c r="AF46" s="116" t="s">
        <v>119</v>
      </c>
      <c r="AG46" s="189" t="s">
        <v>688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4" t="s">
        <v>461</v>
      </c>
      <c r="F47" s="41">
        <f t="shared" si="4"/>
        <v>11</v>
      </c>
      <c r="G47" s="176"/>
      <c r="H47" s="176"/>
      <c r="I47" s="176"/>
      <c r="J47" s="176"/>
      <c r="K47" s="176"/>
      <c r="L47" s="176"/>
      <c r="M47" s="176"/>
      <c r="N47" s="176"/>
      <c r="O47" s="176">
        <v>1</v>
      </c>
      <c r="P47" s="176">
        <v>1</v>
      </c>
      <c r="Q47" s="176">
        <v>1</v>
      </c>
      <c r="R47" s="176">
        <v>1</v>
      </c>
      <c r="S47" s="216">
        <v>1</v>
      </c>
      <c r="T47" s="176">
        <v>1</v>
      </c>
      <c r="U47" s="176"/>
      <c r="V47" s="176">
        <v>1</v>
      </c>
      <c r="W47" s="176">
        <v>1</v>
      </c>
      <c r="X47" s="176">
        <v>1</v>
      </c>
      <c r="Y47" s="176">
        <v>1</v>
      </c>
      <c r="Z47" s="176">
        <v>1</v>
      </c>
      <c r="AA47" s="176"/>
      <c r="AB47" s="176"/>
      <c r="AC47" s="176"/>
      <c r="AD47" s="176"/>
      <c r="AE47" s="41">
        <f t="shared" si="1"/>
        <v>11</v>
      </c>
      <c r="AF47" s="116" t="s">
        <v>251</v>
      </c>
      <c r="AG47" s="189" t="s">
        <v>688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4" t="s">
        <v>463</v>
      </c>
      <c r="F48" s="41">
        <f t="shared" si="4"/>
        <v>11</v>
      </c>
      <c r="G48" s="216"/>
      <c r="H48" s="216"/>
      <c r="I48" s="216"/>
      <c r="J48" s="216"/>
      <c r="K48" s="216"/>
      <c r="L48" s="216"/>
      <c r="M48" s="216"/>
      <c r="N48" s="216"/>
      <c r="O48" s="176">
        <v>1</v>
      </c>
      <c r="P48" s="216">
        <v>1</v>
      </c>
      <c r="Q48" s="216">
        <v>1</v>
      </c>
      <c r="R48" s="216">
        <v>1</v>
      </c>
      <c r="S48" s="216">
        <v>1</v>
      </c>
      <c r="T48" s="216">
        <v>1</v>
      </c>
      <c r="U48" s="216">
        <v>1</v>
      </c>
      <c r="V48" s="216">
        <v>1</v>
      </c>
      <c r="W48" s="216">
        <v>1</v>
      </c>
      <c r="X48" s="216">
        <v>1</v>
      </c>
      <c r="Y48" s="216">
        <v>1</v>
      </c>
      <c r="Z48" s="216"/>
      <c r="AA48" s="216"/>
      <c r="AB48" s="216"/>
      <c r="AC48" s="216"/>
      <c r="AD48" s="216"/>
      <c r="AE48" s="41">
        <f t="shared" si="1"/>
        <v>11</v>
      </c>
      <c r="AF48" s="116" t="s">
        <v>119</v>
      </c>
      <c r="AG48" s="189" t="s">
        <v>688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4" t="s">
        <v>465</v>
      </c>
      <c r="F49" s="41">
        <f t="shared" si="4"/>
        <v>8</v>
      </c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>
        <v>1</v>
      </c>
      <c r="W49" s="176">
        <v>1</v>
      </c>
      <c r="X49" s="216">
        <v>1</v>
      </c>
      <c r="Y49" s="176">
        <v>1</v>
      </c>
      <c r="Z49" s="176">
        <v>1</v>
      </c>
      <c r="AA49" s="176">
        <v>1</v>
      </c>
      <c r="AB49" s="176">
        <v>1</v>
      </c>
      <c r="AC49" s="176">
        <v>1</v>
      </c>
      <c r="AD49" s="176"/>
      <c r="AE49" s="41">
        <f t="shared" si="1"/>
        <v>8</v>
      </c>
      <c r="AF49" s="116" t="s">
        <v>218</v>
      </c>
      <c r="AG49" s="189" t="s">
        <v>688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4" t="s">
        <v>466</v>
      </c>
      <c r="F50" s="41">
        <f t="shared" si="4"/>
        <v>9</v>
      </c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1</v>
      </c>
      <c r="U50" s="216">
        <v>1</v>
      </c>
      <c r="V50" s="216">
        <v>1</v>
      </c>
      <c r="W50" s="216">
        <v>1</v>
      </c>
      <c r="X50" s="216">
        <v>1</v>
      </c>
      <c r="Y50" s="216">
        <v>1</v>
      </c>
      <c r="Z50" s="216">
        <v>1</v>
      </c>
      <c r="AA50" s="216">
        <v>1</v>
      </c>
      <c r="AB50" s="216">
        <v>1</v>
      </c>
      <c r="AC50" s="216"/>
      <c r="AD50" s="216"/>
      <c r="AE50" s="41">
        <f t="shared" si="1"/>
        <v>9</v>
      </c>
      <c r="AF50" s="116" t="s">
        <v>255</v>
      </c>
      <c r="AG50" s="189" t="s">
        <v>688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4" t="s">
        <v>467</v>
      </c>
      <c r="F51" s="41">
        <f t="shared" si="4"/>
        <v>10</v>
      </c>
      <c r="G51" s="176"/>
      <c r="H51" s="176"/>
      <c r="I51" s="176"/>
      <c r="J51" s="176"/>
      <c r="K51" s="176"/>
      <c r="L51" s="176"/>
      <c r="M51" s="176"/>
      <c r="N51" s="176"/>
      <c r="O51" s="176">
        <v>1</v>
      </c>
      <c r="P51" s="176">
        <v>1</v>
      </c>
      <c r="Q51" s="176">
        <v>1</v>
      </c>
      <c r="R51" s="176">
        <v>1</v>
      </c>
      <c r="S51" s="176">
        <v>1</v>
      </c>
      <c r="T51" s="176">
        <v>1</v>
      </c>
      <c r="U51" s="295">
        <v>1</v>
      </c>
      <c r="V51" s="216">
        <v>1</v>
      </c>
      <c r="W51" s="176">
        <v>1</v>
      </c>
      <c r="X51" s="295">
        <v>1</v>
      </c>
      <c r="Y51" s="176"/>
      <c r="Z51" s="176"/>
      <c r="AA51" s="176"/>
      <c r="AB51" s="176"/>
      <c r="AC51" s="176"/>
      <c r="AD51" s="176"/>
      <c r="AE51" s="41">
        <f t="shared" si="1"/>
        <v>10</v>
      </c>
      <c r="AF51" s="116" t="s">
        <v>180</v>
      </c>
      <c r="AG51" s="189" t="s">
        <v>688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4" t="s">
        <v>491</v>
      </c>
      <c r="F52" s="41">
        <f t="shared" si="4"/>
        <v>7</v>
      </c>
      <c r="G52" s="216"/>
      <c r="H52" s="216"/>
      <c r="I52" s="216"/>
      <c r="J52" s="216"/>
      <c r="K52" s="216"/>
      <c r="L52" s="216"/>
      <c r="M52" s="216"/>
      <c r="N52" s="216">
        <v>1</v>
      </c>
      <c r="O52" s="216">
        <v>1</v>
      </c>
      <c r="P52" s="216">
        <v>1</v>
      </c>
      <c r="Q52" s="216">
        <v>1</v>
      </c>
      <c r="R52" s="216">
        <v>1</v>
      </c>
      <c r="S52" s="216">
        <v>1</v>
      </c>
      <c r="T52" s="216">
        <v>1</v>
      </c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41">
        <f t="shared" si="1"/>
        <v>7</v>
      </c>
      <c r="AF52" s="116" t="s">
        <v>196</v>
      </c>
      <c r="AG52" s="189" t="s">
        <v>688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4" t="s">
        <v>493</v>
      </c>
      <c r="F53" s="41">
        <f t="shared" si="4"/>
        <v>0</v>
      </c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41">
        <f t="shared" si="1"/>
        <v>0</v>
      </c>
      <c r="AF53" s="116" t="s">
        <v>652</v>
      </c>
      <c r="AG53" s="189" t="s">
        <v>688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4" t="s">
        <v>469</v>
      </c>
      <c r="F54" s="41">
        <f t="shared" si="4"/>
        <v>9</v>
      </c>
      <c r="G54" s="216"/>
      <c r="H54" s="216"/>
      <c r="I54" s="216"/>
      <c r="J54" s="216"/>
      <c r="K54" s="216"/>
      <c r="L54" s="216"/>
      <c r="M54" s="216"/>
      <c r="N54" s="216"/>
      <c r="O54" s="216">
        <v>1</v>
      </c>
      <c r="P54" s="216">
        <v>1</v>
      </c>
      <c r="Q54" s="216">
        <v>1</v>
      </c>
      <c r="R54" s="216">
        <v>1</v>
      </c>
      <c r="S54" s="216">
        <v>1</v>
      </c>
      <c r="T54" s="216">
        <v>1</v>
      </c>
      <c r="U54" s="216">
        <v>1</v>
      </c>
      <c r="V54" s="216">
        <v>1</v>
      </c>
      <c r="W54" s="216">
        <v>1</v>
      </c>
      <c r="X54" s="216"/>
      <c r="Y54" s="216"/>
      <c r="Z54" s="216"/>
      <c r="AA54" s="216"/>
      <c r="AB54" s="216"/>
      <c r="AC54" s="216"/>
      <c r="AD54" s="216"/>
      <c r="AE54" s="41">
        <f t="shared" si="1"/>
        <v>9</v>
      </c>
      <c r="AF54" s="116" t="s">
        <v>298</v>
      </c>
      <c r="AG54" s="189" t="s">
        <v>688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4" t="s">
        <v>495</v>
      </c>
      <c r="F55" s="41">
        <f t="shared" si="4"/>
        <v>0</v>
      </c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41">
        <f t="shared" si="1"/>
        <v>0</v>
      </c>
      <c r="AF55" s="116" t="s">
        <v>652</v>
      </c>
      <c r="AG55" s="189" t="s">
        <v>688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4" t="s">
        <v>497</v>
      </c>
      <c r="F56" s="41">
        <f t="shared" si="4"/>
        <v>0</v>
      </c>
      <c r="G56" s="216"/>
      <c r="H56" s="216"/>
      <c r="I56" s="216"/>
      <c r="J56" s="216"/>
      <c r="K56" s="216"/>
      <c r="L56" s="216"/>
      <c r="M56" s="216"/>
      <c r="N56" s="216"/>
      <c r="O56" s="217"/>
      <c r="P56" s="217"/>
      <c r="Q56" s="217"/>
      <c r="R56" s="217"/>
      <c r="S56" s="217"/>
      <c r="T56" s="217"/>
      <c r="U56" s="217"/>
      <c r="V56" s="217"/>
      <c r="W56" s="216"/>
      <c r="X56" s="216"/>
      <c r="Y56" s="216"/>
      <c r="Z56" s="216"/>
      <c r="AA56" s="216"/>
      <c r="AB56" s="216"/>
      <c r="AC56" s="216"/>
      <c r="AD56" s="216"/>
      <c r="AE56" s="41">
        <f t="shared" si="1"/>
        <v>0</v>
      </c>
      <c r="AF56" s="116" t="s">
        <v>258</v>
      </c>
      <c r="AG56" s="189" t="s">
        <v>688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8</v>
      </c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216"/>
      <c r="U57" s="216"/>
      <c r="V57" s="577" t="s">
        <v>320</v>
      </c>
      <c r="W57" s="555"/>
      <c r="X57" s="555"/>
      <c r="Y57" s="555"/>
      <c r="Z57" s="555"/>
      <c r="AA57" s="555"/>
      <c r="AB57" s="555"/>
      <c r="AC57" s="555"/>
      <c r="AD57" s="77"/>
      <c r="AE57" s="41">
        <v>8</v>
      </c>
      <c r="AF57" s="116" t="s">
        <v>218</v>
      </c>
      <c r="AG57" s="189" t="s">
        <v>688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v>8</v>
      </c>
      <c r="G58" s="77"/>
      <c r="H58" s="77"/>
      <c r="I58" s="77"/>
      <c r="J58" s="77"/>
      <c r="K58" s="77"/>
      <c r="L58" s="77"/>
      <c r="M58" s="77"/>
      <c r="N58" s="577" t="s">
        <v>320</v>
      </c>
      <c r="O58" s="555"/>
      <c r="P58" s="555"/>
      <c r="Q58" s="555"/>
      <c r="R58" s="555"/>
      <c r="S58" s="555"/>
      <c r="T58" s="555"/>
      <c r="U58" s="555"/>
      <c r="V58" s="216"/>
      <c r="W58" s="216"/>
      <c r="X58" s="216"/>
      <c r="Y58" s="77"/>
      <c r="Z58" s="77"/>
      <c r="AA58" s="77"/>
      <c r="AB58" s="77"/>
      <c r="AC58" s="77"/>
      <c r="AD58" s="77"/>
      <c r="AE58" s="41">
        <v>8</v>
      </c>
      <c r="AF58" s="116" t="s">
        <v>288</v>
      </c>
      <c r="AG58" s="189" t="s">
        <v>688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f>SUM(G59:AD59)</f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42"/>
      <c r="AA59" s="77"/>
      <c r="AB59" s="42"/>
      <c r="AC59" s="42"/>
      <c r="AD59" s="42"/>
      <c r="AE59" s="41">
        <f>SUM(G59:AD59)</f>
        <v>0</v>
      </c>
      <c r="AF59" s="116" t="s">
        <v>66</v>
      </c>
      <c r="AG59" s="189" t="s">
        <v>688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2">
        <v>2</v>
      </c>
      <c r="H62" s="298">
        <v>2</v>
      </c>
      <c r="I62" s="298">
        <v>2</v>
      </c>
      <c r="J62" s="298">
        <v>2</v>
      </c>
      <c r="K62" s="298">
        <v>2</v>
      </c>
      <c r="L62" s="298">
        <v>2</v>
      </c>
      <c r="M62" s="299">
        <v>5</v>
      </c>
      <c r="N62" s="299">
        <v>5</v>
      </c>
      <c r="O62" s="300">
        <v>6</v>
      </c>
      <c r="P62" s="301">
        <v>8</v>
      </c>
      <c r="Q62" s="301">
        <v>8</v>
      </c>
      <c r="R62" s="301">
        <v>8</v>
      </c>
      <c r="S62" s="301">
        <v>9</v>
      </c>
      <c r="T62" s="302">
        <v>9</v>
      </c>
      <c r="U62" s="302">
        <v>10</v>
      </c>
      <c r="V62" s="302">
        <v>10</v>
      </c>
      <c r="W62" s="302">
        <v>7</v>
      </c>
      <c r="X62" s="300">
        <v>9</v>
      </c>
      <c r="Y62" s="300">
        <v>8</v>
      </c>
      <c r="Z62" s="300">
        <v>8</v>
      </c>
      <c r="AA62" s="299">
        <v>7</v>
      </c>
      <c r="AB62" s="303">
        <v>6</v>
      </c>
      <c r="AC62" s="304">
        <v>3</v>
      </c>
      <c r="AD62" s="298">
        <v>2</v>
      </c>
      <c r="AE62" s="18">
        <f>SUM(G62:AD62)</f>
        <v>140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5">G65-G62</f>
        <v>0</v>
      </c>
      <c r="H63" s="28">
        <f t="shared" si="5"/>
        <v>0</v>
      </c>
      <c r="I63" s="28">
        <f t="shared" si="5"/>
        <v>0</v>
      </c>
      <c r="J63" s="28">
        <f t="shared" si="5"/>
        <v>0</v>
      </c>
      <c r="K63" s="28">
        <f t="shared" si="5"/>
        <v>0</v>
      </c>
      <c r="L63" s="28">
        <f t="shared" si="5"/>
        <v>0</v>
      </c>
      <c r="M63" s="28">
        <f t="shared" si="5"/>
        <v>0</v>
      </c>
      <c r="N63" s="28">
        <f t="shared" si="5"/>
        <v>0</v>
      </c>
      <c r="O63" s="28">
        <f t="shared" si="5"/>
        <v>0</v>
      </c>
      <c r="P63" s="28">
        <f t="shared" si="5"/>
        <v>0</v>
      </c>
      <c r="Q63" s="28">
        <f t="shared" si="5"/>
        <v>0</v>
      </c>
      <c r="R63" s="28">
        <f t="shared" si="5"/>
        <v>0</v>
      </c>
      <c r="S63" s="28">
        <f t="shared" si="5"/>
        <v>0</v>
      </c>
      <c r="T63" s="28">
        <f t="shared" si="5"/>
        <v>0</v>
      </c>
      <c r="U63" s="28">
        <f t="shared" si="5"/>
        <v>0</v>
      </c>
      <c r="V63" s="28">
        <f t="shared" si="5"/>
        <v>0</v>
      </c>
      <c r="W63" s="28">
        <f t="shared" si="5"/>
        <v>0</v>
      </c>
      <c r="X63" s="28">
        <f t="shared" si="5"/>
        <v>-1</v>
      </c>
      <c r="Y63" s="28">
        <f t="shared" si="5"/>
        <v>0</v>
      </c>
      <c r="Z63" s="28">
        <f t="shared" si="5"/>
        <v>0</v>
      </c>
      <c r="AA63" s="28">
        <f t="shared" si="5"/>
        <v>0</v>
      </c>
      <c r="AB63" s="28">
        <f t="shared" si="5"/>
        <v>0</v>
      </c>
      <c r="AC63" s="28">
        <f t="shared" si="5"/>
        <v>1</v>
      </c>
      <c r="AD63" s="28">
        <f t="shared" si="5"/>
        <v>0</v>
      </c>
      <c r="AE63" s="53"/>
      <c r="AF63" s="3">
        <v>16</v>
      </c>
      <c r="AG63" s="3">
        <f>AE62/8</f>
        <v>17.5</v>
      </c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6">SUM(G66:G82)</f>
        <v>2</v>
      </c>
      <c r="H65" s="35">
        <f t="shared" si="6"/>
        <v>2</v>
      </c>
      <c r="I65" s="35">
        <f t="shared" si="6"/>
        <v>2</v>
      </c>
      <c r="J65" s="35">
        <f t="shared" si="6"/>
        <v>2</v>
      </c>
      <c r="K65" s="35">
        <f t="shared" si="6"/>
        <v>2</v>
      </c>
      <c r="L65" s="35">
        <f t="shared" si="6"/>
        <v>2</v>
      </c>
      <c r="M65" s="35">
        <f t="shared" si="6"/>
        <v>5</v>
      </c>
      <c r="N65" s="35">
        <f t="shared" si="6"/>
        <v>5</v>
      </c>
      <c r="O65" s="35">
        <f t="shared" si="6"/>
        <v>6</v>
      </c>
      <c r="P65" s="35">
        <f t="shared" si="6"/>
        <v>8</v>
      </c>
      <c r="Q65" s="35">
        <f t="shared" si="6"/>
        <v>8</v>
      </c>
      <c r="R65" s="35">
        <f t="shared" si="6"/>
        <v>8</v>
      </c>
      <c r="S65" s="35">
        <f t="shared" si="6"/>
        <v>9</v>
      </c>
      <c r="T65" s="35">
        <f t="shared" si="6"/>
        <v>9</v>
      </c>
      <c r="U65" s="35">
        <f t="shared" si="6"/>
        <v>10</v>
      </c>
      <c r="V65" s="35">
        <f t="shared" si="6"/>
        <v>10</v>
      </c>
      <c r="W65" s="35">
        <f t="shared" si="6"/>
        <v>7</v>
      </c>
      <c r="X65" s="35">
        <f t="shared" si="6"/>
        <v>8</v>
      </c>
      <c r="Y65" s="35">
        <f t="shared" si="6"/>
        <v>8</v>
      </c>
      <c r="Z65" s="35">
        <f t="shared" si="6"/>
        <v>8</v>
      </c>
      <c r="AA65" s="35">
        <f t="shared" si="6"/>
        <v>7</v>
      </c>
      <c r="AB65" s="35">
        <f t="shared" si="6"/>
        <v>6</v>
      </c>
      <c r="AC65" s="35">
        <f t="shared" si="6"/>
        <v>4</v>
      </c>
      <c r="AD65" s="35">
        <f t="shared" si="6"/>
        <v>2</v>
      </c>
      <c r="AE65" s="30">
        <f t="shared" ref="AE65:AE79" si="7">SUM(G65:AD65)</f>
        <v>140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8">SUM(G66:AD66)</f>
        <v>11</v>
      </c>
      <c r="G66" s="202"/>
      <c r="H66" s="202"/>
      <c r="I66" s="202"/>
      <c r="J66" s="202"/>
      <c r="K66" s="202"/>
      <c r="L66" s="202"/>
      <c r="M66" s="202">
        <v>1</v>
      </c>
      <c r="N66" s="202">
        <v>1</v>
      </c>
      <c r="O66" s="202">
        <v>1</v>
      </c>
      <c r="P66" s="202">
        <v>1</v>
      </c>
      <c r="Q66" s="305" t="s">
        <v>47</v>
      </c>
      <c r="R66" s="202">
        <v>1</v>
      </c>
      <c r="S66" s="202">
        <v>1</v>
      </c>
      <c r="T66" s="202">
        <v>1</v>
      </c>
      <c r="U66" s="292">
        <v>1</v>
      </c>
      <c r="V66" s="292">
        <v>1</v>
      </c>
      <c r="W66" s="202"/>
      <c r="X66" s="292">
        <v>1</v>
      </c>
      <c r="Y66" s="292">
        <v>1</v>
      </c>
      <c r="Z66" s="202"/>
      <c r="AA66" s="202"/>
      <c r="AB66" s="202"/>
      <c r="AC66" s="202"/>
      <c r="AD66" s="202"/>
      <c r="AE66" s="41">
        <f t="shared" si="7"/>
        <v>11</v>
      </c>
      <c r="AF66" s="116" t="s">
        <v>454</v>
      </c>
      <c r="AG66" s="189" t="s">
        <v>688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8"/>
        <v>9</v>
      </c>
      <c r="G67" s="202"/>
      <c r="H67" s="202"/>
      <c r="I67" s="202"/>
      <c r="J67" s="202"/>
      <c r="K67" s="202"/>
      <c r="L67" s="202"/>
      <c r="M67" s="202">
        <v>1</v>
      </c>
      <c r="N67" s="202">
        <v>1</v>
      </c>
      <c r="O67" s="202">
        <v>1</v>
      </c>
      <c r="P67" s="202">
        <v>1</v>
      </c>
      <c r="Q67" s="305" t="s">
        <v>47</v>
      </c>
      <c r="R67" s="202">
        <v>1</v>
      </c>
      <c r="S67" s="202">
        <v>1</v>
      </c>
      <c r="T67" s="202">
        <v>1</v>
      </c>
      <c r="U67" s="202">
        <v>1</v>
      </c>
      <c r="V67" s="292">
        <v>1</v>
      </c>
      <c r="W67" s="202"/>
      <c r="X67" s="202"/>
      <c r="Y67" s="202"/>
      <c r="Z67" s="202"/>
      <c r="AA67" s="202"/>
      <c r="AB67" s="202"/>
      <c r="AC67" s="202"/>
      <c r="AD67" s="202"/>
      <c r="AE67" s="41">
        <f t="shared" si="7"/>
        <v>9</v>
      </c>
      <c r="AF67" s="116" t="s">
        <v>151</v>
      </c>
      <c r="AG67" s="189" t="s">
        <v>688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8"/>
        <v>7</v>
      </c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>
        <v>1</v>
      </c>
      <c r="X68" s="202">
        <v>1</v>
      </c>
      <c r="Y68" s="202">
        <v>1</v>
      </c>
      <c r="Z68" s="202">
        <v>1</v>
      </c>
      <c r="AA68" s="202">
        <v>1</v>
      </c>
      <c r="AB68" s="202">
        <v>1</v>
      </c>
      <c r="AC68" s="202">
        <v>1</v>
      </c>
      <c r="AD68" s="202"/>
      <c r="AE68" s="41">
        <f t="shared" si="7"/>
        <v>7</v>
      </c>
      <c r="AF68" s="116" t="s">
        <v>226</v>
      </c>
      <c r="AG68" s="189" t="s">
        <v>688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8"/>
        <v>7</v>
      </c>
      <c r="G69" s="202"/>
      <c r="H69" s="202"/>
      <c r="I69" s="202"/>
      <c r="J69" s="202"/>
      <c r="K69" s="202"/>
      <c r="L69" s="202"/>
      <c r="M69" s="202"/>
      <c r="N69" s="202"/>
      <c r="O69" s="202">
        <v>1</v>
      </c>
      <c r="P69" s="202">
        <v>1</v>
      </c>
      <c r="Q69" s="202">
        <v>1</v>
      </c>
      <c r="R69" s="305" t="s">
        <v>47</v>
      </c>
      <c r="S69" s="202">
        <v>1</v>
      </c>
      <c r="T69" s="202">
        <v>1</v>
      </c>
      <c r="U69" s="202">
        <v>1</v>
      </c>
      <c r="V69" s="292">
        <v>1</v>
      </c>
      <c r="W69" s="202"/>
      <c r="X69" s="202"/>
      <c r="Y69" s="202"/>
      <c r="Z69" s="202"/>
      <c r="AA69" s="202"/>
      <c r="AB69" s="202"/>
      <c r="AC69" s="202"/>
      <c r="AD69" s="202"/>
      <c r="AE69" s="41">
        <f t="shared" si="7"/>
        <v>7</v>
      </c>
      <c r="AF69" s="116" t="s">
        <v>258</v>
      </c>
      <c r="AG69" s="189" t="s">
        <v>688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8"/>
        <v>6</v>
      </c>
      <c r="G70" s="216"/>
      <c r="H70" s="216"/>
      <c r="I70" s="216"/>
      <c r="J70" s="216"/>
      <c r="K70" s="216"/>
      <c r="L70" s="216"/>
      <c r="M70" s="202"/>
      <c r="N70" s="202"/>
      <c r="O70" s="202">
        <v>1</v>
      </c>
      <c r="P70" s="202">
        <v>1</v>
      </c>
      <c r="Q70" s="202">
        <v>1</v>
      </c>
      <c r="R70" s="202">
        <v>1</v>
      </c>
      <c r="S70" s="202">
        <v>1</v>
      </c>
      <c r="T70" s="202">
        <v>1</v>
      </c>
      <c r="U70" s="305" t="s">
        <v>47</v>
      </c>
      <c r="V70" s="216"/>
      <c r="W70" s="216"/>
      <c r="X70" s="216"/>
      <c r="Y70" s="216"/>
      <c r="Z70" s="216"/>
      <c r="AA70" s="216"/>
      <c r="AB70" s="216"/>
      <c r="AC70" s="216"/>
      <c r="AD70" s="216"/>
      <c r="AE70" s="41">
        <f t="shared" si="7"/>
        <v>6</v>
      </c>
      <c r="AF70" s="116" t="s">
        <v>87</v>
      </c>
      <c r="AG70" s="189" t="s">
        <v>688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8"/>
        <v>6</v>
      </c>
      <c r="G71" s="202"/>
      <c r="H71" s="202"/>
      <c r="I71" s="202"/>
      <c r="J71" s="202"/>
      <c r="K71" s="202"/>
      <c r="L71" s="202"/>
      <c r="M71" s="202">
        <v>1</v>
      </c>
      <c r="N71" s="202">
        <v>1</v>
      </c>
      <c r="O71" s="202">
        <v>1</v>
      </c>
      <c r="P71" s="202">
        <v>1</v>
      </c>
      <c r="Q71" s="202">
        <v>1</v>
      </c>
      <c r="R71" s="202">
        <v>1</v>
      </c>
      <c r="S71" s="305" t="s">
        <v>47</v>
      </c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41">
        <f t="shared" si="7"/>
        <v>6</v>
      </c>
      <c r="AF71" s="111" t="s">
        <v>379</v>
      </c>
      <c r="AG71" s="189" t="s">
        <v>688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8"/>
        <v>11</v>
      </c>
      <c r="G72" s="202">
        <v>1</v>
      </c>
      <c r="H72" s="202">
        <v>1</v>
      </c>
      <c r="I72" s="202">
        <v>1</v>
      </c>
      <c r="J72" s="202">
        <v>1</v>
      </c>
      <c r="K72" s="202">
        <v>1</v>
      </c>
      <c r="L72" s="202">
        <v>1</v>
      </c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>
        <v>1</v>
      </c>
      <c r="AA72" s="202">
        <v>1</v>
      </c>
      <c r="AB72" s="202">
        <v>1</v>
      </c>
      <c r="AC72" s="202">
        <v>1</v>
      </c>
      <c r="AD72" s="202">
        <v>1</v>
      </c>
      <c r="AE72" s="41">
        <f t="shared" si="7"/>
        <v>11</v>
      </c>
      <c r="AF72" s="116" t="s">
        <v>432</v>
      </c>
      <c r="AG72" s="189" t="s">
        <v>688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8"/>
        <v>8</v>
      </c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305" t="s">
        <v>47</v>
      </c>
      <c r="V73" s="202">
        <v>1</v>
      </c>
      <c r="W73" s="202">
        <v>1</v>
      </c>
      <c r="X73" s="292">
        <v>1</v>
      </c>
      <c r="Y73" s="202">
        <v>1</v>
      </c>
      <c r="Z73" s="202">
        <v>1</v>
      </c>
      <c r="AA73" s="202">
        <v>1</v>
      </c>
      <c r="AB73" s="202">
        <v>1</v>
      </c>
      <c r="AC73" s="202">
        <v>1</v>
      </c>
      <c r="AD73" s="202"/>
      <c r="AE73" s="41">
        <f t="shared" si="7"/>
        <v>8</v>
      </c>
      <c r="AF73" s="116" t="s">
        <v>81</v>
      </c>
      <c r="AG73" s="189" t="s">
        <v>688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41">
        <f t="shared" si="8"/>
        <v>8</v>
      </c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305" t="s">
        <v>47</v>
      </c>
      <c r="S74" s="202">
        <v>1</v>
      </c>
      <c r="T74" s="202">
        <v>1</v>
      </c>
      <c r="U74" s="202">
        <v>1</v>
      </c>
      <c r="V74" s="202">
        <v>1</v>
      </c>
      <c r="W74" s="202">
        <v>1</v>
      </c>
      <c r="X74" s="202">
        <v>1</v>
      </c>
      <c r="Y74" s="202">
        <v>1</v>
      </c>
      <c r="Z74" s="202">
        <v>1</v>
      </c>
      <c r="AA74" s="202"/>
      <c r="AB74" s="202"/>
      <c r="AC74" s="202"/>
      <c r="AD74" s="202"/>
      <c r="AE74" s="41">
        <f t="shared" si="7"/>
        <v>8</v>
      </c>
      <c r="AF74" s="116" t="s">
        <v>254</v>
      </c>
      <c r="AG74" s="189" t="s">
        <v>688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41">
        <f t="shared" si="8"/>
        <v>8</v>
      </c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305" t="s">
        <v>47</v>
      </c>
      <c r="T75" s="292">
        <v>1</v>
      </c>
      <c r="U75" s="292">
        <v>1</v>
      </c>
      <c r="V75" s="292">
        <v>1</v>
      </c>
      <c r="W75" s="292">
        <v>1</v>
      </c>
      <c r="X75" s="292">
        <v>1</v>
      </c>
      <c r="Y75" s="292">
        <v>1</v>
      </c>
      <c r="Z75" s="292">
        <v>1</v>
      </c>
      <c r="AA75" s="292">
        <v>1</v>
      </c>
      <c r="AB75" s="202"/>
      <c r="AC75" s="202"/>
      <c r="AD75" s="202"/>
      <c r="AE75" s="41">
        <f t="shared" si="7"/>
        <v>8</v>
      </c>
      <c r="AF75" s="116" t="s">
        <v>312</v>
      </c>
      <c r="AG75" s="189" t="s">
        <v>688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8"/>
        <v>12</v>
      </c>
      <c r="G76" s="202">
        <v>1</v>
      </c>
      <c r="H76" s="202">
        <v>1</v>
      </c>
      <c r="I76" s="202">
        <v>1</v>
      </c>
      <c r="J76" s="202">
        <v>1</v>
      </c>
      <c r="K76" s="202">
        <v>1</v>
      </c>
      <c r="L76" s="202">
        <v>1</v>
      </c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>
        <v>1</v>
      </c>
      <c r="Z76" s="202">
        <v>1</v>
      </c>
      <c r="AA76" s="202">
        <v>1</v>
      </c>
      <c r="AB76" s="202">
        <v>1</v>
      </c>
      <c r="AC76" s="202">
        <v>1</v>
      </c>
      <c r="AD76" s="202">
        <v>1</v>
      </c>
      <c r="AE76" s="41">
        <f t="shared" si="7"/>
        <v>12</v>
      </c>
      <c r="AF76" s="116" t="s">
        <v>221</v>
      </c>
      <c r="AG76" s="189" t="s">
        <v>688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8"/>
        <v>11</v>
      </c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>
        <v>1</v>
      </c>
      <c r="R77" s="202">
        <v>1</v>
      </c>
      <c r="S77" s="202">
        <v>1</v>
      </c>
      <c r="T77" s="202">
        <v>1</v>
      </c>
      <c r="U77" s="202">
        <v>1</v>
      </c>
      <c r="V77" s="202"/>
      <c r="W77" s="202">
        <v>1</v>
      </c>
      <c r="X77" s="202">
        <v>1</v>
      </c>
      <c r="Y77" s="292">
        <v>1</v>
      </c>
      <c r="Z77" s="292">
        <v>1</v>
      </c>
      <c r="AA77" s="292">
        <v>1</v>
      </c>
      <c r="AB77" s="292">
        <v>1</v>
      </c>
      <c r="AC77" s="202"/>
      <c r="AD77" s="202"/>
      <c r="AE77" s="41">
        <f t="shared" si="7"/>
        <v>11</v>
      </c>
      <c r="AF77" s="116" t="s">
        <v>229</v>
      </c>
      <c r="AG77" s="189" t="s">
        <v>688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8"/>
        <v>8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02"/>
      <c r="P78" s="202">
        <v>1</v>
      </c>
      <c r="Q78" s="202">
        <v>1</v>
      </c>
      <c r="R78" s="305" t="s">
        <v>47</v>
      </c>
      <c r="S78" s="202">
        <v>1</v>
      </c>
      <c r="T78" s="202">
        <v>1</v>
      </c>
      <c r="U78" s="202">
        <v>1</v>
      </c>
      <c r="V78" s="292">
        <v>1</v>
      </c>
      <c r="W78" s="202"/>
      <c r="X78" s="202"/>
      <c r="Y78" s="202"/>
      <c r="Z78" s="202"/>
      <c r="AA78" s="202"/>
      <c r="AB78" s="202"/>
      <c r="AC78" s="202"/>
      <c r="AD78" s="202"/>
      <c r="AE78" s="41">
        <f t="shared" si="7"/>
        <v>8</v>
      </c>
      <c r="AF78" s="116" t="s">
        <v>691</v>
      </c>
      <c r="AG78" s="189" t="s">
        <v>688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41">
        <f t="shared" si="8"/>
        <v>12</v>
      </c>
      <c r="G79" s="202"/>
      <c r="H79" s="202"/>
      <c r="I79" s="202"/>
      <c r="J79" s="202"/>
      <c r="K79" s="202"/>
      <c r="L79" s="202"/>
      <c r="M79" s="202"/>
      <c r="N79" s="202"/>
      <c r="O79" s="202"/>
      <c r="P79" s="202">
        <v>1</v>
      </c>
      <c r="Q79" s="202">
        <v>1</v>
      </c>
      <c r="R79" s="202">
        <v>1</v>
      </c>
      <c r="S79" s="202">
        <v>1</v>
      </c>
      <c r="T79" s="292">
        <v>1</v>
      </c>
      <c r="U79" s="305" t="s">
        <v>47</v>
      </c>
      <c r="V79" s="202">
        <v>1</v>
      </c>
      <c r="W79" s="202">
        <v>1</v>
      </c>
      <c r="X79" s="202">
        <v>1</v>
      </c>
      <c r="Y79" s="202">
        <v>1</v>
      </c>
      <c r="Z79" s="292">
        <v>1</v>
      </c>
      <c r="AA79" s="292">
        <v>1</v>
      </c>
      <c r="AB79" s="292">
        <v>1</v>
      </c>
      <c r="AC79" s="202"/>
      <c r="AD79" s="202"/>
      <c r="AE79" s="41">
        <f t="shared" si="7"/>
        <v>12</v>
      </c>
      <c r="AF79" s="116" t="s">
        <v>326</v>
      </c>
      <c r="AG79" s="189" t="s">
        <v>688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41">
        <f t="shared" si="8"/>
        <v>1</v>
      </c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292">
        <v>1</v>
      </c>
      <c r="V80" s="580" t="s">
        <v>209</v>
      </c>
      <c r="W80" s="555"/>
      <c r="X80" s="555"/>
      <c r="Y80" s="555"/>
      <c r="Z80" s="555"/>
      <c r="AA80" s="555"/>
      <c r="AB80" s="555"/>
      <c r="AC80" s="542"/>
      <c r="AD80" s="176"/>
      <c r="AE80" s="41">
        <v>8</v>
      </c>
      <c r="AF80" s="116" t="s">
        <v>81</v>
      </c>
      <c r="AG80" s="189" t="s">
        <v>688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41">
        <f t="shared" si="8"/>
        <v>7</v>
      </c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>
        <v>1</v>
      </c>
      <c r="R81" s="202">
        <v>1</v>
      </c>
      <c r="S81" s="202">
        <v>1</v>
      </c>
      <c r="T81" s="202"/>
      <c r="U81" s="292">
        <v>1</v>
      </c>
      <c r="V81" s="202">
        <v>1</v>
      </c>
      <c r="W81" s="202">
        <v>1</v>
      </c>
      <c r="X81" s="202">
        <v>1</v>
      </c>
      <c r="Y81" s="202"/>
      <c r="Z81" s="202"/>
      <c r="AA81" s="202"/>
      <c r="AB81" s="202"/>
      <c r="AC81" s="202"/>
      <c r="AD81" s="202"/>
      <c r="AE81" s="41">
        <f t="shared" ref="AE81:AE82" si="9">SUM(G81:AD81)</f>
        <v>7</v>
      </c>
      <c r="AF81" s="116" t="s">
        <v>585</v>
      </c>
      <c r="AG81" s="189" t="s">
        <v>688</v>
      </c>
    </row>
    <row r="82" spans="1:33" ht="14.25" customHeight="1">
      <c r="A82" s="38" t="s">
        <v>145</v>
      </c>
      <c r="B82" s="38" t="s">
        <v>183</v>
      </c>
      <c r="C82" s="38"/>
      <c r="D82" s="39">
        <v>17</v>
      </c>
      <c r="E82" s="40" t="s">
        <v>184</v>
      </c>
      <c r="F82" s="41">
        <f t="shared" si="8"/>
        <v>8</v>
      </c>
      <c r="G82" s="202"/>
      <c r="H82" s="202"/>
      <c r="I82" s="202"/>
      <c r="J82" s="202"/>
      <c r="K82" s="202"/>
      <c r="L82" s="202"/>
      <c r="M82" s="292">
        <v>1</v>
      </c>
      <c r="N82" s="292">
        <v>1</v>
      </c>
      <c r="O82" s="292">
        <v>1</v>
      </c>
      <c r="P82" s="292">
        <v>1</v>
      </c>
      <c r="Q82" s="292">
        <v>1</v>
      </c>
      <c r="R82" s="292">
        <v>1</v>
      </c>
      <c r="S82" s="305" t="s">
        <v>47</v>
      </c>
      <c r="T82" s="202"/>
      <c r="U82" s="292">
        <v>1</v>
      </c>
      <c r="V82" s="292">
        <v>1</v>
      </c>
      <c r="W82" s="202"/>
      <c r="X82" s="202"/>
      <c r="Y82" s="202"/>
      <c r="Z82" s="202"/>
      <c r="AA82" s="202"/>
      <c r="AB82" s="202"/>
      <c r="AC82" s="202"/>
      <c r="AD82" s="202"/>
      <c r="AE82" s="41">
        <f t="shared" si="9"/>
        <v>8</v>
      </c>
      <c r="AF82" s="116" t="s">
        <v>692</v>
      </c>
      <c r="AG82" s="189" t="s">
        <v>688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D6F95600-F5D2-44BC-80B6-0F2773D5BD92}" filter="1" showAutoFilter="1">
      <pageMargins left="0.7" right="0.7" top="0.75" bottom="0.75" header="0.3" footer="0.3"/>
      <autoFilter ref="A3:AG84" xr:uid="{41682C0B-0AF7-40B6-9D96-AA302587C226}"/>
    </customSheetView>
    <customSheetView guid="{833D6734-F5E1-4449-B5A1-8C3A51A61651}" filter="1" showAutoFilter="1">
      <pageMargins left="0.7" right="0.7" top="0.75" bottom="0.75" header="0.3" footer="0.3"/>
      <autoFilter ref="A7:AG84" xr:uid="{720CC412-7358-47B5-8B1E-427511978F6F}">
        <filterColumn colId="26">
          <filters>
            <filter val="-"/>
            <filter val="1"/>
            <filter val="7"/>
            <filter val="MONITOREOS"/>
            <filter val="VIP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4" xr:uid="{26480047-D88E-464C-8B6A-34BB2496845C}">
        <filterColumn colId="15">
          <filters>
            <filter val="-"/>
            <filter val="1"/>
            <filter val="10"/>
            <filter val="25"/>
            <filter val="MONITOREOS"/>
            <filter val="SEGUIMIENTO TRANSFERENCIAS"/>
            <filter val="VIP"/>
          </filters>
        </filterColumn>
      </autoFilter>
    </customSheetView>
  </customSheetViews>
  <mergeCells count="13">
    <mergeCell ref="V80:AC80"/>
    <mergeCell ref="A1:B1"/>
    <mergeCell ref="D3:AE3"/>
    <mergeCell ref="E4:F4"/>
    <mergeCell ref="E5:F5"/>
    <mergeCell ref="S35:Z35"/>
    <mergeCell ref="V39:AC39"/>
    <mergeCell ref="V40:AC40"/>
    <mergeCell ref="V42:AC42"/>
    <mergeCell ref="V57:AC57"/>
    <mergeCell ref="N58:U58"/>
    <mergeCell ref="O59:Z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G84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2.5703125" customWidth="1"/>
    <col min="33" max="33" width="27.7109375" customWidth="1"/>
  </cols>
  <sheetData>
    <row r="1" spans="1:33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557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44</v>
      </c>
      <c r="AG3" s="3">
        <f>AE4/12</f>
        <v>36.333333333333336</v>
      </c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82">
        <v>4</v>
      </c>
      <c r="H4" s="282">
        <v>3</v>
      </c>
      <c r="I4" s="282">
        <v>3</v>
      </c>
      <c r="J4" s="282">
        <v>3</v>
      </c>
      <c r="K4" s="282">
        <v>3</v>
      </c>
      <c r="L4" s="282">
        <v>3</v>
      </c>
      <c r="M4" s="282">
        <v>13</v>
      </c>
      <c r="N4" s="293">
        <v>15</v>
      </c>
      <c r="O4" s="293">
        <v>24</v>
      </c>
      <c r="P4" s="293">
        <v>29</v>
      </c>
      <c r="Q4" s="293">
        <v>33</v>
      </c>
      <c r="R4" s="293">
        <v>31</v>
      </c>
      <c r="S4" s="293">
        <v>29</v>
      </c>
      <c r="T4" s="293">
        <v>29</v>
      </c>
      <c r="U4" s="293">
        <v>30</v>
      </c>
      <c r="V4" s="293">
        <v>30</v>
      </c>
      <c r="W4" s="293">
        <v>31</v>
      </c>
      <c r="X4" s="293">
        <v>27</v>
      </c>
      <c r="Y4" s="293">
        <v>26</v>
      </c>
      <c r="Z4" s="293">
        <v>23</v>
      </c>
      <c r="AA4" s="293">
        <v>20</v>
      </c>
      <c r="AB4" s="293">
        <v>15</v>
      </c>
      <c r="AC4" s="293">
        <v>8</v>
      </c>
      <c r="AD4" s="293">
        <v>4</v>
      </c>
      <c r="AE4" s="18">
        <f>SUM(G4:AD4)</f>
        <v>436</v>
      </c>
      <c r="AF4" s="3"/>
      <c r="AG4" s="3"/>
    </row>
    <row r="5" spans="1:33" ht="62.25">
      <c r="A5" s="3"/>
      <c r="B5" s="2"/>
      <c r="C5" s="2"/>
      <c r="D5" s="19"/>
      <c r="E5" s="569">
        <v>21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-1</v>
      </c>
      <c r="P6" s="28">
        <f t="shared" si="0"/>
        <v>-1</v>
      </c>
      <c r="Q6" s="28">
        <f t="shared" si="0"/>
        <v>-1</v>
      </c>
      <c r="R6" s="28">
        <f t="shared" si="0"/>
        <v>0</v>
      </c>
      <c r="S6" s="28">
        <f t="shared" si="0"/>
        <v>0</v>
      </c>
      <c r="T6" s="28">
        <f t="shared" si="0"/>
        <v>1</v>
      </c>
      <c r="U6" s="28">
        <f t="shared" si="0"/>
        <v>0</v>
      </c>
      <c r="V6" s="28">
        <f t="shared" si="0"/>
        <v>0</v>
      </c>
      <c r="W6" s="28">
        <f t="shared" si="0"/>
        <v>1</v>
      </c>
      <c r="X6" s="28">
        <f t="shared" si="0"/>
        <v>0</v>
      </c>
      <c r="Y6" s="28">
        <f t="shared" si="0"/>
        <v>1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56" si="1">SUM(G6:AD6)</f>
        <v>0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13</v>
      </c>
      <c r="N7" s="172">
        <f t="shared" si="2"/>
        <v>15</v>
      </c>
      <c r="O7" s="172">
        <f t="shared" si="2"/>
        <v>23</v>
      </c>
      <c r="P7" s="172">
        <f t="shared" si="2"/>
        <v>28</v>
      </c>
      <c r="Q7" s="172">
        <f t="shared" si="2"/>
        <v>32</v>
      </c>
      <c r="R7" s="172">
        <f t="shared" si="2"/>
        <v>31</v>
      </c>
      <c r="S7" s="172">
        <f t="shared" si="2"/>
        <v>29</v>
      </c>
      <c r="T7" s="172">
        <f t="shared" si="2"/>
        <v>30</v>
      </c>
      <c r="U7" s="172">
        <f t="shared" si="2"/>
        <v>30</v>
      </c>
      <c r="V7" s="172">
        <f t="shared" si="2"/>
        <v>30</v>
      </c>
      <c r="W7" s="172">
        <f t="shared" si="2"/>
        <v>32</v>
      </c>
      <c r="X7" s="172">
        <f t="shared" si="2"/>
        <v>27</v>
      </c>
      <c r="Y7" s="172">
        <f t="shared" si="2"/>
        <v>27</v>
      </c>
      <c r="Z7" s="172">
        <f t="shared" si="2"/>
        <v>23</v>
      </c>
      <c r="AA7" s="172">
        <f t="shared" si="2"/>
        <v>20</v>
      </c>
      <c r="AB7" s="172">
        <f t="shared" si="2"/>
        <v>15</v>
      </c>
      <c r="AC7" s="172">
        <f t="shared" si="2"/>
        <v>8</v>
      </c>
      <c r="AD7" s="172">
        <f t="shared" si="2"/>
        <v>4</v>
      </c>
      <c r="AE7" s="168">
        <f t="shared" si="1"/>
        <v>436</v>
      </c>
      <c r="AF7" s="267" t="s">
        <v>39</v>
      </c>
      <c r="AG7" s="197" t="s">
        <v>40</v>
      </c>
    </row>
    <row r="8" spans="1:33" ht="15.75">
      <c r="A8" s="76" t="s">
        <v>41</v>
      </c>
      <c r="B8" s="76" t="s">
        <v>45</v>
      </c>
      <c r="C8" s="76">
        <v>999600729</v>
      </c>
      <c r="D8" s="86">
        <v>1</v>
      </c>
      <c r="E8" s="294" t="s">
        <v>46</v>
      </c>
      <c r="F8" s="41">
        <f t="shared" ref="F8:F24" si="3">SUM(G8:AD8)</f>
        <v>12</v>
      </c>
      <c r="G8" s="306"/>
      <c r="H8" s="306"/>
      <c r="I8" s="306"/>
      <c r="J8" s="306"/>
      <c r="K8" s="306"/>
      <c r="L8" s="306"/>
      <c r="M8" s="306"/>
      <c r="N8" s="306"/>
      <c r="O8" s="307"/>
      <c r="P8" s="307">
        <v>1</v>
      </c>
      <c r="Q8" s="307">
        <v>1</v>
      </c>
      <c r="R8" s="307">
        <v>1</v>
      </c>
      <c r="S8" s="307">
        <v>1</v>
      </c>
      <c r="T8" s="307">
        <v>1</v>
      </c>
      <c r="U8" s="307">
        <v>1</v>
      </c>
      <c r="V8" s="307">
        <v>1</v>
      </c>
      <c r="W8" s="307">
        <v>1</v>
      </c>
      <c r="X8" s="307">
        <v>1</v>
      </c>
      <c r="Y8" s="307">
        <v>1</v>
      </c>
      <c r="Z8" s="306">
        <v>1</v>
      </c>
      <c r="AA8" s="306">
        <v>1</v>
      </c>
      <c r="AB8" s="306"/>
      <c r="AC8" s="306"/>
      <c r="AD8" s="306"/>
      <c r="AE8" s="41">
        <f t="shared" si="1"/>
        <v>12</v>
      </c>
      <c r="AF8" s="116" t="s">
        <v>69</v>
      </c>
      <c r="AG8" s="189" t="s">
        <v>693</v>
      </c>
    </row>
    <row r="9" spans="1:33" ht="15.75" customHeight="1">
      <c r="A9" s="38" t="s">
        <v>41</v>
      </c>
      <c r="B9" s="38" t="s">
        <v>64</v>
      </c>
      <c r="C9" s="38">
        <v>995545886</v>
      </c>
      <c r="D9" s="39">
        <v>8</v>
      </c>
      <c r="E9" s="294" t="s">
        <v>65</v>
      </c>
      <c r="F9" s="41">
        <f t="shared" si="3"/>
        <v>11</v>
      </c>
      <c r="G9" s="306"/>
      <c r="H9" s="306"/>
      <c r="I9" s="306"/>
      <c r="J9" s="306"/>
      <c r="K9" s="306"/>
      <c r="L9" s="306"/>
      <c r="M9" s="306"/>
      <c r="N9" s="306"/>
      <c r="O9" s="307">
        <v>1</v>
      </c>
      <c r="P9" s="307">
        <v>1</v>
      </c>
      <c r="Q9" s="307">
        <v>1</v>
      </c>
      <c r="R9" s="307">
        <v>1</v>
      </c>
      <c r="S9" s="307">
        <v>1</v>
      </c>
      <c r="T9" s="307">
        <v>1</v>
      </c>
      <c r="U9" s="307">
        <v>1</v>
      </c>
      <c r="V9" s="307">
        <v>1</v>
      </c>
      <c r="W9" s="307">
        <v>1</v>
      </c>
      <c r="X9" s="307">
        <v>1</v>
      </c>
      <c r="Y9" s="307">
        <v>1</v>
      </c>
      <c r="Z9" s="306"/>
      <c r="AA9" s="306"/>
      <c r="AB9" s="306"/>
      <c r="AC9" s="306"/>
      <c r="AD9" s="306"/>
      <c r="AE9" s="41">
        <f t="shared" si="1"/>
        <v>11</v>
      </c>
      <c r="AF9" s="116" t="s">
        <v>119</v>
      </c>
      <c r="AG9" s="189" t="s">
        <v>693</v>
      </c>
    </row>
    <row r="10" spans="1:33" ht="14.25" customHeight="1">
      <c r="A10" s="38" t="s">
        <v>41</v>
      </c>
      <c r="B10" s="38" t="s">
        <v>72</v>
      </c>
      <c r="C10" s="38">
        <v>989533877</v>
      </c>
      <c r="D10" s="86">
        <v>10</v>
      </c>
      <c r="E10" s="294" t="s">
        <v>73</v>
      </c>
      <c r="F10" s="41">
        <f t="shared" si="3"/>
        <v>11</v>
      </c>
      <c r="G10" s="306"/>
      <c r="H10" s="306"/>
      <c r="I10" s="306"/>
      <c r="J10" s="306"/>
      <c r="K10" s="306"/>
      <c r="L10" s="306"/>
      <c r="M10" s="306"/>
      <c r="N10" s="306"/>
      <c r="O10" s="306">
        <v>1</v>
      </c>
      <c r="P10" s="307">
        <v>1</v>
      </c>
      <c r="Q10" s="307">
        <v>1</v>
      </c>
      <c r="R10" s="307">
        <v>1</v>
      </c>
      <c r="S10" s="307">
        <v>1</v>
      </c>
      <c r="T10" s="307">
        <v>1</v>
      </c>
      <c r="U10" s="307">
        <v>1</v>
      </c>
      <c r="V10" s="307">
        <v>1</v>
      </c>
      <c r="W10" s="307">
        <v>1</v>
      </c>
      <c r="X10" s="307">
        <v>1</v>
      </c>
      <c r="Y10" s="307">
        <v>1</v>
      </c>
      <c r="Z10" s="306"/>
      <c r="AA10" s="306"/>
      <c r="AB10" s="306"/>
      <c r="AC10" s="306"/>
      <c r="AD10" s="306"/>
      <c r="AE10" s="41">
        <f t="shared" si="1"/>
        <v>11</v>
      </c>
      <c r="AF10" s="116" t="s">
        <v>119</v>
      </c>
      <c r="AG10" s="189" t="s">
        <v>693</v>
      </c>
    </row>
    <row r="11" spans="1:33" ht="14.25" customHeight="1">
      <c r="A11" s="38" t="s">
        <v>41</v>
      </c>
      <c r="B11" s="38" t="s">
        <v>92</v>
      </c>
      <c r="C11" s="38">
        <v>989858490</v>
      </c>
      <c r="D11" s="99">
        <v>15</v>
      </c>
      <c r="E11" s="294" t="s">
        <v>93</v>
      </c>
      <c r="F11" s="41">
        <f t="shared" si="3"/>
        <v>0</v>
      </c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41">
        <f t="shared" si="1"/>
        <v>0</v>
      </c>
      <c r="AF11" s="116" t="s">
        <v>2</v>
      </c>
      <c r="AG11" s="189" t="s">
        <v>693</v>
      </c>
    </row>
    <row r="12" spans="1:33" ht="14.25" customHeight="1">
      <c r="A12" s="38" t="s">
        <v>41</v>
      </c>
      <c r="B12" s="38" t="s">
        <v>94</v>
      </c>
      <c r="C12" s="38">
        <v>988957267</v>
      </c>
      <c r="D12" s="86">
        <v>16</v>
      </c>
      <c r="E12" s="294" t="s">
        <v>95</v>
      </c>
      <c r="F12" s="41">
        <f t="shared" si="3"/>
        <v>11</v>
      </c>
      <c r="G12" s="306"/>
      <c r="H12" s="306"/>
      <c r="I12" s="306"/>
      <c r="J12" s="306"/>
      <c r="K12" s="306"/>
      <c r="L12" s="306"/>
      <c r="M12" s="306"/>
      <c r="N12" s="306"/>
      <c r="O12" s="307"/>
      <c r="P12" s="307">
        <v>1</v>
      </c>
      <c r="Q12" s="307">
        <v>1</v>
      </c>
      <c r="R12" s="307">
        <v>1</v>
      </c>
      <c r="S12" s="307">
        <v>1</v>
      </c>
      <c r="T12" s="307">
        <v>1</v>
      </c>
      <c r="U12" s="307">
        <v>1</v>
      </c>
      <c r="V12" s="307">
        <v>1</v>
      </c>
      <c r="W12" s="307">
        <v>1</v>
      </c>
      <c r="X12" s="307">
        <v>1</v>
      </c>
      <c r="Y12" s="307">
        <v>1</v>
      </c>
      <c r="Z12" s="306">
        <v>1</v>
      </c>
      <c r="AA12" s="306"/>
      <c r="AB12" s="306"/>
      <c r="AC12" s="306"/>
      <c r="AD12" s="306"/>
      <c r="AE12" s="41">
        <f t="shared" si="1"/>
        <v>11</v>
      </c>
      <c r="AF12" s="116" t="s">
        <v>164</v>
      </c>
      <c r="AG12" s="189" t="s">
        <v>693</v>
      </c>
    </row>
    <row r="13" spans="1:33" ht="14.25" customHeight="1">
      <c r="A13" s="38" t="s">
        <v>41</v>
      </c>
      <c r="B13" s="38" t="s">
        <v>122</v>
      </c>
      <c r="C13" s="38">
        <v>984490770</v>
      </c>
      <c r="D13" s="39">
        <v>26</v>
      </c>
      <c r="E13" s="294" t="s">
        <v>123</v>
      </c>
      <c r="F13" s="41">
        <f t="shared" si="3"/>
        <v>11</v>
      </c>
      <c r="G13" s="306"/>
      <c r="H13" s="306"/>
      <c r="I13" s="306"/>
      <c r="J13" s="306"/>
      <c r="K13" s="306"/>
      <c r="L13" s="306"/>
      <c r="M13" s="306"/>
      <c r="N13" s="306"/>
      <c r="O13" s="307">
        <v>1</v>
      </c>
      <c r="P13" s="307">
        <v>1</v>
      </c>
      <c r="Q13" s="307">
        <v>1</v>
      </c>
      <c r="R13" s="307">
        <v>1</v>
      </c>
      <c r="S13" s="307">
        <v>1</v>
      </c>
      <c r="T13" s="307">
        <v>1</v>
      </c>
      <c r="U13" s="307">
        <v>1</v>
      </c>
      <c r="V13" s="307">
        <v>1</v>
      </c>
      <c r="W13" s="307">
        <v>1</v>
      </c>
      <c r="X13" s="307">
        <v>1</v>
      </c>
      <c r="Y13" s="307">
        <v>1</v>
      </c>
      <c r="Z13" s="306"/>
      <c r="AA13" s="306"/>
      <c r="AB13" s="306"/>
      <c r="AC13" s="306"/>
      <c r="AD13" s="306"/>
      <c r="AE13" s="41">
        <f t="shared" si="1"/>
        <v>11</v>
      </c>
      <c r="AF13" s="116" t="s">
        <v>119</v>
      </c>
      <c r="AG13" s="189" t="s">
        <v>693</v>
      </c>
    </row>
    <row r="14" spans="1:33" ht="14.25" customHeight="1">
      <c r="A14" s="38" t="s">
        <v>41</v>
      </c>
      <c r="B14" s="98" t="s">
        <v>130</v>
      </c>
      <c r="C14" s="98">
        <v>998810875</v>
      </c>
      <c r="D14" s="99">
        <v>30</v>
      </c>
      <c r="E14" s="294" t="s">
        <v>131</v>
      </c>
      <c r="F14" s="41">
        <f t="shared" si="3"/>
        <v>12</v>
      </c>
      <c r="G14" s="306"/>
      <c r="H14" s="306"/>
      <c r="I14" s="306"/>
      <c r="J14" s="306"/>
      <c r="K14" s="306"/>
      <c r="L14" s="306"/>
      <c r="M14" s="306"/>
      <c r="N14" s="306"/>
      <c r="O14" s="307"/>
      <c r="P14" s="307">
        <v>1</v>
      </c>
      <c r="Q14" s="307">
        <v>1</v>
      </c>
      <c r="R14" s="307">
        <v>1</v>
      </c>
      <c r="S14" s="307">
        <v>1</v>
      </c>
      <c r="T14" s="307">
        <v>1</v>
      </c>
      <c r="U14" s="307">
        <v>1</v>
      </c>
      <c r="V14" s="307">
        <v>1</v>
      </c>
      <c r="W14" s="307">
        <v>1</v>
      </c>
      <c r="X14" s="307">
        <v>1</v>
      </c>
      <c r="Y14" s="307">
        <v>1</v>
      </c>
      <c r="Z14" s="306">
        <v>1</v>
      </c>
      <c r="AA14" s="306">
        <v>1</v>
      </c>
      <c r="AB14" s="306"/>
      <c r="AC14" s="306"/>
      <c r="AD14" s="306"/>
      <c r="AE14" s="41">
        <f t="shared" si="1"/>
        <v>12</v>
      </c>
      <c r="AF14" s="116" t="s">
        <v>69</v>
      </c>
      <c r="AG14" s="189" t="s">
        <v>693</v>
      </c>
    </row>
    <row r="15" spans="1:33" ht="14.25" customHeight="1">
      <c r="A15" s="38" t="s">
        <v>41</v>
      </c>
      <c r="B15" s="188" t="s">
        <v>477</v>
      </c>
      <c r="C15" s="38">
        <v>999763726</v>
      </c>
      <c r="D15" s="99">
        <v>39</v>
      </c>
      <c r="E15" s="294" t="s">
        <v>478</v>
      </c>
      <c r="F15" s="41">
        <f t="shared" si="3"/>
        <v>11</v>
      </c>
      <c r="G15" s="306"/>
      <c r="H15" s="306"/>
      <c r="I15" s="306"/>
      <c r="J15" s="306"/>
      <c r="K15" s="306"/>
      <c r="L15" s="306"/>
      <c r="M15" s="306"/>
      <c r="N15" s="306"/>
      <c r="O15" s="307"/>
      <c r="P15" s="307"/>
      <c r="Q15" s="307">
        <v>1</v>
      </c>
      <c r="R15" s="307">
        <v>1</v>
      </c>
      <c r="S15" s="307">
        <v>1</v>
      </c>
      <c r="T15" s="307">
        <v>1</v>
      </c>
      <c r="U15" s="307">
        <v>1</v>
      </c>
      <c r="V15" s="307">
        <v>1</v>
      </c>
      <c r="W15" s="307">
        <v>1</v>
      </c>
      <c r="X15" s="307">
        <v>1</v>
      </c>
      <c r="Y15" s="307">
        <v>1</v>
      </c>
      <c r="Z15" s="306">
        <v>1</v>
      </c>
      <c r="AA15" s="306">
        <v>1</v>
      </c>
      <c r="AB15" s="306"/>
      <c r="AC15" s="306"/>
      <c r="AD15" s="306"/>
      <c r="AE15" s="41">
        <f t="shared" si="1"/>
        <v>11</v>
      </c>
      <c r="AF15" s="116" t="s">
        <v>170</v>
      </c>
      <c r="AG15" s="189" t="s">
        <v>693</v>
      </c>
    </row>
    <row r="16" spans="1:33" ht="14.25" customHeight="1">
      <c r="A16" s="38" t="s">
        <v>41</v>
      </c>
      <c r="B16" s="38" t="s">
        <v>52</v>
      </c>
      <c r="C16" s="38">
        <v>984098910</v>
      </c>
      <c r="D16" s="39">
        <v>2</v>
      </c>
      <c r="E16" s="175" t="s">
        <v>53</v>
      </c>
      <c r="F16" s="41">
        <f t="shared" si="3"/>
        <v>12</v>
      </c>
      <c r="G16" s="176">
        <v>1</v>
      </c>
      <c r="H16" s="176">
        <v>1</v>
      </c>
      <c r="I16" s="176">
        <v>1</v>
      </c>
      <c r="J16" s="176">
        <v>1</v>
      </c>
      <c r="K16" s="176">
        <v>1</v>
      </c>
      <c r="L16" s="176">
        <v>1</v>
      </c>
      <c r="M16" s="176">
        <v>1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>
        <v>1</v>
      </c>
      <c r="AA16" s="176">
        <v>1</v>
      </c>
      <c r="AB16" s="176">
        <v>1</v>
      </c>
      <c r="AC16" s="176">
        <v>1</v>
      </c>
      <c r="AD16" s="176">
        <v>1</v>
      </c>
      <c r="AE16" s="41">
        <f t="shared" si="1"/>
        <v>12</v>
      </c>
      <c r="AF16" s="116" t="s">
        <v>311</v>
      </c>
      <c r="AG16" s="189" t="s">
        <v>693</v>
      </c>
    </row>
    <row r="17" spans="1:33" ht="14.25" customHeight="1">
      <c r="A17" s="76" t="s">
        <v>41</v>
      </c>
      <c r="B17" s="76" t="s">
        <v>55</v>
      </c>
      <c r="C17" s="76">
        <v>987983128</v>
      </c>
      <c r="D17" s="86">
        <v>3</v>
      </c>
      <c r="E17" s="206" t="s">
        <v>56</v>
      </c>
      <c r="F17" s="41">
        <f t="shared" si="3"/>
        <v>10</v>
      </c>
      <c r="G17" s="216"/>
      <c r="H17" s="216"/>
      <c r="I17" s="216"/>
      <c r="J17" s="216"/>
      <c r="K17" s="216"/>
      <c r="L17" s="216"/>
      <c r="M17" s="216">
        <v>1</v>
      </c>
      <c r="N17" s="216">
        <v>1</v>
      </c>
      <c r="O17" s="216">
        <v>1</v>
      </c>
      <c r="P17" s="216">
        <v>1</v>
      </c>
      <c r="Q17" s="216">
        <v>1</v>
      </c>
      <c r="R17" s="216"/>
      <c r="S17" s="216">
        <v>1</v>
      </c>
      <c r="T17" s="216">
        <v>1</v>
      </c>
      <c r="U17" s="216">
        <v>1</v>
      </c>
      <c r="V17" s="216">
        <v>1</v>
      </c>
      <c r="W17" s="216">
        <v>1</v>
      </c>
      <c r="X17" s="216"/>
      <c r="Y17" s="216"/>
      <c r="Z17" s="216"/>
      <c r="AA17" s="216"/>
      <c r="AB17" s="216"/>
      <c r="AC17" s="216"/>
      <c r="AD17" s="216"/>
      <c r="AE17" s="41">
        <f t="shared" si="1"/>
        <v>10</v>
      </c>
      <c r="AF17" s="116" t="s">
        <v>295</v>
      </c>
      <c r="AG17" s="189" t="s">
        <v>693</v>
      </c>
    </row>
    <row r="18" spans="1:33" ht="14.25" customHeight="1">
      <c r="A18" s="38" t="s">
        <v>41</v>
      </c>
      <c r="B18" s="2" t="s">
        <v>57</v>
      </c>
      <c r="C18" s="2"/>
      <c r="D18" s="86">
        <v>4</v>
      </c>
      <c r="E18" s="175" t="s">
        <v>58</v>
      </c>
      <c r="F18" s="41">
        <f t="shared" si="3"/>
        <v>11</v>
      </c>
      <c r="G18" s="216"/>
      <c r="H18" s="216"/>
      <c r="I18" s="216"/>
      <c r="J18" s="216"/>
      <c r="K18" s="216"/>
      <c r="L18" s="216"/>
      <c r="M18" s="216">
        <v>1</v>
      </c>
      <c r="N18" s="216">
        <v>1</v>
      </c>
      <c r="O18" s="216">
        <v>1</v>
      </c>
      <c r="P18" s="216">
        <v>1</v>
      </c>
      <c r="Q18" s="216">
        <v>1</v>
      </c>
      <c r="R18" s="216">
        <v>1</v>
      </c>
      <c r="S18" s="216">
        <v>1</v>
      </c>
      <c r="T18" s="216">
        <v>1</v>
      </c>
      <c r="U18" s="216">
        <v>1</v>
      </c>
      <c r="V18" s="216">
        <v>1</v>
      </c>
      <c r="W18" s="216">
        <v>1</v>
      </c>
      <c r="X18" s="216"/>
      <c r="Y18" s="216"/>
      <c r="Z18" s="216"/>
      <c r="AA18" s="216"/>
      <c r="AB18" s="216"/>
      <c r="AC18" s="216"/>
      <c r="AD18" s="216"/>
      <c r="AE18" s="41">
        <f t="shared" si="1"/>
        <v>11</v>
      </c>
      <c r="AF18" s="116" t="s">
        <v>192</v>
      </c>
      <c r="AG18" s="189" t="s">
        <v>693</v>
      </c>
    </row>
    <row r="19" spans="1:33" ht="14.25" customHeight="1">
      <c r="A19" s="98" t="s">
        <v>41</v>
      </c>
      <c r="B19" s="98" t="s">
        <v>146</v>
      </c>
      <c r="C19" s="98">
        <v>998223732</v>
      </c>
      <c r="D19" s="99">
        <v>5</v>
      </c>
      <c r="E19" s="206" t="s">
        <v>147</v>
      </c>
      <c r="F19" s="41">
        <f t="shared" si="3"/>
        <v>12</v>
      </c>
      <c r="G19" s="176"/>
      <c r="H19" s="176"/>
      <c r="I19" s="176"/>
      <c r="J19" s="176"/>
      <c r="K19" s="176"/>
      <c r="L19" s="176"/>
      <c r="M19" s="216">
        <v>1</v>
      </c>
      <c r="N19" s="216">
        <v>1</v>
      </c>
      <c r="O19" s="176">
        <v>1</v>
      </c>
      <c r="P19" s="176">
        <v>1</v>
      </c>
      <c r="Q19" s="176">
        <v>1</v>
      </c>
      <c r="R19" s="176">
        <v>1</v>
      </c>
      <c r="S19" s="176">
        <v>1</v>
      </c>
      <c r="T19" s="176">
        <v>1</v>
      </c>
      <c r="U19" s="176">
        <v>1</v>
      </c>
      <c r="V19" s="176"/>
      <c r="W19" s="176">
        <v>1</v>
      </c>
      <c r="X19" s="176">
        <v>1</v>
      </c>
      <c r="Y19" s="176">
        <v>1</v>
      </c>
      <c r="Z19" s="176"/>
      <c r="AA19" s="176"/>
      <c r="AB19" s="176"/>
      <c r="AC19" s="176"/>
      <c r="AD19" s="176"/>
      <c r="AE19" s="41">
        <f t="shared" si="1"/>
        <v>12</v>
      </c>
      <c r="AF19" s="116" t="s">
        <v>454</v>
      </c>
      <c r="AG19" s="189" t="s">
        <v>693</v>
      </c>
    </row>
    <row r="20" spans="1:33" ht="14.25" customHeight="1">
      <c r="A20" s="38" t="s">
        <v>41</v>
      </c>
      <c r="B20" s="38" t="s">
        <v>59</v>
      </c>
      <c r="C20" s="38"/>
      <c r="D20" s="99">
        <v>6</v>
      </c>
      <c r="E20" s="208" t="s">
        <v>60</v>
      </c>
      <c r="F20" s="41">
        <f t="shared" si="3"/>
        <v>12</v>
      </c>
      <c r="G20" s="176"/>
      <c r="H20" s="176"/>
      <c r="I20" s="176"/>
      <c r="J20" s="176"/>
      <c r="K20" s="290"/>
      <c r="L20" s="290"/>
      <c r="M20" s="290"/>
      <c r="N20" s="290"/>
      <c r="O20" s="290"/>
      <c r="P20" s="290"/>
      <c r="Q20" s="290">
        <v>1</v>
      </c>
      <c r="R20" s="290">
        <v>1</v>
      </c>
      <c r="S20" s="290">
        <v>1</v>
      </c>
      <c r="T20" s="290">
        <v>1</v>
      </c>
      <c r="U20" s="290">
        <v>1</v>
      </c>
      <c r="V20" s="290">
        <v>1</v>
      </c>
      <c r="W20" s="290">
        <v>1</v>
      </c>
      <c r="X20" s="290"/>
      <c r="Y20" s="290">
        <v>1</v>
      </c>
      <c r="Z20" s="290">
        <v>1</v>
      </c>
      <c r="AA20" s="290">
        <v>1</v>
      </c>
      <c r="AB20" s="290">
        <v>1</v>
      </c>
      <c r="AC20" s="290">
        <v>1</v>
      </c>
      <c r="AD20" s="290"/>
      <c r="AE20" s="114">
        <f t="shared" si="1"/>
        <v>12</v>
      </c>
      <c r="AF20" s="116" t="s">
        <v>369</v>
      </c>
      <c r="AG20" s="189" t="s">
        <v>693</v>
      </c>
    </row>
    <row r="21" spans="1:33" ht="14.25" customHeight="1">
      <c r="A21" s="38" t="s">
        <v>41</v>
      </c>
      <c r="B21" s="38" t="s">
        <v>62</v>
      </c>
      <c r="C21" s="38">
        <v>979044107</v>
      </c>
      <c r="D21" s="86">
        <v>7</v>
      </c>
      <c r="E21" s="175" t="s">
        <v>63</v>
      </c>
      <c r="F21" s="41">
        <f t="shared" si="3"/>
        <v>9</v>
      </c>
      <c r="G21" s="216"/>
      <c r="H21" s="216"/>
      <c r="I21" s="216"/>
      <c r="J21" s="216"/>
      <c r="K21" s="216"/>
      <c r="L21" s="216"/>
      <c r="M21" s="216">
        <v>1</v>
      </c>
      <c r="N21" s="216">
        <v>1</v>
      </c>
      <c r="O21" s="216">
        <v>1</v>
      </c>
      <c r="P21" s="216">
        <v>1</v>
      </c>
      <c r="Q21" s="216">
        <v>1</v>
      </c>
      <c r="R21" s="216">
        <v>1</v>
      </c>
      <c r="S21" s="216">
        <v>1</v>
      </c>
      <c r="T21" s="216">
        <v>1</v>
      </c>
      <c r="U21" s="216">
        <v>1</v>
      </c>
      <c r="V21" s="216"/>
      <c r="W21" s="216"/>
      <c r="X21" s="216"/>
      <c r="Y21" s="216"/>
      <c r="Z21" s="216"/>
      <c r="AA21" s="216"/>
      <c r="AB21" s="216"/>
      <c r="AC21" s="216"/>
      <c r="AD21" s="216"/>
      <c r="AE21" s="41">
        <f t="shared" si="1"/>
        <v>9</v>
      </c>
      <c r="AF21" s="116" t="s">
        <v>587</v>
      </c>
      <c r="AG21" s="189" t="s">
        <v>693</v>
      </c>
    </row>
    <row r="22" spans="1:33" ht="14.25" customHeight="1">
      <c r="A22" s="38" t="s">
        <v>41</v>
      </c>
      <c r="B22" s="38" t="s">
        <v>70</v>
      </c>
      <c r="C22" s="38"/>
      <c r="D22" s="99">
        <v>9</v>
      </c>
      <c r="E22" s="175" t="s">
        <v>71</v>
      </c>
      <c r="F22" s="41">
        <f t="shared" si="3"/>
        <v>10</v>
      </c>
      <c r="G22" s="216"/>
      <c r="H22" s="216"/>
      <c r="I22" s="216"/>
      <c r="J22" s="216"/>
      <c r="K22" s="216"/>
      <c r="L22" s="216"/>
      <c r="M22" s="216">
        <v>1</v>
      </c>
      <c r="N22" s="216">
        <v>1</v>
      </c>
      <c r="O22" s="216">
        <v>1</v>
      </c>
      <c r="P22" s="216">
        <v>1</v>
      </c>
      <c r="Q22" s="216">
        <v>1</v>
      </c>
      <c r="R22" s="216">
        <v>1</v>
      </c>
      <c r="S22" s="216">
        <v>1</v>
      </c>
      <c r="T22" s="216">
        <v>1</v>
      </c>
      <c r="U22" s="216">
        <v>1</v>
      </c>
      <c r="V22" s="216">
        <v>1</v>
      </c>
      <c r="W22" s="216"/>
      <c r="X22" s="216"/>
      <c r="Y22" s="216"/>
      <c r="Z22" s="216"/>
      <c r="AA22" s="216"/>
      <c r="AB22" s="216"/>
      <c r="AC22" s="216"/>
      <c r="AD22" s="216"/>
      <c r="AE22" s="41">
        <f t="shared" si="1"/>
        <v>10</v>
      </c>
      <c r="AF22" s="116" t="s">
        <v>619</v>
      </c>
      <c r="AG22" s="189" t="s">
        <v>693</v>
      </c>
    </row>
    <row r="23" spans="1:33" ht="14.25" customHeight="1">
      <c r="A23" s="38" t="s">
        <v>41</v>
      </c>
      <c r="B23" s="38" t="s">
        <v>79</v>
      </c>
      <c r="C23" s="38"/>
      <c r="D23" s="39">
        <v>11</v>
      </c>
      <c r="E23" s="208" t="s">
        <v>80</v>
      </c>
      <c r="F23" s="41">
        <f t="shared" si="3"/>
        <v>7</v>
      </c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216"/>
      <c r="W23" s="216">
        <v>1</v>
      </c>
      <c r="X23" s="176">
        <v>1</v>
      </c>
      <c r="Y23" s="176">
        <v>1</v>
      </c>
      <c r="Z23" s="176">
        <v>1</v>
      </c>
      <c r="AA23" s="176">
        <v>1</v>
      </c>
      <c r="AB23" s="176">
        <v>1</v>
      </c>
      <c r="AC23" s="176">
        <v>1</v>
      </c>
      <c r="AD23" s="176"/>
      <c r="AE23" s="41">
        <f t="shared" si="1"/>
        <v>7</v>
      </c>
      <c r="AF23" s="116" t="s">
        <v>226</v>
      </c>
      <c r="AG23" s="189" t="s">
        <v>693</v>
      </c>
    </row>
    <row r="24" spans="1:33" ht="14.25" customHeight="1">
      <c r="A24" s="38" t="s">
        <v>41</v>
      </c>
      <c r="B24" s="38" t="s">
        <v>82</v>
      </c>
      <c r="C24" s="38">
        <v>996303208</v>
      </c>
      <c r="D24" s="99">
        <v>12</v>
      </c>
      <c r="E24" s="206" t="s">
        <v>83</v>
      </c>
      <c r="F24" s="41">
        <f t="shared" si="3"/>
        <v>14</v>
      </c>
      <c r="G24" s="216"/>
      <c r="H24" s="216"/>
      <c r="I24" s="216"/>
      <c r="J24" s="216"/>
      <c r="K24" s="216"/>
      <c r="L24" s="216"/>
      <c r="M24" s="216">
        <v>1</v>
      </c>
      <c r="N24" s="216">
        <v>1</v>
      </c>
      <c r="O24" s="216">
        <v>1</v>
      </c>
      <c r="P24" s="176">
        <v>1</v>
      </c>
      <c r="Q24" s="216">
        <v>1</v>
      </c>
      <c r="R24" s="216">
        <v>1</v>
      </c>
      <c r="S24" s="216">
        <v>1</v>
      </c>
      <c r="T24" s="216">
        <v>1</v>
      </c>
      <c r="U24" s="216"/>
      <c r="V24" s="216">
        <v>1</v>
      </c>
      <c r="W24" s="216">
        <v>1</v>
      </c>
      <c r="X24" s="216">
        <v>1</v>
      </c>
      <c r="Y24" s="216">
        <v>1</v>
      </c>
      <c r="Z24" s="216">
        <v>1</v>
      </c>
      <c r="AA24" s="216">
        <v>1</v>
      </c>
      <c r="AB24" s="216"/>
      <c r="AC24" s="216"/>
      <c r="AD24" s="216"/>
      <c r="AE24" s="41">
        <f t="shared" si="1"/>
        <v>14</v>
      </c>
      <c r="AF24" s="116" t="s">
        <v>694</v>
      </c>
      <c r="AG24" s="189" t="s">
        <v>693</v>
      </c>
    </row>
    <row r="25" spans="1:33" ht="14.25" customHeight="1">
      <c r="A25" s="38" t="s">
        <v>41</v>
      </c>
      <c r="B25" s="38" t="s">
        <v>88</v>
      </c>
      <c r="C25" s="38">
        <v>985570860</v>
      </c>
      <c r="D25" s="86">
        <v>13</v>
      </c>
      <c r="E25" s="209" t="s">
        <v>89</v>
      </c>
      <c r="F25" s="41">
        <v>12</v>
      </c>
      <c r="G25" s="42"/>
      <c r="H25" s="77"/>
      <c r="I25" s="77"/>
      <c r="J25" s="77"/>
      <c r="K25" s="77"/>
      <c r="L25" s="77"/>
      <c r="M25" s="77"/>
      <c r="N25" s="77"/>
      <c r="O25" s="216"/>
      <c r="P25" s="308" t="s">
        <v>471</v>
      </c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176"/>
      <c r="AB25" s="176">
        <v>1</v>
      </c>
      <c r="AC25" s="42"/>
      <c r="AD25" s="42"/>
      <c r="AE25" s="41">
        <f t="shared" si="1"/>
        <v>1</v>
      </c>
      <c r="AF25" s="116" t="s">
        <v>695</v>
      </c>
      <c r="AG25" s="189" t="s">
        <v>693</v>
      </c>
    </row>
    <row r="26" spans="1:33" ht="14.25" customHeight="1">
      <c r="A26" s="98" t="s">
        <v>41</v>
      </c>
      <c r="B26" s="98" t="s">
        <v>90</v>
      </c>
      <c r="C26" s="98">
        <v>961816449</v>
      </c>
      <c r="D26" s="99">
        <v>14</v>
      </c>
      <c r="E26" s="296" t="s">
        <v>91</v>
      </c>
      <c r="F26" s="41">
        <f t="shared" ref="F26:F56" si="4">SUM(G26:AD26)</f>
        <v>10</v>
      </c>
      <c r="G26" s="306"/>
      <c r="H26" s="306"/>
      <c r="I26" s="306"/>
      <c r="J26" s="306"/>
      <c r="K26" s="306"/>
      <c r="L26" s="306"/>
      <c r="M26" s="306"/>
      <c r="N26" s="306"/>
      <c r="O26" s="307"/>
      <c r="P26" s="307">
        <v>1</v>
      </c>
      <c r="Q26" s="307">
        <v>1</v>
      </c>
      <c r="R26" s="307">
        <v>1</v>
      </c>
      <c r="S26" s="307">
        <v>1</v>
      </c>
      <c r="T26" s="307">
        <v>1</v>
      </c>
      <c r="U26" s="307">
        <v>1</v>
      </c>
      <c r="V26" s="307">
        <v>1</v>
      </c>
      <c r="W26" s="307">
        <v>1</v>
      </c>
      <c r="X26" s="307">
        <v>1</v>
      </c>
      <c r="Y26" s="307">
        <v>1</v>
      </c>
      <c r="Z26" s="306"/>
      <c r="AA26" s="306"/>
      <c r="AB26" s="306"/>
      <c r="AC26" s="306"/>
      <c r="AD26" s="306"/>
      <c r="AE26" s="41">
        <f t="shared" si="1"/>
        <v>10</v>
      </c>
      <c r="AF26" s="116" t="s">
        <v>302</v>
      </c>
      <c r="AG26" s="189" t="s">
        <v>693</v>
      </c>
    </row>
    <row r="27" spans="1:33" ht="14.25" customHeight="1">
      <c r="A27" s="76" t="s">
        <v>41</v>
      </c>
      <c r="B27" s="76" t="s">
        <v>198</v>
      </c>
      <c r="C27" s="76"/>
      <c r="D27" s="39">
        <v>17</v>
      </c>
      <c r="E27" s="175" t="s">
        <v>99</v>
      </c>
      <c r="F27" s="41">
        <f t="shared" si="4"/>
        <v>8</v>
      </c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>
        <v>1</v>
      </c>
      <c r="V27" s="176">
        <v>1</v>
      </c>
      <c r="W27" s="176">
        <v>1</v>
      </c>
      <c r="X27" s="176">
        <v>1</v>
      </c>
      <c r="Y27" s="176">
        <v>1</v>
      </c>
      <c r="Z27" s="176">
        <v>1</v>
      </c>
      <c r="AA27" s="176">
        <v>1</v>
      </c>
      <c r="AB27" s="176">
        <v>1</v>
      </c>
      <c r="AC27" s="176"/>
      <c r="AD27" s="176"/>
      <c r="AE27" s="41">
        <f t="shared" si="1"/>
        <v>8</v>
      </c>
      <c r="AF27" s="116" t="s">
        <v>78</v>
      </c>
      <c r="AG27" s="189" t="s">
        <v>693</v>
      </c>
    </row>
    <row r="28" spans="1:33" ht="14.25" customHeight="1">
      <c r="A28" s="38" t="s">
        <v>41</v>
      </c>
      <c r="B28" s="38" t="s">
        <v>101</v>
      </c>
      <c r="C28" s="38">
        <v>962757006</v>
      </c>
      <c r="D28" s="99">
        <v>18</v>
      </c>
      <c r="E28" s="175" t="s">
        <v>102</v>
      </c>
      <c r="F28" s="41">
        <f t="shared" si="4"/>
        <v>12</v>
      </c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>
        <v>1</v>
      </c>
      <c r="R28" s="176">
        <v>1</v>
      </c>
      <c r="S28" s="176">
        <v>1</v>
      </c>
      <c r="T28" s="216">
        <v>1</v>
      </c>
      <c r="U28" s="176">
        <v>1</v>
      </c>
      <c r="V28" s="176"/>
      <c r="W28" s="176">
        <v>1</v>
      </c>
      <c r="X28" s="176">
        <v>1</v>
      </c>
      <c r="Y28" s="176">
        <v>1</v>
      </c>
      <c r="Z28" s="176">
        <v>1</v>
      </c>
      <c r="AA28" s="176">
        <v>1</v>
      </c>
      <c r="AB28" s="176">
        <v>1</v>
      </c>
      <c r="AC28" s="176">
        <v>1</v>
      </c>
      <c r="AD28" s="176"/>
      <c r="AE28" s="41">
        <f t="shared" si="1"/>
        <v>12</v>
      </c>
      <c r="AF28" s="116" t="s">
        <v>264</v>
      </c>
      <c r="AG28" s="189" t="s">
        <v>693</v>
      </c>
    </row>
    <row r="29" spans="1:33" ht="14.25" customHeight="1">
      <c r="A29" s="38" t="s">
        <v>41</v>
      </c>
      <c r="B29" s="38" t="s">
        <v>103</v>
      </c>
      <c r="C29" s="38"/>
      <c r="D29" s="86">
        <v>19</v>
      </c>
      <c r="E29" s="208" t="s">
        <v>104</v>
      </c>
      <c r="F29" s="41">
        <f t="shared" si="4"/>
        <v>12</v>
      </c>
      <c r="G29" s="216"/>
      <c r="H29" s="216"/>
      <c r="I29" s="216"/>
      <c r="J29" s="216"/>
      <c r="K29" s="216"/>
      <c r="L29" s="216"/>
      <c r="M29" s="216"/>
      <c r="N29" s="216">
        <v>1</v>
      </c>
      <c r="O29" s="216">
        <v>1</v>
      </c>
      <c r="P29" s="216">
        <v>1</v>
      </c>
      <c r="Q29" s="216">
        <v>1</v>
      </c>
      <c r="R29" s="216">
        <v>1</v>
      </c>
      <c r="S29" s="216"/>
      <c r="T29" s="216">
        <v>1</v>
      </c>
      <c r="U29" s="216">
        <v>1</v>
      </c>
      <c r="V29" s="216">
        <v>1</v>
      </c>
      <c r="W29" s="216">
        <v>1</v>
      </c>
      <c r="X29" s="216">
        <v>1</v>
      </c>
      <c r="Y29" s="216">
        <v>1</v>
      </c>
      <c r="Z29" s="216">
        <v>1</v>
      </c>
      <c r="AA29" s="216"/>
      <c r="AB29" s="216"/>
      <c r="AC29" s="216"/>
      <c r="AD29" s="216"/>
      <c r="AE29" s="41">
        <f t="shared" si="1"/>
        <v>12</v>
      </c>
      <c r="AF29" s="116" t="s">
        <v>406</v>
      </c>
      <c r="AG29" s="189" t="s">
        <v>693</v>
      </c>
    </row>
    <row r="30" spans="1:33" ht="14.25" customHeight="1">
      <c r="A30" s="38" t="s">
        <v>41</v>
      </c>
      <c r="B30" s="38" t="s">
        <v>332</v>
      </c>
      <c r="C30" s="38"/>
      <c r="D30" s="39">
        <v>20</v>
      </c>
      <c r="E30" s="208" t="s">
        <v>333</v>
      </c>
      <c r="F30" s="41">
        <f t="shared" si="4"/>
        <v>6</v>
      </c>
      <c r="G30" s="216"/>
      <c r="H30" s="216"/>
      <c r="I30" s="216"/>
      <c r="J30" s="216"/>
      <c r="K30" s="216"/>
      <c r="L30" s="216"/>
      <c r="M30" s="216">
        <v>1</v>
      </c>
      <c r="N30" s="176">
        <v>1</v>
      </c>
      <c r="O30" s="176">
        <v>1</v>
      </c>
      <c r="P30" s="176">
        <v>1</v>
      </c>
      <c r="Q30" s="176">
        <v>1</v>
      </c>
      <c r="R30" s="176">
        <v>1</v>
      </c>
      <c r="S30" s="176"/>
      <c r="T30" s="17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41">
        <f t="shared" si="1"/>
        <v>6</v>
      </c>
      <c r="AF30" s="116" t="s">
        <v>227</v>
      </c>
      <c r="AG30" s="189" t="s">
        <v>693</v>
      </c>
    </row>
    <row r="31" spans="1:33" ht="14.25" customHeight="1">
      <c r="A31" s="38" t="s">
        <v>41</v>
      </c>
      <c r="B31" s="38" t="s">
        <v>171</v>
      </c>
      <c r="C31" s="38">
        <v>990489779</v>
      </c>
      <c r="D31" s="99">
        <v>21</v>
      </c>
      <c r="E31" s="296" t="s">
        <v>172</v>
      </c>
      <c r="F31" s="41">
        <f t="shared" si="4"/>
        <v>10</v>
      </c>
      <c r="G31" s="306"/>
      <c r="H31" s="306"/>
      <c r="I31" s="306"/>
      <c r="J31" s="306"/>
      <c r="K31" s="306"/>
      <c r="L31" s="306"/>
      <c r="M31" s="306"/>
      <c r="N31" s="306"/>
      <c r="O31" s="307"/>
      <c r="P31" s="307">
        <v>1</v>
      </c>
      <c r="Q31" s="307">
        <v>1</v>
      </c>
      <c r="R31" s="307">
        <v>1</v>
      </c>
      <c r="S31" s="307">
        <v>1</v>
      </c>
      <c r="T31" s="307">
        <v>1</v>
      </c>
      <c r="U31" s="307">
        <v>1</v>
      </c>
      <c r="V31" s="307">
        <v>1</v>
      </c>
      <c r="W31" s="307">
        <v>1</v>
      </c>
      <c r="X31" s="307">
        <v>1</v>
      </c>
      <c r="Y31" s="307">
        <v>1</v>
      </c>
      <c r="Z31" s="306"/>
      <c r="AA31" s="306"/>
      <c r="AB31" s="306"/>
      <c r="AC31" s="306"/>
      <c r="AD31" s="306"/>
      <c r="AE31" s="41">
        <f t="shared" si="1"/>
        <v>10</v>
      </c>
      <c r="AF31" s="116" t="s">
        <v>302</v>
      </c>
      <c r="AG31" s="189" t="s">
        <v>693</v>
      </c>
    </row>
    <row r="32" spans="1:33" ht="14.25" customHeight="1">
      <c r="A32" s="38" t="s">
        <v>41</v>
      </c>
      <c r="B32" s="38" t="s">
        <v>105</v>
      </c>
      <c r="C32" s="38"/>
      <c r="D32" s="86">
        <v>22</v>
      </c>
      <c r="E32" s="175" t="s">
        <v>106</v>
      </c>
      <c r="F32" s="41">
        <f t="shared" si="4"/>
        <v>10</v>
      </c>
      <c r="G32" s="176"/>
      <c r="H32" s="176"/>
      <c r="I32" s="176"/>
      <c r="J32" s="176"/>
      <c r="K32" s="176"/>
      <c r="L32" s="176"/>
      <c r="M32" s="176">
        <v>1</v>
      </c>
      <c r="N32" s="176">
        <v>1</v>
      </c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/>
      <c r="V32" s="176">
        <v>1</v>
      </c>
      <c r="W32" s="176">
        <v>1</v>
      </c>
      <c r="X32" s="216"/>
      <c r="Y32" s="176"/>
      <c r="Z32" s="176"/>
      <c r="AA32" s="176"/>
      <c r="AB32" s="176"/>
      <c r="AC32" s="176"/>
      <c r="AD32" s="176"/>
      <c r="AE32" s="41">
        <f t="shared" si="1"/>
        <v>10</v>
      </c>
      <c r="AF32" s="116" t="s">
        <v>367</v>
      </c>
      <c r="AG32" s="189" t="s">
        <v>693</v>
      </c>
    </row>
    <row r="33" spans="1:33" ht="14.25" customHeight="1">
      <c r="A33" s="98" t="s">
        <v>41</v>
      </c>
      <c r="B33" s="98" t="s">
        <v>111</v>
      </c>
      <c r="C33" s="98"/>
      <c r="D33" s="39">
        <v>23</v>
      </c>
      <c r="E33" s="208" t="s">
        <v>112</v>
      </c>
      <c r="F33" s="41">
        <f t="shared" si="4"/>
        <v>12</v>
      </c>
      <c r="G33" s="216"/>
      <c r="H33" s="216"/>
      <c r="I33" s="216"/>
      <c r="J33" s="216"/>
      <c r="K33" s="216"/>
      <c r="L33" s="216"/>
      <c r="M33" s="216"/>
      <c r="N33" s="216">
        <v>1</v>
      </c>
      <c r="O33" s="216">
        <v>1</v>
      </c>
      <c r="P33" s="216">
        <v>1</v>
      </c>
      <c r="Q33" s="216">
        <v>1</v>
      </c>
      <c r="R33" s="216">
        <v>1</v>
      </c>
      <c r="S33" s="216">
        <v>1</v>
      </c>
      <c r="T33" s="216">
        <v>1</v>
      </c>
      <c r="U33" s="216"/>
      <c r="V33" s="216">
        <v>1</v>
      </c>
      <c r="W33" s="216">
        <v>1</v>
      </c>
      <c r="X33" s="216">
        <v>1</v>
      </c>
      <c r="Y33" s="216">
        <v>1</v>
      </c>
      <c r="Z33" s="216">
        <v>1</v>
      </c>
      <c r="AA33" s="216"/>
      <c r="AB33" s="216"/>
      <c r="AC33" s="216"/>
      <c r="AD33" s="216"/>
      <c r="AE33" s="41">
        <f t="shared" si="1"/>
        <v>12</v>
      </c>
      <c r="AF33" s="116" t="s">
        <v>297</v>
      </c>
      <c r="AG33" s="189" t="s">
        <v>693</v>
      </c>
    </row>
    <row r="34" spans="1:33" ht="14.25" customHeight="1">
      <c r="A34" s="38" t="s">
        <v>41</v>
      </c>
      <c r="B34" s="38" t="s">
        <v>115</v>
      </c>
      <c r="C34" s="38">
        <v>962936744</v>
      </c>
      <c r="D34" s="99">
        <v>24</v>
      </c>
      <c r="E34" s="145" t="s">
        <v>116</v>
      </c>
      <c r="F34" s="41">
        <f t="shared" si="4"/>
        <v>12</v>
      </c>
      <c r="G34" s="176">
        <v>1</v>
      </c>
      <c r="H34" s="176">
        <v>1</v>
      </c>
      <c r="I34" s="176">
        <v>1</v>
      </c>
      <c r="J34" s="176">
        <v>1</v>
      </c>
      <c r="K34" s="176">
        <v>1</v>
      </c>
      <c r="L34" s="176">
        <v>1</v>
      </c>
      <c r="M34" s="176">
        <v>1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>
        <v>1</v>
      </c>
      <c r="AA34" s="176">
        <v>1</v>
      </c>
      <c r="AB34" s="176">
        <v>1</v>
      </c>
      <c r="AC34" s="176">
        <v>1</v>
      </c>
      <c r="AD34" s="176">
        <v>1</v>
      </c>
      <c r="AE34" s="41">
        <f t="shared" si="1"/>
        <v>12</v>
      </c>
      <c r="AF34" s="116" t="s">
        <v>311</v>
      </c>
      <c r="AG34" s="189" t="s">
        <v>693</v>
      </c>
    </row>
    <row r="35" spans="1:33" ht="14.25" customHeight="1">
      <c r="A35" s="38" t="s">
        <v>41</v>
      </c>
      <c r="B35" s="38" t="s">
        <v>120</v>
      </c>
      <c r="C35" s="38"/>
      <c r="D35" s="86">
        <v>25</v>
      </c>
      <c r="E35" s="208" t="s">
        <v>121</v>
      </c>
      <c r="F35" s="41">
        <f t="shared" si="4"/>
        <v>13</v>
      </c>
      <c r="G35" s="176"/>
      <c r="H35" s="176"/>
      <c r="I35" s="290"/>
      <c r="J35" s="290"/>
      <c r="K35" s="290"/>
      <c r="L35" s="290"/>
      <c r="M35" s="290"/>
      <c r="N35" s="290"/>
      <c r="O35" s="290">
        <v>1</v>
      </c>
      <c r="P35" s="290">
        <v>1</v>
      </c>
      <c r="Q35" s="290">
        <v>1</v>
      </c>
      <c r="R35" s="290">
        <v>1</v>
      </c>
      <c r="S35" s="290">
        <v>1</v>
      </c>
      <c r="T35" s="290">
        <v>1</v>
      </c>
      <c r="U35" s="290">
        <v>1</v>
      </c>
      <c r="V35" s="290">
        <v>1</v>
      </c>
      <c r="W35" s="290"/>
      <c r="X35" s="290">
        <v>1</v>
      </c>
      <c r="Y35" s="290">
        <v>1</v>
      </c>
      <c r="Z35" s="290">
        <v>1</v>
      </c>
      <c r="AA35" s="290">
        <v>1</v>
      </c>
      <c r="AB35" s="290">
        <v>1</v>
      </c>
      <c r="AC35" s="290"/>
      <c r="AD35" s="290"/>
      <c r="AE35" s="114">
        <f t="shared" si="1"/>
        <v>13</v>
      </c>
      <c r="AF35" s="116" t="s">
        <v>247</v>
      </c>
      <c r="AG35" s="189" t="s">
        <v>693</v>
      </c>
    </row>
    <row r="36" spans="1:33" ht="14.25" customHeight="1">
      <c r="A36" s="38" t="s">
        <v>41</v>
      </c>
      <c r="B36" s="38" t="s">
        <v>124</v>
      </c>
      <c r="C36" s="38">
        <v>979137365</v>
      </c>
      <c r="D36" s="99">
        <v>27</v>
      </c>
      <c r="E36" s="208" t="s">
        <v>125</v>
      </c>
      <c r="F36" s="41">
        <f t="shared" si="4"/>
        <v>12</v>
      </c>
      <c r="G36" s="176"/>
      <c r="H36" s="176"/>
      <c r="I36" s="176"/>
      <c r="J36" s="176"/>
      <c r="K36" s="176"/>
      <c r="L36" s="176"/>
      <c r="M36" s="176">
        <v>1</v>
      </c>
      <c r="N36" s="176">
        <v>1</v>
      </c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216">
        <v>1</v>
      </c>
      <c r="W36" s="176">
        <v>1</v>
      </c>
      <c r="X36" s="176">
        <v>1</v>
      </c>
      <c r="Y36" s="176"/>
      <c r="Z36" s="176"/>
      <c r="AA36" s="176"/>
      <c r="AB36" s="176"/>
      <c r="AC36" s="176"/>
      <c r="AD36" s="176"/>
      <c r="AE36" s="41">
        <f t="shared" si="1"/>
        <v>12</v>
      </c>
      <c r="AF36" s="116" t="s">
        <v>84</v>
      </c>
      <c r="AG36" s="189" t="s">
        <v>693</v>
      </c>
    </row>
    <row r="37" spans="1:33" ht="14.25" customHeight="1">
      <c r="A37" s="38" t="s">
        <v>41</v>
      </c>
      <c r="B37" s="76" t="s">
        <v>126</v>
      </c>
      <c r="C37" s="76">
        <v>986256130</v>
      </c>
      <c r="D37" s="86">
        <v>28</v>
      </c>
      <c r="E37" s="133" t="s">
        <v>127</v>
      </c>
      <c r="F37" s="41">
        <f t="shared" si="4"/>
        <v>0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577" t="s">
        <v>364</v>
      </c>
      <c r="T37" s="555"/>
      <c r="U37" s="555"/>
      <c r="V37" s="555"/>
      <c r="W37" s="555"/>
      <c r="X37" s="555"/>
      <c r="Y37" s="555"/>
      <c r="Z37" s="542"/>
      <c r="AA37" s="250"/>
      <c r="AB37" s="250"/>
      <c r="AC37" s="250"/>
      <c r="AD37" s="250"/>
      <c r="AE37" s="41">
        <f t="shared" si="1"/>
        <v>0</v>
      </c>
      <c r="AF37" s="116" t="s">
        <v>365</v>
      </c>
      <c r="AG37" s="189" t="s">
        <v>693</v>
      </c>
    </row>
    <row r="38" spans="1:33" ht="14.25" customHeight="1">
      <c r="A38" s="38" t="s">
        <v>41</v>
      </c>
      <c r="B38" s="38" t="s">
        <v>128</v>
      </c>
      <c r="C38" s="38"/>
      <c r="D38" s="39">
        <v>29</v>
      </c>
      <c r="E38" s="175" t="s">
        <v>129</v>
      </c>
      <c r="F38" s="41">
        <f t="shared" si="4"/>
        <v>11</v>
      </c>
      <c r="G38" s="309"/>
      <c r="H38" s="309"/>
      <c r="I38" s="309"/>
      <c r="J38" s="309"/>
      <c r="K38" s="309"/>
      <c r="L38" s="309"/>
      <c r="M38" s="309">
        <v>1</v>
      </c>
      <c r="N38" s="309">
        <v>1</v>
      </c>
      <c r="O38" s="309">
        <v>1</v>
      </c>
      <c r="P38" s="309">
        <v>1</v>
      </c>
      <c r="Q38" s="309">
        <v>1</v>
      </c>
      <c r="R38" s="309">
        <v>1</v>
      </c>
      <c r="S38" s="309">
        <v>1</v>
      </c>
      <c r="T38" s="309">
        <v>1</v>
      </c>
      <c r="U38" s="309">
        <v>1</v>
      </c>
      <c r="V38" s="309">
        <v>1</v>
      </c>
      <c r="W38" s="216">
        <v>1</v>
      </c>
      <c r="X38" s="309"/>
      <c r="Y38" s="309"/>
      <c r="Z38" s="309"/>
      <c r="AA38" s="309"/>
      <c r="AB38" s="309"/>
      <c r="AC38" s="309"/>
      <c r="AD38" s="309"/>
      <c r="AE38" s="41">
        <f t="shared" si="1"/>
        <v>11</v>
      </c>
      <c r="AF38" s="116" t="s">
        <v>192</v>
      </c>
      <c r="AG38" s="189" t="s">
        <v>693</v>
      </c>
    </row>
    <row r="39" spans="1:33" ht="14.25" customHeight="1">
      <c r="A39" s="38" t="s">
        <v>41</v>
      </c>
      <c r="B39" s="38" t="s">
        <v>49</v>
      </c>
      <c r="C39" s="38">
        <v>983804379</v>
      </c>
      <c r="D39" s="86">
        <v>31</v>
      </c>
      <c r="E39" s="145" t="s">
        <v>50</v>
      </c>
      <c r="F39" s="41">
        <f t="shared" si="4"/>
        <v>12</v>
      </c>
      <c r="G39" s="290">
        <v>1</v>
      </c>
      <c r="H39" s="290">
        <v>1</v>
      </c>
      <c r="I39" s="290">
        <v>1</v>
      </c>
      <c r="J39" s="290">
        <v>1</v>
      </c>
      <c r="K39" s="290">
        <v>1</v>
      </c>
      <c r="L39" s="290">
        <v>1</v>
      </c>
      <c r="M39" s="290">
        <v>1</v>
      </c>
      <c r="N39" s="290"/>
      <c r="O39" s="290"/>
      <c r="P39" s="290"/>
      <c r="Q39" s="290"/>
      <c r="R39" s="290"/>
      <c r="S39" s="290"/>
      <c r="T39" s="290"/>
      <c r="U39" s="290"/>
      <c r="V39" s="290"/>
      <c r="W39" s="309"/>
      <c r="X39" s="290"/>
      <c r="Y39" s="290"/>
      <c r="Z39" s="290">
        <v>1</v>
      </c>
      <c r="AA39" s="290">
        <v>1</v>
      </c>
      <c r="AB39" s="290">
        <v>1</v>
      </c>
      <c r="AC39" s="290">
        <v>1</v>
      </c>
      <c r="AD39" s="290">
        <v>1</v>
      </c>
      <c r="AE39" s="114">
        <f t="shared" si="1"/>
        <v>12</v>
      </c>
      <c r="AF39" s="116" t="s">
        <v>311</v>
      </c>
      <c r="AG39" s="189" t="s">
        <v>693</v>
      </c>
    </row>
    <row r="40" spans="1:33" ht="14.25" customHeight="1">
      <c r="A40" s="38" t="s">
        <v>41</v>
      </c>
      <c r="B40" s="38" t="s">
        <v>134</v>
      </c>
      <c r="C40" s="38">
        <v>962839078</v>
      </c>
      <c r="D40" s="39">
        <v>32</v>
      </c>
      <c r="E40" s="145" t="s">
        <v>135</v>
      </c>
      <c r="F40" s="41">
        <f t="shared" si="4"/>
        <v>0</v>
      </c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580" t="s">
        <v>209</v>
      </c>
      <c r="W40" s="555"/>
      <c r="X40" s="555"/>
      <c r="Y40" s="555"/>
      <c r="Z40" s="555"/>
      <c r="AA40" s="555"/>
      <c r="AB40" s="555"/>
      <c r="AC40" s="542"/>
      <c r="AD40" s="176"/>
      <c r="AE40" s="41">
        <f t="shared" si="1"/>
        <v>0</v>
      </c>
      <c r="AF40" s="116" t="s">
        <v>218</v>
      </c>
      <c r="AG40" s="189" t="s">
        <v>693</v>
      </c>
    </row>
    <row r="41" spans="1:33" ht="14.25" customHeight="1">
      <c r="A41" s="38" t="s">
        <v>41</v>
      </c>
      <c r="B41" s="38" t="s">
        <v>139</v>
      </c>
      <c r="C41" s="38">
        <v>990660059</v>
      </c>
      <c r="D41" s="99">
        <v>33</v>
      </c>
      <c r="E41" s="145" t="s">
        <v>140</v>
      </c>
      <c r="F41" s="41">
        <f t="shared" si="4"/>
        <v>2</v>
      </c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>
        <v>1</v>
      </c>
      <c r="T41" s="216"/>
      <c r="U41" s="176">
        <v>1</v>
      </c>
      <c r="V41" s="580" t="s">
        <v>209</v>
      </c>
      <c r="W41" s="555"/>
      <c r="X41" s="555"/>
      <c r="Y41" s="555"/>
      <c r="Z41" s="555"/>
      <c r="AA41" s="555"/>
      <c r="AB41" s="555"/>
      <c r="AC41" s="542"/>
      <c r="AD41" s="176"/>
      <c r="AE41" s="41">
        <f t="shared" si="1"/>
        <v>2</v>
      </c>
      <c r="AF41" s="116" t="s">
        <v>696</v>
      </c>
      <c r="AG41" s="189" t="s">
        <v>693</v>
      </c>
    </row>
    <row r="42" spans="1:33" ht="14.25" customHeight="1">
      <c r="A42" s="38" t="s">
        <v>41</v>
      </c>
      <c r="B42" s="38" t="s">
        <v>117</v>
      </c>
      <c r="C42" s="38"/>
      <c r="D42" s="86">
        <v>34</v>
      </c>
      <c r="E42" s="208" t="s">
        <v>118</v>
      </c>
      <c r="F42" s="41">
        <f t="shared" si="4"/>
        <v>8</v>
      </c>
      <c r="G42" s="216">
        <v>1</v>
      </c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309"/>
      <c r="U42" s="309"/>
      <c r="V42" s="309"/>
      <c r="W42" s="290"/>
      <c r="X42" s="290">
        <v>1</v>
      </c>
      <c r="Y42" s="290">
        <v>1</v>
      </c>
      <c r="Z42" s="290">
        <v>1</v>
      </c>
      <c r="AA42" s="290">
        <v>1</v>
      </c>
      <c r="AB42" s="290">
        <v>1</v>
      </c>
      <c r="AC42" s="290">
        <v>1</v>
      </c>
      <c r="AD42" s="290">
        <v>1</v>
      </c>
      <c r="AE42" s="114">
        <f t="shared" si="1"/>
        <v>8</v>
      </c>
      <c r="AF42" s="116" t="s">
        <v>697</v>
      </c>
      <c r="AG42" s="189" t="s">
        <v>693</v>
      </c>
    </row>
    <row r="43" spans="1:33" ht="14.25" customHeight="1">
      <c r="A43" s="38" t="s">
        <v>41</v>
      </c>
      <c r="B43" s="76" t="s">
        <v>142</v>
      </c>
      <c r="C43" s="76">
        <v>982807786</v>
      </c>
      <c r="D43" s="86">
        <v>35</v>
      </c>
      <c r="E43" s="145" t="s">
        <v>143</v>
      </c>
      <c r="F43" s="41">
        <f t="shared" si="4"/>
        <v>0</v>
      </c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216"/>
      <c r="T43" s="176"/>
      <c r="U43" s="176"/>
      <c r="V43" s="580" t="s">
        <v>209</v>
      </c>
      <c r="W43" s="555"/>
      <c r="X43" s="555"/>
      <c r="Y43" s="555"/>
      <c r="Z43" s="555"/>
      <c r="AA43" s="555"/>
      <c r="AB43" s="555"/>
      <c r="AC43" s="542"/>
      <c r="AD43" s="176"/>
      <c r="AE43" s="41">
        <f t="shared" si="1"/>
        <v>0</v>
      </c>
      <c r="AF43" s="116" t="s">
        <v>218</v>
      </c>
      <c r="AG43" s="189" t="s">
        <v>693</v>
      </c>
    </row>
    <row r="44" spans="1:33" ht="14.25" customHeight="1">
      <c r="A44" s="38" t="s">
        <v>41</v>
      </c>
      <c r="B44" s="188" t="s">
        <v>449</v>
      </c>
      <c r="C44" s="38">
        <v>992908618</v>
      </c>
      <c r="D44" s="99">
        <v>36</v>
      </c>
      <c r="E44" s="214" t="s">
        <v>455</v>
      </c>
      <c r="F44" s="41">
        <f t="shared" si="4"/>
        <v>10</v>
      </c>
      <c r="G44" s="176"/>
      <c r="H44" s="176"/>
      <c r="I44" s="176"/>
      <c r="J44" s="176"/>
      <c r="K44" s="176"/>
      <c r="L44" s="176"/>
      <c r="M44" s="176"/>
      <c r="N44" s="176">
        <v>1</v>
      </c>
      <c r="O44" s="176">
        <v>1</v>
      </c>
      <c r="P44" s="176">
        <v>1</v>
      </c>
      <c r="Q44" s="176">
        <v>1</v>
      </c>
      <c r="R44" s="176">
        <v>1</v>
      </c>
      <c r="S44" s="176">
        <v>1</v>
      </c>
      <c r="T44" s="176">
        <v>1</v>
      </c>
      <c r="U44" s="176">
        <v>1</v>
      </c>
      <c r="V44" s="176">
        <v>1</v>
      </c>
      <c r="W44" s="176">
        <v>1</v>
      </c>
      <c r="X44" s="216"/>
      <c r="Y44" s="176"/>
      <c r="Z44" s="176"/>
      <c r="AA44" s="176"/>
      <c r="AB44" s="176"/>
      <c r="AC44" s="176"/>
      <c r="AD44" s="176"/>
      <c r="AE44" s="41">
        <f t="shared" si="1"/>
        <v>10</v>
      </c>
      <c r="AF44" s="116" t="s">
        <v>61</v>
      </c>
      <c r="AG44" s="189" t="s">
        <v>693</v>
      </c>
    </row>
    <row r="45" spans="1:33" ht="14.25" customHeight="1">
      <c r="A45" s="38" t="s">
        <v>41</v>
      </c>
      <c r="B45" s="188" t="s">
        <v>456</v>
      </c>
      <c r="C45" s="98">
        <v>969080587</v>
      </c>
      <c r="D45" s="86">
        <v>37</v>
      </c>
      <c r="E45" s="214" t="s">
        <v>457</v>
      </c>
      <c r="F45" s="41">
        <f t="shared" si="4"/>
        <v>12</v>
      </c>
      <c r="G45" s="176"/>
      <c r="H45" s="176"/>
      <c r="I45" s="176"/>
      <c r="J45" s="176"/>
      <c r="K45" s="176"/>
      <c r="L45" s="176"/>
      <c r="M45" s="176"/>
      <c r="N45" s="176">
        <v>1</v>
      </c>
      <c r="O45" s="176">
        <v>1</v>
      </c>
      <c r="P45" s="176">
        <v>1</v>
      </c>
      <c r="Q45" s="176">
        <v>1</v>
      </c>
      <c r="R45" s="176">
        <v>1</v>
      </c>
      <c r="S45" s="176">
        <v>1</v>
      </c>
      <c r="T45" s="295">
        <v>1</v>
      </c>
      <c r="U45" s="216">
        <v>1</v>
      </c>
      <c r="V45" s="216">
        <v>1</v>
      </c>
      <c r="W45" s="295">
        <v>1</v>
      </c>
      <c r="X45" s="295">
        <v>1</v>
      </c>
      <c r="Y45" s="295">
        <v>1</v>
      </c>
      <c r="Z45" s="176"/>
      <c r="AA45" s="176"/>
      <c r="AB45" s="176"/>
      <c r="AC45" s="176"/>
      <c r="AD45" s="176"/>
      <c r="AE45" s="41">
        <f t="shared" si="1"/>
        <v>12</v>
      </c>
      <c r="AF45" s="116" t="s">
        <v>698</v>
      </c>
      <c r="AG45" s="189" t="s">
        <v>693</v>
      </c>
    </row>
    <row r="46" spans="1:33" ht="14.25" customHeight="1">
      <c r="A46" s="38" t="s">
        <v>41</v>
      </c>
      <c r="B46" s="188" t="s">
        <v>459</v>
      </c>
      <c r="C46" s="38">
        <v>969776425</v>
      </c>
      <c r="D46" s="39">
        <v>38</v>
      </c>
      <c r="E46" s="214" t="s">
        <v>460</v>
      </c>
      <c r="F46" s="41">
        <f t="shared" si="4"/>
        <v>8</v>
      </c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>
        <v>1</v>
      </c>
      <c r="V46" s="176">
        <v>1</v>
      </c>
      <c r="W46" s="176">
        <v>1</v>
      </c>
      <c r="X46" s="176">
        <v>1</v>
      </c>
      <c r="Y46" s="176">
        <v>1</v>
      </c>
      <c r="Z46" s="176">
        <v>1</v>
      </c>
      <c r="AA46" s="176">
        <v>1</v>
      </c>
      <c r="AB46" s="176">
        <v>1</v>
      </c>
      <c r="AC46" s="176"/>
      <c r="AD46" s="176"/>
      <c r="AE46" s="41">
        <f t="shared" si="1"/>
        <v>8</v>
      </c>
      <c r="AF46" s="116" t="s">
        <v>78</v>
      </c>
      <c r="AG46" s="189" t="s">
        <v>693</v>
      </c>
    </row>
    <row r="47" spans="1:33" ht="14.25" customHeight="1">
      <c r="A47" s="38" t="s">
        <v>41</v>
      </c>
      <c r="B47" s="188" t="s">
        <v>458</v>
      </c>
      <c r="C47" s="38">
        <v>992753316</v>
      </c>
      <c r="D47" s="86">
        <v>40</v>
      </c>
      <c r="E47" s="214" t="s">
        <v>461</v>
      </c>
      <c r="F47" s="41">
        <f t="shared" si="4"/>
        <v>13</v>
      </c>
      <c r="G47" s="176"/>
      <c r="H47" s="176"/>
      <c r="I47" s="176"/>
      <c r="J47" s="176"/>
      <c r="K47" s="176"/>
      <c r="L47" s="176"/>
      <c r="M47" s="176"/>
      <c r="N47" s="176"/>
      <c r="O47" s="176">
        <v>1</v>
      </c>
      <c r="P47" s="176">
        <v>1</v>
      </c>
      <c r="Q47" s="176">
        <v>1</v>
      </c>
      <c r="R47" s="176">
        <v>1</v>
      </c>
      <c r="S47" s="216">
        <v>1</v>
      </c>
      <c r="T47" s="176">
        <v>1</v>
      </c>
      <c r="U47" s="176">
        <v>1</v>
      </c>
      <c r="V47" s="176">
        <v>1</v>
      </c>
      <c r="W47" s="176">
        <v>1</v>
      </c>
      <c r="X47" s="176"/>
      <c r="Y47" s="176">
        <v>1</v>
      </c>
      <c r="Z47" s="176">
        <v>1</v>
      </c>
      <c r="AA47" s="176">
        <v>1</v>
      </c>
      <c r="AB47" s="176">
        <v>1</v>
      </c>
      <c r="AC47" s="176"/>
      <c r="AD47" s="176"/>
      <c r="AE47" s="41">
        <f t="shared" si="1"/>
        <v>13</v>
      </c>
      <c r="AF47" s="116" t="s">
        <v>385</v>
      </c>
      <c r="AG47" s="189" t="s">
        <v>693</v>
      </c>
    </row>
    <row r="48" spans="1:33" ht="14.25" customHeight="1">
      <c r="A48" s="38" t="s">
        <v>41</v>
      </c>
      <c r="B48" s="188" t="s">
        <v>452</v>
      </c>
      <c r="C48" s="38">
        <v>985553653</v>
      </c>
      <c r="D48" s="39">
        <v>41</v>
      </c>
      <c r="E48" s="214" t="s">
        <v>463</v>
      </c>
      <c r="F48" s="41">
        <f t="shared" si="4"/>
        <v>12</v>
      </c>
      <c r="G48" s="216"/>
      <c r="H48" s="216"/>
      <c r="I48" s="216"/>
      <c r="J48" s="216"/>
      <c r="K48" s="216"/>
      <c r="L48" s="216"/>
      <c r="M48" s="216"/>
      <c r="N48" s="216"/>
      <c r="O48" s="176">
        <v>1</v>
      </c>
      <c r="P48" s="216">
        <v>1</v>
      </c>
      <c r="Q48" s="216">
        <v>1</v>
      </c>
      <c r="R48" s="216">
        <v>1</v>
      </c>
      <c r="S48" s="216"/>
      <c r="T48" s="216">
        <v>1</v>
      </c>
      <c r="U48" s="216">
        <v>1</v>
      </c>
      <c r="V48" s="216">
        <v>1</v>
      </c>
      <c r="W48" s="216">
        <v>1</v>
      </c>
      <c r="X48" s="216">
        <v>1</v>
      </c>
      <c r="Y48" s="216">
        <v>1</v>
      </c>
      <c r="Z48" s="216">
        <v>1</v>
      </c>
      <c r="AA48" s="216">
        <v>1</v>
      </c>
      <c r="AB48" s="216"/>
      <c r="AC48" s="216"/>
      <c r="AD48" s="216"/>
      <c r="AE48" s="41">
        <f t="shared" si="1"/>
        <v>12</v>
      </c>
      <c r="AF48" s="116" t="s">
        <v>394</v>
      </c>
      <c r="AG48" s="189" t="s">
        <v>693</v>
      </c>
    </row>
    <row r="49" spans="1:33" ht="14.25" customHeight="1">
      <c r="A49" s="38" t="s">
        <v>41</v>
      </c>
      <c r="B49" s="188" t="s">
        <v>464</v>
      </c>
      <c r="C49" s="38">
        <v>982043776</v>
      </c>
      <c r="D49" s="99">
        <v>42</v>
      </c>
      <c r="E49" s="214" t="s">
        <v>465</v>
      </c>
      <c r="F49" s="41">
        <f t="shared" si="4"/>
        <v>8</v>
      </c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>
        <v>1</v>
      </c>
      <c r="W49" s="176">
        <v>1</v>
      </c>
      <c r="X49" s="216">
        <v>1</v>
      </c>
      <c r="Y49" s="176">
        <v>1</v>
      </c>
      <c r="Z49" s="176">
        <v>1</v>
      </c>
      <c r="AA49" s="176">
        <v>1</v>
      </c>
      <c r="AB49" s="176">
        <v>1</v>
      </c>
      <c r="AC49" s="176">
        <v>1</v>
      </c>
      <c r="AD49" s="176"/>
      <c r="AE49" s="41">
        <f t="shared" si="1"/>
        <v>8</v>
      </c>
      <c r="AF49" s="116" t="s">
        <v>218</v>
      </c>
      <c r="AG49" s="189" t="s">
        <v>693</v>
      </c>
    </row>
    <row r="50" spans="1:33" ht="14.25" customHeight="1">
      <c r="A50" s="38" t="s">
        <v>41</v>
      </c>
      <c r="B50" s="188" t="s">
        <v>447</v>
      </c>
      <c r="C50" s="38">
        <v>979138395</v>
      </c>
      <c r="D50" s="86">
        <v>43</v>
      </c>
      <c r="E50" s="214" t="s">
        <v>466</v>
      </c>
      <c r="F50" s="41">
        <f t="shared" si="4"/>
        <v>13</v>
      </c>
      <c r="G50" s="216"/>
      <c r="H50" s="216"/>
      <c r="I50" s="216"/>
      <c r="J50" s="216"/>
      <c r="K50" s="216"/>
      <c r="L50" s="216"/>
      <c r="M50" s="216"/>
      <c r="N50" s="216"/>
      <c r="O50" s="216">
        <v>1</v>
      </c>
      <c r="P50" s="216">
        <v>1</v>
      </c>
      <c r="Q50" s="216">
        <v>1</v>
      </c>
      <c r="R50" s="216">
        <v>1</v>
      </c>
      <c r="S50" s="216"/>
      <c r="T50" s="216">
        <v>1</v>
      </c>
      <c r="U50" s="216">
        <v>1</v>
      </c>
      <c r="V50" s="216">
        <v>1</v>
      </c>
      <c r="W50" s="216">
        <v>1</v>
      </c>
      <c r="X50" s="216">
        <v>1</v>
      </c>
      <c r="Y50" s="216">
        <v>1</v>
      </c>
      <c r="Z50" s="216">
        <v>1</v>
      </c>
      <c r="AA50" s="216">
        <v>1</v>
      </c>
      <c r="AB50" s="216">
        <v>1</v>
      </c>
      <c r="AC50" s="216"/>
      <c r="AD50" s="216"/>
      <c r="AE50" s="41">
        <f t="shared" si="1"/>
        <v>13</v>
      </c>
      <c r="AF50" s="116" t="s">
        <v>699</v>
      </c>
      <c r="AG50" s="189" t="s">
        <v>693</v>
      </c>
    </row>
    <row r="51" spans="1:33" ht="14.25" customHeight="1">
      <c r="A51" s="38" t="s">
        <v>41</v>
      </c>
      <c r="B51" s="188" t="s">
        <v>448</v>
      </c>
      <c r="C51" s="98">
        <v>979187927</v>
      </c>
      <c r="D51" s="39">
        <v>44</v>
      </c>
      <c r="E51" s="214" t="s">
        <v>467</v>
      </c>
      <c r="F51" s="41">
        <f t="shared" si="4"/>
        <v>12</v>
      </c>
      <c r="G51" s="176"/>
      <c r="H51" s="176"/>
      <c r="I51" s="176"/>
      <c r="J51" s="176"/>
      <c r="K51" s="176"/>
      <c r="L51" s="176"/>
      <c r="M51" s="176"/>
      <c r="N51" s="176"/>
      <c r="O51" s="176">
        <v>1</v>
      </c>
      <c r="P51" s="176">
        <v>1</v>
      </c>
      <c r="Q51" s="176">
        <v>1</v>
      </c>
      <c r="R51" s="176">
        <v>1</v>
      </c>
      <c r="S51" s="176">
        <v>1</v>
      </c>
      <c r="T51" s="176"/>
      <c r="U51" s="216">
        <v>1</v>
      </c>
      <c r="V51" s="216">
        <v>1</v>
      </c>
      <c r="W51" s="176">
        <v>1</v>
      </c>
      <c r="X51" s="216">
        <v>1</v>
      </c>
      <c r="Y51" s="176">
        <v>1</v>
      </c>
      <c r="Z51" s="176">
        <v>1</v>
      </c>
      <c r="AA51" s="176">
        <v>1</v>
      </c>
      <c r="AB51" s="176"/>
      <c r="AC51" s="176"/>
      <c r="AD51" s="176"/>
      <c r="AE51" s="41">
        <f t="shared" si="1"/>
        <v>12</v>
      </c>
      <c r="AF51" s="116" t="s">
        <v>373</v>
      </c>
      <c r="AG51" s="189" t="s">
        <v>693</v>
      </c>
    </row>
    <row r="52" spans="1:33" ht="14.25" customHeight="1">
      <c r="A52" s="38" t="s">
        <v>41</v>
      </c>
      <c r="B52" s="188" t="s">
        <v>490</v>
      </c>
      <c r="C52" s="98">
        <v>986286257</v>
      </c>
      <c r="D52" s="99">
        <v>45</v>
      </c>
      <c r="E52" s="214" t="s">
        <v>491</v>
      </c>
      <c r="F52" s="41">
        <f t="shared" si="4"/>
        <v>8</v>
      </c>
      <c r="G52" s="216"/>
      <c r="H52" s="216"/>
      <c r="I52" s="216"/>
      <c r="J52" s="216"/>
      <c r="K52" s="216"/>
      <c r="L52" s="216"/>
      <c r="M52" s="216"/>
      <c r="N52" s="216">
        <v>1</v>
      </c>
      <c r="O52" s="216">
        <v>1</v>
      </c>
      <c r="P52" s="216">
        <v>1</v>
      </c>
      <c r="Q52" s="216">
        <v>1</v>
      </c>
      <c r="R52" s="216">
        <v>1</v>
      </c>
      <c r="S52" s="216">
        <v>1</v>
      </c>
      <c r="T52" s="216">
        <v>1</v>
      </c>
      <c r="U52" s="216">
        <v>1</v>
      </c>
      <c r="V52" s="216"/>
      <c r="W52" s="216"/>
      <c r="X52" s="216"/>
      <c r="Y52" s="216"/>
      <c r="Z52" s="216"/>
      <c r="AA52" s="216"/>
      <c r="AB52" s="216"/>
      <c r="AC52" s="216"/>
      <c r="AD52" s="216"/>
      <c r="AE52" s="41">
        <f t="shared" si="1"/>
        <v>8</v>
      </c>
      <c r="AF52" s="116" t="s">
        <v>288</v>
      </c>
      <c r="AG52" s="189" t="s">
        <v>693</v>
      </c>
    </row>
    <row r="53" spans="1:33" ht="14.25" customHeight="1">
      <c r="A53" s="38" t="s">
        <v>41</v>
      </c>
      <c r="B53" s="188" t="s">
        <v>492</v>
      </c>
      <c r="C53" s="98">
        <v>969776425</v>
      </c>
      <c r="D53" s="86">
        <v>46</v>
      </c>
      <c r="E53" s="214" t="s">
        <v>493</v>
      </c>
      <c r="F53" s="41">
        <f t="shared" si="4"/>
        <v>0</v>
      </c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41">
        <f t="shared" si="1"/>
        <v>0</v>
      </c>
      <c r="AF53" s="116" t="s">
        <v>652</v>
      </c>
      <c r="AG53" s="189" t="s">
        <v>693</v>
      </c>
    </row>
    <row r="54" spans="1:33" ht="14.25" customHeight="1">
      <c r="A54" s="38" t="s">
        <v>41</v>
      </c>
      <c r="B54" s="188" t="s">
        <v>468</v>
      </c>
      <c r="C54" s="98">
        <v>987948960</v>
      </c>
      <c r="D54" s="39">
        <v>47</v>
      </c>
      <c r="E54" s="214" t="s">
        <v>469</v>
      </c>
      <c r="F54" s="41">
        <f t="shared" si="4"/>
        <v>11</v>
      </c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>
        <v>1</v>
      </c>
      <c r="R54" s="216">
        <v>1</v>
      </c>
      <c r="S54" s="216">
        <v>1</v>
      </c>
      <c r="T54" s="216">
        <v>1</v>
      </c>
      <c r="U54" s="216"/>
      <c r="V54" s="216">
        <v>1</v>
      </c>
      <c r="W54" s="216">
        <v>1</v>
      </c>
      <c r="X54" s="216">
        <v>1</v>
      </c>
      <c r="Y54" s="216">
        <v>1</v>
      </c>
      <c r="Z54" s="216">
        <v>1</v>
      </c>
      <c r="AA54" s="216">
        <v>1</v>
      </c>
      <c r="AB54" s="216">
        <v>1</v>
      </c>
      <c r="AC54" s="216"/>
      <c r="AD54" s="216"/>
      <c r="AE54" s="41">
        <f t="shared" si="1"/>
        <v>11</v>
      </c>
      <c r="AF54" s="116" t="s">
        <v>294</v>
      </c>
      <c r="AG54" s="189" t="s">
        <v>693</v>
      </c>
    </row>
    <row r="55" spans="1:33" ht="14.25" customHeight="1">
      <c r="A55" s="38" t="s">
        <v>41</v>
      </c>
      <c r="B55" s="188" t="s">
        <v>494</v>
      </c>
      <c r="C55" s="98">
        <v>992641553</v>
      </c>
      <c r="D55" s="99">
        <v>48</v>
      </c>
      <c r="E55" s="214" t="s">
        <v>495</v>
      </c>
      <c r="F55" s="41">
        <f t="shared" si="4"/>
        <v>0</v>
      </c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41">
        <f t="shared" si="1"/>
        <v>0</v>
      </c>
      <c r="AF55" s="116" t="s">
        <v>652</v>
      </c>
      <c r="AG55" s="189" t="s">
        <v>693</v>
      </c>
    </row>
    <row r="56" spans="1:33" ht="14.25" customHeight="1">
      <c r="A56" s="38" t="s">
        <v>41</v>
      </c>
      <c r="B56" s="188" t="s">
        <v>496</v>
      </c>
      <c r="C56" s="98">
        <v>999013936</v>
      </c>
      <c r="D56" s="39">
        <v>50</v>
      </c>
      <c r="E56" s="214" t="s">
        <v>497</v>
      </c>
      <c r="F56" s="41">
        <f t="shared" si="4"/>
        <v>0</v>
      </c>
      <c r="G56" s="216"/>
      <c r="H56" s="216"/>
      <c r="I56" s="216"/>
      <c r="J56" s="216"/>
      <c r="K56" s="216"/>
      <c r="L56" s="216"/>
      <c r="M56" s="216"/>
      <c r="N56" s="216"/>
      <c r="O56" s="217"/>
      <c r="P56" s="217"/>
      <c r="Q56" s="217"/>
      <c r="R56" s="217"/>
      <c r="S56" s="217"/>
      <c r="T56" s="217"/>
      <c r="U56" s="216"/>
      <c r="V56" s="217"/>
      <c r="W56" s="217"/>
      <c r="X56" s="217"/>
      <c r="Y56" s="217"/>
      <c r="Z56" s="217"/>
      <c r="AA56" s="217"/>
      <c r="AB56" s="216"/>
      <c r="AC56" s="216"/>
      <c r="AD56" s="216"/>
      <c r="AE56" s="41">
        <f t="shared" si="1"/>
        <v>0</v>
      </c>
      <c r="AF56" s="116" t="s">
        <v>346</v>
      </c>
      <c r="AG56" s="189" t="s">
        <v>693</v>
      </c>
    </row>
    <row r="57" spans="1:33" ht="14.25" customHeight="1">
      <c r="A57" s="98"/>
      <c r="B57" s="98"/>
      <c r="C57" s="98"/>
      <c r="D57" s="86">
        <v>1</v>
      </c>
      <c r="E57" s="218" t="s">
        <v>138</v>
      </c>
      <c r="F57" s="41">
        <v>8</v>
      </c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216"/>
      <c r="U57" s="216"/>
      <c r="V57" s="577" t="s">
        <v>320</v>
      </c>
      <c r="W57" s="555"/>
      <c r="X57" s="555"/>
      <c r="Y57" s="555"/>
      <c r="Z57" s="555"/>
      <c r="AA57" s="555"/>
      <c r="AB57" s="555"/>
      <c r="AC57" s="555"/>
      <c r="AD57" s="77"/>
      <c r="AE57" s="41">
        <v>8</v>
      </c>
      <c r="AF57" s="116" t="s">
        <v>218</v>
      </c>
      <c r="AG57" s="189" t="s">
        <v>693</v>
      </c>
    </row>
    <row r="58" spans="1:33" ht="14.25" customHeight="1">
      <c r="A58" s="98"/>
      <c r="B58" s="98"/>
      <c r="C58" s="98"/>
      <c r="D58" s="39">
        <v>2</v>
      </c>
      <c r="E58" s="218" t="s">
        <v>191</v>
      </c>
      <c r="F58" s="41">
        <f t="shared" ref="F58:F59" si="5">SUM(G58:AD58)</f>
        <v>2</v>
      </c>
      <c r="G58" s="77"/>
      <c r="H58" s="77"/>
      <c r="I58" s="77"/>
      <c r="J58" s="77"/>
      <c r="K58" s="77"/>
      <c r="L58" s="77"/>
      <c r="M58" s="77"/>
      <c r="N58" s="577" t="s">
        <v>320</v>
      </c>
      <c r="O58" s="555"/>
      <c r="P58" s="555"/>
      <c r="Q58" s="555"/>
      <c r="R58" s="555"/>
      <c r="S58" s="555"/>
      <c r="T58" s="555"/>
      <c r="U58" s="555"/>
      <c r="V58" s="216"/>
      <c r="W58" s="216">
        <v>1</v>
      </c>
      <c r="X58" s="216">
        <v>1</v>
      </c>
      <c r="Y58" s="77"/>
      <c r="Z58" s="77"/>
      <c r="AA58" s="77"/>
      <c r="AB58" s="77"/>
      <c r="AC58" s="77"/>
      <c r="AD58" s="77"/>
      <c r="AE58" s="41">
        <f t="shared" ref="AE58:AE59" si="6">SUM(G58:AD58)</f>
        <v>2</v>
      </c>
      <c r="AF58" s="116" t="s">
        <v>700</v>
      </c>
      <c r="AG58" s="189" t="s">
        <v>693</v>
      </c>
    </row>
    <row r="59" spans="1:33" ht="14.25" customHeight="1">
      <c r="A59" s="98"/>
      <c r="B59" s="98"/>
      <c r="C59" s="98"/>
      <c r="D59" s="39">
        <v>1</v>
      </c>
      <c r="E59" s="133" t="s">
        <v>363</v>
      </c>
      <c r="F59" s="41">
        <f t="shared" si="5"/>
        <v>0</v>
      </c>
      <c r="G59" s="42"/>
      <c r="H59" s="42"/>
      <c r="I59" s="42"/>
      <c r="J59" s="42"/>
      <c r="K59" s="42"/>
      <c r="L59" s="42"/>
      <c r="M59" s="42"/>
      <c r="N59" s="42"/>
      <c r="O59" s="577" t="s">
        <v>364</v>
      </c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42"/>
      <c r="AA59" s="77"/>
      <c r="AB59" s="42"/>
      <c r="AC59" s="42"/>
      <c r="AD59" s="42"/>
      <c r="AE59" s="41">
        <f t="shared" si="6"/>
        <v>0</v>
      </c>
      <c r="AF59" s="116" t="s">
        <v>66</v>
      </c>
      <c r="AG59" s="189" t="s">
        <v>693</v>
      </c>
    </row>
    <row r="60" spans="1:33" ht="14.25" customHeight="1">
      <c r="A60" s="2"/>
      <c r="B60" s="2"/>
      <c r="C60" s="2"/>
      <c r="D60" s="48"/>
      <c r="E60" s="49"/>
      <c r="F60" s="50"/>
      <c r="G60" s="51" t="s">
        <v>9</v>
      </c>
      <c r="H60" s="51" t="s">
        <v>10</v>
      </c>
      <c r="I60" s="51" t="s">
        <v>11</v>
      </c>
      <c r="J60" s="51" t="s">
        <v>12</v>
      </c>
      <c r="K60" s="51" t="s">
        <v>13</v>
      </c>
      <c r="L60" s="51" t="s">
        <v>14</v>
      </c>
      <c r="M60" s="51" t="s">
        <v>15</v>
      </c>
      <c r="N60" s="51" t="s">
        <v>16</v>
      </c>
      <c r="O60" s="106" t="s">
        <v>17</v>
      </c>
      <c r="P60" s="106" t="s">
        <v>18</v>
      </c>
      <c r="Q60" s="107" t="s">
        <v>19</v>
      </c>
      <c r="R60" s="107" t="s">
        <v>20</v>
      </c>
      <c r="S60" s="107" t="s">
        <v>21</v>
      </c>
      <c r="T60" s="107" t="s">
        <v>22</v>
      </c>
      <c r="U60" s="107" t="s">
        <v>23</v>
      </c>
      <c r="V60" s="107" t="s">
        <v>24</v>
      </c>
      <c r="W60" s="107" t="s">
        <v>25</v>
      </c>
      <c r="X60" s="107" t="s">
        <v>26</v>
      </c>
      <c r="Y60" s="107" t="s">
        <v>27</v>
      </c>
      <c r="Z60" s="107" t="s">
        <v>28</v>
      </c>
      <c r="AA60" s="52" t="s">
        <v>29</v>
      </c>
      <c r="AB60" s="52" t="s">
        <v>30</v>
      </c>
      <c r="AC60" s="52" t="s">
        <v>31</v>
      </c>
      <c r="AD60" s="51" t="s">
        <v>32</v>
      </c>
      <c r="AE60" s="53"/>
      <c r="AF60" s="25"/>
      <c r="AG60" s="25"/>
    </row>
    <row r="61" spans="1:33" ht="14.25" customHeight="1">
      <c r="A61" s="2"/>
      <c r="B61" s="2"/>
      <c r="C61" s="2"/>
      <c r="D61" s="2"/>
      <c r="E61" s="2"/>
      <c r="F61" s="2"/>
      <c r="AE61" s="2"/>
      <c r="AF61" s="2"/>
      <c r="AG61" s="2"/>
    </row>
    <row r="62" spans="1:33" ht="14.25" customHeight="1">
      <c r="A62" s="3"/>
      <c r="B62" s="3"/>
      <c r="C62" s="3"/>
      <c r="D62" s="48"/>
      <c r="E62" s="547" t="s">
        <v>8</v>
      </c>
      <c r="F62" s="548"/>
      <c r="G62" s="191">
        <v>2</v>
      </c>
      <c r="H62" s="191">
        <v>2</v>
      </c>
      <c r="I62" s="191">
        <v>2</v>
      </c>
      <c r="J62" s="191">
        <v>2</v>
      </c>
      <c r="K62" s="191">
        <v>2</v>
      </c>
      <c r="L62" s="191">
        <v>2</v>
      </c>
      <c r="M62" s="192">
        <v>4</v>
      </c>
      <c r="N62" s="193">
        <v>5</v>
      </c>
      <c r="O62" s="222">
        <v>9</v>
      </c>
      <c r="P62" s="310">
        <v>10</v>
      </c>
      <c r="Q62" s="310">
        <v>10</v>
      </c>
      <c r="R62" s="222">
        <v>9</v>
      </c>
      <c r="S62" s="311">
        <v>8</v>
      </c>
      <c r="T62" s="312">
        <v>11</v>
      </c>
      <c r="U62" s="312">
        <v>11</v>
      </c>
      <c r="V62" s="312">
        <v>11</v>
      </c>
      <c r="W62" s="311">
        <v>8</v>
      </c>
      <c r="X62" s="222">
        <v>9</v>
      </c>
      <c r="Y62" s="222">
        <v>9</v>
      </c>
      <c r="Z62" s="311">
        <v>8</v>
      </c>
      <c r="AA62" s="313">
        <v>7</v>
      </c>
      <c r="AB62" s="194">
        <v>6</v>
      </c>
      <c r="AC62" s="192">
        <v>4</v>
      </c>
      <c r="AD62" s="195">
        <v>2</v>
      </c>
      <c r="AE62" s="18">
        <f>SUM(G62:AD62)</f>
        <v>153</v>
      </c>
      <c r="AF62" s="25"/>
      <c r="AG62" s="3"/>
    </row>
    <row r="63" spans="1:33" ht="14.25" customHeight="1">
      <c r="A63" s="3"/>
      <c r="B63" s="3"/>
      <c r="C63" s="3"/>
      <c r="D63" s="48"/>
      <c r="E63" s="59"/>
      <c r="F63" s="59"/>
      <c r="G63" s="28">
        <f t="shared" ref="G63:AD63" si="7">G65-G62</f>
        <v>0</v>
      </c>
      <c r="H63" s="28">
        <f t="shared" si="7"/>
        <v>0</v>
      </c>
      <c r="I63" s="28">
        <f t="shared" si="7"/>
        <v>0</v>
      </c>
      <c r="J63" s="28">
        <f t="shared" si="7"/>
        <v>0</v>
      </c>
      <c r="K63" s="28">
        <f t="shared" si="7"/>
        <v>0</v>
      </c>
      <c r="L63" s="28">
        <f t="shared" si="7"/>
        <v>0</v>
      </c>
      <c r="M63" s="28">
        <f t="shared" si="7"/>
        <v>0</v>
      </c>
      <c r="N63" s="28">
        <f t="shared" si="7"/>
        <v>0</v>
      </c>
      <c r="O63" s="28">
        <f t="shared" si="7"/>
        <v>0</v>
      </c>
      <c r="P63" s="28">
        <f t="shared" si="7"/>
        <v>0</v>
      </c>
      <c r="Q63" s="28">
        <f t="shared" si="7"/>
        <v>0</v>
      </c>
      <c r="R63" s="28">
        <f t="shared" si="7"/>
        <v>0</v>
      </c>
      <c r="S63" s="28">
        <f t="shared" si="7"/>
        <v>1</v>
      </c>
      <c r="T63" s="28">
        <f t="shared" si="7"/>
        <v>0</v>
      </c>
      <c r="U63" s="28">
        <f t="shared" si="7"/>
        <v>0</v>
      </c>
      <c r="V63" s="28">
        <f t="shared" si="7"/>
        <v>0</v>
      </c>
      <c r="W63" s="28">
        <f t="shared" si="7"/>
        <v>0</v>
      </c>
      <c r="X63" s="28">
        <f t="shared" si="7"/>
        <v>0</v>
      </c>
      <c r="Y63" s="28">
        <f t="shared" si="7"/>
        <v>0</v>
      </c>
      <c r="Z63" s="28">
        <f t="shared" si="7"/>
        <v>0</v>
      </c>
      <c r="AA63" s="28">
        <f t="shared" si="7"/>
        <v>0</v>
      </c>
      <c r="AB63" s="28">
        <f t="shared" si="7"/>
        <v>0</v>
      </c>
      <c r="AC63" s="28">
        <f t="shared" si="7"/>
        <v>0</v>
      </c>
      <c r="AD63" s="28">
        <f t="shared" si="7"/>
        <v>0</v>
      </c>
      <c r="AE63" s="53"/>
      <c r="AF63" s="3">
        <v>16</v>
      </c>
      <c r="AG63" s="3">
        <f>AE62/9</f>
        <v>17</v>
      </c>
    </row>
    <row r="64" spans="1:33" ht="14.25" customHeight="1">
      <c r="A64" s="3"/>
      <c r="B64" s="3"/>
      <c r="C64" s="3"/>
      <c r="D64" s="48"/>
      <c r="E64" s="60" t="s">
        <v>145</v>
      </c>
      <c r="F64" s="59"/>
      <c r="G64" s="51" t="s">
        <v>9</v>
      </c>
      <c r="H64" s="51" t="s">
        <v>10</v>
      </c>
      <c r="I64" s="51" t="s">
        <v>11</v>
      </c>
      <c r="J64" s="51" t="s">
        <v>12</v>
      </c>
      <c r="K64" s="51" t="s">
        <v>13</v>
      </c>
      <c r="L64" s="51" t="s">
        <v>14</v>
      </c>
      <c r="M64" s="51" t="s">
        <v>15</v>
      </c>
      <c r="N64" s="51" t="s">
        <v>16</v>
      </c>
      <c r="O64" s="51" t="s">
        <v>17</v>
      </c>
      <c r="P64" s="51" t="s">
        <v>18</v>
      </c>
      <c r="Q64" s="52" t="s">
        <v>19</v>
      </c>
      <c r="R64" s="52" t="s">
        <v>20</v>
      </c>
      <c r="S64" s="52" t="s">
        <v>21</v>
      </c>
      <c r="T64" s="52" t="s">
        <v>22</v>
      </c>
      <c r="U64" s="52" t="s">
        <v>23</v>
      </c>
      <c r="V64" s="52" t="s">
        <v>24</v>
      </c>
      <c r="W64" s="52" t="s">
        <v>25</v>
      </c>
      <c r="X64" s="52" t="s">
        <v>26</v>
      </c>
      <c r="Y64" s="52" t="s">
        <v>27</v>
      </c>
      <c r="Z64" s="52" t="s">
        <v>28</v>
      </c>
      <c r="AA64" s="52" t="s">
        <v>29</v>
      </c>
      <c r="AB64" s="52" t="s">
        <v>30</v>
      </c>
      <c r="AC64" s="52" t="s">
        <v>31</v>
      </c>
      <c r="AD64" s="51" t="s">
        <v>32</v>
      </c>
      <c r="AE64" s="53"/>
      <c r="AF64" s="25"/>
      <c r="AG64" s="3"/>
    </row>
    <row r="65" spans="1:33" ht="14.25" customHeight="1">
      <c r="A65" s="3"/>
      <c r="B65" s="3"/>
      <c r="C65" s="3"/>
      <c r="D65" s="48"/>
      <c r="E65" s="61" t="s">
        <v>37</v>
      </c>
      <c r="F65" s="37" t="s">
        <v>38</v>
      </c>
      <c r="G65" s="35">
        <f t="shared" ref="G65:AD65" si="8">SUM(G66:G82)</f>
        <v>2</v>
      </c>
      <c r="H65" s="35">
        <f t="shared" si="8"/>
        <v>2</v>
      </c>
      <c r="I65" s="35">
        <f t="shared" si="8"/>
        <v>2</v>
      </c>
      <c r="J65" s="35">
        <f t="shared" si="8"/>
        <v>2</v>
      </c>
      <c r="K65" s="35">
        <f t="shared" si="8"/>
        <v>2</v>
      </c>
      <c r="L65" s="35">
        <f t="shared" si="8"/>
        <v>2</v>
      </c>
      <c r="M65" s="35">
        <f t="shared" si="8"/>
        <v>4</v>
      </c>
      <c r="N65" s="35">
        <f t="shared" si="8"/>
        <v>5</v>
      </c>
      <c r="O65" s="35">
        <f t="shared" si="8"/>
        <v>9</v>
      </c>
      <c r="P65" s="35">
        <f t="shared" si="8"/>
        <v>10</v>
      </c>
      <c r="Q65" s="35">
        <f t="shared" si="8"/>
        <v>10</v>
      </c>
      <c r="R65" s="35">
        <f t="shared" si="8"/>
        <v>9</v>
      </c>
      <c r="S65" s="35">
        <f t="shared" si="8"/>
        <v>9</v>
      </c>
      <c r="T65" s="35">
        <f t="shared" si="8"/>
        <v>11</v>
      </c>
      <c r="U65" s="35">
        <f t="shared" si="8"/>
        <v>11</v>
      </c>
      <c r="V65" s="35">
        <f t="shared" si="8"/>
        <v>11</v>
      </c>
      <c r="W65" s="35">
        <f t="shared" si="8"/>
        <v>8</v>
      </c>
      <c r="X65" s="35">
        <f t="shared" si="8"/>
        <v>9</v>
      </c>
      <c r="Y65" s="35">
        <f t="shared" si="8"/>
        <v>9</v>
      </c>
      <c r="Z65" s="35">
        <f t="shared" si="8"/>
        <v>8</v>
      </c>
      <c r="AA65" s="35">
        <f t="shared" si="8"/>
        <v>7</v>
      </c>
      <c r="AB65" s="35">
        <f t="shared" si="8"/>
        <v>6</v>
      </c>
      <c r="AC65" s="35">
        <f t="shared" si="8"/>
        <v>4</v>
      </c>
      <c r="AD65" s="35">
        <f t="shared" si="8"/>
        <v>2</v>
      </c>
      <c r="AE65" s="30">
        <f t="shared" ref="AE65:AE79" si="9">SUM(G65:AD65)</f>
        <v>154</v>
      </c>
      <c r="AF65" s="36" t="s">
        <v>39</v>
      </c>
      <c r="AG65" s="37" t="s">
        <v>40</v>
      </c>
    </row>
    <row r="66" spans="1:33" ht="14.25" customHeight="1">
      <c r="A66" s="38" t="s">
        <v>145</v>
      </c>
      <c r="B66" s="38" t="s">
        <v>67</v>
      </c>
      <c r="C66" s="38">
        <v>968594141</v>
      </c>
      <c r="D66" s="99">
        <v>1</v>
      </c>
      <c r="E66" s="40" t="s">
        <v>68</v>
      </c>
      <c r="F66" s="41">
        <f t="shared" ref="F66:F82" si="10">SUM(G66:AD66)</f>
        <v>11</v>
      </c>
      <c r="G66" s="202"/>
      <c r="H66" s="202"/>
      <c r="I66" s="202"/>
      <c r="J66" s="202"/>
      <c r="K66" s="202"/>
      <c r="L66" s="202"/>
      <c r="M66" s="202">
        <v>1</v>
      </c>
      <c r="N66" s="202">
        <v>1</v>
      </c>
      <c r="O66" s="202">
        <v>1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/>
      <c r="Y66" s="202"/>
      <c r="Z66" s="202"/>
      <c r="AA66" s="202"/>
      <c r="AB66" s="202"/>
      <c r="AC66" s="202"/>
      <c r="AD66" s="202"/>
      <c r="AE66" s="41">
        <f t="shared" si="9"/>
        <v>11</v>
      </c>
      <c r="AF66" s="116" t="s">
        <v>192</v>
      </c>
      <c r="AG66" s="189" t="s">
        <v>693</v>
      </c>
    </row>
    <row r="67" spans="1:33" ht="15" customHeight="1">
      <c r="A67" s="38" t="s">
        <v>145</v>
      </c>
      <c r="B67" s="38" t="s">
        <v>149</v>
      </c>
      <c r="C67" s="38">
        <v>996585473</v>
      </c>
      <c r="D67" s="62">
        <v>2</v>
      </c>
      <c r="E67" s="40" t="s">
        <v>150</v>
      </c>
      <c r="F67" s="41">
        <f t="shared" si="10"/>
        <v>11</v>
      </c>
      <c r="G67" s="202"/>
      <c r="H67" s="202"/>
      <c r="I67" s="202"/>
      <c r="J67" s="202"/>
      <c r="K67" s="202"/>
      <c r="L67" s="202"/>
      <c r="M67" s="202"/>
      <c r="N67" s="202"/>
      <c r="O67" s="202">
        <v>1</v>
      </c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>
        <v>1</v>
      </c>
      <c r="W67" s="202">
        <v>1</v>
      </c>
      <c r="X67" s="202">
        <v>1</v>
      </c>
      <c r="Y67" s="202">
        <v>1</v>
      </c>
      <c r="Z67" s="202"/>
      <c r="AA67" s="202"/>
      <c r="AB67" s="202"/>
      <c r="AC67" s="202"/>
      <c r="AD67" s="202"/>
      <c r="AE67" s="41">
        <f t="shared" si="9"/>
        <v>11</v>
      </c>
      <c r="AF67" s="116" t="s">
        <v>119</v>
      </c>
      <c r="AG67" s="189" t="s">
        <v>693</v>
      </c>
    </row>
    <row r="68" spans="1:33" ht="19.5" customHeight="1">
      <c r="A68" s="38" t="s">
        <v>145</v>
      </c>
      <c r="B68" s="38" t="s">
        <v>76</v>
      </c>
      <c r="C68" s="38">
        <v>997829699</v>
      </c>
      <c r="D68" s="39">
        <v>3</v>
      </c>
      <c r="E68" s="40" t="s">
        <v>77</v>
      </c>
      <c r="F68" s="41">
        <f t="shared" si="10"/>
        <v>8</v>
      </c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305"/>
      <c r="V68" s="202">
        <v>1</v>
      </c>
      <c r="W68" s="202">
        <v>1</v>
      </c>
      <c r="X68" s="202">
        <v>1</v>
      </c>
      <c r="Y68" s="202">
        <v>1</v>
      </c>
      <c r="Z68" s="202">
        <v>1</v>
      </c>
      <c r="AA68" s="202">
        <v>1</v>
      </c>
      <c r="AB68" s="202">
        <v>1</v>
      </c>
      <c r="AC68" s="202">
        <v>1</v>
      </c>
      <c r="AD68" s="202"/>
      <c r="AE68" s="41">
        <f t="shared" si="9"/>
        <v>8</v>
      </c>
      <c r="AF68" s="116" t="s">
        <v>81</v>
      </c>
      <c r="AG68" s="189" t="s">
        <v>693</v>
      </c>
    </row>
    <row r="69" spans="1:33" ht="14.25" customHeight="1">
      <c r="A69" s="38" t="s">
        <v>145</v>
      </c>
      <c r="B69" s="38" t="s">
        <v>152</v>
      </c>
      <c r="C69" s="38"/>
      <c r="D69" s="99">
        <v>4</v>
      </c>
      <c r="E69" s="40" t="s">
        <v>153</v>
      </c>
      <c r="F69" s="41">
        <f t="shared" si="10"/>
        <v>9</v>
      </c>
      <c r="G69" s="202"/>
      <c r="H69" s="202"/>
      <c r="I69" s="202"/>
      <c r="J69" s="202"/>
      <c r="K69" s="202"/>
      <c r="L69" s="202"/>
      <c r="M69" s="202"/>
      <c r="N69" s="202"/>
      <c r="O69" s="202">
        <v>1</v>
      </c>
      <c r="P69" s="202">
        <v>1</v>
      </c>
      <c r="Q69" s="202">
        <v>1</v>
      </c>
      <c r="R69" s="202">
        <v>1</v>
      </c>
      <c r="S69" s="202">
        <v>1</v>
      </c>
      <c r="T69" s="202">
        <v>1</v>
      </c>
      <c r="U69" s="202">
        <v>1</v>
      </c>
      <c r="V69" s="202">
        <v>1</v>
      </c>
      <c r="W69" s="202">
        <v>1</v>
      </c>
      <c r="X69" s="202"/>
      <c r="Y69" s="202"/>
      <c r="Z69" s="202"/>
      <c r="AA69" s="202"/>
      <c r="AB69" s="202"/>
      <c r="AC69" s="202"/>
      <c r="AD69" s="202"/>
      <c r="AE69" s="41">
        <f t="shared" si="9"/>
        <v>9</v>
      </c>
      <c r="AF69" s="116" t="s">
        <v>298</v>
      </c>
      <c r="AG69" s="189" t="s">
        <v>693</v>
      </c>
    </row>
    <row r="70" spans="1:33" ht="14.25" customHeight="1">
      <c r="A70" s="38" t="s">
        <v>145</v>
      </c>
      <c r="B70" s="38" t="s">
        <v>85</v>
      </c>
      <c r="C70" s="38">
        <v>991837641</v>
      </c>
      <c r="D70" s="62">
        <v>5</v>
      </c>
      <c r="E70" s="40" t="s">
        <v>86</v>
      </c>
      <c r="F70" s="41">
        <f t="shared" si="10"/>
        <v>6</v>
      </c>
      <c r="G70" s="216"/>
      <c r="H70" s="216"/>
      <c r="I70" s="216"/>
      <c r="J70" s="216"/>
      <c r="K70" s="216"/>
      <c r="L70" s="216"/>
      <c r="M70" s="202"/>
      <c r="N70" s="202">
        <v>1</v>
      </c>
      <c r="O70" s="202">
        <v>1</v>
      </c>
      <c r="P70" s="202">
        <v>1</v>
      </c>
      <c r="Q70" s="202">
        <v>1</v>
      </c>
      <c r="R70" s="202">
        <v>1</v>
      </c>
      <c r="S70" s="202">
        <v>1</v>
      </c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41">
        <f t="shared" si="9"/>
        <v>6</v>
      </c>
      <c r="AF70" s="116" t="s">
        <v>315</v>
      </c>
      <c r="AG70" s="189" t="s">
        <v>693</v>
      </c>
    </row>
    <row r="71" spans="1:33" ht="14.25" customHeight="1">
      <c r="A71" s="38" t="s">
        <v>145</v>
      </c>
      <c r="B71" s="38" t="s">
        <v>157</v>
      </c>
      <c r="C71" s="38">
        <v>990911747</v>
      </c>
      <c r="D71" s="39">
        <v>6</v>
      </c>
      <c r="E71" s="40" t="s">
        <v>158</v>
      </c>
      <c r="F71" s="41">
        <f t="shared" si="10"/>
        <v>11</v>
      </c>
      <c r="G71" s="202"/>
      <c r="H71" s="202"/>
      <c r="I71" s="202"/>
      <c r="J71" s="202"/>
      <c r="K71" s="202"/>
      <c r="L71" s="202"/>
      <c r="M71" s="202"/>
      <c r="N71" s="202">
        <v>1</v>
      </c>
      <c r="O71" s="202">
        <v>1</v>
      </c>
      <c r="P71" s="202">
        <v>1</v>
      </c>
      <c r="Q71" s="202">
        <v>1</v>
      </c>
      <c r="R71" s="202">
        <v>1</v>
      </c>
      <c r="S71" s="202">
        <v>1</v>
      </c>
      <c r="T71" s="202">
        <v>1</v>
      </c>
      <c r="U71" s="202">
        <v>1</v>
      </c>
      <c r="V71" s="202">
        <v>1</v>
      </c>
      <c r="W71" s="202">
        <v>1</v>
      </c>
      <c r="X71" s="202">
        <v>1</v>
      </c>
      <c r="Y71" s="202"/>
      <c r="Z71" s="202"/>
      <c r="AA71" s="202"/>
      <c r="AB71" s="202"/>
      <c r="AC71" s="202"/>
      <c r="AD71" s="202"/>
      <c r="AE71" s="41">
        <f t="shared" si="9"/>
        <v>11</v>
      </c>
      <c r="AF71" s="116" t="s">
        <v>154</v>
      </c>
      <c r="AG71" s="189" t="s">
        <v>693</v>
      </c>
    </row>
    <row r="72" spans="1:33" ht="14.25" customHeight="1">
      <c r="A72" s="38" t="s">
        <v>145</v>
      </c>
      <c r="B72" s="38" t="s">
        <v>160</v>
      </c>
      <c r="C72" s="38">
        <v>993901115</v>
      </c>
      <c r="D72" s="99">
        <v>7</v>
      </c>
      <c r="E72" s="40" t="s">
        <v>161</v>
      </c>
      <c r="F72" s="41">
        <f t="shared" si="10"/>
        <v>13</v>
      </c>
      <c r="G72" s="202">
        <v>1</v>
      </c>
      <c r="H72" s="202">
        <v>1</v>
      </c>
      <c r="I72" s="202">
        <v>1</v>
      </c>
      <c r="J72" s="202">
        <v>1</v>
      </c>
      <c r="K72" s="202">
        <v>1</v>
      </c>
      <c r="L72" s="202">
        <v>1</v>
      </c>
      <c r="M72" s="202">
        <v>1</v>
      </c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>
        <v>1</v>
      </c>
      <c r="Z72" s="202">
        <v>1</v>
      </c>
      <c r="AA72" s="202">
        <v>1</v>
      </c>
      <c r="AB72" s="202">
        <v>1</v>
      </c>
      <c r="AC72" s="202">
        <v>1</v>
      </c>
      <c r="AD72" s="202">
        <v>1</v>
      </c>
      <c r="AE72" s="41">
        <f t="shared" si="9"/>
        <v>13</v>
      </c>
      <c r="AF72" s="116" t="s">
        <v>280</v>
      </c>
      <c r="AG72" s="189" t="s">
        <v>693</v>
      </c>
    </row>
    <row r="73" spans="1:33" ht="14.25" customHeight="1">
      <c r="A73" s="38" t="s">
        <v>145</v>
      </c>
      <c r="B73" s="38" t="s">
        <v>165</v>
      </c>
      <c r="C73" s="38">
        <v>992994680</v>
      </c>
      <c r="D73" s="62">
        <v>8</v>
      </c>
      <c r="E73" s="40" t="s">
        <v>166</v>
      </c>
      <c r="F73" s="41">
        <f t="shared" si="10"/>
        <v>0</v>
      </c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41">
        <f t="shared" si="9"/>
        <v>0</v>
      </c>
      <c r="AF73" s="116" t="s">
        <v>225</v>
      </c>
      <c r="AG73" s="189" t="s">
        <v>693</v>
      </c>
    </row>
    <row r="74" spans="1:33" ht="14.25" customHeight="1">
      <c r="A74" s="38" t="s">
        <v>145</v>
      </c>
      <c r="B74" s="38" t="s">
        <v>168</v>
      </c>
      <c r="C74" s="38"/>
      <c r="D74" s="39">
        <v>9</v>
      </c>
      <c r="E74" s="40" t="s">
        <v>169</v>
      </c>
      <c r="F74" s="41">
        <f t="shared" si="10"/>
        <v>12</v>
      </c>
      <c r="G74" s="202"/>
      <c r="H74" s="202"/>
      <c r="I74" s="202"/>
      <c r="J74" s="202"/>
      <c r="K74" s="202"/>
      <c r="L74" s="202"/>
      <c r="M74" s="202"/>
      <c r="N74" s="202"/>
      <c r="O74" s="202"/>
      <c r="P74" s="202">
        <v>1</v>
      </c>
      <c r="Q74" s="202">
        <v>1</v>
      </c>
      <c r="R74" s="202"/>
      <c r="S74" s="202">
        <v>1</v>
      </c>
      <c r="T74" s="202">
        <v>1</v>
      </c>
      <c r="U74" s="202">
        <v>1</v>
      </c>
      <c r="V74" s="202">
        <v>1</v>
      </c>
      <c r="W74" s="202">
        <v>1</v>
      </c>
      <c r="X74" s="202">
        <v>1</v>
      </c>
      <c r="Y74" s="202">
        <v>1</v>
      </c>
      <c r="Z74" s="202">
        <v>1</v>
      </c>
      <c r="AA74" s="202">
        <v>1</v>
      </c>
      <c r="AB74" s="202">
        <v>1</v>
      </c>
      <c r="AC74" s="202"/>
      <c r="AD74" s="202"/>
      <c r="AE74" s="41">
        <f t="shared" si="9"/>
        <v>12</v>
      </c>
      <c r="AF74" s="116" t="s">
        <v>701</v>
      </c>
      <c r="AG74" s="189" t="s">
        <v>693</v>
      </c>
    </row>
    <row r="75" spans="1:33" ht="14.25" customHeight="1">
      <c r="A75" s="98" t="s">
        <v>145</v>
      </c>
      <c r="B75" s="98" t="s">
        <v>176</v>
      </c>
      <c r="C75" s="98"/>
      <c r="D75" s="99">
        <v>10</v>
      </c>
      <c r="E75" s="40" t="s">
        <v>177</v>
      </c>
      <c r="F75" s="41">
        <f t="shared" si="10"/>
        <v>12</v>
      </c>
      <c r="G75" s="202"/>
      <c r="H75" s="202"/>
      <c r="I75" s="202"/>
      <c r="J75" s="202"/>
      <c r="K75" s="202"/>
      <c r="L75" s="202"/>
      <c r="M75" s="202"/>
      <c r="N75" s="202"/>
      <c r="O75" s="202">
        <v>1</v>
      </c>
      <c r="P75" s="202">
        <v>1</v>
      </c>
      <c r="Q75" s="202">
        <v>1</v>
      </c>
      <c r="R75" s="202">
        <v>1</v>
      </c>
      <c r="S75" s="202"/>
      <c r="T75" s="202">
        <v>1</v>
      </c>
      <c r="U75" s="202">
        <v>1</v>
      </c>
      <c r="V75" s="202">
        <v>1</v>
      </c>
      <c r="W75" s="202">
        <v>1</v>
      </c>
      <c r="X75" s="202">
        <v>1</v>
      </c>
      <c r="Y75" s="202">
        <v>1</v>
      </c>
      <c r="Z75" s="202">
        <v>1</v>
      </c>
      <c r="AA75" s="202">
        <v>1</v>
      </c>
      <c r="AB75" s="202"/>
      <c r="AC75" s="202"/>
      <c r="AD75" s="202"/>
      <c r="AE75" s="41">
        <f t="shared" si="9"/>
        <v>12</v>
      </c>
      <c r="AF75" s="116" t="s">
        <v>394</v>
      </c>
      <c r="AG75" s="189" t="s">
        <v>693</v>
      </c>
    </row>
    <row r="76" spans="1:33" ht="14.25" customHeight="1">
      <c r="A76" s="38" t="s">
        <v>145</v>
      </c>
      <c r="B76" s="38" t="s">
        <v>178</v>
      </c>
      <c r="C76" s="38"/>
      <c r="D76" s="62">
        <v>11</v>
      </c>
      <c r="E76" s="40" t="s">
        <v>179</v>
      </c>
      <c r="F76" s="41">
        <f t="shared" si="10"/>
        <v>12</v>
      </c>
      <c r="G76" s="202">
        <v>1</v>
      </c>
      <c r="H76" s="202">
        <v>1</v>
      </c>
      <c r="I76" s="202">
        <v>1</v>
      </c>
      <c r="J76" s="202">
        <v>1</v>
      </c>
      <c r="K76" s="202">
        <v>1</v>
      </c>
      <c r="L76" s="202">
        <v>1</v>
      </c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>
        <v>1</v>
      </c>
      <c r="Z76" s="202">
        <v>1</v>
      </c>
      <c r="AA76" s="202">
        <v>1</v>
      </c>
      <c r="AB76" s="202">
        <v>1</v>
      </c>
      <c r="AC76" s="202">
        <v>1</v>
      </c>
      <c r="AD76" s="202">
        <v>1</v>
      </c>
      <c r="AE76" s="41">
        <f t="shared" si="9"/>
        <v>12</v>
      </c>
      <c r="AF76" s="116" t="s">
        <v>280</v>
      </c>
      <c r="AG76" s="189" t="s">
        <v>693</v>
      </c>
    </row>
    <row r="77" spans="1:33" ht="14.25" customHeight="1">
      <c r="A77" s="38" t="s">
        <v>145</v>
      </c>
      <c r="B77" s="38" t="s">
        <v>181</v>
      </c>
      <c r="C77" s="38"/>
      <c r="D77" s="39">
        <v>12</v>
      </c>
      <c r="E77" s="40" t="s">
        <v>182</v>
      </c>
      <c r="F77" s="41">
        <f t="shared" si="10"/>
        <v>9</v>
      </c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>
        <v>1</v>
      </c>
      <c r="U77" s="202">
        <v>1</v>
      </c>
      <c r="V77" s="202">
        <v>1</v>
      </c>
      <c r="W77" s="305"/>
      <c r="X77" s="202">
        <v>1</v>
      </c>
      <c r="Y77" s="202">
        <v>1</v>
      </c>
      <c r="Z77" s="202">
        <v>1</v>
      </c>
      <c r="AA77" s="202">
        <v>1</v>
      </c>
      <c r="AB77" s="202">
        <v>1</v>
      </c>
      <c r="AC77" s="202">
        <v>1</v>
      </c>
      <c r="AD77" s="202"/>
      <c r="AE77" s="41">
        <f t="shared" si="9"/>
        <v>9</v>
      </c>
      <c r="AF77" s="116" t="s">
        <v>175</v>
      </c>
      <c r="AG77" s="189" t="s">
        <v>693</v>
      </c>
    </row>
    <row r="78" spans="1:33" ht="14.25" customHeight="1">
      <c r="A78" s="38" t="s">
        <v>145</v>
      </c>
      <c r="B78" s="38" t="s">
        <v>107</v>
      </c>
      <c r="C78" s="38">
        <v>981074073</v>
      </c>
      <c r="D78" s="99">
        <v>13</v>
      </c>
      <c r="E78" s="40" t="s">
        <v>108</v>
      </c>
      <c r="F78" s="41">
        <f t="shared" si="10"/>
        <v>11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02">
        <v>1</v>
      </c>
      <c r="P78" s="202">
        <v>1</v>
      </c>
      <c r="Q78" s="202">
        <v>1</v>
      </c>
      <c r="R78" s="202">
        <v>1</v>
      </c>
      <c r="S78" s="202">
        <v>1</v>
      </c>
      <c r="T78" s="202">
        <v>1</v>
      </c>
      <c r="U78" s="202">
        <v>1</v>
      </c>
      <c r="V78" s="202">
        <v>1</v>
      </c>
      <c r="W78" s="202"/>
      <c r="X78" s="202">
        <v>1</v>
      </c>
      <c r="Y78" s="202"/>
      <c r="Z78" s="202"/>
      <c r="AA78" s="202"/>
      <c r="AB78" s="202"/>
      <c r="AC78" s="202"/>
      <c r="AD78" s="202"/>
      <c r="AE78" s="41">
        <f t="shared" si="9"/>
        <v>11</v>
      </c>
      <c r="AF78" s="116" t="s">
        <v>453</v>
      </c>
      <c r="AG78" s="189" t="s">
        <v>693</v>
      </c>
    </row>
    <row r="79" spans="1:33" ht="14.25" customHeight="1">
      <c r="A79" s="38" t="s">
        <v>145</v>
      </c>
      <c r="B79" s="38" t="s">
        <v>167</v>
      </c>
      <c r="C79" s="38">
        <v>995055956</v>
      </c>
      <c r="D79" s="117">
        <v>14</v>
      </c>
      <c r="E79" s="100" t="s">
        <v>144</v>
      </c>
      <c r="F79" s="41">
        <f t="shared" si="10"/>
        <v>11</v>
      </c>
      <c r="G79" s="202"/>
      <c r="H79" s="202"/>
      <c r="I79" s="202"/>
      <c r="J79" s="202"/>
      <c r="K79" s="202"/>
      <c r="L79" s="202"/>
      <c r="M79" s="202"/>
      <c r="N79" s="202"/>
      <c r="O79" s="202">
        <v>1</v>
      </c>
      <c r="P79" s="202">
        <v>1</v>
      </c>
      <c r="Q79" s="202">
        <v>1</v>
      </c>
      <c r="R79" s="202">
        <v>1</v>
      </c>
      <c r="S79" s="202">
        <v>1</v>
      </c>
      <c r="T79" s="202">
        <v>1</v>
      </c>
      <c r="U79" s="305"/>
      <c r="V79" s="202">
        <v>1</v>
      </c>
      <c r="W79" s="202">
        <v>1</v>
      </c>
      <c r="X79" s="202">
        <v>1</v>
      </c>
      <c r="Y79" s="202">
        <v>1</v>
      </c>
      <c r="Z79" s="202">
        <v>1</v>
      </c>
      <c r="AA79" s="202"/>
      <c r="AB79" s="202"/>
      <c r="AC79" s="202"/>
      <c r="AD79" s="202"/>
      <c r="AE79" s="41">
        <f t="shared" si="9"/>
        <v>11</v>
      </c>
      <c r="AF79" s="116" t="s">
        <v>66</v>
      </c>
      <c r="AG79" s="189" t="s">
        <v>693</v>
      </c>
    </row>
    <row r="80" spans="1:33" ht="14.25" customHeight="1">
      <c r="A80" s="38" t="s">
        <v>145</v>
      </c>
      <c r="B80" s="38" t="s">
        <v>173</v>
      </c>
      <c r="C80" s="38">
        <v>988941361</v>
      </c>
      <c r="D80" s="99">
        <v>15</v>
      </c>
      <c r="E80" s="100" t="s">
        <v>174</v>
      </c>
      <c r="F80" s="41">
        <f t="shared" si="10"/>
        <v>1</v>
      </c>
      <c r="G80" s="202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202">
        <v>1</v>
      </c>
      <c r="V80" s="580" t="s">
        <v>209</v>
      </c>
      <c r="W80" s="555"/>
      <c r="X80" s="555"/>
      <c r="Y80" s="555"/>
      <c r="Z80" s="555"/>
      <c r="AA80" s="555"/>
      <c r="AB80" s="555"/>
      <c r="AC80" s="542"/>
      <c r="AD80" s="176"/>
      <c r="AE80" s="41">
        <v>8</v>
      </c>
      <c r="AF80" s="116" t="s">
        <v>81</v>
      </c>
      <c r="AG80" s="189" t="s">
        <v>693</v>
      </c>
    </row>
    <row r="81" spans="1:33" ht="14.25" customHeight="1">
      <c r="A81" s="76" t="s">
        <v>145</v>
      </c>
      <c r="B81" s="76" t="s">
        <v>97</v>
      </c>
      <c r="C81" s="38"/>
      <c r="D81" s="99">
        <v>16</v>
      </c>
      <c r="E81" s="100" t="s">
        <v>98</v>
      </c>
      <c r="F81" s="41">
        <f t="shared" si="10"/>
        <v>8</v>
      </c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>
        <v>1</v>
      </c>
      <c r="U81" s="202">
        <v>1</v>
      </c>
      <c r="V81" s="202">
        <v>1</v>
      </c>
      <c r="W81" s="305"/>
      <c r="X81" s="202">
        <v>1</v>
      </c>
      <c r="Y81" s="202">
        <v>1</v>
      </c>
      <c r="Z81" s="202">
        <v>1</v>
      </c>
      <c r="AA81" s="202">
        <v>1</v>
      </c>
      <c r="AB81" s="202">
        <v>1</v>
      </c>
      <c r="AC81" s="202"/>
      <c r="AD81" s="202"/>
      <c r="AE81" s="41">
        <f t="shared" ref="AE81:AE82" si="11">SUM(G81:AD81)</f>
        <v>8</v>
      </c>
      <c r="AF81" s="116" t="s">
        <v>255</v>
      </c>
      <c r="AG81" s="189" t="s">
        <v>693</v>
      </c>
    </row>
    <row r="82" spans="1:33" ht="14.25" customHeight="1">
      <c r="A82" s="38" t="s">
        <v>145</v>
      </c>
      <c r="B82" s="38" t="s">
        <v>183</v>
      </c>
      <c r="C82" s="38"/>
      <c r="D82" s="39">
        <v>17</v>
      </c>
      <c r="E82" s="40" t="s">
        <v>184</v>
      </c>
      <c r="F82" s="41">
        <f t="shared" si="10"/>
        <v>9</v>
      </c>
      <c r="G82" s="202"/>
      <c r="H82" s="202"/>
      <c r="I82" s="202"/>
      <c r="J82" s="202"/>
      <c r="K82" s="202"/>
      <c r="L82" s="202"/>
      <c r="M82" s="202">
        <v>1</v>
      </c>
      <c r="N82" s="202">
        <v>1</v>
      </c>
      <c r="O82" s="202">
        <v>1</v>
      </c>
      <c r="P82" s="202">
        <v>1</v>
      </c>
      <c r="Q82" s="202">
        <v>1</v>
      </c>
      <c r="R82" s="202">
        <v>1</v>
      </c>
      <c r="S82" s="202">
        <v>1</v>
      </c>
      <c r="T82" s="202">
        <v>1</v>
      </c>
      <c r="U82" s="202">
        <v>1</v>
      </c>
      <c r="V82" s="202"/>
      <c r="W82" s="202"/>
      <c r="X82" s="202"/>
      <c r="Y82" s="202"/>
      <c r="Z82" s="202"/>
      <c r="AA82" s="202"/>
      <c r="AB82" s="202"/>
      <c r="AC82" s="202"/>
      <c r="AD82" s="202"/>
      <c r="AE82" s="41">
        <f t="shared" si="11"/>
        <v>9</v>
      </c>
      <c r="AF82" s="116" t="s">
        <v>244</v>
      </c>
      <c r="AG82" s="189" t="s">
        <v>693</v>
      </c>
    </row>
    <row r="83" spans="1:33" ht="14.25" customHeight="1">
      <c r="A83" s="3"/>
      <c r="B83" s="3"/>
      <c r="C83" s="3"/>
      <c r="D83" s="3"/>
      <c r="E83" s="3"/>
      <c r="F83" s="3"/>
      <c r="G83" s="65" t="s">
        <v>9</v>
      </c>
      <c r="H83" s="65" t="s">
        <v>10</v>
      </c>
      <c r="I83" s="65" t="s">
        <v>11</v>
      </c>
      <c r="J83" s="65" t="s">
        <v>12</v>
      </c>
      <c r="K83" s="65" t="s">
        <v>13</v>
      </c>
      <c r="L83" s="65" t="s">
        <v>14</v>
      </c>
      <c r="M83" s="65" t="s">
        <v>15</v>
      </c>
      <c r="N83" s="65" t="s">
        <v>16</v>
      </c>
      <c r="O83" s="65" t="s">
        <v>17</v>
      </c>
      <c r="P83" s="65" t="s">
        <v>18</v>
      </c>
      <c r="Q83" s="66" t="s">
        <v>19</v>
      </c>
      <c r="R83" s="66" t="s">
        <v>20</v>
      </c>
      <c r="S83" s="66" t="s">
        <v>21</v>
      </c>
      <c r="T83" s="66" t="s">
        <v>22</v>
      </c>
      <c r="U83" s="66" t="s">
        <v>23</v>
      </c>
      <c r="V83" s="66" t="s">
        <v>24</v>
      </c>
      <c r="W83" s="66" t="s">
        <v>25</v>
      </c>
      <c r="X83" s="66" t="s">
        <v>26</v>
      </c>
      <c r="Y83" s="66" t="s">
        <v>27</v>
      </c>
      <c r="Z83" s="66" t="s">
        <v>28</v>
      </c>
      <c r="AA83" s="66" t="s">
        <v>29</v>
      </c>
      <c r="AB83" s="66" t="s">
        <v>30</v>
      </c>
      <c r="AC83" s="66" t="s">
        <v>31</v>
      </c>
      <c r="AD83" s="65" t="s">
        <v>32</v>
      </c>
      <c r="AE83" s="53"/>
      <c r="AF83" s="3"/>
      <c r="AG83" s="3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</sheetData>
  <customSheetViews>
    <customSheetView guid="{833D6734-F5E1-4449-B5A1-8C3A51A61651}" filter="1" showAutoFilter="1">
      <pageMargins left="0.7" right="0.7" top="0.75" bottom="0.75" header="0.3" footer="0.3"/>
      <autoFilter ref="A7:AG84" xr:uid="{CB44CB54-C3FD-4BD2-A571-7C60A47752F4}">
        <filterColumn colId="26">
          <filters>
            <filter val="-"/>
            <filter val="1"/>
            <filter val="7"/>
            <filter val="MONITOREOS"/>
            <filter val="VIP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84" xr:uid="{F94AE5A8-900B-4F5B-B7CC-FB96F5E2E16F}">
        <filterColumn colId="15">
          <filters>
            <filter val="-"/>
            <filter val="1"/>
            <filter val="11"/>
            <filter val="30"/>
            <filter val="MONITOREOS"/>
            <filter val="SEGUIMIENTO TRANSFERENCIAS"/>
            <filter val="VIP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84" xr:uid="{2502CE16-A13D-408E-98F8-C23CEC1F273E}"/>
    </customSheetView>
  </customSheetViews>
  <mergeCells count="13">
    <mergeCell ref="V80:AC80"/>
    <mergeCell ref="A1:B1"/>
    <mergeCell ref="D3:AE3"/>
    <mergeCell ref="E4:F4"/>
    <mergeCell ref="E5:F5"/>
    <mergeCell ref="S37:Z37"/>
    <mergeCell ref="V40:AC40"/>
    <mergeCell ref="V41:AC41"/>
    <mergeCell ref="V43:AC43"/>
    <mergeCell ref="V57:AC57"/>
    <mergeCell ref="N58:U58"/>
    <mergeCell ref="O59:Z59"/>
    <mergeCell ref="E62:F62"/>
  </mergeCells>
  <conditionalFormatting sqref="E4:F4 E62:F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4:AB64 N83:AB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G96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29.140625" customWidth="1"/>
    <col min="33" max="33" width="27.7109375" customWidth="1"/>
  </cols>
  <sheetData>
    <row r="1" spans="1:33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31</v>
      </c>
      <c r="AG3" s="3">
        <f>AE4/13</f>
        <v>24.76923076923077</v>
      </c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4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14</v>
      </c>
      <c r="N4" s="204">
        <v>14</v>
      </c>
      <c r="O4" s="204">
        <v>22</v>
      </c>
      <c r="P4" s="204">
        <v>17</v>
      </c>
      <c r="Q4" s="204">
        <v>20</v>
      </c>
      <c r="R4" s="204">
        <v>20</v>
      </c>
      <c r="S4" s="204">
        <v>19</v>
      </c>
      <c r="T4" s="204">
        <v>19</v>
      </c>
      <c r="U4" s="204">
        <v>20</v>
      </c>
      <c r="V4" s="204">
        <v>19</v>
      </c>
      <c r="W4" s="204">
        <v>20</v>
      </c>
      <c r="X4" s="204">
        <v>17</v>
      </c>
      <c r="Y4" s="204">
        <v>15</v>
      </c>
      <c r="Z4" s="204">
        <v>21</v>
      </c>
      <c r="AA4" s="204">
        <v>20</v>
      </c>
      <c r="AB4" s="204">
        <v>15</v>
      </c>
      <c r="AC4" s="204">
        <v>7</v>
      </c>
      <c r="AD4" s="204">
        <v>4</v>
      </c>
      <c r="AE4" s="18">
        <f>SUM(G4:AD4)</f>
        <v>322</v>
      </c>
      <c r="AF4" s="3"/>
      <c r="AG4" s="3"/>
    </row>
    <row r="5" spans="1:33" ht="62.25">
      <c r="A5" s="3"/>
      <c r="B5" s="2"/>
      <c r="C5" s="2"/>
      <c r="D5" s="19"/>
      <c r="E5" s="569">
        <v>22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84">
        <f t="shared" si="0"/>
        <v>-1</v>
      </c>
      <c r="N6" s="84">
        <f t="shared" si="0"/>
        <v>-1</v>
      </c>
      <c r="O6" s="84">
        <f t="shared" si="0"/>
        <v>-1</v>
      </c>
      <c r="P6" s="28">
        <f t="shared" si="0"/>
        <v>-1</v>
      </c>
      <c r="Q6" s="84">
        <f t="shared" si="0"/>
        <v>-1</v>
      </c>
      <c r="R6" s="84">
        <f t="shared" si="0"/>
        <v>2</v>
      </c>
      <c r="S6" s="28">
        <f t="shared" si="0"/>
        <v>0</v>
      </c>
      <c r="T6" s="84">
        <f t="shared" si="0"/>
        <v>0</v>
      </c>
      <c r="U6" s="28">
        <f t="shared" si="0"/>
        <v>0</v>
      </c>
      <c r="V6" s="28">
        <f t="shared" si="0"/>
        <v>0</v>
      </c>
      <c r="W6" s="84">
        <f t="shared" si="0"/>
        <v>-1</v>
      </c>
      <c r="X6" s="84">
        <f t="shared" si="0"/>
        <v>-1</v>
      </c>
      <c r="Y6" s="84">
        <f t="shared" si="0"/>
        <v>0</v>
      </c>
      <c r="Z6" s="84">
        <f t="shared" si="0"/>
        <v>-4</v>
      </c>
      <c r="AA6" s="84">
        <f t="shared" si="0"/>
        <v>-4</v>
      </c>
      <c r="AB6" s="84">
        <f t="shared" si="0"/>
        <v>-3</v>
      </c>
      <c r="AC6" s="28">
        <f t="shared" si="0"/>
        <v>0</v>
      </c>
      <c r="AD6" s="28">
        <f t="shared" si="0"/>
        <v>0</v>
      </c>
      <c r="AE6" s="29">
        <f t="shared" ref="AE6:AE49" si="1">SUM(G6:AD6)</f>
        <v>-16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13</v>
      </c>
      <c r="N7" s="172">
        <f t="shared" si="2"/>
        <v>13</v>
      </c>
      <c r="O7" s="172">
        <f t="shared" si="2"/>
        <v>21</v>
      </c>
      <c r="P7" s="172">
        <f t="shared" si="2"/>
        <v>16</v>
      </c>
      <c r="Q7" s="172">
        <f t="shared" si="2"/>
        <v>19</v>
      </c>
      <c r="R7" s="172">
        <f t="shared" si="2"/>
        <v>22</v>
      </c>
      <c r="S7" s="172">
        <f t="shared" si="2"/>
        <v>19</v>
      </c>
      <c r="T7" s="172">
        <f t="shared" si="2"/>
        <v>19</v>
      </c>
      <c r="U7" s="172">
        <f t="shared" si="2"/>
        <v>20</v>
      </c>
      <c r="V7" s="172">
        <f t="shared" si="2"/>
        <v>19</v>
      </c>
      <c r="W7" s="172">
        <f t="shared" si="2"/>
        <v>19</v>
      </c>
      <c r="X7" s="172">
        <f t="shared" si="2"/>
        <v>16</v>
      </c>
      <c r="Y7" s="172">
        <f t="shared" si="2"/>
        <v>15</v>
      </c>
      <c r="Z7" s="172">
        <f t="shared" si="2"/>
        <v>17</v>
      </c>
      <c r="AA7" s="172">
        <f t="shared" si="2"/>
        <v>16</v>
      </c>
      <c r="AB7" s="172">
        <f t="shared" si="2"/>
        <v>12</v>
      </c>
      <c r="AC7" s="172">
        <f t="shared" si="2"/>
        <v>7</v>
      </c>
      <c r="AD7" s="172">
        <f t="shared" si="2"/>
        <v>4</v>
      </c>
      <c r="AE7" s="168">
        <f t="shared" si="1"/>
        <v>306</v>
      </c>
      <c r="AF7" s="36" t="s">
        <v>39</v>
      </c>
      <c r="AG7" s="197" t="s">
        <v>40</v>
      </c>
    </row>
    <row r="8" spans="1:33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16" si="3">SUM(G8:AD8)</f>
        <v>10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10</v>
      </c>
      <c r="AF8" s="116" t="s">
        <v>556</v>
      </c>
      <c r="AG8" s="189" t="s">
        <v>693</v>
      </c>
    </row>
    <row r="9" spans="1:33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7</v>
      </c>
      <c r="G9" s="216"/>
      <c r="H9" s="216"/>
      <c r="I9" s="216"/>
      <c r="J9" s="216"/>
      <c r="K9" s="216"/>
      <c r="L9" s="216"/>
      <c r="M9" s="216">
        <v>1</v>
      </c>
      <c r="N9" s="216">
        <v>1</v>
      </c>
      <c r="O9" s="216">
        <v>1</v>
      </c>
      <c r="P9" s="314" t="s">
        <v>47</v>
      </c>
      <c r="Q9" s="216">
        <v>1</v>
      </c>
      <c r="R9" s="216">
        <v>1</v>
      </c>
      <c r="S9" s="216">
        <v>1</v>
      </c>
      <c r="T9" s="285" t="s">
        <v>47</v>
      </c>
      <c r="U9" s="216">
        <v>1</v>
      </c>
      <c r="V9" s="216"/>
      <c r="W9" s="216"/>
      <c r="X9" s="216"/>
      <c r="Y9" s="216"/>
      <c r="Z9" s="216"/>
      <c r="AA9" s="216"/>
      <c r="AB9" s="216"/>
      <c r="AC9" s="216"/>
      <c r="AD9" s="216"/>
      <c r="AE9" s="41">
        <f t="shared" si="1"/>
        <v>7</v>
      </c>
      <c r="AF9" s="315" t="s">
        <v>244</v>
      </c>
      <c r="AG9" s="189" t="s">
        <v>693</v>
      </c>
    </row>
    <row r="10" spans="1:33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7</v>
      </c>
      <c r="G10" s="216"/>
      <c r="H10" s="216"/>
      <c r="I10" s="216"/>
      <c r="J10" s="216"/>
      <c r="K10" s="216"/>
      <c r="L10" s="216"/>
      <c r="M10" s="216">
        <v>1</v>
      </c>
      <c r="N10" s="216">
        <v>1</v>
      </c>
      <c r="O10" s="216">
        <v>1</v>
      </c>
      <c r="P10" s="314" t="s">
        <v>47</v>
      </c>
      <c r="Q10" s="216">
        <v>1</v>
      </c>
      <c r="R10" s="216">
        <v>1</v>
      </c>
      <c r="S10" s="216">
        <v>1</v>
      </c>
      <c r="T10" s="285" t="s">
        <v>47</v>
      </c>
      <c r="U10" s="216">
        <v>1</v>
      </c>
      <c r="V10" s="216"/>
      <c r="W10" s="216"/>
      <c r="X10" s="216"/>
      <c r="Y10" s="216"/>
      <c r="Z10" s="216"/>
      <c r="AA10" s="216"/>
      <c r="AB10" s="216"/>
      <c r="AC10" s="216"/>
      <c r="AD10" s="216"/>
      <c r="AE10" s="41">
        <f t="shared" si="1"/>
        <v>7</v>
      </c>
      <c r="AF10" s="315" t="s">
        <v>244</v>
      </c>
      <c r="AG10" s="189" t="s">
        <v>693</v>
      </c>
    </row>
    <row r="11" spans="1:33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8</v>
      </c>
      <c r="G11" s="176"/>
      <c r="H11" s="176"/>
      <c r="I11" s="176"/>
      <c r="J11" s="176"/>
      <c r="K11" s="176"/>
      <c r="L11" s="176"/>
      <c r="M11" s="216">
        <v>1</v>
      </c>
      <c r="N11" s="216">
        <v>1</v>
      </c>
      <c r="O11" s="176">
        <v>1</v>
      </c>
      <c r="P11" s="314" t="s">
        <v>47</v>
      </c>
      <c r="Q11" s="176">
        <v>1</v>
      </c>
      <c r="R11" s="176">
        <v>1</v>
      </c>
      <c r="S11" s="216">
        <v>1</v>
      </c>
      <c r="T11" s="176">
        <v>1</v>
      </c>
      <c r="U11" s="176">
        <v>1</v>
      </c>
      <c r="V11" s="176"/>
      <c r="W11" s="176"/>
      <c r="X11" s="176"/>
      <c r="Y11" s="176"/>
      <c r="Z11" s="176"/>
      <c r="AA11" s="176"/>
      <c r="AB11" s="176"/>
      <c r="AC11" s="176"/>
      <c r="AD11" s="176"/>
      <c r="AE11" s="41">
        <f t="shared" si="1"/>
        <v>8</v>
      </c>
      <c r="AF11" s="315" t="s">
        <v>244</v>
      </c>
      <c r="AG11" s="189" t="s">
        <v>693</v>
      </c>
    </row>
    <row r="12" spans="1:33" ht="14.25" customHeight="1">
      <c r="A12" s="38" t="s">
        <v>41</v>
      </c>
      <c r="B12" s="38" t="s">
        <v>59</v>
      </c>
      <c r="C12" s="38"/>
      <c r="D12" s="99">
        <v>6</v>
      </c>
      <c r="E12" s="208" t="s">
        <v>60</v>
      </c>
      <c r="F12" s="41">
        <f t="shared" si="3"/>
        <v>11</v>
      </c>
      <c r="G12" s="176"/>
      <c r="H12" s="176"/>
      <c r="I12" s="176"/>
      <c r="J12" s="176"/>
      <c r="K12" s="290"/>
      <c r="L12" s="290"/>
      <c r="M12" s="290"/>
      <c r="N12" s="290"/>
      <c r="O12" s="290">
        <v>1</v>
      </c>
      <c r="P12" s="314" t="s">
        <v>47</v>
      </c>
      <c r="Q12" s="290">
        <v>1</v>
      </c>
      <c r="R12" s="290">
        <v>1</v>
      </c>
      <c r="S12" s="290">
        <v>1</v>
      </c>
      <c r="T12" s="285" t="s">
        <v>47</v>
      </c>
      <c r="U12" s="290"/>
      <c r="V12" s="290">
        <v>1</v>
      </c>
      <c r="W12" s="290">
        <v>1</v>
      </c>
      <c r="X12" s="290">
        <v>1</v>
      </c>
      <c r="Y12" s="290">
        <v>1</v>
      </c>
      <c r="Z12" s="290">
        <v>1</v>
      </c>
      <c r="AA12" s="290">
        <v>1</v>
      </c>
      <c r="AB12" s="290">
        <v>1</v>
      </c>
      <c r="AC12" s="290"/>
      <c r="AD12" s="290"/>
      <c r="AE12" s="41">
        <f t="shared" si="1"/>
        <v>11</v>
      </c>
      <c r="AF12" s="116" t="s">
        <v>407</v>
      </c>
      <c r="AG12" s="189" t="s">
        <v>693</v>
      </c>
    </row>
    <row r="13" spans="1:33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7</v>
      </c>
      <c r="G13" s="216"/>
      <c r="H13" s="216"/>
      <c r="I13" s="216"/>
      <c r="J13" s="216"/>
      <c r="K13" s="216"/>
      <c r="L13" s="216"/>
      <c r="M13" s="216">
        <v>1</v>
      </c>
      <c r="N13" s="216">
        <v>1</v>
      </c>
      <c r="O13" s="216">
        <v>1</v>
      </c>
      <c r="P13" s="314" t="s">
        <v>47</v>
      </c>
      <c r="Q13" s="216">
        <v>1</v>
      </c>
      <c r="R13" s="216">
        <v>1</v>
      </c>
      <c r="S13" s="216">
        <v>1</v>
      </c>
      <c r="T13" s="285" t="s">
        <v>47</v>
      </c>
      <c r="U13" s="216">
        <v>1</v>
      </c>
      <c r="V13" s="216"/>
      <c r="W13" s="216"/>
      <c r="X13" s="216"/>
      <c r="Y13" s="216"/>
      <c r="Z13" s="216"/>
      <c r="AA13" s="216"/>
      <c r="AB13" s="216"/>
      <c r="AC13" s="216"/>
      <c r="AD13" s="216"/>
      <c r="AE13" s="41">
        <f t="shared" si="1"/>
        <v>7</v>
      </c>
      <c r="AF13" s="315" t="s">
        <v>244</v>
      </c>
      <c r="AG13" s="189" t="s">
        <v>693</v>
      </c>
    </row>
    <row r="14" spans="1:33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11</v>
      </c>
      <c r="G14" s="216"/>
      <c r="H14" s="216"/>
      <c r="I14" s="216"/>
      <c r="J14" s="216"/>
      <c r="K14" s="216"/>
      <c r="L14" s="216"/>
      <c r="M14" s="216">
        <v>1</v>
      </c>
      <c r="N14" s="216">
        <v>1</v>
      </c>
      <c r="O14" s="216">
        <v>1</v>
      </c>
      <c r="P14" s="314" t="s">
        <v>47</v>
      </c>
      <c r="Q14" s="216">
        <v>1</v>
      </c>
      <c r="R14" s="216">
        <v>1</v>
      </c>
      <c r="S14" s="216">
        <v>1</v>
      </c>
      <c r="T14" s="285" t="s">
        <v>47</v>
      </c>
      <c r="U14" s="216">
        <v>1</v>
      </c>
      <c r="V14" s="216">
        <v>1</v>
      </c>
      <c r="W14" s="216">
        <v>1</v>
      </c>
      <c r="X14" s="216">
        <v>1</v>
      </c>
      <c r="Y14" s="216">
        <v>1</v>
      </c>
      <c r="Z14" s="216"/>
      <c r="AA14" s="216"/>
      <c r="AB14" s="216"/>
      <c r="AC14" s="216"/>
      <c r="AD14" s="216"/>
      <c r="AE14" s="41">
        <f t="shared" si="1"/>
        <v>11</v>
      </c>
      <c r="AF14" s="315" t="s">
        <v>261</v>
      </c>
      <c r="AG14" s="189" t="s">
        <v>693</v>
      </c>
    </row>
    <row r="15" spans="1:33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7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216"/>
      <c r="W15" s="216">
        <v>1</v>
      </c>
      <c r="X15" s="176">
        <v>1</v>
      </c>
      <c r="Y15" s="176">
        <v>1</v>
      </c>
      <c r="Z15" s="176">
        <v>1</v>
      </c>
      <c r="AA15" s="176">
        <v>1</v>
      </c>
      <c r="AB15" s="176">
        <v>1</v>
      </c>
      <c r="AC15" s="176">
        <v>1</v>
      </c>
      <c r="AD15" s="176"/>
      <c r="AE15" s="41">
        <f t="shared" si="1"/>
        <v>7</v>
      </c>
      <c r="AF15" s="116" t="s">
        <v>226</v>
      </c>
      <c r="AG15" s="189" t="s">
        <v>693</v>
      </c>
    </row>
    <row r="16" spans="1:33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7</v>
      </c>
      <c r="G16" s="216"/>
      <c r="H16" s="216"/>
      <c r="I16" s="216"/>
      <c r="J16" s="216"/>
      <c r="K16" s="216"/>
      <c r="L16" s="216"/>
      <c r="M16" s="216">
        <v>1</v>
      </c>
      <c r="N16" s="216">
        <v>1</v>
      </c>
      <c r="O16" s="216">
        <v>1</v>
      </c>
      <c r="P16" s="314" t="s">
        <v>47</v>
      </c>
      <c r="Q16" s="216">
        <v>1</v>
      </c>
      <c r="R16" s="216">
        <v>1</v>
      </c>
      <c r="S16" s="216">
        <v>1</v>
      </c>
      <c r="T16" s="285" t="s">
        <v>47</v>
      </c>
      <c r="U16" s="216">
        <v>1</v>
      </c>
      <c r="V16" s="216"/>
      <c r="W16" s="216"/>
      <c r="X16" s="216"/>
      <c r="Y16" s="216"/>
      <c r="Z16" s="216"/>
      <c r="AA16" s="216"/>
      <c r="AB16" s="216"/>
      <c r="AC16" s="216"/>
      <c r="AD16" s="216"/>
      <c r="AE16" s="41">
        <f t="shared" si="1"/>
        <v>7</v>
      </c>
      <c r="AF16" s="315" t="s">
        <v>244</v>
      </c>
      <c r="AG16" s="189" t="s">
        <v>693</v>
      </c>
    </row>
    <row r="17" spans="1:33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v>12</v>
      </c>
      <c r="G17" s="42"/>
      <c r="H17" s="77"/>
      <c r="I17" s="77"/>
      <c r="J17" s="77"/>
      <c r="K17" s="77"/>
      <c r="L17" s="77"/>
      <c r="M17" s="216"/>
      <c r="N17" s="216">
        <v>1</v>
      </c>
      <c r="O17" s="216">
        <v>1</v>
      </c>
      <c r="P17" s="308" t="s">
        <v>471</v>
      </c>
      <c r="Q17" s="308"/>
      <c r="R17" s="308"/>
      <c r="S17" s="308"/>
      <c r="T17" s="308"/>
      <c r="U17" s="308"/>
      <c r="V17" s="308"/>
      <c r="W17" s="308"/>
      <c r="X17" s="308"/>
      <c r="Y17" s="308"/>
      <c r="Z17" s="308"/>
      <c r="AA17" s="176"/>
      <c r="AB17" s="176"/>
      <c r="AC17" s="42"/>
      <c r="AD17" s="42"/>
      <c r="AE17" s="41">
        <f t="shared" si="1"/>
        <v>2</v>
      </c>
      <c r="AF17" s="116" t="s">
        <v>263</v>
      </c>
      <c r="AG17" s="189" t="s">
        <v>693</v>
      </c>
    </row>
    <row r="18" spans="1:33" ht="14.25" customHeight="1">
      <c r="A18" s="76" t="s">
        <v>41</v>
      </c>
      <c r="B18" s="76" t="s">
        <v>198</v>
      </c>
      <c r="C18" s="76"/>
      <c r="D18" s="39">
        <v>17</v>
      </c>
      <c r="E18" s="175" t="s">
        <v>99</v>
      </c>
      <c r="F18" s="41">
        <f t="shared" ref="F18:F49" si="4">SUM(G18:AD18)</f>
        <v>7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285" t="s">
        <v>47</v>
      </c>
      <c r="V18" s="176">
        <v>1</v>
      </c>
      <c r="W18" s="176">
        <v>1</v>
      </c>
      <c r="X18" s="176">
        <v>1</v>
      </c>
      <c r="Y18" s="176">
        <v>1</v>
      </c>
      <c r="Z18" s="176">
        <v>1</v>
      </c>
      <c r="AA18" s="176">
        <v>1</v>
      </c>
      <c r="AB18" s="176">
        <v>1</v>
      </c>
      <c r="AC18" s="176"/>
      <c r="AD18" s="176"/>
      <c r="AE18" s="41">
        <f t="shared" si="1"/>
        <v>7</v>
      </c>
      <c r="AF18" s="116" t="s">
        <v>78</v>
      </c>
      <c r="AG18" s="189" t="s">
        <v>693</v>
      </c>
    </row>
    <row r="19" spans="1:33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175" t="s">
        <v>102</v>
      </c>
      <c r="F19" s="41">
        <f t="shared" si="4"/>
        <v>10</v>
      </c>
      <c r="G19" s="176"/>
      <c r="H19" s="176"/>
      <c r="I19" s="176"/>
      <c r="J19" s="176"/>
      <c r="K19" s="176"/>
      <c r="L19" s="176"/>
      <c r="M19" s="176">
        <v>1</v>
      </c>
      <c r="N19" s="176">
        <v>1</v>
      </c>
      <c r="O19" s="176">
        <v>1</v>
      </c>
      <c r="P19" s="314" t="s">
        <v>47</v>
      </c>
      <c r="Q19" s="176">
        <v>1</v>
      </c>
      <c r="R19" s="176">
        <v>1</v>
      </c>
      <c r="S19" s="216">
        <v>1</v>
      </c>
      <c r="T19" s="285" t="s">
        <v>47</v>
      </c>
      <c r="U19" s="176">
        <v>1</v>
      </c>
      <c r="V19" s="176">
        <v>1</v>
      </c>
      <c r="W19" s="176">
        <v>1</v>
      </c>
      <c r="X19" s="176">
        <v>1</v>
      </c>
      <c r="Y19" s="176"/>
      <c r="Z19" s="176"/>
      <c r="AA19" s="176"/>
      <c r="AB19" s="176"/>
      <c r="AC19" s="176"/>
      <c r="AD19" s="176"/>
      <c r="AE19" s="41">
        <f t="shared" si="1"/>
        <v>10</v>
      </c>
      <c r="AF19" s="116" t="s">
        <v>84</v>
      </c>
      <c r="AG19" s="189" t="s">
        <v>693</v>
      </c>
    </row>
    <row r="20" spans="1:33" ht="14.25" customHeight="1">
      <c r="A20" s="38" t="s">
        <v>41</v>
      </c>
      <c r="B20" s="38" t="s">
        <v>103</v>
      </c>
      <c r="C20" s="38"/>
      <c r="D20" s="86">
        <v>19</v>
      </c>
      <c r="E20" s="208" t="s">
        <v>104</v>
      </c>
      <c r="F20" s="41">
        <f t="shared" si="4"/>
        <v>9</v>
      </c>
      <c r="G20" s="216"/>
      <c r="H20" s="216"/>
      <c r="I20" s="216"/>
      <c r="J20" s="216"/>
      <c r="K20" s="216"/>
      <c r="L20" s="216"/>
      <c r="M20" s="216"/>
      <c r="N20" s="216"/>
      <c r="O20" s="216"/>
      <c r="P20" s="314" t="s">
        <v>47</v>
      </c>
      <c r="Q20" s="216">
        <v>1</v>
      </c>
      <c r="R20" s="216">
        <v>1</v>
      </c>
      <c r="S20" s="285" t="s">
        <v>47</v>
      </c>
      <c r="T20" s="285" t="s">
        <v>47</v>
      </c>
      <c r="U20" s="216">
        <v>1</v>
      </c>
      <c r="V20" s="216"/>
      <c r="W20" s="216">
        <v>1</v>
      </c>
      <c r="X20" s="216">
        <v>1</v>
      </c>
      <c r="Y20" s="216">
        <v>1</v>
      </c>
      <c r="Z20" s="216">
        <v>1</v>
      </c>
      <c r="AA20" s="216">
        <v>1</v>
      </c>
      <c r="AB20" s="216">
        <v>1</v>
      </c>
      <c r="AC20" s="216"/>
      <c r="AD20" s="216"/>
      <c r="AE20" s="41">
        <f t="shared" si="1"/>
        <v>9</v>
      </c>
      <c r="AF20" s="315" t="s">
        <v>289</v>
      </c>
      <c r="AG20" s="189" t="s">
        <v>693</v>
      </c>
    </row>
    <row r="21" spans="1:33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4"/>
        <v>5</v>
      </c>
      <c r="G21" s="216"/>
      <c r="H21" s="216"/>
      <c r="I21" s="216"/>
      <c r="J21" s="216"/>
      <c r="K21" s="216"/>
      <c r="L21" s="216"/>
      <c r="M21" s="216">
        <v>1</v>
      </c>
      <c r="N21" s="176">
        <v>1</v>
      </c>
      <c r="O21" s="176">
        <v>1</v>
      </c>
      <c r="P21" s="176">
        <v>1</v>
      </c>
      <c r="Q21" s="314" t="s">
        <v>47</v>
      </c>
      <c r="R21" s="176">
        <v>1</v>
      </c>
      <c r="S21" s="285" t="s">
        <v>47</v>
      </c>
      <c r="T21" s="17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41">
        <f t="shared" si="1"/>
        <v>5</v>
      </c>
      <c r="AF21" s="116" t="s">
        <v>379</v>
      </c>
      <c r="AG21" s="189" t="s">
        <v>693</v>
      </c>
    </row>
    <row r="22" spans="1:33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4"/>
        <v>10</v>
      </c>
      <c r="G22" s="176"/>
      <c r="H22" s="176"/>
      <c r="I22" s="176"/>
      <c r="J22" s="176"/>
      <c r="K22" s="176"/>
      <c r="L22" s="176"/>
      <c r="M22" s="176">
        <v>1</v>
      </c>
      <c r="N22" s="176">
        <v>1</v>
      </c>
      <c r="O22" s="176">
        <v>1</v>
      </c>
      <c r="P22" s="176">
        <v>1</v>
      </c>
      <c r="Q22" s="314" t="s">
        <v>47</v>
      </c>
      <c r="R22" s="176">
        <v>1</v>
      </c>
      <c r="S22" s="285" t="s">
        <v>47</v>
      </c>
      <c r="T22" s="176">
        <v>1</v>
      </c>
      <c r="U22" s="176">
        <v>1</v>
      </c>
      <c r="V22" s="176">
        <v>1</v>
      </c>
      <c r="W22" s="176">
        <v>1</v>
      </c>
      <c r="X22" s="176">
        <v>1</v>
      </c>
      <c r="Y22" s="176"/>
      <c r="Z22" s="176"/>
      <c r="AA22" s="176"/>
      <c r="AB22" s="176"/>
      <c r="AC22" s="176"/>
      <c r="AD22" s="176"/>
      <c r="AE22" s="41">
        <f t="shared" si="1"/>
        <v>10</v>
      </c>
      <c r="AF22" s="116" t="s">
        <v>84</v>
      </c>
      <c r="AG22" s="189" t="s">
        <v>693</v>
      </c>
    </row>
    <row r="23" spans="1:33" ht="14.25" customHeight="1">
      <c r="A23" s="98" t="s">
        <v>41</v>
      </c>
      <c r="B23" s="98" t="s">
        <v>111</v>
      </c>
      <c r="C23" s="98"/>
      <c r="D23" s="39">
        <v>23</v>
      </c>
      <c r="E23" s="208" t="s">
        <v>112</v>
      </c>
      <c r="F23" s="41">
        <f t="shared" si="4"/>
        <v>10</v>
      </c>
      <c r="G23" s="216"/>
      <c r="H23" s="216"/>
      <c r="I23" s="216"/>
      <c r="J23" s="216"/>
      <c r="K23" s="216"/>
      <c r="L23" s="216"/>
      <c r="M23" s="216">
        <v>1</v>
      </c>
      <c r="N23" s="216">
        <v>1</v>
      </c>
      <c r="O23" s="216">
        <v>1</v>
      </c>
      <c r="P23" s="216">
        <v>1</v>
      </c>
      <c r="Q23" s="314" t="s">
        <v>47</v>
      </c>
      <c r="R23" s="216">
        <v>1</v>
      </c>
      <c r="S23" s="285" t="s">
        <v>47</v>
      </c>
      <c r="T23" s="216">
        <v>1</v>
      </c>
      <c r="U23" s="216">
        <v>1</v>
      </c>
      <c r="V23" s="216">
        <v>1</v>
      </c>
      <c r="W23" s="216">
        <v>1</v>
      </c>
      <c r="X23" s="216">
        <v>1</v>
      </c>
      <c r="Y23" s="216"/>
      <c r="Z23" s="216"/>
      <c r="AA23" s="216"/>
      <c r="AB23" s="216"/>
      <c r="AC23" s="216"/>
      <c r="AD23" s="216"/>
      <c r="AE23" s="41">
        <f t="shared" si="1"/>
        <v>10</v>
      </c>
      <c r="AF23" s="116" t="s">
        <v>84</v>
      </c>
      <c r="AG23" s="189" t="s">
        <v>693</v>
      </c>
    </row>
    <row r="24" spans="1:33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4"/>
        <v>11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87">
        <v>1</v>
      </c>
      <c r="AB24" s="187">
        <v>1</v>
      </c>
      <c r="AC24" s="187">
        <v>1</v>
      </c>
      <c r="AD24" s="187">
        <v>1</v>
      </c>
      <c r="AE24" s="41">
        <f t="shared" si="1"/>
        <v>11</v>
      </c>
      <c r="AF24" s="116" t="s">
        <v>424</v>
      </c>
      <c r="AG24" s="189" t="s">
        <v>693</v>
      </c>
    </row>
    <row r="25" spans="1:33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4"/>
        <v>11</v>
      </c>
      <c r="G25" s="176"/>
      <c r="H25" s="176"/>
      <c r="I25" s="290"/>
      <c r="J25" s="290"/>
      <c r="K25" s="290"/>
      <c r="L25" s="290"/>
      <c r="M25" s="290"/>
      <c r="N25" s="290"/>
      <c r="O25" s="290">
        <v>1</v>
      </c>
      <c r="P25" s="290">
        <v>1</v>
      </c>
      <c r="Q25" s="314" t="s">
        <v>47</v>
      </c>
      <c r="R25" s="290">
        <v>1</v>
      </c>
      <c r="S25" s="285" t="s">
        <v>47</v>
      </c>
      <c r="T25" s="290">
        <v>1</v>
      </c>
      <c r="U25" s="290">
        <v>1</v>
      </c>
      <c r="V25" s="290">
        <v>1</v>
      </c>
      <c r="W25" s="290">
        <v>1</v>
      </c>
      <c r="X25" s="290">
        <v>1</v>
      </c>
      <c r="Y25" s="290">
        <v>1</v>
      </c>
      <c r="Z25" s="290">
        <v>1</v>
      </c>
      <c r="AA25" s="290">
        <v>1</v>
      </c>
      <c r="AB25" s="290"/>
      <c r="AC25" s="290"/>
      <c r="AD25" s="290"/>
      <c r="AE25" s="41">
        <f t="shared" si="1"/>
        <v>11</v>
      </c>
      <c r="AF25" s="116" t="s">
        <v>329</v>
      </c>
      <c r="AG25" s="189" t="s">
        <v>693</v>
      </c>
    </row>
    <row r="26" spans="1:33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4"/>
        <v>11</v>
      </c>
      <c r="G26" s="176"/>
      <c r="H26" s="176"/>
      <c r="I26" s="176"/>
      <c r="J26" s="176"/>
      <c r="K26" s="176"/>
      <c r="L26" s="176"/>
      <c r="M26" s="176"/>
      <c r="N26" s="176"/>
      <c r="O26" s="176">
        <v>1</v>
      </c>
      <c r="P26" s="176">
        <v>1</v>
      </c>
      <c r="Q26" s="314" t="s">
        <v>47</v>
      </c>
      <c r="R26" s="176">
        <v>1</v>
      </c>
      <c r="S26" s="285" t="s">
        <v>47</v>
      </c>
      <c r="T26" s="176">
        <v>1</v>
      </c>
      <c r="U26" s="176">
        <v>1</v>
      </c>
      <c r="V26" s="216">
        <v>1</v>
      </c>
      <c r="W26" s="176">
        <v>1</v>
      </c>
      <c r="X26" s="176">
        <v>1</v>
      </c>
      <c r="Y26" s="176">
        <v>1</v>
      </c>
      <c r="Z26" s="176">
        <v>1</v>
      </c>
      <c r="AA26" s="176">
        <v>1</v>
      </c>
      <c r="AB26" s="176"/>
      <c r="AC26" s="176"/>
      <c r="AD26" s="176"/>
      <c r="AE26" s="41">
        <f t="shared" si="1"/>
        <v>11</v>
      </c>
      <c r="AF26" s="116" t="s">
        <v>329</v>
      </c>
      <c r="AG26" s="189" t="s">
        <v>693</v>
      </c>
    </row>
    <row r="27" spans="1:33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4"/>
        <v>0</v>
      </c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577" t="s">
        <v>364</v>
      </c>
      <c r="T27" s="555"/>
      <c r="U27" s="555"/>
      <c r="V27" s="555"/>
      <c r="W27" s="555"/>
      <c r="X27" s="555"/>
      <c r="Y27" s="555"/>
      <c r="Z27" s="542"/>
      <c r="AA27" s="250"/>
      <c r="AB27" s="250"/>
      <c r="AC27" s="250"/>
      <c r="AD27" s="250"/>
      <c r="AE27" s="41">
        <f t="shared" si="1"/>
        <v>0</v>
      </c>
      <c r="AF27" s="116" t="s">
        <v>365</v>
      </c>
      <c r="AG27" s="189" t="s">
        <v>693</v>
      </c>
    </row>
    <row r="28" spans="1:33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4"/>
        <v>7</v>
      </c>
      <c r="G28" s="309"/>
      <c r="H28" s="309"/>
      <c r="I28" s="309"/>
      <c r="J28" s="309"/>
      <c r="K28" s="309"/>
      <c r="L28" s="309"/>
      <c r="M28" s="309">
        <v>1</v>
      </c>
      <c r="N28" s="309">
        <v>1</v>
      </c>
      <c r="O28" s="309">
        <v>1</v>
      </c>
      <c r="P28" s="309">
        <v>1</v>
      </c>
      <c r="Q28" s="314" t="s">
        <v>47</v>
      </c>
      <c r="R28" s="309">
        <v>1</v>
      </c>
      <c r="S28" s="285" t="s">
        <v>47</v>
      </c>
      <c r="T28" s="309">
        <v>1</v>
      </c>
      <c r="U28" s="309">
        <v>1</v>
      </c>
      <c r="V28" s="309"/>
      <c r="W28" s="216"/>
      <c r="X28" s="309"/>
      <c r="Y28" s="309"/>
      <c r="Z28" s="309"/>
      <c r="AA28" s="309"/>
      <c r="AB28" s="309"/>
      <c r="AC28" s="309"/>
      <c r="AD28" s="309"/>
      <c r="AE28" s="41">
        <f t="shared" si="1"/>
        <v>7</v>
      </c>
      <c r="AF28" s="315" t="s">
        <v>244</v>
      </c>
      <c r="AG28" s="189" t="s">
        <v>693</v>
      </c>
    </row>
    <row r="29" spans="1:33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4"/>
        <v>10</v>
      </c>
      <c r="G29" s="290">
        <v>1</v>
      </c>
      <c r="H29" s="290">
        <v>1</v>
      </c>
      <c r="I29" s="290">
        <v>1</v>
      </c>
      <c r="J29" s="290">
        <v>1</v>
      </c>
      <c r="K29" s="290">
        <v>1</v>
      </c>
      <c r="L29" s="290">
        <v>1</v>
      </c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309"/>
      <c r="X29" s="290"/>
      <c r="Y29" s="290"/>
      <c r="Z29" s="290"/>
      <c r="AA29" s="187">
        <v>1</v>
      </c>
      <c r="AB29" s="187">
        <v>1</v>
      </c>
      <c r="AC29" s="187">
        <v>1</v>
      </c>
      <c r="AD29" s="187">
        <v>1</v>
      </c>
      <c r="AE29" s="41">
        <f t="shared" si="1"/>
        <v>10</v>
      </c>
      <c r="AF29" s="116" t="s">
        <v>556</v>
      </c>
      <c r="AG29" s="189" t="s">
        <v>693</v>
      </c>
    </row>
    <row r="30" spans="1:33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4"/>
        <v>4</v>
      </c>
      <c r="G30" s="176"/>
      <c r="H30" s="176"/>
      <c r="I30" s="176"/>
      <c r="J30" s="176"/>
      <c r="K30" s="176"/>
      <c r="L30" s="176"/>
      <c r="M30" s="176"/>
      <c r="N30" s="176"/>
      <c r="O30" s="176"/>
      <c r="P30" s="176">
        <v>1</v>
      </c>
      <c r="Q30" s="314" t="s">
        <v>47</v>
      </c>
      <c r="R30" s="176">
        <v>1</v>
      </c>
      <c r="S30" s="176">
        <v>1</v>
      </c>
      <c r="T30" s="176">
        <v>1</v>
      </c>
      <c r="U30" s="285" t="s">
        <v>47</v>
      </c>
      <c r="V30" s="580" t="s">
        <v>209</v>
      </c>
      <c r="W30" s="555"/>
      <c r="X30" s="555"/>
      <c r="Y30" s="555"/>
      <c r="Z30" s="555"/>
      <c r="AA30" s="555"/>
      <c r="AB30" s="555"/>
      <c r="AC30" s="542"/>
      <c r="AD30" s="176"/>
      <c r="AE30" s="41">
        <f t="shared" si="1"/>
        <v>4</v>
      </c>
      <c r="AF30" s="116" t="s">
        <v>48</v>
      </c>
      <c r="AG30" s="189" t="s">
        <v>693</v>
      </c>
    </row>
    <row r="31" spans="1:33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f t="shared" si="4"/>
        <v>10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314" t="s">
        <v>47</v>
      </c>
      <c r="R31" s="176">
        <v>1</v>
      </c>
      <c r="S31" s="176">
        <v>1</v>
      </c>
      <c r="T31" s="216">
        <v>1</v>
      </c>
      <c r="U31" s="285" t="s">
        <v>47</v>
      </c>
      <c r="V31" s="176">
        <v>1</v>
      </c>
      <c r="W31" s="176">
        <v>1</v>
      </c>
      <c r="X31" s="176">
        <v>1</v>
      </c>
      <c r="Y31" s="176"/>
      <c r="Z31" s="176">
        <v>1</v>
      </c>
      <c r="AA31" s="176">
        <v>1</v>
      </c>
      <c r="AB31" s="176">
        <v>1</v>
      </c>
      <c r="AC31" s="176">
        <v>1</v>
      </c>
      <c r="AD31" s="176"/>
      <c r="AE31" s="41">
        <f t="shared" si="1"/>
        <v>10</v>
      </c>
      <c r="AF31" s="292" t="s">
        <v>633</v>
      </c>
      <c r="AG31" s="189" t="s">
        <v>693</v>
      </c>
    </row>
    <row r="32" spans="1:33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si="4"/>
        <v>11</v>
      </c>
      <c r="G32" s="216">
        <v>1</v>
      </c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>
        <v>1</v>
      </c>
      <c r="T32" s="309">
        <v>1</v>
      </c>
      <c r="U32" s="285" t="s">
        <v>47</v>
      </c>
      <c r="V32" s="309">
        <v>1</v>
      </c>
      <c r="W32" s="290">
        <v>1</v>
      </c>
      <c r="X32" s="290">
        <v>1</v>
      </c>
      <c r="Y32" s="290"/>
      <c r="Z32" s="290">
        <v>1</v>
      </c>
      <c r="AA32" s="187">
        <v>1</v>
      </c>
      <c r="AB32" s="187">
        <v>1</v>
      </c>
      <c r="AC32" s="187">
        <v>1</v>
      </c>
      <c r="AD32" s="187">
        <v>1</v>
      </c>
      <c r="AE32" s="41">
        <f t="shared" si="1"/>
        <v>11</v>
      </c>
      <c r="AF32" s="292" t="s">
        <v>702</v>
      </c>
      <c r="AG32" s="189" t="s">
        <v>693</v>
      </c>
    </row>
    <row r="33" spans="1:33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4"/>
        <v>3</v>
      </c>
      <c r="G33" s="176"/>
      <c r="H33" s="176"/>
      <c r="I33" s="176"/>
      <c r="J33" s="176"/>
      <c r="K33" s="176"/>
      <c r="L33" s="176"/>
      <c r="M33" s="176"/>
      <c r="N33" s="176"/>
      <c r="O33" s="176"/>
      <c r="P33" s="176">
        <v>1</v>
      </c>
      <c r="Q33" s="176">
        <v>1</v>
      </c>
      <c r="R33" s="314" t="s">
        <v>47</v>
      </c>
      <c r="S33" s="216">
        <v>1</v>
      </c>
      <c r="T33" s="176"/>
      <c r="U33" s="285" t="s">
        <v>47</v>
      </c>
      <c r="V33" s="580" t="s">
        <v>209</v>
      </c>
      <c r="W33" s="555"/>
      <c r="X33" s="555"/>
      <c r="Y33" s="555"/>
      <c r="Z33" s="555"/>
      <c r="AA33" s="555"/>
      <c r="AB33" s="555"/>
      <c r="AC33" s="542"/>
      <c r="AD33" s="176"/>
      <c r="AE33" s="41">
        <f t="shared" si="1"/>
        <v>3</v>
      </c>
      <c r="AF33" s="315" t="s">
        <v>703</v>
      </c>
      <c r="AG33" s="189" t="s">
        <v>693</v>
      </c>
    </row>
    <row r="34" spans="1:33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4"/>
        <v>11</v>
      </c>
      <c r="G34" s="176"/>
      <c r="H34" s="176"/>
      <c r="I34" s="176"/>
      <c r="J34" s="176"/>
      <c r="K34" s="176"/>
      <c r="L34" s="176"/>
      <c r="M34" s="176">
        <v>1</v>
      </c>
      <c r="N34" s="176">
        <v>1</v>
      </c>
      <c r="O34" s="176">
        <v>1</v>
      </c>
      <c r="P34" s="295">
        <v>1</v>
      </c>
      <c r="Q34" s="295">
        <v>1</v>
      </c>
      <c r="R34" s="295">
        <v>1</v>
      </c>
      <c r="S34" s="295">
        <v>1</v>
      </c>
      <c r="T34" s="295">
        <v>1</v>
      </c>
      <c r="U34" s="285" t="s">
        <v>47</v>
      </c>
      <c r="V34" s="176">
        <v>1</v>
      </c>
      <c r="W34" s="176">
        <v>1</v>
      </c>
      <c r="X34" s="176">
        <v>1</v>
      </c>
      <c r="Y34" s="176"/>
      <c r="Z34" s="176"/>
      <c r="AA34" s="176"/>
      <c r="AB34" s="176"/>
      <c r="AC34" s="176"/>
      <c r="AD34" s="176"/>
      <c r="AE34" s="41">
        <f t="shared" si="1"/>
        <v>11</v>
      </c>
      <c r="AF34" s="315" t="s">
        <v>84</v>
      </c>
      <c r="AG34" s="189" t="s">
        <v>693</v>
      </c>
    </row>
    <row r="35" spans="1:33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4" t="s">
        <v>457</v>
      </c>
      <c r="F35" s="41">
        <f t="shared" si="4"/>
        <v>3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316"/>
      <c r="Q35" s="316"/>
      <c r="R35" s="317"/>
      <c r="S35" s="316"/>
      <c r="T35" s="316"/>
      <c r="U35" s="317"/>
      <c r="V35" s="317"/>
      <c r="W35" s="316"/>
      <c r="X35" s="316"/>
      <c r="Y35" s="316"/>
      <c r="Z35" s="176">
        <v>1</v>
      </c>
      <c r="AA35" s="176">
        <v>1</v>
      </c>
      <c r="AB35" s="176"/>
      <c r="AC35" s="176"/>
      <c r="AD35" s="176"/>
      <c r="AE35" s="41">
        <f t="shared" si="1"/>
        <v>3</v>
      </c>
      <c r="AF35" s="116" t="s">
        <v>329</v>
      </c>
      <c r="AG35" s="189" t="s">
        <v>693</v>
      </c>
    </row>
    <row r="36" spans="1:33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4" t="s">
        <v>460</v>
      </c>
      <c r="F36" s="41">
        <f t="shared" si="4"/>
        <v>12</v>
      </c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>
        <v>1</v>
      </c>
      <c r="R36" s="314" t="s">
        <v>47</v>
      </c>
      <c r="S36" s="176">
        <v>1</v>
      </c>
      <c r="T36" s="176">
        <v>1</v>
      </c>
      <c r="U36" s="176">
        <v>1</v>
      </c>
      <c r="V36" s="176">
        <v>1</v>
      </c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>
        <v>1</v>
      </c>
      <c r="AC36" s="176">
        <v>1</v>
      </c>
      <c r="AD36" s="176"/>
      <c r="AE36" s="41">
        <f t="shared" si="1"/>
        <v>12</v>
      </c>
      <c r="AF36" s="116" t="s">
        <v>359</v>
      </c>
      <c r="AG36" s="189" t="s">
        <v>693</v>
      </c>
    </row>
    <row r="37" spans="1:33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4" t="s">
        <v>461</v>
      </c>
      <c r="F37" s="41">
        <f t="shared" si="4"/>
        <v>11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314" t="s">
        <v>47</v>
      </c>
      <c r="S37" s="216">
        <v>1</v>
      </c>
      <c r="T37" s="176">
        <v>1</v>
      </c>
      <c r="U37" s="285" t="s">
        <v>47</v>
      </c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/>
      <c r="AC37" s="176"/>
      <c r="AD37" s="176"/>
      <c r="AE37" s="41">
        <f t="shared" si="1"/>
        <v>11</v>
      </c>
      <c r="AF37" s="116" t="s">
        <v>329</v>
      </c>
      <c r="AG37" s="189" t="s">
        <v>693</v>
      </c>
    </row>
    <row r="38" spans="1:33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4" t="s">
        <v>463</v>
      </c>
      <c r="F38" s="41">
        <f t="shared" si="4"/>
        <v>11</v>
      </c>
      <c r="G38" s="216"/>
      <c r="H38" s="216"/>
      <c r="I38" s="216"/>
      <c r="J38" s="216"/>
      <c r="K38" s="216"/>
      <c r="L38" s="216"/>
      <c r="M38" s="216"/>
      <c r="N38" s="216"/>
      <c r="O38" s="176">
        <v>1</v>
      </c>
      <c r="P38" s="216">
        <v>1</v>
      </c>
      <c r="Q38" s="216">
        <v>1</v>
      </c>
      <c r="R38" s="216">
        <v>1</v>
      </c>
      <c r="S38" s="216">
        <v>1</v>
      </c>
      <c r="T38" s="216">
        <v>1</v>
      </c>
      <c r="U38" s="285" t="s">
        <v>47</v>
      </c>
      <c r="V38" s="216">
        <v>1</v>
      </c>
      <c r="W38" s="216">
        <v>1</v>
      </c>
      <c r="X38" s="216">
        <v>1</v>
      </c>
      <c r="Y38" s="216">
        <v>1</v>
      </c>
      <c r="Z38" s="216">
        <v>1</v>
      </c>
      <c r="AA38" s="216"/>
      <c r="AB38" s="216"/>
      <c r="AC38" s="216"/>
      <c r="AD38" s="216"/>
      <c r="AE38" s="41">
        <f t="shared" si="1"/>
        <v>11</v>
      </c>
      <c r="AF38" s="116" t="s">
        <v>66</v>
      </c>
      <c r="AG38" s="189" t="s">
        <v>693</v>
      </c>
    </row>
    <row r="39" spans="1:33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4" t="s">
        <v>465</v>
      </c>
      <c r="F39" s="41">
        <f t="shared" si="4"/>
        <v>9</v>
      </c>
      <c r="G39" s="176"/>
      <c r="H39" s="176"/>
      <c r="I39" s="176"/>
      <c r="J39" s="176"/>
      <c r="K39" s="176"/>
      <c r="L39" s="176"/>
      <c r="M39" s="176"/>
      <c r="N39" s="176"/>
      <c r="O39" s="176"/>
      <c r="P39" s="176">
        <v>1</v>
      </c>
      <c r="Q39" s="176">
        <v>1</v>
      </c>
      <c r="R39" s="314" t="s">
        <v>47</v>
      </c>
      <c r="S39" s="176">
        <v>1</v>
      </c>
      <c r="T39" s="176">
        <v>1</v>
      </c>
      <c r="U39" s="176">
        <v>1</v>
      </c>
      <c r="V39" s="176">
        <v>1</v>
      </c>
      <c r="W39" s="176">
        <v>1</v>
      </c>
      <c r="X39" s="285" t="s">
        <v>47</v>
      </c>
      <c r="Y39" s="176">
        <v>1</v>
      </c>
      <c r="Z39" s="176">
        <v>1</v>
      </c>
      <c r="AA39" s="176"/>
      <c r="AB39" s="176"/>
      <c r="AC39" s="176"/>
      <c r="AD39" s="176"/>
      <c r="AE39" s="41">
        <f t="shared" si="1"/>
        <v>9</v>
      </c>
      <c r="AF39" s="116" t="s">
        <v>164</v>
      </c>
      <c r="AG39" s="189" t="s">
        <v>693</v>
      </c>
    </row>
    <row r="40" spans="1:33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4"/>
        <v>10</v>
      </c>
      <c r="G40" s="216"/>
      <c r="H40" s="216"/>
      <c r="I40" s="216"/>
      <c r="J40" s="216"/>
      <c r="K40" s="216"/>
      <c r="L40" s="216"/>
      <c r="M40" s="216"/>
      <c r="N40" s="216"/>
      <c r="O40" s="216"/>
      <c r="P40" s="216">
        <v>1</v>
      </c>
      <c r="Q40" s="216">
        <v>1</v>
      </c>
      <c r="R40" s="314" t="s">
        <v>47</v>
      </c>
      <c r="S40" s="176">
        <v>1</v>
      </c>
      <c r="T40" s="216">
        <v>1</v>
      </c>
      <c r="U40" s="216">
        <v>1</v>
      </c>
      <c r="V40" s="216">
        <v>1</v>
      </c>
      <c r="W40" s="216"/>
      <c r="X40" s="285" t="s">
        <v>47</v>
      </c>
      <c r="Y40" s="216">
        <v>1</v>
      </c>
      <c r="Z40" s="216">
        <v>1</v>
      </c>
      <c r="AA40" s="216">
        <v>1</v>
      </c>
      <c r="AB40" s="216">
        <v>1</v>
      </c>
      <c r="AC40" s="216"/>
      <c r="AD40" s="216"/>
      <c r="AE40" s="41">
        <f t="shared" si="1"/>
        <v>10</v>
      </c>
      <c r="AF40" s="292" t="s">
        <v>316</v>
      </c>
      <c r="AG40" s="189" t="s">
        <v>693</v>
      </c>
    </row>
    <row r="41" spans="1:33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4" t="s">
        <v>467</v>
      </c>
      <c r="F41" s="41">
        <f t="shared" si="4"/>
        <v>11</v>
      </c>
      <c r="G41" s="176"/>
      <c r="H41" s="176"/>
      <c r="I41" s="176"/>
      <c r="J41" s="176"/>
      <c r="K41" s="176"/>
      <c r="L41" s="176"/>
      <c r="M41" s="176"/>
      <c r="N41" s="176"/>
      <c r="O41" s="176">
        <v>1</v>
      </c>
      <c r="P41" s="176">
        <v>1</v>
      </c>
      <c r="Q41" s="176">
        <v>1</v>
      </c>
      <c r="R41" s="176">
        <v>1</v>
      </c>
      <c r="S41" s="176">
        <v>1</v>
      </c>
      <c r="T41" s="176">
        <v>1</v>
      </c>
      <c r="U41" s="216">
        <v>1</v>
      </c>
      <c r="V41" s="216">
        <v>1</v>
      </c>
      <c r="W41" s="176">
        <v>1</v>
      </c>
      <c r="X41" s="285" t="s">
        <v>47</v>
      </c>
      <c r="Y41" s="176">
        <v>1</v>
      </c>
      <c r="Z41" s="176">
        <v>1</v>
      </c>
      <c r="AA41" s="176"/>
      <c r="AB41" s="176"/>
      <c r="AC41" s="176"/>
      <c r="AD41" s="176"/>
      <c r="AE41" s="41">
        <f t="shared" si="1"/>
        <v>11</v>
      </c>
      <c r="AF41" s="116" t="s">
        <v>66</v>
      </c>
      <c r="AG41" s="189" t="s">
        <v>693</v>
      </c>
    </row>
    <row r="42" spans="1:33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4"/>
        <v>9</v>
      </c>
      <c r="G42" s="216"/>
      <c r="H42" s="216"/>
      <c r="I42" s="216"/>
      <c r="J42" s="216"/>
      <c r="K42" s="216"/>
      <c r="L42" s="216"/>
      <c r="M42" s="216"/>
      <c r="N42" s="216"/>
      <c r="O42" s="216">
        <v>1</v>
      </c>
      <c r="P42" s="216">
        <v>1</v>
      </c>
      <c r="Q42" s="216">
        <v>1</v>
      </c>
      <c r="R42" s="216">
        <v>1</v>
      </c>
      <c r="S42" s="314" t="s">
        <v>47</v>
      </c>
      <c r="T42" s="216">
        <v>1</v>
      </c>
      <c r="U42" s="216">
        <v>1</v>
      </c>
      <c r="V42" s="216">
        <v>1</v>
      </c>
      <c r="W42" s="216"/>
      <c r="X42" s="285" t="s">
        <v>47</v>
      </c>
      <c r="Y42" s="216">
        <v>1</v>
      </c>
      <c r="Z42" s="216">
        <v>1</v>
      </c>
      <c r="AA42" s="216"/>
      <c r="AB42" s="216"/>
      <c r="AC42" s="216"/>
      <c r="AD42" s="216"/>
      <c r="AE42" s="41">
        <f t="shared" si="1"/>
        <v>9</v>
      </c>
      <c r="AF42" s="315" t="s">
        <v>704</v>
      </c>
      <c r="AG42" s="189" t="s">
        <v>693</v>
      </c>
    </row>
    <row r="43" spans="1:33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4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1"/>
        <v>0</v>
      </c>
      <c r="AF43" s="116"/>
      <c r="AG43" s="189" t="s">
        <v>693</v>
      </c>
    </row>
    <row r="44" spans="1:33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4"/>
        <v>11</v>
      </c>
      <c r="G44" s="216"/>
      <c r="H44" s="216"/>
      <c r="I44" s="216"/>
      <c r="J44" s="216"/>
      <c r="K44" s="216"/>
      <c r="L44" s="216"/>
      <c r="M44" s="216"/>
      <c r="N44" s="216"/>
      <c r="O44" s="216"/>
      <c r="P44" s="216">
        <v>1</v>
      </c>
      <c r="Q44" s="216">
        <v>1</v>
      </c>
      <c r="R44" s="216">
        <v>1</v>
      </c>
      <c r="S44" s="314" t="s">
        <v>47</v>
      </c>
      <c r="T44" s="216">
        <v>1</v>
      </c>
      <c r="U44" s="216">
        <v>1</v>
      </c>
      <c r="V44" s="216">
        <v>1</v>
      </c>
      <c r="W44" s="216">
        <v>1</v>
      </c>
      <c r="X44" s="285" t="s">
        <v>47</v>
      </c>
      <c r="Y44" s="216">
        <v>1</v>
      </c>
      <c r="Z44" s="216">
        <v>1</v>
      </c>
      <c r="AA44" s="216">
        <v>1</v>
      </c>
      <c r="AB44" s="216">
        <v>1</v>
      </c>
      <c r="AC44" s="216"/>
      <c r="AD44" s="216"/>
      <c r="AE44" s="41">
        <f t="shared" si="1"/>
        <v>11</v>
      </c>
      <c r="AF44" s="116" t="s">
        <v>326</v>
      </c>
      <c r="AG44" s="189" t="s">
        <v>693</v>
      </c>
    </row>
    <row r="45" spans="1:33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4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1"/>
        <v>0</v>
      </c>
      <c r="AF45" s="116"/>
      <c r="AG45" s="189" t="s">
        <v>693</v>
      </c>
    </row>
    <row r="46" spans="1:33" ht="14.25" customHeight="1">
      <c r="A46" s="38" t="s">
        <v>41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4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1"/>
        <v>0</v>
      </c>
      <c r="AF46" s="116"/>
      <c r="AG46" s="189" t="s">
        <v>693</v>
      </c>
    </row>
    <row r="47" spans="1:33" ht="14.25" customHeight="1">
      <c r="A47" s="98"/>
      <c r="B47" s="98"/>
      <c r="C47" s="98"/>
      <c r="D47" s="86">
        <v>1</v>
      </c>
      <c r="E47" s="218" t="s">
        <v>138</v>
      </c>
      <c r="F47" s="41">
        <f t="shared" si="4"/>
        <v>2</v>
      </c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216"/>
      <c r="R47" s="216"/>
      <c r="S47" s="285" t="s">
        <v>47</v>
      </c>
      <c r="T47" s="291">
        <v>1</v>
      </c>
      <c r="U47" s="291">
        <v>1</v>
      </c>
      <c r="V47" s="577" t="s">
        <v>320</v>
      </c>
      <c r="W47" s="555"/>
      <c r="X47" s="555"/>
      <c r="Y47" s="555"/>
      <c r="Z47" s="555"/>
      <c r="AA47" s="555"/>
      <c r="AB47" s="555"/>
      <c r="AC47" s="555"/>
      <c r="AD47" s="77"/>
      <c r="AE47" s="41">
        <f t="shared" si="1"/>
        <v>2</v>
      </c>
      <c r="AF47" s="116" t="s">
        <v>259</v>
      </c>
      <c r="AG47" s="189" t="s">
        <v>693</v>
      </c>
    </row>
    <row r="48" spans="1:33" ht="14.25" customHeight="1">
      <c r="A48" s="98"/>
      <c r="B48" s="98"/>
      <c r="C48" s="98"/>
      <c r="D48" s="39">
        <v>2</v>
      </c>
      <c r="E48" s="218" t="s">
        <v>191</v>
      </c>
      <c r="F48" s="41">
        <f t="shared" si="4"/>
        <v>0</v>
      </c>
      <c r="G48" s="77"/>
      <c r="H48" s="77"/>
      <c r="I48" s="77"/>
      <c r="J48" s="77"/>
      <c r="K48" s="77"/>
      <c r="L48" s="77"/>
      <c r="M48" s="77"/>
      <c r="N48" s="577" t="s">
        <v>320</v>
      </c>
      <c r="O48" s="555"/>
      <c r="P48" s="555"/>
      <c r="Q48" s="555"/>
      <c r="R48" s="555"/>
      <c r="S48" s="555"/>
      <c r="T48" s="555"/>
      <c r="U48" s="555"/>
      <c r="V48" s="77"/>
      <c r="W48" s="77"/>
      <c r="X48" s="77"/>
      <c r="Y48" s="77"/>
      <c r="Z48" s="77"/>
      <c r="AA48" s="77"/>
      <c r="AB48" s="77"/>
      <c r="AC48" s="77"/>
      <c r="AD48" s="77"/>
      <c r="AE48" s="41">
        <f t="shared" si="1"/>
        <v>0</v>
      </c>
      <c r="AF48" s="315" t="s">
        <v>288</v>
      </c>
      <c r="AG48" s="189" t="s">
        <v>693</v>
      </c>
    </row>
    <row r="49" spans="1:33" ht="14.25" customHeight="1">
      <c r="A49" s="98"/>
      <c r="B49" s="98"/>
      <c r="C49" s="98"/>
      <c r="D49" s="39">
        <v>1</v>
      </c>
      <c r="E49" s="133" t="s">
        <v>363</v>
      </c>
      <c r="F49" s="41">
        <f t="shared" si="4"/>
        <v>0</v>
      </c>
      <c r="G49" s="42"/>
      <c r="H49" s="42"/>
      <c r="I49" s="42"/>
      <c r="J49" s="42"/>
      <c r="K49" s="42"/>
      <c r="L49" s="42"/>
      <c r="M49" s="42"/>
      <c r="N49" s="42"/>
      <c r="O49" s="577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f t="shared" si="1"/>
        <v>0</v>
      </c>
      <c r="AF49" s="116" t="s">
        <v>66</v>
      </c>
      <c r="AG49" s="189" t="s">
        <v>693</v>
      </c>
    </row>
    <row r="50" spans="1:33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</row>
    <row r="51" spans="1:33" ht="14.25" customHeight="1">
      <c r="A51" s="2"/>
      <c r="B51" s="2"/>
      <c r="C51" s="2"/>
      <c r="D51" s="2"/>
      <c r="E51" s="2"/>
      <c r="F51" s="2"/>
      <c r="AE51" s="2"/>
      <c r="AF51" s="2"/>
      <c r="AG51" s="2"/>
    </row>
    <row r="52" spans="1:33" ht="14.25" customHeight="1">
      <c r="A52" s="2"/>
      <c r="B52" s="2"/>
      <c r="C52" s="2"/>
      <c r="D52" s="2"/>
      <c r="E52" s="2"/>
      <c r="F52" s="2"/>
      <c r="AE52" s="2"/>
      <c r="AF52" s="2"/>
      <c r="AG52" s="2"/>
    </row>
    <row r="53" spans="1:33" ht="14.25" customHeight="1">
      <c r="A53" s="2"/>
      <c r="B53" s="2"/>
      <c r="C53" s="2"/>
      <c r="D53" s="2"/>
      <c r="E53" s="2"/>
      <c r="F53" s="2"/>
      <c r="AE53" s="2"/>
      <c r="AF53" s="2"/>
      <c r="AG53" s="2"/>
    </row>
    <row r="54" spans="1:33" ht="14.25" customHeight="1">
      <c r="A54" s="2"/>
      <c r="B54" s="2"/>
      <c r="C54" s="2"/>
      <c r="D54" s="2"/>
      <c r="E54" s="2"/>
      <c r="F54" s="2"/>
      <c r="AE54" s="2"/>
      <c r="AF54" s="2"/>
      <c r="AG54" s="2"/>
    </row>
    <row r="55" spans="1:33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222">
        <v>0</v>
      </c>
      <c r="P55" s="310">
        <v>10</v>
      </c>
      <c r="Q55" s="310">
        <v>10</v>
      </c>
      <c r="R55" s="310">
        <v>10</v>
      </c>
      <c r="S55" s="310">
        <v>10</v>
      </c>
      <c r="T55" s="310">
        <v>10</v>
      </c>
      <c r="U55" s="310">
        <v>10</v>
      </c>
      <c r="V55" s="310">
        <v>10</v>
      </c>
      <c r="W55" s="310">
        <v>10</v>
      </c>
      <c r="X55" s="310">
        <v>10</v>
      </c>
      <c r="Y55" s="310">
        <v>10</v>
      </c>
      <c r="Z55" s="311">
        <v>0</v>
      </c>
      <c r="AA55" s="313">
        <v>0</v>
      </c>
      <c r="AB55" s="194">
        <v>0</v>
      </c>
      <c r="AC55" s="192">
        <v>0</v>
      </c>
      <c r="AD55" s="195">
        <v>0</v>
      </c>
      <c r="AE55" s="18">
        <f>SUM(G55:AD55)</f>
        <v>100</v>
      </c>
      <c r="AF55" s="25"/>
      <c r="AG55" s="2"/>
    </row>
    <row r="56" spans="1:33" ht="14.25" customHeight="1">
      <c r="A56" s="3"/>
      <c r="B56" s="3"/>
      <c r="C56" s="3"/>
      <c r="D56" s="48"/>
      <c r="E56" s="59"/>
      <c r="F56" s="59"/>
      <c r="G56" s="28">
        <f t="shared" ref="G56:AD56" si="5">G58-G55</f>
        <v>0</v>
      </c>
      <c r="H56" s="28">
        <f t="shared" si="5"/>
        <v>0</v>
      </c>
      <c r="I56" s="28">
        <f t="shared" si="5"/>
        <v>0</v>
      </c>
      <c r="J56" s="28">
        <f t="shared" si="5"/>
        <v>0</v>
      </c>
      <c r="K56" s="28">
        <f t="shared" si="5"/>
        <v>0</v>
      </c>
      <c r="L56" s="28">
        <f t="shared" si="5"/>
        <v>0</v>
      </c>
      <c r="M56" s="28">
        <f t="shared" si="5"/>
        <v>1</v>
      </c>
      <c r="N56" s="28">
        <f t="shared" si="5"/>
        <v>1</v>
      </c>
      <c r="O56" s="28">
        <f t="shared" si="5"/>
        <v>1</v>
      </c>
      <c r="P56" s="28">
        <f t="shared" si="5"/>
        <v>-1</v>
      </c>
      <c r="Q56" s="28">
        <f t="shared" si="5"/>
        <v>-1</v>
      </c>
      <c r="R56" s="28">
        <f t="shared" si="5"/>
        <v>-1</v>
      </c>
      <c r="S56" s="28">
        <f t="shared" si="5"/>
        <v>-1</v>
      </c>
      <c r="T56" s="28">
        <f t="shared" si="5"/>
        <v>-1</v>
      </c>
      <c r="U56" s="28">
        <f t="shared" si="5"/>
        <v>-1</v>
      </c>
      <c r="V56" s="28">
        <f t="shared" si="5"/>
        <v>-1</v>
      </c>
      <c r="W56" s="28">
        <f t="shared" si="5"/>
        <v>-1</v>
      </c>
      <c r="X56" s="28">
        <f t="shared" si="5"/>
        <v>-1</v>
      </c>
      <c r="Y56" s="28">
        <f t="shared" si="5"/>
        <v>-1</v>
      </c>
      <c r="Z56" s="28">
        <f t="shared" si="5"/>
        <v>4</v>
      </c>
      <c r="AA56" s="28">
        <f t="shared" si="5"/>
        <v>3</v>
      </c>
      <c r="AB56" s="28">
        <f t="shared" si="5"/>
        <v>3</v>
      </c>
      <c r="AC56" s="28">
        <f t="shared" si="5"/>
        <v>0</v>
      </c>
      <c r="AD56" s="28">
        <f t="shared" si="5"/>
        <v>0</v>
      </c>
      <c r="AE56" s="53"/>
      <c r="AF56" s="3"/>
      <c r="AG56" s="2"/>
    </row>
    <row r="57" spans="1:33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</row>
    <row r="58" spans="1:33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6">SUM(G59:G72)</f>
        <v>0</v>
      </c>
      <c r="H58" s="35">
        <f t="shared" si="6"/>
        <v>0</v>
      </c>
      <c r="I58" s="35">
        <f t="shared" si="6"/>
        <v>0</v>
      </c>
      <c r="J58" s="35">
        <f t="shared" si="6"/>
        <v>0</v>
      </c>
      <c r="K58" s="35">
        <f t="shared" si="6"/>
        <v>0</v>
      </c>
      <c r="L58" s="35">
        <f t="shared" si="6"/>
        <v>0</v>
      </c>
      <c r="M58" s="35">
        <f t="shared" si="6"/>
        <v>1</v>
      </c>
      <c r="N58" s="35">
        <f t="shared" si="6"/>
        <v>1</v>
      </c>
      <c r="O58" s="35">
        <f t="shared" si="6"/>
        <v>1</v>
      </c>
      <c r="P58" s="35">
        <f t="shared" si="6"/>
        <v>9</v>
      </c>
      <c r="Q58" s="35">
        <f t="shared" si="6"/>
        <v>9</v>
      </c>
      <c r="R58" s="35">
        <f t="shared" si="6"/>
        <v>9</v>
      </c>
      <c r="S58" s="35">
        <f t="shared" si="6"/>
        <v>9</v>
      </c>
      <c r="T58" s="35">
        <f t="shared" si="6"/>
        <v>9</v>
      </c>
      <c r="U58" s="35">
        <f t="shared" si="6"/>
        <v>9</v>
      </c>
      <c r="V58" s="35">
        <f t="shared" si="6"/>
        <v>9</v>
      </c>
      <c r="W58" s="35">
        <f t="shared" si="6"/>
        <v>9</v>
      </c>
      <c r="X58" s="35">
        <f t="shared" si="6"/>
        <v>9</v>
      </c>
      <c r="Y58" s="35">
        <f t="shared" si="6"/>
        <v>9</v>
      </c>
      <c r="Z58" s="35">
        <f t="shared" si="6"/>
        <v>4</v>
      </c>
      <c r="AA58" s="35">
        <f t="shared" si="6"/>
        <v>3</v>
      </c>
      <c r="AB58" s="35">
        <f t="shared" si="6"/>
        <v>3</v>
      </c>
      <c r="AC58" s="35">
        <f t="shared" si="6"/>
        <v>0</v>
      </c>
      <c r="AD58" s="35">
        <f t="shared" si="6"/>
        <v>0</v>
      </c>
      <c r="AE58" s="30">
        <f t="shared" ref="AE58:AE68" si="7">SUM(G58:AD58)</f>
        <v>103</v>
      </c>
      <c r="AF58" s="36" t="s">
        <v>39</v>
      </c>
      <c r="AG58" s="197" t="s">
        <v>40</v>
      </c>
    </row>
    <row r="59" spans="1:33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8">SUM(G59:AD59)</f>
        <v>13</v>
      </c>
      <c r="G59" s="202"/>
      <c r="H59" s="202"/>
      <c r="I59" s="202"/>
      <c r="J59" s="202"/>
      <c r="K59" s="202"/>
      <c r="L59" s="202"/>
      <c r="M59" s="202"/>
      <c r="N59" s="202"/>
      <c r="O59" s="202"/>
      <c r="P59" s="202">
        <v>1</v>
      </c>
      <c r="Q59" s="202">
        <v>1</v>
      </c>
      <c r="R59" s="202">
        <v>1</v>
      </c>
      <c r="S59" s="202">
        <v>1</v>
      </c>
      <c r="T59" s="202">
        <v>1</v>
      </c>
      <c r="U59" s="202">
        <v>1</v>
      </c>
      <c r="V59" s="202">
        <v>1</v>
      </c>
      <c r="W59" s="202">
        <v>1</v>
      </c>
      <c r="X59" s="202">
        <v>1</v>
      </c>
      <c r="Y59" s="202">
        <v>1</v>
      </c>
      <c r="Z59" s="292">
        <v>1</v>
      </c>
      <c r="AA59" s="292">
        <v>1</v>
      </c>
      <c r="AB59" s="292">
        <v>1</v>
      </c>
      <c r="AC59" s="202"/>
      <c r="AD59" s="202"/>
      <c r="AE59" s="41">
        <f t="shared" si="7"/>
        <v>13</v>
      </c>
      <c r="AF59" s="116" t="s">
        <v>326</v>
      </c>
      <c r="AG59" s="189" t="s">
        <v>693</v>
      </c>
    </row>
    <row r="60" spans="1:33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8"/>
        <v>10</v>
      </c>
      <c r="G60" s="202"/>
      <c r="H60" s="202"/>
      <c r="I60" s="202"/>
      <c r="J60" s="202"/>
      <c r="K60" s="202"/>
      <c r="L60" s="202"/>
      <c r="M60" s="202"/>
      <c r="N60" s="202"/>
      <c r="O60" s="202"/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02"/>
      <c r="AA60" s="202"/>
      <c r="AB60" s="202"/>
      <c r="AC60" s="202"/>
      <c r="AD60" s="202"/>
      <c r="AE60" s="41">
        <f t="shared" si="7"/>
        <v>10</v>
      </c>
      <c r="AF60" s="116" t="s">
        <v>302</v>
      </c>
      <c r="AG60" s="189" t="s">
        <v>693</v>
      </c>
    </row>
    <row r="61" spans="1:33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8"/>
        <v>13</v>
      </c>
      <c r="G61" s="202"/>
      <c r="H61" s="202"/>
      <c r="I61" s="202"/>
      <c r="J61" s="202"/>
      <c r="K61" s="202"/>
      <c r="L61" s="202"/>
      <c r="M61" s="292">
        <v>1</v>
      </c>
      <c r="N61" s="292">
        <v>1</v>
      </c>
      <c r="O61" s="292">
        <v>1</v>
      </c>
      <c r="P61" s="202">
        <v>1</v>
      </c>
      <c r="Q61" s="202">
        <v>1</v>
      </c>
      <c r="R61" s="202">
        <v>1</v>
      </c>
      <c r="S61" s="202">
        <v>1</v>
      </c>
      <c r="T61" s="202">
        <v>1</v>
      </c>
      <c r="U61" s="202">
        <v>1</v>
      </c>
      <c r="V61" s="202">
        <v>1</v>
      </c>
      <c r="W61" s="202">
        <v>1</v>
      </c>
      <c r="X61" s="202">
        <v>1</v>
      </c>
      <c r="Y61" s="202">
        <v>1</v>
      </c>
      <c r="Z61" s="202"/>
      <c r="AA61" s="202"/>
      <c r="AB61" s="202"/>
      <c r="AC61" s="202"/>
      <c r="AD61" s="202"/>
      <c r="AE61" s="41">
        <f t="shared" si="7"/>
        <v>13</v>
      </c>
      <c r="AF61" s="116" t="s">
        <v>261</v>
      </c>
      <c r="AG61" s="189" t="s">
        <v>693</v>
      </c>
    </row>
    <row r="62" spans="1:33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8"/>
        <v>0</v>
      </c>
      <c r="G62" s="202"/>
      <c r="H62" s="202"/>
      <c r="I62" s="202"/>
      <c r="J62" s="202"/>
      <c r="K62" s="202"/>
      <c r="L62" s="202"/>
      <c r="M62" s="202"/>
      <c r="N62" s="202"/>
      <c r="O62" s="202"/>
      <c r="P62" s="318" t="s">
        <v>231</v>
      </c>
      <c r="Q62" s="318" t="s">
        <v>231</v>
      </c>
      <c r="R62" s="318" t="s">
        <v>231</v>
      </c>
      <c r="S62" s="318" t="s">
        <v>231</v>
      </c>
      <c r="T62" s="318" t="s">
        <v>231</v>
      </c>
      <c r="U62" s="318" t="s">
        <v>231</v>
      </c>
      <c r="V62" s="318" t="s">
        <v>231</v>
      </c>
      <c r="W62" s="318" t="s">
        <v>231</v>
      </c>
      <c r="X62" s="318" t="s">
        <v>231</v>
      </c>
      <c r="Y62" s="318" t="s">
        <v>231</v>
      </c>
      <c r="Z62" s="202"/>
      <c r="AA62" s="202"/>
      <c r="AB62" s="202"/>
      <c r="AC62" s="202"/>
      <c r="AD62" s="202"/>
      <c r="AE62" s="41">
        <f t="shared" si="7"/>
        <v>0</v>
      </c>
      <c r="AF62" s="116" t="s">
        <v>302</v>
      </c>
      <c r="AG62" s="189" t="s">
        <v>693</v>
      </c>
    </row>
    <row r="63" spans="1:33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8"/>
        <v>11</v>
      </c>
      <c r="G63" s="202"/>
      <c r="H63" s="202"/>
      <c r="I63" s="202"/>
      <c r="J63" s="202"/>
      <c r="K63" s="202"/>
      <c r="L63" s="202"/>
      <c r="M63" s="202"/>
      <c r="N63" s="202"/>
      <c r="O63" s="202"/>
      <c r="P63" s="202">
        <v>1</v>
      </c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92">
        <v>1</v>
      </c>
      <c r="AA63" s="202"/>
      <c r="AB63" s="202"/>
      <c r="AC63" s="202"/>
      <c r="AD63" s="202"/>
      <c r="AE63" s="41">
        <f t="shared" si="7"/>
        <v>11</v>
      </c>
      <c r="AF63" s="116" t="s">
        <v>164</v>
      </c>
      <c r="AG63" s="189" t="s">
        <v>693</v>
      </c>
    </row>
    <row r="64" spans="1:33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8"/>
        <v>10</v>
      </c>
      <c r="G64" s="202"/>
      <c r="H64" s="202"/>
      <c r="I64" s="202"/>
      <c r="J64" s="202"/>
      <c r="K64" s="202"/>
      <c r="L64" s="202"/>
      <c r="M64" s="202"/>
      <c r="N64" s="202"/>
      <c r="O64" s="202"/>
      <c r="P64" s="202">
        <v>1</v>
      </c>
      <c r="Q64" s="202">
        <v>1</v>
      </c>
      <c r="R64" s="202">
        <v>1</v>
      </c>
      <c r="S64" s="202">
        <v>1</v>
      </c>
      <c r="T64" s="202">
        <v>1</v>
      </c>
      <c r="U64" s="202">
        <v>1</v>
      </c>
      <c r="V64" s="202">
        <v>1</v>
      </c>
      <c r="W64" s="202">
        <v>1</v>
      </c>
      <c r="X64" s="202">
        <v>1</v>
      </c>
      <c r="Y64" s="202">
        <v>1</v>
      </c>
      <c r="Z64" s="202"/>
      <c r="AA64" s="202"/>
      <c r="AB64" s="202"/>
      <c r="AC64" s="202"/>
      <c r="AD64" s="202"/>
      <c r="AE64" s="41">
        <f t="shared" si="7"/>
        <v>10</v>
      </c>
      <c r="AF64" s="116" t="s">
        <v>302</v>
      </c>
      <c r="AG64" s="189" t="s">
        <v>693</v>
      </c>
    </row>
    <row r="65" spans="1:33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8"/>
        <v>10</v>
      </c>
      <c r="G65" s="202"/>
      <c r="H65" s="202"/>
      <c r="I65" s="202"/>
      <c r="J65" s="202"/>
      <c r="K65" s="202"/>
      <c r="L65" s="202"/>
      <c r="M65" s="202"/>
      <c r="N65" s="202"/>
      <c r="O65" s="202"/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02"/>
      <c r="AA65" s="202"/>
      <c r="AB65" s="202"/>
      <c r="AC65" s="202"/>
      <c r="AD65" s="202"/>
      <c r="AE65" s="41">
        <f t="shared" si="7"/>
        <v>10</v>
      </c>
      <c r="AF65" s="116" t="s">
        <v>302</v>
      </c>
      <c r="AG65" s="189" t="s">
        <v>693</v>
      </c>
    </row>
    <row r="66" spans="1:33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8"/>
        <v>10</v>
      </c>
      <c r="G66" s="202"/>
      <c r="H66" s="202"/>
      <c r="I66" s="202"/>
      <c r="J66" s="202"/>
      <c r="K66" s="202"/>
      <c r="L66" s="202"/>
      <c r="M66" s="202"/>
      <c r="N66" s="202"/>
      <c r="O66" s="202"/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02"/>
      <c r="AA66" s="202"/>
      <c r="AB66" s="202"/>
      <c r="AC66" s="202"/>
      <c r="AD66" s="202"/>
      <c r="AE66" s="41">
        <f t="shared" si="7"/>
        <v>10</v>
      </c>
      <c r="AF66" s="116" t="s">
        <v>302</v>
      </c>
      <c r="AG66" s="189" t="s">
        <v>693</v>
      </c>
    </row>
    <row r="67" spans="1:33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8"/>
        <v>13</v>
      </c>
      <c r="G67" s="202"/>
      <c r="H67" s="202"/>
      <c r="I67" s="202"/>
      <c r="J67" s="202"/>
      <c r="K67" s="202"/>
      <c r="L67" s="202"/>
      <c r="M67" s="202"/>
      <c r="N67" s="202"/>
      <c r="O67" s="202"/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>
        <v>1</v>
      </c>
      <c r="W67" s="202">
        <v>1</v>
      </c>
      <c r="X67" s="202">
        <v>1</v>
      </c>
      <c r="Y67" s="202">
        <v>1</v>
      </c>
      <c r="Z67" s="292">
        <v>1</v>
      </c>
      <c r="AA67" s="292">
        <v>1</v>
      </c>
      <c r="AB67" s="292">
        <v>1</v>
      </c>
      <c r="AC67" s="202"/>
      <c r="AD67" s="202"/>
      <c r="AE67" s="41">
        <f t="shared" si="7"/>
        <v>13</v>
      </c>
      <c r="AF67" s="116" t="s">
        <v>326</v>
      </c>
      <c r="AG67" s="189" t="s">
        <v>693</v>
      </c>
    </row>
    <row r="68" spans="1:33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8"/>
        <v>13</v>
      </c>
      <c r="G68" s="202"/>
      <c r="H68" s="202"/>
      <c r="I68" s="202"/>
      <c r="J68" s="202"/>
      <c r="K68" s="202"/>
      <c r="L68" s="202"/>
      <c r="M68" s="202"/>
      <c r="N68" s="202"/>
      <c r="O68" s="202"/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92">
        <v>1</v>
      </c>
      <c r="AA68" s="292">
        <v>1</v>
      </c>
      <c r="AB68" s="292">
        <v>1</v>
      </c>
      <c r="AC68" s="202"/>
      <c r="AD68" s="202"/>
      <c r="AE68" s="41">
        <f t="shared" si="7"/>
        <v>13</v>
      </c>
      <c r="AF68" s="116" t="s">
        <v>326</v>
      </c>
      <c r="AG68" s="189" t="s">
        <v>693</v>
      </c>
    </row>
    <row r="69" spans="1:33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</row>
    <row r="70" spans="1:33" ht="14.25" customHeight="1">
      <c r="A70" s="2"/>
      <c r="B70" s="2"/>
      <c r="C70" s="2"/>
      <c r="D70" s="2"/>
      <c r="E70" s="2"/>
      <c r="F70" s="2"/>
      <c r="AE70" s="2"/>
      <c r="AF70" s="2"/>
      <c r="AG70" s="2"/>
    </row>
    <row r="71" spans="1:33" ht="14.25" customHeight="1">
      <c r="A71" s="2"/>
      <c r="B71" s="2"/>
      <c r="C71" s="2"/>
      <c r="D71" s="2"/>
      <c r="E71" s="2"/>
      <c r="F71" s="2"/>
      <c r="AE71" s="2"/>
      <c r="AF71" s="2"/>
      <c r="AG71" s="2"/>
    </row>
    <row r="72" spans="1:33" ht="14.25" customHeight="1">
      <c r="A72" s="2"/>
      <c r="B72" s="2"/>
      <c r="C72" s="2"/>
      <c r="D72" s="2"/>
      <c r="E72" s="2"/>
      <c r="F72" s="2"/>
      <c r="AE72" s="2"/>
      <c r="AF72" s="2"/>
      <c r="AG72" s="2"/>
    </row>
    <row r="73" spans="1:33" ht="14.25" customHeight="1">
      <c r="A73" s="2"/>
      <c r="B73" s="2"/>
      <c r="C73" s="2"/>
      <c r="D73" s="2"/>
      <c r="E73" s="2"/>
      <c r="F73" s="2"/>
      <c r="AE73" s="2"/>
      <c r="AF73" s="2"/>
      <c r="AG73" s="2"/>
    </row>
    <row r="74" spans="1:33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4">
        <v>4</v>
      </c>
      <c r="N74" s="223">
        <v>5</v>
      </c>
      <c r="O74" s="221">
        <v>6</v>
      </c>
      <c r="P74" s="222">
        <v>8</v>
      </c>
      <c r="Q74" s="319">
        <v>9</v>
      </c>
      <c r="R74" s="319">
        <v>9</v>
      </c>
      <c r="S74" s="222">
        <v>8</v>
      </c>
      <c r="T74" s="320">
        <v>11</v>
      </c>
      <c r="U74" s="312">
        <v>12</v>
      </c>
      <c r="V74" s="320">
        <v>11</v>
      </c>
      <c r="W74" s="319">
        <v>9</v>
      </c>
      <c r="X74" s="167">
        <v>7</v>
      </c>
      <c r="Y74" s="222">
        <v>8</v>
      </c>
      <c r="Z74" s="222">
        <v>8</v>
      </c>
      <c r="AA74" s="167">
        <v>7</v>
      </c>
      <c r="AB74" s="167">
        <v>7</v>
      </c>
      <c r="AC74" s="220">
        <v>3</v>
      </c>
      <c r="AD74" s="195">
        <v>2</v>
      </c>
      <c r="AE74" s="18">
        <f>SUM(G74:AD74)</f>
        <v>146</v>
      </c>
      <c r="AF74" s="25"/>
      <c r="AG74" s="3"/>
    </row>
    <row r="75" spans="1:33" ht="14.25" customHeight="1">
      <c r="A75" s="3"/>
      <c r="B75" s="3"/>
      <c r="C75" s="3"/>
      <c r="D75" s="48"/>
      <c r="E75" s="59"/>
      <c r="F75" s="59"/>
      <c r="G75" s="28">
        <f t="shared" ref="G75:AD75" si="9">G77-G74</f>
        <v>0</v>
      </c>
      <c r="H75" s="28">
        <f t="shared" si="9"/>
        <v>0</v>
      </c>
      <c r="I75" s="28">
        <f t="shared" si="9"/>
        <v>0</v>
      </c>
      <c r="J75" s="28">
        <f t="shared" si="9"/>
        <v>0</v>
      </c>
      <c r="K75" s="28">
        <f t="shared" si="9"/>
        <v>0</v>
      </c>
      <c r="L75" s="28">
        <f t="shared" si="9"/>
        <v>0</v>
      </c>
      <c r="M75" s="28">
        <f t="shared" si="9"/>
        <v>0</v>
      </c>
      <c r="N75" s="28">
        <f t="shared" si="9"/>
        <v>0</v>
      </c>
      <c r="O75" s="28">
        <f t="shared" si="9"/>
        <v>0</v>
      </c>
      <c r="P75" s="28">
        <f t="shared" si="9"/>
        <v>0</v>
      </c>
      <c r="Q75" s="28">
        <f t="shared" si="9"/>
        <v>1</v>
      </c>
      <c r="R75" s="28">
        <f t="shared" si="9"/>
        <v>1</v>
      </c>
      <c r="S75" s="28">
        <f t="shared" si="9"/>
        <v>0</v>
      </c>
      <c r="T75" s="84">
        <f t="shared" si="9"/>
        <v>1</v>
      </c>
      <c r="U75" s="84">
        <f t="shared" si="9"/>
        <v>1</v>
      </c>
      <c r="V75" s="84">
        <f t="shared" si="9"/>
        <v>0</v>
      </c>
      <c r="W75" s="84">
        <f t="shared" si="9"/>
        <v>0</v>
      </c>
      <c r="X75" s="84">
        <f t="shared" si="9"/>
        <v>1</v>
      </c>
      <c r="Y75" s="84">
        <f t="shared" si="9"/>
        <v>0</v>
      </c>
      <c r="Z75" s="84">
        <f t="shared" si="9"/>
        <v>0</v>
      </c>
      <c r="AA75" s="84">
        <f t="shared" si="9"/>
        <v>0</v>
      </c>
      <c r="AB75" s="84">
        <f t="shared" si="9"/>
        <v>0</v>
      </c>
      <c r="AC75" s="28">
        <f t="shared" si="9"/>
        <v>-1</v>
      </c>
      <c r="AD75" s="28">
        <f t="shared" si="9"/>
        <v>0</v>
      </c>
      <c r="AE75" s="53"/>
      <c r="AF75" s="3">
        <v>16</v>
      </c>
      <c r="AG75" s="3">
        <f>AE74/9</f>
        <v>16.222222222222221</v>
      </c>
    </row>
    <row r="76" spans="1:33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</row>
    <row r="77" spans="1:33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0">SUM(G78:G94)</f>
        <v>2</v>
      </c>
      <c r="H77" s="35">
        <f t="shared" si="10"/>
        <v>2</v>
      </c>
      <c r="I77" s="35">
        <f t="shared" si="10"/>
        <v>2</v>
      </c>
      <c r="J77" s="35">
        <f t="shared" si="10"/>
        <v>2</v>
      </c>
      <c r="K77" s="35">
        <f t="shared" si="10"/>
        <v>2</v>
      </c>
      <c r="L77" s="35">
        <f t="shared" si="10"/>
        <v>2</v>
      </c>
      <c r="M77" s="35">
        <f t="shared" si="10"/>
        <v>4</v>
      </c>
      <c r="N77" s="35">
        <f t="shared" si="10"/>
        <v>5</v>
      </c>
      <c r="O77" s="35">
        <f t="shared" si="10"/>
        <v>6</v>
      </c>
      <c r="P77" s="35">
        <f t="shared" si="10"/>
        <v>8</v>
      </c>
      <c r="Q77" s="35">
        <f t="shared" si="10"/>
        <v>10</v>
      </c>
      <c r="R77" s="35">
        <f t="shared" si="10"/>
        <v>10</v>
      </c>
      <c r="S77" s="35">
        <f t="shared" si="10"/>
        <v>8</v>
      </c>
      <c r="T77" s="35">
        <f t="shared" si="10"/>
        <v>12</v>
      </c>
      <c r="U77" s="35">
        <f t="shared" si="10"/>
        <v>13</v>
      </c>
      <c r="V77" s="35">
        <f t="shared" si="10"/>
        <v>11</v>
      </c>
      <c r="W77" s="35">
        <f t="shared" si="10"/>
        <v>9</v>
      </c>
      <c r="X77" s="35">
        <f t="shared" si="10"/>
        <v>8</v>
      </c>
      <c r="Y77" s="35">
        <f t="shared" si="10"/>
        <v>8</v>
      </c>
      <c r="Z77" s="35">
        <f t="shared" si="10"/>
        <v>8</v>
      </c>
      <c r="AA77" s="35">
        <f t="shared" si="10"/>
        <v>7</v>
      </c>
      <c r="AB77" s="35">
        <f t="shared" si="10"/>
        <v>7</v>
      </c>
      <c r="AC77" s="35">
        <f t="shared" si="10"/>
        <v>2</v>
      </c>
      <c r="AD77" s="35">
        <f t="shared" si="10"/>
        <v>2</v>
      </c>
      <c r="AE77" s="30">
        <f t="shared" ref="AE77:AE94" si="11">SUM(G77:AD77)</f>
        <v>150</v>
      </c>
      <c r="AF77" s="36" t="s">
        <v>39</v>
      </c>
      <c r="AG77" s="37" t="s">
        <v>40</v>
      </c>
    </row>
    <row r="78" spans="1:33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2">SUM(G78:AD78)</f>
        <v>10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02">
        <v>1</v>
      </c>
      <c r="P78" s="202">
        <v>1</v>
      </c>
      <c r="Q78" s="202">
        <v>1</v>
      </c>
      <c r="R78" s="202">
        <v>1</v>
      </c>
      <c r="S78" s="202">
        <v>1</v>
      </c>
      <c r="T78" s="202">
        <v>1</v>
      </c>
      <c r="U78" s="202">
        <v>1</v>
      </c>
      <c r="V78" s="202">
        <v>1</v>
      </c>
      <c r="W78" s="202"/>
      <c r="X78" s="202"/>
      <c r="Y78" s="202"/>
      <c r="Z78" s="202"/>
      <c r="AA78" s="202"/>
      <c r="AB78" s="202"/>
      <c r="AC78" s="202"/>
      <c r="AD78" s="202"/>
      <c r="AE78" s="41">
        <f t="shared" si="11"/>
        <v>10</v>
      </c>
      <c r="AF78" s="116" t="s">
        <v>151</v>
      </c>
      <c r="AG78" s="189" t="s">
        <v>693</v>
      </c>
    </row>
    <row r="79" spans="1:33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2"/>
        <v>10</v>
      </c>
      <c r="G79" s="202"/>
      <c r="H79" s="202"/>
      <c r="I79" s="202"/>
      <c r="J79" s="202"/>
      <c r="K79" s="202"/>
      <c r="L79" s="202"/>
      <c r="M79" s="202"/>
      <c r="N79" s="202"/>
      <c r="O79" s="202"/>
      <c r="P79" s="202">
        <v>1</v>
      </c>
      <c r="Q79" s="202">
        <v>1</v>
      </c>
      <c r="R79" s="202">
        <v>1</v>
      </c>
      <c r="S79" s="202">
        <v>1</v>
      </c>
      <c r="T79" s="202">
        <v>1</v>
      </c>
      <c r="U79" s="202">
        <v>1</v>
      </c>
      <c r="V79" s="202">
        <v>1</v>
      </c>
      <c r="W79" s="202">
        <v>1</v>
      </c>
      <c r="X79" s="202">
        <v>1</v>
      </c>
      <c r="Y79" s="202">
        <v>1</v>
      </c>
      <c r="Z79" s="202"/>
      <c r="AA79" s="202"/>
      <c r="AB79" s="202"/>
      <c r="AC79" s="202"/>
      <c r="AD79" s="202"/>
      <c r="AE79" s="41">
        <f t="shared" si="11"/>
        <v>10</v>
      </c>
      <c r="AF79" s="116" t="s">
        <v>302</v>
      </c>
      <c r="AG79" s="189" t="s">
        <v>693</v>
      </c>
    </row>
    <row r="80" spans="1:33" ht="19.5" customHeight="1">
      <c r="A80" s="38" t="s">
        <v>145</v>
      </c>
      <c r="B80" s="38" t="s">
        <v>76</v>
      </c>
      <c r="C80" s="38">
        <v>997829699</v>
      </c>
      <c r="D80" s="39">
        <v>3</v>
      </c>
      <c r="E80" s="40" t="s">
        <v>77</v>
      </c>
      <c r="F80" s="41">
        <f t="shared" si="12"/>
        <v>0</v>
      </c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318" t="s">
        <v>231</v>
      </c>
      <c r="W80" s="318" t="s">
        <v>231</v>
      </c>
      <c r="X80" s="318" t="s">
        <v>231</v>
      </c>
      <c r="Y80" s="318" t="s">
        <v>231</v>
      </c>
      <c r="Z80" s="318" t="s">
        <v>231</v>
      </c>
      <c r="AA80" s="318" t="s">
        <v>231</v>
      </c>
      <c r="AB80" s="318" t="s">
        <v>231</v>
      </c>
      <c r="AC80" s="318" t="s">
        <v>231</v>
      </c>
      <c r="AD80" s="202"/>
      <c r="AE80" s="41">
        <f t="shared" si="11"/>
        <v>0</v>
      </c>
      <c r="AF80" s="116" t="s">
        <v>218</v>
      </c>
      <c r="AG80" s="189" t="s">
        <v>693</v>
      </c>
    </row>
    <row r="81" spans="1:33" ht="14.25" customHeight="1">
      <c r="A81" s="38" t="s">
        <v>145</v>
      </c>
      <c r="B81" s="38" t="s">
        <v>152</v>
      </c>
      <c r="C81" s="38"/>
      <c r="D81" s="99">
        <v>4</v>
      </c>
      <c r="E81" s="40" t="s">
        <v>153</v>
      </c>
      <c r="F81" s="41">
        <f t="shared" si="12"/>
        <v>9</v>
      </c>
      <c r="G81" s="202"/>
      <c r="H81" s="202"/>
      <c r="I81" s="202"/>
      <c r="J81" s="202"/>
      <c r="K81" s="202"/>
      <c r="L81" s="202"/>
      <c r="M81" s="202"/>
      <c r="N81" s="202"/>
      <c r="O81" s="202">
        <v>1</v>
      </c>
      <c r="P81" s="202">
        <v>1</v>
      </c>
      <c r="Q81" s="202">
        <v>1</v>
      </c>
      <c r="R81" s="202">
        <v>1</v>
      </c>
      <c r="S81" s="202">
        <v>1</v>
      </c>
      <c r="T81" s="202">
        <v>1</v>
      </c>
      <c r="U81" s="202">
        <v>1</v>
      </c>
      <c r="V81" s="202">
        <v>1</v>
      </c>
      <c r="W81" s="202">
        <v>1</v>
      </c>
      <c r="X81" s="202"/>
      <c r="Y81" s="202"/>
      <c r="Z81" s="202"/>
      <c r="AA81" s="202"/>
      <c r="AB81" s="202"/>
      <c r="AC81" s="202"/>
      <c r="AD81" s="202"/>
      <c r="AE81" s="41">
        <f t="shared" si="11"/>
        <v>9</v>
      </c>
      <c r="AF81" s="116" t="s">
        <v>298</v>
      </c>
      <c r="AG81" s="189" t="s">
        <v>693</v>
      </c>
    </row>
    <row r="82" spans="1:33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2"/>
        <v>6</v>
      </c>
      <c r="G82" s="216"/>
      <c r="H82" s="216"/>
      <c r="I82" s="216"/>
      <c r="J82" s="216"/>
      <c r="K82" s="216"/>
      <c r="L82" s="216"/>
      <c r="M82" s="202"/>
      <c r="N82" s="202">
        <v>1</v>
      </c>
      <c r="O82" s="202">
        <v>1</v>
      </c>
      <c r="P82" s="202">
        <v>1</v>
      </c>
      <c r="Q82" s="202">
        <v>1</v>
      </c>
      <c r="R82" s="202">
        <v>1</v>
      </c>
      <c r="S82" s="202">
        <v>1</v>
      </c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41">
        <f t="shared" si="11"/>
        <v>6</v>
      </c>
      <c r="AF82" s="116" t="s">
        <v>315</v>
      </c>
      <c r="AG82" s="189" t="s">
        <v>693</v>
      </c>
    </row>
    <row r="83" spans="1:33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2"/>
        <v>11</v>
      </c>
      <c r="G83" s="202"/>
      <c r="H83" s="202"/>
      <c r="I83" s="202"/>
      <c r="J83" s="202"/>
      <c r="K83" s="202"/>
      <c r="L83" s="202"/>
      <c r="M83" s="202"/>
      <c r="N83" s="202">
        <v>1</v>
      </c>
      <c r="O83" s="202">
        <v>1</v>
      </c>
      <c r="P83" s="202">
        <v>1</v>
      </c>
      <c r="Q83" s="202">
        <v>1</v>
      </c>
      <c r="R83" s="202">
        <v>1</v>
      </c>
      <c r="S83" s="202">
        <v>1</v>
      </c>
      <c r="T83" s="202">
        <v>1</v>
      </c>
      <c r="U83" s="202">
        <v>1</v>
      </c>
      <c r="V83" s="202">
        <v>1</v>
      </c>
      <c r="W83" s="202">
        <v>1</v>
      </c>
      <c r="X83" s="202">
        <v>1</v>
      </c>
      <c r="Y83" s="202"/>
      <c r="Z83" s="202"/>
      <c r="AA83" s="202"/>
      <c r="AB83" s="202"/>
      <c r="AC83" s="202"/>
      <c r="AD83" s="202"/>
      <c r="AE83" s="41">
        <f t="shared" si="11"/>
        <v>11</v>
      </c>
      <c r="AF83" s="116" t="s">
        <v>154</v>
      </c>
      <c r="AG83" s="189" t="s">
        <v>693</v>
      </c>
    </row>
    <row r="84" spans="1:33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2"/>
        <v>12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>
        <v>1</v>
      </c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>
        <v>1</v>
      </c>
      <c r="AA84" s="202">
        <v>1</v>
      </c>
      <c r="AB84" s="202">
        <v>1</v>
      </c>
      <c r="AC84" s="202">
        <v>1</v>
      </c>
      <c r="AD84" s="202">
        <v>1</v>
      </c>
      <c r="AE84" s="41">
        <f t="shared" si="11"/>
        <v>12</v>
      </c>
      <c r="AF84" s="116" t="s">
        <v>311</v>
      </c>
      <c r="AG84" s="189" t="s">
        <v>693</v>
      </c>
    </row>
    <row r="85" spans="1:33" ht="14.25" customHeight="1">
      <c r="A85" s="38" t="s">
        <v>145</v>
      </c>
      <c r="B85" s="38" t="s">
        <v>165</v>
      </c>
      <c r="C85" s="38">
        <v>992994680</v>
      </c>
      <c r="D85" s="62">
        <v>8</v>
      </c>
      <c r="E85" s="40" t="s">
        <v>166</v>
      </c>
      <c r="F85" s="41">
        <f t="shared" si="12"/>
        <v>11</v>
      </c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92">
        <v>1</v>
      </c>
      <c r="R85" s="292">
        <v>1</v>
      </c>
      <c r="S85" s="305" t="s">
        <v>47</v>
      </c>
      <c r="T85" s="292">
        <v>1</v>
      </c>
      <c r="U85" s="292">
        <v>1</v>
      </c>
      <c r="V85" s="292">
        <v>1</v>
      </c>
      <c r="W85" s="292">
        <v>1</v>
      </c>
      <c r="X85" s="292">
        <v>1</v>
      </c>
      <c r="Y85" s="202">
        <v>1</v>
      </c>
      <c r="Z85" s="292">
        <v>1</v>
      </c>
      <c r="AA85" s="292">
        <v>1</v>
      </c>
      <c r="AB85" s="292">
        <v>1</v>
      </c>
      <c r="AC85" s="202"/>
      <c r="AD85" s="202"/>
      <c r="AE85" s="41">
        <f t="shared" si="11"/>
        <v>11</v>
      </c>
      <c r="AF85" s="116" t="s">
        <v>96</v>
      </c>
      <c r="AG85" s="189" t="s">
        <v>693</v>
      </c>
    </row>
    <row r="86" spans="1:33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2"/>
        <v>10</v>
      </c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>
        <v>1</v>
      </c>
      <c r="T86" s="202">
        <v>1</v>
      </c>
      <c r="U86" s="202">
        <v>1</v>
      </c>
      <c r="V86" s="202">
        <v>1</v>
      </c>
      <c r="W86" s="202">
        <v>1</v>
      </c>
      <c r="X86" s="202">
        <v>1</v>
      </c>
      <c r="Y86" s="202">
        <v>1</v>
      </c>
      <c r="Z86" s="202">
        <v>1</v>
      </c>
      <c r="AA86" s="202">
        <v>1</v>
      </c>
      <c r="AB86" s="202">
        <v>1</v>
      </c>
      <c r="AC86" s="202"/>
      <c r="AD86" s="202"/>
      <c r="AE86" s="41">
        <f t="shared" si="11"/>
        <v>10</v>
      </c>
      <c r="AF86" s="116" t="s">
        <v>148</v>
      </c>
      <c r="AG86" s="189" t="s">
        <v>693</v>
      </c>
    </row>
    <row r="87" spans="1:33" ht="14.25" customHeight="1">
      <c r="A87" s="98" t="s">
        <v>145</v>
      </c>
      <c r="B87" s="98" t="s">
        <v>176</v>
      </c>
      <c r="C87" s="98"/>
      <c r="D87" s="99">
        <v>10</v>
      </c>
      <c r="E87" s="40" t="s">
        <v>177</v>
      </c>
      <c r="F87" s="41">
        <f t="shared" si="12"/>
        <v>11</v>
      </c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>
        <v>1</v>
      </c>
      <c r="R87" s="202">
        <v>1</v>
      </c>
      <c r="S87" s="202"/>
      <c r="T87" s="202">
        <v>1</v>
      </c>
      <c r="U87" s="202">
        <v>1</v>
      </c>
      <c r="V87" s="202">
        <v>1</v>
      </c>
      <c r="W87" s="202">
        <v>1</v>
      </c>
      <c r="X87" s="202">
        <v>1</v>
      </c>
      <c r="Y87" s="202">
        <v>1</v>
      </c>
      <c r="Z87" s="202">
        <v>1</v>
      </c>
      <c r="AA87" s="202">
        <v>1</v>
      </c>
      <c r="AB87" s="202">
        <v>1</v>
      </c>
      <c r="AC87" s="202"/>
      <c r="AD87" s="202"/>
      <c r="AE87" s="41">
        <f t="shared" si="11"/>
        <v>11</v>
      </c>
      <c r="AF87" s="116" t="s">
        <v>705</v>
      </c>
      <c r="AG87" s="189" t="s">
        <v>693</v>
      </c>
    </row>
    <row r="88" spans="1:33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2"/>
        <v>12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>
        <v>1</v>
      </c>
      <c r="Z88" s="202">
        <v>1</v>
      </c>
      <c r="AA88" s="202">
        <v>1</v>
      </c>
      <c r="AB88" s="202">
        <v>1</v>
      </c>
      <c r="AC88" s="202">
        <v>1</v>
      </c>
      <c r="AD88" s="202">
        <v>1</v>
      </c>
      <c r="AE88" s="41">
        <f t="shared" si="11"/>
        <v>12</v>
      </c>
      <c r="AF88" s="116" t="s">
        <v>221</v>
      </c>
      <c r="AG88" s="189" t="s">
        <v>693</v>
      </c>
    </row>
    <row r="89" spans="1:33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2"/>
        <v>9</v>
      </c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>
        <v>1</v>
      </c>
      <c r="U89" s="202">
        <v>1</v>
      </c>
      <c r="V89" s="202">
        <v>1</v>
      </c>
      <c r="W89" s="202">
        <v>1</v>
      </c>
      <c r="X89" s="202">
        <v>1</v>
      </c>
      <c r="Y89" s="202">
        <v>1</v>
      </c>
      <c r="Z89" s="202">
        <v>1</v>
      </c>
      <c r="AA89" s="202">
        <v>1</v>
      </c>
      <c r="AB89" s="202">
        <v>1</v>
      </c>
      <c r="AC89" s="202"/>
      <c r="AD89" s="202"/>
      <c r="AE89" s="41">
        <f t="shared" si="11"/>
        <v>9</v>
      </c>
      <c r="AF89" s="116" t="s">
        <v>255</v>
      </c>
      <c r="AG89" s="189" t="s">
        <v>693</v>
      </c>
    </row>
    <row r="90" spans="1:33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2"/>
        <v>10</v>
      </c>
      <c r="G90" s="202"/>
      <c r="H90" s="202"/>
      <c r="I90" s="202"/>
      <c r="J90" s="202"/>
      <c r="K90" s="202"/>
      <c r="L90" s="202"/>
      <c r="M90" s="202">
        <v>1</v>
      </c>
      <c r="N90" s="202">
        <v>1</v>
      </c>
      <c r="O90" s="202">
        <v>1</v>
      </c>
      <c r="P90" s="202">
        <v>1</v>
      </c>
      <c r="Q90" s="202">
        <v>1</v>
      </c>
      <c r="R90" s="202">
        <v>1</v>
      </c>
      <c r="S90" s="202">
        <v>1</v>
      </c>
      <c r="T90" s="202">
        <v>1</v>
      </c>
      <c r="U90" s="202">
        <v>1</v>
      </c>
      <c r="V90" s="202">
        <v>1</v>
      </c>
      <c r="W90" s="202"/>
      <c r="X90" s="202"/>
      <c r="Y90" s="202"/>
      <c r="Z90" s="202"/>
      <c r="AA90" s="202"/>
      <c r="AB90" s="202"/>
      <c r="AC90" s="202"/>
      <c r="AD90" s="202"/>
      <c r="AE90" s="41">
        <f t="shared" si="11"/>
        <v>10</v>
      </c>
      <c r="AF90" s="116" t="s">
        <v>151</v>
      </c>
      <c r="AG90" s="189" t="s">
        <v>693</v>
      </c>
    </row>
    <row r="91" spans="1:33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2"/>
        <v>10</v>
      </c>
      <c r="G91" s="202"/>
      <c r="H91" s="202"/>
      <c r="I91" s="202"/>
      <c r="J91" s="202"/>
      <c r="K91" s="202"/>
      <c r="L91" s="202"/>
      <c r="M91" s="202"/>
      <c r="N91" s="202"/>
      <c r="O91" s="202"/>
      <c r="P91" s="202">
        <v>1</v>
      </c>
      <c r="Q91" s="202">
        <v>1</v>
      </c>
      <c r="R91" s="202">
        <v>1</v>
      </c>
      <c r="S91" s="305" t="s">
        <v>47</v>
      </c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>
        <v>1</v>
      </c>
      <c r="Z91" s="202">
        <v>1</v>
      </c>
      <c r="AA91" s="202"/>
      <c r="AB91" s="202"/>
      <c r="AC91" s="202"/>
      <c r="AD91" s="202"/>
      <c r="AE91" s="41">
        <f t="shared" si="11"/>
        <v>10</v>
      </c>
      <c r="AF91" s="116" t="s">
        <v>164</v>
      </c>
      <c r="AG91" s="189" t="s">
        <v>693</v>
      </c>
    </row>
    <row r="92" spans="1:33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2"/>
        <v>1</v>
      </c>
      <c r="G92" s="202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202">
        <v>1</v>
      </c>
      <c r="V92" s="580" t="s">
        <v>209</v>
      </c>
      <c r="W92" s="555"/>
      <c r="X92" s="555"/>
      <c r="Y92" s="555"/>
      <c r="Z92" s="555"/>
      <c r="AA92" s="555"/>
      <c r="AB92" s="555"/>
      <c r="AC92" s="542"/>
      <c r="AD92" s="176"/>
      <c r="AE92" s="41">
        <f t="shared" si="11"/>
        <v>1</v>
      </c>
      <c r="AF92" s="116" t="s">
        <v>81</v>
      </c>
      <c r="AG92" s="189" t="s">
        <v>693</v>
      </c>
    </row>
    <row r="93" spans="1:33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2"/>
        <v>9</v>
      </c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>
        <v>1</v>
      </c>
      <c r="U93" s="202">
        <v>1</v>
      </c>
      <c r="V93" s="202">
        <v>1</v>
      </c>
      <c r="W93" s="202">
        <v>1</v>
      </c>
      <c r="X93" s="202">
        <v>1</v>
      </c>
      <c r="Y93" s="202">
        <v>1</v>
      </c>
      <c r="Z93" s="202">
        <v>1</v>
      </c>
      <c r="AA93" s="202">
        <v>1</v>
      </c>
      <c r="AB93" s="202">
        <v>1</v>
      </c>
      <c r="AC93" s="202"/>
      <c r="AD93" s="202"/>
      <c r="AE93" s="41">
        <f t="shared" si="11"/>
        <v>9</v>
      </c>
      <c r="AF93" s="116" t="s">
        <v>255</v>
      </c>
      <c r="AG93" s="189" t="s">
        <v>693</v>
      </c>
    </row>
    <row r="94" spans="1:33" ht="14.25" customHeight="1">
      <c r="A94" s="38" t="s">
        <v>145</v>
      </c>
      <c r="B94" s="38" t="s">
        <v>183</v>
      </c>
      <c r="C94" s="38"/>
      <c r="D94" s="39">
        <v>17</v>
      </c>
      <c r="E94" s="40" t="s">
        <v>184</v>
      </c>
      <c r="F94" s="41">
        <f t="shared" si="12"/>
        <v>9</v>
      </c>
      <c r="G94" s="202"/>
      <c r="H94" s="202"/>
      <c r="I94" s="202"/>
      <c r="J94" s="202"/>
      <c r="K94" s="202"/>
      <c r="L94" s="202"/>
      <c r="M94" s="202">
        <v>1</v>
      </c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/>
      <c r="W94" s="202"/>
      <c r="X94" s="202"/>
      <c r="Y94" s="202"/>
      <c r="Z94" s="202"/>
      <c r="AA94" s="202"/>
      <c r="AB94" s="202"/>
      <c r="AC94" s="202"/>
      <c r="AD94" s="202"/>
      <c r="AE94" s="41">
        <f t="shared" si="11"/>
        <v>9</v>
      </c>
      <c r="AF94" s="116" t="s">
        <v>244</v>
      </c>
      <c r="AG94" s="189" t="s">
        <v>693</v>
      </c>
    </row>
    <row r="95" spans="1:33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</row>
    <row r="96" spans="1:3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</sheetData>
  <customSheetViews>
    <customSheetView guid="{D6F95600-F5D2-44BC-80B6-0F2773D5BD92}" filter="1" showAutoFilter="1">
      <pageMargins left="0.7" right="0.7" top="0.75" bottom="0.75" header="0.3" footer="0.3"/>
      <autoFilter ref="A3:AG96" xr:uid="{6C814694-FA39-4F27-903B-D1EEC8CB7C60}"/>
    </customSheetView>
    <customSheetView guid="{49BA5E93-E473-4F11-BE7E-FD55CB28D969}" filter="1" showAutoFilter="1">
      <pageMargins left="0.7" right="0.7" top="0.75" bottom="0.75" header="0.3" footer="0.3"/>
      <autoFilter ref="G5:AD96" xr:uid="{A0ADBC64-5BFE-4D67-969B-09384F45ABB3}">
        <filterColumn colId="15">
          <filters>
            <filter val="-"/>
            <filter val="(1)"/>
            <filter val="1"/>
            <filter val="10"/>
            <filter val="11"/>
            <filter val="19"/>
            <filter val="9"/>
            <filter val="FI"/>
            <filter val="MONITOREOS"/>
            <filter val="SEGUIMIENTO TRANSFERENCIAS"/>
            <filter val="VIP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G96" xr:uid="{1F663794-4CAC-4F30-9361-8B979FC19F1E}">
        <filterColumn colId="26">
          <filters>
            <filter val="-"/>
            <filter val="1"/>
            <filter val="3"/>
            <filter val="7"/>
            <filter val="FI"/>
            <filter val="MONITOREOS"/>
            <filter val="VIP"/>
          </filters>
        </filterColumn>
      </autoFilter>
    </customSheetView>
  </customSheetViews>
  <mergeCells count="13">
    <mergeCell ref="V92:AC92"/>
    <mergeCell ref="A1:B1"/>
    <mergeCell ref="D3:AE3"/>
    <mergeCell ref="E4:F4"/>
    <mergeCell ref="E5:F5"/>
    <mergeCell ref="S27:Z27"/>
    <mergeCell ref="V30:AC30"/>
    <mergeCell ref="V33:AC33"/>
    <mergeCell ref="V47:AC47"/>
    <mergeCell ref="N48:U48"/>
    <mergeCell ref="O49:Z49"/>
    <mergeCell ref="E55:F55"/>
    <mergeCell ref="E74:F74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G96"/>
  <sheetViews>
    <sheetView showGridLines="0" workbookViewId="0"/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39.85546875" customWidth="1"/>
    <col min="33" max="33" width="27.7109375" customWidth="1"/>
  </cols>
  <sheetData>
    <row r="1" spans="1:33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268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32</v>
      </c>
      <c r="AG3" s="3">
        <f>AE4/13</f>
        <v>24.46153846153846</v>
      </c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4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12</v>
      </c>
      <c r="N4" s="204">
        <v>11</v>
      </c>
      <c r="O4" s="204">
        <v>20</v>
      </c>
      <c r="P4" s="204">
        <v>18</v>
      </c>
      <c r="Q4" s="204">
        <v>21</v>
      </c>
      <c r="R4" s="204">
        <v>20</v>
      </c>
      <c r="S4" s="204">
        <v>19</v>
      </c>
      <c r="T4" s="204">
        <v>20</v>
      </c>
      <c r="U4" s="204">
        <v>21</v>
      </c>
      <c r="V4" s="204">
        <v>21</v>
      </c>
      <c r="W4" s="204">
        <v>19</v>
      </c>
      <c r="X4" s="204">
        <v>17</v>
      </c>
      <c r="Y4" s="204">
        <v>15</v>
      </c>
      <c r="Z4" s="204">
        <v>22</v>
      </c>
      <c r="AA4" s="204">
        <v>18</v>
      </c>
      <c r="AB4" s="204">
        <v>14</v>
      </c>
      <c r="AC4" s="204">
        <v>7</v>
      </c>
      <c r="AD4" s="204">
        <v>4</v>
      </c>
      <c r="AE4" s="18">
        <f>SUM(G4:AD4)</f>
        <v>318</v>
      </c>
      <c r="AF4" s="3"/>
      <c r="AG4" s="3"/>
    </row>
    <row r="5" spans="1:33" ht="62.25">
      <c r="A5" s="3"/>
      <c r="B5" s="2"/>
      <c r="C5" s="2"/>
      <c r="D5" s="19"/>
      <c r="E5" s="569">
        <v>23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7.2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84">
        <f t="shared" si="0"/>
        <v>-2</v>
      </c>
      <c r="N6" s="84">
        <f t="shared" si="0"/>
        <v>-2</v>
      </c>
      <c r="O6" s="84">
        <f t="shared" si="0"/>
        <v>-7</v>
      </c>
      <c r="P6" s="28">
        <f t="shared" si="0"/>
        <v>0</v>
      </c>
      <c r="Q6" s="84">
        <f t="shared" si="0"/>
        <v>0</v>
      </c>
      <c r="R6" s="84">
        <f t="shared" si="0"/>
        <v>0</v>
      </c>
      <c r="S6" s="28">
        <f t="shared" si="0"/>
        <v>0</v>
      </c>
      <c r="T6" s="84">
        <f t="shared" si="0"/>
        <v>0</v>
      </c>
      <c r="U6" s="28">
        <f t="shared" si="0"/>
        <v>0</v>
      </c>
      <c r="V6" s="28">
        <f t="shared" si="0"/>
        <v>0</v>
      </c>
      <c r="W6" s="84">
        <f t="shared" si="0"/>
        <v>-1</v>
      </c>
      <c r="X6" s="84">
        <f t="shared" si="0"/>
        <v>0</v>
      </c>
      <c r="Y6" s="84">
        <f t="shared" si="0"/>
        <v>0</v>
      </c>
      <c r="Z6" s="84">
        <f t="shared" si="0"/>
        <v>-5</v>
      </c>
      <c r="AA6" s="84">
        <f t="shared" si="0"/>
        <v>-5</v>
      </c>
      <c r="AB6" s="84">
        <f t="shared" si="0"/>
        <v>-4</v>
      </c>
      <c r="AC6" s="28">
        <f t="shared" si="0"/>
        <v>0</v>
      </c>
      <c r="AD6" s="28">
        <f t="shared" si="0"/>
        <v>0</v>
      </c>
      <c r="AE6" s="29">
        <f t="shared" ref="AE6:AE49" si="1">SUM(G6:AD6)</f>
        <v>-26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10</v>
      </c>
      <c r="N7" s="172">
        <f t="shared" si="2"/>
        <v>9</v>
      </c>
      <c r="O7" s="172">
        <f t="shared" si="2"/>
        <v>13</v>
      </c>
      <c r="P7" s="172">
        <f t="shared" si="2"/>
        <v>18</v>
      </c>
      <c r="Q7" s="172">
        <f t="shared" si="2"/>
        <v>21</v>
      </c>
      <c r="R7" s="172">
        <f t="shared" si="2"/>
        <v>20</v>
      </c>
      <c r="S7" s="172">
        <f t="shared" si="2"/>
        <v>19</v>
      </c>
      <c r="T7" s="172">
        <f t="shared" si="2"/>
        <v>20</v>
      </c>
      <c r="U7" s="172">
        <f t="shared" si="2"/>
        <v>21</v>
      </c>
      <c r="V7" s="172">
        <f t="shared" si="2"/>
        <v>21</v>
      </c>
      <c r="W7" s="172">
        <f t="shared" si="2"/>
        <v>18</v>
      </c>
      <c r="X7" s="172">
        <f t="shared" si="2"/>
        <v>17</v>
      </c>
      <c r="Y7" s="172">
        <f t="shared" si="2"/>
        <v>15</v>
      </c>
      <c r="Z7" s="172">
        <f t="shared" si="2"/>
        <v>17</v>
      </c>
      <c r="AA7" s="172">
        <f t="shared" si="2"/>
        <v>13</v>
      </c>
      <c r="AB7" s="172">
        <f t="shared" si="2"/>
        <v>10</v>
      </c>
      <c r="AC7" s="172">
        <f t="shared" si="2"/>
        <v>7</v>
      </c>
      <c r="AD7" s="172">
        <f t="shared" si="2"/>
        <v>4</v>
      </c>
      <c r="AE7" s="168">
        <f t="shared" si="1"/>
        <v>292</v>
      </c>
      <c r="AF7" s="36" t="s">
        <v>39</v>
      </c>
      <c r="AG7" s="197" t="s">
        <v>40</v>
      </c>
    </row>
    <row r="8" spans="1:33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16" si="3">SUM(G8:AD8)</f>
        <v>11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11</v>
      </c>
      <c r="AF8" s="116" t="s">
        <v>432</v>
      </c>
      <c r="AG8" s="189" t="s">
        <v>693</v>
      </c>
    </row>
    <row r="9" spans="1:33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13</v>
      </c>
      <c r="G9" s="216"/>
      <c r="H9" s="216"/>
      <c r="I9" s="216"/>
      <c r="J9" s="216"/>
      <c r="K9" s="216"/>
      <c r="L9" s="216"/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>
        <v>1</v>
      </c>
      <c r="U9" s="216">
        <v>1</v>
      </c>
      <c r="V9" s="216">
        <v>1</v>
      </c>
      <c r="W9" s="216"/>
      <c r="X9" s="216">
        <v>1</v>
      </c>
      <c r="Y9" s="216">
        <v>1</v>
      </c>
      <c r="Z9" s="216">
        <v>1</v>
      </c>
      <c r="AA9" s="216"/>
      <c r="AB9" s="216"/>
      <c r="AC9" s="216"/>
      <c r="AD9" s="216"/>
      <c r="AE9" s="41">
        <f t="shared" si="1"/>
        <v>13</v>
      </c>
      <c r="AF9" s="116" t="s">
        <v>630</v>
      </c>
      <c r="AG9" s="189" t="s">
        <v>693</v>
      </c>
    </row>
    <row r="10" spans="1:33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13</v>
      </c>
      <c r="G10" s="216"/>
      <c r="H10" s="216"/>
      <c r="I10" s="216"/>
      <c r="J10" s="216"/>
      <c r="K10" s="216"/>
      <c r="L10" s="216"/>
      <c r="M10" s="216">
        <v>1</v>
      </c>
      <c r="N10" s="216">
        <v>1</v>
      </c>
      <c r="O10" s="216">
        <v>1</v>
      </c>
      <c r="P10" s="216">
        <v>1</v>
      </c>
      <c r="Q10" s="216">
        <v>1</v>
      </c>
      <c r="R10" s="216">
        <v>1</v>
      </c>
      <c r="S10" s="216">
        <v>1</v>
      </c>
      <c r="T10" s="216">
        <v>1</v>
      </c>
      <c r="U10" s="216">
        <v>1</v>
      </c>
      <c r="V10" s="216">
        <v>1</v>
      </c>
      <c r="W10" s="216">
        <v>1</v>
      </c>
      <c r="X10" s="216">
        <v>1</v>
      </c>
      <c r="Y10" s="216">
        <v>1</v>
      </c>
      <c r="Z10" s="216"/>
      <c r="AA10" s="216"/>
      <c r="AB10" s="216"/>
      <c r="AC10" s="216"/>
      <c r="AD10" s="216"/>
      <c r="AE10" s="41">
        <f t="shared" si="1"/>
        <v>13</v>
      </c>
      <c r="AF10" s="116" t="s">
        <v>261</v>
      </c>
      <c r="AG10" s="189" t="s">
        <v>693</v>
      </c>
    </row>
    <row r="11" spans="1:33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13</v>
      </c>
      <c r="G11" s="176"/>
      <c r="H11" s="176"/>
      <c r="I11" s="176"/>
      <c r="J11" s="176"/>
      <c r="K11" s="176"/>
      <c r="L11" s="176"/>
      <c r="M11" s="216">
        <v>1</v>
      </c>
      <c r="N11" s="216">
        <v>1</v>
      </c>
      <c r="O11" s="216">
        <v>1</v>
      </c>
      <c r="P11" s="216">
        <v>1</v>
      </c>
      <c r="Q11" s="216">
        <v>1</v>
      </c>
      <c r="R11" s="216">
        <v>1</v>
      </c>
      <c r="S11" s="216">
        <v>1</v>
      </c>
      <c r="T11" s="216">
        <v>1</v>
      </c>
      <c r="U11" s="216">
        <v>1</v>
      </c>
      <c r="V11" s="216">
        <v>1</v>
      </c>
      <c r="W11" s="176">
        <v>1</v>
      </c>
      <c r="X11" s="176">
        <v>1</v>
      </c>
      <c r="Y11" s="176">
        <v>1</v>
      </c>
      <c r="Z11" s="176"/>
      <c r="AA11" s="176"/>
      <c r="AB11" s="176"/>
      <c r="AC11" s="176"/>
      <c r="AD11" s="176"/>
      <c r="AE11" s="41">
        <f t="shared" si="1"/>
        <v>13</v>
      </c>
      <c r="AF11" s="116" t="s">
        <v>261</v>
      </c>
      <c r="AG11" s="189" t="s">
        <v>693</v>
      </c>
    </row>
    <row r="12" spans="1:33" ht="14.25" customHeight="1">
      <c r="A12" s="38" t="s">
        <v>41</v>
      </c>
      <c r="B12" s="38" t="s">
        <v>59</v>
      </c>
      <c r="C12" s="38"/>
      <c r="D12" s="99">
        <v>6</v>
      </c>
      <c r="E12" s="208" t="s">
        <v>60</v>
      </c>
      <c r="F12" s="41">
        <f t="shared" si="3"/>
        <v>0</v>
      </c>
      <c r="G12" s="176">
        <v>0</v>
      </c>
      <c r="H12" s="176">
        <v>0</v>
      </c>
      <c r="I12" s="176">
        <v>0</v>
      </c>
      <c r="J12" s="176">
        <v>0</v>
      </c>
      <c r="K12" s="176">
        <v>0</v>
      </c>
      <c r="L12" s="176">
        <v>0</v>
      </c>
      <c r="M12" s="176">
        <v>0</v>
      </c>
      <c r="N12" s="176">
        <v>0</v>
      </c>
      <c r="O12" s="176">
        <v>0</v>
      </c>
      <c r="P12" s="176">
        <v>0</v>
      </c>
      <c r="Q12" s="176">
        <v>0</v>
      </c>
      <c r="R12" s="176">
        <v>0</v>
      </c>
      <c r="S12" s="176">
        <v>0</v>
      </c>
      <c r="T12" s="176">
        <v>0</v>
      </c>
      <c r="U12" s="176">
        <v>0</v>
      </c>
      <c r="V12" s="176">
        <v>0</v>
      </c>
      <c r="W12" s="176">
        <v>0</v>
      </c>
      <c r="X12" s="176">
        <v>0</v>
      </c>
      <c r="Y12" s="176">
        <v>0</v>
      </c>
      <c r="Z12" s="176">
        <v>0</v>
      </c>
      <c r="AA12" s="176">
        <v>0</v>
      </c>
      <c r="AB12" s="176">
        <v>0</v>
      </c>
      <c r="AC12" s="176">
        <v>0</v>
      </c>
      <c r="AD12" s="176">
        <v>0</v>
      </c>
      <c r="AE12" s="41">
        <f t="shared" si="1"/>
        <v>0</v>
      </c>
      <c r="AF12" s="116" t="s">
        <v>225</v>
      </c>
      <c r="AG12" s="189" t="s">
        <v>693</v>
      </c>
    </row>
    <row r="13" spans="1:33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9</v>
      </c>
      <c r="G13" s="216"/>
      <c r="H13" s="216"/>
      <c r="I13" s="216"/>
      <c r="J13" s="216"/>
      <c r="K13" s="216"/>
      <c r="L13" s="216"/>
      <c r="M13" s="216">
        <v>1</v>
      </c>
      <c r="N13" s="216">
        <v>1</v>
      </c>
      <c r="O13" s="216">
        <v>1</v>
      </c>
      <c r="P13" s="216">
        <v>1</v>
      </c>
      <c r="Q13" s="216">
        <v>1</v>
      </c>
      <c r="R13" s="216"/>
      <c r="S13" s="216">
        <v>1</v>
      </c>
      <c r="T13" s="216">
        <v>1</v>
      </c>
      <c r="U13" s="216">
        <v>1</v>
      </c>
      <c r="V13" s="216">
        <v>1</v>
      </c>
      <c r="W13" s="217" t="s">
        <v>199</v>
      </c>
      <c r="X13" s="217" t="s">
        <v>199</v>
      </c>
      <c r="Y13" s="217" t="s">
        <v>199</v>
      </c>
      <c r="Z13" s="217" t="s">
        <v>199</v>
      </c>
      <c r="AA13" s="216"/>
      <c r="AB13" s="216"/>
      <c r="AC13" s="216"/>
      <c r="AD13" s="216"/>
      <c r="AE13" s="41">
        <f t="shared" si="1"/>
        <v>9</v>
      </c>
      <c r="AF13" s="116" t="s">
        <v>232</v>
      </c>
      <c r="AG13" s="189" t="s">
        <v>693</v>
      </c>
    </row>
    <row r="14" spans="1:33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13</v>
      </c>
      <c r="G14" s="216"/>
      <c r="H14" s="216"/>
      <c r="I14" s="216"/>
      <c r="J14" s="216"/>
      <c r="K14" s="216"/>
      <c r="L14" s="216"/>
      <c r="M14" s="216">
        <v>1</v>
      </c>
      <c r="N14" s="216">
        <v>1</v>
      </c>
      <c r="O14" s="216">
        <v>1</v>
      </c>
      <c r="P14" s="216">
        <v>1</v>
      </c>
      <c r="Q14" s="216">
        <v>1</v>
      </c>
      <c r="R14" s="216">
        <v>1</v>
      </c>
      <c r="S14" s="216"/>
      <c r="T14" s="216">
        <v>1</v>
      </c>
      <c r="U14" s="216">
        <v>1</v>
      </c>
      <c r="V14" s="216">
        <v>1</v>
      </c>
      <c r="W14" s="216">
        <v>1</v>
      </c>
      <c r="X14" s="216">
        <v>1</v>
      </c>
      <c r="Y14" s="216">
        <v>1</v>
      </c>
      <c r="Z14" s="216">
        <v>1</v>
      </c>
      <c r="AA14" s="216"/>
      <c r="AB14" s="216"/>
      <c r="AC14" s="216"/>
      <c r="AD14" s="216"/>
      <c r="AE14" s="41">
        <f t="shared" si="1"/>
        <v>13</v>
      </c>
      <c r="AF14" s="116" t="s">
        <v>522</v>
      </c>
      <c r="AG14" s="189" t="s">
        <v>693</v>
      </c>
    </row>
    <row r="15" spans="1:33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0</v>
      </c>
      <c r="G15" s="176">
        <v>0</v>
      </c>
      <c r="H15" s="176">
        <v>0</v>
      </c>
      <c r="I15" s="176">
        <v>0</v>
      </c>
      <c r="J15" s="176">
        <v>0</v>
      </c>
      <c r="K15" s="176">
        <v>0</v>
      </c>
      <c r="L15" s="176">
        <v>0</v>
      </c>
      <c r="M15" s="176">
        <v>0</v>
      </c>
      <c r="N15" s="176">
        <v>0</v>
      </c>
      <c r="O15" s="176">
        <v>0</v>
      </c>
      <c r="P15" s="176">
        <v>0</v>
      </c>
      <c r="Q15" s="176">
        <v>0</v>
      </c>
      <c r="R15" s="176">
        <v>0</v>
      </c>
      <c r="S15" s="176">
        <v>0</v>
      </c>
      <c r="T15" s="176">
        <v>0</v>
      </c>
      <c r="U15" s="176">
        <v>0</v>
      </c>
      <c r="V15" s="176">
        <v>0</v>
      </c>
      <c r="W15" s="176">
        <v>0</v>
      </c>
      <c r="X15" s="176">
        <v>0</v>
      </c>
      <c r="Y15" s="176">
        <v>0</v>
      </c>
      <c r="Z15" s="176">
        <v>0</v>
      </c>
      <c r="AA15" s="176">
        <v>0</v>
      </c>
      <c r="AB15" s="176">
        <v>0</v>
      </c>
      <c r="AC15" s="176">
        <v>0</v>
      </c>
      <c r="AD15" s="176">
        <v>0</v>
      </c>
      <c r="AE15" s="41">
        <f t="shared" si="1"/>
        <v>0</v>
      </c>
      <c r="AF15" s="116" t="s">
        <v>225</v>
      </c>
      <c r="AG15" s="189" t="s">
        <v>693</v>
      </c>
    </row>
    <row r="16" spans="1:33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12</v>
      </c>
      <c r="G16" s="216"/>
      <c r="H16" s="216"/>
      <c r="I16" s="216"/>
      <c r="J16" s="216"/>
      <c r="K16" s="216"/>
      <c r="L16" s="216"/>
      <c r="M16" s="216"/>
      <c r="N16" s="216"/>
      <c r="O16" s="216"/>
      <c r="P16" s="216">
        <v>1</v>
      </c>
      <c r="Q16" s="216">
        <v>1</v>
      </c>
      <c r="R16" s="216">
        <v>1</v>
      </c>
      <c r="S16" s="216"/>
      <c r="T16" s="216">
        <v>1</v>
      </c>
      <c r="U16" s="216">
        <v>1</v>
      </c>
      <c r="V16" s="216">
        <v>1</v>
      </c>
      <c r="W16" s="216">
        <v>1</v>
      </c>
      <c r="X16" s="216">
        <v>1</v>
      </c>
      <c r="Y16" s="216">
        <v>1</v>
      </c>
      <c r="Z16" s="216">
        <v>1</v>
      </c>
      <c r="AA16" s="216">
        <v>1</v>
      </c>
      <c r="AB16" s="216">
        <v>1</v>
      </c>
      <c r="AC16" s="216"/>
      <c r="AD16" s="216"/>
      <c r="AE16" s="41">
        <f t="shared" si="1"/>
        <v>12</v>
      </c>
      <c r="AF16" s="116" t="s">
        <v>706</v>
      </c>
      <c r="AG16" s="189" t="s">
        <v>693</v>
      </c>
    </row>
    <row r="17" spans="1:33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v>12</v>
      </c>
      <c r="G17" s="42"/>
      <c r="H17" s="77"/>
      <c r="I17" s="77"/>
      <c r="J17" s="77"/>
      <c r="K17" s="77"/>
      <c r="L17" s="77"/>
      <c r="M17" s="216"/>
      <c r="N17" s="216"/>
      <c r="O17" s="216"/>
      <c r="P17" s="579" t="s">
        <v>471</v>
      </c>
      <c r="Q17" s="555"/>
      <c r="R17" s="555"/>
      <c r="S17" s="555"/>
      <c r="T17" s="555"/>
      <c r="U17" s="555"/>
      <c r="V17" s="555"/>
      <c r="W17" s="555"/>
      <c r="X17" s="555"/>
      <c r="Y17" s="555"/>
      <c r="Z17" s="542"/>
      <c r="AA17" s="176"/>
      <c r="AB17" s="176"/>
      <c r="AC17" s="42"/>
      <c r="AD17" s="42"/>
      <c r="AE17" s="41">
        <f t="shared" si="1"/>
        <v>0</v>
      </c>
      <c r="AF17" s="116" t="s">
        <v>164</v>
      </c>
      <c r="AG17" s="189" t="s">
        <v>693</v>
      </c>
    </row>
    <row r="18" spans="1:33" ht="14.25" customHeight="1">
      <c r="A18" s="76" t="s">
        <v>41</v>
      </c>
      <c r="B18" s="76" t="s">
        <v>198</v>
      </c>
      <c r="C18" s="76"/>
      <c r="D18" s="39">
        <v>17</v>
      </c>
      <c r="E18" s="175" t="s">
        <v>99</v>
      </c>
      <c r="F18" s="41">
        <f t="shared" ref="F18:F49" si="4">SUM(G18:AD18)</f>
        <v>7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>
        <v>1</v>
      </c>
      <c r="T18" s="176">
        <v>1</v>
      </c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/>
      <c r="AA18" s="176"/>
      <c r="AB18" s="176"/>
      <c r="AC18" s="176"/>
      <c r="AD18" s="176"/>
      <c r="AE18" s="41">
        <f t="shared" si="1"/>
        <v>7</v>
      </c>
      <c r="AF18" s="116" t="s">
        <v>519</v>
      </c>
      <c r="AG18" s="189" t="s">
        <v>693</v>
      </c>
    </row>
    <row r="19" spans="1:33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175" t="s">
        <v>102</v>
      </c>
      <c r="F19" s="41">
        <f t="shared" si="4"/>
        <v>12</v>
      </c>
      <c r="G19" s="176"/>
      <c r="H19" s="176"/>
      <c r="I19" s="176"/>
      <c r="J19" s="176"/>
      <c r="K19" s="176"/>
      <c r="L19" s="176"/>
      <c r="M19" s="176">
        <v>1</v>
      </c>
      <c r="N19" s="176">
        <v>1</v>
      </c>
      <c r="O19" s="176">
        <v>1</v>
      </c>
      <c r="P19" s="176">
        <v>1</v>
      </c>
      <c r="Q19" s="176">
        <v>1</v>
      </c>
      <c r="R19" s="176">
        <v>1</v>
      </c>
      <c r="S19" s="176">
        <v>1</v>
      </c>
      <c r="T19" s="176">
        <v>1</v>
      </c>
      <c r="U19" s="176">
        <v>1</v>
      </c>
      <c r="V19" s="176">
        <v>1</v>
      </c>
      <c r="W19" s="176">
        <v>1</v>
      </c>
      <c r="X19" s="176">
        <v>1</v>
      </c>
      <c r="Y19" s="176"/>
      <c r="Z19" s="176"/>
      <c r="AA19" s="176"/>
      <c r="AB19" s="176"/>
      <c r="AC19" s="176"/>
      <c r="AD19" s="176"/>
      <c r="AE19" s="41">
        <f t="shared" si="1"/>
        <v>12</v>
      </c>
      <c r="AF19" s="116" t="s">
        <v>84</v>
      </c>
      <c r="AG19" s="189" t="s">
        <v>693</v>
      </c>
    </row>
    <row r="20" spans="1:33" ht="14.25" customHeight="1">
      <c r="A20" s="38" t="s">
        <v>41</v>
      </c>
      <c r="B20" s="38" t="s">
        <v>103</v>
      </c>
      <c r="C20" s="38"/>
      <c r="D20" s="86">
        <v>19</v>
      </c>
      <c r="E20" s="208" t="s">
        <v>104</v>
      </c>
      <c r="F20" s="41">
        <f t="shared" si="4"/>
        <v>0</v>
      </c>
      <c r="G20" s="176">
        <v>0</v>
      </c>
      <c r="H20" s="176">
        <v>0</v>
      </c>
      <c r="I20" s="176">
        <v>0</v>
      </c>
      <c r="J20" s="176">
        <v>0</v>
      </c>
      <c r="K20" s="176">
        <v>0</v>
      </c>
      <c r="L20" s="176">
        <v>0</v>
      </c>
      <c r="M20" s="176">
        <v>0</v>
      </c>
      <c r="N20" s="176">
        <v>0</v>
      </c>
      <c r="O20" s="176">
        <v>0</v>
      </c>
      <c r="P20" s="176">
        <v>0</v>
      </c>
      <c r="Q20" s="176">
        <v>0</v>
      </c>
      <c r="R20" s="176">
        <v>0</v>
      </c>
      <c r="S20" s="176">
        <v>0</v>
      </c>
      <c r="T20" s="176">
        <v>0</v>
      </c>
      <c r="U20" s="176">
        <v>0</v>
      </c>
      <c r="V20" s="176">
        <v>0</v>
      </c>
      <c r="W20" s="176">
        <v>0</v>
      </c>
      <c r="X20" s="176">
        <v>0</v>
      </c>
      <c r="Y20" s="176">
        <v>0</v>
      </c>
      <c r="Z20" s="176">
        <v>0</v>
      </c>
      <c r="AA20" s="176">
        <v>0</v>
      </c>
      <c r="AB20" s="176">
        <v>0</v>
      </c>
      <c r="AC20" s="176">
        <v>0</v>
      </c>
      <c r="AD20" s="176">
        <v>0</v>
      </c>
      <c r="AE20" s="41">
        <f t="shared" si="1"/>
        <v>0</v>
      </c>
      <c r="AF20" s="116" t="s">
        <v>225</v>
      </c>
      <c r="AG20" s="189" t="s">
        <v>693</v>
      </c>
    </row>
    <row r="21" spans="1:33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4"/>
        <v>0</v>
      </c>
      <c r="G21" s="176">
        <v>0</v>
      </c>
      <c r="H21" s="176">
        <v>0</v>
      </c>
      <c r="I21" s="176">
        <v>0</v>
      </c>
      <c r="J21" s="176">
        <v>0</v>
      </c>
      <c r="K21" s="176">
        <v>0</v>
      </c>
      <c r="L21" s="176">
        <v>0</v>
      </c>
      <c r="M21" s="176">
        <v>0</v>
      </c>
      <c r="N21" s="176">
        <v>0</v>
      </c>
      <c r="O21" s="176">
        <v>0</v>
      </c>
      <c r="P21" s="176">
        <v>0</v>
      </c>
      <c r="Q21" s="176">
        <v>0</v>
      </c>
      <c r="R21" s="176">
        <v>0</v>
      </c>
      <c r="S21" s="176">
        <v>0</v>
      </c>
      <c r="T21" s="176">
        <v>0</v>
      </c>
      <c r="U21" s="176">
        <v>0</v>
      </c>
      <c r="V21" s="176">
        <v>0</v>
      </c>
      <c r="W21" s="176">
        <v>0</v>
      </c>
      <c r="X21" s="176">
        <v>0</v>
      </c>
      <c r="Y21" s="176">
        <v>0</v>
      </c>
      <c r="Z21" s="176">
        <v>0</v>
      </c>
      <c r="AA21" s="176">
        <v>0</v>
      </c>
      <c r="AB21" s="176">
        <v>0</v>
      </c>
      <c r="AC21" s="176">
        <v>0</v>
      </c>
      <c r="AD21" s="176">
        <v>0</v>
      </c>
      <c r="AE21" s="41">
        <f t="shared" si="1"/>
        <v>0</v>
      </c>
      <c r="AF21" s="116" t="s">
        <v>225</v>
      </c>
      <c r="AG21" s="189" t="s">
        <v>693</v>
      </c>
    </row>
    <row r="22" spans="1:33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4"/>
        <v>11</v>
      </c>
      <c r="G22" s="176"/>
      <c r="H22" s="176"/>
      <c r="I22" s="176"/>
      <c r="J22" s="176"/>
      <c r="K22" s="176"/>
      <c r="L22" s="176"/>
      <c r="M22" s="176">
        <v>1</v>
      </c>
      <c r="N22" s="176">
        <v>1</v>
      </c>
      <c r="O22" s="176">
        <v>1</v>
      </c>
      <c r="P22" s="176">
        <v>1</v>
      </c>
      <c r="Q22" s="176">
        <v>1</v>
      </c>
      <c r="R22" s="176">
        <v>1</v>
      </c>
      <c r="S22" s="176"/>
      <c r="T22" s="176">
        <v>1</v>
      </c>
      <c r="U22" s="176">
        <v>1</v>
      </c>
      <c r="V22" s="176">
        <v>1</v>
      </c>
      <c r="W22" s="176">
        <v>1</v>
      </c>
      <c r="X22" s="176">
        <v>1</v>
      </c>
      <c r="Y22" s="176"/>
      <c r="Z22" s="176"/>
      <c r="AA22" s="176"/>
      <c r="AB22" s="176"/>
      <c r="AC22" s="176"/>
      <c r="AD22" s="176"/>
      <c r="AE22" s="41">
        <f t="shared" si="1"/>
        <v>11</v>
      </c>
      <c r="AF22" s="116" t="s">
        <v>220</v>
      </c>
      <c r="AG22" s="189" t="s">
        <v>693</v>
      </c>
    </row>
    <row r="23" spans="1:33" ht="14.25" customHeight="1">
      <c r="A23" s="98" t="s">
        <v>41</v>
      </c>
      <c r="B23" s="98" t="s">
        <v>111</v>
      </c>
      <c r="C23" s="98"/>
      <c r="D23" s="39">
        <v>23</v>
      </c>
      <c r="E23" s="208" t="s">
        <v>112</v>
      </c>
      <c r="F23" s="41">
        <f t="shared" si="4"/>
        <v>0</v>
      </c>
      <c r="G23" s="176">
        <v>0</v>
      </c>
      <c r="H23" s="176">
        <v>0</v>
      </c>
      <c r="I23" s="176">
        <v>0</v>
      </c>
      <c r="J23" s="176">
        <v>0</v>
      </c>
      <c r="K23" s="176">
        <v>0</v>
      </c>
      <c r="L23" s="176">
        <v>0</v>
      </c>
      <c r="M23" s="176">
        <v>0</v>
      </c>
      <c r="N23" s="176">
        <v>0</v>
      </c>
      <c r="O23" s="176">
        <v>0</v>
      </c>
      <c r="P23" s="176">
        <v>0</v>
      </c>
      <c r="Q23" s="176">
        <v>0</v>
      </c>
      <c r="R23" s="176">
        <v>0</v>
      </c>
      <c r="S23" s="176">
        <v>0</v>
      </c>
      <c r="T23" s="176">
        <v>0</v>
      </c>
      <c r="U23" s="176">
        <v>0</v>
      </c>
      <c r="V23" s="176">
        <v>0</v>
      </c>
      <c r="W23" s="176">
        <v>0</v>
      </c>
      <c r="X23" s="176">
        <v>0</v>
      </c>
      <c r="Y23" s="176">
        <v>0</v>
      </c>
      <c r="Z23" s="176">
        <v>0</v>
      </c>
      <c r="AA23" s="176">
        <v>0</v>
      </c>
      <c r="AB23" s="176">
        <v>0</v>
      </c>
      <c r="AC23" s="176">
        <v>0</v>
      </c>
      <c r="AD23" s="176">
        <v>0</v>
      </c>
      <c r="AE23" s="41">
        <f t="shared" si="1"/>
        <v>0</v>
      </c>
      <c r="AF23" s="116" t="s">
        <v>225</v>
      </c>
      <c r="AG23" s="189" t="s">
        <v>693</v>
      </c>
    </row>
    <row r="24" spans="1:33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4"/>
        <v>12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>
        <v>1</v>
      </c>
      <c r="AA24" s="187">
        <v>1</v>
      </c>
      <c r="AB24" s="187">
        <v>1</v>
      </c>
      <c r="AC24" s="187">
        <v>1</v>
      </c>
      <c r="AD24" s="187">
        <v>1</v>
      </c>
      <c r="AE24" s="41">
        <f t="shared" si="1"/>
        <v>12</v>
      </c>
      <c r="AF24" s="116" t="s">
        <v>311</v>
      </c>
      <c r="AG24" s="189" t="s">
        <v>693</v>
      </c>
    </row>
    <row r="25" spans="1:33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4"/>
        <v>0</v>
      </c>
      <c r="G25" s="176">
        <v>0</v>
      </c>
      <c r="H25" s="176">
        <v>0</v>
      </c>
      <c r="I25" s="176">
        <v>0</v>
      </c>
      <c r="J25" s="176">
        <v>0</v>
      </c>
      <c r="K25" s="176">
        <v>0</v>
      </c>
      <c r="L25" s="176">
        <v>0</v>
      </c>
      <c r="M25" s="176">
        <v>0</v>
      </c>
      <c r="N25" s="176">
        <v>0</v>
      </c>
      <c r="O25" s="176">
        <v>0</v>
      </c>
      <c r="P25" s="176">
        <v>0</v>
      </c>
      <c r="Q25" s="176">
        <v>0</v>
      </c>
      <c r="R25" s="176">
        <v>0</v>
      </c>
      <c r="S25" s="176">
        <v>0</v>
      </c>
      <c r="T25" s="176">
        <v>0</v>
      </c>
      <c r="U25" s="176">
        <v>0</v>
      </c>
      <c r="V25" s="176">
        <v>0</v>
      </c>
      <c r="W25" s="176">
        <v>0</v>
      </c>
      <c r="X25" s="176">
        <v>0</v>
      </c>
      <c r="Y25" s="176">
        <v>0</v>
      </c>
      <c r="Z25" s="176">
        <v>0</v>
      </c>
      <c r="AA25" s="176">
        <v>0</v>
      </c>
      <c r="AB25" s="176">
        <v>0</v>
      </c>
      <c r="AC25" s="176">
        <v>0</v>
      </c>
      <c r="AD25" s="176">
        <v>0</v>
      </c>
      <c r="AE25" s="41">
        <f t="shared" si="1"/>
        <v>0</v>
      </c>
      <c r="AF25" s="116" t="s">
        <v>225</v>
      </c>
      <c r="AG25" s="189" t="s">
        <v>693</v>
      </c>
    </row>
    <row r="26" spans="1:33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4"/>
        <v>0</v>
      </c>
      <c r="G26" s="176">
        <v>0</v>
      </c>
      <c r="H26" s="176">
        <v>0</v>
      </c>
      <c r="I26" s="176">
        <v>0</v>
      </c>
      <c r="J26" s="176">
        <v>0</v>
      </c>
      <c r="K26" s="176">
        <v>0</v>
      </c>
      <c r="L26" s="176">
        <v>0</v>
      </c>
      <c r="M26" s="176">
        <v>0</v>
      </c>
      <c r="N26" s="176">
        <v>0</v>
      </c>
      <c r="O26" s="176">
        <v>0</v>
      </c>
      <c r="P26" s="176">
        <v>0</v>
      </c>
      <c r="Q26" s="176">
        <v>0</v>
      </c>
      <c r="R26" s="176">
        <v>0</v>
      </c>
      <c r="S26" s="176">
        <v>0</v>
      </c>
      <c r="T26" s="176">
        <v>0</v>
      </c>
      <c r="U26" s="176">
        <v>0</v>
      </c>
      <c r="V26" s="176">
        <v>0</v>
      </c>
      <c r="W26" s="176">
        <v>0</v>
      </c>
      <c r="X26" s="176">
        <v>0</v>
      </c>
      <c r="Y26" s="176">
        <v>0</v>
      </c>
      <c r="Z26" s="176">
        <v>0</v>
      </c>
      <c r="AA26" s="176">
        <v>0</v>
      </c>
      <c r="AB26" s="176">
        <v>0</v>
      </c>
      <c r="AC26" s="176">
        <v>0</v>
      </c>
      <c r="AD26" s="176">
        <v>0</v>
      </c>
      <c r="AE26" s="41">
        <f t="shared" si="1"/>
        <v>0</v>
      </c>
      <c r="AF26" s="116" t="s">
        <v>225</v>
      </c>
      <c r="AG26" s="189" t="s">
        <v>693</v>
      </c>
    </row>
    <row r="27" spans="1:33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4"/>
        <v>0</v>
      </c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577" t="s">
        <v>707</v>
      </c>
      <c r="T27" s="555"/>
      <c r="U27" s="555"/>
      <c r="V27" s="555"/>
      <c r="W27" s="555"/>
      <c r="X27" s="555"/>
      <c r="Y27" s="555"/>
      <c r="Z27" s="542"/>
      <c r="AA27" s="250"/>
      <c r="AB27" s="250"/>
      <c r="AC27" s="250"/>
      <c r="AD27" s="250"/>
      <c r="AE27" s="41">
        <f t="shared" si="1"/>
        <v>0</v>
      </c>
      <c r="AF27" s="116" t="s">
        <v>365</v>
      </c>
      <c r="AG27" s="189" t="s">
        <v>693</v>
      </c>
    </row>
    <row r="28" spans="1:33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4"/>
        <v>13</v>
      </c>
      <c r="G28" s="309"/>
      <c r="H28" s="309"/>
      <c r="I28" s="309"/>
      <c r="J28" s="309"/>
      <c r="K28" s="309"/>
      <c r="L28" s="309"/>
      <c r="M28" s="250"/>
      <c r="N28" s="250">
        <v>1</v>
      </c>
      <c r="O28" s="250">
        <v>1</v>
      </c>
      <c r="P28" s="250">
        <v>1</v>
      </c>
      <c r="Q28" s="250">
        <v>1</v>
      </c>
      <c r="R28" s="250">
        <v>1</v>
      </c>
      <c r="S28" s="250">
        <v>1</v>
      </c>
      <c r="T28" s="250">
        <v>1</v>
      </c>
      <c r="U28" s="250">
        <v>1</v>
      </c>
      <c r="V28" s="309">
        <v>1</v>
      </c>
      <c r="W28" s="216">
        <v>1</v>
      </c>
      <c r="X28" s="309">
        <v>1</v>
      </c>
      <c r="Y28" s="309">
        <v>1</v>
      </c>
      <c r="Z28" s="309">
        <v>1</v>
      </c>
      <c r="AA28" s="309"/>
      <c r="AB28" s="309"/>
      <c r="AC28" s="309"/>
      <c r="AD28" s="309"/>
      <c r="AE28" s="41">
        <f t="shared" si="1"/>
        <v>13</v>
      </c>
      <c r="AF28" s="116" t="s">
        <v>263</v>
      </c>
      <c r="AG28" s="189" t="s">
        <v>693</v>
      </c>
    </row>
    <row r="29" spans="1:33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4"/>
        <v>12</v>
      </c>
      <c r="G29" s="290">
        <v>1</v>
      </c>
      <c r="H29" s="290">
        <v>1</v>
      </c>
      <c r="I29" s="290">
        <v>1</v>
      </c>
      <c r="J29" s="290">
        <v>1</v>
      </c>
      <c r="K29" s="290">
        <v>1</v>
      </c>
      <c r="L29" s="290">
        <v>1</v>
      </c>
      <c r="M29" s="250">
        <v>1</v>
      </c>
      <c r="N29" s="250"/>
      <c r="O29" s="250"/>
      <c r="P29" s="250"/>
      <c r="Q29" s="250"/>
      <c r="R29" s="250"/>
      <c r="S29" s="250"/>
      <c r="T29" s="250"/>
      <c r="U29" s="250"/>
      <c r="V29" s="290"/>
      <c r="W29" s="309"/>
      <c r="X29" s="290"/>
      <c r="Y29" s="290"/>
      <c r="Z29" s="321">
        <v>1</v>
      </c>
      <c r="AA29" s="187">
        <v>1</v>
      </c>
      <c r="AB29" s="187">
        <v>1</v>
      </c>
      <c r="AC29" s="187">
        <v>1</v>
      </c>
      <c r="AD29" s="187">
        <v>1</v>
      </c>
      <c r="AE29" s="41">
        <f t="shared" si="1"/>
        <v>12</v>
      </c>
      <c r="AF29" s="116" t="s">
        <v>311</v>
      </c>
      <c r="AG29" s="189" t="s">
        <v>693</v>
      </c>
    </row>
    <row r="30" spans="1:33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4"/>
        <v>7</v>
      </c>
      <c r="G30" s="176"/>
      <c r="H30" s="176"/>
      <c r="I30" s="176"/>
      <c r="J30" s="176"/>
      <c r="K30" s="176"/>
      <c r="L30" s="176"/>
      <c r="M30" s="176"/>
      <c r="N30" s="176"/>
      <c r="O30" s="176">
        <v>1</v>
      </c>
      <c r="P30" s="176">
        <v>1</v>
      </c>
      <c r="Q30" s="176">
        <v>1</v>
      </c>
      <c r="R30" s="176">
        <v>1</v>
      </c>
      <c r="S30" s="176">
        <v>1</v>
      </c>
      <c r="T30" s="176">
        <v>1</v>
      </c>
      <c r="U30" s="176">
        <v>1</v>
      </c>
      <c r="V30" s="580" t="s">
        <v>209</v>
      </c>
      <c r="W30" s="555"/>
      <c r="X30" s="555"/>
      <c r="Y30" s="555"/>
      <c r="Z30" s="555"/>
      <c r="AA30" s="555"/>
      <c r="AB30" s="555"/>
      <c r="AC30" s="542"/>
      <c r="AD30" s="176"/>
      <c r="AE30" s="41">
        <f t="shared" si="1"/>
        <v>7</v>
      </c>
      <c r="AF30" s="116" t="s">
        <v>708</v>
      </c>
      <c r="AG30" s="189" t="s">
        <v>693</v>
      </c>
    </row>
    <row r="31" spans="1:33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f t="shared" si="4"/>
        <v>13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>
        <v>1</v>
      </c>
      <c r="Q31" s="176">
        <v>1</v>
      </c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176">
        <v>1</v>
      </c>
      <c r="X31" s="176"/>
      <c r="Y31" s="176">
        <v>1</v>
      </c>
      <c r="Z31" s="176">
        <v>1</v>
      </c>
      <c r="AA31" s="176">
        <v>1</v>
      </c>
      <c r="AB31" s="176">
        <v>1</v>
      </c>
      <c r="AC31" s="176">
        <v>1</v>
      </c>
      <c r="AD31" s="176"/>
      <c r="AE31" s="41">
        <f t="shared" si="1"/>
        <v>13</v>
      </c>
      <c r="AF31" s="116" t="s">
        <v>483</v>
      </c>
      <c r="AG31" s="189" t="s">
        <v>693</v>
      </c>
    </row>
    <row r="32" spans="1:33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si="4"/>
        <v>14</v>
      </c>
      <c r="G32" s="216">
        <v>1</v>
      </c>
      <c r="H32" s="216"/>
      <c r="I32" s="216"/>
      <c r="J32" s="216"/>
      <c r="K32" s="216"/>
      <c r="L32" s="216"/>
      <c r="M32" s="216"/>
      <c r="N32" s="216"/>
      <c r="O32" s="176"/>
      <c r="P32" s="176"/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>
        <v>1</v>
      </c>
      <c r="W32" s="176">
        <v>1</v>
      </c>
      <c r="X32" s="176">
        <v>1</v>
      </c>
      <c r="Y32" s="176">
        <v>1</v>
      </c>
      <c r="Z32" s="176">
        <v>1</v>
      </c>
      <c r="AA32" s="176">
        <v>1</v>
      </c>
      <c r="AB32" s="176">
        <v>1</v>
      </c>
      <c r="AC32" s="176">
        <v>1</v>
      </c>
      <c r="AD32" s="176"/>
      <c r="AE32" s="41">
        <f t="shared" si="1"/>
        <v>14</v>
      </c>
      <c r="AF32" s="116" t="s">
        <v>709</v>
      </c>
      <c r="AG32" s="189" t="s">
        <v>693</v>
      </c>
    </row>
    <row r="33" spans="1:33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4"/>
        <v>3</v>
      </c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>
        <v>1</v>
      </c>
      <c r="U33" s="176">
        <v>1</v>
      </c>
      <c r="V33" s="580" t="s">
        <v>209</v>
      </c>
      <c r="W33" s="555"/>
      <c r="X33" s="555"/>
      <c r="Y33" s="555"/>
      <c r="Z33" s="555"/>
      <c r="AA33" s="555"/>
      <c r="AB33" s="555"/>
      <c r="AC33" s="542"/>
      <c r="AD33" s="176">
        <v>1</v>
      </c>
      <c r="AE33" s="41">
        <f t="shared" si="1"/>
        <v>3</v>
      </c>
      <c r="AF33" s="116" t="s">
        <v>328</v>
      </c>
      <c r="AG33" s="189" t="s">
        <v>693</v>
      </c>
    </row>
    <row r="34" spans="1:33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4"/>
        <v>7</v>
      </c>
      <c r="G34" s="176"/>
      <c r="H34" s="176"/>
      <c r="I34" s="176"/>
      <c r="J34" s="176"/>
      <c r="K34" s="176"/>
      <c r="L34" s="176"/>
      <c r="M34" s="176"/>
      <c r="N34" s="176"/>
      <c r="O34" s="176"/>
      <c r="P34" s="176">
        <v>1</v>
      </c>
      <c r="Q34" s="176">
        <v>1</v>
      </c>
      <c r="R34" s="176">
        <v>1</v>
      </c>
      <c r="S34" s="176">
        <v>1</v>
      </c>
      <c r="T34" s="322" t="s">
        <v>47</v>
      </c>
      <c r="U34" s="176">
        <v>1</v>
      </c>
      <c r="V34" s="176">
        <v>1</v>
      </c>
      <c r="W34" s="176">
        <v>1</v>
      </c>
      <c r="X34" s="176"/>
      <c r="Y34" s="176"/>
      <c r="Z34" s="176"/>
      <c r="AA34" s="176"/>
      <c r="AB34" s="176"/>
      <c r="AC34" s="176"/>
      <c r="AD34" s="176"/>
      <c r="AE34" s="41">
        <f t="shared" si="1"/>
        <v>7</v>
      </c>
      <c r="AF34" s="116" t="s">
        <v>269</v>
      </c>
      <c r="AG34" s="189" t="s">
        <v>693</v>
      </c>
    </row>
    <row r="35" spans="1:33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4" t="s">
        <v>457</v>
      </c>
      <c r="F35" s="41">
        <f t="shared" si="4"/>
        <v>3</v>
      </c>
      <c r="G35" s="176"/>
      <c r="H35" s="176"/>
      <c r="I35" s="176"/>
      <c r="J35" s="176"/>
      <c r="K35" s="176"/>
      <c r="L35" s="176"/>
      <c r="M35" s="176"/>
      <c r="N35" s="176"/>
      <c r="O35" s="176"/>
      <c r="P35" s="316"/>
      <c r="Q35" s="316" t="s">
        <v>352</v>
      </c>
      <c r="R35" s="316" t="s">
        <v>200</v>
      </c>
      <c r="S35" s="316" t="s">
        <v>201</v>
      </c>
      <c r="T35" s="316" t="s">
        <v>349</v>
      </c>
      <c r="U35" s="316" t="s">
        <v>204</v>
      </c>
      <c r="V35" s="316" t="s">
        <v>350</v>
      </c>
      <c r="W35" s="316"/>
      <c r="X35" s="316"/>
      <c r="Y35" s="316"/>
      <c r="Z35" s="176">
        <v>1</v>
      </c>
      <c r="AA35" s="176">
        <v>1</v>
      </c>
      <c r="AB35" s="176">
        <v>1</v>
      </c>
      <c r="AC35" s="176"/>
      <c r="AD35" s="176"/>
      <c r="AE35" s="41">
        <f t="shared" si="1"/>
        <v>3</v>
      </c>
      <c r="AF35" s="116" t="s">
        <v>326</v>
      </c>
      <c r="AG35" s="189" t="s">
        <v>693</v>
      </c>
    </row>
    <row r="36" spans="1:33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4" t="s">
        <v>460</v>
      </c>
      <c r="F36" s="41">
        <f t="shared" si="4"/>
        <v>13</v>
      </c>
      <c r="G36" s="176"/>
      <c r="H36" s="176"/>
      <c r="I36" s="176"/>
      <c r="J36" s="176"/>
      <c r="K36" s="176"/>
      <c r="L36" s="176"/>
      <c r="M36" s="176"/>
      <c r="N36" s="176"/>
      <c r="O36" s="176"/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/>
      <c r="V36" s="176">
        <v>1</v>
      </c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>
        <v>1</v>
      </c>
      <c r="AC36" s="176">
        <v>1</v>
      </c>
      <c r="AD36" s="176"/>
      <c r="AE36" s="41">
        <f t="shared" si="1"/>
        <v>13</v>
      </c>
      <c r="AF36" s="116" t="s">
        <v>351</v>
      </c>
      <c r="AG36" s="189" t="s">
        <v>693</v>
      </c>
    </row>
    <row r="37" spans="1:33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4" t="s">
        <v>461</v>
      </c>
      <c r="F37" s="41">
        <f t="shared" si="4"/>
        <v>12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/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/>
      <c r="AC37" s="176"/>
      <c r="AD37" s="176"/>
      <c r="AE37" s="41">
        <f t="shared" si="1"/>
        <v>12</v>
      </c>
      <c r="AF37" s="116" t="s">
        <v>346</v>
      </c>
      <c r="AG37" s="189" t="s">
        <v>693</v>
      </c>
    </row>
    <row r="38" spans="1:33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4" t="s">
        <v>463</v>
      </c>
      <c r="F38" s="41">
        <f t="shared" si="4"/>
        <v>12</v>
      </c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>
        <v>1</v>
      </c>
      <c r="R38" s="176">
        <v>1</v>
      </c>
      <c r="S38" s="176">
        <v>1</v>
      </c>
      <c r="T38" s="322" t="s">
        <v>47</v>
      </c>
      <c r="U38" s="176">
        <v>1</v>
      </c>
      <c r="V38" s="176">
        <v>1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>
        <v>1</v>
      </c>
      <c r="AC38" s="176">
        <v>1</v>
      </c>
      <c r="AD38" s="176"/>
      <c r="AE38" s="41">
        <f t="shared" si="1"/>
        <v>12</v>
      </c>
      <c r="AF38" s="116" t="s">
        <v>359</v>
      </c>
      <c r="AG38" s="189" t="s">
        <v>693</v>
      </c>
    </row>
    <row r="39" spans="1:33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4" t="s">
        <v>465</v>
      </c>
      <c r="F39" s="41">
        <f t="shared" si="4"/>
        <v>12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>
        <v>1</v>
      </c>
      <c r="U39" s="176">
        <v>1</v>
      </c>
      <c r="V39" s="176">
        <v>1</v>
      </c>
      <c r="W39" s="176"/>
      <c r="X39" s="176">
        <v>1</v>
      </c>
      <c r="Y39" s="176">
        <v>1</v>
      </c>
      <c r="Z39" s="176">
        <v>1</v>
      </c>
      <c r="AA39" s="176">
        <v>1</v>
      </c>
      <c r="AB39" s="176"/>
      <c r="AC39" s="176"/>
      <c r="AD39" s="176"/>
      <c r="AE39" s="41">
        <f t="shared" si="1"/>
        <v>12</v>
      </c>
      <c r="AF39" s="116" t="s">
        <v>325</v>
      </c>
      <c r="AG39" s="189" t="s">
        <v>693</v>
      </c>
    </row>
    <row r="40" spans="1:33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4"/>
        <v>12</v>
      </c>
      <c r="G40" s="216"/>
      <c r="H40" s="216"/>
      <c r="I40" s="216"/>
      <c r="J40" s="216"/>
      <c r="K40" s="216"/>
      <c r="L40" s="216"/>
      <c r="M40" s="216"/>
      <c r="N40" s="216"/>
      <c r="O40" s="176">
        <v>1</v>
      </c>
      <c r="P40" s="176">
        <v>1</v>
      </c>
      <c r="Q40" s="176">
        <v>1</v>
      </c>
      <c r="R40" s="176">
        <v>1</v>
      </c>
      <c r="S40" s="176">
        <v>1</v>
      </c>
      <c r="T40" s="176">
        <v>1</v>
      </c>
      <c r="U40" s="176">
        <v>1</v>
      </c>
      <c r="V40" s="176">
        <v>1</v>
      </c>
      <c r="W40" s="176">
        <v>1</v>
      </c>
      <c r="X40" s="176"/>
      <c r="Y40" s="176">
        <v>1</v>
      </c>
      <c r="Z40" s="176">
        <v>1</v>
      </c>
      <c r="AA40" s="176">
        <v>1</v>
      </c>
      <c r="AB40" s="176"/>
      <c r="AC40" s="176"/>
      <c r="AD40" s="216"/>
      <c r="AE40" s="41">
        <f t="shared" si="1"/>
        <v>12</v>
      </c>
      <c r="AF40" s="116" t="s">
        <v>338</v>
      </c>
      <c r="AG40" s="189" t="s">
        <v>693</v>
      </c>
    </row>
    <row r="41" spans="1:33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4" t="s">
        <v>467</v>
      </c>
      <c r="F41" s="41">
        <f t="shared" si="4"/>
        <v>12</v>
      </c>
      <c r="G41" s="176"/>
      <c r="H41" s="176"/>
      <c r="I41" s="176"/>
      <c r="J41" s="176"/>
      <c r="K41" s="176"/>
      <c r="L41" s="176"/>
      <c r="M41" s="176"/>
      <c r="N41" s="176"/>
      <c r="O41" s="176"/>
      <c r="P41" s="176">
        <v>1</v>
      </c>
      <c r="Q41" s="176">
        <v>1</v>
      </c>
      <c r="R41" s="176">
        <v>1</v>
      </c>
      <c r="S41" s="176">
        <v>1</v>
      </c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/>
      <c r="Z41" s="176">
        <v>1</v>
      </c>
      <c r="AA41" s="176">
        <v>1</v>
      </c>
      <c r="AB41" s="176">
        <v>1</v>
      </c>
      <c r="AC41" s="176"/>
      <c r="AD41" s="176"/>
      <c r="AE41" s="41">
        <f t="shared" si="1"/>
        <v>12</v>
      </c>
      <c r="AF41" s="116" t="s">
        <v>710</v>
      </c>
      <c r="AG41" s="189" t="s">
        <v>693</v>
      </c>
    </row>
    <row r="42" spans="1:33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4"/>
        <v>12</v>
      </c>
      <c r="G42" s="176"/>
      <c r="H42" s="176"/>
      <c r="I42" s="176"/>
      <c r="J42" s="176"/>
      <c r="K42" s="176"/>
      <c r="L42" s="176"/>
      <c r="M42" s="176">
        <v>1</v>
      </c>
      <c r="N42" s="176">
        <v>1</v>
      </c>
      <c r="O42" s="176">
        <v>1</v>
      </c>
      <c r="P42" s="176">
        <v>1</v>
      </c>
      <c r="Q42" s="176">
        <v>1</v>
      </c>
      <c r="R42" s="176">
        <v>1</v>
      </c>
      <c r="S42" s="176">
        <v>1</v>
      </c>
      <c r="T42" s="176">
        <v>1</v>
      </c>
      <c r="U42" s="176">
        <v>1</v>
      </c>
      <c r="V42" s="176">
        <v>1</v>
      </c>
      <c r="W42" s="176">
        <v>1</v>
      </c>
      <c r="X42" s="176">
        <v>1</v>
      </c>
      <c r="Y42" s="176"/>
      <c r="Z42" s="176"/>
      <c r="AA42" s="176"/>
      <c r="AB42" s="176"/>
      <c r="AC42" s="176"/>
      <c r="AD42" s="176"/>
      <c r="AE42" s="41">
        <f t="shared" si="1"/>
        <v>12</v>
      </c>
      <c r="AF42" s="116" t="s">
        <v>84</v>
      </c>
      <c r="AG42" s="189" t="s">
        <v>693</v>
      </c>
    </row>
    <row r="43" spans="1:33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4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1"/>
        <v>0</v>
      </c>
      <c r="AF43" s="116" t="s">
        <v>652</v>
      </c>
      <c r="AG43" s="189" t="s">
        <v>693</v>
      </c>
    </row>
    <row r="44" spans="1:33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4"/>
        <v>0</v>
      </c>
      <c r="G44" s="176">
        <v>0</v>
      </c>
      <c r="H44" s="176">
        <v>0</v>
      </c>
      <c r="I44" s="176">
        <v>0</v>
      </c>
      <c r="J44" s="176">
        <v>0</v>
      </c>
      <c r="K44" s="176">
        <v>0</v>
      </c>
      <c r="L44" s="176">
        <v>0</v>
      </c>
      <c r="M44" s="176">
        <v>0</v>
      </c>
      <c r="N44" s="176">
        <v>0</v>
      </c>
      <c r="O44" s="176">
        <v>0</v>
      </c>
      <c r="P44" s="176">
        <v>0</v>
      </c>
      <c r="Q44" s="176">
        <v>0</v>
      </c>
      <c r="R44" s="176">
        <v>0</v>
      </c>
      <c r="S44" s="176">
        <v>0</v>
      </c>
      <c r="T44" s="176">
        <v>0</v>
      </c>
      <c r="U44" s="176">
        <v>0</v>
      </c>
      <c r="V44" s="176">
        <v>0</v>
      </c>
      <c r="W44" s="176">
        <v>0</v>
      </c>
      <c r="X44" s="176">
        <v>0</v>
      </c>
      <c r="Y44" s="176">
        <v>0</v>
      </c>
      <c r="Z44" s="176">
        <v>0</v>
      </c>
      <c r="AA44" s="176">
        <v>0</v>
      </c>
      <c r="AB44" s="176">
        <v>0</v>
      </c>
      <c r="AC44" s="176">
        <v>0</v>
      </c>
      <c r="AD44" s="176">
        <v>0</v>
      </c>
      <c r="AE44" s="41">
        <f t="shared" si="1"/>
        <v>0</v>
      </c>
      <c r="AF44" s="116" t="s">
        <v>225</v>
      </c>
      <c r="AG44" s="189" t="s">
        <v>693</v>
      </c>
    </row>
    <row r="45" spans="1:33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4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1"/>
        <v>0</v>
      </c>
      <c r="AF45" s="116" t="s">
        <v>652</v>
      </c>
      <c r="AG45" s="189" t="s">
        <v>693</v>
      </c>
    </row>
    <row r="46" spans="1:33" ht="14.25" customHeight="1">
      <c r="A46" s="38" t="s">
        <v>41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4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1"/>
        <v>0</v>
      </c>
      <c r="AF46" s="116" t="s">
        <v>652</v>
      </c>
      <c r="AG46" s="189" t="s">
        <v>693</v>
      </c>
    </row>
    <row r="47" spans="1:33" ht="14.25" customHeight="1">
      <c r="A47" s="98"/>
      <c r="B47" s="98"/>
      <c r="C47" s="98"/>
      <c r="D47" s="86">
        <v>1</v>
      </c>
      <c r="E47" s="218" t="s">
        <v>138</v>
      </c>
      <c r="F47" s="41">
        <f t="shared" si="4"/>
        <v>4</v>
      </c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295">
        <v>1</v>
      </c>
      <c r="R47" s="295">
        <v>1</v>
      </c>
      <c r="S47" s="295">
        <v>1</v>
      </c>
      <c r="T47" s="322" t="s">
        <v>47</v>
      </c>
      <c r="U47" s="176">
        <v>1</v>
      </c>
      <c r="V47" s="577" t="s">
        <v>320</v>
      </c>
      <c r="W47" s="555"/>
      <c r="X47" s="555"/>
      <c r="Y47" s="555"/>
      <c r="Z47" s="555"/>
      <c r="AA47" s="555"/>
      <c r="AB47" s="555"/>
      <c r="AC47" s="555"/>
      <c r="AD47" s="77"/>
      <c r="AE47" s="41">
        <f t="shared" si="1"/>
        <v>4</v>
      </c>
      <c r="AF47" s="116" t="s">
        <v>359</v>
      </c>
      <c r="AG47" s="189" t="s">
        <v>693</v>
      </c>
    </row>
    <row r="48" spans="1:33" ht="14.25" customHeight="1">
      <c r="A48" s="98"/>
      <c r="B48" s="98"/>
      <c r="C48" s="98"/>
      <c r="D48" s="39">
        <v>2</v>
      </c>
      <c r="E48" s="218" t="s">
        <v>191</v>
      </c>
      <c r="F48" s="41">
        <f t="shared" si="4"/>
        <v>5</v>
      </c>
      <c r="G48" s="77"/>
      <c r="H48" s="77"/>
      <c r="I48" s="77"/>
      <c r="J48" s="77"/>
      <c r="K48" s="77"/>
      <c r="L48" s="77"/>
      <c r="M48" s="77"/>
      <c r="N48" s="577" t="s">
        <v>320</v>
      </c>
      <c r="O48" s="555"/>
      <c r="P48" s="555"/>
      <c r="Q48" s="555"/>
      <c r="R48" s="555"/>
      <c r="S48" s="555"/>
      <c r="T48" s="555"/>
      <c r="U48" s="555"/>
      <c r="V48" s="176">
        <v>1</v>
      </c>
      <c r="W48" s="176">
        <v>1</v>
      </c>
      <c r="X48" s="176">
        <v>1</v>
      </c>
      <c r="Y48" s="176">
        <v>1</v>
      </c>
      <c r="Z48" s="176">
        <v>1</v>
      </c>
      <c r="AA48" s="77"/>
      <c r="AB48" s="77"/>
      <c r="AC48" s="77"/>
      <c r="AD48" s="77"/>
      <c r="AE48" s="41">
        <f t="shared" si="1"/>
        <v>5</v>
      </c>
      <c r="AF48" s="116" t="s">
        <v>263</v>
      </c>
      <c r="AG48" s="189" t="s">
        <v>693</v>
      </c>
    </row>
    <row r="49" spans="1:33" ht="14.25" customHeight="1">
      <c r="A49" s="98"/>
      <c r="B49" s="98"/>
      <c r="C49" s="98"/>
      <c r="D49" s="39">
        <v>1</v>
      </c>
      <c r="E49" s="133" t="s">
        <v>363</v>
      </c>
      <c r="F49" s="41">
        <f t="shared" si="4"/>
        <v>0</v>
      </c>
      <c r="G49" s="42"/>
      <c r="H49" s="42"/>
      <c r="I49" s="42"/>
      <c r="J49" s="42"/>
      <c r="K49" s="42"/>
      <c r="L49" s="42"/>
      <c r="M49" s="42"/>
      <c r="N49" s="42"/>
      <c r="O49" s="577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f t="shared" si="1"/>
        <v>0</v>
      </c>
      <c r="AF49" s="116" t="s">
        <v>164</v>
      </c>
      <c r="AG49" s="189" t="s">
        <v>693</v>
      </c>
    </row>
    <row r="50" spans="1:33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</row>
    <row r="51" spans="1:33" ht="14.25" customHeight="1">
      <c r="A51" s="2"/>
      <c r="B51" s="2"/>
      <c r="C51" s="2"/>
      <c r="D51" s="2"/>
      <c r="E51" s="2"/>
      <c r="F51" s="2"/>
      <c r="AE51" s="2"/>
      <c r="AF51" s="2"/>
      <c r="AG51" s="2"/>
    </row>
    <row r="52" spans="1:33" ht="14.25" customHeight="1">
      <c r="A52" s="2"/>
      <c r="B52" s="2"/>
      <c r="C52" s="2"/>
      <c r="D52" s="2"/>
      <c r="E52" s="2"/>
      <c r="F52" s="2"/>
      <c r="AE52" s="2"/>
      <c r="AF52" s="2"/>
      <c r="AG52" s="2"/>
    </row>
    <row r="53" spans="1:33" ht="14.25" customHeight="1">
      <c r="A53" s="2"/>
      <c r="B53" s="2"/>
      <c r="C53" s="2"/>
      <c r="D53" s="2"/>
      <c r="E53" s="2"/>
      <c r="F53" s="2"/>
      <c r="AE53" s="2"/>
      <c r="AF53" s="2"/>
      <c r="AG53" s="2"/>
    </row>
    <row r="54" spans="1:33" ht="14.25" customHeight="1">
      <c r="A54" s="2"/>
      <c r="B54" s="2"/>
      <c r="C54" s="2"/>
      <c r="D54" s="2"/>
      <c r="E54" s="2"/>
      <c r="F54" s="2"/>
      <c r="AE54" s="2"/>
      <c r="AF54" s="2"/>
      <c r="AG54" s="2"/>
    </row>
    <row r="55" spans="1:33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222">
        <v>0</v>
      </c>
      <c r="P55" s="310">
        <v>8</v>
      </c>
      <c r="Q55" s="310">
        <v>8</v>
      </c>
      <c r="R55" s="310">
        <v>8</v>
      </c>
      <c r="S55" s="310">
        <v>8</v>
      </c>
      <c r="T55" s="310">
        <v>8</v>
      </c>
      <c r="U55" s="310">
        <v>8</v>
      </c>
      <c r="V55" s="310">
        <v>8</v>
      </c>
      <c r="W55" s="310">
        <v>8</v>
      </c>
      <c r="X55" s="310">
        <v>8</v>
      </c>
      <c r="Y55" s="310">
        <v>8</v>
      </c>
      <c r="Z55" s="311">
        <v>0</v>
      </c>
      <c r="AA55" s="313">
        <v>0</v>
      </c>
      <c r="AB55" s="194">
        <v>0</v>
      </c>
      <c r="AC55" s="192">
        <v>0</v>
      </c>
      <c r="AD55" s="195">
        <v>0</v>
      </c>
      <c r="AE55" s="18">
        <f>SUM(G55:AD55)</f>
        <v>80</v>
      </c>
      <c r="AF55" s="25"/>
      <c r="AG55" s="2"/>
    </row>
    <row r="56" spans="1:33" ht="14.25" customHeight="1">
      <c r="A56" s="3"/>
      <c r="B56" s="3"/>
      <c r="C56" s="3"/>
      <c r="D56" s="48"/>
      <c r="E56" s="59"/>
      <c r="F56" s="59"/>
      <c r="G56" s="28">
        <f t="shared" ref="G56:AD56" si="5">G58-G55</f>
        <v>0</v>
      </c>
      <c r="H56" s="28">
        <f t="shared" si="5"/>
        <v>0</v>
      </c>
      <c r="I56" s="28">
        <f t="shared" si="5"/>
        <v>0</v>
      </c>
      <c r="J56" s="28">
        <f t="shared" si="5"/>
        <v>0</v>
      </c>
      <c r="K56" s="28">
        <f t="shared" si="5"/>
        <v>0</v>
      </c>
      <c r="L56" s="28">
        <f t="shared" si="5"/>
        <v>0</v>
      </c>
      <c r="M56" s="28">
        <f t="shared" si="5"/>
        <v>2</v>
      </c>
      <c r="N56" s="28">
        <f t="shared" si="5"/>
        <v>2</v>
      </c>
      <c r="O56" s="28">
        <f t="shared" si="5"/>
        <v>7</v>
      </c>
      <c r="P56" s="28">
        <f t="shared" si="5"/>
        <v>-1</v>
      </c>
      <c r="Q56" s="28">
        <f t="shared" si="5"/>
        <v>-1</v>
      </c>
      <c r="R56" s="28">
        <f t="shared" si="5"/>
        <v>-1</v>
      </c>
      <c r="S56" s="28">
        <f t="shared" si="5"/>
        <v>-1</v>
      </c>
      <c r="T56" s="28">
        <f t="shared" si="5"/>
        <v>-1</v>
      </c>
      <c r="U56" s="28">
        <f t="shared" si="5"/>
        <v>-1</v>
      </c>
      <c r="V56" s="28">
        <f t="shared" si="5"/>
        <v>-1</v>
      </c>
      <c r="W56" s="28">
        <f t="shared" si="5"/>
        <v>-1</v>
      </c>
      <c r="X56" s="28">
        <f t="shared" si="5"/>
        <v>-1</v>
      </c>
      <c r="Y56" s="28">
        <f t="shared" si="5"/>
        <v>-1</v>
      </c>
      <c r="Z56" s="28">
        <f t="shared" si="5"/>
        <v>5</v>
      </c>
      <c r="AA56" s="28">
        <f t="shared" si="5"/>
        <v>5</v>
      </c>
      <c r="AB56" s="28">
        <f t="shared" si="5"/>
        <v>5</v>
      </c>
      <c r="AC56" s="28">
        <f t="shared" si="5"/>
        <v>0</v>
      </c>
      <c r="AD56" s="28">
        <f t="shared" si="5"/>
        <v>0</v>
      </c>
      <c r="AE56" s="53"/>
      <c r="AF56" s="3"/>
      <c r="AG56" s="2"/>
    </row>
    <row r="57" spans="1:33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</row>
    <row r="58" spans="1:33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6">SUM(G59:G72)</f>
        <v>0</v>
      </c>
      <c r="H58" s="35">
        <f t="shared" si="6"/>
        <v>0</v>
      </c>
      <c r="I58" s="35">
        <f t="shared" si="6"/>
        <v>0</v>
      </c>
      <c r="J58" s="35">
        <f t="shared" si="6"/>
        <v>0</v>
      </c>
      <c r="K58" s="35">
        <f t="shared" si="6"/>
        <v>0</v>
      </c>
      <c r="L58" s="35">
        <f t="shared" si="6"/>
        <v>0</v>
      </c>
      <c r="M58" s="35">
        <f t="shared" si="6"/>
        <v>2</v>
      </c>
      <c r="N58" s="35">
        <f t="shared" si="6"/>
        <v>2</v>
      </c>
      <c r="O58" s="35">
        <f t="shared" si="6"/>
        <v>7</v>
      </c>
      <c r="P58" s="35">
        <f t="shared" si="6"/>
        <v>7</v>
      </c>
      <c r="Q58" s="35">
        <f t="shared" si="6"/>
        <v>7</v>
      </c>
      <c r="R58" s="35">
        <f t="shared" si="6"/>
        <v>7</v>
      </c>
      <c r="S58" s="35">
        <f t="shared" si="6"/>
        <v>7</v>
      </c>
      <c r="T58" s="35">
        <f t="shared" si="6"/>
        <v>7</v>
      </c>
      <c r="U58" s="35">
        <f t="shared" si="6"/>
        <v>7</v>
      </c>
      <c r="V58" s="35">
        <f t="shared" si="6"/>
        <v>7</v>
      </c>
      <c r="W58" s="35">
        <f t="shared" si="6"/>
        <v>7</v>
      </c>
      <c r="X58" s="35">
        <f t="shared" si="6"/>
        <v>7</v>
      </c>
      <c r="Y58" s="35">
        <f t="shared" si="6"/>
        <v>7</v>
      </c>
      <c r="Z58" s="35">
        <f t="shared" si="6"/>
        <v>5</v>
      </c>
      <c r="AA58" s="35">
        <f t="shared" si="6"/>
        <v>5</v>
      </c>
      <c r="AB58" s="35">
        <f t="shared" si="6"/>
        <v>5</v>
      </c>
      <c r="AC58" s="35">
        <f t="shared" si="6"/>
        <v>0</v>
      </c>
      <c r="AD58" s="35">
        <f t="shared" si="6"/>
        <v>0</v>
      </c>
      <c r="AE58" s="30">
        <f t="shared" ref="AE58:AE68" si="7">SUM(G58:AD58)</f>
        <v>96</v>
      </c>
      <c r="AF58" s="36" t="s">
        <v>39</v>
      </c>
      <c r="AG58" s="197" t="s">
        <v>40</v>
      </c>
    </row>
    <row r="59" spans="1:33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8">SUM(G59:AD59)</f>
        <v>14</v>
      </c>
      <c r="G59" s="202"/>
      <c r="H59" s="202"/>
      <c r="I59" s="202"/>
      <c r="J59" s="202"/>
      <c r="K59" s="202"/>
      <c r="L59" s="202"/>
      <c r="M59" s="202"/>
      <c r="N59" s="202"/>
      <c r="O59" s="292">
        <v>1</v>
      </c>
      <c r="P59" s="202">
        <v>1</v>
      </c>
      <c r="Q59" s="202">
        <v>1</v>
      </c>
      <c r="R59" s="202">
        <v>1</v>
      </c>
      <c r="S59" s="202">
        <v>1</v>
      </c>
      <c r="T59" s="202">
        <v>1</v>
      </c>
      <c r="U59" s="202">
        <v>1</v>
      </c>
      <c r="V59" s="202">
        <v>1</v>
      </c>
      <c r="W59" s="202">
        <v>1</v>
      </c>
      <c r="X59" s="202">
        <v>1</v>
      </c>
      <c r="Y59" s="202">
        <v>1</v>
      </c>
      <c r="Z59" s="292">
        <v>1</v>
      </c>
      <c r="AA59" s="292">
        <v>1</v>
      </c>
      <c r="AB59" s="292">
        <v>1</v>
      </c>
      <c r="AC59" s="202"/>
      <c r="AD59" s="202"/>
      <c r="AE59" s="41">
        <f t="shared" si="7"/>
        <v>14</v>
      </c>
      <c r="AF59" s="116" t="s">
        <v>385</v>
      </c>
      <c r="AG59" s="189" t="s">
        <v>693</v>
      </c>
    </row>
    <row r="60" spans="1:33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8"/>
        <v>14</v>
      </c>
      <c r="G60" s="202"/>
      <c r="H60" s="202"/>
      <c r="I60" s="202"/>
      <c r="J60" s="202"/>
      <c r="K60" s="202"/>
      <c r="L60" s="202"/>
      <c r="M60" s="202"/>
      <c r="N60" s="202"/>
      <c r="O60" s="292">
        <v>1</v>
      </c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92">
        <v>1</v>
      </c>
      <c r="AA60" s="292">
        <v>1</v>
      </c>
      <c r="AB60" s="292">
        <v>1</v>
      </c>
      <c r="AC60" s="202"/>
      <c r="AD60" s="202"/>
      <c r="AE60" s="41">
        <f t="shared" si="7"/>
        <v>14</v>
      </c>
      <c r="AF60" s="116" t="s">
        <v>385</v>
      </c>
      <c r="AG60" s="189" t="s">
        <v>693</v>
      </c>
    </row>
    <row r="61" spans="1:33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8"/>
        <v>0</v>
      </c>
      <c r="G61" s="202">
        <v>0</v>
      </c>
      <c r="H61" s="202">
        <v>0</v>
      </c>
      <c r="I61" s="202">
        <v>0</v>
      </c>
      <c r="J61" s="202">
        <v>0</v>
      </c>
      <c r="K61" s="202">
        <v>0</v>
      </c>
      <c r="L61" s="202">
        <v>0</v>
      </c>
      <c r="M61" s="202">
        <v>0</v>
      </c>
      <c r="N61" s="202">
        <v>0</v>
      </c>
      <c r="O61" s="202">
        <v>0</v>
      </c>
      <c r="P61" s="202">
        <v>0</v>
      </c>
      <c r="Q61" s="202">
        <v>0</v>
      </c>
      <c r="R61" s="202">
        <v>0</v>
      </c>
      <c r="S61" s="202">
        <v>0</v>
      </c>
      <c r="T61" s="202">
        <v>0</v>
      </c>
      <c r="U61" s="202">
        <v>0</v>
      </c>
      <c r="V61" s="202">
        <v>0</v>
      </c>
      <c r="W61" s="202">
        <v>0</v>
      </c>
      <c r="X61" s="202">
        <v>0</v>
      </c>
      <c r="Y61" s="202">
        <v>0</v>
      </c>
      <c r="Z61" s="202">
        <v>0</v>
      </c>
      <c r="AA61" s="202">
        <v>0</v>
      </c>
      <c r="AB61" s="202">
        <v>0</v>
      </c>
      <c r="AC61" s="202">
        <v>0</v>
      </c>
      <c r="AD61" s="202">
        <v>0</v>
      </c>
      <c r="AE61" s="41">
        <f t="shared" si="7"/>
        <v>0</v>
      </c>
      <c r="AF61" s="116" t="s">
        <v>225</v>
      </c>
      <c r="AG61" s="189" t="s">
        <v>693</v>
      </c>
    </row>
    <row r="62" spans="1:33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8"/>
        <v>0</v>
      </c>
      <c r="G62" s="202">
        <v>0</v>
      </c>
      <c r="H62" s="202">
        <v>0</v>
      </c>
      <c r="I62" s="202">
        <v>0</v>
      </c>
      <c r="J62" s="202">
        <v>0</v>
      </c>
      <c r="K62" s="202">
        <v>0</v>
      </c>
      <c r="L62" s="202">
        <v>0</v>
      </c>
      <c r="M62" s="202">
        <v>0</v>
      </c>
      <c r="N62" s="202">
        <v>0</v>
      </c>
      <c r="O62" s="202">
        <v>0</v>
      </c>
      <c r="P62" s="202">
        <v>0</v>
      </c>
      <c r="Q62" s="202">
        <v>0</v>
      </c>
      <c r="R62" s="202">
        <v>0</v>
      </c>
      <c r="S62" s="202">
        <v>0</v>
      </c>
      <c r="T62" s="202">
        <v>0</v>
      </c>
      <c r="U62" s="202">
        <v>0</v>
      </c>
      <c r="V62" s="202">
        <v>0</v>
      </c>
      <c r="W62" s="202">
        <v>0</v>
      </c>
      <c r="X62" s="202">
        <v>0</v>
      </c>
      <c r="Y62" s="202">
        <v>0</v>
      </c>
      <c r="Z62" s="202">
        <v>0</v>
      </c>
      <c r="AA62" s="202">
        <v>0</v>
      </c>
      <c r="AB62" s="202">
        <v>0</v>
      </c>
      <c r="AC62" s="202">
        <v>0</v>
      </c>
      <c r="AD62" s="202">
        <v>0</v>
      </c>
      <c r="AE62" s="41">
        <f t="shared" si="7"/>
        <v>0</v>
      </c>
      <c r="AF62" s="116" t="s">
        <v>225</v>
      </c>
      <c r="AG62" s="189" t="s">
        <v>693</v>
      </c>
    </row>
    <row r="63" spans="1:33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8"/>
        <v>14</v>
      </c>
      <c r="G63" s="202"/>
      <c r="H63" s="202"/>
      <c r="I63" s="202"/>
      <c r="J63" s="202"/>
      <c r="K63" s="202"/>
      <c r="L63" s="202"/>
      <c r="M63" s="202"/>
      <c r="N63" s="202"/>
      <c r="O63" s="292">
        <v>1</v>
      </c>
      <c r="P63" s="202">
        <v>1</v>
      </c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92">
        <v>1</v>
      </c>
      <c r="AA63" s="292">
        <v>1</v>
      </c>
      <c r="AB63" s="292">
        <v>1</v>
      </c>
      <c r="AC63" s="202"/>
      <c r="AD63" s="202"/>
      <c r="AE63" s="41">
        <f t="shared" si="7"/>
        <v>14</v>
      </c>
      <c r="AF63" s="116" t="s">
        <v>385</v>
      </c>
      <c r="AG63" s="189" t="s">
        <v>693</v>
      </c>
    </row>
    <row r="64" spans="1:33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8"/>
        <v>0</v>
      </c>
      <c r="G64" s="202">
        <v>0</v>
      </c>
      <c r="H64" s="202">
        <v>0</v>
      </c>
      <c r="I64" s="202">
        <v>0</v>
      </c>
      <c r="J64" s="202">
        <v>0</v>
      </c>
      <c r="K64" s="202">
        <v>0</v>
      </c>
      <c r="L64" s="202">
        <v>0</v>
      </c>
      <c r="M64" s="202">
        <v>0</v>
      </c>
      <c r="N64" s="202">
        <v>0</v>
      </c>
      <c r="O64" s="202">
        <v>0</v>
      </c>
      <c r="P64" s="202">
        <v>0</v>
      </c>
      <c r="Q64" s="202">
        <v>0</v>
      </c>
      <c r="R64" s="202">
        <v>0</v>
      </c>
      <c r="S64" s="202">
        <v>0</v>
      </c>
      <c r="T64" s="202">
        <v>0</v>
      </c>
      <c r="U64" s="202">
        <v>0</v>
      </c>
      <c r="V64" s="202">
        <v>0</v>
      </c>
      <c r="W64" s="202">
        <v>0</v>
      </c>
      <c r="X64" s="202">
        <v>0</v>
      </c>
      <c r="Y64" s="202">
        <v>0</v>
      </c>
      <c r="Z64" s="202">
        <v>0</v>
      </c>
      <c r="AA64" s="202">
        <v>0</v>
      </c>
      <c r="AB64" s="202">
        <v>0</v>
      </c>
      <c r="AC64" s="202">
        <v>0</v>
      </c>
      <c r="AD64" s="202">
        <v>0</v>
      </c>
      <c r="AE64" s="41">
        <f t="shared" si="7"/>
        <v>0</v>
      </c>
      <c r="AF64" s="116" t="s">
        <v>225</v>
      </c>
      <c r="AG64" s="189" t="s">
        <v>693</v>
      </c>
    </row>
    <row r="65" spans="1:33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8"/>
        <v>14</v>
      </c>
      <c r="G65" s="202"/>
      <c r="H65" s="202"/>
      <c r="I65" s="202"/>
      <c r="J65" s="202"/>
      <c r="K65" s="202"/>
      <c r="L65" s="202"/>
      <c r="M65" s="202"/>
      <c r="N65" s="202"/>
      <c r="O65" s="292">
        <v>1</v>
      </c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92">
        <v>1</v>
      </c>
      <c r="AA65" s="292">
        <v>1</v>
      </c>
      <c r="AB65" s="292">
        <v>1</v>
      </c>
      <c r="AC65" s="202"/>
      <c r="AD65" s="202"/>
      <c r="AE65" s="41">
        <f t="shared" si="7"/>
        <v>14</v>
      </c>
      <c r="AF65" s="116" t="s">
        <v>385</v>
      </c>
      <c r="AG65" s="189" t="s">
        <v>693</v>
      </c>
    </row>
    <row r="66" spans="1:33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8"/>
        <v>14</v>
      </c>
      <c r="G66" s="202"/>
      <c r="H66" s="202"/>
      <c r="I66" s="202"/>
      <c r="J66" s="202"/>
      <c r="K66" s="202"/>
      <c r="L66" s="202"/>
      <c r="M66" s="202"/>
      <c r="N66" s="202"/>
      <c r="O66" s="292">
        <v>1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92">
        <v>1</v>
      </c>
      <c r="AA66" s="292">
        <v>1</v>
      </c>
      <c r="AB66" s="292">
        <v>1</v>
      </c>
      <c r="AC66" s="202"/>
      <c r="AD66" s="202"/>
      <c r="AE66" s="41">
        <f t="shared" si="7"/>
        <v>14</v>
      </c>
      <c r="AF66" s="116" t="s">
        <v>385</v>
      </c>
      <c r="AG66" s="189" t="s">
        <v>693</v>
      </c>
    </row>
    <row r="67" spans="1:33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8"/>
        <v>13</v>
      </c>
      <c r="G67" s="202"/>
      <c r="H67" s="202"/>
      <c r="I67" s="202"/>
      <c r="J67" s="202"/>
      <c r="K67" s="202"/>
      <c r="L67" s="202"/>
      <c r="M67" s="292">
        <v>1</v>
      </c>
      <c r="N67" s="292">
        <v>1</v>
      </c>
      <c r="O67" s="292">
        <v>1</v>
      </c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>
        <v>1</v>
      </c>
      <c r="W67" s="202">
        <v>1</v>
      </c>
      <c r="X67" s="202">
        <v>1</v>
      </c>
      <c r="Y67" s="202">
        <v>1</v>
      </c>
      <c r="Z67" s="202"/>
      <c r="AA67" s="202"/>
      <c r="AB67" s="202"/>
      <c r="AC67" s="202"/>
      <c r="AD67" s="202"/>
      <c r="AE67" s="41">
        <f t="shared" si="7"/>
        <v>13</v>
      </c>
      <c r="AF67" s="116" t="s">
        <v>261</v>
      </c>
      <c r="AG67" s="189" t="s">
        <v>693</v>
      </c>
    </row>
    <row r="68" spans="1:33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8"/>
        <v>13</v>
      </c>
      <c r="G68" s="202"/>
      <c r="H68" s="202"/>
      <c r="I68" s="202"/>
      <c r="J68" s="202"/>
      <c r="K68" s="202"/>
      <c r="L68" s="202"/>
      <c r="M68" s="292">
        <v>1</v>
      </c>
      <c r="N68" s="292">
        <v>1</v>
      </c>
      <c r="O68" s="292">
        <v>1</v>
      </c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02"/>
      <c r="AA68" s="202"/>
      <c r="AB68" s="202"/>
      <c r="AC68" s="202"/>
      <c r="AD68" s="202"/>
      <c r="AE68" s="41">
        <f t="shared" si="7"/>
        <v>13</v>
      </c>
      <c r="AF68" s="116" t="s">
        <v>261</v>
      </c>
      <c r="AG68" s="189" t="s">
        <v>693</v>
      </c>
    </row>
    <row r="69" spans="1:33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</row>
    <row r="70" spans="1:33" ht="14.25" customHeight="1">
      <c r="A70" s="2"/>
      <c r="B70" s="2"/>
      <c r="C70" s="2"/>
      <c r="D70" s="2"/>
      <c r="E70" s="2"/>
      <c r="F70" s="2"/>
      <c r="AE70" s="2"/>
      <c r="AF70" s="2"/>
      <c r="AG70" s="2"/>
    </row>
    <row r="71" spans="1:33" ht="14.25" customHeight="1">
      <c r="A71" s="2"/>
      <c r="B71" s="2"/>
      <c r="C71" s="2"/>
      <c r="D71" s="2"/>
      <c r="E71" s="2"/>
      <c r="F71" s="2"/>
      <c r="AE71" s="2"/>
      <c r="AF71" s="2"/>
      <c r="AG71" s="2"/>
    </row>
    <row r="72" spans="1:33" ht="14.25" customHeight="1">
      <c r="A72" s="2"/>
      <c r="B72" s="2"/>
      <c r="C72" s="2"/>
      <c r="D72" s="2"/>
      <c r="E72" s="2"/>
      <c r="F72" s="2"/>
      <c r="AE72" s="2"/>
      <c r="AF72" s="2"/>
      <c r="AG72" s="2"/>
    </row>
    <row r="73" spans="1:33" ht="14.25" customHeight="1">
      <c r="A73" s="2"/>
      <c r="B73" s="2"/>
      <c r="C73" s="2"/>
      <c r="D73" s="2"/>
      <c r="E73" s="2"/>
      <c r="F73" s="2"/>
      <c r="AE73" s="2"/>
      <c r="AF73" s="2"/>
      <c r="AG73" s="2"/>
    </row>
    <row r="74" spans="1:33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0">
        <v>3</v>
      </c>
      <c r="N74" s="220">
        <v>3</v>
      </c>
      <c r="O74" s="167">
        <v>7</v>
      </c>
      <c r="P74" s="222">
        <v>8</v>
      </c>
      <c r="Q74" s="310">
        <v>10</v>
      </c>
      <c r="R74" s="319">
        <v>9</v>
      </c>
      <c r="S74" s="310">
        <v>10</v>
      </c>
      <c r="T74" s="310">
        <v>10</v>
      </c>
      <c r="U74" s="320">
        <v>11</v>
      </c>
      <c r="V74" s="319">
        <v>9</v>
      </c>
      <c r="W74" s="222">
        <v>8</v>
      </c>
      <c r="X74" s="167">
        <v>7</v>
      </c>
      <c r="Y74" s="222">
        <v>8</v>
      </c>
      <c r="Z74" s="167">
        <v>7</v>
      </c>
      <c r="AA74" s="167">
        <v>7</v>
      </c>
      <c r="AB74" s="223">
        <v>5</v>
      </c>
      <c r="AC74" s="220">
        <v>3</v>
      </c>
      <c r="AD74" s="195">
        <v>2</v>
      </c>
      <c r="AE74" s="18">
        <f>SUM(G74:AD74)</f>
        <v>139</v>
      </c>
      <c r="AF74" s="25"/>
      <c r="AG74" s="3"/>
    </row>
    <row r="75" spans="1:33" ht="14.25" customHeight="1">
      <c r="A75" s="3"/>
      <c r="B75" s="3"/>
      <c r="C75" s="3"/>
      <c r="D75" s="48"/>
      <c r="E75" s="59"/>
      <c r="F75" s="59"/>
      <c r="G75" s="28">
        <f t="shared" ref="G75:AD75" si="9">G77-G74</f>
        <v>0</v>
      </c>
      <c r="H75" s="28">
        <f t="shared" si="9"/>
        <v>0</v>
      </c>
      <c r="I75" s="28">
        <f t="shared" si="9"/>
        <v>0</v>
      </c>
      <c r="J75" s="28">
        <f t="shared" si="9"/>
        <v>0</v>
      </c>
      <c r="K75" s="28">
        <f t="shared" si="9"/>
        <v>0</v>
      </c>
      <c r="L75" s="28">
        <f t="shared" si="9"/>
        <v>0</v>
      </c>
      <c r="M75" s="28">
        <f t="shared" si="9"/>
        <v>0</v>
      </c>
      <c r="N75" s="28">
        <f t="shared" si="9"/>
        <v>0</v>
      </c>
      <c r="O75" s="28">
        <f t="shared" si="9"/>
        <v>0</v>
      </c>
      <c r="P75" s="28">
        <f t="shared" si="9"/>
        <v>0</v>
      </c>
      <c r="Q75" s="28">
        <f t="shared" si="9"/>
        <v>0</v>
      </c>
      <c r="R75" s="28">
        <f t="shared" si="9"/>
        <v>0</v>
      </c>
      <c r="S75" s="28">
        <f t="shared" si="9"/>
        <v>0</v>
      </c>
      <c r="T75" s="84">
        <f t="shared" si="9"/>
        <v>0</v>
      </c>
      <c r="U75" s="84">
        <f t="shared" si="9"/>
        <v>0</v>
      </c>
      <c r="V75" s="84">
        <f t="shared" si="9"/>
        <v>0</v>
      </c>
      <c r="W75" s="84">
        <f t="shared" si="9"/>
        <v>0</v>
      </c>
      <c r="X75" s="84">
        <f t="shared" si="9"/>
        <v>0</v>
      </c>
      <c r="Y75" s="84">
        <f t="shared" si="9"/>
        <v>0</v>
      </c>
      <c r="Z75" s="84">
        <f t="shared" si="9"/>
        <v>0</v>
      </c>
      <c r="AA75" s="84">
        <f t="shared" si="9"/>
        <v>0</v>
      </c>
      <c r="AB75" s="84">
        <f t="shared" si="9"/>
        <v>0</v>
      </c>
      <c r="AC75" s="28">
        <f t="shared" si="9"/>
        <v>-1</v>
      </c>
      <c r="AD75" s="28">
        <f t="shared" si="9"/>
        <v>0</v>
      </c>
      <c r="AE75" s="53"/>
      <c r="AF75" s="3">
        <v>16</v>
      </c>
      <c r="AG75" s="3">
        <f>AE74/9</f>
        <v>15.444444444444445</v>
      </c>
    </row>
    <row r="76" spans="1:33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</row>
    <row r="77" spans="1:33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0">SUM(G78:G94)</f>
        <v>2</v>
      </c>
      <c r="H77" s="35">
        <f t="shared" si="10"/>
        <v>2</v>
      </c>
      <c r="I77" s="35">
        <f t="shared" si="10"/>
        <v>2</v>
      </c>
      <c r="J77" s="35">
        <f t="shared" si="10"/>
        <v>2</v>
      </c>
      <c r="K77" s="35">
        <f t="shared" si="10"/>
        <v>2</v>
      </c>
      <c r="L77" s="35">
        <f t="shared" si="10"/>
        <v>2</v>
      </c>
      <c r="M77" s="35">
        <f t="shared" si="10"/>
        <v>3</v>
      </c>
      <c r="N77" s="35">
        <f t="shared" si="10"/>
        <v>3</v>
      </c>
      <c r="O77" s="35">
        <f t="shared" si="10"/>
        <v>7</v>
      </c>
      <c r="P77" s="35">
        <f t="shared" si="10"/>
        <v>8</v>
      </c>
      <c r="Q77" s="35">
        <f t="shared" si="10"/>
        <v>10</v>
      </c>
      <c r="R77" s="35">
        <f t="shared" si="10"/>
        <v>9</v>
      </c>
      <c r="S77" s="35">
        <f t="shared" si="10"/>
        <v>10</v>
      </c>
      <c r="T77" s="35">
        <f t="shared" si="10"/>
        <v>10</v>
      </c>
      <c r="U77" s="35">
        <f t="shared" si="10"/>
        <v>11</v>
      </c>
      <c r="V77" s="35">
        <f t="shared" si="10"/>
        <v>9</v>
      </c>
      <c r="W77" s="35">
        <f t="shared" si="10"/>
        <v>8</v>
      </c>
      <c r="X77" s="35">
        <f t="shared" si="10"/>
        <v>7</v>
      </c>
      <c r="Y77" s="35">
        <f t="shared" si="10"/>
        <v>8</v>
      </c>
      <c r="Z77" s="35">
        <f t="shared" si="10"/>
        <v>7</v>
      </c>
      <c r="AA77" s="35">
        <f t="shared" si="10"/>
        <v>7</v>
      </c>
      <c r="AB77" s="35">
        <f t="shared" si="10"/>
        <v>5</v>
      </c>
      <c r="AC77" s="35">
        <f t="shared" si="10"/>
        <v>2</v>
      </c>
      <c r="AD77" s="35">
        <f t="shared" si="10"/>
        <v>2</v>
      </c>
      <c r="AE77" s="30">
        <f t="shared" ref="AE77:AE91" si="11">SUM(G77:AD77)</f>
        <v>138</v>
      </c>
      <c r="AF77" s="36" t="s">
        <v>39</v>
      </c>
      <c r="AG77" s="37" t="s">
        <v>40</v>
      </c>
    </row>
    <row r="78" spans="1:33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2">SUM(G78:AD78)</f>
        <v>8</v>
      </c>
      <c r="G78" s="202"/>
      <c r="H78" s="202"/>
      <c r="I78" s="202"/>
      <c r="J78" s="202"/>
      <c r="K78" s="202"/>
      <c r="L78" s="202"/>
      <c r="M78" s="202"/>
      <c r="N78" s="202"/>
      <c r="O78" s="202">
        <v>1</v>
      </c>
      <c r="P78" s="202">
        <v>1</v>
      </c>
      <c r="Q78" s="202">
        <v>1</v>
      </c>
      <c r="R78" s="202">
        <v>1</v>
      </c>
      <c r="S78" s="202">
        <v>1</v>
      </c>
      <c r="T78" s="322" t="s">
        <v>47</v>
      </c>
      <c r="U78" s="202">
        <v>1</v>
      </c>
      <c r="V78" s="202">
        <v>1</v>
      </c>
      <c r="W78" s="202">
        <v>1</v>
      </c>
      <c r="X78" s="202"/>
      <c r="Y78" s="202"/>
      <c r="Z78" s="202"/>
      <c r="AA78" s="202"/>
      <c r="AB78" s="202"/>
      <c r="AC78" s="202"/>
      <c r="AD78" s="202"/>
      <c r="AE78" s="41">
        <f t="shared" si="11"/>
        <v>8</v>
      </c>
      <c r="AF78" s="116" t="s">
        <v>298</v>
      </c>
      <c r="AG78" s="189" t="s">
        <v>693</v>
      </c>
    </row>
    <row r="79" spans="1:33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2"/>
        <v>11</v>
      </c>
      <c r="G79" s="202"/>
      <c r="H79" s="202"/>
      <c r="I79" s="202"/>
      <c r="J79" s="202"/>
      <c r="K79" s="202"/>
      <c r="L79" s="202"/>
      <c r="M79" s="202"/>
      <c r="N79" s="202"/>
      <c r="O79" s="202">
        <v>1</v>
      </c>
      <c r="P79" s="202">
        <v>1</v>
      </c>
      <c r="Q79" s="202">
        <v>1</v>
      </c>
      <c r="R79" s="202">
        <v>1</v>
      </c>
      <c r="S79" s="202">
        <v>1</v>
      </c>
      <c r="T79" s="202">
        <v>1</v>
      </c>
      <c r="U79" s="202">
        <v>1</v>
      </c>
      <c r="V79" s="202">
        <v>1</v>
      </c>
      <c r="W79" s="202">
        <v>1</v>
      </c>
      <c r="X79" s="202">
        <v>1</v>
      </c>
      <c r="Y79" s="202">
        <v>1</v>
      </c>
      <c r="Z79" s="202"/>
      <c r="AA79" s="202"/>
      <c r="AB79" s="202"/>
      <c r="AC79" s="202"/>
      <c r="AD79" s="202"/>
      <c r="AE79" s="41">
        <f t="shared" si="11"/>
        <v>11</v>
      </c>
      <c r="AF79" s="116" t="s">
        <v>119</v>
      </c>
      <c r="AG79" s="189" t="s">
        <v>693</v>
      </c>
    </row>
    <row r="80" spans="1:33" ht="19.5" customHeight="1">
      <c r="A80" s="38" t="s">
        <v>145</v>
      </c>
      <c r="B80" s="38" t="s">
        <v>76</v>
      </c>
      <c r="C80" s="38">
        <v>997829699</v>
      </c>
      <c r="D80" s="39">
        <v>3</v>
      </c>
      <c r="E80" s="40" t="s">
        <v>77</v>
      </c>
      <c r="F80" s="41">
        <f t="shared" si="12"/>
        <v>0</v>
      </c>
      <c r="G80" s="202">
        <v>0</v>
      </c>
      <c r="H80" s="202">
        <v>0</v>
      </c>
      <c r="I80" s="202">
        <v>0</v>
      </c>
      <c r="J80" s="202">
        <v>0</v>
      </c>
      <c r="K80" s="202">
        <v>0</v>
      </c>
      <c r="L80" s="202">
        <v>0</v>
      </c>
      <c r="M80" s="202">
        <v>0</v>
      </c>
      <c r="N80" s="202">
        <v>0</v>
      </c>
      <c r="O80" s="202">
        <v>0</v>
      </c>
      <c r="P80" s="202">
        <v>0</v>
      </c>
      <c r="Q80" s="202">
        <v>0</v>
      </c>
      <c r="R80" s="202">
        <v>0</v>
      </c>
      <c r="S80" s="202">
        <v>0</v>
      </c>
      <c r="T80" s="202">
        <v>0</v>
      </c>
      <c r="U80" s="202">
        <v>0</v>
      </c>
      <c r="V80" s="202">
        <v>0</v>
      </c>
      <c r="W80" s="202">
        <v>0</v>
      </c>
      <c r="X80" s="202">
        <v>0</v>
      </c>
      <c r="Y80" s="202">
        <v>0</v>
      </c>
      <c r="Z80" s="202">
        <v>0</v>
      </c>
      <c r="AA80" s="202">
        <v>0</v>
      </c>
      <c r="AB80" s="202">
        <v>0</v>
      </c>
      <c r="AC80" s="202">
        <v>0</v>
      </c>
      <c r="AD80" s="202">
        <v>0</v>
      </c>
      <c r="AE80" s="41">
        <f t="shared" si="11"/>
        <v>0</v>
      </c>
      <c r="AF80" s="116" t="s">
        <v>225</v>
      </c>
      <c r="AG80" s="189" t="s">
        <v>693</v>
      </c>
    </row>
    <row r="81" spans="1:33" ht="14.25" customHeight="1">
      <c r="A81" s="38" t="s">
        <v>145</v>
      </c>
      <c r="B81" s="38" t="s">
        <v>152</v>
      </c>
      <c r="C81" s="38"/>
      <c r="D81" s="99">
        <v>4</v>
      </c>
      <c r="E81" s="40" t="s">
        <v>153</v>
      </c>
      <c r="F81" s="41">
        <f t="shared" si="12"/>
        <v>8</v>
      </c>
      <c r="G81" s="202"/>
      <c r="H81" s="202"/>
      <c r="I81" s="202"/>
      <c r="J81" s="202"/>
      <c r="K81" s="202"/>
      <c r="L81" s="202"/>
      <c r="M81" s="202"/>
      <c r="N81" s="202"/>
      <c r="O81" s="202">
        <v>1</v>
      </c>
      <c r="P81" s="202">
        <v>1</v>
      </c>
      <c r="Q81" s="202">
        <v>1</v>
      </c>
      <c r="R81" s="202">
        <v>1</v>
      </c>
      <c r="S81" s="322" t="s">
        <v>47</v>
      </c>
      <c r="T81" s="202">
        <v>1</v>
      </c>
      <c r="U81" s="202">
        <v>1</v>
      </c>
      <c r="V81" s="202">
        <v>1</v>
      </c>
      <c r="W81" s="202">
        <v>1</v>
      </c>
      <c r="X81" s="202"/>
      <c r="Y81" s="202"/>
      <c r="Z81" s="202"/>
      <c r="AA81" s="202"/>
      <c r="AB81" s="202"/>
      <c r="AC81" s="202"/>
      <c r="AD81" s="202"/>
      <c r="AE81" s="41">
        <f t="shared" si="11"/>
        <v>8</v>
      </c>
      <c r="AF81" s="116" t="s">
        <v>298</v>
      </c>
      <c r="AG81" s="189" t="s">
        <v>693</v>
      </c>
    </row>
    <row r="82" spans="1:33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2"/>
        <v>6</v>
      </c>
      <c r="G82" s="216"/>
      <c r="H82" s="216"/>
      <c r="I82" s="216"/>
      <c r="J82" s="216"/>
      <c r="K82" s="216"/>
      <c r="L82" s="216"/>
      <c r="M82" s="202"/>
      <c r="N82" s="202">
        <v>1</v>
      </c>
      <c r="O82" s="202">
        <v>1</v>
      </c>
      <c r="P82" s="202">
        <v>1</v>
      </c>
      <c r="Q82" s="202">
        <v>1</v>
      </c>
      <c r="R82" s="202">
        <v>1</v>
      </c>
      <c r="S82" s="202">
        <v>1</v>
      </c>
      <c r="T82" s="322" t="s">
        <v>47</v>
      </c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41">
        <f t="shared" si="11"/>
        <v>6</v>
      </c>
      <c r="AF82" s="116" t="s">
        <v>196</v>
      </c>
      <c r="AG82" s="189" t="s">
        <v>693</v>
      </c>
    </row>
    <row r="83" spans="1:33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2"/>
        <v>8</v>
      </c>
      <c r="G83" s="202"/>
      <c r="H83" s="202"/>
      <c r="I83" s="202"/>
      <c r="J83" s="202"/>
      <c r="K83" s="202"/>
      <c r="L83" s="202"/>
      <c r="M83" s="202">
        <v>1</v>
      </c>
      <c r="N83" s="202">
        <v>1</v>
      </c>
      <c r="O83" s="202">
        <v>1</v>
      </c>
      <c r="P83" s="202">
        <v>1</v>
      </c>
      <c r="Q83" s="202">
        <v>1</v>
      </c>
      <c r="R83" s="202">
        <v>1</v>
      </c>
      <c r="S83" s="202">
        <v>1</v>
      </c>
      <c r="T83" s="322" t="s">
        <v>47</v>
      </c>
      <c r="U83" s="202">
        <v>1</v>
      </c>
      <c r="V83" s="202"/>
      <c r="W83" s="202"/>
      <c r="X83" s="202"/>
      <c r="Y83" s="202"/>
      <c r="Z83" s="202"/>
      <c r="AA83" s="202"/>
      <c r="AB83" s="202"/>
      <c r="AC83" s="202"/>
      <c r="AD83" s="202"/>
      <c r="AE83" s="41">
        <f t="shared" si="11"/>
        <v>8</v>
      </c>
      <c r="AF83" s="116" t="s">
        <v>244</v>
      </c>
      <c r="AG83" s="189" t="s">
        <v>693</v>
      </c>
    </row>
    <row r="84" spans="1:33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2"/>
        <v>11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>
        <v>1</v>
      </c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>
        <v>1</v>
      </c>
      <c r="AB84" s="202">
        <v>1</v>
      </c>
      <c r="AC84" s="202">
        <v>1</v>
      </c>
      <c r="AD84" s="202">
        <v>1</v>
      </c>
      <c r="AE84" s="41">
        <f t="shared" si="11"/>
        <v>11</v>
      </c>
      <c r="AF84" s="116" t="s">
        <v>424</v>
      </c>
      <c r="AG84" s="189" t="s">
        <v>693</v>
      </c>
    </row>
    <row r="85" spans="1:33" ht="14.25" customHeight="1">
      <c r="A85" s="38" t="s">
        <v>145</v>
      </c>
      <c r="B85" s="38" t="s">
        <v>165</v>
      </c>
      <c r="C85" s="38">
        <v>992994680</v>
      </c>
      <c r="D85" s="62">
        <v>8</v>
      </c>
      <c r="E85" s="40" t="s">
        <v>166</v>
      </c>
      <c r="F85" s="41">
        <f t="shared" si="12"/>
        <v>9</v>
      </c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>
        <v>1</v>
      </c>
      <c r="R85" s="322" t="s">
        <v>47</v>
      </c>
      <c r="S85" s="202">
        <v>1</v>
      </c>
      <c r="T85" s="202">
        <v>1</v>
      </c>
      <c r="U85" s="202"/>
      <c r="V85" s="202">
        <v>1</v>
      </c>
      <c r="W85" s="202">
        <v>1</v>
      </c>
      <c r="X85" s="202">
        <v>1</v>
      </c>
      <c r="Y85" s="202">
        <v>1</v>
      </c>
      <c r="Z85" s="202">
        <v>1</v>
      </c>
      <c r="AA85" s="202">
        <v>1</v>
      </c>
      <c r="AB85" s="202"/>
      <c r="AC85" s="202"/>
      <c r="AD85" s="202"/>
      <c r="AE85" s="41">
        <f t="shared" si="11"/>
        <v>9</v>
      </c>
      <c r="AF85" s="116" t="s">
        <v>233</v>
      </c>
      <c r="AG85" s="189" t="s">
        <v>693</v>
      </c>
    </row>
    <row r="86" spans="1:33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2"/>
        <v>10</v>
      </c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322" t="s">
        <v>47</v>
      </c>
      <c r="S86" s="202">
        <v>1</v>
      </c>
      <c r="T86" s="202">
        <v>1</v>
      </c>
      <c r="U86" s="202">
        <v>1</v>
      </c>
      <c r="V86" s="202">
        <v>1</v>
      </c>
      <c r="W86" s="202">
        <v>1</v>
      </c>
      <c r="X86" s="202">
        <v>1</v>
      </c>
      <c r="Y86" s="202">
        <v>1</v>
      </c>
      <c r="Z86" s="202">
        <v>1</v>
      </c>
      <c r="AA86" s="202">
        <v>1</v>
      </c>
      <c r="AB86" s="202">
        <v>1</v>
      </c>
      <c r="AC86" s="202"/>
      <c r="AD86" s="202"/>
      <c r="AE86" s="41">
        <f t="shared" si="11"/>
        <v>10</v>
      </c>
      <c r="AF86" s="116" t="s">
        <v>197</v>
      </c>
      <c r="AG86" s="189" t="s">
        <v>693</v>
      </c>
    </row>
    <row r="87" spans="1:33" ht="14.25" customHeight="1">
      <c r="A87" s="98" t="s">
        <v>145</v>
      </c>
      <c r="B87" s="98" t="s">
        <v>711</v>
      </c>
      <c r="C87" s="98"/>
      <c r="D87" s="99">
        <v>10</v>
      </c>
      <c r="E87" s="40" t="s">
        <v>177</v>
      </c>
      <c r="F87" s="41">
        <f t="shared" si="12"/>
        <v>9</v>
      </c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>
        <v>1</v>
      </c>
      <c r="R87" s="202">
        <v>1</v>
      </c>
      <c r="S87" s="202">
        <v>1</v>
      </c>
      <c r="T87" s="202">
        <v>1</v>
      </c>
      <c r="U87" s="202"/>
      <c r="V87" s="322" t="s">
        <v>47</v>
      </c>
      <c r="W87" s="202">
        <v>1</v>
      </c>
      <c r="X87" s="202">
        <v>1</v>
      </c>
      <c r="Y87" s="202">
        <v>1</v>
      </c>
      <c r="Z87" s="202">
        <v>1</v>
      </c>
      <c r="AA87" s="202">
        <v>1</v>
      </c>
      <c r="AB87" s="202"/>
      <c r="AC87" s="202"/>
      <c r="AD87" s="202"/>
      <c r="AE87" s="41">
        <f t="shared" si="11"/>
        <v>9</v>
      </c>
      <c r="AF87" s="116" t="s">
        <v>233</v>
      </c>
      <c r="AG87" s="189" t="s">
        <v>693</v>
      </c>
    </row>
    <row r="88" spans="1:33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2"/>
        <v>12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>
        <v>1</v>
      </c>
      <c r="Z88" s="202">
        <v>1</v>
      </c>
      <c r="AA88" s="202">
        <v>1</v>
      </c>
      <c r="AB88" s="202">
        <v>1</v>
      </c>
      <c r="AC88" s="202">
        <v>1</v>
      </c>
      <c r="AD88" s="202">
        <v>1</v>
      </c>
      <c r="AE88" s="41">
        <f t="shared" si="11"/>
        <v>12</v>
      </c>
      <c r="AF88" s="116" t="s">
        <v>221</v>
      </c>
      <c r="AG88" s="189" t="s">
        <v>693</v>
      </c>
    </row>
    <row r="89" spans="1:33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2"/>
        <v>10</v>
      </c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>
        <v>1</v>
      </c>
      <c r="S89" s="322" t="s">
        <v>47</v>
      </c>
      <c r="T89" s="202">
        <v>1</v>
      </c>
      <c r="U89" s="202">
        <v>1</v>
      </c>
      <c r="V89" s="202">
        <v>1</v>
      </c>
      <c r="W89" s="202">
        <v>1</v>
      </c>
      <c r="X89" s="202">
        <v>1</v>
      </c>
      <c r="Y89" s="202">
        <v>1</v>
      </c>
      <c r="Z89" s="202">
        <v>1</v>
      </c>
      <c r="AA89" s="202">
        <v>1</v>
      </c>
      <c r="AB89" s="202">
        <v>1</v>
      </c>
      <c r="AC89" s="202"/>
      <c r="AD89" s="202"/>
      <c r="AE89" s="41">
        <f t="shared" si="11"/>
        <v>10</v>
      </c>
      <c r="AF89" s="116" t="s">
        <v>197</v>
      </c>
      <c r="AG89" s="189" t="s">
        <v>693</v>
      </c>
    </row>
    <row r="90" spans="1:33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2"/>
        <v>7</v>
      </c>
      <c r="G90" s="202"/>
      <c r="H90" s="202"/>
      <c r="I90" s="202"/>
      <c r="J90" s="202"/>
      <c r="K90" s="202"/>
      <c r="L90" s="202"/>
      <c r="M90" s="202"/>
      <c r="N90" s="202"/>
      <c r="O90" s="202">
        <v>1</v>
      </c>
      <c r="P90" s="202">
        <v>1</v>
      </c>
      <c r="Q90" s="202">
        <v>1</v>
      </c>
      <c r="R90" s="322" t="s">
        <v>47</v>
      </c>
      <c r="S90" s="202">
        <v>1</v>
      </c>
      <c r="T90" s="202">
        <v>1</v>
      </c>
      <c r="U90" s="202">
        <v>1</v>
      </c>
      <c r="V90" s="202">
        <v>1</v>
      </c>
      <c r="W90" s="202"/>
      <c r="X90" s="202"/>
      <c r="Y90" s="202"/>
      <c r="Z90" s="202"/>
      <c r="AA90" s="202"/>
      <c r="AB90" s="202"/>
      <c r="AC90" s="202"/>
      <c r="AD90" s="202"/>
      <c r="AE90" s="41">
        <f t="shared" si="11"/>
        <v>7</v>
      </c>
      <c r="AF90" s="116" t="s">
        <v>258</v>
      </c>
      <c r="AG90" s="189" t="s">
        <v>693</v>
      </c>
    </row>
    <row r="91" spans="1:33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2"/>
        <v>10</v>
      </c>
      <c r="G91" s="202"/>
      <c r="H91" s="202"/>
      <c r="I91" s="202"/>
      <c r="J91" s="202"/>
      <c r="K91" s="202"/>
      <c r="L91" s="202"/>
      <c r="M91" s="202"/>
      <c r="N91" s="202"/>
      <c r="O91" s="202"/>
      <c r="P91" s="202">
        <v>1</v>
      </c>
      <c r="Q91" s="202">
        <v>1</v>
      </c>
      <c r="R91" s="202">
        <v>1</v>
      </c>
      <c r="S91" s="322" t="s">
        <v>47</v>
      </c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>
        <v>1</v>
      </c>
      <c r="Z91" s="202">
        <v>1</v>
      </c>
      <c r="AA91" s="202"/>
      <c r="AB91" s="202"/>
      <c r="AC91" s="202"/>
      <c r="AD91" s="202"/>
      <c r="AE91" s="41">
        <f t="shared" si="11"/>
        <v>10</v>
      </c>
      <c r="AF91" s="116" t="s">
        <v>164</v>
      </c>
      <c r="AG91" s="189" t="s">
        <v>693</v>
      </c>
    </row>
    <row r="92" spans="1:33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2"/>
        <v>1</v>
      </c>
      <c r="G92" s="202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322" t="s">
        <v>47</v>
      </c>
      <c r="U92" s="202">
        <v>1</v>
      </c>
      <c r="V92" s="580" t="s">
        <v>209</v>
      </c>
      <c r="W92" s="555"/>
      <c r="X92" s="555"/>
      <c r="Y92" s="555"/>
      <c r="Z92" s="555"/>
      <c r="AA92" s="555"/>
      <c r="AB92" s="555"/>
      <c r="AC92" s="542"/>
      <c r="AD92" s="176"/>
      <c r="AE92" s="41">
        <v>8</v>
      </c>
      <c r="AF92" s="116" t="s">
        <v>175</v>
      </c>
      <c r="AG92" s="189" t="s">
        <v>693</v>
      </c>
    </row>
    <row r="93" spans="1:33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2"/>
        <v>9</v>
      </c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322" t="s">
        <v>47</v>
      </c>
      <c r="S93" s="202">
        <v>1</v>
      </c>
      <c r="T93" s="202">
        <v>1</v>
      </c>
      <c r="U93" s="202">
        <v>1</v>
      </c>
      <c r="V93" s="202">
        <v>1</v>
      </c>
      <c r="W93" s="202"/>
      <c r="X93" s="202">
        <v>1</v>
      </c>
      <c r="Y93" s="202">
        <v>1</v>
      </c>
      <c r="Z93" s="202">
        <v>1</v>
      </c>
      <c r="AA93" s="202">
        <v>1</v>
      </c>
      <c r="AB93" s="202">
        <v>1</v>
      </c>
      <c r="AC93" s="202"/>
      <c r="AD93" s="202"/>
      <c r="AE93" s="41">
        <f t="shared" ref="AE93:AE94" si="13">SUM(G93:AD93)</f>
        <v>9</v>
      </c>
      <c r="AF93" s="116" t="s">
        <v>277</v>
      </c>
      <c r="AG93" s="189" t="s">
        <v>693</v>
      </c>
    </row>
    <row r="94" spans="1:33" ht="14.25" customHeight="1">
      <c r="A94" s="38" t="s">
        <v>145</v>
      </c>
      <c r="B94" s="38" t="s">
        <v>472</v>
      </c>
      <c r="C94" s="38"/>
      <c r="D94" s="39">
        <v>17</v>
      </c>
      <c r="E94" s="40" t="s">
        <v>184</v>
      </c>
      <c r="F94" s="41">
        <f t="shared" si="12"/>
        <v>9</v>
      </c>
      <c r="G94" s="202"/>
      <c r="H94" s="202"/>
      <c r="I94" s="202"/>
      <c r="J94" s="202"/>
      <c r="K94" s="202"/>
      <c r="L94" s="202"/>
      <c r="M94" s="202">
        <v>1</v>
      </c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322" t="s">
        <v>47</v>
      </c>
      <c r="W94" s="202"/>
      <c r="X94" s="202"/>
      <c r="Y94" s="202"/>
      <c r="Z94" s="202"/>
      <c r="AA94" s="202"/>
      <c r="AB94" s="202"/>
      <c r="AC94" s="202"/>
      <c r="AD94" s="202"/>
      <c r="AE94" s="41">
        <f t="shared" si="13"/>
        <v>9</v>
      </c>
      <c r="AF94" s="116" t="s">
        <v>151</v>
      </c>
      <c r="AG94" s="189" t="s">
        <v>693</v>
      </c>
    </row>
    <row r="95" spans="1:33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</row>
    <row r="96" spans="1:3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</sheetData>
  <customSheetViews>
    <customSheetView guid="{833D6734-F5E1-4449-B5A1-8C3A51A61651}" filter="1" showAutoFilter="1">
      <pageMargins left="0.7" right="0.7" top="0.75" bottom="0.75" header="0.3" footer="0.3"/>
      <autoFilter ref="A7:AG96" xr:uid="{2BAD769D-BD1F-4980-9749-6D4696B9A8CD}">
        <filterColumn colId="26">
          <filters>
            <filter val="-"/>
            <filter val="1"/>
            <filter val="5"/>
            <filter val="7"/>
            <filter val="MONITOREOS"/>
            <filter val="VIP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96" xr:uid="{AE179292-3438-45BF-A1B9-88E4AB59128A}">
        <filterColumn colId="15">
          <filters>
            <filter val="-"/>
            <filter val="(1)"/>
            <filter val="1"/>
            <filter val="21"/>
            <filter val="7"/>
            <filter val="8"/>
            <filter val="9"/>
            <filter val="C"/>
            <filter val="DTH"/>
            <filter val="MONITOREOS"/>
            <filter val="S"/>
            <filter val="SEGUIMIENTO TRANSFERENCIAS"/>
            <filter val="SOPORTE GTR"/>
            <filter val="VIP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G96" xr:uid="{22029724-AD21-4F6B-ABBD-1F50DBC73938}"/>
    </customSheetView>
  </customSheetViews>
  <mergeCells count="14">
    <mergeCell ref="E74:F74"/>
    <mergeCell ref="V92:AC92"/>
    <mergeCell ref="A1:B1"/>
    <mergeCell ref="D3:AE3"/>
    <mergeCell ref="E4:F4"/>
    <mergeCell ref="E5:F5"/>
    <mergeCell ref="P17:Z17"/>
    <mergeCell ref="S27:Z27"/>
    <mergeCell ref="V30:AC30"/>
    <mergeCell ref="V33:AC33"/>
    <mergeCell ref="V47:AC47"/>
    <mergeCell ref="N48:U48"/>
    <mergeCell ref="O49:Z49"/>
    <mergeCell ref="E55:F55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G96"/>
  <sheetViews>
    <sheetView showGridLines="0" workbookViewId="0"/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hidden="1" customWidth="1"/>
    <col min="4" max="4" width="7.42578125" hidden="1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39.85546875" customWidth="1"/>
    <col min="33" max="33" width="27.7109375" customWidth="1"/>
  </cols>
  <sheetData>
    <row r="1" spans="1:33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7.25">
      <c r="A3" s="6" t="s">
        <v>3</v>
      </c>
      <c r="B3" s="7" t="s">
        <v>4</v>
      </c>
      <c r="C3" s="2"/>
      <c r="D3" s="565" t="s">
        <v>487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32</v>
      </c>
      <c r="AG3" s="3">
        <f>AE4/13</f>
        <v>17.692307692307693</v>
      </c>
    </row>
    <row r="4" spans="1:33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4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11</v>
      </c>
      <c r="N4" s="204">
        <v>10</v>
      </c>
      <c r="O4" s="204">
        <v>16</v>
      </c>
      <c r="P4" s="204">
        <v>11</v>
      </c>
      <c r="Q4" s="204">
        <v>16</v>
      </c>
      <c r="R4" s="204">
        <v>14</v>
      </c>
      <c r="S4" s="204">
        <v>13</v>
      </c>
      <c r="T4" s="204">
        <v>14</v>
      </c>
      <c r="U4" s="204">
        <v>12</v>
      </c>
      <c r="V4" s="204">
        <v>13</v>
      </c>
      <c r="W4" s="204">
        <v>12</v>
      </c>
      <c r="X4" s="204">
        <v>11</v>
      </c>
      <c r="Y4" s="204">
        <v>9</v>
      </c>
      <c r="Z4" s="204">
        <v>16</v>
      </c>
      <c r="AA4" s="204">
        <v>14</v>
      </c>
      <c r="AB4" s="204">
        <v>11</v>
      </c>
      <c r="AC4" s="204">
        <v>5</v>
      </c>
      <c r="AD4" s="204">
        <v>3</v>
      </c>
      <c r="AE4" s="18">
        <f>SUM(G4:AD4)</f>
        <v>230</v>
      </c>
      <c r="AF4" s="3"/>
      <c r="AG4" s="3"/>
    </row>
    <row r="5" spans="1:33" ht="62.25">
      <c r="A5" s="3"/>
      <c r="B5" s="2"/>
      <c r="C5" s="2"/>
      <c r="D5" s="19"/>
      <c r="E5" s="569">
        <v>24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</row>
    <row r="6" spans="1:33" ht="15.75" customHeight="1">
      <c r="A6" s="24"/>
      <c r="B6" s="25"/>
      <c r="C6" s="25"/>
      <c r="D6" s="19"/>
      <c r="E6" s="26"/>
      <c r="F6" s="27"/>
      <c r="G6" s="28">
        <f t="shared" ref="G6:AD6" si="0">G7-G4</f>
        <v>-1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84">
        <f t="shared" si="0"/>
        <v>-2</v>
      </c>
      <c r="N6" s="84">
        <f t="shared" si="0"/>
        <v>-1</v>
      </c>
      <c r="O6" s="84">
        <f t="shared" si="0"/>
        <v>-5</v>
      </c>
      <c r="P6" s="28">
        <f t="shared" si="0"/>
        <v>1</v>
      </c>
      <c r="Q6" s="84">
        <f t="shared" si="0"/>
        <v>1</v>
      </c>
      <c r="R6" s="84">
        <f t="shared" si="0"/>
        <v>1</v>
      </c>
      <c r="S6" s="28">
        <f t="shared" si="0"/>
        <v>1</v>
      </c>
      <c r="T6" s="84">
        <f t="shared" si="0"/>
        <v>1</v>
      </c>
      <c r="U6" s="28">
        <f t="shared" si="0"/>
        <v>2</v>
      </c>
      <c r="V6" s="28">
        <f t="shared" si="0"/>
        <v>1</v>
      </c>
      <c r="W6" s="84">
        <f t="shared" si="0"/>
        <v>1</v>
      </c>
      <c r="X6" s="84">
        <f t="shared" si="0"/>
        <v>1</v>
      </c>
      <c r="Y6" s="84">
        <f t="shared" si="0"/>
        <v>0</v>
      </c>
      <c r="Z6" s="84">
        <f t="shared" si="0"/>
        <v>-4</v>
      </c>
      <c r="AA6" s="84">
        <f t="shared" si="0"/>
        <v>-3</v>
      </c>
      <c r="AB6" s="84">
        <f t="shared" si="0"/>
        <v>-2</v>
      </c>
      <c r="AC6" s="28">
        <f t="shared" si="0"/>
        <v>0</v>
      </c>
      <c r="AD6" s="28">
        <f t="shared" si="0"/>
        <v>0</v>
      </c>
      <c r="AE6" s="29">
        <f t="shared" ref="AE6:AE30" si="1">SUM(G6:AD6)</f>
        <v>-8</v>
      </c>
      <c r="AG6" s="24"/>
    </row>
    <row r="7" spans="1:33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3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9</v>
      </c>
      <c r="N7" s="172">
        <f t="shared" si="2"/>
        <v>9</v>
      </c>
      <c r="O7" s="172">
        <f t="shared" si="2"/>
        <v>11</v>
      </c>
      <c r="P7" s="172">
        <f t="shared" si="2"/>
        <v>12</v>
      </c>
      <c r="Q7" s="172">
        <f t="shared" si="2"/>
        <v>17</v>
      </c>
      <c r="R7" s="172">
        <f t="shared" si="2"/>
        <v>15</v>
      </c>
      <c r="S7" s="172">
        <f t="shared" si="2"/>
        <v>14</v>
      </c>
      <c r="T7" s="172">
        <f t="shared" si="2"/>
        <v>15</v>
      </c>
      <c r="U7" s="172">
        <f t="shared" si="2"/>
        <v>14</v>
      </c>
      <c r="V7" s="172">
        <f t="shared" si="2"/>
        <v>14</v>
      </c>
      <c r="W7" s="172">
        <f t="shared" si="2"/>
        <v>13</v>
      </c>
      <c r="X7" s="172">
        <f t="shared" si="2"/>
        <v>12</v>
      </c>
      <c r="Y7" s="172">
        <f t="shared" si="2"/>
        <v>9</v>
      </c>
      <c r="Z7" s="172">
        <f t="shared" si="2"/>
        <v>12</v>
      </c>
      <c r="AA7" s="172">
        <f t="shared" si="2"/>
        <v>11</v>
      </c>
      <c r="AB7" s="172">
        <f t="shared" si="2"/>
        <v>9</v>
      </c>
      <c r="AC7" s="172">
        <f t="shared" si="2"/>
        <v>5</v>
      </c>
      <c r="AD7" s="172">
        <f t="shared" si="2"/>
        <v>3</v>
      </c>
      <c r="AE7" s="168">
        <f t="shared" si="1"/>
        <v>222</v>
      </c>
      <c r="AF7" s="36" t="s">
        <v>39</v>
      </c>
      <c r="AG7" s="197" t="s">
        <v>40</v>
      </c>
    </row>
    <row r="8" spans="1:33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16" si="3">SUM(G8:AD8)</f>
        <v>6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41">
        <f t="shared" si="1"/>
        <v>6</v>
      </c>
      <c r="AF8" s="116" t="s">
        <v>159</v>
      </c>
      <c r="AG8" s="189" t="s">
        <v>693</v>
      </c>
    </row>
    <row r="9" spans="1:33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10</v>
      </c>
      <c r="G9" s="176"/>
      <c r="H9" s="176"/>
      <c r="I9" s="176"/>
      <c r="J9" s="176"/>
      <c r="K9" s="176"/>
      <c r="L9" s="176"/>
      <c r="M9" s="216">
        <v>1</v>
      </c>
      <c r="N9" s="216">
        <v>1</v>
      </c>
      <c r="O9" s="216">
        <v>1</v>
      </c>
      <c r="P9" s="216"/>
      <c r="Q9" s="216">
        <v>1</v>
      </c>
      <c r="R9" s="216">
        <v>1</v>
      </c>
      <c r="S9" s="216">
        <v>1</v>
      </c>
      <c r="T9" s="216">
        <v>1</v>
      </c>
      <c r="U9" s="216">
        <v>1</v>
      </c>
      <c r="V9" s="216">
        <v>1</v>
      </c>
      <c r="W9" s="216">
        <v>1</v>
      </c>
      <c r="X9" s="176"/>
      <c r="Y9" s="176"/>
      <c r="Z9" s="176"/>
      <c r="AA9" s="176"/>
      <c r="AB9" s="176"/>
      <c r="AC9" s="176"/>
      <c r="AD9" s="176"/>
      <c r="AE9" s="41">
        <f t="shared" si="1"/>
        <v>10</v>
      </c>
      <c r="AF9" s="116" t="s">
        <v>690</v>
      </c>
      <c r="AG9" s="189" t="s">
        <v>693</v>
      </c>
    </row>
    <row r="10" spans="1:33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10</v>
      </c>
      <c r="G10" s="216"/>
      <c r="H10" s="216"/>
      <c r="I10" s="216"/>
      <c r="J10" s="216"/>
      <c r="K10" s="216"/>
      <c r="L10" s="216"/>
      <c r="M10" s="216">
        <v>1</v>
      </c>
      <c r="N10" s="216">
        <v>1</v>
      </c>
      <c r="O10" s="216">
        <v>1</v>
      </c>
      <c r="P10" s="216">
        <v>1</v>
      </c>
      <c r="Q10" s="216">
        <v>1</v>
      </c>
      <c r="R10" s="216">
        <v>1</v>
      </c>
      <c r="S10" s="216"/>
      <c r="T10" s="216">
        <v>1</v>
      </c>
      <c r="U10" s="216">
        <v>1</v>
      </c>
      <c r="V10" s="216">
        <v>1</v>
      </c>
      <c r="W10" s="216">
        <v>1</v>
      </c>
      <c r="X10" s="216"/>
      <c r="Y10" s="216"/>
      <c r="Z10" s="216"/>
      <c r="AA10" s="216"/>
      <c r="AB10" s="216"/>
      <c r="AC10" s="216"/>
      <c r="AD10" s="216"/>
      <c r="AE10" s="41">
        <f t="shared" si="1"/>
        <v>10</v>
      </c>
      <c r="AF10" s="116" t="s">
        <v>275</v>
      </c>
      <c r="AG10" s="189" t="s">
        <v>693</v>
      </c>
    </row>
    <row r="11" spans="1:33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0</v>
      </c>
      <c r="G11" s="176">
        <v>0</v>
      </c>
      <c r="H11" s="176">
        <v>0</v>
      </c>
      <c r="I11" s="176">
        <v>0</v>
      </c>
      <c r="J11" s="176">
        <v>0</v>
      </c>
      <c r="K11" s="176">
        <v>0</v>
      </c>
      <c r="L11" s="176">
        <v>0</v>
      </c>
      <c r="M11" s="176">
        <v>0</v>
      </c>
      <c r="N11" s="176">
        <v>0</v>
      </c>
      <c r="O11" s="176">
        <v>0</v>
      </c>
      <c r="P11" s="176">
        <v>0</v>
      </c>
      <c r="Q11" s="176">
        <v>0</v>
      </c>
      <c r="R11" s="176">
        <v>0</v>
      </c>
      <c r="S11" s="176">
        <v>0</v>
      </c>
      <c r="T11" s="176">
        <v>0</v>
      </c>
      <c r="U11" s="176">
        <v>0</v>
      </c>
      <c r="V11" s="176">
        <v>0</v>
      </c>
      <c r="W11" s="176">
        <v>0</v>
      </c>
      <c r="X11" s="176">
        <v>0</v>
      </c>
      <c r="Y11" s="176">
        <v>0</v>
      </c>
      <c r="Z11" s="176">
        <v>0</v>
      </c>
      <c r="AA11" s="176">
        <v>0</v>
      </c>
      <c r="AB11" s="176">
        <v>0</v>
      </c>
      <c r="AC11" s="176">
        <v>0</v>
      </c>
      <c r="AD11" s="176">
        <v>0</v>
      </c>
      <c r="AE11" s="41">
        <f t="shared" si="1"/>
        <v>0</v>
      </c>
      <c r="AF11" s="116" t="s">
        <v>225</v>
      </c>
      <c r="AG11" s="189" t="s">
        <v>693</v>
      </c>
    </row>
    <row r="12" spans="1:33" ht="14.25" customHeight="1">
      <c r="A12" s="38" t="s">
        <v>41</v>
      </c>
      <c r="B12" s="38" t="s">
        <v>59</v>
      </c>
      <c r="C12" s="38"/>
      <c r="D12" s="99">
        <v>6</v>
      </c>
      <c r="E12" s="208" t="s">
        <v>60</v>
      </c>
      <c r="F12" s="41">
        <f t="shared" si="3"/>
        <v>9</v>
      </c>
      <c r="G12" s="176"/>
      <c r="H12" s="176"/>
      <c r="I12" s="176"/>
      <c r="J12" s="176"/>
      <c r="K12" s="176"/>
      <c r="L12" s="176"/>
      <c r="M12" s="176">
        <v>1</v>
      </c>
      <c r="N12" s="176">
        <v>1</v>
      </c>
      <c r="O12" s="176">
        <v>1</v>
      </c>
      <c r="P12" s="176">
        <v>1</v>
      </c>
      <c r="Q12" s="176">
        <v>1</v>
      </c>
      <c r="R12" s="176">
        <v>1</v>
      </c>
      <c r="S12" s="176">
        <v>1</v>
      </c>
      <c r="T12" s="176">
        <v>1</v>
      </c>
      <c r="U12" s="295">
        <v>1</v>
      </c>
      <c r="V12" s="176"/>
      <c r="W12" s="176"/>
      <c r="X12" s="176"/>
      <c r="Y12" s="176"/>
      <c r="Z12" s="176"/>
      <c r="AA12" s="176"/>
      <c r="AB12" s="176"/>
      <c r="AC12" s="176"/>
      <c r="AD12" s="176"/>
      <c r="AE12" s="41">
        <f t="shared" si="1"/>
        <v>9</v>
      </c>
      <c r="AF12" s="116" t="s">
        <v>244</v>
      </c>
      <c r="AG12" s="189" t="s">
        <v>693</v>
      </c>
    </row>
    <row r="13" spans="1:33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0</v>
      </c>
      <c r="G13" s="176">
        <v>0</v>
      </c>
      <c r="H13" s="176">
        <v>0</v>
      </c>
      <c r="I13" s="176">
        <v>0</v>
      </c>
      <c r="J13" s="176">
        <v>0</v>
      </c>
      <c r="K13" s="176">
        <v>0</v>
      </c>
      <c r="L13" s="176">
        <v>0</v>
      </c>
      <c r="M13" s="176">
        <v>0</v>
      </c>
      <c r="N13" s="176">
        <v>0</v>
      </c>
      <c r="O13" s="176">
        <v>0</v>
      </c>
      <c r="P13" s="176">
        <v>0</v>
      </c>
      <c r="Q13" s="176">
        <v>0</v>
      </c>
      <c r="R13" s="176">
        <v>0</v>
      </c>
      <c r="S13" s="176">
        <v>0</v>
      </c>
      <c r="T13" s="176">
        <v>0</v>
      </c>
      <c r="U13" s="176">
        <v>0</v>
      </c>
      <c r="V13" s="176">
        <v>0</v>
      </c>
      <c r="W13" s="176">
        <v>0</v>
      </c>
      <c r="X13" s="176">
        <v>0</v>
      </c>
      <c r="Y13" s="176">
        <v>0</v>
      </c>
      <c r="Z13" s="176">
        <v>0</v>
      </c>
      <c r="AA13" s="176">
        <v>0</v>
      </c>
      <c r="AB13" s="176">
        <v>0</v>
      </c>
      <c r="AC13" s="176">
        <v>0</v>
      </c>
      <c r="AD13" s="176">
        <v>0</v>
      </c>
      <c r="AE13" s="41">
        <f t="shared" si="1"/>
        <v>0</v>
      </c>
      <c r="AF13" s="116" t="s">
        <v>225</v>
      </c>
      <c r="AG13" s="189" t="s">
        <v>693</v>
      </c>
    </row>
    <row r="14" spans="1:33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0</v>
      </c>
      <c r="G14" s="176">
        <v>0</v>
      </c>
      <c r="H14" s="176">
        <v>0</v>
      </c>
      <c r="I14" s="176">
        <v>0</v>
      </c>
      <c r="J14" s="176">
        <v>0</v>
      </c>
      <c r="K14" s="176">
        <v>0</v>
      </c>
      <c r="L14" s="176">
        <v>0</v>
      </c>
      <c r="M14" s="176">
        <v>0</v>
      </c>
      <c r="N14" s="176">
        <v>0</v>
      </c>
      <c r="O14" s="176">
        <v>0</v>
      </c>
      <c r="P14" s="176">
        <v>0</v>
      </c>
      <c r="Q14" s="176">
        <v>0</v>
      </c>
      <c r="R14" s="176">
        <v>0</v>
      </c>
      <c r="S14" s="176">
        <v>0</v>
      </c>
      <c r="T14" s="176">
        <v>0</v>
      </c>
      <c r="U14" s="176">
        <v>0</v>
      </c>
      <c r="V14" s="176">
        <v>0</v>
      </c>
      <c r="W14" s="176">
        <v>0</v>
      </c>
      <c r="X14" s="176">
        <v>0</v>
      </c>
      <c r="Y14" s="176">
        <v>0</v>
      </c>
      <c r="Z14" s="176">
        <v>0</v>
      </c>
      <c r="AA14" s="176">
        <v>0</v>
      </c>
      <c r="AB14" s="176">
        <v>0</v>
      </c>
      <c r="AC14" s="176">
        <v>0</v>
      </c>
      <c r="AD14" s="176">
        <v>0</v>
      </c>
      <c r="AE14" s="41">
        <f t="shared" si="1"/>
        <v>0</v>
      </c>
      <c r="AF14" s="116" t="s">
        <v>225</v>
      </c>
      <c r="AG14" s="189" t="s">
        <v>693</v>
      </c>
    </row>
    <row r="15" spans="1:33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5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>
        <v>1</v>
      </c>
      <c r="AA15" s="176">
        <v>1</v>
      </c>
      <c r="AB15" s="176">
        <v>1</v>
      </c>
      <c r="AC15" s="176">
        <v>1</v>
      </c>
      <c r="AD15" s="176">
        <v>1</v>
      </c>
      <c r="AE15" s="41">
        <f t="shared" si="1"/>
        <v>5</v>
      </c>
      <c r="AF15" s="116" t="s">
        <v>270</v>
      </c>
      <c r="AG15" s="189" t="s">
        <v>693</v>
      </c>
    </row>
    <row r="16" spans="1:33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0</v>
      </c>
      <c r="G16" s="216">
        <v>0</v>
      </c>
      <c r="H16" s="216">
        <v>0</v>
      </c>
      <c r="I16" s="216">
        <v>0</v>
      </c>
      <c r="J16" s="216">
        <v>0</v>
      </c>
      <c r="K16" s="216">
        <v>0</v>
      </c>
      <c r="L16" s="216">
        <v>0</v>
      </c>
      <c r="M16" s="216">
        <v>0</v>
      </c>
      <c r="N16" s="216">
        <v>0</v>
      </c>
      <c r="O16" s="216">
        <v>0</v>
      </c>
      <c r="P16" s="216">
        <v>0</v>
      </c>
      <c r="Q16" s="216">
        <v>0</v>
      </c>
      <c r="R16" s="216">
        <v>0</v>
      </c>
      <c r="S16" s="216">
        <v>0</v>
      </c>
      <c r="T16" s="216">
        <v>0</v>
      </c>
      <c r="U16" s="216">
        <v>0</v>
      </c>
      <c r="V16" s="216">
        <v>0</v>
      </c>
      <c r="W16" s="216">
        <v>0</v>
      </c>
      <c r="X16" s="216">
        <v>0</v>
      </c>
      <c r="Y16" s="216">
        <v>0</v>
      </c>
      <c r="Z16" s="216">
        <v>0</v>
      </c>
      <c r="AA16" s="216">
        <v>0</v>
      </c>
      <c r="AB16" s="216">
        <v>0</v>
      </c>
      <c r="AC16" s="216">
        <v>0</v>
      </c>
      <c r="AD16" s="216">
        <v>0</v>
      </c>
      <c r="AE16" s="41">
        <f t="shared" si="1"/>
        <v>0</v>
      </c>
      <c r="AF16" s="116" t="s">
        <v>225</v>
      </c>
      <c r="AG16" s="189" t="s">
        <v>693</v>
      </c>
    </row>
    <row r="17" spans="1:33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v>12</v>
      </c>
      <c r="G17" s="176">
        <v>0</v>
      </c>
      <c r="H17" s="176">
        <v>0</v>
      </c>
      <c r="I17" s="176">
        <v>0</v>
      </c>
      <c r="J17" s="176">
        <v>0</v>
      </c>
      <c r="K17" s="176">
        <v>0</v>
      </c>
      <c r="L17" s="176">
        <v>0</v>
      </c>
      <c r="M17" s="176">
        <v>0</v>
      </c>
      <c r="N17" s="176">
        <v>0</v>
      </c>
      <c r="O17" s="176">
        <v>0</v>
      </c>
      <c r="P17" s="176">
        <v>0</v>
      </c>
      <c r="Q17" s="176">
        <v>0</v>
      </c>
      <c r="R17" s="176">
        <v>0</v>
      </c>
      <c r="S17" s="176">
        <v>0</v>
      </c>
      <c r="T17" s="176">
        <v>0</v>
      </c>
      <c r="U17" s="176">
        <v>0</v>
      </c>
      <c r="V17" s="176">
        <v>0</v>
      </c>
      <c r="W17" s="176">
        <v>0</v>
      </c>
      <c r="X17" s="176">
        <v>0</v>
      </c>
      <c r="Y17" s="176">
        <v>0</v>
      </c>
      <c r="Z17" s="176">
        <v>0</v>
      </c>
      <c r="AA17" s="176">
        <v>0</v>
      </c>
      <c r="AB17" s="176">
        <v>0</v>
      </c>
      <c r="AC17" s="176">
        <v>0</v>
      </c>
      <c r="AD17" s="176">
        <v>0</v>
      </c>
      <c r="AE17" s="41">
        <f t="shared" si="1"/>
        <v>0</v>
      </c>
      <c r="AF17" s="116" t="s">
        <v>6</v>
      </c>
      <c r="AG17" s="189" t="s">
        <v>693</v>
      </c>
    </row>
    <row r="18" spans="1:33" ht="14.25" customHeight="1">
      <c r="A18" s="76" t="s">
        <v>41</v>
      </c>
      <c r="B18" s="76" t="s">
        <v>198</v>
      </c>
      <c r="C18" s="76"/>
      <c r="D18" s="39">
        <v>17</v>
      </c>
      <c r="E18" s="175" t="s">
        <v>99</v>
      </c>
      <c r="F18" s="41">
        <f t="shared" ref="F18:F30" si="4">SUM(G18:AD18)</f>
        <v>0</v>
      </c>
      <c r="G18" s="176">
        <v>0</v>
      </c>
      <c r="H18" s="176">
        <v>0</v>
      </c>
      <c r="I18" s="176">
        <v>0</v>
      </c>
      <c r="J18" s="176">
        <v>0</v>
      </c>
      <c r="K18" s="176">
        <v>0</v>
      </c>
      <c r="L18" s="176">
        <v>0</v>
      </c>
      <c r="M18" s="176">
        <v>0</v>
      </c>
      <c r="N18" s="176">
        <v>0</v>
      </c>
      <c r="O18" s="176">
        <v>0</v>
      </c>
      <c r="P18" s="176">
        <v>0</v>
      </c>
      <c r="Q18" s="176">
        <v>0</v>
      </c>
      <c r="R18" s="176">
        <v>0</v>
      </c>
      <c r="S18" s="176">
        <v>0</v>
      </c>
      <c r="T18" s="176">
        <v>0</v>
      </c>
      <c r="U18" s="176">
        <v>0</v>
      </c>
      <c r="V18" s="176">
        <v>0</v>
      </c>
      <c r="W18" s="176">
        <v>0</v>
      </c>
      <c r="X18" s="176">
        <v>0</v>
      </c>
      <c r="Y18" s="176">
        <v>0</v>
      </c>
      <c r="Z18" s="176">
        <v>0</v>
      </c>
      <c r="AA18" s="176">
        <v>0</v>
      </c>
      <c r="AB18" s="176">
        <v>0</v>
      </c>
      <c r="AC18" s="176">
        <v>0</v>
      </c>
      <c r="AD18" s="176">
        <v>0</v>
      </c>
      <c r="AE18" s="41">
        <f t="shared" si="1"/>
        <v>0</v>
      </c>
      <c r="AF18" s="116" t="s">
        <v>225</v>
      </c>
      <c r="AG18" s="189" t="s">
        <v>693</v>
      </c>
    </row>
    <row r="19" spans="1:33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175" t="s">
        <v>102</v>
      </c>
      <c r="F19" s="41">
        <f t="shared" si="4"/>
        <v>11</v>
      </c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>
        <v>1</v>
      </c>
      <c r="R19" s="176">
        <v>1</v>
      </c>
      <c r="S19" s="176">
        <v>1</v>
      </c>
      <c r="T19" s="176">
        <v>1</v>
      </c>
      <c r="U19" s="176">
        <v>1</v>
      </c>
      <c r="V19" s="176"/>
      <c r="W19" s="176">
        <v>1</v>
      </c>
      <c r="X19" s="176">
        <v>1</v>
      </c>
      <c r="Y19" s="176">
        <v>1</v>
      </c>
      <c r="Z19" s="176">
        <v>1</v>
      </c>
      <c r="AA19" s="176">
        <v>1</v>
      </c>
      <c r="AB19" s="176">
        <v>1</v>
      </c>
      <c r="AC19" s="176"/>
      <c r="AD19" s="176"/>
      <c r="AE19" s="41">
        <f t="shared" si="1"/>
        <v>11</v>
      </c>
      <c r="AF19" s="116" t="s">
        <v>229</v>
      </c>
      <c r="AG19" s="189" t="s">
        <v>693</v>
      </c>
    </row>
    <row r="20" spans="1:33" ht="14.25" customHeight="1">
      <c r="A20" s="38" t="s">
        <v>41</v>
      </c>
      <c r="B20" s="38" t="s">
        <v>103</v>
      </c>
      <c r="C20" s="38"/>
      <c r="D20" s="86">
        <v>19</v>
      </c>
      <c r="E20" s="208" t="s">
        <v>104</v>
      </c>
      <c r="F20" s="41">
        <f t="shared" si="4"/>
        <v>11</v>
      </c>
      <c r="G20" s="176"/>
      <c r="H20" s="176"/>
      <c r="I20" s="176"/>
      <c r="J20" s="176"/>
      <c r="K20" s="176"/>
      <c r="L20" s="176"/>
      <c r="M20" s="176">
        <v>1</v>
      </c>
      <c r="N20" s="176">
        <v>1</v>
      </c>
      <c r="O20" s="176">
        <v>1</v>
      </c>
      <c r="P20" s="176">
        <v>1</v>
      </c>
      <c r="Q20" s="176">
        <v>1</v>
      </c>
      <c r="R20" s="176">
        <v>1</v>
      </c>
      <c r="S20" s="176">
        <v>1</v>
      </c>
      <c r="T20" s="176"/>
      <c r="U20" s="176">
        <v>1</v>
      </c>
      <c r="V20" s="176">
        <v>1</v>
      </c>
      <c r="W20" s="176">
        <v>1</v>
      </c>
      <c r="X20" s="176">
        <v>1</v>
      </c>
      <c r="Y20" s="176"/>
      <c r="Z20" s="176"/>
      <c r="AA20" s="176"/>
      <c r="AB20" s="176"/>
      <c r="AC20" s="176"/>
      <c r="AD20" s="176"/>
      <c r="AE20" s="41">
        <f t="shared" si="1"/>
        <v>11</v>
      </c>
      <c r="AF20" s="116" t="s">
        <v>51</v>
      </c>
      <c r="AG20" s="189" t="s">
        <v>693</v>
      </c>
    </row>
    <row r="21" spans="1:33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4"/>
        <v>0</v>
      </c>
      <c r="G21" s="176">
        <v>0</v>
      </c>
      <c r="H21" s="176">
        <v>0</v>
      </c>
      <c r="I21" s="176">
        <v>0</v>
      </c>
      <c r="J21" s="176">
        <v>0</v>
      </c>
      <c r="K21" s="176">
        <v>0</v>
      </c>
      <c r="L21" s="176">
        <v>0</v>
      </c>
      <c r="M21" s="176">
        <v>0</v>
      </c>
      <c r="N21" s="176">
        <v>0</v>
      </c>
      <c r="O21" s="176">
        <v>0</v>
      </c>
      <c r="P21" s="176">
        <v>0</v>
      </c>
      <c r="Q21" s="176">
        <v>0</v>
      </c>
      <c r="R21" s="176">
        <v>0</v>
      </c>
      <c r="S21" s="176">
        <v>0</v>
      </c>
      <c r="T21" s="176">
        <v>0</v>
      </c>
      <c r="U21" s="176">
        <v>0</v>
      </c>
      <c r="V21" s="176">
        <v>0</v>
      </c>
      <c r="W21" s="176">
        <v>0</v>
      </c>
      <c r="X21" s="176">
        <v>0</v>
      </c>
      <c r="Y21" s="176">
        <v>0</v>
      </c>
      <c r="Z21" s="176">
        <v>0</v>
      </c>
      <c r="AA21" s="176">
        <v>0</v>
      </c>
      <c r="AB21" s="176">
        <v>0</v>
      </c>
      <c r="AC21" s="176">
        <v>0</v>
      </c>
      <c r="AD21" s="176">
        <v>0</v>
      </c>
      <c r="AE21" s="41">
        <f t="shared" si="1"/>
        <v>0</v>
      </c>
      <c r="AF21" s="116" t="s">
        <v>225</v>
      </c>
      <c r="AG21" s="189" t="s">
        <v>693</v>
      </c>
    </row>
    <row r="22" spans="1:33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4"/>
        <v>12</v>
      </c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>
        <v>1</v>
      </c>
      <c r="R22" s="176">
        <v>1</v>
      </c>
      <c r="S22" s="176">
        <v>1</v>
      </c>
      <c r="T22" s="176">
        <v>1</v>
      </c>
      <c r="U22" s="176">
        <v>1</v>
      </c>
      <c r="V22" s="176">
        <v>1</v>
      </c>
      <c r="W22" s="176"/>
      <c r="X22" s="176">
        <v>1</v>
      </c>
      <c r="Y22" s="176">
        <v>1</v>
      </c>
      <c r="Z22" s="176">
        <v>1</v>
      </c>
      <c r="AA22" s="176">
        <v>1</v>
      </c>
      <c r="AB22" s="176">
        <v>1</v>
      </c>
      <c r="AC22" s="176">
        <v>1</v>
      </c>
      <c r="AD22" s="176"/>
      <c r="AE22" s="41">
        <f t="shared" si="1"/>
        <v>12</v>
      </c>
      <c r="AF22" s="116" t="s">
        <v>286</v>
      </c>
      <c r="AG22" s="189" t="s">
        <v>693</v>
      </c>
    </row>
    <row r="23" spans="1:33" ht="14.25" customHeight="1">
      <c r="A23" s="98" t="s">
        <v>41</v>
      </c>
      <c r="B23" s="98" t="s">
        <v>111</v>
      </c>
      <c r="C23" s="98"/>
      <c r="D23" s="39">
        <v>23</v>
      </c>
      <c r="E23" s="208" t="s">
        <v>112</v>
      </c>
      <c r="F23" s="41">
        <f t="shared" si="4"/>
        <v>13</v>
      </c>
      <c r="G23" s="176"/>
      <c r="H23" s="176"/>
      <c r="I23" s="176"/>
      <c r="J23" s="176"/>
      <c r="K23" s="176"/>
      <c r="L23" s="176"/>
      <c r="M23" s="176"/>
      <c r="N23" s="176"/>
      <c r="O23" s="176"/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/>
      <c r="V23" s="176">
        <v>1</v>
      </c>
      <c r="W23" s="176">
        <v>1</v>
      </c>
      <c r="X23" s="176">
        <v>1</v>
      </c>
      <c r="Y23" s="176">
        <v>1</v>
      </c>
      <c r="Z23" s="176">
        <v>1</v>
      </c>
      <c r="AA23" s="176">
        <v>1</v>
      </c>
      <c r="AB23" s="176">
        <v>1</v>
      </c>
      <c r="AC23" s="176">
        <v>1</v>
      </c>
      <c r="AD23" s="176"/>
      <c r="AE23" s="41">
        <f t="shared" si="1"/>
        <v>13</v>
      </c>
      <c r="AF23" s="116" t="s">
        <v>351</v>
      </c>
      <c r="AG23" s="189" t="s">
        <v>693</v>
      </c>
    </row>
    <row r="24" spans="1:33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4"/>
        <v>7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87"/>
      <c r="AB24" s="187"/>
      <c r="AC24" s="187"/>
      <c r="AD24" s="187"/>
      <c r="AE24" s="41">
        <f t="shared" si="1"/>
        <v>7</v>
      </c>
      <c r="AF24" s="116" t="s">
        <v>284</v>
      </c>
      <c r="AG24" s="189" t="s">
        <v>693</v>
      </c>
    </row>
    <row r="25" spans="1:33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4"/>
        <v>10</v>
      </c>
      <c r="G25" s="176"/>
      <c r="H25" s="176"/>
      <c r="I25" s="176"/>
      <c r="J25" s="176"/>
      <c r="K25" s="176"/>
      <c r="L25" s="176"/>
      <c r="M25" s="176">
        <v>1</v>
      </c>
      <c r="N25" s="176">
        <v>1</v>
      </c>
      <c r="O25" s="176">
        <v>1</v>
      </c>
      <c r="P25" s="295">
        <v>1</v>
      </c>
      <c r="Q25" s="176">
        <v>1</v>
      </c>
      <c r="R25" s="176"/>
      <c r="S25" s="176">
        <v>1</v>
      </c>
      <c r="T25" s="176">
        <v>1</v>
      </c>
      <c r="U25" s="176">
        <v>1</v>
      </c>
      <c r="V25" s="176">
        <v>1</v>
      </c>
      <c r="W25" s="176">
        <v>1</v>
      </c>
      <c r="X25" s="176"/>
      <c r="Y25" s="176"/>
      <c r="Z25" s="176"/>
      <c r="AA25" s="176"/>
      <c r="AB25" s="176"/>
      <c r="AC25" s="176"/>
      <c r="AD25" s="176"/>
      <c r="AE25" s="41">
        <f t="shared" si="1"/>
        <v>10</v>
      </c>
      <c r="AF25" s="116" t="s">
        <v>295</v>
      </c>
      <c r="AG25" s="189" t="s">
        <v>693</v>
      </c>
    </row>
    <row r="26" spans="1:33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4"/>
        <v>5</v>
      </c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>
        <v>1</v>
      </c>
      <c r="AA26" s="176">
        <v>1</v>
      </c>
      <c r="AB26" s="176">
        <v>1</v>
      </c>
      <c r="AC26" s="176">
        <v>1</v>
      </c>
      <c r="AD26" s="176">
        <v>1</v>
      </c>
      <c r="AE26" s="41">
        <f t="shared" si="1"/>
        <v>5</v>
      </c>
      <c r="AF26" s="116" t="s">
        <v>270</v>
      </c>
      <c r="AG26" s="189" t="s">
        <v>693</v>
      </c>
    </row>
    <row r="27" spans="1:33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4"/>
        <v>0</v>
      </c>
      <c r="G27" s="176">
        <v>0</v>
      </c>
      <c r="H27" s="176">
        <v>0</v>
      </c>
      <c r="I27" s="176">
        <v>0</v>
      </c>
      <c r="J27" s="176">
        <v>0</v>
      </c>
      <c r="K27" s="176">
        <v>0</v>
      </c>
      <c r="L27" s="176">
        <v>0</v>
      </c>
      <c r="M27" s="176">
        <v>0</v>
      </c>
      <c r="N27" s="176">
        <v>0</v>
      </c>
      <c r="O27" s="176">
        <v>0</v>
      </c>
      <c r="P27" s="176">
        <v>0</v>
      </c>
      <c r="Q27" s="176">
        <v>0</v>
      </c>
      <c r="R27" s="176">
        <v>0</v>
      </c>
      <c r="S27" s="176">
        <v>0</v>
      </c>
      <c r="T27" s="176">
        <v>0</v>
      </c>
      <c r="U27" s="176">
        <v>0</v>
      </c>
      <c r="V27" s="176">
        <v>0</v>
      </c>
      <c r="W27" s="176">
        <v>0</v>
      </c>
      <c r="X27" s="176">
        <v>0</v>
      </c>
      <c r="Y27" s="176">
        <v>0</v>
      </c>
      <c r="Z27" s="176">
        <v>0</v>
      </c>
      <c r="AA27" s="176">
        <v>0</v>
      </c>
      <c r="AB27" s="176">
        <v>0</v>
      </c>
      <c r="AC27" s="176">
        <v>0</v>
      </c>
      <c r="AD27" s="176">
        <v>0</v>
      </c>
      <c r="AE27" s="41">
        <f t="shared" si="1"/>
        <v>0</v>
      </c>
      <c r="AF27" s="116" t="s">
        <v>225</v>
      </c>
      <c r="AG27" s="189" t="s">
        <v>693</v>
      </c>
    </row>
    <row r="28" spans="1:33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4"/>
        <v>11</v>
      </c>
      <c r="G28" s="309"/>
      <c r="H28" s="309"/>
      <c r="I28" s="309"/>
      <c r="J28" s="309"/>
      <c r="K28" s="309"/>
      <c r="L28" s="309"/>
      <c r="M28" s="250">
        <v>1</v>
      </c>
      <c r="N28" s="250">
        <v>1</v>
      </c>
      <c r="O28" s="250">
        <v>1</v>
      </c>
      <c r="P28" s="250">
        <v>1</v>
      </c>
      <c r="Q28" s="255">
        <v>1</v>
      </c>
      <c r="R28" s="255">
        <v>1</v>
      </c>
      <c r="S28" s="255">
        <v>1</v>
      </c>
      <c r="T28" s="176"/>
      <c r="U28" s="255">
        <v>1</v>
      </c>
      <c r="V28" s="323">
        <v>1</v>
      </c>
      <c r="W28" s="291">
        <v>1</v>
      </c>
      <c r="X28" s="323">
        <v>1</v>
      </c>
      <c r="Y28" s="309"/>
      <c r="Z28" s="309"/>
      <c r="AA28" s="309"/>
      <c r="AB28" s="309"/>
      <c r="AC28" s="309"/>
      <c r="AD28" s="309"/>
      <c r="AE28" s="41">
        <f t="shared" si="1"/>
        <v>11</v>
      </c>
      <c r="AF28" s="116" t="s">
        <v>51</v>
      </c>
      <c r="AG28" s="189" t="s">
        <v>693</v>
      </c>
    </row>
    <row r="29" spans="1:33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4"/>
        <v>7</v>
      </c>
      <c r="G29" s="290">
        <v>1</v>
      </c>
      <c r="H29" s="290">
        <v>1</v>
      </c>
      <c r="I29" s="290">
        <v>1</v>
      </c>
      <c r="J29" s="290">
        <v>1</v>
      </c>
      <c r="K29" s="290">
        <v>1</v>
      </c>
      <c r="L29" s="290">
        <v>1</v>
      </c>
      <c r="M29" s="250">
        <v>1</v>
      </c>
      <c r="N29" s="250"/>
      <c r="O29" s="250"/>
      <c r="P29" s="250"/>
      <c r="Q29" s="250"/>
      <c r="R29" s="250"/>
      <c r="S29" s="250"/>
      <c r="T29" s="250"/>
      <c r="U29" s="250"/>
      <c r="V29" s="290"/>
      <c r="W29" s="309"/>
      <c r="X29" s="290"/>
      <c r="Y29" s="290"/>
      <c r="Z29" s="290"/>
      <c r="AA29" s="187"/>
      <c r="AB29" s="187"/>
      <c r="AC29" s="187"/>
      <c r="AD29" s="187"/>
      <c r="AE29" s="41">
        <f t="shared" si="1"/>
        <v>7</v>
      </c>
      <c r="AF29" s="116" t="s">
        <v>284</v>
      </c>
      <c r="AG29" s="189" t="s">
        <v>693</v>
      </c>
    </row>
    <row r="30" spans="1:33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4"/>
        <v>5</v>
      </c>
      <c r="G30" s="176"/>
      <c r="H30" s="176"/>
      <c r="I30" s="176"/>
      <c r="J30" s="176"/>
      <c r="K30" s="176"/>
      <c r="L30" s="176"/>
      <c r="M30" s="176"/>
      <c r="N30" s="176"/>
      <c r="O30" s="176"/>
      <c r="P30" s="176">
        <v>1</v>
      </c>
      <c r="Q30" s="176">
        <v>1</v>
      </c>
      <c r="R30" s="176">
        <v>1</v>
      </c>
      <c r="S30" s="176">
        <v>1</v>
      </c>
      <c r="T30" s="176">
        <v>1</v>
      </c>
      <c r="U30" s="176"/>
      <c r="V30" s="580" t="s">
        <v>209</v>
      </c>
      <c r="W30" s="555"/>
      <c r="X30" s="555"/>
      <c r="Y30" s="555"/>
      <c r="Z30" s="555"/>
      <c r="AA30" s="555"/>
      <c r="AB30" s="555"/>
      <c r="AC30" s="542"/>
      <c r="AD30" s="176"/>
      <c r="AE30" s="41">
        <f t="shared" si="1"/>
        <v>5</v>
      </c>
      <c r="AF30" s="116" t="s">
        <v>351</v>
      </c>
      <c r="AG30" s="189" t="s">
        <v>693</v>
      </c>
    </row>
    <row r="31" spans="1:33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v>9</v>
      </c>
      <c r="G31" s="176"/>
      <c r="H31" s="176"/>
      <c r="I31" s="176"/>
      <c r="J31" s="176"/>
      <c r="K31" s="176"/>
      <c r="L31" s="176"/>
      <c r="M31" s="176">
        <v>1</v>
      </c>
      <c r="N31" s="577" t="s">
        <v>320</v>
      </c>
      <c r="O31" s="555"/>
      <c r="P31" s="555"/>
      <c r="Q31" s="555"/>
      <c r="R31" s="555"/>
      <c r="S31" s="555"/>
      <c r="T31" s="555"/>
      <c r="U31" s="555"/>
      <c r="V31" s="176"/>
      <c r="W31" s="176"/>
      <c r="X31" s="176"/>
      <c r="Y31" s="176"/>
      <c r="Z31" s="176"/>
      <c r="AA31" s="176"/>
      <c r="AB31" s="176"/>
      <c r="AC31" s="176"/>
      <c r="AD31" s="176"/>
      <c r="AE31" s="41">
        <v>9</v>
      </c>
      <c r="AF31" s="116" t="s">
        <v>244</v>
      </c>
      <c r="AG31" s="189" t="s">
        <v>693</v>
      </c>
    </row>
    <row r="32" spans="1:33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ref="F32:F49" si="5">SUM(G32:AD32)</f>
        <v>5</v>
      </c>
      <c r="G32" s="216"/>
      <c r="H32" s="216"/>
      <c r="I32" s="216"/>
      <c r="J32" s="216"/>
      <c r="K32" s="216"/>
      <c r="L32" s="216"/>
      <c r="M32" s="216"/>
      <c r="N32" s="21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>
        <v>1</v>
      </c>
      <c r="AA32" s="176">
        <v>1</v>
      </c>
      <c r="AB32" s="176">
        <v>1</v>
      </c>
      <c r="AC32" s="176">
        <v>1</v>
      </c>
      <c r="AD32" s="176">
        <v>1</v>
      </c>
      <c r="AE32" s="41">
        <f t="shared" ref="AE32:AE49" si="6">SUM(G32:AD32)</f>
        <v>5</v>
      </c>
      <c r="AF32" s="116" t="s">
        <v>270</v>
      </c>
      <c r="AG32" s="189" t="s">
        <v>693</v>
      </c>
    </row>
    <row r="33" spans="1:33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5"/>
        <v>1</v>
      </c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295">
        <v>1</v>
      </c>
      <c r="V33" s="580" t="s">
        <v>209</v>
      </c>
      <c r="W33" s="555"/>
      <c r="X33" s="555"/>
      <c r="Y33" s="555"/>
      <c r="Z33" s="555"/>
      <c r="AA33" s="555"/>
      <c r="AB33" s="555"/>
      <c r="AC33" s="542"/>
      <c r="AD33" s="176"/>
      <c r="AE33" s="41">
        <f t="shared" si="6"/>
        <v>1</v>
      </c>
      <c r="AF33" s="116" t="s">
        <v>81</v>
      </c>
      <c r="AG33" s="189" t="s">
        <v>693</v>
      </c>
    </row>
    <row r="34" spans="1:33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5"/>
        <v>13</v>
      </c>
      <c r="G34" s="176"/>
      <c r="H34" s="176"/>
      <c r="I34" s="176"/>
      <c r="J34" s="176"/>
      <c r="K34" s="176"/>
      <c r="L34" s="176"/>
      <c r="M34" s="176"/>
      <c r="N34" s="176">
        <v>1</v>
      </c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/>
      <c r="V34" s="176">
        <v>1</v>
      </c>
      <c r="W34" s="176">
        <v>1</v>
      </c>
      <c r="X34" s="176">
        <v>1</v>
      </c>
      <c r="Y34" s="176">
        <v>1</v>
      </c>
      <c r="Z34" s="176">
        <v>1</v>
      </c>
      <c r="AA34" s="176">
        <v>1</v>
      </c>
      <c r="AB34" s="176"/>
      <c r="AC34" s="176"/>
      <c r="AD34" s="176"/>
      <c r="AE34" s="41">
        <f t="shared" si="6"/>
        <v>13</v>
      </c>
      <c r="AF34" s="116" t="s">
        <v>526</v>
      </c>
      <c r="AG34" s="189" t="s">
        <v>693</v>
      </c>
    </row>
    <row r="35" spans="1:33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4" t="s">
        <v>457</v>
      </c>
      <c r="F35" s="41">
        <f t="shared" si="5"/>
        <v>0</v>
      </c>
      <c r="G35" s="176"/>
      <c r="H35" s="176"/>
      <c r="I35" s="176"/>
      <c r="J35" s="176"/>
      <c r="K35" s="176"/>
      <c r="L35" s="176"/>
      <c r="M35" s="176"/>
      <c r="N35" s="176"/>
      <c r="O35" s="176"/>
      <c r="P35" s="549" t="s">
        <v>712</v>
      </c>
      <c r="Q35" s="555"/>
      <c r="R35" s="555"/>
      <c r="S35" s="555"/>
      <c r="T35" s="555"/>
      <c r="U35" s="555"/>
      <c r="V35" s="555"/>
      <c r="W35" s="555"/>
      <c r="X35" s="555"/>
      <c r="Y35" s="542"/>
      <c r="Z35" s="176"/>
      <c r="AA35" s="176"/>
      <c r="AB35" s="176"/>
      <c r="AC35" s="176"/>
      <c r="AD35" s="176"/>
      <c r="AE35" s="41">
        <f t="shared" si="6"/>
        <v>0</v>
      </c>
      <c r="AF35" s="116" t="s">
        <v>302</v>
      </c>
      <c r="AG35" s="189" t="s">
        <v>693</v>
      </c>
    </row>
    <row r="36" spans="1:33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4" t="s">
        <v>460</v>
      </c>
      <c r="F36" s="41">
        <f t="shared" si="5"/>
        <v>12</v>
      </c>
      <c r="G36" s="176"/>
      <c r="H36" s="176"/>
      <c r="I36" s="176"/>
      <c r="J36" s="176"/>
      <c r="K36" s="176"/>
      <c r="L36" s="176"/>
      <c r="M36" s="176"/>
      <c r="N36" s="176"/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/>
      <c r="V36" s="176">
        <v>1</v>
      </c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/>
      <c r="AC36" s="176"/>
      <c r="AD36" s="176"/>
      <c r="AE36" s="41">
        <f t="shared" si="6"/>
        <v>12</v>
      </c>
      <c r="AF36" s="116" t="s">
        <v>346</v>
      </c>
      <c r="AG36" s="189" t="s">
        <v>693</v>
      </c>
    </row>
    <row r="37" spans="1:33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4" t="s">
        <v>461</v>
      </c>
      <c r="F37" s="41">
        <f t="shared" si="5"/>
        <v>0</v>
      </c>
      <c r="G37" s="176">
        <v>0</v>
      </c>
      <c r="H37" s="176">
        <v>0</v>
      </c>
      <c r="I37" s="176">
        <v>0</v>
      </c>
      <c r="J37" s="176">
        <v>0</v>
      </c>
      <c r="K37" s="176">
        <v>0</v>
      </c>
      <c r="L37" s="176">
        <v>0</v>
      </c>
      <c r="M37" s="176">
        <v>0</v>
      </c>
      <c r="N37" s="176">
        <v>0</v>
      </c>
      <c r="O37" s="176">
        <v>0</v>
      </c>
      <c r="P37" s="176">
        <v>0</v>
      </c>
      <c r="Q37" s="176">
        <v>0</v>
      </c>
      <c r="R37" s="176">
        <v>0</v>
      </c>
      <c r="S37" s="176">
        <v>0</v>
      </c>
      <c r="T37" s="176">
        <v>0</v>
      </c>
      <c r="U37" s="176">
        <v>0</v>
      </c>
      <c r="V37" s="176">
        <v>0</v>
      </c>
      <c r="W37" s="176">
        <v>0</v>
      </c>
      <c r="X37" s="176">
        <v>0</v>
      </c>
      <c r="Y37" s="176">
        <v>0</v>
      </c>
      <c r="Z37" s="176">
        <v>0</v>
      </c>
      <c r="AA37" s="176">
        <v>0</v>
      </c>
      <c r="AB37" s="176">
        <v>0</v>
      </c>
      <c r="AC37" s="176">
        <v>0</v>
      </c>
      <c r="AD37" s="176">
        <v>0</v>
      </c>
      <c r="AE37" s="41">
        <f t="shared" si="6"/>
        <v>0</v>
      </c>
      <c r="AF37" s="116" t="s">
        <v>225</v>
      </c>
      <c r="AG37" s="189" t="s">
        <v>693</v>
      </c>
    </row>
    <row r="38" spans="1:33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4" t="s">
        <v>463</v>
      </c>
      <c r="F38" s="41">
        <f t="shared" si="5"/>
        <v>0</v>
      </c>
      <c r="G38" s="176">
        <v>0</v>
      </c>
      <c r="H38" s="176">
        <v>0</v>
      </c>
      <c r="I38" s="176">
        <v>0</v>
      </c>
      <c r="J38" s="176"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0</v>
      </c>
      <c r="S38" s="176">
        <v>0</v>
      </c>
      <c r="T38" s="176">
        <v>0</v>
      </c>
      <c r="U38" s="176">
        <v>0</v>
      </c>
      <c r="V38" s="176">
        <v>0</v>
      </c>
      <c r="W38" s="176">
        <v>0</v>
      </c>
      <c r="X38" s="176">
        <v>0</v>
      </c>
      <c r="Y38" s="176">
        <v>0</v>
      </c>
      <c r="Z38" s="176">
        <v>0</v>
      </c>
      <c r="AA38" s="176">
        <v>0</v>
      </c>
      <c r="AB38" s="176">
        <v>0</v>
      </c>
      <c r="AC38" s="176">
        <v>0</v>
      </c>
      <c r="AD38" s="176">
        <v>0</v>
      </c>
      <c r="AE38" s="41">
        <f t="shared" si="6"/>
        <v>0</v>
      </c>
      <c r="AF38" s="116" t="s">
        <v>225</v>
      </c>
      <c r="AG38" s="189" t="s">
        <v>693</v>
      </c>
    </row>
    <row r="39" spans="1:33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4" t="s">
        <v>465</v>
      </c>
      <c r="F39" s="41">
        <f t="shared" si="5"/>
        <v>13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>
        <v>1</v>
      </c>
      <c r="U39" s="176"/>
      <c r="V39" s="176">
        <v>1</v>
      </c>
      <c r="W39" s="176">
        <v>1</v>
      </c>
      <c r="X39" s="176">
        <v>1</v>
      </c>
      <c r="Y39" s="176">
        <v>1</v>
      </c>
      <c r="Z39" s="176">
        <v>1</v>
      </c>
      <c r="AA39" s="176">
        <v>1</v>
      </c>
      <c r="AB39" s="176">
        <v>1</v>
      </c>
      <c r="AC39" s="176"/>
      <c r="AD39" s="176"/>
      <c r="AE39" s="41">
        <f t="shared" si="6"/>
        <v>13</v>
      </c>
      <c r="AF39" s="116" t="s">
        <v>407</v>
      </c>
      <c r="AG39" s="189" t="s">
        <v>693</v>
      </c>
    </row>
    <row r="40" spans="1:33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5"/>
        <v>11</v>
      </c>
      <c r="G40" s="216"/>
      <c r="H40" s="216"/>
      <c r="I40" s="216"/>
      <c r="J40" s="216"/>
      <c r="K40" s="216"/>
      <c r="L40" s="216"/>
      <c r="M40" s="216"/>
      <c r="N40" s="216"/>
      <c r="O40" s="176"/>
      <c r="P40" s="176"/>
      <c r="Q40" s="176">
        <v>1</v>
      </c>
      <c r="R40" s="176">
        <v>1</v>
      </c>
      <c r="S40" s="176">
        <v>1</v>
      </c>
      <c r="T40" s="176">
        <v>1</v>
      </c>
      <c r="U40" s="176">
        <v>1</v>
      </c>
      <c r="V40" s="176">
        <v>1</v>
      </c>
      <c r="W40" s="176"/>
      <c r="X40" s="176">
        <v>1</v>
      </c>
      <c r="Y40" s="176">
        <v>1</v>
      </c>
      <c r="Z40" s="176">
        <v>1</v>
      </c>
      <c r="AA40" s="176">
        <v>1</v>
      </c>
      <c r="AB40" s="176">
        <v>1</v>
      </c>
      <c r="AC40" s="176"/>
      <c r="AD40" s="216"/>
      <c r="AE40" s="41">
        <f t="shared" si="6"/>
        <v>11</v>
      </c>
      <c r="AF40" s="116" t="s">
        <v>287</v>
      </c>
      <c r="AG40" s="189" t="s">
        <v>693</v>
      </c>
    </row>
    <row r="41" spans="1:33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4" t="s">
        <v>467</v>
      </c>
      <c r="F41" s="41">
        <f t="shared" si="5"/>
        <v>11</v>
      </c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>
        <v>1</v>
      </c>
      <c r="R41" s="176">
        <v>1</v>
      </c>
      <c r="S41" s="176"/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>
        <v>1</v>
      </c>
      <c r="Z41" s="176">
        <v>1</v>
      </c>
      <c r="AA41" s="176">
        <v>1</v>
      </c>
      <c r="AB41" s="176">
        <v>1</v>
      </c>
      <c r="AC41" s="176"/>
      <c r="AD41" s="176"/>
      <c r="AE41" s="41">
        <f t="shared" si="6"/>
        <v>11</v>
      </c>
      <c r="AF41" s="116" t="s">
        <v>705</v>
      </c>
      <c r="AG41" s="189" t="s">
        <v>693</v>
      </c>
    </row>
    <row r="42" spans="1:33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5"/>
        <v>10</v>
      </c>
      <c r="G42" s="176"/>
      <c r="H42" s="176"/>
      <c r="I42" s="176"/>
      <c r="J42" s="176"/>
      <c r="K42" s="176"/>
      <c r="L42" s="176"/>
      <c r="M42" s="176"/>
      <c r="N42" s="176">
        <v>1</v>
      </c>
      <c r="O42" s="176">
        <v>1</v>
      </c>
      <c r="P42" s="176">
        <v>1</v>
      </c>
      <c r="Q42" s="176">
        <v>1</v>
      </c>
      <c r="R42" s="176"/>
      <c r="S42" s="176">
        <v>1</v>
      </c>
      <c r="T42" s="176">
        <v>1</v>
      </c>
      <c r="U42" s="176">
        <v>1</v>
      </c>
      <c r="V42" s="176">
        <v>1</v>
      </c>
      <c r="W42" s="176">
        <v>1</v>
      </c>
      <c r="X42" s="176">
        <v>1</v>
      </c>
      <c r="Y42" s="176"/>
      <c r="Z42" s="176"/>
      <c r="AA42" s="176"/>
      <c r="AB42" s="176"/>
      <c r="AC42" s="176"/>
      <c r="AD42" s="176"/>
      <c r="AE42" s="41">
        <f t="shared" si="6"/>
        <v>10</v>
      </c>
      <c r="AF42" s="116" t="s">
        <v>309</v>
      </c>
      <c r="AG42" s="189" t="s">
        <v>693</v>
      </c>
    </row>
    <row r="43" spans="1:33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5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6"/>
        <v>0</v>
      </c>
      <c r="AF43" s="116" t="s">
        <v>652</v>
      </c>
      <c r="AG43" s="189" t="s">
        <v>693</v>
      </c>
    </row>
    <row r="44" spans="1:33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5"/>
        <v>12</v>
      </c>
      <c r="G44" s="176"/>
      <c r="H44" s="176"/>
      <c r="I44" s="176"/>
      <c r="J44" s="176"/>
      <c r="K44" s="176"/>
      <c r="L44" s="176"/>
      <c r="M44" s="176"/>
      <c r="N44" s="176">
        <v>1</v>
      </c>
      <c r="O44" s="176">
        <v>1</v>
      </c>
      <c r="P44" s="176">
        <v>1</v>
      </c>
      <c r="Q44" s="176">
        <v>1</v>
      </c>
      <c r="R44" s="176">
        <v>1</v>
      </c>
      <c r="S44" s="176"/>
      <c r="T44" s="176">
        <v>1</v>
      </c>
      <c r="U44" s="176">
        <v>1</v>
      </c>
      <c r="V44" s="176">
        <v>1</v>
      </c>
      <c r="W44" s="176">
        <v>1</v>
      </c>
      <c r="X44" s="176">
        <v>1</v>
      </c>
      <c r="Y44" s="176">
        <v>1</v>
      </c>
      <c r="Z44" s="176">
        <v>1</v>
      </c>
      <c r="AA44" s="176"/>
      <c r="AB44" s="176"/>
      <c r="AC44" s="176"/>
      <c r="AD44" s="176"/>
      <c r="AE44" s="41">
        <f t="shared" si="6"/>
        <v>12</v>
      </c>
      <c r="AF44" s="116" t="s">
        <v>406</v>
      </c>
      <c r="AG44" s="189" t="s">
        <v>693</v>
      </c>
    </row>
    <row r="45" spans="1:33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5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6"/>
        <v>0</v>
      </c>
      <c r="AF45" s="116" t="s">
        <v>652</v>
      </c>
      <c r="AG45" s="189" t="s">
        <v>693</v>
      </c>
    </row>
    <row r="46" spans="1:33" ht="14.25" customHeight="1">
      <c r="A46" s="38" t="s">
        <v>41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5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6"/>
        <v>0</v>
      </c>
      <c r="AF46" s="116" t="s">
        <v>652</v>
      </c>
      <c r="AG46" s="189" t="s">
        <v>693</v>
      </c>
    </row>
    <row r="47" spans="1:33" ht="14.25" customHeight="1">
      <c r="A47" s="98"/>
      <c r="B47" s="98"/>
      <c r="C47" s="98"/>
      <c r="D47" s="86">
        <v>1</v>
      </c>
      <c r="E47" s="218" t="s">
        <v>138</v>
      </c>
      <c r="F47" s="41">
        <f t="shared" si="5"/>
        <v>1</v>
      </c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295">
        <v>1</v>
      </c>
      <c r="V47" s="577" t="s">
        <v>320</v>
      </c>
      <c r="W47" s="555"/>
      <c r="X47" s="555"/>
      <c r="Y47" s="555"/>
      <c r="Z47" s="555"/>
      <c r="AA47" s="555"/>
      <c r="AB47" s="555"/>
      <c r="AC47" s="555"/>
      <c r="AD47" s="77"/>
      <c r="AE47" s="41">
        <f t="shared" si="6"/>
        <v>1</v>
      </c>
      <c r="AF47" s="116" t="s">
        <v>81</v>
      </c>
      <c r="AG47" s="189" t="s">
        <v>693</v>
      </c>
    </row>
    <row r="48" spans="1:33" ht="14.25" customHeight="1">
      <c r="A48" s="98"/>
      <c r="B48" s="98"/>
      <c r="C48" s="98"/>
      <c r="D48" s="39">
        <v>2</v>
      </c>
      <c r="E48" s="218" t="s">
        <v>191</v>
      </c>
      <c r="F48" s="41">
        <f t="shared" si="5"/>
        <v>0</v>
      </c>
      <c r="G48" s="176">
        <v>0</v>
      </c>
      <c r="H48" s="176">
        <v>0</v>
      </c>
      <c r="I48" s="176">
        <v>0</v>
      </c>
      <c r="J48" s="176">
        <v>0</v>
      </c>
      <c r="K48" s="176">
        <v>0</v>
      </c>
      <c r="L48" s="176">
        <v>0</v>
      </c>
      <c r="M48" s="176">
        <v>0</v>
      </c>
      <c r="N48" s="176">
        <v>0</v>
      </c>
      <c r="O48" s="176">
        <v>0</v>
      </c>
      <c r="P48" s="176">
        <v>0</v>
      </c>
      <c r="Q48" s="176">
        <v>0</v>
      </c>
      <c r="R48" s="176">
        <v>0</v>
      </c>
      <c r="S48" s="176">
        <v>0</v>
      </c>
      <c r="T48" s="176">
        <v>0</v>
      </c>
      <c r="U48" s="176">
        <v>0</v>
      </c>
      <c r="V48" s="176">
        <v>0</v>
      </c>
      <c r="W48" s="176">
        <v>0</v>
      </c>
      <c r="X48" s="176">
        <v>0</v>
      </c>
      <c r="Y48" s="176">
        <v>0</v>
      </c>
      <c r="Z48" s="176">
        <v>0</v>
      </c>
      <c r="AA48" s="176">
        <v>0</v>
      </c>
      <c r="AB48" s="176">
        <v>0</v>
      </c>
      <c r="AC48" s="176">
        <v>0</v>
      </c>
      <c r="AD48" s="176">
        <v>0</v>
      </c>
      <c r="AE48" s="41">
        <f t="shared" si="6"/>
        <v>0</v>
      </c>
      <c r="AF48" s="116" t="s">
        <v>225</v>
      </c>
      <c r="AG48" s="189" t="s">
        <v>693</v>
      </c>
    </row>
    <row r="49" spans="1:33" ht="14.25" customHeight="1">
      <c r="A49" s="98"/>
      <c r="B49" s="98"/>
      <c r="C49" s="98"/>
      <c r="D49" s="39">
        <v>1</v>
      </c>
      <c r="E49" s="133" t="s">
        <v>363</v>
      </c>
      <c r="F49" s="41">
        <f t="shared" si="5"/>
        <v>0</v>
      </c>
      <c r="G49" s="42"/>
      <c r="H49" s="42"/>
      <c r="I49" s="42"/>
      <c r="J49" s="42"/>
      <c r="K49" s="42"/>
      <c r="L49" s="42"/>
      <c r="M49" s="42"/>
      <c r="N49" s="42"/>
      <c r="O49" s="577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f t="shared" si="6"/>
        <v>0</v>
      </c>
      <c r="AF49" s="116" t="s">
        <v>66</v>
      </c>
      <c r="AG49" s="189" t="s">
        <v>693</v>
      </c>
    </row>
    <row r="50" spans="1:33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</row>
    <row r="51" spans="1:33" ht="14.25" customHeight="1">
      <c r="A51" s="2"/>
      <c r="B51" s="2"/>
      <c r="C51" s="2"/>
      <c r="D51" s="2"/>
      <c r="E51" s="2"/>
      <c r="F51" s="2"/>
      <c r="AE51" s="2"/>
      <c r="AF51" s="2"/>
      <c r="AG51" s="2"/>
    </row>
    <row r="52" spans="1:33" ht="14.25" customHeight="1">
      <c r="A52" s="2"/>
      <c r="B52" s="2"/>
      <c r="C52" s="2"/>
      <c r="D52" s="2"/>
      <c r="E52" s="2"/>
      <c r="F52" s="2"/>
      <c r="AE52" s="2"/>
      <c r="AF52" s="2"/>
      <c r="AG52" s="2"/>
    </row>
    <row r="53" spans="1:33" ht="14.25" customHeight="1">
      <c r="A53" s="2"/>
      <c r="B53" s="2"/>
      <c r="C53" s="2"/>
      <c r="D53" s="2"/>
      <c r="E53" s="2"/>
      <c r="F53" s="2"/>
      <c r="AE53" s="2"/>
      <c r="AF53" s="2"/>
      <c r="AG53" s="2"/>
    </row>
    <row r="54" spans="1:33" ht="14.25" customHeight="1">
      <c r="A54" s="2"/>
      <c r="B54" s="2"/>
      <c r="C54" s="2"/>
      <c r="D54" s="2"/>
      <c r="E54" s="2"/>
      <c r="F54" s="2"/>
      <c r="AE54" s="2"/>
      <c r="AF54" s="2"/>
      <c r="AG54" s="2"/>
    </row>
    <row r="55" spans="1:33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222">
        <v>0</v>
      </c>
      <c r="P55" s="310">
        <v>8</v>
      </c>
      <c r="Q55" s="310">
        <v>8</v>
      </c>
      <c r="R55" s="310">
        <v>8</v>
      </c>
      <c r="S55" s="310">
        <v>8</v>
      </c>
      <c r="T55" s="310">
        <v>8</v>
      </c>
      <c r="U55" s="310">
        <v>8</v>
      </c>
      <c r="V55" s="310">
        <v>8</v>
      </c>
      <c r="W55" s="310">
        <v>8</v>
      </c>
      <c r="X55" s="310">
        <v>8</v>
      </c>
      <c r="Y55" s="310">
        <v>8</v>
      </c>
      <c r="Z55" s="311">
        <v>0</v>
      </c>
      <c r="AA55" s="313">
        <v>0</v>
      </c>
      <c r="AB55" s="194">
        <v>0</v>
      </c>
      <c r="AC55" s="192">
        <v>0</v>
      </c>
      <c r="AD55" s="195">
        <v>0</v>
      </c>
      <c r="AE55" s="18">
        <f>SUM(G55:AD55)</f>
        <v>80</v>
      </c>
      <c r="AF55" s="25"/>
      <c r="AG55" s="2"/>
    </row>
    <row r="56" spans="1:33" ht="14.25" customHeight="1">
      <c r="A56" s="3"/>
      <c r="B56" s="3"/>
      <c r="C56" s="3"/>
      <c r="D56" s="48"/>
      <c r="E56" s="59"/>
      <c r="F56" s="59"/>
      <c r="G56" s="28">
        <f t="shared" ref="G56:AD56" si="7">G58-G55</f>
        <v>0</v>
      </c>
      <c r="H56" s="28">
        <f t="shared" si="7"/>
        <v>0</v>
      </c>
      <c r="I56" s="28">
        <f t="shared" si="7"/>
        <v>0</v>
      </c>
      <c r="J56" s="28">
        <f t="shared" si="7"/>
        <v>0</v>
      </c>
      <c r="K56" s="28">
        <f t="shared" si="7"/>
        <v>0</v>
      </c>
      <c r="L56" s="28">
        <f t="shared" si="7"/>
        <v>0</v>
      </c>
      <c r="M56" s="28">
        <f t="shared" si="7"/>
        <v>2</v>
      </c>
      <c r="N56" s="28">
        <f t="shared" si="7"/>
        <v>2</v>
      </c>
      <c r="O56" s="28">
        <f t="shared" si="7"/>
        <v>5</v>
      </c>
      <c r="P56" s="28">
        <f t="shared" si="7"/>
        <v>-1</v>
      </c>
      <c r="Q56" s="28">
        <f t="shared" si="7"/>
        <v>-1</v>
      </c>
      <c r="R56" s="28">
        <f t="shared" si="7"/>
        <v>-1</v>
      </c>
      <c r="S56" s="28">
        <f t="shared" si="7"/>
        <v>-1</v>
      </c>
      <c r="T56" s="28">
        <f t="shared" si="7"/>
        <v>-1</v>
      </c>
      <c r="U56" s="28">
        <f t="shared" si="7"/>
        <v>-1</v>
      </c>
      <c r="V56" s="28">
        <f t="shared" si="7"/>
        <v>-1</v>
      </c>
      <c r="W56" s="28">
        <f t="shared" si="7"/>
        <v>-1</v>
      </c>
      <c r="X56" s="28">
        <f t="shared" si="7"/>
        <v>-1</v>
      </c>
      <c r="Y56" s="28">
        <f t="shared" si="7"/>
        <v>-1</v>
      </c>
      <c r="Z56" s="28">
        <f t="shared" si="7"/>
        <v>5</v>
      </c>
      <c r="AA56" s="28">
        <f t="shared" si="7"/>
        <v>4</v>
      </c>
      <c r="AB56" s="28">
        <f t="shared" si="7"/>
        <v>3</v>
      </c>
      <c r="AC56" s="28">
        <f t="shared" si="7"/>
        <v>0</v>
      </c>
      <c r="AD56" s="28">
        <f t="shared" si="7"/>
        <v>0</v>
      </c>
      <c r="AE56" s="53"/>
      <c r="AF56" s="3"/>
      <c r="AG56" s="2"/>
    </row>
    <row r="57" spans="1:33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</row>
    <row r="58" spans="1:33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8">SUM(G59:G72)</f>
        <v>0</v>
      </c>
      <c r="H58" s="35">
        <f t="shared" si="8"/>
        <v>0</v>
      </c>
      <c r="I58" s="35">
        <f t="shared" si="8"/>
        <v>0</v>
      </c>
      <c r="J58" s="35">
        <f t="shared" si="8"/>
        <v>0</v>
      </c>
      <c r="K58" s="35">
        <f t="shared" si="8"/>
        <v>0</v>
      </c>
      <c r="L58" s="35">
        <f t="shared" si="8"/>
        <v>0</v>
      </c>
      <c r="M58" s="35">
        <f t="shared" si="8"/>
        <v>2</v>
      </c>
      <c r="N58" s="35">
        <f t="shared" si="8"/>
        <v>2</v>
      </c>
      <c r="O58" s="35">
        <f t="shared" si="8"/>
        <v>5</v>
      </c>
      <c r="P58" s="35">
        <f t="shared" si="8"/>
        <v>7</v>
      </c>
      <c r="Q58" s="35">
        <f t="shared" si="8"/>
        <v>7</v>
      </c>
      <c r="R58" s="35">
        <f t="shared" si="8"/>
        <v>7</v>
      </c>
      <c r="S58" s="35">
        <f t="shared" si="8"/>
        <v>7</v>
      </c>
      <c r="T58" s="35">
        <f t="shared" si="8"/>
        <v>7</v>
      </c>
      <c r="U58" s="35">
        <f t="shared" si="8"/>
        <v>7</v>
      </c>
      <c r="V58" s="35">
        <f t="shared" si="8"/>
        <v>7</v>
      </c>
      <c r="W58" s="35">
        <f t="shared" si="8"/>
        <v>7</v>
      </c>
      <c r="X58" s="35">
        <f t="shared" si="8"/>
        <v>7</v>
      </c>
      <c r="Y58" s="35">
        <f t="shared" si="8"/>
        <v>7</v>
      </c>
      <c r="Z58" s="35">
        <f t="shared" si="8"/>
        <v>5</v>
      </c>
      <c r="AA58" s="35">
        <f t="shared" si="8"/>
        <v>4</v>
      </c>
      <c r="AB58" s="35">
        <f t="shared" si="8"/>
        <v>3</v>
      </c>
      <c r="AC58" s="35">
        <f t="shared" si="8"/>
        <v>0</v>
      </c>
      <c r="AD58" s="35">
        <f t="shared" si="8"/>
        <v>0</v>
      </c>
      <c r="AE58" s="30">
        <f t="shared" ref="AE58:AE68" si="9">SUM(G58:AD58)</f>
        <v>91</v>
      </c>
      <c r="AF58" s="36" t="s">
        <v>39</v>
      </c>
      <c r="AG58" s="197" t="s">
        <v>40</v>
      </c>
    </row>
    <row r="59" spans="1:33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10">SUM(G59:AD59)</f>
        <v>0</v>
      </c>
      <c r="G59" s="202">
        <v>0</v>
      </c>
      <c r="H59" s="202">
        <v>0</v>
      </c>
      <c r="I59" s="202">
        <v>0</v>
      </c>
      <c r="J59" s="202">
        <v>0</v>
      </c>
      <c r="K59" s="202">
        <v>0</v>
      </c>
      <c r="L59" s="202">
        <v>0</v>
      </c>
      <c r="M59" s="202">
        <v>0</v>
      </c>
      <c r="N59" s="202">
        <v>0</v>
      </c>
      <c r="O59" s="202">
        <v>0</v>
      </c>
      <c r="P59" s="202">
        <v>0</v>
      </c>
      <c r="Q59" s="202">
        <v>0</v>
      </c>
      <c r="R59" s="202">
        <v>0</v>
      </c>
      <c r="S59" s="202">
        <v>0</v>
      </c>
      <c r="T59" s="202">
        <v>0</v>
      </c>
      <c r="U59" s="202">
        <v>0</v>
      </c>
      <c r="V59" s="202">
        <v>0</v>
      </c>
      <c r="W59" s="202">
        <v>0</v>
      </c>
      <c r="X59" s="202">
        <v>0</v>
      </c>
      <c r="Y59" s="202">
        <v>0</v>
      </c>
      <c r="Z59" s="202">
        <v>0</v>
      </c>
      <c r="AA59" s="202">
        <v>0</v>
      </c>
      <c r="AB59" s="202">
        <v>0</v>
      </c>
      <c r="AC59" s="202">
        <v>0</v>
      </c>
      <c r="AD59" s="202">
        <v>0</v>
      </c>
      <c r="AE59" s="41">
        <f t="shared" si="9"/>
        <v>0</v>
      </c>
      <c r="AF59" s="116" t="s">
        <v>225</v>
      </c>
      <c r="AG59" s="189" t="s">
        <v>693</v>
      </c>
    </row>
    <row r="60" spans="1:33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10"/>
        <v>12</v>
      </c>
      <c r="G60" s="202"/>
      <c r="H60" s="202"/>
      <c r="I60" s="202"/>
      <c r="J60" s="202"/>
      <c r="K60" s="202"/>
      <c r="L60" s="202"/>
      <c r="M60" s="202"/>
      <c r="N60" s="202"/>
      <c r="O60" s="292">
        <v>1</v>
      </c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92">
        <v>1</v>
      </c>
      <c r="AA60" s="202"/>
      <c r="AB60" s="202"/>
      <c r="AC60" s="202"/>
      <c r="AD60" s="202"/>
      <c r="AE60" s="41">
        <f t="shared" si="9"/>
        <v>12</v>
      </c>
      <c r="AF60" s="116" t="s">
        <v>66</v>
      </c>
      <c r="AG60" s="189" t="s">
        <v>693</v>
      </c>
    </row>
    <row r="61" spans="1:33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10"/>
        <v>13</v>
      </c>
      <c r="G61" s="202"/>
      <c r="H61" s="202"/>
      <c r="I61" s="202"/>
      <c r="J61" s="202"/>
      <c r="K61" s="202"/>
      <c r="L61" s="202"/>
      <c r="M61" s="292">
        <v>1</v>
      </c>
      <c r="N61" s="292">
        <v>1</v>
      </c>
      <c r="O61" s="292">
        <v>1</v>
      </c>
      <c r="P61" s="202">
        <v>1</v>
      </c>
      <c r="Q61" s="202">
        <v>1</v>
      </c>
      <c r="R61" s="202">
        <v>1</v>
      </c>
      <c r="S61" s="202">
        <v>1</v>
      </c>
      <c r="T61" s="202">
        <v>1</v>
      </c>
      <c r="U61" s="202">
        <v>1</v>
      </c>
      <c r="V61" s="202">
        <v>1</v>
      </c>
      <c r="W61" s="202">
        <v>1</v>
      </c>
      <c r="X61" s="202">
        <v>1</v>
      </c>
      <c r="Y61" s="202">
        <v>1</v>
      </c>
      <c r="Z61" s="202"/>
      <c r="AA61" s="202"/>
      <c r="AB61" s="202"/>
      <c r="AC61" s="202"/>
      <c r="AD61" s="202"/>
      <c r="AE61" s="41">
        <f t="shared" si="9"/>
        <v>13</v>
      </c>
      <c r="AF61" s="116" t="s">
        <v>261</v>
      </c>
      <c r="AG61" s="189" t="s">
        <v>693</v>
      </c>
    </row>
    <row r="62" spans="1:33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10"/>
        <v>0</v>
      </c>
      <c r="G62" s="202">
        <v>0</v>
      </c>
      <c r="H62" s="202">
        <v>0</v>
      </c>
      <c r="I62" s="202">
        <v>0</v>
      </c>
      <c r="J62" s="202">
        <v>0</v>
      </c>
      <c r="K62" s="202">
        <v>0</v>
      </c>
      <c r="L62" s="202">
        <v>0</v>
      </c>
      <c r="M62" s="202">
        <v>0</v>
      </c>
      <c r="N62" s="202">
        <v>0</v>
      </c>
      <c r="O62" s="202">
        <v>0</v>
      </c>
      <c r="P62" s="202">
        <v>0</v>
      </c>
      <c r="Q62" s="202">
        <v>0</v>
      </c>
      <c r="R62" s="202">
        <v>0</v>
      </c>
      <c r="S62" s="202">
        <v>0</v>
      </c>
      <c r="T62" s="202">
        <v>0</v>
      </c>
      <c r="U62" s="202">
        <v>0</v>
      </c>
      <c r="V62" s="202">
        <v>0</v>
      </c>
      <c r="W62" s="202">
        <v>0</v>
      </c>
      <c r="X62" s="202">
        <v>0</v>
      </c>
      <c r="Y62" s="202">
        <v>0</v>
      </c>
      <c r="Z62" s="202">
        <v>0</v>
      </c>
      <c r="AA62" s="202">
        <v>0</v>
      </c>
      <c r="AB62" s="202">
        <v>0</v>
      </c>
      <c r="AC62" s="202">
        <v>0</v>
      </c>
      <c r="AD62" s="202">
        <v>0</v>
      </c>
      <c r="AE62" s="41">
        <f t="shared" si="9"/>
        <v>0</v>
      </c>
      <c r="AF62" s="116" t="s">
        <v>225</v>
      </c>
      <c r="AG62" s="189" t="s">
        <v>693</v>
      </c>
    </row>
    <row r="63" spans="1:33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10"/>
        <v>13</v>
      </c>
      <c r="G63" s="202"/>
      <c r="H63" s="202"/>
      <c r="I63" s="202"/>
      <c r="J63" s="202"/>
      <c r="K63" s="202"/>
      <c r="L63" s="202"/>
      <c r="M63" s="202"/>
      <c r="N63" s="202"/>
      <c r="O63" s="202"/>
      <c r="P63" s="202">
        <v>1</v>
      </c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92">
        <v>1</v>
      </c>
      <c r="AA63" s="292">
        <v>1</v>
      </c>
      <c r="AB63" s="292">
        <v>1</v>
      </c>
      <c r="AC63" s="202"/>
      <c r="AD63" s="202"/>
      <c r="AE63" s="41">
        <f t="shared" si="9"/>
        <v>13</v>
      </c>
      <c r="AF63" s="116" t="s">
        <v>326</v>
      </c>
      <c r="AG63" s="189" t="s">
        <v>693</v>
      </c>
    </row>
    <row r="64" spans="1:33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10"/>
        <v>2</v>
      </c>
      <c r="G64" s="42"/>
      <c r="H64" s="77"/>
      <c r="I64" s="77"/>
      <c r="J64" s="77"/>
      <c r="K64" s="77"/>
      <c r="L64" s="77"/>
      <c r="M64" s="216"/>
      <c r="N64" s="216"/>
      <c r="O64" s="216"/>
      <c r="P64" s="579" t="s">
        <v>471</v>
      </c>
      <c r="Q64" s="555"/>
      <c r="R64" s="555"/>
      <c r="S64" s="555"/>
      <c r="T64" s="555"/>
      <c r="U64" s="555"/>
      <c r="V64" s="555"/>
      <c r="W64" s="555"/>
      <c r="X64" s="555"/>
      <c r="Y64" s="555"/>
      <c r="Z64" s="542"/>
      <c r="AA64" s="295">
        <v>1</v>
      </c>
      <c r="AB64" s="295">
        <v>1</v>
      </c>
      <c r="AC64" s="42"/>
      <c r="AD64" s="42"/>
      <c r="AE64" s="41">
        <f t="shared" si="9"/>
        <v>2</v>
      </c>
      <c r="AF64" s="116" t="s">
        <v>326</v>
      </c>
      <c r="AG64" s="189" t="s">
        <v>693</v>
      </c>
    </row>
    <row r="65" spans="1:33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10"/>
        <v>13</v>
      </c>
      <c r="G65" s="202"/>
      <c r="H65" s="202"/>
      <c r="I65" s="202"/>
      <c r="J65" s="202"/>
      <c r="K65" s="202"/>
      <c r="L65" s="202"/>
      <c r="M65" s="202"/>
      <c r="N65" s="202"/>
      <c r="O65" s="202"/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92">
        <v>1</v>
      </c>
      <c r="AA65" s="292">
        <v>1</v>
      </c>
      <c r="AB65" s="292">
        <v>1</v>
      </c>
      <c r="AC65" s="202"/>
      <c r="AD65" s="202"/>
      <c r="AE65" s="41">
        <f t="shared" si="9"/>
        <v>13</v>
      </c>
      <c r="AF65" s="116" t="s">
        <v>326</v>
      </c>
      <c r="AG65" s="189" t="s">
        <v>693</v>
      </c>
    </row>
    <row r="66" spans="1:33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10"/>
        <v>13</v>
      </c>
      <c r="G66" s="202"/>
      <c r="H66" s="202"/>
      <c r="I66" s="202"/>
      <c r="J66" s="202"/>
      <c r="K66" s="202"/>
      <c r="L66" s="202"/>
      <c r="M66" s="202"/>
      <c r="N66" s="202"/>
      <c r="O66" s="292">
        <v>1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92">
        <v>1</v>
      </c>
      <c r="AA66" s="292">
        <v>1</v>
      </c>
      <c r="AB66" s="202"/>
      <c r="AC66" s="202"/>
      <c r="AD66" s="202"/>
      <c r="AE66" s="41">
        <f t="shared" si="9"/>
        <v>13</v>
      </c>
      <c r="AF66" s="116" t="s">
        <v>329</v>
      </c>
      <c r="AG66" s="189" t="s">
        <v>693</v>
      </c>
    </row>
    <row r="67" spans="1:33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10"/>
        <v>13</v>
      </c>
      <c r="G67" s="202"/>
      <c r="H67" s="202"/>
      <c r="I67" s="202"/>
      <c r="J67" s="202"/>
      <c r="K67" s="202"/>
      <c r="L67" s="202"/>
      <c r="M67" s="292">
        <v>1</v>
      </c>
      <c r="N67" s="292">
        <v>1</v>
      </c>
      <c r="O67" s="292">
        <v>1</v>
      </c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>
        <v>1</v>
      </c>
      <c r="W67" s="202">
        <v>1</v>
      </c>
      <c r="X67" s="202">
        <v>1</v>
      </c>
      <c r="Y67" s="202">
        <v>1</v>
      </c>
      <c r="Z67" s="202"/>
      <c r="AA67" s="202"/>
      <c r="AB67" s="202"/>
      <c r="AC67" s="202"/>
      <c r="AD67" s="202"/>
      <c r="AE67" s="41">
        <f t="shared" si="9"/>
        <v>13</v>
      </c>
      <c r="AF67" s="116" t="s">
        <v>261</v>
      </c>
      <c r="AG67" s="189" t="s">
        <v>693</v>
      </c>
    </row>
    <row r="68" spans="1:33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10"/>
        <v>12</v>
      </c>
      <c r="G68" s="202"/>
      <c r="H68" s="202"/>
      <c r="I68" s="202"/>
      <c r="J68" s="202"/>
      <c r="K68" s="202"/>
      <c r="L68" s="202"/>
      <c r="M68" s="202"/>
      <c r="N68" s="202"/>
      <c r="O68" s="292">
        <v>1</v>
      </c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02">
        <v>1</v>
      </c>
      <c r="AA68" s="202"/>
      <c r="AB68" s="202"/>
      <c r="AC68" s="202"/>
      <c r="AD68" s="202"/>
      <c r="AE68" s="41">
        <f t="shared" si="9"/>
        <v>12</v>
      </c>
      <c r="AF68" s="116" t="s">
        <v>66</v>
      </c>
      <c r="AG68" s="189" t="s">
        <v>693</v>
      </c>
    </row>
    <row r="69" spans="1:33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</row>
    <row r="70" spans="1:33" ht="14.25" customHeight="1">
      <c r="A70" s="2"/>
      <c r="B70" s="2"/>
      <c r="C70" s="2"/>
      <c r="D70" s="2"/>
      <c r="E70" s="2"/>
      <c r="F70" s="2"/>
      <c r="AE70" s="2"/>
      <c r="AF70" s="2"/>
      <c r="AG70" s="2"/>
    </row>
    <row r="71" spans="1:33" ht="14.25" customHeight="1">
      <c r="A71" s="2"/>
      <c r="B71" s="2"/>
      <c r="C71" s="2"/>
      <c r="D71" s="2"/>
      <c r="E71" s="2"/>
      <c r="F71" s="2"/>
      <c r="AE71" s="2"/>
      <c r="AF71" s="2"/>
      <c r="AG71" s="2"/>
    </row>
    <row r="72" spans="1:33" ht="14.25" customHeight="1">
      <c r="A72" s="2"/>
      <c r="B72" s="2"/>
      <c r="C72" s="2"/>
      <c r="D72" s="2"/>
      <c r="E72" s="2"/>
      <c r="F72" s="2"/>
      <c r="AE72" s="2"/>
      <c r="AF72" s="2"/>
      <c r="AG72" s="2"/>
    </row>
    <row r="73" spans="1:33" ht="14.25" customHeight="1">
      <c r="A73" s="2"/>
      <c r="B73" s="2"/>
      <c r="C73" s="2"/>
      <c r="D73" s="2"/>
      <c r="E73" s="2"/>
      <c r="F73" s="2"/>
      <c r="AE73" s="2"/>
      <c r="AF73" s="2"/>
      <c r="AG73" s="2"/>
    </row>
    <row r="74" spans="1:33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0">
        <v>3</v>
      </c>
      <c r="N74" s="220">
        <v>3</v>
      </c>
      <c r="O74" s="167">
        <v>7</v>
      </c>
      <c r="P74" s="167">
        <v>7</v>
      </c>
      <c r="Q74" s="222">
        <v>8</v>
      </c>
      <c r="R74" s="167">
        <v>7</v>
      </c>
      <c r="S74" s="222">
        <v>8</v>
      </c>
      <c r="T74" s="167">
        <v>7</v>
      </c>
      <c r="U74" s="319">
        <v>9</v>
      </c>
      <c r="V74" s="167">
        <v>7</v>
      </c>
      <c r="W74" s="221">
        <v>6</v>
      </c>
      <c r="X74" s="222">
        <v>8</v>
      </c>
      <c r="Y74" s="167">
        <v>7</v>
      </c>
      <c r="Z74" s="167">
        <v>7</v>
      </c>
      <c r="AA74" s="221">
        <v>6</v>
      </c>
      <c r="AB74" s="224">
        <v>4</v>
      </c>
      <c r="AC74" s="220">
        <v>3</v>
      </c>
      <c r="AD74" s="195">
        <v>2</v>
      </c>
      <c r="AE74" s="18">
        <f>SUM(G74:AD74)</f>
        <v>121</v>
      </c>
      <c r="AF74" s="25"/>
      <c r="AG74" s="3"/>
    </row>
    <row r="75" spans="1:33" ht="14.25" customHeight="1">
      <c r="A75" s="3"/>
      <c r="B75" s="3"/>
      <c r="C75" s="3"/>
      <c r="D75" s="48"/>
      <c r="E75" s="59"/>
      <c r="F75" s="59"/>
      <c r="G75" s="28">
        <f t="shared" ref="G75:AD75" si="11">G77-G74</f>
        <v>0</v>
      </c>
      <c r="H75" s="28">
        <f t="shared" si="11"/>
        <v>0</v>
      </c>
      <c r="I75" s="28">
        <f t="shared" si="11"/>
        <v>0</v>
      </c>
      <c r="J75" s="28">
        <f t="shared" si="11"/>
        <v>0</v>
      </c>
      <c r="K75" s="28">
        <f t="shared" si="11"/>
        <v>0</v>
      </c>
      <c r="L75" s="28">
        <f t="shared" si="11"/>
        <v>0</v>
      </c>
      <c r="M75" s="28">
        <f t="shared" si="11"/>
        <v>0</v>
      </c>
      <c r="N75" s="28">
        <f t="shared" si="11"/>
        <v>1</v>
      </c>
      <c r="O75" s="28">
        <f t="shared" si="11"/>
        <v>0</v>
      </c>
      <c r="P75" s="28">
        <f t="shared" si="11"/>
        <v>0</v>
      </c>
      <c r="Q75" s="28">
        <f t="shared" si="11"/>
        <v>0</v>
      </c>
      <c r="R75" s="28">
        <f t="shared" si="11"/>
        <v>0</v>
      </c>
      <c r="S75" s="28">
        <f t="shared" si="11"/>
        <v>0</v>
      </c>
      <c r="T75" s="84">
        <f t="shared" si="11"/>
        <v>0</v>
      </c>
      <c r="U75" s="84">
        <f t="shared" si="11"/>
        <v>-1</v>
      </c>
      <c r="V75" s="84">
        <f t="shared" si="11"/>
        <v>0</v>
      </c>
      <c r="W75" s="84">
        <f t="shared" si="11"/>
        <v>0</v>
      </c>
      <c r="X75" s="84">
        <f t="shared" si="11"/>
        <v>0</v>
      </c>
      <c r="Y75" s="84">
        <f t="shared" si="11"/>
        <v>0</v>
      </c>
      <c r="Z75" s="84">
        <f t="shared" si="11"/>
        <v>0</v>
      </c>
      <c r="AA75" s="84">
        <f t="shared" si="11"/>
        <v>0</v>
      </c>
      <c r="AB75" s="84">
        <f t="shared" si="11"/>
        <v>0</v>
      </c>
      <c r="AC75" s="28">
        <f t="shared" si="11"/>
        <v>0</v>
      </c>
      <c r="AD75" s="28">
        <f t="shared" si="11"/>
        <v>0</v>
      </c>
      <c r="AE75" s="53"/>
      <c r="AF75" s="3">
        <v>16</v>
      </c>
      <c r="AG75" s="3">
        <f>AE74/11</f>
        <v>11</v>
      </c>
    </row>
    <row r="76" spans="1:33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</row>
    <row r="77" spans="1:33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2">SUM(G78:G94)</f>
        <v>2</v>
      </c>
      <c r="H77" s="35">
        <f t="shared" si="12"/>
        <v>2</v>
      </c>
      <c r="I77" s="35">
        <f t="shared" si="12"/>
        <v>2</v>
      </c>
      <c r="J77" s="35">
        <f t="shared" si="12"/>
        <v>2</v>
      </c>
      <c r="K77" s="35">
        <f t="shared" si="12"/>
        <v>2</v>
      </c>
      <c r="L77" s="35">
        <f t="shared" si="12"/>
        <v>2</v>
      </c>
      <c r="M77" s="35">
        <f t="shared" si="12"/>
        <v>3</v>
      </c>
      <c r="N77" s="35">
        <f t="shared" si="12"/>
        <v>4</v>
      </c>
      <c r="O77" s="35">
        <f t="shared" si="12"/>
        <v>7</v>
      </c>
      <c r="P77" s="35">
        <f t="shared" si="12"/>
        <v>7</v>
      </c>
      <c r="Q77" s="35">
        <f t="shared" si="12"/>
        <v>8</v>
      </c>
      <c r="R77" s="35">
        <f t="shared" si="12"/>
        <v>7</v>
      </c>
      <c r="S77" s="35">
        <f t="shared" si="12"/>
        <v>8</v>
      </c>
      <c r="T77" s="35">
        <f t="shared" si="12"/>
        <v>7</v>
      </c>
      <c r="U77" s="35">
        <f t="shared" si="12"/>
        <v>8</v>
      </c>
      <c r="V77" s="35">
        <f t="shared" si="12"/>
        <v>7</v>
      </c>
      <c r="W77" s="35">
        <f t="shared" si="12"/>
        <v>6</v>
      </c>
      <c r="X77" s="35">
        <f t="shared" si="12"/>
        <v>8</v>
      </c>
      <c r="Y77" s="35">
        <f t="shared" si="12"/>
        <v>7</v>
      </c>
      <c r="Z77" s="35">
        <f t="shared" si="12"/>
        <v>7</v>
      </c>
      <c r="AA77" s="35">
        <f t="shared" si="12"/>
        <v>6</v>
      </c>
      <c r="AB77" s="35">
        <f t="shared" si="12"/>
        <v>4</v>
      </c>
      <c r="AC77" s="35">
        <f t="shared" si="12"/>
        <v>3</v>
      </c>
      <c r="AD77" s="35">
        <f t="shared" si="12"/>
        <v>2</v>
      </c>
      <c r="AE77" s="30">
        <f t="shared" ref="AE77:AE91" si="13">SUM(G77:AD77)</f>
        <v>121</v>
      </c>
      <c r="AF77" s="36"/>
      <c r="AG77" s="37" t="s">
        <v>40</v>
      </c>
    </row>
    <row r="78" spans="1:33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4">SUM(G78:AD78)</f>
        <v>12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02">
        <v>1</v>
      </c>
      <c r="P78" s="202">
        <v>1</v>
      </c>
      <c r="Q78" s="202">
        <v>1</v>
      </c>
      <c r="R78" s="202">
        <v>1</v>
      </c>
      <c r="S78" s="202">
        <v>1</v>
      </c>
      <c r="T78" s="202">
        <v>1</v>
      </c>
      <c r="U78" s="202">
        <v>1</v>
      </c>
      <c r="V78" s="202">
        <v>1</v>
      </c>
      <c r="W78" s="202">
        <v>1</v>
      </c>
      <c r="X78" s="202">
        <v>1</v>
      </c>
      <c r="Y78" s="202"/>
      <c r="Z78" s="202"/>
      <c r="AA78" s="202"/>
      <c r="AB78" s="202"/>
      <c r="AC78" s="202"/>
      <c r="AD78" s="202"/>
      <c r="AE78" s="41">
        <f t="shared" si="13"/>
        <v>12</v>
      </c>
      <c r="AF78" s="116" t="s">
        <v>84</v>
      </c>
      <c r="AG78" s="189" t="s">
        <v>693</v>
      </c>
    </row>
    <row r="79" spans="1:33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4"/>
        <v>0</v>
      </c>
      <c r="G79" s="202">
        <v>0</v>
      </c>
      <c r="H79" s="202">
        <v>0</v>
      </c>
      <c r="I79" s="202">
        <v>0</v>
      </c>
      <c r="J79" s="202">
        <v>0</v>
      </c>
      <c r="K79" s="202">
        <v>0</v>
      </c>
      <c r="L79" s="202">
        <v>0</v>
      </c>
      <c r="M79" s="202">
        <v>0</v>
      </c>
      <c r="N79" s="202">
        <v>0</v>
      </c>
      <c r="O79" s="202">
        <v>0</v>
      </c>
      <c r="P79" s="202">
        <v>0</v>
      </c>
      <c r="Q79" s="202">
        <v>0</v>
      </c>
      <c r="R79" s="202">
        <v>0</v>
      </c>
      <c r="S79" s="202">
        <v>0</v>
      </c>
      <c r="T79" s="202">
        <v>0</v>
      </c>
      <c r="U79" s="202">
        <v>0</v>
      </c>
      <c r="V79" s="202">
        <v>0</v>
      </c>
      <c r="W79" s="202">
        <v>0</v>
      </c>
      <c r="X79" s="202">
        <v>0</v>
      </c>
      <c r="Y79" s="202">
        <v>0</v>
      </c>
      <c r="Z79" s="202">
        <v>0</v>
      </c>
      <c r="AA79" s="202">
        <v>0</v>
      </c>
      <c r="AB79" s="202">
        <v>0</v>
      </c>
      <c r="AC79" s="202">
        <v>0</v>
      </c>
      <c r="AD79" s="202">
        <v>0</v>
      </c>
      <c r="AE79" s="41">
        <f t="shared" si="13"/>
        <v>0</v>
      </c>
      <c r="AF79" s="116" t="s">
        <v>225</v>
      </c>
      <c r="AG79" s="189" t="s">
        <v>693</v>
      </c>
    </row>
    <row r="80" spans="1:33" ht="19.5" customHeight="1">
      <c r="A80" s="38" t="s">
        <v>145</v>
      </c>
      <c r="B80" s="38" t="s">
        <v>76</v>
      </c>
      <c r="C80" s="38">
        <v>997829699</v>
      </c>
      <c r="D80" s="39">
        <v>3</v>
      </c>
      <c r="E80" s="40" t="s">
        <v>77</v>
      </c>
      <c r="F80" s="41">
        <f t="shared" si="14"/>
        <v>13</v>
      </c>
      <c r="G80" s="202"/>
      <c r="H80" s="202"/>
      <c r="I80" s="202"/>
      <c r="J80" s="202"/>
      <c r="K80" s="202"/>
      <c r="L80" s="202"/>
      <c r="M80" s="202"/>
      <c r="N80" s="202"/>
      <c r="O80" s="202">
        <v>1</v>
      </c>
      <c r="P80" s="202">
        <v>1</v>
      </c>
      <c r="Q80" s="202">
        <v>1</v>
      </c>
      <c r="R80" s="202">
        <v>1</v>
      </c>
      <c r="S80" s="202">
        <v>1</v>
      </c>
      <c r="T80" s="202">
        <v>1</v>
      </c>
      <c r="U80" s="202">
        <v>1</v>
      </c>
      <c r="V80" s="202">
        <v>1</v>
      </c>
      <c r="W80" s="202"/>
      <c r="X80" s="202">
        <v>1</v>
      </c>
      <c r="Y80" s="202">
        <v>1</v>
      </c>
      <c r="Z80" s="202">
        <v>1</v>
      </c>
      <c r="AA80" s="202">
        <v>1</v>
      </c>
      <c r="AB80" s="202">
        <v>1</v>
      </c>
      <c r="AC80" s="202"/>
      <c r="AD80" s="202"/>
      <c r="AE80" s="41">
        <f t="shared" si="13"/>
        <v>13</v>
      </c>
      <c r="AF80" s="116" t="s">
        <v>344</v>
      </c>
      <c r="AG80" s="189" t="s">
        <v>693</v>
      </c>
    </row>
    <row r="81" spans="1:33" ht="14.25" customHeight="1">
      <c r="A81" s="38" t="s">
        <v>145</v>
      </c>
      <c r="B81" s="38" t="s">
        <v>152</v>
      </c>
      <c r="C81" s="38"/>
      <c r="D81" s="99">
        <v>4</v>
      </c>
      <c r="E81" s="40" t="s">
        <v>153</v>
      </c>
      <c r="F81" s="41">
        <f t="shared" si="14"/>
        <v>13</v>
      </c>
      <c r="G81" s="202"/>
      <c r="H81" s="202"/>
      <c r="I81" s="202"/>
      <c r="J81" s="202"/>
      <c r="K81" s="202"/>
      <c r="L81" s="202"/>
      <c r="M81" s="202">
        <v>1</v>
      </c>
      <c r="N81" s="202">
        <v>1</v>
      </c>
      <c r="O81" s="202">
        <v>1</v>
      </c>
      <c r="P81" s="202">
        <v>1</v>
      </c>
      <c r="Q81" s="202">
        <v>1</v>
      </c>
      <c r="R81" s="202"/>
      <c r="S81" s="202">
        <v>1</v>
      </c>
      <c r="T81" s="202">
        <v>1</v>
      </c>
      <c r="U81" s="202">
        <v>1</v>
      </c>
      <c r="V81" s="202">
        <v>1</v>
      </c>
      <c r="W81" s="202">
        <v>1</v>
      </c>
      <c r="X81" s="202">
        <v>1</v>
      </c>
      <c r="Y81" s="202">
        <v>1</v>
      </c>
      <c r="Z81" s="202">
        <v>1</v>
      </c>
      <c r="AA81" s="202"/>
      <c r="AB81" s="202"/>
      <c r="AC81" s="202"/>
      <c r="AD81" s="202"/>
      <c r="AE81" s="41">
        <f t="shared" si="13"/>
        <v>13</v>
      </c>
      <c r="AF81" s="116" t="s">
        <v>713</v>
      </c>
      <c r="AG81" s="189" t="s">
        <v>693</v>
      </c>
    </row>
    <row r="82" spans="1:33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4"/>
        <v>0</v>
      </c>
      <c r="G82" s="216">
        <v>0</v>
      </c>
      <c r="H82" s="216">
        <v>0</v>
      </c>
      <c r="I82" s="216">
        <v>0</v>
      </c>
      <c r="J82" s="216">
        <v>0</v>
      </c>
      <c r="K82" s="216">
        <v>0</v>
      </c>
      <c r="L82" s="216">
        <v>0</v>
      </c>
      <c r="M82" s="202">
        <v>0</v>
      </c>
      <c r="N82" s="202">
        <v>0</v>
      </c>
      <c r="O82" s="202">
        <v>0</v>
      </c>
      <c r="P82" s="202">
        <v>0</v>
      </c>
      <c r="Q82" s="202">
        <v>0</v>
      </c>
      <c r="R82" s="202">
        <v>0</v>
      </c>
      <c r="S82" s="202">
        <v>0</v>
      </c>
      <c r="T82" s="202">
        <v>0</v>
      </c>
      <c r="U82" s="202">
        <v>0</v>
      </c>
      <c r="V82" s="202">
        <v>0</v>
      </c>
      <c r="W82" s="202">
        <v>0</v>
      </c>
      <c r="X82" s="202">
        <v>0</v>
      </c>
      <c r="Y82" s="202">
        <v>0</v>
      </c>
      <c r="Z82" s="202">
        <v>0</v>
      </c>
      <c r="AA82" s="202">
        <v>0</v>
      </c>
      <c r="AB82" s="202">
        <v>0</v>
      </c>
      <c r="AC82" s="202">
        <v>0</v>
      </c>
      <c r="AD82" s="202">
        <v>0</v>
      </c>
      <c r="AE82" s="41">
        <f t="shared" si="13"/>
        <v>0</v>
      </c>
      <c r="AF82" s="116" t="s">
        <v>225</v>
      </c>
      <c r="AG82" s="189" t="s">
        <v>693</v>
      </c>
    </row>
    <row r="83" spans="1:33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4"/>
        <v>7</v>
      </c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>
        <v>1</v>
      </c>
      <c r="Y83" s="202">
        <v>1</v>
      </c>
      <c r="Z83" s="202">
        <v>1</v>
      </c>
      <c r="AA83" s="202">
        <v>1</v>
      </c>
      <c r="AB83" s="202">
        <v>1</v>
      </c>
      <c r="AC83" s="202">
        <v>1</v>
      </c>
      <c r="AD83" s="202">
        <v>1</v>
      </c>
      <c r="AE83" s="41">
        <f t="shared" si="13"/>
        <v>7</v>
      </c>
      <c r="AF83" s="116" t="s">
        <v>74</v>
      </c>
      <c r="AG83" s="189" t="s">
        <v>693</v>
      </c>
    </row>
    <row r="84" spans="1:33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4"/>
        <v>7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>
        <v>1</v>
      </c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41">
        <f t="shared" si="13"/>
        <v>7</v>
      </c>
      <c r="AF84" s="116" t="s">
        <v>284</v>
      </c>
      <c r="AG84" s="189" t="s">
        <v>693</v>
      </c>
    </row>
    <row r="85" spans="1:33" ht="14.25" customHeight="1">
      <c r="A85" s="38" t="s">
        <v>145</v>
      </c>
      <c r="B85" s="38" t="s">
        <v>165</v>
      </c>
      <c r="C85" s="38">
        <v>992994680</v>
      </c>
      <c r="D85" s="62">
        <v>8</v>
      </c>
      <c r="E85" s="40" t="s">
        <v>166</v>
      </c>
      <c r="F85" s="41">
        <f t="shared" si="14"/>
        <v>12</v>
      </c>
      <c r="G85" s="202"/>
      <c r="H85" s="202"/>
      <c r="I85" s="202"/>
      <c r="J85" s="202"/>
      <c r="K85" s="202"/>
      <c r="L85" s="202"/>
      <c r="M85" s="202"/>
      <c r="N85" s="202"/>
      <c r="O85" s="202">
        <v>1</v>
      </c>
      <c r="P85" s="202">
        <v>1</v>
      </c>
      <c r="Q85" s="202">
        <v>1</v>
      </c>
      <c r="R85" s="202">
        <v>1</v>
      </c>
      <c r="S85" s="202">
        <v>1</v>
      </c>
      <c r="T85" s="202">
        <v>1</v>
      </c>
      <c r="U85" s="202">
        <v>1</v>
      </c>
      <c r="V85" s="202">
        <v>1</v>
      </c>
      <c r="W85" s="202">
        <v>1</v>
      </c>
      <c r="X85" s="202">
        <v>1</v>
      </c>
      <c r="Y85" s="202">
        <v>1</v>
      </c>
      <c r="Z85" s="202">
        <v>1</v>
      </c>
      <c r="AA85" s="202"/>
      <c r="AB85" s="202"/>
      <c r="AC85" s="202"/>
      <c r="AD85" s="202"/>
      <c r="AE85" s="41">
        <f t="shared" si="13"/>
        <v>12</v>
      </c>
      <c r="AF85" s="116" t="s">
        <v>66</v>
      </c>
      <c r="AG85" s="189" t="s">
        <v>693</v>
      </c>
    </row>
    <row r="86" spans="1:33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4"/>
        <v>0</v>
      </c>
      <c r="G86" s="202">
        <v>0</v>
      </c>
      <c r="H86" s="202">
        <v>0</v>
      </c>
      <c r="I86" s="202">
        <v>0</v>
      </c>
      <c r="J86" s="202">
        <v>0</v>
      </c>
      <c r="K86" s="202">
        <v>0</v>
      </c>
      <c r="L86" s="202">
        <v>0</v>
      </c>
      <c r="M86" s="202">
        <v>0</v>
      </c>
      <c r="N86" s="202">
        <v>0</v>
      </c>
      <c r="O86" s="202">
        <v>0</v>
      </c>
      <c r="P86" s="202">
        <v>0</v>
      </c>
      <c r="Q86" s="202">
        <v>0</v>
      </c>
      <c r="R86" s="202">
        <v>0</v>
      </c>
      <c r="S86" s="202">
        <v>0</v>
      </c>
      <c r="T86" s="202">
        <v>0</v>
      </c>
      <c r="U86" s="202">
        <v>0</v>
      </c>
      <c r="V86" s="202">
        <v>0</v>
      </c>
      <c r="W86" s="202">
        <v>0</v>
      </c>
      <c r="X86" s="202">
        <v>0</v>
      </c>
      <c r="Y86" s="202">
        <v>0</v>
      </c>
      <c r="Z86" s="202">
        <v>0</v>
      </c>
      <c r="AA86" s="202">
        <v>0</v>
      </c>
      <c r="AB86" s="202">
        <v>0</v>
      </c>
      <c r="AC86" s="202">
        <v>0</v>
      </c>
      <c r="AD86" s="202">
        <v>0</v>
      </c>
      <c r="AE86" s="41">
        <f t="shared" si="13"/>
        <v>0</v>
      </c>
      <c r="AF86" s="116" t="s">
        <v>225</v>
      </c>
      <c r="AG86" s="189" t="s">
        <v>693</v>
      </c>
    </row>
    <row r="87" spans="1:33" ht="14.25" customHeight="1">
      <c r="A87" s="98" t="s">
        <v>145</v>
      </c>
      <c r="B87" s="98" t="s">
        <v>451</v>
      </c>
      <c r="C87" s="98"/>
      <c r="D87" s="99">
        <v>10</v>
      </c>
      <c r="E87" s="40" t="s">
        <v>177</v>
      </c>
      <c r="F87" s="41">
        <f t="shared" si="14"/>
        <v>6</v>
      </c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>
        <v>1</v>
      </c>
      <c r="Z87" s="202">
        <v>1</v>
      </c>
      <c r="AA87" s="202">
        <v>1</v>
      </c>
      <c r="AB87" s="202">
        <v>1</v>
      </c>
      <c r="AC87" s="202">
        <v>1</v>
      </c>
      <c r="AD87" s="202">
        <v>1</v>
      </c>
      <c r="AE87" s="41">
        <f t="shared" si="13"/>
        <v>6</v>
      </c>
      <c r="AF87" s="116" t="s">
        <v>281</v>
      </c>
      <c r="AG87" s="189" t="s">
        <v>693</v>
      </c>
    </row>
    <row r="88" spans="1:33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4"/>
        <v>6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41">
        <f t="shared" si="13"/>
        <v>6</v>
      </c>
      <c r="AF88" s="116" t="s">
        <v>159</v>
      </c>
      <c r="AG88" s="189" t="s">
        <v>693</v>
      </c>
    </row>
    <row r="89" spans="1:33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4"/>
        <v>0</v>
      </c>
      <c r="G89" s="202">
        <v>0</v>
      </c>
      <c r="H89" s="202">
        <v>0</v>
      </c>
      <c r="I89" s="202">
        <v>0</v>
      </c>
      <c r="J89" s="202">
        <v>0</v>
      </c>
      <c r="K89" s="202">
        <v>0</v>
      </c>
      <c r="L89" s="202">
        <v>0</v>
      </c>
      <c r="M89" s="202">
        <v>0</v>
      </c>
      <c r="N89" s="202">
        <v>0</v>
      </c>
      <c r="O89" s="202">
        <v>0</v>
      </c>
      <c r="P89" s="202">
        <v>0</v>
      </c>
      <c r="Q89" s="202">
        <v>0</v>
      </c>
      <c r="R89" s="202">
        <v>0</v>
      </c>
      <c r="S89" s="202">
        <v>0</v>
      </c>
      <c r="T89" s="202">
        <v>0</v>
      </c>
      <c r="U89" s="202">
        <v>0</v>
      </c>
      <c r="V89" s="202">
        <v>0</v>
      </c>
      <c r="W89" s="202">
        <v>0</v>
      </c>
      <c r="X89" s="202">
        <v>0</v>
      </c>
      <c r="Y89" s="202">
        <v>0</v>
      </c>
      <c r="Z89" s="202">
        <v>0</v>
      </c>
      <c r="AA89" s="202">
        <v>0</v>
      </c>
      <c r="AB89" s="202">
        <v>0</v>
      </c>
      <c r="AC89" s="202">
        <v>0</v>
      </c>
      <c r="AD89" s="202">
        <v>0</v>
      </c>
      <c r="AE89" s="41">
        <f t="shared" si="13"/>
        <v>0</v>
      </c>
      <c r="AF89" s="116" t="s">
        <v>225</v>
      </c>
      <c r="AG89" s="189" t="s">
        <v>693</v>
      </c>
    </row>
    <row r="90" spans="1:33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4"/>
        <v>12</v>
      </c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>
        <v>1</v>
      </c>
      <c r="R90" s="202">
        <v>1</v>
      </c>
      <c r="S90" s="202">
        <v>1</v>
      </c>
      <c r="T90" s="202">
        <v>1</v>
      </c>
      <c r="U90" s="202">
        <v>1</v>
      </c>
      <c r="V90" s="202">
        <v>1</v>
      </c>
      <c r="W90" s="202">
        <v>1</v>
      </c>
      <c r="X90" s="202">
        <v>1</v>
      </c>
      <c r="Y90" s="202">
        <v>1</v>
      </c>
      <c r="Z90" s="202"/>
      <c r="AA90" s="202">
        <v>1</v>
      </c>
      <c r="AB90" s="202">
        <v>1</v>
      </c>
      <c r="AC90" s="202">
        <v>1</v>
      </c>
      <c r="AD90" s="202"/>
      <c r="AE90" s="41">
        <f t="shared" si="13"/>
        <v>12</v>
      </c>
      <c r="AF90" s="116" t="s">
        <v>484</v>
      </c>
      <c r="AG90" s="189" t="s">
        <v>693</v>
      </c>
    </row>
    <row r="91" spans="1:33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4"/>
        <v>0</v>
      </c>
      <c r="G91" s="202">
        <v>0</v>
      </c>
      <c r="H91" s="202">
        <v>0</v>
      </c>
      <c r="I91" s="202">
        <v>0</v>
      </c>
      <c r="J91" s="202">
        <v>0</v>
      </c>
      <c r="K91" s="202">
        <v>0</v>
      </c>
      <c r="L91" s="202">
        <v>0</v>
      </c>
      <c r="M91" s="202">
        <v>0</v>
      </c>
      <c r="N91" s="202">
        <v>0</v>
      </c>
      <c r="O91" s="202">
        <v>0</v>
      </c>
      <c r="P91" s="202">
        <v>0</v>
      </c>
      <c r="Q91" s="202">
        <v>0</v>
      </c>
      <c r="R91" s="202">
        <v>0</v>
      </c>
      <c r="S91" s="202">
        <v>0</v>
      </c>
      <c r="T91" s="202">
        <v>0</v>
      </c>
      <c r="U91" s="202">
        <v>0</v>
      </c>
      <c r="V91" s="202">
        <v>0</v>
      </c>
      <c r="W91" s="202">
        <v>0</v>
      </c>
      <c r="X91" s="202">
        <v>0</v>
      </c>
      <c r="Y91" s="202">
        <v>0</v>
      </c>
      <c r="Z91" s="202">
        <v>0</v>
      </c>
      <c r="AA91" s="202">
        <v>0</v>
      </c>
      <c r="AB91" s="202">
        <v>0</v>
      </c>
      <c r="AC91" s="202">
        <v>0</v>
      </c>
      <c r="AD91" s="202">
        <v>0</v>
      </c>
      <c r="AE91" s="41">
        <f t="shared" si="13"/>
        <v>0</v>
      </c>
      <c r="AF91" s="116" t="s">
        <v>225</v>
      </c>
      <c r="AG91" s="189" t="s">
        <v>693</v>
      </c>
    </row>
    <row r="92" spans="1:33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4"/>
        <v>6</v>
      </c>
      <c r="G92" s="202"/>
      <c r="H92" s="176"/>
      <c r="I92" s="176"/>
      <c r="J92" s="176"/>
      <c r="K92" s="176"/>
      <c r="L92" s="176"/>
      <c r="M92" s="176"/>
      <c r="N92" s="176"/>
      <c r="O92" s="202">
        <v>1</v>
      </c>
      <c r="P92" s="202">
        <v>1</v>
      </c>
      <c r="Q92" s="202">
        <v>1</v>
      </c>
      <c r="R92" s="202">
        <v>1</v>
      </c>
      <c r="S92" s="202">
        <v>1</v>
      </c>
      <c r="T92" s="202"/>
      <c r="U92" s="202">
        <v>1</v>
      </c>
      <c r="V92" s="580" t="s">
        <v>209</v>
      </c>
      <c r="W92" s="555"/>
      <c r="X92" s="555"/>
      <c r="Y92" s="555"/>
      <c r="Z92" s="555"/>
      <c r="AA92" s="555"/>
      <c r="AB92" s="555"/>
      <c r="AC92" s="542"/>
      <c r="AD92" s="176"/>
      <c r="AE92" s="41">
        <v>8</v>
      </c>
      <c r="AF92" s="116" t="s">
        <v>714</v>
      </c>
      <c r="AG92" s="189" t="s">
        <v>693</v>
      </c>
    </row>
    <row r="93" spans="1:33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4"/>
        <v>13</v>
      </c>
      <c r="G93" s="202"/>
      <c r="H93" s="202"/>
      <c r="I93" s="202"/>
      <c r="J93" s="202"/>
      <c r="K93" s="202"/>
      <c r="L93" s="202"/>
      <c r="M93" s="202"/>
      <c r="N93" s="202">
        <v>1</v>
      </c>
      <c r="O93" s="202">
        <v>1</v>
      </c>
      <c r="P93" s="202">
        <v>1</v>
      </c>
      <c r="Q93" s="202">
        <v>1</v>
      </c>
      <c r="R93" s="202">
        <v>1</v>
      </c>
      <c r="S93" s="202">
        <v>1</v>
      </c>
      <c r="T93" s="202">
        <v>1</v>
      </c>
      <c r="U93" s="202">
        <v>1</v>
      </c>
      <c r="V93" s="202">
        <v>1</v>
      </c>
      <c r="W93" s="202">
        <v>1</v>
      </c>
      <c r="X93" s="202">
        <v>1</v>
      </c>
      <c r="Y93" s="202"/>
      <c r="Z93" s="202">
        <v>1</v>
      </c>
      <c r="AA93" s="202">
        <v>1</v>
      </c>
      <c r="AB93" s="202"/>
      <c r="AC93" s="202"/>
      <c r="AD93" s="202"/>
      <c r="AE93" s="41">
        <f t="shared" ref="AE93:AE94" si="15">SUM(G93:AD93)</f>
        <v>13</v>
      </c>
      <c r="AF93" s="116" t="s">
        <v>388</v>
      </c>
      <c r="AG93" s="189" t="s">
        <v>693</v>
      </c>
    </row>
    <row r="94" spans="1:33" ht="14.25" customHeight="1">
      <c r="A94" s="38" t="s">
        <v>145</v>
      </c>
      <c r="B94" s="38" t="s">
        <v>472</v>
      </c>
      <c r="C94" s="38"/>
      <c r="D94" s="39">
        <v>17</v>
      </c>
      <c r="E94" s="40" t="s">
        <v>184</v>
      </c>
      <c r="F94" s="41">
        <f t="shared" si="14"/>
        <v>14</v>
      </c>
      <c r="G94" s="202"/>
      <c r="H94" s="202"/>
      <c r="I94" s="202"/>
      <c r="J94" s="202"/>
      <c r="K94" s="202"/>
      <c r="L94" s="202"/>
      <c r="M94" s="202"/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202">
        <v>1</v>
      </c>
      <c r="X94" s="202">
        <v>1</v>
      </c>
      <c r="Y94" s="202">
        <v>1</v>
      </c>
      <c r="Z94" s="202">
        <v>1</v>
      </c>
      <c r="AA94" s="202">
        <v>1</v>
      </c>
      <c r="AB94" s="202"/>
      <c r="AC94" s="202"/>
      <c r="AD94" s="202"/>
      <c r="AE94" s="41">
        <f t="shared" si="15"/>
        <v>14</v>
      </c>
      <c r="AF94" s="116" t="s">
        <v>381</v>
      </c>
      <c r="AG94" s="189" t="s">
        <v>693</v>
      </c>
    </row>
    <row r="95" spans="1:33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</row>
    <row r="96" spans="1:3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</sheetData>
  <customSheetViews>
    <customSheetView guid="{D6F95600-F5D2-44BC-80B6-0F2773D5BD92}" filter="1" showAutoFilter="1">
      <pageMargins left="0.7" right="0.7" top="0.75" bottom="0.75" header="0.3" footer="0.3"/>
      <autoFilter ref="A3:AG96" xr:uid="{DB515593-5C88-4A9A-90CA-0790925F664F}"/>
    </customSheetView>
    <customSheetView guid="{833D6734-F5E1-4449-B5A1-8C3A51A61651}" filter="1" showAutoFilter="1">
      <pageMargins left="0.7" right="0.7" top="0.75" bottom="0.75" header="0.3" footer="0.3"/>
      <autoFilter ref="A7:AG96" xr:uid="{CB695116-08EE-4B25-9954-9CF79E1E6766}">
        <filterColumn colId="26">
          <filters>
            <filter val="-"/>
            <filter val="1"/>
            <filter val="4"/>
            <filter val="6"/>
            <filter val="MONITOREOS"/>
            <filter val="VIP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96" xr:uid="{830183E4-00CC-4F50-AA46-999F334193A9}">
        <filterColumn colId="15">
          <filters>
            <filter val="-"/>
            <filter val="(1)"/>
            <filter val="1"/>
            <filter val="14"/>
            <filter val="7"/>
            <filter val="8"/>
            <filter val="DTH"/>
            <filter val="MONITOREOS"/>
            <filter val="POTENCIALES"/>
            <filter val="SEGUIMIENTO TRANSFERENCIAS"/>
            <filter val="VIP"/>
          </filters>
        </filterColumn>
      </autoFilter>
    </customSheetView>
  </customSheetViews>
  <mergeCells count="14">
    <mergeCell ref="E74:F74"/>
    <mergeCell ref="V92:AC92"/>
    <mergeCell ref="A1:B1"/>
    <mergeCell ref="D3:AE3"/>
    <mergeCell ref="E4:F4"/>
    <mergeCell ref="E5:F5"/>
    <mergeCell ref="V30:AC30"/>
    <mergeCell ref="N31:U31"/>
    <mergeCell ref="P35:Y35"/>
    <mergeCell ref="V33:AC33"/>
    <mergeCell ref="V47:AC47"/>
    <mergeCell ref="O49:Z49"/>
    <mergeCell ref="E55:F55"/>
    <mergeCell ref="P64:Z64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I101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39.85546875" customWidth="1"/>
    <col min="33" max="33" width="14.5703125" customWidth="1"/>
    <col min="34" max="34" width="16.7109375" customWidth="1"/>
    <col min="35" max="35" width="27.7109375" customWidth="1"/>
  </cols>
  <sheetData>
    <row r="1" spans="1:35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7.25">
      <c r="A3" s="6" t="s">
        <v>3</v>
      </c>
      <c r="B3" s="7" t="s">
        <v>4</v>
      </c>
      <c r="C3" s="2"/>
      <c r="D3" s="565" t="s">
        <v>291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32</v>
      </c>
      <c r="AG3" s="3"/>
      <c r="AH3" s="3"/>
      <c r="AI3" s="3">
        <f>AE4/13</f>
        <v>19.692307692307693</v>
      </c>
    </row>
    <row r="4" spans="1:35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195">
        <v>3</v>
      </c>
      <c r="H4" s="324">
        <v>3</v>
      </c>
      <c r="I4" s="324">
        <v>3</v>
      </c>
      <c r="J4" s="324">
        <v>3</v>
      </c>
      <c r="K4" s="324">
        <v>3</v>
      </c>
      <c r="L4" s="324">
        <v>3</v>
      </c>
      <c r="M4" s="325">
        <v>9</v>
      </c>
      <c r="N4" s="325">
        <v>9</v>
      </c>
      <c r="O4" s="326">
        <v>14</v>
      </c>
      <c r="P4" s="327">
        <v>17</v>
      </c>
      <c r="Q4" s="328">
        <v>19</v>
      </c>
      <c r="R4" s="328">
        <v>19</v>
      </c>
      <c r="S4" s="328">
        <v>19</v>
      </c>
      <c r="T4" s="327">
        <v>17</v>
      </c>
      <c r="U4" s="327">
        <v>17</v>
      </c>
      <c r="V4" s="327">
        <v>17</v>
      </c>
      <c r="W4" s="329">
        <v>15</v>
      </c>
      <c r="X4" s="330">
        <v>14</v>
      </c>
      <c r="Y4" s="330">
        <v>14</v>
      </c>
      <c r="Z4" s="331">
        <v>10</v>
      </c>
      <c r="AA4" s="331">
        <v>11</v>
      </c>
      <c r="AB4" s="325">
        <v>9</v>
      </c>
      <c r="AC4" s="332">
        <v>4</v>
      </c>
      <c r="AD4" s="332">
        <v>4</v>
      </c>
      <c r="AE4" s="18">
        <f>SUM(G4:AD4)</f>
        <v>256</v>
      </c>
      <c r="AF4" s="3"/>
      <c r="AG4" s="3"/>
      <c r="AH4" s="3"/>
      <c r="AI4" s="3"/>
    </row>
    <row r="5" spans="1:35" ht="62.25">
      <c r="A5" s="3"/>
      <c r="B5" s="2"/>
      <c r="C5" s="2"/>
      <c r="D5" s="19"/>
      <c r="E5" s="569">
        <v>25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</row>
    <row r="6" spans="1:35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84">
        <f t="shared" si="0"/>
        <v>-2</v>
      </c>
      <c r="N6" s="84">
        <f t="shared" si="0"/>
        <v>-2</v>
      </c>
      <c r="O6" s="84">
        <f t="shared" si="0"/>
        <v>-3</v>
      </c>
      <c r="P6" s="28">
        <f t="shared" si="0"/>
        <v>-11</v>
      </c>
      <c r="Q6" s="84">
        <f t="shared" si="0"/>
        <v>-12</v>
      </c>
      <c r="R6" s="84">
        <f t="shared" si="0"/>
        <v>-12</v>
      </c>
      <c r="S6" s="84">
        <f t="shared" si="0"/>
        <v>-10</v>
      </c>
      <c r="T6" s="84">
        <f t="shared" si="0"/>
        <v>-8</v>
      </c>
      <c r="U6" s="84">
        <f t="shared" si="0"/>
        <v>-4</v>
      </c>
      <c r="V6" s="84">
        <f t="shared" si="0"/>
        <v>-2</v>
      </c>
      <c r="W6" s="84">
        <f t="shared" si="0"/>
        <v>-2</v>
      </c>
      <c r="X6" s="28">
        <f t="shared" si="0"/>
        <v>-1</v>
      </c>
      <c r="Y6" s="28">
        <f t="shared" si="0"/>
        <v>0</v>
      </c>
      <c r="Z6" s="84">
        <f t="shared" si="0"/>
        <v>-1</v>
      </c>
      <c r="AA6" s="84">
        <f t="shared" si="0"/>
        <v>-2</v>
      </c>
      <c r="AB6" s="84">
        <f t="shared" si="0"/>
        <v>-1</v>
      </c>
      <c r="AC6" s="84">
        <f t="shared" si="0"/>
        <v>-1</v>
      </c>
      <c r="AD6" s="84">
        <f t="shared" si="0"/>
        <v>-1</v>
      </c>
      <c r="AE6" s="29">
        <f t="shared" ref="AE6:AE48" si="1">SUM(G6:AD6)</f>
        <v>-75</v>
      </c>
      <c r="AG6" s="24"/>
      <c r="AH6" s="24"/>
      <c r="AI6" s="24"/>
    </row>
    <row r="7" spans="1:35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SUM(G8:G54)</f>
        <v>3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7</v>
      </c>
      <c r="N7" s="172">
        <f t="shared" si="2"/>
        <v>7</v>
      </c>
      <c r="O7" s="172">
        <f t="shared" si="2"/>
        <v>11</v>
      </c>
      <c r="P7" s="172">
        <f t="shared" si="2"/>
        <v>6</v>
      </c>
      <c r="Q7" s="172">
        <f t="shared" si="2"/>
        <v>7</v>
      </c>
      <c r="R7" s="172">
        <f t="shared" si="2"/>
        <v>7</v>
      </c>
      <c r="S7" s="172">
        <f t="shared" si="2"/>
        <v>9</v>
      </c>
      <c r="T7" s="172">
        <f t="shared" si="2"/>
        <v>9</v>
      </c>
      <c r="U7" s="172">
        <f t="shared" si="2"/>
        <v>13</v>
      </c>
      <c r="V7" s="172">
        <f t="shared" si="2"/>
        <v>15</v>
      </c>
      <c r="W7" s="172">
        <f t="shared" si="2"/>
        <v>13</v>
      </c>
      <c r="X7" s="172">
        <f t="shared" si="2"/>
        <v>13</v>
      </c>
      <c r="Y7" s="172">
        <f t="shared" si="2"/>
        <v>14</v>
      </c>
      <c r="Z7" s="172">
        <f t="shared" si="2"/>
        <v>9</v>
      </c>
      <c r="AA7" s="172">
        <f t="shared" si="2"/>
        <v>9</v>
      </c>
      <c r="AB7" s="172">
        <f t="shared" si="2"/>
        <v>8</v>
      </c>
      <c r="AC7" s="172">
        <f t="shared" si="2"/>
        <v>3</v>
      </c>
      <c r="AD7" s="172">
        <f t="shared" si="2"/>
        <v>3</v>
      </c>
      <c r="AE7" s="168">
        <f t="shared" si="1"/>
        <v>181</v>
      </c>
      <c r="AF7" s="36" t="s">
        <v>39</v>
      </c>
      <c r="AG7" s="196"/>
      <c r="AH7" s="196"/>
      <c r="AI7" s="197" t="s">
        <v>40</v>
      </c>
    </row>
    <row r="8" spans="1:35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48" si="3">SUM(G8:AD8)</f>
        <v>5</v>
      </c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5</v>
      </c>
      <c r="AF8" s="116" t="s">
        <v>270</v>
      </c>
      <c r="AG8" s="550" t="s">
        <v>41</v>
      </c>
      <c r="AH8" s="542"/>
      <c r="AI8" s="189" t="s">
        <v>715</v>
      </c>
    </row>
    <row r="9" spans="1:35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0</v>
      </c>
      <c r="G9" s="176">
        <v>0</v>
      </c>
      <c r="H9" s="176">
        <v>0</v>
      </c>
      <c r="I9" s="176">
        <v>0</v>
      </c>
      <c r="J9" s="176">
        <v>0</v>
      </c>
      <c r="K9" s="176">
        <v>0</v>
      </c>
      <c r="L9" s="176">
        <v>0</v>
      </c>
      <c r="M9" s="176">
        <v>0</v>
      </c>
      <c r="N9" s="176">
        <v>0</v>
      </c>
      <c r="O9" s="176">
        <v>0</v>
      </c>
      <c r="P9" s="176">
        <v>0</v>
      </c>
      <c r="Q9" s="176">
        <v>0</v>
      </c>
      <c r="R9" s="176">
        <v>0</v>
      </c>
      <c r="S9" s="176">
        <v>0</v>
      </c>
      <c r="T9" s="176">
        <v>0</v>
      </c>
      <c r="U9" s="176">
        <v>0</v>
      </c>
      <c r="V9" s="176">
        <v>0</v>
      </c>
      <c r="W9" s="176">
        <v>0</v>
      </c>
      <c r="X9" s="176">
        <v>0</v>
      </c>
      <c r="Y9" s="176">
        <v>0</v>
      </c>
      <c r="Z9" s="176">
        <v>0</v>
      </c>
      <c r="AA9" s="176">
        <v>0</v>
      </c>
      <c r="AB9" s="176">
        <v>0</v>
      </c>
      <c r="AC9" s="176">
        <v>0</v>
      </c>
      <c r="AD9" s="176">
        <v>0</v>
      </c>
      <c r="AE9" s="41">
        <f t="shared" si="1"/>
        <v>0</v>
      </c>
      <c r="AF9" s="116" t="s">
        <v>225</v>
      </c>
      <c r="AG9" s="550" t="s">
        <v>41</v>
      </c>
      <c r="AH9" s="542"/>
      <c r="AI9" s="189" t="s">
        <v>715</v>
      </c>
    </row>
    <row r="10" spans="1:35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4</v>
      </c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>
        <v>1</v>
      </c>
      <c r="W10" s="176">
        <v>1</v>
      </c>
      <c r="X10" s="176">
        <v>1</v>
      </c>
      <c r="Y10" s="176">
        <v>1</v>
      </c>
      <c r="Z10" s="176"/>
      <c r="AA10" s="176"/>
      <c r="AB10" s="176"/>
      <c r="AC10" s="176"/>
      <c r="AD10" s="176"/>
      <c r="AE10" s="41">
        <f t="shared" si="1"/>
        <v>4</v>
      </c>
      <c r="AF10" s="116" t="s">
        <v>513</v>
      </c>
      <c r="AG10" s="550" t="s">
        <v>41</v>
      </c>
      <c r="AH10" s="542"/>
      <c r="AI10" s="189" t="s">
        <v>715</v>
      </c>
    </row>
    <row r="11" spans="1:35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11</v>
      </c>
      <c r="G11" s="176"/>
      <c r="H11" s="176"/>
      <c r="I11" s="176"/>
      <c r="J11" s="176"/>
      <c r="K11" s="176"/>
      <c r="L11" s="176"/>
      <c r="M11" s="176"/>
      <c r="N11" s="176"/>
      <c r="O11" s="333">
        <v>1</v>
      </c>
      <c r="P11" s="333"/>
      <c r="Q11" s="333">
        <v>1</v>
      </c>
      <c r="R11" s="334">
        <v>1</v>
      </c>
      <c r="S11" s="334">
        <v>1</v>
      </c>
      <c r="T11" s="334">
        <v>1</v>
      </c>
      <c r="U11" s="334">
        <v>1</v>
      </c>
      <c r="V11" s="589" t="s">
        <v>716</v>
      </c>
      <c r="W11" s="542"/>
      <c r="X11" s="334">
        <v>1</v>
      </c>
      <c r="Y11" s="334">
        <v>1</v>
      </c>
      <c r="Z11" s="176">
        <v>1</v>
      </c>
      <c r="AA11" s="176">
        <v>1</v>
      </c>
      <c r="AB11" s="176">
        <v>1</v>
      </c>
      <c r="AC11" s="176"/>
      <c r="AD11" s="176"/>
      <c r="AE11" s="41">
        <f t="shared" si="1"/>
        <v>11</v>
      </c>
      <c r="AF11" s="116" t="s">
        <v>385</v>
      </c>
      <c r="AG11" s="334" t="s">
        <v>717</v>
      </c>
      <c r="AH11" s="336" t="s">
        <v>718</v>
      </c>
      <c r="AI11" s="189" t="s">
        <v>715</v>
      </c>
    </row>
    <row r="12" spans="1:35" ht="14.25" customHeight="1">
      <c r="A12" s="38" t="s">
        <v>41</v>
      </c>
      <c r="B12" s="38" t="s">
        <v>59</v>
      </c>
      <c r="C12" s="38"/>
      <c r="D12" s="99">
        <v>6</v>
      </c>
      <c r="E12" s="208" t="s">
        <v>60</v>
      </c>
      <c r="F12" s="41">
        <f t="shared" si="3"/>
        <v>3</v>
      </c>
      <c r="G12" s="176"/>
      <c r="H12" s="176"/>
      <c r="I12" s="176"/>
      <c r="J12" s="176"/>
      <c r="K12" s="176"/>
      <c r="L12" s="176"/>
      <c r="M12" s="176">
        <v>1</v>
      </c>
      <c r="N12" s="176">
        <v>1</v>
      </c>
      <c r="O12" s="176">
        <v>1</v>
      </c>
      <c r="P12" s="336"/>
      <c r="Q12" s="336"/>
      <c r="R12" s="336"/>
      <c r="S12" s="336"/>
      <c r="T12" s="33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41">
        <f t="shared" si="1"/>
        <v>3</v>
      </c>
      <c r="AF12" s="116" t="s">
        <v>252</v>
      </c>
      <c r="AG12" s="176" t="s">
        <v>41</v>
      </c>
      <c r="AH12" s="336" t="s">
        <v>718</v>
      </c>
      <c r="AI12" s="178" t="s">
        <v>715</v>
      </c>
    </row>
    <row r="13" spans="1:35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0</v>
      </c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41">
        <f t="shared" si="1"/>
        <v>0</v>
      </c>
      <c r="AF13" s="116" t="s">
        <v>382</v>
      </c>
      <c r="AG13" s="550" t="s">
        <v>41</v>
      </c>
      <c r="AH13" s="542"/>
      <c r="AI13" s="189" t="s">
        <v>715</v>
      </c>
    </row>
    <row r="14" spans="1:35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9</v>
      </c>
      <c r="G14" s="176"/>
      <c r="H14" s="176"/>
      <c r="I14" s="176"/>
      <c r="J14" s="176"/>
      <c r="K14" s="176"/>
      <c r="L14" s="176"/>
      <c r="M14" s="176">
        <v>1</v>
      </c>
      <c r="N14" s="176">
        <v>1</v>
      </c>
      <c r="O14" s="176">
        <v>1</v>
      </c>
      <c r="P14" s="176">
        <v>1</v>
      </c>
      <c r="Q14" s="176">
        <v>1</v>
      </c>
      <c r="R14" s="176">
        <v>1</v>
      </c>
      <c r="S14" s="176">
        <v>1</v>
      </c>
      <c r="T14" s="176">
        <v>1</v>
      </c>
      <c r="U14" s="176">
        <v>1</v>
      </c>
      <c r="V14" s="176"/>
      <c r="W14" s="176"/>
      <c r="X14" s="176"/>
      <c r="Y14" s="176"/>
      <c r="Z14" s="176"/>
      <c r="AA14" s="176"/>
      <c r="AB14" s="176"/>
      <c r="AC14" s="176"/>
      <c r="AD14" s="176"/>
      <c r="AE14" s="41">
        <f t="shared" si="1"/>
        <v>9</v>
      </c>
      <c r="AF14" s="116" t="s">
        <v>244</v>
      </c>
      <c r="AG14" s="550" t="s">
        <v>41</v>
      </c>
      <c r="AH14" s="542"/>
      <c r="AI14" s="189" t="s">
        <v>715</v>
      </c>
    </row>
    <row r="15" spans="1:35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9</v>
      </c>
      <c r="G15" s="176">
        <v>1</v>
      </c>
      <c r="H15" s="176">
        <v>1</v>
      </c>
      <c r="I15" s="176">
        <v>1</v>
      </c>
      <c r="J15" s="176">
        <v>1</v>
      </c>
      <c r="K15" s="176">
        <v>1</v>
      </c>
      <c r="L15" s="176">
        <v>1</v>
      </c>
      <c r="M15" s="176">
        <v>1</v>
      </c>
      <c r="N15" s="176">
        <v>1</v>
      </c>
      <c r="O15" s="176">
        <v>1</v>
      </c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41">
        <f t="shared" si="1"/>
        <v>9</v>
      </c>
      <c r="AF15" s="116" t="s">
        <v>358</v>
      </c>
      <c r="AG15" s="550" t="s">
        <v>41</v>
      </c>
      <c r="AH15" s="542"/>
      <c r="AI15" s="189" t="s">
        <v>715</v>
      </c>
    </row>
    <row r="16" spans="1:35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10</v>
      </c>
      <c r="G16" s="202"/>
      <c r="H16" s="202"/>
      <c r="I16" s="202"/>
      <c r="J16" s="202"/>
      <c r="K16" s="202"/>
      <c r="L16" s="202"/>
      <c r="M16" s="202"/>
      <c r="N16" s="202">
        <v>1</v>
      </c>
      <c r="O16" s="202">
        <v>1</v>
      </c>
      <c r="P16" s="202">
        <v>1</v>
      </c>
      <c r="Q16" s="202">
        <v>1</v>
      </c>
      <c r="R16" s="202">
        <v>1</v>
      </c>
      <c r="S16" s="202">
        <v>1</v>
      </c>
      <c r="T16" s="202">
        <v>1</v>
      </c>
      <c r="U16" s="202">
        <v>1</v>
      </c>
      <c r="V16" s="202">
        <v>1</v>
      </c>
      <c r="W16" s="202">
        <v>1</v>
      </c>
      <c r="X16" s="202"/>
      <c r="Y16" s="202"/>
      <c r="Z16" s="202"/>
      <c r="AA16" s="202"/>
      <c r="AB16" s="202"/>
      <c r="AC16" s="202"/>
      <c r="AD16" s="202"/>
      <c r="AE16" s="41">
        <f t="shared" si="1"/>
        <v>10</v>
      </c>
      <c r="AF16" s="116" t="s">
        <v>61</v>
      </c>
      <c r="AG16" s="550" t="s">
        <v>41</v>
      </c>
      <c r="AH16" s="542"/>
      <c r="AI16" s="189" t="s">
        <v>715</v>
      </c>
    </row>
    <row r="17" spans="1:35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f t="shared" si="3"/>
        <v>0</v>
      </c>
      <c r="G17" s="176">
        <v>0</v>
      </c>
      <c r="H17" s="176">
        <v>0</v>
      </c>
      <c r="I17" s="176">
        <v>0</v>
      </c>
      <c r="J17" s="176">
        <v>0</v>
      </c>
      <c r="K17" s="176">
        <v>0</v>
      </c>
      <c r="L17" s="176">
        <v>0</v>
      </c>
      <c r="M17" s="176">
        <v>0</v>
      </c>
      <c r="N17" s="176">
        <v>0</v>
      </c>
      <c r="O17" s="176">
        <v>0</v>
      </c>
      <c r="P17" s="176">
        <v>0</v>
      </c>
      <c r="Q17" s="176">
        <v>0</v>
      </c>
      <c r="R17" s="176">
        <v>0</v>
      </c>
      <c r="S17" s="176">
        <v>0</v>
      </c>
      <c r="T17" s="176">
        <v>0</v>
      </c>
      <c r="U17" s="176">
        <v>0</v>
      </c>
      <c r="V17" s="176">
        <v>0</v>
      </c>
      <c r="W17" s="176">
        <v>0</v>
      </c>
      <c r="X17" s="176">
        <v>0</v>
      </c>
      <c r="Y17" s="176">
        <v>0</v>
      </c>
      <c r="Z17" s="176">
        <v>0</v>
      </c>
      <c r="AA17" s="176">
        <v>0</v>
      </c>
      <c r="AB17" s="176">
        <v>0</v>
      </c>
      <c r="AC17" s="176">
        <v>0</v>
      </c>
      <c r="AD17" s="176">
        <v>0</v>
      </c>
      <c r="AE17" s="41">
        <f t="shared" si="1"/>
        <v>0</v>
      </c>
      <c r="AF17" s="116" t="s">
        <v>6</v>
      </c>
      <c r="AG17" s="550" t="s">
        <v>41</v>
      </c>
      <c r="AH17" s="542"/>
      <c r="AI17" s="189" t="s">
        <v>715</v>
      </c>
    </row>
    <row r="18" spans="1:35" ht="14.25" customHeight="1">
      <c r="A18" s="76" t="s">
        <v>41</v>
      </c>
      <c r="B18" s="76" t="s">
        <v>198</v>
      </c>
      <c r="C18" s="76"/>
      <c r="D18" s="39">
        <v>17</v>
      </c>
      <c r="E18" s="211" t="s">
        <v>99</v>
      </c>
      <c r="F18" s="41">
        <f t="shared" si="3"/>
        <v>13</v>
      </c>
      <c r="G18" s="176"/>
      <c r="H18" s="176"/>
      <c r="I18" s="176"/>
      <c r="J18" s="176"/>
      <c r="K18" s="176"/>
      <c r="L18" s="176"/>
      <c r="M18" s="176"/>
      <c r="N18" s="176"/>
      <c r="O18" s="176">
        <v>1</v>
      </c>
      <c r="P18" s="176">
        <v>1</v>
      </c>
      <c r="Q18" s="176">
        <v>1</v>
      </c>
      <c r="R18" s="176">
        <v>1</v>
      </c>
      <c r="S18" s="176">
        <v>1</v>
      </c>
      <c r="T18" s="176">
        <v>1</v>
      </c>
      <c r="U18" s="176">
        <v>1</v>
      </c>
      <c r="V18" s="176">
        <v>1</v>
      </c>
      <c r="W18" s="176">
        <v>1</v>
      </c>
      <c r="X18" s="176"/>
      <c r="Y18" s="176">
        <v>1</v>
      </c>
      <c r="Z18" s="176">
        <v>1</v>
      </c>
      <c r="AA18" s="176">
        <v>1</v>
      </c>
      <c r="AB18" s="176">
        <v>1</v>
      </c>
      <c r="AC18" s="176"/>
      <c r="AD18" s="176"/>
      <c r="AE18" s="41">
        <f t="shared" si="1"/>
        <v>13</v>
      </c>
      <c r="AF18" s="116" t="s">
        <v>339</v>
      </c>
      <c r="AG18" s="550" t="s">
        <v>41</v>
      </c>
      <c r="AH18" s="542"/>
      <c r="AI18" s="189" t="s">
        <v>715</v>
      </c>
    </row>
    <row r="19" spans="1:35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175" t="s">
        <v>102</v>
      </c>
      <c r="F19" s="41">
        <f t="shared" si="3"/>
        <v>0</v>
      </c>
      <c r="G19" s="176">
        <v>0</v>
      </c>
      <c r="H19" s="176">
        <v>0</v>
      </c>
      <c r="I19" s="176">
        <v>0</v>
      </c>
      <c r="J19" s="176">
        <v>0</v>
      </c>
      <c r="K19" s="176">
        <v>0</v>
      </c>
      <c r="L19" s="176">
        <v>0</v>
      </c>
      <c r="M19" s="176">
        <v>0</v>
      </c>
      <c r="N19" s="176">
        <v>0</v>
      </c>
      <c r="O19" s="176">
        <v>0</v>
      </c>
      <c r="P19" s="176">
        <v>0</v>
      </c>
      <c r="Q19" s="176">
        <v>0</v>
      </c>
      <c r="R19" s="176">
        <v>0</v>
      </c>
      <c r="S19" s="176">
        <v>0</v>
      </c>
      <c r="T19" s="176">
        <v>0</v>
      </c>
      <c r="U19" s="176">
        <v>0</v>
      </c>
      <c r="V19" s="176">
        <v>0</v>
      </c>
      <c r="W19" s="176">
        <v>0</v>
      </c>
      <c r="X19" s="176">
        <v>0</v>
      </c>
      <c r="Y19" s="176">
        <v>0</v>
      </c>
      <c r="Z19" s="176">
        <v>0</v>
      </c>
      <c r="AA19" s="176">
        <v>0</v>
      </c>
      <c r="AB19" s="176">
        <v>0</v>
      </c>
      <c r="AC19" s="176">
        <v>0</v>
      </c>
      <c r="AD19" s="176">
        <v>0</v>
      </c>
      <c r="AE19" s="41">
        <f t="shared" si="1"/>
        <v>0</v>
      </c>
      <c r="AF19" s="116" t="s">
        <v>225</v>
      </c>
      <c r="AG19" s="550" t="s">
        <v>41</v>
      </c>
      <c r="AH19" s="542"/>
      <c r="AI19" s="189" t="s">
        <v>715</v>
      </c>
    </row>
    <row r="20" spans="1:35" ht="14.25" customHeight="1">
      <c r="A20" s="38" t="s">
        <v>41</v>
      </c>
      <c r="B20" s="38" t="s">
        <v>103</v>
      </c>
      <c r="C20" s="38"/>
      <c r="D20" s="86">
        <v>19</v>
      </c>
      <c r="E20" s="208" t="s">
        <v>104</v>
      </c>
      <c r="F20" s="41">
        <f t="shared" si="3"/>
        <v>1</v>
      </c>
      <c r="G20" s="77"/>
      <c r="H20" s="77"/>
      <c r="I20" s="77"/>
      <c r="J20" s="77"/>
      <c r="K20" s="77"/>
      <c r="L20" s="77"/>
      <c r="M20" s="216">
        <v>1</v>
      </c>
      <c r="N20" s="577" t="s">
        <v>320</v>
      </c>
      <c r="O20" s="555"/>
      <c r="P20" s="555"/>
      <c r="Q20" s="555"/>
      <c r="R20" s="555"/>
      <c r="S20" s="555"/>
      <c r="T20" s="555"/>
      <c r="U20" s="555"/>
      <c r="V20" s="77"/>
      <c r="W20" s="77"/>
      <c r="X20" s="77"/>
      <c r="Y20" s="77"/>
      <c r="Z20" s="77"/>
      <c r="AA20" s="77"/>
      <c r="AB20" s="77"/>
      <c r="AC20" s="77"/>
      <c r="AD20" s="77"/>
      <c r="AE20" s="41">
        <f t="shared" si="1"/>
        <v>1</v>
      </c>
      <c r="AF20" s="116" t="s">
        <v>244</v>
      </c>
      <c r="AG20" s="551" t="s">
        <v>320</v>
      </c>
      <c r="AH20" s="555"/>
      <c r="AI20" s="189" t="s">
        <v>715</v>
      </c>
    </row>
    <row r="21" spans="1:35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3"/>
        <v>0</v>
      </c>
      <c r="G21" s="176"/>
      <c r="H21" s="176"/>
      <c r="I21" s="176"/>
      <c r="J21" s="176"/>
      <c r="K21" s="176"/>
      <c r="L21" s="176"/>
      <c r="M21" s="176"/>
      <c r="N21" s="176"/>
      <c r="O21" s="182" t="s">
        <v>231</v>
      </c>
      <c r="P21" s="182" t="s">
        <v>231</v>
      </c>
      <c r="Q21" s="182" t="s">
        <v>231</v>
      </c>
      <c r="R21" s="182" t="s">
        <v>231</v>
      </c>
      <c r="S21" s="182" t="s">
        <v>231</v>
      </c>
      <c r="T21" s="182" t="s">
        <v>231</v>
      </c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41">
        <f t="shared" si="1"/>
        <v>0</v>
      </c>
      <c r="AF21" s="116" t="s">
        <v>305</v>
      </c>
      <c r="AG21" s="550" t="s">
        <v>41</v>
      </c>
      <c r="AH21" s="542"/>
      <c r="AI21" s="189" t="s">
        <v>715</v>
      </c>
    </row>
    <row r="22" spans="1:35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3"/>
        <v>0</v>
      </c>
      <c r="G22" s="176">
        <v>0</v>
      </c>
      <c r="H22" s="176">
        <v>0</v>
      </c>
      <c r="I22" s="176">
        <v>0</v>
      </c>
      <c r="J22" s="176">
        <v>0</v>
      </c>
      <c r="K22" s="176">
        <v>0</v>
      </c>
      <c r="L22" s="176">
        <v>0</v>
      </c>
      <c r="M22" s="176">
        <v>0</v>
      </c>
      <c r="N22" s="176">
        <v>0</v>
      </c>
      <c r="O22" s="176">
        <v>0</v>
      </c>
      <c r="P22" s="176">
        <v>0</v>
      </c>
      <c r="Q22" s="176">
        <v>0</v>
      </c>
      <c r="R22" s="176">
        <v>0</v>
      </c>
      <c r="S22" s="176">
        <v>0</v>
      </c>
      <c r="T22" s="176">
        <v>0</v>
      </c>
      <c r="U22" s="176">
        <v>0</v>
      </c>
      <c r="V22" s="176">
        <v>0</v>
      </c>
      <c r="W22" s="176">
        <v>0</v>
      </c>
      <c r="X22" s="176">
        <v>0</v>
      </c>
      <c r="Y22" s="176">
        <v>0</v>
      </c>
      <c r="Z22" s="176">
        <v>0</v>
      </c>
      <c r="AA22" s="176">
        <v>0</v>
      </c>
      <c r="AB22" s="176">
        <v>0</v>
      </c>
      <c r="AC22" s="176">
        <v>0</v>
      </c>
      <c r="AD22" s="176">
        <v>0</v>
      </c>
      <c r="AE22" s="41">
        <f t="shared" si="1"/>
        <v>0</v>
      </c>
      <c r="AF22" s="116" t="s">
        <v>225</v>
      </c>
      <c r="AG22" s="550" t="s">
        <v>41</v>
      </c>
      <c r="AH22" s="542"/>
      <c r="AI22" s="189" t="s">
        <v>715</v>
      </c>
    </row>
    <row r="23" spans="1:35" ht="14.25" customHeight="1">
      <c r="A23" s="98" t="s">
        <v>41</v>
      </c>
      <c r="B23" s="98" t="s">
        <v>111</v>
      </c>
      <c r="C23" s="98"/>
      <c r="D23" s="39">
        <v>23</v>
      </c>
      <c r="E23" s="207" t="s">
        <v>112</v>
      </c>
      <c r="F23" s="41">
        <f t="shared" si="3"/>
        <v>14</v>
      </c>
      <c r="G23" s="176"/>
      <c r="H23" s="176"/>
      <c r="I23" s="176"/>
      <c r="J23" s="176"/>
      <c r="K23" s="176"/>
      <c r="L23" s="176"/>
      <c r="M23" s="176"/>
      <c r="N23" s="176"/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176">
        <v>1</v>
      </c>
      <c r="Y23" s="176">
        <v>1</v>
      </c>
      <c r="Z23" s="176">
        <v>1</v>
      </c>
      <c r="AA23" s="176">
        <v>1</v>
      </c>
      <c r="AB23" s="176">
        <v>1</v>
      </c>
      <c r="AC23" s="176"/>
      <c r="AD23" s="176"/>
      <c r="AE23" s="41">
        <f t="shared" si="1"/>
        <v>14</v>
      </c>
      <c r="AF23" s="116" t="s">
        <v>719</v>
      </c>
      <c r="AG23" s="550" t="s">
        <v>41</v>
      </c>
      <c r="AH23" s="542"/>
      <c r="AI23" s="189" t="s">
        <v>715</v>
      </c>
    </row>
    <row r="24" spans="1:35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3"/>
        <v>5</v>
      </c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>
        <v>1</v>
      </c>
      <c r="AA24" s="187">
        <v>1</v>
      </c>
      <c r="AB24" s="187">
        <v>1</v>
      </c>
      <c r="AC24" s="187">
        <v>1</v>
      </c>
      <c r="AD24" s="187">
        <v>1</v>
      </c>
      <c r="AE24" s="41">
        <f t="shared" si="1"/>
        <v>5</v>
      </c>
      <c r="AF24" s="116" t="s">
        <v>270</v>
      </c>
      <c r="AG24" s="550" t="s">
        <v>41</v>
      </c>
      <c r="AH24" s="542"/>
      <c r="AI24" s="189" t="s">
        <v>715</v>
      </c>
    </row>
    <row r="25" spans="1:35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3"/>
        <v>8</v>
      </c>
      <c r="G25" s="176"/>
      <c r="H25" s="176"/>
      <c r="I25" s="176"/>
      <c r="J25" s="176"/>
      <c r="K25" s="176"/>
      <c r="L25" s="176"/>
      <c r="M25" s="176">
        <v>1</v>
      </c>
      <c r="N25" s="176">
        <v>1</v>
      </c>
      <c r="O25" s="176">
        <v>1</v>
      </c>
      <c r="P25" s="176">
        <v>1</v>
      </c>
      <c r="Q25" s="176">
        <v>1</v>
      </c>
      <c r="R25" s="176">
        <v>1</v>
      </c>
      <c r="S25" s="176">
        <v>1</v>
      </c>
      <c r="T25" s="176">
        <v>1</v>
      </c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41">
        <f t="shared" si="1"/>
        <v>8</v>
      </c>
      <c r="AF25" s="116" t="s">
        <v>252</v>
      </c>
      <c r="AG25" s="550" t="s">
        <v>41</v>
      </c>
      <c r="AH25" s="542"/>
      <c r="AI25" s="189" t="s">
        <v>715</v>
      </c>
    </row>
    <row r="26" spans="1:35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3"/>
        <v>9</v>
      </c>
      <c r="G26" s="176">
        <v>1</v>
      </c>
      <c r="H26" s="176">
        <v>1</v>
      </c>
      <c r="I26" s="176">
        <v>1</v>
      </c>
      <c r="J26" s="176">
        <v>1</v>
      </c>
      <c r="K26" s="176">
        <v>1</v>
      </c>
      <c r="L26" s="176">
        <v>1</v>
      </c>
      <c r="M26" s="176">
        <v>1</v>
      </c>
      <c r="N26" s="176">
        <v>1</v>
      </c>
      <c r="O26" s="176">
        <v>1</v>
      </c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41">
        <f t="shared" si="1"/>
        <v>9</v>
      </c>
      <c r="AF26" s="116" t="s">
        <v>358</v>
      </c>
      <c r="AG26" s="550" t="s">
        <v>41</v>
      </c>
      <c r="AH26" s="542"/>
      <c r="AI26" s="189" t="s">
        <v>715</v>
      </c>
    </row>
    <row r="27" spans="1:35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3"/>
        <v>4</v>
      </c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295">
        <v>1</v>
      </c>
      <c r="W27" s="295">
        <v>1</v>
      </c>
      <c r="X27" s="295">
        <v>1</v>
      </c>
      <c r="Y27" s="295">
        <v>1</v>
      </c>
      <c r="Z27" s="176"/>
      <c r="AA27" s="176"/>
      <c r="AB27" s="176"/>
      <c r="AC27" s="176"/>
      <c r="AD27" s="176"/>
      <c r="AE27" s="41">
        <f t="shared" si="1"/>
        <v>4</v>
      </c>
      <c r="AF27" s="116" t="s">
        <v>225</v>
      </c>
      <c r="AG27" s="578" t="s">
        <v>470</v>
      </c>
      <c r="AH27" s="555"/>
      <c r="AI27" s="189" t="s">
        <v>715</v>
      </c>
    </row>
    <row r="28" spans="1:35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3"/>
        <v>0</v>
      </c>
      <c r="G28" s="176">
        <v>0</v>
      </c>
      <c r="H28" s="176">
        <v>0</v>
      </c>
      <c r="I28" s="176">
        <v>0</v>
      </c>
      <c r="J28" s="176">
        <v>0</v>
      </c>
      <c r="K28" s="176">
        <v>0</v>
      </c>
      <c r="L28" s="176">
        <v>0</v>
      </c>
      <c r="M28" s="176">
        <v>0</v>
      </c>
      <c r="N28" s="176">
        <v>0</v>
      </c>
      <c r="O28" s="176">
        <v>0</v>
      </c>
      <c r="P28" s="176">
        <v>0</v>
      </c>
      <c r="Q28" s="176">
        <v>0</v>
      </c>
      <c r="R28" s="176">
        <v>0</v>
      </c>
      <c r="S28" s="176">
        <v>0</v>
      </c>
      <c r="T28" s="176">
        <v>0</v>
      </c>
      <c r="U28" s="176">
        <v>0</v>
      </c>
      <c r="V28" s="176">
        <v>0</v>
      </c>
      <c r="W28" s="176">
        <v>0</v>
      </c>
      <c r="X28" s="176">
        <v>0</v>
      </c>
      <c r="Y28" s="176">
        <v>0</v>
      </c>
      <c r="Z28" s="176">
        <v>0</v>
      </c>
      <c r="AA28" s="176">
        <v>0</v>
      </c>
      <c r="AB28" s="176">
        <v>0</v>
      </c>
      <c r="AC28" s="176">
        <v>0</v>
      </c>
      <c r="AD28" s="176">
        <v>0</v>
      </c>
      <c r="AE28" s="41">
        <f t="shared" si="1"/>
        <v>0</v>
      </c>
      <c r="AF28" s="116" t="s">
        <v>225</v>
      </c>
      <c r="AG28" s="550" t="s">
        <v>41</v>
      </c>
      <c r="AH28" s="542"/>
      <c r="AI28" s="189" t="s">
        <v>715</v>
      </c>
    </row>
    <row r="29" spans="1:35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3"/>
        <v>5</v>
      </c>
      <c r="G29" s="290"/>
      <c r="H29" s="290"/>
      <c r="I29" s="290"/>
      <c r="J29" s="290"/>
      <c r="K29" s="290"/>
      <c r="L29" s="290"/>
      <c r="M29" s="250"/>
      <c r="N29" s="250"/>
      <c r="O29" s="250"/>
      <c r="P29" s="250"/>
      <c r="Q29" s="250"/>
      <c r="R29" s="250"/>
      <c r="S29" s="250"/>
      <c r="T29" s="250"/>
      <c r="U29" s="250"/>
      <c r="V29" s="290"/>
      <c r="W29" s="309"/>
      <c r="X29" s="290"/>
      <c r="Y29" s="290"/>
      <c r="Z29" s="290">
        <v>1</v>
      </c>
      <c r="AA29" s="187">
        <v>1</v>
      </c>
      <c r="AB29" s="187">
        <v>1</v>
      </c>
      <c r="AC29" s="187">
        <v>1</v>
      </c>
      <c r="AD29" s="187">
        <v>1</v>
      </c>
      <c r="AE29" s="41">
        <f t="shared" si="1"/>
        <v>5</v>
      </c>
      <c r="AF29" s="116" t="s">
        <v>270</v>
      </c>
      <c r="AG29" s="550" t="s">
        <v>41</v>
      </c>
      <c r="AH29" s="542"/>
      <c r="AI29" s="189" t="s">
        <v>715</v>
      </c>
    </row>
    <row r="30" spans="1:35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3"/>
        <v>0</v>
      </c>
      <c r="G30" s="176">
        <v>0</v>
      </c>
      <c r="H30" s="176">
        <v>0</v>
      </c>
      <c r="I30" s="176">
        <v>0</v>
      </c>
      <c r="J30" s="176">
        <v>0</v>
      </c>
      <c r="K30" s="176">
        <v>0</v>
      </c>
      <c r="L30" s="176">
        <v>0</v>
      </c>
      <c r="M30" s="176">
        <v>0</v>
      </c>
      <c r="N30" s="176">
        <v>0</v>
      </c>
      <c r="O30" s="176">
        <v>0</v>
      </c>
      <c r="P30" s="176">
        <v>0</v>
      </c>
      <c r="Q30" s="176">
        <v>0</v>
      </c>
      <c r="R30" s="176">
        <v>0</v>
      </c>
      <c r="S30" s="176">
        <v>0</v>
      </c>
      <c r="T30" s="176">
        <v>0</v>
      </c>
      <c r="U30" s="176">
        <v>0</v>
      </c>
      <c r="V30" s="176">
        <v>0</v>
      </c>
      <c r="W30" s="176">
        <v>0</v>
      </c>
      <c r="X30" s="176">
        <v>0</v>
      </c>
      <c r="Y30" s="176">
        <v>0</v>
      </c>
      <c r="Z30" s="176">
        <v>0</v>
      </c>
      <c r="AA30" s="176">
        <v>0</v>
      </c>
      <c r="AB30" s="176">
        <v>0</v>
      </c>
      <c r="AC30" s="176">
        <v>0</v>
      </c>
      <c r="AD30" s="176">
        <v>0</v>
      </c>
      <c r="AE30" s="41">
        <f t="shared" si="1"/>
        <v>0</v>
      </c>
      <c r="AF30" s="116" t="s">
        <v>225</v>
      </c>
      <c r="AG30" s="550" t="s">
        <v>41</v>
      </c>
      <c r="AH30" s="542"/>
      <c r="AI30" s="189" t="s">
        <v>715</v>
      </c>
    </row>
    <row r="31" spans="1:35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f t="shared" si="3"/>
        <v>0</v>
      </c>
      <c r="G31" s="176">
        <v>0</v>
      </c>
      <c r="H31" s="176">
        <v>0</v>
      </c>
      <c r="I31" s="176">
        <v>0</v>
      </c>
      <c r="J31" s="176">
        <v>0</v>
      </c>
      <c r="K31" s="176">
        <v>0</v>
      </c>
      <c r="L31" s="176">
        <v>0</v>
      </c>
      <c r="M31" s="176">
        <v>0</v>
      </c>
      <c r="N31" s="176">
        <v>0</v>
      </c>
      <c r="O31" s="176">
        <v>0</v>
      </c>
      <c r="P31" s="176">
        <v>0</v>
      </c>
      <c r="Q31" s="176">
        <v>0</v>
      </c>
      <c r="R31" s="176">
        <v>0</v>
      </c>
      <c r="S31" s="176">
        <v>0</v>
      </c>
      <c r="T31" s="176">
        <v>0</v>
      </c>
      <c r="U31" s="176">
        <v>0</v>
      </c>
      <c r="V31" s="176">
        <v>0</v>
      </c>
      <c r="W31" s="176">
        <v>0</v>
      </c>
      <c r="X31" s="176">
        <v>0</v>
      </c>
      <c r="Y31" s="176">
        <v>0</v>
      </c>
      <c r="Z31" s="176">
        <v>0</v>
      </c>
      <c r="AA31" s="176">
        <v>0</v>
      </c>
      <c r="AB31" s="176">
        <v>0</v>
      </c>
      <c r="AC31" s="176">
        <v>0</v>
      </c>
      <c r="AD31" s="176">
        <v>0</v>
      </c>
      <c r="AE31" s="41">
        <f t="shared" si="1"/>
        <v>0</v>
      </c>
      <c r="AF31" s="116" t="s">
        <v>225</v>
      </c>
      <c r="AG31" s="550" t="s">
        <v>41</v>
      </c>
      <c r="AH31" s="542"/>
      <c r="AI31" s="189" t="s">
        <v>715</v>
      </c>
    </row>
    <row r="32" spans="1:35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si="3"/>
        <v>9</v>
      </c>
      <c r="G32" s="216">
        <v>1</v>
      </c>
      <c r="H32" s="216">
        <v>1</v>
      </c>
      <c r="I32" s="216">
        <v>1</v>
      </c>
      <c r="J32" s="216">
        <v>1</v>
      </c>
      <c r="K32" s="216">
        <v>1</v>
      </c>
      <c r="L32" s="216">
        <v>1</v>
      </c>
      <c r="M32" s="216">
        <v>1</v>
      </c>
      <c r="N32" s="216">
        <v>1</v>
      </c>
      <c r="O32" s="216">
        <v>1</v>
      </c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41">
        <f t="shared" si="1"/>
        <v>9</v>
      </c>
      <c r="AF32" s="116" t="s">
        <v>358</v>
      </c>
      <c r="AG32" s="550" t="s">
        <v>41</v>
      </c>
      <c r="AH32" s="542"/>
      <c r="AI32" s="189" t="s">
        <v>715</v>
      </c>
    </row>
    <row r="33" spans="1:35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3"/>
        <v>0</v>
      </c>
      <c r="G33" s="176">
        <v>0</v>
      </c>
      <c r="H33" s="176">
        <v>0</v>
      </c>
      <c r="I33" s="176">
        <v>0</v>
      </c>
      <c r="J33" s="176">
        <v>0</v>
      </c>
      <c r="K33" s="176">
        <v>0</v>
      </c>
      <c r="L33" s="176">
        <v>0</v>
      </c>
      <c r="M33" s="176">
        <v>0</v>
      </c>
      <c r="N33" s="176">
        <v>0</v>
      </c>
      <c r="O33" s="176">
        <v>0</v>
      </c>
      <c r="P33" s="176">
        <v>0</v>
      </c>
      <c r="Q33" s="176">
        <v>0</v>
      </c>
      <c r="R33" s="176">
        <v>0</v>
      </c>
      <c r="S33" s="176">
        <v>0</v>
      </c>
      <c r="T33" s="176">
        <v>0</v>
      </c>
      <c r="U33" s="176">
        <v>0</v>
      </c>
      <c r="V33" s="176">
        <v>0</v>
      </c>
      <c r="W33" s="176">
        <v>0</v>
      </c>
      <c r="X33" s="176">
        <v>0</v>
      </c>
      <c r="Y33" s="176">
        <v>0</v>
      </c>
      <c r="Z33" s="176">
        <v>0</v>
      </c>
      <c r="AA33" s="176">
        <v>0</v>
      </c>
      <c r="AB33" s="176">
        <v>0</v>
      </c>
      <c r="AC33" s="176">
        <v>0</v>
      </c>
      <c r="AD33" s="176">
        <v>0</v>
      </c>
      <c r="AE33" s="41">
        <f t="shared" si="1"/>
        <v>0</v>
      </c>
      <c r="AF33" s="116" t="s">
        <v>225</v>
      </c>
      <c r="AG33" s="550" t="s">
        <v>41</v>
      </c>
      <c r="AH33" s="542"/>
      <c r="AI33" s="189" t="s">
        <v>715</v>
      </c>
    </row>
    <row r="34" spans="1:35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3"/>
        <v>0</v>
      </c>
      <c r="G34" s="176">
        <v>0</v>
      </c>
      <c r="H34" s="176">
        <v>0</v>
      </c>
      <c r="I34" s="176">
        <v>0</v>
      </c>
      <c r="J34" s="176">
        <v>0</v>
      </c>
      <c r="K34" s="176">
        <v>0</v>
      </c>
      <c r="L34" s="176">
        <v>0</v>
      </c>
      <c r="M34" s="176">
        <v>0</v>
      </c>
      <c r="N34" s="176">
        <v>0</v>
      </c>
      <c r="O34" s="176">
        <v>0</v>
      </c>
      <c r="P34" s="176">
        <v>0</v>
      </c>
      <c r="Q34" s="176">
        <v>0</v>
      </c>
      <c r="R34" s="176">
        <v>0</v>
      </c>
      <c r="S34" s="176">
        <v>0</v>
      </c>
      <c r="T34" s="176">
        <v>0</v>
      </c>
      <c r="U34" s="176">
        <v>0</v>
      </c>
      <c r="V34" s="176">
        <v>0</v>
      </c>
      <c r="W34" s="176">
        <v>0</v>
      </c>
      <c r="X34" s="176">
        <v>0</v>
      </c>
      <c r="Y34" s="176">
        <v>0</v>
      </c>
      <c r="Z34" s="176">
        <v>0</v>
      </c>
      <c r="AA34" s="176">
        <v>0</v>
      </c>
      <c r="AB34" s="176">
        <v>0</v>
      </c>
      <c r="AC34" s="176">
        <v>0</v>
      </c>
      <c r="AD34" s="176">
        <v>0</v>
      </c>
      <c r="AE34" s="41">
        <f t="shared" si="1"/>
        <v>0</v>
      </c>
      <c r="AF34" s="116" t="s">
        <v>225</v>
      </c>
      <c r="AG34" s="550" t="s">
        <v>41</v>
      </c>
      <c r="AH34" s="542"/>
      <c r="AI34" s="189" t="s">
        <v>715</v>
      </c>
    </row>
    <row r="35" spans="1:35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4" t="s">
        <v>457</v>
      </c>
      <c r="F35" s="41">
        <f t="shared" si="3"/>
        <v>0</v>
      </c>
      <c r="G35" s="176">
        <v>0</v>
      </c>
      <c r="H35" s="176">
        <v>0</v>
      </c>
      <c r="I35" s="176">
        <v>0</v>
      </c>
      <c r="J35" s="176">
        <v>0</v>
      </c>
      <c r="K35" s="176">
        <v>0</v>
      </c>
      <c r="L35" s="176">
        <v>0</v>
      </c>
      <c r="M35" s="176">
        <v>0</v>
      </c>
      <c r="N35" s="176">
        <v>0</v>
      </c>
      <c r="O35" s="176">
        <v>0</v>
      </c>
      <c r="P35" s="176">
        <v>0</v>
      </c>
      <c r="Q35" s="176">
        <v>0</v>
      </c>
      <c r="R35" s="176">
        <v>0</v>
      </c>
      <c r="S35" s="176">
        <v>0</v>
      </c>
      <c r="T35" s="176">
        <v>0</v>
      </c>
      <c r="U35" s="176">
        <v>0</v>
      </c>
      <c r="V35" s="176">
        <v>0</v>
      </c>
      <c r="W35" s="176">
        <v>0</v>
      </c>
      <c r="X35" s="176">
        <v>0</v>
      </c>
      <c r="Y35" s="176">
        <v>0</v>
      </c>
      <c r="Z35" s="176">
        <v>0</v>
      </c>
      <c r="AA35" s="176">
        <v>0</v>
      </c>
      <c r="AB35" s="176">
        <v>0</v>
      </c>
      <c r="AC35" s="176">
        <v>0</v>
      </c>
      <c r="AD35" s="176">
        <v>0</v>
      </c>
      <c r="AE35" s="41">
        <f t="shared" si="1"/>
        <v>0</v>
      </c>
      <c r="AF35" s="116" t="s">
        <v>225</v>
      </c>
      <c r="AG35" s="550" t="s">
        <v>41</v>
      </c>
      <c r="AH35" s="542"/>
      <c r="AI35" s="189" t="s">
        <v>715</v>
      </c>
    </row>
    <row r="36" spans="1:35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4" t="s">
        <v>460</v>
      </c>
      <c r="F36" s="41">
        <f t="shared" si="3"/>
        <v>0</v>
      </c>
      <c r="G36" s="176">
        <v>0</v>
      </c>
      <c r="H36" s="176">
        <v>0</v>
      </c>
      <c r="I36" s="176">
        <v>0</v>
      </c>
      <c r="J36" s="176"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0</v>
      </c>
      <c r="S36" s="176">
        <v>0</v>
      </c>
      <c r="T36" s="176">
        <v>0</v>
      </c>
      <c r="U36" s="176">
        <v>0</v>
      </c>
      <c r="V36" s="176">
        <v>0</v>
      </c>
      <c r="W36" s="176">
        <v>0</v>
      </c>
      <c r="X36" s="176">
        <v>0</v>
      </c>
      <c r="Y36" s="176">
        <v>0</v>
      </c>
      <c r="Z36" s="176">
        <v>0</v>
      </c>
      <c r="AA36" s="176">
        <v>0</v>
      </c>
      <c r="AB36" s="176">
        <v>0</v>
      </c>
      <c r="AC36" s="176">
        <v>0</v>
      </c>
      <c r="AD36" s="176">
        <v>0</v>
      </c>
      <c r="AE36" s="41">
        <f t="shared" si="1"/>
        <v>0</v>
      </c>
      <c r="AF36" s="116" t="s">
        <v>225</v>
      </c>
      <c r="AG36" s="550" t="s">
        <v>41</v>
      </c>
      <c r="AH36" s="542"/>
      <c r="AI36" s="189" t="s">
        <v>715</v>
      </c>
    </row>
    <row r="37" spans="1:35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4" t="s">
        <v>461</v>
      </c>
      <c r="F37" s="41">
        <f t="shared" si="3"/>
        <v>8</v>
      </c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>
        <v>1</v>
      </c>
      <c r="V37" s="216">
        <v>1</v>
      </c>
      <c r="W37" s="216">
        <v>1</v>
      </c>
      <c r="X37" s="216">
        <v>1</v>
      </c>
      <c r="Y37" s="216">
        <v>1</v>
      </c>
      <c r="Z37" s="216">
        <v>1</v>
      </c>
      <c r="AA37" s="216">
        <v>1</v>
      </c>
      <c r="AB37" s="216">
        <v>1</v>
      </c>
      <c r="AC37" s="216"/>
      <c r="AD37" s="216"/>
      <c r="AE37" s="41">
        <f t="shared" si="1"/>
        <v>8</v>
      </c>
      <c r="AF37" s="116" t="s">
        <v>720</v>
      </c>
      <c r="AG37" s="550" t="s">
        <v>41</v>
      </c>
      <c r="AH37" s="542"/>
      <c r="AI37" s="189" t="s">
        <v>715</v>
      </c>
    </row>
    <row r="38" spans="1:35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4" t="s">
        <v>463</v>
      </c>
      <c r="F38" s="41">
        <f t="shared" si="3"/>
        <v>7</v>
      </c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>
        <v>1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>
        <v>1</v>
      </c>
      <c r="AC38" s="176"/>
      <c r="AD38" s="176"/>
      <c r="AE38" s="41">
        <f t="shared" si="1"/>
        <v>7</v>
      </c>
      <c r="AF38" s="116" t="s">
        <v>282</v>
      </c>
      <c r="AG38" s="550" t="s">
        <v>41</v>
      </c>
      <c r="AH38" s="542"/>
      <c r="AI38" s="189" t="s">
        <v>715</v>
      </c>
    </row>
    <row r="39" spans="1:35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4" t="s">
        <v>465</v>
      </c>
      <c r="F39" s="41">
        <f t="shared" si="3"/>
        <v>0</v>
      </c>
      <c r="G39" s="176">
        <v>0</v>
      </c>
      <c r="H39" s="176">
        <v>0</v>
      </c>
      <c r="I39" s="176">
        <v>0</v>
      </c>
      <c r="J39" s="176">
        <v>0</v>
      </c>
      <c r="K39" s="176">
        <v>0</v>
      </c>
      <c r="L39" s="176">
        <v>0</v>
      </c>
      <c r="M39" s="176">
        <v>0</v>
      </c>
      <c r="N39" s="176">
        <v>0</v>
      </c>
      <c r="O39" s="176">
        <v>0</v>
      </c>
      <c r="P39" s="176">
        <v>0</v>
      </c>
      <c r="Q39" s="176">
        <v>0</v>
      </c>
      <c r="R39" s="176">
        <v>0</v>
      </c>
      <c r="S39" s="176">
        <v>0</v>
      </c>
      <c r="T39" s="176">
        <v>0</v>
      </c>
      <c r="U39" s="176">
        <v>0</v>
      </c>
      <c r="V39" s="176">
        <v>0</v>
      </c>
      <c r="W39" s="176">
        <v>0</v>
      </c>
      <c r="X39" s="176">
        <v>0</v>
      </c>
      <c r="Y39" s="176">
        <v>0</v>
      </c>
      <c r="Z39" s="176">
        <v>0</v>
      </c>
      <c r="AA39" s="176">
        <v>0</v>
      </c>
      <c r="AB39" s="176">
        <v>0</v>
      </c>
      <c r="AC39" s="176">
        <v>0</v>
      </c>
      <c r="AD39" s="176">
        <v>0</v>
      </c>
      <c r="AE39" s="41">
        <f t="shared" si="1"/>
        <v>0</v>
      </c>
      <c r="AF39" s="116" t="s">
        <v>225</v>
      </c>
      <c r="AG39" s="550" t="s">
        <v>41</v>
      </c>
      <c r="AH39" s="542"/>
      <c r="AI39" s="189" t="s">
        <v>715</v>
      </c>
    </row>
    <row r="40" spans="1:35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3"/>
        <v>4</v>
      </c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>
        <v>1</v>
      </c>
      <c r="W40" s="176">
        <v>1</v>
      </c>
      <c r="X40" s="176">
        <v>1</v>
      </c>
      <c r="Y40" s="176">
        <v>1</v>
      </c>
      <c r="Z40" s="176"/>
      <c r="AA40" s="176"/>
      <c r="AB40" s="176"/>
      <c r="AC40" s="176"/>
      <c r="AD40" s="176"/>
      <c r="AE40" s="41">
        <f t="shared" si="1"/>
        <v>4</v>
      </c>
      <c r="AF40" s="116" t="s">
        <v>721</v>
      </c>
      <c r="AG40" s="550" t="s">
        <v>41</v>
      </c>
      <c r="AH40" s="542"/>
      <c r="AI40" s="189" t="s">
        <v>715</v>
      </c>
    </row>
    <row r="41" spans="1:35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4" t="s">
        <v>467</v>
      </c>
      <c r="F41" s="41">
        <f t="shared" si="3"/>
        <v>0</v>
      </c>
      <c r="G41" s="176">
        <v>0</v>
      </c>
      <c r="H41" s="176">
        <v>0</v>
      </c>
      <c r="I41" s="176">
        <v>0</v>
      </c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76">
        <v>0</v>
      </c>
      <c r="P41" s="176">
        <v>0</v>
      </c>
      <c r="Q41" s="176">
        <v>0</v>
      </c>
      <c r="R41" s="176">
        <v>0</v>
      </c>
      <c r="S41" s="176">
        <v>0</v>
      </c>
      <c r="T41" s="176">
        <v>0</v>
      </c>
      <c r="U41" s="176">
        <v>0</v>
      </c>
      <c r="V41" s="176">
        <v>0</v>
      </c>
      <c r="W41" s="176">
        <v>0</v>
      </c>
      <c r="X41" s="176">
        <v>0</v>
      </c>
      <c r="Y41" s="176">
        <v>0</v>
      </c>
      <c r="Z41" s="176">
        <v>0</v>
      </c>
      <c r="AA41" s="176">
        <v>0</v>
      </c>
      <c r="AB41" s="176">
        <v>0</v>
      </c>
      <c r="AC41" s="176">
        <v>0</v>
      </c>
      <c r="AD41" s="176">
        <v>0</v>
      </c>
      <c r="AE41" s="41">
        <f t="shared" si="1"/>
        <v>0</v>
      </c>
      <c r="AF41" s="116" t="s">
        <v>225</v>
      </c>
      <c r="AG41" s="550" t="s">
        <v>41</v>
      </c>
      <c r="AH41" s="542"/>
      <c r="AI41" s="189" t="s">
        <v>715</v>
      </c>
    </row>
    <row r="42" spans="1:35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3"/>
        <v>0</v>
      </c>
      <c r="G42" s="176">
        <v>0</v>
      </c>
      <c r="H42" s="176">
        <v>0</v>
      </c>
      <c r="I42" s="176">
        <v>0</v>
      </c>
      <c r="J42" s="176"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0</v>
      </c>
      <c r="P42" s="176">
        <v>0</v>
      </c>
      <c r="Q42" s="176">
        <v>0</v>
      </c>
      <c r="R42" s="176">
        <v>0</v>
      </c>
      <c r="S42" s="176">
        <v>0</v>
      </c>
      <c r="T42" s="176">
        <v>0</v>
      </c>
      <c r="U42" s="176">
        <v>0</v>
      </c>
      <c r="V42" s="176">
        <v>0</v>
      </c>
      <c r="W42" s="176">
        <v>0</v>
      </c>
      <c r="X42" s="176">
        <v>0</v>
      </c>
      <c r="Y42" s="176">
        <v>0</v>
      </c>
      <c r="Z42" s="176">
        <v>0</v>
      </c>
      <c r="AA42" s="176">
        <v>0</v>
      </c>
      <c r="AB42" s="176">
        <v>0</v>
      </c>
      <c r="AC42" s="176">
        <v>0</v>
      </c>
      <c r="AD42" s="176">
        <v>0</v>
      </c>
      <c r="AE42" s="41">
        <f t="shared" si="1"/>
        <v>0</v>
      </c>
      <c r="AF42" s="116" t="s">
        <v>225</v>
      </c>
      <c r="AG42" s="550" t="s">
        <v>41</v>
      </c>
      <c r="AH42" s="542"/>
      <c r="AI42" s="189" t="s">
        <v>715</v>
      </c>
    </row>
    <row r="43" spans="1:35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3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1"/>
        <v>0</v>
      </c>
      <c r="AF43" s="116" t="s">
        <v>382</v>
      </c>
      <c r="AG43" s="550" t="s">
        <v>41</v>
      </c>
      <c r="AH43" s="542"/>
      <c r="AI43" s="189" t="s">
        <v>715</v>
      </c>
    </row>
    <row r="44" spans="1:35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3"/>
        <v>12</v>
      </c>
      <c r="G44" s="176"/>
      <c r="H44" s="176"/>
      <c r="I44" s="176"/>
      <c r="J44" s="176"/>
      <c r="K44" s="176"/>
      <c r="L44" s="176"/>
      <c r="M44" s="176"/>
      <c r="N44" s="216"/>
      <c r="O44" s="337">
        <v>1</v>
      </c>
      <c r="P44" s="216">
        <v>1</v>
      </c>
      <c r="Q44" s="216">
        <v>1</v>
      </c>
      <c r="R44" s="216">
        <v>1</v>
      </c>
      <c r="S44" s="216">
        <v>1</v>
      </c>
      <c r="T44" s="216">
        <v>1</v>
      </c>
      <c r="U44" s="216">
        <v>1</v>
      </c>
      <c r="V44" s="216">
        <v>1</v>
      </c>
      <c r="W44" s="216"/>
      <c r="X44" s="216">
        <v>1</v>
      </c>
      <c r="Y44" s="216">
        <v>1</v>
      </c>
      <c r="Z44" s="216">
        <v>1</v>
      </c>
      <c r="AA44" s="216">
        <v>1</v>
      </c>
      <c r="AB44" s="176"/>
      <c r="AC44" s="176"/>
      <c r="AD44" s="176"/>
      <c r="AE44" s="41">
        <f t="shared" si="1"/>
        <v>12</v>
      </c>
      <c r="AF44" s="116" t="s">
        <v>325</v>
      </c>
      <c r="AG44" s="550" t="s">
        <v>41</v>
      </c>
      <c r="AH44" s="542"/>
      <c r="AI44" s="189" t="s">
        <v>715</v>
      </c>
    </row>
    <row r="45" spans="1:35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3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1"/>
        <v>0</v>
      </c>
      <c r="AF45" s="116" t="s">
        <v>382</v>
      </c>
      <c r="AG45" s="550" t="s">
        <v>41</v>
      </c>
      <c r="AH45" s="542"/>
      <c r="AI45" s="189" t="s">
        <v>715</v>
      </c>
    </row>
    <row r="46" spans="1:35" ht="14.25" customHeight="1">
      <c r="A46" s="38" t="s">
        <v>41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3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1"/>
        <v>0</v>
      </c>
      <c r="AF46" s="116" t="s">
        <v>382</v>
      </c>
      <c r="AG46" s="550" t="s">
        <v>41</v>
      </c>
      <c r="AH46" s="542"/>
      <c r="AI46" s="189" t="s">
        <v>715</v>
      </c>
    </row>
    <row r="47" spans="1:35" ht="14.25" customHeight="1">
      <c r="A47" s="98"/>
      <c r="B47" s="98"/>
      <c r="C47" s="98"/>
      <c r="D47" s="86">
        <v>1</v>
      </c>
      <c r="E47" s="218" t="s">
        <v>138</v>
      </c>
      <c r="F47" s="41">
        <f t="shared" si="3"/>
        <v>0</v>
      </c>
      <c r="G47" s="176">
        <v>0</v>
      </c>
      <c r="H47" s="176">
        <v>0</v>
      </c>
      <c r="I47" s="176">
        <v>0</v>
      </c>
      <c r="J47" s="176">
        <v>0</v>
      </c>
      <c r="K47" s="176">
        <v>0</v>
      </c>
      <c r="L47" s="176">
        <v>0</v>
      </c>
      <c r="M47" s="176">
        <v>0</v>
      </c>
      <c r="N47" s="176">
        <v>0</v>
      </c>
      <c r="O47" s="176">
        <v>0</v>
      </c>
      <c r="P47" s="176">
        <v>0</v>
      </c>
      <c r="Q47" s="176">
        <v>0</v>
      </c>
      <c r="R47" s="176">
        <v>0</v>
      </c>
      <c r="S47" s="176">
        <v>0</v>
      </c>
      <c r="T47" s="176">
        <v>0</v>
      </c>
      <c r="U47" s="176">
        <v>0</v>
      </c>
      <c r="V47" s="176">
        <v>0</v>
      </c>
      <c r="W47" s="176">
        <v>0</v>
      </c>
      <c r="X47" s="176">
        <v>0</v>
      </c>
      <c r="Y47" s="176">
        <v>0</v>
      </c>
      <c r="Z47" s="176">
        <v>0</v>
      </c>
      <c r="AA47" s="176">
        <v>0</v>
      </c>
      <c r="AB47" s="176">
        <v>0</v>
      </c>
      <c r="AC47" s="176">
        <v>0</v>
      </c>
      <c r="AD47" s="176">
        <v>0</v>
      </c>
      <c r="AE47" s="41">
        <f t="shared" si="1"/>
        <v>0</v>
      </c>
      <c r="AF47" s="116" t="s">
        <v>225</v>
      </c>
      <c r="AG47" s="550" t="s">
        <v>41</v>
      </c>
      <c r="AH47" s="542"/>
      <c r="AI47" s="189" t="s">
        <v>715</v>
      </c>
    </row>
    <row r="48" spans="1:35" ht="14.25" customHeight="1">
      <c r="A48" s="98"/>
      <c r="B48" s="98"/>
      <c r="C48" s="98"/>
      <c r="D48" s="39">
        <v>2</v>
      </c>
      <c r="E48" s="218" t="s">
        <v>191</v>
      </c>
      <c r="F48" s="41">
        <f t="shared" si="3"/>
        <v>5</v>
      </c>
      <c r="G48" s="77"/>
      <c r="H48" s="77"/>
      <c r="I48" s="77"/>
      <c r="J48" s="77"/>
      <c r="K48" s="77"/>
      <c r="L48" s="77"/>
      <c r="M48" s="176"/>
      <c r="N48" s="176"/>
      <c r="O48" s="176"/>
      <c r="P48" s="176"/>
      <c r="Q48" s="176"/>
      <c r="R48" s="176"/>
      <c r="S48" s="176"/>
      <c r="T48" s="176"/>
      <c r="U48" s="295">
        <v>1</v>
      </c>
      <c r="V48" s="295">
        <v>1</v>
      </c>
      <c r="W48" s="295">
        <v>1</v>
      </c>
      <c r="X48" s="295">
        <v>1</v>
      </c>
      <c r="Y48" s="295">
        <v>1</v>
      </c>
      <c r="Z48" s="295"/>
      <c r="AA48" s="295"/>
      <c r="AB48" s="295"/>
      <c r="AC48" s="295"/>
      <c r="AD48" s="77"/>
      <c r="AE48" s="41">
        <f t="shared" si="1"/>
        <v>5</v>
      </c>
      <c r="AF48" s="116" t="s">
        <v>218</v>
      </c>
      <c r="AG48" s="176" t="s">
        <v>41</v>
      </c>
      <c r="AH48" s="186" t="s">
        <v>320</v>
      </c>
      <c r="AI48" s="189" t="s">
        <v>715</v>
      </c>
    </row>
    <row r="49" spans="1:35" ht="14.25" customHeight="1">
      <c r="A49" s="98"/>
      <c r="B49" s="98"/>
      <c r="C49" s="98"/>
      <c r="D49" s="39"/>
      <c r="E49" s="338" t="s">
        <v>123</v>
      </c>
      <c r="F49" s="41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295">
        <v>1</v>
      </c>
      <c r="T49" s="295">
        <v>1</v>
      </c>
      <c r="U49" s="295">
        <v>1</v>
      </c>
      <c r="V49" s="295">
        <v>1</v>
      </c>
      <c r="W49" s="295">
        <v>1</v>
      </c>
      <c r="X49" s="295">
        <v>1</v>
      </c>
      <c r="Y49" s="295">
        <v>1</v>
      </c>
      <c r="Z49" s="339"/>
      <c r="AA49" s="339"/>
      <c r="AB49" s="177"/>
      <c r="AC49" s="177"/>
      <c r="AD49" s="176"/>
      <c r="AE49" s="41"/>
      <c r="AF49" s="116" t="s">
        <v>312</v>
      </c>
      <c r="AG49" s="186"/>
      <c r="AH49" s="186"/>
      <c r="AI49" s="189"/>
    </row>
    <row r="50" spans="1:35" ht="14.25" customHeight="1">
      <c r="A50" s="98"/>
      <c r="B50" s="98"/>
      <c r="C50" s="98"/>
      <c r="D50" s="39"/>
      <c r="E50" s="206" t="s">
        <v>104</v>
      </c>
      <c r="F50" s="41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295">
        <v>1</v>
      </c>
      <c r="T50" s="295">
        <v>1</v>
      </c>
      <c r="U50" s="295">
        <v>1</v>
      </c>
      <c r="V50" s="295">
        <v>1</v>
      </c>
      <c r="W50" s="177"/>
      <c r="X50" s="177"/>
      <c r="Y50" s="177"/>
      <c r="Z50" s="177"/>
      <c r="AA50" s="177"/>
      <c r="AB50" s="177"/>
      <c r="AC50" s="177"/>
      <c r="AD50" s="176"/>
      <c r="AE50" s="41"/>
      <c r="AF50" s="116"/>
      <c r="AG50" s="186"/>
      <c r="AH50" s="186"/>
      <c r="AI50" s="189"/>
    </row>
    <row r="51" spans="1:35" ht="14.25" customHeight="1">
      <c r="A51" s="98"/>
      <c r="B51" s="98"/>
      <c r="C51" s="98"/>
      <c r="D51" s="39"/>
      <c r="E51" s="133" t="s">
        <v>722</v>
      </c>
      <c r="F51" s="41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295">
        <v>1</v>
      </c>
      <c r="V51" s="339">
        <v>1</v>
      </c>
      <c r="W51" s="339">
        <v>1</v>
      </c>
      <c r="X51" s="339">
        <v>1</v>
      </c>
      <c r="Y51" s="339">
        <v>1</v>
      </c>
      <c r="Z51" s="177"/>
      <c r="AA51" s="177"/>
      <c r="AB51" s="177"/>
      <c r="AC51" s="177"/>
      <c r="AD51" s="176"/>
      <c r="AE51" s="41"/>
      <c r="AF51" s="116" t="s">
        <v>307</v>
      </c>
      <c r="AG51" s="186"/>
      <c r="AH51" s="186"/>
      <c r="AI51" s="189"/>
    </row>
    <row r="52" spans="1:35" ht="14.25" customHeight="1">
      <c r="A52" s="98"/>
      <c r="B52" s="98"/>
      <c r="C52" s="98"/>
      <c r="D52" s="39"/>
      <c r="E52" s="133" t="s">
        <v>723</v>
      </c>
      <c r="F52" s="41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295">
        <v>1</v>
      </c>
      <c r="V52" s="339">
        <v>1</v>
      </c>
      <c r="W52" s="339">
        <v>1</v>
      </c>
      <c r="X52" s="339">
        <v>1</v>
      </c>
      <c r="Y52" s="339">
        <v>1</v>
      </c>
      <c r="Z52" s="177"/>
      <c r="AA52" s="177"/>
      <c r="AB52" s="177"/>
      <c r="AC52" s="177"/>
      <c r="AD52" s="176"/>
      <c r="AE52" s="41"/>
      <c r="AF52" s="116"/>
      <c r="AG52" s="186"/>
      <c r="AH52" s="186"/>
      <c r="AI52" s="189"/>
    </row>
    <row r="53" spans="1:35" ht="14.25" customHeight="1">
      <c r="A53" s="98"/>
      <c r="B53" s="98"/>
      <c r="C53" s="98"/>
      <c r="D53" s="39"/>
      <c r="E53" s="133" t="s">
        <v>724</v>
      </c>
      <c r="F53" s="41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295">
        <v>1</v>
      </c>
      <c r="V53" s="339">
        <v>1</v>
      </c>
      <c r="W53" s="339">
        <v>1</v>
      </c>
      <c r="X53" s="339">
        <v>1</v>
      </c>
      <c r="Y53" s="339">
        <v>1</v>
      </c>
      <c r="Z53" s="177"/>
      <c r="AA53" s="177"/>
      <c r="AB53" s="177"/>
      <c r="AC53" s="177"/>
      <c r="AD53" s="176"/>
      <c r="AE53" s="41"/>
      <c r="AF53" s="116" t="s">
        <v>513</v>
      </c>
      <c r="AG53" s="186"/>
      <c r="AH53" s="186"/>
      <c r="AI53" s="189"/>
    </row>
    <row r="54" spans="1:35" ht="14.25" customHeight="1">
      <c r="A54" s="98"/>
      <c r="B54" s="98"/>
      <c r="C54" s="98"/>
      <c r="D54" s="39">
        <v>1</v>
      </c>
      <c r="E54" s="133" t="s">
        <v>363</v>
      </c>
      <c r="F54" s="41">
        <f>SUM(G54:AD54)</f>
        <v>0</v>
      </c>
      <c r="G54" s="176">
        <v>0</v>
      </c>
      <c r="H54" s="176">
        <v>0</v>
      </c>
      <c r="I54" s="176">
        <v>0</v>
      </c>
      <c r="J54" s="176">
        <v>0</v>
      </c>
      <c r="K54" s="176">
        <v>0</v>
      </c>
      <c r="L54" s="176">
        <v>0</v>
      </c>
      <c r="M54" s="176">
        <v>0</v>
      </c>
      <c r="N54" s="176">
        <v>0</v>
      </c>
      <c r="O54" s="176">
        <v>0</v>
      </c>
      <c r="P54" s="176">
        <v>0</v>
      </c>
      <c r="Q54" s="176">
        <v>0</v>
      </c>
      <c r="R54" s="176">
        <v>0</v>
      </c>
      <c r="S54" s="176">
        <v>0</v>
      </c>
      <c r="T54" s="176">
        <v>0</v>
      </c>
      <c r="U54" s="176">
        <v>0</v>
      </c>
      <c r="V54" s="176">
        <v>0</v>
      </c>
      <c r="W54" s="176">
        <v>0</v>
      </c>
      <c r="X54" s="176">
        <v>0</v>
      </c>
      <c r="Y54" s="176">
        <v>0</v>
      </c>
      <c r="Z54" s="176">
        <v>0</v>
      </c>
      <c r="AA54" s="176">
        <v>0</v>
      </c>
      <c r="AB54" s="176">
        <v>0</v>
      </c>
      <c r="AC54" s="176">
        <v>0</v>
      </c>
      <c r="AD54" s="176">
        <v>0</v>
      </c>
      <c r="AE54" s="41">
        <f>SUM(G54:AD54)</f>
        <v>0</v>
      </c>
      <c r="AF54" s="116" t="s">
        <v>225</v>
      </c>
      <c r="AG54" s="551" t="s">
        <v>473</v>
      </c>
      <c r="AH54" s="555"/>
      <c r="AI54" s="189" t="s">
        <v>715</v>
      </c>
    </row>
    <row r="55" spans="1:35" ht="14.25" customHeight="1">
      <c r="A55" s="2"/>
      <c r="B55" s="2"/>
      <c r="C55" s="2"/>
      <c r="D55" s="48"/>
      <c r="E55" s="49"/>
      <c r="F55" s="50"/>
      <c r="G55" s="51" t="s">
        <v>9</v>
      </c>
      <c r="H55" s="51" t="s">
        <v>10</v>
      </c>
      <c r="I55" s="51" t="s">
        <v>11</v>
      </c>
      <c r="J55" s="51" t="s">
        <v>12</v>
      </c>
      <c r="K55" s="51" t="s">
        <v>13</v>
      </c>
      <c r="L55" s="51" t="s">
        <v>14</v>
      </c>
      <c r="M55" s="51" t="s">
        <v>15</v>
      </c>
      <c r="N55" s="51" t="s">
        <v>16</v>
      </c>
      <c r="O55" s="106" t="s">
        <v>17</v>
      </c>
      <c r="P55" s="106" t="s">
        <v>18</v>
      </c>
      <c r="Q55" s="107" t="s">
        <v>19</v>
      </c>
      <c r="R55" s="107" t="s">
        <v>20</v>
      </c>
      <c r="S55" s="107" t="s">
        <v>21</v>
      </c>
      <c r="T55" s="107" t="s">
        <v>22</v>
      </c>
      <c r="U55" s="107" t="s">
        <v>23</v>
      </c>
      <c r="V55" s="107" t="s">
        <v>24</v>
      </c>
      <c r="W55" s="107" t="s">
        <v>25</v>
      </c>
      <c r="X55" s="107" t="s">
        <v>26</v>
      </c>
      <c r="Y55" s="107" t="s">
        <v>27</v>
      </c>
      <c r="Z55" s="107" t="s">
        <v>28</v>
      </c>
      <c r="AA55" s="52" t="s">
        <v>29</v>
      </c>
      <c r="AB55" s="52" t="s">
        <v>30</v>
      </c>
      <c r="AC55" s="52" t="s">
        <v>31</v>
      </c>
      <c r="AD55" s="51" t="s">
        <v>32</v>
      </c>
      <c r="AE55" s="53"/>
      <c r="AF55" s="25"/>
      <c r="AG55" s="25"/>
      <c r="AH55" s="25"/>
      <c r="AI55" s="25"/>
    </row>
    <row r="56" spans="1:35" ht="14.25" customHeight="1">
      <c r="A56" s="2"/>
      <c r="B56" s="2"/>
      <c r="C56" s="2"/>
      <c r="D56" s="2"/>
      <c r="E56" s="2"/>
      <c r="F56" s="2"/>
      <c r="AE56" s="2"/>
      <c r="AF56" s="2"/>
      <c r="AG56" s="2"/>
      <c r="AH56" s="2"/>
      <c r="AI56" s="2"/>
    </row>
    <row r="57" spans="1:35" ht="14.25" customHeight="1">
      <c r="A57" s="2"/>
      <c r="B57" s="2"/>
      <c r="C57" s="2"/>
      <c r="D57" s="2"/>
      <c r="E57" s="2"/>
      <c r="F57" s="2"/>
      <c r="AE57" s="2"/>
      <c r="AF57" s="2"/>
      <c r="AG57" s="2"/>
      <c r="AH57" s="2"/>
      <c r="AI57" s="2"/>
    </row>
    <row r="58" spans="1:35" ht="14.25" customHeight="1">
      <c r="A58" s="2"/>
      <c r="B58" s="2"/>
      <c r="C58" s="2"/>
      <c r="D58" s="2"/>
      <c r="E58" s="2"/>
      <c r="F58" s="2"/>
      <c r="AE58" s="2"/>
      <c r="AF58" s="2"/>
      <c r="AG58" s="2"/>
      <c r="AH58" s="2"/>
      <c r="AI58" s="2"/>
    </row>
    <row r="59" spans="1:35" ht="14.25" customHeight="1">
      <c r="A59" s="2"/>
      <c r="B59" s="2"/>
      <c r="C59" s="2"/>
      <c r="D59" s="2"/>
      <c r="E59" s="2"/>
      <c r="F59" s="2"/>
      <c r="AE59" s="2"/>
      <c r="AF59" s="2"/>
      <c r="AG59" s="2"/>
      <c r="AH59" s="2"/>
      <c r="AI59" s="2"/>
    </row>
    <row r="60" spans="1:35" ht="14.25" customHeight="1">
      <c r="A60" s="3"/>
      <c r="B60" s="3"/>
      <c r="C60" s="3"/>
      <c r="D60" s="48"/>
      <c r="E60" s="547" t="s">
        <v>8</v>
      </c>
      <c r="F60" s="548"/>
      <c r="G60" s="191">
        <v>0</v>
      </c>
      <c r="H60" s="191">
        <v>0</v>
      </c>
      <c r="I60" s="191">
        <v>0</v>
      </c>
      <c r="J60" s="191">
        <v>0</v>
      </c>
      <c r="K60" s="191">
        <v>0</v>
      </c>
      <c r="L60" s="191">
        <v>0</v>
      </c>
      <c r="M60" s="192">
        <v>0</v>
      </c>
      <c r="N60" s="193">
        <v>0</v>
      </c>
      <c r="O60" s="193">
        <v>0</v>
      </c>
      <c r="P60" s="193">
        <v>0</v>
      </c>
      <c r="Q60" s="193">
        <v>0</v>
      </c>
      <c r="R60" s="193">
        <v>0</v>
      </c>
      <c r="S60" s="193">
        <v>0</v>
      </c>
      <c r="T60" s="193">
        <v>0</v>
      </c>
      <c r="U60" s="193">
        <v>0</v>
      </c>
      <c r="V60" s="193">
        <v>0</v>
      </c>
      <c r="W60" s="193">
        <v>0</v>
      </c>
      <c r="X60" s="193">
        <v>0</v>
      </c>
      <c r="Y60" s="193">
        <v>0</v>
      </c>
      <c r="Z60" s="193">
        <v>0</v>
      </c>
      <c r="AA60" s="193">
        <v>0</v>
      </c>
      <c r="AB60" s="194">
        <v>0</v>
      </c>
      <c r="AC60" s="192">
        <v>0</v>
      </c>
      <c r="AD60" s="195">
        <v>0</v>
      </c>
      <c r="AE60" s="18">
        <f>SUM(G60:AD60)</f>
        <v>0</v>
      </c>
      <c r="AF60" s="25"/>
      <c r="AG60" s="2"/>
      <c r="AH60" s="2"/>
      <c r="AI60" s="2"/>
    </row>
    <row r="61" spans="1:35" ht="14.25" customHeight="1">
      <c r="A61" s="3"/>
      <c r="B61" s="3"/>
      <c r="C61" s="3"/>
      <c r="D61" s="48"/>
      <c r="E61" s="59"/>
      <c r="F61" s="59"/>
      <c r="G61" s="28">
        <f t="shared" ref="G61:AD61" si="4">G63-G60</f>
        <v>0</v>
      </c>
      <c r="H61" s="28">
        <f t="shared" si="4"/>
        <v>0</v>
      </c>
      <c r="I61" s="28">
        <f t="shared" si="4"/>
        <v>0</v>
      </c>
      <c r="J61" s="28">
        <f t="shared" si="4"/>
        <v>0</v>
      </c>
      <c r="K61" s="28">
        <f t="shared" si="4"/>
        <v>0</v>
      </c>
      <c r="L61" s="28">
        <f t="shared" si="4"/>
        <v>0</v>
      </c>
      <c r="M61" s="84">
        <f t="shared" si="4"/>
        <v>2</v>
      </c>
      <c r="N61" s="84">
        <f t="shared" si="4"/>
        <v>2</v>
      </c>
      <c r="O61" s="84">
        <f t="shared" si="4"/>
        <v>2</v>
      </c>
      <c r="P61" s="84">
        <f t="shared" si="4"/>
        <v>0</v>
      </c>
      <c r="Q61" s="84">
        <f t="shared" si="4"/>
        <v>1</v>
      </c>
      <c r="R61" s="84">
        <f t="shared" si="4"/>
        <v>1</v>
      </c>
      <c r="S61" s="84">
        <f t="shared" si="4"/>
        <v>1</v>
      </c>
      <c r="T61" s="84">
        <f t="shared" si="4"/>
        <v>1</v>
      </c>
      <c r="U61" s="84">
        <f t="shared" si="4"/>
        <v>1</v>
      </c>
      <c r="V61" s="84">
        <f t="shared" si="4"/>
        <v>1</v>
      </c>
      <c r="W61" s="84">
        <f t="shared" si="4"/>
        <v>1</v>
      </c>
      <c r="X61" s="28">
        <f t="shared" si="4"/>
        <v>1</v>
      </c>
      <c r="Y61" s="28">
        <f t="shared" si="4"/>
        <v>0</v>
      </c>
      <c r="Z61" s="84">
        <f t="shared" si="4"/>
        <v>1</v>
      </c>
      <c r="AA61" s="84">
        <f t="shared" si="4"/>
        <v>2</v>
      </c>
      <c r="AB61" s="84">
        <f t="shared" si="4"/>
        <v>1</v>
      </c>
      <c r="AC61" s="84">
        <f t="shared" si="4"/>
        <v>1</v>
      </c>
      <c r="AD61" s="84">
        <f t="shared" si="4"/>
        <v>1</v>
      </c>
      <c r="AE61" s="53"/>
      <c r="AF61" s="3"/>
      <c r="AG61" s="2"/>
      <c r="AH61" s="2"/>
      <c r="AI61" s="2"/>
    </row>
    <row r="62" spans="1:35" ht="14.25" customHeight="1">
      <c r="A62" s="3"/>
      <c r="B62" s="3"/>
      <c r="C62" s="3"/>
      <c r="D62" s="48"/>
      <c r="E62" s="60" t="s">
        <v>476</v>
      </c>
      <c r="F62" s="59"/>
      <c r="G62" s="51" t="s">
        <v>9</v>
      </c>
      <c r="H62" s="51" t="s">
        <v>10</v>
      </c>
      <c r="I62" s="51" t="s">
        <v>11</v>
      </c>
      <c r="J62" s="51" t="s">
        <v>12</v>
      </c>
      <c r="K62" s="51" t="s">
        <v>13</v>
      </c>
      <c r="L62" s="51" t="s">
        <v>14</v>
      </c>
      <c r="M62" s="51" t="s">
        <v>15</v>
      </c>
      <c r="N62" s="51" t="s">
        <v>16</v>
      </c>
      <c r="O62" s="51" t="s">
        <v>17</v>
      </c>
      <c r="P62" s="51" t="s">
        <v>18</v>
      </c>
      <c r="Q62" s="52" t="s">
        <v>19</v>
      </c>
      <c r="R62" s="52" t="s">
        <v>20</v>
      </c>
      <c r="S62" s="52" t="s">
        <v>21</v>
      </c>
      <c r="T62" s="52" t="s">
        <v>22</v>
      </c>
      <c r="U62" s="52" t="s">
        <v>23</v>
      </c>
      <c r="V62" s="52" t="s">
        <v>24</v>
      </c>
      <c r="W62" s="52" t="s">
        <v>25</v>
      </c>
      <c r="X62" s="52" t="s">
        <v>26</v>
      </c>
      <c r="Y62" s="52" t="s">
        <v>27</v>
      </c>
      <c r="Z62" s="52" t="s">
        <v>28</v>
      </c>
      <c r="AA62" s="52" t="s">
        <v>29</v>
      </c>
      <c r="AB62" s="52" t="s">
        <v>30</v>
      </c>
      <c r="AC62" s="52" t="s">
        <v>31</v>
      </c>
      <c r="AD62" s="51" t="s">
        <v>32</v>
      </c>
      <c r="AE62" s="53"/>
      <c r="AF62" s="25"/>
      <c r="AG62" s="2"/>
      <c r="AH62" s="2"/>
      <c r="AI62" s="2"/>
    </row>
    <row r="63" spans="1:35" ht="14.25" customHeight="1">
      <c r="A63" s="3"/>
      <c r="B63" s="3"/>
      <c r="C63" s="3"/>
      <c r="D63" s="48"/>
      <c r="E63" s="61" t="s">
        <v>37</v>
      </c>
      <c r="F63" s="37" t="s">
        <v>38</v>
      </c>
      <c r="G63" s="35">
        <f t="shared" ref="G63:AD63" si="5">SUM(G64:G77)</f>
        <v>0</v>
      </c>
      <c r="H63" s="35">
        <f t="shared" si="5"/>
        <v>0</v>
      </c>
      <c r="I63" s="35">
        <f t="shared" si="5"/>
        <v>0</v>
      </c>
      <c r="J63" s="35">
        <f t="shared" si="5"/>
        <v>0</v>
      </c>
      <c r="K63" s="35">
        <f t="shared" si="5"/>
        <v>0</v>
      </c>
      <c r="L63" s="35">
        <f t="shared" si="5"/>
        <v>0</v>
      </c>
      <c r="M63" s="35">
        <f t="shared" si="5"/>
        <v>2</v>
      </c>
      <c r="N63" s="35">
        <f t="shared" si="5"/>
        <v>2</v>
      </c>
      <c r="O63" s="35">
        <f t="shared" si="5"/>
        <v>2</v>
      </c>
      <c r="P63" s="35">
        <f t="shared" si="5"/>
        <v>0</v>
      </c>
      <c r="Q63" s="35">
        <f t="shared" si="5"/>
        <v>1</v>
      </c>
      <c r="R63" s="35">
        <f t="shared" si="5"/>
        <v>1</v>
      </c>
      <c r="S63" s="35">
        <f t="shared" si="5"/>
        <v>1</v>
      </c>
      <c r="T63" s="35">
        <f t="shared" si="5"/>
        <v>1</v>
      </c>
      <c r="U63" s="35">
        <f t="shared" si="5"/>
        <v>1</v>
      </c>
      <c r="V63" s="35">
        <f t="shared" si="5"/>
        <v>1</v>
      </c>
      <c r="W63" s="35">
        <f t="shared" si="5"/>
        <v>1</v>
      </c>
      <c r="X63" s="35">
        <f t="shared" si="5"/>
        <v>1</v>
      </c>
      <c r="Y63" s="35">
        <f t="shared" si="5"/>
        <v>0</v>
      </c>
      <c r="Z63" s="35">
        <f t="shared" si="5"/>
        <v>1</v>
      </c>
      <c r="AA63" s="35">
        <f t="shared" si="5"/>
        <v>2</v>
      </c>
      <c r="AB63" s="35">
        <f t="shared" si="5"/>
        <v>1</v>
      </c>
      <c r="AC63" s="35">
        <f t="shared" si="5"/>
        <v>1</v>
      </c>
      <c r="AD63" s="35">
        <f t="shared" si="5"/>
        <v>1</v>
      </c>
      <c r="AE63" s="30">
        <f t="shared" ref="AE63:AE68" si="6">SUM(G63:AD63)</f>
        <v>20</v>
      </c>
      <c r="AF63" s="36" t="s">
        <v>39</v>
      </c>
      <c r="AG63" s="196"/>
      <c r="AH63" s="196"/>
      <c r="AI63" s="197" t="s">
        <v>40</v>
      </c>
    </row>
    <row r="64" spans="1:35" ht="14.25" customHeight="1">
      <c r="A64" s="76" t="s">
        <v>41</v>
      </c>
      <c r="B64" s="76" t="s">
        <v>45</v>
      </c>
      <c r="C64" s="76">
        <v>999600729</v>
      </c>
      <c r="D64" s="86">
        <v>1</v>
      </c>
      <c r="E64" s="40" t="s">
        <v>46</v>
      </c>
      <c r="F64" s="41">
        <f t="shared" ref="F64:F68" si="7">SUM(G64:AD64)</f>
        <v>5</v>
      </c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>
        <v>1</v>
      </c>
      <c r="AA64" s="202">
        <v>1</v>
      </c>
      <c r="AB64" s="202">
        <v>1</v>
      </c>
      <c r="AC64" s="202">
        <v>1</v>
      </c>
      <c r="AD64" s="202">
        <v>1</v>
      </c>
      <c r="AE64" s="41">
        <f t="shared" si="6"/>
        <v>5</v>
      </c>
      <c r="AF64" s="116" t="s">
        <v>270</v>
      </c>
      <c r="AG64" s="550" t="s">
        <v>41</v>
      </c>
      <c r="AH64" s="542"/>
      <c r="AI64" s="189" t="s">
        <v>715</v>
      </c>
    </row>
    <row r="65" spans="1:35" ht="14.25" customHeight="1">
      <c r="A65" s="38" t="s">
        <v>41</v>
      </c>
      <c r="B65" s="38" t="s">
        <v>64</v>
      </c>
      <c r="C65" s="38">
        <v>995545886</v>
      </c>
      <c r="D65" s="39">
        <v>2</v>
      </c>
      <c r="E65" s="40" t="s">
        <v>65</v>
      </c>
      <c r="F65" s="41">
        <f t="shared" si="7"/>
        <v>0</v>
      </c>
      <c r="G65" s="202">
        <v>0</v>
      </c>
      <c r="H65" s="202">
        <v>0</v>
      </c>
      <c r="I65" s="202">
        <v>0</v>
      </c>
      <c r="J65" s="202">
        <v>0</v>
      </c>
      <c r="K65" s="202">
        <v>0</v>
      </c>
      <c r="L65" s="202">
        <v>0</v>
      </c>
      <c r="M65" s="202">
        <v>0</v>
      </c>
      <c r="N65" s="202">
        <v>0</v>
      </c>
      <c r="O65" s="202">
        <v>0</v>
      </c>
      <c r="P65" s="202">
        <v>0</v>
      </c>
      <c r="Q65" s="202">
        <v>0</v>
      </c>
      <c r="R65" s="202">
        <v>0</v>
      </c>
      <c r="S65" s="202">
        <v>0</v>
      </c>
      <c r="T65" s="202">
        <v>0</v>
      </c>
      <c r="U65" s="202">
        <v>0</v>
      </c>
      <c r="V65" s="202">
        <v>0</v>
      </c>
      <c r="W65" s="202">
        <v>0</v>
      </c>
      <c r="X65" s="202">
        <v>0</v>
      </c>
      <c r="Y65" s="202">
        <v>0</v>
      </c>
      <c r="Z65" s="202">
        <v>0</v>
      </c>
      <c r="AA65" s="202">
        <v>0</v>
      </c>
      <c r="AB65" s="202">
        <v>0</v>
      </c>
      <c r="AC65" s="202">
        <v>0</v>
      </c>
      <c r="AD65" s="202">
        <v>0</v>
      </c>
      <c r="AE65" s="41">
        <f t="shared" si="6"/>
        <v>0</v>
      </c>
      <c r="AF65" s="116" t="s">
        <v>225</v>
      </c>
      <c r="AG65" s="550" t="s">
        <v>41</v>
      </c>
      <c r="AH65" s="542"/>
      <c r="AI65" s="189" t="s">
        <v>715</v>
      </c>
    </row>
    <row r="66" spans="1:35" ht="14.25" customHeight="1">
      <c r="A66" s="38" t="s">
        <v>41</v>
      </c>
      <c r="B66" s="38" t="s">
        <v>72</v>
      </c>
      <c r="C66" s="38">
        <v>989533877</v>
      </c>
      <c r="D66" s="86">
        <v>3</v>
      </c>
      <c r="E66" s="40" t="s">
        <v>73</v>
      </c>
      <c r="F66" s="41">
        <f t="shared" si="7"/>
        <v>11</v>
      </c>
      <c r="G66" s="202"/>
      <c r="H66" s="202"/>
      <c r="I66" s="202"/>
      <c r="J66" s="202"/>
      <c r="K66" s="202"/>
      <c r="L66" s="202"/>
      <c r="M66" s="202">
        <v>1</v>
      </c>
      <c r="N66" s="202">
        <v>1</v>
      </c>
      <c r="O66" s="202">
        <v>1</v>
      </c>
      <c r="P66" s="202"/>
      <c r="Q66" s="292">
        <v>1</v>
      </c>
      <c r="R66" s="292">
        <v>1</v>
      </c>
      <c r="S66" s="292">
        <v>1</v>
      </c>
      <c r="T66" s="292">
        <v>1</v>
      </c>
      <c r="U66" s="292">
        <v>1</v>
      </c>
      <c r="V66" s="292">
        <v>1</v>
      </c>
      <c r="W66" s="292">
        <v>1</v>
      </c>
      <c r="X66" s="292">
        <v>1</v>
      </c>
      <c r="Y66" s="202"/>
      <c r="Z66" s="202"/>
      <c r="AA66" s="202"/>
      <c r="AB66" s="202"/>
      <c r="AC66" s="202"/>
      <c r="AD66" s="202"/>
      <c r="AE66" s="41">
        <f t="shared" si="6"/>
        <v>11</v>
      </c>
      <c r="AF66" s="116" t="s">
        <v>690</v>
      </c>
      <c r="AG66" s="550" t="s">
        <v>41</v>
      </c>
      <c r="AH66" s="542"/>
      <c r="AI66" s="189" t="s">
        <v>715</v>
      </c>
    </row>
    <row r="67" spans="1:35" ht="14.25" customHeight="1">
      <c r="A67" s="38" t="s">
        <v>41</v>
      </c>
      <c r="B67" s="38" t="s">
        <v>92</v>
      </c>
      <c r="C67" s="38">
        <v>989858490</v>
      </c>
      <c r="D67" s="99">
        <v>4</v>
      </c>
      <c r="E67" s="40" t="s">
        <v>93</v>
      </c>
      <c r="F67" s="41">
        <f t="shared" si="7"/>
        <v>0</v>
      </c>
      <c r="G67" s="202">
        <v>0</v>
      </c>
      <c r="H67" s="202">
        <v>0</v>
      </c>
      <c r="I67" s="202">
        <v>0</v>
      </c>
      <c r="J67" s="202">
        <v>0</v>
      </c>
      <c r="K67" s="202">
        <v>0</v>
      </c>
      <c r="L67" s="202">
        <v>0</v>
      </c>
      <c r="M67" s="202">
        <v>0</v>
      </c>
      <c r="N67" s="202">
        <v>0</v>
      </c>
      <c r="O67" s="202">
        <v>0</v>
      </c>
      <c r="P67" s="202">
        <v>0</v>
      </c>
      <c r="Q67" s="202">
        <v>0</v>
      </c>
      <c r="R67" s="202">
        <v>0</v>
      </c>
      <c r="S67" s="202">
        <v>0</v>
      </c>
      <c r="T67" s="202">
        <v>0</v>
      </c>
      <c r="U67" s="202">
        <v>0</v>
      </c>
      <c r="V67" s="202">
        <v>0</v>
      </c>
      <c r="W67" s="202">
        <v>0</v>
      </c>
      <c r="X67" s="202">
        <v>0</v>
      </c>
      <c r="Y67" s="202">
        <v>0</v>
      </c>
      <c r="Z67" s="202">
        <v>0</v>
      </c>
      <c r="AA67" s="202">
        <v>0</v>
      </c>
      <c r="AB67" s="202">
        <v>0</v>
      </c>
      <c r="AC67" s="202">
        <v>0</v>
      </c>
      <c r="AD67" s="202">
        <v>0</v>
      </c>
      <c r="AE67" s="41">
        <f t="shared" si="6"/>
        <v>0</v>
      </c>
      <c r="AF67" s="116" t="s">
        <v>225</v>
      </c>
      <c r="AG67" s="550" t="s">
        <v>41</v>
      </c>
      <c r="AH67" s="542"/>
      <c r="AI67" s="189" t="s">
        <v>715</v>
      </c>
    </row>
    <row r="68" spans="1:35" ht="14.25" customHeight="1">
      <c r="A68" s="38" t="s">
        <v>41</v>
      </c>
      <c r="B68" s="38" t="s">
        <v>94</v>
      </c>
      <c r="C68" s="38">
        <v>988957267</v>
      </c>
      <c r="D68" s="86">
        <v>5</v>
      </c>
      <c r="E68" s="40" t="s">
        <v>95</v>
      </c>
      <c r="F68" s="41">
        <f t="shared" si="7"/>
        <v>0</v>
      </c>
      <c r="G68" s="202">
        <v>0</v>
      </c>
      <c r="H68" s="202">
        <v>0</v>
      </c>
      <c r="I68" s="202">
        <v>0</v>
      </c>
      <c r="J68" s="202">
        <v>0</v>
      </c>
      <c r="K68" s="202">
        <v>0</v>
      </c>
      <c r="L68" s="202">
        <v>0</v>
      </c>
      <c r="M68" s="202">
        <v>0</v>
      </c>
      <c r="N68" s="202">
        <v>0</v>
      </c>
      <c r="O68" s="202">
        <v>0</v>
      </c>
      <c r="P68" s="202">
        <v>0</v>
      </c>
      <c r="Q68" s="202">
        <v>0</v>
      </c>
      <c r="R68" s="202">
        <v>0</v>
      </c>
      <c r="S68" s="202">
        <v>0</v>
      </c>
      <c r="T68" s="202">
        <v>0</v>
      </c>
      <c r="U68" s="202">
        <v>0</v>
      </c>
      <c r="V68" s="202">
        <v>0</v>
      </c>
      <c r="W68" s="202">
        <v>0</v>
      </c>
      <c r="X68" s="202">
        <v>0</v>
      </c>
      <c r="Y68" s="202">
        <v>0</v>
      </c>
      <c r="Z68" s="202">
        <v>0</v>
      </c>
      <c r="AA68" s="202">
        <v>0</v>
      </c>
      <c r="AB68" s="202">
        <v>0</v>
      </c>
      <c r="AC68" s="202">
        <v>0</v>
      </c>
      <c r="AD68" s="202">
        <v>0</v>
      </c>
      <c r="AE68" s="41">
        <f t="shared" si="6"/>
        <v>0</v>
      </c>
      <c r="AF68" s="116" t="s">
        <v>225</v>
      </c>
      <c r="AG68" s="550" t="s">
        <v>41</v>
      </c>
      <c r="AH68" s="542"/>
      <c r="AI68" s="189" t="s">
        <v>715</v>
      </c>
    </row>
    <row r="69" spans="1:35" ht="14.25" customHeight="1">
      <c r="A69" s="38" t="s">
        <v>41</v>
      </c>
      <c r="B69" s="38" t="s">
        <v>122</v>
      </c>
      <c r="C69" s="38">
        <v>984490770</v>
      </c>
      <c r="D69" s="39">
        <v>6</v>
      </c>
      <c r="E69" s="40" t="s">
        <v>123</v>
      </c>
      <c r="F69" s="41">
        <v>15</v>
      </c>
      <c r="G69" s="42"/>
      <c r="H69" s="77"/>
      <c r="I69" s="77"/>
      <c r="J69" s="77"/>
      <c r="K69" s="77"/>
      <c r="L69" s="77"/>
      <c r="M69" s="216">
        <v>1</v>
      </c>
      <c r="N69" s="216">
        <v>1</v>
      </c>
      <c r="O69" s="216">
        <v>1</v>
      </c>
      <c r="P69" s="577" t="s">
        <v>471</v>
      </c>
      <c r="Q69" s="555"/>
      <c r="R69" s="555"/>
      <c r="S69" s="555"/>
      <c r="T69" s="555"/>
      <c r="U69" s="555"/>
      <c r="V69" s="555"/>
      <c r="W69" s="555"/>
      <c r="X69" s="555"/>
      <c r="Y69" s="555"/>
      <c r="Z69" s="542"/>
      <c r="AA69" s="176">
        <v>1</v>
      </c>
      <c r="AB69" s="176"/>
      <c r="AC69" s="42"/>
      <c r="AD69" s="42"/>
      <c r="AE69" s="41">
        <v>15</v>
      </c>
      <c r="AF69" s="116" t="s">
        <v>725</v>
      </c>
      <c r="AG69" s="176" t="s">
        <v>41</v>
      </c>
      <c r="AH69" s="340" t="s">
        <v>471</v>
      </c>
      <c r="AI69" s="189" t="s">
        <v>715</v>
      </c>
    </row>
    <row r="70" spans="1:35" ht="14.25" customHeight="1">
      <c r="A70" s="38" t="s">
        <v>41</v>
      </c>
      <c r="B70" s="98" t="s">
        <v>130</v>
      </c>
      <c r="C70" s="98">
        <v>998810875</v>
      </c>
      <c r="D70" s="99">
        <v>7</v>
      </c>
      <c r="E70" s="40" t="s">
        <v>131</v>
      </c>
      <c r="F70" s="41">
        <f t="shared" ref="F70:F73" si="8">SUM(G70:AD70)</f>
        <v>0</v>
      </c>
      <c r="G70" s="202">
        <v>0</v>
      </c>
      <c r="H70" s="202">
        <v>0</v>
      </c>
      <c r="I70" s="202">
        <v>0</v>
      </c>
      <c r="J70" s="202">
        <v>0</v>
      </c>
      <c r="K70" s="202">
        <v>0</v>
      </c>
      <c r="L70" s="202">
        <v>0</v>
      </c>
      <c r="M70" s="202">
        <v>0</v>
      </c>
      <c r="N70" s="202">
        <v>0</v>
      </c>
      <c r="O70" s="202">
        <v>0</v>
      </c>
      <c r="P70" s="202">
        <v>0</v>
      </c>
      <c r="Q70" s="202">
        <v>0</v>
      </c>
      <c r="R70" s="202">
        <v>0</v>
      </c>
      <c r="S70" s="202">
        <v>0</v>
      </c>
      <c r="T70" s="202">
        <v>0</v>
      </c>
      <c r="U70" s="202">
        <v>0</v>
      </c>
      <c r="V70" s="202">
        <v>0</v>
      </c>
      <c r="W70" s="202">
        <v>0</v>
      </c>
      <c r="X70" s="202">
        <v>0</v>
      </c>
      <c r="Y70" s="202">
        <v>0</v>
      </c>
      <c r="Z70" s="202">
        <v>0</v>
      </c>
      <c r="AA70" s="202">
        <v>0</v>
      </c>
      <c r="AB70" s="202">
        <v>0</v>
      </c>
      <c r="AC70" s="202">
        <v>0</v>
      </c>
      <c r="AD70" s="202">
        <v>0</v>
      </c>
      <c r="AE70" s="41">
        <f t="shared" ref="AE70:AE73" si="9">SUM(G70:AD70)</f>
        <v>0</v>
      </c>
      <c r="AF70" s="116" t="s">
        <v>225</v>
      </c>
      <c r="AG70" s="550" t="s">
        <v>41</v>
      </c>
      <c r="AH70" s="542"/>
      <c r="AI70" s="189" t="s">
        <v>715</v>
      </c>
    </row>
    <row r="71" spans="1:35" ht="14.25" customHeight="1">
      <c r="A71" s="38" t="s">
        <v>41</v>
      </c>
      <c r="B71" s="188" t="s">
        <v>477</v>
      </c>
      <c r="C71" s="38">
        <v>999763726</v>
      </c>
      <c r="D71" s="99">
        <v>8</v>
      </c>
      <c r="E71" s="40" t="s">
        <v>478</v>
      </c>
      <c r="F71" s="41">
        <f t="shared" si="8"/>
        <v>0</v>
      </c>
      <c r="G71" s="202">
        <v>0</v>
      </c>
      <c r="H71" s="202">
        <v>0</v>
      </c>
      <c r="I71" s="202">
        <v>0</v>
      </c>
      <c r="J71" s="202">
        <v>0</v>
      </c>
      <c r="K71" s="202">
        <v>0</v>
      </c>
      <c r="L71" s="202">
        <v>0</v>
      </c>
      <c r="M71" s="202">
        <v>0</v>
      </c>
      <c r="N71" s="202">
        <v>0</v>
      </c>
      <c r="O71" s="202">
        <v>0</v>
      </c>
      <c r="P71" s="202">
        <v>0</v>
      </c>
      <c r="Q71" s="202">
        <v>0</v>
      </c>
      <c r="R71" s="202">
        <v>0</v>
      </c>
      <c r="S71" s="202">
        <v>0</v>
      </c>
      <c r="T71" s="202">
        <v>0</v>
      </c>
      <c r="U71" s="202">
        <v>0</v>
      </c>
      <c r="V71" s="202">
        <v>0</v>
      </c>
      <c r="W71" s="202">
        <v>0</v>
      </c>
      <c r="X71" s="202">
        <v>0</v>
      </c>
      <c r="Y71" s="202">
        <v>0</v>
      </c>
      <c r="Z71" s="202">
        <v>0</v>
      </c>
      <c r="AA71" s="202">
        <v>0</v>
      </c>
      <c r="AB71" s="202">
        <v>0</v>
      </c>
      <c r="AC71" s="202">
        <v>0</v>
      </c>
      <c r="AD71" s="202">
        <v>0</v>
      </c>
      <c r="AE71" s="41">
        <f t="shared" si="9"/>
        <v>0</v>
      </c>
      <c r="AF71" s="116" t="s">
        <v>225</v>
      </c>
      <c r="AG71" s="550" t="s">
        <v>41</v>
      </c>
      <c r="AH71" s="542"/>
      <c r="AI71" s="189" t="s">
        <v>715</v>
      </c>
    </row>
    <row r="72" spans="1:35" ht="14.25" customHeight="1">
      <c r="A72" s="98" t="s">
        <v>41</v>
      </c>
      <c r="B72" s="98" t="s">
        <v>90</v>
      </c>
      <c r="C72" s="98">
        <v>961816449</v>
      </c>
      <c r="D72" s="99">
        <v>9</v>
      </c>
      <c r="E72" s="40" t="s">
        <v>91</v>
      </c>
      <c r="F72" s="41">
        <f t="shared" si="8"/>
        <v>0</v>
      </c>
      <c r="G72" s="202">
        <v>0</v>
      </c>
      <c r="H72" s="202">
        <v>0</v>
      </c>
      <c r="I72" s="202">
        <v>0</v>
      </c>
      <c r="J72" s="202">
        <v>0</v>
      </c>
      <c r="K72" s="202">
        <v>0</v>
      </c>
      <c r="L72" s="202">
        <v>0</v>
      </c>
      <c r="M72" s="202">
        <v>0</v>
      </c>
      <c r="N72" s="202">
        <v>0</v>
      </c>
      <c r="O72" s="202">
        <v>0</v>
      </c>
      <c r="P72" s="202">
        <v>0</v>
      </c>
      <c r="Q72" s="202">
        <v>0</v>
      </c>
      <c r="R72" s="202">
        <v>0</v>
      </c>
      <c r="S72" s="202">
        <v>0</v>
      </c>
      <c r="T72" s="202">
        <v>0</v>
      </c>
      <c r="U72" s="202">
        <v>0</v>
      </c>
      <c r="V72" s="202">
        <v>0</v>
      </c>
      <c r="W72" s="202">
        <v>0</v>
      </c>
      <c r="X72" s="202">
        <v>0</v>
      </c>
      <c r="Y72" s="202">
        <v>0</v>
      </c>
      <c r="Z72" s="202">
        <v>0</v>
      </c>
      <c r="AA72" s="202">
        <v>0</v>
      </c>
      <c r="AB72" s="202">
        <v>0</v>
      </c>
      <c r="AC72" s="202">
        <v>0</v>
      </c>
      <c r="AD72" s="202">
        <v>0</v>
      </c>
      <c r="AE72" s="41">
        <f t="shared" si="9"/>
        <v>0</v>
      </c>
      <c r="AF72" s="116" t="s">
        <v>225</v>
      </c>
      <c r="AG72" s="550" t="s">
        <v>41</v>
      </c>
      <c r="AH72" s="542"/>
      <c r="AI72" s="189" t="s">
        <v>715</v>
      </c>
    </row>
    <row r="73" spans="1:35" ht="14.25" customHeight="1">
      <c r="A73" s="38" t="s">
        <v>41</v>
      </c>
      <c r="B73" s="38" t="s">
        <v>171</v>
      </c>
      <c r="C73" s="38">
        <v>990489779</v>
      </c>
      <c r="D73" s="99">
        <v>10</v>
      </c>
      <c r="E73" s="40" t="s">
        <v>172</v>
      </c>
      <c r="F73" s="41">
        <f t="shared" si="8"/>
        <v>0</v>
      </c>
      <c r="G73" s="202">
        <v>0</v>
      </c>
      <c r="H73" s="202">
        <v>0</v>
      </c>
      <c r="I73" s="202">
        <v>0</v>
      </c>
      <c r="J73" s="202">
        <v>0</v>
      </c>
      <c r="K73" s="202">
        <v>0</v>
      </c>
      <c r="L73" s="202">
        <v>0</v>
      </c>
      <c r="M73" s="202">
        <v>0</v>
      </c>
      <c r="N73" s="202">
        <v>0</v>
      </c>
      <c r="O73" s="202">
        <v>0</v>
      </c>
      <c r="P73" s="202">
        <v>0</v>
      </c>
      <c r="Q73" s="202">
        <v>0</v>
      </c>
      <c r="R73" s="202">
        <v>0</v>
      </c>
      <c r="S73" s="202">
        <v>0</v>
      </c>
      <c r="T73" s="202">
        <v>0</v>
      </c>
      <c r="U73" s="202">
        <v>0</v>
      </c>
      <c r="V73" s="202">
        <v>0</v>
      </c>
      <c r="W73" s="202">
        <v>0</v>
      </c>
      <c r="X73" s="202">
        <v>0</v>
      </c>
      <c r="Y73" s="202">
        <v>0</v>
      </c>
      <c r="Z73" s="202">
        <v>0</v>
      </c>
      <c r="AA73" s="202">
        <v>0</v>
      </c>
      <c r="AB73" s="202">
        <v>0</v>
      </c>
      <c r="AC73" s="202">
        <v>0</v>
      </c>
      <c r="AD73" s="202">
        <v>0</v>
      </c>
      <c r="AE73" s="41">
        <f t="shared" si="9"/>
        <v>0</v>
      </c>
      <c r="AF73" s="116" t="s">
        <v>225</v>
      </c>
      <c r="AG73" s="550" t="s">
        <v>41</v>
      </c>
      <c r="AH73" s="542"/>
      <c r="AI73" s="189" t="s">
        <v>715</v>
      </c>
    </row>
    <row r="74" spans="1:35" ht="14.25" customHeight="1">
      <c r="A74" s="2"/>
      <c r="B74" s="2"/>
      <c r="C74" s="2"/>
      <c r="D74" s="2"/>
      <c r="E74" s="2"/>
      <c r="F74" s="2"/>
      <c r="G74" s="65" t="s">
        <v>9</v>
      </c>
      <c r="H74" s="65" t="s">
        <v>10</v>
      </c>
      <c r="I74" s="65" t="s">
        <v>11</v>
      </c>
      <c r="J74" s="65" t="s">
        <v>12</v>
      </c>
      <c r="K74" s="65" t="s">
        <v>13</v>
      </c>
      <c r="L74" s="65" t="s">
        <v>14</v>
      </c>
      <c r="M74" s="65" t="s">
        <v>15</v>
      </c>
      <c r="N74" s="65" t="s">
        <v>16</v>
      </c>
      <c r="O74" s="65" t="s">
        <v>17</v>
      </c>
      <c r="P74" s="65" t="s">
        <v>18</v>
      </c>
      <c r="Q74" s="66" t="s">
        <v>19</v>
      </c>
      <c r="R74" s="66" t="s">
        <v>20</v>
      </c>
      <c r="S74" s="66" t="s">
        <v>21</v>
      </c>
      <c r="T74" s="66" t="s">
        <v>22</v>
      </c>
      <c r="U74" s="66" t="s">
        <v>23</v>
      </c>
      <c r="V74" s="66" t="s">
        <v>24</v>
      </c>
      <c r="W74" s="66" t="s">
        <v>25</v>
      </c>
      <c r="X74" s="66" t="s">
        <v>26</v>
      </c>
      <c r="Y74" s="66" t="s">
        <v>27</v>
      </c>
      <c r="Z74" s="66" t="s">
        <v>28</v>
      </c>
      <c r="AA74" s="66" t="s">
        <v>29</v>
      </c>
      <c r="AB74" s="66" t="s">
        <v>30</v>
      </c>
      <c r="AC74" s="66" t="s">
        <v>31</v>
      </c>
      <c r="AD74" s="65" t="s">
        <v>32</v>
      </c>
      <c r="AE74" s="53"/>
      <c r="AF74" s="2"/>
      <c r="AG74" s="2"/>
      <c r="AH74" s="2"/>
      <c r="AI74" s="2"/>
    </row>
    <row r="75" spans="1:35" ht="14.25" customHeight="1">
      <c r="A75" s="2"/>
      <c r="B75" s="2"/>
      <c r="C75" s="2"/>
      <c r="D75" s="2"/>
      <c r="E75" s="2"/>
      <c r="F75" s="2"/>
      <c r="AE75" s="2"/>
      <c r="AF75" s="2"/>
      <c r="AG75" s="2"/>
      <c r="AH75" s="2"/>
      <c r="AI75" s="2"/>
    </row>
    <row r="76" spans="1:35" ht="14.25" customHeight="1">
      <c r="A76" s="2"/>
      <c r="B76" s="2"/>
      <c r="C76" s="2"/>
      <c r="D76" s="2"/>
      <c r="E76" s="2"/>
      <c r="F76" s="2"/>
      <c r="AE76" s="2"/>
      <c r="AF76" s="2"/>
      <c r="AG76" s="2"/>
      <c r="AH76" s="2"/>
      <c r="AI76" s="2"/>
    </row>
    <row r="77" spans="1:35" ht="14.25" customHeight="1">
      <c r="A77" s="2"/>
      <c r="B77" s="2"/>
      <c r="C77" s="2"/>
      <c r="D77" s="2"/>
      <c r="E77" s="2"/>
      <c r="F77" s="2"/>
      <c r="AE77" s="2"/>
      <c r="AF77" s="2"/>
      <c r="AG77" s="2"/>
      <c r="AH77" s="2"/>
      <c r="AI77" s="2"/>
    </row>
    <row r="78" spans="1:35" ht="14.25" customHeight="1">
      <c r="A78" s="2"/>
      <c r="B78" s="2"/>
      <c r="C78" s="2"/>
      <c r="D78" s="2"/>
      <c r="E78" s="2"/>
      <c r="F78" s="2"/>
      <c r="AE78" s="2"/>
      <c r="AF78" s="2"/>
      <c r="AG78" s="2"/>
      <c r="AH78" s="2"/>
      <c r="AI78" s="2"/>
    </row>
    <row r="79" spans="1:35" ht="14.25" customHeight="1">
      <c r="A79" s="3"/>
      <c r="B79" s="3"/>
      <c r="C79" s="3"/>
      <c r="D79" s="48"/>
      <c r="E79" s="547" t="s">
        <v>8</v>
      </c>
      <c r="F79" s="548"/>
      <c r="G79" s="191">
        <v>2</v>
      </c>
      <c r="H79" s="191">
        <v>2</v>
      </c>
      <c r="I79" s="191">
        <v>2</v>
      </c>
      <c r="J79" s="191">
        <v>2</v>
      </c>
      <c r="K79" s="191">
        <v>2</v>
      </c>
      <c r="L79" s="191">
        <v>2</v>
      </c>
      <c r="M79" s="220">
        <v>3</v>
      </c>
      <c r="N79" s="224">
        <v>4</v>
      </c>
      <c r="O79" s="224">
        <v>4</v>
      </c>
      <c r="P79" s="167">
        <v>7</v>
      </c>
      <c r="Q79" s="167">
        <v>7</v>
      </c>
      <c r="R79" s="167">
        <v>7</v>
      </c>
      <c r="S79" s="221">
        <v>6</v>
      </c>
      <c r="T79" s="221">
        <v>6</v>
      </c>
      <c r="U79" s="167">
        <v>7</v>
      </c>
      <c r="V79" s="167">
        <v>7</v>
      </c>
      <c r="W79" s="167">
        <v>7</v>
      </c>
      <c r="X79" s="167">
        <v>7</v>
      </c>
      <c r="Y79" s="167">
        <v>7</v>
      </c>
      <c r="Z79" s="167">
        <v>7</v>
      </c>
      <c r="AA79" s="221">
        <v>6</v>
      </c>
      <c r="AB79" s="223">
        <v>5</v>
      </c>
      <c r="AC79" s="195">
        <v>2</v>
      </c>
      <c r="AD79" s="195">
        <v>2</v>
      </c>
      <c r="AE79" s="18">
        <f>SUM(G79:AD79)</f>
        <v>113</v>
      </c>
      <c r="AF79" s="25"/>
      <c r="AG79" s="3"/>
      <c r="AH79" s="3"/>
      <c r="AI79" s="3"/>
    </row>
    <row r="80" spans="1:35" ht="14.25" customHeight="1">
      <c r="A80" s="3"/>
      <c r="B80" s="3"/>
      <c r="C80" s="3"/>
      <c r="D80" s="48"/>
      <c r="E80" s="59"/>
      <c r="F80" s="59"/>
      <c r="G80" s="28">
        <f t="shared" ref="G80:AD80" si="10">G82-G79</f>
        <v>0</v>
      </c>
      <c r="H80" s="28">
        <f t="shared" si="10"/>
        <v>0</v>
      </c>
      <c r="I80" s="28">
        <f t="shared" si="10"/>
        <v>0</v>
      </c>
      <c r="J80" s="28">
        <f t="shared" si="10"/>
        <v>0</v>
      </c>
      <c r="K80" s="28">
        <f t="shared" si="10"/>
        <v>0</v>
      </c>
      <c r="L80" s="28">
        <f t="shared" si="10"/>
        <v>0</v>
      </c>
      <c r="M80" s="28">
        <f t="shared" si="10"/>
        <v>0</v>
      </c>
      <c r="N80" s="28">
        <f t="shared" si="10"/>
        <v>0</v>
      </c>
      <c r="O80" s="28">
        <f t="shared" si="10"/>
        <v>0</v>
      </c>
      <c r="P80" s="28">
        <f t="shared" si="10"/>
        <v>-1</v>
      </c>
      <c r="Q80" s="28">
        <f t="shared" si="10"/>
        <v>-1</v>
      </c>
      <c r="R80" s="28">
        <f t="shared" si="10"/>
        <v>-1</v>
      </c>
      <c r="S80" s="28">
        <f t="shared" si="10"/>
        <v>0</v>
      </c>
      <c r="T80" s="28">
        <f t="shared" si="10"/>
        <v>-1</v>
      </c>
      <c r="U80" s="28">
        <f t="shared" si="10"/>
        <v>-1</v>
      </c>
      <c r="V80" s="28">
        <f t="shared" si="10"/>
        <v>-1</v>
      </c>
      <c r="W80" s="28">
        <f t="shared" si="10"/>
        <v>-1</v>
      </c>
      <c r="X80" s="28">
        <f t="shared" si="10"/>
        <v>0</v>
      </c>
      <c r="Y80" s="28">
        <f t="shared" si="10"/>
        <v>0</v>
      </c>
      <c r="Z80" s="28">
        <f t="shared" si="10"/>
        <v>0</v>
      </c>
      <c r="AA80" s="28">
        <f t="shared" si="10"/>
        <v>0</v>
      </c>
      <c r="AB80" s="28">
        <f t="shared" si="10"/>
        <v>0</v>
      </c>
      <c r="AC80" s="28">
        <f t="shared" si="10"/>
        <v>0</v>
      </c>
      <c r="AD80" s="28">
        <f t="shared" si="10"/>
        <v>0</v>
      </c>
      <c r="AE80" s="53"/>
      <c r="AF80" s="3">
        <v>16</v>
      </c>
      <c r="AG80" s="3"/>
      <c r="AH80" s="3"/>
      <c r="AI80" s="3">
        <f>AE79/11</f>
        <v>10.272727272727273</v>
      </c>
    </row>
    <row r="81" spans="1:35" ht="14.25" customHeight="1">
      <c r="A81" s="3"/>
      <c r="B81" s="3"/>
      <c r="C81" s="3"/>
      <c r="D81" s="48"/>
      <c r="E81" s="60" t="s">
        <v>145</v>
      </c>
      <c r="F81" s="59"/>
      <c r="G81" s="51" t="s">
        <v>9</v>
      </c>
      <c r="H81" s="51" t="s">
        <v>10</v>
      </c>
      <c r="I81" s="51" t="s">
        <v>11</v>
      </c>
      <c r="J81" s="51" t="s">
        <v>12</v>
      </c>
      <c r="K81" s="51" t="s">
        <v>13</v>
      </c>
      <c r="L81" s="51" t="s">
        <v>14</v>
      </c>
      <c r="M81" s="51" t="s">
        <v>15</v>
      </c>
      <c r="N81" s="51" t="s">
        <v>16</v>
      </c>
      <c r="O81" s="51" t="s">
        <v>17</v>
      </c>
      <c r="P81" s="51" t="s">
        <v>18</v>
      </c>
      <c r="Q81" s="52" t="s">
        <v>19</v>
      </c>
      <c r="R81" s="52" t="s">
        <v>20</v>
      </c>
      <c r="S81" s="52" t="s">
        <v>21</v>
      </c>
      <c r="T81" s="52" t="s">
        <v>22</v>
      </c>
      <c r="U81" s="52" t="s">
        <v>23</v>
      </c>
      <c r="V81" s="52" t="s">
        <v>24</v>
      </c>
      <c r="W81" s="52" t="s">
        <v>25</v>
      </c>
      <c r="X81" s="52" t="s">
        <v>26</v>
      </c>
      <c r="Y81" s="52" t="s">
        <v>27</v>
      </c>
      <c r="Z81" s="52" t="s">
        <v>28</v>
      </c>
      <c r="AA81" s="52" t="s">
        <v>29</v>
      </c>
      <c r="AB81" s="52" t="s">
        <v>30</v>
      </c>
      <c r="AC81" s="52" t="s">
        <v>31</v>
      </c>
      <c r="AD81" s="51" t="s">
        <v>32</v>
      </c>
      <c r="AE81" s="53"/>
      <c r="AF81" s="25"/>
      <c r="AG81" s="3"/>
      <c r="AH81" s="3"/>
      <c r="AI81" s="3"/>
    </row>
    <row r="82" spans="1:35" ht="14.25" customHeight="1">
      <c r="A82" s="3"/>
      <c r="B82" s="3"/>
      <c r="C82" s="3"/>
      <c r="D82" s="48"/>
      <c r="E82" s="61" t="s">
        <v>37</v>
      </c>
      <c r="F82" s="37" t="s">
        <v>38</v>
      </c>
      <c r="G82" s="35">
        <f t="shared" ref="G82:AD82" si="11">SUM(G83:G99)</f>
        <v>2</v>
      </c>
      <c r="H82" s="35">
        <f t="shared" si="11"/>
        <v>2</v>
      </c>
      <c r="I82" s="35">
        <f t="shared" si="11"/>
        <v>2</v>
      </c>
      <c r="J82" s="35">
        <f t="shared" si="11"/>
        <v>2</v>
      </c>
      <c r="K82" s="35">
        <f t="shared" si="11"/>
        <v>2</v>
      </c>
      <c r="L82" s="35">
        <f t="shared" si="11"/>
        <v>2</v>
      </c>
      <c r="M82" s="35">
        <f t="shared" si="11"/>
        <v>3</v>
      </c>
      <c r="N82" s="35">
        <f t="shared" si="11"/>
        <v>4</v>
      </c>
      <c r="O82" s="35">
        <f t="shared" si="11"/>
        <v>4</v>
      </c>
      <c r="P82" s="35">
        <f t="shared" si="11"/>
        <v>6</v>
      </c>
      <c r="Q82" s="35">
        <f t="shared" si="11"/>
        <v>6</v>
      </c>
      <c r="R82" s="35">
        <f t="shared" si="11"/>
        <v>6</v>
      </c>
      <c r="S82" s="35">
        <f t="shared" si="11"/>
        <v>6</v>
      </c>
      <c r="T82" s="35">
        <f t="shared" si="11"/>
        <v>5</v>
      </c>
      <c r="U82" s="35">
        <f t="shared" si="11"/>
        <v>6</v>
      </c>
      <c r="V82" s="35">
        <f t="shared" si="11"/>
        <v>6</v>
      </c>
      <c r="W82" s="35">
        <f t="shared" si="11"/>
        <v>6</v>
      </c>
      <c r="X82" s="35">
        <f t="shared" si="11"/>
        <v>7</v>
      </c>
      <c r="Y82" s="35">
        <f t="shared" si="11"/>
        <v>7</v>
      </c>
      <c r="Z82" s="35">
        <f t="shared" si="11"/>
        <v>7</v>
      </c>
      <c r="AA82" s="35">
        <f t="shared" si="11"/>
        <v>6</v>
      </c>
      <c r="AB82" s="35">
        <f t="shared" si="11"/>
        <v>5</v>
      </c>
      <c r="AC82" s="35">
        <f t="shared" si="11"/>
        <v>2</v>
      </c>
      <c r="AD82" s="35">
        <f t="shared" si="11"/>
        <v>2</v>
      </c>
      <c r="AE82" s="30">
        <f t="shared" ref="AE82:AE99" si="12">SUM(G82:AD82)</f>
        <v>106</v>
      </c>
      <c r="AF82" s="36" t="s">
        <v>39</v>
      </c>
      <c r="AG82" s="173"/>
      <c r="AH82" s="173"/>
      <c r="AI82" s="37" t="s">
        <v>40</v>
      </c>
    </row>
    <row r="83" spans="1:35" ht="14.25" customHeight="1">
      <c r="A83" s="38" t="s">
        <v>145</v>
      </c>
      <c r="B83" s="38" t="s">
        <v>67</v>
      </c>
      <c r="C83" s="38">
        <v>968594141</v>
      </c>
      <c r="D83" s="99">
        <v>1</v>
      </c>
      <c r="E83" s="40" t="s">
        <v>68</v>
      </c>
      <c r="F83" s="41">
        <f t="shared" ref="F83:F99" si="13">SUM(G83:AD83)</f>
        <v>0</v>
      </c>
      <c r="G83" s="202">
        <v>0</v>
      </c>
      <c r="H83" s="202">
        <v>0</v>
      </c>
      <c r="I83" s="202">
        <v>0</v>
      </c>
      <c r="J83" s="202">
        <v>0</v>
      </c>
      <c r="K83" s="202">
        <v>0</v>
      </c>
      <c r="L83" s="202">
        <v>0</v>
      </c>
      <c r="M83" s="202">
        <v>0</v>
      </c>
      <c r="N83" s="202">
        <v>0</v>
      </c>
      <c r="O83" s="202">
        <v>0</v>
      </c>
      <c r="P83" s="202">
        <v>0</v>
      </c>
      <c r="Q83" s="202">
        <v>0</v>
      </c>
      <c r="R83" s="202">
        <v>0</v>
      </c>
      <c r="S83" s="202">
        <v>0</v>
      </c>
      <c r="T83" s="202">
        <v>0</v>
      </c>
      <c r="U83" s="202">
        <v>0</v>
      </c>
      <c r="V83" s="202">
        <v>0</v>
      </c>
      <c r="W83" s="202">
        <v>0</v>
      </c>
      <c r="X83" s="202">
        <v>0</v>
      </c>
      <c r="Y83" s="202">
        <v>0</v>
      </c>
      <c r="Z83" s="202">
        <v>0</v>
      </c>
      <c r="AA83" s="202">
        <v>0</v>
      </c>
      <c r="AB83" s="202">
        <v>0</v>
      </c>
      <c r="AC83" s="202">
        <v>0</v>
      </c>
      <c r="AD83" s="202">
        <v>0</v>
      </c>
      <c r="AE83" s="41">
        <f t="shared" si="12"/>
        <v>0</v>
      </c>
      <c r="AF83" s="116" t="s">
        <v>225</v>
      </c>
      <c r="AG83" s="546" t="s">
        <v>718</v>
      </c>
      <c r="AH83" s="542"/>
      <c r="AI83" s="178" t="s">
        <v>715</v>
      </c>
    </row>
    <row r="84" spans="1:35" ht="15" customHeight="1">
      <c r="A84" s="38" t="s">
        <v>145</v>
      </c>
      <c r="B84" s="38" t="s">
        <v>149</v>
      </c>
      <c r="C84" s="38">
        <v>996585473</v>
      </c>
      <c r="D84" s="62">
        <v>2</v>
      </c>
      <c r="E84" s="40" t="s">
        <v>150</v>
      </c>
      <c r="F84" s="41">
        <f t="shared" si="13"/>
        <v>12</v>
      </c>
      <c r="G84" s="202"/>
      <c r="H84" s="202"/>
      <c r="I84" s="202"/>
      <c r="J84" s="202"/>
      <c r="K84" s="202"/>
      <c r="L84" s="202"/>
      <c r="M84" s="202"/>
      <c r="N84" s="202"/>
      <c r="O84" s="202"/>
      <c r="P84" s="202">
        <v>1</v>
      </c>
      <c r="Q84" s="202">
        <v>1</v>
      </c>
      <c r="R84" s="202">
        <v>1</v>
      </c>
      <c r="S84" s="202">
        <v>1</v>
      </c>
      <c r="T84" s="202"/>
      <c r="U84" s="202">
        <v>1</v>
      </c>
      <c r="V84" s="202">
        <v>1</v>
      </c>
      <c r="W84" s="202">
        <v>1</v>
      </c>
      <c r="X84" s="202">
        <v>1</v>
      </c>
      <c r="Y84" s="202">
        <v>1</v>
      </c>
      <c r="Z84" s="202">
        <v>1</v>
      </c>
      <c r="AA84" s="202">
        <v>1</v>
      </c>
      <c r="AB84" s="202">
        <v>1</v>
      </c>
      <c r="AC84" s="202"/>
      <c r="AD84" s="202"/>
      <c r="AE84" s="41">
        <f t="shared" si="12"/>
        <v>12</v>
      </c>
      <c r="AF84" s="116" t="s">
        <v>249</v>
      </c>
      <c r="AG84" s="546" t="s">
        <v>718</v>
      </c>
      <c r="AH84" s="542"/>
      <c r="AI84" s="189" t="s">
        <v>715</v>
      </c>
    </row>
    <row r="85" spans="1:35" ht="19.5" customHeight="1">
      <c r="A85" s="38" t="s">
        <v>145</v>
      </c>
      <c r="B85" s="38" t="s">
        <v>76</v>
      </c>
      <c r="C85" s="38">
        <v>997829699</v>
      </c>
      <c r="D85" s="39">
        <v>3</v>
      </c>
      <c r="E85" s="40" t="s">
        <v>77</v>
      </c>
      <c r="F85" s="41">
        <f t="shared" si="13"/>
        <v>13</v>
      </c>
      <c r="G85" s="202"/>
      <c r="H85" s="202"/>
      <c r="I85" s="202"/>
      <c r="J85" s="202"/>
      <c r="K85" s="202"/>
      <c r="L85" s="202"/>
      <c r="M85" s="202"/>
      <c r="N85" s="202"/>
      <c r="O85" s="202"/>
      <c r="P85" s="202">
        <v>1</v>
      </c>
      <c r="Q85" s="202">
        <v>1</v>
      </c>
      <c r="R85" s="202">
        <v>1</v>
      </c>
      <c r="S85" s="202">
        <v>1</v>
      </c>
      <c r="T85" s="202">
        <v>1</v>
      </c>
      <c r="U85" s="202">
        <v>1</v>
      </c>
      <c r="V85" s="202">
        <v>1</v>
      </c>
      <c r="W85" s="202">
        <v>1</v>
      </c>
      <c r="X85" s="202">
        <v>1</v>
      </c>
      <c r="Y85" s="202">
        <v>1</v>
      </c>
      <c r="Z85" s="202">
        <v>1</v>
      </c>
      <c r="AA85" s="202">
        <v>1</v>
      </c>
      <c r="AB85" s="202">
        <v>1</v>
      </c>
      <c r="AC85" s="202"/>
      <c r="AD85" s="202"/>
      <c r="AE85" s="41">
        <f t="shared" si="12"/>
        <v>13</v>
      </c>
      <c r="AF85" s="116" t="s">
        <v>326</v>
      </c>
      <c r="AG85" s="546" t="s">
        <v>718</v>
      </c>
      <c r="AH85" s="542"/>
      <c r="AI85" s="189" t="s">
        <v>715</v>
      </c>
    </row>
    <row r="86" spans="1:35" ht="14.25" customHeight="1">
      <c r="A86" s="38" t="s">
        <v>145</v>
      </c>
      <c r="B86" s="38" t="s">
        <v>152</v>
      </c>
      <c r="C86" s="38"/>
      <c r="D86" s="99">
        <v>4</v>
      </c>
      <c r="E86" s="40" t="s">
        <v>153</v>
      </c>
      <c r="F86" s="41">
        <f t="shared" si="13"/>
        <v>0</v>
      </c>
      <c r="G86" s="202">
        <v>0</v>
      </c>
      <c r="H86" s="202">
        <v>0</v>
      </c>
      <c r="I86" s="202">
        <v>0</v>
      </c>
      <c r="J86" s="202">
        <v>0</v>
      </c>
      <c r="K86" s="202">
        <v>0</v>
      </c>
      <c r="L86" s="202">
        <v>0</v>
      </c>
      <c r="M86" s="202">
        <v>0</v>
      </c>
      <c r="N86" s="202">
        <v>0</v>
      </c>
      <c r="O86" s="202">
        <v>0</v>
      </c>
      <c r="P86" s="202">
        <v>0</v>
      </c>
      <c r="Q86" s="202">
        <v>0</v>
      </c>
      <c r="R86" s="202">
        <v>0</v>
      </c>
      <c r="S86" s="202">
        <v>0</v>
      </c>
      <c r="T86" s="202">
        <v>0</v>
      </c>
      <c r="U86" s="202">
        <v>0</v>
      </c>
      <c r="V86" s="202">
        <v>0</v>
      </c>
      <c r="W86" s="202">
        <v>0</v>
      </c>
      <c r="X86" s="202">
        <v>0</v>
      </c>
      <c r="Y86" s="202">
        <v>0</v>
      </c>
      <c r="Z86" s="202">
        <v>0</v>
      </c>
      <c r="AA86" s="202">
        <v>0</v>
      </c>
      <c r="AB86" s="202">
        <v>0</v>
      </c>
      <c r="AC86" s="202">
        <v>0</v>
      </c>
      <c r="AD86" s="202">
        <v>0</v>
      </c>
      <c r="AE86" s="41">
        <f t="shared" si="12"/>
        <v>0</v>
      </c>
      <c r="AF86" s="116" t="s">
        <v>225</v>
      </c>
      <c r="AG86" s="546" t="s">
        <v>718</v>
      </c>
      <c r="AH86" s="542"/>
      <c r="AI86" s="189" t="s">
        <v>715</v>
      </c>
    </row>
    <row r="87" spans="1:35" ht="14.25" customHeight="1">
      <c r="A87" s="38" t="s">
        <v>145</v>
      </c>
      <c r="B87" s="38" t="s">
        <v>85</v>
      </c>
      <c r="C87" s="38">
        <v>991837641</v>
      </c>
      <c r="D87" s="62">
        <v>5</v>
      </c>
      <c r="E87" s="40" t="s">
        <v>86</v>
      </c>
      <c r="F87" s="41">
        <f t="shared" si="13"/>
        <v>0</v>
      </c>
      <c r="G87" s="202">
        <v>0</v>
      </c>
      <c r="H87" s="202">
        <v>0</v>
      </c>
      <c r="I87" s="202">
        <v>0</v>
      </c>
      <c r="J87" s="202">
        <v>0</v>
      </c>
      <c r="K87" s="202">
        <v>0</v>
      </c>
      <c r="L87" s="202">
        <v>0</v>
      </c>
      <c r="M87" s="202">
        <v>0</v>
      </c>
      <c r="N87" s="202">
        <v>0</v>
      </c>
      <c r="O87" s="202">
        <v>0</v>
      </c>
      <c r="P87" s="202">
        <v>0</v>
      </c>
      <c r="Q87" s="202">
        <v>0</v>
      </c>
      <c r="R87" s="202">
        <v>0</v>
      </c>
      <c r="S87" s="202">
        <v>0</v>
      </c>
      <c r="T87" s="202">
        <v>0</v>
      </c>
      <c r="U87" s="202">
        <v>0</v>
      </c>
      <c r="V87" s="202">
        <v>0</v>
      </c>
      <c r="W87" s="202">
        <v>0</v>
      </c>
      <c r="X87" s="202">
        <v>0</v>
      </c>
      <c r="Y87" s="202">
        <v>0</v>
      </c>
      <c r="Z87" s="202">
        <v>0</v>
      </c>
      <c r="AA87" s="202">
        <v>0</v>
      </c>
      <c r="AB87" s="202">
        <v>0</v>
      </c>
      <c r="AC87" s="202">
        <v>0</v>
      </c>
      <c r="AD87" s="202">
        <v>0</v>
      </c>
      <c r="AE87" s="41">
        <f t="shared" si="12"/>
        <v>0</v>
      </c>
      <c r="AF87" s="116" t="s">
        <v>225</v>
      </c>
      <c r="AG87" s="546" t="s">
        <v>718</v>
      </c>
      <c r="AH87" s="542"/>
      <c r="AI87" s="189" t="s">
        <v>715</v>
      </c>
    </row>
    <row r="88" spans="1:35" ht="14.25" customHeight="1">
      <c r="A88" s="38" t="s">
        <v>145</v>
      </c>
      <c r="B88" s="38" t="s">
        <v>157</v>
      </c>
      <c r="C88" s="38">
        <v>990911747</v>
      </c>
      <c r="D88" s="39">
        <v>6</v>
      </c>
      <c r="E88" s="40" t="s">
        <v>158</v>
      </c>
      <c r="F88" s="41">
        <f t="shared" si="13"/>
        <v>8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>
        <v>1</v>
      </c>
      <c r="N88" s="202">
        <v>1</v>
      </c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41">
        <f t="shared" si="12"/>
        <v>8</v>
      </c>
      <c r="AF88" s="116" t="s">
        <v>482</v>
      </c>
      <c r="AG88" s="546" t="s">
        <v>718</v>
      </c>
      <c r="AH88" s="542"/>
      <c r="AI88" s="189" t="s">
        <v>715</v>
      </c>
    </row>
    <row r="89" spans="1:35" ht="14.25" customHeight="1">
      <c r="A89" s="38" t="s">
        <v>145</v>
      </c>
      <c r="B89" s="38" t="s">
        <v>160</v>
      </c>
      <c r="C89" s="38">
        <v>993901115</v>
      </c>
      <c r="D89" s="99">
        <v>7</v>
      </c>
      <c r="E89" s="40" t="s">
        <v>161</v>
      </c>
      <c r="F89" s="41">
        <f t="shared" si="13"/>
        <v>7</v>
      </c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>
        <v>1</v>
      </c>
      <c r="Y89" s="202">
        <v>1</v>
      </c>
      <c r="Z89" s="202">
        <v>1</v>
      </c>
      <c r="AA89" s="202">
        <v>1</v>
      </c>
      <c r="AB89" s="202">
        <v>1</v>
      </c>
      <c r="AC89" s="202">
        <v>1</v>
      </c>
      <c r="AD89" s="202">
        <v>1</v>
      </c>
      <c r="AE89" s="41">
        <f t="shared" si="12"/>
        <v>7</v>
      </c>
      <c r="AF89" s="116" t="s">
        <v>74</v>
      </c>
      <c r="AG89" s="546" t="s">
        <v>718</v>
      </c>
      <c r="AH89" s="542"/>
      <c r="AI89" s="189" t="s">
        <v>715</v>
      </c>
    </row>
    <row r="90" spans="1:35" ht="14.25" customHeight="1">
      <c r="A90" s="38" t="s">
        <v>145</v>
      </c>
      <c r="B90" s="38" t="s">
        <v>165</v>
      </c>
      <c r="C90" s="38">
        <v>992994680</v>
      </c>
      <c r="D90" s="62">
        <v>8</v>
      </c>
      <c r="E90" s="40" t="s">
        <v>166</v>
      </c>
      <c r="F90" s="41">
        <f t="shared" si="13"/>
        <v>0</v>
      </c>
      <c r="G90" s="202">
        <v>0</v>
      </c>
      <c r="H90" s="202">
        <v>0</v>
      </c>
      <c r="I90" s="202">
        <v>0</v>
      </c>
      <c r="J90" s="202">
        <v>0</v>
      </c>
      <c r="K90" s="202">
        <v>0</v>
      </c>
      <c r="L90" s="202">
        <v>0</v>
      </c>
      <c r="M90" s="202">
        <v>0</v>
      </c>
      <c r="N90" s="202">
        <v>0</v>
      </c>
      <c r="O90" s="202">
        <v>0</v>
      </c>
      <c r="P90" s="202">
        <v>0</v>
      </c>
      <c r="Q90" s="202">
        <v>0</v>
      </c>
      <c r="R90" s="202">
        <v>0</v>
      </c>
      <c r="S90" s="202">
        <v>0</v>
      </c>
      <c r="T90" s="202">
        <v>0</v>
      </c>
      <c r="U90" s="202">
        <v>0</v>
      </c>
      <c r="V90" s="202">
        <v>0</v>
      </c>
      <c r="W90" s="202">
        <v>0</v>
      </c>
      <c r="X90" s="202">
        <v>0</v>
      </c>
      <c r="Y90" s="202">
        <v>0</v>
      </c>
      <c r="Z90" s="202">
        <v>0</v>
      </c>
      <c r="AA90" s="202">
        <v>0</v>
      </c>
      <c r="AB90" s="202">
        <v>0</v>
      </c>
      <c r="AC90" s="202">
        <v>0</v>
      </c>
      <c r="AD90" s="202">
        <v>0</v>
      </c>
      <c r="AE90" s="41">
        <f t="shared" si="12"/>
        <v>0</v>
      </c>
      <c r="AF90" s="116" t="s">
        <v>225</v>
      </c>
      <c r="AG90" s="546" t="s">
        <v>718</v>
      </c>
      <c r="AH90" s="542"/>
      <c r="AI90" s="189" t="s">
        <v>715</v>
      </c>
    </row>
    <row r="91" spans="1:35" ht="14.25" customHeight="1">
      <c r="A91" s="38" t="s">
        <v>145</v>
      </c>
      <c r="B91" s="38" t="s">
        <v>168</v>
      </c>
      <c r="C91" s="38"/>
      <c r="D91" s="39">
        <v>9</v>
      </c>
      <c r="E91" s="40" t="s">
        <v>169</v>
      </c>
      <c r="F91" s="41">
        <f t="shared" si="13"/>
        <v>12</v>
      </c>
      <c r="G91" s="202"/>
      <c r="H91" s="202"/>
      <c r="I91" s="202"/>
      <c r="J91" s="202"/>
      <c r="K91" s="202"/>
      <c r="L91" s="202"/>
      <c r="M91" s="202">
        <v>1</v>
      </c>
      <c r="N91" s="202">
        <v>1</v>
      </c>
      <c r="O91" s="202">
        <v>1</v>
      </c>
      <c r="P91" s="202">
        <v>1</v>
      </c>
      <c r="Q91" s="202">
        <v>1</v>
      </c>
      <c r="R91" s="202">
        <v>1</v>
      </c>
      <c r="S91" s="202">
        <v>1</v>
      </c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/>
      <c r="Z91" s="202"/>
      <c r="AA91" s="202"/>
      <c r="AB91" s="202"/>
      <c r="AC91" s="202"/>
      <c r="AD91" s="202"/>
      <c r="AE91" s="41">
        <f t="shared" si="12"/>
        <v>12</v>
      </c>
      <c r="AF91" s="116" t="s">
        <v>84</v>
      </c>
      <c r="AG91" s="546" t="s">
        <v>718</v>
      </c>
      <c r="AH91" s="542"/>
      <c r="AI91" s="189" t="s">
        <v>715</v>
      </c>
    </row>
    <row r="92" spans="1:35" ht="14.25" customHeight="1">
      <c r="A92" s="98" t="s">
        <v>145</v>
      </c>
      <c r="B92" s="98" t="s">
        <v>451</v>
      </c>
      <c r="C92" s="98"/>
      <c r="D92" s="99">
        <v>10</v>
      </c>
      <c r="E92" s="40" t="s">
        <v>177</v>
      </c>
      <c r="F92" s="41">
        <f t="shared" si="13"/>
        <v>8</v>
      </c>
      <c r="G92" s="202">
        <v>1</v>
      </c>
      <c r="H92" s="202">
        <v>1</v>
      </c>
      <c r="I92" s="202">
        <v>1</v>
      </c>
      <c r="J92" s="202">
        <v>1</v>
      </c>
      <c r="K92" s="202">
        <v>1</v>
      </c>
      <c r="L92" s="202">
        <v>1</v>
      </c>
      <c r="M92" s="202">
        <v>1</v>
      </c>
      <c r="N92" s="202">
        <v>1</v>
      </c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41">
        <f t="shared" si="12"/>
        <v>8</v>
      </c>
      <c r="AF92" s="116" t="s">
        <v>482</v>
      </c>
      <c r="AG92" s="546" t="s">
        <v>718</v>
      </c>
      <c r="AH92" s="542"/>
      <c r="AI92" s="189" t="s">
        <v>715</v>
      </c>
    </row>
    <row r="93" spans="1:35" ht="14.25" customHeight="1">
      <c r="A93" s="38" t="s">
        <v>145</v>
      </c>
      <c r="B93" s="38" t="s">
        <v>178</v>
      </c>
      <c r="C93" s="38"/>
      <c r="D93" s="62">
        <v>11</v>
      </c>
      <c r="E93" s="40" t="s">
        <v>179</v>
      </c>
      <c r="F93" s="41">
        <f t="shared" si="13"/>
        <v>7</v>
      </c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>
        <v>1</v>
      </c>
      <c r="Y93" s="202">
        <v>1</v>
      </c>
      <c r="Z93" s="202">
        <v>1</v>
      </c>
      <c r="AA93" s="202">
        <v>1</v>
      </c>
      <c r="AB93" s="202">
        <v>1</v>
      </c>
      <c r="AC93" s="202">
        <v>1</v>
      </c>
      <c r="AD93" s="202">
        <v>1</v>
      </c>
      <c r="AE93" s="41">
        <f t="shared" si="12"/>
        <v>7</v>
      </c>
      <c r="AF93" s="116" t="s">
        <v>74</v>
      </c>
      <c r="AG93" s="546" t="s">
        <v>718</v>
      </c>
      <c r="AH93" s="542"/>
      <c r="AI93" s="189" t="s">
        <v>715</v>
      </c>
    </row>
    <row r="94" spans="1:35" ht="14.25" customHeight="1">
      <c r="A94" s="38" t="s">
        <v>145</v>
      </c>
      <c r="B94" s="38" t="s">
        <v>181</v>
      </c>
      <c r="C94" s="38"/>
      <c r="D94" s="39">
        <v>12</v>
      </c>
      <c r="E94" s="40" t="s">
        <v>182</v>
      </c>
      <c r="F94" s="41">
        <f t="shared" si="13"/>
        <v>13</v>
      </c>
      <c r="G94" s="202"/>
      <c r="H94" s="202"/>
      <c r="I94" s="202"/>
      <c r="J94" s="202"/>
      <c r="K94" s="202"/>
      <c r="L94" s="202"/>
      <c r="M94" s="202"/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202">
        <v>1</v>
      </c>
      <c r="X94" s="202">
        <v>1</v>
      </c>
      <c r="Y94" s="202">
        <v>1</v>
      </c>
      <c r="Z94" s="202">
        <v>1</v>
      </c>
      <c r="AA94" s="202"/>
      <c r="AB94" s="202"/>
      <c r="AC94" s="202"/>
      <c r="AD94" s="202"/>
      <c r="AE94" s="41">
        <f t="shared" si="12"/>
        <v>13</v>
      </c>
      <c r="AF94" s="116" t="s">
        <v>263</v>
      </c>
      <c r="AG94" s="546" t="s">
        <v>718</v>
      </c>
      <c r="AH94" s="542"/>
      <c r="AI94" s="189" t="s">
        <v>715</v>
      </c>
    </row>
    <row r="95" spans="1:35" ht="14.25" customHeight="1">
      <c r="A95" s="38" t="s">
        <v>145</v>
      </c>
      <c r="B95" s="38" t="s">
        <v>107</v>
      </c>
      <c r="C95" s="38">
        <v>981074073</v>
      </c>
      <c r="D95" s="99">
        <v>13</v>
      </c>
      <c r="E95" s="40" t="s">
        <v>108</v>
      </c>
      <c r="F95" s="41">
        <f t="shared" si="13"/>
        <v>13</v>
      </c>
      <c r="G95" s="202"/>
      <c r="H95" s="202"/>
      <c r="I95" s="202"/>
      <c r="J95" s="202"/>
      <c r="K95" s="202"/>
      <c r="L95" s="202"/>
      <c r="M95" s="202"/>
      <c r="N95" s="202"/>
      <c r="O95" s="202">
        <v>1</v>
      </c>
      <c r="P95" s="202">
        <v>1</v>
      </c>
      <c r="Q95" s="202">
        <v>1</v>
      </c>
      <c r="R95" s="202">
        <v>1</v>
      </c>
      <c r="S95" s="202">
        <v>1</v>
      </c>
      <c r="T95" s="202">
        <v>1</v>
      </c>
      <c r="U95" s="202">
        <v>1</v>
      </c>
      <c r="V95" s="202">
        <v>1</v>
      </c>
      <c r="W95" s="202">
        <v>1</v>
      </c>
      <c r="X95" s="202">
        <v>1</v>
      </c>
      <c r="Y95" s="202">
        <v>1</v>
      </c>
      <c r="Z95" s="202">
        <v>1</v>
      </c>
      <c r="AA95" s="202">
        <v>1</v>
      </c>
      <c r="AB95" s="202"/>
      <c r="AC95" s="202"/>
      <c r="AD95" s="202"/>
      <c r="AE95" s="41">
        <f t="shared" si="12"/>
        <v>13</v>
      </c>
      <c r="AF95" s="116" t="s">
        <v>329</v>
      </c>
      <c r="AG95" s="546" t="s">
        <v>718</v>
      </c>
      <c r="AH95" s="542"/>
      <c r="AI95" s="189" t="s">
        <v>715</v>
      </c>
    </row>
    <row r="96" spans="1:35" ht="14.25" customHeight="1">
      <c r="A96" s="38" t="s">
        <v>145</v>
      </c>
      <c r="B96" s="38" t="s">
        <v>167</v>
      </c>
      <c r="C96" s="38">
        <v>995055956</v>
      </c>
      <c r="D96" s="117">
        <v>14</v>
      </c>
      <c r="E96" s="100" t="s">
        <v>144</v>
      </c>
      <c r="F96" s="41">
        <f t="shared" si="13"/>
        <v>13</v>
      </c>
      <c r="G96" s="202"/>
      <c r="H96" s="202"/>
      <c r="I96" s="202"/>
      <c r="J96" s="202"/>
      <c r="K96" s="202"/>
      <c r="L96" s="202"/>
      <c r="M96" s="202"/>
      <c r="N96" s="202"/>
      <c r="O96" s="202">
        <v>1</v>
      </c>
      <c r="P96" s="202">
        <v>1</v>
      </c>
      <c r="Q96" s="202">
        <v>1</v>
      </c>
      <c r="R96" s="202">
        <v>1</v>
      </c>
      <c r="S96" s="202">
        <v>1</v>
      </c>
      <c r="T96" s="202">
        <v>1</v>
      </c>
      <c r="U96" s="202">
        <v>1</v>
      </c>
      <c r="V96" s="202">
        <v>1</v>
      </c>
      <c r="W96" s="202">
        <v>1</v>
      </c>
      <c r="X96" s="202"/>
      <c r="Y96" s="202">
        <v>1</v>
      </c>
      <c r="Z96" s="202">
        <v>1</v>
      </c>
      <c r="AA96" s="202">
        <v>1</v>
      </c>
      <c r="AB96" s="202">
        <v>1</v>
      </c>
      <c r="AC96" s="202"/>
      <c r="AD96" s="202"/>
      <c r="AE96" s="41">
        <f t="shared" si="12"/>
        <v>13</v>
      </c>
      <c r="AF96" s="116" t="s">
        <v>339</v>
      </c>
      <c r="AG96" s="546" t="s">
        <v>718</v>
      </c>
      <c r="AH96" s="542"/>
      <c r="AI96" s="189" t="s">
        <v>715</v>
      </c>
    </row>
    <row r="97" spans="1:35" ht="14.25" customHeight="1">
      <c r="A97" s="38" t="s">
        <v>145</v>
      </c>
      <c r="B97" s="38" t="s">
        <v>173</v>
      </c>
      <c r="C97" s="38">
        <v>988941361</v>
      </c>
      <c r="D97" s="99">
        <v>15</v>
      </c>
      <c r="E97" s="100" t="s">
        <v>174</v>
      </c>
      <c r="F97" s="41">
        <f t="shared" si="13"/>
        <v>0</v>
      </c>
      <c r="G97" s="202">
        <v>0</v>
      </c>
      <c r="H97" s="202">
        <v>0</v>
      </c>
      <c r="I97" s="202">
        <v>0</v>
      </c>
      <c r="J97" s="202">
        <v>0</v>
      </c>
      <c r="K97" s="202">
        <v>0</v>
      </c>
      <c r="L97" s="202">
        <v>0</v>
      </c>
      <c r="M97" s="202">
        <v>0</v>
      </c>
      <c r="N97" s="202">
        <v>0</v>
      </c>
      <c r="O97" s="202">
        <v>0</v>
      </c>
      <c r="P97" s="202">
        <v>0</v>
      </c>
      <c r="Q97" s="202">
        <v>0</v>
      </c>
      <c r="R97" s="202">
        <v>0</v>
      </c>
      <c r="S97" s="202">
        <v>0</v>
      </c>
      <c r="T97" s="202">
        <v>0</v>
      </c>
      <c r="U97" s="202">
        <v>0</v>
      </c>
      <c r="V97" s="202">
        <v>0</v>
      </c>
      <c r="W97" s="202">
        <v>0</v>
      </c>
      <c r="X97" s="202">
        <v>0</v>
      </c>
      <c r="Y97" s="202">
        <v>0</v>
      </c>
      <c r="Z97" s="202">
        <v>0</v>
      </c>
      <c r="AA97" s="202">
        <v>0</v>
      </c>
      <c r="AB97" s="202">
        <v>0</v>
      </c>
      <c r="AC97" s="202">
        <v>0</v>
      </c>
      <c r="AD97" s="202">
        <v>0</v>
      </c>
      <c r="AE97" s="41">
        <f t="shared" si="12"/>
        <v>0</v>
      </c>
      <c r="AF97" s="116" t="s">
        <v>225</v>
      </c>
      <c r="AG97" s="546" t="s">
        <v>718</v>
      </c>
      <c r="AH97" s="542"/>
      <c r="AI97" s="189" t="s">
        <v>715</v>
      </c>
    </row>
    <row r="98" spans="1:35" ht="14.25" customHeight="1">
      <c r="A98" s="76" t="s">
        <v>145</v>
      </c>
      <c r="B98" s="76" t="s">
        <v>97</v>
      </c>
      <c r="C98" s="38"/>
      <c r="D98" s="99">
        <v>16</v>
      </c>
      <c r="E98" s="100" t="s">
        <v>98</v>
      </c>
      <c r="F98" s="41">
        <f t="shared" si="13"/>
        <v>0</v>
      </c>
      <c r="G98" s="202">
        <v>0</v>
      </c>
      <c r="H98" s="202">
        <v>0</v>
      </c>
      <c r="I98" s="202">
        <v>0</v>
      </c>
      <c r="J98" s="202">
        <v>0</v>
      </c>
      <c r="K98" s="202">
        <v>0</v>
      </c>
      <c r="L98" s="202">
        <v>0</v>
      </c>
      <c r="M98" s="202">
        <v>0</v>
      </c>
      <c r="N98" s="202">
        <v>0</v>
      </c>
      <c r="O98" s="202">
        <v>0</v>
      </c>
      <c r="P98" s="202">
        <v>0</v>
      </c>
      <c r="Q98" s="202">
        <v>0</v>
      </c>
      <c r="R98" s="202">
        <v>0</v>
      </c>
      <c r="S98" s="202">
        <v>0</v>
      </c>
      <c r="T98" s="202">
        <v>0</v>
      </c>
      <c r="U98" s="202">
        <v>0</v>
      </c>
      <c r="V98" s="202">
        <v>0</v>
      </c>
      <c r="W98" s="202">
        <v>0</v>
      </c>
      <c r="X98" s="202">
        <v>0</v>
      </c>
      <c r="Y98" s="202">
        <v>0</v>
      </c>
      <c r="Z98" s="202">
        <v>0</v>
      </c>
      <c r="AA98" s="202">
        <v>0</v>
      </c>
      <c r="AB98" s="202">
        <v>0</v>
      </c>
      <c r="AC98" s="202">
        <v>0</v>
      </c>
      <c r="AD98" s="202">
        <v>0</v>
      </c>
      <c r="AE98" s="41">
        <f t="shared" si="12"/>
        <v>0</v>
      </c>
      <c r="AF98" s="116" t="s">
        <v>225</v>
      </c>
      <c r="AG98" s="546" t="s">
        <v>718</v>
      </c>
      <c r="AH98" s="542"/>
      <c r="AI98" s="189" t="s">
        <v>715</v>
      </c>
    </row>
    <row r="99" spans="1:35" ht="14.25" customHeight="1">
      <c r="A99" s="38" t="s">
        <v>145</v>
      </c>
      <c r="B99" s="38" t="s">
        <v>472</v>
      </c>
      <c r="C99" s="38"/>
      <c r="D99" s="39">
        <v>17</v>
      </c>
      <c r="E99" s="40" t="s">
        <v>184</v>
      </c>
      <c r="F99" s="41">
        <f t="shared" si="13"/>
        <v>0</v>
      </c>
      <c r="G99" s="202">
        <v>0</v>
      </c>
      <c r="H99" s="202">
        <v>0</v>
      </c>
      <c r="I99" s="202">
        <v>0</v>
      </c>
      <c r="J99" s="202">
        <v>0</v>
      </c>
      <c r="K99" s="202">
        <v>0</v>
      </c>
      <c r="L99" s="202">
        <v>0</v>
      </c>
      <c r="M99" s="202">
        <v>0</v>
      </c>
      <c r="N99" s="202">
        <v>0</v>
      </c>
      <c r="O99" s="202">
        <v>0</v>
      </c>
      <c r="P99" s="202">
        <v>0</v>
      </c>
      <c r="Q99" s="202">
        <v>0</v>
      </c>
      <c r="R99" s="202">
        <v>0</v>
      </c>
      <c r="S99" s="202">
        <v>0</v>
      </c>
      <c r="T99" s="202">
        <v>0</v>
      </c>
      <c r="U99" s="202">
        <v>0</v>
      </c>
      <c r="V99" s="202">
        <v>0</v>
      </c>
      <c r="W99" s="202">
        <v>0</v>
      </c>
      <c r="X99" s="202">
        <v>0</v>
      </c>
      <c r="Y99" s="202">
        <v>0</v>
      </c>
      <c r="Z99" s="202">
        <v>0</v>
      </c>
      <c r="AA99" s="202">
        <v>0</v>
      </c>
      <c r="AB99" s="202">
        <v>0</v>
      </c>
      <c r="AC99" s="202">
        <v>0</v>
      </c>
      <c r="AD99" s="202">
        <v>0</v>
      </c>
      <c r="AE99" s="41">
        <f t="shared" si="12"/>
        <v>0</v>
      </c>
      <c r="AF99" s="116" t="s">
        <v>225</v>
      </c>
      <c r="AG99" s="546" t="s">
        <v>718</v>
      </c>
      <c r="AH99" s="542"/>
      <c r="AI99" s="189" t="s">
        <v>715</v>
      </c>
    </row>
    <row r="100" spans="1:35" ht="14.25" customHeight="1">
      <c r="A100" s="3"/>
      <c r="B100" s="3"/>
      <c r="C100" s="3"/>
      <c r="D100" s="3"/>
      <c r="E100" s="3"/>
      <c r="F100" s="3"/>
      <c r="G100" s="65" t="s">
        <v>9</v>
      </c>
      <c r="H100" s="65" t="s">
        <v>10</v>
      </c>
      <c r="I100" s="65" t="s">
        <v>11</v>
      </c>
      <c r="J100" s="65" t="s">
        <v>12</v>
      </c>
      <c r="K100" s="65" t="s">
        <v>13</v>
      </c>
      <c r="L100" s="65" t="s">
        <v>14</v>
      </c>
      <c r="M100" s="65" t="s">
        <v>15</v>
      </c>
      <c r="N100" s="65" t="s">
        <v>16</v>
      </c>
      <c r="O100" s="65" t="s">
        <v>17</v>
      </c>
      <c r="P100" s="65" t="s">
        <v>18</v>
      </c>
      <c r="Q100" s="66" t="s">
        <v>19</v>
      </c>
      <c r="R100" s="66" t="s">
        <v>20</v>
      </c>
      <c r="S100" s="66" t="s">
        <v>21</v>
      </c>
      <c r="T100" s="66" t="s">
        <v>22</v>
      </c>
      <c r="U100" s="66" t="s">
        <v>23</v>
      </c>
      <c r="V100" s="66" t="s">
        <v>24</v>
      </c>
      <c r="W100" s="66" t="s">
        <v>25</v>
      </c>
      <c r="X100" s="66" t="s">
        <v>26</v>
      </c>
      <c r="Y100" s="66" t="s">
        <v>27</v>
      </c>
      <c r="Z100" s="66" t="s">
        <v>28</v>
      </c>
      <c r="AA100" s="66" t="s">
        <v>29</v>
      </c>
      <c r="AB100" s="66" t="s">
        <v>30</v>
      </c>
      <c r="AC100" s="66" t="s">
        <v>31</v>
      </c>
      <c r="AD100" s="65" t="s">
        <v>32</v>
      </c>
      <c r="AE100" s="53"/>
      <c r="AF100" s="3"/>
      <c r="AG100" s="3"/>
      <c r="AH100" s="3"/>
      <c r="AI100" s="3"/>
    </row>
    <row r="101" spans="1:35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</sheetData>
  <customSheetViews>
    <customSheetView guid="{D6F95600-F5D2-44BC-80B6-0F2773D5BD92}" filter="1" showAutoFilter="1">
      <pageMargins left="0.7" right="0.7" top="0.75" bottom="0.75" header="0.3" footer="0.3"/>
      <autoFilter ref="A3:AI101" xr:uid="{D274F809-6E90-4107-A4AD-C611E29D4E99}"/>
    </customSheetView>
    <customSheetView guid="{49BA5E93-E473-4F11-BE7E-FD55CB28D969}" filter="1" showAutoFilter="1">
      <pageMargins left="0.7" right="0.7" top="0.75" bottom="0.75" header="0.3" footer="0.3"/>
      <autoFilter ref="G5:AD101" xr:uid="{9BF53184-ABE5-467D-BCCA-33A4E034179C}">
        <filterColumn colId="15">
          <filters>
            <filter val="(1)"/>
            <filter val="(2)"/>
            <filter val="1"/>
            <filter val="15"/>
            <filter val="6"/>
            <filter val="7"/>
            <filter val="DTH"/>
            <filter val="STI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I101" xr:uid="{E748BE3E-E41A-45EB-9E2C-2D2F932C5F1F}">
        <filterColumn colId="26">
          <filters>
            <filter val="-"/>
            <filter val="1"/>
            <filter val="2"/>
            <filter val="6"/>
          </filters>
        </filterColumn>
      </autoFilter>
    </customSheetView>
  </customSheetViews>
  <mergeCells count="74">
    <mergeCell ref="AG54:AH54"/>
    <mergeCell ref="E60:F60"/>
    <mergeCell ref="AG35:AH35"/>
    <mergeCell ref="AG36:AH36"/>
    <mergeCell ref="AG37:AH37"/>
    <mergeCell ref="AG38:AH38"/>
    <mergeCell ref="AG39:AH39"/>
    <mergeCell ref="AG40:AH40"/>
    <mergeCell ref="AG41:AH41"/>
    <mergeCell ref="AG43:AH43"/>
    <mergeCell ref="AG44:AH44"/>
    <mergeCell ref="AG45:AH45"/>
    <mergeCell ref="AG46:AH46"/>
    <mergeCell ref="AG47:AH47"/>
    <mergeCell ref="AG31:AH31"/>
    <mergeCell ref="AG32:AH32"/>
    <mergeCell ref="AG33:AH33"/>
    <mergeCell ref="AG34:AH34"/>
    <mergeCell ref="AG42:AH42"/>
    <mergeCell ref="AG26:AH26"/>
    <mergeCell ref="AG27:AH27"/>
    <mergeCell ref="AG28:AH28"/>
    <mergeCell ref="AG29:AH29"/>
    <mergeCell ref="AG30:AH30"/>
    <mergeCell ref="AG21:AH21"/>
    <mergeCell ref="AG22:AH22"/>
    <mergeCell ref="AG23:AH23"/>
    <mergeCell ref="AG24:AH24"/>
    <mergeCell ref="AG25:AH25"/>
    <mergeCell ref="AG9:AH9"/>
    <mergeCell ref="V11:W11"/>
    <mergeCell ref="AG19:AH19"/>
    <mergeCell ref="N20:U20"/>
    <mergeCell ref="AG20:AH20"/>
    <mergeCell ref="AG10:AH10"/>
    <mergeCell ref="AG13:AH13"/>
    <mergeCell ref="AG14:AH14"/>
    <mergeCell ref="AG15:AH15"/>
    <mergeCell ref="AG16:AH16"/>
    <mergeCell ref="AG17:AH17"/>
    <mergeCell ref="AG18:AH18"/>
    <mergeCell ref="A1:B1"/>
    <mergeCell ref="D3:AE3"/>
    <mergeCell ref="E4:F4"/>
    <mergeCell ref="E5:F5"/>
    <mergeCell ref="AG8:AH8"/>
    <mergeCell ref="AG99:AH99"/>
    <mergeCell ref="AG86:AH86"/>
    <mergeCell ref="AG87:AH87"/>
    <mergeCell ref="AG88:AH88"/>
    <mergeCell ref="AG89:AH89"/>
    <mergeCell ref="AG90:AH90"/>
    <mergeCell ref="AG91:AH91"/>
    <mergeCell ref="AG92:AH92"/>
    <mergeCell ref="AG94:AH94"/>
    <mergeCell ref="AG95:AH95"/>
    <mergeCell ref="AG96:AH96"/>
    <mergeCell ref="AG97:AH97"/>
    <mergeCell ref="AG98:AH98"/>
    <mergeCell ref="E79:F79"/>
    <mergeCell ref="AG83:AH83"/>
    <mergeCell ref="AG84:AH84"/>
    <mergeCell ref="AG85:AH85"/>
    <mergeCell ref="AG93:AH93"/>
    <mergeCell ref="P69:Z69"/>
    <mergeCell ref="AG70:AH70"/>
    <mergeCell ref="AG71:AH71"/>
    <mergeCell ref="AG72:AH72"/>
    <mergeCell ref="AG73:AH73"/>
    <mergeCell ref="AG64:AH64"/>
    <mergeCell ref="AG65:AH65"/>
    <mergeCell ref="AG66:AH66"/>
    <mergeCell ref="AG67:AH67"/>
    <mergeCell ref="AG68:AH68"/>
  </mergeCells>
  <conditionalFormatting sqref="E4:F4 E60:F63 E79:F8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2:AB62 N74:AB74 R81:AB81 N100:AB1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I96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39.85546875" customWidth="1"/>
    <col min="33" max="33" width="14.5703125" customWidth="1"/>
    <col min="34" max="34" width="16.7109375" customWidth="1"/>
    <col min="35" max="35" width="27.7109375" customWidth="1"/>
  </cols>
  <sheetData>
    <row r="1" spans="1:35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7.25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32</v>
      </c>
      <c r="AG3" s="3"/>
      <c r="AH3" s="3"/>
      <c r="AI3" s="3">
        <f>AE4/10</f>
        <v>33.4</v>
      </c>
    </row>
    <row r="4" spans="1:35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4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12</v>
      </c>
      <c r="N4" s="204">
        <v>13</v>
      </c>
      <c r="O4" s="204">
        <v>22</v>
      </c>
      <c r="P4" s="204">
        <v>18</v>
      </c>
      <c r="Q4" s="204">
        <v>23</v>
      </c>
      <c r="R4" s="204">
        <v>21</v>
      </c>
      <c r="S4" s="204">
        <v>21</v>
      </c>
      <c r="T4" s="204">
        <v>19</v>
      </c>
      <c r="U4" s="204">
        <v>21</v>
      </c>
      <c r="V4" s="204">
        <v>21</v>
      </c>
      <c r="W4" s="204">
        <v>19</v>
      </c>
      <c r="X4" s="204">
        <v>18</v>
      </c>
      <c r="Y4" s="204">
        <v>16</v>
      </c>
      <c r="Z4" s="204">
        <v>23</v>
      </c>
      <c r="AA4" s="204">
        <v>22</v>
      </c>
      <c r="AB4" s="204">
        <v>15</v>
      </c>
      <c r="AC4" s="204">
        <v>7</v>
      </c>
      <c r="AD4" s="204">
        <v>4</v>
      </c>
      <c r="AE4" s="18">
        <f>SUM(G4:AD4)</f>
        <v>334</v>
      </c>
      <c r="AF4" s="3"/>
      <c r="AG4" s="3"/>
      <c r="AH4" s="3"/>
      <c r="AI4" s="3"/>
    </row>
    <row r="5" spans="1:35" ht="62.25">
      <c r="A5" s="3"/>
      <c r="B5" s="2"/>
      <c r="C5" s="2"/>
      <c r="D5" s="19"/>
      <c r="E5" s="569">
        <v>26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</row>
    <row r="6" spans="1:35" ht="15.75" customHeight="1">
      <c r="A6" s="24"/>
      <c r="B6" s="25"/>
      <c r="C6" s="25"/>
      <c r="D6" s="19"/>
      <c r="E6" s="26"/>
      <c r="F6" s="27"/>
      <c r="G6" s="28">
        <f t="shared" ref="G6:AD6" si="0">G7-G4</f>
        <v>-1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05">
        <f t="shared" si="0"/>
        <v>-1</v>
      </c>
      <c r="N6" s="205">
        <f t="shared" si="0"/>
        <v>-1</v>
      </c>
      <c r="O6" s="205">
        <f t="shared" si="0"/>
        <v>-10</v>
      </c>
      <c r="P6" s="28">
        <f t="shared" si="0"/>
        <v>0</v>
      </c>
      <c r="Q6" s="205">
        <f t="shared" si="0"/>
        <v>0</v>
      </c>
      <c r="R6" s="205">
        <f t="shared" si="0"/>
        <v>0</v>
      </c>
      <c r="S6" s="205">
        <f t="shared" si="0"/>
        <v>0</v>
      </c>
      <c r="T6" s="205">
        <f t="shared" si="0"/>
        <v>0</v>
      </c>
      <c r="U6" s="205">
        <f t="shared" si="0"/>
        <v>0</v>
      </c>
      <c r="V6" s="205">
        <f t="shared" si="0"/>
        <v>0</v>
      </c>
      <c r="W6" s="205">
        <f t="shared" si="0"/>
        <v>0</v>
      </c>
      <c r="X6" s="28">
        <f t="shared" si="0"/>
        <v>0</v>
      </c>
      <c r="Y6" s="28">
        <f t="shared" si="0"/>
        <v>0</v>
      </c>
      <c r="Z6" s="205">
        <f t="shared" si="0"/>
        <v>-7</v>
      </c>
      <c r="AA6" s="205">
        <f t="shared" si="0"/>
        <v>-6</v>
      </c>
      <c r="AB6" s="205">
        <f t="shared" si="0"/>
        <v>0</v>
      </c>
      <c r="AC6" s="205">
        <f t="shared" si="0"/>
        <v>0</v>
      </c>
      <c r="AD6" s="205">
        <f t="shared" si="0"/>
        <v>0</v>
      </c>
      <c r="AE6" s="29">
        <f t="shared" ref="AE6:AE10" si="1">SUM(G6:AD6)</f>
        <v>-26</v>
      </c>
      <c r="AG6" s="24"/>
      <c r="AH6" s="24"/>
      <c r="AI6" s="24"/>
    </row>
    <row r="7" spans="1:35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3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11</v>
      </c>
      <c r="N7" s="172">
        <f t="shared" si="2"/>
        <v>12</v>
      </c>
      <c r="O7" s="172">
        <f t="shared" si="2"/>
        <v>12</v>
      </c>
      <c r="P7" s="172">
        <f t="shared" si="2"/>
        <v>18</v>
      </c>
      <c r="Q7" s="172">
        <f t="shared" si="2"/>
        <v>23</v>
      </c>
      <c r="R7" s="172">
        <f t="shared" si="2"/>
        <v>21</v>
      </c>
      <c r="S7" s="172">
        <f t="shared" si="2"/>
        <v>21</v>
      </c>
      <c r="T7" s="172">
        <f t="shared" si="2"/>
        <v>19</v>
      </c>
      <c r="U7" s="172">
        <f t="shared" si="2"/>
        <v>21</v>
      </c>
      <c r="V7" s="172">
        <f t="shared" si="2"/>
        <v>21</v>
      </c>
      <c r="W7" s="172">
        <f t="shared" si="2"/>
        <v>19</v>
      </c>
      <c r="X7" s="172">
        <f t="shared" si="2"/>
        <v>18</v>
      </c>
      <c r="Y7" s="172">
        <f t="shared" si="2"/>
        <v>16</v>
      </c>
      <c r="Z7" s="172">
        <f t="shared" si="2"/>
        <v>16</v>
      </c>
      <c r="AA7" s="172">
        <f t="shared" si="2"/>
        <v>16</v>
      </c>
      <c r="AB7" s="172">
        <f t="shared" si="2"/>
        <v>15</v>
      </c>
      <c r="AC7" s="172">
        <f t="shared" si="2"/>
        <v>7</v>
      </c>
      <c r="AD7" s="172">
        <f t="shared" si="2"/>
        <v>4</v>
      </c>
      <c r="AE7" s="168">
        <f t="shared" si="1"/>
        <v>308</v>
      </c>
      <c r="AF7" s="36" t="s">
        <v>39</v>
      </c>
      <c r="AG7" s="571" t="s">
        <v>440</v>
      </c>
      <c r="AH7" s="572"/>
      <c r="AI7" s="37" t="s">
        <v>40</v>
      </c>
    </row>
    <row r="8" spans="1:35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49" si="3">SUM(G8:AD8)</f>
        <v>12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12</v>
      </c>
      <c r="AF8" s="116" t="s">
        <v>311</v>
      </c>
      <c r="AG8" s="550" t="s">
        <v>41</v>
      </c>
      <c r="AH8" s="542"/>
      <c r="AI8" s="189" t="s">
        <v>444</v>
      </c>
    </row>
    <row r="9" spans="1:35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10</v>
      </c>
      <c r="G9" s="176"/>
      <c r="H9" s="176"/>
      <c r="I9" s="176"/>
      <c r="J9" s="176"/>
      <c r="K9" s="176"/>
      <c r="L9" s="176"/>
      <c r="M9" s="176">
        <v>1</v>
      </c>
      <c r="N9" s="176">
        <v>1</v>
      </c>
      <c r="O9" s="176">
        <v>1</v>
      </c>
      <c r="P9" s="176">
        <v>1</v>
      </c>
      <c r="Q9" s="176">
        <v>1</v>
      </c>
      <c r="R9" s="176">
        <v>1</v>
      </c>
      <c r="S9" s="341" t="s">
        <v>47</v>
      </c>
      <c r="T9" s="176">
        <v>1</v>
      </c>
      <c r="U9" s="176">
        <v>1</v>
      </c>
      <c r="V9" s="176">
        <v>1</v>
      </c>
      <c r="W9" s="176">
        <v>1</v>
      </c>
      <c r="X9" s="176"/>
      <c r="Y9" s="176"/>
      <c r="Z9" s="176"/>
      <c r="AA9" s="176"/>
      <c r="AB9" s="176"/>
      <c r="AC9" s="176"/>
      <c r="AD9" s="176"/>
      <c r="AE9" s="41">
        <f t="shared" si="1"/>
        <v>10</v>
      </c>
      <c r="AF9" s="116" t="s">
        <v>192</v>
      </c>
      <c r="AG9" s="550" t="s">
        <v>41</v>
      </c>
      <c r="AH9" s="542"/>
      <c r="AI9" s="189" t="s">
        <v>444</v>
      </c>
    </row>
    <row r="10" spans="1:35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8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>
        <v>1</v>
      </c>
      <c r="T10" s="176">
        <v>1</v>
      </c>
      <c r="U10" s="341" t="s">
        <v>47</v>
      </c>
      <c r="V10" s="176"/>
      <c r="W10" s="176"/>
      <c r="X10" s="176"/>
      <c r="Y10" s="176"/>
      <c r="Z10" s="176"/>
      <c r="AA10" s="176"/>
      <c r="AB10" s="176"/>
      <c r="AC10" s="176"/>
      <c r="AD10" s="176"/>
      <c r="AE10" s="41">
        <f t="shared" si="1"/>
        <v>8</v>
      </c>
      <c r="AF10" s="116" t="s">
        <v>244</v>
      </c>
      <c r="AG10" s="550" t="s">
        <v>41</v>
      </c>
      <c r="AH10" s="542"/>
      <c r="AI10" s="189" t="s">
        <v>444</v>
      </c>
    </row>
    <row r="11" spans="1:35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0</v>
      </c>
      <c r="G11" s="176"/>
      <c r="H11" s="176"/>
      <c r="I11" s="176"/>
      <c r="J11" s="176"/>
      <c r="K11" s="176"/>
      <c r="L11" s="176"/>
      <c r="M11" s="176"/>
      <c r="N11" s="176"/>
      <c r="O11" s="589" t="s">
        <v>726</v>
      </c>
      <c r="P11" s="555"/>
      <c r="Q11" s="555"/>
      <c r="R11" s="555"/>
      <c r="S11" s="555"/>
      <c r="T11" s="555"/>
      <c r="U11" s="555"/>
      <c r="V11" s="555"/>
      <c r="W11" s="555"/>
      <c r="X11" s="542"/>
      <c r="Y11" s="176"/>
      <c r="Z11" s="176"/>
      <c r="AA11" s="176"/>
      <c r="AB11" s="176"/>
      <c r="AC11" s="176"/>
      <c r="AD11" s="176"/>
      <c r="AE11" s="41">
        <v>10</v>
      </c>
      <c r="AF11" s="116" t="s">
        <v>180</v>
      </c>
      <c r="AG11" s="589" t="s">
        <v>717</v>
      </c>
      <c r="AH11" s="542"/>
      <c r="AI11" s="189" t="s">
        <v>444</v>
      </c>
    </row>
    <row r="12" spans="1:35" ht="14.25" customHeight="1">
      <c r="A12" s="38" t="s">
        <v>41</v>
      </c>
      <c r="B12" s="38" t="s">
        <v>59</v>
      </c>
      <c r="C12" s="38"/>
      <c r="D12" s="99">
        <v>6</v>
      </c>
      <c r="E12" s="207" t="s">
        <v>60</v>
      </c>
      <c r="F12" s="41">
        <f t="shared" si="3"/>
        <v>12</v>
      </c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>
        <v>1</v>
      </c>
      <c r="R12" s="176">
        <v>1</v>
      </c>
      <c r="S12" s="176">
        <v>1</v>
      </c>
      <c r="T12" s="176">
        <v>1</v>
      </c>
      <c r="U12" s="341" t="s">
        <v>47</v>
      </c>
      <c r="V12" s="176">
        <v>1</v>
      </c>
      <c r="W12" s="176">
        <v>1</v>
      </c>
      <c r="X12" s="176">
        <v>1</v>
      </c>
      <c r="Y12" s="176">
        <v>1</v>
      </c>
      <c r="Z12" s="176">
        <v>1</v>
      </c>
      <c r="AA12" s="176">
        <v>1</v>
      </c>
      <c r="AB12" s="176">
        <v>1</v>
      </c>
      <c r="AC12" s="176">
        <v>1</v>
      </c>
      <c r="AD12" s="176"/>
      <c r="AE12" s="41">
        <f t="shared" ref="AE12:AE16" si="4">SUM(G12:AD12)</f>
        <v>12</v>
      </c>
      <c r="AF12" s="116" t="s">
        <v>359</v>
      </c>
      <c r="AG12" s="550" t="s">
        <v>41</v>
      </c>
      <c r="AH12" s="542"/>
      <c r="AI12" s="189" t="s">
        <v>444</v>
      </c>
    </row>
    <row r="13" spans="1:35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0</v>
      </c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41">
        <f t="shared" si="4"/>
        <v>0</v>
      </c>
      <c r="AF13" s="116" t="s">
        <v>382</v>
      </c>
      <c r="AG13" s="550" t="s">
        <v>41</v>
      </c>
      <c r="AH13" s="542"/>
      <c r="AI13" s="189" t="s">
        <v>444</v>
      </c>
    </row>
    <row r="14" spans="1:35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12</v>
      </c>
      <c r="G14" s="176"/>
      <c r="H14" s="176"/>
      <c r="I14" s="176"/>
      <c r="J14" s="176"/>
      <c r="K14" s="176"/>
      <c r="L14" s="176"/>
      <c r="M14" s="176">
        <v>1</v>
      </c>
      <c r="N14" s="176">
        <v>1</v>
      </c>
      <c r="O14" s="176">
        <v>1</v>
      </c>
      <c r="P14" s="176">
        <v>1</v>
      </c>
      <c r="Q14" s="176">
        <v>1</v>
      </c>
      <c r="R14" s="176">
        <v>1</v>
      </c>
      <c r="S14" s="176">
        <v>1</v>
      </c>
      <c r="T14" s="341" t="s">
        <v>47</v>
      </c>
      <c r="U14" s="176">
        <v>1</v>
      </c>
      <c r="V14" s="176">
        <v>1</v>
      </c>
      <c r="W14" s="176">
        <v>1</v>
      </c>
      <c r="X14" s="176">
        <v>1</v>
      </c>
      <c r="Y14" s="176">
        <v>1</v>
      </c>
      <c r="Z14" s="176"/>
      <c r="AA14" s="176"/>
      <c r="AB14" s="176"/>
      <c r="AC14" s="176"/>
      <c r="AD14" s="176"/>
      <c r="AE14" s="41">
        <f t="shared" si="4"/>
        <v>12</v>
      </c>
      <c r="AF14" s="116" t="s">
        <v>261</v>
      </c>
      <c r="AG14" s="550" t="s">
        <v>41</v>
      </c>
      <c r="AH14" s="542"/>
      <c r="AI14" s="189" t="s">
        <v>444</v>
      </c>
    </row>
    <row r="15" spans="1:35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7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341" t="s">
        <v>47</v>
      </c>
      <c r="V15" s="176">
        <v>1</v>
      </c>
      <c r="W15" s="176">
        <v>1</v>
      </c>
      <c r="X15" s="176">
        <v>1</v>
      </c>
      <c r="Y15" s="176">
        <v>1</v>
      </c>
      <c r="Z15" s="176">
        <v>1</v>
      </c>
      <c r="AA15" s="176">
        <v>1</v>
      </c>
      <c r="AB15" s="176">
        <v>1</v>
      </c>
      <c r="AC15" s="176"/>
      <c r="AD15" s="176"/>
      <c r="AE15" s="41">
        <f t="shared" si="4"/>
        <v>7</v>
      </c>
      <c r="AF15" s="116" t="s">
        <v>78</v>
      </c>
      <c r="AG15" s="550" t="s">
        <v>41</v>
      </c>
      <c r="AH15" s="542"/>
      <c r="AI15" s="189" t="s">
        <v>444</v>
      </c>
    </row>
    <row r="16" spans="1:35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11</v>
      </c>
      <c r="G16" s="176"/>
      <c r="H16" s="176"/>
      <c r="I16" s="176"/>
      <c r="J16" s="176"/>
      <c r="K16" s="176"/>
      <c r="L16" s="176"/>
      <c r="M16" s="176">
        <v>1</v>
      </c>
      <c r="N16" s="176">
        <v>1</v>
      </c>
      <c r="O16" s="176">
        <v>1</v>
      </c>
      <c r="P16" s="176">
        <v>1</v>
      </c>
      <c r="Q16" s="176">
        <v>1</v>
      </c>
      <c r="R16" s="176">
        <v>1</v>
      </c>
      <c r="S16" s="176">
        <v>1</v>
      </c>
      <c r="T16" s="341" t="s">
        <v>47</v>
      </c>
      <c r="U16" s="176">
        <v>1</v>
      </c>
      <c r="V16" s="176">
        <v>1</v>
      </c>
      <c r="W16" s="176">
        <v>1</v>
      </c>
      <c r="X16" s="176">
        <v>1</v>
      </c>
      <c r="Y16" s="176"/>
      <c r="Z16" s="176"/>
      <c r="AA16" s="176"/>
      <c r="AB16" s="176"/>
      <c r="AC16" s="176"/>
      <c r="AD16" s="176"/>
      <c r="AE16" s="41">
        <f t="shared" si="4"/>
        <v>11</v>
      </c>
      <c r="AF16" s="116" t="s">
        <v>84</v>
      </c>
      <c r="AG16" s="550" t="s">
        <v>41</v>
      </c>
      <c r="AH16" s="542"/>
      <c r="AI16" s="189" t="s">
        <v>444</v>
      </c>
    </row>
    <row r="17" spans="1:35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f t="shared" si="3"/>
        <v>2</v>
      </c>
      <c r="G17" s="42"/>
      <c r="H17" s="77"/>
      <c r="I17" s="77"/>
      <c r="J17" s="77"/>
      <c r="K17" s="77"/>
      <c r="L17" s="77"/>
      <c r="M17" s="77"/>
      <c r="N17" s="77"/>
      <c r="O17" s="216"/>
      <c r="P17" s="579" t="s">
        <v>471</v>
      </c>
      <c r="Q17" s="555"/>
      <c r="R17" s="555"/>
      <c r="S17" s="555"/>
      <c r="T17" s="555"/>
      <c r="U17" s="555"/>
      <c r="V17" s="555"/>
      <c r="W17" s="555"/>
      <c r="X17" s="555"/>
      <c r="Y17" s="555"/>
      <c r="Z17" s="542"/>
      <c r="AA17" s="176">
        <v>1</v>
      </c>
      <c r="AB17" s="176">
        <v>1</v>
      </c>
      <c r="AC17" s="176"/>
      <c r="AD17" s="176"/>
      <c r="AE17" s="41">
        <v>13</v>
      </c>
      <c r="AF17" s="116" t="s">
        <v>326</v>
      </c>
      <c r="AG17" s="551" t="s">
        <v>471</v>
      </c>
      <c r="AH17" s="555"/>
      <c r="AI17" s="189" t="s">
        <v>444</v>
      </c>
    </row>
    <row r="18" spans="1:35" ht="14.25" customHeight="1">
      <c r="A18" s="76" t="s">
        <v>41</v>
      </c>
      <c r="B18" s="76" t="s">
        <v>198</v>
      </c>
      <c r="C18" s="76"/>
      <c r="D18" s="39">
        <v>17</v>
      </c>
      <c r="E18" s="175" t="s">
        <v>99</v>
      </c>
      <c r="F18" s="41">
        <f t="shared" si="3"/>
        <v>8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341" t="s">
        <v>47</v>
      </c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>
        <v>1</v>
      </c>
      <c r="AA18" s="176">
        <v>1</v>
      </c>
      <c r="AB18" s="176">
        <v>1</v>
      </c>
      <c r="AC18" s="176"/>
      <c r="AD18" s="176"/>
      <c r="AE18" s="41">
        <f t="shared" ref="AE18:AE29" si="5">SUM(G18:AD18)</f>
        <v>8</v>
      </c>
      <c r="AF18" s="116" t="s">
        <v>255</v>
      </c>
      <c r="AG18" s="550" t="s">
        <v>41</v>
      </c>
      <c r="AH18" s="542"/>
      <c r="AI18" s="189" t="s">
        <v>444</v>
      </c>
    </row>
    <row r="19" spans="1:35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211" t="s">
        <v>102</v>
      </c>
      <c r="F19" s="41">
        <f t="shared" si="3"/>
        <v>11</v>
      </c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>
        <v>1</v>
      </c>
      <c r="R19" s="176">
        <v>1</v>
      </c>
      <c r="S19" s="176">
        <v>1</v>
      </c>
      <c r="T19" s="341" t="s">
        <v>47</v>
      </c>
      <c r="U19" s="176">
        <v>1</v>
      </c>
      <c r="V19" s="176">
        <v>1</v>
      </c>
      <c r="W19" s="176">
        <v>1</v>
      </c>
      <c r="X19" s="176">
        <v>1</v>
      </c>
      <c r="Y19" s="176">
        <v>1</v>
      </c>
      <c r="Z19" s="176">
        <v>1</v>
      </c>
      <c r="AA19" s="176">
        <v>1</v>
      </c>
      <c r="AB19" s="176">
        <v>1</v>
      </c>
      <c r="AC19" s="176"/>
      <c r="AD19" s="176"/>
      <c r="AE19" s="41">
        <f t="shared" si="5"/>
        <v>11</v>
      </c>
      <c r="AF19" s="116" t="s">
        <v>96</v>
      </c>
      <c r="AG19" s="550" t="s">
        <v>41</v>
      </c>
      <c r="AH19" s="542"/>
      <c r="AI19" s="189" t="s">
        <v>444</v>
      </c>
    </row>
    <row r="20" spans="1:35" ht="14.25" customHeight="1">
      <c r="A20" s="38" t="s">
        <v>41</v>
      </c>
      <c r="B20" s="38" t="s">
        <v>103</v>
      </c>
      <c r="C20" s="38"/>
      <c r="D20" s="86">
        <v>19</v>
      </c>
      <c r="E20" s="207" t="s">
        <v>104</v>
      </c>
      <c r="F20" s="41">
        <f t="shared" si="3"/>
        <v>11</v>
      </c>
      <c r="G20" s="77"/>
      <c r="H20" s="77"/>
      <c r="I20" s="77"/>
      <c r="J20" s="77"/>
      <c r="K20" s="77"/>
      <c r="L20" s="77"/>
      <c r="M20" s="216"/>
      <c r="N20" s="176"/>
      <c r="O20" s="176"/>
      <c r="P20" s="176"/>
      <c r="Q20" s="176">
        <v>1</v>
      </c>
      <c r="R20" s="176">
        <v>1</v>
      </c>
      <c r="S20" s="176">
        <v>1</v>
      </c>
      <c r="T20" s="341" t="s">
        <v>47</v>
      </c>
      <c r="U20" s="176">
        <v>1</v>
      </c>
      <c r="V20" s="176">
        <v>1</v>
      </c>
      <c r="W20" s="176">
        <v>1</v>
      </c>
      <c r="X20" s="176">
        <v>1</v>
      </c>
      <c r="Y20" s="176">
        <v>1</v>
      </c>
      <c r="Z20" s="176">
        <v>1</v>
      </c>
      <c r="AA20" s="176">
        <v>1</v>
      </c>
      <c r="AB20" s="176">
        <v>1</v>
      </c>
      <c r="AC20" s="77"/>
      <c r="AD20" s="77"/>
      <c r="AE20" s="41">
        <f t="shared" si="5"/>
        <v>11</v>
      </c>
      <c r="AF20" s="116" t="s">
        <v>96</v>
      </c>
      <c r="AG20" s="550" t="s">
        <v>41</v>
      </c>
      <c r="AH20" s="542"/>
      <c r="AI20" s="189" t="s">
        <v>444</v>
      </c>
    </row>
    <row r="21" spans="1:35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3"/>
        <v>6</v>
      </c>
      <c r="G21" s="176"/>
      <c r="H21" s="176"/>
      <c r="I21" s="176"/>
      <c r="J21" s="176"/>
      <c r="K21" s="176"/>
      <c r="L21" s="176"/>
      <c r="M21" s="176"/>
      <c r="N21" s="176">
        <v>1</v>
      </c>
      <c r="O21" s="176">
        <v>1</v>
      </c>
      <c r="P21" s="176">
        <v>1</v>
      </c>
      <c r="Q21" s="176">
        <v>1</v>
      </c>
      <c r="R21" s="176">
        <v>1</v>
      </c>
      <c r="S21" s="176">
        <v>1</v>
      </c>
      <c r="T21" s="341" t="s">
        <v>47</v>
      </c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41">
        <f t="shared" si="5"/>
        <v>6</v>
      </c>
      <c r="AF21" s="116" t="s">
        <v>196</v>
      </c>
      <c r="AG21" s="550" t="s">
        <v>41</v>
      </c>
      <c r="AH21" s="542"/>
      <c r="AI21" s="189" t="s">
        <v>444</v>
      </c>
    </row>
    <row r="22" spans="1:35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3"/>
        <v>10</v>
      </c>
      <c r="G22" s="176"/>
      <c r="H22" s="176"/>
      <c r="I22" s="176"/>
      <c r="J22" s="176"/>
      <c r="K22" s="176"/>
      <c r="L22" s="176"/>
      <c r="M22" s="176">
        <v>1</v>
      </c>
      <c r="N22" s="176">
        <v>1</v>
      </c>
      <c r="O22" s="176">
        <v>1</v>
      </c>
      <c r="P22" s="176">
        <v>1</v>
      </c>
      <c r="Q22" s="176">
        <v>1</v>
      </c>
      <c r="R22" s="176">
        <v>1</v>
      </c>
      <c r="S22" s="176">
        <v>1</v>
      </c>
      <c r="T22" s="176">
        <v>1</v>
      </c>
      <c r="U22" s="176">
        <v>1</v>
      </c>
      <c r="V22" s="176">
        <v>1</v>
      </c>
      <c r="W22" s="341" t="s">
        <v>47</v>
      </c>
      <c r="X22" s="176"/>
      <c r="Y22" s="176"/>
      <c r="Z22" s="176"/>
      <c r="AA22" s="176"/>
      <c r="AB22" s="176"/>
      <c r="AC22" s="176"/>
      <c r="AD22" s="176"/>
      <c r="AE22" s="41">
        <f t="shared" si="5"/>
        <v>10</v>
      </c>
      <c r="AF22" s="116" t="s">
        <v>192</v>
      </c>
      <c r="AG22" s="550" t="s">
        <v>41</v>
      </c>
      <c r="AH22" s="542"/>
      <c r="AI22" s="189" t="s">
        <v>444</v>
      </c>
    </row>
    <row r="23" spans="1:35" ht="14.25" customHeight="1">
      <c r="A23" s="98" t="s">
        <v>41</v>
      </c>
      <c r="B23" s="98" t="s">
        <v>111</v>
      </c>
      <c r="C23" s="98"/>
      <c r="D23" s="39">
        <v>23</v>
      </c>
      <c r="E23" s="208" t="s">
        <v>112</v>
      </c>
      <c r="F23" s="41">
        <f t="shared" si="3"/>
        <v>10</v>
      </c>
      <c r="G23" s="176"/>
      <c r="H23" s="176"/>
      <c r="I23" s="176"/>
      <c r="J23" s="176"/>
      <c r="K23" s="176"/>
      <c r="L23" s="176"/>
      <c r="M23" s="176">
        <v>1</v>
      </c>
      <c r="N23" s="176">
        <v>1</v>
      </c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341" t="s">
        <v>47</v>
      </c>
      <c r="X23" s="176"/>
      <c r="Y23" s="176"/>
      <c r="Z23" s="176"/>
      <c r="AA23" s="176"/>
      <c r="AB23" s="176"/>
      <c r="AC23" s="176"/>
      <c r="AD23" s="176"/>
      <c r="AE23" s="41">
        <f t="shared" si="5"/>
        <v>10</v>
      </c>
      <c r="AF23" s="116" t="s">
        <v>192</v>
      </c>
      <c r="AG23" s="550" t="s">
        <v>41</v>
      </c>
      <c r="AH23" s="542"/>
      <c r="AI23" s="189" t="s">
        <v>444</v>
      </c>
    </row>
    <row r="24" spans="1:35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3"/>
        <v>13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/>
      <c r="O24" s="176"/>
      <c r="P24" s="176"/>
      <c r="Q24" s="176"/>
      <c r="R24" s="176"/>
      <c r="S24" s="176"/>
      <c r="T24" s="176"/>
      <c r="U24" s="176"/>
      <c r="V24" s="176"/>
      <c r="W24" s="341" t="s">
        <v>47</v>
      </c>
      <c r="X24" s="176"/>
      <c r="Y24" s="176">
        <v>1</v>
      </c>
      <c r="Z24" s="176">
        <v>1</v>
      </c>
      <c r="AA24" s="176">
        <v>1</v>
      </c>
      <c r="AB24" s="176">
        <v>1</v>
      </c>
      <c r="AC24" s="176">
        <v>1</v>
      </c>
      <c r="AD24" s="176">
        <v>1</v>
      </c>
      <c r="AE24" s="41">
        <f t="shared" si="5"/>
        <v>13</v>
      </c>
      <c r="AF24" s="116" t="s">
        <v>727</v>
      </c>
      <c r="AG24" s="550" t="s">
        <v>41</v>
      </c>
      <c r="AH24" s="542"/>
      <c r="AI24" s="189" t="s">
        <v>444</v>
      </c>
    </row>
    <row r="25" spans="1:35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3"/>
        <v>9</v>
      </c>
      <c r="G25" s="176"/>
      <c r="H25" s="176"/>
      <c r="I25" s="176"/>
      <c r="J25" s="176"/>
      <c r="K25" s="176"/>
      <c r="L25" s="176"/>
      <c r="M25" s="176"/>
      <c r="N25" s="176">
        <v>1</v>
      </c>
      <c r="O25" s="176">
        <v>1</v>
      </c>
      <c r="P25" s="176">
        <v>1</v>
      </c>
      <c r="Q25" s="176">
        <v>1</v>
      </c>
      <c r="R25" s="176">
        <v>1</v>
      </c>
      <c r="S25" s="176">
        <v>1</v>
      </c>
      <c r="T25" s="176">
        <v>1</v>
      </c>
      <c r="U25" s="176">
        <v>1</v>
      </c>
      <c r="V25" s="176">
        <v>1</v>
      </c>
      <c r="W25" s="341" t="s">
        <v>47</v>
      </c>
      <c r="X25" s="176"/>
      <c r="Y25" s="176"/>
      <c r="Z25" s="176"/>
      <c r="AA25" s="176"/>
      <c r="AB25" s="176"/>
      <c r="AC25" s="176"/>
      <c r="AD25" s="176"/>
      <c r="AE25" s="41">
        <f t="shared" si="5"/>
        <v>9</v>
      </c>
      <c r="AF25" s="116" t="s">
        <v>61</v>
      </c>
      <c r="AG25" s="550" t="s">
        <v>41</v>
      </c>
      <c r="AH25" s="542"/>
      <c r="AI25" s="189" t="s">
        <v>444</v>
      </c>
    </row>
    <row r="26" spans="1:35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3"/>
        <v>10</v>
      </c>
      <c r="G26" s="176"/>
      <c r="H26" s="176"/>
      <c r="I26" s="176"/>
      <c r="J26" s="176"/>
      <c r="K26" s="176"/>
      <c r="L26" s="176"/>
      <c r="M26" s="176">
        <v>1</v>
      </c>
      <c r="N26" s="176">
        <v>1</v>
      </c>
      <c r="O26" s="176">
        <v>1</v>
      </c>
      <c r="P26" s="176">
        <v>1</v>
      </c>
      <c r="Q26" s="176">
        <v>1</v>
      </c>
      <c r="R26" s="176">
        <v>1</v>
      </c>
      <c r="S26" s="176">
        <v>1</v>
      </c>
      <c r="T26" s="176">
        <v>1</v>
      </c>
      <c r="U26" s="176">
        <v>1</v>
      </c>
      <c r="V26" s="176">
        <v>1</v>
      </c>
      <c r="W26" s="341" t="s">
        <v>47</v>
      </c>
      <c r="X26" s="176"/>
      <c r="Y26" s="176"/>
      <c r="Z26" s="176"/>
      <c r="AA26" s="176"/>
      <c r="AB26" s="176"/>
      <c r="AC26" s="176"/>
      <c r="AD26" s="176"/>
      <c r="AE26" s="41">
        <f t="shared" si="5"/>
        <v>10</v>
      </c>
      <c r="AF26" s="116" t="s">
        <v>192</v>
      </c>
      <c r="AG26" s="550" t="s">
        <v>41</v>
      </c>
      <c r="AH26" s="542"/>
      <c r="AI26" s="189" t="s">
        <v>444</v>
      </c>
    </row>
    <row r="27" spans="1:35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3"/>
        <v>0</v>
      </c>
      <c r="G27" s="340"/>
      <c r="H27" s="340"/>
      <c r="I27" s="340" t="s">
        <v>350</v>
      </c>
      <c r="J27" s="340" t="s">
        <v>348</v>
      </c>
      <c r="K27" s="340" t="s">
        <v>528</v>
      </c>
      <c r="L27" s="340" t="s">
        <v>348</v>
      </c>
      <c r="M27" s="340" t="s">
        <v>199</v>
      </c>
      <c r="N27" s="340" t="s">
        <v>349</v>
      </c>
      <c r="O27" s="340" t="s">
        <v>200</v>
      </c>
      <c r="P27" s="342"/>
      <c r="Q27" s="340" t="s">
        <v>348</v>
      </c>
      <c r="R27" s="340" t="s">
        <v>528</v>
      </c>
      <c r="S27" s="340" t="s">
        <v>200</v>
      </c>
      <c r="T27" s="340" t="s">
        <v>199</v>
      </c>
      <c r="U27" s="340" t="s">
        <v>204</v>
      </c>
      <c r="V27" s="340" t="s">
        <v>47</v>
      </c>
      <c r="W27" s="340" t="s">
        <v>203</v>
      </c>
      <c r="X27" s="340" t="s">
        <v>348</v>
      </c>
      <c r="Y27" s="340" t="s">
        <v>201</v>
      </c>
      <c r="Z27" s="340" t="s">
        <v>200</v>
      </c>
      <c r="AA27" s="340" t="s">
        <v>350</v>
      </c>
      <c r="AB27" s="340"/>
      <c r="AC27" s="340"/>
      <c r="AD27" s="340"/>
      <c r="AE27" s="41">
        <f t="shared" si="5"/>
        <v>0</v>
      </c>
      <c r="AF27" s="116" t="s">
        <v>365</v>
      </c>
      <c r="AG27" s="578" t="s">
        <v>470</v>
      </c>
      <c r="AH27" s="555"/>
      <c r="AI27" s="189" t="s">
        <v>444</v>
      </c>
    </row>
    <row r="28" spans="1:35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3"/>
        <v>9</v>
      </c>
      <c r="G28" s="176"/>
      <c r="H28" s="176"/>
      <c r="I28" s="176"/>
      <c r="J28" s="176"/>
      <c r="K28" s="176"/>
      <c r="L28" s="176"/>
      <c r="M28" s="176">
        <v>1</v>
      </c>
      <c r="N28" s="176">
        <v>1</v>
      </c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341" t="s">
        <v>47</v>
      </c>
      <c r="U28" s="176">
        <v>1</v>
      </c>
      <c r="V28" s="176">
        <v>1</v>
      </c>
      <c r="W28" s="176"/>
      <c r="X28" s="176"/>
      <c r="Y28" s="176"/>
      <c r="Z28" s="176"/>
      <c r="AA28" s="176"/>
      <c r="AB28" s="176"/>
      <c r="AC28" s="176"/>
      <c r="AD28" s="176"/>
      <c r="AE28" s="41">
        <f t="shared" si="5"/>
        <v>9</v>
      </c>
      <c r="AF28" s="116" t="s">
        <v>151</v>
      </c>
      <c r="AG28" s="550" t="s">
        <v>41</v>
      </c>
      <c r="AH28" s="542"/>
      <c r="AI28" s="189" t="s">
        <v>444</v>
      </c>
    </row>
    <row r="29" spans="1:35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3"/>
        <v>11</v>
      </c>
      <c r="G29" s="176">
        <v>1</v>
      </c>
      <c r="H29" s="176">
        <v>1</v>
      </c>
      <c r="I29" s="176">
        <v>1</v>
      </c>
      <c r="J29" s="176">
        <v>1</v>
      </c>
      <c r="K29" s="176">
        <v>1</v>
      </c>
      <c r="L29" s="176">
        <v>1</v>
      </c>
      <c r="M29" s="176">
        <v>1</v>
      </c>
      <c r="N29" s="176"/>
      <c r="O29" s="176"/>
      <c r="P29" s="176"/>
      <c r="Q29" s="176"/>
      <c r="R29" s="176"/>
      <c r="S29" s="176"/>
      <c r="T29" s="176"/>
      <c r="U29" s="176"/>
      <c r="V29" s="176"/>
      <c r="W29" s="341" t="s">
        <v>47</v>
      </c>
      <c r="X29" s="176"/>
      <c r="Y29" s="176"/>
      <c r="Z29" s="176"/>
      <c r="AA29" s="176">
        <v>1</v>
      </c>
      <c r="AB29" s="176">
        <v>1</v>
      </c>
      <c r="AC29" s="176">
        <v>1</v>
      </c>
      <c r="AD29" s="176">
        <v>1</v>
      </c>
      <c r="AE29" s="41">
        <f t="shared" si="5"/>
        <v>11</v>
      </c>
      <c r="AF29" s="116" t="s">
        <v>728</v>
      </c>
      <c r="AG29" s="550" t="s">
        <v>41</v>
      </c>
      <c r="AH29" s="542"/>
      <c r="AI29" s="189" t="s">
        <v>444</v>
      </c>
    </row>
    <row r="30" spans="1:35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3"/>
        <v>2</v>
      </c>
      <c r="G30" s="202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>
        <v>1</v>
      </c>
      <c r="U30" s="341" t="s">
        <v>47</v>
      </c>
      <c r="V30" s="580" t="s">
        <v>209</v>
      </c>
      <c r="W30" s="555"/>
      <c r="X30" s="555"/>
      <c r="Y30" s="555"/>
      <c r="Z30" s="555"/>
      <c r="AA30" s="555"/>
      <c r="AB30" s="555"/>
      <c r="AC30" s="542"/>
      <c r="AD30" s="176">
        <v>1</v>
      </c>
      <c r="AE30" s="41">
        <v>10</v>
      </c>
      <c r="AF30" s="116" t="s">
        <v>328</v>
      </c>
      <c r="AG30" s="177" t="s">
        <v>41</v>
      </c>
      <c r="AH30" s="212" t="s">
        <v>209</v>
      </c>
      <c r="AI30" s="189" t="s">
        <v>444</v>
      </c>
    </row>
    <row r="31" spans="1:35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f t="shared" si="3"/>
        <v>1</v>
      </c>
      <c r="G31" s="202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>
        <v>1</v>
      </c>
      <c r="U31" s="341" t="s">
        <v>47</v>
      </c>
      <c r="V31" s="580" t="s">
        <v>209</v>
      </c>
      <c r="W31" s="555"/>
      <c r="X31" s="555"/>
      <c r="Y31" s="555"/>
      <c r="Z31" s="555"/>
      <c r="AA31" s="555"/>
      <c r="AB31" s="555"/>
      <c r="AC31" s="542"/>
      <c r="AD31" s="176"/>
      <c r="AE31" s="41">
        <v>9</v>
      </c>
      <c r="AF31" s="116" t="s">
        <v>175</v>
      </c>
      <c r="AG31" s="177" t="s">
        <v>41</v>
      </c>
      <c r="AH31" s="212" t="s">
        <v>209</v>
      </c>
      <c r="AI31" s="189" t="s">
        <v>444</v>
      </c>
    </row>
    <row r="32" spans="1:35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si="3"/>
        <v>10</v>
      </c>
      <c r="G32" s="176"/>
      <c r="H32" s="176"/>
      <c r="I32" s="176"/>
      <c r="J32" s="176"/>
      <c r="K32" s="176"/>
      <c r="L32" s="176"/>
      <c r="M32" s="176"/>
      <c r="N32" s="176">
        <v>1</v>
      </c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341" t="s">
        <v>47</v>
      </c>
      <c r="U32" s="176">
        <v>1</v>
      </c>
      <c r="V32" s="176">
        <v>1</v>
      </c>
      <c r="W32" s="176">
        <v>1</v>
      </c>
      <c r="X32" s="176">
        <v>1</v>
      </c>
      <c r="Y32" s="176"/>
      <c r="Z32" s="176"/>
      <c r="AA32" s="176"/>
      <c r="AB32" s="176"/>
      <c r="AC32" s="176"/>
      <c r="AD32" s="176"/>
      <c r="AE32" s="41">
        <f>SUM(G32:AD32)</f>
        <v>10</v>
      </c>
      <c r="AF32" s="116" t="s">
        <v>154</v>
      </c>
      <c r="AG32" s="550" t="s">
        <v>41</v>
      </c>
      <c r="AH32" s="542"/>
      <c r="AI32" s="189" t="s">
        <v>444</v>
      </c>
    </row>
    <row r="33" spans="1:35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3"/>
        <v>1</v>
      </c>
      <c r="G33" s="202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>
        <v>1</v>
      </c>
      <c r="U33" s="341" t="s">
        <v>47</v>
      </c>
      <c r="V33" s="580" t="s">
        <v>209</v>
      </c>
      <c r="W33" s="555"/>
      <c r="X33" s="555"/>
      <c r="Y33" s="555"/>
      <c r="Z33" s="555"/>
      <c r="AA33" s="555"/>
      <c r="AB33" s="555"/>
      <c r="AC33" s="542"/>
      <c r="AD33" s="176"/>
      <c r="AE33" s="41">
        <v>9</v>
      </c>
      <c r="AF33" s="116" t="s">
        <v>175</v>
      </c>
      <c r="AG33" s="177" t="s">
        <v>41</v>
      </c>
      <c r="AH33" s="212" t="s">
        <v>209</v>
      </c>
      <c r="AI33" s="189" t="s">
        <v>444</v>
      </c>
    </row>
    <row r="34" spans="1:35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3"/>
        <v>10</v>
      </c>
      <c r="G34" s="176"/>
      <c r="H34" s="176"/>
      <c r="I34" s="176"/>
      <c r="J34" s="176"/>
      <c r="K34" s="176"/>
      <c r="L34" s="176"/>
      <c r="M34" s="176"/>
      <c r="N34" s="176">
        <v>1</v>
      </c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341" t="s">
        <v>47</v>
      </c>
      <c r="U34" s="176">
        <v>1</v>
      </c>
      <c r="V34" s="176">
        <v>1</v>
      </c>
      <c r="W34" s="176">
        <v>1</v>
      </c>
      <c r="X34" s="176">
        <v>1</v>
      </c>
      <c r="Y34" s="176"/>
      <c r="Z34" s="176"/>
      <c r="AA34" s="176"/>
      <c r="AB34" s="176"/>
      <c r="AC34" s="176"/>
      <c r="AD34" s="176"/>
      <c r="AE34" s="41">
        <f t="shared" ref="AE34:AE46" si="6">SUM(G34:AD34)</f>
        <v>10</v>
      </c>
      <c r="AF34" s="116" t="s">
        <v>154</v>
      </c>
      <c r="AG34" s="550" t="s">
        <v>41</v>
      </c>
      <c r="AH34" s="542"/>
      <c r="AI34" s="189" t="s">
        <v>444</v>
      </c>
    </row>
    <row r="35" spans="1:35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5" t="s">
        <v>457</v>
      </c>
      <c r="F35" s="41">
        <f t="shared" si="3"/>
        <v>10</v>
      </c>
      <c r="G35" s="176"/>
      <c r="H35" s="176"/>
      <c r="I35" s="176"/>
      <c r="J35" s="176"/>
      <c r="K35" s="176"/>
      <c r="L35" s="176"/>
      <c r="M35" s="176"/>
      <c r="N35" s="176"/>
      <c r="O35" s="176"/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341" t="s">
        <v>47</v>
      </c>
      <c r="V35" s="176">
        <v>1</v>
      </c>
      <c r="W35" s="176">
        <v>1</v>
      </c>
      <c r="X35" s="176">
        <v>1</v>
      </c>
      <c r="Y35" s="176">
        <v>1</v>
      </c>
      <c r="Z35" s="176">
        <v>1</v>
      </c>
      <c r="AA35" s="176"/>
      <c r="AB35" s="176"/>
      <c r="AC35" s="176"/>
      <c r="AD35" s="176"/>
      <c r="AE35" s="41">
        <f t="shared" si="6"/>
        <v>10</v>
      </c>
      <c r="AF35" s="116" t="s">
        <v>164</v>
      </c>
      <c r="AG35" s="550" t="s">
        <v>41</v>
      </c>
      <c r="AH35" s="542"/>
      <c r="AI35" s="189" t="s">
        <v>444</v>
      </c>
    </row>
    <row r="36" spans="1:35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4" t="s">
        <v>460</v>
      </c>
      <c r="F36" s="41">
        <f t="shared" si="3"/>
        <v>12</v>
      </c>
      <c r="G36" s="176"/>
      <c r="H36" s="176"/>
      <c r="I36" s="176"/>
      <c r="J36" s="176"/>
      <c r="K36" s="176"/>
      <c r="L36" s="176"/>
      <c r="M36" s="176"/>
      <c r="N36" s="176"/>
      <c r="O36" s="176"/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341" t="s">
        <v>47</v>
      </c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>
        <v>1</v>
      </c>
      <c r="AC36" s="176"/>
      <c r="AD36" s="176"/>
      <c r="AE36" s="41">
        <f t="shared" si="6"/>
        <v>12</v>
      </c>
      <c r="AF36" s="116" t="s">
        <v>326</v>
      </c>
      <c r="AG36" s="550" t="s">
        <v>41</v>
      </c>
      <c r="AH36" s="542"/>
      <c r="AI36" s="189" t="s">
        <v>444</v>
      </c>
    </row>
    <row r="37" spans="1:35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4" t="s">
        <v>461</v>
      </c>
      <c r="F37" s="41">
        <f t="shared" si="3"/>
        <v>12</v>
      </c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341" t="s">
        <v>47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>
        <v>1</v>
      </c>
      <c r="AC37" s="176">
        <v>1</v>
      </c>
      <c r="AD37" s="176"/>
      <c r="AE37" s="41">
        <f t="shared" si="6"/>
        <v>12</v>
      </c>
      <c r="AF37" s="116" t="s">
        <v>359</v>
      </c>
      <c r="AG37" s="550" t="s">
        <v>41</v>
      </c>
      <c r="AH37" s="542"/>
      <c r="AI37" s="189" t="s">
        <v>444</v>
      </c>
    </row>
    <row r="38" spans="1:35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5" t="s">
        <v>463</v>
      </c>
      <c r="F38" s="41">
        <f t="shared" si="3"/>
        <v>12</v>
      </c>
      <c r="G38" s="176"/>
      <c r="H38" s="176"/>
      <c r="I38" s="176"/>
      <c r="J38" s="176"/>
      <c r="K38" s="176"/>
      <c r="L38" s="176"/>
      <c r="M38" s="176"/>
      <c r="N38" s="176"/>
      <c r="O38" s="176"/>
      <c r="P38" s="176">
        <v>1</v>
      </c>
      <c r="Q38" s="176">
        <v>1</v>
      </c>
      <c r="R38" s="176">
        <v>1</v>
      </c>
      <c r="S38" s="176">
        <v>1</v>
      </c>
      <c r="T38" s="176">
        <v>1</v>
      </c>
      <c r="U38" s="176">
        <v>1</v>
      </c>
      <c r="V38" s="341" t="s">
        <v>47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>
        <v>1</v>
      </c>
      <c r="AC38" s="176"/>
      <c r="AD38" s="176"/>
      <c r="AE38" s="41">
        <f t="shared" si="6"/>
        <v>12</v>
      </c>
      <c r="AF38" s="116" t="s">
        <v>326</v>
      </c>
      <c r="AG38" s="550" t="s">
        <v>41</v>
      </c>
      <c r="AH38" s="542"/>
      <c r="AI38" s="189" t="s">
        <v>444</v>
      </c>
    </row>
    <row r="39" spans="1:35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5" t="s">
        <v>465</v>
      </c>
      <c r="F39" s="41">
        <f t="shared" si="3"/>
        <v>12</v>
      </c>
      <c r="G39" s="176"/>
      <c r="H39" s="176"/>
      <c r="I39" s="176"/>
      <c r="J39" s="176"/>
      <c r="K39" s="176"/>
      <c r="L39" s="176"/>
      <c r="M39" s="176"/>
      <c r="N39" s="176"/>
      <c r="O39" s="176"/>
      <c r="P39" s="176">
        <v>1</v>
      </c>
      <c r="Q39" s="176">
        <v>1</v>
      </c>
      <c r="R39" s="341" t="s">
        <v>47</v>
      </c>
      <c r="S39" s="176">
        <v>1</v>
      </c>
      <c r="T39" s="176">
        <v>1</v>
      </c>
      <c r="U39" s="176">
        <v>1</v>
      </c>
      <c r="V39" s="176">
        <v>1</v>
      </c>
      <c r="W39" s="176">
        <v>1</v>
      </c>
      <c r="X39" s="176">
        <v>1</v>
      </c>
      <c r="Y39" s="176">
        <v>1</v>
      </c>
      <c r="Z39" s="176">
        <v>1</v>
      </c>
      <c r="AA39" s="176">
        <v>1</v>
      </c>
      <c r="AB39" s="176">
        <v>1</v>
      </c>
      <c r="AC39" s="176"/>
      <c r="AD39" s="176"/>
      <c r="AE39" s="41">
        <f t="shared" si="6"/>
        <v>12</v>
      </c>
      <c r="AF39" s="116" t="s">
        <v>326</v>
      </c>
      <c r="AG39" s="550" t="s">
        <v>41</v>
      </c>
      <c r="AH39" s="542"/>
      <c r="AI39" s="189" t="s">
        <v>444</v>
      </c>
    </row>
    <row r="40" spans="1:35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3"/>
        <v>10</v>
      </c>
      <c r="G40" s="176"/>
      <c r="H40" s="176"/>
      <c r="I40" s="176"/>
      <c r="J40" s="176"/>
      <c r="K40" s="176"/>
      <c r="L40" s="176"/>
      <c r="M40" s="176"/>
      <c r="N40" s="176"/>
      <c r="O40" s="176"/>
      <c r="P40" s="176">
        <v>1</v>
      </c>
      <c r="Q40" s="176">
        <v>1</v>
      </c>
      <c r="R40" s="341" t="s">
        <v>47</v>
      </c>
      <c r="S40" s="176">
        <v>1</v>
      </c>
      <c r="T40" s="176">
        <v>1</v>
      </c>
      <c r="U40" s="176">
        <v>1</v>
      </c>
      <c r="V40" s="176">
        <v>1</v>
      </c>
      <c r="W40" s="176">
        <v>1</v>
      </c>
      <c r="X40" s="176">
        <v>1</v>
      </c>
      <c r="Y40" s="176">
        <v>1</v>
      </c>
      <c r="Z40" s="176">
        <v>1</v>
      </c>
      <c r="AA40" s="176"/>
      <c r="AB40" s="176"/>
      <c r="AC40" s="176"/>
      <c r="AD40" s="176"/>
      <c r="AE40" s="41">
        <f t="shared" si="6"/>
        <v>10</v>
      </c>
      <c r="AF40" s="116" t="s">
        <v>164</v>
      </c>
      <c r="AG40" s="550" t="s">
        <v>41</v>
      </c>
      <c r="AH40" s="542"/>
      <c r="AI40" s="189" t="s">
        <v>444</v>
      </c>
    </row>
    <row r="41" spans="1:35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4" t="s">
        <v>467</v>
      </c>
      <c r="F41" s="41">
        <f t="shared" si="3"/>
        <v>10</v>
      </c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341" t="s">
        <v>47</v>
      </c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>
        <v>1</v>
      </c>
      <c r="Z41" s="176">
        <v>1</v>
      </c>
      <c r="AA41" s="176">
        <v>1</v>
      </c>
      <c r="AB41" s="176">
        <v>1</v>
      </c>
      <c r="AC41" s="176">
        <v>1</v>
      </c>
      <c r="AD41" s="176"/>
      <c r="AE41" s="41">
        <f t="shared" si="6"/>
        <v>10</v>
      </c>
      <c r="AF41" s="116" t="s">
        <v>259</v>
      </c>
      <c r="AG41" s="550" t="s">
        <v>41</v>
      </c>
      <c r="AH41" s="542"/>
      <c r="AI41" s="189" t="s">
        <v>444</v>
      </c>
    </row>
    <row r="42" spans="1:35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3"/>
        <v>11</v>
      </c>
      <c r="G42" s="176"/>
      <c r="H42" s="176"/>
      <c r="I42" s="176"/>
      <c r="J42" s="176"/>
      <c r="K42" s="176"/>
      <c r="L42" s="176"/>
      <c r="M42" s="176"/>
      <c r="N42" s="176"/>
      <c r="O42" s="176"/>
      <c r="P42" s="176">
        <v>1</v>
      </c>
      <c r="Q42" s="176">
        <v>1</v>
      </c>
      <c r="R42" s="176">
        <v>1</v>
      </c>
      <c r="S42" s="176">
        <v>1</v>
      </c>
      <c r="T42" s="341" t="s">
        <v>47</v>
      </c>
      <c r="U42" s="176">
        <v>1</v>
      </c>
      <c r="V42" s="176">
        <v>1</v>
      </c>
      <c r="W42" s="176">
        <v>1</v>
      </c>
      <c r="X42" s="176">
        <v>1</v>
      </c>
      <c r="Y42" s="176">
        <v>1</v>
      </c>
      <c r="Z42" s="176">
        <v>1</v>
      </c>
      <c r="AA42" s="176">
        <v>1</v>
      </c>
      <c r="AB42" s="176"/>
      <c r="AC42" s="176"/>
      <c r="AD42" s="176"/>
      <c r="AE42" s="41">
        <f t="shared" si="6"/>
        <v>11</v>
      </c>
      <c r="AF42" s="116" t="s">
        <v>69</v>
      </c>
      <c r="AG42" s="550" t="s">
        <v>41</v>
      </c>
      <c r="AH42" s="542"/>
      <c r="AI42" s="189" t="s">
        <v>444</v>
      </c>
    </row>
    <row r="43" spans="1:35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3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6"/>
        <v>0</v>
      </c>
      <c r="AF43" s="116" t="s">
        <v>382</v>
      </c>
      <c r="AG43" s="550" t="s">
        <v>41</v>
      </c>
      <c r="AH43" s="542"/>
      <c r="AI43" s="189" t="s">
        <v>444</v>
      </c>
    </row>
    <row r="44" spans="1:35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3"/>
        <v>12</v>
      </c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>
        <v>1</v>
      </c>
      <c r="R44" s="176">
        <v>1</v>
      </c>
      <c r="S44" s="341" t="s">
        <v>47</v>
      </c>
      <c r="T44" s="176">
        <v>1</v>
      </c>
      <c r="U44" s="176">
        <v>1</v>
      </c>
      <c r="V44" s="176">
        <v>1</v>
      </c>
      <c r="W44" s="176">
        <v>1</v>
      </c>
      <c r="X44" s="176">
        <v>1</v>
      </c>
      <c r="Y44" s="176">
        <v>1</v>
      </c>
      <c r="Z44" s="176">
        <v>1</v>
      </c>
      <c r="AA44" s="176">
        <v>1</v>
      </c>
      <c r="AB44" s="176">
        <v>1</v>
      </c>
      <c r="AC44" s="176">
        <v>1</v>
      </c>
      <c r="AD44" s="176"/>
      <c r="AE44" s="41">
        <f t="shared" si="6"/>
        <v>12</v>
      </c>
      <c r="AF44" s="116" t="s">
        <v>359</v>
      </c>
      <c r="AG44" s="550" t="s">
        <v>41</v>
      </c>
      <c r="AH44" s="542"/>
      <c r="AI44" s="189" t="s">
        <v>444</v>
      </c>
    </row>
    <row r="45" spans="1:35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3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6"/>
        <v>0</v>
      </c>
      <c r="AF45" s="116" t="s">
        <v>382</v>
      </c>
      <c r="AG45" s="550" t="s">
        <v>41</v>
      </c>
      <c r="AH45" s="542"/>
      <c r="AI45" s="189" t="s">
        <v>444</v>
      </c>
    </row>
    <row r="46" spans="1:35" ht="14.25" customHeight="1">
      <c r="A46" s="188" t="s">
        <v>496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3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6"/>
        <v>0</v>
      </c>
      <c r="AF46" s="116" t="s">
        <v>652</v>
      </c>
      <c r="AG46" s="550" t="s">
        <v>41</v>
      </c>
      <c r="AH46" s="542"/>
      <c r="AI46" s="189" t="s">
        <v>444</v>
      </c>
    </row>
    <row r="47" spans="1:35" ht="14.25" customHeight="1">
      <c r="A47" s="188" t="s">
        <v>496</v>
      </c>
      <c r="B47" s="188" t="s">
        <v>137</v>
      </c>
      <c r="C47" s="98"/>
      <c r="D47" s="86">
        <v>1</v>
      </c>
      <c r="E47" s="218" t="s">
        <v>138</v>
      </c>
      <c r="F47" s="41">
        <f t="shared" si="3"/>
        <v>0</v>
      </c>
      <c r="G47" s="176"/>
      <c r="H47" s="176"/>
      <c r="I47" s="176"/>
      <c r="J47" s="176"/>
      <c r="K47" s="176"/>
      <c r="L47" s="176"/>
      <c r="M47" s="176"/>
      <c r="N47" s="577" t="s">
        <v>320</v>
      </c>
      <c r="O47" s="555"/>
      <c r="P47" s="555"/>
      <c r="Q47" s="555"/>
      <c r="R47" s="555"/>
      <c r="S47" s="555"/>
      <c r="T47" s="555"/>
      <c r="U47" s="555"/>
      <c r="V47" s="341" t="s">
        <v>47</v>
      </c>
      <c r="W47" s="176"/>
      <c r="X47" s="176"/>
      <c r="Y47" s="176"/>
      <c r="Z47" s="176"/>
      <c r="AA47" s="176"/>
      <c r="AB47" s="176"/>
      <c r="AC47" s="176"/>
      <c r="AD47" s="176"/>
      <c r="AE47" s="41">
        <v>8</v>
      </c>
      <c r="AF47" s="116" t="s">
        <v>228</v>
      </c>
      <c r="AG47" s="212" t="s">
        <v>209</v>
      </c>
      <c r="AH47" s="186" t="s">
        <v>320</v>
      </c>
      <c r="AI47" s="189" t="s">
        <v>444</v>
      </c>
    </row>
    <row r="48" spans="1:35" ht="14.25" customHeight="1">
      <c r="A48" s="188" t="s">
        <v>496</v>
      </c>
      <c r="B48" s="188" t="s">
        <v>190</v>
      </c>
      <c r="C48" s="98"/>
      <c r="D48" s="39">
        <v>2</v>
      </c>
      <c r="E48" s="218" t="s">
        <v>191</v>
      </c>
      <c r="F48" s="41">
        <f t="shared" si="3"/>
        <v>1</v>
      </c>
      <c r="G48" s="77"/>
      <c r="H48" s="77"/>
      <c r="I48" s="77"/>
      <c r="J48" s="77"/>
      <c r="K48" s="77"/>
      <c r="L48" s="77"/>
      <c r="M48" s="176"/>
      <c r="N48" s="176"/>
      <c r="O48" s="176"/>
      <c r="P48" s="176"/>
      <c r="Q48" s="176"/>
      <c r="R48" s="176"/>
      <c r="S48" s="176"/>
      <c r="T48" s="295">
        <v>1</v>
      </c>
      <c r="U48" s="341" t="s">
        <v>47</v>
      </c>
      <c r="V48" s="577" t="s">
        <v>320</v>
      </c>
      <c r="W48" s="555"/>
      <c r="X48" s="555"/>
      <c r="Y48" s="555"/>
      <c r="Z48" s="555"/>
      <c r="AA48" s="555"/>
      <c r="AB48" s="555"/>
      <c r="AC48" s="555"/>
      <c r="AD48" s="77"/>
      <c r="AE48" s="41">
        <v>9</v>
      </c>
      <c r="AF48" s="116" t="s">
        <v>175</v>
      </c>
      <c r="AG48" s="212" t="s">
        <v>209</v>
      </c>
      <c r="AH48" s="186" t="s">
        <v>320</v>
      </c>
      <c r="AI48" s="189" t="s">
        <v>444</v>
      </c>
    </row>
    <row r="49" spans="1:35" ht="14.25" customHeight="1">
      <c r="A49" s="98"/>
      <c r="B49" s="98"/>
      <c r="C49" s="98"/>
      <c r="D49" s="39">
        <v>1</v>
      </c>
      <c r="E49" s="133" t="s">
        <v>363</v>
      </c>
      <c r="F49" s="41">
        <f t="shared" si="3"/>
        <v>0</v>
      </c>
      <c r="G49" s="42"/>
      <c r="H49" s="42"/>
      <c r="I49" s="42"/>
      <c r="J49" s="42"/>
      <c r="K49" s="42"/>
      <c r="L49" s="42"/>
      <c r="M49" s="42"/>
      <c r="N49" s="42"/>
      <c r="O49" s="577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v>12</v>
      </c>
      <c r="AF49" s="116" t="s">
        <v>66</v>
      </c>
      <c r="AG49" s="551" t="s">
        <v>473</v>
      </c>
      <c r="AH49" s="555"/>
      <c r="AI49" s="189" t="s">
        <v>444</v>
      </c>
    </row>
    <row r="50" spans="1:35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  <c r="AH50" s="25"/>
      <c r="AI50" s="25"/>
    </row>
    <row r="51" spans="1:35" ht="14.25" customHeight="1">
      <c r="A51" s="2"/>
      <c r="B51" s="2"/>
      <c r="C51" s="2"/>
      <c r="D51" s="2"/>
      <c r="E51" s="2"/>
      <c r="F51" s="2"/>
      <c r="AE51" s="2"/>
      <c r="AF51" s="2"/>
      <c r="AG51" s="2"/>
      <c r="AH51" s="2"/>
      <c r="AI51" s="2"/>
    </row>
    <row r="52" spans="1:35" ht="14.25" customHeight="1">
      <c r="A52" s="2"/>
      <c r="B52" s="2"/>
      <c r="C52" s="2"/>
      <c r="D52" s="2"/>
      <c r="E52" s="2"/>
      <c r="F52" s="2"/>
      <c r="AE52" s="2"/>
      <c r="AF52" s="2"/>
      <c r="AG52" s="2"/>
      <c r="AH52" s="2"/>
      <c r="AI52" s="2"/>
    </row>
    <row r="53" spans="1:35" ht="14.25" customHeight="1">
      <c r="A53" s="2"/>
      <c r="B53" s="2"/>
      <c r="C53" s="2"/>
      <c r="D53" s="2"/>
      <c r="E53" s="2"/>
      <c r="F53" s="2"/>
      <c r="AE53" s="2"/>
      <c r="AF53" s="2"/>
      <c r="AG53" s="2"/>
      <c r="AH53" s="2"/>
      <c r="AI53" s="2"/>
    </row>
    <row r="54" spans="1:35" ht="14.25" customHeight="1">
      <c r="A54" s="2"/>
      <c r="B54" s="2"/>
      <c r="C54" s="2"/>
      <c r="D54" s="2"/>
      <c r="E54" s="2"/>
      <c r="F54" s="2"/>
      <c r="AE54" s="2"/>
      <c r="AF54" s="2"/>
      <c r="AG54" s="2"/>
      <c r="AH54" s="2"/>
      <c r="AI54" s="2"/>
    </row>
    <row r="55" spans="1:35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193">
        <v>0</v>
      </c>
      <c r="P55" s="193">
        <v>10</v>
      </c>
      <c r="Q55" s="193">
        <v>10</v>
      </c>
      <c r="R55" s="193">
        <v>10</v>
      </c>
      <c r="S55" s="193">
        <v>10</v>
      </c>
      <c r="T55" s="193">
        <v>10</v>
      </c>
      <c r="U55" s="193">
        <v>10</v>
      </c>
      <c r="V55" s="193">
        <v>10</v>
      </c>
      <c r="W55" s="193">
        <v>10</v>
      </c>
      <c r="X55" s="193">
        <v>10</v>
      </c>
      <c r="Y55" s="193">
        <v>10</v>
      </c>
      <c r="Z55" s="193">
        <v>0</v>
      </c>
      <c r="AA55" s="193">
        <v>0</v>
      </c>
      <c r="AB55" s="194">
        <v>0</v>
      </c>
      <c r="AC55" s="192">
        <v>0</v>
      </c>
      <c r="AD55" s="195">
        <v>0</v>
      </c>
      <c r="AE55" s="18">
        <f>SUM(G55:AD55)</f>
        <v>100</v>
      </c>
      <c r="AF55" s="25"/>
      <c r="AG55" s="2"/>
      <c r="AH55" s="2"/>
      <c r="AI55" s="2"/>
    </row>
    <row r="56" spans="1:35" ht="14.25" customHeight="1">
      <c r="A56" s="3"/>
      <c r="B56" s="3"/>
      <c r="C56" s="3"/>
      <c r="D56" s="48"/>
      <c r="E56" s="59"/>
      <c r="F56" s="59"/>
      <c r="G56" s="84">
        <f t="shared" ref="G56:AD56" si="7">G58-G55</f>
        <v>1</v>
      </c>
      <c r="H56" s="28">
        <f t="shared" si="7"/>
        <v>0</v>
      </c>
      <c r="I56" s="28">
        <f t="shared" si="7"/>
        <v>0</v>
      </c>
      <c r="J56" s="28">
        <f t="shared" si="7"/>
        <v>0</v>
      </c>
      <c r="K56" s="28">
        <f t="shared" si="7"/>
        <v>0</v>
      </c>
      <c r="L56" s="28">
        <f t="shared" si="7"/>
        <v>0</v>
      </c>
      <c r="M56" s="84">
        <f t="shared" si="7"/>
        <v>1</v>
      </c>
      <c r="N56" s="84">
        <f t="shared" si="7"/>
        <v>1</v>
      </c>
      <c r="O56" s="84">
        <f t="shared" si="7"/>
        <v>10</v>
      </c>
      <c r="P56" s="28">
        <f t="shared" si="7"/>
        <v>0</v>
      </c>
      <c r="Q56" s="28">
        <f t="shared" si="7"/>
        <v>0</v>
      </c>
      <c r="R56" s="28">
        <f t="shared" si="7"/>
        <v>0</v>
      </c>
      <c r="S56" s="28">
        <f t="shared" si="7"/>
        <v>0</v>
      </c>
      <c r="T56" s="28">
        <f t="shared" si="7"/>
        <v>0</v>
      </c>
      <c r="U56" s="28">
        <f t="shared" si="7"/>
        <v>0</v>
      </c>
      <c r="V56" s="28">
        <f t="shared" si="7"/>
        <v>0</v>
      </c>
      <c r="W56" s="28">
        <f t="shared" si="7"/>
        <v>0</v>
      </c>
      <c r="X56" s="28">
        <f t="shared" si="7"/>
        <v>0</v>
      </c>
      <c r="Y56" s="28">
        <f t="shared" si="7"/>
        <v>0</v>
      </c>
      <c r="Z56" s="84">
        <f t="shared" si="7"/>
        <v>6</v>
      </c>
      <c r="AA56" s="84">
        <f t="shared" si="7"/>
        <v>6</v>
      </c>
      <c r="AB56" s="28">
        <f t="shared" si="7"/>
        <v>0</v>
      </c>
      <c r="AC56" s="28">
        <f t="shared" si="7"/>
        <v>0</v>
      </c>
      <c r="AD56" s="28">
        <f t="shared" si="7"/>
        <v>0</v>
      </c>
      <c r="AE56" s="53"/>
      <c r="AF56" s="3"/>
      <c r="AG56" s="2"/>
      <c r="AH56" s="2"/>
      <c r="AI56" s="2"/>
    </row>
    <row r="57" spans="1:35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  <c r="AH57" s="2"/>
      <c r="AI57" s="2"/>
    </row>
    <row r="58" spans="1:35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8">SUM(G59:G72)</f>
        <v>1</v>
      </c>
      <c r="H58" s="35">
        <f t="shared" si="8"/>
        <v>0</v>
      </c>
      <c r="I58" s="35">
        <f t="shared" si="8"/>
        <v>0</v>
      </c>
      <c r="J58" s="35">
        <f t="shared" si="8"/>
        <v>0</v>
      </c>
      <c r="K58" s="35">
        <f t="shared" si="8"/>
        <v>0</v>
      </c>
      <c r="L58" s="35">
        <f t="shared" si="8"/>
        <v>0</v>
      </c>
      <c r="M58" s="35">
        <f t="shared" si="8"/>
        <v>1</v>
      </c>
      <c r="N58" s="35">
        <f t="shared" si="8"/>
        <v>1</v>
      </c>
      <c r="O58" s="35">
        <f t="shared" si="8"/>
        <v>10</v>
      </c>
      <c r="P58" s="35">
        <f t="shared" si="8"/>
        <v>10</v>
      </c>
      <c r="Q58" s="35">
        <f t="shared" si="8"/>
        <v>10</v>
      </c>
      <c r="R58" s="35">
        <f t="shared" si="8"/>
        <v>10</v>
      </c>
      <c r="S58" s="35">
        <f t="shared" si="8"/>
        <v>10</v>
      </c>
      <c r="T58" s="35">
        <f t="shared" si="8"/>
        <v>10</v>
      </c>
      <c r="U58" s="35">
        <f t="shared" si="8"/>
        <v>10</v>
      </c>
      <c r="V58" s="35">
        <f t="shared" si="8"/>
        <v>10</v>
      </c>
      <c r="W58" s="35">
        <f t="shared" si="8"/>
        <v>10</v>
      </c>
      <c r="X58" s="35">
        <f t="shared" si="8"/>
        <v>10</v>
      </c>
      <c r="Y58" s="35">
        <f t="shared" si="8"/>
        <v>10</v>
      </c>
      <c r="Z58" s="35">
        <f t="shared" si="8"/>
        <v>6</v>
      </c>
      <c r="AA58" s="35">
        <f t="shared" si="8"/>
        <v>6</v>
      </c>
      <c r="AB58" s="35">
        <f t="shared" si="8"/>
        <v>0</v>
      </c>
      <c r="AC58" s="35">
        <f t="shared" si="8"/>
        <v>0</v>
      </c>
      <c r="AD58" s="35">
        <f t="shared" si="8"/>
        <v>0</v>
      </c>
      <c r="AE58" s="30">
        <f t="shared" ref="AE58:AE68" si="9">SUM(G58:AD58)</f>
        <v>125</v>
      </c>
      <c r="AF58" s="36" t="s">
        <v>39</v>
      </c>
      <c r="AG58" s="196"/>
      <c r="AH58" s="196"/>
      <c r="AI58" s="197" t="s">
        <v>40</v>
      </c>
    </row>
    <row r="59" spans="1:35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10">SUM(G59:AD59)</f>
        <v>12</v>
      </c>
      <c r="G59" s="202">
        <v>1</v>
      </c>
      <c r="H59" s="202"/>
      <c r="I59" s="202"/>
      <c r="J59" s="202"/>
      <c r="K59" s="202"/>
      <c r="L59" s="202"/>
      <c r="M59" s="202"/>
      <c r="N59" s="202"/>
      <c r="O59" s="292">
        <v>1</v>
      </c>
      <c r="P59" s="202">
        <v>1</v>
      </c>
      <c r="Q59" s="202">
        <v>1</v>
      </c>
      <c r="R59" s="202">
        <v>1</v>
      </c>
      <c r="S59" s="202">
        <v>1</v>
      </c>
      <c r="T59" s="202">
        <v>1</v>
      </c>
      <c r="U59" s="202">
        <v>1</v>
      </c>
      <c r="V59" s="202">
        <v>1</v>
      </c>
      <c r="W59" s="202">
        <v>1</v>
      </c>
      <c r="X59" s="202">
        <v>1</v>
      </c>
      <c r="Y59" s="202">
        <v>1</v>
      </c>
      <c r="Z59" s="202"/>
      <c r="AA59" s="202"/>
      <c r="AB59" s="202"/>
      <c r="AC59" s="202"/>
      <c r="AD59" s="202"/>
      <c r="AE59" s="41">
        <f t="shared" si="9"/>
        <v>12</v>
      </c>
      <c r="AF59" s="116" t="s">
        <v>729</v>
      </c>
      <c r="AG59" s="550" t="s">
        <v>476</v>
      </c>
      <c r="AH59" s="542"/>
      <c r="AI59" s="189" t="s">
        <v>444</v>
      </c>
    </row>
    <row r="60" spans="1:35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10"/>
        <v>13</v>
      </c>
      <c r="G60" s="202"/>
      <c r="H60" s="202"/>
      <c r="I60" s="202"/>
      <c r="J60" s="202"/>
      <c r="K60" s="202"/>
      <c r="L60" s="202"/>
      <c r="M60" s="202"/>
      <c r="N60" s="202"/>
      <c r="O60" s="292">
        <v>1</v>
      </c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02">
        <v>1</v>
      </c>
      <c r="AA60" s="202">
        <v>1</v>
      </c>
      <c r="AB60" s="202"/>
      <c r="AC60" s="202"/>
      <c r="AD60" s="202"/>
      <c r="AE60" s="41">
        <f t="shared" si="9"/>
        <v>13</v>
      </c>
      <c r="AF60" s="116" t="s">
        <v>329</v>
      </c>
      <c r="AG60" s="550" t="s">
        <v>476</v>
      </c>
      <c r="AH60" s="542"/>
      <c r="AI60" s="189" t="s">
        <v>444</v>
      </c>
    </row>
    <row r="61" spans="1:35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10"/>
        <v>13</v>
      </c>
      <c r="G61" s="202"/>
      <c r="H61" s="202"/>
      <c r="I61" s="202"/>
      <c r="J61" s="202"/>
      <c r="K61" s="202"/>
      <c r="L61" s="202"/>
      <c r="M61" s="292">
        <v>1</v>
      </c>
      <c r="N61" s="292">
        <v>1</v>
      </c>
      <c r="O61" s="292">
        <v>1</v>
      </c>
      <c r="P61" s="202">
        <v>1</v>
      </c>
      <c r="Q61" s="202">
        <v>1</v>
      </c>
      <c r="R61" s="202">
        <v>1</v>
      </c>
      <c r="S61" s="202">
        <v>1</v>
      </c>
      <c r="T61" s="202">
        <v>1</v>
      </c>
      <c r="U61" s="202">
        <v>1</v>
      </c>
      <c r="V61" s="202">
        <v>1</v>
      </c>
      <c r="W61" s="202">
        <v>1</v>
      </c>
      <c r="X61" s="202">
        <v>1</v>
      </c>
      <c r="Y61" s="202">
        <v>1</v>
      </c>
      <c r="Z61" s="202"/>
      <c r="AA61" s="202"/>
      <c r="AB61" s="202"/>
      <c r="AC61" s="202"/>
      <c r="AD61" s="202"/>
      <c r="AE61" s="41">
        <f t="shared" si="9"/>
        <v>13</v>
      </c>
      <c r="AF61" s="116" t="s">
        <v>261</v>
      </c>
      <c r="AG61" s="550" t="s">
        <v>476</v>
      </c>
      <c r="AH61" s="542"/>
      <c r="AI61" s="189" t="s">
        <v>444</v>
      </c>
    </row>
    <row r="62" spans="1:35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10"/>
        <v>11</v>
      </c>
      <c r="G62" s="202"/>
      <c r="H62" s="202"/>
      <c r="I62" s="202"/>
      <c r="J62" s="202"/>
      <c r="K62" s="202"/>
      <c r="L62" s="202"/>
      <c r="M62" s="202"/>
      <c r="N62" s="202"/>
      <c r="O62" s="202">
        <v>1</v>
      </c>
      <c r="P62" s="202">
        <v>1</v>
      </c>
      <c r="Q62" s="202">
        <v>1</v>
      </c>
      <c r="R62" s="202">
        <v>1</v>
      </c>
      <c r="S62" s="202">
        <v>1</v>
      </c>
      <c r="T62" s="202">
        <v>1</v>
      </c>
      <c r="U62" s="202">
        <v>1</v>
      </c>
      <c r="V62" s="202">
        <v>1</v>
      </c>
      <c r="W62" s="202">
        <v>1</v>
      </c>
      <c r="X62" s="202">
        <v>1</v>
      </c>
      <c r="Y62" s="202">
        <v>1</v>
      </c>
      <c r="Z62" s="202"/>
      <c r="AA62" s="202"/>
      <c r="AB62" s="202"/>
      <c r="AC62" s="202"/>
      <c r="AD62" s="202"/>
      <c r="AE62" s="41">
        <f t="shared" si="9"/>
        <v>11</v>
      </c>
      <c r="AF62" s="116" t="s">
        <v>119</v>
      </c>
      <c r="AG62" s="550" t="s">
        <v>476</v>
      </c>
      <c r="AH62" s="542"/>
      <c r="AI62" s="189" t="s">
        <v>444</v>
      </c>
    </row>
    <row r="63" spans="1:35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10"/>
        <v>13</v>
      </c>
      <c r="G63" s="202"/>
      <c r="H63" s="202"/>
      <c r="I63" s="202"/>
      <c r="J63" s="202"/>
      <c r="K63" s="202"/>
      <c r="L63" s="202"/>
      <c r="M63" s="202"/>
      <c r="N63" s="202"/>
      <c r="O63" s="292">
        <v>1</v>
      </c>
      <c r="P63" s="202">
        <v>1</v>
      </c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02">
        <v>1</v>
      </c>
      <c r="AA63" s="202">
        <v>1</v>
      </c>
      <c r="AB63" s="202"/>
      <c r="AC63" s="202"/>
      <c r="AD63" s="202"/>
      <c r="AE63" s="41">
        <f t="shared" si="9"/>
        <v>13</v>
      </c>
      <c r="AF63" s="116" t="s">
        <v>329</v>
      </c>
      <c r="AG63" s="550" t="s">
        <v>476</v>
      </c>
      <c r="AH63" s="542"/>
      <c r="AI63" s="189" t="s">
        <v>444</v>
      </c>
    </row>
    <row r="64" spans="1:35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10"/>
        <v>13</v>
      </c>
      <c r="G64" s="202"/>
      <c r="H64" s="202"/>
      <c r="I64" s="202"/>
      <c r="J64" s="202"/>
      <c r="K64" s="202"/>
      <c r="L64" s="202"/>
      <c r="M64" s="202"/>
      <c r="N64" s="202"/>
      <c r="O64" s="292">
        <v>1</v>
      </c>
      <c r="P64" s="202">
        <v>1</v>
      </c>
      <c r="Q64" s="202">
        <v>1</v>
      </c>
      <c r="R64" s="202">
        <v>1</v>
      </c>
      <c r="S64" s="202">
        <v>1</v>
      </c>
      <c r="T64" s="202">
        <v>1</v>
      </c>
      <c r="U64" s="202">
        <v>1</v>
      </c>
      <c r="V64" s="202">
        <v>1</v>
      </c>
      <c r="W64" s="202">
        <v>1</v>
      </c>
      <c r="X64" s="202">
        <v>1</v>
      </c>
      <c r="Y64" s="202">
        <v>1</v>
      </c>
      <c r="Z64" s="202">
        <v>1</v>
      </c>
      <c r="AA64" s="202">
        <v>1</v>
      </c>
      <c r="AB64" s="202"/>
      <c r="AC64" s="202"/>
      <c r="AD64" s="202"/>
      <c r="AE64" s="41">
        <f t="shared" si="9"/>
        <v>13</v>
      </c>
      <c r="AF64" s="116" t="s">
        <v>329</v>
      </c>
      <c r="AG64" s="550" t="s">
        <v>476</v>
      </c>
      <c r="AH64" s="542"/>
      <c r="AI64" s="189" t="s">
        <v>444</v>
      </c>
    </row>
    <row r="65" spans="1:35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10"/>
        <v>13</v>
      </c>
      <c r="G65" s="202"/>
      <c r="H65" s="202"/>
      <c r="I65" s="202"/>
      <c r="J65" s="202"/>
      <c r="K65" s="202"/>
      <c r="L65" s="202"/>
      <c r="M65" s="202"/>
      <c r="N65" s="202"/>
      <c r="O65" s="202">
        <v>1</v>
      </c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02">
        <v>1</v>
      </c>
      <c r="AA65" s="202">
        <v>1</v>
      </c>
      <c r="AB65" s="202"/>
      <c r="AC65" s="202"/>
      <c r="AD65" s="202"/>
      <c r="AE65" s="41">
        <f t="shared" si="9"/>
        <v>13</v>
      </c>
      <c r="AF65" s="116" t="s">
        <v>329</v>
      </c>
      <c r="AG65" s="550" t="s">
        <v>476</v>
      </c>
      <c r="AH65" s="542"/>
      <c r="AI65" s="189" t="s">
        <v>444</v>
      </c>
    </row>
    <row r="66" spans="1:35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10"/>
        <v>11</v>
      </c>
      <c r="G66" s="202"/>
      <c r="H66" s="202"/>
      <c r="I66" s="202"/>
      <c r="J66" s="202"/>
      <c r="K66" s="202"/>
      <c r="L66" s="202"/>
      <c r="M66" s="202"/>
      <c r="N66" s="202"/>
      <c r="O66" s="202">
        <v>1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02"/>
      <c r="AA66" s="202"/>
      <c r="AB66" s="202"/>
      <c r="AC66" s="202"/>
      <c r="AD66" s="202"/>
      <c r="AE66" s="41">
        <f t="shared" si="9"/>
        <v>11</v>
      </c>
      <c r="AF66" s="116" t="s">
        <v>119</v>
      </c>
      <c r="AG66" s="550" t="s">
        <v>476</v>
      </c>
      <c r="AH66" s="542"/>
      <c r="AI66" s="189" t="s">
        <v>444</v>
      </c>
    </row>
    <row r="67" spans="1:35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10"/>
        <v>13</v>
      </c>
      <c r="G67" s="202"/>
      <c r="H67" s="202"/>
      <c r="I67" s="202"/>
      <c r="J67" s="202"/>
      <c r="K67" s="202"/>
      <c r="L67" s="202"/>
      <c r="M67" s="202"/>
      <c r="N67" s="202"/>
      <c r="O67" s="292">
        <v>1</v>
      </c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>
        <v>1</v>
      </c>
      <c r="W67" s="202">
        <v>1</v>
      </c>
      <c r="X67" s="202">
        <v>1</v>
      </c>
      <c r="Y67" s="202">
        <v>1</v>
      </c>
      <c r="Z67" s="202">
        <v>1</v>
      </c>
      <c r="AA67" s="202">
        <v>1</v>
      </c>
      <c r="AB67" s="202"/>
      <c r="AC67" s="202"/>
      <c r="AD67" s="202"/>
      <c r="AE67" s="41">
        <f t="shared" si="9"/>
        <v>13</v>
      </c>
      <c r="AF67" s="116" t="s">
        <v>329</v>
      </c>
      <c r="AG67" s="550" t="s">
        <v>476</v>
      </c>
      <c r="AH67" s="542"/>
      <c r="AI67" s="189" t="s">
        <v>444</v>
      </c>
    </row>
    <row r="68" spans="1:35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10"/>
        <v>13</v>
      </c>
      <c r="G68" s="202"/>
      <c r="H68" s="202"/>
      <c r="I68" s="202"/>
      <c r="J68" s="202"/>
      <c r="K68" s="202"/>
      <c r="L68" s="202"/>
      <c r="M68" s="202"/>
      <c r="N68" s="202"/>
      <c r="O68" s="292">
        <v>1</v>
      </c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02">
        <v>1</v>
      </c>
      <c r="AA68" s="202">
        <v>1</v>
      </c>
      <c r="AB68" s="202"/>
      <c r="AC68" s="202"/>
      <c r="AD68" s="202"/>
      <c r="AE68" s="41">
        <f t="shared" si="9"/>
        <v>13</v>
      </c>
      <c r="AF68" s="116" t="s">
        <v>329</v>
      </c>
      <c r="AG68" s="550" t="s">
        <v>476</v>
      </c>
      <c r="AH68" s="542"/>
      <c r="AI68" s="189" t="s">
        <v>444</v>
      </c>
    </row>
    <row r="69" spans="1:35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  <c r="AH69" s="2"/>
      <c r="AI69" s="2"/>
    </row>
    <row r="70" spans="1:35" ht="14.25" customHeight="1">
      <c r="A70" s="2"/>
      <c r="B70" s="2"/>
      <c r="C70" s="2"/>
      <c r="D70" s="2"/>
      <c r="E70" s="2"/>
      <c r="F70" s="2"/>
      <c r="AE70" s="2"/>
      <c r="AF70" s="2"/>
      <c r="AG70" s="2"/>
      <c r="AH70" s="2"/>
      <c r="AI70" s="2"/>
    </row>
    <row r="71" spans="1:35" ht="14.25" customHeight="1">
      <c r="A71" s="2"/>
      <c r="B71" s="2"/>
      <c r="C71" s="2"/>
      <c r="D71" s="2"/>
      <c r="E71" s="2"/>
      <c r="F71" s="2"/>
      <c r="AE71" s="2"/>
      <c r="AF71" s="2"/>
      <c r="AG71" s="2"/>
      <c r="AH71" s="2"/>
      <c r="AI71" s="2"/>
    </row>
    <row r="72" spans="1:35" ht="14.25" customHeight="1">
      <c r="A72" s="2"/>
      <c r="B72" s="2"/>
      <c r="C72" s="2"/>
      <c r="D72" s="2"/>
      <c r="E72" s="2"/>
      <c r="F72" s="2"/>
      <c r="AE72" s="2"/>
      <c r="AF72" s="2"/>
      <c r="AG72" s="2"/>
      <c r="AH72" s="2"/>
      <c r="AI72" s="2"/>
    </row>
    <row r="73" spans="1:35" ht="14.25" customHeight="1">
      <c r="A73" s="2"/>
      <c r="B73" s="2"/>
      <c r="C73" s="2"/>
      <c r="D73" s="2"/>
      <c r="E73" s="2"/>
      <c r="F73" s="2"/>
      <c r="AE73" s="2"/>
      <c r="AF73" s="2"/>
      <c r="AG73" s="2"/>
      <c r="AH73" s="2"/>
      <c r="AI73" s="2"/>
    </row>
    <row r="74" spans="1:35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4">
        <v>4</v>
      </c>
      <c r="N74" s="223">
        <v>5</v>
      </c>
      <c r="O74" s="222">
        <v>8</v>
      </c>
      <c r="P74" s="310">
        <v>10</v>
      </c>
      <c r="Q74" s="320">
        <v>11</v>
      </c>
      <c r="R74" s="310">
        <v>10</v>
      </c>
      <c r="S74" s="310">
        <v>10</v>
      </c>
      <c r="T74" s="320">
        <v>11</v>
      </c>
      <c r="U74" s="312">
        <v>12</v>
      </c>
      <c r="V74" s="312">
        <v>12</v>
      </c>
      <c r="W74" s="319">
        <v>9</v>
      </c>
      <c r="X74" s="310">
        <v>10</v>
      </c>
      <c r="Y74" s="319">
        <v>9</v>
      </c>
      <c r="Z74" s="319">
        <v>9</v>
      </c>
      <c r="AA74" s="222">
        <v>8</v>
      </c>
      <c r="AB74" s="167">
        <v>7</v>
      </c>
      <c r="AC74" s="220">
        <v>3</v>
      </c>
      <c r="AD74" s="195">
        <v>2</v>
      </c>
      <c r="AE74" s="18">
        <f>SUM(G74:AD74)</f>
        <v>162</v>
      </c>
      <c r="AF74" s="25"/>
      <c r="AG74" s="3"/>
      <c r="AH74" s="3"/>
      <c r="AI74" s="3"/>
    </row>
    <row r="75" spans="1:35" ht="14.25" customHeight="1">
      <c r="A75" s="3"/>
      <c r="B75" s="3"/>
      <c r="C75" s="3"/>
      <c r="D75" s="48"/>
      <c r="E75" s="59"/>
      <c r="F75" s="59"/>
      <c r="G75" s="28">
        <f t="shared" ref="G75:AD75" si="11">G77-G74</f>
        <v>0</v>
      </c>
      <c r="H75" s="28">
        <f t="shared" si="11"/>
        <v>0</v>
      </c>
      <c r="I75" s="28">
        <f t="shared" si="11"/>
        <v>0</v>
      </c>
      <c r="J75" s="28">
        <f t="shared" si="11"/>
        <v>0</v>
      </c>
      <c r="K75" s="28">
        <f t="shared" si="11"/>
        <v>0</v>
      </c>
      <c r="L75" s="28">
        <f t="shared" si="11"/>
        <v>0</v>
      </c>
      <c r="M75" s="28">
        <f t="shared" si="11"/>
        <v>0</v>
      </c>
      <c r="N75" s="28">
        <f t="shared" si="11"/>
        <v>0</v>
      </c>
      <c r="O75" s="28">
        <f t="shared" si="11"/>
        <v>0</v>
      </c>
      <c r="P75" s="28">
        <f t="shared" si="11"/>
        <v>0</v>
      </c>
      <c r="Q75" s="28">
        <f t="shared" si="11"/>
        <v>0</v>
      </c>
      <c r="R75" s="28">
        <f t="shared" si="11"/>
        <v>0</v>
      </c>
      <c r="S75" s="28">
        <f t="shared" si="11"/>
        <v>0</v>
      </c>
      <c r="T75" s="28">
        <f t="shared" si="11"/>
        <v>0</v>
      </c>
      <c r="U75" s="28">
        <f t="shared" si="11"/>
        <v>0</v>
      </c>
      <c r="V75" s="28">
        <f t="shared" si="11"/>
        <v>0</v>
      </c>
      <c r="W75" s="28">
        <f t="shared" si="11"/>
        <v>0</v>
      </c>
      <c r="X75" s="28">
        <f t="shared" si="11"/>
        <v>0</v>
      </c>
      <c r="Y75" s="28">
        <f t="shared" si="11"/>
        <v>0</v>
      </c>
      <c r="Z75" s="28">
        <f t="shared" si="11"/>
        <v>0</v>
      </c>
      <c r="AA75" s="28">
        <f t="shared" si="11"/>
        <v>0</v>
      </c>
      <c r="AB75" s="28">
        <f t="shared" si="11"/>
        <v>0</v>
      </c>
      <c r="AC75" s="28">
        <f t="shared" si="11"/>
        <v>0</v>
      </c>
      <c r="AD75" s="28">
        <f t="shared" si="11"/>
        <v>0</v>
      </c>
      <c r="AE75" s="53"/>
      <c r="AF75" s="3">
        <v>16</v>
      </c>
      <c r="AG75" s="3"/>
      <c r="AH75" s="3"/>
      <c r="AI75" s="3">
        <f>AE74/11</f>
        <v>14.727272727272727</v>
      </c>
    </row>
    <row r="76" spans="1:35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  <c r="AH76" s="3"/>
      <c r="AI76" s="3"/>
    </row>
    <row r="77" spans="1:35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2">SUM(G78:G94)</f>
        <v>2</v>
      </c>
      <c r="H77" s="35">
        <f t="shared" si="12"/>
        <v>2</v>
      </c>
      <c r="I77" s="35">
        <f t="shared" si="12"/>
        <v>2</v>
      </c>
      <c r="J77" s="35">
        <f t="shared" si="12"/>
        <v>2</v>
      </c>
      <c r="K77" s="35">
        <f t="shared" si="12"/>
        <v>2</v>
      </c>
      <c r="L77" s="35">
        <f t="shared" si="12"/>
        <v>2</v>
      </c>
      <c r="M77" s="35">
        <f t="shared" si="12"/>
        <v>4</v>
      </c>
      <c r="N77" s="35">
        <f t="shared" si="12"/>
        <v>5</v>
      </c>
      <c r="O77" s="35">
        <f t="shared" si="12"/>
        <v>8</v>
      </c>
      <c r="P77" s="35">
        <f t="shared" si="12"/>
        <v>10</v>
      </c>
      <c r="Q77" s="35">
        <f t="shared" si="12"/>
        <v>11</v>
      </c>
      <c r="R77" s="35">
        <f t="shared" si="12"/>
        <v>10</v>
      </c>
      <c r="S77" s="35">
        <f t="shared" si="12"/>
        <v>10</v>
      </c>
      <c r="T77" s="35">
        <f t="shared" si="12"/>
        <v>11</v>
      </c>
      <c r="U77" s="35">
        <f t="shared" si="12"/>
        <v>12</v>
      </c>
      <c r="V77" s="35">
        <f t="shared" si="12"/>
        <v>12</v>
      </c>
      <c r="W77" s="35">
        <f t="shared" si="12"/>
        <v>9</v>
      </c>
      <c r="X77" s="35">
        <f t="shared" si="12"/>
        <v>10</v>
      </c>
      <c r="Y77" s="35">
        <f t="shared" si="12"/>
        <v>9</v>
      </c>
      <c r="Z77" s="35">
        <f t="shared" si="12"/>
        <v>9</v>
      </c>
      <c r="AA77" s="35">
        <f t="shared" si="12"/>
        <v>8</v>
      </c>
      <c r="AB77" s="35">
        <f t="shared" si="12"/>
        <v>7</v>
      </c>
      <c r="AC77" s="35">
        <f t="shared" si="12"/>
        <v>3</v>
      </c>
      <c r="AD77" s="35">
        <f t="shared" si="12"/>
        <v>2</v>
      </c>
      <c r="AE77" s="30">
        <f t="shared" ref="AE77:AE94" si="13">SUM(G77:AD77)</f>
        <v>162</v>
      </c>
      <c r="AF77" s="36" t="s">
        <v>39</v>
      </c>
      <c r="AG77" s="173"/>
      <c r="AH77" s="173"/>
      <c r="AI77" s="37" t="s">
        <v>40</v>
      </c>
    </row>
    <row r="78" spans="1:35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4">SUM(G78:AD78)</f>
        <v>10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02">
        <v>1</v>
      </c>
      <c r="P78" s="202">
        <v>1</v>
      </c>
      <c r="Q78" s="202">
        <v>1</v>
      </c>
      <c r="R78" s="202">
        <v>1</v>
      </c>
      <c r="S78" s="202">
        <v>1</v>
      </c>
      <c r="T78" s="202">
        <v>1</v>
      </c>
      <c r="U78" s="202">
        <v>1</v>
      </c>
      <c r="V78" s="202">
        <v>1</v>
      </c>
      <c r="W78" s="202"/>
      <c r="X78" s="202"/>
      <c r="Y78" s="202"/>
      <c r="Z78" s="202"/>
      <c r="AA78" s="202"/>
      <c r="AB78" s="202"/>
      <c r="AC78" s="202"/>
      <c r="AD78" s="202"/>
      <c r="AE78" s="41">
        <f t="shared" si="13"/>
        <v>10</v>
      </c>
      <c r="AF78" s="116" t="s">
        <v>151</v>
      </c>
      <c r="AG78" s="546" t="s">
        <v>479</v>
      </c>
      <c r="AH78" s="542"/>
      <c r="AI78" s="189" t="s">
        <v>444</v>
      </c>
    </row>
    <row r="79" spans="1:35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4"/>
        <v>11</v>
      </c>
      <c r="G79" s="202"/>
      <c r="H79" s="202"/>
      <c r="I79" s="202"/>
      <c r="J79" s="202"/>
      <c r="K79" s="202"/>
      <c r="L79" s="202"/>
      <c r="M79" s="202"/>
      <c r="N79" s="202"/>
      <c r="O79" s="202"/>
      <c r="P79" s="202">
        <v>1</v>
      </c>
      <c r="Q79" s="202">
        <v>1</v>
      </c>
      <c r="R79" s="202"/>
      <c r="S79" s="202">
        <v>1</v>
      </c>
      <c r="T79" s="202">
        <v>1</v>
      </c>
      <c r="U79" s="202">
        <v>1</v>
      </c>
      <c r="V79" s="202">
        <v>1</v>
      </c>
      <c r="W79" s="202">
        <v>1</v>
      </c>
      <c r="X79" s="202">
        <v>1</v>
      </c>
      <c r="Y79" s="202">
        <v>1</v>
      </c>
      <c r="Z79" s="202">
        <v>1</v>
      </c>
      <c r="AA79" s="202">
        <v>1</v>
      </c>
      <c r="AB79" s="202"/>
      <c r="AC79" s="202"/>
      <c r="AD79" s="202"/>
      <c r="AE79" s="41">
        <f t="shared" si="13"/>
        <v>11</v>
      </c>
      <c r="AF79" s="116" t="s">
        <v>730</v>
      </c>
      <c r="AG79" s="546" t="s">
        <v>479</v>
      </c>
      <c r="AH79" s="542"/>
      <c r="AI79" s="189" t="s">
        <v>444</v>
      </c>
    </row>
    <row r="80" spans="1:35" ht="19.5" customHeight="1">
      <c r="A80" s="38" t="s">
        <v>145</v>
      </c>
      <c r="B80" s="38" t="s">
        <v>76</v>
      </c>
      <c r="C80" s="38">
        <v>997829699</v>
      </c>
      <c r="D80" s="39">
        <v>3</v>
      </c>
      <c r="E80" s="40" t="s">
        <v>77</v>
      </c>
      <c r="F80" s="41">
        <f t="shared" si="14"/>
        <v>8</v>
      </c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>
        <v>1</v>
      </c>
      <c r="W80" s="202">
        <v>1</v>
      </c>
      <c r="X80" s="202">
        <v>1</v>
      </c>
      <c r="Y80" s="202">
        <v>1</v>
      </c>
      <c r="Z80" s="202">
        <v>1</v>
      </c>
      <c r="AA80" s="202">
        <v>1</v>
      </c>
      <c r="AB80" s="202">
        <v>1</v>
      </c>
      <c r="AC80" s="202">
        <v>1</v>
      </c>
      <c r="AD80" s="202"/>
      <c r="AE80" s="41">
        <f t="shared" si="13"/>
        <v>8</v>
      </c>
      <c r="AF80" s="116" t="s">
        <v>218</v>
      </c>
      <c r="AG80" s="546" t="s">
        <v>479</v>
      </c>
      <c r="AH80" s="542"/>
      <c r="AI80" s="189" t="s">
        <v>444</v>
      </c>
    </row>
    <row r="81" spans="1:35" ht="14.25" customHeight="1">
      <c r="A81" s="38" t="s">
        <v>145</v>
      </c>
      <c r="B81" s="38" t="s">
        <v>152</v>
      </c>
      <c r="C81" s="38"/>
      <c r="D81" s="99">
        <v>4</v>
      </c>
      <c r="E81" s="40" t="s">
        <v>153</v>
      </c>
      <c r="F81" s="41">
        <f t="shared" si="14"/>
        <v>10</v>
      </c>
      <c r="G81" s="202"/>
      <c r="H81" s="202"/>
      <c r="I81" s="202"/>
      <c r="J81" s="202"/>
      <c r="K81" s="202"/>
      <c r="L81" s="202"/>
      <c r="M81" s="202"/>
      <c r="N81" s="202">
        <v>1</v>
      </c>
      <c r="O81" s="202">
        <v>1</v>
      </c>
      <c r="P81" s="202">
        <v>1</v>
      </c>
      <c r="Q81" s="202">
        <v>1</v>
      </c>
      <c r="R81" s="202">
        <v>1</v>
      </c>
      <c r="S81" s="202">
        <v>1</v>
      </c>
      <c r="T81" s="202"/>
      <c r="U81" s="202">
        <v>1</v>
      </c>
      <c r="V81" s="202">
        <v>1</v>
      </c>
      <c r="W81" s="202">
        <v>1</v>
      </c>
      <c r="X81" s="202">
        <v>1</v>
      </c>
      <c r="Y81" s="202"/>
      <c r="Z81" s="202"/>
      <c r="AA81" s="202"/>
      <c r="AB81" s="202"/>
      <c r="AC81" s="202"/>
      <c r="AD81" s="202"/>
      <c r="AE81" s="41">
        <f t="shared" si="13"/>
        <v>10</v>
      </c>
      <c r="AF81" s="116" t="s">
        <v>195</v>
      </c>
      <c r="AG81" s="546" t="s">
        <v>479</v>
      </c>
      <c r="AH81" s="542"/>
      <c r="AI81" s="189" t="s">
        <v>444</v>
      </c>
    </row>
    <row r="82" spans="1:35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4"/>
        <v>6</v>
      </c>
      <c r="G82" s="202"/>
      <c r="H82" s="202"/>
      <c r="I82" s="202"/>
      <c r="J82" s="202"/>
      <c r="K82" s="202"/>
      <c r="L82" s="202"/>
      <c r="M82" s="202"/>
      <c r="N82" s="202"/>
      <c r="O82" s="202">
        <v>1</v>
      </c>
      <c r="P82" s="202">
        <v>1</v>
      </c>
      <c r="Q82" s="202">
        <v>1</v>
      </c>
      <c r="R82" s="202">
        <v>1</v>
      </c>
      <c r="S82" s="202">
        <v>1</v>
      </c>
      <c r="T82" s="202">
        <v>1</v>
      </c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41">
        <f t="shared" si="13"/>
        <v>6</v>
      </c>
      <c r="AF82" s="116" t="s">
        <v>305</v>
      </c>
      <c r="AG82" s="546" t="s">
        <v>479</v>
      </c>
      <c r="AH82" s="542"/>
      <c r="AI82" s="189" t="s">
        <v>444</v>
      </c>
    </row>
    <row r="83" spans="1:35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4"/>
        <v>8</v>
      </c>
      <c r="G83" s="202"/>
      <c r="H83" s="202"/>
      <c r="I83" s="202"/>
      <c r="J83" s="202"/>
      <c r="K83" s="202"/>
      <c r="L83" s="202"/>
      <c r="M83" s="202">
        <v>1</v>
      </c>
      <c r="N83" s="202">
        <v>1</v>
      </c>
      <c r="O83" s="202">
        <v>1</v>
      </c>
      <c r="P83" s="202">
        <v>1</v>
      </c>
      <c r="Q83" s="202">
        <v>1</v>
      </c>
      <c r="R83" s="202">
        <v>1</v>
      </c>
      <c r="S83" s="202">
        <v>1</v>
      </c>
      <c r="T83" s="202">
        <v>1</v>
      </c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41">
        <f t="shared" si="13"/>
        <v>8</v>
      </c>
      <c r="AF83" s="116" t="s">
        <v>252</v>
      </c>
      <c r="AG83" s="546" t="s">
        <v>479</v>
      </c>
      <c r="AH83" s="542"/>
      <c r="AI83" s="189" t="s">
        <v>444</v>
      </c>
    </row>
    <row r="84" spans="1:35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4"/>
        <v>11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>
        <v>1</v>
      </c>
      <c r="AA84" s="202">
        <v>1</v>
      </c>
      <c r="AB84" s="202">
        <v>1</v>
      </c>
      <c r="AC84" s="202">
        <v>1</v>
      </c>
      <c r="AD84" s="202">
        <v>1</v>
      </c>
      <c r="AE84" s="41">
        <f t="shared" si="13"/>
        <v>11</v>
      </c>
      <c r="AF84" s="116" t="s">
        <v>432</v>
      </c>
      <c r="AG84" s="546" t="s">
        <v>479</v>
      </c>
      <c r="AH84" s="542"/>
      <c r="AI84" s="189" t="s">
        <v>444</v>
      </c>
    </row>
    <row r="85" spans="1:35" ht="14.25" customHeight="1">
      <c r="A85" s="38" t="s">
        <v>145</v>
      </c>
      <c r="B85" s="38" t="s">
        <v>165</v>
      </c>
      <c r="C85" s="38">
        <v>992994680</v>
      </c>
      <c r="D85" s="62">
        <v>8</v>
      </c>
      <c r="E85" s="40" t="s">
        <v>166</v>
      </c>
      <c r="F85" s="41">
        <f t="shared" si="14"/>
        <v>10</v>
      </c>
      <c r="G85" s="202"/>
      <c r="H85" s="202"/>
      <c r="I85" s="202"/>
      <c r="J85" s="202"/>
      <c r="K85" s="202"/>
      <c r="L85" s="202"/>
      <c r="M85" s="202"/>
      <c r="N85" s="202"/>
      <c r="O85" s="202">
        <v>1</v>
      </c>
      <c r="P85" s="202">
        <v>1</v>
      </c>
      <c r="Q85" s="202">
        <v>1</v>
      </c>
      <c r="R85" s="202">
        <v>1</v>
      </c>
      <c r="S85" s="202">
        <v>1</v>
      </c>
      <c r="T85" s="202">
        <v>1</v>
      </c>
      <c r="U85" s="202">
        <v>1</v>
      </c>
      <c r="V85" s="202">
        <v>1</v>
      </c>
      <c r="W85" s="202"/>
      <c r="X85" s="202">
        <v>1</v>
      </c>
      <c r="Y85" s="202">
        <v>1</v>
      </c>
      <c r="Z85" s="202"/>
      <c r="AA85" s="202"/>
      <c r="AB85" s="202"/>
      <c r="AC85" s="202"/>
      <c r="AD85" s="202"/>
      <c r="AE85" s="41">
        <f t="shared" si="13"/>
        <v>10</v>
      </c>
      <c r="AF85" s="116" t="s">
        <v>731</v>
      </c>
      <c r="AG85" s="546" t="s">
        <v>479</v>
      </c>
      <c r="AH85" s="542"/>
      <c r="AI85" s="189" t="s">
        <v>444</v>
      </c>
    </row>
    <row r="86" spans="1:35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4"/>
        <v>11</v>
      </c>
      <c r="G86" s="202"/>
      <c r="H86" s="202"/>
      <c r="I86" s="202"/>
      <c r="J86" s="202"/>
      <c r="K86" s="202"/>
      <c r="L86" s="202"/>
      <c r="M86" s="202"/>
      <c r="N86" s="202"/>
      <c r="O86" s="202"/>
      <c r="P86" s="202">
        <v>1</v>
      </c>
      <c r="Q86" s="202">
        <v>1</v>
      </c>
      <c r="R86" s="202">
        <v>1</v>
      </c>
      <c r="S86" s="202">
        <v>1</v>
      </c>
      <c r="T86" s="202">
        <v>1</v>
      </c>
      <c r="U86" s="202">
        <v>1</v>
      </c>
      <c r="V86" s="202">
        <v>1</v>
      </c>
      <c r="W86" s="202">
        <v>1</v>
      </c>
      <c r="X86" s="202">
        <v>1</v>
      </c>
      <c r="Y86" s="202">
        <v>1</v>
      </c>
      <c r="Z86" s="202">
        <v>1</v>
      </c>
      <c r="AA86" s="202"/>
      <c r="AB86" s="202"/>
      <c r="AC86" s="202"/>
      <c r="AD86" s="202"/>
      <c r="AE86" s="41">
        <f t="shared" si="13"/>
        <v>11</v>
      </c>
      <c r="AF86" s="116" t="s">
        <v>164</v>
      </c>
      <c r="AG86" s="546" t="s">
        <v>479</v>
      </c>
      <c r="AH86" s="542"/>
      <c r="AI86" s="189" t="s">
        <v>444</v>
      </c>
    </row>
    <row r="87" spans="1:35" ht="14.25" customHeight="1">
      <c r="A87" s="98" t="s">
        <v>145</v>
      </c>
      <c r="B87" s="98" t="s">
        <v>451</v>
      </c>
      <c r="C87" s="98"/>
      <c r="D87" s="99">
        <v>10</v>
      </c>
      <c r="E87" s="40" t="s">
        <v>177</v>
      </c>
      <c r="F87" s="41">
        <f t="shared" si="14"/>
        <v>8</v>
      </c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>
        <v>1</v>
      </c>
      <c r="U87" s="202">
        <v>1</v>
      </c>
      <c r="V87" s="202"/>
      <c r="W87" s="202">
        <v>1</v>
      </c>
      <c r="X87" s="202">
        <v>1</v>
      </c>
      <c r="Y87" s="202">
        <v>1</v>
      </c>
      <c r="Z87" s="202">
        <v>1</v>
      </c>
      <c r="AA87" s="202">
        <v>1</v>
      </c>
      <c r="AB87" s="202">
        <v>1</v>
      </c>
      <c r="AC87" s="202"/>
      <c r="AD87" s="202"/>
      <c r="AE87" s="41">
        <f t="shared" si="13"/>
        <v>8</v>
      </c>
      <c r="AF87" s="116" t="s">
        <v>562</v>
      </c>
      <c r="AG87" s="546" t="s">
        <v>479</v>
      </c>
      <c r="AH87" s="542"/>
      <c r="AI87" s="189" t="s">
        <v>444</v>
      </c>
    </row>
    <row r="88" spans="1:35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4"/>
        <v>11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>
        <v>1</v>
      </c>
      <c r="AA88" s="202">
        <v>1</v>
      </c>
      <c r="AB88" s="202">
        <v>1</v>
      </c>
      <c r="AC88" s="202">
        <v>1</v>
      </c>
      <c r="AD88" s="202">
        <v>1</v>
      </c>
      <c r="AE88" s="41">
        <f t="shared" si="13"/>
        <v>11</v>
      </c>
      <c r="AF88" s="116" t="s">
        <v>432</v>
      </c>
      <c r="AG88" s="546" t="s">
        <v>479</v>
      </c>
      <c r="AH88" s="542"/>
      <c r="AI88" s="189" t="s">
        <v>444</v>
      </c>
    </row>
    <row r="89" spans="1:35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4"/>
        <v>9</v>
      </c>
      <c r="G89" s="202"/>
      <c r="H89" s="202"/>
      <c r="I89" s="202"/>
      <c r="J89" s="202"/>
      <c r="K89" s="202"/>
      <c r="L89" s="202"/>
      <c r="M89" s="202">
        <v>1</v>
      </c>
      <c r="N89" s="202">
        <v>1</v>
      </c>
      <c r="O89" s="202">
        <v>1</v>
      </c>
      <c r="P89" s="202">
        <v>1</v>
      </c>
      <c r="Q89" s="202">
        <v>1</v>
      </c>
      <c r="R89" s="202">
        <v>1</v>
      </c>
      <c r="S89" s="202"/>
      <c r="T89" s="202">
        <v>1</v>
      </c>
      <c r="U89" s="202">
        <v>1</v>
      </c>
      <c r="V89" s="202">
        <v>1</v>
      </c>
      <c r="W89" s="202"/>
      <c r="X89" s="202"/>
      <c r="Y89" s="202"/>
      <c r="Z89" s="202"/>
      <c r="AA89" s="202"/>
      <c r="AB89" s="202"/>
      <c r="AC89" s="202"/>
      <c r="AD89" s="202"/>
      <c r="AE89" s="41">
        <f t="shared" si="13"/>
        <v>9</v>
      </c>
      <c r="AF89" s="116" t="s">
        <v>224</v>
      </c>
      <c r="AG89" s="546" t="s">
        <v>479</v>
      </c>
      <c r="AH89" s="542"/>
      <c r="AI89" s="189" t="s">
        <v>444</v>
      </c>
    </row>
    <row r="90" spans="1:35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4"/>
        <v>10</v>
      </c>
      <c r="G90" s="202"/>
      <c r="H90" s="202"/>
      <c r="I90" s="202"/>
      <c r="J90" s="202"/>
      <c r="K90" s="202"/>
      <c r="L90" s="202"/>
      <c r="M90" s="202"/>
      <c r="N90" s="202"/>
      <c r="O90" s="202">
        <v>1</v>
      </c>
      <c r="P90" s="202">
        <v>1</v>
      </c>
      <c r="Q90" s="202">
        <v>1</v>
      </c>
      <c r="R90" s="202">
        <v>1</v>
      </c>
      <c r="S90" s="202">
        <v>1</v>
      </c>
      <c r="T90" s="202"/>
      <c r="U90" s="202">
        <v>1</v>
      </c>
      <c r="V90" s="202">
        <v>1</v>
      </c>
      <c r="W90" s="202">
        <v>1</v>
      </c>
      <c r="X90" s="202">
        <v>1</v>
      </c>
      <c r="Y90" s="202">
        <v>1</v>
      </c>
      <c r="Z90" s="202"/>
      <c r="AA90" s="202"/>
      <c r="AB90" s="202"/>
      <c r="AC90" s="202"/>
      <c r="AD90" s="202"/>
      <c r="AE90" s="41">
        <f t="shared" si="13"/>
        <v>10</v>
      </c>
      <c r="AF90" s="116" t="s">
        <v>236</v>
      </c>
      <c r="AG90" s="546" t="s">
        <v>479</v>
      </c>
      <c r="AH90" s="542"/>
      <c r="AI90" s="189" t="s">
        <v>444</v>
      </c>
    </row>
    <row r="91" spans="1:35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4"/>
        <v>9</v>
      </c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>
        <v>1</v>
      </c>
      <c r="Z91" s="202">
        <v>1</v>
      </c>
      <c r="AA91" s="202">
        <v>1</v>
      </c>
      <c r="AB91" s="202">
        <v>1</v>
      </c>
      <c r="AC91" s="202"/>
      <c r="AD91" s="202"/>
      <c r="AE91" s="41">
        <f t="shared" si="13"/>
        <v>9</v>
      </c>
      <c r="AF91" s="116" t="s">
        <v>255</v>
      </c>
      <c r="AG91" s="546" t="s">
        <v>479</v>
      </c>
      <c r="AH91" s="542"/>
      <c r="AI91" s="189" t="s">
        <v>444</v>
      </c>
    </row>
    <row r="92" spans="1:35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4"/>
        <v>8</v>
      </c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>
        <v>1</v>
      </c>
      <c r="V92" s="202">
        <v>1</v>
      </c>
      <c r="W92" s="202">
        <v>1</v>
      </c>
      <c r="X92" s="202">
        <v>1</v>
      </c>
      <c r="Y92" s="202">
        <v>1</v>
      </c>
      <c r="Z92" s="202">
        <v>1</v>
      </c>
      <c r="AA92" s="202">
        <v>1</v>
      </c>
      <c r="AB92" s="202">
        <v>1</v>
      </c>
      <c r="AC92" s="202"/>
      <c r="AD92" s="202"/>
      <c r="AE92" s="41">
        <f t="shared" si="13"/>
        <v>8</v>
      </c>
      <c r="AF92" s="116" t="s">
        <v>78</v>
      </c>
      <c r="AG92" s="546" t="s">
        <v>479</v>
      </c>
      <c r="AH92" s="542"/>
      <c r="AI92" s="189" t="s">
        <v>444</v>
      </c>
    </row>
    <row r="93" spans="1:35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4"/>
        <v>12</v>
      </c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>
        <v>1</v>
      </c>
      <c r="R93" s="202">
        <v>1</v>
      </c>
      <c r="S93" s="202">
        <v>1</v>
      </c>
      <c r="T93" s="202">
        <v>1</v>
      </c>
      <c r="U93" s="202">
        <v>1</v>
      </c>
      <c r="V93" s="202">
        <v>1</v>
      </c>
      <c r="W93" s="202">
        <v>1</v>
      </c>
      <c r="X93" s="202">
        <v>1</v>
      </c>
      <c r="Y93" s="202">
        <v>1</v>
      </c>
      <c r="Z93" s="202">
        <v>1</v>
      </c>
      <c r="AA93" s="202">
        <v>1</v>
      </c>
      <c r="AB93" s="202">
        <v>1</v>
      </c>
      <c r="AC93" s="202"/>
      <c r="AD93" s="202"/>
      <c r="AE93" s="41">
        <f t="shared" si="13"/>
        <v>12</v>
      </c>
      <c r="AF93" s="116" t="s">
        <v>96</v>
      </c>
      <c r="AG93" s="546" t="s">
        <v>479</v>
      </c>
      <c r="AH93" s="542"/>
      <c r="AI93" s="189" t="s">
        <v>444</v>
      </c>
    </row>
    <row r="94" spans="1:35" ht="14.25" customHeight="1">
      <c r="A94" s="38" t="s">
        <v>145</v>
      </c>
      <c r="B94" s="38" t="s">
        <v>472</v>
      </c>
      <c r="C94" s="38"/>
      <c r="D94" s="39">
        <v>17</v>
      </c>
      <c r="E94" s="40" t="s">
        <v>184</v>
      </c>
      <c r="F94" s="41">
        <f t="shared" si="14"/>
        <v>10</v>
      </c>
      <c r="G94" s="202"/>
      <c r="H94" s="202"/>
      <c r="I94" s="202"/>
      <c r="J94" s="202"/>
      <c r="K94" s="202"/>
      <c r="L94" s="202"/>
      <c r="M94" s="202">
        <v>1</v>
      </c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202"/>
      <c r="X94" s="202"/>
      <c r="Y94" s="202"/>
      <c r="Z94" s="202"/>
      <c r="AA94" s="202"/>
      <c r="AB94" s="202"/>
      <c r="AC94" s="202"/>
      <c r="AD94" s="202"/>
      <c r="AE94" s="41">
        <f t="shared" si="13"/>
        <v>10</v>
      </c>
      <c r="AF94" s="116" t="s">
        <v>151</v>
      </c>
      <c r="AG94" s="546" t="s">
        <v>479</v>
      </c>
      <c r="AH94" s="542"/>
      <c r="AI94" s="189" t="s">
        <v>444</v>
      </c>
    </row>
    <row r="95" spans="1:35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  <c r="AH95" s="3"/>
      <c r="AI95" s="3"/>
    </row>
    <row r="96" spans="1:3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</sheetData>
  <customSheetViews>
    <customSheetView guid="{833D6734-F5E1-4449-B5A1-8C3A51A61651}" filter="1" showAutoFilter="1">
      <pageMargins left="0.7" right="0.7" top="0.75" bottom="0.75" header="0.3" footer="0.3"/>
      <autoFilter ref="A7:AI96" xr:uid="{37FAA667-C95A-4B0D-8032-F7D9BD6A5C78}">
        <filterColumn colId="26">
          <filters>
            <filter val="-"/>
            <filter val="1"/>
            <filter val="6"/>
            <filter val="8"/>
            <filter val="MONITOREOS"/>
            <filter val="S"/>
            <filter val="VIP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I96" xr:uid="{FBA1419B-7F5D-4206-A4C3-59AEB9A1B2E4}"/>
    </customSheetView>
    <customSheetView guid="{49BA5E93-E473-4F11-BE7E-FD55CB28D969}" filter="1" showAutoFilter="1">
      <pageMargins left="0.7" right="0.7" top="0.75" bottom="0.75" header="0.3" footer="0.3"/>
      <autoFilter ref="G5:AD96" xr:uid="{44FCD59C-6344-46F0-87E0-B551EF7645A1}">
        <filterColumn colId="15">
          <filters>
            <filter val="-"/>
            <filter val="1"/>
            <filter val="10"/>
            <filter val="12"/>
            <filter val="21"/>
            <filter val="BASE MIGRACION"/>
            <filter val="C"/>
            <filter val="DTH"/>
            <filter val="MONITOREOS"/>
            <filter val="SEGUIMIENTO TRANSFERENCIAS"/>
            <filter val="VIP"/>
          </filters>
        </filterColumn>
      </autoFilter>
    </customSheetView>
  </customSheetViews>
  <mergeCells count="79">
    <mergeCell ref="N47:U47"/>
    <mergeCell ref="V48:AC48"/>
    <mergeCell ref="O49:Z49"/>
    <mergeCell ref="E55:F55"/>
    <mergeCell ref="E74:F74"/>
    <mergeCell ref="AG21:AH21"/>
    <mergeCell ref="AG29:AH29"/>
    <mergeCell ref="V30:AC30"/>
    <mergeCell ref="V31:AC31"/>
    <mergeCell ref="V33:AC33"/>
    <mergeCell ref="AG22:AH22"/>
    <mergeCell ref="AG23:AH23"/>
    <mergeCell ref="AG24:AH24"/>
    <mergeCell ref="AG25:AH25"/>
    <mergeCell ref="AG26:AH26"/>
    <mergeCell ref="AG27:AH27"/>
    <mergeCell ref="AG28:AH28"/>
    <mergeCell ref="AG32:AH32"/>
    <mergeCell ref="P17:Z17"/>
    <mergeCell ref="AG17:AH17"/>
    <mergeCell ref="AG18:AH18"/>
    <mergeCell ref="AG19:AH19"/>
    <mergeCell ref="AG20:AH20"/>
    <mergeCell ref="AG12:AH12"/>
    <mergeCell ref="AG13:AH13"/>
    <mergeCell ref="AG14:AH14"/>
    <mergeCell ref="AG15:AH15"/>
    <mergeCell ref="AG16:AH16"/>
    <mergeCell ref="AG8:AH8"/>
    <mergeCell ref="AG9:AH9"/>
    <mergeCell ref="AG10:AH10"/>
    <mergeCell ref="O11:X11"/>
    <mergeCell ref="AG11:AH11"/>
    <mergeCell ref="A1:B1"/>
    <mergeCell ref="D3:AE3"/>
    <mergeCell ref="E4:F4"/>
    <mergeCell ref="E5:F5"/>
    <mergeCell ref="AG7:AH7"/>
    <mergeCell ref="AG92:AH92"/>
    <mergeCell ref="AG93:AH93"/>
    <mergeCell ref="AG94:AH94"/>
    <mergeCell ref="AG83:AH83"/>
    <mergeCell ref="AG84:AH84"/>
    <mergeCell ref="AG85:AH85"/>
    <mergeCell ref="AG86:AH86"/>
    <mergeCell ref="AG87:AH87"/>
    <mergeCell ref="AG88:AH88"/>
    <mergeCell ref="AG89:AH89"/>
    <mergeCell ref="AG80:AH80"/>
    <mergeCell ref="AG81:AH81"/>
    <mergeCell ref="AG82:AH82"/>
    <mergeCell ref="AG90:AH90"/>
    <mergeCell ref="AG91:AH91"/>
    <mergeCell ref="AG66:AH66"/>
    <mergeCell ref="AG67:AH67"/>
    <mergeCell ref="AG68:AH68"/>
    <mergeCell ref="AG78:AH78"/>
    <mergeCell ref="AG79:AH79"/>
    <mergeCell ref="AG61:AH61"/>
    <mergeCell ref="AG62:AH62"/>
    <mergeCell ref="AG63:AH63"/>
    <mergeCell ref="AG64:AH64"/>
    <mergeCell ref="AG65:AH65"/>
    <mergeCell ref="AG44:AH44"/>
    <mergeCell ref="AG45:AH45"/>
    <mergeCell ref="AG46:AH46"/>
    <mergeCell ref="AG60:AH60"/>
    <mergeCell ref="AG49:AH49"/>
    <mergeCell ref="AG59:AH59"/>
    <mergeCell ref="AG39:AH39"/>
    <mergeCell ref="AG40:AH40"/>
    <mergeCell ref="AG41:AH41"/>
    <mergeCell ref="AG42:AH42"/>
    <mergeCell ref="AG43:AH43"/>
    <mergeCell ref="AG34:AH34"/>
    <mergeCell ref="AG35:AH35"/>
    <mergeCell ref="AG36:AH36"/>
    <mergeCell ref="AG37:AH37"/>
    <mergeCell ref="AG38:AH38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I96"/>
  <sheetViews>
    <sheetView showGridLines="0" workbookViewId="0"/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39.85546875" customWidth="1"/>
    <col min="33" max="33" width="14.5703125" customWidth="1"/>
    <col min="34" max="34" width="16.7109375" customWidth="1"/>
    <col min="35" max="35" width="27.7109375" customWidth="1"/>
  </cols>
  <sheetData>
    <row r="1" spans="1:35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7.25">
      <c r="A3" s="6" t="s">
        <v>3</v>
      </c>
      <c r="B3" s="7" t="s">
        <v>4</v>
      </c>
      <c r="C3" s="2"/>
      <c r="D3" s="565" t="s">
        <v>219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32</v>
      </c>
      <c r="AG3" s="3"/>
      <c r="AH3" s="3"/>
      <c r="AI3" s="3">
        <f>AE4/10</f>
        <v>32.299999999999997</v>
      </c>
    </row>
    <row r="4" spans="1:35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4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13</v>
      </c>
      <c r="N4" s="204">
        <v>14</v>
      </c>
      <c r="O4" s="204">
        <v>23</v>
      </c>
      <c r="P4" s="204">
        <v>17</v>
      </c>
      <c r="Q4" s="204">
        <v>21</v>
      </c>
      <c r="R4" s="204">
        <v>20</v>
      </c>
      <c r="S4" s="204">
        <v>20</v>
      </c>
      <c r="T4" s="204">
        <v>19</v>
      </c>
      <c r="U4" s="204">
        <v>19</v>
      </c>
      <c r="V4" s="204">
        <v>18</v>
      </c>
      <c r="W4" s="204">
        <v>18</v>
      </c>
      <c r="X4" s="204">
        <v>17</v>
      </c>
      <c r="Y4" s="204">
        <v>16</v>
      </c>
      <c r="Z4" s="204">
        <v>22</v>
      </c>
      <c r="AA4" s="204">
        <v>21</v>
      </c>
      <c r="AB4" s="204">
        <v>15</v>
      </c>
      <c r="AC4" s="204">
        <v>7</v>
      </c>
      <c r="AD4" s="204">
        <v>4</v>
      </c>
      <c r="AE4" s="18">
        <f>SUM(G4:AD4)</f>
        <v>323</v>
      </c>
      <c r="AF4" s="3"/>
      <c r="AG4" s="3"/>
      <c r="AH4" s="3"/>
      <c r="AI4" s="3"/>
    </row>
    <row r="5" spans="1:35" ht="62.25">
      <c r="A5" s="3"/>
      <c r="B5" s="2"/>
      <c r="C5" s="2"/>
      <c r="D5" s="19"/>
      <c r="E5" s="569">
        <v>27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</row>
    <row r="6" spans="1:35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05">
        <f t="shared" si="0"/>
        <v>-2</v>
      </c>
      <c r="N6" s="205">
        <f t="shared" si="0"/>
        <v>-2</v>
      </c>
      <c r="O6" s="205">
        <f t="shared" si="0"/>
        <v>-3</v>
      </c>
      <c r="P6" s="28">
        <f t="shared" si="0"/>
        <v>0</v>
      </c>
      <c r="Q6" s="205">
        <f t="shared" si="0"/>
        <v>0</v>
      </c>
      <c r="R6" s="205">
        <f t="shared" si="0"/>
        <v>0</v>
      </c>
      <c r="S6" s="205">
        <f t="shared" si="0"/>
        <v>0</v>
      </c>
      <c r="T6" s="205">
        <f t="shared" si="0"/>
        <v>0</v>
      </c>
      <c r="U6" s="205">
        <f t="shared" si="0"/>
        <v>0</v>
      </c>
      <c r="V6" s="205">
        <f t="shared" si="0"/>
        <v>0</v>
      </c>
      <c r="W6" s="205">
        <f t="shared" si="0"/>
        <v>0</v>
      </c>
      <c r="X6" s="28">
        <f t="shared" si="0"/>
        <v>0</v>
      </c>
      <c r="Y6" s="28">
        <f t="shared" si="0"/>
        <v>0</v>
      </c>
      <c r="Z6" s="205">
        <f t="shared" si="0"/>
        <v>0</v>
      </c>
      <c r="AA6" s="205">
        <f t="shared" si="0"/>
        <v>0</v>
      </c>
      <c r="AB6" s="205">
        <f t="shared" si="0"/>
        <v>0</v>
      </c>
      <c r="AC6" s="205">
        <f t="shared" si="0"/>
        <v>0</v>
      </c>
      <c r="AD6" s="205">
        <f t="shared" si="0"/>
        <v>0</v>
      </c>
      <c r="AE6" s="29">
        <f t="shared" ref="AE6:AE10" si="1">SUM(G6:AD6)</f>
        <v>-7</v>
      </c>
      <c r="AG6" s="24"/>
      <c r="AH6" s="24"/>
      <c r="AI6" s="24"/>
    </row>
    <row r="7" spans="1:35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11</v>
      </c>
      <c r="N7" s="172">
        <f t="shared" si="2"/>
        <v>12</v>
      </c>
      <c r="O7" s="172">
        <f t="shared" si="2"/>
        <v>20</v>
      </c>
      <c r="P7" s="172">
        <f t="shared" si="2"/>
        <v>17</v>
      </c>
      <c r="Q7" s="172">
        <f t="shared" si="2"/>
        <v>21</v>
      </c>
      <c r="R7" s="172">
        <f t="shared" si="2"/>
        <v>20</v>
      </c>
      <c r="S7" s="172">
        <f t="shared" si="2"/>
        <v>20</v>
      </c>
      <c r="T7" s="172">
        <f t="shared" si="2"/>
        <v>19</v>
      </c>
      <c r="U7" s="172">
        <f t="shared" si="2"/>
        <v>19</v>
      </c>
      <c r="V7" s="172">
        <f t="shared" si="2"/>
        <v>18</v>
      </c>
      <c r="W7" s="172">
        <f t="shared" si="2"/>
        <v>18</v>
      </c>
      <c r="X7" s="172">
        <f t="shared" si="2"/>
        <v>17</v>
      </c>
      <c r="Y7" s="172">
        <f t="shared" si="2"/>
        <v>16</v>
      </c>
      <c r="Z7" s="172">
        <f t="shared" si="2"/>
        <v>22</v>
      </c>
      <c r="AA7" s="172">
        <f t="shared" si="2"/>
        <v>21</v>
      </c>
      <c r="AB7" s="172">
        <f t="shared" si="2"/>
        <v>15</v>
      </c>
      <c r="AC7" s="172">
        <f t="shared" si="2"/>
        <v>7</v>
      </c>
      <c r="AD7" s="172">
        <f t="shared" si="2"/>
        <v>4</v>
      </c>
      <c r="AE7" s="168">
        <f t="shared" si="1"/>
        <v>316</v>
      </c>
      <c r="AF7" s="36" t="s">
        <v>39</v>
      </c>
      <c r="AG7" s="571" t="s">
        <v>440</v>
      </c>
      <c r="AH7" s="572"/>
      <c r="AI7" s="37" t="s">
        <v>40</v>
      </c>
    </row>
    <row r="8" spans="1:35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49" si="3">SUM(G8:AD8)</f>
        <v>13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>
        <v>1</v>
      </c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13</v>
      </c>
      <c r="AF8" s="116" t="s">
        <v>732</v>
      </c>
      <c r="AG8" s="550" t="s">
        <v>41</v>
      </c>
      <c r="AH8" s="542"/>
      <c r="AI8" s="189" t="s">
        <v>444</v>
      </c>
    </row>
    <row r="9" spans="1:35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13</v>
      </c>
      <c r="G9" s="176"/>
      <c r="H9" s="176"/>
      <c r="I9" s="176"/>
      <c r="J9" s="176"/>
      <c r="K9" s="176"/>
      <c r="L9" s="176"/>
      <c r="M9" s="176"/>
      <c r="N9" s="176">
        <v>1</v>
      </c>
      <c r="O9" s="176">
        <v>1</v>
      </c>
      <c r="P9" s="176"/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>
        <v>1</v>
      </c>
      <c r="Y9" s="176">
        <v>1</v>
      </c>
      <c r="Z9" s="176">
        <v>1</v>
      </c>
      <c r="AA9" s="176">
        <v>1</v>
      </c>
      <c r="AB9" s="176"/>
      <c r="AC9" s="176"/>
      <c r="AD9" s="176"/>
      <c r="AE9" s="41">
        <f t="shared" si="1"/>
        <v>13</v>
      </c>
      <c r="AF9" s="116" t="s">
        <v>733</v>
      </c>
      <c r="AG9" s="550" t="s">
        <v>41</v>
      </c>
      <c r="AH9" s="542"/>
      <c r="AI9" s="189" t="s">
        <v>444</v>
      </c>
    </row>
    <row r="10" spans="1:35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6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41">
        <f t="shared" si="1"/>
        <v>6</v>
      </c>
      <c r="AF10" s="116" t="s">
        <v>227</v>
      </c>
      <c r="AG10" s="550" t="s">
        <v>41</v>
      </c>
      <c r="AH10" s="542"/>
      <c r="AI10" s="189" t="s">
        <v>444</v>
      </c>
    </row>
    <row r="11" spans="1:35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3</v>
      </c>
      <c r="G11" s="176"/>
      <c r="H11" s="176"/>
      <c r="I11" s="176"/>
      <c r="J11" s="176"/>
      <c r="K11" s="176"/>
      <c r="L11" s="176"/>
      <c r="M11" s="176">
        <v>1</v>
      </c>
      <c r="N11" s="176">
        <v>1</v>
      </c>
      <c r="O11" s="176">
        <v>1</v>
      </c>
      <c r="P11" s="343"/>
      <c r="Q11" s="343"/>
      <c r="R11" s="343"/>
      <c r="S11" s="343"/>
      <c r="T11" s="343"/>
      <c r="U11" s="343"/>
      <c r="V11" s="343"/>
      <c r="W11" s="343"/>
      <c r="X11" s="344"/>
      <c r="Y11" s="176"/>
      <c r="Z11" s="176"/>
      <c r="AA11" s="176"/>
      <c r="AB11" s="176"/>
      <c r="AC11" s="176"/>
      <c r="AD11" s="176"/>
      <c r="AE11" s="41">
        <v>12</v>
      </c>
      <c r="AF11" s="116" t="s">
        <v>84</v>
      </c>
      <c r="AG11" s="176" t="s">
        <v>41</v>
      </c>
      <c r="AH11" s="335" t="s">
        <v>717</v>
      </c>
      <c r="AI11" s="178" t="s">
        <v>444</v>
      </c>
    </row>
    <row r="12" spans="1:35" ht="14.25" customHeight="1">
      <c r="A12" s="38" t="s">
        <v>41</v>
      </c>
      <c r="B12" s="38" t="s">
        <v>59</v>
      </c>
      <c r="C12" s="38"/>
      <c r="D12" s="99">
        <v>6</v>
      </c>
      <c r="E12" s="207" t="s">
        <v>60</v>
      </c>
      <c r="F12" s="41">
        <f t="shared" si="3"/>
        <v>10</v>
      </c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>
        <v>1</v>
      </c>
      <c r="T12" s="176">
        <v>1</v>
      </c>
      <c r="U12" s="176">
        <v>1</v>
      </c>
      <c r="V12" s="176">
        <v>1</v>
      </c>
      <c r="W12" s="176">
        <v>1</v>
      </c>
      <c r="X12" s="176">
        <v>1</v>
      </c>
      <c r="Y12" s="176"/>
      <c r="Z12" s="176">
        <v>1</v>
      </c>
      <c r="AA12" s="176">
        <v>1</v>
      </c>
      <c r="AB12" s="176">
        <v>1</v>
      </c>
      <c r="AC12" s="176">
        <v>1</v>
      </c>
      <c r="AD12" s="176"/>
      <c r="AE12" s="41">
        <f t="shared" ref="AE12:AE16" si="4">SUM(G12:AD12)</f>
        <v>10</v>
      </c>
      <c r="AF12" s="116" t="s">
        <v>734</v>
      </c>
      <c r="AG12" s="550" t="s">
        <v>41</v>
      </c>
      <c r="AH12" s="542"/>
      <c r="AI12" s="189" t="s">
        <v>444</v>
      </c>
    </row>
    <row r="13" spans="1:35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0</v>
      </c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41">
        <f t="shared" si="4"/>
        <v>0</v>
      </c>
      <c r="AF13" s="116" t="s">
        <v>382</v>
      </c>
      <c r="AG13" s="550" t="s">
        <v>41</v>
      </c>
      <c r="AH13" s="542"/>
      <c r="AI13" s="189" t="s">
        <v>444</v>
      </c>
    </row>
    <row r="14" spans="1:35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8</v>
      </c>
      <c r="G14" s="176"/>
      <c r="H14" s="176"/>
      <c r="I14" s="176"/>
      <c r="J14" s="176"/>
      <c r="K14" s="176"/>
      <c r="L14" s="176"/>
      <c r="M14" s="176">
        <v>1</v>
      </c>
      <c r="N14" s="176">
        <v>1</v>
      </c>
      <c r="O14" s="176">
        <v>1</v>
      </c>
      <c r="P14" s="176">
        <v>1</v>
      </c>
      <c r="Q14" s="176">
        <v>1</v>
      </c>
      <c r="R14" s="176">
        <v>1</v>
      </c>
      <c r="S14" s="176">
        <v>1</v>
      </c>
      <c r="T14" s="176">
        <v>1</v>
      </c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41">
        <f t="shared" si="4"/>
        <v>8</v>
      </c>
      <c r="AF14" s="116" t="s">
        <v>252</v>
      </c>
      <c r="AG14" s="550" t="s">
        <v>41</v>
      </c>
      <c r="AH14" s="542"/>
      <c r="AI14" s="189" t="s">
        <v>444</v>
      </c>
    </row>
    <row r="15" spans="1:35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6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>
        <v>1</v>
      </c>
      <c r="Z15" s="176">
        <v>1</v>
      </c>
      <c r="AA15" s="176">
        <v>1</v>
      </c>
      <c r="AB15" s="176">
        <v>1</v>
      </c>
      <c r="AC15" s="176">
        <v>1</v>
      </c>
      <c r="AD15" s="176">
        <v>1</v>
      </c>
      <c r="AE15" s="41">
        <f t="shared" si="4"/>
        <v>6</v>
      </c>
      <c r="AF15" s="116" t="s">
        <v>281</v>
      </c>
      <c r="AG15" s="550" t="s">
        <v>41</v>
      </c>
      <c r="AH15" s="542"/>
      <c r="AI15" s="189" t="s">
        <v>444</v>
      </c>
    </row>
    <row r="16" spans="1:35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10</v>
      </c>
      <c r="G16" s="176"/>
      <c r="H16" s="176"/>
      <c r="I16" s="176"/>
      <c r="J16" s="176"/>
      <c r="K16" s="176"/>
      <c r="L16" s="176"/>
      <c r="M16" s="176">
        <v>1</v>
      </c>
      <c r="N16" s="176">
        <v>1</v>
      </c>
      <c r="O16" s="176">
        <v>1</v>
      </c>
      <c r="P16" s="295">
        <v>1</v>
      </c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/>
      <c r="X16" s="176"/>
      <c r="Y16" s="176"/>
      <c r="Z16" s="176"/>
      <c r="AA16" s="176"/>
      <c r="AB16" s="176"/>
      <c r="AC16" s="176"/>
      <c r="AD16" s="176"/>
      <c r="AE16" s="41">
        <f t="shared" si="4"/>
        <v>10</v>
      </c>
      <c r="AF16" s="116" t="s">
        <v>151</v>
      </c>
      <c r="AG16" s="550" t="s">
        <v>41</v>
      </c>
      <c r="AH16" s="542"/>
      <c r="AI16" s="189" t="s">
        <v>444</v>
      </c>
    </row>
    <row r="17" spans="1:35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f t="shared" si="3"/>
        <v>2</v>
      </c>
      <c r="G17" s="42"/>
      <c r="H17" s="77"/>
      <c r="I17" s="77"/>
      <c r="J17" s="77"/>
      <c r="K17" s="77"/>
      <c r="L17" s="77"/>
      <c r="M17" s="77"/>
      <c r="N17" s="176">
        <v>1</v>
      </c>
      <c r="O17" s="216">
        <v>1</v>
      </c>
      <c r="P17" s="579" t="s">
        <v>471</v>
      </c>
      <c r="Q17" s="555"/>
      <c r="R17" s="555"/>
      <c r="S17" s="555"/>
      <c r="T17" s="555"/>
      <c r="U17" s="555"/>
      <c r="V17" s="555"/>
      <c r="W17" s="555"/>
      <c r="X17" s="555"/>
      <c r="Y17" s="555"/>
      <c r="Z17" s="542"/>
      <c r="AA17" s="176"/>
      <c r="AB17" s="176"/>
      <c r="AC17" s="176"/>
      <c r="AD17" s="176"/>
      <c r="AE17" s="41">
        <v>13</v>
      </c>
      <c r="AF17" s="116" t="s">
        <v>735</v>
      </c>
      <c r="AG17" s="176" t="s">
        <v>41</v>
      </c>
      <c r="AH17" s="186" t="s">
        <v>471</v>
      </c>
      <c r="AI17" s="189" t="s">
        <v>444</v>
      </c>
    </row>
    <row r="18" spans="1:35" ht="14.25" customHeight="1">
      <c r="A18" s="76" t="s">
        <v>41</v>
      </c>
      <c r="B18" s="76" t="s">
        <v>198</v>
      </c>
      <c r="C18" s="76"/>
      <c r="D18" s="39">
        <v>17</v>
      </c>
      <c r="E18" s="175" t="s">
        <v>99</v>
      </c>
      <c r="F18" s="41">
        <f t="shared" si="3"/>
        <v>0</v>
      </c>
      <c r="G18" s="176">
        <v>0</v>
      </c>
      <c r="H18" s="176">
        <v>0</v>
      </c>
      <c r="I18" s="176">
        <v>0</v>
      </c>
      <c r="J18" s="176">
        <v>0</v>
      </c>
      <c r="K18" s="176">
        <v>0</v>
      </c>
      <c r="L18" s="176">
        <v>0</v>
      </c>
      <c r="M18" s="176">
        <v>0</v>
      </c>
      <c r="N18" s="176">
        <v>0</v>
      </c>
      <c r="O18" s="176">
        <v>0</v>
      </c>
      <c r="P18" s="176">
        <v>0</v>
      </c>
      <c r="Q18" s="176">
        <v>0</v>
      </c>
      <c r="R18" s="176">
        <v>0</v>
      </c>
      <c r="S18" s="176">
        <v>0</v>
      </c>
      <c r="T18" s="176">
        <v>0</v>
      </c>
      <c r="U18" s="176">
        <v>0</v>
      </c>
      <c r="V18" s="176">
        <v>0</v>
      </c>
      <c r="W18" s="176">
        <v>0</v>
      </c>
      <c r="X18" s="176">
        <v>0</v>
      </c>
      <c r="Y18" s="176">
        <v>0</v>
      </c>
      <c r="Z18" s="176">
        <v>0</v>
      </c>
      <c r="AA18" s="176">
        <v>0</v>
      </c>
      <c r="AB18" s="176">
        <v>0</v>
      </c>
      <c r="AC18" s="176">
        <v>0</v>
      </c>
      <c r="AD18" s="176">
        <v>0</v>
      </c>
      <c r="AE18" s="41">
        <f t="shared" ref="AE18:AE26" si="5">SUM(G18:AD18)</f>
        <v>0</v>
      </c>
      <c r="AF18" s="116" t="s">
        <v>225</v>
      </c>
      <c r="AG18" s="550" t="s">
        <v>41</v>
      </c>
      <c r="AH18" s="542"/>
      <c r="AI18" s="189" t="s">
        <v>444</v>
      </c>
    </row>
    <row r="19" spans="1:35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211" t="s">
        <v>102</v>
      </c>
      <c r="F19" s="41">
        <f t="shared" si="3"/>
        <v>8</v>
      </c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>
        <v>1</v>
      </c>
      <c r="V19" s="176">
        <v>1</v>
      </c>
      <c r="W19" s="176">
        <v>1</v>
      </c>
      <c r="X19" s="176"/>
      <c r="Y19" s="176">
        <v>1</v>
      </c>
      <c r="Z19" s="176">
        <v>1</v>
      </c>
      <c r="AA19" s="176">
        <v>1</v>
      </c>
      <c r="AB19" s="176">
        <v>1</v>
      </c>
      <c r="AC19" s="176">
        <v>1</v>
      </c>
      <c r="AD19" s="176"/>
      <c r="AE19" s="41">
        <f t="shared" si="5"/>
        <v>8</v>
      </c>
      <c r="AF19" s="116" t="s">
        <v>736</v>
      </c>
      <c r="AG19" s="550" t="s">
        <v>41</v>
      </c>
      <c r="AH19" s="542"/>
      <c r="AI19" s="189" t="s">
        <v>444</v>
      </c>
    </row>
    <row r="20" spans="1:35" ht="14.25" customHeight="1">
      <c r="A20" s="38" t="s">
        <v>41</v>
      </c>
      <c r="B20" s="38" t="s">
        <v>103</v>
      </c>
      <c r="C20" s="38"/>
      <c r="D20" s="86">
        <v>19</v>
      </c>
      <c r="E20" s="207" t="s">
        <v>104</v>
      </c>
      <c r="F20" s="41">
        <f t="shared" si="3"/>
        <v>13</v>
      </c>
      <c r="G20" s="77"/>
      <c r="H20" s="77"/>
      <c r="I20" s="77"/>
      <c r="J20" s="77"/>
      <c r="K20" s="77"/>
      <c r="L20" s="77"/>
      <c r="M20" s="176"/>
      <c r="N20" s="176"/>
      <c r="O20" s="176">
        <v>1</v>
      </c>
      <c r="P20" s="176">
        <v>1</v>
      </c>
      <c r="Q20" s="176">
        <v>1</v>
      </c>
      <c r="R20" s="176">
        <v>1</v>
      </c>
      <c r="S20" s="176">
        <v>1</v>
      </c>
      <c r="T20" s="176"/>
      <c r="U20" s="176">
        <v>1</v>
      </c>
      <c r="V20" s="176">
        <v>1</v>
      </c>
      <c r="W20" s="176">
        <v>1</v>
      </c>
      <c r="X20" s="176">
        <v>1</v>
      </c>
      <c r="Y20" s="176">
        <v>1</v>
      </c>
      <c r="Z20" s="176">
        <v>1</v>
      </c>
      <c r="AA20" s="176">
        <v>1</v>
      </c>
      <c r="AB20" s="176">
        <v>1</v>
      </c>
      <c r="AC20" s="77"/>
      <c r="AD20" s="77"/>
      <c r="AE20" s="41">
        <f t="shared" si="5"/>
        <v>13</v>
      </c>
      <c r="AF20" s="116" t="s">
        <v>719</v>
      </c>
      <c r="AG20" s="550" t="s">
        <v>41</v>
      </c>
      <c r="AH20" s="542"/>
      <c r="AI20" s="189" t="s">
        <v>444</v>
      </c>
    </row>
    <row r="21" spans="1:35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3"/>
        <v>6</v>
      </c>
      <c r="G21" s="176"/>
      <c r="H21" s="176"/>
      <c r="I21" s="176"/>
      <c r="J21" s="176"/>
      <c r="K21" s="176"/>
      <c r="L21" s="176"/>
      <c r="M21" s="176">
        <v>1</v>
      </c>
      <c r="N21" s="176">
        <v>1</v>
      </c>
      <c r="O21" s="176">
        <v>1</v>
      </c>
      <c r="P21" s="176">
        <v>1</v>
      </c>
      <c r="Q21" s="176">
        <v>1</v>
      </c>
      <c r="R21" s="176">
        <v>1</v>
      </c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41">
        <f t="shared" si="5"/>
        <v>6</v>
      </c>
      <c r="AF21" s="116" t="s">
        <v>227</v>
      </c>
      <c r="AG21" s="550" t="s">
        <v>41</v>
      </c>
      <c r="AH21" s="542"/>
      <c r="AI21" s="189" t="s">
        <v>444</v>
      </c>
    </row>
    <row r="22" spans="1:35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3"/>
        <v>13</v>
      </c>
      <c r="G22" s="176"/>
      <c r="H22" s="176"/>
      <c r="I22" s="176"/>
      <c r="J22" s="176"/>
      <c r="K22" s="176"/>
      <c r="L22" s="176"/>
      <c r="M22" s="176"/>
      <c r="N22" s="176"/>
      <c r="O22" s="176">
        <v>1</v>
      </c>
      <c r="P22" s="176">
        <v>1</v>
      </c>
      <c r="Q22" s="176">
        <v>1</v>
      </c>
      <c r="R22" s="176">
        <v>1</v>
      </c>
      <c r="S22" s="176">
        <v>1</v>
      </c>
      <c r="T22" s="176">
        <v>1</v>
      </c>
      <c r="U22" s="176">
        <v>1</v>
      </c>
      <c r="V22" s="176">
        <v>1</v>
      </c>
      <c r="W22" s="176">
        <v>1</v>
      </c>
      <c r="X22" s="176">
        <v>1</v>
      </c>
      <c r="Y22" s="176"/>
      <c r="Z22" s="176">
        <v>1</v>
      </c>
      <c r="AA22" s="176">
        <v>1</v>
      </c>
      <c r="AB22" s="176">
        <v>1</v>
      </c>
      <c r="AC22" s="176"/>
      <c r="AD22" s="176"/>
      <c r="AE22" s="41">
        <f t="shared" si="5"/>
        <v>13</v>
      </c>
      <c r="AF22" s="116" t="s">
        <v>737</v>
      </c>
      <c r="AG22" s="550" t="s">
        <v>41</v>
      </c>
      <c r="AH22" s="542"/>
      <c r="AI22" s="189" t="s">
        <v>444</v>
      </c>
    </row>
    <row r="23" spans="1:35" ht="14.25" customHeight="1">
      <c r="A23" s="98" t="s">
        <v>41</v>
      </c>
      <c r="B23" s="98" t="s">
        <v>111</v>
      </c>
      <c r="C23" s="98"/>
      <c r="D23" s="39">
        <v>23</v>
      </c>
      <c r="E23" s="208" t="s">
        <v>112</v>
      </c>
      <c r="F23" s="41">
        <f t="shared" si="3"/>
        <v>11</v>
      </c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>
        <v>1</v>
      </c>
      <c r="R23" s="176">
        <v>1</v>
      </c>
      <c r="S23" s="176">
        <v>1</v>
      </c>
      <c r="T23" s="176">
        <v>1</v>
      </c>
      <c r="U23" s="176"/>
      <c r="V23" s="176">
        <v>1</v>
      </c>
      <c r="W23" s="176">
        <v>1</v>
      </c>
      <c r="X23" s="176">
        <v>1</v>
      </c>
      <c r="Y23" s="176">
        <v>1</v>
      </c>
      <c r="Z23" s="176">
        <v>1</v>
      </c>
      <c r="AA23" s="176">
        <v>1</v>
      </c>
      <c r="AB23" s="176">
        <v>1</v>
      </c>
      <c r="AC23" s="176"/>
      <c r="AD23" s="176"/>
      <c r="AE23" s="41">
        <f t="shared" si="5"/>
        <v>11</v>
      </c>
      <c r="AF23" s="116" t="s">
        <v>294</v>
      </c>
      <c r="AG23" s="550" t="s">
        <v>41</v>
      </c>
      <c r="AH23" s="542"/>
      <c r="AI23" s="189" t="s">
        <v>444</v>
      </c>
    </row>
    <row r="24" spans="1:35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3"/>
        <v>12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>
        <v>1</v>
      </c>
      <c r="AA24" s="176">
        <v>1</v>
      </c>
      <c r="AB24" s="176">
        <v>1</v>
      </c>
      <c r="AC24" s="176">
        <v>1</v>
      </c>
      <c r="AD24" s="176">
        <v>1</v>
      </c>
      <c r="AE24" s="41">
        <f t="shared" si="5"/>
        <v>12</v>
      </c>
      <c r="AF24" s="116" t="s">
        <v>311</v>
      </c>
      <c r="AG24" s="550" t="s">
        <v>41</v>
      </c>
      <c r="AH24" s="542"/>
      <c r="AI24" s="189" t="s">
        <v>444</v>
      </c>
    </row>
    <row r="25" spans="1:35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3"/>
        <v>13</v>
      </c>
      <c r="G25" s="176"/>
      <c r="H25" s="176"/>
      <c r="I25" s="176"/>
      <c r="J25" s="176"/>
      <c r="K25" s="176"/>
      <c r="L25" s="176"/>
      <c r="M25" s="176">
        <v>1</v>
      </c>
      <c r="N25" s="176">
        <v>1</v>
      </c>
      <c r="O25" s="176">
        <v>1</v>
      </c>
      <c r="P25" s="176"/>
      <c r="Q25" s="176">
        <v>1</v>
      </c>
      <c r="R25" s="176">
        <v>1</v>
      </c>
      <c r="S25" s="176">
        <v>1</v>
      </c>
      <c r="T25" s="176">
        <v>1</v>
      </c>
      <c r="U25" s="176">
        <v>1</v>
      </c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/>
      <c r="AB25" s="176"/>
      <c r="AC25" s="176"/>
      <c r="AD25" s="176"/>
      <c r="AE25" s="41">
        <f t="shared" si="5"/>
        <v>13</v>
      </c>
      <c r="AF25" s="116" t="s">
        <v>738</v>
      </c>
      <c r="AG25" s="550" t="s">
        <v>41</v>
      </c>
      <c r="AH25" s="542"/>
      <c r="AI25" s="189" t="s">
        <v>444</v>
      </c>
    </row>
    <row r="26" spans="1:35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3"/>
        <v>10</v>
      </c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>
        <v>1</v>
      </c>
      <c r="T26" s="176">
        <v>1</v>
      </c>
      <c r="U26" s="176">
        <v>1</v>
      </c>
      <c r="V26" s="176">
        <v>1</v>
      </c>
      <c r="W26" s="176">
        <v>1</v>
      </c>
      <c r="X26" s="176">
        <v>1</v>
      </c>
      <c r="Y26" s="176">
        <v>1</v>
      </c>
      <c r="Z26" s="176">
        <v>1</v>
      </c>
      <c r="AA26" s="176">
        <v>1</v>
      </c>
      <c r="AB26" s="176">
        <v>1</v>
      </c>
      <c r="AC26" s="176"/>
      <c r="AD26" s="176"/>
      <c r="AE26" s="41">
        <f t="shared" si="5"/>
        <v>10</v>
      </c>
      <c r="AF26" s="116" t="s">
        <v>148</v>
      </c>
      <c r="AG26" s="550" t="s">
        <v>41</v>
      </c>
      <c r="AH26" s="542"/>
      <c r="AI26" s="189" t="s">
        <v>444</v>
      </c>
    </row>
    <row r="27" spans="1:35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3"/>
        <v>0</v>
      </c>
      <c r="G27" s="340"/>
      <c r="H27" s="340"/>
      <c r="I27" s="340" t="s">
        <v>350</v>
      </c>
      <c r="J27" s="340" t="s">
        <v>348</v>
      </c>
      <c r="K27" s="340" t="s">
        <v>528</v>
      </c>
      <c r="L27" s="340" t="s">
        <v>348</v>
      </c>
      <c r="M27" s="340" t="s">
        <v>199</v>
      </c>
      <c r="N27" s="340" t="s">
        <v>349</v>
      </c>
      <c r="O27" s="340" t="s">
        <v>200</v>
      </c>
      <c r="P27" s="342"/>
      <c r="Q27" s="340" t="s">
        <v>348</v>
      </c>
      <c r="R27" s="340" t="s">
        <v>528</v>
      </c>
      <c r="S27" s="340" t="s">
        <v>200</v>
      </c>
      <c r="T27" s="340" t="s">
        <v>199</v>
      </c>
      <c r="U27" s="340" t="s">
        <v>204</v>
      </c>
      <c r="V27" s="340" t="s">
        <v>47</v>
      </c>
      <c r="W27" s="340" t="s">
        <v>203</v>
      </c>
      <c r="X27" s="340" t="s">
        <v>348</v>
      </c>
      <c r="Y27" s="340" t="s">
        <v>201</v>
      </c>
      <c r="Z27" s="340" t="s">
        <v>200</v>
      </c>
      <c r="AA27" s="340" t="s">
        <v>350</v>
      </c>
      <c r="AB27" s="340"/>
      <c r="AC27" s="340"/>
      <c r="AD27" s="340"/>
      <c r="AE27" s="41">
        <v>9</v>
      </c>
      <c r="AF27" s="116" t="s">
        <v>193</v>
      </c>
      <c r="AG27" s="578" t="s">
        <v>470</v>
      </c>
      <c r="AH27" s="555"/>
      <c r="AI27" s="189" t="s">
        <v>444</v>
      </c>
    </row>
    <row r="28" spans="1:35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3"/>
        <v>9</v>
      </c>
      <c r="G28" s="176"/>
      <c r="H28" s="176"/>
      <c r="I28" s="176"/>
      <c r="J28" s="176"/>
      <c r="K28" s="176"/>
      <c r="L28" s="176"/>
      <c r="M28" s="176">
        <v>1</v>
      </c>
      <c r="N28" s="176">
        <v>1</v>
      </c>
      <c r="O28" s="176">
        <v>1</v>
      </c>
      <c r="P28" s="176">
        <v>1</v>
      </c>
      <c r="Q28" s="176">
        <v>1</v>
      </c>
      <c r="R28" s="176"/>
      <c r="S28" s="176">
        <v>1</v>
      </c>
      <c r="T28" s="176">
        <v>1</v>
      </c>
      <c r="U28" s="176">
        <v>1</v>
      </c>
      <c r="V28" s="176">
        <v>1</v>
      </c>
      <c r="W28" s="176"/>
      <c r="X28" s="176"/>
      <c r="Y28" s="176"/>
      <c r="Z28" s="176"/>
      <c r="AA28" s="176"/>
      <c r="AB28" s="176"/>
      <c r="AC28" s="176"/>
      <c r="AD28" s="176"/>
      <c r="AE28" s="41">
        <f t="shared" ref="AE28:AE29" si="6">SUM(G28:AD28)</f>
        <v>9</v>
      </c>
      <c r="AF28" s="116" t="s">
        <v>232</v>
      </c>
      <c r="AG28" s="550" t="s">
        <v>41</v>
      </c>
      <c r="AH28" s="542"/>
      <c r="AI28" s="189" t="s">
        <v>444</v>
      </c>
    </row>
    <row r="29" spans="1:35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3"/>
        <v>13</v>
      </c>
      <c r="G29" s="176">
        <v>1</v>
      </c>
      <c r="H29" s="176">
        <v>1</v>
      </c>
      <c r="I29" s="176">
        <v>1</v>
      </c>
      <c r="J29" s="176">
        <v>1</v>
      </c>
      <c r="K29" s="176">
        <v>1</v>
      </c>
      <c r="L29" s="176">
        <v>1</v>
      </c>
      <c r="M29" s="176">
        <v>1</v>
      </c>
      <c r="N29" s="176">
        <v>1</v>
      </c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>
        <v>1</v>
      </c>
      <c r="AA29" s="176">
        <v>1</v>
      </c>
      <c r="AB29" s="176">
        <v>1</v>
      </c>
      <c r="AC29" s="176">
        <v>1</v>
      </c>
      <c r="AD29" s="176">
        <v>1</v>
      </c>
      <c r="AE29" s="41">
        <f t="shared" si="6"/>
        <v>13</v>
      </c>
      <c r="AF29" s="116" t="s">
        <v>739</v>
      </c>
      <c r="AG29" s="550" t="s">
        <v>41</v>
      </c>
      <c r="AH29" s="542"/>
      <c r="AI29" s="189" t="s">
        <v>444</v>
      </c>
    </row>
    <row r="30" spans="1:35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3"/>
        <v>1</v>
      </c>
      <c r="G30" s="202">
        <v>1</v>
      </c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580" t="s">
        <v>209</v>
      </c>
      <c r="W30" s="555"/>
      <c r="X30" s="555"/>
      <c r="Y30" s="555"/>
      <c r="Z30" s="555"/>
      <c r="AA30" s="555"/>
      <c r="AB30" s="555"/>
      <c r="AC30" s="542"/>
      <c r="AD30" s="176"/>
      <c r="AE30" s="41">
        <v>9</v>
      </c>
      <c r="AF30" s="116" t="s">
        <v>505</v>
      </c>
      <c r="AG30" s="177" t="s">
        <v>41</v>
      </c>
      <c r="AH30" s="212" t="s">
        <v>209</v>
      </c>
      <c r="AI30" s="189" t="s">
        <v>444</v>
      </c>
    </row>
    <row r="31" spans="1:35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f t="shared" si="3"/>
        <v>0</v>
      </c>
      <c r="G31" s="202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580" t="s">
        <v>209</v>
      </c>
      <c r="W31" s="555"/>
      <c r="X31" s="555"/>
      <c r="Y31" s="555"/>
      <c r="Z31" s="555"/>
      <c r="AA31" s="555"/>
      <c r="AB31" s="555"/>
      <c r="AC31" s="542"/>
      <c r="AD31" s="176"/>
      <c r="AE31" s="41">
        <v>8</v>
      </c>
      <c r="AF31" s="116" t="s">
        <v>218</v>
      </c>
      <c r="AG31" s="580" t="s">
        <v>209</v>
      </c>
      <c r="AH31" s="542"/>
      <c r="AI31" s="189" t="s">
        <v>444</v>
      </c>
    </row>
    <row r="32" spans="1:35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si="3"/>
        <v>10</v>
      </c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>
        <v>1</v>
      </c>
      <c r="T32" s="176">
        <v>1</v>
      </c>
      <c r="U32" s="176">
        <v>1</v>
      </c>
      <c r="V32" s="176">
        <v>1</v>
      </c>
      <c r="W32" s="176">
        <v>1</v>
      </c>
      <c r="X32" s="176">
        <v>1</v>
      </c>
      <c r="Y32" s="176"/>
      <c r="Z32" s="176">
        <v>1</v>
      </c>
      <c r="AA32" s="176">
        <v>1</v>
      </c>
      <c r="AB32" s="176">
        <v>1</v>
      </c>
      <c r="AC32" s="176">
        <v>1</v>
      </c>
      <c r="AD32" s="176"/>
      <c r="AE32" s="41">
        <f>SUM(G32:AD32)</f>
        <v>10</v>
      </c>
      <c r="AF32" s="116" t="s">
        <v>734</v>
      </c>
      <c r="AG32" s="550" t="s">
        <v>41</v>
      </c>
      <c r="AH32" s="542"/>
      <c r="AI32" s="189" t="s">
        <v>444</v>
      </c>
    </row>
    <row r="33" spans="1:35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3"/>
        <v>6</v>
      </c>
      <c r="G33" s="202"/>
      <c r="H33" s="176"/>
      <c r="I33" s="176"/>
      <c r="J33" s="176"/>
      <c r="K33" s="176"/>
      <c r="L33" s="176"/>
      <c r="M33" s="176"/>
      <c r="N33" s="176"/>
      <c r="O33" s="176">
        <v>1</v>
      </c>
      <c r="P33" s="176">
        <v>1</v>
      </c>
      <c r="Q33" s="176">
        <v>1</v>
      </c>
      <c r="R33" s="176">
        <v>1</v>
      </c>
      <c r="S33" s="176">
        <v>1</v>
      </c>
      <c r="T33" s="176"/>
      <c r="U33" s="176">
        <v>1</v>
      </c>
      <c r="V33" s="580" t="s">
        <v>209</v>
      </c>
      <c r="W33" s="555"/>
      <c r="X33" s="555"/>
      <c r="Y33" s="555"/>
      <c r="Z33" s="555"/>
      <c r="AA33" s="555"/>
      <c r="AB33" s="555"/>
      <c r="AC33" s="542"/>
      <c r="AD33" s="176"/>
      <c r="AE33" s="41">
        <v>14</v>
      </c>
      <c r="AF33" s="116" t="s">
        <v>714</v>
      </c>
      <c r="AG33" s="177" t="s">
        <v>41</v>
      </c>
      <c r="AH33" s="212" t="s">
        <v>209</v>
      </c>
      <c r="AI33" s="189" t="s">
        <v>444</v>
      </c>
    </row>
    <row r="34" spans="1:35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3"/>
        <v>10</v>
      </c>
      <c r="G34" s="176"/>
      <c r="H34" s="176"/>
      <c r="I34" s="176"/>
      <c r="J34" s="176"/>
      <c r="K34" s="176"/>
      <c r="L34" s="176"/>
      <c r="M34" s="176">
        <v>1</v>
      </c>
      <c r="N34" s="176">
        <v>1</v>
      </c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/>
      <c r="X34" s="176"/>
      <c r="Y34" s="176"/>
      <c r="Z34" s="176"/>
      <c r="AA34" s="176"/>
      <c r="AB34" s="176"/>
      <c r="AC34" s="176"/>
      <c r="AD34" s="176"/>
      <c r="AE34" s="41">
        <f t="shared" ref="AE34:AE46" si="7">SUM(G34:AD34)</f>
        <v>10</v>
      </c>
      <c r="AF34" s="116" t="s">
        <v>151</v>
      </c>
      <c r="AG34" s="550" t="s">
        <v>41</v>
      </c>
      <c r="AH34" s="542"/>
      <c r="AI34" s="189" t="s">
        <v>444</v>
      </c>
    </row>
    <row r="35" spans="1:35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5" t="s">
        <v>457</v>
      </c>
      <c r="F35" s="41">
        <f t="shared" si="3"/>
        <v>13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/>
      <c r="W35" s="176">
        <v>1</v>
      </c>
      <c r="X35" s="176">
        <v>1</v>
      </c>
      <c r="Y35" s="176">
        <v>1</v>
      </c>
      <c r="Z35" s="176">
        <v>1</v>
      </c>
      <c r="AA35" s="176">
        <v>1</v>
      </c>
      <c r="AB35" s="176">
        <v>1</v>
      </c>
      <c r="AC35" s="176"/>
      <c r="AD35" s="176"/>
      <c r="AE35" s="41">
        <f t="shared" si="7"/>
        <v>13</v>
      </c>
      <c r="AF35" s="116" t="s">
        <v>247</v>
      </c>
      <c r="AG35" s="550" t="s">
        <v>41</v>
      </c>
      <c r="AH35" s="542"/>
      <c r="AI35" s="189" t="s">
        <v>444</v>
      </c>
    </row>
    <row r="36" spans="1:35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4" t="s">
        <v>460</v>
      </c>
      <c r="F36" s="41">
        <f t="shared" si="3"/>
        <v>12</v>
      </c>
      <c r="G36" s="176"/>
      <c r="H36" s="176"/>
      <c r="I36" s="176"/>
      <c r="J36" s="176"/>
      <c r="K36" s="176"/>
      <c r="L36" s="176"/>
      <c r="M36" s="176"/>
      <c r="N36" s="176"/>
      <c r="O36" s="182" t="s">
        <v>231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/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>
        <v>1</v>
      </c>
      <c r="AC36" s="176"/>
      <c r="AD36" s="176"/>
      <c r="AE36" s="41">
        <f t="shared" si="7"/>
        <v>12</v>
      </c>
      <c r="AF36" s="116" t="s">
        <v>247</v>
      </c>
      <c r="AG36" s="550" t="s">
        <v>41</v>
      </c>
      <c r="AH36" s="542"/>
      <c r="AI36" s="189" t="s">
        <v>444</v>
      </c>
    </row>
    <row r="37" spans="1:35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4" t="s">
        <v>461</v>
      </c>
      <c r="F37" s="41">
        <f t="shared" si="3"/>
        <v>13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/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>
        <v>1</v>
      </c>
      <c r="AC37" s="176"/>
      <c r="AD37" s="176"/>
      <c r="AE37" s="41">
        <f t="shared" si="7"/>
        <v>13</v>
      </c>
      <c r="AF37" s="116" t="s">
        <v>407</v>
      </c>
      <c r="AG37" s="550" t="s">
        <v>41</v>
      </c>
      <c r="AH37" s="542"/>
      <c r="AI37" s="189" t="s">
        <v>444</v>
      </c>
    </row>
    <row r="38" spans="1:35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5" t="s">
        <v>463</v>
      </c>
      <c r="F38" s="41">
        <f t="shared" si="3"/>
        <v>13</v>
      </c>
      <c r="G38" s="176"/>
      <c r="H38" s="176"/>
      <c r="I38" s="176"/>
      <c r="J38" s="176"/>
      <c r="K38" s="176"/>
      <c r="L38" s="176"/>
      <c r="M38" s="176"/>
      <c r="N38" s="176"/>
      <c r="O38" s="176">
        <v>1</v>
      </c>
      <c r="P38" s="176">
        <v>1</v>
      </c>
      <c r="Q38" s="176">
        <v>1</v>
      </c>
      <c r="R38" s="176">
        <v>1</v>
      </c>
      <c r="S38" s="176"/>
      <c r="T38" s="176">
        <v>1</v>
      </c>
      <c r="U38" s="176">
        <v>1</v>
      </c>
      <c r="V38" s="176">
        <v>1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>
        <v>1</v>
      </c>
      <c r="AC38" s="176"/>
      <c r="AD38" s="176"/>
      <c r="AE38" s="41">
        <f t="shared" si="7"/>
        <v>13</v>
      </c>
      <c r="AF38" s="116" t="s">
        <v>699</v>
      </c>
      <c r="AG38" s="550" t="s">
        <v>41</v>
      </c>
      <c r="AH38" s="542"/>
      <c r="AI38" s="189" t="s">
        <v>444</v>
      </c>
    </row>
    <row r="39" spans="1:35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5" t="s">
        <v>465</v>
      </c>
      <c r="F39" s="41">
        <f t="shared" si="3"/>
        <v>12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/>
      <c r="U39" s="176">
        <v>1</v>
      </c>
      <c r="V39" s="176">
        <v>1</v>
      </c>
      <c r="W39" s="176">
        <v>1</v>
      </c>
      <c r="X39" s="176">
        <v>1</v>
      </c>
      <c r="Y39" s="176">
        <v>1</v>
      </c>
      <c r="Z39" s="176">
        <v>1</v>
      </c>
      <c r="AA39" s="176">
        <v>1</v>
      </c>
      <c r="AB39" s="176"/>
      <c r="AC39" s="176"/>
      <c r="AD39" s="176"/>
      <c r="AE39" s="41">
        <f t="shared" si="7"/>
        <v>12</v>
      </c>
      <c r="AF39" s="116" t="s">
        <v>373</v>
      </c>
      <c r="AG39" s="550" t="s">
        <v>41</v>
      </c>
      <c r="AH39" s="542"/>
      <c r="AI39" s="189" t="s">
        <v>444</v>
      </c>
    </row>
    <row r="40" spans="1:35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3"/>
        <v>12</v>
      </c>
      <c r="G40" s="176"/>
      <c r="H40" s="176"/>
      <c r="I40" s="176"/>
      <c r="J40" s="176"/>
      <c r="K40" s="176"/>
      <c r="L40" s="176"/>
      <c r="M40" s="176"/>
      <c r="N40" s="176"/>
      <c r="O40" s="176">
        <v>1</v>
      </c>
      <c r="P40" s="176">
        <v>1</v>
      </c>
      <c r="Q40" s="176">
        <v>1</v>
      </c>
      <c r="R40" s="176">
        <v>1</v>
      </c>
      <c r="S40" s="176">
        <v>1</v>
      </c>
      <c r="T40" s="176">
        <v>1</v>
      </c>
      <c r="U40" s="176"/>
      <c r="V40" s="176">
        <v>1</v>
      </c>
      <c r="W40" s="176">
        <v>1</v>
      </c>
      <c r="X40" s="176">
        <v>1</v>
      </c>
      <c r="Y40" s="176">
        <v>1</v>
      </c>
      <c r="Z40" s="176">
        <v>1</v>
      </c>
      <c r="AA40" s="176">
        <v>1</v>
      </c>
      <c r="AB40" s="176"/>
      <c r="AC40" s="176"/>
      <c r="AD40" s="176"/>
      <c r="AE40" s="41">
        <f t="shared" si="7"/>
        <v>12</v>
      </c>
      <c r="AF40" s="116" t="s">
        <v>346</v>
      </c>
      <c r="AG40" s="550" t="s">
        <v>41</v>
      </c>
      <c r="AH40" s="542"/>
      <c r="AI40" s="189" t="s">
        <v>444</v>
      </c>
    </row>
    <row r="41" spans="1:35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4" t="s">
        <v>467</v>
      </c>
      <c r="F41" s="41">
        <f t="shared" si="3"/>
        <v>12</v>
      </c>
      <c r="G41" s="176"/>
      <c r="H41" s="176"/>
      <c r="I41" s="176"/>
      <c r="J41" s="176"/>
      <c r="K41" s="176"/>
      <c r="L41" s="176"/>
      <c r="M41" s="176"/>
      <c r="N41" s="176"/>
      <c r="O41" s="176">
        <v>1</v>
      </c>
      <c r="P41" s="176">
        <v>1</v>
      </c>
      <c r="Q41" s="176">
        <v>1</v>
      </c>
      <c r="R41" s="176">
        <v>1</v>
      </c>
      <c r="S41" s="176"/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>
        <v>1</v>
      </c>
      <c r="Z41" s="176">
        <v>1</v>
      </c>
      <c r="AA41" s="176">
        <v>1</v>
      </c>
      <c r="AB41" s="176"/>
      <c r="AC41" s="176"/>
      <c r="AD41" s="176"/>
      <c r="AE41" s="41">
        <f t="shared" si="7"/>
        <v>12</v>
      </c>
      <c r="AF41" s="116" t="s">
        <v>394</v>
      </c>
      <c r="AG41" s="550" t="s">
        <v>41</v>
      </c>
      <c r="AH41" s="542"/>
      <c r="AI41" s="189" t="s">
        <v>444</v>
      </c>
    </row>
    <row r="42" spans="1:35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3"/>
        <v>12</v>
      </c>
      <c r="G42" s="176"/>
      <c r="H42" s="176"/>
      <c r="I42" s="176"/>
      <c r="J42" s="176"/>
      <c r="K42" s="176"/>
      <c r="L42" s="176"/>
      <c r="M42" s="176"/>
      <c r="N42" s="176"/>
      <c r="O42" s="176">
        <v>1</v>
      </c>
      <c r="P42" s="176">
        <v>1</v>
      </c>
      <c r="Q42" s="176">
        <v>1</v>
      </c>
      <c r="R42" s="176">
        <v>1</v>
      </c>
      <c r="S42" s="176">
        <v>1</v>
      </c>
      <c r="T42" s="176">
        <v>1</v>
      </c>
      <c r="U42" s="176">
        <v>1</v>
      </c>
      <c r="V42" s="176"/>
      <c r="W42" s="176">
        <v>1</v>
      </c>
      <c r="X42" s="176">
        <v>1</v>
      </c>
      <c r="Y42" s="176">
        <v>1</v>
      </c>
      <c r="Z42" s="176">
        <v>1</v>
      </c>
      <c r="AA42" s="176">
        <v>1</v>
      </c>
      <c r="AB42" s="176"/>
      <c r="AC42" s="176"/>
      <c r="AD42" s="176"/>
      <c r="AE42" s="41">
        <f t="shared" si="7"/>
        <v>12</v>
      </c>
      <c r="AF42" s="116" t="s">
        <v>360</v>
      </c>
      <c r="AG42" s="550" t="s">
        <v>41</v>
      </c>
      <c r="AH42" s="542"/>
      <c r="AI42" s="189" t="s">
        <v>444</v>
      </c>
    </row>
    <row r="43" spans="1:35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3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7"/>
        <v>0</v>
      </c>
      <c r="AF43" s="116" t="s">
        <v>382</v>
      </c>
      <c r="AG43" s="550" t="s">
        <v>41</v>
      </c>
      <c r="AH43" s="542"/>
      <c r="AI43" s="189" t="s">
        <v>444</v>
      </c>
    </row>
    <row r="44" spans="1:35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3"/>
        <v>11</v>
      </c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>
        <v>1</v>
      </c>
      <c r="R44" s="176">
        <v>1</v>
      </c>
      <c r="S44" s="176">
        <v>1</v>
      </c>
      <c r="T44" s="176">
        <v>1</v>
      </c>
      <c r="U44" s="176">
        <v>1</v>
      </c>
      <c r="V44" s="176">
        <v>1</v>
      </c>
      <c r="W44" s="176">
        <v>1</v>
      </c>
      <c r="X44" s="176">
        <v>1</v>
      </c>
      <c r="Y44" s="176">
        <v>1</v>
      </c>
      <c r="Z44" s="176">
        <v>1</v>
      </c>
      <c r="AA44" s="176">
        <v>1</v>
      </c>
      <c r="AB44" s="176"/>
      <c r="AC44" s="176"/>
      <c r="AD44" s="176"/>
      <c r="AE44" s="41">
        <f t="shared" si="7"/>
        <v>11</v>
      </c>
      <c r="AF44" s="116" t="s">
        <v>170</v>
      </c>
      <c r="AG44" s="550" t="s">
        <v>41</v>
      </c>
      <c r="AH44" s="542"/>
      <c r="AI44" s="189" t="s">
        <v>444</v>
      </c>
    </row>
    <row r="45" spans="1:35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3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7"/>
        <v>0</v>
      </c>
      <c r="AF45" s="116" t="s">
        <v>382</v>
      </c>
      <c r="AG45" s="550" t="s">
        <v>41</v>
      </c>
      <c r="AH45" s="542"/>
      <c r="AI45" s="189" t="s">
        <v>444</v>
      </c>
    </row>
    <row r="46" spans="1:35" ht="14.25" customHeight="1">
      <c r="A46" s="38" t="s">
        <v>41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3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7"/>
        <v>0</v>
      </c>
      <c r="AF46" s="116" t="s">
        <v>382</v>
      </c>
      <c r="AG46" s="550" t="s">
        <v>41</v>
      </c>
      <c r="AH46" s="542"/>
      <c r="AI46" s="189" t="s">
        <v>444</v>
      </c>
    </row>
    <row r="47" spans="1:35" ht="14.25" customHeight="1">
      <c r="A47" s="38" t="s">
        <v>41</v>
      </c>
      <c r="B47" s="190" t="s">
        <v>137</v>
      </c>
      <c r="C47" s="98"/>
      <c r="D47" s="86">
        <v>1</v>
      </c>
      <c r="E47" s="218" t="s">
        <v>138</v>
      </c>
      <c r="F47" s="41">
        <f t="shared" si="3"/>
        <v>0</v>
      </c>
      <c r="G47" s="176"/>
      <c r="H47" s="176"/>
      <c r="I47" s="176"/>
      <c r="J47" s="176"/>
      <c r="K47" s="176"/>
      <c r="L47" s="176"/>
      <c r="M47" s="176"/>
      <c r="N47" s="577" t="s">
        <v>320</v>
      </c>
      <c r="O47" s="555"/>
      <c r="P47" s="555"/>
      <c r="Q47" s="555"/>
      <c r="R47" s="555"/>
      <c r="S47" s="555"/>
      <c r="T47" s="555"/>
      <c r="U47" s="555"/>
      <c r="V47" s="176"/>
      <c r="W47" s="176"/>
      <c r="X47" s="176"/>
      <c r="Y47" s="176"/>
      <c r="Z47" s="176"/>
      <c r="AA47" s="176"/>
      <c r="AB47" s="176"/>
      <c r="AC47" s="176"/>
      <c r="AD47" s="176"/>
      <c r="AE47" s="41">
        <v>8</v>
      </c>
      <c r="AF47" s="116" t="s">
        <v>288</v>
      </c>
      <c r="AG47" s="551" t="s">
        <v>320</v>
      </c>
      <c r="AH47" s="555"/>
      <c r="AI47" s="189" t="s">
        <v>444</v>
      </c>
    </row>
    <row r="48" spans="1:35" ht="14.25" customHeight="1">
      <c r="A48" s="38" t="s">
        <v>41</v>
      </c>
      <c r="B48" s="190" t="s">
        <v>190</v>
      </c>
      <c r="C48" s="98"/>
      <c r="D48" s="39">
        <v>2</v>
      </c>
      <c r="E48" s="218" t="s">
        <v>191</v>
      </c>
      <c r="F48" s="41">
        <f t="shared" si="3"/>
        <v>0</v>
      </c>
      <c r="G48" s="77"/>
      <c r="H48" s="77"/>
      <c r="I48" s="77"/>
      <c r="J48" s="77"/>
      <c r="K48" s="77"/>
      <c r="L48" s="77"/>
      <c r="M48" s="176"/>
      <c r="N48" s="176"/>
      <c r="O48" s="176"/>
      <c r="P48" s="176"/>
      <c r="Q48" s="176"/>
      <c r="R48" s="176"/>
      <c r="S48" s="176"/>
      <c r="T48" s="176"/>
      <c r="U48" s="176"/>
      <c r="V48" s="577" t="s">
        <v>320</v>
      </c>
      <c r="W48" s="555"/>
      <c r="X48" s="555"/>
      <c r="Y48" s="555"/>
      <c r="Z48" s="555"/>
      <c r="AA48" s="555"/>
      <c r="AB48" s="555"/>
      <c r="AC48" s="555"/>
      <c r="AD48" s="77"/>
      <c r="AE48" s="41">
        <v>8</v>
      </c>
      <c r="AF48" s="116" t="s">
        <v>218</v>
      </c>
      <c r="AG48" s="551" t="s">
        <v>320</v>
      </c>
      <c r="AH48" s="555"/>
      <c r="AI48" s="189" t="s">
        <v>444</v>
      </c>
    </row>
    <row r="49" spans="1:35" ht="14.25" customHeight="1">
      <c r="A49" s="98"/>
      <c r="B49" s="98"/>
      <c r="C49" s="98"/>
      <c r="D49" s="39">
        <v>1</v>
      </c>
      <c r="E49" s="133" t="s">
        <v>363</v>
      </c>
      <c r="F49" s="41">
        <f t="shared" si="3"/>
        <v>0</v>
      </c>
      <c r="G49" s="42"/>
      <c r="H49" s="42"/>
      <c r="I49" s="42"/>
      <c r="J49" s="42"/>
      <c r="K49" s="42"/>
      <c r="L49" s="42"/>
      <c r="M49" s="42"/>
      <c r="N49" s="42"/>
      <c r="O49" s="577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v>12</v>
      </c>
      <c r="AF49" s="116" t="s">
        <v>66</v>
      </c>
      <c r="AG49" s="551" t="s">
        <v>473</v>
      </c>
      <c r="AH49" s="555"/>
      <c r="AI49" s="189" t="s">
        <v>444</v>
      </c>
    </row>
    <row r="50" spans="1:35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  <c r="AH50" s="25"/>
      <c r="AI50" s="25"/>
    </row>
    <row r="51" spans="1:35" ht="14.25" customHeight="1">
      <c r="A51" s="2"/>
      <c r="B51" s="2"/>
      <c r="C51" s="2"/>
      <c r="D51" s="2"/>
      <c r="E51" s="2"/>
      <c r="F51" s="2"/>
      <c r="AE51" s="2"/>
      <c r="AF51" s="2"/>
      <c r="AG51" s="2"/>
      <c r="AH51" s="2"/>
      <c r="AI51" s="2"/>
    </row>
    <row r="52" spans="1:35" ht="14.25" customHeight="1">
      <c r="A52" s="2"/>
      <c r="B52" s="2"/>
      <c r="C52" s="2"/>
      <c r="D52" s="2"/>
      <c r="E52" s="2"/>
      <c r="F52" s="2"/>
      <c r="AE52" s="2"/>
      <c r="AF52" s="2"/>
      <c r="AG52" s="2"/>
      <c r="AH52" s="2"/>
      <c r="AI52" s="2"/>
    </row>
    <row r="53" spans="1:35" ht="14.25" customHeight="1">
      <c r="A53" s="2"/>
      <c r="B53" s="2"/>
      <c r="C53" s="2"/>
      <c r="D53" s="2"/>
      <c r="E53" s="2"/>
      <c r="F53" s="2"/>
      <c r="AE53" s="2"/>
      <c r="AF53" s="2"/>
      <c r="AG53" s="2"/>
      <c r="AH53" s="2"/>
      <c r="AI53" s="2"/>
    </row>
    <row r="54" spans="1:35" ht="14.25" customHeight="1">
      <c r="A54" s="2"/>
      <c r="B54" s="2"/>
      <c r="C54" s="2"/>
      <c r="D54" s="2"/>
      <c r="E54" s="2"/>
      <c r="F54" s="2"/>
      <c r="AE54" s="2"/>
      <c r="AF54" s="2"/>
      <c r="AG54" s="2"/>
      <c r="AH54" s="2"/>
      <c r="AI54" s="2"/>
    </row>
    <row r="55" spans="1:35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193">
        <v>0</v>
      </c>
      <c r="P55" s="193">
        <v>10</v>
      </c>
      <c r="Q55" s="193">
        <v>10</v>
      </c>
      <c r="R55" s="193">
        <v>10</v>
      </c>
      <c r="S55" s="193">
        <v>10</v>
      </c>
      <c r="T55" s="193">
        <v>10</v>
      </c>
      <c r="U55" s="193">
        <v>10</v>
      </c>
      <c r="V55" s="193">
        <v>10</v>
      </c>
      <c r="W55" s="193">
        <v>10</v>
      </c>
      <c r="X55" s="193">
        <v>10</v>
      </c>
      <c r="Y55" s="193">
        <v>10</v>
      </c>
      <c r="Z55" s="193">
        <v>0</v>
      </c>
      <c r="AA55" s="193">
        <v>0</v>
      </c>
      <c r="AB55" s="194">
        <v>0</v>
      </c>
      <c r="AC55" s="192">
        <v>0</v>
      </c>
      <c r="AD55" s="195">
        <v>0</v>
      </c>
      <c r="AE55" s="18">
        <f>SUM(G55:AD55)</f>
        <v>100</v>
      </c>
      <c r="AF55" s="25"/>
      <c r="AG55" s="2"/>
      <c r="AH55" s="2"/>
      <c r="AI55" s="2"/>
    </row>
    <row r="56" spans="1:35" ht="14.25" customHeight="1">
      <c r="A56" s="3"/>
      <c r="B56" s="3"/>
      <c r="C56" s="3"/>
      <c r="D56" s="48"/>
      <c r="E56" s="59"/>
      <c r="F56" s="59"/>
      <c r="G56" s="28">
        <f t="shared" ref="G56:AD56" si="8">G58-G55</f>
        <v>0</v>
      </c>
      <c r="H56" s="28">
        <f t="shared" si="8"/>
        <v>0</v>
      </c>
      <c r="I56" s="28">
        <f t="shared" si="8"/>
        <v>0</v>
      </c>
      <c r="J56" s="28">
        <f t="shared" si="8"/>
        <v>0</v>
      </c>
      <c r="K56" s="28">
        <f t="shared" si="8"/>
        <v>0</v>
      </c>
      <c r="L56" s="28">
        <f t="shared" si="8"/>
        <v>0</v>
      </c>
      <c r="M56" s="28">
        <f t="shared" si="8"/>
        <v>2</v>
      </c>
      <c r="N56" s="28">
        <f t="shared" si="8"/>
        <v>2</v>
      </c>
      <c r="O56" s="28">
        <f t="shared" si="8"/>
        <v>2</v>
      </c>
      <c r="P56" s="28">
        <f t="shared" si="8"/>
        <v>0</v>
      </c>
      <c r="Q56" s="28">
        <f t="shared" si="8"/>
        <v>0</v>
      </c>
      <c r="R56" s="28">
        <f t="shared" si="8"/>
        <v>0</v>
      </c>
      <c r="S56" s="28">
        <f t="shared" si="8"/>
        <v>0</v>
      </c>
      <c r="T56" s="28">
        <f t="shared" si="8"/>
        <v>0</v>
      </c>
      <c r="U56" s="28">
        <f t="shared" si="8"/>
        <v>0</v>
      </c>
      <c r="V56" s="28">
        <f t="shared" si="8"/>
        <v>0</v>
      </c>
      <c r="W56" s="28">
        <f t="shared" si="8"/>
        <v>0</v>
      </c>
      <c r="X56" s="28">
        <f t="shared" si="8"/>
        <v>0</v>
      </c>
      <c r="Y56" s="28">
        <f t="shared" si="8"/>
        <v>0</v>
      </c>
      <c r="Z56" s="28">
        <f t="shared" si="8"/>
        <v>0</v>
      </c>
      <c r="AA56" s="28">
        <f t="shared" si="8"/>
        <v>0</v>
      </c>
      <c r="AB56" s="28">
        <f t="shared" si="8"/>
        <v>0</v>
      </c>
      <c r="AC56" s="28">
        <f t="shared" si="8"/>
        <v>0</v>
      </c>
      <c r="AD56" s="28">
        <f t="shared" si="8"/>
        <v>0</v>
      </c>
      <c r="AE56" s="53"/>
      <c r="AF56" s="3"/>
      <c r="AG56" s="2"/>
      <c r="AH56" s="2"/>
      <c r="AI56" s="2"/>
    </row>
    <row r="57" spans="1:35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  <c r="AH57" s="2"/>
      <c r="AI57" s="2"/>
    </row>
    <row r="58" spans="1:35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9">SUM(G59:G72)</f>
        <v>0</v>
      </c>
      <c r="H58" s="35">
        <f t="shared" si="9"/>
        <v>0</v>
      </c>
      <c r="I58" s="35">
        <f t="shared" si="9"/>
        <v>0</v>
      </c>
      <c r="J58" s="35">
        <f t="shared" si="9"/>
        <v>0</v>
      </c>
      <c r="K58" s="35">
        <f t="shared" si="9"/>
        <v>0</v>
      </c>
      <c r="L58" s="35">
        <f t="shared" si="9"/>
        <v>0</v>
      </c>
      <c r="M58" s="35">
        <f t="shared" si="9"/>
        <v>2</v>
      </c>
      <c r="N58" s="35">
        <f t="shared" si="9"/>
        <v>2</v>
      </c>
      <c r="O58" s="35">
        <f t="shared" si="9"/>
        <v>2</v>
      </c>
      <c r="P58" s="35">
        <f t="shared" si="9"/>
        <v>10</v>
      </c>
      <c r="Q58" s="35">
        <f t="shared" si="9"/>
        <v>10</v>
      </c>
      <c r="R58" s="35">
        <f t="shared" si="9"/>
        <v>10</v>
      </c>
      <c r="S58" s="35">
        <f t="shared" si="9"/>
        <v>10</v>
      </c>
      <c r="T58" s="35">
        <f t="shared" si="9"/>
        <v>10</v>
      </c>
      <c r="U58" s="35">
        <f t="shared" si="9"/>
        <v>10</v>
      </c>
      <c r="V58" s="35">
        <f t="shared" si="9"/>
        <v>10</v>
      </c>
      <c r="W58" s="35">
        <f t="shared" si="9"/>
        <v>10</v>
      </c>
      <c r="X58" s="35">
        <f t="shared" si="9"/>
        <v>10</v>
      </c>
      <c r="Y58" s="35">
        <f t="shared" si="9"/>
        <v>10</v>
      </c>
      <c r="Z58" s="35">
        <f t="shared" si="9"/>
        <v>0</v>
      </c>
      <c r="AA58" s="35">
        <f t="shared" si="9"/>
        <v>0</v>
      </c>
      <c r="AB58" s="35">
        <f t="shared" si="9"/>
        <v>0</v>
      </c>
      <c r="AC58" s="35">
        <f t="shared" si="9"/>
        <v>0</v>
      </c>
      <c r="AD58" s="35">
        <f t="shared" si="9"/>
        <v>0</v>
      </c>
      <c r="AE58" s="30">
        <f t="shared" ref="AE58:AE68" si="10">SUM(G58:AD58)</f>
        <v>106</v>
      </c>
      <c r="AF58" s="36" t="s">
        <v>39</v>
      </c>
      <c r="AG58" s="196"/>
      <c r="AH58" s="196"/>
      <c r="AI58" s="197" t="s">
        <v>40</v>
      </c>
    </row>
    <row r="59" spans="1:35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11">SUM(G59:AD59)</f>
        <v>10</v>
      </c>
      <c r="G59" s="202"/>
      <c r="H59" s="202"/>
      <c r="I59" s="202"/>
      <c r="J59" s="202"/>
      <c r="K59" s="202"/>
      <c r="L59" s="202"/>
      <c r="M59" s="202"/>
      <c r="N59" s="202"/>
      <c r="O59" s="202"/>
      <c r="P59" s="202">
        <v>1</v>
      </c>
      <c r="Q59" s="202">
        <v>1</v>
      </c>
      <c r="R59" s="202">
        <v>1</v>
      </c>
      <c r="S59" s="202">
        <v>1</v>
      </c>
      <c r="T59" s="202">
        <v>1</v>
      </c>
      <c r="U59" s="202">
        <v>1</v>
      </c>
      <c r="V59" s="202">
        <v>1</v>
      </c>
      <c r="W59" s="202">
        <v>1</v>
      </c>
      <c r="X59" s="202">
        <v>1</v>
      </c>
      <c r="Y59" s="202">
        <v>1</v>
      </c>
      <c r="Z59" s="202"/>
      <c r="AA59" s="202"/>
      <c r="AB59" s="202"/>
      <c r="AC59" s="202"/>
      <c r="AD59" s="202"/>
      <c r="AE59" s="41">
        <f t="shared" si="10"/>
        <v>10</v>
      </c>
      <c r="AF59" s="116" t="s">
        <v>302</v>
      </c>
      <c r="AG59" s="550" t="s">
        <v>476</v>
      </c>
      <c r="AH59" s="542"/>
      <c r="AI59" s="189" t="s">
        <v>444</v>
      </c>
    </row>
    <row r="60" spans="1:35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11"/>
        <v>10</v>
      </c>
      <c r="G60" s="202"/>
      <c r="H60" s="202"/>
      <c r="I60" s="202"/>
      <c r="J60" s="202"/>
      <c r="K60" s="202"/>
      <c r="L60" s="202"/>
      <c r="M60" s="202"/>
      <c r="N60" s="202"/>
      <c r="O60" s="202"/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02"/>
      <c r="AA60" s="202"/>
      <c r="AB60" s="202"/>
      <c r="AC60" s="202"/>
      <c r="AD60" s="202"/>
      <c r="AE60" s="41">
        <f t="shared" si="10"/>
        <v>10</v>
      </c>
      <c r="AF60" s="116" t="s">
        <v>302</v>
      </c>
      <c r="AG60" s="550" t="s">
        <v>476</v>
      </c>
      <c r="AH60" s="542"/>
      <c r="AI60" s="189" t="s">
        <v>444</v>
      </c>
    </row>
    <row r="61" spans="1:35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11"/>
        <v>13</v>
      </c>
      <c r="G61" s="202"/>
      <c r="H61" s="202"/>
      <c r="I61" s="202"/>
      <c r="J61" s="202"/>
      <c r="K61" s="202"/>
      <c r="L61" s="202"/>
      <c r="M61" s="202">
        <v>1</v>
      </c>
      <c r="N61" s="202">
        <v>1</v>
      </c>
      <c r="O61" s="202">
        <v>1</v>
      </c>
      <c r="P61" s="202">
        <v>1</v>
      </c>
      <c r="Q61" s="202">
        <v>1</v>
      </c>
      <c r="R61" s="202">
        <v>1</v>
      </c>
      <c r="S61" s="202">
        <v>1</v>
      </c>
      <c r="T61" s="202">
        <v>1</v>
      </c>
      <c r="U61" s="202">
        <v>1</v>
      </c>
      <c r="V61" s="202">
        <v>1</v>
      </c>
      <c r="W61" s="202">
        <v>1</v>
      </c>
      <c r="X61" s="202">
        <v>1</v>
      </c>
      <c r="Y61" s="202">
        <v>1</v>
      </c>
      <c r="Z61" s="202"/>
      <c r="AA61" s="202"/>
      <c r="AB61" s="202"/>
      <c r="AC61" s="202"/>
      <c r="AD61" s="202"/>
      <c r="AE61" s="41">
        <f t="shared" si="10"/>
        <v>13</v>
      </c>
      <c r="AF61" s="116" t="s">
        <v>261</v>
      </c>
      <c r="AG61" s="550" t="s">
        <v>476</v>
      </c>
      <c r="AH61" s="542"/>
      <c r="AI61" s="189" t="s">
        <v>444</v>
      </c>
    </row>
    <row r="62" spans="1:35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11"/>
        <v>10</v>
      </c>
      <c r="G62" s="202"/>
      <c r="H62" s="202"/>
      <c r="I62" s="202"/>
      <c r="J62" s="202"/>
      <c r="K62" s="202"/>
      <c r="L62" s="202"/>
      <c r="M62" s="202"/>
      <c r="N62" s="202"/>
      <c r="O62" s="202"/>
      <c r="P62" s="202">
        <v>1</v>
      </c>
      <c r="Q62" s="202">
        <v>1</v>
      </c>
      <c r="R62" s="202">
        <v>1</v>
      </c>
      <c r="S62" s="202">
        <v>1</v>
      </c>
      <c r="T62" s="202">
        <v>1</v>
      </c>
      <c r="U62" s="202">
        <v>1</v>
      </c>
      <c r="V62" s="202">
        <v>1</v>
      </c>
      <c r="W62" s="202">
        <v>1</v>
      </c>
      <c r="X62" s="202">
        <v>1</v>
      </c>
      <c r="Y62" s="202">
        <v>1</v>
      </c>
      <c r="Z62" s="202"/>
      <c r="AA62" s="202"/>
      <c r="AB62" s="202"/>
      <c r="AC62" s="202"/>
      <c r="AD62" s="202"/>
      <c r="AE62" s="41">
        <f t="shared" si="10"/>
        <v>10</v>
      </c>
      <c r="AF62" s="116" t="s">
        <v>302</v>
      </c>
      <c r="AG62" s="550" t="s">
        <v>476</v>
      </c>
      <c r="AH62" s="542"/>
      <c r="AI62" s="189" t="s">
        <v>444</v>
      </c>
    </row>
    <row r="63" spans="1:35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11"/>
        <v>10</v>
      </c>
      <c r="G63" s="202"/>
      <c r="H63" s="202"/>
      <c r="I63" s="202"/>
      <c r="J63" s="202"/>
      <c r="K63" s="202"/>
      <c r="L63" s="202"/>
      <c r="M63" s="202"/>
      <c r="N63" s="202"/>
      <c r="O63" s="202"/>
      <c r="P63" s="202">
        <v>1</v>
      </c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02"/>
      <c r="AA63" s="202"/>
      <c r="AB63" s="202"/>
      <c r="AC63" s="202"/>
      <c r="AD63" s="202"/>
      <c r="AE63" s="41">
        <f t="shared" si="10"/>
        <v>10</v>
      </c>
      <c r="AF63" s="116" t="s">
        <v>302</v>
      </c>
      <c r="AG63" s="550" t="s">
        <v>476</v>
      </c>
      <c r="AH63" s="542"/>
      <c r="AI63" s="189" t="s">
        <v>444</v>
      </c>
    </row>
    <row r="64" spans="1:35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11"/>
        <v>10</v>
      </c>
      <c r="G64" s="202"/>
      <c r="H64" s="202"/>
      <c r="I64" s="202"/>
      <c r="J64" s="202"/>
      <c r="K64" s="202"/>
      <c r="L64" s="202"/>
      <c r="M64" s="202"/>
      <c r="N64" s="202"/>
      <c r="O64" s="202"/>
      <c r="P64" s="202">
        <v>1</v>
      </c>
      <c r="Q64" s="202">
        <v>1</v>
      </c>
      <c r="R64" s="202">
        <v>1</v>
      </c>
      <c r="S64" s="202">
        <v>1</v>
      </c>
      <c r="T64" s="202">
        <v>1</v>
      </c>
      <c r="U64" s="202">
        <v>1</v>
      </c>
      <c r="V64" s="202">
        <v>1</v>
      </c>
      <c r="W64" s="202">
        <v>1</v>
      </c>
      <c r="X64" s="202">
        <v>1</v>
      </c>
      <c r="Y64" s="202">
        <v>1</v>
      </c>
      <c r="Z64" s="202"/>
      <c r="AA64" s="202"/>
      <c r="AB64" s="202"/>
      <c r="AC64" s="202"/>
      <c r="AD64" s="202"/>
      <c r="AE64" s="41">
        <f t="shared" si="10"/>
        <v>10</v>
      </c>
      <c r="AF64" s="116" t="s">
        <v>302</v>
      </c>
      <c r="AG64" s="550" t="s">
        <v>476</v>
      </c>
      <c r="AH64" s="542"/>
      <c r="AI64" s="189" t="s">
        <v>444</v>
      </c>
    </row>
    <row r="65" spans="1:35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11"/>
        <v>13</v>
      </c>
      <c r="G65" s="202"/>
      <c r="H65" s="202"/>
      <c r="I65" s="202"/>
      <c r="J65" s="202"/>
      <c r="K65" s="202"/>
      <c r="L65" s="202"/>
      <c r="M65" s="202">
        <v>1</v>
      </c>
      <c r="N65" s="202">
        <v>1</v>
      </c>
      <c r="O65" s="202">
        <v>1</v>
      </c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02"/>
      <c r="AA65" s="202"/>
      <c r="AB65" s="202"/>
      <c r="AC65" s="202"/>
      <c r="AD65" s="202"/>
      <c r="AE65" s="41">
        <f t="shared" si="10"/>
        <v>13</v>
      </c>
      <c r="AF65" s="116" t="s">
        <v>261</v>
      </c>
      <c r="AG65" s="550" t="s">
        <v>476</v>
      </c>
      <c r="AH65" s="542"/>
      <c r="AI65" s="189" t="s">
        <v>444</v>
      </c>
    </row>
    <row r="66" spans="1:35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11"/>
        <v>10</v>
      </c>
      <c r="G66" s="202"/>
      <c r="H66" s="202"/>
      <c r="I66" s="202"/>
      <c r="J66" s="202"/>
      <c r="K66" s="202"/>
      <c r="L66" s="202"/>
      <c r="M66" s="202"/>
      <c r="N66" s="202"/>
      <c r="O66" s="202"/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02"/>
      <c r="AA66" s="202"/>
      <c r="AB66" s="202"/>
      <c r="AC66" s="202"/>
      <c r="AD66" s="202"/>
      <c r="AE66" s="41">
        <f t="shared" si="10"/>
        <v>10</v>
      </c>
      <c r="AF66" s="116" t="s">
        <v>302</v>
      </c>
      <c r="AG66" s="550" t="s">
        <v>476</v>
      </c>
      <c r="AH66" s="542"/>
      <c r="AI66" s="189" t="s">
        <v>444</v>
      </c>
    </row>
    <row r="67" spans="1:35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11"/>
        <v>10</v>
      </c>
      <c r="G67" s="202"/>
      <c r="H67" s="202"/>
      <c r="I67" s="202"/>
      <c r="J67" s="202"/>
      <c r="K67" s="202"/>
      <c r="L67" s="202"/>
      <c r="M67" s="202"/>
      <c r="N67" s="202"/>
      <c r="O67" s="202"/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>
        <v>1</v>
      </c>
      <c r="W67" s="202">
        <v>1</v>
      </c>
      <c r="X67" s="202">
        <v>1</v>
      </c>
      <c r="Y67" s="202">
        <v>1</v>
      </c>
      <c r="Z67" s="202"/>
      <c r="AA67" s="202"/>
      <c r="AB67" s="202"/>
      <c r="AC67" s="202"/>
      <c r="AD67" s="202"/>
      <c r="AE67" s="41">
        <f t="shared" si="10"/>
        <v>10</v>
      </c>
      <c r="AF67" s="116" t="s">
        <v>302</v>
      </c>
      <c r="AG67" s="550" t="s">
        <v>476</v>
      </c>
      <c r="AH67" s="542"/>
      <c r="AI67" s="189" t="s">
        <v>444</v>
      </c>
    </row>
    <row r="68" spans="1:35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11"/>
        <v>10</v>
      </c>
      <c r="G68" s="202"/>
      <c r="H68" s="202"/>
      <c r="I68" s="202"/>
      <c r="J68" s="202"/>
      <c r="K68" s="202"/>
      <c r="L68" s="202"/>
      <c r="M68" s="202"/>
      <c r="N68" s="202"/>
      <c r="O68" s="202"/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02"/>
      <c r="AA68" s="202"/>
      <c r="AB68" s="202"/>
      <c r="AC68" s="202"/>
      <c r="AD68" s="202"/>
      <c r="AE68" s="41">
        <f t="shared" si="10"/>
        <v>10</v>
      </c>
      <c r="AF68" s="116" t="s">
        <v>302</v>
      </c>
      <c r="AG68" s="550" t="s">
        <v>476</v>
      </c>
      <c r="AH68" s="542"/>
      <c r="AI68" s="189" t="s">
        <v>444</v>
      </c>
    </row>
    <row r="69" spans="1:35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  <c r="AH69" s="2"/>
      <c r="AI69" s="2"/>
    </row>
    <row r="70" spans="1:35" ht="14.25" customHeight="1">
      <c r="A70" s="2"/>
      <c r="B70" s="2"/>
      <c r="C70" s="2"/>
      <c r="D70" s="2"/>
      <c r="E70" s="2"/>
      <c r="F70" s="2"/>
      <c r="AE70" s="2"/>
      <c r="AF70" s="2"/>
      <c r="AG70" s="2"/>
      <c r="AH70" s="2"/>
      <c r="AI70" s="2"/>
    </row>
    <row r="71" spans="1:35" ht="14.25" customHeight="1">
      <c r="A71" s="2"/>
      <c r="B71" s="2"/>
      <c r="C71" s="2"/>
      <c r="D71" s="2"/>
      <c r="E71" s="2"/>
      <c r="F71" s="2"/>
      <c r="AE71" s="2"/>
      <c r="AF71" s="2"/>
      <c r="AG71" s="2"/>
      <c r="AH71" s="2"/>
      <c r="AI71" s="2"/>
    </row>
    <row r="72" spans="1:35" ht="14.25" customHeight="1">
      <c r="A72" s="2"/>
      <c r="B72" s="2"/>
      <c r="C72" s="2"/>
      <c r="D72" s="2"/>
      <c r="E72" s="2"/>
      <c r="F72" s="2"/>
      <c r="AE72" s="2"/>
      <c r="AF72" s="2"/>
      <c r="AG72" s="2"/>
      <c r="AH72" s="2"/>
      <c r="AI72" s="2"/>
    </row>
    <row r="73" spans="1:35" ht="14.25" customHeight="1">
      <c r="A73" s="2"/>
      <c r="B73" s="2"/>
      <c r="C73" s="2"/>
      <c r="D73" s="2"/>
      <c r="E73" s="2"/>
      <c r="F73" s="2"/>
      <c r="AE73" s="2"/>
      <c r="AF73" s="2"/>
      <c r="AG73" s="2"/>
      <c r="AH73" s="2"/>
      <c r="AI73" s="2"/>
    </row>
    <row r="74" spans="1:35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4">
        <v>4</v>
      </c>
      <c r="N74" s="223">
        <v>5</v>
      </c>
      <c r="O74" s="222">
        <v>8</v>
      </c>
      <c r="P74" s="310">
        <v>10</v>
      </c>
      <c r="Q74" s="310">
        <v>10</v>
      </c>
      <c r="R74" s="319">
        <v>9</v>
      </c>
      <c r="S74" s="319">
        <v>9</v>
      </c>
      <c r="T74" s="320">
        <v>11</v>
      </c>
      <c r="U74" s="312">
        <v>12</v>
      </c>
      <c r="V74" s="320">
        <v>11</v>
      </c>
      <c r="W74" s="222">
        <v>8</v>
      </c>
      <c r="X74" s="319">
        <v>9</v>
      </c>
      <c r="Y74" s="222">
        <v>8</v>
      </c>
      <c r="Z74" s="167">
        <v>7</v>
      </c>
      <c r="AA74" s="167">
        <v>7</v>
      </c>
      <c r="AB74" s="167">
        <v>7</v>
      </c>
      <c r="AC74" s="220">
        <v>3</v>
      </c>
      <c r="AD74" s="195">
        <v>2</v>
      </c>
      <c r="AE74" s="18">
        <f>SUM(G74:AD74)</f>
        <v>152</v>
      </c>
      <c r="AF74" s="25"/>
      <c r="AG74" s="3"/>
      <c r="AH74" s="3"/>
      <c r="AI74" s="3"/>
    </row>
    <row r="75" spans="1:35" ht="14.25" customHeight="1">
      <c r="A75" s="3"/>
      <c r="B75" s="3"/>
      <c r="C75" s="3"/>
      <c r="D75" s="48"/>
      <c r="E75" s="59"/>
      <c r="F75" s="59"/>
      <c r="G75" s="28">
        <f t="shared" ref="G75:AD75" si="12">G77-G74</f>
        <v>0</v>
      </c>
      <c r="H75" s="28">
        <f t="shared" si="12"/>
        <v>0</v>
      </c>
      <c r="I75" s="28">
        <f t="shared" si="12"/>
        <v>0</v>
      </c>
      <c r="J75" s="28">
        <f t="shared" si="12"/>
        <v>0</v>
      </c>
      <c r="K75" s="28">
        <f t="shared" si="12"/>
        <v>0</v>
      </c>
      <c r="L75" s="28">
        <f t="shared" si="12"/>
        <v>0</v>
      </c>
      <c r="M75" s="28">
        <f t="shared" si="12"/>
        <v>0</v>
      </c>
      <c r="N75" s="28">
        <f t="shared" si="12"/>
        <v>0</v>
      </c>
      <c r="O75" s="28">
        <f t="shared" si="12"/>
        <v>0</v>
      </c>
      <c r="P75" s="28">
        <f t="shared" si="12"/>
        <v>0</v>
      </c>
      <c r="Q75" s="28">
        <f t="shared" si="12"/>
        <v>0</v>
      </c>
      <c r="R75" s="28">
        <f t="shared" si="12"/>
        <v>0</v>
      </c>
      <c r="S75" s="28">
        <f t="shared" si="12"/>
        <v>0</v>
      </c>
      <c r="T75" s="28">
        <f t="shared" si="12"/>
        <v>0</v>
      </c>
      <c r="U75" s="28">
        <f t="shared" si="12"/>
        <v>0</v>
      </c>
      <c r="V75" s="28">
        <f t="shared" si="12"/>
        <v>0</v>
      </c>
      <c r="W75" s="28">
        <f t="shared" si="12"/>
        <v>0</v>
      </c>
      <c r="X75" s="28">
        <f t="shared" si="12"/>
        <v>0</v>
      </c>
      <c r="Y75" s="28">
        <f t="shared" si="12"/>
        <v>0</v>
      </c>
      <c r="Z75" s="28">
        <f t="shared" si="12"/>
        <v>0</v>
      </c>
      <c r="AA75" s="28">
        <f t="shared" si="12"/>
        <v>0</v>
      </c>
      <c r="AB75" s="28">
        <f t="shared" si="12"/>
        <v>0</v>
      </c>
      <c r="AC75" s="28">
        <f t="shared" si="12"/>
        <v>0</v>
      </c>
      <c r="AD75" s="28">
        <f t="shared" si="12"/>
        <v>0</v>
      </c>
      <c r="AE75" s="53"/>
      <c r="AF75" s="3">
        <v>16</v>
      </c>
      <c r="AG75" s="3"/>
      <c r="AH75" s="3"/>
      <c r="AI75" s="3">
        <f>AE74/11</f>
        <v>13.818181818181818</v>
      </c>
    </row>
    <row r="76" spans="1:35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  <c r="AH76" s="3"/>
      <c r="AI76" s="3"/>
    </row>
    <row r="77" spans="1:35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3">SUM(G78:G94)</f>
        <v>2</v>
      </c>
      <c r="H77" s="35">
        <f t="shared" si="13"/>
        <v>2</v>
      </c>
      <c r="I77" s="35">
        <f t="shared" si="13"/>
        <v>2</v>
      </c>
      <c r="J77" s="35">
        <f t="shared" si="13"/>
        <v>2</v>
      </c>
      <c r="K77" s="35">
        <f t="shared" si="13"/>
        <v>2</v>
      </c>
      <c r="L77" s="35">
        <f t="shared" si="13"/>
        <v>2</v>
      </c>
      <c r="M77" s="35">
        <f t="shared" si="13"/>
        <v>4</v>
      </c>
      <c r="N77" s="35">
        <f t="shared" si="13"/>
        <v>5</v>
      </c>
      <c r="O77" s="35">
        <f t="shared" si="13"/>
        <v>8</v>
      </c>
      <c r="P77" s="35">
        <f t="shared" si="13"/>
        <v>10</v>
      </c>
      <c r="Q77" s="35">
        <f t="shared" si="13"/>
        <v>10</v>
      </c>
      <c r="R77" s="35">
        <f t="shared" si="13"/>
        <v>9</v>
      </c>
      <c r="S77" s="35">
        <f t="shared" si="13"/>
        <v>9</v>
      </c>
      <c r="T77" s="35">
        <f t="shared" si="13"/>
        <v>11</v>
      </c>
      <c r="U77" s="35">
        <f t="shared" si="13"/>
        <v>12</v>
      </c>
      <c r="V77" s="35">
        <f t="shared" si="13"/>
        <v>11</v>
      </c>
      <c r="W77" s="35">
        <f t="shared" si="13"/>
        <v>8</v>
      </c>
      <c r="X77" s="35">
        <f t="shared" si="13"/>
        <v>9</v>
      </c>
      <c r="Y77" s="35">
        <f t="shared" si="13"/>
        <v>8</v>
      </c>
      <c r="Z77" s="35">
        <f t="shared" si="13"/>
        <v>7</v>
      </c>
      <c r="AA77" s="35">
        <f t="shared" si="13"/>
        <v>7</v>
      </c>
      <c r="AB77" s="35">
        <f t="shared" si="13"/>
        <v>7</v>
      </c>
      <c r="AC77" s="35">
        <f t="shared" si="13"/>
        <v>3</v>
      </c>
      <c r="AD77" s="35">
        <f t="shared" si="13"/>
        <v>2</v>
      </c>
      <c r="AE77" s="30">
        <f t="shared" ref="AE77:AE94" si="14">SUM(G77:AD77)</f>
        <v>152</v>
      </c>
      <c r="AF77" s="36" t="s">
        <v>39</v>
      </c>
      <c r="AG77" s="173"/>
      <c r="AH77" s="173"/>
      <c r="AI77" s="37" t="s">
        <v>40</v>
      </c>
    </row>
    <row r="78" spans="1:35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5">SUM(G78:AD78)</f>
        <v>9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02">
        <v>1</v>
      </c>
      <c r="P78" s="202">
        <v>1</v>
      </c>
      <c r="Q78" s="202">
        <v>1</v>
      </c>
      <c r="R78" s="305" t="s">
        <v>47</v>
      </c>
      <c r="S78" s="202">
        <v>1</v>
      </c>
      <c r="T78" s="202">
        <v>1</v>
      </c>
      <c r="U78" s="202">
        <v>1</v>
      </c>
      <c r="V78" s="202">
        <v>1</v>
      </c>
      <c r="W78" s="202"/>
      <c r="X78" s="202"/>
      <c r="Y78" s="202"/>
      <c r="Z78" s="202"/>
      <c r="AA78" s="202"/>
      <c r="AB78" s="202"/>
      <c r="AC78" s="202"/>
      <c r="AD78" s="202"/>
      <c r="AE78" s="41">
        <f t="shared" si="14"/>
        <v>9</v>
      </c>
      <c r="AF78" s="116" t="s">
        <v>151</v>
      </c>
      <c r="AG78" s="546" t="s">
        <v>479</v>
      </c>
      <c r="AH78" s="542"/>
      <c r="AI78" s="189" t="s">
        <v>444</v>
      </c>
    </row>
    <row r="79" spans="1:35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5"/>
        <v>10</v>
      </c>
      <c r="G79" s="202"/>
      <c r="H79" s="202"/>
      <c r="I79" s="202"/>
      <c r="J79" s="202"/>
      <c r="K79" s="202"/>
      <c r="L79" s="202"/>
      <c r="M79" s="202"/>
      <c r="N79" s="202"/>
      <c r="O79" s="202"/>
      <c r="P79" s="202">
        <v>1</v>
      </c>
      <c r="Q79" s="202">
        <v>1</v>
      </c>
      <c r="R79" s="305" t="s">
        <v>47</v>
      </c>
      <c r="S79" s="202">
        <v>1</v>
      </c>
      <c r="T79" s="202">
        <v>1</v>
      </c>
      <c r="U79" s="202">
        <v>1</v>
      </c>
      <c r="V79" s="202">
        <v>1</v>
      </c>
      <c r="W79" s="202">
        <v>1</v>
      </c>
      <c r="X79" s="202">
        <v>1</v>
      </c>
      <c r="Y79" s="202">
        <v>1</v>
      </c>
      <c r="Z79" s="202">
        <v>1</v>
      </c>
      <c r="AA79" s="202"/>
      <c r="AB79" s="202"/>
      <c r="AC79" s="202"/>
      <c r="AD79" s="202"/>
      <c r="AE79" s="41">
        <f t="shared" si="14"/>
        <v>10</v>
      </c>
      <c r="AF79" s="116" t="s">
        <v>164</v>
      </c>
      <c r="AG79" s="546" t="s">
        <v>479</v>
      </c>
      <c r="AH79" s="542"/>
      <c r="AI79" s="189" t="s">
        <v>444</v>
      </c>
    </row>
    <row r="80" spans="1:35" ht="19.5" customHeight="1">
      <c r="A80" s="38" t="s">
        <v>145</v>
      </c>
      <c r="B80" s="345" t="s">
        <v>76</v>
      </c>
      <c r="C80" s="38">
        <v>997829699</v>
      </c>
      <c r="D80" s="39">
        <v>3</v>
      </c>
      <c r="E80" s="40" t="s">
        <v>77</v>
      </c>
      <c r="F80" s="41">
        <f t="shared" si="15"/>
        <v>6</v>
      </c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305" t="s">
        <v>47</v>
      </c>
      <c r="X80" s="202">
        <v>1</v>
      </c>
      <c r="Y80" s="202">
        <v>1</v>
      </c>
      <c r="Z80" s="202">
        <v>1</v>
      </c>
      <c r="AA80" s="202">
        <v>1</v>
      </c>
      <c r="AB80" s="202">
        <v>1</v>
      </c>
      <c r="AC80" s="202">
        <v>1</v>
      </c>
      <c r="AD80" s="202"/>
      <c r="AE80" s="41">
        <f t="shared" si="14"/>
        <v>6</v>
      </c>
      <c r="AF80" s="116" t="s">
        <v>226</v>
      </c>
      <c r="AG80" s="546" t="s">
        <v>479</v>
      </c>
      <c r="AH80" s="542"/>
      <c r="AI80" s="189" t="s">
        <v>444</v>
      </c>
    </row>
    <row r="81" spans="1:35" ht="14.25" customHeight="1">
      <c r="A81" s="38" t="s">
        <v>145</v>
      </c>
      <c r="B81" s="345" t="s">
        <v>152</v>
      </c>
      <c r="C81" s="38"/>
      <c r="D81" s="99">
        <v>4</v>
      </c>
      <c r="E81" s="40" t="s">
        <v>153</v>
      </c>
      <c r="F81" s="41">
        <f t="shared" si="15"/>
        <v>9</v>
      </c>
      <c r="G81" s="202"/>
      <c r="H81" s="202"/>
      <c r="I81" s="202"/>
      <c r="J81" s="202"/>
      <c r="K81" s="202"/>
      <c r="L81" s="202"/>
      <c r="M81" s="202"/>
      <c r="N81" s="202">
        <v>1</v>
      </c>
      <c r="O81" s="202">
        <v>1</v>
      </c>
      <c r="P81" s="202">
        <v>1</v>
      </c>
      <c r="Q81" s="202">
        <v>1</v>
      </c>
      <c r="R81" s="202">
        <v>1</v>
      </c>
      <c r="S81" s="202">
        <v>1</v>
      </c>
      <c r="T81" s="305" t="s">
        <v>47</v>
      </c>
      <c r="U81" s="202">
        <v>1</v>
      </c>
      <c r="V81" s="202">
        <v>1</v>
      </c>
      <c r="W81" s="202">
        <v>1</v>
      </c>
      <c r="X81" s="202"/>
      <c r="Y81" s="202"/>
      <c r="Z81" s="202"/>
      <c r="AA81" s="202"/>
      <c r="AB81" s="202"/>
      <c r="AC81" s="202"/>
      <c r="AD81" s="202"/>
      <c r="AE81" s="41">
        <f t="shared" si="14"/>
        <v>9</v>
      </c>
      <c r="AF81" s="116" t="s">
        <v>61</v>
      </c>
      <c r="AG81" s="546" t="s">
        <v>479</v>
      </c>
      <c r="AH81" s="542"/>
      <c r="AI81" s="189" t="s">
        <v>444</v>
      </c>
    </row>
    <row r="82" spans="1:35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5"/>
        <v>6</v>
      </c>
      <c r="G82" s="202"/>
      <c r="H82" s="202"/>
      <c r="I82" s="202"/>
      <c r="J82" s="202"/>
      <c r="K82" s="202"/>
      <c r="L82" s="202"/>
      <c r="M82" s="202"/>
      <c r="N82" s="202"/>
      <c r="O82" s="202">
        <v>1</v>
      </c>
      <c r="P82" s="202">
        <v>1</v>
      </c>
      <c r="Q82" s="202">
        <v>1</v>
      </c>
      <c r="R82" s="202">
        <v>1</v>
      </c>
      <c r="S82" s="202">
        <v>1</v>
      </c>
      <c r="T82" s="202">
        <v>1</v>
      </c>
      <c r="U82" s="305" t="s">
        <v>47</v>
      </c>
      <c r="V82" s="202"/>
      <c r="W82" s="202"/>
      <c r="X82" s="202"/>
      <c r="Y82" s="202"/>
      <c r="Z82" s="202"/>
      <c r="AA82" s="202"/>
      <c r="AB82" s="202"/>
      <c r="AC82" s="202"/>
      <c r="AD82" s="202"/>
      <c r="AE82" s="41">
        <f t="shared" si="14"/>
        <v>6</v>
      </c>
      <c r="AF82" s="116" t="s">
        <v>87</v>
      </c>
      <c r="AG82" s="546" t="s">
        <v>479</v>
      </c>
      <c r="AH82" s="542"/>
      <c r="AI82" s="189" t="s">
        <v>444</v>
      </c>
    </row>
    <row r="83" spans="1:35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5"/>
        <v>8</v>
      </c>
      <c r="G83" s="202"/>
      <c r="H83" s="202"/>
      <c r="I83" s="202"/>
      <c r="J83" s="202"/>
      <c r="K83" s="202"/>
      <c r="L83" s="202"/>
      <c r="M83" s="202">
        <v>1</v>
      </c>
      <c r="N83" s="202">
        <v>1</v>
      </c>
      <c r="O83" s="202">
        <v>1</v>
      </c>
      <c r="P83" s="202">
        <v>1</v>
      </c>
      <c r="Q83" s="202">
        <v>1</v>
      </c>
      <c r="R83" s="202">
        <v>1</v>
      </c>
      <c r="S83" s="202">
        <v>1</v>
      </c>
      <c r="T83" s="202">
        <v>1</v>
      </c>
      <c r="U83" s="305" t="s">
        <v>47</v>
      </c>
      <c r="V83" s="202"/>
      <c r="W83" s="202"/>
      <c r="X83" s="202"/>
      <c r="Y83" s="202"/>
      <c r="Z83" s="202"/>
      <c r="AA83" s="202"/>
      <c r="AB83" s="202"/>
      <c r="AC83" s="202"/>
      <c r="AD83" s="202"/>
      <c r="AE83" s="41">
        <f t="shared" si="14"/>
        <v>8</v>
      </c>
      <c r="AF83" s="116" t="s">
        <v>244</v>
      </c>
      <c r="AG83" s="546" t="s">
        <v>479</v>
      </c>
      <c r="AH83" s="542"/>
      <c r="AI83" s="189" t="s">
        <v>444</v>
      </c>
    </row>
    <row r="84" spans="1:35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5"/>
        <v>11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>
        <v>1</v>
      </c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>
        <v>1</v>
      </c>
      <c r="AB84" s="202">
        <v>1</v>
      </c>
      <c r="AC84" s="202">
        <v>1</v>
      </c>
      <c r="AD84" s="202">
        <v>1</v>
      </c>
      <c r="AE84" s="41">
        <f t="shared" si="14"/>
        <v>11</v>
      </c>
      <c r="AF84" s="116" t="s">
        <v>424</v>
      </c>
      <c r="AG84" s="546" t="s">
        <v>479</v>
      </c>
      <c r="AH84" s="542"/>
      <c r="AI84" s="189" t="s">
        <v>444</v>
      </c>
    </row>
    <row r="85" spans="1:35" ht="14.25" customHeight="1">
      <c r="A85" s="38" t="s">
        <v>145</v>
      </c>
      <c r="B85" s="345" t="s">
        <v>165</v>
      </c>
      <c r="C85" s="38">
        <v>992994680</v>
      </c>
      <c r="D85" s="62">
        <v>8</v>
      </c>
      <c r="E85" s="40" t="s">
        <v>166</v>
      </c>
      <c r="F85" s="41">
        <f t="shared" si="15"/>
        <v>9</v>
      </c>
      <c r="G85" s="202"/>
      <c r="H85" s="202"/>
      <c r="I85" s="202"/>
      <c r="J85" s="202"/>
      <c r="K85" s="202"/>
      <c r="L85" s="202"/>
      <c r="M85" s="202"/>
      <c r="N85" s="202"/>
      <c r="O85" s="202">
        <v>1</v>
      </c>
      <c r="P85" s="202">
        <v>1</v>
      </c>
      <c r="Q85" s="202">
        <v>1</v>
      </c>
      <c r="R85" s="202">
        <v>1</v>
      </c>
      <c r="S85" s="202">
        <v>1</v>
      </c>
      <c r="T85" s="202">
        <v>1</v>
      </c>
      <c r="U85" s="202">
        <v>1</v>
      </c>
      <c r="V85" s="202">
        <v>1</v>
      </c>
      <c r="W85" s="305" t="s">
        <v>47</v>
      </c>
      <c r="X85" s="202">
        <v>1</v>
      </c>
      <c r="Y85" s="202"/>
      <c r="Z85" s="202"/>
      <c r="AA85" s="202"/>
      <c r="AB85" s="202"/>
      <c r="AC85" s="202"/>
      <c r="AD85" s="202"/>
      <c r="AE85" s="41">
        <f t="shared" si="14"/>
        <v>9</v>
      </c>
      <c r="AF85" s="116" t="s">
        <v>180</v>
      </c>
      <c r="AG85" s="546" t="s">
        <v>479</v>
      </c>
      <c r="AH85" s="542"/>
      <c r="AI85" s="189" t="s">
        <v>444</v>
      </c>
    </row>
    <row r="86" spans="1:35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5"/>
        <v>10</v>
      </c>
      <c r="G86" s="202"/>
      <c r="H86" s="202"/>
      <c r="I86" s="202"/>
      <c r="J86" s="202"/>
      <c r="K86" s="202"/>
      <c r="L86" s="202"/>
      <c r="M86" s="202"/>
      <c r="N86" s="202"/>
      <c r="O86" s="202"/>
      <c r="P86" s="202">
        <v>1</v>
      </c>
      <c r="Q86" s="202">
        <v>1</v>
      </c>
      <c r="R86" s="202">
        <v>1</v>
      </c>
      <c r="S86" s="305" t="s">
        <v>47</v>
      </c>
      <c r="T86" s="202">
        <v>1</v>
      </c>
      <c r="U86" s="202">
        <v>1</v>
      </c>
      <c r="V86" s="202">
        <v>1</v>
      </c>
      <c r="W86" s="202">
        <v>1</v>
      </c>
      <c r="X86" s="202">
        <v>1</v>
      </c>
      <c r="Y86" s="202">
        <v>1</v>
      </c>
      <c r="Z86" s="202">
        <v>1</v>
      </c>
      <c r="AA86" s="202"/>
      <c r="AB86" s="202"/>
      <c r="AC86" s="202"/>
      <c r="AD86" s="202"/>
      <c r="AE86" s="41">
        <f t="shared" si="14"/>
        <v>10</v>
      </c>
      <c r="AF86" s="116" t="s">
        <v>164</v>
      </c>
      <c r="AG86" s="546" t="s">
        <v>479</v>
      </c>
      <c r="AH86" s="542"/>
      <c r="AI86" s="189" t="s">
        <v>444</v>
      </c>
    </row>
    <row r="87" spans="1:35" ht="14.25" customHeight="1">
      <c r="A87" s="98" t="s">
        <v>145</v>
      </c>
      <c r="B87" s="98" t="s">
        <v>451</v>
      </c>
      <c r="C87" s="98"/>
      <c r="D87" s="99">
        <v>10</v>
      </c>
      <c r="E87" s="40" t="s">
        <v>177</v>
      </c>
      <c r="F87" s="41">
        <f t="shared" si="15"/>
        <v>8</v>
      </c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305" t="s">
        <v>47</v>
      </c>
      <c r="T87" s="202">
        <v>1</v>
      </c>
      <c r="U87" s="202">
        <v>1</v>
      </c>
      <c r="V87" s="202"/>
      <c r="W87" s="202">
        <v>1</v>
      </c>
      <c r="X87" s="202">
        <v>1</v>
      </c>
      <c r="Y87" s="202">
        <v>1</v>
      </c>
      <c r="Z87" s="202">
        <v>1</v>
      </c>
      <c r="AA87" s="202">
        <v>1</v>
      </c>
      <c r="AB87" s="202">
        <v>1</v>
      </c>
      <c r="AC87" s="202"/>
      <c r="AD87" s="202"/>
      <c r="AE87" s="41">
        <f t="shared" si="14"/>
        <v>8</v>
      </c>
      <c r="AF87" s="116" t="s">
        <v>234</v>
      </c>
      <c r="AG87" s="546" t="s">
        <v>479</v>
      </c>
      <c r="AH87" s="542"/>
      <c r="AI87" s="189" t="s">
        <v>444</v>
      </c>
    </row>
    <row r="88" spans="1:35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5"/>
        <v>11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>
        <v>1</v>
      </c>
      <c r="AA88" s="202">
        <v>1</v>
      </c>
      <c r="AB88" s="202">
        <v>1</v>
      </c>
      <c r="AC88" s="202">
        <v>1</v>
      </c>
      <c r="AD88" s="202">
        <v>1</v>
      </c>
      <c r="AE88" s="41">
        <f t="shared" si="14"/>
        <v>11</v>
      </c>
      <c r="AF88" s="116" t="s">
        <v>432</v>
      </c>
      <c r="AG88" s="546" t="s">
        <v>479</v>
      </c>
      <c r="AH88" s="542"/>
      <c r="AI88" s="189" t="s">
        <v>444</v>
      </c>
    </row>
    <row r="89" spans="1:35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5"/>
        <v>8</v>
      </c>
      <c r="G89" s="202"/>
      <c r="H89" s="202"/>
      <c r="I89" s="202"/>
      <c r="J89" s="202"/>
      <c r="K89" s="202"/>
      <c r="L89" s="202"/>
      <c r="M89" s="202"/>
      <c r="N89" s="202">
        <v>1</v>
      </c>
      <c r="O89" s="202">
        <v>1</v>
      </c>
      <c r="P89" s="202">
        <v>1</v>
      </c>
      <c r="Q89" s="202">
        <v>1</v>
      </c>
      <c r="R89" s="202">
        <v>1</v>
      </c>
      <c r="S89" s="305" t="s">
        <v>47</v>
      </c>
      <c r="T89" s="202">
        <v>1</v>
      </c>
      <c r="U89" s="202">
        <v>1</v>
      </c>
      <c r="V89" s="202">
        <v>1</v>
      </c>
      <c r="W89" s="202"/>
      <c r="X89" s="202"/>
      <c r="Y89" s="202"/>
      <c r="Z89" s="202"/>
      <c r="AA89" s="202"/>
      <c r="AB89" s="202"/>
      <c r="AC89" s="202"/>
      <c r="AD89" s="202"/>
      <c r="AE89" s="41">
        <f t="shared" si="14"/>
        <v>8</v>
      </c>
      <c r="AF89" s="116" t="s">
        <v>228</v>
      </c>
      <c r="AG89" s="546" t="s">
        <v>479</v>
      </c>
      <c r="AH89" s="542"/>
      <c r="AI89" s="189" t="s">
        <v>444</v>
      </c>
    </row>
    <row r="90" spans="1:35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5"/>
        <v>10</v>
      </c>
      <c r="G90" s="202"/>
      <c r="H90" s="202"/>
      <c r="I90" s="202"/>
      <c r="J90" s="202"/>
      <c r="K90" s="202"/>
      <c r="L90" s="202"/>
      <c r="M90" s="202"/>
      <c r="N90" s="202"/>
      <c r="O90" s="202">
        <v>1</v>
      </c>
      <c r="P90" s="202">
        <v>1</v>
      </c>
      <c r="Q90" s="202">
        <v>1</v>
      </c>
      <c r="R90" s="202">
        <v>1</v>
      </c>
      <c r="S90" s="202">
        <v>1</v>
      </c>
      <c r="T90" s="305" t="s">
        <v>47</v>
      </c>
      <c r="U90" s="202">
        <v>1</v>
      </c>
      <c r="V90" s="202">
        <v>1</v>
      </c>
      <c r="W90" s="202">
        <v>1</v>
      </c>
      <c r="X90" s="202">
        <v>1</v>
      </c>
      <c r="Y90" s="202">
        <v>1</v>
      </c>
      <c r="Z90" s="202"/>
      <c r="AA90" s="202"/>
      <c r="AB90" s="202"/>
      <c r="AC90" s="202"/>
      <c r="AD90" s="202"/>
      <c r="AE90" s="41">
        <f t="shared" si="14"/>
        <v>10</v>
      </c>
      <c r="AF90" s="116" t="s">
        <v>119</v>
      </c>
      <c r="AG90" s="546" t="s">
        <v>479</v>
      </c>
      <c r="AH90" s="542"/>
      <c r="AI90" s="189" t="s">
        <v>444</v>
      </c>
    </row>
    <row r="91" spans="1:35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5"/>
        <v>9</v>
      </c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305" t="s">
        <v>47</v>
      </c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>
        <v>1</v>
      </c>
      <c r="Z91" s="202">
        <v>1</v>
      </c>
      <c r="AA91" s="202">
        <v>1</v>
      </c>
      <c r="AB91" s="202">
        <v>1</v>
      </c>
      <c r="AC91" s="202"/>
      <c r="AD91" s="202"/>
      <c r="AE91" s="41">
        <f t="shared" si="14"/>
        <v>9</v>
      </c>
      <c r="AF91" s="116" t="s">
        <v>148</v>
      </c>
      <c r="AG91" s="546" t="s">
        <v>479</v>
      </c>
      <c r="AH91" s="542"/>
      <c r="AI91" s="189" t="s">
        <v>444</v>
      </c>
    </row>
    <row r="92" spans="1:35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5"/>
        <v>8</v>
      </c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305" t="s">
        <v>47</v>
      </c>
      <c r="U92" s="202">
        <v>1</v>
      </c>
      <c r="V92" s="202">
        <v>1</v>
      </c>
      <c r="W92" s="202">
        <v>1</v>
      </c>
      <c r="X92" s="202">
        <v>1</v>
      </c>
      <c r="Y92" s="202">
        <v>1</v>
      </c>
      <c r="Z92" s="202">
        <v>1</v>
      </c>
      <c r="AA92" s="202">
        <v>1</v>
      </c>
      <c r="AB92" s="202">
        <v>1</v>
      </c>
      <c r="AC92" s="202"/>
      <c r="AD92" s="202"/>
      <c r="AE92" s="41">
        <f t="shared" si="14"/>
        <v>8</v>
      </c>
      <c r="AF92" s="116" t="s">
        <v>255</v>
      </c>
      <c r="AG92" s="546" t="s">
        <v>479</v>
      </c>
      <c r="AH92" s="542"/>
      <c r="AI92" s="189" t="s">
        <v>444</v>
      </c>
    </row>
    <row r="93" spans="1:35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5"/>
        <v>10</v>
      </c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305" t="s">
        <v>47</v>
      </c>
      <c r="R93" s="202">
        <v>1</v>
      </c>
      <c r="S93" s="202">
        <v>1</v>
      </c>
      <c r="T93" s="202">
        <v>1</v>
      </c>
      <c r="U93" s="202">
        <v>1</v>
      </c>
      <c r="V93" s="202">
        <v>1</v>
      </c>
      <c r="W93" s="202">
        <v>1</v>
      </c>
      <c r="X93" s="202">
        <v>1</v>
      </c>
      <c r="Y93" s="202">
        <v>1</v>
      </c>
      <c r="Z93" s="202"/>
      <c r="AA93" s="202">
        <v>1</v>
      </c>
      <c r="AB93" s="202">
        <v>1</v>
      </c>
      <c r="AC93" s="202"/>
      <c r="AD93" s="202"/>
      <c r="AE93" s="41">
        <f t="shared" si="14"/>
        <v>10</v>
      </c>
      <c r="AF93" s="116" t="s">
        <v>740</v>
      </c>
      <c r="AG93" s="546" t="s">
        <v>479</v>
      </c>
      <c r="AH93" s="542"/>
      <c r="AI93" s="189" t="s">
        <v>444</v>
      </c>
    </row>
    <row r="94" spans="1:35" ht="14.25" customHeight="1">
      <c r="A94" s="38" t="s">
        <v>145</v>
      </c>
      <c r="B94" s="38" t="s">
        <v>472</v>
      </c>
      <c r="C94" s="38"/>
      <c r="D94" s="39">
        <v>17</v>
      </c>
      <c r="E94" s="40" t="s">
        <v>184</v>
      </c>
      <c r="F94" s="41">
        <f t="shared" si="15"/>
        <v>10</v>
      </c>
      <c r="G94" s="202"/>
      <c r="H94" s="202"/>
      <c r="I94" s="202"/>
      <c r="J94" s="202"/>
      <c r="K94" s="202"/>
      <c r="L94" s="202"/>
      <c r="M94" s="202">
        <v>1</v>
      </c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305" t="s">
        <v>47</v>
      </c>
      <c r="X94" s="202"/>
      <c r="Y94" s="202"/>
      <c r="Z94" s="202"/>
      <c r="AA94" s="202"/>
      <c r="AB94" s="202"/>
      <c r="AC94" s="202"/>
      <c r="AD94" s="202"/>
      <c r="AE94" s="41">
        <f t="shared" si="14"/>
        <v>10</v>
      </c>
      <c r="AF94" s="116" t="s">
        <v>192</v>
      </c>
      <c r="AG94" s="546" t="s">
        <v>479</v>
      </c>
      <c r="AH94" s="542"/>
      <c r="AI94" s="189" t="s">
        <v>444</v>
      </c>
    </row>
    <row r="95" spans="1:35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  <c r="AH95" s="3"/>
      <c r="AI95" s="3"/>
    </row>
    <row r="96" spans="1:3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</sheetData>
  <customSheetViews>
    <customSheetView guid="{D6F95600-F5D2-44BC-80B6-0F2773D5BD92}" filter="1" showAutoFilter="1">
      <pageMargins left="0.7" right="0.7" top="0.75" bottom="0.75" header="0.3" footer="0.3"/>
      <autoFilter ref="A3:AI96" xr:uid="{CE993D9F-EF50-449B-9A84-09E0D81D8CF2}"/>
    </customSheetView>
    <customSheetView guid="{833D6734-F5E1-4449-B5A1-8C3A51A61651}" filter="1" showAutoFilter="1">
      <pageMargins left="0.7" right="0.7" top="0.75" bottom="0.75" header="0.3" footer="0.3"/>
      <autoFilter ref="A7:AI96" xr:uid="{A1F05D89-F8DD-4F82-9208-5E4BAB78CAB5}">
        <filterColumn colId="26">
          <filters>
            <filter val="-"/>
            <filter val="1"/>
            <filter val="7"/>
            <filter val="MONITOREOS"/>
            <filter val="S"/>
            <filter val="VIP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96" xr:uid="{4AD5146E-D747-484C-A6F9-A01435099887}">
        <filterColumn colId="15">
          <filters>
            <filter val="-"/>
            <filter val="1"/>
            <filter val="10"/>
            <filter val="11"/>
            <filter val="18"/>
            <filter val="C"/>
            <filter val="DTH"/>
            <filter val="MONITOREOS"/>
            <filter val="SEGUIMIENTO TRANSFERENCIAS"/>
            <filter val="VIP"/>
          </filters>
        </filterColumn>
      </autoFilter>
    </customSheetView>
  </customSheetViews>
  <mergeCells count="79">
    <mergeCell ref="O49:Z49"/>
    <mergeCell ref="AG49:AH49"/>
    <mergeCell ref="E55:F55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N47:U47"/>
    <mergeCell ref="AG47:AH47"/>
    <mergeCell ref="V48:AC48"/>
    <mergeCell ref="AG48:AH48"/>
    <mergeCell ref="AG34:AH34"/>
    <mergeCell ref="AG35:AH35"/>
    <mergeCell ref="AG36:AH36"/>
    <mergeCell ref="AG37:AH37"/>
    <mergeCell ref="AG38:AH38"/>
    <mergeCell ref="AG29:AH29"/>
    <mergeCell ref="V30:AC30"/>
    <mergeCell ref="V31:AC31"/>
    <mergeCell ref="V33:AC33"/>
    <mergeCell ref="AG31:AH31"/>
    <mergeCell ref="AG32:AH32"/>
    <mergeCell ref="AG24:AH24"/>
    <mergeCell ref="AG25:AH25"/>
    <mergeCell ref="AG26:AH26"/>
    <mergeCell ref="AG27:AH27"/>
    <mergeCell ref="AG28:AH28"/>
    <mergeCell ref="AG19:AH19"/>
    <mergeCell ref="AG20:AH20"/>
    <mergeCell ref="AG21:AH21"/>
    <mergeCell ref="AG22:AH22"/>
    <mergeCell ref="AG23:AH23"/>
    <mergeCell ref="AG14:AH14"/>
    <mergeCell ref="AG15:AH15"/>
    <mergeCell ref="AG16:AH16"/>
    <mergeCell ref="P17:Z17"/>
    <mergeCell ref="AG18:AH18"/>
    <mergeCell ref="AG8:AH8"/>
    <mergeCell ref="AG9:AH9"/>
    <mergeCell ref="AG10:AH10"/>
    <mergeCell ref="AG12:AH12"/>
    <mergeCell ref="AG13:AH13"/>
    <mergeCell ref="A1:B1"/>
    <mergeCell ref="D3:AE3"/>
    <mergeCell ref="E4:F4"/>
    <mergeCell ref="E5:F5"/>
    <mergeCell ref="AG7:AH7"/>
    <mergeCell ref="AG83:AH83"/>
    <mergeCell ref="AG84:AH84"/>
    <mergeCell ref="AG92:AH92"/>
    <mergeCell ref="AG93:AH93"/>
    <mergeCell ref="AG94:AH94"/>
    <mergeCell ref="AG85:AH85"/>
    <mergeCell ref="AG86:AH86"/>
    <mergeCell ref="AG87:AH87"/>
    <mergeCell ref="AG88:AH88"/>
    <mergeCell ref="AG89:AH89"/>
    <mergeCell ref="AG90:AH90"/>
    <mergeCell ref="AG91:AH91"/>
    <mergeCell ref="AG78:AH78"/>
    <mergeCell ref="AG79:AH79"/>
    <mergeCell ref="AG80:AH80"/>
    <mergeCell ref="AG81:AH81"/>
    <mergeCell ref="AG82:AH82"/>
    <mergeCell ref="AG66:AH66"/>
    <mergeCell ref="AG67:AH67"/>
    <mergeCell ref="AG68:AH68"/>
    <mergeCell ref="E74:F74"/>
    <mergeCell ref="AG59:AH59"/>
    <mergeCell ref="AG60:AH60"/>
    <mergeCell ref="AG61:AH61"/>
    <mergeCell ref="AG62:AH62"/>
    <mergeCell ref="AG63:AH63"/>
    <mergeCell ref="AG64:AH64"/>
    <mergeCell ref="AG65:AH65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I96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16" width="4.140625" customWidth="1"/>
    <col min="17" max="17" width="5.42578125" customWidth="1"/>
    <col min="18" max="30" width="4.140625" customWidth="1"/>
    <col min="31" max="31" width="5.5703125" customWidth="1"/>
    <col min="32" max="32" width="39.85546875" customWidth="1"/>
    <col min="33" max="33" width="14.5703125" customWidth="1"/>
    <col min="34" max="34" width="16.7109375" customWidth="1"/>
    <col min="35" max="35" width="27.7109375" customWidth="1"/>
  </cols>
  <sheetData>
    <row r="1" spans="1:35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7.25">
      <c r="A3" s="6" t="s">
        <v>3</v>
      </c>
      <c r="B3" s="7" t="s">
        <v>4</v>
      </c>
      <c r="C3" s="2"/>
      <c r="D3" s="565" t="s">
        <v>557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32</v>
      </c>
      <c r="AG3" s="3"/>
      <c r="AH3" s="3"/>
      <c r="AI3" s="3">
        <f>AE4/10</f>
        <v>33.6</v>
      </c>
    </row>
    <row r="4" spans="1:35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4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13</v>
      </c>
      <c r="N4" s="204">
        <v>14</v>
      </c>
      <c r="O4" s="204">
        <v>24</v>
      </c>
      <c r="P4" s="204">
        <v>19</v>
      </c>
      <c r="Q4" s="204">
        <v>23</v>
      </c>
      <c r="R4" s="204">
        <v>21</v>
      </c>
      <c r="S4" s="204">
        <v>19</v>
      </c>
      <c r="T4" s="204">
        <v>19</v>
      </c>
      <c r="U4" s="204">
        <v>20</v>
      </c>
      <c r="V4" s="204">
        <v>20</v>
      </c>
      <c r="W4" s="204">
        <v>21</v>
      </c>
      <c r="X4" s="204">
        <v>18</v>
      </c>
      <c r="Y4" s="204">
        <v>16</v>
      </c>
      <c r="Z4" s="204">
        <v>23</v>
      </c>
      <c r="AA4" s="204">
        <v>20</v>
      </c>
      <c r="AB4" s="204">
        <v>15</v>
      </c>
      <c r="AC4" s="204">
        <v>8</v>
      </c>
      <c r="AD4" s="204">
        <v>4</v>
      </c>
      <c r="AE4" s="18">
        <f>SUM(G4:AD4)</f>
        <v>336</v>
      </c>
      <c r="AF4" s="3"/>
      <c r="AG4" s="3"/>
      <c r="AH4" s="3"/>
      <c r="AI4" s="3"/>
    </row>
    <row r="5" spans="1:35" ht="62.25">
      <c r="A5" s="3"/>
      <c r="B5" s="2"/>
      <c r="C5" s="2"/>
      <c r="D5" s="19"/>
      <c r="E5" s="569">
        <v>28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</row>
    <row r="6" spans="1:35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05">
        <f t="shared" si="0"/>
        <v>0</v>
      </c>
      <c r="N6" s="205">
        <f t="shared" si="0"/>
        <v>0</v>
      </c>
      <c r="O6" s="205">
        <f t="shared" si="0"/>
        <v>-1</v>
      </c>
      <c r="P6" s="28">
        <f t="shared" si="0"/>
        <v>0</v>
      </c>
      <c r="Q6" s="28">
        <f t="shared" si="0"/>
        <v>-1</v>
      </c>
      <c r="R6" s="28">
        <f t="shared" si="0"/>
        <v>0</v>
      </c>
      <c r="S6" s="28">
        <f t="shared" si="0"/>
        <v>0</v>
      </c>
      <c r="T6" s="28">
        <f t="shared" si="0"/>
        <v>-1</v>
      </c>
      <c r="U6" s="28">
        <f t="shared" si="0"/>
        <v>0</v>
      </c>
      <c r="V6" s="28">
        <f t="shared" si="0"/>
        <v>1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-1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0" si="1">SUM(G6:AD6)</f>
        <v>-3</v>
      </c>
      <c r="AG6" s="24"/>
      <c r="AH6" s="24"/>
      <c r="AI6" s="24"/>
    </row>
    <row r="7" spans="1:35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13</v>
      </c>
      <c r="N7" s="172">
        <f t="shared" si="2"/>
        <v>14</v>
      </c>
      <c r="O7" s="172">
        <f t="shared" si="2"/>
        <v>23</v>
      </c>
      <c r="P7" s="172">
        <f t="shared" si="2"/>
        <v>19</v>
      </c>
      <c r="Q7" s="172">
        <f t="shared" si="2"/>
        <v>22</v>
      </c>
      <c r="R7" s="172">
        <f t="shared" si="2"/>
        <v>21</v>
      </c>
      <c r="S7" s="172">
        <f t="shared" si="2"/>
        <v>19</v>
      </c>
      <c r="T7" s="172">
        <f t="shared" si="2"/>
        <v>18</v>
      </c>
      <c r="U7" s="172">
        <f t="shared" si="2"/>
        <v>20</v>
      </c>
      <c r="V7" s="172">
        <f t="shared" si="2"/>
        <v>21</v>
      </c>
      <c r="W7" s="172">
        <f t="shared" si="2"/>
        <v>21</v>
      </c>
      <c r="X7" s="172">
        <f t="shared" si="2"/>
        <v>18</v>
      </c>
      <c r="Y7" s="172">
        <f t="shared" si="2"/>
        <v>16</v>
      </c>
      <c r="Z7" s="172">
        <f t="shared" si="2"/>
        <v>22</v>
      </c>
      <c r="AA7" s="172">
        <f t="shared" si="2"/>
        <v>20</v>
      </c>
      <c r="AB7" s="172">
        <f t="shared" si="2"/>
        <v>15</v>
      </c>
      <c r="AC7" s="172">
        <f t="shared" si="2"/>
        <v>8</v>
      </c>
      <c r="AD7" s="172">
        <f t="shared" si="2"/>
        <v>4</v>
      </c>
      <c r="AE7" s="168">
        <f t="shared" si="1"/>
        <v>333</v>
      </c>
      <c r="AF7" s="36" t="s">
        <v>39</v>
      </c>
      <c r="AG7" s="571" t="s">
        <v>440</v>
      </c>
      <c r="AH7" s="572"/>
      <c r="AI7" s="37" t="s">
        <v>40</v>
      </c>
    </row>
    <row r="8" spans="1:35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49" si="3">SUM(G8:AD8)</f>
        <v>14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>
        <v>1</v>
      </c>
      <c r="O8" s="176">
        <v>1</v>
      </c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14</v>
      </c>
      <c r="AF8" s="116" t="s">
        <v>741</v>
      </c>
      <c r="AG8" s="550" t="s">
        <v>41</v>
      </c>
      <c r="AH8" s="542"/>
      <c r="AI8" s="189" t="s">
        <v>444</v>
      </c>
    </row>
    <row r="9" spans="1:35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13</v>
      </c>
      <c r="G9" s="176"/>
      <c r="H9" s="176"/>
      <c r="I9" s="176"/>
      <c r="J9" s="176"/>
      <c r="K9" s="176"/>
      <c r="L9" s="176"/>
      <c r="M9" s="176"/>
      <c r="N9" s="176">
        <v>1</v>
      </c>
      <c r="O9" s="176">
        <v>1</v>
      </c>
      <c r="P9" s="176"/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>
        <v>1</v>
      </c>
      <c r="Y9" s="176">
        <v>1</v>
      </c>
      <c r="Z9" s="176">
        <v>1</v>
      </c>
      <c r="AA9" s="176">
        <v>1</v>
      </c>
      <c r="AB9" s="176"/>
      <c r="AC9" s="176"/>
      <c r="AD9" s="176"/>
      <c r="AE9" s="41">
        <f t="shared" si="1"/>
        <v>13</v>
      </c>
      <c r="AF9" s="116" t="s">
        <v>733</v>
      </c>
      <c r="AG9" s="550" t="s">
        <v>41</v>
      </c>
      <c r="AH9" s="542"/>
      <c r="AI9" s="189" t="s">
        <v>444</v>
      </c>
    </row>
    <row r="10" spans="1:35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9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/>
      <c r="Q10" s="176">
        <v>1</v>
      </c>
      <c r="R10" s="176">
        <v>1</v>
      </c>
      <c r="S10" s="176">
        <v>1</v>
      </c>
      <c r="T10" s="176">
        <v>1</v>
      </c>
      <c r="U10" s="176">
        <v>1</v>
      </c>
      <c r="V10" s="176">
        <v>1</v>
      </c>
      <c r="W10" s="176"/>
      <c r="X10" s="176"/>
      <c r="Y10" s="176"/>
      <c r="Z10" s="176"/>
      <c r="AA10" s="176"/>
      <c r="AB10" s="176"/>
      <c r="AC10" s="176"/>
      <c r="AD10" s="176"/>
      <c r="AE10" s="41">
        <f t="shared" si="1"/>
        <v>9</v>
      </c>
      <c r="AF10" s="116" t="s">
        <v>540</v>
      </c>
      <c r="AG10" s="550" t="s">
        <v>41</v>
      </c>
      <c r="AH10" s="542"/>
      <c r="AI10" s="189" t="s">
        <v>444</v>
      </c>
    </row>
    <row r="11" spans="1:35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6</v>
      </c>
      <c r="G11" s="176"/>
      <c r="H11" s="176"/>
      <c r="I11" s="176"/>
      <c r="J11" s="176"/>
      <c r="K11" s="176"/>
      <c r="L11" s="176"/>
      <c r="M11" s="176">
        <v>1</v>
      </c>
      <c r="N11" s="176">
        <v>1</v>
      </c>
      <c r="O11" s="176">
        <v>1</v>
      </c>
      <c r="P11" s="176">
        <v>1</v>
      </c>
      <c r="Q11" s="176">
        <v>1</v>
      </c>
      <c r="R11" s="176">
        <v>1</v>
      </c>
      <c r="S11" s="343"/>
      <c r="T11" s="343"/>
      <c r="U11" s="343"/>
      <c r="V11" s="343"/>
      <c r="W11" s="176"/>
      <c r="X11" s="176"/>
      <c r="Y11" s="176"/>
      <c r="Z11" s="176"/>
      <c r="AA11" s="176"/>
      <c r="AB11" s="176"/>
      <c r="AC11" s="176"/>
      <c r="AD11" s="176"/>
      <c r="AE11" s="41">
        <v>10</v>
      </c>
      <c r="AF11" s="116" t="s">
        <v>151</v>
      </c>
      <c r="AG11" s="176" t="s">
        <v>41</v>
      </c>
      <c r="AH11" s="335" t="s">
        <v>717</v>
      </c>
      <c r="AI11" s="178" t="s">
        <v>444</v>
      </c>
    </row>
    <row r="12" spans="1:35" ht="14.25" customHeight="1">
      <c r="A12" s="38" t="s">
        <v>41</v>
      </c>
      <c r="B12" s="38" t="s">
        <v>59</v>
      </c>
      <c r="C12" s="38"/>
      <c r="D12" s="99">
        <v>6</v>
      </c>
      <c r="E12" s="207" t="s">
        <v>60</v>
      </c>
      <c r="F12" s="41">
        <f t="shared" si="3"/>
        <v>12</v>
      </c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>
        <v>1</v>
      </c>
      <c r="R12" s="176">
        <v>1</v>
      </c>
      <c r="S12" s="176">
        <v>1</v>
      </c>
      <c r="T12" s="176">
        <v>1</v>
      </c>
      <c r="U12" s="176">
        <v>1</v>
      </c>
      <c r="V12" s="176">
        <v>1</v>
      </c>
      <c r="W12" s="176">
        <v>1</v>
      </c>
      <c r="X12" s="176">
        <v>1</v>
      </c>
      <c r="Y12" s="176"/>
      <c r="Z12" s="176">
        <v>1</v>
      </c>
      <c r="AA12" s="176">
        <v>1</v>
      </c>
      <c r="AB12" s="176">
        <v>1</v>
      </c>
      <c r="AC12" s="176">
        <v>1</v>
      </c>
      <c r="AD12" s="176"/>
      <c r="AE12" s="41">
        <f t="shared" ref="AE12:AE16" si="4">SUM(G12:AD12)</f>
        <v>12</v>
      </c>
      <c r="AF12" s="116" t="s">
        <v>633</v>
      </c>
      <c r="AG12" s="550" t="s">
        <v>41</v>
      </c>
      <c r="AH12" s="542"/>
      <c r="AI12" s="189" t="s">
        <v>444</v>
      </c>
    </row>
    <row r="13" spans="1:35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0</v>
      </c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41">
        <f t="shared" si="4"/>
        <v>0</v>
      </c>
      <c r="AF13" s="116" t="s">
        <v>652</v>
      </c>
      <c r="AG13" s="550" t="s">
        <v>41</v>
      </c>
      <c r="AH13" s="542"/>
      <c r="AI13" s="189" t="s">
        <v>444</v>
      </c>
    </row>
    <row r="14" spans="1:35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11</v>
      </c>
      <c r="G14" s="176"/>
      <c r="H14" s="176"/>
      <c r="I14" s="176"/>
      <c r="J14" s="176"/>
      <c r="K14" s="176"/>
      <c r="L14" s="176"/>
      <c r="M14" s="176">
        <v>1</v>
      </c>
      <c r="N14" s="176">
        <v>1</v>
      </c>
      <c r="O14" s="176">
        <v>1</v>
      </c>
      <c r="P14" s="176">
        <v>1</v>
      </c>
      <c r="Q14" s="176">
        <v>1</v>
      </c>
      <c r="R14" s="176">
        <v>1</v>
      </c>
      <c r="S14" s="176">
        <v>1</v>
      </c>
      <c r="T14" s="176">
        <v>1</v>
      </c>
      <c r="U14" s="295">
        <v>1</v>
      </c>
      <c r="V14" s="176">
        <v>1</v>
      </c>
      <c r="W14" s="176">
        <v>1</v>
      </c>
      <c r="X14" s="176"/>
      <c r="Y14" s="176"/>
      <c r="Z14" s="176"/>
      <c r="AA14" s="176"/>
      <c r="AB14" s="176"/>
      <c r="AC14" s="176"/>
      <c r="AD14" s="176"/>
      <c r="AE14" s="41">
        <f t="shared" si="4"/>
        <v>11</v>
      </c>
      <c r="AF14" s="116" t="s">
        <v>367</v>
      </c>
      <c r="AG14" s="550" t="s">
        <v>41</v>
      </c>
      <c r="AH14" s="542"/>
      <c r="AI14" s="189" t="s">
        <v>444</v>
      </c>
    </row>
    <row r="15" spans="1:35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8</v>
      </c>
      <c r="G15" s="176">
        <v>1</v>
      </c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>
        <v>1</v>
      </c>
      <c r="X15" s="176">
        <v>1</v>
      </c>
      <c r="Y15" s="176">
        <v>1</v>
      </c>
      <c r="Z15" s="176">
        <v>1</v>
      </c>
      <c r="AA15" s="176">
        <v>1</v>
      </c>
      <c r="AB15" s="176">
        <v>1</v>
      </c>
      <c r="AC15" s="176">
        <v>1</v>
      </c>
      <c r="AD15" s="176"/>
      <c r="AE15" s="41">
        <f t="shared" si="4"/>
        <v>8</v>
      </c>
      <c r="AF15" s="116" t="s">
        <v>742</v>
      </c>
      <c r="AG15" s="550" t="s">
        <v>41</v>
      </c>
      <c r="AH15" s="542"/>
      <c r="AI15" s="189" t="s">
        <v>444</v>
      </c>
    </row>
    <row r="16" spans="1:35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10</v>
      </c>
      <c r="G16" s="176"/>
      <c r="H16" s="176"/>
      <c r="I16" s="176"/>
      <c r="J16" s="176"/>
      <c r="K16" s="176"/>
      <c r="L16" s="176"/>
      <c r="M16" s="176">
        <v>1</v>
      </c>
      <c r="N16" s="176">
        <v>1</v>
      </c>
      <c r="O16" s="176">
        <v>1</v>
      </c>
      <c r="P16" s="176">
        <v>1</v>
      </c>
      <c r="Q16" s="176">
        <v>1</v>
      </c>
      <c r="R16" s="176">
        <v>1</v>
      </c>
      <c r="S16" s="295">
        <v>1</v>
      </c>
      <c r="T16" s="176">
        <v>1</v>
      </c>
      <c r="U16" s="176">
        <v>1</v>
      </c>
      <c r="V16" s="176">
        <v>1</v>
      </c>
      <c r="W16" s="176"/>
      <c r="X16" s="176"/>
      <c r="Y16" s="176"/>
      <c r="Z16" s="176"/>
      <c r="AA16" s="176"/>
      <c r="AB16" s="176"/>
      <c r="AC16" s="176"/>
      <c r="AD16" s="176"/>
      <c r="AE16" s="41">
        <f t="shared" si="4"/>
        <v>10</v>
      </c>
      <c r="AF16" s="116" t="s">
        <v>224</v>
      </c>
      <c r="AG16" s="550" t="s">
        <v>41</v>
      </c>
      <c r="AH16" s="542"/>
      <c r="AI16" s="189" t="s">
        <v>444</v>
      </c>
    </row>
    <row r="17" spans="1:35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f t="shared" si="3"/>
        <v>2</v>
      </c>
      <c r="G17" s="42"/>
      <c r="H17" s="77"/>
      <c r="I17" s="77"/>
      <c r="J17" s="77"/>
      <c r="K17" s="77"/>
      <c r="L17" s="77"/>
      <c r="M17" s="77"/>
      <c r="N17" s="176">
        <v>1</v>
      </c>
      <c r="O17" s="216">
        <v>1</v>
      </c>
      <c r="P17" s="579" t="s">
        <v>471</v>
      </c>
      <c r="Q17" s="555"/>
      <c r="R17" s="555"/>
      <c r="S17" s="555"/>
      <c r="T17" s="555"/>
      <c r="U17" s="555"/>
      <c r="V17" s="555"/>
      <c r="W17" s="555"/>
      <c r="X17" s="555"/>
      <c r="Y17" s="555"/>
      <c r="Z17" s="542"/>
      <c r="AA17" s="176"/>
      <c r="AB17" s="176"/>
      <c r="AC17" s="176"/>
      <c r="AD17" s="176"/>
      <c r="AE17" s="41">
        <v>13</v>
      </c>
      <c r="AF17" s="116" t="s">
        <v>735</v>
      </c>
      <c r="AG17" s="176" t="s">
        <v>41</v>
      </c>
      <c r="AH17" s="186" t="s">
        <v>471</v>
      </c>
      <c r="AI17" s="189" t="s">
        <v>444</v>
      </c>
    </row>
    <row r="18" spans="1:35" ht="14.25" customHeight="1">
      <c r="A18" s="76" t="s">
        <v>41</v>
      </c>
      <c r="B18" s="76" t="s">
        <v>198</v>
      </c>
      <c r="C18" s="76"/>
      <c r="D18" s="39">
        <v>17</v>
      </c>
      <c r="E18" s="175" t="s">
        <v>99</v>
      </c>
      <c r="F18" s="41">
        <f t="shared" si="3"/>
        <v>8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>
        <v>1</v>
      </c>
      <c r="AA18" s="176">
        <v>1</v>
      </c>
      <c r="AB18" s="176">
        <v>1</v>
      </c>
      <c r="AC18" s="176"/>
      <c r="AD18" s="176"/>
      <c r="AE18" s="41">
        <f t="shared" ref="AE18:AE26" si="5">SUM(G18:AD18)</f>
        <v>8</v>
      </c>
      <c r="AF18" s="116" t="s">
        <v>78</v>
      </c>
      <c r="AG18" s="550" t="s">
        <v>41</v>
      </c>
      <c r="AH18" s="542"/>
      <c r="AI18" s="189" t="s">
        <v>444</v>
      </c>
    </row>
    <row r="19" spans="1:35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211" t="s">
        <v>102</v>
      </c>
      <c r="F19" s="41">
        <f t="shared" si="3"/>
        <v>9</v>
      </c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>
        <v>1</v>
      </c>
      <c r="V19" s="176">
        <v>1</v>
      </c>
      <c r="W19" s="176">
        <v>1</v>
      </c>
      <c r="X19" s="176">
        <v>1</v>
      </c>
      <c r="Y19" s="176">
        <v>1</v>
      </c>
      <c r="Z19" s="176">
        <v>1</v>
      </c>
      <c r="AA19" s="176">
        <v>1</v>
      </c>
      <c r="AB19" s="176">
        <v>1</v>
      </c>
      <c r="AC19" s="176">
        <v>1</v>
      </c>
      <c r="AD19" s="176"/>
      <c r="AE19" s="41">
        <f t="shared" si="5"/>
        <v>9</v>
      </c>
      <c r="AF19" s="116" t="s">
        <v>81</v>
      </c>
      <c r="AG19" s="550" t="s">
        <v>41</v>
      </c>
      <c r="AH19" s="542"/>
      <c r="AI19" s="189" t="s">
        <v>444</v>
      </c>
    </row>
    <row r="20" spans="1:35" ht="14.25" customHeight="1">
      <c r="A20" s="38" t="s">
        <v>41</v>
      </c>
      <c r="B20" s="38" t="s">
        <v>103</v>
      </c>
      <c r="C20" s="38"/>
      <c r="D20" s="86">
        <v>19</v>
      </c>
      <c r="E20" s="207" t="s">
        <v>104</v>
      </c>
      <c r="F20" s="41">
        <f t="shared" si="3"/>
        <v>13</v>
      </c>
      <c r="G20" s="77"/>
      <c r="H20" s="77"/>
      <c r="I20" s="77"/>
      <c r="J20" s="77"/>
      <c r="K20" s="77"/>
      <c r="L20" s="77"/>
      <c r="M20" s="176"/>
      <c r="N20" s="176"/>
      <c r="O20" s="176">
        <v>1</v>
      </c>
      <c r="P20" s="176">
        <v>1</v>
      </c>
      <c r="Q20" s="176">
        <v>1</v>
      </c>
      <c r="R20" s="176">
        <v>1</v>
      </c>
      <c r="S20" s="176">
        <v>1</v>
      </c>
      <c r="T20" s="176"/>
      <c r="U20" s="176">
        <v>1</v>
      </c>
      <c r="V20" s="176">
        <v>1</v>
      </c>
      <c r="W20" s="176">
        <v>1</v>
      </c>
      <c r="X20" s="176">
        <v>1</v>
      </c>
      <c r="Y20" s="176">
        <v>1</v>
      </c>
      <c r="Z20" s="176">
        <v>1</v>
      </c>
      <c r="AA20" s="176">
        <v>1</v>
      </c>
      <c r="AB20" s="176">
        <v>1</v>
      </c>
      <c r="AC20" s="77"/>
      <c r="AD20" s="77"/>
      <c r="AE20" s="41">
        <f t="shared" si="5"/>
        <v>13</v>
      </c>
      <c r="AF20" s="116" t="s">
        <v>719</v>
      </c>
      <c r="AG20" s="550" t="s">
        <v>41</v>
      </c>
      <c r="AH20" s="542"/>
      <c r="AI20" s="189" t="s">
        <v>444</v>
      </c>
    </row>
    <row r="21" spans="1:35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3"/>
        <v>6</v>
      </c>
      <c r="G21" s="176"/>
      <c r="H21" s="176"/>
      <c r="I21" s="176"/>
      <c r="J21" s="176"/>
      <c r="K21" s="176"/>
      <c r="L21" s="176"/>
      <c r="M21" s="176">
        <v>1</v>
      </c>
      <c r="N21" s="176">
        <v>1</v>
      </c>
      <c r="O21" s="176">
        <v>1</v>
      </c>
      <c r="P21" s="176">
        <v>1</v>
      </c>
      <c r="Q21" s="176">
        <v>1</v>
      </c>
      <c r="R21" s="176">
        <v>1</v>
      </c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41">
        <f t="shared" si="5"/>
        <v>6</v>
      </c>
      <c r="AF21" s="116" t="s">
        <v>227</v>
      </c>
      <c r="AG21" s="550" t="s">
        <v>41</v>
      </c>
      <c r="AH21" s="542"/>
      <c r="AI21" s="189" t="s">
        <v>444</v>
      </c>
    </row>
    <row r="22" spans="1:35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3"/>
        <v>13</v>
      </c>
      <c r="G22" s="176"/>
      <c r="H22" s="176"/>
      <c r="I22" s="176"/>
      <c r="J22" s="176"/>
      <c r="K22" s="176"/>
      <c r="L22" s="176"/>
      <c r="M22" s="176"/>
      <c r="N22" s="176"/>
      <c r="O22" s="176">
        <v>1</v>
      </c>
      <c r="P22" s="176">
        <v>1</v>
      </c>
      <c r="Q22" s="176">
        <v>1</v>
      </c>
      <c r="R22" s="176">
        <v>1</v>
      </c>
      <c r="S22" s="176">
        <v>1</v>
      </c>
      <c r="T22" s="176"/>
      <c r="U22" s="176">
        <v>1</v>
      </c>
      <c r="V22" s="176">
        <v>1</v>
      </c>
      <c r="W22" s="176">
        <v>1</v>
      </c>
      <c r="X22" s="176">
        <v>1</v>
      </c>
      <c r="Y22" s="176">
        <v>1</v>
      </c>
      <c r="Z22" s="176">
        <v>1</v>
      </c>
      <c r="AA22" s="176">
        <v>1</v>
      </c>
      <c r="AB22" s="176">
        <v>1</v>
      </c>
      <c r="AC22" s="176"/>
      <c r="AD22" s="176"/>
      <c r="AE22" s="41">
        <f t="shared" si="5"/>
        <v>13</v>
      </c>
      <c r="AF22" s="116" t="s">
        <v>743</v>
      </c>
      <c r="AG22" s="550" t="s">
        <v>41</v>
      </c>
      <c r="AH22" s="542"/>
      <c r="AI22" s="189" t="s">
        <v>444</v>
      </c>
    </row>
    <row r="23" spans="1:35" ht="14.25" customHeight="1">
      <c r="A23" s="98" t="s">
        <v>41</v>
      </c>
      <c r="B23" s="98" t="s">
        <v>111</v>
      </c>
      <c r="C23" s="98"/>
      <c r="D23" s="39">
        <v>23</v>
      </c>
      <c r="E23" s="208" t="s">
        <v>112</v>
      </c>
      <c r="F23" s="41">
        <f t="shared" si="3"/>
        <v>13</v>
      </c>
      <c r="G23" s="176"/>
      <c r="H23" s="176"/>
      <c r="I23" s="176"/>
      <c r="J23" s="176"/>
      <c r="K23" s="176"/>
      <c r="L23" s="176"/>
      <c r="M23" s="176"/>
      <c r="N23" s="176"/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/>
      <c r="V23" s="176">
        <v>1</v>
      </c>
      <c r="W23" s="176">
        <v>1</v>
      </c>
      <c r="X23" s="176">
        <v>1</v>
      </c>
      <c r="Y23" s="176">
        <v>1</v>
      </c>
      <c r="Z23" s="176">
        <v>1</v>
      </c>
      <c r="AA23" s="176">
        <v>1</v>
      </c>
      <c r="AB23" s="176">
        <v>1</v>
      </c>
      <c r="AC23" s="176"/>
      <c r="AD23" s="176"/>
      <c r="AE23" s="41">
        <f t="shared" si="5"/>
        <v>13</v>
      </c>
      <c r="AF23" s="116" t="s">
        <v>407</v>
      </c>
      <c r="AG23" s="550" t="s">
        <v>41</v>
      </c>
      <c r="AH23" s="542"/>
      <c r="AI23" s="189" t="s">
        <v>444</v>
      </c>
    </row>
    <row r="24" spans="1:35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3"/>
        <v>12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>
        <v>1</v>
      </c>
      <c r="AA24" s="176">
        <v>1</v>
      </c>
      <c r="AB24" s="176">
        <v>1</v>
      </c>
      <c r="AC24" s="176">
        <v>1</v>
      </c>
      <c r="AD24" s="176">
        <v>1</v>
      </c>
      <c r="AE24" s="41">
        <f t="shared" si="5"/>
        <v>12</v>
      </c>
      <c r="AF24" s="116" t="s">
        <v>311</v>
      </c>
      <c r="AG24" s="550" t="s">
        <v>41</v>
      </c>
      <c r="AH24" s="542"/>
      <c r="AI24" s="189" t="s">
        <v>444</v>
      </c>
    </row>
    <row r="25" spans="1:35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3"/>
        <v>13</v>
      </c>
      <c r="G25" s="176"/>
      <c r="H25" s="176"/>
      <c r="I25" s="176"/>
      <c r="J25" s="176"/>
      <c r="K25" s="176"/>
      <c r="L25" s="176"/>
      <c r="M25" s="176">
        <v>1</v>
      </c>
      <c r="N25" s="176">
        <v>1</v>
      </c>
      <c r="O25" s="176">
        <v>1</v>
      </c>
      <c r="P25" s="176">
        <v>1</v>
      </c>
      <c r="Q25" s="176">
        <v>1</v>
      </c>
      <c r="R25" s="176">
        <v>1</v>
      </c>
      <c r="S25" s="176">
        <v>1</v>
      </c>
      <c r="T25" s="176">
        <v>1</v>
      </c>
      <c r="U25" s="176">
        <v>1</v>
      </c>
      <c r="V25" s="176">
        <v>1</v>
      </c>
      <c r="W25" s="176">
        <v>1</v>
      </c>
      <c r="X25" s="176">
        <v>1</v>
      </c>
      <c r="Y25" s="176"/>
      <c r="Z25" s="176">
        <v>1</v>
      </c>
      <c r="AA25" s="176"/>
      <c r="AB25" s="176"/>
      <c r="AC25" s="176"/>
      <c r="AD25" s="176"/>
      <c r="AE25" s="41">
        <f t="shared" si="5"/>
        <v>13</v>
      </c>
      <c r="AF25" s="116" t="s">
        <v>744</v>
      </c>
      <c r="AG25" s="550" t="s">
        <v>41</v>
      </c>
      <c r="AH25" s="542"/>
      <c r="AI25" s="189" t="s">
        <v>444</v>
      </c>
    </row>
    <row r="26" spans="1:35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3"/>
        <v>12</v>
      </c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>
        <v>1</v>
      </c>
      <c r="T26" s="176">
        <v>1</v>
      </c>
      <c r="U26" s="176">
        <v>1</v>
      </c>
      <c r="V26" s="176">
        <v>1</v>
      </c>
      <c r="W26" s="176">
        <v>1</v>
      </c>
      <c r="X26" s="176">
        <v>1</v>
      </c>
      <c r="Y26" s="176">
        <v>1</v>
      </c>
      <c r="Z26" s="176">
        <v>1</v>
      </c>
      <c r="AA26" s="176">
        <v>1</v>
      </c>
      <c r="AB26" s="176">
        <v>1</v>
      </c>
      <c r="AC26" s="176">
        <v>1</v>
      </c>
      <c r="AD26" s="176">
        <v>1</v>
      </c>
      <c r="AE26" s="41">
        <f t="shared" si="5"/>
        <v>12</v>
      </c>
      <c r="AF26" s="116" t="s">
        <v>299</v>
      </c>
      <c r="AG26" s="550" t="s">
        <v>41</v>
      </c>
      <c r="AH26" s="542"/>
      <c r="AI26" s="189" t="s">
        <v>444</v>
      </c>
    </row>
    <row r="27" spans="1:35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3"/>
        <v>0</v>
      </c>
      <c r="G27" s="340"/>
      <c r="H27" s="340"/>
      <c r="I27" s="340" t="s">
        <v>350</v>
      </c>
      <c r="J27" s="340" t="s">
        <v>348</v>
      </c>
      <c r="K27" s="340" t="s">
        <v>528</v>
      </c>
      <c r="L27" s="340" t="s">
        <v>348</v>
      </c>
      <c r="M27" s="340" t="s">
        <v>199</v>
      </c>
      <c r="N27" s="340" t="s">
        <v>349</v>
      </c>
      <c r="O27" s="340" t="s">
        <v>200</v>
      </c>
      <c r="P27" s="342"/>
      <c r="Q27" s="340" t="s">
        <v>348</v>
      </c>
      <c r="R27" s="340" t="s">
        <v>528</v>
      </c>
      <c r="S27" s="340" t="s">
        <v>200</v>
      </c>
      <c r="T27" s="340" t="s">
        <v>199</v>
      </c>
      <c r="U27" s="340" t="s">
        <v>204</v>
      </c>
      <c r="V27" s="340" t="s">
        <v>47</v>
      </c>
      <c r="W27" s="340" t="s">
        <v>203</v>
      </c>
      <c r="X27" s="340" t="s">
        <v>348</v>
      </c>
      <c r="Y27" s="340" t="s">
        <v>201</v>
      </c>
      <c r="Z27" s="340" t="s">
        <v>200</v>
      </c>
      <c r="AA27" s="340" t="s">
        <v>350</v>
      </c>
      <c r="AB27" s="340"/>
      <c r="AC27" s="340"/>
      <c r="AD27" s="340"/>
      <c r="AE27" s="41">
        <v>8</v>
      </c>
      <c r="AF27" s="116" t="s">
        <v>193</v>
      </c>
      <c r="AG27" s="578" t="s">
        <v>470</v>
      </c>
      <c r="AH27" s="555"/>
      <c r="AI27" s="189" t="s">
        <v>444</v>
      </c>
    </row>
    <row r="28" spans="1:35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3"/>
        <v>9</v>
      </c>
      <c r="G28" s="176"/>
      <c r="H28" s="176"/>
      <c r="I28" s="176"/>
      <c r="J28" s="176"/>
      <c r="K28" s="176"/>
      <c r="L28" s="176"/>
      <c r="M28" s="176">
        <v>1</v>
      </c>
      <c r="N28" s="176">
        <v>1</v>
      </c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176"/>
      <c r="W28" s="176"/>
      <c r="X28" s="176"/>
      <c r="Y28" s="176"/>
      <c r="Z28" s="176"/>
      <c r="AA28" s="176"/>
      <c r="AB28" s="176"/>
      <c r="AC28" s="176"/>
      <c r="AD28" s="176"/>
      <c r="AE28" s="41">
        <f t="shared" ref="AE28:AE29" si="6">SUM(G28:AD28)</f>
        <v>9</v>
      </c>
      <c r="AF28" s="116" t="s">
        <v>244</v>
      </c>
      <c r="AG28" s="550" t="s">
        <v>41</v>
      </c>
      <c r="AH28" s="542"/>
      <c r="AI28" s="189" t="s">
        <v>444</v>
      </c>
    </row>
    <row r="29" spans="1:35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3"/>
        <v>13</v>
      </c>
      <c r="G29" s="176">
        <v>1</v>
      </c>
      <c r="H29" s="176">
        <v>1</v>
      </c>
      <c r="I29" s="176">
        <v>1</v>
      </c>
      <c r="J29" s="176">
        <v>1</v>
      </c>
      <c r="K29" s="176">
        <v>1</v>
      </c>
      <c r="L29" s="176">
        <v>1</v>
      </c>
      <c r="M29" s="176">
        <v>1</v>
      </c>
      <c r="N29" s="176">
        <v>1</v>
      </c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>
        <v>1</v>
      </c>
      <c r="AA29" s="176">
        <v>1</v>
      </c>
      <c r="AB29" s="176">
        <v>1</v>
      </c>
      <c r="AC29" s="176">
        <v>1</v>
      </c>
      <c r="AD29" s="176">
        <v>1</v>
      </c>
      <c r="AE29" s="41">
        <f t="shared" si="6"/>
        <v>13</v>
      </c>
      <c r="AF29" s="116" t="s">
        <v>739</v>
      </c>
      <c r="AG29" s="550" t="s">
        <v>41</v>
      </c>
      <c r="AH29" s="542"/>
      <c r="AI29" s="189" t="s">
        <v>444</v>
      </c>
    </row>
    <row r="30" spans="1:35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3"/>
        <v>0</v>
      </c>
      <c r="G30" s="202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580" t="s">
        <v>209</v>
      </c>
      <c r="W30" s="555"/>
      <c r="X30" s="555"/>
      <c r="Y30" s="555"/>
      <c r="Z30" s="555"/>
      <c r="AA30" s="555"/>
      <c r="AB30" s="555"/>
      <c r="AC30" s="542"/>
      <c r="AD30" s="176"/>
      <c r="AE30" s="41">
        <v>8</v>
      </c>
      <c r="AF30" s="116" t="s">
        <v>218</v>
      </c>
      <c r="AG30" s="580" t="s">
        <v>209</v>
      </c>
      <c r="AH30" s="542"/>
      <c r="AI30" s="189" t="s">
        <v>444</v>
      </c>
    </row>
    <row r="31" spans="1:35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f t="shared" si="3"/>
        <v>0</v>
      </c>
      <c r="G31" s="202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580" t="s">
        <v>209</v>
      </c>
      <c r="W31" s="555"/>
      <c r="X31" s="555"/>
      <c r="Y31" s="555"/>
      <c r="Z31" s="555"/>
      <c r="AA31" s="555"/>
      <c r="AB31" s="555"/>
      <c r="AC31" s="542"/>
      <c r="AD31" s="176"/>
      <c r="AE31" s="41">
        <v>8</v>
      </c>
      <c r="AF31" s="116" t="s">
        <v>218</v>
      </c>
      <c r="AG31" s="580" t="s">
        <v>209</v>
      </c>
      <c r="AH31" s="542"/>
      <c r="AI31" s="189" t="s">
        <v>444</v>
      </c>
    </row>
    <row r="32" spans="1:35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si="3"/>
        <v>14</v>
      </c>
      <c r="G32" s="176"/>
      <c r="H32" s="176"/>
      <c r="I32" s="176"/>
      <c r="J32" s="176"/>
      <c r="K32" s="176"/>
      <c r="L32" s="176"/>
      <c r="M32" s="176"/>
      <c r="N32" s="176"/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>
        <v>1</v>
      </c>
      <c r="W32" s="176">
        <v>1</v>
      </c>
      <c r="X32" s="176">
        <v>1</v>
      </c>
      <c r="Y32" s="176"/>
      <c r="Z32" s="176">
        <v>1</v>
      </c>
      <c r="AA32" s="176">
        <v>1</v>
      </c>
      <c r="AB32" s="176">
        <v>1</v>
      </c>
      <c r="AC32" s="176">
        <v>1</v>
      </c>
      <c r="AD32" s="176"/>
      <c r="AE32" s="41">
        <f>SUM(G32:AD32)</f>
        <v>14</v>
      </c>
      <c r="AF32" s="116" t="s">
        <v>745</v>
      </c>
      <c r="AG32" s="550" t="s">
        <v>41</v>
      </c>
      <c r="AH32" s="542"/>
      <c r="AI32" s="189" t="s">
        <v>444</v>
      </c>
    </row>
    <row r="33" spans="1:35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3"/>
        <v>0</v>
      </c>
      <c r="G33" s="202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580" t="s">
        <v>209</v>
      </c>
      <c r="W33" s="555"/>
      <c r="X33" s="555"/>
      <c r="Y33" s="555"/>
      <c r="Z33" s="555"/>
      <c r="AA33" s="555"/>
      <c r="AB33" s="555"/>
      <c r="AC33" s="542"/>
      <c r="AD33" s="176"/>
      <c r="AE33" s="41">
        <v>8</v>
      </c>
      <c r="AF33" s="116" t="s">
        <v>218</v>
      </c>
      <c r="AG33" s="580" t="s">
        <v>209</v>
      </c>
      <c r="AH33" s="542"/>
      <c r="AI33" s="189" t="s">
        <v>444</v>
      </c>
    </row>
    <row r="34" spans="1:35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3"/>
        <v>11</v>
      </c>
      <c r="G34" s="176"/>
      <c r="H34" s="176"/>
      <c r="I34" s="176"/>
      <c r="J34" s="176"/>
      <c r="K34" s="176"/>
      <c r="L34" s="176"/>
      <c r="M34" s="176">
        <v>1</v>
      </c>
      <c r="N34" s="176">
        <v>1</v>
      </c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>
        <v>1</v>
      </c>
      <c r="X34" s="176"/>
      <c r="Y34" s="176"/>
      <c r="Z34" s="176"/>
      <c r="AA34" s="176"/>
      <c r="AB34" s="176"/>
      <c r="AC34" s="176"/>
      <c r="AD34" s="176"/>
      <c r="AE34" s="41">
        <f t="shared" ref="AE34:AE46" si="7">SUM(G34:AD34)</f>
        <v>11</v>
      </c>
      <c r="AF34" s="116" t="s">
        <v>192</v>
      </c>
      <c r="AG34" s="550" t="s">
        <v>41</v>
      </c>
      <c r="AH34" s="542"/>
      <c r="AI34" s="189" t="s">
        <v>444</v>
      </c>
    </row>
    <row r="35" spans="1:35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5" t="s">
        <v>457</v>
      </c>
      <c r="F35" s="41">
        <f t="shared" si="3"/>
        <v>13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176"/>
      <c r="Y35" s="176">
        <v>1</v>
      </c>
      <c r="Z35" s="176">
        <v>1</v>
      </c>
      <c r="AA35" s="176">
        <v>1</v>
      </c>
      <c r="AB35" s="176">
        <v>1</v>
      </c>
      <c r="AC35" s="176"/>
      <c r="AD35" s="176"/>
      <c r="AE35" s="41">
        <f t="shared" si="7"/>
        <v>13</v>
      </c>
      <c r="AF35" s="116" t="s">
        <v>339</v>
      </c>
      <c r="AG35" s="550" t="s">
        <v>41</v>
      </c>
      <c r="AH35" s="542"/>
      <c r="AI35" s="189" t="s">
        <v>444</v>
      </c>
    </row>
    <row r="36" spans="1:35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4" t="s">
        <v>460</v>
      </c>
      <c r="F36" s="41">
        <f t="shared" si="3"/>
        <v>13</v>
      </c>
      <c r="G36" s="176"/>
      <c r="H36" s="176"/>
      <c r="I36" s="176"/>
      <c r="J36" s="176"/>
      <c r="K36" s="176"/>
      <c r="L36" s="176"/>
      <c r="M36" s="176"/>
      <c r="N36" s="176"/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/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>
        <v>1</v>
      </c>
      <c r="AC36" s="176"/>
      <c r="AD36" s="176"/>
      <c r="AE36" s="41">
        <f t="shared" si="7"/>
        <v>13</v>
      </c>
      <c r="AF36" s="116" t="s">
        <v>247</v>
      </c>
      <c r="AG36" s="550" t="s">
        <v>41</v>
      </c>
      <c r="AH36" s="542"/>
      <c r="AI36" s="189" t="s">
        <v>444</v>
      </c>
    </row>
    <row r="37" spans="1:35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4" t="s">
        <v>461</v>
      </c>
      <c r="F37" s="41">
        <f t="shared" si="3"/>
        <v>13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/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>
        <v>1</v>
      </c>
      <c r="AC37" s="176"/>
      <c r="AD37" s="176"/>
      <c r="AE37" s="41">
        <f t="shared" si="7"/>
        <v>13</v>
      </c>
      <c r="AF37" s="116" t="s">
        <v>407</v>
      </c>
      <c r="AG37" s="550" t="s">
        <v>41</v>
      </c>
      <c r="AH37" s="542"/>
      <c r="AI37" s="189" t="s">
        <v>444</v>
      </c>
    </row>
    <row r="38" spans="1:35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5" t="s">
        <v>463</v>
      </c>
      <c r="F38" s="41">
        <f t="shared" si="3"/>
        <v>12</v>
      </c>
      <c r="G38" s="176"/>
      <c r="H38" s="176"/>
      <c r="I38" s="176"/>
      <c r="J38" s="176"/>
      <c r="K38" s="176"/>
      <c r="L38" s="176"/>
      <c r="M38" s="176"/>
      <c r="N38" s="176"/>
      <c r="O38" s="176">
        <v>1</v>
      </c>
      <c r="P38" s="176">
        <v>1</v>
      </c>
      <c r="Q38" s="176">
        <v>1</v>
      </c>
      <c r="R38" s="176">
        <v>1</v>
      </c>
      <c r="S38" s="176"/>
      <c r="T38" s="176">
        <v>1</v>
      </c>
      <c r="U38" s="176">
        <v>1</v>
      </c>
      <c r="V38" s="176">
        <v>1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/>
      <c r="AC38" s="176"/>
      <c r="AD38" s="176"/>
      <c r="AE38" s="41">
        <f t="shared" si="7"/>
        <v>12</v>
      </c>
      <c r="AF38" s="116" t="s">
        <v>394</v>
      </c>
      <c r="AG38" s="550" t="s">
        <v>41</v>
      </c>
      <c r="AH38" s="542"/>
      <c r="AI38" s="189" t="s">
        <v>444</v>
      </c>
    </row>
    <row r="39" spans="1:35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5" t="s">
        <v>465</v>
      </c>
      <c r="F39" s="41">
        <f t="shared" si="3"/>
        <v>12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/>
      <c r="U39" s="176">
        <v>1</v>
      </c>
      <c r="V39" s="176">
        <v>1</v>
      </c>
      <c r="W39" s="176">
        <v>1</v>
      </c>
      <c r="X39" s="176">
        <v>1</v>
      </c>
      <c r="Y39" s="176">
        <v>1</v>
      </c>
      <c r="Z39" s="176">
        <v>1</v>
      </c>
      <c r="AA39" s="176">
        <v>1</v>
      </c>
      <c r="AB39" s="176"/>
      <c r="AC39" s="176"/>
      <c r="AD39" s="176"/>
      <c r="AE39" s="41">
        <f t="shared" si="7"/>
        <v>12</v>
      </c>
      <c r="AF39" s="116" t="s">
        <v>373</v>
      </c>
      <c r="AG39" s="550" t="s">
        <v>41</v>
      </c>
      <c r="AH39" s="542"/>
      <c r="AI39" s="189" t="s">
        <v>444</v>
      </c>
    </row>
    <row r="40" spans="1:35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3"/>
        <v>12</v>
      </c>
      <c r="G40" s="176"/>
      <c r="H40" s="176"/>
      <c r="I40" s="176"/>
      <c r="J40" s="176"/>
      <c r="K40" s="176"/>
      <c r="L40" s="176"/>
      <c r="M40" s="176"/>
      <c r="N40" s="176"/>
      <c r="O40" s="176">
        <v>1</v>
      </c>
      <c r="P40" s="176">
        <v>1</v>
      </c>
      <c r="Q40" s="176">
        <v>1</v>
      </c>
      <c r="R40" s="176">
        <v>1</v>
      </c>
      <c r="S40" s="176">
        <v>1</v>
      </c>
      <c r="T40" s="176">
        <v>1</v>
      </c>
      <c r="U40" s="176"/>
      <c r="V40" s="176">
        <v>1</v>
      </c>
      <c r="W40" s="176">
        <v>1</v>
      </c>
      <c r="X40" s="176">
        <v>1</v>
      </c>
      <c r="Y40" s="176">
        <v>1</v>
      </c>
      <c r="Z40" s="176">
        <v>1</v>
      </c>
      <c r="AA40" s="176">
        <v>1</v>
      </c>
      <c r="AB40" s="176"/>
      <c r="AC40" s="176"/>
      <c r="AD40" s="176"/>
      <c r="AE40" s="41">
        <f t="shared" si="7"/>
        <v>12</v>
      </c>
      <c r="AF40" s="116" t="s">
        <v>346</v>
      </c>
      <c r="AG40" s="550" t="s">
        <v>41</v>
      </c>
      <c r="AH40" s="542"/>
      <c r="AI40" s="189" t="s">
        <v>444</v>
      </c>
    </row>
    <row r="41" spans="1:35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4" t="s">
        <v>467</v>
      </c>
      <c r="F41" s="41">
        <f t="shared" si="3"/>
        <v>14</v>
      </c>
      <c r="G41" s="176"/>
      <c r="H41" s="176"/>
      <c r="I41" s="176"/>
      <c r="J41" s="176"/>
      <c r="K41" s="176"/>
      <c r="L41" s="176"/>
      <c r="M41" s="176">
        <v>1</v>
      </c>
      <c r="N41" s="176">
        <v>1</v>
      </c>
      <c r="O41" s="176">
        <v>1</v>
      </c>
      <c r="P41" s="176">
        <v>1</v>
      </c>
      <c r="Q41" s="176">
        <v>1</v>
      </c>
      <c r="R41" s="176">
        <v>1</v>
      </c>
      <c r="S41" s="176"/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>
        <v>1</v>
      </c>
      <c r="Z41" s="176">
        <v>1</v>
      </c>
      <c r="AA41" s="176">
        <v>1</v>
      </c>
      <c r="AB41" s="176"/>
      <c r="AC41" s="176"/>
      <c r="AD41" s="176"/>
      <c r="AE41" s="41">
        <f t="shared" si="7"/>
        <v>14</v>
      </c>
      <c r="AF41" s="116" t="s">
        <v>746</v>
      </c>
      <c r="AG41" s="550" t="s">
        <v>41</v>
      </c>
      <c r="AH41" s="542"/>
      <c r="AI41" s="189" t="s">
        <v>444</v>
      </c>
    </row>
    <row r="42" spans="1:35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3"/>
        <v>0</v>
      </c>
      <c r="G42" s="176"/>
      <c r="H42" s="176"/>
      <c r="I42" s="176"/>
      <c r="J42" s="176"/>
      <c r="K42" s="176"/>
      <c r="L42" s="176"/>
      <c r="M42" s="176"/>
      <c r="N42" s="176"/>
      <c r="O42" s="182"/>
      <c r="P42" s="182"/>
      <c r="Q42" s="182"/>
      <c r="R42" s="182"/>
      <c r="S42" s="182"/>
      <c r="T42" s="182"/>
      <c r="U42" s="182"/>
      <c r="V42" s="176"/>
      <c r="W42" s="182"/>
      <c r="X42" s="182"/>
      <c r="Y42" s="182"/>
      <c r="Z42" s="182"/>
      <c r="AA42" s="182"/>
      <c r="AB42" s="176"/>
      <c r="AC42" s="176"/>
      <c r="AD42" s="176"/>
      <c r="AE42" s="41">
        <f t="shared" si="7"/>
        <v>0</v>
      </c>
      <c r="AF42" s="116" t="s">
        <v>360</v>
      </c>
      <c r="AG42" s="550" t="s">
        <v>41</v>
      </c>
      <c r="AH42" s="542"/>
      <c r="AI42" s="189" t="s">
        <v>444</v>
      </c>
    </row>
    <row r="43" spans="1:35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3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7"/>
        <v>0</v>
      </c>
      <c r="AF43" s="116" t="s">
        <v>652</v>
      </c>
      <c r="AG43" s="550" t="s">
        <v>41</v>
      </c>
      <c r="AH43" s="542"/>
      <c r="AI43" s="189" t="s">
        <v>444</v>
      </c>
    </row>
    <row r="44" spans="1:35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3"/>
        <v>13</v>
      </c>
      <c r="G44" s="176"/>
      <c r="H44" s="176"/>
      <c r="I44" s="176"/>
      <c r="J44" s="176"/>
      <c r="K44" s="176"/>
      <c r="L44" s="176"/>
      <c r="M44" s="176">
        <v>1</v>
      </c>
      <c r="N44" s="176">
        <v>1</v>
      </c>
      <c r="O44" s="176">
        <v>1</v>
      </c>
      <c r="P44" s="176">
        <v>1</v>
      </c>
      <c r="Q44" s="176">
        <v>1</v>
      </c>
      <c r="R44" s="176"/>
      <c r="S44" s="176">
        <v>1</v>
      </c>
      <c r="T44" s="176">
        <v>1</v>
      </c>
      <c r="U44" s="176">
        <v>1</v>
      </c>
      <c r="V44" s="176">
        <v>1</v>
      </c>
      <c r="W44" s="176">
        <v>1</v>
      </c>
      <c r="X44" s="176">
        <v>1</v>
      </c>
      <c r="Y44" s="176">
        <v>1</v>
      </c>
      <c r="Z44" s="176">
        <v>1</v>
      </c>
      <c r="AA44" s="176"/>
      <c r="AB44" s="176"/>
      <c r="AC44" s="176"/>
      <c r="AD44" s="176"/>
      <c r="AE44" s="41">
        <f t="shared" si="7"/>
        <v>13</v>
      </c>
      <c r="AF44" s="116" t="s">
        <v>713</v>
      </c>
      <c r="AG44" s="550" t="s">
        <v>41</v>
      </c>
      <c r="AH44" s="542"/>
      <c r="AI44" s="189" t="s">
        <v>444</v>
      </c>
    </row>
    <row r="45" spans="1:35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3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7"/>
        <v>0</v>
      </c>
      <c r="AF45" s="116" t="s">
        <v>382</v>
      </c>
      <c r="AG45" s="550" t="s">
        <v>41</v>
      </c>
      <c r="AH45" s="542"/>
      <c r="AI45" s="189" t="s">
        <v>444</v>
      </c>
    </row>
    <row r="46" spans="1:35" ht="14.25" customHeight="1">
      <c r="A46" s="38" t="s">
        <v>41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3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7"/>
        <v>0</v>
      </c>
      <c r="AF46" s="116" t="s">
        <v>382</v>
      </c>
      <c r="AG46" s="550" t="s">
        <v>41</v>
      </c>
      <c r="AH46" s="542"/>
      <c r="AI46" s="189" t="s">
        <v>444</v>
      </c>
    </row>
    <row r="47" spans="1:35" ht="14.25" customHeight="1">
      <c r="A47" s="98"/>
      <c r="B47" s="190" t="s">
        <v>137</v>
      </c>
      <c r="C47" s="98"/>
      <c r="D47" s="86">
        <v>1</v>
      </c>
      <c r="E47" s="218" t="s">
        <v>138</v>
      </c>
      <c r="F47" s="41">
        <f t="shared" si="3"/>
        <v>0</v>
      </c>
      <c r="G47" s="176"/>
      <c r="H47" s="176"/>
      <c r="I47" s="176"/>
      <c r="J47" s="176"/>
      <c r="K47" s="176"/>
      <c r="L47" s="176"/>
      <c r="M47" s="176"/>
      <c r="N47" s="577" t="s">
        <v>320</v>
      </c>
      <c r="O47" s="555"/>
      <c r="P47" s="555"/>
      <c r="Q47" s="555"/>
      <c r="R47" s="555"/>
      <c r="S47" s="555"/>
      <c r="T47" s="555"/>
      <c r="U47" s="555"/>
      <c r="V47" s="176"/>
      <c r="W47" s="176"/>
      <c r="X47" s="176"/>
      <c r="Y47" s="176"/>
      <c r="Z47" s="176"/>
      <c r="AA47" s="176"/>
      <c r="AB47" s="176"/>
      <c r="AC47" s="176"/>
      <c r="AD47" s="176"/>
      <c r="AE47" s="41">
        <v>8</v>
      </c>
      <c r="AF47" s="116" t="s">
        <v>288</v>
      </c>
      <c r="AG47" s="186" t="s">
        <v>320</v>
      </c>
      <c r="AH47" s="212" t="s">
        <v>209</v>
      </c>
      <c r="AI47" s="189" t="s">
        <v>444</v>
      </c>
    </row>
    <row r="48" spans="1:35" ht="14.25" customHeight="1">
      <c r="A48" s="98"/>
      <c r="B48" s="190" t="s">
        <v>190</v>
      </c>
      <c r="C48" s="98"/>
      <c r="D48" s="39">
        <v>2</v>
      </c>
      <c r="E48" s="218" t="s">
        <v>191</v>
      </c>
      <c r="F48" s="41">
        <f t="shared" si="3"/>
        <v>0</v>
      </c>
      <c r="G48" s="77"/>
      <c r="H48" s="77"/>
      <c r="I48" s="77"/>
      <c r="J48" s="77"/>
      <c r="K48" s="77"/>
      <c r="L48" s="77"/>
      <c r="M48" s="176"/>
      <c r="N48" s="176"/>
      <c r="O48" s="176"/>
      <c r="P48" s="176"/>
      <c r="Q48" s="176"/>
      <c r="R48" s="176"/>
      <c r="S48" s="176"/>
      <c r="T48" s="176"/>
      <c r="U48" s="176"/>
      <c r="V48" s="577" t="s">
        <v>320</v>
      </c>
      <c r="W48" s="555"/>
      <c r="X48" s="555"/>
      <c r="Y48" s="555"/>
      <c r="Z48" s="555"/>
      <c r="AA48" s="555"/>
      <c r="AB48" s="555"/>
      <c r="AC48" s="555"/>
      <c r="AD48" s="77"/>
      <c r="AE48" s="41">
        <v>8</v>
      </c>
      <c r="AF48" s="116" t="s">
        <v>218</v>
      </c>
      <c r="AG48" s="186" t="s">
        <v>320</v>
      </c>
      <c r="AH48" s="212" t="s">
        <v>209</v>
      </c>
      <c r="AI48" s="189" t="s">
        <v>444</v>
      </c>
    </row>
    <row r="49" spans="1:35" ht="14.25" customHeight="1">
      <c r="A49" s="98"/>
      <c r="B49" s="98"/>
      <c r="C49" s="98"/>
      <c r="D49" s="39">
        <v>1</v>
      </c>
      <c r="E49" s="133" t="s">
        <v>363</v>
      </c>
      <c r="F49" s="41">
        <f t="shared" si="3"/>
        <v>0</v>
      </c>
      <c r="G49" s="42"/>
      <c r="H49" s="42"/>
      <c r="I49" s="42"/>
      <c r="J49" s="42"/>
      <c r="K49" s="42"/>
      <c r="L49" s="42"/>
      <c r="M49" s="42"/>
      <c r="N49" s="42"/>
      <c r="O49" s="577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v>12</v>
      </c>
      <c r="AF49" s="116" t="s">
        <v>66</v>
      </c>
      <c r="AG49" s="551" t="s">
        <v>473</v>
      </c>
      <c r="AH49" s="555"/>
      <c r="AI49" s="189" t="s">
        <v>444</v>
      </c>
    </row>
    <row r="50" spans="1:35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  <c r="AH50" s="25"/>
      <c r="AI50" s="25"/>
    </row>
    <row r="51" spans="1:35" ht="14.25" customHeight="1">
      <c r="A51" s="2"/>
      <c r="B51" s="2"/>
      <c r="C51" s="2"/>
      <c r="D51" s="2"/>
      <c r="E51" s="2"/>
      <c r="F51" s="2"/>
      <c r="AE51" s="2"/>
      <c r="AF51" s="2"/>
      <c r="AG51" s="2"/>
      <c r="AH51" s="2"/>
      <c r="AI51" s="2"/>
    </row>
    <row r="52" spans="1:35" ht="14.25" customHeight="1">
      <c r="A52" s="2"/>
      <c r="B52" s="2"/>
      <c r="C52" s="2"/>
      <c r="D52" s="2"/>
      <c r="E52" s="2"/>
      <c r="F52" s="2"/>
      <c r="AE52" s="2"/>
      <c r="AF52" s="2"/>
      <c r="AG52" s="2"/>
      <c r="AH52" s="2"/>
      <c r="AI52" s="2"/>
    </row>
    <row r="53" spans="1:35" ht="14.25" customHeight="1">
      <c r="A53" s="2"/>
      <c r="B53" s="2"/>
      <c r="C53" s="2"/>
      <c r="D53" s="2"/>
      <c r="E53" s="2"/>
      <c r="F53" s="2"/>
      <c r="AE53" s="2"/>
      <c r="AF53" s="2"/>
      <c r="AG53" s="2"/>
      <c r="AH53" s="2"/>
      <c r="AI53" s="2"/>
    </row>
    <row r="54" spans="1:35" ht="14.25" customHeight="1">
      <c r="A54" s="2"/>
      <c r="B54" s="2"/>
      <c r="C54" s="2"/>
      <c r="D54" s="2"/>
      <c r="E54" s="2"/>
      <c r="F54" s="2"/>
      <c r="AE54" s="2"/>
      <c r="AF54" s="2"/>
      <c r="AG54" s="2"/>
      <c r="AH54" s="2"/>
      <c r="AI54" s="2"/>
    </row>
    <row r="55" spans="1:35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193">
        <v>0</v>
      </c>
      <c r="P55" s="193">
        <v>10</v>
      </c>
      <c r="Q55" s="193">
        <v>10</v>
      </c>
      <c r="R55" s="193">
        <v>10</v>
      </c>
      <c r="S55" s="193">
        <v>10</v>
      </c>
      <c r="T55" s="193">
        <v>10</v>
      </c>
      <c r="U55" s="193">
        <v>10</v>
      </c>
      <c r="V55" s="193">
        <v>10</v>
      </c>
      <c r="W55" s="193">
        <v>10</v>
      </c>
      <c r="X55" s="193">
        <v>10</v>
      </c>
      <c r="Y55" s="193">
        <v>10</v>
      </c>
      <c r="Z55" s="193">
        <v>0</v>
      </c>
      <c r="AA55" s="193">
        <v>0</v>
      </c>
      <c r="AB55" s="194">
        <v>0</v>
      </c>
      <c r="AC55" s="192">
        <v>0</v>
      </c>
      <c r="AD55" s="195">
        <v>0</v>
      </c>
      <c r="AE55" s="18">
        <f>SUM(G55:AD55)</f>
        <v>100</v>
      </c>
      <c r="AF55" s="25"/>
      <c r="AG55" s="2"/>
      <c r="AH55" s="2"/>
      <c r="AI55" s="2"/>
    </row>
    <row r="56" spans="1:35" ht="14.25" customHeight="1">
      <c r="A56" s="3"/>
      <c r="B56" s="3"/>
      <c r="C56" s="3"/>
      <c r="D56" s="48"/>
      <c r="E56" s="59"/>
      <c r="F56" s="59"/>
      <c r="G56" s="28">
        <f t="shared" ref="G56:AD56" si="8">G58-G55</f>
        <v>0</v>
      </c>
      <c r="H56" s="28">
        <f t="shared" si="8"/>
        <v>0</v>
      </c>
      <c r="I56" s="28">
        <f t="shared" si="8"/>
        <v>0</v>
      </c>
      <c r="J56" s="28">
        <f t="shared" si="8"/>
        <v>0</v>
      </c>
      <c r="K56" s="28">
        <f t="shared" si="8"/>
        <v>0</v>
      </c>
      <c r="L56" s="28">
        <f t="shared" si="8"/>
        <v>0</v>
      </c>
      <c r="M56" s="84">
        <f t="shared" si="8"/>
        <v>0</v>
      </c>
      <c r="N56" s="84">
        <f t="shared" si="8"/>
        <v>0</v>
      </c>
      <c r="O56" s="84">
        <f t="shared" si="8"/>
        <v>0</v>
      </c>
      <c r="P56" s="28">
        <f t="shared" si="8"/>
        <v>0</v>
      </c>
      <c r="Q56" s="28">
        <f t="shared" si="8"/>
        <v>0</v>
      </c>
      <c r="R56" s="28">
        <f t="shared" si="8"/>
        <v>0</v>
      </c>
      <c r="S56" s="28">
        <f t="shared" si="8"/>
        <v>0</v>
      </c>
      <c r="T56" s="28">
        <f t="shared" si="8"/>
        <v>0</v>
      </c>
      <c r="U56" s="28">
        <f t="shared" si="8"/>
        <v>0</v>
      </c>
      <c r="V56" s="28">
        <f t="shared" si="8"/>
        <v>0</v>
      </c>
      <c r="W56" s="28">
        <f t="shared" si="8"/>
        <v>0</v>
      </c>
      <c r="X56" s="28">
        <f t="shared" si="8"/>
        <v>0</v>
      </c>
      <c r="Y56" s="28">
        <f t="shared" si="8"/>
        <v>0</v>
      </c>
      <c r="Z56" s="28">
        <f t="shared" si="8"/>
        <v>0</v>
      </c>
      <c r="AA56" s="28">
        <f t="shared" si="8"/>
        <v>0</v>
      </c>
      <c r="AB56" s="28">
        <f t="shared" si="8"/>
        <v>0</v>
      </c>
      <c r="AC56" s="28">
        <f t="shared" si="8"/>
        <v>0</v>
      </c>
      <c r="AD56" s="28">
        <f t="shared" si="8"/>
        <v>0</v>
      </c>
      <c r="AE56" s="53"/>
      <c r="AF56" s="3"/>
      <c r="AG56" s="2"/>
      <c r="AH56" s="2"/>
      <c r="AI56" s="2"/>
    </row>
    <row r="57" spans="1:35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  <c r="AH57" s="2"/>
      <c r="AI57" s="2"/>
    </row>
    <row r="58" spans="1:35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9">SUM(G59:G72)</f>
        <v>0</v>
      </c>
      <c r="H58" s="35">
        <f t="shared" si="9"/>
        <v>0</v>
      </c>
      <c r="I58" s="35">
        <f t="shared" si="9"/>
        <v>0</v>
      </c>
      <c r="J58" s="35">
        <f t="shared" si="9"/>
        <v>0</v>
      </c>
      <c r="K58" s="35">
        <f t="shared" si="9"/>
        <v>0</v>
      </c>
      <c r="L58" s="35">
        <f t="shared" si="9"/>
        <v>0</v>
      </c>
      <c r="M58" s="35">
        <f t="shared" si="9"/>
        <v>0</v>
      </c>
      <c r="N58" s="35">
        <f t="shared" si="9"/>
        <v>0</v>
      </c>
      <c r="O58" s="35">
        <f t="shared" si="9"/>
        <v>0</v>
      </c>
      <c r="P58" s="35">
        <f t="shared" si="9"/>
        <v>10</v>
      </c>
      <c r="Q58" s="35">
        <f t="shared" si="9"/>
        <v>10</v>
      </c>
      <c r="R58" s="35">
        <f t="shared" si="9"/>
        <v>10</v>
      </c>
      <c r="S58" s="35">
        <f t="shared" si="9"/>
        <v>10</v>
      </c>
      <c r="T58" s="35">
        <f t="shared" si="9"/>
        <v>10</v>
      </c>
      <c r="U58" s="35">
        <f t="shared" si="9"/>
        <v>10</v>
      </c>
      <c r="V58" s="35">
        <f t="shared" si="9"/>
        <v>10</v>
      </c>
      <c r="W58" s="35">
        <f t="shared" si="9"/>
        <v>10</v>
      </c>
      <c r="X58" s="35">
        <f t="shared" si="9"/>
        <v>10</v>
      </c>
      <c r="Y58" s="35">
        <f t="shared" si="9"/>
        <v>10</v>
      </c>
      <c r="Z58" s="35">
        <f t="shared" si="9"/>
        <v>0</v>
      </c>
      <c r="AA58" s="35">
        <f t="shared" si="9"/>
        <v>0</v>
      </c>
      <c r="AB58" s="35">
        <f t="shared" si="9"/>
        <v>0</v>
      </c>
      <c r="AC58" s="35">
        <f t="shared" si="9"/>
        <v>0</v>
      </c>
      <c r="AD58" s="35">
        <f t="shared" si="9"/>
        <v>0</v>
      </c>
      <c r="AE58" s="30">
        <f t="shared" ref="AE58:AE68" si="10">SUM(G58:AD58)</f>
        <v>100</v>
      </c>
      <c r="AF58" s="36" t="s">
        <v>39</v>
      </c>
      <c r="AG58" s="196"/>
      <c r="AH58" s="196"/>
      <c r="AI58" s="197" t="s">
        <v>40</v>
      </c>
    </row>
    <row r="59" spans="1:35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11">SUM(G59:AD59)</f>
        <v>10</v>
      </c>
      <c r="G59" s="202"/>
      <c r="H59" s="202"/>
      <c r="I59" s="202"/>
      <c r="J59" s="202"/>
      <c r="K59" s="202"/>
      <c r="L59" s="202"/>
      <c r="M59" s="202"/>
      <c r="N59" s="202"/>
      <c r="O59" s="305" t="s">
        <v>47</v>
      </c>
      <c r="P59" s="202">
        <v>1</v>
      </c>
      <c r="Q59" s="202">
        <v>1</v>
      </c>
      <c r="R59" s="202">
        <v>1</v>
      </c>
      <c r="S59" s="202">
        <v>1</v>
      </c>
      <c r="T59" s="202">
        <v>1</v>
      </c>
      <c r="U59" s="202">
        <v>1</v>
      </c>
      <c r="V59" s="202">
        <v>1</v>
      </c>
      <c r="W59" s="202">
        <v>1</v>
      </c>
      <c r="X59" s="202">
        <v>1</v>
      </c>
      <c r="Y59" s="202">
        <v>1</v>
      </c>
      <c r="Z59" s="202"/>
      <c r="AA59" s="202"/>
      <c r="AB59" s="202"/>
      <c r="AC59" s="202"/>
      <c r="AD59" s="202"/>
      <c r="AE59" s="41">
        <f t="shared" si="10"/>
        <v>10</v>
      </c>
      <c r="AF59" s="116" t="s">
        <v>119</v>
      </c>
      <c r="AG59" s="550" t="s">
        <v>476</v>
      </c>
      <c r="AH59" s="542"/>
      <c r="AI59" s="189" t="s">
        <v>444</v>
      </c>
    </row>
    <row r="60" spans="1:35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11"/>
        <v>10</v>
      </c>
      <c r="G60" s="202"/>
      <c r="H60" s="202"/>
      <c r="I60" s="202"/>
      <c r="J60" s="202"/>
      <c r="K60" s="202"/>
      <c r="L60" s="202"/>
      <c r="M60" s="202"/>
      <c r="N60" s="202"/>
      <c r="O60" s="305" t="s">
        <v>47</v>
      </c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02"/>
      <c r="AA60" s="202"/>
      <c r="AB60" s="202"/>
      <c r="AC60" s="202"/>
      <c r="AD60" s="202"/>
      <c r="AE60" s="41">
        <f t="shared" si="10"/>
        <v>10</v>
      </c>
      <c r="AF60" s="116" t="s">
        <v>119</v>
      </c>
      <c r="AG60" s="550" t="s">
        <v>476</v>
      </c>
      <c r="AH60" s="542"/>
      <c r="AI60" s="189" t="s">
        <v>444</v>
      </c>
    </row>
    <row r="61" spans="1:35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11"/>
        <v>10</v>
      </c>
      <c r="G61" s="202"/>
      <c r="H61" s="202"/>
      <c r="I61" s="202"/>
      <c r="J61" s="202"/>
      <c r="K61" s="202"/>
      <c r="L61" s="202"/>
      <c r="M61" s="202"/>
      <c r="N61" s="202"/>
      <c r="O61" s="305" t="s">
        <v>47</v>
      </c>
      <c r="P61" s="202">
        <v>1</v>
      </c>
      <c r="Q61" s="202">
        <v>1</v>
      </c>
      <c r="R61" s="202">
        <v>1</v>
      </c>
      <c r="S61" s="202">
        <v>1</v>
      </c>
      <c r="T61" s="202">
        <v>1</v>
      </c>
      <c r="U61" s="202">
        <v>1</v>
      </c>
      <c r="V61" s="202">
        <v>1</v>
      </c>
      <c r="W61" s="202">
        <v>1</v>
      </c>
      <c r="X61" s="202">
        <v>1</v>
      </c>
      <c r="Y61" s="202">
        <v>1</v>
      </c>
      <c r="Z61" s="202"/>
      <c r="AA61" s="202"/>
      <c r="AB61" s="202"/>
      <c r="AC61" s="202"/>
      <c r="AD61" s="202"/>
      <c r="AE61" s="41">
        <f t="shared" si="10"/>
        <v>10</v>
      </c>
      <c r="AF61" s="116" t="s">
        <v>119</v>
      </c>
      <c r="AG61" s="550" t="s">
        <v>476</v>
      </c>
      <c r="AH61" s="542"/>
      <c r="AI61" s="189" t="s">
        <v>444</v>
      </c>
    </row>
    <row r="62" spans="1:35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11"/>
        <v>10</v>
      </c>
      <c r="G62" s="202"/>
      <c r="H62" s="202"/>
      <c r="I62" s="202"/>
      <c r="J62" s="202"/>
      <c r="K62" s="202"/>
      <c r="L62" s="202"/>
      <c r="M62" s="202"/>
      <c r="N62" s="202"/>
      <c r="O62" s="305" t="s">
        <v>47</v>
      </c>
      <c r="P62" s="202">
        <v>1</v>
      </c>
      <c r="Q62" s="202">
        <v>1</v>
      </c>
      <c r="R62" s="202">
        <v>1</v>
      </c>
      <c r="S62" s="202">
        <v>1</v>
      </c>
      <c r="T62" s="202">
        <v>1</v>
      </c>
      <c r="U62" s="202">
        <v>1</v>
      </c>
      <c r="V62" s="202">
        <v>1</v>
      </c>
      <c r="W62" s="202">
        <v>1</v>
      </c>
      <c r="X62" s="202">
        <v>1</v>
      </c>
      <c r="Y62" s="202">
        <v>1</v>
      </c>
      <c r="Z62" s="202"/>
      <c r="AA62" s="202"/>
      <c r="AB62" s="202"/>
      <c r="AC62" s="202"/>
      <c r="AD62" s="202"/>
      <c r="AE62" s="41">
        <f t="shared" si="10"/>
        <v>10</v>
      </c>
      <c r="AF62" s="116" t="s">
        <v>119</v>
      </c>
      <c r="AG62" s="550" t="s">
        <v>476</v>
      </c>
      <c r="AH62" s="542"/>
      <c r="AI62" s="189" t="s">
        <v>444</v>
      </c>
    </row>
    <row r="63" spans="1:35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11"/>
        <v>10</v>
      </c>
      <c r="G63" s="202"/>
      <c r="H63" s="202"/>
      <c r="I63" s="202"/>
      <c r="J63" s="202"/>
      <c r="K63" s="202"/>
      <c r="L63" s="202"/>
      <c r="M63" s="202"/>
      <c r="N63" s="202"/>
      <c r="O63" s="305" t="s">
        <v>47</v>
      </c>
      <c r="P63" s="202">
        <v>1</v>
      </c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02"/>
      <c r="AA63" s="202"/>
      <c r="AB63" s="202"/>
      <c r="AC63" s="202"/>
      <c r="AD63" s="202"/>
      <c r="AE63" s="41">
        <f t="shared" si="10"/>
        <v>10</v>
      </c>
      <c r="AF63" s="116" t="s">
        <v>119</v>
      </c>
      <c r="AG63" s="550" t="s">
        <v>476</v>
      </c>
      <c r="AH63" s="542"/>
      <c r="AI63" s="189" t="s">
        <v>444</v>
      </c>
    </row>
    <row r="64" spans="1:35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11"/>
        <v>10</v>
      </c>
      <c r="G64" s="202"/>
      <c r="H64" s="202"/>
      <c r="I64" s="202"/>
      <c r="J64" s="202"/>
      <c r="K64" s="202"/>
      <c r="L64" s="202"/>
      <c r="M64" s="202"/>
      <c r="N64" s="202"/>
      <c r="O64" s="305" t="s">
        <v>47</v>
      </c>
      <c r="P64" s="202">
        <v>1</v>
      </c>
      <c r="Q64" s="202">
        <v>1</v>
      </c>
      <c r="R64" s="202">
        <v>1</v>
      </c>
      <c r="S64" s="202">
        <v>1</v>
      </c>
      <c r="T64" s="202">
        <v>1</v>
      </c>
      <c r="U64" s="202">
        <v>1</v>
      </c>
      <c r="V64" s="202">
        <v>1</v>
      </c>
      <c r="W64" s="202">
        <v>1</v>
      </c>
      <c r="X64" s="202">
        <v>1</v>
      </c>
      <c r="Y64" s="202">
        <v>1</v>
      </c>
      <c r="Z64" s="202"/>
      <c r="AA64" s="202"/>
      <c r="AB64" s="202"/>
      <c r="AC64" s="202"/>
      <c r="AD64" s="202"/>
      <c r="AE64" s="41">
        <f t="shared" si="10"/>
        <v>10</v>
      </c>
      <c r="AF64" s="116" t="s">
        <v>119</v>
      </c>
      <c r="AG64" s="550" t="s">
        <v>476</v>
      </c>
      <c r="AH64" s="542"/>
      <c r="AI64" s="189" t="s">
        <v>444</v>
      </c>
    </row>
    <row r="65" spans="1:35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11"/>
        <v>10</v>
      </c>
      <c r="G65" s="202"/>
      <c r="H65" s="202"/>
      <c r="I65" s="202"/>
      <c r="J65" s="202"/>
      <c r="K65" s="202"/>
      <c r="L65" s="202"/>
      <c r="M65" s="202"/>
      <c r="N65" s="202"/>
      <c r="O65" s="305" t="s">
        <v>47</v>
      </c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02"/>
      <c r="AA65" s="202"/>
      <c r="AB65" s="202"/>
      <c r="AC65" s="202"/>
      <c r="AD65" s="202"/>
      <c r="AE65" s="41">
        <f t="shared" si="10"/>
        <v>10</v>
      </c>
      <c r="AF65" s="116" t="s">
        <v>119</v>
      </c>
      <c r="AG65" s="550" t="s">
        <v>476</v>
      </c>
      <c r="AH65" s="542"/>
      <c r="AI65" s="189" t="s">
        <v>444</v>
      </c>
    </row>
    <row r="66" spans="1:35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11"/>
        <v>10</v>
      </c>
      <c r="G66" s="202"/>
      <c r="H66" s="202"/>
      <c r="I66" s="202"/>
      <c r="J66" s="202"/>
      <c r="K66" s="202"/>
      <c r="L66" s="202"/>
      <c r="M66" s="202"/>
      <c r="N66" s="202"/>
      <c r="O66" s="305" t="s">
        <v>47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02"/>
      <c r="AA66" s="202"/>
      <c r="AB66" s="202"/>
      <c r="AC66" s="202"/>
      <c r="AD66" s="202"/>
      <c r="AE66" s="41">
        <f t="shared" si="10"/>
        <v>10</v>
      </c>
      <c r="AF66" s="116" t="s">
        <v>119</v>
      </c>
      <c r="AG66" s="550" t="s">
        <v>476</v>
      </c>
      <c r="AH66" s="542"/>
      <c r="AI66" s="189" t="s">
        <v>444</v>
      </c>
    </row>
    <row r="67" spans="1:35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11"/>
        <v>10</v>
      </c>
      <c r="G67" s="202"/>
      <c r="H67" s="202"/>
      <c r="I67" s="202"/>
      <c r="J67" s="202"/>
      <c r="K67" s="202"/>
      <c r="L67" s="202"/>
      <c r="M67" s="202"/>
      <c r="N67" s="202"/>
      <c r="O67" s="305" t="s">
        <v>47</v>
      </c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>
        <v>1</v>
      </c>
      <c r="W67" s="202">
        <v>1</v>
      </c>
      <c r="X67" s="202">
        <v>1</v>
      </c>
      <c r="Y67" s="202">
        <v>1</v>
      </c>
      <c r="Z67" s="202"/>
      <c r="AA67" s="202"/>
      <c r="AB67" s="202"/>
      <c r="AC67" s="202"/>
      <c r="AD67" s="202"/>
      <c r="AE67" s="41">
        <f t="shared" si="10"/>
        <v>10</v>
      </c>
      <c r="AF67" s="116" t="s">
        <v>119</v>
      </c>
      <c r="AG67" s="550" t="s">
        <v>476</v>
      </c>
      <c r="AH67" s="542"/>
      <c r="AI67" s="189" t="s">
        <v>444</v>
      </c>
    </row>
    <row r="68" spans="1:35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11"/>
        <v>10</v>
      </c>
      <c r="G68" s="202"/>
      <c r="H68" s="202"/>
      <c r="I68" s="202"/>
      <c r="J68" s="202"/>
      <c r="K68" s="202"/>
      <c r="L68" s="202"/>
      <c r="M68" s="202"/>
      <c r="N68" s="202"/>
      <c r="O68" s="305" t="s">
        <v>47</v>
      </c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02"/>
      <c r="AA68" s="202"/>
      <c r="AB68" s="202"/>
      <c r="AC68" s="202"/>
      <c r="AD68" s="202"/>
      <c r="AE68" s="41">
        <f t="shared" si="10"/>
        <v>10</v>
      </c>
      <c r="AF68" s="116" t="s">
        <v>119</v>
      </c>
      <c r="AG68" s="550" t="s">
        <v>476</v>
      </c>
      <c r="AH68" s="542"/>
      <c r="AI68" s="189" t="s">
        <v>444</v>
      </c>
    </row>
    <row r="69" spans="1:35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  <c r="AH69" s="2"/>
      <c r="AI69" s="2"/>
    </row>
    <row r="70" spans="1:35" ht="14.25" customHeight="1">
      <c r="A70" s="2"/>
      <c r="B70" s="2"/>
      <c r="C70" s="2"/>
      <c r="D70" s="2"/>
      <c r="E70" s="2"/>
      <c r="F70" s="2"/>
      <c r="AE70" s="2"/>
      <c r="AF70" s="2"/>
      <c r="AG70" s="2"/>
      <c r="AH70" s="2"/>
      <c r="AI70" s="2"/>
    </row>
    <row r="71" spans="1:35" ht="14.25" customHeight="1">
      <c r="A71" s="2"/>
      <c r="B71" s="2"/>
      <c r="C71" s="2"/>
      <c r="D71" s="2"/>
      <c r="E71" s="2"/>
      <c r="F71" s="2"/>
      <c r="AE71" s="2"/>
      <c r="AF71" s="2"/>
      <c r="AG71" s="2"/>
      <c r="AH71" s="2"/>
      <c r="AI71" s="2"/>
    </row>
    <row r="72" spans="1:35" ht="14.25" customHeight="1">
      <c r="A72" s="2"/>
      <c r="B72" s="2"/>
      <c r="C72" s="2"/>
      <c r="D72" s="2"/>
      <c r="E72" s="2"/>
      <c r="F72" s="2"/>
      <c r="AE72" s="2"/>
      <c r="AF72" s="2"/>
      <c r="AG72" s="2"/>
      <c r="AH72" s="2"/>
      <c r="AI72" s="2"/>
    </row>
    <row r="73" spans="1:35" ht="14.25" customHeight="1">
      <c r="A73" s="2"/>
      <c r="B73" s="2"/>
      <c r="C73" s="2"/>
      <c r="D73" s="2"/>
      <c r="E73" s="2"/>
      <c r="F73" s="2"/>
      <c r="AE73" s="2"/>
      <c r="AF73" s="2"/>
      <c r="AG73" s="2"/>
      <c r="AH73" s="2"/>
      <c r="AI73" s="2"/>
    </row>
    <row r="74" spans="1:35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4">
        <v>4</v>
      </c>
      <c r="N74" s="223">
        <v>5</v>
      </c>
      <c r="O74" s="319">
        <v>9</v>
      </c>
      <c r="P74" s="310">
        <v>10</v>
      </c>
      <c r="Q74" s="310">
        <v>10</v>
      </c>
      <c r="R74" s="319">
        <v>9</v>
      </c>
      <c r="S74" s="319">
        <v>9</v>
      </c>
      <c r="T74" s="320">
        <v>11</v>
      </c>
      <c r="U74" s="320">
        <v>11</v>
      </c>
      <c r="V74" s="320">
        <v>11</v>
      </c>
      <c r="W74" s="222">
        <v>8</v>
      </c>
      <c r="X74" s="319">
        <v>9</v>
      </c>
      <c r="Y74" s="222">
        <v>8</v>
      </c>
      <c r="Z74" s="167">
        <v>7</v>
      </c>
      <c r="AA74" s="167">
        <v>7</v>
      </c>
      <c r="AB74" s="221">
        <v>6</v>
      </c>
      <c r="AC74" s="224">
        <v>4</v>
      </c>
      <c r="AD74" s="195">
        <v>2</v>
      </c>
      <c r="AE74" s="18">
        <f>SUM(G74:AD74)</f>
        <v>152</v>
      </c>
      <c r="AF74" s="25"/>
      <c r="AG74" s="3"/>
      <c r="AH74" s="3"/>
      <c r="AI74" s="3"/>
    </row>
    <row r="75" spans="1:35" ht="14.25" customHeight="1">
      <c r="A75" s="3"/>
      <c r="B75" s="3"/>
      <c r="C75" s="3"/>
      <c r="D75" s="48"/>
      <c r="E75" s="59"/>
      <c r="F75" s="59"/>
      <c r="G75" s="28">
        <f t="shared" ref="G75:AD75" si="12">G77-G74</f>
        <v>0</v>
      </c>
      <c r="H75" s="28">
        <f t="shared" si="12"/>
        <v>0</v>
      </c>
      <c r="I75" s="28">
        <f t="shared" si="12"/>
        <v>0</v>
      </c>
      <c r="J75" s="28">
        <f t="shared" si="12"/>
        <v>0</v>
      </c>
      <c r="K75" s="28">
        <f t="shared" si="12"/>
        <v>0</v>
      </c>
      <c r="L75" s="28">
        <f t="shared" si="12"/>
        <v>0</v>
      </c>
      <c r="M75" s="28">
        <f t="shared" si="12"/>
        <v>0</v>
      </c>
      <c r="N75" s="28">
        <f t="shared" si="12"/>
        <v>0</v>
      </c>
      <c r="O75" s="28">
        <f t="shared" si="12"/>
        <v>0</v>
      </c>
      <c r="P75" s="28">
        <f t="shared" si="12"/>
        <v>0</v>
      </c>
      <c r="Q75" s="28">
        <f t="shared" si="12"/>
        <v>0</v>
      </c>
      <c r="R75" s="28">
        <f t="shared" si="12"/>
        <v>0</v>
      </c>
      <c r="S75" s="28">
        <f t="shared" si="12"/>
        <v>0</v>
      </c>
      <c r="T75" s="28">
        <f t="shared" si="12"/>
        <v>0</v>
      </c>
      <c r="U75" s="28">
        <f t="shared" si="12"/>
        <v>0</v>
      </c>
      <c r="V75" s="28">
        <f t="shared" si="12"/>
        <v>0</v>
      </c>
      <c r="W75" s="28">
        <f t="shared" si="12"/>
        <v>0</v>
      </c>
      <c r="X75" s="28">
        <f t="shared" si="12"/>
        <v>0</v>
      </c>
      <c r="Y75" s="28">
        <f t="shared" si="12"/>
        <v>0</v>
      </c>
      <c r="Z75" s="28">
        <f t="shared" si="12"/>
        <v>0</v>
      </c>
      <c r="AA75" s="28">
        <f t="shared" si="12"/>
        <v>0</v>
      </c>
      <c r="AB75" s="28">
        <f t="shared" si="12"/>
        <v>0</v>
      </c>
      <c r="AC75" s="28">
        <f t="shared" si="12"/>
        <v>0</v>
      </c>
      <c r="AD75" s="28">
        <f t="shared" si="12"/>
        <v>0</v>
      </c>
      <c r="AE75" s="53"/>
      <c r="AF75" s="3">
        <v>16</v>
      </c>
      <c r="AG75" s="3"/>
      <c r="AH75" s="3"/>
      <c r="AI75" s="3">
        <f>AE74/11</f>
        <v>13.818181818181818</v>
      </c>
    </row>
    <row r="76" spans="1:35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  <c r="AH76" s="3"/>
      <c r="AI76" s="3"/>
    </row>
    <row r="77" spans="1:35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3">SUM(G78:G94)</f>
        <v>2</v>
      </c>
      <c r="H77" s="35">
        <f t="shared" si="13"/>
        <v>2</v>
      </c>
      <c r="I77" s="35">
        <f t="shared" si="13"/>
        <v>2</v>
      </c>
      <c r="J77" s="35">
        <f t="shared" si="13"/>
        <v>2</v>
      </c>
      <c r="K77" s="35">
        <f t="shared" si="13"/>
        <v>2</v>
      </c>
      <c r="L77" s="35">
        <f t="shared" si="13"/>
        <v>2</v>
      </c>
      <c r="M77" s="35">
        <f t="shared" si="13"/>
        <v>4</v>
      </c>
      <c r="N77" s="35">
        <f t="shared" si="13"/>
        <v>5</v>
      </c>
      <c r="O77" s="35">
        <f t="shared" si="13"/>
        <v>9</v>
      </c>
      <c r="P77" s="35">
        <f t="shared" si="13"/>
        <v>10</v>
      </c>
      <c r="Q77" s="35">
        <f t="shared" si="13"/>
        <v>10</v>
      </c>
      <c r="R77" s="35">
        <f t="shared" si="13"/>
        <v>9</v>
      </c>
      <c r="S77" s="35">
        <f t="shared" si="13"/>
        <v>9</v>
      </c>
      <c r="T77" s="35">
        <f t="shared" si="13"/>
        <v>11</v>
      </c>
      <c r="U77" s="35">
        <f t="shared" si="13"/>
        <v>11</v>
      </c>
      <c r="V77" s="35">
        <f t="shared" si="13"/>
        <v>11</v>
      </c>
      <c r="W77" s="35">
        <f t="shared" si="13"/>
        <v>8</v>
      </c>
      <c r="X77" s="35">
        <f t="shared" si="13"/>
        <v>9</v>
      </c>
      <c r="Y77" s="35">
        <f t="shared" si="13"/>
        <v>8</v>
      </c>
      <c r="Z77" s="35">
        <f t="shared" si="13"/>
        <v>7</v>
      </c>
      <c r="AA77" s="35">
        <f t="shared" si="13"/>
        <v>7</v>
      </c>
      <c r="AB77" s="35">
        <f t="shared" si="13"/>
        <v>6</v>
      </c>
      <c r="AC77" s="35">
        <f t="shared" si="13"/>
        <v>4</v>
      </c>
      <c r="AD77" s="35">
        <f t="shared" si="13"/>
        <v>2</v>
      </c>
      <c r="AE77" s="30">
        <f t="shared" ref="AE77:AE94" si="14">SUM(G77:AD77)</f>
        <v>152</v>
      </c>
      <c r="AF77" s="36" t="s">
        <v>39</v>
      </c>
      <c r="AG77" s="173"/>
      <c r="AH77" s="173"/>
      <c r="AI77" s="37" t="s">
        <v>40</v>
      </c>
    </row>
    <row r="78" spans="1:35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5">SUM(G78:AD78)</f>
        <v>10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02">
        <v>1</v>
      </c>
      <c r="P78" s="202">
        <v>1</v>
      </c>
      <c r="Q78" s="202">
        <v>1</v>
      </c>
      <c r="R78" s="202">
        <v>1</v>
      </c>
      <c r="S78" s="202">
        <v>1</v>
      </c>
      <c r="T78" s="202">
        <v>1</v>
      </c>
      <c r="U78" s="202">
        <v>1</v>
      </c>
      <c r="V78" s="202">
        <v>1</v>
      </c>
      <c r="W78" s="202"/>
      <c r="X78" s="202"/>
      <c r="Y78" s="202"/>
      <c r="Z78" s="202"/>
      <c r="AA78" s="202"/>
      <c r="AB78" s="202"/>
      <c r="AC78" s="202"/>
      <c r="AD78" s="202"/>
      <c r="AE78" s="41">
        <f t="shared" si="14"/>
        <v>10</v>
      </c>
      <c r="AF78" s="116" t="s">
        <v>151</v>
      </c>
      <c r="AG78" s="546" t="s">
        <v>479</v>
      </c>
      <c r="AH78" s="542"/>
      <c r="AI78" s="189" t="s">
        <v>444</v>
      </c>
    </row>
    <row r="79" spans="1:35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5"/>
        <v>9</v>
      </c>
      <c r="G79" s="202"/>
      <c r="H79" s="202"/>
      <c r="I79" s="202"/>
      <c r="J79" s="202"/>
      <c r="K79" s="202"/>
      <c r="L79" s="202"/>
      <c r="M79" s="202">
        <v>1</v>
      </c>
      <c r="N79" s="202">
        <v>1</v>
      </c>
      <c r="O79" s="202">
        <v>1</v>
      </c>
      <c r="P79" s="202">
        <v>1</v>
      </c>
      <c r="Q79" s="202">
        <v>1</v>
      </c>
      <c r="R79" s="202"/>
      <c r="S79" s="202">
        <v>1</v>
      </c>
      <c r="T79" s="202">
        <v>1</v>
      </c>
      <c r="U79" s="202">
        <v>1</v>
      </c>
      <c r="V79" s="202">
        <v>1</v>
      </c>
      <c r="W79" s="202"/>
      <c r="X79" s="202"/>
      <c r="Y79" s="202"/>
      <c r="Z79" s="202"/>
      <c r="AA79" s="202"/>
      <c r="AB79" s="202"/>
      <c r="AC79" s="202"/>
      <c r="AD79" s="202"/>
      <c r="AE79" s="41">
        <f t="shared" si="14"/>
        <v>9</v>
      </c>
      <c r="AF79" s="116" t="s">
        <v>232</v>
      </c>
      <c r="AG79" s="546" t="s">
        <v>479</v>
      </c>
      <c r="AH79" s="542"/>
      <c r="AI79" s="189" t="s">
        <v>444</v>
      </c>
    </row>
    <row r="80" spans="1:35" ht="19.5" customHeight="1">
      <c r="A80" s="38" t="s">
        <v>145</v>
      </c>
      <c r="B80" s="38" t="s">
        <v>76</v>
      </c>
      <c r="C80" s="38">
        <v>997829699</v>
      </c>
      <c r="D80" s="39">
        <v>3</v>
      </c>
      <c r="E80" s="40" t="s">
        <v>77</v>
      </c>
      <c r="F80" s="41">
        <f t="shared" si="15"/>
        <v>6</v>
      </c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>
        <v>1</v>
      </c>
      <c r="X80" s="202">
        <v>1</v>
      </c>
      <c r="Y80" s="202">
        <v>1</v>
      </c>
      <c r="Z80" s="202">
        <v>1</v>
      </c>
      <c r="AA80" s="202">
        <v>1</v>
      </c>
      <c r="AB80" s="202">
        <v>1</v>
      </c>
      <c r="AC80" s="202"/>
      <c r="AD80" s="202"/>
      <c r="AE80" s="41">
        <f t="shared" si="14"/>
        <v>6</v>
      </c>
      <c r="AF80" s="116" t="s">
        <v>304</v>
      </c>
      <c r="AG80" s="546" t="s">
        <v>479</v>
      </c>
      <c r="AH80" s="542"/>
      <c r="AI80" s="189" t="s">
        <v>444</v>
      </c>
    </row>
    <row r="81" spans="1:35" ht="14.25" customHeight="1">
      <c r="A81" s="38" t="s">
        <v>145</v>
      </c>
      <c r="B81" s="38" t="s">
        <v>152</v>
      </c>
      <c r="C81" s="38"/>
      <c r="D81" s="99">
        <v>4</v>
      </c>
      <c r="E81" s="40" t="s">
        <v>153</v>
      </c>
      <c r="F81" s="41">
        <f t="shared" si="15"/>
        <v>10</v>
      </c>
      <c r="G81" s="202"/>
      <c r="H81" s="202"/>
      <c r="I81" s="202"/>
      <c r="J81" s="202"/>
      <c r="K81" s="202"/>
      <c r="L81" s="202"/>
      <c r="M81" s="202"/>
      <c r="N81" s="202">
        <v>1</v>
      </c>
      <c r="O81" s="202">
        <v>1</v>
      </c>
      <c r="P81" s="202">
        <v>1</v>
      </c>
      <c r="Q81" s="202">
        <v>1</v>
      </c>
      <c r="R81" s="202">
        <v>1</v>
      </c>
      <c r="S81" s="202">
        <v>1</v>
      </c>
      <c r="T81" s="202">
        <v>1</v>
      </c>
      <c r="U81" s="202">
        <v>1</v>
      </c>
      <c r="V81" s="202">
        <v>1</v>
      </c>
      <c r="W81" s="202">
        <v>1</v>
      </c>
      <c r="X81" s="202"/>
      <c r="Y81" s="202"/>
      <c r="Z81" s="202"/>
      <c r="AA81" s="202"/>
      <c r="AB81" s="202"/>
      <c r="AC81" s="202"/>
      <c r="AD81" s="202"/>
      <c r="AE81" s="41">
        <f t="shared" si="14"/>
        <v>10</v>
      </c>
      <c r="AF81" s="116" t="s">
        <v>61</v>
      </c>
      <c r="AG81" s="546" t="s">
        <v>479</v>
      </c>
      <c r="AH81" s="542"/>
      <c r="AI81" s="189" t="s">
        <v>444</v>
      </c>
    </row>
    <row r="82" spans="1:35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5"/>
        <v>6</v>
      </c>
      <c r="G82" s="202"/>
      <c r="H82" s="202"/>
      <c r="I82" s="202"/>
      <c r="J82" s="202"/>
      <c r="K82" s="202"/>
      <c r="L82" s="202"/>
      <c r="M82" s="202"/>
      <c r="N82" s="202"/>
      <c r="O82" s="202"/>
      <c r="P82" s="202">
        <v>1</v>
      </c>
      <c r="Q82" s="202">
        <v>1</v>
      </c>
      <c r="R82" s="202">
        <v>1</v>
      </c>
      <c r="S82" s="202">
        <v>1</v>
      </c>
      <c r="T82" s="202">
        <v>1</v>
      </c>
      <c r="U82" s="202">
        <v>1</v>
      </c>
      <c r="V82" s="202"/>
      <c r="W82" s="202"/>
      <c r="X82" s="202"/>
      <c r="Y82" s="202"/>
      <c r="Z82" s="202"/>
      <c r="AA82" s="202"/>
      <c r="AB82" s="202"/>
      <c r="AC82" s="202"/>
      <c r="AD82" s="202"/>
      <c r="AE82" s="41">
        <f t="shared" si="14"/>
        <v>6</v>
      </c>
      <c r="AF82" s="116" t="s">
        <v>747</v>
      </c>
      <c r="AG82" s="546" t="s">
        <v>479</v>
      </c>
      <c r="AH82" s="542"/>
      <c r="AI82" s="189" t="s">
        <v>444</v>
      </c>
    </row>
    <row r="83" spans="1:35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5"/>
        <v>9</v>
      </c>
      <c r="G83" s="202"/>
      <c r="H83" s="202"/>
      <c r="I83" s="202"/>
      <c r="J83" s="202"/>
      <c r="K83" s="202"/>
      <c r="L83" s="202"/>
      <c r="M83" s="202">
        <v>1</v>
      </c>
      <c r="N83" s="202">
        <v>1</v>
      </c>
      <c r="O83" s="202">
        <v>1</v>
      </c>
      <c r="P83" s="202">
        <v>1</v>
      </c>
      <c r="Q83" s="202">
        <v>1</v>
      </c>
      <c r="R83" s="202">
        <v>1</v>
      </c>
      <c r="S83" s="202"/>
      <c r="T83" s="202">
        <v>1</v>
      </c>
      <c r="U83" s="202">
        <v>1</v>
      </c>
      <c r="V83" s="202">
        <v>1</v>
      </c>
      <c r="W83" s="202"/>
      <c r="X83" s="202"/>
      <c r="Y83" s="202"/>
      <c r="Z83" s="202"/>
      <c r="AA83" s="202"/>
      <c r="AB83" s="202"/>
      <c r="AC83" s="202"/>
      <c r="AD83" s="202"/>
      <c r="AE83" s="41">
        <f t="shared" si="14"/>
        <v>9</v>
      </c>
      <c r="AF83" s="116" t="s">
        <v>224</v>
      </c>
      <c r="AG83" s="546" t="s">
        <v>479</v>
      </c>
      <c r="AH83" s="542"/>
      <c r="AI83" s="189" t="s">
        <v>444</v>
      </c>
    </row>
    <row r="84" spans="1:35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5"/>
        <v>10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>
        <v>1</v>
      </c>
      <c r="AB84" s="202">
        <v>1</v>
      </c>
      <c r="AC84" s="202">
        <v>1</v>
      </c>
      <c r="AD84" s="202">
        <v>1</v>
      </c>
      <c r="AE84" s="41">
        <f t="shared" si="14"/>
        <v>10</v>
      </c>
      <c r="AF84" s="116" t="s">
        <v>556</v>
      </c>
      <c r="AG84" s="546" t="s">
        <v>479</v>
      </c>
      <c r="AH84" s="542"/>
      <c r="AI84" s="189" t="s">
        <v>444</v>
      </c>
    </row>
    <row r="85" spans="1:35" ht="14.25" customHeight="1">
      <c r="A85" s="38" t="s">
        <v>145</v>
      </c>
      <c r="B85" s="38" t="s">
        <v>165</v>
      </c>
      <c r="C85" s="38">
        <v>992994680</v>
      </c>
      <c r="D85" s="62">
        <v>8</v>
      </c>
      <c r="E85" s="40" t="s">
        <v>166</v>
      </c>
      <c r="F85" s="41">
        <f t="shared" si="15"/>
        <v>9</v>
      </c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>
        <v>1</v>
      </c>
      <c r="T85" s="202">
        <v>1</v>
      </c>
      <c r="U85" s="202">
        <v>1</v>
      </c>
      <c r="V85" s="202"/>
      <c r="W85" s="202">
        <v>1</v>
      </c>
      <c r="X85" s="202">
        <v>1</v>
      </c>
      <c r="Y85" s="202">
        <v>1</v>
      </c>
      <c r="Z85" s="202">
        <v>1</v>
      </c>
      <c r="AA85" s="202">
        <v>1</v>
      </c>
      <c r="AB85" s="202">
        <v>1</v>
      </c>
      <c r="AC85" s="202"/>
      <c r="AD85" s="202"/>
      <c r="AE85" s="41">
        <f t="shared" si="14"/>
        <v>9</v>
      </c>
      <c r="AF85" s="116" t="s">
        <v>234</v>
      </c>
      <c r="AG85" s="546" t="s">
        <v>479</v>
      </c>
      <c r="AH85" s="542"/>
      <c r="AI85" s="189" t="s">
        <v>444</v>
      </c>
    </row>
    <row r="86" spans="1:35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5"/>
        <v>11</v>
      </c>
      <c r="G86" s="202"/>
      <c r="H86" s="202"/>
      <c r="I86" s="202"/>
      <c r="J86" s="202"/>
      <c r="K86" s="202"/>
      <c r="L86" s="202"/>
      <c r="M86" s="202"/>
      <c r="N86" s="202"/>
      <c r="O86" s="202">
        <v>1</v>
      </c>
      <c r="P86" s="202">
        <v>1</v>
      </c>
      <c r="Q86" s="202">
        <v>1</v>
      </c>
      <c r="R86" s="202">
        <v>1</v>
      </c>
      <c r="S86" s="202">
        <v>1</v>
      </c>
      <c r="T86" s="202">
        <v>1</v>
      </c>
      <c r="U86" s="202">
        <v>1</v>
      </c>
      <c r="V86" s="202">
        <v>1</v>
      </c>
      <c r="W86" s="202"/>
      <c r="X86" s="202">
        <v>1</v>
      </c>
      <c r="Y86" s="202">
        <v>1</v>
      </c>
      <c r="Z86" s="202">
        <v>1</v>
      </c>
      <c r="AA86" s="202"/>
      <c r="AB86" s="202"/>
      <c r="AC86" s="202"/>
      <c r="AD86" s="202"/>
      <c r="AE86" s="41">
        <f t="shared" si="14"/>
        <v>11</v>
      </c>
      <c r="AF86" s="116" t="s">
        <v>399</v>
      </c>
      <c r="AG86" s="546" t="s">
        <v>479</v>
      </c>
      <c r="AH86" s="542"/>
      <c r="AI86" s="189" t="s">
        <v>444</v>
      </c>
    </row>
    <row r="87" spans="1:35" ht="14.25" customHeight="1">
      <c r="A87" s="98" t="s">
        <v>145</v>
      </c>
      <c r="B87" s="98" t="s">
        <v>451</v>
      </c>
      <c r="C87" s="98"/>
      <c r="D87" s="99">
        <v>10</v>
      </c>
      <c r="E87" s="40" t="s">
        <v>177</v>
      </c>
      <c r="F87" s="41">
        <f t="shared" si="15"/>
        <v>10</v>
      </c>
      <c r="G87" s="202"/>
      <c r="H87" s="202"/>
      <c r="I87" s="202"/>
      <c r="J87" s="202"/>
      <c r="K87" s="202"/>
      <c r="L87" s="202"/>
      <c r="M87" s="202"/>
      <c r="N87" s="202"/>
      <c r="O87" s="202">
        <v>1</v>
      </c>
      <c r="P87" s="202">
        <v>1</v>
      </c>
      <c r="Q87" s="202">
        <v>1</v>
      </c>
      <c r="R87" s="202">
        <v>1</v>
      </c>
      <c r="S87" s="202">
        <v>1</v>
      </c>
      <c r="T87" s="202">
        <v>1</v>
      </c>
      <c r="U87" s="202">
        <v>1</v>
      </c>
      <c r="V87" s="202">
        <v>1</v>
      </c>
      <c r="W87" s="202"/>
      <c r="X87" s="202">
        <v>1</v>
      </c>
      <c r="Y87" s="202">
        <v>1</v>
      </c>
      <c r="Z87" s="202"/>
      <c r="AA87" s="202"/>
      <c r="AB87" s="202"/>
      <c r="AC87" s="202"/>
      <c r="AD87" s="202"/>
      <c r="AE87" s="41">
        <f t="shared" si="14"/>
        <v>10</v>
      </c>
      <c r="AF87" s="116" t="s">
        <v>731</v>
      </c>
      <c r="AG87" s="546" t="s">
        <v>479</v>
      </c>
      <c r="AH87" s="542"/>
      <c r="AI87" s="189" t="s">
        <v>444</v>
      </c>
    </row>
    <row r="88" spans="1:35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5"/>
        <v>11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>
        <v>1</v>
      </c>
      <c r="AA88" s="202">
        <v>1</v>
      </c>
      <c r="AB88" s="202">
        <v>1</v>
      </c>
      <c r="AC88" s="202">
        <v>1</v>
      </c>
      <c r="AD88" s="202">
        <v>1</v>
      </c>
      <c r="AE88" s="41">
        <f t="shared" si="14"/>
        <v>11</v>
      </c>
      <c r="AF88" s="116" t="s">
        <v>432</v>
      </c>
      <c r="AG88" s="546" t="s">
        <v>479</v>
      </c>
      <c r="AH88" s="542"/>
      <c r="AI88" s="189" t="s">
        <v>444</v>
      </c>
    </row>
    <row r="89" spans="1:35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5"/>
        <v>9</v>
      </c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>
        <v>1</v>
      </c>
      <c r="U89" s="202"/>
      <c r="V89" s="202">
        <v>1</v>
      </c>
      <c r="W89" s="202">
        <v>1</v>
      </c>
      <c r="X89" s="202">
        <v>1</v>
      </c>
      <c r="Y89" s="202">
        <v>1</v>
      </c>
      <c r="Z89" s="202">
        <v>1</v>
      </c>
      <c r="AA89" s="202">
        <v>1</v>
      </c>
      <c r="AB89" s="202">
        <v>1</v>
      </c>
      <c r="AC89" s="202">
        <v>1</v>
      </c>
      <c r="AD89" s="202"/>
      <c r="AE89" s="41">
        <f t="shared" si="14"/>
        <v>9</v>
      </c>
      <c r="AF89" s="116" t="s">
        <v>395</v>
      </c>
      <c r="AG89" s="546" t="s">
        <v>479</v>
      </c>
      <c r="AH89" s="542"/>
      <c r="AI89" s="189" t="s">
        <v>444</v>
      </c>
    </row>
    <row r="90" spans="1:35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5"/>
        <v>9</v>
      </c>
      <c r="G90" s="202"/>
      <c r="H90" s="202"/>
      <c r="I90" s="202"/>
      <c r="J90" s="202"/>
      <c r="K90" s="202"/>
      <c r="L90" s="202"/>
      <c r="M90" s="202"/>
      <c r="N90" s="202"/>
      <c r="O90" s="202">
        <v>1</v>
      </c>
      <c r="P90" s="202">
        <v>1</v>
      </c>
      <c r="Q90" s="202">
        <v>1</v>
      </c>
      <c r="R90" s="202">
        <v>1</v>
      </c>
      <c r="S90" s="202">
        <v>1</v>
      </c>
      <c r="T90" s="202"/>
      <c r="U90" s="202">
        <v>1</v>
      </c>
      <c r="V90" s="202">
        <v>1</v>
      </c>
      <c r="W90" s="202">
        <v>1</v>
      </c>
      <c r="X90" s="202">
        <v>1</v>
      </c>
      <c r="Y90" s="202"/>
      <c r="Z90" s="202"/>
      <c r="AA90" s="202"/>
      <c r="AB90" s="202"/>
      <c r="AC90" s="202"/>
      <c r="AD90" s="202"/>
      <c r="AE90" s="41">
        <f t="shared" si="14"/>
        <v>9</v>
      </c>
      <c r="AF90" s="116" t="s">
        <v>214</v>
      </c>
      <c r="AG90" s="546" t="s">
        <v>479</v>
      </c>
      <c r="AH90" s="542"/>
      <c r="AI90" s="189" t="s">
        <v>444</v>
      </c>
    </row>
    <row r="91" spans="1:35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5"/>
        <v>10</v>
      </c>
      <c r="G91" s="202"/>
      <c r="H91" s="202"/>
      <c r="I91" s="202"/>
      <c r="J91" s="202"/>
      <c r="K91" s="202"/>
      <c r="L91" s="202"/>
      <c r="M91" s="202"/>
      <c r="N91" s="202"/>
      <c r="O91" s="202">
        <v>1</v>
      </c>
      <c r="P91" s="202">
        <v>1</v>
      </c>
      <c r="Q91" s="202">
        <v>1</v>
      </c>
      <c r="R91" s="202">
        <v>1</v>
      </c>
      <c r="S91" s="202"/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>
        <v>1</v>
      </c>
      <c r="Z91" s="202"/>
      <c r="AA91" s="202"/>
      <c r="AB91" s="202"/>
      <c r="AC91" s="202"/>
      <c r="AD91" s="202"/>
      <c r="AE91" s="41">
        <f t="shared" si="14"/>
        <v>10</v>
      </c>
      <c r="AF91" s="116" t="s">
        <v>748</v>
      </c>
      <c r="AG91" s="546" t="s">
        <v>479</v>
      </c>
      <c r="AH91" s="542"/>
      <c r="AI91" s="189" t="s">
        <v>444</v>
      </c>
    </row>
    <row r="92" spans="1:35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5"/>
        <v>6</v>
      </c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>
        <v>1</v>
      </c>
      <c r="W92" s="202">
        <v>1</v>
      </c>
      <c r="X92" s="202">
        <v>1</v>
      </c>
      <c r="Y92" s="202">
        <v>1</v>
      </c>
      <c r="Z92" s="202">
        <v>1</v>
      </c>
      <c r="AA92" s="202">
        <v>1</v>
      </c>
      <c r="AB92" s="202"/>
      <c r="AC92" s="202"/>
      <c r="AD92" s="202"/>
      <c r="AE92" s="41">
        <f t="shared" si="14"/>
        <v>6</v>
      </c>
      <c r="AF92" s="116" t="s">
        <v>230</v>
      </c>
      <c r="AG92" s="546" t="s">
        <v>479</v>
      </c>
      <c r="AH92" s="542"/>
      <c r="AI92" s="189" t="s">
        <v>444</v>
      </c>
    </row>
    <row r="93" spans="1:35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5"/>
        <v>9</v>
      </c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>
        <v>1</v>
      </c>
      <c r="V93" s="202">
        <v>1</v>
      </c>
      <c r="W93" s="202">
        <v>1</v>
      </c>
      <c r="X93" s="202">
        <v>1</v>
      </c>
      <c r="Y93" s="202">
        <v>1</v>
      </c>
      <c r="Z93" s="202">
        <v>1</v>
      </c>
      <c r="AA93" s="202">
        <v>1</v>
      </c>
      <c r="AB93" s="202">
        <v>1</v>
      </c>
      <c r="AC93" s="202">
        <v>1</v>
      </c>
      <c r="AD93" s="202"/>
      <c r="AE93" s="41">
        <f t="shared" si="14"/>
        <v>9</v>
      </c>
      <c r="AF93" s="116" t="s">
        <v>81</v>
      </c>
      <c r="AG93" s="546" t="s">
        <v>479</v>
      </c>
      <c r="AH93" s="542"/>
      <c r="AI93" s="189" t="s">
        <v>444</v>
      </c>
    </row>
    <row r="94" spans="1:35" ht="14.25" customHeight="1">
      <c r="A94" s="38" t="s">
        <v>145</v>
      </c>
      <c r="B94" s="38" t="s">
        <v>472</v>
      </c>
      <c r="C94" s="38"/>
      <c r="D94" s="39">
        <v>17</v>
      </c>
      <c r="E94" s="40" t="s">
        <v>184</v>
      </c>
      <c r="F94" s="41">
        <f t="shared" si="15"/>
        <v>8</v>
      </c>
      <c r="G94" s="202"/>
      <c r="H94" s="202"/>
      <c r="I94" s="202"/>
      <c r="J94" s="202"/>
      <c r="K94" s="202"/>
      <c r="L94" s="202"/>
      <c r="M94" s="202">
        <v>1</v>
      </c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41">
        <f t="shared" si="14"/>
        <v>8</v>
      </c>
      <c r="AF94" s="116" t="s">
        <v>252</v>
      </c>
      <c r="AG94" s="546" t="s">
        <v>479</v>
      </c>
      <c r="AH94" s="542"/>
      <c r="AI94" s="189" t="s">
        <v>444</v>
      </c>
    </row>
    <row r="95" spans="1:35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  <c r="AH95" s="3"/>
      <c r="AI95" s="3"/>
    </row>
    <row r="96" spans="1:3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</sheetData>
  <customSheetViews>
    <customSheetView guid="{833D6734-F5E1-4449-B5A1-8C3A51A61651}" filter="1" showAutoFilter="1">
      <pageMargins left="0.7" right="0.7" top="0.75" bottom="0.75" header="0.3" footer="0.3"/>
      <autoFilter ref="A7:AI96" xr:uid="{6B4F200D-76A3-44D7-AC88-7C2F57815A5C}">
        <filterColumn colId="26">
          <filters>
            <filter val="-"/>
            <filter val="1"/>
            <filter val="7"/>
            <filter val="MONITOREOS"/>
            <filter val="S"/>
            <filter val="VIP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I96" xr:uid="{E67D2862-F612-4BB6-A358-11BFBC040A09}"/>
    </customSheetView>
    <customSheetView guid="{49BA5E93-E473-4F11-BE7E-FD55CB28D969}" filter="1" showAutoFilter="1">
      <pageMargins left="0.7" right="0.7" top="0.75" bottom="0.75" header="0.3" footer="0.3"/>
      <autoFilter ref="G5:AD96" xr:uid="{1B8FF4ED-06C5-46CB-9894-93B911235801}">
        <filterColumn colId="15">
          <filters>
            <filter val="-"/>
            <filter val="1"/>
            <filter val="10"/>
            <filter val="11"/>
            <filter val="21"/>
            <filter val="C"/>
            <filter val="DTH"/>
            <filter val="MONITOREOS"/>
            <filter val="SEGUIMIENTO TRANSFERENCIAS"/>
            <filter val="VIP"/>
          </filters>
        </filterColumn>
      </autoFilter>
    </customSheetView>
  </customSheetViews>
  <mergeCells count="79">
    <mergeCell ref="E74:F74"/>
    <mergeCell ref="AG59:AH59"/>
    <mergeCell ref="AG60:AH60"/>
    <mergeCell ref="AG61:AH61"/>
    <mergeCell ref="AG62:AH62"/>
    <mergeCell ref="AG63:AH63"/>
    <mergeCell ref="AG64:AH64"/>
    <mergeCell ref="AG65:AH65"/>
    <mergeCell ref="N47:U47"/>
    <mergeCell ref="V48:AC48"/>
    <mergeCell ref="O49:Z49"/>
    <mergeCell ref="AG49:AH49"/>
    <mergeCell ref="E55:F55"/>
    <mergeCell ref="AG24:AH24"/>
    <mergeCell ref="V33:AC33"/>
    <mergeCell ref="AG33:AH33"/>
    <mergeCell ref="AG25:AH25"/>
    <mergeCell ref="AG26:AH26"/>
    <mergeCell ref="AG27:AH27"/>
    <mergeCell ref="AG28:AH28"/>
    <mergeCell ref="AG29:AH29"/>
    <mergeCell ref="V30:AC30"/>
    <mergeCell ref="V31:AC31"/>
    <mergeCell ref="AG30:AH30"/>
    <mergeCell ref="AG31:AH31"/>
    <mergeCell ref="AG32:AH32"/>
    <mergeCell ref="AG19:AH19"/>
    <mergeCell ref="AG20:AH20"/>
    <mergeCell ref="AG21:AH21"/>
    <mergeCell ref="AG22:AH22"/>
    <mergeCell ref="AG23:AH23"/>
    <mergeCell ref="AG14:AH14"/>
    <mergeCell ref="AG15:AH15"/>
    <mergeCell ref="AG16:AH16"/>
    <mergeCell ref="P17:Z17"/>
    <mergeCell ref="AG18:AH18"/>
    <mergeCell ref="AG8:AH8"/>
    <mergeCell ref="AG9:AH9"/>
    <mergeCell ref="AG10:AH10"/>
    <mergeCell ref="AG12:AH12"/>
    <mergeCell ref="AG13:AH13"/>
    <mergeCell ref="A1:B1"/>
    <mergeCell ref="D3:AE3"/>
    <mergeCell ref="E4:F4"/>
    <mergeCell ref="E5:F5"/>
    <mergeCell ref="AG7:AH7"/>
    <mergeCell ref="AG84:AH84"/>
    <mergeCell ref="AG92:AH92"/>
    <mergeCell ref="AG93:AH93"/>
    <mergeCell ref="AG94:AH94"/>
    <mergeCell ref="AG85:AH85"/>
    <mergeCell ref="AG86:AH86"/>
    <mergeCell ref="AG87:AH87"/>
    <mergeCell ref="AG88:AH88"/>
    <mergeCell ref="AG89:AH89"/>
    <mergeCell ref="AG90:AH90"/>
    <mergeCell ref="AG91:AH91"/>
    <mergeCell ref="AG79:AH79"/>
    <mergeCell ref="AG80:AH80"/>
    <mergeCell ref="AG81:AH81"/>
    <mergeCell ref="AG82:AH82"/>
    <mergeCell ref="AG83:AH83"/>
    <mergeCell ref="AG44:AH44"/>
    <mergeCell ref="AG78:AH78"/>
    <mergeCell ref="AG45:AH45"/>
    <mergeCell ref="AG46:AH46"/>
    <mergeCell ref="AG66:AH66"/>
    <mergeCell ref="AG67:AH67"/>
    <mergeCell ref="AG68:AH68"/>
    <mergeCell ref="AG39:AH39"/>
    <mergeCell ref="AG40:AH40"/>
    <mergeCell ref="AG41:AH41"/>
    <mergeCell ref="AG42:AH42"/>
    <mergeCell ref="AG43:AH43"/>
    <mergeCell ref="AG34:AH34"/>
    <mergeCell ref="AG35:AH35"/>
    <mergeCell ref="AG36:AH36"/>
    <mergeCell ref="AG37:AH37"/>
    <mergeCell ref="AG38:AH38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I96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39.85546875" customWidth="1"/>
    <col min="33" max="33" width="14.5703125" customWidth="1"/>
    <col min="34" max="34" width="16.7109375" customWidth="1"/>
    <col min="35" max="35" width="27.7109375" customWidth="1"/>
  </cols>
  <sheetData>
    <row r="1" spans="1:35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7.25">
      <c r="A3" s="6" t="s">
        <v>3</v>
      </c>
      <c r="B3" s="7" t="s">
        <v>4</v>
      </c>
      <c r="C3" s="2"/>
      <c r="D3" s="565" t="s">
        <v>257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32</v>
      </c>
      <c r="AG3" s="3"/>
      <c r="AH3" s="3"/>
      <c r="AI3" s="3">
        <f>AE4/10</f>
        <v>32.299999999999997</v>
      </c>
    </row>
    <row r="4" spans="1:35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4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14</v>
      </c>
      <c r="N4" s="204">
        <v>14</v>
      </c>
      <c r="O4" s="204">
        <v>22</v>
      </c>
      <c r="P4" s="204">
        <v>17</v>
      </c>
      <c r="Q4" s="204">
        <v>20</v>
      </c>
      <c r="R4" s="204">
        <v>20</v>
      </c>
      <c r="S4" s="204">
        <v>19</v>
      </c>
      <c r="T4" s="204">
        <v>19</v>
      </c>
      <c r="U4" s="204">
        <v>20</v>
      </c>
      <c r="V4" s="204">
        <v>19</v>
      </c>
      <c r="W4" s="204">
        <v>20</v>
      </c>
      <c r="X4" s="204">
        <v>17</v>
      </c>
      <c r="Y4" s="204">
        <v>15</v>
      </c>
      <c r="Z4" s="204">
        <v>21</v>
      </c>
      <c r="AA4" s="204">
        <v>20</v>
      </c>
      <c r="AB4" s="204">
        <v>15</v>
      </c>
      <c r="AC4" s="204">
        <v>7</v>
      </c>
      <c r="AD4" s="204">
        <v>5</v>
      </c>
      <c r="AE4" s="18">
        <f>SUM(G4:AD4)</f>
        <v>323</v>
      </c>
      <c r="AF4" s="3"/>
      <c r="AG4" s="3"/>
      <c r="AH4" s="3"/>
      <c r="AI4" s="3"/>
    </row>
    <row r="5" spans="1:35" ht="62.25">
      <c r="A5" s="3"/>
      <c r="B5" s="2"/>
      <c r="C5" s="2"/>
      <c r="D5" s="19"/>
      <c r="E5" s="569">
        <v>29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</row>
    <row r="6" spans="1:35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05">
        <f t="shared" si="0"/>
        <v>-2</v>
      </c>
      <c r="N6" s="205">
        <f t="shared" si="0"/>
        <v>-1</v>
      </c>
      <c r="O6" s="84">
        <f t="shared" si="0"/>
        <v>-2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10" si="1">SUM(G6:AD6)</f>
        <v>-5</v>
      </c>
      <c r="AG6" s="24"/>
      <c r="AH6" s="24"/>
      <c r="AI6" s="24"/>
    </row>
    <row r="7" spans="1:35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12</v>
      </c>
      <c r="N7" s="172">
        <f t="shared" si="2"/>
        <v>13</v>
      </c>
      <c r="O7" s="172">
        <f t="shared" si="2"/>
        <v>20</v>
      </c>
      <c r="P7" s="172">
        <f t="shared" si="2"/>
        <v>17</v>
      </c>
      <c r="Q7" s="172">
        <f t="shared" si="2"/>
        <v>20</v>
      </c>
      <c r="R7" s="172">
        <f t="shared" si="2"/>
        <v>20</v>
      </c>
      <c r="S7" s="172">
        <f t="shared" si="2"/>
        <v>19</v>
      </c>
      <c r="T7" s="172">
        <f t="shared" si="2"/>
        <v>19</v>
      </c>
      <c r="U7" s="172">
        <f t="shared" si="2"/>
        <v>20</v>
      </c>
      <c r="V7" s="172">
        <f t="shared" si="2"/>
        <v>19</v>
      </c>
      <c r="W7" s="172">
        <f t="shared" si="2"/>
        <v>20</v>
      </c>
      <c r="X7" s="172">
        <f t="shared" si="2"/>
        <v>17</v>
      </c>
      <c r="Y7" s="172">
        <f t="shared" si="2"/>
        <v>15</v>
      </c>
      <c r="Z7" s="172">
        <f t="shared" si="2"/>
        <v>21</v>
      </c>
      <c r="AA7" s="172">
        <f t="shared" si="2"/>
        <v>20</v>
      </c>
      <c r="AB7" s="172">
        <f t="shared" si="2"/>
        <v>15</v>
      </c>
      <c r="AC7" s="172">
        <f t="shared" si="2"/>
        <v>7</v>
      </c>
      <c r="AD7" s="172">
        <f t="shared" si="2"/>
        <v>5</v>
      </c>
      <c r="AE7" s="168">
        <f t="shared" si="1"/>
        <v>318</v>
      </c>
      <c r="AF7" s="36" t="s">
        <v>39</v>
      </c>
      <c r="AG7" s="571" t="s">
        <v>440</v>
      </c>
      <c r="AH7" s="572"/>
      <c r="AI7" s="37" t="s">
        <v>40</v>
      </c>
    </row>
    <row r="8" spans="1:35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49" si="3">SUM(G8:AD8)</f>
        <v>13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>
        <v>1</v>
      </c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13</v>
      </c>
      <c r="AF8" s="116" t="s">
        <v>732</v>
      </c>
      <c r="AG8" s="550" t="s">
        <v>41</v>
      </c>
      <c r="AH8" s="542"/>
      <c r="AI8" s="189" t="s">
        <v>444</v>
      </c>
    </row>
    <row r="9" spans="1:35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13</v>
      </c>
      <c r="G9" s="176"/>
      <c r="H9" s="176"/>
      <c r="I9" s="176"/>
      <c r="J9" s="176"/>
      <c r="K9" s="176"/>
      <c r="L9" s="176"/>
      <c r="M9" s="176">
        <v>1</v>
      </c>
      <c r="N9" s="176">
        <v>1</v>
      </c>
      <c r="O9" s="176">
        <v>1</v>
      </c>
      <c r="P9" s="341" t="s">
        <v>47</v>
      </c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>
        <v>1</v>
      </c>
      <c r="Y9" s="176">
        <v>1</v>
      </c>
      <c r="Z9" s="176">
        <v>1</v>
      </c>
      <c r="AA9" s="176"/>
      <c r="AB9" s="176"/>
      <c r="AC9" s="176"/>
      <c r="AD9" s="176"/>
      <c r="AE9" s="41">
        <f t="shared" si="1"/>
        <v>13</v>
      </c>
      <c r="AF9" s="116" t="s">
        <v>355</v>
      </c>
      <c r="AG9" s="550" t="s">
        <v>41</v>
      </c>
      <c r="AH9" s="542"/>
      <c r="AI9" s="189" t="s">
        <v>444</v>
      </c>
    </row>
    <row r="10" spans="1:35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10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341" t="s">
        <v>47</v>
      </c>
      <c r="Q10" s="176">
        <v>1</v>
      </c>
      <c r="R10" s="176">
        <v>1</v>
      </c>
      <c r="S10" s="176">
        <v>1</v>
      </c>
      <c r="T10" s="176">
        <v>1</v>
      </c>
      <c r="U10" s="176">
        <v>1</v>
      </c>
      <c r="V10" s="176">
        <v>1</v>
      </c>
      <c r="W10" s="176">
        <v>1</v>
      </c>
      <c r="X10" s="176"/>
      <c r="Y10" s="176"/>
      <c r="Z10" s="176"/>
      <c r="AA10" s="176"/>
      <c r="AB10" s="176"/>
      <c r="AC10" s="176"/>
      <c r="AD10" s="176"/>
      <c r="AE10" s="41">
        <f t="shared" si="1"/>
        <v>10</v>
      </c>
      <c r="AF10" s="116" t="s">
        <v>192</v>
      </c>
      <c r="AG10" s="550" t="s">
        <v>41</v>
      </c>
      <c r="AH10" s="542"/>
      <c r="AI10" s="189" t="s">
        <v>444</v>
      </c>
    </row>
    <row r="11" spans="1:35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3</v>
      </c>
      <c r="G11" s="176"/>
      <c r="H11" s="176"/>
      <c r="I11" s="176"/>
      <c r="J11" s="176"/>
      <c r="K11" s="176"/>
      <c r="L11" s="176"/>
      <c r="M11" s="176">
        <v>1</v>
      </c>
      <c r="N11" s="176">
        <v>1</v>
      </c>
      <c r="O11" s="176">
        <v>1</v>
      </c>
      <c r="P11" s="343"/>
      <c r="Q11" s="343"/>
      <c r="R11" s="343"/>
      <c r="S11" s="343"/>
      <c r="T11" s="343"/>
      <c r="U11" s="343"/>
      <c r="V11" s="343"/>
      <c r="W11" s="176"/>
      <c r="X11" s="176"/>
      <c r="Y11" s="176"/>
      <c r="Z11" s="176"/>
      <c r="AA11" s="176"/>
      <c r="AB11" s="176"/>
      <c r="AC11" s="176"/>
      <c r="AD11" s="176"/>
      <c r="AE11" s="41">
        <v>10</v>
      </c>
      <c r="AF11" s="116" t="s">
        <v>151</v>
      </c>
      <c r="AG11" s="176" t="s">
        <v>41</v>
      </c>
      <c r="AH11" s="335" t="s">
        <v>717</v>
      </c>
      <c r="AI11" s="178" t="s">
        <v>444</v>
      </c>
    </row>
    <row r="12" spans="1:35" ht="14.25" customHeight="1">
      <c r="A12" s="38" t="s">
        <v>41</v>
      </c>
      <c r="B12" s="38" t="s">
        <v>59</v>
      </c>
      <c r="C12" s="38"/>
      <c r="D12" s="99">
        <v>6</v>
      </c>
      <c r="E12" s="207" t="s">
        <v>60</v>
      </c>
      <c r="F12" s="41">
        <f t="shared" si="3"/>
        <v>11</v>
      </c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341" t="s">
        <v>47</v>
      </c>
      <c r="R12" s="176">
        <v>1</v>
      </c>
      <c r="S12" s="176">
        <v>1</v>
      </c>
      <c r="T12" s="176">
        <v>1</v>
      </c>
      <c r="U12" s="176">
        <v>1</v>
      </c>
      <c r="V12" s="176">
        <v>1</v>
      </c>
      <c r="W12" s="176">
        <v>1</v>
      </c>
      <c r="X12" s="176">
        <v>1</v>
      </c>
      <c r="Y12" s="176"/>
      <c r="Z12" s="176">
        <v>1</v>
      </c>
      <c r="AA12" s="176">
        <v>1</v>
      </c>
      <c r="AB12" s="176">
        <v>1</v>
      </c>
      <c r="AC12" s="176">
        <v>1</v>
      </c>
      <c r="AD12" s="176"/>
      <c r="AE12" s="41">
        <f t="shared" ref="AE12:AE16" si="4">SUM(G12:AD12)</f>
        <v>11</v>
      </c>
      <c r="AF12" s="116" t="s">
        <v>633</v>
      </c>
      <c r="AG12" s="550" t="s">
        <v>41</v>
      </c>
      <c r="AH12" s="542"/>
      <c r="AI12" s="189" t="s">
        <v>444</v>
      </c>
    </row>
    <row r="13" spans="1:35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0</v>
      </c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41">
        <f t="shared" si="4"/>
        <v>0</v>
      </c>
      <c r="AF13" s="116" t="s">
        <v>652</v>
      </c>
      <c r="AG13" s="550" t="s">
        <v>41</v>
      </c>
      <c r="AH13" s="542"/>
      <c r="AI13" s="189" t="s">
        <v>444</v>
      </c>
    </row>
    <row r="14" spans="1:35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11</v>
      </c>
      <c r="G14" s="176"/>
      <c r="H14" s="176"/>
      <c r="I14" s="176"/>
      <c r="J14" s="176"/>
      <c r="K14" s="176"/>
      <c r="L14" s="176"/>
      <c r="M14" s="176">
        <v>1</v>
      </c>
      <c r="N14" s="176">
        <v>1</v>
      </c>
      <c r="O14" s="176">
        <v>1</v>
      </c>
      <c r="P14" s="176">
        <v>1</v>
      </c>
      <c r="Q14" s="176">
        <v>1</v>
      </c>
      <c r="R14" s="176">
        <v>1</v>
      </c>
      <c r="S14" s="341" t="s">
        <v>47</v>
      </c>
      <c r="T14" s="176">
        <v>1</v>
      </c>
      <c r="U14" s="176">
        <v>1</v>
      </c>
      <c r="V14" s="176">
        <v>1</v>
      </c>
      <c r="W14" s="176">
        <v>1</v>
      </c>
      <c r="X14" s="176">
        <v>1</v>
      </c>
      <c r="Y14" s="176"/>
      <c r="Z14" s="176"/>
      <c r="AA14" s="176"/>
      <c r="AB14" s="176"/>
      <c r="AC14" s="176"/>
      <c r="AD14" s="176"/>
      <c r="AE14" s="41">
        <f t="shared" si="4"/>
        <v>11</v>
      </c>
      <c r="AF14" s="116" t="s">
        <v>84</v>
      </c>
      <c r="AG14" s="550" t="s">
        <v>41</v>
      </c>
      <c r="AH14" s="542"/>
      <c r="AI14" s="189" t="s">
        <v>444</v>
      </c>
    </row>
    <row r="15" spans="1:35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7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341" t="s">
        <v>47</v>
      </c>
      <c r="W15" s="176">
        <v>1</v>
      </c>
      <c r="X15" s="176">
        <v>1</v>
      </c>
      <c r="Y15" s="176">
        <v>1</v>
      </c>
      <c r="Z15" s="176">
        <v>1</v>
      </c>
      <c r="AA15" s="176">
        <v>1</v>
      </c>
      <c r="AB15" s="176">
        <v>1</v>
      </c>
      <c r="AC15" s="176">
        <v>1</v>
      </c>
      <c r="AD15" s="176"/>
      <c r="AE15" s="41">
        <f t="shared" si="4"/>
        <v>7</v>
      </c>
      <c r="AF15" s="116" t="s">
        <v>218</v>
      </c>
      <c r="AG15" s="550" t="s">
        <v>41</v>
      </c>
      <c r="AH15" s="542"/>
      <c r="AI15" s="189" t="s">
        <v>444</v>
      </c>
    </row>
    <row r="16" spans="1:35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9</v>
      </c>
      <c r="G16" s="176"/>
      <c r="H16" s="176"/>
      <c r="I16" s="176"/>
      <c r="J16" s="176"/>
      <c r="K16" s="176"/>
      <c r="L16" s="176"/>
      <c r="M16" s="176">
        <v>1</v>
      </c>
      <c r="N16" s="176">
        <v>1</v>
      </c>
      <c r="O16" s="176">
        <v>1</v>
      </c>
      <c r="P16" s="176">
        <v>1</v>
      </c>
      <c r="Q16" s="176">
        <v>1</v>
      </c>
      <c r="R16" s="176">
        <v>1</v>
      </c>
      <c r="S16" s="341" t="s">
        <v>47</v>
      </c>
      <c r="T16" s="176">
        <v>1</v>
      </c>
      <c r="U16" s="176">
        <v>1</v>
      </c>
      <c r="V16" s="176">
        <v>1</v>
      </c>
      <c r="W16" s="176"/>
      <c r="X16" s="176"/>
      <c r="Y16" s="176"/>
      <c r="Z16" s="176"/>
      <c r="AA16" s="176"/>
      <c r="AB16" s="176"/>
      <c r="AC16" s="176"/>
      <c r="AD16" s="176"/>
      <c r="AE16" s="41">
        <f t="shared" si="4"/>
        <v>9</v>
      </c>
      <c r="AF16" s="116" t="s">
        <v>151</v>
      </c>
      <c r="AG16" s="550" t="s">
        <v>41</v>
      </c>
      <c r="AH16" s="542"/>
      <c r="AI16" s="189" t="s">
        <v>444</v>
      </c>
    </row>
    <row r="17" spans="1:35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f t="shared" si="3"/>
        <v>3</v>
      </c>
      <c r="G17" s="42"/>
      <c r="H17" s="77"/>
      <c r="I17" s="77"/>
      <c r="J17" s="77"/>
      <c r="K17" s="77"/>
      <c r="L17" s="77"/>
      <c r="M17" s="77"/>
      <c r="N17" s="295">
        <v>1</v>
      </c>
      <c r="O17" s="291">
        <v>1</v>
      </c>
      <c r="P17" s="579" t="s">
        <v>471</v>
      </c>
      <c r="Q17" s="555"/>
      <c r="R17" s="555"/>
      <c r="S17" s="555"/>
      <c r="T17" s="555"/>
      <c r="U17" s="555"/>
      <c r="V17" s="555"/>
      <c r="W17" s="555"/>
      <c r="X17" s="555"/>
      <c r="Y17" s="555"/>
      <c r="Z17" s="542"/>
      <c r="AA17" s="176">
        <v>1</v>
      </c>
      <c r="AB17" s="176"/>
      <c r="AC17" s="176"/>
      <c r="AD17" s="176"/>
      <c r="AE17" s="41">
        <v>13</v>
      </c>
      <c r="AF17" s="116" t="s">
        <v>381</v>
      </c>
      <c r="AG17" s="176" t="s">
        <v>41</v>
      </c>
      <c r="AH17" s="186" t="s">
        <v>471</v>
      </c>
      <c r="AI17" s="189" t="s">
        <v>444</v>
      </c>
    </row>
    <row r="18" spans="1:35" ht="14.25" customHeight="1">
      <c r="A18" s="76" t="s">
        <v>41</v>
      </c>
      <c r="B18" s="76" t="s">
        <v>198</v>
      </c>
      <c r="C18" s="76"/>
      <c r="D18" s="39">
        <v>17</v>
      </c>
      <c r="E18" s="175" t="s">
        <v>99</v>
      </c>
      <c r="F18" s="41">
        <f t="shared" si="3"/>
        <v>8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341" t="s">
        <v>47</v>
      </c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>
        <v>1</v>
      </c>
      <c r="AA18" s="176">
        <v>1</v>
      </c>
      <c r="AB18" s="176">
        <v>1</v>
      </c>
      <c r="AC18" s="176"/>
      <c r="AD18" s="176"/>
      <c r="AE18" s="41">
        <f t="shared" ref="AE18:AE26" si="5">SUM(G18:AD18)</f>
        <v>8</v>
      </c>
      <c r="AF18" s="116" t="s">
        <v>255</v>
      </c>
      <c r="AG18" s="550" t="s">
        <v>41</v>
      </c>
      <c r="AH18" s="542"/>
      <c r="AI18" s="189" t="s">
        <v>444</v>
      </c>
    </row>
    <row r="19" spans="1:35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211" t="s">
        <v>102</v>
      </c>
      <c r="F19" s="41">
        <f t="shared" si="3"/>
        <v>8</v>
      </c>
      <c r="G19" s="176"/>
      <c r="H19" s="176"/>
      <c r="I19" s="176"/>
      <c r="J19" s="176"/>
      <c r="K19" s="176"/>
      <c r="L19" s="176"/>
      <c r="M19" s="176">
        <v>1</v>
      </c>
      <c r="N19" s="176">
        <v>1</v>
      </c>
      <c r="O19" s="176">
        <v>1</v>
      </c>
      <c r="P19" s="176">
        <v>1</v>
      </c>
      <c r="Q19" s="176">
        <v>1</v>
      </c>
      <c r="R19" s="176">
        <v>1</v>
      </c>
      <c r="S19" s="176">
        <v>1</v>
      </c>
      <c r="T19" s="176">
        <v>1</v>
      </c>
      <c r="U19" s="341" t="s">
        <v>47</v>
      </c>
      <c r="V19" s="176"/>
      <c r="W19" s="176"/>
      <c r="X19" s="176"/>
      <c r="Y19" s="176"/>
      <c r="Z19" s="176"/>
      <c r="AA19" s="176"/>
      <c r="AB19" s="176"/>
      <c r="AC19" s="176"/>
      <c r="AD19" s="176"/>
      <c r="AE19" s="41">
        <f t="shared" si="5"/>
        <v>8</v>
      </c>
      <c r="AF19" s="116" t="s">
        <v>244</v>
      </c>
      <c r="AG19" s="550" t="s">
        <v>41</v>
      </c>
      <c r="AH19" s="542"/>
      <c r="AI19" s="189" t="s">
        <v>444</v>
      </c>
    </row>
    <row r="20" spans="1:35" ht="14.25" customHeight="1">
      <c r="A20" s="38" t="s">
        <v>41</v>
      </c>
      <c r="B20" s="38" t="s">
        <v>103</v>
      </c>
      <c r="C20" s="38"/>
      <c r="D20" s="86">
        <v>19</v>
      </c>
      <c r="E20" s="207" t="s">
        <v>104</v>
      </c>
      <c r="F20" s="41">
        <f t="shared" si="3"/>
        <v>11</v>
      </c>
      <c r="G20" s="77"/>
      <c r="H20" s="77"/>
      <c r="I20" s="77"/>
      <c r="J20" s="77"/>
      <c r="K20" s="77"/>
      <c r="L20" s="77"/>
      <c r="M20" s="176"/>
      <c r="N20" s="176"/>
      <c r="O20" s="176"/>
      <c r="P20" s="176"/>
      <c r="Q20" s="176">
        <v>1</v>
      </c>
      <c r="R20" s="176">
        <v>1</v>
      </c>
      <c r="S20" s="176">
        <v>1</v>
      </c>
      <c r="T20" s="341" t="s">
        <v>47</v>
      </c>
      <c r="U20" s="176">
        <v>1</v>
      </c>
      <c r="V20" s="176">
        <v>1</v>
      </c>
      <c r="W20" s="176">
        <v>1</v>
      </c>
      <c r="X20" s="176">
        <v>1</v>
      </c>
      <c r="Y20" s="176">
        <v>1</v>
      </c>
      <c r="Z20" s="176">
        <v>1</v>
      </c>
      <c r="AA20" s="176">
        <v>1</v>
      </c>
      <c r="AB20" s="176">
        <v>1</v>
      </c>
      <c r="AC20" s="77"/>
      <c r="AD20" s="77"/>
      <c r="AE20" s="41">
        <f t="shared" si="5"/>
        <v>11</v>
      </c>
      <c r="AF20" s="116" t="s">
        <v>96</v>
      </c>
      <c r="AG20" s="550" t="s">
        <v>41</v>
      </c>
      <c r="AH20" s="542"/>
      <c r="AI20" s="189" t="s">
        <v>444</v>
      </c>
    </row>
    <row r="21" spans="1:35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3"/>
        <v>6</v>
      </c>
      <c r="G21" s="176"/>
      <c r="H21" s="176"/>
      <c r="I21" s="176"/>
      <c r="J21" s="176"/>
      <c r="K21" s="176"/>
      <c r="L21" s="176"/>
      <c r="M21" s="176"/>
      <c r="N21" s="176"/>
      <c r="O21" s="176">
        <v>1</v>
      </c>
      <c r="P21" s="176">
        <v>1</v>
      </c>
      <c r="Q21" s="176">
        <v>1</v>
      </c>
      <c r="R21" s="176">
        <v>1</v>
      </c>
      <c r="S21" s="176">
        <v>1</v>
      </c>
      <c r="T21" s="176">
        <v>1</v>
      </c>
      <c r="U21" s="341" t="s">
        <v>47</v>
      </c>
      <c r="V21" s="176"/>
      <c r="W21" s="176"/>
      <c r="X21" s="176"/>
      <c r="Y21" s="176"/>
      <c r="Z21" s="176"/>
      <c r="AA21" s="176"/>
      <c r="AB21" s="176"/>
      <c r="AC21" s="176"/>
      <c r="AD21" s="176"/>
      <c r="AE21" s="41">
        <f t="shared" si="5"/>
        <v>6</v>
      </c>
      <c r="AF21" s="116" t="s">
        <v>87</v>
      </c>
      <c r="AG21" s="550" t="s">
        <v>41</v>
      </c>
      <c r="AH21" s="542"/>
      <c r="AI21" s="189" t="s">
        <v>444</v>
      </c>
    </row>
    <row r="22" spans="1:35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3"/>
        <v>13</v>
      </c>
      <c r="G22" s="176"/>
      <c r="H22" s="176"/>
      <c r="I22" s="176"/>
      <c r="J22" s="176"/>
      <c r="K22" s="176"/>
      <c r="L22" s="176"/>
      <c r="M22" s="176"/>
      <c r="N22" s="176"/>
      <c r="O22" s="176">
        <v>1</v>
      </c>
      <c r="P22" s="176">
        <v>1</v>
      </c>
      <c r="Q22" s="176">
        <v>1</v>
      </c>
      <c r="R22" s="176">
        <v>1</v>
      </c>
      <c r="S22" s="176">
        <v>1</v>
      </c>
      <c r="T22" s="176">
        <v>1</v>
      </c>
      <c r="U22" s="176">
        <v>1</v>
      </c>
      <c r="V22" s="176">
        <v>1</v>
      </c>
      <c r="W22" s="176">
        <v>1</v>
      </c>
      <c r="X22" s="176">
        <v>1</v>
      </c>
      <c r="Y22" s="341" t="s">
        <v>47</v>
      </c>
      <c r="Z22" s="176">
        <v>1</v>
      </c>
      <c r="AA22" s="176">
        <v>1</v>
      </c>
      <c r="AB22" s="176">
        <v>1</v>
      </c>
      <c r="AC22" s="176"/>
      <c r="AD22" s="176"/>
      <c r="AE22" s="41">
        <f t="shared" si="5"/>
        <v>13</v>
      </c>
      <c r="AF22" s="116" t="s">
        <v>385</v>
      </c>
      <c r="AG22" s="550" t="s">
        <v>41</v>
      </c>
      <c r="AH22" s="542"/>
      <c r="AI22" s="189" t="s">
        <v>444</v>
      </c>
    </row>
    <row r="23" spans="1:35" ht="14.25" customHeight="1">
      <c r="A23" s="98" t="s">
        <v>41</v>
      </c>
      <c r="B23" s="98" t="s">
        <v>111</v>
      </c>
      <c r="C23" s="98"/>
      <c r="D23" s="39">
        <v>23</v>
      </c>
      <c r="E23" s="207" t="s">
        <v>112</v>
      </c>
      <c r="F23" s="41">
        <f t="shared" si="3"/>
        <v>13</v>
      </c>
      <c r="G23" s="176"/>
      <c r="H23" s="176"/>
      <c r="I23" s="176"/>
      <c r="J23" s="176"/>
      <c r="K23" s="176"/>
      <c r="L23" s="176"/>
      <c r="M23" s="176"/>
      <c r="N23" s="176"/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341" t="s">
        <v>47</v>
      </c>
      <c r="U23" s="176">
        <v>1</v>
      </c>
      <c r="V23" s="176">
        <v>1</v>
      </c>
      <c r="W23" s="176">
        <v>1</v>
      </c>
      <c r="X23" s="176">
        <v>1</v>
      </c>
      <c r="Y23" s="176">
        <v>1</v>
      </c>
      <c r="Z23" s="176">
        <v>1</v>
      </c>
      <c r="AA23" s="176">
        <v>1</v>
      </c>
      <c r="AB23" s="176">
        <v>1</v>
      </c>
      <c r="AC23" s="176"/>
      <c r="AD23" s="176"/>
      <c r="AE23" s="41">
        <f t="shared" si="5"/>
        <v>13</v>
      </c>
      <c r="AF23" s="116" t="s">
        <v>385</v>
      </c>
      <c r="AG23" s="550" t="s">
        <v>41</v>
      </c>
      <c r="AH23" s="542"/>
      <c r="AI23" s="189" t="s">
        <v>444</v>
      </c>
    </row>
    <row r="24" spans="1:35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3"/>
        <v>13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>
        <v>1</v>
      </c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341" t="s">
        <v>47</v>
      </c>
      <c r="Z24" s="176">
        <v>1</v>
      </c>
      <c r="AA24" s="176">
        <v>1</v>
      </c>
      <c r="AB24" s="176">
        <v>1</v>
      </c>
      <c r="AC24" s="176">
        <v>1</v>
      </c>
      <c r="AD24" s="176">
        <v>1</v>
      </c>
      <c r="AE24" s="41">
        <f t="shared" si="5"/>
        <v>13</v>
      </c>
      <c r="AF24" s="116" t="s">
        <v>749</v>
      </c>
      <c r="AG24" s="550" t="s">
        <v>41</v>
      </c>
      <c r="AH24" s="542"/>
      <c r="AI24" s="189" t="s">
        <v>444</v>
      </c>
    </row>
    <row r="25" spans="1:35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3"/>
        <v>11</v>
      </c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>
        <v>1</v>
      </c>
      <c r="S25" s="176">
        <v>1</v>
      </c>
      <c r="T25" s="341" t="s">
        <v>47</v>
      </c>
      <c r="U25" s="176">
        <v>1</v>
      </c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/>
      <c r="AE25" s="41">
        <f t="shared" si="5"/>
        <v>11</v>
      </c>
      <c r="AF25" s="116" t="s">
        <v>133</v>
      </c>
      <c r="AG25" s="550" t="s">
        <v>41</v>
      </c>
      <c r="AH25" s="542"/>
      <c r="AI25" s="189" t="s">
        <v>444</v>
      </c>
    </row>
    <row r="26" spans="1:35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3"/>
        <v>13</v>
      </c>
      <c r="G26" s="176">
        <v>1</v>
      </c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341" t="s">
        <v>47</v>
      </c>
      <c r="S26" s="176">
        <v>1</v>
      </c>
      <c r="T26" s="176">
        <v>1</v>
      </c>
      <c r="U26" s="176">
        <v>1</v>
      </c>
      <c r="V26" s="176">
        <v>1</v>
      </c>
      <c r="W26" s="176">
        <v>1</v>
      </c>
      <c r="X26" s="176">
        <v>1</v>
      </c>
      <c r="Y26" s="176">
        <v>1</v>
      </c>
      <c r="Z26" s="176">
        <v>1</v>
      </c>
      <c r="AA26" s="176">
        <v>1</v>
      </c>
      <c r="AB26" s="176">
        <v>1</v>
      </c>
      <c r="AC26" s="176">
        <v>1</v>
      </c>
      <c r="AD26" s="176">
        <v>1</v>
      </c>
      <c r="AE26" s="41">
        <f t="shared" si="5"/>
        <v>13</v>
      </c>
      <c r="AF26" s="116" t="s">
        <v>375</v>
      </c>
      <c r="AG26" s="550" t="s">
        <v>41</v>
      </c>
      <c r="AH26" s="542"/>
      <c r="AI26" s="189" t="s">
        <v>444</v>
      </c>
    </row>
    <row r="27" spans="1:35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3"/>
        <v>0</v>
      </c>
      <c r="G27" s="42"/>
      <c r="H27" s="42"/>
      <c r="I27" s="42"/>
      <c r="J27" s="42"/>
      <c r="K27" s="42"/>
      <c r="L27" s="42"/>
      <c r="M27" s="42"/>
      <c r="N27" s="42"/>
      <c r="O27" s="577" t="s">
        <v>364</v>
      </c>
      <c r="P27" s="555"/>
      <c r="Q27" s="555"/>
      <c r="R27" s="555"/>
      <c r="S27" s="555"/>
      <c r="T27" s="555"/>
      <c r="U27" s="555"/>
      <c r="V27" s="555"/>
      <c r="W27" s="555"/>
      <c r="X27" s="555"/>
      <c r="Y27" s="555"/>
      <c r="Z27" s="542"/>
      <c r="AA27" s="77"/>
      <c r="AB27" s="42"/>
      <c r="AC27" s="42"/>
      <c r="AD27" s="42"/>
      <c r="AE27" s="41">
        <v>12</v>
      </c>
      <c r="AF27" s="116" t="s">
        <v>66</v>
      </c>
      <c r="AG27" s="578" t="s">
        <v>470</v>
      </c>
      <c r="AH27" s="555"/>
      <c r="AI27" s="189" t="s">
        <v>444</v>
      </c>
    </row>
    <row r="28" spans="1:35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3"/>
        <v>9</v>
      </c>
      <c r="G28" s="176"/>
      <c r="H28" s="176"/>
      <c r="I28" s="176"/>
      <c r="J28" s="176"/>
      <c r="K28" s="176"/>
      <c r="L28" s="176"/>
      <c r="M28" s="176">
        <v>1</v>
      </c>
      <c r="N28" s="176">
        <v>1</v>
      </c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341" t="s">
        <v>47</v>
      </c>
      <c r="W28" s="176"/>
      <c r="X28" s="176"/>
      <c r="Y28" s="176"/>
      <c r="Z28" s="176"/>
      <c r="AA28" s="176"/>
      <c r="AB28" s="176"/>
      <c r="AC28" s="176"/>
      <c r="AD28" s="176"/>
      <c r="AE28" s="41">
        <f t="shared" ref="AE28:AE29" si="6">SUM(G28:AD28)</f>
        <v>9</v>
      </c>
      <c r="AF28" s="116" t="s">
        <v>151</v>
      </c>
      <c r="AG28" s="550" t="s">
        <v>41</v>
      </c>
      <c r="AH28" s="542"/>
      <c r="AI28" s="189" t="s">
        <v>444</v>
      </c>
    </row>
    <row r="29" spans="1:35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3"/>
        <v>13</v>
      </c>
      <c r="G29" s="176">
        <v>1</v>
      </c>
      <c r="H29" s="176">
        <v>1</v>
      </c>
      <c r="I29" s="176">
        <v>1</v>
      </c>
      <c r="J29" s="176">
        <v>1</v>
      </c>
      <c r="K29" s="176">
        <v>1</v>
      </c>
      <c r="L29" s="176">
        <v>1</v>
      </c>
      <c r="M29" s="176">
        <v>1</v>
      </c>
      <c r="N29" s="176">
        <v>1</v>
      </c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341" t="s">
        <v>47</v>
      </c>
      <c r="Z29" s="176">
        <v>1</v>
      </c>
      <c r="AA29" s="176">
        <v>1</v>
      </c>
      <c r="AB29" s="176">
        <v>1</v>
      </c>
      <c r="AC29" s="176">
        <v>1</v>
      </c>
      <c r="AD29" s="176">
        <v>1</v>
      </c>
      <c r="AE29" s="41">
        <f t="shared" si="6"/>
        <v>13</v>
      </c>
      <c r="AF29" s="116" t="s">
        <v>749</v>
      </c>
      <c r="AG29" s="550" t="s">
        <v>41</v>
      </c>
      <c r="AH29" s="542"/>
      <c r="AI29" s="189" t="s">
        <v>444</v>
      </c>
    </row>
    <row r="30" spans="1:35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3"/>
        <v>0</v>
      </c>
      <c r="G30" s="202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341" t="s">
        <v>47</v>
      </c>
      <c r="V30" s="580" t="s">
        <v>209</v>
      </c>
      <c r="W30" s="555"/>
      <c r="X30" s="555"/>
      <c r="Y30" s="555"/>
      <c r="Z30" s="555"/>
      <c r="AA30" s="555"/>
      <c r="AB30" s="555"/>
      <c r="AC30" s="542"/>
      <c r="AD30" s="176"/>
      <c r="AE30" s="41">
        <v>8</v>
      </c>
      <c r="AF30" s="116" t="s">
        <v>81</v>
      </c>
      <c r="AG30" s="580" t="s">
        <v>209</v>
      </c>
      <c r="AH30" s="542"/>
      <c r="AI30" s="189" t="s">
        <v>444</v>
      </c>
    </row>
    <row r="31" spans="1:35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f t="shared" si="3"/>
        <v>0</v>
      </c>
      <c r="G31" s="202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341" t="s">
        <v>47</v>
      </c>
      <c r="V31" s="580" t="s">
        <v>209</v>
      </c>
      <c r="W31" s="555"/>
      <c r="X31" s="555"/>
      <c r="Y31" s="555"/>
      <c r="Z31" s="555"/>
      <c r="AA31" s="555"/>
      <c r="AB31" s="555"/>
      <c r="AC31" s="542"/>
      <c r="AD31" s="176"/>
      <c r="AE31" s="41">
        <v>8</v>
      </c>
      <c r="AF31" s="116" t="s">
        <v>81</v>
      </c>
      <c r="AG31" s="580" t="s">
        <v>209</v>
      </c>
      <c r="AH31" s="542"/>
      <c r="AI31" s="189" t="s">
        <v>444</v>
      </c>
    </row>
    <row r="32" spans="1:35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si="3"/>
        <v>12</v>
      </c>
      <c r="G32" s="176"/>
      <c r="H32" s="176"/>
      <c r="I32" s="176"/>
      <c r="J32" s="176"/>
      <c r="K32" s="176"/>
      <c r="L32" s="176"/>
      <c r="M32" s="176"/>
      <c r="N32" s="176"/>
      <c r="O32" s="176"/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>
        <v>1</v>
      </c>
      <c r="W32" s="176">
        <v>1</v>
      </c>
      <c r="X32" s="341" t="s">
        <v>47</v>
      </c>
      <c r="Y32" s="176">
        <v>1</v>
      </c>
      <c r="Z32" s="176">
        <v>1</v>
      </c>
      <c r="AA32" s="176">
        <v>1</v>
      </c>
      <c r="AB32" s="176">
        <v>1</v>
      </c>
      <c r="AC32" s="176"/>
      <c r="AD32" s="176"/>
      <c r="AE32" s="41">
        <f>SUM(G32:AD32)</f>
        <v>12</v>
      </c>
      <c r="AF32" s="116" t="s">
        <v>326</v>
      </c>
      <c r="AG32" s="550" t="s">
        <v>41</v>
      </c>
      <c r="AH32" s="542"/>
      <c r="AI32" s="189" t="s">
        <v>444</v>
      </c>
    </row>
    <row r="33" spans="1:35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3"/>
        <v>1</v>
      </c>
      <c r="G33" s="202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341" t="s">
        <v>47</v>
      </c>
      <c r="V33" s="580" t="s">
        <v>209</v>
      </c>
      <c r="W33" s="555"/>
      <c r="X33" s="555"/>
      <c r="Y33" s="555"/>
      <c r="Z33" s="555"/>
      <c r="AA33" s="555"/>
      <c r="AB33" s="555"/>
      <c r="AC33" s="542"/>
      <c r="AD33" s="176">
        <v>1</v>
      </c>
      <c r="AE33" s="41">
        <v>9</v>
      </c>
      <c r="AF33" s="116" t="s">
        <v>75</v>
      </c>
      <c r="AG33" s="580" t="s">
        <v>209</v>
      </c>
      <c r="AH33" s="542"/>
      <c r="AI33" s="189" t="s">
        <v>444</v>
      </c>
    </row>
    <row r="34" spans="1:35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3"/>
        <v>8</v>
      </c>
      <c r="G34" s="176"/>
      <c r="H34" s="176"/>
      <c r="I34" s="176"/>
      <c r="J34" s="176"/>
      <c r="K34" s="176"/>
      <c r="L34" s="176"/>
      <c r="M34" s="176">
        <v>1</v>
      </c>
      <c r="N34" s="176">
        <v>1</v>
      </c>
      <c r="O34" s="176">
        <v>1</v>
      </c>
      <c r="P34" s="176">
        <v>1</v>
      </c>
      <c r="Q34" s="176">
        <v>1</v>
      </c>
      <c r="R34" s="341" t="s">
        <v>47</v>
      </c>
      <c r="S34" s="176">
        <v>1</v>
      </c>
      <c r="T34" s="176">
        <v>1</v>
      </c>
      <c r="U34" s="176">
        <v>1</v>
      </c>
      <c r="V34" s="176"/>
      <c r="W34" s="176"/>
      <c r="X34" s="176"/>
      <c r="Y34" s="176"/>
      <c r="Z34" s="176"/>
      <c r="AA34" s="176"/>
      <c r="AB34" s="176"/>
      <c r="AC34" s="176"/>
      <c r="AD34" s="176"/>
      <c r="AE34" s="41">
        <f t="shared" ref="AE34:AE46" si="7">SUM(G34:AD34)</f>
        <v>8</v>
      </c>
      <c r="AF34" s="116" t="s">
        <v>244</v>
      </c>
      <c r="AG34" s="550" t="s">
        <v>41</v>
      </c>
      <c r="AH34" s="542"/>
      <c r="AI34" s="189" t="s">
        <v>444</v>
      </c>
    </row>
    <row r="35" spans="1:35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4" t="s">
        <v>457</v>
      </c>
      <c r="F35" s="41">
        <f t="shared" si="3"/>
        <v>12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316"/>
      <c r="Y35" s="316"/>
      <c r="Z35" s="176">
        <v>1</v>
      </c>
      <c r="AA35" s="176">
        <v>1</v>
      </c>
      <c r="AB35" s="176">
        <v>1</v>
      </c>
      <c r="AC35" s="176"/>
      <c r="AD35" s="176"/>
      <c r="AE35" s="41">
        <f t="shared" si="7"/>
        <v>12</v>
      </c>
      <c r="AF35" s="116" t="s">
        <v>385</v>
      </c>
      <c r="AG35" s="550" t="s">
        <v>41</v>
      </c>
      <c r="AH35" s="542"/>
      <c r="AI35" s="189" t="s">
        <v>444</v>
      </c>
    </row>
    <row r="36" spans="1:35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5" t="s">
        <v>460</v>
      </c>
      <c r="F36" s="41">
        <f t="shared" si="3"/>
        <v>13</v>
      </c>
      <c r="G36" s="176"/>
      <c r="H36" s="176"/>
      <c r="I36" s="176"/>
      <c r="J36" s="176"/>
      <c r="K36" s="176"/>
      <c r="L36" s="176"/>
      <c r="M36" s="176"/>
      <c r="N36" s="176"/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341" t="s">
        <v>47</v>
      </c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>
        <v>1</v>
      </c>
      <c r="AC36" s="176"/>
      <c r="AD36" s="176"/>
      <c r="AE36" s="41">
        <f t="shared" si="7"/>
        <v>13</v>
      </c>
      <c r="AF36" s="116" t="s">
        <v>385</v>
      </c>
      <c r="AG36" s="550" t="s">
        <v>41</v>
      </c>
      <c r="AH36" s="542"/>
      <c r="AI36" s="189" t="s">
        <v>444</v>
      </c>
    </row>
    <row r="37" spans="1:35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5" t="s">
        <v>461</v>
      </c>
      <c r="F37" s="41">
        <f t="shared" si="3"/>
        <v>13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341" t="s">
        <v>47</v>
      </c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>
        <v>1</v>
      </c>
      <c r="AC37" s="176"/>
      <c r="AD37" s="176"/>
      <c r="AE37" s="41">
        <f t="shared" si="7"/>
        <v>13</v>
      </c>
      <c r="AF37" s="116" t="s">
        <v>385</v>
      </c>
      <c r="AG37" s="550" t="s">
        <v>41</v>
      </c>
      <c r="AH37" s="542"/>
      <c r="AI37" s="189" t="s">
        <v>444</v>
      </c>
    </row>
    <row r="38" spans="1:35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5" t="s">
        <v>463</v>
      </c>
      <c r="F38" s="41">
        <f t="shared" si="3"/>
        <v>12</v>
      </c>
      <c r="G38" s="176"/>
      <c r="H38" s="176"/>
      <c r="I38" s="176"/>
      <c r="J38" s="176"/>
      <c r="K38" s="176"/>
      <c r="L38" s="176"/>
      <c r="M38" s="176"/>
      <c r="N38" s="176"/>
      <c r="O38" s="176">
        <v>1</v>
      </c>
      <c r="P38" s="176">
        <v>1</v>
      </c>
      <c r="Q38" s="176">
        <v>1</v>
      </c>
      <c r="R38" s="176">
        <v>1</v>
      </c>
      <c r="S38" s="341" t="s">
        <v>47</v>
      </c>
      <c r="T38" s="176">
        <v>1</v>
      </c>
      <c r="U38" s="176">
        <v>1</v>
      </c>
      <c r="V38" s="176">
        <v>1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/>
      <c r="AC38" s="176"/>
      <c r="AD38" s="176"/>
      <c r="AE38" s="41">
        <f t="shared" si="7"/>
        <v>12</v>
      </c>
      <c r="AF38" s="116" t="s">
        <v>329</v>
      </c>
      <c r="AG38" s="550" t="s">
        <v>41</v>
      </c>
      <c r="AH38" s="542"/>
      <c r="AI38" s="189" t="s">
        <v>444</v>
      </c>
    </row>
    <row r="39" spans="1:35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4" t="s">
        <v>465</v>
      </c>
      <c r="F39" s="41">
        <f t="shared" si="3"/>
        <v>12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341" t="s">
        <v>47</v>
      </c>
      <c r="U39" s="176">
        <v>1</v>
      </c>
      <c r="V39" s="176">
        <v>1</v>
      </c>
      <c r="W39" s="176">
        <v>1</v>
      </c>
      <c r="X39" s="176">
        <v>1</v>
      </c>
      <c r="Y39" s="176">
        <v>1</v>
      </c>
      <c r="Z39" s="176">
        <v>1</v>
      </c>
      <c r="AA39" s="176">
        <v>1</v>
      </c>
      <c r="AB39" s="176"/>
      <c r="AC39" s="176"/>
      <c r="AD39" s="176"/>
      <c r="AE39" s="41">
        <f t="shared" si="7"/>
        <v>12</v>
      </c>
      <c r="AF39" s="116" t="s">
        <v>329</v>
      </c>
      <c r="AG39" s="550" t="s">
        <v>41</v>
      </c>
      <c r="AH39" s="542"/>
      <c r="AI39" s="189" t="s">
        <v>444</v>
      </c>
    </row>
    <row r="40" spans="1:35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3"/>
        <v>12</v>
      </c>
      <c r="G40" s="176"/>
      <c r="H40" s="176"/>
      <c r="I40" s="176"/>
      <c r="J40" s="176"/>
      <c r="K40" s="176"/>
      <c r="L40" s="176"/>
      <c r="M40" s="176"/>
      <c r="N40" s="176"/>
      <c r="O40" s="176">
        <v>1</v>
      </c>
      <c r="P40" s="176">
        <v>1</v>
      </c>
      <c r="Q40" s="176">
        <v>1</v>
      </c>
      <c r="R40" s="176">
        <v>1</v>
      </c>
      <c r="S40" s="176">
        <v>1</v>
      </c>
      <c r="T40" s="176">
        <v>1</v>
      </c>
      <c r="U40" s="341" t="s">
        <v>47</v>
      </c>
      <c r="V40" s="176">
        <v>1</v>
      </c>
      <c r="W40" s="176">
        <v>1</v>
      </c>
      <c r="X40" s="176">
        <v>1</v>
      </c>
      <c r="Y40" s="176">
        <v>1</v>
      </c>
      <c r="Z40" s="176">
        <v>1</v>
      </c>
      <c r="AA40" s="176">
        <v>1</v>
      </c>
      <c r="AB40" s="176"/>
      <c r="AC40" s="176"/>
      <c r="AD40" s="176"/>
      <c r="AE40" s="41">
        <f t="shared" si="7"/>
        <v>12</v>
      </c>
      <c r="AF40" s="116" t="s">
        <v>329</v>
      </c>
      <c r="AG40" s="550" t="s">
        <v>41</v>
      </c>
      <c r="AH40" s="542"/>
      <c r="AI40" s="189" t="s">
        <v>444</v>
      </c>
    </row>
    <row r="41" spans="1:35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5" t="s">
        <v>467</v>
      </c>
      <c r="F41" s="41">
        <f t="shared" si="3"/>
        <v>12</v>
      </c>
      <c r="G41" s="176"/>
      <c r="H41" s="176"/>
      <c r="I41" s="176"/>
      <c r="J41" s="176"/>
      <c r="K41" s="176"/>
      <c r="L41" s="176"/>
      <c r="M41" s="176"/>
      <c r="N41" s="176"/>
      <c r="O41" s="176">
        <v>1</v>
      </c>
      <c r="P41" s="176">
        <v>1</v>
      </c>
      <c r="Q41" s="176">
        <v>1</v>
      </c>
      <c r="R41" s="176">
        <v>1</v>
      </c>
      <c r="S41" s="341" t="s">
        <v>47</v>
      </c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>
        <v>1</v>
      </c>
      <c r="Z41" s="176">
        <v>1</v>
      </c>
      <c r="AA41" s="176">
        <v>1</v>
      </c>
      <c r="AB41" s="176"/>
      <c r="AC41" s="176"/>
      <c r="AD41" s="176"/>
      <c r="AE41" s="41">
        <f t="shared" si="7"/>
        <v>12</v>
      </c>
      <c r="AF41" s="116" t="s">
        <v>329</v>
      </c>
      <c r="AG41" s="550" t="s">
        <v>41</v>
      </c>
      <c r="AH41" s="542"/>
      <c r="AI41" s="189" t="s">
        <v>444</v>
      </c>
    </row>
    <row r="42" spans="1:35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3"/>
        <v>0</v>
      </c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41">
        <f t="shared" si="7"/>
        <v>0</v>
      </c>
      <c r="AF42" s="116" t="s">
        <v>652</v>
      </c>
      <c r="AG42" s="550" t="s">
        <v>41</v>
      </c>
      <c r="AH42" s="542"/>
      <c r="AI42" s="189" t="s">
        <v>444</v>
      </c>
    </row>
    <row r="43" spans="1:35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3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7"/>
        <v>0</v>
      </c>
      <c r="AF43" s="116" t="s">
        <v>652</v>
      </c>
      <c r="AG43" s="550" t="s">
        <v>41</v>
      </c>
      <c r="AH43" s="542"/>
      <c r="AI43" s="189" t="s">
        <v>444</v>
      </c>
    </row>
    <row r="44" spans="1:35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3"/>
        <v>13</v>
      </c>
      <c r="G44" s="176"/>
      <c r="H44" s="176"/>
      <c r="I44" s="176"/>
      <c r="J44" s="176"/>
      <c r="K44" s="176"/>
      <c r="L44" s="176"/>
      <c r="M44" s="176">
        <v>1</v>
      </c>
      <c r="N44" s="176">
        <v>1</v>
      </c>
      <c r="O44" s="176">
        <v>1</v>
      </c>
      <c r="P44" s="176">
        <v>1</v>
      </c>
      <c r="Q44" s="176">
        <v>1</v>
      </c>
      <c r="R44" s="341" t="s">
        <v>47</v>
      </c>
      <c r="S44" s="176">
        <v>1</v>
      </c>
      <c r="T44" s="176">
        <v>1</v>
      </c>
      <c r="U44" s="176">
        <v>1</v>
      </c>
      <c r="V44" s="176">
        <v>1</v>
      </c>
      <c r="W44" s="176">
        <v>1</v>
      </c>
      <c r="X44" s="176">
        <v>1</v>
      </c>
      <c r="Y44" s="176">
        <v>1</v>
      </c>
      <c r="Z44" s="176">
        <v>1</v>
      </c>
      <c r="AA44" s="176"/>
      <c r="AB44" s="176"/>
      <c r="AC44" s="176"/>
      <c r="AD44" s="176"/>
      <c r="AE44" s="41">
        <f t="shared" si="7"/>
        <v>13</v>
      </c>
      <c r="AF44" s="116" t="s">
        <v>355</v>
      </c>
      <c r="AG44" s="550" t="s">
        <v>41</v>
      </c>
      <c r="AH44" s="542"/>
      <c r="AI44" s="189" t="s">
        <v>444</v>
      </c>
    </row>
    <row r="45" spans="1:35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3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7"/>
        <v>0</v>
      </c>
      <c r="AF45" s="116" t="s">
        <v>652</v>
      </c>
      <c r="AG45" s="550" t="s">
        <v>41</v>
      </c>
      <c r="AH45" s="542"/>
      <c r="AI45" s="189" t="s">
        <v>444</v>
      </c>
    </row>
    <row r="46" spans="1:35" ht="14.25" customHeight="1">
      <c r="A46" s="38" t="s">
        <v>41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3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7"/>
        <v>0</v>
      </c>
      <c r="AF46" s="116" t="s">
        <v>652</v>
      </c>
      <c r="AG46" s="550" t="s">
        <v>41</v>
      </c>
      <c r="AH46" s="542"/>
      <c r="AI46" s="189" t="s">
        <v>444</v>
      </c>
    </row>
    <row r="47" spans="1:35" ht="14.25" customHeight="1">
      <c r="A47" s="38" t="s">
        <v>41</v>
      </c>
      <c r="B47" s="190" t="s">
        <v>137</v>
      </c>
      <c r="C47" s="98"/>
      <c r="D47" s="86">
        <v>1</v>
      </c>
      <c r="E47" s="218" t="s">
        <v>138</v>
      </c>
      <c r="F47" s="41">
        <f t="shared" si="3"/>
        <v>0</v>
      </c>
      <c r="G47" s="176"/>
      <c r="H47" s="176"/>
      <c r="I47" s="176"/>
      <c r="J47" s="176"/>
      <c r="K47" s="176"/>
      <c r="L47" s="176"/>
      <c r="M47" s="176"/>
      <c r="N47" s="577" t="s">
        <v>320</v>
      </c>
      <c r="O47" s="555"/>
      <c r="P47" s="555"/>
      <c r="Q47" s="555"/>
      <c r="R47" s="555"/>
      <c r="S47" s="555"/>
      <c r="T47" s="555"/>
      <c r="U47" s="555"/>
      <c r="V47" s="341" t="s">
        <v>47</v>
      </c>
      <c r="W47" s="176"/>
      <c r="X47" s="176"/>
      <c r="Y47" s="176"/>
      <c r="Z47" s="176"/>
      <c r="AA47" s="176"/>
      <c r="AB47" s="176"/>
      <c r="AC47" s="176"/>
      <c r="AD47" s="176"/>
      <c r="AE47" s="41">
        <v>8</v>
      </c>
      <c r="AF47" s="116" t="s">
        <v>228</v>
      </c>
      <c r="AG47" s="186" t="s">
        <v>320</v>
      </c>
      <c r="AH47" s="212" t="s">
        <v>209</v>
      </c>
      <c r="AI47" s="189" t="s">
        <v>444</v>
      </c>
    </row>
    <row r="48" spans="1:35" ht="14.25" customHeight="1">
      <c r="A48" s="38" t="s">
        <v>41</v>
      </c>
      <c r="B48" s="190" t="s">
        <v>190</v>
      </c>
      <c r="C48" s="98"/>
      <c r="D48" s="39">
        <v>2</v>
      </c>
      <c r="E48" s="218" t="s">
        <v>191</v>
      </c>
      <c r="F48" s="41">
        <f t="shared" si="3"/>
        <v>0</v>
      </c>
      <c r="G48" s="77"/>
      <c r="H48" s="77"/>
      <c r="I48" s="77"/>
      <c r="J48" s="77"/>
      <c r="K48" s="77"/>
      <c r="L48" s="77"/>
      <c r="M48" s="176"/>
      <c r="N48" s="176"/>
      <c r="O48" s="176"/>
      <c r="P48" s="176"/>
      <c r="Q48" s="176"/>
      <c r="R48" s="176"/>
      <c r="S48" s="176"/>
      <c r="T48" s="176"/>
      <c r="U48" s="341" t="s">
        <v>47</v>
      </c>
      <c r="V48" s="577" t="s">
        <v>320</v>
      </c>
      <c r="W48" s="555"/>
      <c r="X48" s="555"/>
      <c r="Y48" s="555"/>
      <c r="Z48" s="555"/>
      <c r="AA48" s="555"/>
      <c r="AB48" s="555"/>
      <c r="AC48" s="555"/>
      <c r="AD48" s="77"/>
      <c r="AE48" s="41">
        <v>8</v>
      </c>
      <c r="AF48" s="116" t="s">
        <v>81</v>
      </c>
      <c r="AG48" s="186" t="s">
        <v>320</v>
      </c>
      <c r="AH48" s="212" t="s">
        <v>209</v>
      </c>
      <c r="AI48" s="189" t="s">
        <v>444</v>
      </c>
    </row>
    <row r="49" spans="1:35" ht="14.25" customHeight="1">
      <c r="A49" s="98"/>
      <c r="B49" s="98"/>
      <c r="C49" s="98"/>
      <c r="D49" s="39">
        <v>1</v>
      </c>
      <c r="E49" s="133" t="s">
        <v>363</v>
      </c>
      <c r="F49" s="41">
        <f t="shared" si="3"/>
        <v>0</v>
      </c>
      <c r="G49" s="42"/>
      <c r="H49" s="42"/>
      <c r="I49" s="42"/>
      <c r="J49" s="42"/>
      <c r="K49" s="42"/>
      <c r="L49" s="42"/>
      <c r="M49" s="42"/>
      <c r="N49" s="42"/>
      <c r="O49" s="577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v>12</v>
      </c>
      <c r="AF49" s="116" t="s">
        <v>66</v>
      </c>
      <c r="AG49" s="551" t="s">
        <v>473</v>
      </c>
      <c r="AH49" s="555"/>
      <c r="AI49" s="189" t="s">
        <v>444</v>
      </c>
    </row>
    <row r="50" spans="1:35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  <c r="AH50" s="25"/>
      <c r="AI50" s="25"/>
    </row>
    <row r="51" spans="1:35" ht="14.25" customHeight="1">
      <c r="A51" s="2"/>
      <c r="B51" s="2"/>
      <c r="C51" s="2"/>
      <c r="D51" s="2"/>
      <c r="E51" s="2"/>
      <c r="F51" s="2"/>
      <c r="AE51" s="2"/>
      <c r="AF51" s="2"/>
      <c r="AG51" s="2"/>
      <c r="AH51" s="2"/>
      <c r="AI51" s="2"/>
    </row>
    <row r="52" spans="1:35" ht="14.25" customHeight="1">
      <c r="A52" s="2"/>
      <c r="B52" s="2"/>
      <c r="C52" s="2"/>
      <c r="D52" s="2"/>
      <c r="E52" s="2"/>
      <c r="F52" s="2"/>
      <c r="AE52" s="2"/>
      <c r="AF52" s="2"/>
      <c r="AG52" s="2"/>
      <c r="AH52" s="2"/>
      <c r="AI52" s="2"/>
    </row>
    <row r="53" spans="1:35" ht="14.25" customHeight="1">
      <c r="A53" s="2"/>
      <c r="B53" s="2"/>
      <c r="C53" s="2"/>
      <c r="D53" s="2"/>
      <c r="E53" s="2"/>
      <c r="F53" s="2"/>
      <c r="AE53" s="2"/>
      <c r="AF53" s="2"/>
      <c r="AG53" s="2"/>
      <c r="AH53" s="2"/>
      <c r="AI53" s="2"/>
    </row>
    <row r="54" spans="1:35" ht="14.25" customHeight="1">
      <c r="A54" s="2"/>
      <c r="B54" s="2"/>
      <c r="C54" s="2"/>
      <c r="D54" s="2"/>
      <c r="E54" s="2"/>
      <c r="F54" s="2"/>
      <c r="AE54" s="2"/>
      <c r="AF54" s="2"/>
      <c r="AG54" s="2"/>
      <c r="AH54" s="2"/>
      <c r="AI54" s="2"/>
    </row>
    <row r="55" spans="1:35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193">
        <v>0</v>
      </c>
      <c r="P55" s="193">
        <v>10</v>
      </c>
      <c r="Q55" s="193">
        <v>10</v>
      </c>
      <c r="R55" s="193">
        <v>10</v>
      </c>
      <c r="S55" s="193">
        <v>10</v>
      </c>
      <c r="T55" s="193">
        <v>10</v>
      </c>
      <c r="U55" s="193">
        <v>10</v>
      </c>
      <c r="V55" s="193">
        <v>10</v>
      </c>
      <c r="W55" s="193">
        <v>10</v>
      </c>
      <c r="X55" s="193">
        <v>10</v>
      </c>
      <c r="Y55" s="193">
        <v>10</v>
      </c>
      <c r="Z55" s="193">
        <v>0</v>
      </c>
      <c r="AA55" s="193">
        <v>0</v>
      </c>
      <c r="AB55" s="194">
        <v>0</v>
      </c>
      <c r="AC55" s="192">
        <v>0</v>
      </c>
      <c r="AD55" s="195">
        <v>0</v>
      </c>
      <c r="AE55" s="18">
        <f>SUM(G55:AD55)</f>
        <v>100</v>
      </c>
      <c r="AF55" s="25"/>
      <c r="AG55" s="2"/>
      <c r="AH55" s="2"/>
      <c r="AI55" s="2"/>
    </row>
    <row r="56" spans="1:35" ht="14.25" customHeight="1">
      <c r="A56" s="3"/>
      <c r="B56" s="3"/>
      <c r="C56" s="3"/>
      <c r="D56" s="48"/>
      <c r="E56" s="59"/>
      <c r="F56" s="59"/>
      <c r="G56" s="28">
        <f t="shared" ref="G56:AD56" si="8">G58-G55</f>
        <v>0</v>
      </c>
      <c r="H56" s="28">
        <f t="shared" si="8"/>
        <v>0</v>
      </c>
      <c r="I56" s="28">
        <f t="shared" si="8"/>
        <v>0</v>
      </c>
      <c r="J56" s="28">
        <f t="shared" si="8"/>
        <v>0</v>
      </c>
      <c r="K56" s="28">
        <f t="shared" si="8"/>
        <v>0</v>
      </c>
      <c r="L56" s="28">
        <f t="shared" si="8"/>
        <v>0</v>
      </c>
      <c r="M56" s="84">
        <f t="shared" si="8"/>
        <v>2</v>
      </c>
      <c r="N56" s="84">
        <f t="shared" si="8"/>
        <v>2</v>
      </c>
      <c r="O56" s="84">
        <f t="shared" si="8"/>
        <v>0</v>
      </c>
      <c r="P56" s="28">
        <f t="shared" si="8"/>
        <v>0</v>
      </c>
      <c r="Q56" s="28">
        <f t="shared" si="8"/>
        <v>0</v>
      </c>
      <c r="R56" s="28">
        <f t="shared" si="8"/>
        <v>0</v>
      </c>
      <c r="S56" s="28">
        <f t="shared" si="8"/>
        <v>0</v>
      </c>
      <c r="T56" s="28">
        <f t="shared" si="8"/>
        <v>0</v>
      </c>
      <c r="U56" s="28">
        <f t="shared" si="8"/>
        <v>0</v>
      </c>
      <c r="V56" s="28">
        <f t="shared" si="8"/>
        <v>0</v>
      </c>
      <c r="W56" s="28">
        <f t="shared" si="8"/>
        <v>0</v>
      </c>
      <c r="X56" s="28">
        <f t="shared" si="8"/>
        <v>0</v>
      </c>
      <c r="Y56" s="28">
        <f t="shared" si="8"/>
        <v>0</v>
      </c>
      <c r="Z56" s="28">
        <f t="shared" si="8"/>
        <v>1</v>
      </c>
      <c r="AA56" s="28">
        <f t="shared" si="8"/>
        <v>0</v>
      </c>
      <c r="AB56" s="28">
        <f t="shared" si="8"/>
        <v>0</v>
      </c>
      <c r="AC56" s="28">
        <f t="shared" si="8"/>
        <v>0</v>
      </c>
      <c r="AD56" s="28">
        <f t="shared" si="8"/>
        <v>0</v>
      </c>
      <c r="AE56" s="53"/>
      <c r="AF56" s="3"/>
      <c r="AG56" s="2"/>
      <c r="AH56" s="2"/>
      <c r="AI56" s="2"/>
    </row>
    <row r="57" spans="1:35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  <c r="AH57" s="2"/>
      <c r="AI57" s="2"/>
    </row>
    <row r="58" spans="1:35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9">SUM(G59:G72)</f>
        <v>0</v>
      </c>
      <c r="H58" s="35">
        <f t="shared" si="9"/>
        <v>0</v>
      </c>
      <c r="I58" s="35">
        <f t="shared" si="9"/>
        <v>0</v>
      </c>
      <c r="J58" s="35">
        <f t="shared" si="9"/>
        <v>0</v>
      </c>
      <c r="K58" s="35">
        <f t="shared" si="9"/>
        <v>0</v>
      </c>
      <c r="L58" s="35">
        <f t="shared" si="9"/>
        <v>0</v>
      </c>
      <c r="M58" s="35">
        <f t="shared" si="9"/>
        <v>2</v>
      </c>
      <c r="N58" s="35">
        <f t="shared" si="9"/>
        <v>2</v>
      </c>
      <c r="O58" s="35">
        <f t="shared" si="9"/>
        <v>0</v>
      </c>
      <c r="P58" s="35">
        <f t="shared" si="9"/>
        <v>10</v>
      </c>
      <c r="Q58" s="35">
        <f t="shared" si="9"/>
        <v>10</v>
      </c>
      <c r="R58" s="35">
        <f t="shared" si="9"/>
        <v>10</v>
      </c>
      <c r="S58" s="35">
        <f t="shared" si="9"/>
        <v>10</v>
      </c>
      <c r="T58" s="35">
        <f t="shared" si="9"/>
        <v>10</v>
      </c>
      <c r="U58" s="35">
        <f t="shared" si="9"/>
        <v>10</v>
      </c>
      <c r="V58" s="35">
        <f t="shared" si="9"/>
        <v>10</v>
      </c>
      <c r="W58" s="35">
        <f t="shared" si="9"/>
        <v>10</v>
      </c>
      <c r="X58" s="35">
        <f t="shared" si="9"/>
        <v>10</v>
      </c>
      <c r="Y58" s="35">
        <f t="shared" si="9"/>
        <v>10</v>
      </c>
      <c r="Z58" s="35">
        <f t="shared" si="9"/>
        <v>1</v>
      </c>
      <c r="AA58" s="35">
        <f t="shared" si="9"/>
        <v>0</v>
      </c>
      <c r="AB58" s="35">
        <f t="shared" si="9"/>
        <v>0</v>
      </c>
      <c r="AC58" s="35">
        <f t="shared" si="9"/>
        <v>0</v>
      </c>
      <c r="AD58" s="35">
        <f t="shared" si="9"/>
        <v>0</v>
      </c>
      <c r="AE58" s="30">
        <f t="shared" ref="AE58:AE68" si="10">SUM(G58:AD58)</f>
        <v>105</v>
      </c>
      <c r="AF58" s="36" t="s">
        <v>39</v>
      </c>
      <c r="AG58" s="196"/>
      <c r="AH58" s="196"/>
      <c r="AI58" s="197" t="s">
        <v>40</v>
      </c>
    </row>
    <row r="59" spans="1:35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11">SUM(G59:AD59)</f>
        <v>12</v>
      </c>
      <c r="G59" s="202"/>
      <c r="H59" s="202"/>
      <c r="I59" s="202"/>
      <c r="J59" s="202"/>
      <c r="K59" s="202"/>
      <c r="L59" s="202"/>
      <c r="M59" s="292">
        <v>1</v>
      </c>
      <c r="N59" s="292">
        <v>1</v>
      </c>
      <c r="O59" s="305" t="s">
        <v>47</v>
      </c>
      <c r="P59" s="202">
        <v>1</v>
      </c>
      <c r="Q59" s="202">
        <v>1</v>
      </c>
      <c r="R59" s="202">
        <v>1</v>
      </c>
      <c r="S59" s="202">
        <v>1</v>
      </c>
      <c r="T59" s="202">
        <v>1</v>
      </c>
      <c r="U59" s="202">
        <v>1</v>
      </c>
      <c r="V59" s="202">
        <v>1</v>
      </c>
      <c r="W59" s="202">
        <v>1</v>
      </c>
      <c r="X59" s="202">
        <v>1</v>
      </c>
      <c r="Y59" s="202">
        <v>1</v>
      </c>
      <c r="Z59" s="202"/>
      <c r="AA59" s="202"/>
      <c r="AB59" s="202"/>
      <c r="AC59" s="202"/>
      <c r="AD59" s="202"/>
      <c r="AE59" s="41">
        <f t="shared" si="10"/>
        <v>12</v>
      </c>
      <c r="AF59" s="116" t="s">
        <v>261</v>
      </c>
      <c r="AG59" s="550" t="s">
        <v>476</v>
      </c>
      <c r="AH59" s="542"/>
      <c r="AI59" s="189" t="s">
        <v>444</v>
      </c>
    </row>
    <row r="60" spans="1:35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11"/>
        <v>10</v>
      </c>
      <c r="G60" s="202"/>
      <c r="H60" s="202"/>
      <c r="I60" s="202"/>
      <c r="J60" s="202"/>
      <c r="K60" s="202"/>
      <c r="L60" s="202"/>
      <c r="M60" s="202"/>
      <c r="N60" s="202"/>
      <c r="O60" s="305" t="s">
        <v>47</v>
      </c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02"/>
      <c r="AA60" s="202"/>
      <c r="AB60" s="202"/>
      <c r="AC60" s="202"/>
      <c r="AD60" s="202"/>
      <c r="AE60" s="41">
        <f t="shared" si="10"/>
        <v>10</v>
      </c>
      <c r="AF60" s="116" t="s">
        <v>119</v>
      </c>
      <c r="AG60" s="550" t="s">
        <v>476</v>
      </c>
      <c r="AH60" s="542"/>
      <c r="AI60" s="189" t="s">
        <v>444</v>
      </c>
    </row>
    <row r="61" spans="1:35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11"/>
        <v>10</v>
      </c>
      <c r="G61" s="202"/>
      <c r="H61" s="202"/>
      <c r="I61" s="202"/>
      <c r="J61" s="202"/>
      <c r="K61" s="202"/>
      <c r="L61" s="202"/>
      <c r="M61" s="202"/>
      <c r="N61" s="202"/>
      <c r="O61" s="305" t="s">
        <v>47</v>
      </c>
      <c r="P61" s="202">
        <v>1</v>
      </c>
      <c r="Q61" s="202">
        <v>1</v>
      </c>
      <c r="R61" s="202">
        <v>1</v>
      </c>
      <c r="S61" s="202">
        <v>1</v>
      </c>
      <c r="T61" s="202">
        <v>1</v>
      </c>
      <c r="U61" s="202">
        <v>1</v>
      </c>
      <c r="V61" s="202">
        <v>1</v>
      </c>
      <c r="W61" s="202">
        <v>1</v>
      </c>
      <c r="X61" s="202">
        <v>1</v>
      </c>
      <c r="Y61" s="202">
        <v>1</v>
      </c>
      <c r="Z61" s="202"/>
      <c r="AA61" s="202"/>
      <c r="AB61" s="202"/>
      <c r="AC61" s="202"/>
      <c r="AD61" s="202"/>
      <c r="AE61" s="41">
        <f t="shared" si="10"/>
        <v>10</v>
      </c>
      <c r="AF61" s="116" t="s">
        <v>119</v>
      </c>
      <c r="AG61" s="550" t="s">
        <v>476</v>
      </c>
      <c r="AH61" s="542"/>
      <c r="AI61" s="189" t="s">
        <v>444</v>
      </c>
    </row>
    <row r="62" spans="1:35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11"/>
        <v>13</v>
      </c>
      <c r="G62" s="202"/>
      <c r="H62" s="202"/>
      <c r="I62" s="202"/>
      <c r="J62" s="202"/>
      <c r="K62" s="202"/>
      <c r="L62" s="202"/>
      <c r="M62" s="292">
        <v>1</v>
      </c>
      <c r="N62" s="292">
        <v>1</v>
      </c>
      <c r="O62" s="305" t="s">
        <v>47</v>
      </c>
      <c r="P62" s="202">
        <v>1</v>
      </c>
      <c r="Q62" s="202">
        <v>1</v>
      </c>
      <c r="R62" s="202">
        <v>1</v>
      </c>
      <c r="S62" s="202">
        <v>1</v>
      </c>
      <c r="T62" s="202">
        <v>1</v>
      </c>
      <c r="U62" s="202">
        <v>1</v>
      </c>
      <c r="V62" s="202">
        <v>1</v>
      </c>
      <c r="W62" s="202">
        <v>1</v>
      </c>
      <c r="X62" s="202">
        <v>1</v>
      </c>
      <c r="Y62" s="202">
        <v>1</v>
      </c>
      <c r="Z62" s="202">
        <v>1</v>
      </c>
      <c r="AA62" s="202"/>
      <c r="AB62" s="202"/>
      <c r="AC62" s="202"/>
      <c r="AD62" s="202"/>
      <c r="AE62" s="41">
        <f t="shared" si="10"/>
        <v>13</v>
      </c>
      <c r="AF62" s="116" t="s">
        <v>355</v>
      </c>
      <c r="AG62" s="550" t="s">
        <v>476</v>
      </c>
      <c r="AH62" s="542"/>
      <c r="AI62" s="189" t="s">
        <v>444</v>
      </c>
    </row>
    <row r="63" spans="1:35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11"/>
        <v>10</v>
      </c>
      <c r="G63" s="202"/>
      <c r="H63" s="202"/>
      <c r="I63" s="202"/>
      <c r="J63" s="202"/>
      <c r="K63" s="202"/>
      <c r="L63" s="202"/>
      <c r="M63" s="202"/>
      <c r="N63" s="202"/>
      <c r="O63" s="305" t="s">
        <v>47</v>
      </c>
      <c r="P63" s="202">
        <v>1</v>
      </c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02"/>
      <c r="AA63" s="202"/>
      <c r="AB63" s="202"/>
      <c r="AC63" s="202"/>
      <c r="AD63" s="202"/>
      <c r="AE63" s="41">
        <f t="shared" si="10"/>
        <v>10</v>
      </c>
      <c r="AF63" s="116" t="s">
        <v>119</v>
      </c>
      <c r="AG63" s="550" t="s">
        <v>476</v>
      </c>
      <c r="AH63" s="542"/>
      <c r="AI63" s="189" t="s">
        <v>444</v>
      </c>
    </row>
    <row r="64" spans="1:35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11"/>
        <v>10</v>
      </c>
      <c r="G64" s="202"/>
      <c r="H64" s="202"/>
      <c r="I64" s="202"/>
      <c r="J64" s="202"/>
      <c r="K64" s="202"/>
      <c r="L64" s="202"/>
      <c r="M64" s="202"/>
      <c r="N64" s="202"/>
      <c r="O64" s="305" t="s">
        <v>47</v>
      </c>
      <c r="P64" s="202">
        <v>1</v>
      </c>
      <c r="Q64" s="202">
        <v>1</v>
      </c>
      <c r="R64" s="202">
        <v>1</v>
      </c>
      <c r="S64" s="202">
        <v>1</v>
      </c>
      <c r="T64" s="202">
        <v>1</v>
      </c>
      <c r="U64" s="202">
        <v>1</v>
      </c>
      <c r="V64" s="202">
        <v>1</v>
      </c>
      <c r="W64" s="202">
        <v>1</v>
      </c>
      <c r="X64" s="202">
        <v>1</v>
      </c>
      <c r="Y64" s="202">
        <v>1</v>
      </c>
      <c r="Z64" s="202"/>
      <c r="AA64" s="202"/>
      <c r="AB64" s="202"/>
      <c r="AC64" s="202"/>
      <c r="AD64" s="202"/>
      <c r="AE64" s="41">
        <f t="shared" si="10"/>
        <v>10</v>
      </c>
      <c r="AF64" s="116" t="s">
        <v>119</v>
      </c>
      <c r="AG64" s="550" t="s">
        <v>476</v>
      </c>
      <c r="AH64" s="542"/>
      <c r="AI64" s="189" t="s">
        <v>444</v>
      </c>
    </row>
    <row r="65" spans="1:35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11"/>
        <v>10</v>
      </c>
      <c r="G65" s="202"/>
      <c r="H65" s="202"/>
      <c r="I65" s="202"/>
      <c r="J65" s="202"/>
      <c r="K65" s="202"/>
      <c r="L65" s="202"/>
      <c r="M65" s="202"/>
      <c r="N65" s="202"/>
      <c r="O65" s="305" t="s">
        <v>47</v>
      </c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02"/>
      <c r="AA65" s="202"/>
      <c r="AB65" s="202"/>
      <c r="AC65" s="202"/>
      <c r="AD65" s="202"/>
      <c r="AE65" s="41">
        <f t="shared" si="10"/>
        <v>10</v>
      </c>
      <c r="AF65" s="116" t="s">
        <v>119</v>
      </c>
      <c r="AG65" s="550" t="s">
        <v>476</v>
      </c>
      <c r="AH65" s="542"/>
      <c r="AI65" s="189" t="s">
        <v>444</v>
      </c>
    </row>
    <row r="66" spans="1:35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11"/>
        <v>10</v>
      </c>
      <c r="G66" s="202"/>
      <c r="H66" s="202"/>
      <c r="I66" s="202"/>
      <c r="J66" s="202"/>
      <c r="K66" s="202"/>
      <c r="L66" s="202"/>
      <c r="M66" s="202"/>
      <c r="N66" s="202"/>
      <c r="O66" s="305" t="s">
        <v>47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02"/>
      <c r="AA66" s="202"/>
      <c r="AB66" s="202"/>
      <c r="AC66" s="202"/>
      <c r="AD66" s="202"/>
      <c r="AE66" s="41">
        <f t="shared" si="10"/>
        <v>10</v>
      </c>
      <c r="AF66" s="116" t="s">
        <v>119</v>
      </c>
      <c r="AG66" s="550" t="s">
        <v>476</v>
      </c>
      <c r="AH66" s="542"/>
      <c r="AI66" s="189" t="s">
        <v>444</v>
      </c>
    </row>
    <row r="67" spans="1:35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11"/>
        <v>10</v>
      </c>
      <c r="G67" s="202"/>
      <c r="H67" s="202"/>
      <c r="I67" s="202"/>
      <c r="J67" s="202"/>
      <c r="K67" s="202"/>
      <c r="L67" s="202"/>
      <c r="M67" s="202"/>
      <c r="N67" s="202"/>
      <c r="O67" s="305" t="s">
        <v>47</v>
      </c>
      <c r="P67" s="202">
        <v>1</v>
      </c>
      <c r="Q67" s="202">
        <v>1</v>
      </c>
      <c r="R67" s="202">
        <v>1</v>
      </c>
      <c r="S67" s="202">
        <v>1</v>
      </c>
      <c r="T67" s="202">
        <v>1</v>
      </c>
      <c r="U67" s="202">
        <v>1</v>
      </c>
      <c r="V67" s="202">
        <v>1</v>
      </c>
      <c r="W67" s="202">
        <v>1</v>
      </c>
      <c r="X67" s="202">
        <v>1</v>
      </c>
      <c r="Y67" s="202">
        <v>1</v>
      </c>
      <c r="Z67" s="202"/>
      <c r="AA67" s="202"/>
      <c r="AB67" s="202"/>
      <c r="AC67" s="202"/>
      <c r="AD67" s="202"/>
      <c r="AE67" s="41">
        <f t="shared" si="10"/>
        <v>10</v>
      </c>
      <c r="AF67" s="116" t="s">
        <v>119</v>
      </c>
      <c r="AG67" s="550" t="s">
        <v>476</v>
      </c>
      <c r="AH67" s="542"/>
      <c r="AI67" s="189" t="s">
        <v>444</v>
      </c>
    </row>
    <row r="68" spans="1:35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11"/>
        <v>10</v>
      </c>
      <c r="G68" s="202"/>
      <c r="H68" s="202"/>
      <c r="I68" s="202"/>
      <c r="J68" s="202"/>
      <c r="K68" s="202"/>
      <c r="L68" s="202"/>
      <c r="M68" s="202"/>
      <c r="N68" s="202"/>
      <c r="O68" s="305" t="s">
        <v>47</v>
      </c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02"/>
      <c r="AA68" s="202"/>
      <c r="AB68" s="202"/>
      <c r="AC68" s="202"/>
      <c r="AD68" s="202"/>
      <c r="AE68" s="41">
        <f t="shared" si="10"/>
        <v>10</v>
      </c>
      <c r="AF68" s="116" t="s">
        <v>119</v>
      </c>
      <c r="AG68" s="550" t="s">
        <v>476</v>
      </c>
      <c r="AH68" s="542"/>
      <c r="AI68" s="189" t="s">
        <v>444</v>
      </c>
    </row>
    <row r="69" spans="1:35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  <c r="AH69" s="2"/>
      <c r="AI69" s="2"/>
    </row>
    <row r="70" spans="1:35" ht="14.25" customHeight="1">
      <c r="A70" s="2"/>
      <c r="B70" s="2"/>
      <c r="C70" s="2"/>
      <c r="D70" s="2"/>
      <c r="E70" s="2"/>
      <c r="F70" s="2"/>
      <c r="AE70" s="2"/>
      <c r="AF70" s="2"/>
      <c r="AG70" s="2"/>
      <c r="AH70" s="2"/>
      <c r="AI70" s="2"/>
    </row>
    <row r="71" spans="1:35" ht="14.25" customHeight="1">
      <c r="A71" s="2"/>
      <c r="B71" s="2"/>
      <c r="C71" s="2"/>
      <c r="D71" s="2"/>
      <c r="E71" s="2"/>
      <c r="F71" s="2"/>
      <c r="AE71" s="2"/>
      <c r="AF71" s="2"/>
      <c r="AG71" s="2"/>
      <c r="AH71" s="2"/>
      <c r="AI71" s="2"/>
    </row>
    <row r="72" spans="1:35" ht="14.25" customHeight="1">
      <c r="A72" s="2"/>
      <c r="B72" s="2"/>
      <c r="C72" s="2"/>
      <c r="D72" s="2"/>
      <c r="E72" s="2"/>
      <c r="F72" s="2"/>
      <c r="AE72" s="2"/>
      <c r="AF72" s="2"/>
      <c r="AG72" s="2"/>
      <c r="AH72" s="2"/>
      <c r="AI72" s="2"/>
    </row>
    <row r="73" spans="1:35" ht="14.25" customHeight="1">
      <c r="A73" s="2"/>
      <c r="B73" s="2"/>
      <c r="C73" s="2"/>
      <c r="D73" s="2"/>
      <c r="E73" s="2"/>
      <c r="F73" s="2"/>
      <c r="AE73" s="2"/>
      <c r="AF73" s="2"/>
      <c r="AG73" s="2"/>
      <c r="AH73" s="2"/>
      <c r="AI73" s="2"/>
    </row>
    <row r="74" spans="1:35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4">
        <v>4</v>
      </c>
      <c r="N74" s="223">
        <v>5</v>
      </c>
      <c r="O74" s="221">
        <v>6</v>
      </c>
      <c r="P74" s="222">
        <v>8</v>
      </c>
      <c r="Q74" s="319">
        <v>9</v>
      </c>
      <c r="R74" s="319">
        <v>9</v>
      </c>
      <c r="S74" s="222">
        <v>8</v>
      </c>
      <c r="T74" s="310">
        <v>10</v>
      </c>
      <c r="U74" s="312">
        <v>12</v>
      </c>
      <c r="V74" s="320">
        <v>11</v>
      </c>
      <c r="W74" s="310">
        <v>10</v>
      </c>
      <c r="X74" s="319">
        <v>9</v>
      </c>
      <c r="Y74" s="319">
        <v>9</v>
      </c>
      <c r="Z74" s="167">
        <v>7</v>
      </c>
      <c r="AA74" s="167">
        <v>7</v>
      </c>
      <c r="AB74" s="167">
        <v>7</v>
      </c>
      <c r="AC74" s="220">
        <v>3</v>
      </c>
      <c r="AD74" s="195">
        <v>2</v>
      </c>
      <c r="AE74" s="18">
        <f>SUM(G74:AD74)</f>
        <v>148</v>
      </c>
      <c r="AF74" s="25"/>
      <c r="AG74" s="3"/>
      <c r="AH74" s="3"/>
      <c r="AI74" s="3"/>
    </row>
    <row r="75" spans="1:35" ht="14.25" customHeight="1">
      <c r="A75" s="3"/>
      <c r="B75" s="3"/>
      <c r="C75" s="3"/>
      <c r="D75" s="48"/>
      <c r="E75" s="59"/>
      <c r="F75" s="59"/>
      <c r="G75" s="28">
        <f t="shared" ref="G75:AD75" si="12">G77-G74</f>
        <v>0</v>
      </c>
      <c r="H75" s="28">
        <f t="shared" si="12"/>
        <v>0</v>
      </c>
      <c r="I75" s="28">
        <f t="shared" si="12"/>
        <v>0</v>
      </c>
      <c r="J75" s="28">
        <f t="shared" si="12"/>
        <v>0</v>
      </c>
      <c r="K75" s="28">
        <f t="shared" si="12"/>
        <v>0</v>
      </c>
      <c r="L75" s="28">
        <f t="shared" si="12"/>
        <v>0</v>
      </c>
      <c r="M75" s="28">
        <f t="shared" si="12"/>
        <v>0</v>
      </c>
      <c r="N75" s="28">
        <f t="shared" si="12"/>
        <v>0</v>
      </c>
      <c r="O75" s="84">
        <f t="shared" si="12"/>
        <v>2</v>
      </c>
      <c r="P75" s="28">
        <f t="shared" si="12"/>
        <v>0</v>
      </c>
      <c r="Q75" s="28">
        <f t="shared" si="12"/>
        <v>0</v>
      </c>
      <c r="R75" s="28">
        <f t="shared" si="12"/>
        <v>0</v>
      </c>
      <c r="S75" s="28">
        <f t="shared" si="12"/>
        <v>0</v>
      </c>
      <c r="T75" s="28">
        <f t="shared" si="12"/>
        <v>0</v>
      </c>
      <c r="U75" s="28">
        <f t="shared" si="12"/>
        <v>1</v>
      </c>
      <c r="V75" s="28">
        <f t="shared" si="12"/>
        <v>1</v>
      </c>
      <c r="W75" s="28">
        <f t="shared" si="12"/>
        <v>0</v>
      </c>
      <c r="X75" s="28">
        <f t="shared" si="12"/>
        <v>0</v>
      </c>
      <c r="Y75" s="28">
        <f t="shared" si="12"/>
        <v>0</v>
      </c>
      <c r="Z75" s="28">
        <f t="shared" si="12"/>
        <v>0</v>
      </c>
      <c r="AA75" s="28">
        <f t="shared" si="12"/>
        <v>0</v>
      </c>
      <c r="AB75" s="28">
        <f t="shared" si="12"/>
        <v>0</v>
      </c>
      <c r="AC75" s="28">
        <f t="shared" si="12"/>
        <v>1</v>
      </c>
      <c r="AD75" s="28">
        <f t="shared" si="12"/>
        <v>0</v>
      </c>
      <c r="AE75" s="53"/>
      <c r="AF75" s="3">
        <v>16</v>
      </c>
      <c r="AG75" s="3"/>
      <c r="AH75" s="3"/>
      <c r="AI75" s="3">
        <f>AE74/11</f>
        <v>13.454545454545455</v>
      </c>
    </row>
    <row r="76" spans="1:35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  <c r="AH76" s="3"/>
      <c r="AI76" s="3"/>
    </row>
    <row r="77" spans="1:35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3">SUM(G78:G94)</f>
        <v>2</v>
      </c>
      <c r="H77" s="35">
        <f t="shared" si="13"/>
        <v>2</v>
      </c>
      <c r="I77" s="35">
        <f t="shared" si="13"/>
        <v>2</v>
      </c>
      <c r="J77" s="35">
        <f t="shared" si="13"/>
        <v>2</v>
      </c>
      <c r="K77" s="35">
        <f t="shared" si="13"/>
        <v>2</v>
      </c>
      <c r="L77" s="35">
        <f t="shared" si="13"/>
        <v>2</v>
      </c>
      <c r="M77" s="35">
        <f t="shared" si="13"/>
        <v>4</v>
      </c>
      <c r="N77" s="35">
        <f t="shared" si="13"/>
        <v>5</v>
      </c>
      <c r="O77" s="35">
        <f t="shared" si="13"/>
        <v>8</v>
      </c>
      <c r="P77" s="35">
        <f t="shared" si="13"/>
        <v>8</v>
      </c>
      <c r="Q77" s="35">
        <f t="shared" si="13"/>
        <v>9</v>
      </c>
      <c r="R77" s="35">
        <f t="shared" si="13"/>
        <v>9</v>
      </c>
      <c r="S77" s="35">
        <f t="shared" si="13"/>
        <v>8</v>
      </c>
      <c r="T77" s="35">
        <f t="shared" si="13"/>
        <v>10</v>
      </c>
      <c r="U77" s="35">
        <f t="shared" si="13"/>
        <v>13</v>
      </c>
      <c r="V77" s="35">
        <f t="shared" si="13"/>
        <v>12</v>
      </c>
      <c r="W77" s="35">
        <f t="shared" si="13"/>
        <v>10</v>
      </c>
      <c r="X77" s="35">
        <f t="shared" si="13"/>
        <v>9</v>
      </c>
      <c r="Y77" s="35">
        <f t="shared" si="13"/>
        <v>9</v>
      </c>
      <c r="Z77" s="35">
        <f t="shared" si="13"/>
        <v>7</v>
      </c>
      <c r="AA77" s="35">
        <f t="shared" si="13"/>
        <v>7</v>
      </c>
      <c r="AB77" s="35">
        <f t="shared" si="13"/>
        <v>7</v>
      </c>
      <c r="AC77" s="35">
        <f t="shared" si="13"/>
        <v>4</v>
      </c>
      <c r="AD77" s="35">
        <f t="shared" si="13"/>
        <v>2</v>
      </c>
      <c r="AE77" s="30">
        <f t="shared" ref="AE77:AE94" si="14">SUM(G77:AD77)</f>
        <v>153</v>
      </c>
      <c r="AF77" s="36" t="s">
        <v>39</v>
      </c>
      <c r="AG77" s="173"/>
      <c r="AH77" s="173"/>
      <c r="AI77" s="37" t="s">
        <v>40</v>
      </c>
    </row>
    <row r="78" spans="1:35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5">SUM(G78:AD78)</f>
        <v>11</v>
      </c>
      <c r="G78" s="202"/>
      <c r="H78" s="202"/>
      <c r="I78" s="202"/>
      <c r="J78" s="202"/>
      <c r="K78" s="202"/>
      <c r="L78" s="202"/>
      <c r="M78" s="202">
        <v>1</v>
      </c>
      <c r="N78" s="202">
        <v>1</v>
      </c>
      <c r="O78" s="292">
        <v>1</v>
      </c>
      <c r="P78" s="202">
        <v>1</v>
      </c>
      <c r="Q78" s="202">
        <v>1</v>
      </c>
      <c r="R78" s="202">
        <v>1</v>
      </c>
      <c r="S78" s="202">
        <v>1</v>
      </c>
      <c r="T78" s="202">
        <v>1</v>
      </c>
      <c r="U78" s="202">
        <v>1</v>
      </c>
      <c r="V78" s="202">
        <v>1</v>
      </c>
      <c r="W78" s="202">
        <v>1</v>
      </c>
      <c r="X78" s="202"/>
      <c r="Y78" s="202"/>
      <c r="Z78" s="202"/>
      <c r="AA78" s="202"/>
      <c r="AB78" s="202"/>
      <c r="AC78" s="202"/>
      <c r="AD78" s="202"/>
      <c r="AE78" s="41">
        <f t="shared" si="14"/>
        <v>11</v>
      </c>
      <c r="AF78" s="116" t="s">
        <v>192</v>
      </c>
      <c r="AG78" s="546" t="s">
        <v>479</v>
      </c>
      <c r="AH78" s="542"/>
      <c r="AI78" s="189" t="s">
        <v>444</v>
      </c>
    </row>
    <row r="79" spans="1:35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5"/>
        <v>10</v>
      </c>
      <c r="G79" s="202"/>
      <c r="H79" s="202"/>
      <c r="I79" s="202"/>
      <c r="J79" s="202"/>
      <c r="K79" s="202"/>
      <c r="L79" s="202"/>
      <c r="M79" s="202">
        <v>1</v>
      </c>
      <c r="N79" s="202">
        <v>1</v>
      </c>
      <c r="O79" s="202">
        <v>1</v>
      </c>
      <c r="P79" s="202">
        <v>1</v>
      </c>
      <c r="Q79" s="202">
        <v>1</v>
      </c>
      <c r="R79" s="202"/>
      <c r="S79" s="202">
        <v>1</v>
      </c>
      <c r="T79" s="202">
        <v>1</v>
      </c>
      <c r="U79" s="202">
        <v>1</v>
      </c>
      <c r="V79" s="202">
        <v>1</v>
      </c>
      <c r="W79" s="202">
        <v>1</v>
      </c>
      <c r="X79" s="202"/>
      <c r="Y79" s="202"/>
      <c r="Z79" s="202"/>
      <c r="AA79" s="202"/>
      <c r="AB79" s="202"/>
      <c r="AC79" s="202"/>
      <c r="AD79" s="202"/>
      <c r="AE79" s="41">
        <f t="shared" si="14"/>
        <v>10</v>
      </c>
      <c r="AF79" s="116" t="s">
        <v>295</v>
      </c>
      <c r="AG79" s="546" t="s">
        <v>479</v>
      </c>
      <c r="AH79" s="542"/>
      <c r="AI79" s="189" t="s">
        <v>444</v>
      </c>
    </row>
    <row r="80" spans="1:35" ht="19.5" customHeight="1">
      <c r="A80" s="38" t="s">
        <v>145</v>
      </c>
      <c r="B80" s="38" t="s">
        <v>76</v>
      </c>
      <c r="C80" s="38">
        <v>997829699</v>
      </c>
      <c r="D80" s="39">
        <v>3</v>
      </c>
      <c r="E80" s="40" t="s">
        <v>77</v>
      </c>
      <c r="F80" s="41">
        <f t="shared" si="15"/>
        <v>6</v>
      </c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>
        <v>1</v>
      </c>
      <c r="X80" s="202">
        <v>1</v>
      </c>
      <c r="Y80" s="202">
        <v>1</v>
      </c>
      <c r="Z80" s="202">
        <v>1</v>
      </c>
      <c r="AA80" s="202">
        <v>1</v>
      </c>
      <c r="AB80" s="202">
        <v>1</v>
      </c>
      <c r="AC80" s="202"/>
      <c r="AD80" s="202"/>
      <c r="AE80" s="41">
        <f t="shared" si="14"/>
        <v>6</v>
      </c>
      <c r="AF80" s="116" t="s">
        <v>304</v>
      </c>
      <c r="AG80" s="546" t="s">
        <v>479</v>
      </c>
      <c r="AH80" s="542"/>
      <c r="AI80" s="189" t="s">
        <v>444</v>
      </c>
    </row>
    <row r="81" spans="1:35" ht="14.25" customHeight="1">
      <c r="A81" s="38" t="s">
        <v>145</v>
      </c>
      <c r="B81" s="38" t="s">
        <v>152</v>
      </c>
      <c r="C81" s="38"/>
      <c r="D81" s="99">
        <v>4</v>
      </c>
      <c r="E81" s="40" t="s">
        <v>153</v>
      </c>
      <c r="F81" s="41">
        <f t="shared" si="15"/>
        <v>10</v>
      </c>
      <c r="G81" s="202"/>
      <c r="H81" s="202"/>
      <c r="I81" s="202"/>
      <c r="J81" s="202"/>
      <c r="K81" s="202"/>
      <c r="L81" s="202"/>
      <c r="M81" s="202"/>
      <c r="N81" s="202">
        <v>1</v>
      </c>
      <c r="O81" s="202">
        <v>1</v>
      </c>
      <c r="P81" s="202">
        <v>1</v>
      </c>
      <c r="Q81" s="202">
        <v>1</v>
      </c>
      <c r="R81" s="202">
        <v>1</v>
      </c>
      <c r="S81" s="202">
        <v>1</v>
      </c>
      <c r="T81" s="202">
        <v>1</v>
      </c>
      <c r="U81" s="202">
        <v>1</v>
      </c>
      <c r="V81" s="202">
        <v>1</v>
      </c>
      <c r="W81" s="202">
        <v>1</v>
      </c>
      <c r="X81" s="202"/>
      <c r="Y81" s="202"/>
      <c r="Z81" s="202"/>
      <c r="AA81" s="202"/>
      <c r="AB81" s="202"/>
      <c r="AC81" s="202"/>
      <c r="AD81" s="202"/>
      <c r="AE81" s="41">
        <f t="shared" si="14"/>
        <v>10</v>
      </c>
      <c r="AF81" s="116" t="s">
        <v>61</v>
      </c>
      <c r="AG81" s="546" t="s">
        <v>479</v>
      </c>
      <c r="AH81" s="542"/>
      <c r="AI81" s="189" t="s">
        <v>444</v>
      </c>
    </row>
    <row r="82" spans="1:35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5"/>
        <v>6</v>
      </c>
      <c r="G82" s="202"/>
      <c r="H82" s="202"/>
      <c r="I82" s="202"/>
      <c r="J82" s="202"/>
      <c r="K82" s="202"/>
      <c r="L82" s="202"/>
      <c r="M82" s="202"/>
      <c r="N82" s="202"/>
      <c r="O82" s="202">
        <v>1</v>
      </c>
      <c r="P82" s="202">
        <v>1</v>
      </c>
      <c r="Q82" s="202">
        <v>1</v>
      </c>
      <c r="R82" s="202">
        <v>1</v>
      </c>
      <c r="S82" s="202">
        <v>1</v>
      </c>
      <c r="T82" s="202">
        <v>1</v>
      </c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41">
        <f t="shared" si="14"/>
        <v>6</v>
      </c>
      <c r="AF82" s="116" t="s">
        <v>305</v>
      </c>
      <c r="AG82" s="546" t="s">
        <v>479</v>
      </c>
      <c r="AH82" s="542"/>
      <c r="AI82" s="189" t="s">
        <v>444</v>
      </c>
    </row>
    <row r="83" spans="1:35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5"/>
        <v>9</v>
      </c>
      <c r="G83" s="202"/>
      <c r="H83" s="202"/>
      <c r="I83" s="202"/>
      <c r="J83" s="202"/>
      <c r="K83" s="202"/>
      <c r="L83" s="202"/>
      <c r="M83" s="202">
        <v>1</v>
      </c>
      <c r="N83" s="202">
        <v>1</v>
      </c>
      <c r="O83" s="202">
        <v>1</v>
      </c>
      <c r="P83" s="202">
        <v>1</v>
      </c>
      <c r="Q83" s="202">
        <v>1</v>
      </c>
      <c r="R83" s="202">
        <v>1</v>
      </c>
      <c r="S83" s="202"/>
      <c r="T83" s="202">
        <v>1</v>
      </c>
      <c r="U83" s="202">
        <v>1</v>
      </c>
      <c r="V83" s="202">
        <v>1</v>
      </c>
      <c r="W83" s="202"/>
      <c r="X83" s="202"/>
      <c r="Y83" s="202"/>
      <c r="Z83" s="202"/>
      <c r="AA83" s="202"/>
      <c r="AB83" s="202"/>
      <c r="AC83" s="202"/>
      <c r="AD83" s="202"/>
      <c r="AE83" s="41">
        <f t="shared" si="14"/>
        <v>9</v>
      </c>
      <c r="AF83" s="116" t="s">
        <v>224</v>
      </c>
      <c r="AG83" s="546" t="s">
        <v>479</v>
      </c>
      <c r="AH83" s="542"/>
      <c r="AI83" s="189" t="s">
        <v>444</v>
      </c>
    </row>
    <row r="84" spans="1:35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5"/>
        <v>10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>
        <v>1</v>
      </c>
      <c r="AB84" s="202">
        <v>1</v>
      </c>
      <c r="AC84" s="202">
        <v>1</v>
      </c>
      <c r="AD84" s="202">
        <v>1</v>
      </c>
      <c r="AE84" s="41">
        <f t="shared" si="14"/>
        <v>10</v>
      </c>
      <c r="AF84" s="116" t="s">
        <v>556</v>
      </c>
      <c r="AG84" s="546" t="s">
        <v>479</v>
      </c>
      <c r="AH84" s="542"/>
      <c r="AI84" s="189" t="s">
        <v>444</v>
      </c>
    </row>
    <row r="85" spans="1:35" ht="14.25" customHeight="1">
      <c r="A85" s="38" t="s">
        <v>145</v>
      </c>
      <c r="B85" s="38" t="s">
        <v>165</v>
      </c>
      <c r="C85" s="38">
        <v>992994680</v>
      </c>
      <c r="D85" s="62">
        <v>8</v>
      </c>
      <c r="E85" s="40" t="s">
        <v>166</v>
      </c>
      <c r="F85" s="41">
        <f t="shared" si="15"/>
        <v>8</v>
      </c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>
        <v>1</v>
      </c>
      <c r="U85" s="202">
        <v>1</v>
      </c>
      <c r="V85" s="202"/>
      <c r="W85" s="202">
        <v>1</v>
      </c>
      <c r="X85" s="202">
        <v>1</v>
      </c>
      <c r="Y85" s="202">
        <v>1</v>
      </c>
      <c r="Z85" s="202">
        <v>1</v>
      </c>
      <c r="AA85" s="202">
        <v>1</v>
      </c>
      <c r="AB85" s="202">
        <v>1</v>
      </c>
      <c r="AC85" s="202"/>
      <c r="AD85" s="202"/>
      <c r="AE85" s="41">
        <f t="shared" si="14"/>
        <v>8</v>
      </c>
      <c r="AF85" s="116" t="s">
        <v>562</v>
      </c>
      <c r="AG85" s="546" t="s">
        <v>479</v>
      </c>
      <c r="AH85" s="542"/>
      <c r="AI85" s="189" t="s">
        <v>444</v>
      </c>
    </row>
    <row r="86" spans="1:35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5"/>
        <v>8</v>
      </c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>
        <v>1</v>
      </c>
      <c r="S86" s="202">
        <v>1</v>
      </c>
      <c r="T86" s="202">
        <v>1</v>
      </c>
      <c r="U86" s="202">
        <v>1</v>
      </c>
      <c r="V86" s="202">
        <v>1</v>
      </c>
      <c r="W86" s="202"/>
      <c r="X86" s="202">
        <v>1</v>
      </c>
      <c r="Y86" s="202">
        <v>1</v>
      </c>
      <c r="Z86" s="202">
        <v>1</v>
      </c>
      <c r="AA86" s="202"/>
      <c r="AB86" s="202"/>
      <c r="AC86" s="202"/>
      <c r="AD86" s="202"/>
      <c r="AE86" s="41">
        <f t="shared" si="14"/>
        <v>8</v>
      </c>
      <c r="AF86" s="116" t="s">
        <v>750</v>
      </c>
      <c r="AG86" s="546" t="s">
        <v>479</v>
      </c>
      <c r="AH86" s="542"/>
      <c r="AI86" s="189" t="s">
        <v>444</v>
      </c>
    </row>
    <row r="87" spans="1:35" ht="14.25" customHeight="1">
      <c r="A87" s="98" t="s">
        <v>145</v>
      </c>
      <c r="B87" s="98" t="s">
        <v>451</v>
      </c>
      <c r="C87" s="98"/>
      <c r="D87" s="99">
        <v>10</v>
      </c>
      <c r="E87" s="40" t="s">
        <v>177</v>
      </c>
      <c r="F87" s="41">
        <f t="shared" si="15"/>
        <v>10</v>
      </c>
      <c r="G87" s="202"/>
      <c r="H87" s="202"/>
      <c r="I87" s="202"/>
      <c r="J87" s="202"/>
      <c r="K87" s="202"/>
      <c r="L87" s="202"/>
      <c r="M87" s="202"/>
      <c r="N87" s="202"/>
      <c r="O87" s="202">
        <v>1</v>
      </c>
      <c r="P87" s="202">
        <v>1</v>
      </c>
      <c r="Q87" s="202">
        <v>1</v>
      </c>
      <c r="R87" s="202">
        <v>1</v>
      </c>
      <c r="S87" s="202">
        <v>1</v>
      </c>
      <c r="T87" s="202">
        <v>1</v>
      </c>
      <c r="U87" s="346">
        <v>1</v>
      </c>
      <c r="V87" s="346">
        <v>1</v>
      </c>
      <c r="W87" s="202"/>
      <c r="X87" s="202">
        <v>1</v>
      </c>
      <c r="Y87" s="202">
        <v>1</v>
      </c>
      <c r="Z87" s="202"/>
      <c r="AA87" s="202"/>
      <c r="AB87" s="202"/>
      <c r="AC87" s="202"/>
      <c r="AD87" s="202"/>
      <c r="AE87" s="41">
        <f t="shared" si="14"/>
        <v>10</v>
      </c>
      <c r="AF87" s="116" t="s">
        <v>731</v>
      </c>
      <c r="AG87" s="546" t="s">
        <v>479</v>
      </c>
      <c r="AH87" s="542"/>
      <c r="AI87" s="189" t="s">
        <v>444</v>
      </c>
    </row>
    <row r="88" spans="1:35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5"/>
        <v>11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>
        <v>1</v>
      </c>
      <c r="AA88" s="202">
        <v>1</v>
      </c>
      <c r="AB88" s="202">
        <v>1</v>
      </c>
      <c r="AC88" s="202">
        <v>1</v>
      </c>
      <c r="AD88" s="202">
        <v>1</v>
      </c>
      <c r="AE88" s="41">
        <f t="shared" si="14"/>
        <v>11</v>
      </c>
      <c r="AF88" s="116" t="s">
        <v>432</v>
      </c>
      <c r="AG88" s="546" t="s">
        <v>479</v>
      </c>
      <c r="AH88" s="542"/>
      <c r="AI88" s="189" t="s">
        <v>444</v>
      </c>
    </row>
    <row r="89" spans="1:35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5"/>
        <v>9</v>
      </c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>
        <v>1</v>
      </c>
      <c r="V89" s="202">
        <v>1</v>
      </c>
      <c r="W89" s="202">
        <v>1</v>
      </c>
      <c r="X89" s="202">
        <v>1</v>
      </c>
      <c r="Y89" s="202">
        <v>1</v>
      </c>
      <c r="Z89" s="202">
        <v>1</v>
      </c>
      <c r="AA89" s="202">
        <v>1</v>
      </c>
      <c r="AB89" s="202">
        <v>1</v>
      </c>
      <c r="AC89" s="202">
        <v>1</v>
      </c>
      <c r="AD89" s="202"/>
      <c r="AE89" s="41">
        <f t="shared" si="14"/>
        <v>9</v>
      </c>
      <c r="AF89" s="116" t="s">
        <v>81</v>
      </c>
      <c r="AG89" s="546" t="s">
        <v>479</v>
      </c>
      <c r="AH89" s="542"/>
      <c r="AI89" s="189" t="s">
        <v>444</v>
      </c>
    </row>
    <row r="90" spans="1:35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5"/>
        <v>8</v>
      </c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>
        <v>1</v>
      </c>
      <c r="R90" s="202">
        <v>1</v>
      </c>
      <c r="S90" s="202">
        <v>1</v>
      </c>
      <c r="T90" s="202"/>
      <c r="U90" s="202">
        <v>1</v>
      </c>
      <c r="V90" s="202">
        <v>1</v>
      </c>
      <c r="W90" s="202">
        <v>1</v>
      </c>
      <c r="X90" s="202">
        <v>1</v>
      </c>
      <c r="Y90" s="202">
        <v>1</v>
      </c>
      <c r="Z90" s="202"/>
      <c r="AA90" s="202"/>
      <c r="AB90" s="202"/>
      <c r="AC90" s="202"/>
      <c r="AD90" s="202"/>
      <c r="AE90" s="41">
        <f t="shared" si="14"/>
        <v>8</v>
      </c>
      <c r="AF90" s="116" t="s">
        <v>245</v>
      </c>
      <c r="AG90" s="546" t="s">
        <v>479</v>
      </c>
      <c r="AH90" s="542"/>
      <c r="AI90" s="189" t="s">
        <v>444</v>
      </c>
    </row>
    <row r="91" spans="1:35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5"/>
        <v>10</v>
      </c>
      <c r="G91" s="202"/>
      <c r="H91" s="202"/>
      <c r="I91" s="202"/>
      <c r="J91" s="202"/>
      <c r="K91" s="202"/>
      <c r="L91" s="202"/>
      <c r="M91" s="202"/>
      <c r="N91" s="202"/>
      <c r="O91" s="292">
        <v>1</v>
      </c>
      <c r="P91" s="202">
        <v>1</v>
      </c>
      <c r="Q91" s="202">
        <v>1</v>
      </c>
      <c r="R91" s="202">
        <v>1</v>
      </c>
      <c r="S91" s="202"/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>
        <v>1</v>
      </c>
      <c r="Z91" s="202"/>
      <c r="AA91" s="202"/>
      <c r="AB91" s="202"/>
      <c r="AC91" s="202"/>
      <c r="AD91" s="202"/>
      <c r="AE91" s="41">
        <f t="shared" si="14"/>
        <v>10</v>
      </c>
      <c r="AF91" s="116" t="s">
        <v>553</v>
      </c>
      <c r="AG91" s="546" t="s">
        <v>479</v>
      </c>
      <c r="AH91" s="542"/>
      <c r="AI91" s="189" t="s">
        <v>444</v>
      </c>
    </row>
    <row r="92" spans="1:35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5"/>
        <v>8</v>
      </c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>
        <v>1</v>
      </c>
      <c r="V92" s="202">
        <v>1</v>
      </c>
      <c r="W92" s="202">
        <v>1</v>
      </c>
      <c r="X92" s="202">
        <v>1</v>
      </c>
      <c r="Y92" s="202">
        <v>1</v>
      </c>
      <c r="Z92" s="202">
        <v>1</v>
      </c>
      <c r="AA92" s="202">
        <v>1</v>
      </c>
      <c r="AB92" s="202">
        <v>1</v>
      </c>
      <c r="AC92" s="202"/>
      <c r="AD92" s="202"/>
      <c r="AE92" s="41">
        <f t="shared" si="14"/>
        <v>8</v>
      </c>
      <c r="AF92" s="116" t="s">
        <v>78</v>
      </c>
      <c r="AG92" s="546" t="s">
        <v>479</v>
      </c>
      <c r="AH92" s="542"/>
      <c r="AI92" s="189" t="s">
        <v>444</v>
      </c>
    </row>
    <row r="93" spans="1:35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5"/>
        <v>9</v>
      </c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>
        <v>1</v>
      </c>
      <c r="V93" s="202">
        <v>1</v>
      </c>
      <c r="W93" s="202">
        <v>1</v>
      </c>
      <c r="X93" s="202">
        <v>1</v>
      </c>
      <c r="Y93" s="202">
        <v>1</v>
      </c>
      <c r="Z93" s="202">
        <v>1</v>
      </c>
      <c r="AA93" s="202">
        <v>1</v>
      </c>
      <c r="AB93" s="202">
        <v>1</v>
      </c>
      <c r="AC93" s="202">
        <v>1</v>
      </c>
      <c r="AD93" s="202"/>
      <c r="AE93" s="41">
        <f t="shared" si="14"/>
        <v>9</v>
      </c>
      <c r="AF93" s="116" t="s">
        <v>81</v>
      </c>
      <c r="AG93" s="546" t="s">
        <v>479</v>
      </c>
      <c r="AH93" s="542"/>
      <c r="AI93" s="189" t="s">
        <v>444</v>
      </c>
    </row>
    <row r="94" spans="1:35" ht="14.25" customHeight="1">
      <c r="A94" s="38" t="s">
        <v>145</v>
      </c>
      <c r="B94" s="38" t="s">
        <v>472</v>
      </c>
      <c r="C94" s="38"/>
      <c r="D94" s="39">
        <v>17</v>
      </c>
      <c r="E94" s="40" t="s">
        <v>184</v>
      </c>
      <c r="F94" s="41">
        <f t="shared" si="15"/>
        <v>10</v>
      </c>
      <c r="G94" s="202"/>
      <c r="H94" s="202"/>
      <c r="I94" s="202"/>
      <c r="J94" s="202"/>
      <c r="K94" s="202"/>
      <c r="L94" s="202"/>
      <c r="M94" s="202">
        <v>1</v>
      </c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202"/>
      <c r="X94" s="202"/>
      <c r="Y94" s="202"/>
      <c r="Z94" s="202"/>
      <c r="AA94" s="202"/>
      <c r="AB94" s="202"/>
      <c r="AC94" s="202"/>
      <c r="AD94" s="202"/>
      <c r="AE94" s="41">
        <f t="shared" si="14"/>
        <v>10</v>
      </c>
      <c r="AF94" s="116" t="s">
        <v>151</v>
      </c>
      <c r="AG94" s="546" t="s">
        <v>479</v>
      </c>
      <c r="AH94" s="542"/>
      <c r="AI94" s="189" t="s">
        <v>444</v>
      </c>
    </row>
    <row r="95" spans="1:35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  <c r="AH95" s="3"/>
      <c r="AI95" s="3"/>
    </row>
    <row r="96" spans="1:3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</sheetData>
  <customSheetViews>
    <customSheetView guid="{49BA5E93-E473-4F11-BE7E-FD55CB28D969}" filter="1" showAutoFilter="1">
      <pageMargins left="0.7" right="0.7" top="0.75" bottom="0.75" header="0.3" footer="0.3"/>
      <autoFilter ref="G5:AD96" xr:uid="{D5F7B258-12E8-40C9-8373-06BF1CECBDF6}">
        <filterColumn colId="15">
          <filters>
            <filter val="-"/>
            <filter val="1"/>
            <filter val="10"/>
            <filter val="11"/>
            <filter val="12"/>
            <filter val="19"/>
            <filter val="C"/>
            <filter val="DTH"/>
            <filter val="MONITOREOS"/>
            <filter val="SEGUIMIENTO TRANSFERENCIAS"/>
            <filter val="VIP"/>
          </filters>
        </filterColumn>
      </autoFilter>
    </customSheetView>
    <customSheetView guid="{833D6734-F5E1-4449-B5A1-8C3A51A61651}" filter="1" showAutoFilter="1">
      <pageMargins left="0.7" right="0.7" top="0.75" bottom="0.75" header="0.3" footer="0.3"/>
      <autoFilter ref="A7:AI96" xr:uid="{57A98F0E-4E6F-4090-856C-9380C4DF9798}">
        <filterColumn colId="26">
          <filters>
            <filter val="-"/>
            <filter val="1"/>
            <filter val="7"/>
            <filter val="MONITOREOS"/>
            <filter val="VIP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I96" xr:uid="{6BB19BBC-DC44-43C9-88EE-D0E9B2D94E7A}"/>
    </customSheetView>
  </customSheetViews>
  <mergeCells count="80">
    <mergeCell ref="E55:F55"/>
    <mergeCell ref="AG59:AH59"/>
    <mergeCell ref="AG60:AH60"/>
    <mergeCell ref="E74:F74"/>
    <mergeCell ref="V33:AC33"/>
    <mergeCell ref="AG46:AH46"/>
    <mergeCell ref="N47:U47"/>
    <mergeCell ref="V48:AC48"/>
    <mergeCell ref="O49:Z49"/>
    <mergeCell ref="AG49:AH49"/>
    <mergeCell ref="AG67:AH67"/>
    <mergeCell ref="AG68:AH68"/>
    <mergeCell ref="AG42:AH42"/>
    <mergeCell ref="AG43:AH43"/>
    <mergeCell ref="AG44:AH44"/>
    <mergeCell ref="AG45:AH45"/>
    <mergeCell ref="AG28:AH28"/>
    <mergeCell ref="AG29:AH29"/>
    <mergeCell ref="V30:AC30"/>
    <mergeCell ref="AG30:AH30"/>
    <mergeCell ref="V31:AC31"/>
    <mergeCell ref="AG31:AH31"/>
    <mergeCell ref="AG26:AH26"/>
    <mergeCell ref="O27:Z27"/>
    <mergeCell ref="AG27:AH27"/>
    <mergeCell ref="AG18:AH18"/>
    <mergeCell ref="AG19:AH19"/>
    <mergeCell ref="AG20:AH20"/>
    <mergeCell ref="AG21:AH21"/>
    <mergeCell ref="AG22:AH22"/>
    <mergeCell ref="AG23:AH23"/>
    <mergeCell ref="AG24:AH24"/>
    <mergeCell ref="AG14:AH14"/>
    <mergeCell ref="AG15:AH15"/>
    <mergeCell ref="AG16:AH16"/>
    <mergeCell ref="P17:Z17"/>
    <mergeCell ref="AG25:AH25"/>
    <mergeCell ref="AG8:AH8"/>
    <mergeCell ref="AG9:AH9"/>
    <mergeCell ref="AG10:AH10"/>
    <mergeCell ref="AG12:AH12"/>
    <mergeCell ref="AG13:AH13"/>
    <mergeCell ref="A1:B1"/>
    <mergeCell ref="D3:AE3"/>
    <mergeCell ref="E4:F4"/>
    <mergeCell ref="E5:F5"/>
    <mergeCell ref="AG7:AH7"/>
    <mergeCell ref="AG93:AH93"/>
    <mergeCell ref="AG94:AH94"/>
    <mergeCell ref="AG84:AH84"/>
    <mergeCell ref="AG85:AH85"/>
    <mergeCell ref="AG86:AH86"/>
    <mergeCell ref="AG87:AH87"/>
    <mergeCell ref="AG88:AH88"/>
    <mergeCell ref="AG89:AH89"/>
    <mergeCell ref="AG90:AH90"/>
    <mergeCell ref="AG81:AH81"/>
    <mergeCell ref="AG82:AH82"/>
    <mergeCell ref="AG83:AH83"/>
    <mergeCell ref="AG91:AH91"/>
    <mergeCell ref="AG92:AH92"/>
    <mergeCell ref="AG78:AH78"/>
    <mergeCell ref="AG79:AH79"/>
    <mergeCell ref="AG80:AH80"/>
    <mergeCell ref="AG62:AH62"/>
    <mergeCell ref="AG63:AH63"/>
    <mergeCell ref="AG64:AH64"/>
    <mergeCell ref="AG65:AH65"/>
    <mergeCell ref="AG66:AH66"/>
    <mergeCell ref="AG61:AH61"/>
    <mergeCell ref="AG37:AH37"/>
    <mergeCell ref="AG38:AH38"/>
    <mergeCell ref="AG39:AH39"/>
    <mergeCell ref="AG40:AH40"/>
    <mergeCell ref="AG41:AH41"/>
    <mergeCell ref="AG32:AH32"/>
    <mergeCell ref="AG33:AH33"/>
    <mergeCell ref="AG34:AH34"/>
    <mergeCell ref="AG35:AH35"/>
    <mergeCell ref="AG36:AH36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I96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6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39.85546875" customWidth="1"/>
    <col min="33" max="33" width="14.5703125" customWidth="1"/>
    <col min="34" max="34" width="16.7109375" customWidth="1"/>
    <col min="35" max="35" width="27.7109375" customWidth="1"/>
  </cols>
  <sheetData>
    <row r="1" spans="1:35" ht="14.25" customHeight="1">
      <c r="A1" s="576" t="s">
        <v>0</v>
      </c>
      <c r="B1" s="57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7.25">
      <c r="A3" s="6" t="s">
        <v>3</v>
      </c>
      <c r="B3" s="7" t="s">
        <v>4</v>
      </c>
      <c r="C3" s="2"/>
      <c r="D3" s="565" t="s">
        <v>268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>
        <v>31</v>
      </c>
      <c r="AG3" s="3"/>
      <c r="AH3" s="3"/>
      <c r="AI3" s="3">
        <f>AE4/10</f>
        <v>30</v>
      </c>
    </row>
    <row r="4" spans="1:35" ht="16.5" customHeight="1">
      <c r="A4" s="8" t="s">
        <v>6</v>
      </c>
      <c r="B4" s="9" t="s">
        <v>7</v>
      </c>
      <c r="C4" s="2"/>
      <c r="D4" s="10"/>
      <c r="E4" s="568" t="s">
        <v>8</v>
      </c>
      <c r="F4" s="548"/>
      <c r="G4" s="204">
        <v>5</v>
      </c>
      <c r="H4" s="204">
        <v>3</v>
      </c>
      <c r="I4" s="204">
        <v>3</v>
      </c>
      <c r="J4" s="204">
        <v>3</v>
      </c>
      <c r="K4" s="204">
        <v>3</v>
      </c>
      <c r="L4" s="204">
        <v>3</v>
      </c>
      <c r="M4" s="204">
        <v>12</v>
      </c>
      <c r="N4" s="204">
        <v>11</v>
      </c>
      <c r="O4" s="204">
        <v>20</v>
      </c>
      <c r="P4" s="204">
        <v>16</v>
      </c>
      <c r="Q4" s="204">
        <v>20</v>
      </c>
      <c r="R4" s="204">
        <v>18</v>
      </c>
      <c r="S4" s="204">
        <v>18</v>
      </c>
      <c r="T4" s="204">
        <v>18</v>
      </c>
      <c r="U4" s="204">
        <v>19</v>
      </c>
      <c r="V4" s="204">
        <v>19</v>
      </c>
      <c r="W4" s="204">
        <v>17</v>
      </c>
      <c r="X4" s="204">
        <v>14</v>
      </c>
      <c r="Y4" s="204">
        <v>13</v>
      </c>
      <c r="Z4" s="204">
        <v>22</v>
      </c>
      <c r="AA4" s="204">
        <v>18</v>
      </c>
      <c r="AB4" s="204">
        <v>14</v>
      </c>
      <c r="AC4" s="204">
        <v>7</v>
      </c>
      <c r="AD4" s="204">
        <v>4</v>
      </c>
      <c r="AE4" s="18">
        <f>SUM(G4:AD4)</f>
        <v>300</v>
      </c>
      <c r="AF4" s="3"/>
      <c r="AG4" s="3"/>
      <c r="AH4" s="3"/>
      <c r="AI4" s="3"/>
    </row>
    <row r="5" spans="1:35" ht="62.25">
      <c r="A5" s="3"/>
      <c r="B5" s="2"/>
      <c r="C5" s="2"/>
      <c r="D5" s="19"/>
      <c r="E5" s="569">
        <v>30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</row>
    <row r="6" spans="1:35" ht="15.75" customHeigh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05">
        <f t="shared" si="0"/>
        <v>0</v>
      </c>
      <c r="N6" s="205">
        <f t="shared" si="0"/>
        <v>0</v>
      </c>
      <c r="O6" s="84">
        <f t="shared" si="0"/>
        <v>-4</v>
      </c>
      <c r="P6" s="28">
        <f t="shared" si="0"/>
        <v>1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-10</v>
      </c>
      <c r="AA6" s="28">
        <f t="shared" si="0"/>
        <v>-6</v>
      </c>
      <c r="AB6" s="28">
        <f t="shared" si="0"/>
        <v>-2</v>
      </c>
      <c r="AC6" s="28">
        <f t="shared" si="0"/>
        <v>0</v>
      </c>
      <c r="AD6" s="28">
        <f t="shared" si="0"/>
        <v>0</v>
      </c>
      <c r="AE6" s="29">
        <f t="shared" ref="AE6:AE10" si="1">SUM(G6:AD6)</f>
        <v>-21</v>
      </c>
      <c r="AG6" s="24"/>
      <c r="AH6" s="24"/>
      <c r="AI6" s="24"/>
    </row>
    <row r="7" spans="1:35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5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12</v>
      </c>
      <c r="N7" s="172">
        <f t="shared" si="2"/>
        <v>11</v>
      </c>
      <c r="O7" s="172">
        <f t="shared" si="2"/>
        <v>16</v>
      </c>
      <c r="P7" s="172">
        <f t="shared" si="2"/>
        <v>17</v>
      </c>
      <c r="Q7" s="172">
        <f t="shared" si="2"/>
        <v>20</v>
      </c>
      <c r="R7" s="172">
        <f t="shared" si="2"/>
        <v>18</v>
      </c>
      <c r="S7" s="172">
        <f t="shared" si="2"/>
        <v>18</v>
      </c>
      <c r="T7" s="172">
        <f t="shared" si="2"/>
        <v>18</v>
      </c>
      <c r="U7" s="172">
        <f t="shared" si="2"/>
        <v>19</v>
      </c>
      <c r="V7" s="172">
        <f t="shared" si="2"/>
        <v>19</v>
      </c>
      <c r="W7" s="172">
        <f t="shared" si="2"/>
        <v>17</v>
      </c>
      <c r="X7" s="172">
        <f t="shared" si="2"/>
        <v>14</v>
      </c>
      <c r="Y7" s="172">
        <f t="shared" si="2"/>
        <v>13</v>
      </c>
      <c r="Z7" s="172">
        <f t="shared" si="2"/>
        <v>12</v>
      </c>
      <c r="AA7" s="172">
        <f t="shared" si="2"/>
        <v>12</v>
      </c>
      <c r="AB7" s="172">
        <f t="shared" si="2"/>
        <v>12</v>
      </c>
      <c r="AC7" s="172">
        <f t="shared" si="2"/>
        <v>7</v>
      </c>
      <c r="AD7" s="172">
        <f t="shared" si="2"/>
        <v>4</v>
      </c>
      <c r="AE7" s="168">
        <f t="shared" si="1"/>
        <v>279</v>
      </c>
      <c r="AF7" s="36" t="s">
        <v>39</v>
      </c>
      <c r="AG7" s="571" t="s">
        <v>440</v>
      </c>
      <c r="AH7" s="572"/>
      <c r="AI7" s="37" t="s">
        <v>40</v>
      </c>
    </row>
    <row r="8" spans="1:35" ht="14.25" customHeight="1">
      <c r="A8" s="38" t="s">
        <v>41</v>
      </c>
      <c r="B8" s="38" t="s">
        <v>52</v>
      </c>
      <c r="C8" s="38">
        <v>984098910</v>
      </c>
      <c r="D8" s="39">
        <v>2</v>
      </c>
      <c r="E8" s="175" t="s">
        <v>53</v>
      </c>
      <c r="F8" s="41">
        <f t="shared" ref="F8:F16" si="3">SUM(G8:AD8)</f>
        <v>13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>
        <v>1</v>
      </c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13</v>
      </c>
      <c r="AF8" s="116" t="s">
        <v>280</v>
      </c>
      <c r="AG8" s="550" t="s">
        <v>41</v>
      </c>
      <c r="AH8" s="542"/>
      <c r="AI8" s="189" t="s">
        <v>444</v>
      </c>
    </row>
    <row r="9" spans="1:35" ht="14.25" customHeight="1">
      <c r="A9" s="76" t="s">
        <v>41</v>
      </c>
      <c r="B9" s="76" t="s">
        <v>55</v>
      </c>
      <c r="C9" s="76">
        <v>987983128</v>
      </c>
      <c r="D9" s="86">
        <v>3</v>
      </c>
      <c r="E9" s="206" t="s">
        <v>56</v>
      </c>
      <c r="F9" s="41">
        <f t="shared" si="3"/>
        <v>11</v>
      </c>
      <c r="G9" s="176"/>
      <c r="H9" s="176"/>
      <c r="I9" s="176"/>
      <c r="J9" s="176"/>
      <c r="K9" s="176"/>
      <c r="L9" s="176"/>
      <c r="M9" s="176">
        <v>1</v>
      </c>
      <c r="N9" s="176">
        <v>1</v>
      </c>
      <c r="O9" s="176">
        <v>1</v>
      </c>
      <c r="P9" s="176">
        <v>1</v>
      </c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/>
      <c r="Y9" s="176"/>
      <c r="Z9" s="176"/>
      <c r="AA9" s="176"/>
      <c r="AB9" s="176"/>
      <c r="AC9" s="176"/>
      <c r="AD9" s="176"/>
      <c r="AE9" s="41">
        <f t="shared" si="1"/>
        <v>11</v>
      </c>
      <c r="AF9" s="116" t="s">
        <v>192</v>
      </c>
      <c r="AG9" s="550" t="s">
        <v>41</v>
      </c>
      <c r="AH9" s="542"/>
      <c r="AI9" s="189" t="s">
        <v>444</v>
      </c>
    </row>
    <row r="10" spans="1:35" ht="14.25" customHeight="1">
      <c r="A10" s="38" t="s">
        <v>41</v>
      </c>
      <c r="B10" s="2" t="s">
        <v>57</v>
      </c>
      <c r="C10" s="2"/>
      <c r="D10" s="86">
        <v>4</v>
      </c>
      <c r="E10" s="175" t="s">
        <v>58</v>
      </c>
      <c r="F10" s="41">
        <f t="shared" si="3"/>
        <v>12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>
        <v>1</v>
      </c>
      <c r="T10" s="176"/>
      <c r="U10" s="176">
        <v>1</v>
      </c>
      <c r="V10" s="176">
        <v>1</v>
      </c>
      <c r="W10" s="176">
        <v>1</v>
      </c>
      <c r="X10" s="176">
        <v>1</v>
      </c>
      <c r="Y10" s="176">
        <v>1</v>
      </c>
      <c r="Z10" s="176"/>
      <c r="AA10" s="176"/>
      <c r="AB10" s="176"/>
      <c r="AC10" s="176"/>
      <c r="AD10" s="176"/>
      <c r="AE10" s="41">
        <f t="shared" si="1"/>
        <v>12</v>
      </c>
      <c r="AF10" s="116" t="s">
        <v>323</v>
      </c>
      <c r="AG10" s="550" t="s">
        <v>41</v>
      </c>
      <c r="AH10" s="542"/>
      <c r="AI10" s="189" t="s">
        <v>444</v>
      </c>
    </row>
    <row r="11" spans="1:35" ht="14.25" customHeight="1">
      <c r="A11" s="98" t="s">
        <v>41</v>
      </c>
      <c r="B11" s="98" t="s">
        <v>146</v>
      </c>
      <c r="C11" s="98">
        <v>998223732</v>
      </c>
      <c r="D11" s="99">
        <v>5</v>
      </c>
      <c r="E11" s="206" t="s">
        <v>147</v>
      </c>
      <c r="F11" s="41">
        <f t="shared" si="3"/>
        <v>3</v>
      </c>
      <c r="G11" s="176"/>
      <c r="H11" s="176"/>
      <c r="I11" s="176"/>
      <c r="J11" s="176"/>
      <c r="K11" s="176"/>
      <c r="L11" s="176"/>
      <c r="M11" s="176"/>
      <c r="N11" s="176"/>
      <c r="O11" s="176">
        <v>1</v>
      </c>
      <c r="P11" s="176">
        <v>1</v>
      </c>
      <c r="Q11" s="176">
        <v>1</v>
      </c>
      <c r="R11" s="589" t="s">
        <v>717</v>
      </c>
      <c r="S11" s="555"/>
      <c r="T11" s="555"/>
      <c r="U11" s="555"/>
      <c r="V11" s="555"/>
      <c r="W11" s="555"/>
      <c r="X11" s="555"/>
      <c r="Y11" s="542"/>
      <c r="Z11" s="176"/>
      <c r="AA11" s="176"/>
      <c r="AB11" s="176"/>
      <c r="AC11" s="176"/>
      <c r="AD11" s="176"/>
      <c r="AE11" s="41">
        <v>11</v>
      </c>
      <c r="AF11" s="116" t="s">
        <v>119</v>
      </c>
      <c r="AG11" s="176" t="s">
        <v>41</v>
      </c>
      <c r="AH11" s="335" t="s">
        <v>717</v>
      </c>
      <c r="AI11" s="178" t="s">
        <v>444</v>
      </c>
    </row>
    <row r="12" spans="1:35" ht="14.25" customHeight="1">
      <c r="A12" s="38" t="s">
        <v>41</v>
      </c>
      <c r="B12" s="38" t="s">
        <v>59</v>
      </c>
      <c r="C12" s="38"/>
      <c r="D12" s="99">
        <v>6</v>
      </c>
      <c r="E12" s="207" t="s">
        <v>60</v>
      </c>
      <c r="F12" s="41">
        <f t="shared" si="3"/>
        <v>13</v>
      </c>
      <c r="G12" s="176"/>
      <c r="H12" s="176"/>
      <c r="I12" s="176"/>
      <c r="J12" s="176"/>
      <c r="K12" s="176"/>
      <c r="L12" s="176"/>
      <c r="M12" s="176"/>
      <c r="N12" s="176"/>
      <c r="O12" s="176">
        <v>1</v>
      </c>
      <c r="P12" s="176">
        <v>1</v>
      </c>
      <c r="Q12" s="176">
        <v>1</v>
      </c>
      <c r="R12" s="176">
        <v>1</v>
      </c>
      <c r="S12" s="176">
        <v>1</v>
      </c>
      <c r="T12" s="176">
        <v>1</v>
      </c>
      <c r="U12" s="176">
        <v>1</v>
      </c>
      <c r="V12" s="176">
        <v>1</v>
      </c>
      <c r="W12" s="176">
        <v>1</v>
      </c>
      <c r="X12" s="176"/>
      <c r="Y12" s="176">
        <v>1</v>
      </c>
      <c r="Z12" s="176">
        <v>1</v>
      </c>
      <c r="AA12" s="176">
        <v>1</v>
      </c>
      <c r="AB12" s="176">
        <v>1</v>
      </c>
      <c r="AC12" s="176"/>
      <c r="AD12" s="176"/>
      <c r="AE12" s="41">
        <f t="shared" ref="AE12:AE16" si="4">SUM(G12:AD12)</f>
        <v>13</v>
      </c>
      <c r="AF12" s="116" t="s">
        <v>339</v>
      </c>
      <c r="AG12" s="550" t="s">
        <v>41</v>
      </c>
      <c r="AH12" s="542"/>
      <c r="AI12" s="189" t="s">
        <v>444</v>
      </c>
    </row>
    <row r="13" spans="1:35" ht="14.25" customHeight="1">
      <c r="A13" s="38" t="s">
        <v>41</v>
      </c>
      <c r="B13" s="38" t="s">
        <v>62</v>
      </c>
      <c r="C13" s="38">
        <v>979044107</v>
      </c>
      <c r="D13" s="86">
        <v>7</v>
      </c>
      <c r="E13" s="175" t="s">
        <v>63</v>
      </c>
      <c r="F13" s="41">
        <f t="shared" si="3"/>
        <v>0</v>
      </c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41">
        <f t="shared" si="4"/>
        <v>0</v>
      </c>
      <c r="AF13" s="116" t="s">
        <v>652</v>
      </c>
      <c r="AG13" s="550" t="s">
        <v>41</v>
      </c>
      <c r="AH13" s="542"/>
      <c r="AI13" s="189" t="s">
        <v>444</v>
      </c>
    </row>
    <row r="14" spans="1:35" ht="14.25" customHeight="1">
      <c r="A14" s="38" t="s">
        <v>41</v>
      </c>
      <c r="B14" s="38" t="s">
        <v>70</v>
      </c>
      <c r="C14" s="38"/>
      <c r="D14" s="99">
        <v>9</v>
      </c>
      <c r="E14" s="175" t="s">
        <v>71</v>
      </c>
      <c r="F14" s="41">
        <f t="shared" si="3"/>
        <v>12</v>
      </c>
      <c r="G14" s="176"/>
      <c r="H14" s="176"/>
      <c r="I14" s="176"/>
      <c r="J14" s="176"/>
      <c r="K14" s="176"/>
      <c r="L14" s="176"/>
      <c r="M14" s="176">
        <v>1</v>
      </c>
      <c r="N14" s="176">
        <v>1</v>
      </c>
      <c r="O14" s="176">
        <v>1</v>
      </c>
      <c r="P14" s="176">
        <v>1</v>
      </c>
      <c r="Q14" s="176">
        <v>1</v>
      </c>
      <c r="R14" s="176">
        <v>1</v>
      </c>
      <c r="S14" s="176">
        <v>1</v>
      </c>
      <c r="T14" s="176">
        <v>1</v>
      </c>
      <c r="U14" s="176">
        <v>1</v>
      </c>
      <c r="V14" s="176">
        <v>1</v>
      </c>
      <c r="W14" s="176">
        <v>1</v>
      </c>
      <c r="X14" s="176">
        <v>1</v>
      </c>
      <c r="Y14" s="176"/>
      <c r="Z14" s="176"/>
      <c r="AA14" s="176"/>
      <c r="AB14" s="176"/>
      <c r="AC14" s="176"/>
      <c r="AD14" s="176"/>
      <c r="AE14" s="41">
        <f t="shared" si="4"/>
        <v>12</v>
      </c>
      <c r="AF14" s="116" t="s">
        <v>84</v>
      </c>
      <c r="AG14" s="550" t="s">
        <v>41</v>
      </c>
      <c r="AH14" s="542"/>
      <c r="AI14" s="189" t="s">
        <v>444</v>
      </c>
    </row>
    <row r="15" spans="1:35" ht="14.25" customHeight="1">
      <c r="A15" s="38" t="s">
        <v>41</v>
      </c>
      <c r="B15" s="38" t="s">
        <v>79</v>
      </c>
      <c r="C15" s="38"/>
      <c r="D15" s="39">
        <v>11</v>
      </c>
      <c r="E15" s="208" t="s">
        <v>80</v>
      </c>
      <c r="F15" s="41">
        <f t="shared" si="3"/>
        <v>0</v>
      </c>
      <c r="G15" s="176">
        <v>0</v>
      </c>
      <c r="H15" s="176">
        <v>0</v>
      </c>
      <c r="I15" s="176">
        <v>0</v>
      </c>
      <c r="J15" s="176">
        <v>0</v>
      </c>
      <c r="K15" s="176">
        <v>0</v>
      </c>
      <c r="L15" s="176">
        <v>0</v>
      </c>
      <c r="M15" s="176">
        <v>0</v>
      </c>
      <c r="N15" s="176">
        <v>0</v>
      </c>
      <c r="O15" s="176">
        <v>0</v>
      </c>
      <c r="P15" s="176">
        <v>0</v>
      </c>
      <c r="Q15" s="176">
        <v>0</v>
      </c>
      <c r="R15" s="176">
        <v>0</v>
      </c>
      <c r="S15" s="176">
        <v>0</v>
      </c>
      <c r="T15" s="176">
        <v>0</v>
      </c>
      <c r="U15" s="176">
        <v>0</v>
      </c>
      <c r="V15" s="176">
        <v>0</v>
      </c>
      <c r="W15" s="176">
        <v>0</v>
      </c>
      <c r="X15" s="176">
        <v>0</v>
      </c>
      <c r="Y15" s="176">
        <v>0</v>
      </c>
      <c r="Z15" s="176">
        <v>0</v>
      </c>
      <c r="AA15" s="176">
        <v>0</v>
      </c>
      <c r="AB15" s="176">
        <v>0</v>
      </c>
      <c r="AC15" s="176">
        <v>0</v>
      </c>
      <c r="AD15" s="176">
        <v>0</v>
      </c>
      <c r="AE15" s="41">
        <f t="shared" si="4"/>
        <v>0</v>
      </c>
      <c r="AF15" s="116" t="s">
        <v>225</v>
      </c>
      <c r="AG15" s="550" t="s">
        <v>41</v>
      </c>
      <c r="AH15" s="542"/>
      <c r="AI15" s="189" t="s">
        <v>444</v>
      </c>
    </row>
    <row r="16" spans="1:35" ht="14.25" customHeight="1">
      <c r="A16" s="38" t="s">
        <v>41</v>
      </c>
      <c r="B16" s="38" t="s">
        <v>82</v>
      </c>
      <c r="C16" s="38">
        <v>996303208</v>
      </c>
      <c r="D16" s="99">
        <v>12</v>
      </c>
      <c r="E16" s="206" t="s">
        <v>83</v>
      </c>
      <c r="F16" s="41">
        <f t="shared" si="3"/>
        <v>13</v>
      </c>
      <c r="G16" s="176"/>
      <c r="H16" s="176"/>
      <c r="I16" s="176"/>
      <c r="J16" s="176"/>
      <c r="K16" s="176"/>
      <c r="L16" s="176"/>
      <c r="M16" s="176">
        <v>1</v>
      </c>
      <c r="N16" s="176">
        <v>1</v>
      </c>
      <c r="O16" s="176">
        <v>1</v>
      </c>
      <c r="P16" s="176">
        <v>1</v>
      </c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>
        <v>1</v>
      </c>
      <c r="X16" s="176">
        <v>1</v>
      </c>
      <c r="Y16" s="176">
        <v>1</v>
      </c>
      <c r="Z16" s="176"/>
      <c r="AA16" s="176"/>
      <c r="AB16" s="176"/>
      <c r="AC16" s="176"/>
      <c r="AD16" s="176"/>
      <c r="AE16" s="41">
        <f t="shared" si="4"/>
        <v>13</v>
      </c>
      <c r="AF16" s="116" t="s">
        <v>261</v>
      </c>
      <c r="AG16" s="550" t="s">
        <v>41</v>
      </c>
      <c r="AH16" s="542"/>
      <c r="AI16" s="189" t="s">
        <v>444</v>
      </c>
    </row>
    <row r="17" spans="1:35" ht="14.25" customHeight="1">
      <c r="A17" s="38" t="s">
        <v>41</v>
      </c>
      <c r="B17" s="38" t="s">
        <v>88</v>
      </c>
      <c r="C17" s="38">
        <v>985570860</v>
      </c>
      <c r="D17" s="86">
        <v>13</v>
      </c>
      <c r="E17" s="209" t="s">
        <v>89</v>
      </c>
      <c r="F17" s="41">
        <v>14</v>
      </c>
      <c r="G17" s="42"/>
      <c r="H17" s="77"/>
      <c r="I17" s="77"/>
      <c r="J17" s="77"/>
      <c r="K17" s="77"/>
      <c r="L17" s="176"/>
      <c r="M17" s="176"/>
      <c r="N17" s="176"/>
      <c r="O17" s="176"/>
      <c r="P17" s="579" t="s">
        <v>471</v>
      </c>
      <c r="Q17" s="555"/>
      <c r="R17" s="555"/>
      <c r="S17" s="555"/>
      <c r="T17" s="555"/>
      <c r="U17" s="555"/>
      <c r="V17" s="555"/>
      <c r="W17" s="555"/>
      <c r="X17" s="555"/>
      <c r="Y17" s="555"/>
      <c r="Z17" s="542"/>
      <c r="AA17" s="176">
        <v>1</v>
      </c>
      <c r="AB17" s="176">
        <v>1</v>
      </c>
      <c r="AC17" s="176">
        <v>1</v>
      </c>
      <c r="AD17" s="176"/>
      <c r="AE17" s="41">
        <v>14</v>
      </c>
      <c r="AF17" s="116" t="s">
        <v>48</v>
      </c>
      <c r="AG17" s="186" t="s">
        <v>471</v>
      </c>
      <c r="AH17" s="177" t="s">
        <v>41</v>
      </c>
      <c r="AI17" s="189" t="s">
        <v>444</v>
      </c>
    </row>
    <row r="18" spans="1:35" ht="14.25" customHeight="1">
      <c r="A18" s="76" t="s">
        <v>41</v>
      </c>
      <c r="B18" s="76" t="s">
        <v>198</v>
      </c>
      <c r="C18" s="76"/>
      <c r="D18" s="39">
        <v>17</v>
      </c>
      <c r="E18" s="175" t="s">
        <v>99</v>
      </c>
      <c r="F18" s="41">
        <f t="shared" ref="F18:F49" si="5">SUM(G18:AD18)</f>
        <v>9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>
        <v>1</v>
      </c>
      <c r="AA18" s="176">
        <v>1</v>
      </c>
      <c r="AB18" s="176">
        <v>1</v>
      </c>
      <c r="AC18" s="176">
        <v>1</v>
      </c>
      <c r="AD18" s="176"/>
      <c r="AE18" s="41">
        <f t="shared" ref="AE18:AE26" si="6">SUM(G18:AD18)</f>
        <v>9</v>
      </c>
      <c r="AF18" s="116" t="s">
        <v>81</v>
      </c>
      <c r="AG18" s="550" t="s">
        <v>41</v>
      </c>
      <c r="AH18" s="542"/>
      <c r="AI18" s="189" t="s">
        <v>444</v>
      </c>
    </row>
    <row r="19" spans="1:35" ht="14.25" customHeight="1">
      <c r="A19" s="38" t="s">
        <v>41</v>
      </c>
      <c r="B19" s="38" t="s">
        <v>101</v>
      </c>
      <c r="C19" s="38">
        <v>962757006</v>
      </c>
      <c r="D19" s="99">
        <v>18</v>
      </c>
      <c r="E19" s="211" t="s">
        <v>102</v>
      </c>
      <c r="F19" s="41">
        <f t="shared" si="5"/>
        <v>13</v>
      </c>
      <c r="G19" s="176"/>
      <c r="H19" s="176"/>
      <c r="I19" s="176"/>
      <c r="J19" s="176"/>
      <c r="K19" s="176"/>
      <c r="L19" s="176"/>
      <c r="M19" s="176"/>
      <c r="N19" s="176"/>
      <c r="O19" s="176"/>
      <c r="P19" s="176">
        <v>1</v>
      </c>
      <c r="Q19" s="176">
        <v>1</v>
      </c>
      <c r="R19" s="176">
        <v>1</v>
      </c>
      <c r="S19" s="176">
        <v>1</v>
      </c>
      <c r="T19" s="176">
        <v>1</v>
      </c>
      <c r="U19" s="176"/>
      <c r="V19" s="176">
        <v>1</v>
      </c>
      <c r="W19" s="176">
        <v>1</v>
      </c>
      <c r="X19" s="176">
        <v>1</v>
      </c>
      <c r="Y19" s="176">
        <v>1</v>
      </c>
      <c r="Z19" s="176">
        <v>1</v>
      </c>
      <c r="AA19" s="176">
        <v>1</v>
      </c>
      <c r="AB19" s="176">
        <v>1</v>
      </c>
      <c r="AC19" s="176">
        <v>1</v>
      </c>
      <c r="AD19" s="176"/>
      <c r="AE19" s="41">
        <f t="shared" si="6"/>
        <v>13</v>
      </c>
      <c r="AF19" s="116" t="s">
        <v>351</v>
      </c>
      <c r="AG19" s="550" t="s">
        <v>41</v>
      </c>
      <c r="AH19" s="542"/>
      <c r="AI19" s="189" t="s">
        <v>444</v>
      </c>
    </row>
    <row r="20" spans="1:35" ht="14.25" customHeight="1">
      <c r="A20" s="38" t="s">
        <v>41</v>
      </c>
      <c r="B20" s="38" t="s">
        <v>103</v>
      </c>
      <c r="C20" s="38"/>
      <c r="D20" s="86">
        <v>19</v>
      </c>
      <c r="E20" s="207" t="s">
        <v>104</v>
      </c>
      <c r="F20" s="41">
        <f t="shared" si="5"/>
        <v>12</v>
      </c>
      <c r="G20" s="77"/>
      <c r="H20" s="77"/>
      <c r="I20" s="77"/>
      <c r="J20" s="77"/>
      <c r="K20" s="77"/>
      <c r="L20" s="176"/>
      <c r="M20" s="176">
        <v>1</v>
      </c>
      <c r="N20" s="176">
        <v>1</v>
      </c>
      <c r="O20" s="176">
        <v>1</v>
      </c>
      <c r="P20" s="176">
        <v>1</v>
      </c>
      <c r="Q20" s="176">
        <v>1</v>
      </c>
      <c r="R20" s="176">
        <v>1</v>
      </c>
      <c r="S20" s="176">
        <v>1</v>
      </c>
      <c r="T20" s="176">
        <v>1</v>
      </c>
      <c r="U20" s="176">
        <v>1</v>
      </c>
      <c r="V20" s="176">
        <v>1</v>
      </c>
      <c r="W20" s="176">
        <v>1</v>
      </c>
      <c r="X20" s="176">
        <v>1</v>
      </c>
      <c r="Y20" s="176"/>
      <c r="Z20" s="176"/>
      <c r="AA20" s="176"/>
      <c r="AB20" s="176"/>
      <c r="AC20" s="77"/>
      <c r="AD20" s="77"/>
      <c r="AE20" s="41">
        <f t="shared" si="6"/>
        <v>12</v>
      </c>
      <c r="AF20" s="116" t="s">
        <v>84</v>
      </c>
      <c r="AG20" s="550" t="s">
        <v>41</v>
      </c>
      <c r="AH20" s="542"/>
      <c r="AI20" s="189" t="s">
        <v>444</v>
      </c>
    </row>
    <row r="21" spans="1:35" ht="14.25" customHeight="1">
      <c r="A21" s="38" t="s">
        <v>41</v>
      </c>
      <c r="B21" s="38" t="s">
        <v>332</v>
      </c>
      <c r="C21" s="38"/>
      <c r="D21" s="39">
        <v>20</v>
      </c>
      <c r="E21" s="208" t="s">
        <v>333</v>
      </c>
      <c r="F21" s="41">
        <f t="shared" si="5"/>
        <v>6</v>
      </c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/>
      <c r="X21" s="176"/>
      <c r="Y21" s="176"/>
      <c r="Z21" s="176"/>
      <c r="AA21" s="176"/>
      <c r="AB21" s="176"/>
      <c r="AC21" s="176"/>
      <c r="AD21" s="176"/>
      <c r="AE21" s="41">
        <f t="shared" si="6"/>
        <v>6</v>
      </c>
      <c r="AF21" s="116" t="s">
        <v>376</v>
      </c>
      <c r="AG21" s="550" t="s">
        <v>41</v>
      </c>
      <c r="AH21" s="542"/>
      <c r="AI21" s="189" t="s">
        <v>444</v>
      </c>
    </row>
    <row r="22" spans="1:35" ht="14.25" customHeight="1">
      <c r="A22" s="38" t="s">
        <v>41</v>
      </c>
      <c r="B22" s="38" t="s">
        <v>105</v>
      </c>
      <c r="C22" s="38"/>
      <c r="D22" s="86">
        <v>22</v>
      </c>
      <c r="E22" s="175" t="s">
        <v>106</v>
      </c>
      <c r="F22" s="41">
        <f t="shared" si="5"/>
        <v>0</v>
      </c>
      <c r="G22" s="176">
        <v>0</v>
      </c>
      <c r="H22" s="176">
        <v>0</v>
      </c>
      <c r="I22" s="176">
        <v>0</v>
      </c>
      <c r="J22" s="176">
        <v>0</v>
      </c>
      <c r="K22" s="176">
        <v>0</v>
      </c>
      <c r="L22" s="176">
        <v>0</v>
      </c>
      <c r="M22" s="176">
        <v>0</v>
      </c>
      <c r="N22" s="176">
        <v>0</v>
      </c>
      <c r="O22" s="176">
        <v>0</v>
      </c>
      <c r="P22" s="176">
        <v>0</v>
      </c>
      <c r="Q22" s="176">
        <v>0</v>
      </c>
      <c r="R22" s="176">
        <v>0</v>
      </c>
      <c r="S22" s="176">
        <v>0</v>
      </c>
      <c r="T22" s="176">
        <v>0</v>
      </c>
      <c r="U22" s="176">
        <v>0</v>
      </c>
      <c r="V22" s="176">
        <v>0</v>
      </c>
      <c r="W22" s="176">
        <v>0</v>
      </c>
      <c r="X22" s="176">
        <v>0</v>
      </c>
      <c r="Y22" s="176">
        <v>0</v>
      </c>
      <c r="Z22" s="176">
        <v>0</v>
      </c>
      <c r="AA22" s="176">
        <v>0</v>
      </c>
      <c r="AB22" s="176">
        <v>0</v>
      </c>
      <c r="AC22" s="176">
        <v>0</v>
      </c>
      <c r="AD22" s="176">
        <v>0</v>
      </c>
      <c r="AE22" s="41">
        <f t="shared" si="6"/>
        <v>0</v>
      </c>
      <c r="AF22" s="116" t="s">
        <v>225</v>
      </c>
      <c r="AG22" s="550" t="s">
        <v>41</v>
      </c>
      <c r="AH22" s="542"/>
      <c r="AI22" s="189" t="s">
        <v>444</v>
      </c>
    </row>
    <row r="23" spans="1:35" ht="14.25" customHeight="1">
      <c r="A23" s="98" t="s">
        <v>41</v>
      </c>
      <c r="B23" s="98" t="s">
        <v>111</v>
      </c>
      <c r="C23" s="98"/>
      <c r="D23" s="39">
        <v>23</v>
      </c>
      <c r="E23" s="207" t="s">
        <v>112</v>
      </c>
      <c r="F23" s="41">
        <f t="shared" si="5"/>
        <v>12</v>
      </c>
      <c r="G23" s="176"/>
      <c r="H23" s="176"/>
      <c r="I23" s="176"/>
      <c r="J23" s="176"/>
      <c r="K23" s="176"/>
      <c r="L23" s="176"/>
      <c r="M23" s="176">
        <v>1</v>
      </c>
      <c r="N23" s="176">
        <v>1</v>
      </c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176">
        <v>1</v>
      </c>
      <c r="Y23" s="176"/>
      <c r="Z23" s="176"/>
      <c r="AA23" s="176"/>
      <c r="AB23" s="176"/>
      <c r="AC23" s="176"/>
      <c r="AD23" s="176"/>
      <c r="AE23" s="41">
        <f t="shared" si="6"/>
        <v>12</v>
      </c>
      <c r="AF23" s="116" t="s">
        <v>84</v>
      </c>
      <c r="AG23" s="550" t="s">
        <v>41</v>
      </c>
      <c r="AH23" s="542"/>
      <c r="AI23" s="189" t="s">
        <v>444</v>
      </c>
    </row>
    <row r="24" spans="1:35" ht="14.25" customHeight="1">
      <c r="A24" s="38" t="s">
        <v>41</v>
      </c>
      <c r="B24" s="38" t="s">
        <v>115</v>
      </c>
      <c r="C24" s="38">
        <v>962936744</v>
      </c>
      <c r="D24" s="99">
        <v>24</v>
      </c>
      <c r="E24" s="145" t="s">
        <v>116</v>
      </c>
      <c r="F24" s="41">
        <f t="shared" si="5"/>
        <v>14</v>
      </c>
      <c r="G24" s="176">
        <v>1</v>
      </c>
      <c r="H24" s="176">
        <v>1</v>
      </c>
      <c r="I24" s="176">
        <v>1</v>
      </c>
      <c r="J24" s="176">
        <v>1</v>
      </c>
      <c r="K24" s="176">
        <v>1</v>
      </c>
      <c r="L24" s="176">
        <v>1</v>
      </c>
      <c r="M24" s="176">
        <v>1</v>
      </c>
      <c r="N24" s="176">
        <v>1</v>
      </c>
      <c r="O24" s="176">
        <v>1</v>
      </c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>
        <v>1</v>
      </c>
      <c r="AA24" s="176">
        <v>1</v>
      </c>
      <c r="AB24" s="176">
        <v>1</v>
      </c>
      <c r="AC24" s="176">
        <v>1</v>
      </c>
      <c r="AD24" s="176">
        <v>1</v>
      </c>
      <c r="AE24" s="41">
        <f t="shared" si="6"/>
        <v>14</v>
      </c>
      <c r="AF24" s="116" t="s">
        <v>741</v>
      </c>
      <c r="AG24" s="550" t="s">
        <v>41</v>
      </c>
      <c r="AH24" s="542"/>
      <c r="AI24" s="189" t="s">
        <v>444</v>
      </c>
    </row>
    <row r="25" spans="1:35" ht="14.25" customHeight="1">
      <c r="A25" s="38" t="s">
        <v>41</v>
      </c>
      <c r="B25" s="38" t="s">
        <v>120</v>
      </c>
      <c r="C25" s="38"/>
      <c r="D25" s="86">
        <v>25</v>
      </c>
      <c r="E25" s="208" t="s">
        <v>121</v>
      </c>
      <c r="F25" s="41">
        <f t="shared" si="5"/>
        <v>12</v>
      </c>
      <c r="G25" s="176"/>
      <c r="H25" s="176"/>
      <c r="I25" s="176"/>
      <c r="J25" s="176"/>
      <c r="K25" s="176"/>
      <c r="L25" s="176"/>
      <c r="M25" s="176">
        <v>1</v>
      </c>
      <c r="N25" s="176">
        <v>1</v>
      </c>
      <c r="O25" s="176">
        <v>1</v>
      </c>
      <c r="P25" s="176">
        <v>1</v>
      </c>
      <c r="Q25" s="176">
        <v>1</v>
      </c>
      <c r="R25" s="176">
        <v>1</v>
      </c>
      <c r="S25" s="176">
        <v>1</v>
      </c>
      <c r="T25" s="176">
        <v>1</v>
      </c>
      <c r="U25" s="176">
        <v>1</v>
      </c>
      <c r="V25" s="176">
        <v>1</v>
      </c>
      <c r="W25" s="176">
        <v>1</v>
      </c>
      <c r="X25" s="176">
        <v>1</v>
      </c>
      <c r="Y25" s="176"/>
      <c r="Z25" s="176"/>
      <c r="AA25" s="176"/>
      <c r="AB25" s="176"/>
      <c r="AC25" s="176"/>
      <c r="AD25" s="176"/>
      <c r="AE25" s="41">
        <f t="shared" si="6"/>
        <v>12</v>
      </c>
      <c r="AF25" s="116" t="s">
        <v>84</v>
      </c>
      <c r="AG25" s="550" t="s">
        <v>41</v>
      </c>
      <c r="AH25" s="542"/>
      <c r="AI25" s="189" t="s">
        <v>444</v>
      </c>
    </row>
    <row r="26" spans="1:35" ht="14.25" customHeight="1">
      <c r="A26" s="38" t="s">
        <v>41</v>
      </c>
      <c r="B26" s="38" t="s">
        <v>124</v>
      </c>
      <c r="C26" s="38">
        <v>979137365</v>
      </c>
      <c r="D26" s="99">
        <v>27</v>
      </c>
      <c r="E26" s="208" t="s">
        <v>125</v>
      </c>
      <c r="F26" s="41">
        <f t="shared" si="5"/>
        <v>13</v>
      </c>
      <c r="G26" s="176">
        <v>1</v>
      </c>
      <c r="H26" s="176"/>
      <c r="I26" s="176"/>
      <c r="J26" s="176"/>
      <c r="K26" s="176"/>
      <c r="L26" s="176"/>
      <c r="M26" s="176"/>
      <c r="N26" s="176"/>
      <c r="O26" s="176"/>
      <c r="P26" s="176">
        <v>1</v>
      </c>
      <c r="Q26" s="176">
        <v>1</v>
      </c>
      <c r="R26" s="176">
        <v>1</v>
      </c>
      <c r="S26" s="176">
        <v>1</v>
      </c>
      <c r="T26" s="176">
        <v>1</v>
      </c>
      <c r="U26" s="176">
        <v>1</v>
      </c>
      <c r="V26" s="176">
        <v>1</v>
      </c>
      <c r="W26" s="176">
        <v>1</v>
      </c>
      <c r="X26" s="176"/>
      <c r="Y26" s="176">
        <v>1</v>
      </c>
      <c r="Z26" s="176">
        <v>1</v>
      </c>
      <c r="AA26" s="176">
        <v>1</v>
      </c>
      <c r="AB26" s="176">
        <v>1</v>
      </c>
      <c r="AC26" s="176"/>
      <c r="AD26" s="176"/>
      <c r="AE26" s="41">
        <f t="shared" si="6"/>
        <v>13</v>
      </c>
      <c r="AF26" s="116" t="s">
        <v>751</v>
      </c>
      <c r="AG26" s="550" t="s">
        <v>41</v>
      </c>
      <c r="AH26" s="542"/>
      <c r="AI26" s="189" t="s">
        <v>444</v>
      </c>
    </row>
    <row r="27" spans="1:35" ht="14.25" customHeight="1">
      <c r="A27" s="38" t="s">
        <v>41</v>
      </c>
      <c r="B27" s="76" t="s">
        <v>126</v>
      </c>
      <c r="C27" s="76">
        <v>986256130</v>
      </c>
      <c r="D27" s="86">
        <v>28</v>
      </c>
      <c r="E27" s="133" t="s">
        <v>127</v>
      </c>
      <c r="F27" s="41">
        <f t="shared" si="5"/>
        <v>0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77"/>
      <c r="AB27" s="42"/>
      <c r="AC27" s="42"/>
      <c r="AD27" s="42"/>
      <c r="AE27" s="41">
        <v>9</v>
      </c>
      <c r="AF27" s="116" t="s">
        <v>301</v>
      </c>
      <c r="AG27" s="578" t="s">
        <v>470</v>
      </c>
      <c r="AH27" s="555"/>
      <c r="AI27" s="189" t="s">
        <v>444</v>
      </c>
    </row>
    <row r="28" spans="1:35" ht="14.25" customHeight="1">
      <c r="A28" s="38" t="s">
        <v>41</v>
      </c>
      <c r="B28" s="38" t="s">
        <v>128</v>
      </c>
      <c r="C28" s="38"/>
      <c r="D28" s="39">
        <v>29</v>
      </c>
      <c r="E28" s="175" t="s">
        <v>129</v>
      </c>
      <c r="F28" s="41">
        <f t="shared" si="5"/>
        <v>0</v>
      </c>
      <c r="G28" s="176">
        <v>0</v>
      </c>
      <c r="H28" s="176">
        <v>0</v>
      </c>
      <c r="I28" s="176">
        <v>0</v>
      </c>
      <c r="J28" s="176">
        <v>0</v>
      </c>
      <c r="K28" s="176">
        <v>0</v>
      </c>
      <c r="L28" s="176">
        <v>0</v>
      </c>
      <c r="M28" s="176">
        <v>0</v>
      </c>
      <c r="N28" s="176">
        <v>0</v>
      </c>
      <c r="O28" s="176">
        <v>0</v>
      </c>
      <c r="P28" s="176">
        <v>0</v>
      </c>
      <c r="Q28" s="176">
        <v>0</v>
      </c>
      <c r="R28" s="176">
        <v>0</v>
      </c>
      <c r="S28" s="176">
        <v>0</v>
      </c>
      <c r="T28" s="176">
        <v>0</v>
      </c>
      <c r="U28" s="176">
        <v>0</v>
      </c>
      <c r="V28" s="176">
        <v>0</v>
      </c>
      <c r="W28" s="176">
        <v>0</v>
      </c>
      <c r="X28" s="176">
        <v>0</v>
      </c>
      <c r="Y28" s="176">
        <v>0</v>
      </c>
      <c r="Z28" s="176">
        <v>0</v>
      </c>
      <c r="AA28" s="176">
        <v>0</v>
      </c>
      <c r="AB28" s="176">
        <v>0</v>
      </c>
      <c r="AC28" s="176">
        <v>0</v>
      </c>
      <c r="AD28" s="176">
        <v>0</v>
      </c>
      <c r="AE28" s="41">
        <f t="shared" ref="AE28:AE30" si="7">SUM(G28:AD28)</f>
        <v>0</v>
      </c>
      <c r="AF28" s="116" t="s">
        <v>225</v>
      </c>
      <c r="AG28" s="550" t="s">
        <v>41</v>
      </c>
      <c r="AH28" s="542"/>
      <c r="AI28" s="189" t="s">
        <v>444</v>
      </c>
    </row>
    <row r="29" spans="1:35" ht="14.25" customHeight="1">
      <c r="A29" s="38" t="s">
        <v>41</v>
      </c>
      <c r="B29" s="38" t="s">
        <v>49</v>
      </c>
      <c r="C29" s="38">
        <v>983804379</v>
      </c>
      <c r="D29" s="86">
        <v>31</v>
      </c>
      <c r="E29" s="145" t="s">
        <v>50</v>
      </c>
      <c r="F29" s="41">
        <f t="shared" si="5"/>
        <v>14</v>
      </c>
      <c r="G29" s="176">
        <v>1</v>
      </c>
      <c r="H29" s="176">
        <v>1</v>
      </c>
      <c r="I29" s="176">
        <v>1</v>
      </c>
      <c r="J29" s="176">
        <v>1</v>
      </c>
      <c r="K29" s="176">
        <v>1</v>
      </c>
      <c r="L29" s="176">
        <v>1</v>
      </c>
      <c r="M29" s="176">
        <v>1</v>
      </c>
      <c r="N29" s="176">
        <v>1</v>
      </c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>
        <v>1</v>
      </c>
      <c r="Z29" s="176">
        <v>1</v>
      </c>
      <c r="AA29" s="176">
        <v>1</v>
      </c>
      <c r="AB29" s="176">
        <v>1</v>
      </c>
      <c r="AC29" s="176">
        <v>1</v>
      </c>
      <c r="AD29" s="176">
        <v>1</v>
      </c>
      <c r="AE29" s="41">
        <f t="shared" si="7"/>
        <v>14</v>
      </c>
      <c r="AF29" s="116" t="s">
        <v>749</v>
      </c>
      <c r="AG29" s="550" t="s">
        <v>41</v>
      </c>
      <c r="AH29" s="542"/>
      <c r="AI29" s="189" t="s">
        <v>444</v>
      </c>
    </row>
    <row r="30" spans="1:35" ht="14.25" customHeight="1">
      <c r="A30" s="38" t="s">
        <v>41</v>
      </c>
      <c r="B30" s="38" t="s">
        <v>134</v>
      </c>
      <c r="C30" s="38">
        <v>962839078</v>
      </c>
      <c r="D30" s="39">
        <v>32</v>
      </c>
      <c r="E30" s="145" t="s">
        <v>135</v>
      </c>
      <c r="F30" s="41">
        <f t="shared" si="5"/>
        <v>0</v>
      </c>
      <c r="G30" s="176">
        <v>0</v>
      </c>
      <c r="H30" s="176">
        <v>0</v>
      </c>
      <c r="I30" s="176">
        <v>0</v>
      </c>
      <c r="J30" s="176">
        <v>0</v>
      </c>
      <c r="K30" s="176">
        <v>0</v>
      </c>
      <c r="L30" s="176">
        <v>0</v>
      </c>
      <c r="M30" s="176">
        <v>0</v>
      </c>
      <c r="N30" s="176">
        <v>0</v>
      </c>
      <c r="O30" s="176">
        <v>0</v>
      </c>
      <c r="P30" s="176">
        <v>0</v>
      </c>
      <c r="Q30" s="176">
        <v>0</v>
      </c>
      <c r="R30" s="176">
        <v>0</v>
      </c>
      <c r="S30" s="176">
        <v>0</v>
      </c>
      <c r="T30" s="176">
        <v>0</v>
      </c>
      <c r="U30" s="176">
        <v>0</v>
      </c>
      <c r="V30" s="176">
        <v>0</v>
      </c>
      <c r="W30" s="176">
        <v>0</v>
      </c>
      <c r="X30" s="176">
        <v>0</v>
      </c>
      <c r="Y30" s="176">
        <v>0</v>
      </c>
      <c r="Z30" s="176">
        <v>0</v>
      </c>
      <c r="AA30" s="176">
        <v>0</v>
      </c>
      <c r="AB30" s="176">
        <v>0</v>
      </c>
      <c r="AC30" s="176">
        <v>0</v>
      </c>
      <c r="AD30" s="176">
        <v>0</v>
      </c>
      <c r="AE30" s="41">
        <f t="shared" si="7"/>
        <v>0</v>
      </c>
      <c r="AF30" s="116" t="s">
        <v>225</v>
      </c>
      <c r="AG30" s="550" t="s">
        <v>41</v>
      </c>
      <c r="AH30" s="542"/>
      <c r="AI30" s="189" t="s">
        <v>444</v>
      </c>
    </row>
    <row r="31" spans="1:35" ht="14.25" customHeight="1">
      <c r="A31" s="38" t="s">
        <v>41</v>
      </c>
      <c r="B31" s="38" t="s">
        <v>139</v>
      </c>
      <c r="C31" s="38">
        <v>990660059</v>
      </c>
      <c r="D31" s="99">
        <v>33</v>
      </c>
      <c r="E31" s="145" t="s">
        <v>140</v>
      </c>
      <c r="F31" s="41">
        <f t="shared" si="5"/>
        <v>0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580" t="s">
        <v>209</v>
      </c>
      <c r="W31" s="555"/>
      <c r="X31" s="555"/>
      <c r="Y31" s="555"/>
      <c r="Z31" s="555"/>
      <c r="AA31" s="555"/>
      <c r="AB31" s="555"/>
      <c r="AC31" s="542"/>
      <c r="AD31" s="176"/>
      <c r="AE31" s="41">
        <v>8</v>
      </c>
      <c r="AF31" s="116" t="s">
        <v>218</v>
      </c>
      <c r="AG31" s="580" t="s">
        <v>209</v>
      </c>
      <c r="AH31" s="542"/>
      <c r="AI31" s="189" t="s">
        <v>444</v>
      </c>
    </row>
    <row r="32" spans="1:35" ht="14.25" customHeight="1">
      <c r="A32" s="38" t="s">
        <v>41</v>
      </c>
      <c r="B32" s="38" t="s">
        <v>117</v>
      </c>
      <c r="C32" s="38"/>
      <c r="D32" s="86">
        <v>34</v>
      </c>
      <c r="E32" s="208" t="s">
        <v>118</v>
      </c>
      <c r="F32" s="41">
        <f t="shared" si="5"/>
        <v>13</v>
      </c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>
        <v>1</v>
      </c>
      <c r="W32" s="176"/>
      <c r="X32" s="176">
        <v>1</v>
      </c>
      <c r="Y32" s="176">
        <v>1</v>
      </c>
      <c r="Z32" s="176">
        <v>1</v>
      </c>
      <c r="AA32" s="176">
        <v>1</v>
      </c>
      <c r="AB32" s="176">
        <v>1</v>
      </c>
      <c r="AC32" s="176">
        <v>1</v>
      </c>
      <c r="AD32" s="176">
        <v>1</v>
      </c>
      <c r="AE32" s="41">
        <f>SUM(G32:AD32)</f>
        <v>13</v>
      </c>
      <c r="AF32" s="116" t="s">
        <v>353</v>
      </c>
      <c r="AG32" s="550" t="s">
        <v>41</v>
      </c>
      <c r="AH32" s="542"/>
      <c r="AI32" s="189" t="s">
        <v>444</v>
      </c>
    </row>
    <row r="33" spans="1:35" ht="14.25" customHeight="1">
      <c r="A33" s="38" t="s">
        <v>41</v>
      </c>
      <c r="B33" s="76" t="s">
        <v>142</v>
      </c>
      <c r="C33" s="76">
        <v>982807786</v>
      </c>
      <c r="D33" s="86">
        <v>35</v>
      </c>
      <c r="E33" s="145" t="s">
        <v>143</v>
      </c>
      <c r="F33" s="41">
        <f t="shared" si="5"/>
        <v>5</v>
      </c>
      <c r="G33" s="202">
        <v>1</v>
      </c>
      <c r="H33" s="176"/>
      <c r="I33" s="176"/>
      <c r="J33" s="176"/>
      <c r="K33" s="176"/>
      <c r="L33" s="176"/>
      <c r="M33" s="176"/>
      <c r="N33" s="176"/>
      <c r="O33" s="176"/>
      <c r="P33" s="176"/>
      <c r="Q33" s="176">
        <v>1</v>
      </c>
      <c r="R33" s="176">
        <v>1</v>
      </c>
      <c r="S33" s="176"/>
      <c r="T33" s="176">
        <v>1</v>
      </c>
      <c r="U33" s="176">
        <v>1</v>
      </c>
      <c r="V33" s="580" t="s">
        <v>209</v>
      </c>
      <c r="W33" s="555"/>
      <c r="X33" s="555"/>
      <c r="Y33" s="555"/>
      <c r="Z33" s="555"/>
      <c r="AA33" s="555"/>
      <c r="AB33" s="555"/>
      <c r="AC33" s="542"/>
      <c r="AD33" s="176"/>
      <c r="AE33" s="41">
        <v>13</v>
      </c>
      <c r="AF33" s="116" t="s">
        <v>752</v>
      </c>
      <c r="AG33" s="177" t="s">
        <v>41</v>
      </c>
      <c r="AH33" s="213" t="s">
        <v>209</v>
      </c>
      <c r="AI33" s="178" t="s">
        <v>444</v>
      </c>
    </row>
    <row r="34" spans="1:35" ht="14.25" customHeight="1">
      <c r="A34" s="38" t="s">
        <v>41</v>
      </c>
      <c r="B34" s="188" t="s">
        <v>449</v>
      </c>
      <c r="C34" s="38">
        <v>992908618</v>
      </c>
      <c r="D34" s="99">
        <v>36</v>
      </c>
      <c r="E34" s="214" t="s">
        <v>455</v>
      </c>
      <c r="F34" s="41">
        <f t="shared" si="5"/>
        <v>0</v>
      </c>
      <c r="G34" s="176">
        <v>0</v>
      </c>
      <c r="H34" s="176">
        <v>0</v>
      </c>
      <c r="I34" s="176">
        <v>0</v>
      </c>
      <c r="J34" s="176">
        <v>0</v>
      </c>
      <c r="K34" s="176">
        <v>0</v>
      </c>
      <c r="L34" s="176">
        <v>0</v>
      </c>
      <c r="M34" s="176">
        <v>0</v>
      </c>
      <c r="N34" s="176">
        <v>0</v>
      </c>
      <c r="O34" s="176">
        <v>0</v>
      </c>
      <c r="P34" s="176">
        <v>0</v>
      </c>
      <c r="Q34" s="176">
        <v>0</v>
      </c>
      <c r="R34" s="176">
        <v>0</v>
      </c>
      <c r="S34" s="176">
        <v>0</v>
      </c>
      <c r="T34" s="176">
        <v>0</v>
      </c>
      <c r="U34" s="176">
        <v>0</v>
      </c>
      <c r="V34" s="176">
        <v>0</v>
      </c>
      <c r="W34" s="176">
        <v>0</v>
      </c>
      <c r="X34" s="176">
        <v>0</v>
      </c>
      <c r="Y34" s="176">
        <v>0</v>
      </c>
      <c r="Z34" s="176">
        <v>0</v>
      </c>
      <c r="AA34" s="176">
        <v>0</v>
      </c>
      <c r="AB34" s="176">
        <v>0</v>
      </c>
      <c r="AC34" s="176">
        <v>0</v>
      </c>
      <c r="AD34" s="176">
        <v>0</v>
      </c>
      <c r="AE34" s="41">
        <f t="shared" ref="AE34:AE46" si="8">SUM(G34:AD34)</f>
        <v>0</v>
      </c>
      <c r="AF34" s="116" t="s">
        <v>225</v>
      </c>
      <c r="AG34" s="550" t="s">
        <v>41</v>
      </c>
      <c r="AH34" s="542"/>
      <c r="AI34" s="178" t="s">
        <v>444</v>
      </c>
    </row>
    <row r="35" spans="1:35" ht="14.25" customHeight="1">
      <c r="A35" s="38" t="s">
        <v>41</v>
      </c>
      <c r="B35" s="188" t="s">
        <v>456</v>
      </c>
      <c r="C35" s="98">
        <v>969080587</v>
      </c>
      <c r="D35" s="86">
        <v>37</v>
      </c>
      <c r="E35" s="214" t="s">
        <v>457</v>
      </c>
      <c r="F35" s="41">
        <f t="shared" si="5"/>
        <v>12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31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176">
        <v>1</v>
      </c>
      <c r="Y35" s="176">
        <v>1</v>
      </c>
      <c r="Z35" s="176">
        <v>1</v>
      </c>
      <c r="AA35" s="176"/>
      <c r="AB35" s="176"/>
      <c r="AC35" s="176"/>
      <c r="AD35" s="176"/>
      <c r="AE35" s="41">
        <f t="shared" si="8"/>
        <v>12</v>
      </c>
      <c r="AF35" s="116" t="s">
        <v>66</v>
      </c>
      <c r="AG35" s="177" t="s">
        <v>41</v>
      </c>
      <c r="AH35" s="316" t="s">
        <v>476</v>
      </c>
      <c r="AI35" s="178" t="s">
        <v>444</v>
      </c>
    </row>
    <row r="36" spans="1:35" ht="14.25" customHeight="1">
      <c r="A36" s="38" t="s">
        <v>41</v>
      </c>
      <c r="B36" s="188" t="s">
        <v>459</v>
      </c>
      <c r="C36" s="38">
        <v>969776425</v>
      </c>
      <c r="D36" s="39">
        <v>38</v>
      </c>
      <c r="E36" s="215" t="s">
        <v>460</v>
      </c>
      <c r="F36" s="41">
        <f t="shared" si="5"/>
        <v>13</v>
      </c>
      <c r="G36" s="176"/>
      <c r="H36" s="176"/>
      <c r="I36" s="176"/>
      <c r="J36" s="176"/>
      <c r="K36" s="176"/>
      <c r="L36" s="176"/>
      <c r="M36" s="176"/>
      <c r="N36" s="176"/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>
        <v>1</v>
      </c>
      <c r="W36" s="176">
        <v>1</v>
      </c>
      <c r="X36" s="176"/>
      <c r="Y36" s="176">
        <v>1</v>
      </c>
      <c r="Z36" s="176">
        <v>1</v>
      </c>
      <c r="AA36" s="176">
        <v>1</v>
      </c>
      <c r="AB36" s="176">
        <v>1</v>
      </c>
      <c r="AC36" s="176"/>
      <c r="AD36" s="176"/>
      <c r="AE36" s="41">
        <f t="shared" si="8"/>
        <v>13</v>
      </c>
      <c r="AF36" s="116" t="s">
        <v>339</v>
      </c>
      <c r="AG36" s="550" t="s">
        <v>41</v>
      </c>
      <c r="AH36" s="542"/>
      <c r="AI36" s="189" t="s">
        <v>444</v>
      </c>
    </row>
    <row r="37" spans="1:35" ht="14.25" customHeight="1">
      <c r="A37" s="38" t="s">
        <v>41</v>
      </c>
      <c r="B37" s="188" t="s">
        <v>458</v>
      </c>
      <c r="C37" s="38">
        <v>992753316</v>
      </c>
      <c r="D37" s="86">
        <v>40</v>
      </c>
      <c r="E37" s="215" t="s">
        <v>461</v>
      </c>
      <c r="F37" s="41">
        <f t="shared" si="5"/>
        <v>0</v>
      </c>
      <c r="G37" s="176">
        <v>0</v>
      </c>
      <c r="H37" s="176">
        <v>0</v>
      </c>
      <c r="I37" s="176">
        <v>0</v>
      </c>
      <c r="J37" s="176">
        <v>0</v>
      </c>
      <c r="K37" s="176">
        <v>0</v>
      </c>
      <c r="L37" s="176">
        <v>0</v>
      </c>
      <c r="M37" s="176">
        <v>0</v>
      </c>
      <c r="N37" s="176">
        <v>0</v>
      </c>
      <c r="O37" s="176">
        <v>0</v>
      </c>
      <c r="P37" s="176">
        <v>0</v>
      </c>
      <c r="Q37" s="176">
        <v>0</v>
      </c>
      <c r="R37" s="176">
        <v>0</v>
      </c>
      <c r="S37" s="176">
        <v>0</v>
      </c>
      <c r="T37" s="176">
        <v>0</v>
      </c>
      <c r="U37" s="176">
        <v>0</v>
      </c>
      <c r="V37" s="176">
        <v>0</v>
      </c>
      <c r="W37" s="176">
        <v>0</v>
      </c>
      <c r="X37" s="176">
        <v>0</v>
      </c>
      <c r="Y37" s="176">
        <v>0</v>
      </c>
      <c r="Z37" s="176">
        <v>0</v>
      </c>
      <c r="AA37" s="176">
        <v>0</v>
      </c>
      <c r="AB37" s="176">
        <v>0</v>
      </c>
      <c r="AC37" s="176">
        <v>0</v>
      </c>
      <c r="AD37" s="176">
        <v>0</v>
      </c>
      <c r="AE37" s="41">
        <f t="shared" si="8"/>
        <v>0</v>
      </c>
      <c r="AF37" s="116" t="s">
        <v>225</v>
      </c>
      <c r="AG37" s="550" t="s">
        <v>41</v>
      </c>
      <c r="AH37" s="542"/>
      <c r="AI37" s="189" t="s">
        <v>444</v>
      </c>
    </row>
    <row r="38" spans="1:35" ht="14.25" customHeight="1">
      <c r="A38" s="38" t="s">
        <v>41</v>
      </c>
      <c r="B38" s="188" t="s">
        <v>452</v>
      </c>
      <c r="C38" s="38">
        <v>985553653</v>
      </c>
      <c r="D38" s="39">
        <v>41</v>
      </c>
      <c r="E38" s="215" t="s">
        <v>463</v>
      </c>
      <c r="F38" s="41">
        <f t="shared" si="5"/>
        <v>13</v>
      </c>
      <c r="G38" s="176"/>
      <c r="H38" s="176"/>
      <c r="I38" s="176"/>
      <c r="J38" s="176"/>
      <c r="K38" s="176"/>
      <c r="L38" s="176"/>
      <c r="M38" s="176"/>
      <c r="N38" s="176"/>
      <c r="O38" s="176">
        <v>1</v>
      </c>
      <c r="P38" s="176">
        <v>1</v>
      </c>
      <c r="Q38" s="176">
        <v>1</v>
      </c>
      <c r="R38" s="176"/>
      <c r="S38" s="176">
        <v>1</v>
      </c>
      <c r="T38" s="176">
        <v>1</v>
      </c>
      <c r="U38" s="176">
        <v>1</v>
      </c>
      <c r="V38" s="176">
        <v>1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>
        <v>1</v>
      </c>
      <c r="AC38" s="176"/>
      <c r="AD38" s="176"/>
      <c r="AE38" s="41">
        <f t="shared" si="8"/>
        <v>13</v>
      </c>
      <c r="AF38" s="116" t="s">
        <v>753</v>
      </c>
      <c r="AG38" s="550" t="s">
        <v>41</v>
      </c>
      <c r="AH38" s="542"/>
      <c r="AI38" s="189" t="s">
        <v>444</v>
      </c>
    </row>
    <row r="39" spans="1:35" ht="14.25" customHeight="1">
      <c r="A39" s="38" t="s">
        <v>41</v>
      </c>
      <c r="B39" s="188" t="s">
        <v>464</v>
      </c>
      <c r="C39" s="38">
        <v>982043776</v>
      </c>
      <c r="D39" s="99">
        <v>42</v>
      </c>
      <c r="E39" s="214" t="s">
        <v>465</v>
      </c>
      <c r="F39" s="41">
        <f t="shared" si="5"/>
        <v>0</v>
      </c>
      <c r="G39" s="176">
        <v>0</v>
      </c>
      <c r="H39" s="176">
        <v>0</v>
      </c>
      <c r="I39" s="176">
        <v>0</v>
      </c>
      <c r="J39" s="176">
        <v>0</v>
      </c>
      <c r="K39" s="176">
        <v>0</v>
      </c>
      <c r="L39" s="176">
        <v>0</v>
      </c>
      <c r="M39" s="176">
        <v>0</v>
      </c>
      <c r="N39" s="176">
        <v>0</v>
      </c>
      <c r="O39" s="176">
        <v>0</v>
      </c>
      <c r="P39" s="176">
        <v>0</v>
      </c>
      <c r="Q39" s="176">
        <v>0</v>
      </c>
      <c r="R39" s="176">
        <v>0</v>
      </c>
      <c r="S39" s="176">
        <v>0</v>
      </c>
      <c r="T39" s="176">
        <v>0</v>
      </c>
      <c r="U39" s="176">
        <v>0</v>
      </c>
      <c r="V39" s="176">
        <v>0</v>
      </c>
      <c r="W39" s="176">
        <v>0</v>
      </c>
      <c r="X39" s="176">
        <v>0</v>
      </c>
      <c r="Y39" s="176">
        <v>0</v>
      </c>
      <c r="Z39" s="176">
        <v>0</v>
      </c>
      <c r="AA39" s="176">
        <v>0</v>
      </c>
      <c r="AB39" s="176">
        <v>0</v>
      </c>
      <c r="AC39" s="176">
        <v>0</v>
      </c>
      <c r="AD39" s="176">
        <v>0</v>
      </c>
      <c r="AE39" s="41">
        <f t="shared" si="8"/>
        <v>0</v>
      </c>
      <c r="AF39" s="116" t="s">
        <v>225</v>
      </c>
      <c r="AG39" s="550" t="s">
        <v>41</v>
      </c>
      <c r="AH39" s="542"/>
      <c r="AI39" s="189" t="s">
        <v>444</v>
      </c>
    </row>
    <row r="40" spans="1:35" ht="14.25" customHeight="1">
      <c r="A40" s="38" t="s">
        <v>41</v>
      </c>
      <c r="B40" s="188" t="s">
        <v>447</v>
      </c>
      <c r="C40" s="38">
        <v>979138395</v>
      </c>
      <c r="D40" s="86">
        <v>43</v>
      </c>
      <c r="E40" s="214" t="s">
        <v>466</v>
      </c>
      <c r="F40" s="41">
        <f t="shared" si="5"/>
        <v>13</v>
      </c>
      <c r="G40" s="176"/>
      <c r="H40" s="176"/>
      <c r="I40" s="176"/>
      <c r="J40" s="176"/>
      <c r="K40" s="176"/>
      <c r="L40" s="176"/>
      <c r="M40" s="176"/>
      <c r="N40" s="176"/>
      <c r="O40" s="176">
        <v>1</v>
      </c>
      <c r="P40" s="176">
        <v>1</v>
      </c>
      <c r="Q40" s="176">
        <v>1</v>
      </c>
      <c r="R40" s="176">
        <v>1</v>
      </c>
      <c r="S40" s="176">
        <v>1</v>
      </c>
      <c r="T40" s="176">
        <v>1</v>
      </c>
      <c r="U40" s="176">
        <v>1</v>
      </c>
      <c r="V40" s="176">
        <v>1</v>
      </c>
      <c r="W40" s="176">
        <v>1</v>
      </c>
      <c r="X40" s="176">
        <v>1</v>
      </c>
      <c r="Y40" s="176"/>
      <c r="Z40" s="176">
        <v>1</v>
      </c>
      <c r="AA40" s="176">
        <v>1</v>
      </c>
      <c r="AB40" s="176">
        <v>1</v>
      </c>
      <c r="AC40" s="176"/>
      <c r="AD40" s="176"/>
      <c r="AE40" s="41">
        <f t="shared" si="8"/>
        <v>13</v>
      </c>
      <c r="AF40" s="116" t="s">
        <v>754</v>
      </c>
      <c r="AG40" s="550" t="s">
        <v>41</v>
      </c>
      <c r="AH40" s="542"/>
      <c r="AI40" s="189" t="s">
        <v>444</v>
      </c>
    </row>
    <row r="41" spans="1:35" ht="14.25" customHeight="1">
      <c r="A41" s="38" t="s">
        <v>41</v>
      </c>
      <c r="B41" s="188" t="s">
        <v>448</v>
      </c>
      <c r="C41" s="98">
        <v>979187927</v>
      </c>
      <c r="D41" s="39">
        <v>44</v>
      </c>
      <c r="E41" s="215" t="s">
        <v>467</v>
      </c>
      <c r="F41" s="41">
        <f t="shared" si="5"/>
        <v>12</v>
      </c>
      <c r="G41" s="176"/>
      <c r="H41" s="176"/>
      <c r="I41" s="176"/>
      <c r="J41" s="176"/>
      <c r="K41" s="176"/>
      <c r="L41" s="176"/>
      <c r="M41" s="176">
        <v>1</v>
      </c>
      <c r="N41" s="176">
        <v>1</v>
      </c>
      <c r="O41" s="176">
        <v>1</v>
      </c>
      <c r="P41" s="176">
        <v>1</v>
      </c>
      <c r="Q41" s="176">
        <v>1</v>
      </c>
      <c r="R41" s="176">
        <v>1</v>
      </c>
      <c r="S41" s="176">
        <v>1</v>
      </c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/>
      <c r="Z41" s="176"/>
      <c r="AA41" s="176"/>
      <c r="AB41" s="176"/>
      <c r="AC41" s="176"/>
      <c r="AD41" s="176"/>
      <c r="AE41" s="41">
        <f t="shared" si="8"/>
        <v>12</v>
      </c>
      <c r="AF41" s="116" t="s">
        <v>84</v>
      </c>
      <c r="AG41" s="550" t="s">
        <v>41</v>
      </c>
      <c r="AH41" s="542"/>
      <c r="AI41" s="189" t="s">
        <v>444</v>
      </c>
    </row>
    <row r="42" spans="1:35" ht="14.25" customHeight="1">
      <c r="A42" s="38" t="s">
        <v>41</v>
      </c>
      <c r="B42" s="188" t="s">
        <v>490</v>
      </c>
      <c r="C42" s="98">
        <v>986286257</v>
      </c>
      <c r="D42" s="99">
        <v>45</v>
      </c>
      <c r="E42" s="214" t="s">
        <v>491</v>
      </c>
      <c r="F42" s="41">
        <f t="shared" si="5"/>
        <v>0</v>
      </c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41">
        <f t="shared" si="8"/>
        <v>0</v>
      </c>
      <c r="AF42" s="116" t="s">
        <v>652</v>
      </c>
      <c r="AG42" s="550" t="s">
        <v>41</v>
      </c>
      <c r="AH42" s="542"/>
      <c r="AI42" s="189" t="s">
        <v>444</v>
      </c>
    </row>
    <row r="43" spans="1:35" ht="14.25" customHeight="1">
      <c r="A43" s="38" t="s">
        <v>41</v>
      </c>
      <c r="B43" s="188" t="s">
        <v>492</v>
      </c>
      <c r="C43" s="98">
        <v>969776425</v>
      </c>
      <c r="D43" s="86">
        <v>46</v>
      </c>
      <c r="E43" s="214" t="s">
        <v>493</v>
      </c>
      <c r="F43" s="41">
        <f t="shared" si="5"/>
        <v>0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41">
        <f t="shared" si="8"/>
        <v>0</v>
      </c>
      <c r="AF43" s="116" t="s">
        <v>652</v>
      </c>
      <c r="AG43" s="550" t="s">
        <v>41</v>
      </c>
      <c r="AH43" s="542"/>
      <c r="AI43" s="189" t="s">
        <v>444</v>
      </c>
    </row>
    <row r="44" spans="1:35" ht="14.25" customHeight="1">
      <c r="A44" s="38" t="s">
        <v>41</v>
      </c>
      <c r="B44" s="188" t="s">
        <v>468</v>
      </c>
      <c r="C44" s="98">
        <v>987948960</v>
      </c>
      <c r="D44" s="39">
        <v>47</v>
      </c>
      <c r="E44" s="214" t="s">
        <v>469</v>
      </c>
      <c r="F44" s="41">
        <f t="shared" si="5"/>
        <v>13</v>
      </c>
      <c r="G44" s="176"/>
      <c r="H44" s="176"/>
      <c r="I44" s="176"/>
      <c r="J44" s="176"/>
      <c r="K44" s="176"/>
      <c r="L44" s="176"/>
      <c r="M44" s="176">
        <v>1</v>
      </c>
      <c r="N44" s="176">
        <v>1</v>
      </c>
      <c r="O44" s="176">
        <v>1</v>
      </c>
      <c r="P44" s="176">
        <v>1</v>
      </c>
      <c r="Q44" s="176">
        <v>1</v>
      </c>
      <c r="R44" s="176">
        <v>1</v>
      </c>
      <c r="S44" s="176">
        <v>1</v>
      </c>
      <c r="T44" s="176">
        <v>1</v>
      </c>
      <c r="U44" s="176">
        <v>1</v>
      </c>
      <c r="V44" s="176">
        <v>1</v>
      </c>
      <c r="W44" s="176">
        <v>1</v>
      </c>
      <c r="X44" s="176">
        <v>1</v>
      </c>
      <c r="Y44" s="176">
        <v>1</v>
      </c>
      <c r="Z44" s="176"/>
      <c r="AA44" s="176"/>
      <c r="AB44" s="176"/>
      <c r="AC44" s="176"/>
      <c r="AD44" s="176"/>
      <c r="AE44" s="41">
        <f t="shared" si="8"/>
        <v>13</v>
      </c>
      <c r="AF44" s="116" t="s">
        <v>261</v>
      </c>
      <c r="AG44" s="550" t="s">
        <v>41</v>
      </c>
      <c r="AH44" s="542"/>
      <c r="AI44" s="189" t="s">
        <v>444</v>
      </c>
    </row>
    <row r="45" spans="1:35" ht="14.25" customHeight="1">
      <c r="A45" s="38" t="s">
        <v>41</v>
      </c>
      <c r="B45" s="188" t="s">
        <v>494</v>
      </c>
      <c r="C45" s="98">
        <v>992641553</v>
      </c>
      <c r="D45" s="99">
        <v>48</v>
      </c>
      <c r="E45" s="214" t="s">
        <v>495</v>
      </c>
      <c r="F45" s="41">
        <f t="shared" si="5"/>
        <v>0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41">
        <f t="shared" si="8"/>
        <v>0</v>
      </c>
      <c r="AF45" s="116" t="s">
        <v>652</v>
      </c>
      <c r="AG45" s="550" t="s">
        <v>41</v>
      </c>
      <c r="AH45" s="542"/>
      <c r="AI45" s="189" t="s">
        <v>444</v>
      </c>
    </row>
    <row r="46" spans="1:35" ht="14.25" customHeight="1">
      <c r="A46" s="38" t="s">
        <v>41</v>
      </c>
      <c r="B46" s="188" t="s">
        <v>496</v>
      </c>
      <c r="C46" s="98">
        <v>999013936</v>
      </c>
      <c r="D46" s="39">
        <v>50</v>
      </c>
      <c r="E46" s="214" t="s">
        <v>497</v>
      </c>
      <c r="F46" s="41">
        <f t="shared" si="5"/>
        <v>0</v>
      </c>
      <c r="G46" s="216"/>
      <c r="H46" s="216"/>
      <c r="I46" s="216"/>
      <c r="J46" s="216"/>
      <c r="K46" s="216"/>
      <c r="L46" s="216"/>
      <c r="M46" s="216"/>
      <c r="N46" s="216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6"/>
      <c r="AC46" s="216"/>
      <c r="AD46" s="216"/>
      <c r="AE46" s="41">
        <f t="shared" si="8"/>
        <v>0</v>
      </c>
      <c r="AF46" s="116" t="s">
        <v>652</v>
      </c>
      <c r="AG46" s="550" t="s">
        <v>41</v>
      </c>
      <c r="AH46" s="542"/>
      <c r="AI46" s="189" t="s">
        <v>444</v>
      </c>
    </row>
    <row r="47" spans="1:35" ht="14.25" customHeight="1">
      <c r="A47" s="38" t="s">
        <v>41</v>
      </c>
      <c r="B47" s="190" t="s">
        <v>137</v>
      </c>
      <c r="C47" s="98"/>
      <c r="D47" s="86">
        <v>1</v>
      </c>
      <c r="E47" s="218" t="s">
        <v>138</v>
      </c>
      <c r="F47" s="41">
        <f t="shared" si="5"/>
        <v>0</v>
      </c>
      <c r="G47" s="176"/>
      <c r="H47" s="176"/>
      <c r="I47" s="176"/>
      <c r="J47" s="176"/>
      <c r="K47" s="176"/>
      <c r="L47" s="176"/>
      <c r="M47" s="176"/>
      <c r="N47" s="577" t="s">
        <v>320</v>
      </c>
      <c r="O47" s="555"/>
      <c r="P47" s="555"/>
      <c r="Q47" s="555"/>
      <c r="R47" s="555"/>
      <c r="S47" s="555"/>
      <c r="T47" s="555"/>
      <c r="U47" s="555"/>
      <c r="V47" s="176"/>
      <c r="W47" s="176"/>
      <c r="X47" s="176"/>
      <c r="Y47" s="176"/>
      <c r="Z47" s="176"/>
      <c r="AA47" s="176"/>
      <c r="AB47" s="176"/>
      <c r="AC47" s="176"/>
      <c r="AD47" s="176"/>
      <c r="AE47" s="41">
        <v>8</v>
      </c>
      <c r="AF47" s="116" t="s">
        <v>288</v>
      </c>
      <c r="AG47" s="186" t="s">
        <v>320</v>
      </c>
      <c r="AH47" s="212" t="s">
        <v>209</v>
      </c>
      <c r="AI47" s="189" t="s">
        <v>444</v>
      </c>
    </row>
    <row r="48" spans="1:35" ht="14.25" customHeight="1">
      <c r="A48" s="38" t="s">
        <v>41</v>
      </c>
      <c r="B48" s="190" t="s">
        <v>190</v>
      </c>
      <c r="C48" s="98"/>
      <c r="D48" s="39">
        <v>2</v>
      </c>
      <c r="E48" s="218" t="s">
        <v>191</v>
      </c>
      <c r="F48" s="41">
        <f t="shared" si="5"/>
        <v>0</v>
      </c>
      <c r="G48" s="77"/>
      <c r="H48" s="77"/>
      <c r="I48" s="77"/>
      <c r="J48" s="77"/>
      <c r="K48" s="77"/>
      <c r="L48" s="77"/>
      <c r="M48" s="176"/>
      <c r="N48" s="176"/>
      <c r="O48" s="176"/>
      <c r="P48" s="176"/>
      <c r="Q48" s="176"/>
      <c r="R48" s="176"/>
      <c r="S48" s="176"/>
      <c r="T48" s="176"/>
      <c r="U48" s="176"/>
      <c r="V48" s="577" t="s">
        <v>320</v>
      </c>
      <c r="W48" s="555"/>
      <c r="X48" s="555"/>
      <c r="Y48" s="555"/>
      <c r="Z48" s="555"/>
      <c r="AA48" s="555"/>
      <c r="AB48" s="555"/>
      <c r="AC48" s="555"/>
      <c r="AD48" s="77"/>
      <c r="AE48" s="41">
        <v>8</v>
      </c>
      <c r="AF48" s="116" t="s">
        <v>218</v>
      </c>
      <c r="AG48" s="186" t="s">
        <v>320</v>
      </c>
      <c r="AH48" s="212" t="s">
        <v>209</v>
      </c>
      <c r="AI48" s="189" t="s">
        <v>444</v>
      </c>
    </row>
    <row r="49" spans="1:35" ht="14.25" customHeight="1">
      <c r="A49" s="98"/>
      <c r="B49" s="98"/>
      <c r="C49" s="98"/>
      <c r="D49" s="39">
        <v>1</v>
      </c>
      <c r="E49" s="133" t="s">
        <v>363</v>
      </c>
      <c r="F49" s="41">
        <f t="shared" si="5"/>
        <v>0</v>
      </c>
      <c r="G49" s="42"/>
      <c r="H49" s="42"/>
      <c r="I49" s="42"/>
      <c r="J49" s="42"/>
      <c r="K49" s="42"/>
      <c r="L49" s="42"/>
      <c r="M49" s="42"/>
      <c r="N49" s="42"/>
      <c r="O49" s="577" t="s">
        <v>364</v>
      </c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42"/>
      <c r="AA49" s="77"/>
      <c r="AB49" s="42"/>
      <c r="AC49" s="42"/>
      <c r="AD49" s="42"/>
      <c r="AE49" s="41">
        <v>12</v>
      </c>
      <c r="AF49" s="116" t="s">
        <v>66</v>
      </c>
      <c r="AG49" s="551" t="s">
        <v>473</v>
      </c>
      <c r="AH49" s="555"/>
      <c r="AI49" s="189" t="s">
        <v>444</v>
      </c>
    </row>
    <row r="50" spans="1:35" ht="14.25" customHeight="1">
      <c r="A50" s="2"/>
      <c r="B50" s="2"/>
      <c r="C50" s="2"/>
      <c r="D50" s="4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25"/>
      <c r="AG50" s="25"/>
      <c r="AH50" s="25"/>
      <c r="AI50" s="25"/>
    </row>
    <row r="51" spans="1:35" ht="14.25" customHeight="1">
      <c r="A51" s="2"/>
      <c r="B51" s="2"/>
      <c r="C51" s="2"/>
      <c r="D51" s="2"/>
      <c r="E51" s="2"/>
      <c r="F51" s="2"/>
      <c r="AE51" s="2"/>
      <c r="AF51" s="2"/>
      <c r="AG51" s="2"/>
      <c r="AH51" s="2"/>
      <c r="AI51" s="2"/>
    </row>
    <row r="52" spans="1:35" ht="14.25" customHeight="1">
      <c r="A52" s="2"/>
      <c r="B52" s="2"/>
      <c r="C52" s="2"/>
      <c r="D52" s="2"/>
      <c r="E52" s="2"/>
      <c r="F52" s="2"/>
      <c r="AE52" s="2"/>
      <c r="AF52" s="2"/>
      <c r="AG52" s="2"/>
      <c r="AH52" s="2"/>
      <c r="AI52" s="2"/>
    </row>
    <row r="53" spans="1:35" ht="14.25" customHeight="1">
      <c r="A53" s="2"/>
      <c r="B53" s="2"/>
      <c r="C53" s="2"/>
      <c r="D53" s="2"/>
      <c r="E53" s="2"/>
      <c r="F53" s="2"/>
      <c r="AE53" s="2"/>
      <c r="AF53" s="2"/>
      <c r="AG53" s="2"/>
      <c r="AH53" s="2"/>
      <c r="AI53" s="2"/>
    </row>
    <row r="54" spans="1:35" ht="14.25" customHeight="1">
      <c r="A54" s="2"/>
      <c r="B54" s="2"/>
      <c r="C54" s="2"/>
      <c r="D54" s="2"/>
      <c r="E54" s="2"/>
      <c r="F54" s="2"/>
      <c r="AE54" s="2"/>
      <c r="AF54" s="2"/>
      <c r="AG54" s="2"/>
      <c r="AH54" s="2"/>
      <c r="AI54" s="2"/>
    </row>
    <row r="55" spans="1:35" ht="14.25" customHeight="1">
      <c r="A55" s="3"/>
      <c r="B55" s="3"/>
      <c r="C55" s="3"/>
      <c r="D55" s="48"/>
      <c r="E55" s="547" t="s">
        <v>8</v>
      </c>
      <c r="F55" s="548"/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2">
        <v>0</v>
      </c>
      <c r="N55" s="193">
        <v>0</v>
      </c>
      <c r="O55" s="193">
        <v>0</v>
      </c>
      <c r="P55" s="193">
        <v>10</v>
      </c>
      <c r="Q55" s="193">
        <v>10</v>
      </c>
      <c r="R55" s="193">
        <v>10</v>
      </c>
      <c r="S55" s="193">
        <v>10</v>
      </c>
      <c r="T55" s="193">
        <v>10</v>
      </c>
      <c r="U55" s="193">
        <v>10</v>
      </c>
      <c r="V55" s="193">
        <v>10</v>
      </c>
      <c r="W55" s="193">
        <v>10</v>
      </c>
      <c r="X55" s="193">
        <v>10</v>
      </c>
      <c r="Y55" s="193">
        <v>10</v>
      </c>
      <c r="Z55" s="193">
        <v>0</v>
      </c>
      <c r="AA55" s="193">
        <v>0</v>
      </c>
      <c r="AB55" s="194">
        <v>0</v>
      </c>
      <c r="AC55" s="192">
        <v>0</v>
      </c>
      <c r="AD55" s="195">
        <v>0</v>
      </c>
      <c r="AE55" s="18">
        <f>SUM(G55:AD55)</f>
        <v>100</v>
      </c>
      <c r="AF55" s="25"/>
      <c r="AG55" s="2"/>
      <c r="AH55" s="2"/>
      <c r="AI55" s="2"/>
    </row>
    <row r="56" spans="1:35" ht="14.25" customHeight="1">
      <c r="A56" s="3"/>
      <c r="B56" s="3"/>
      <c r="C56" s="3"/>
      <c r="D56" s="48"/>
      <c r="E56" s="59"/>
      <c r="F56" s="59"/>
      <c r="G56" s="28">
        <f t="shared" ref="G56:AD56" si="9">G58-G55</f>
        <v>0</v>
      </c>
      <c r="H56" s="28">
        <f t="shared" si="9"/>
        <v>0</v>
      </c>
      <c r="I56" s="28">
        <f t="shared" si="9"/>
        <v>0</v>
      </c>
      <c r="J56" s="28">
        <f t="shared" si="9"/>
        <v>0</v>
      </c>
      <c r="K56" s="28">
        <f t="shared" si="9"/>
        <v>0</v>
      </c>
      <c r="L56" s="28">
        <f t="shared" si="9"/>
        <v>0</v>
      </c>
      <c r="M56" s="84">
        <f t="shared" si="9"/>
        <v>0</v>
      </c>
      <c r="N56" s="84">
        <f t="shared" si="9"/>
        <v>0</v>
      </c>
      <c r="O56" s="84">
        <f t="shared" si="9"/>
        <v>4</v>
      </c>
      <c r="P56" s="28">
        <f t="shared" si="9"/>
        <v>-2</v>
      </c>
      <c r="Q56" s="28">
        <f t="shared" si="9"/>
        <v>-1</v>
      </c>
      <c r="R56" s="28">
        <f t="shared" si="9"/>
        <v>-1</v>
      </c>
      <c r="S56" s="28">
        <f t="shared" si="9"/>
        <v>-1</v>
      </c>
      <c r="T56" s="28">
        <f t="shared" si="9"/>
        <v>-1</v>
      </c>
      <c r="U56" s="28">
        <f t="shared" si="9"/>
        <v>-1</v>
      </c>
      <c r="V56" s="28">
        <f t="shared" si="9"/>
        <v>-1</v>
      </c>
      <c r="W56" s="28">
        <f t="shared" si="9"/>
        <v>-1</v>
      </c>
      <c r="X56" s="28">
        <f t="shared" si="9"/>
        <v>-1</v>
      </c>
      <c r="Y56" s="28">
        <f t="shared" si="9"/>
        <v>-1</v>
      </c>
      <c r="Z56" s="28">
        <f t="shared" si="9"/>
        <v>9</v>
      </c>
      <c r="AA56" s="28">
        <f t="shared" si="9"/>
        <v>5</v>
      </c>
      <c r="AB56" s="28">
        <f t="shared" si="9"/>
        <v>2</v>
      </c>
      <c r="AC56" s="28">
        <f t="shared" si="9"/>
        <v>0</v>
      </c>
      <c r="AD56" s="28">
        <f t="shared" si="9"/>
        <v>0</v>
      </c>
      <c r="AE56" s="53"/>
      <c r="AF56" s="3"/>
      <c r="AG56" s="2"/>
      <c r="AH56" s="2"/>
      <c r="AI56" s="2"/>
    </row>
    <row r="57" spans="1:35" ht="14.25" customHeight="1">
      <c r="A57" s="3"/>
      <c r="B57" s="3"/>
      <c r="C57" s="3"/>
      <c r="D57" s="48"/>
      <c r="E57" s="60" t="s">
        <v>476</v>
      </c>
      <c r="F57" s="59"/>
      <c r="G57" s="51" t="s">
        <v>9</v>
      </c>
      <c r="H57" s="51" t="s">
        <v>10</v>
      </c>
      <c r="I57" s="51" t="s">
        <v>11</v>
      </c>
      <c r="J57" s="51" t="s">
        <v>12</v>
      </c>
      <c r="K57" s="51" t="s">
        <v>13</v>
      </c>
      <c r="L57" s="51" t="s">
        <v>14</v>
      </c>
      <c r="M57" s="51" t="s">
        <v>15</v>
      </c>
      <c r="N57" s="51" t="s">
        <v>16</v>
      </c>
      <c r="O57" s="51" t="s">
        <v>17</v>
      </c>
      <c r="P57" s="51" t="s">
        <v>18</v>
      </c>
      <c r="Q57" s="52" t="s">
        <v>19</v>
      </c>
      <c r="R57" s="52" t="s">
        <v>20</v>
      </c>
      <c r="S57" s="52" t="s">
        <v>21</v>
      </c>
      <c r="T57" s="52" t="s">
        <v>22</v>
      </c>
      <c r="U57" s="52" t="s">
        <v>23</v>
      </c>
      <c r="V57" s="52" t="s">
        <v>24</v>
      </c>
      <c r="W57" s="52" t="s">
        <v>25</v>
      </c>
      <c r="X57" s="52" t="s">
        <v>26</v>
      </c>
      <c r="Y57" s="52" t="s">
        <v>27</v>
      </c>
      <c r="Z57" s="52" t="s">
        <v>28</v>
      </c>
      <c r="AA57" s="52" t="s">
        <v>29</v>
      </c>
      <c r="AB57" s="52" t="s">
        <v>30</v>
      </c>
      <c r="AC57" s="52" t="s">
        <v>31</v>
      </c>
      <c r="AD57" s="51" t="s">
        <v>32</v>
      </c>
      <c r="AE57" s="53"/>
      <c r="AF57" s="25"/>
      <c r="AG57" s="2"/>
      <c r="AH57" s="2"/>
      <c r="AI57" s="2"/>
    </row>
    <row r="58" spans="1:35" ht="14.25" customHeight="1">
      <c r="A58" s="3"/>
      <c r="B58" s="3"/>
      <c r="C58" s="3"/>
      <c r="D58" s="48"/>
      <c r="E58" s="61" t="s">
        <v>37</v>
      </c>
      <c r="F58" s="37" t="s">
        <v>38</v>
      </c>
      <c r="G58" s="35">
        <f t="shared" ref="G58:AD58" si="10">SUM(G59:G72)</f>
        <v>0</v>
      </c>
      <c r="H58" s="35">
        <f t="shared" si="10"/>
        <v>0</v>
      </c>
      <c r="I58" s="35">
        <f t="shared" si="10"/>
        <v>0</v>
      </c>
      <c r="J58" s="35">
        <f t="shared" si="10"/>
        <v>0</v>
      </c>
      <c r="K58" s="35">
        <f t="shared" si="10"/>
        <v>0</v>
      </c>
      <c r="L58" s="35">
        <f t="shared" si="10"/>
        <v>0</v>
      </c>
      <c r="M58" s="35">
        <f t="shared" si="10"/>
        <v>0</v>
      </c>
      <c r="N58" s="35">
        <f t="shared" si="10"/>
        <v>0</v>
      </c>
      <c r="O58" s="35">
        <f t="shared" si="10"/>
        <v>4</v>
      </c>
      <c r="P58" s="35">
        <f t="shared" si="10"/>
        <v>8</v>
      </c>
      <c r="Q58" s="35">
        <f t="shared" si="10"/>
        <v>9</v>
      </c>
      <c r="R58" s="35">
        <f t="shared" si="10"/>
        <v>9</v>
      </c>
      <c r="S58" s="35">
        <f t="shared" si="10"/>
        <v>9</v>
      </c>
      <c r="T58" s="35">
        <f t="shared" si="10"/>
        <v>9</v>
      </c>
      <c r="U58" s="35">
        <f t="shared" si="10"/>
        <v>9</v>
      </c>
      <c r="V58" s="35">
        <f t="shared" si="10"/>
        <v>9</v>
      </c>
      <c r="W58" s="35">
        <f t="shared" si="10"/>
        <v>9</v>
      </c>
      <c r="X58" s="35">
        <f t="shared" si="10"/>
        <v>9</v>
      </c>
      <c r="Y58" s="35">
        <f t="shared" si="10"/>
        <v>9</v>
      </c>
      <c r="Z58" s="35">
        <f t="shared" si="10"/>
        <v>9</v>
      </c>
      <c r="AA58" s="35">
        <f t="shared" si="10"/>
        <v>5</v>
      </c>
      <c r="AB58" s="35">
        <f t="shared" si="10"/>
        <v>2</v>
      </c>
      <c r="AC58" s="35">
        <f t="shared" si="10"/>
        <v>0</v>
      </c>
      <c r="AD58" s="35">
        <f t="shared" si="10"/>
        <v>0</v>
      </c>
      <c r="AE58" s="30">
        <f t="shared" ref="AE58:AE68" si="11">SUM(G58:AD58)</f>
        <v>109</v>
      </c>
      <c r="AF58" s="36" t="s">
        <v>39</v>
      </c>
      <c r="AG58" s="196"/>
      <c r="AH58" s="196"/>
      <c r="AI58" s="197" t="s">
        <v>40</v>
      </c>
    </row>
    <row r="59" spans="1:35" ht="14.25" customHeight="1">
      <c r="A59" s="76" t="s">
        <v>41</v>
      </c>
      <c r="B59" s="76" t="s">
        <v>45</v>
      </c>
      <c r="C59" s="76">
        <v>999600729</v>
      </c>
      <c r="D59" s="86">
        <v>1</v>
      </c>
      <c r="E59" s="40" t="s">
        <v>46</v>
      </c>
      <c r="F59" s="41">
        <f t="shared" ref="F59:F68" si="12">SUM(G59:AD59)</f>
        <v>13</v>
      </c>
      <c r="G59" s="202"/>
      <c r="H59" s="202"/>
      <c r="I59" s="202"/>
      <c r="J59" s="202"/>
      <c r="K59" s="202"/>
      <c r="L59" s="202"/>
      <c r="M59" s="202"/>
      <c r="N59" s="202"/>
      <c r="O59" s="202">
        <v>1</v>
      </c>
      <c r="P59" s="202">
        <v>1</v>
      </c>
      <c r="Q59" s="202">
        <v>1</v>
      </c>
      <c r="R59" s="202">
        <v>1</v>
      </c>
      <c r="S59" s="202">
        <v>1</v>
      </c>
      <c r="T59" s="202">
        <v>1</v>
      </c>
      <c r="U59" s="202">
        <v>1</v>
      </c>
      <c r="V59" s="202">
        <v>1</v>
      </c>
      <c r="W59" s="202">
        <v>1</v>
      </c>
      <c r="X59" s="202">
        <v>1</v>
      </c>
      <c r="Y59" s="202">
        <v>1</v>
      </c>
      <c r="Z59" s="202">
        <v>1</v>
      </c>
      <c r="AA59" s="202">
        <v>1</v>
      </c>
      <c r="AB59" s="202"/>
      <c r="AC59" s="202"/>
      <c r="AD59" s="202"/>
      <c r="AE59" s="41">
        <f t="shared" si="11"/>
        <v>13</v>
      </c>
      <c r="AF59" s="116" t="s">
        <v>329</v>
      </c>
      <c r="AG59" s="549" t="s">
        <v>476</v>
      </c>
      <c r="AH59" s="542"/>
      <c r="AI59" s="178" t="s">
        <v>444</v>
      </c>
    </row>
    <row r="60" spans="1:35" ht="14.25" customHeight="1">
      <c r="A60" s="38" t="s">
        <v>41</v>
      </c>
      <c r="B60" s="38" t="s">
        <v>64</v>
      </c>
      <c r="C60" s="38">
        <v>995545886</v>
      </c>
      <c r="D60" s="39">
        <v>2</v>
      </c>
      <c r="E60" s="40" t="s">
        <v>65</v>
      </c>
      <c r="F60" s="41">
        <f t="shared" si="12"/>
        <v>12</v>
      </c>
      <c r="G60" s="202"/>
      <c r="H60" s="202"/>
      <c r="I60" s="202"/>
      <c r="J60" s="202"/>
      <c r="K60" s="202"/>
      <c r="L60" s="202"/>
      <c r="M60" s="202"/>
      <c r="N60" s="202"/>
      <c r="O60" s="202">
        <v>1</v>
      </c>
      <c r="P60" s="202">
        <v>1</v>
      </c>
      <c r="Q60" s="202">
        <v>1</v>
      </c>
      <c r="R60" s="202">
        <v>1</v>
      </c>
      <c r="S60" s="202">
        <v>1</v>
      </c>
      <c r="T60" s="202">
        <v>1</v>
      </c>
      <c r="U60" s="202">
        <v>1</v>
      </c>
      <c r="V60" s="202">
        <v>1</v>
      </c>
      <c r="W60" s="202">
        <v>1</v>
      </c>
      <c r="X60" s="202">
        <v>1</v>
      </c>
      <c r="Y60" s="202">
        <v>1</v>
      </c>
      <c r="Z60" s="202">
        <v>1</v>
      </c>
      <c r="AA60" s="202"/>
      <c r="AB60" s="202"/>
      <c r="AC60" s="202"/>
      <c r="AD60" s="202"/>
      <c r="AE60" s="41">
        <f t="shared" si="11"/>
        <v>12</v>
      </c>
      <c r="AF60" s="116" t="s">
        <v>66</v>
      </c>
      <c r="AG60" s="549" t="s">
        <v>476</v>
      </c>
      <c r="AH60" s="542"/>
      <c r="AI60" s="178" t="s">
        <v>444</v>
      </c>
    </row>
    <row r="61" spans="1:35" ht="14.25" customHeight="1">
      <c r="A61" s="38" t="s">
        <v>41</v>
      </c>
      <c r="B61" s="38" t="s">
        <v>72</v>
      </c>
      <c r="C61" s="38">
        <v>989533877</v>
      </c>
      <c r="D61" s="86">
        <v>3</v>
      </c>
      <c r="E61" s="40" t="s">
        <v>73</v>
      </c>
      <c r="F61" s="41">
        <f t="shared" si="12"/>
        <v>12</v>
      </c>
      <c r="G61" s="202"/>
      <c r="H61" s="202"/>
      <c r="I61" s="202"/>
      <c r="J61" s="202"/>
      <c r="K61" s="202"/>
      <c r="L61" s="202"/>
      <c r="M61" s="202"/>
      <c r="N61" s="202"/>
      <c r="O61" s="305" t="s">
        <v>47</v>
      </c>
      <c r="P61" s="202">
        <v>1</v>
      </c>
      <c r="Q61" s="202">
        <v>1</v>
      </c>
      <c r="R61" s="202">
        <v>1</v>
      </c>
      <c r="S61" s="202">
        <v>1</v>
      </c>
      <c r="T61" s="202">
        <v>1</v>
      </c>
      <c r="U61" s="202">
        <v>1</v>
      </c>
      <c r="V61" s="202">
        <v>1</v>
      </c>
      <c r="W61" s="202">
        <v>1</v>
      </c>
      <c r="X61" s="202">
        <v>1</v>
      </c>
      <c r="Y61" s="202">
        <v>1</v>
      </c>
      <c r="Z61" s="202">
        <v>1</v>
      </c>
      <c r="AA61" s="202">
        <v>1</v>
      </c>
      <c r="AB61" s="202"/>
      <c r="AC61" s="202"/>
      <c r="AD61" s="202"/>
      <c r="AE61" s="41">
        <f t="shared" si="11"/>
        <v>12</v>
      </c>
      <c r="AF61" s="116" t="s">
        <v>329</v>
      </c>
      <c r="AG61" s="549" t="s">
        <v>476</v>
      </c>
      <c r="AH61" s="542"/>
      <c r="AI61" s="178" t="s">
        <v>444</v>
      </c>
    </row>
    <row r="62" spans="1:35" ht="14.25" customHeight="1">
      <c r="A62" s="38" t="s">
        <v>41</v>
      </c>
      <c r="B62" s="38" t="s">
        <v>92</v>
      </c>
      <c r="C62" s="38">
        <v>989858490</v>
      </c>
      <c r="D62" s="99">
        <v>4</v>
      </c>
      <c r="E62" s="40" t="s">
        <v>93</v>
      </c>
      <c r="F62" s="41">
        <f t="shared" si="12"/>
        <v>12</v>
      </c>
      <c r="G62" s="202"/>
      <c r="H62" s="202"/>
      <c r="I62" s="202"/>
      <c r="J62" s="202"/>
      <c r="K62" s="202"/>
      <c r="L62" s="202"/>
      <c r="M62" s="202"/>
      <c r="N62" s="202"/>
      <c r="O62" s="305" t="s">
        <v>47</v>
      </c>
      <c r="P62" s="202">
        <v>1</v>
      </c>
      <c r="Q62" s="202">
        <v>1</v>
      </c>
      <c r="R62" s="202">
        <v>1</v>
      </c>
      <c r="S62" s="202">
        <v>1</v>
      </c>
      <c r="T62" s="202">
        <v>1</v>
      </c>
      <c r="U62" s="202">
        <v>1</v>
      </c>
      <c r="V62" s="202">
        <v>1</v>
      </c>
      <c r="W62" s="202">
        <v>1</v>
      </c>
      <c r="X62" s="202">
        <v>1</v>
      </c>
      <c r="Y62" s="202">
        <v>1</v>
      </c>
      <c r="Z62" s="202">
        <v>1</v>
      </c>
      <c r="AA62" s="202">
        <v>1</v>
      </c>
      <c r="AB62" s="202"/>
      <c r="AC62" s="202"/>
      <c r="AD62" s="202"/>
      <c r="AE62" s="41">
        <f t="shared" si="11"/>
        <v>12</v>
      </c>
      <c r="AF62" s="116" t="s">
        <v>329</v>
      </c>
      <c r="AG62" s="549" t="s">
        <v>476</v>
      </c>
      <c r="AH62" s="542"/>
      <c r="AI62" s="178" t="s">
        <v>444</v>
      </c>
    </row>
    <row r="63" spans="1:35" ht="14.25" customHeight="1">
      <c r="A63" s="38" t="s">
        <v>41</v>
      </c>
      <c r="B63" s="38" t="s">
        <v>94</v>
      </c>
      <c r="C63" s="38">
        <v>988957267</v>
      </c>
      <c r="D63" s="86">
        <v>5</v>
      </c>
      <c r="E63" s="40" t="s">
        <v>95</v>
      </c>
      <c r="F63" s="41">
        <f t="shared" si="12"/>
        <v>12</v>
      </c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>
        <v>1</v>
      </c>
      <c r="R63" s="202">
        <v>1</v>
      </c>
      <c r="S63" s="202">
        <v>1</v>
      </c>
      <c r="T63" s="202">
        <v>1</v>
      </c>
      <c r="U63" s="202">
        <v>1</v>
      </c>
      <c r="V63" s="202">
        <v>1</v>
      </c>
      <c r="W63" s="202">
        <v>1</v>
      </c>
      <c r="X63" s="202">
        <v>1</v>
      </c>
      <c r="Y63" s="202">
        <v>1</v>
      </c>
      <c r="Z63" s="202">
        <v>1</v>
      </c>
      <c r="AA63" s="202">
        <v>1</v>
      </c>
      <c r="AB63" s="202">
        <v>1</v>
      </c>
      <c r="AC63" s="202"/>
      <c r="AD63" s="202"/>
      <c r="AE63" s="41">
        <f t="shared" si="11"/>
        <v>12</v>
      </c>
      <c r="AF63" s="116" t="s">
        <v>96</v>
      </c>
      <c r="AG63" s="549" t="s">
        <v>476</v>
      </c>
      <c r="AH63" s="542"/>
      <c r="AI63" s="178" t="s">
        <v>444</v>
      </c>
    </row>
    <row r="64" spans="1:35" ht="14.25" customHeight="1">
      <c r="A64" s="38" t="s">
        <v>41</v>
      </c>
      <c r="B64" s="38" t="s">
        <v>122</v>
      </c>
      <c r="C64" s="38">
        <v>984490770</v>
      </c>
      <c r="D64" s="39">
        <v>6</v>
      </c>
      <c r="E64" s="40" t="s">
        <v>123</v>
      </c>
      <c r="F64" s="41">
        <f t="shared" si="12"/>
        <v>12</v>
      </c>
      <c r="G64" s="202"/>
      <c r="H64" s="202"/>
      <c r="I64" s="202"/>
      <c r="J64" s="202"/>
      <c r="K64" s="202"/>
      <c r="L64" s="202"/>
      <c r="M64" s="202"/>
      <c r="N64" s="202"/>
      <c r="O64" s="202">
        <v>1</v>
      </c>
      <c r="P64" s="202">
        <v>1</v>
      </c>
      <c r="Q64" s="202">
        <v>1</v>
      </c>
      <c r="R64" s="202">
        <v>1</v>
      </c>
      <c r="S64" s="202">
        <v>1</v>
      </c>
      <c r="T64" s="202">
        <v>1</v>
      </c>
      <c r="U64" s="202">
        <v>1</v>
      </c>
      <c r="V64" s="202">
        <v>1</v>
      </c>
      <c r="W64" s="202">
        <v>1</v>
      </c>
      <c r="X64" s="202">
        <v>1</v>
      </c>
      <c r="Y64" s="202">
        <v>1</v>
      </c>
      <c r="Z64" s="202">
        <v>1</v>
      </c>
      <c r="AA64" s="202"/>
      <c r="AB64" s="202"/>
      <c r="AC64" s="202"/>
      <c r="AD64" s="202"/>
      <c r="AE64" s="41">
        <f t="shared" si="11"/>
        <v>12</v>
      </c>
      <c r="AF64" s="116" t="s">
        <v>66</v>
      </c>
      <c r="AG64" s="549" t="s">
        <v>476</v>
      </c>
      <c r="AH64" s="542"/>
      <c r="AI64" s="178" t="s">
        <v>444</v>
      </c>
    </row>
    <row r="65" spans="1:35" ht="14.25" customHeight="1">
      <c r="A65" s="38" t="s">
        <v>41</v>
      </c>
      <c r="B65" s="98" t="s">
        <v>130</v>
      </c>
      <c r="C65" s="98">
        <v>998810875</v>
      </c>
      <c r="D65" s="99">
        <v>7</v>
      </c>
      <c r="E65" s="40" t="s">
        <v>131</v>
      </c>
      <c r="F65" s="41">
        <f t="shared" si="12"/>
        <v>12</v>
      </c>
      <c r="G65" s="202"/>
      <c r="H65" s="202"/>
      <c r="I65" s="202"/>
      <c r="J65" s="202"/>
      <c r="K65" s="202"/>
      <c r="L65" s="202"/>
      <c r="M65" s="202"/>
      <c r="N65" s="202"/>
      <c r="O65" s="202">
        <v>1</v>
      </c>
      <c r="P65" s="202">
        <v>1</v>
      </c>
      <c r="Q65" s="202">
        <v>1</v>
      </c>
      <c r="R65" s="202">
        <v>1</v>
      </c>
      <c r="S65" s="202">
        <v>1</v>
      </c>
      <c r="T65" s="202">
        <v>1</v>
      </c>
      <c r="U65" s="202">
        <v>1</v>
      </c>
      <c r="V65" s="202">
        <v>1</v>
      </c>
      <c r="W65" s="202">
        <v>1</v>
      </c>
      <c r="X65" s="202">
        <v>1</v>
      </c>
      <c r="Y65" s="202">
        <v>1</v>
      </c>
      <c r="Z65" s="202">
        <v>1</v>
      </c>
      <c r="AA65" s="202"/>
      <c r="AB65" s="202"/>
      <c r="AC65" s="202"/>
      <c r="AD65" s="202"/>
      <c r="AE65" s="41">
        <f t="shared" si="11"/>
        <v>12</v>
      </c>
      <c r="AF65" s="116" t="s">
        <v>66</v>
      </c>
      <c r="AG65" s="549" t="s">
        <v>476</v>
      </c>
      <c r="AH65" s="542"/>
      <c r="AI65" s="178" t="s">
        <v>444</v>
      </c>
    </row>
    <row r="66" spans="1:35" ht="14.25" customHeight="1">
      <c r="A66" s="38" t="s">
        <v>41</v>
      </c>
      <c r="B66" s="188" t="s">
        <v>477</v>
      </c>
      <c r="C66" s="38">
        <v>999763726</v>
      </c>
      <c r="D66" s="99">
        <v>8</v>
      </c>
      <c r="E66" s="40" t="s">
        <v>478</v>
      </c>
      <c r="F66" s="41">
        <f t="shared" si="12"/>
        <v>11</v>
      </c>
      <c r="G66" s="202"/>
      <c r="H66" s="202"/>
      <c r="I66" s="202"/>
      <c r="J66" s="202"/>
      <c r="K66" s="202"/>
      <c r="L66" s="202"/>
      <c r="M66" s="202"/>
      <c r="N66" s="202"/>
      <c r="O66" s="305" t="s">
        <v>47</v>
      </c>
      <c r="P66" s="202">
        <v>1</v>
      </c>
      <c r="Q66" s="202">
        <v>1</v>
      </c>
      <c r="R66" s="202">
        <v>1</v>
      </c>
      <c r="S66" s="202">
        <v>1</v>
      </c>
      <c r="T66" s="202">
        <v>1</v>
      </c>
      <c r="U66" s="202">
        <v>1</v>
      </c>
      <c r="V66" s="202">
        <v>1</v>
      </c>
      <c r="W66" s="202">
        <v>1</v>
      </c>
      <c r="X66" s="202">
        <v>1</v>
      </c>
      <c r="Y66" s="202">
        <v>1</v>
      </c>
      <c r="Z66" s="202">
        <v>1</v>
      </c>
      <c r="AA66" s="202"/>
      <c r="AB66" s="202"/>
      <c r="AC66" s="202"/>
      <c r="AD66" s="202"/>
      <c r="AE66" s="41">
        <f t="shared" si="11"/>
        <v>11</v>
      </c>
      <c r="AF66" s="116" t="s">
        <v>66</v>
      </c>
      <c r="AG66" s="549" t="s">
        <v>476</v>
      </c>
      <c r="AH66" s="542"/>
      <c r="AI66" s="178" t="s">
        <v>444</v>
      </c>
    </row>
    <row r="67" spans="1:35" ht="14.25" customHeight="1">
      <c r="A67" s="98" t="s">
        <v>41</v>
      </c>
      <c r="B67" s="98" t="s">
        <v>90</v>
      </c>
      <c r="C67" s="98">
        <v>961816449</v>
      </c>
      <c r="D67" s="99">
        <v>9</v>
      </c>
      <c r="E67" s="40" t="s">
        <v>91</v>
      </c>
      <c r="F67" s="41">
        <f t="shared" si="12"/>
        <v>0</v>
      </c>
      <c r="G67" s="202"/>
      <c r="H67" s="202"/>
      <c r="I67" s="202"/>
      <c r="J67" s="202"/>
      <c r="K67" s="202"/>
      <c r="L67" s="202"/>
      <c r="M67" s="202"/>
      <c r="N67" s="202"/>
      <c r="O67" s="305" t="s">
        <v>47</v>
      </c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202"/>
      <c r="AC67" s="202"/>
      <c r="AD67" s="202"/>
      <c r="AE67" s="41">
        <f t="shared" si="11"/>
        <v>0</v>
      </c>
      <c r="AF67" s="116" t="s">
        <v>329</v>
      </c>
      <c r="AG67" s="549" t="s">
        <v>476</v>
      </c>
      <c r="AH67" s="542"/>
      <c r="AI67" s="178" t="s">
        <v>444</v>
      </c>
    </row>
    <row r="68" spans="1:35" ht="14.25" customHeight="1">
      <c r="A68" s="38" t="s">
        <v>41</v>
      </c>
      <c r="B68" s="38" t="s">
        <v>171</v>
      </c>
      <c r="C68" s="38">
        <v>990489779</v>
      </c>
      <c r="D68" s="99">
        <v>10</v>
      </c>
      <c r="E68" s="40" t="s">
        <v>172</v>
      </c>
      <c r="F68" s="41">
        <f t="shared" si="12"/>
        <v>13</v>
      </c>
      <c r="G68" s="202"/>
      <c r="H68" s="202"/>
      <c r="I68" s="202"/>
      <c r="J68" s="202"/>
      <c r="K68" s="202"/>
      <c r="L68" s="202"/>
      <c r="M68" s="202"/>
      <c r="N68" s="202"/>
      <c r="O68" s="305" t="s">
        <v>47</v>
      </c>
      <c r="P68" s="202">
        <v>1</v>
      </c>
      <c r="Q68" s="202">
        <v>1</v>
      </c>
      <c r="R68" s="202">
        <v>1</v>
      </c>
      <c r="S68" s="202">
        <v>1</v>
      </c>
      <c r="T68" s="202">
        <v>1</v>
      </c>
      <c r="U68" s="202">
        <v>1</v>
      </c>
      <c r="V68" s="202">
        <v>1</v>
      </c>
      <c r="W68" s="202">
        <v>1</v>
      </c>
      <c r="X68" s="202">
        <v>1</v>
      </c>
      <c r="Y68" s="202">
        <v>1</v>
      </c>
      <c r="Z68" s="202">
        <v>1</v>
      </c>
      <c r="AA68" s="202">
        <v>1</v>
      </c>
      <c r="AB68" s="202">
        <v>1</v>
      </c>
      <c r="AC68" s="202"/>
      <c r="AD68" s="202"/>
      <c r="AE68" s="41">
        <f t="shared" si="11"/>
        <v>13</v>
      </c>
      <c r="AF68" s="116" t="s">
        <v>385</v>
      </c>
      <c r="AG68" s="549" t="s">
        <v>476</v>
      </c>
      <c r="AH68" s="542"/>
      <c r="AI68" s="178" t="s">
        <v>444</v>
      </c>
    </row>
    <row r="69" spans="1:35" ht="14.25" customHeight="1">
      <c r="A69" s="2"/>
      <c r="B69" s="2"/>
      <c r="C69" s="2"/>
      <c r="D69" s="2"/>
      <c r="E69" s="2"/>
      <c r="F69" s="2"/>
      <c r="G69" s="65" t="s">
        <v>9</v>
      </c>
      <c r="H69" s="65" t="s">
        <v>10</v>
      </c>
      <c r="I69" s="65" t="s">
        <v>11</v>
      </c>
      <c r="J69" s="65" t="s">
        <v>12</v>
      </c>
      <c r="K69" s="65" t="s">
        <v>13</v>
      </c>
      <c r="L69" s="65" t="s">
        <v>14</v>
      </c>
      <c r="M69" s="65" t="s">
        <v>15</v>
      </c>
      <c r="N69" s="65" t="s">
        <v>16</v>
      </c>
      <c r="O69" s="65" t="s">
        <v>17</v>
      </c>
      <c r="P69" s="65" t="s">
        <v>18</v>
      </c>
      <c r="Q69" s="66" t="s">
        <v>19</v>
      </c>
      <c r="R69" s="66" t="s">
        <v>20</v>
      </c>
      <c r="S69" s="66" t="s">
        <v>21</v>
      </c>
      <c r="T69" s="66" t="s">
        <v>22</v>
      </c>
      <c r="U69" s="66" t="s">
        <v>23</v>
      </c>
      <c r="V69" s="66" t="s">
        <v>24</v>
      </c>
      <c r="W69" s="66" t="s">
        <v>25</v>
      </c>
      <c r="X69" s="66" t="s">
        <v>26</v>
      </c>
      <c r="Y69" s="66" t="s">
        <v>27</v>
      </c>
      <c r="Z69" s="66" t="s">
        <v>28</v>
      </c>
      <c r="AA69" s="66" t="s">
        <v>29</v>
      </c>
      <c r="AB69" s="66" t="s">
        <v>30</v>
      </c>
      <c r="AC69" s="66" t="s">
        <v>31</v>
      </c>
      <c r="AD69" s="65" t="s">
        <v>32</v>
      </c>
      <c r="AE69" s="53"/>
      <c r="AF69" s="2"/>
      <c r="AG69" s="2"/>
      <c r="AH69" s="2"/>
      <c r="AI69" s="2"/>
    </row>
    <row r="70" spans="1:35" ht="14.25" customHeight="1">
      <c r="A70" s="2"/>
      <c r="B70" s="2"/>
      <c r="C70" s="2"/>
      <c r="D70" s="2"/>
      <c r="E70" s="2"/>
      <c r="F70" s="2"/>
      <c r="AE70" s="2"/>
      <c r="AF70" s="2"/>
      <c r="AG70" s="2"/>
      <c r="AH70" s="2"/>
      <c r="AI70" s="2"/>
    </row>
    <row r="71" spans="1:35" ht="14.25" customHeight="1">
      <c r="A71" s="2"/>
      <c r="B71" s="2"/>
      <c r="C71" s="2"/>
      <c r="D71" s="2"/>
      <c r="E71" s="2"/>
      <c r="F71" s="2"/>
      <c r="AE71" s="2"/>
      <c r="AF71" s="2"/>
      <c r="AG71" s="2"/>
      <c r="AH71" s="2"/>
      <c r="AI71" s="2"/>
    </row>
    <row r="72" spans="1:35" ht="14.25" customHeight="1">
      <c r="A72" s="2"/>
      <c r="B72" s="2"/>
      <c r="C72" s="2"/>
      <c r="D72" s="2"/>
      <c r="E72" s="2"/>
      <c r="F72" s="2"/>
      <c r="AE72" s="2"/>
      <c r="AF72" s="2"/>
      <c r="AG72" s="2"/>
      <c r="AH72" s="2"/>
      <c r="AI72" s="2"/>
    </row>
    <row r="73" spans="1:35" ht="14.25" customHeight="1">
      <c r="A73" s="2"/>
      <c r="B73" s="2"/>
      <c r="C73" s="2"/>
      <c r="D73" s="2"/>
      <c r="E73" s="2"/>
      <c r="F73" s="2"/>
      <c r="AE73" s="2"/>
      <c r="AF73" s="2"/>
      <c r="AG73" s="2"/>
      <c r="AH73" s="2"/>
      <c r="AI73" s="2"/>
    </row>
    <row r="74" spans="1:35" ht="14.25" customHeight="1">
      <c r="A74" s="3"/>
      <c r="B74" s="3"/>
      <c r="C74" s="3"/>
      <c r="D74" s="48"/>
      <c r="E74" s="547" t="s">
        <v>8</v>
      </c>
      <c r="F74" s="548"/>
      <c r="G74" s="191">
        <v>2</v>
      </c>
      <c r="H74" s="191">
        <v>2</v>
      </c>
      <c r="I74" s="191">
        <v>2</v>
      </c>
      <c r="J74" s="191">
        <v>2</v>
      </c>
      <c r="K74" s="191">
        <v>2</v>
      </c>
      <c r="L74" s="191">
        <v>2</v>
      </c>
      <c r="M74" s="224">
        <v>4</v>
      </c>
      <c r="N74" s="224">
        <v>4</v>
      </c>
      <c r="O74" s="167">
        <v>7</v>
      </c>
      <c r="P74" s="222">
        <v>8</v>
      </c>
      <c r="Q74" s="319">
        <v>9</v>
      </c>
      <c r="R74" s="222">
        <v>8</v>
      </c>
      <c r="S74" s="319">
        <v>9</v>
      </c>
      <c r="T74" s="319">
        <v>9</v>
      </c>
      <c r="U74" s="320">
        <v>11</v>
      </c>
      <c r="V74" s="319">
        <v>9</v>
      </c>
      <c r="W74" s="222">
        <v>8</v>
      </c>
      <c r="X74" s="167">
        <v>7</v>
      </c>
      <c r="Y74" s="167">
        <v>7</v>
      </c>
      <c r="Z74" s="221">
        <v>6</v>
      </c>
      <c r="AA74" s="167">
        <v>7</v>
      </c>
      <c r="AB74" s="221">
        <v>6</v>
      </c>
      <c r="AC74" s="220">
        <v>3</v>
      </c>
      <c r="AD74" s="195">
        <v>2</v>
      </c>
      <c r="AE74" s="18">
        <f>SUM(G74:AD74)</f>
        <v>136</v>
      </c>
      <c r="AF74" s="25"/>
      <c r="AG74" s="3"/>
      <c r="AH74" s="3"/>
      <c r="AI74" s="3"/>
    </row>
    <row r="75" spans="1:35" ht="14.25" customHeight="1">
      <c r="A75" s="3"/>
      <c r="B75" s="3"/>
      <c r="C75" s="3"/>
      <c r="D75" s="48"/>
      <c r="E75" s="59"/>
      <c r="F75" s="59"/>
      <c r="G75" s="28">
        <f t="shared" ref="G75:AD75" si="13">G77-G74</f>
        <v>0</v>
      </c>
      <c r="H75" s="28">
        <f t="shared" si="13"/>
        <v>0</v>
      </c>
      <c r="I75" s="28">
        <f t="shared" si="13"/>
        <v>0</v>
      </c>
      <c r="J75" s="28">
        <f t="shared" si="13"/>
        <v>0</v>
      </c>
      <c r="K75" s="28">
        <f t="shared" si="13"/>
        <v>0</v>
      </c>
      <c r="L75" s="28">
        <f t="shared" si="13"/>
        <v>0</v>
      </c>
      <c r="M75" s="28">
        <f t="shared" si="13"/>
        <v>0</v>
      </c>
      <c r="N75" s="28">
        <f t="shared" si="13"/>
        <v>0</v>
      </c>
      <c r="O75" s="84">
        <f t="shared" si="13"/>
        <v>0</v>
      </c>
      <c r="P75" s="28">
        <f t="shared" si="13"/>
        <v>0</v>
      </c>
      <c r="Q75" s="28">
        <f t="shared" si="13"/>
        <v>0</v>
      </c>
      <c r="R75" s="28">
        <f t="shared" si="13"/>
        <v>0</v>
      </c>
      <c r="S75" s="28">
        <f t="shared" si="13"/>
        <v>0</v>
      </c>
      <c r="T75" s="28">
        <f t="shared" si="13"/>
        <v>0</v>
      </c>
      <c r="U75" s="28">
        <f t="shared" si="13"/>
        <v>0</v>
      </c>
      <c r="V75" s="28">
        <f t="shared" si="13"/>
        <v>0</v>
      </c>
      <c r="W75" s="28">
        <f t="shared" si="13"/>
        <v>0</v>
      </c>
      <c r="X75" s="28">
        <f t="shared" si="13"/>
        <v>0</v>
      </c>
      <c r="Y75" s="28">
        <f t="shared" si="13"/>
        <v>0</v>
      </c>
      <c r="Z75" s="28">
        <f t="shared" si="13"/>
        <v>0</v>
      </c>
      <c r="AA75" s="28">
        <f t="shared" si="13"/>
        <v>0</v>
      </c>
      <c r="AB75" s="28">
        <f t="shared" si="13"/>
        <v>0</v>
      </c>
      <c r="AC75" s="28">
        <f t="shared" si="13"/>
        <v>0</v>
      </c>
      <c r="AD75" s="28">
        <f t="shared" si="13"/>
        <v>0</v>
      </c>
      <c r="AE75" s="53"/>
      <c r="AF75" s="3">
        <v>16</v>
      </c>
      <c r="AG75" s="3"/>
      <c r="AH75" s="3"/>
      <c r="AI75" s="3">
        <f>AE74/11</f>
        <v>12.363636363636363</v>
      </c>
    </row>
    <row r="76" spans="1:35" ht="14.25" customHeight="1">
      <c r="A76" s="3"/>
      <c r="B76" s="3"/>
      <c r="C76" s="3"/>
      <c r="D76" s="48"/>
      <c r="E76" s="60" t="s">
        <v>145</v>
      </c>
      <c r="F76" s="59"/>
      <c r="G76" s="51" t="s">
        <v>9</v>
      </c>
      <c r="H76" s="51" t="s">
        <v>10</v>
      </c>
      <c r="I76" s="51" t="s">
        <v>11</v>
      </c>
      <c r="J76" s="51" t="s">
        <v>12</v>
      </c>
      <c r="K76" s="51" t="s">
        <v>13</v>
      </c>
      <c r="L76" s="51" t="s">
        <v>14</v>
      </c>
      <c r="M76" s="51" t="s">
        <v>15</v>
      </c>
      <c r="N76" s="51" t="s">
        <v>16</v>
      </c>
      <c r="O76" s="51" t="s">
        <v>17</v>
      </c>
      <c r="P76" s="51" t="s">
        <v>18</v>
      </c>
      <c r="Q76" s="52" t="s">
        <v>19</v>
      </c>
      <c r="R76" s="52" t="s">
        <v>20</v>
      </c>
      <c r="S76" s="52" t="s">
        <v>21</v>
      </c>
      <c r="T76" s="52" t="s">
        <v>22</v>
      </c>
      <c r="U76" s="52" t="s">
        <v>23</v>
      </c>
      <c r="V76" s="52" t="s">
        <v>24</v>
      </c>
      <c r="W76" s="52" t="s">
        <v>25</v>
      </c>
      <c r="X76" s="52" t="s">
        <v>26</v>
      </c>
      <c r="Y76" s="52" t="s">
        <v>27</v>
      </c>
      <c r="Z76" s="52" t="s">
        <v>28</v>
      </c>
      <c r="AA76" s="52" t="s">
        <v>29</v>
      </c>
      <c r="AB76" s="52" t="s">
        <v>30</v>
      </c>
      <c r="AC76" s="52" t="s">
        <v>31</v>
      </c>
      <c r="AD76" s="51" t="s">
        <v>32</v>
      </c>
      <c r="AE76" s="53"/>
      <c r="AF76" s="25"/>
      <c r="AG76" s="3"/>
      <c r="AH76" s="3"/>
      <c r="AI76" s="3"/>
    </row>
    <row r="77" spans="1:35" ht="14.25" customHeight="1">
      <c r="A77" s="3"/>
      <c r="B77" s="3"/>
      <c r="C77" s="3"/>
      <c r="D77" s="48"/>
      <c r="E77" s="61" t="s">
        <v>37</v>
      </c>
      <c r="F77" s="37" t="s">
        <v>38</v>
      </c>
      <c r="G77" s="35">
        <f t="shared" ref="G77:AD77" si="14">SUM(G78:G94)</f>
        <v>2</v>
      </c>
      <c r="H77" s="35">
        <f t="shared" si="14"/>
        <v>2</v>
      </c>
      <c r="I77" s="35">
        <f t="shared" si="14"/>
        <v>2</v>
      </c>
      <c r="J77" s="35">
        <f t="shared" si="14"/>
        <v>2</v>
      </c>
      <c r="K77" s="35">
        <f t="shared" si="14"/>
        <v>2</v>
      </c>
      <c r="L77" s="35">
        <f t="shared" si="14"/>
        <v>2</v>
      </c>
      <c r="M77" s="35">
        <f t="shared" si="14"/>
        <v>4</v>
      </c>
      <c r="N77" s="35">
        <f t="shared" si="14"/>
        <v>4</v>
      </c>
      <c r="O77" s="35">
        <f t="shared" si="14"/>
        <v>7</v>
      </c>
      <c r="P77" s="35">
        <f t="shared" si="14"/>
        <v>8</v>
      </c>
      <c r="Q77" s="35">
        <f t="shared" si="14"/>
        <v>9</v>
      </c>
      <c r="R77" s="35">
        <f t="shared" si="14"/>
        <v>8</v>
      </c>
      <c r="S77" s="35">
        <f t="shared" si="14"/>
        <v>9</v>
      </c>
      <c r="T77" s="35">
        <f t="shared" si="14"/>
        <v>9</v>
      </c>
      <c r="U77" s="35">
        <f t="shared" si="14"/>
        <v>11</v>
      </c>
      <c r="V77" s="35">
        <f t="shared" si="14"/>
        <v>9</v>
      </c>
      <c r="W77" s="35">
        <f t="shared" si="14"/>
        <v>8</v>
      </c>
      <c r="X77" s="35">
        <f t="shared" si="14"/>
        <v>7</v>
      </c>
      <c r="Y77" s="35">
        <f t="shared" si="14"/>
        <v>7</v>
      </c>
      <c r="Z77" s="35">
        <f t="shared" si="14"/>
        <v>6</v>
      </c>
      <c r="AA77" s="35">
        <f t="shared" si="14"/>
        <v>7</v>
      </c>
      <c r="AB77" s="35">
        <f t="shared" si="14"/>
        <v>6</v>
      </c>
      <c r="AC77" s="35">
        <f t="shared" si="14"/>
        <v>3</v>
      </c>
      <c r="AD77" s="35">
        <f t="shared" si="14"/>
        <v>2</v>
      </c>
      <c r="AE77" s="30">
        <f t="shared" ref="AE77:AE91" si="15">SUM(G77:AD77)</f>
        <v>136</v>
      </c>
      <c r="AF77" s="36" t="s">
        <v>39</v>
      </c>
      <c r="AG77" s="173"/>
      <c r="AH77" s="173"/>
      <c r="AI77" s="37" t="s">
        <v>40</v>
      </c>
    </row>
    <row r="78" spans="1:35" ht="14.25" customHeight="1">
      <c r="A78" s="38" t="s">
        <v>145</v>
      </c>
      <c r="B78" s="38" t="s">
        <v>67</v>
      </c>
      <c r="C78" s="38">
        <v>968594141</v>
      </c>
      <c r="D78" s="99">
        <v>1</v>
      </c>
      <c r="E78" s="40" t="s">
        <v>68</v>
      </c>
      <c r="F78" s="41">
        <f t="shared" ref="F78:F94" si="16">SUM(G78:AD78)</f>
        <v>0</v>
      </c>
      <c r="G78" s="202">
        <v>0</v>
      </c>
      <c r="H78" s="202">
        <v>0</v>
      </c>
      <c r="I78" s="202">
        <v>0</v>
      </c>
      <c r="J78" s="202">
        <v>0</v>
      </c>
      <c r="K78" s="202">
        <v>0</v>
      </c>
      <c r="L78" s="202">
        <v>0</v>
      </c>
      <c r="M78" s="202">
        <v>0</v>
      </c>
      <c r="N78" s="202">
        <v>0</v>
      </c>
      <c r="O78" s="202">
        <v>0</v>
      </c>
      <c r="P78" s="202">
        <v>0</v>
      </c>
      <c r="Q78" s="202">
        <v>0</v>
      </c>
      <c r="R78" s="202">
        <v>0</v>
      </c>
      <c r="S78" s="202">
        <v>0</v>
      </c>
      <c r="T78" s="202">
        <v>0</v>
      </c>
      <c r="U78" s="202">
        <v>0</v>
      </c>
      <c r="V78" s="202">
        <v>0</v>
      </c>
      <c r="W78" s="202">
        <v>0</v>
      </c>
      <c r="X78" s="202">
        <v>0</v>
      </c>
      <c r="Y78" s="202">
        <v>0</v>
      </c>
      <c r="Z78" s="202">
        <v>0</v>
      </c>
      <c r="AA78" s="202">
        <v>0</v>
      </c>
      <c r="AB78" s="202">
        <v>0</v>
      </c>
      <c r="AC78" s="202">
        <v>0</v>
      </c>
      <c r="AD78" s="202">
        <v>0</v>
      </c>
      <c r="AE78" s="41">
        <f t="shared" si="15"/>
        <v>0</v>
      </c>
      <c r="AF78" s="116" t="s">
        <v>225</v>
      </c>
      <c r="AG78" s="546" t="s">
        <v>479</v>
      </c>
      <c r="AH78" s="542"/>
      <c r="AI78" s="189" t="s">
        <v>444</v>
      </c>
    </row>
    <row r="79" spans="1:35" ht="15" customHeight="1">
      <c r="A79" s="38" t="s">
        <v>145</v>
      </c>
      <c r="B79" s="38" t="s">
        <v>149</v>
      </c>
      <c r="C79" s="38">
        <v>996585473</v>
      </c>
      <c r="D79" s="62">
        <v>2</v>
      </c>
      <c r="E79" s="40" t="s">
        <v>150</v>
      </c>
      <c r="F79" s="41">
        <f t="shared" si="16"/>
        <v>8</v>
      </c>
      <c r="G79" s="202"/>
      <c r="H79" s="202"/>
      <c r="I79" s="202"/>
      <c r="J79" s="202"/>
      <c r="K79" s="202"/>
      <c r="L79" s="202"/>
      <c r="M79" s="202"/>
      <c r="N79" s="202"/>
      <c r="O79" s="202">
        <v>1</v>
      </c>
      <c r="P79" s="202">
        <v>1</v>
      </c>
      <c r="Q79" s="202">
        <v>1</v>
      </c>
      <c r="R79" s="202"/>
      <c r="S79" s="202">
        <v>1</v>
      </c>
      <c r="T79" s="202">
        <v>1</v>
      </c>
      <c r="U79" s="202">
        <v>1</v>
      </c>
      <c r="V79" s="202">
        <v>1</v>
      </c>
      <c r="W79" s="202">
        <v>1</v>
      </c>
      <c r="X79" s="202"/>
      <c r="Y79" s="202"/>
      <c r="Z79" s="202"/>
      <c r="AA79" s="202"/>
      <c r="AB79" s="202"/>
      <c r="AC79" s="202"/>
      <c r="AD79" s="202"/>
      <c r="AE79" s="41">
        <f t="shared" si="15"/>
        <v>8</v>
      </c>
      <c r="AF79" s="116" t="s">
        <v>253</v>
      </c>
      <c r="AG79" s="546" t="s">
        <v>479</v>
      </c>
      <c r="AH79" s="542"/>
      <c r="AI79" s="189" t="s">
        <v>444</v>
      </c>
    </row>
    <row r="80" spans="1:35" ht="19.5" customHeight="1">
      <c r="A80" s="38" t="s">
        <v>145</v>
      </c>
      <c r="B80" s="38" t="s">
        <v>76</v>
      </c>
      <c r="C80" s="38">
        <v>997829699</v>
      </c>
      <c r="D80" s="39">
        <v>3</v>
      </c>
      <c r="E80" s="40" t="s">
        <v>77</v>
      </c>
      <c r="F80" s="41">
        <f t="shared" si="16"/>
        <v>7</v>
      </c>
      <c r="G80" s="202"/>
      <c r="H80" s="202"/>
      <c r="I80" s="202"/>
      <c r="J80" s="202"/>
      <c r="K80" s="202"/>
      <c r="L80" s="202"/>
      <c r="M80" s="202">
        <v>1</v>
      </c>
      <c r="N80" s="202">
        <v>1</v>
      </c>
      <c r="O80" s="202">
        <v>1</v>
      </c>
      <c r="P80" s="202">
        <v>1</v>
      </c>
      <c r="Q80" s="202">
        <v>1</v>
      </c>
      <c r="R80" s="202">
        <v>1</v>
      </c>
      <c r="S80" s="202">
        <v>1</v>
      </c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41">
        <f t="shared" si="15"/>
        <v>7</v>
      </c>
      <c r="AF80" s="116" t="s">
        <v>379</v>
      </c>
      <c r="AG80" s="546" t="s">
        <v>479</v>
      </c>
      <c r="AH80" s="542"/>
      <c r="AI80" s="189" t="s">
        <v>444</v>
      </c>
    </row>
    <row r="81" spans="1:35" ht="14.25" customHeight="1">
      <c r="A81" s="38" t="s">
        <v>145</v>
      </c>
      <c r="B81" s="38" t="s">
        <v>152</v>
      </c>
      <c r="C81" s="38"/>
      <c r="D81" s="99">
        <v>4</v>
      </c>
      <c r="E81" s="40" t="s">
        <v>153</v>
      </c>
      <c r="F81" s="41">
        <f t="shared" si="16"/>
        <v>10</v>
      </c>
      <c r="G81" s="202"/>
      <c r="H81" s="202"/>
      <c r="I81" s="202"/>
      <c r="J81" s="202"/>
      <c r="K81" s="202"/>
      <c r="L81" s="202"/>
      <c r="M81" s="202"/>
      <c r="N81" s="202">
        <v>1</v>
      </c>
      <c r="O81" s="202">
        <v>1</v>
      </c>
      <c r="P81" s="202">
        <v>1</v>
      </c>
      <c r="Q81" s="202">
        <v>1</v>
      </c>
      <c r="R81" s="202">
        <v>1</v>
      </c>
      <c r="S81" s="202">
        <v>1</v>
      </c>
      <c r="T81" s="202">
        <v>1</v>
      </c>
      <c r="U81" s="202">
        <v>1</v>
      </c>
      <c r="V81" s="202">
        <v>1</v>
      </c>
      <c r="W81" s="202">
        <v>1</v>
      </c>
      <c r="X81" s="202"/>
      <c r="Y81" s="202"/>
      <c r="Z81" s="202"/>
      <c r="AA81" s="202"/>
      <c r="AB81" s="202"/>
      <c r="AC81" s="202"/>
      <c r="AD81" s="202"/>
      <c r="AE81" s="41">
        <f t="shared" si="15"/>
        <v>10</v>
      </c>
      <c r="AF81" s="116" t="s">
        <v>61</v>
      </c>
      <c r="AG81" s="546" t="s">
        <v>479</v>
      </c>
      <c r="AH81" s="542"/>
      <c r="AI81" s="189" t="s">
        <v>444</v>
      </c>
    </row>
    <row r="82" spans="1:35" ht="14.25" customHeight="1">
      <c r="A82" s="38" t="s">
        <v>145</v>
      </c>
      <c r="B82" s="38" t="s">
        <v>85</v>
      </c>
      <c r="C82" s="38">
        <v>991837641</v>
      </c>
      <c r="D82" s="62">
        <v>5</v>
      </c>
      <c r="E82" s="40" t="s">
        <v>86</v>
      </c>
      <c r="F82" s="41">
        <f t="shared" si="16"/>
        <v>0</v>
      </c>
      <c r="G82" s="202">
        <v>0</v>
      </c>
      <c r="H82" s="202">
        <v>0</v>
      </c>
      <c r="I82" s="202">
        <v>0</v>
      </c>
      <c r="J82" s="202">
        <v>0</v>
      </c>
      <c r="K82" s="202">
        <v>0</v>
      </c>
      <c r="L82" s="202">
        <v>0</v>
      </c>
      <c r="M82" s="202">
        <v>0</v>
      </c>
      <c r="N82" s="202">
        <v>0</v>
      </c>
      <c r="O82" s="202">
        <v>0</v>
      </c>
      <c r="P82" s="202">
        <v>0</v>
      </c>
      <c r="Q82" s="202">
        <v>0</v>
      </c>
      <c r="R82" s="202">
        <v>0</v>
      </c>
      <c r="S82" s="202">
        <v>0</v>
      </c>
      <c r="T82" s="202">
        <v>0</v>
      </c>
      <c r="U82" s="202">
        <v>0</v>
      </c>
      <c r="V82" s="202">
        <v>0</v>
      </c>
      <c r="W82" s="202">
        <v>0</v>
      </c>
      <c r="X82" s="202">
        <v>0</v>
      </c>
      <c r="Y82" s="202">
        <v>0</v>
      </c>
      <c r="Z82" s="202">
        <v>0</v>
      </c>
      <c r="AA82" s="202">
        <v>0</v>
      </c>
      <c r="AB82" s="202">
        <v>0</v>
      </c>
      <c r="AC82" s="202">
        <v>0</v>
      </c>
      <c r="AD82" s="202">
        <v>0</v>
      </c>
      <c r="AE82" s="41">
        <f t="shared" si="15"/>
        <v>0</v>
      </c>
      <c r="AF82" s="116" t="s">
        <v>225</v>
      </c>
      <c r="AG82" s="546" t="s">
        <v>479</v>
      </c>
      <c r="AH82" s="542"/>
      <c r="AI82" s="189" t="s">
        <v>444</v>
      </c>
    </row>
    <row r="83" spans="1:35" ht="14.25" customHeight="1">
      <c r="A83" s="38" t="s">
        <v>145</v>
      </c>
      <c r="B83" s="38" t="s">
        <v>157</v>
      </c>
      <c r="C83" s="38">
        <v>990911747</v>
      </c>
      <c r="D83" s="39">
        <v>6</v>
      </c>
      <c r="E83" s="40" t="s">
        <v>158</v>
      </c>
      <c r="F83" s="41">
        <f t="shared" si="16"/>
        <v>9</v>
      </c>
      <c r="G83" s="202"/>
      <c r="H83" s="202"/>
      <c r="I83" s="202"/>
      <c r="J83" s="202"/>
      <c r="K83" s="202"/>
      <c r="L83" s="202"/>
      <c r="M83" s="202">
        <v>1</v>
      </c>
      <c r="N83" s="202">
        <v>1</v>
      </c>
      <c r="O83" s="202">
        <v>1</v>
      </c>
      <c r="P83" s="202">
        <v>1</v>
      </c>
      <c r="Q83" s="202">
        <v>1</v>
      </c>
      <c r="R83" s="202">
        <v>1</v>
      </c>
      <c r="S83" s="202">
        <v>1</v>
      </c>
      <c r="T83" s="202">
        <v>1</v>
      </c>
      <c r="U83" s="202">
        <v>1</v>
      </c>
      <c r="V83" s="202"/>
      <c r="W83" s="202"/>
      <c r="X83" s="202"/>
      <c r="Y83" s="202"/>
      <c r="Z83" s="202"/>
      <c r="AA83" s="202"/>
      <c r="AB83" s="202"/>
      <c r="AC83" s="202"/>
      <c r="AD83" s="202"/>
      <c r="AE83" s="41">
        <f t="shared" si="15"/>
        <v>9</v>
      </c>
      <c r="AF83" s="116" t="s">
        <v>244</v>
      </c>
      <c r="AG83" s="546" t="s">
        <v>479</v>
      </c>
      <c r="AH83" s="542"/>
      <c r="AI83" s="189" t="s">
        <v>444</v>
      </c>
    </row>
    <row r="84" spans="1:35" ht="14.25" customHeight="1">
      <c r="A84" s="38" t="s">
        <v>145</v>
      </c>
      <c r="B84" s="38" t="s">
        <v>160</v>
      </c>
      <c r="C84" s="38">
        <v>993901115</v>
      </c>
      <c r="D84" s="99">
        <v>7</v>
      </c>
      <c r="E84" s="40" t="s">
        <v>161</v>
      </c>
      <c r="F84" s="41">
        <f t="shared" si="16"/>
        <v>11</v>
      </c>
      <c r="G84" s="202">
        <v>1</v>
      </c>
      <c r="H84" s="202">
        <v>1</v>
      </c>
      <c r="I84" s="202">
        <v>1</v>
      </c>
      <c r="J84" s="202">
        <v>1</v>
      </c>
      <c r="K84" s="202">
        <v>1</v>
      </c>
      <c r="L84" s="202">
        <v>1</v>
      </c>
      <c r="M84" s="202">
        <v>1</v>
      </c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>
        <v>1</v>
      </c>
      <c r="AB84" s="202">
        <v>1</v>
      </c>
      <c r="AC84" s="202">
        <v>1</v>
      </c>
      <c r="AD84" s="202">
        <v>1</v>
      </c>
      <c r="AE84" s="41">
        <f t="shared" si="15"/>
        <v>11</v>
      </c>
      <c r="AF84" s="116" t="s">
        <v>424</v>
      </c>
      <c r="AG84" s="546" t="s">
        <v>479</v>
      </c>
      <c r="AH84" s="542"/>
      <c r="AI84" s="189" t="s">
        <v>444</v>
      </c>
    </row>
    <row r="85" spans="1:35" ht="14.25" customHeight="1">
      <c r="A85" s="38" t="s">
        <v>145</v>
      </c>
      <c r="B85" s="38" t="s">
        <v>165</v>
      </c>
      <c r="C85" s="38">
        <v>992994680</v>
      </c>
      <c r="D85" s="62">
        <v>8</v>
      </c>
      <c r="E85" s="40" t="s">
        <v>166</v>
      </c>
      <c r="F85" s="41">
        <f t="shared" si="16"/>
        <v>9</v>
      </c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>
        <v>1</v>
      </c>
      <c r="U85" s="202">
        <v>1</v>
      </c>
      <c r="V85" s="202">
        <v>1</v>
      </c>
      <c r="W85" s="202">
        <v>1</v>
      </c>
      <c r="X85" s="202">
        <v>1</v>
      </c>
      <c r="Y85" s="202">
        <v>1</v>
      </c>
      <c r="Z85" s="202">
        <v>1</v>
      </c>
      <c r="AA85" s="202">
        <v>1</v>
      </c>
      <c r="AB85" s="202">
        <v>1</v>
      </c>
      <c r="AC85" s="202"/>
      <c r="AD85" s="202"/>
      <c r="AE85" s="41">
        <f t="shared" si="15"/>
        <v>9</v>
      </c>
      <c r="AF85" s="116" t="s">
        <v>255</v>
      </c>
      <c r="AG85" s="546" t="s">
        <v>479</v>
      </c>
      <c r="AH85" s="542"/>
      <c r="AI85" s="189" t="s">
        <v>444</v>
      </c>
    </row>
    <row r="86" spans="1:35" ht="14.25" customHeight="1">
      <c r="A86" s="38" t="s">
        <v>145</v>
      </c>
      <c r="B86" s="38" t="s">
        <v>168</v>
      </c>
      <c r="C86" s="38"/>
      <c r="D86" s="39">
        <v>9</v>
      </c>
      <c r="E86" s="40" t="s">
        <v>169</v>
      </c>
      <c r="F86" s="41">
        <f t="shared" si="16"/>
        <v>12</v>
      </c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>
        <v>1</v>
      </c>
      <c r="R86" s="202">
        <v>1</v>
      </c>
      <c r="S86" s="202">
        <v>1</v>
      </c>
      <c r="T86" s="202">
        <v>1</v>
      </c>
      <c r="U86" s="202">
        <v>1</v>
      </c>
      <c r="V86" s="202">
        <v>1</v>
      </c>
      <c r="W86" s="202">
        <v>1</v>
      </c>
      <c r="X86" s="202">
        <v>1</v>
      </c>
      <c r="Y86" s="202">
        <v>1</v>
      </c>
      <c r="Z86" s="202">
        <v>1</v>
      </c>
      <c r="AA86" s="202">
        <v>1</v>
      </c>
      <c r="AB86" s="202">
        <v>1</v>
      </c>
      <c r="AC86" s="202"/>
      <c r="AD86" s="202"/>
      <c r="AE86" s="41">
        <f t="shared" si="15"/>
        <v>12</v>
      </c>
      <c r="AF86" s="116" t="s">
        <v>96</v>
      </c>
      <c r="AG86" s="546" t="s">
        <v>479</v>
      </c>
      <c r="AH86" s="542"/>
      <c r="AI86" s="189" t="s">
        <v>444</v>
      </c>
    </row>
    <row r="87" spans="1:35" ht="14.25" customHeight="1">
      <c r="A87" s="98" t="s">
        <v>145</v>
      </c>
      <c r="B87" s="98" t="s">
        <v>451</v>
      </c>
      <c r="C87" s="98"/>
      <c r="D87" s="99">
        <v>10</v>
      </c>
      <c r="E87" s="40" t="s">
        <v>177</v>
      </c>
      <c r="F87" s="41">
        <f t="shared" si="16"/>
        <v>13</v>
      </c>
      <c r="G87" s="202"/>
      <c r="H87" s="202"/>
      <c r="I87" s="202"/>
      <c r="J87" s="202"/>
      <c r="K87" s="202"/>
      <c r="L87" s="202"/>
      <c r="M87" s="202"/>
      <c r="N87" s="202"/>
      <c r="O87" s="202">
        <v>1</v>
      </c>
      <c r="P87" s="202">
        <v>1</v>
      </c>
      <c r="Q87" s="202">
        <v>1</v>
      </c>
      <c r="R87" s="202">
        <v>1</v>
      </c>
      <c r="S87" s="202">
        <v>1</v>
      </c>
      <c r="T87" s="202"/>
      <c r="U87" s="202">
        <v>1</v>
      </c>
      <c r="V87" s="202">
        <v>1</v>
      </c>
      <c r="W87" s="202">
        <v>1</v>
      </c>
      <c r="X87" s="202">
        <v>1</v>
      </c>
      <c r="Y87" s="202">
        <v>1</v>
      </c>
      <c r="Z87" s="202">
        <v>1</v>
      </c>
      <c r="AA87" s="202">
        <v>1</v>
      </c>
      <c r="AB87" s="202">
        <v>1</v>
      </c>
      <c r="AC87" s="202"/>
      <c r="AD87" s="202"/>
      <c r="AE87" s="41">
        <f t="shared" si="15"/>
        <v>13</v>
      </c>
      <c r="AF87" s="116" t="s">
        <v>719</v>
      </c>
      <c r="AG87" s="546" t="s">
        <v>479</v>
      </c>
      <c r="AH87" s="542"/>
      <c r="AI87" s="189" t="s">
        <v>444</v>
      </c>
    </row>
    <row r="88" spans="1:35" ht="14.25" customHeight="1">
      <c r="A88" s="38" t="s">
        <v>145</v>
      </c>
      <c r="B88" s="38" t="s">
        <v>178</v>
      </c>
      <c r="C88" s="38"/>
      <c r="D88" s="62">
        <v>11</v>
      </c>
      <c r="E88" s="40" t="s">
        <v>179</v>
      </c>
      <c r="F88" s="41">
        <f t="shared" si="16"/>
        <v>12</v>
      </c>
      <c r="G88" s="202">
        <v>1</v>
      </c>
      <c r="H88" s="202">
        <v>1</v>
      </c>
      <c r="I88" s="202">
        <v>1</v>
      </c>
      <c r="J88" s="202">
        <v>1</v>
      </c>
      <c r="K88" s="202">
        <v>1</v>
      </c>
      <c r="L88" s="202">
        <v>1</v>
      </c>
      <c r="M88" s="202">
        <v>1</v>
      </c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>
        <v>1</v>
      </c>
      <c r="AA88" s="202">
        <v>1</v>
      </c>
      <c r="AB88" s="202">
        <v>1</v>
      </c>
      <c r="AC88" s="202">
        <v>1</v>
      </c>
      <c r="AD88" s="202">
        <v>1</v>
      </c>
      <c r="AE88" s="41">
        <f t="shared" si="15"/>
        <v>12</v>
      </c>
      <c r="AF88" s="116" t="s">
        <v>311</v>
      </c>
      <c r="AG88" s="546" t="s">
        <v>479</v>
      </c>
      <c r="AH88" s="542"/>
      <c r="AI88" s="189" t="s">
        <v>444</v>
      </c>
    </row>
    <row r="89" spans="1:35" ht="14.25" customHeight="1">
      <c r="A89" s="38" t="s">
        <v>145</v>
      </c>
      <c r="B89" s="38" t="s">
        <v>181</v>
      </c>
      <c r="C89" s="38"/>
      <c r="D89" s="39">
        <v>12</v>
      </c>
      <c r="E89" s="40" t="s">
        <v>182</v>
      </c>
      <c r="F89" s="41">
        <f t="shared" si="16"/>
        <v>10</v>
      </c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>
        <v>1</v>
      </c>
      <c r="U89" s="202">
        <v>1</v>
      </c>
      <c r="V89" s="202">
        <v>1</v>
      </c>
      <c r="W89" s="202">
        <v>1</v>
      </c>
      <c r="X89" s="202">
        <v>1</v>
      </c>
      <c r="Y89" s="202">
        <v>1</v>
      </c>
      <c r="Z89" s="202">
        <v>1</v>
      </c>
      <c r="AA89" s="202">
        <v>1</v>
      </c>
      <c r="AB89" s="202">
        <v>1</v>
      </c>
      <c r="AC89" s="202">
        <v>1</v>
      </c>
      <c r="AD89" s="202"/>
      <c r="AE89" s="41">
        <f t="shared" si="15"/>
        <v>10</v>
      </c>
      <c r="AF89" s="116" t="s">
        <v>755</v>
      </c>
      <c r="AG89" s="546" t="s">
        <v>479</v>
      </c>
      <c r="AH89" s="542"/>
      <c r="AI89" s="189" t="s">
        <v>444</v>
      </c>
    </row>
    <row r="90" spans="1:35" ht="14.25" customHeight="1">
      <c r="A90" s="38" t="s">
        <v>145</v>
      </c>
      <c r="B90" s="38" t="s">
        <v>107</v>
      </c>
      <c r="C90" s="38">
        <v>981074073</v>
      </c>
      <c r="D90" s="99">
        <v>13</v>
      </c>
      <c r="E90" s="40" t="s">
        <v>108</v>
      </c>
      <c r="F90" s="41">
        <f t="shared" si="16"/>
        <v>12</v>
      </c>
      <c r="G90" s="202"/>
      <c r="H90" s="202"/>
      <c r="I90" s="202"/>
      <c r="J90" s="202"/>
      <c r="K90" s="202"/>
      <c r="L90" s="202"/>
      <c r="M90" s="202"/>
      <c r="N90" s="202"/>
      <c r="O90" s="202"/>
      <c r="P90" s="202">
        <v>1</v>
      </c>
      <c r="Q90" s="202">
        <v>1</v>
      </c>
      <c r="R90" s="202">
        <v>1</v>
      </c>
      <c r="S90" s="202">
        <v>1</v>
      </c>
      <c r="T90" s="202">
        <v>1</v>
      </c>
      <c r="U90" s="202">
        <v>1</v>
      </c>
      <c r="V90" s="202">
        <v>1</v>
      </c>
      <c r="W90" s="202">
        <v>1</v>
      </c>
      <c r="X90" s="202">
        <v>1</v>
      </c>
      <c r="Y90" s="202">
        <v>1</v>
      </c>
      <c r="Z90" s="202">
        <v>1</v>
      </c>
      <c r="AA90" s="202">
        <v>1</v>
      </c>
      <c r="AB90" s="202"/>
      <c r="AC90" s="202"/>
      <c r="AD90" s="202"/>
      <c r="AE90" s="41">
        <f t="shared" si="15"/>
        <v>12</v>
      </c>
      <c r="AF90" s="116" t="s">
        <v>69</v>
      </c>
      <c r="AG90" s="546" t="s">
        <v>479</v>
      </c>
      <c r="AH90" s="542"/>
      <c r="AI90" s="189" t="s">
        <v>444</v>
      </c>
    </row>
    <row r="91" spans="1:35" ht="14.25" customHeight="1">
      <c r="A91" s="38" t="s">
        <v>145</v>
      </c>
      <c r="B91" s="38" t="s">
        <v>167</v>
      </c>
      <c r="C91" s="38">
        <v>995055956</v>
      </c>
      <c r="D91" s="117">
        <v>14</v>
      </c>
      <c r="E91" s="100" t="s">
        <v>144</v>
      </c>
      <c r="F91" s="41">
        <f t="shared" si="16"/>
        <v>11</v>
      </c>
      <c r="G91" s="202"/>
      <c r="H91" s="202"/>
      <c r="I91" s="202"/>
      <c r="J91" s="202"/>
      <c r="K91" s="202"/>
      <c r="L91" s="202"/>
      <c r="M91" s="202"/>
      <c r="N91" s="202"/>
      <c r="O91" s="202">
        <v>1</v>
      </c>
      <c r="P91" s="202">
        <v>1</v>
      </c>
      <c r="Q91" s="202">
        <v>1</v>
      </c>
      <c r="R91" s="202">
        <v>1</v>
      </c>
      <c r="S91" s="202">
        <v>1</v>
      </c>
      <c r="T91" s="202">
        <v>1</v>
      </c>
      <c r="U91" s="202">
        <v>1</v>
      </c>
      <c r="V91" s="202">
        <v>1</v>
      </c>
      <c r="W91" s="202">
        <v>1</v>
      </c>
      <c r="X91" s="202">
        <v>1</v>
      </c>
      <c r="Y91" s="202">
        <v>1</v>
      </c>
      <c r="Z91" s="202"/>
      <c r="AA91" s="202"/>
      <c r="AB91" s="202"/>
      <c r="AC91" s="202"/>
      <c r="AD91" s="202"/>
      <c r="AE91" s="41">
        <f t="shared" si="15"/>
        <v>11</v>
      </c>
      <c r="AF91" s="116" t="s">
        <v>119</v>
      </c>
      <c r="AG91" s="546" t="s">
        <v>479</v>
      </c>
      <c r="AH91" s="542"/>
      <c r="AI91" s="189" t="s">
        <v>444</v>
      </c>
    </row>
    <row r="92" spans="1:35" ht="14.25" customHeight="1">
      <c r="A92" s="38" t="s">
        <v>145</v>
      </c>
      <c r="B92" s="38" t="s">
        <v>173</v>
      </c>
      <c r="C92" s="38">
        <v>988941361</v>
      </c>
      <c r="D92" s="99">
        <v>15</v>
      </c>
      <c r="E92" s="100" t="s">
        <v>174</v>
      </c>
      <c r="F92" s="41">
        <f t="shared" si="16"/>
        <v>1</v>
      </c>
      <c r="G92" s="202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>
        <v>1</v>
      </c>
      <c r="V92" s="580" t="s">
        <v>209</v>
      </c>
      <c r="W92" s="555"/>
      <c r="X92" s="555"/>
      <c r="Y92" s="555"/>
      <c r="Z92" s="555"/>
      <c r="AA92" s="555"/>
      <c r="AB92" s="555"/>
      <c r="AC92" s="542"/>
      <c r="AD92" s="176"/>
      <c r="AE92" s="41">
        <v>9</v>
      </c>
      <c r="AF92" s="116" t="s">
        <v>81</v>
      </c>
      <c r="AG92" s="580" t="s">
        <v>209</v>
      </c>
      <c r="AH92" s="542"/>
      <c r="AI92" s="189" t="s">
        <v>444</v>
      </c>
    </row>
    <row r="93" spans="1:35" ht="14.25" customHeight="1">
      <c r="A93" s="76" t="s">
        <v>145</v>
      </c>
      <c r="B93" s="76" t="s">
        <v>97</v>
      </c>
      <c r="C93" s="38"/>
      <c r="D93" s="99">
        <v>16</v>
      </c>
      <c r="E93" s="100" t="s">
        <v>98</v>
      </c>
      <c r="F93" s="41">
        <f t="shared" si="16"/>
        <v>0</v>
      </c>
      <c r="G93" s="202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580" t="s">
        <v>209</v>
      </c>
      <c r="W93" s="555"/>
      <c r="X93" s="555"/>
      <c r="Y93" s="555"/>
      <c r="Z93" s="555"/>
      <c r="AA93" s="555"/>
      <c r="AB93" s="555"/>
      <c r="AC93" s="542"/>
      <c r="AD93" s="176"/>
      <c r="AE93" s="41">
        <v>8</v>
      </c>
      <c r="AF93" s="116" t="s">
        <v>218</v>
      </c>
      <c r="AG93" s="580" t="s">
        <v>209</v>
      </c>
      <c r="AH93" s="542"/>
      <c r="AI93" s="189" t="s">
        <v>444</v>
      </c>
    </row>
    <row r="94" spans="1:35" ht="14.25" customHeight="1">
      <c r="A94" s="38" t="s">
        <v>145</v>
      </c>
      <c r="B94" s="38" t="s">
        <v>472</v>
      </c>
      <c r="C94" s="38"/>
      <c r="D94" s="39">
        <v>17</v>
      </c>
      <c r="E94" s="40" t="s">
        <v>184</v>
      </c>
      <c r="F94" s="41">
        <f t="shared" si="16"/>
        <v>11</v>
      </c>
      <c r="G94" s="202"/>
      <c r="H94" s="202"/>
      <c r="I94" s="202"/>
      <c r="J94" s="202"/>
      <c r="K94" s="202"/>
      <c r="L94" s="202"/>
      <c r="M94" s="202"/>
      <c r="N94" s="202">
        <v>1</v>
      </c>
      <c r="O94" s="202">
        <v>1</v>
      </c>
      <c r="P94" s="202">
        <v>1</v>
      </c>
      <c r="Q94" s="202">
        <v>1</v>
      </c>
      <c r="R94" s="202">
        <v>1</v>
      </c>
      <c r="S94" s="202">
        <v>1</v>
      </c>
      <c r="T94" s="202">
        <v>1</v>
      </c>
      <c r="U94" s="202">
        <v>1</v>
      </c>
      <c r="V94" s="202">
        <v>1</v>
      </c>
      <c r="W94" s="202"/>
      <c r="X94" s="202">
        <v>1</v>
      </c>
      <c r="Y94" s="202">
        <v>1</v>
      </c>
      <c r="Z94" s="202"/>
      <c r="AA94" s="202"/>
      <c r="AB94" s="202"/>
      <c r="AC94" s="202"/>
      <c r="AD94" s="202"/>
      <c r="AE94" s="41">
        <f>SUM(G94:AD94)</f>
        <v>11</v>
      </c>
      <c r="AF94" s="116" t="s">
        <v>756</v>
      </c>
      <c r="AG94" s="546" t="s">
        <v>479</v>
      </c>
      <c r="AH94" s="542"/>
      <c r="AI94" s="189" t="s">
        <v>444</v>
      </c>
    </row>
    <row r="95" spans="1:35" ht="14.25" customHeight="1">
      <c r="A95" s="3"/>
      <c r="B95" s="3"/>
      <c r="C95" s="3"/>
      <c r="D95" s="3"/>
      <c r="E95" s="3"/>
      <c r="F95" s="3"/>
      <c r="G95" s="65" t="s">
        <v>9</v>
      </c>
      <c r="H95" s="65" t="s">
        <v>10</v>
      </c>
      <c r="I95" s="65" t="s">
        <v>11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65" t="s">
        <v>17</v>
      </c>
      <c r="P95" s="65" t="s">
        <v>18</v>
      </c>
      <c r="Q95" s="66" t="s">
        <v>19</v>
      </c>
      <c r="R95" s="66" t="s">
        <v>20</v>
      </c>
      <c r="S95" s="66" t="s">
        <v>21</v>
      </c>
      <c r="T95" s="66" t="s">
        <v>22</v>
      </c>
      <c r="U95" s="66" t="s">
        <v>23</v>
      </c>
      <c r="V95" s="66" t="s">
        <v>24</v>
      </c>
      <c r="W95" s="66" t="s">
        <v>25</v>
      </c>
      <c r="X95" s="66" t="s">
        <v>26</v>
      </c>
      <c r="Y95" s="66" t="s">
        <v>27</v>
      </c>
      <c r="Z95" s="66" t="s">
        <v>28</v>
      </c>
      <c r="AA95" s="66" t="s">
        <v>29</v>
      </c>
      <c r="AB95" s="66" t="s">
        <v>30</v>
      </c>
      <c r="AC95" s="66" t="s">
        <v>31</v>
      </c>
      <c r="AD95" s="65" t="s">
        <v>32</v>
      </c>
      <c r="AE95" s="53"/>
      <c r="AF95" s="3"/>
      <c r="AG95" s="3"/>
      <c r="AH95" s="3"/>
      <c r="AI95" s="3"/>
    </row>
    <row r="96" spans="1:3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</sheetData>
  <customSheetViews>
    <customSheetView guid="{833D6734-F5E1-4449-B5A1-8C3A51A61651}" filter="1" showAutoFilter="1">
      <pageMargins left="0.7" right="0.7" top="0.75" bottom="0.75" header="0.3" footer="0.3"/>
      <autoFilter ref="A7:AI96" xr:uid="{D9549CDD-51BC-4BF7-8BC3-B29B2220B785}">
        <filterColumn colId="26">
          <filters>
            <filter val="-"/>
            <filter val="1"/>
            <filter val="5"/>
            <filter val="7"/>
            <filter val="MONITOREOS"/>
            <filter val="VIP"/>
          </filters>
        </filterColumn>
      </autoFilter>
    </customSheetView>
    <customSheetView guid="{49BA5E93-E473-4F11-BE7E-FD55CB28D969}" filter="1" showAutoFilter="1">
      <pageMargins left="0.7" right="0.7" top="0.75" bottom="0.75" header="0.3" footer="0.3"/>
      <autoFilter ref="G5:AD96" xr:uid="{E04E3F3E-ED98-44ED-9D85-8547A6973270}">
        <filterColumn colId="15">
          <filters>
            <filter val="-"/>
            <filter val="(1)"/>
            <filter val="1"/>
            <filter val="10"/>
            <filter val="19"/>
            <filter val="9"/>
            <filter val="BASE MIGRAS"/>
            <filter val="DTH"/>
            <filter val="MONITOREOS"/>
            <filter val="SEGUIMIENTO TRANSFERENCIAS"/>
            <filter val="VIP"/>
          </filters>
        </filterColumn>
      </autoFilter>
    </customSheetView>
    <customSheetView guid="{D6F95600-F5D2-44BC-80B6-0F2773D5BD92}" filter="1" showAutoFilter="1">
      <pageMargins left="0.7" right="0.7" top="0.75" bottom="0.75" header="0.3" footer="0.3"/>
      <autoFilter ref="A3:AI96" xr:uid="{CCCA2382-BD24-4421-9A08-ABD9747AF558}"/>
    </customSheetView>
  </customSheetViews>
  <mergeCells count="79">
    <mergeCell ref="N47:U47"/>
    <mergeCell ref="V48:AC48"/>
    <mergeCell ref="O49:Z49"/>
    <mergeCell ref="AG49:AH49"/>
    <mergeCell ref="E55:F55"/>
    <mergeCell ref="AG34:AH34"/>
    <mergeCell ref="AG36:AH36"/>
    <mergeCell ref="AG37:AH37"/>
    <mergeCell ref="AG38:AH38"/>
    <mergeCell ref="AG46:AH46"/>
    <mergeCell ref="AG39:AH39"/>
    <mergeCell ref="AG40:AH40"/>
    <mergeCell ref="AG41:AH41"/>
    <mergeCell ref="AG42:AH42"/>
    <mergeCell ref="AG43:AH43"/>
    <mergeCell ref="AG44:AH44"/>
    <mergeCell ref="AG45:AH45"/>
    <mergeCell ref="AG28:AH28"/>
    <mergeCell ref="AG29:AH29"/>
    <mergeCell ref="V31:AC31"/>
    <mergeCell ref="V33:AC33"/>
    <mergeCell ref="AG30:AH30"/>
    <mergeCell ref="AG31:AH31"/>
    <mergeCell ref="AG32:AH32"/>
    <mergeCell ref="AG23:AH23"/>
    <mergeCell ref="AG24:AH24"/>
    <mergeCell ref="AG25:AH25"/>
    <mergeCell ref="AG26:AH26"/>
    <mergeCell ref="AG27:AH27"/>
    <mergeCell ref="AG18:AH18"/>
    <mergeCell ref="AG19:AH19"/>
    <mergeCell ref="AG20:AH20"/>
    <mergeCell ref="AG21:AH21"/>
    <mergeCell ref="AG22:AH22"/>
    <mergeCell ref="AG13:AH13"/>
    <mergeCell ref="AG14:AH14"/>
    <mergeCell ref="AG15:AH15"/>
    <mergeCell ref="P17:Z17"/>
    <mergeCell ref="AG16:AH16"/>
    <mergeCell ref="AG8:AH8"/>
    <mergeCell ref="AG9:AH9"/>
    <mergeCell ref="AG10:AH10"/>
    <mergeCell ref="R11:Y11"/>
    <mergeCell ref="AG12:AH12"/>
    <mergeCell ref="A1:B1"/>
    <mergeCell ref="D3:AE3"/>
    <mergeCell ref="E4:F4"/>
    <mergeCell ref="E5:F5"/>
    <mergeCell ref="AG7:AH7"/>
    <mergeCell ref="V93:AC93"/>
    <mergeCell ref="AG93:AH93"/>
    <mergeCell ref="AG85:AH85"/>
    <mergeCell ref="AG86:AH86"/>
    <mergeCell ref="AG87:AH87"/>
    <mergeCell ref="AG88:AH88"/>
    <mergeCell ref="AG89:AH89"/>
    <mergeCell ref="AG90:AH90"/>
    <mergeCell ref="V92:AC92"/>
    <mergeCell ref="AG83:AH83"/>
    <mergeCell ref="AG84:AH84"/>
    <mergeCell ref="AG91:AH91"/>
    <mergeCell ref="AG92:AH92"/>
    <mergeCell ref="AG94:AH94"/>
    <mergeCell ref="AG78:AH78"/>
    <mergeCell ref="AG79:AH79"/>
    <mergeCell ref="AG80:AH80"/>
    <mergeCell ref="AG81:AH81"/>
    <mergeCell ref="AG82:AH82"/>
    <mergeCell ref="AG66:AH66"/>
    <mergeCell ref="AG67:AH67"/>
    <mergeCell ref="AG68:AH68"/>
    <mergeCell ref="E74:F74"/>
    <mergeCell ref="AG59:AH59"/>
    <mergeCell ref="AG60:AH60"/>
    <mergeCell ref="AG61:AH61"/>
    <mergeCell ref="AG62:AH62"/>
    <mergeCell ref="AG63:AH63"/>
    <mergeCell ref="AG64:AH64"/>
    <mergeCell ref="AG65:AH65"/>
  </mergeCells>
  <conditionalFormatting sqref="E4:F4 E55:F58 E74:F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7:AB57 N69:AB69 R76:AB76 N95:AB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BQ24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customHeight="1"/>
  <cols>
    <col min="2" max="2" width="23.85546875" customWidth="1"/>
    <col min="37" max="47" width="14.42578125" hidden="1"/>
  </cols>
  <sheetData>
    <row r="1" spans="1:69">
      <c r="A1" s="347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  <c r="AR1" s="347"/>
      <c r="AS1" s="347"/>
      <c r="AT1" s="347"/>
      <c r="AU1" s="347"/>
      <c r="AV1" s="347"/>
      <c r="AW1" s="347"/>
      <c r="AX1" s="347"/>
      <c r="AY1" s="347"/>
      <c r="AZ1" s="347"/>
      <c r="BA1" s="347"/>
      <c r="BB1" s="347"/>
      <c r="BC1" s="347"/>
      <c r="BD1" s="347"/>
      <c r="BE1" s="347"/>
      <c r="BF1" s="347"/>
      <c r="BG1" s="347"/>
      <c r="BH1" s="347"/>
      <c r="BI1" s="347"/>
      <c r="BJ1" s="347"/>
      <c r="BK1" s="347"/>
      <c r="BL1" s="347"/>
      <c r="BM1" s="347"/>
      <c r="BN1" s="347"/>
      <c r="BO1" s="347"/>
      <c r="BP1" s="347"/>
      <c r="BQ1" s="347"/>
    </row>
    <row r="2" spans="1:69">
      <c r="A2" s="347"/>
      <c r="B2" s="590" t="s">
        <v>41</v>
      </c>
      <c r="C2" s="348">
        <v>45658</v>
      </c>
      <c r="D2" s="348">
        <v>45659</v>
      </c>
      <c r="E2" s="348">
        <v>45660</v>
      </c>
      <c r="F2" s="348">
        <v>45661</v>
      </c>
      <c r="G2" s="348">
        <v>45662</v>
      </c>
      <c r="H2" s="348">
        <v>45663</v>
      </c>
      <c r="I2" s="348">
        <v>45664</v>
      </c>
      <c r="J2" s="348">
        <v>45665</v>
      </c>
      <c r="K2" s="348">
        <v>45666</v>
      </c>
      <c r="L2" s="348">
        <v>45667</v>
      </c>
      <c r="M2" s="348">
        <v>45668</v>
      </c>
      <c r="N2" s="348">
        <v>45669</v>
      </c>
      <c r="O2" s="348">
        <v>45670</v>
      </c>
      <c r="P2" s="348">
        <v>45671</v>
      </c>
      <c r="Q2" s="348">
        <v>45672</v>
      </c>
      <c r="R2" s="348">
        <v>45673</v>
      </c>
      <c r="S2" s="348">
        <v>45674</v>
      </c>
      <c r="T2" s="348">
        <v>45675</v>
      </c>
      <c r="U2" s="348">
        <v>45676</v>
      </c>
      <c r="V2" s="348">
        <v>45677</v>
      </c>
      <c r="W2" s="348">
        <v>45678</v>
      </c>
      <c r="X2" s="348">
        <v>45679</v>
      </c>
      <c r="Y2" s="348">
        <v>45680</v>
      </c>
      <c r="Z2" s="348">
        <v>45681</v>
      </c>
      <c r="AA2" s="348">
        <v>45682</v>
      </c>
      <c r="AB2" s="348">
        <v>45683</v>
      </c>
      <c r="AC2" s="348">
        <v>45684</v>
      </c>
      <c r="AD2" s="348">
        <v>45685</v>
      </c>
      <c r="AE2" s="348">
        <v>45686</v>
      </c>
      <c r="AF2" s="348">
        <v>45687</v>
      </c>
      <c r="AG2" s="348">
        <v>45688</v>
      </c>
      <c r="AH2" s="347"/>
      <c r="AI2" s="347"/>
      <c r="AJ2" s="592" t="s">
        <v>763</v>
      </c>
      <c r="AK2" s="348">
        <v>45658</v>
      </c>
      <c r="AL2" s="348">
        <v>45659</v>
      </c>
      <c r="AM2" s="348">
        <v>45660</v>
      </c>
      <c r="AN2" s="348">
        <v>45661</v>
      </c>
      <c r="AO2" s="348">
        <v>45662</v>
      </c>
      <c r="AP2" s="348">
        <v>45663</v>
      </c>
      <c r="AQ2" s="348">
        <v>45664</v>
      </c>
      <c r="AR2" s="348">
        <v>45665</v>
      </c>
      <c r="AS2" s="348">
        <v>45666</v>
      </c>
      <c r="AT2" s="348">
        <v>45667</v>
      </c>
      <c r="AU2" s="348">
        <v>45668</v>
      </c>
      <c r="AV2" s="348">
        <v>45669</v>
      </c>
      <c r="AW2" s="348">
        <v>45670</v>
      </c>
      <c r="AX2" s="348">
        <v>45671</v>
      </c>
      <c r="AY2" s="348">
        <v>45672</v>
      </c>
      <c r="AZ2" s="348">
        <v>45673</v>
      </c>
      <c r="BA2" s="348">
        <v>45674</v>
      </c>
      <c r="BB2" s="348">
        <v>45675</v>
      </c>
      <c r="BC2" s="348">
        <v>45676</v>
      </c>
      <c r="BD2" s="348">
        <v>45677</v>
      </c>
      <c r="BE2" s="348">
        <v>45678</v>
      </c>
      <c r="BF2" s="348">
        <v>45679</v>
      </c>
      <c r="BG2" s="348">
        <v>45680</v>
      </c>
      <c r="BH2" s="348">
        <v>45681</v>
      </c>
      <c r="BI2" s="348">
        <v>45682</v>
      </c>
      <c r="BJ2" s="348">
        <v>45683</v>
      </c>
      <c r="BK2" s="348">
        <v>45684</v>
      </c>
      <c r="BL2" s="348">
        <v>45685</v>
      </c>
      <c r="BM2" s="348">
        <v>45686</v>
      </c>
      <c r="BN2" s="348">
        <v>45687</v>
      </c>
      <c r="BO2" s="348">
        <v>45688</v>
      </c>
      <c r="BP2" s="347"/>
      <c r="BQ2" s="347"/>
    </row>
    <row r="3" spans="1:69">
      <c r="A3" s="347"/>
      <c r="B3" s="591"/>
      <c r="C3" s="349" t="s">
        <v>764</v>
      </c>
      <c r="D3" s="349" t="s">
        <v>765</v>
      </c>
      <c r="E3" s="349" t="s">
        <v>766</v>
      </c>
      <c r="F3" s="349" t="s">
        <v>767</v>
      </c>
      <c r="G3" s="349" t="s">
        <v>768</v>
      </c>
      <c r="H3" s="349" t="s">
        <v>769</v>
      </c>
      <c r="I3" s="349" t="s">
        <v>770</v>
      </c>
      <c r="J3" s="349" t="s">
        <v>764</v>
      </c>
      <c r="K3" s="349" t="s">
        <v>765</v>
      </c>
      <c r="L3" s="349" t="s">
        <v>766</v>
      </c>
      <c r="M3" s="349" t="s">
        <v>767</v>
      </c>
      <c r="N3" s="349" t="s">
        <v>768</v>
      </c>
      <c r="O3" s="349" t="s">
        <v>769</v>
      </c>
      <c r="P3" s="349" t="s">
        <v>770</v>
      </c>
      <c r="Q3" s="349" t="s">
        <v>764</v>
      </c>
      <c r="R3" s="349" t="s">
        <v>765</v>
      </c>
      <c r="S3" s="349" t="s">
        <v>766</v>
      </c>
      <c r="T3" s="349" t="s">
        <v>767</v>
      </c>
      <c r="U3" s="349" t="s">
        <v>768</v>
      </c>
      <c r="V3" s="349" t="s">
        <v>769</v>
      </c>
      <c r="W3" s="349" t="s">
        <v>770</v>
      </c>
      <c r="X3" s="349" t="s">
        <v>764</v>
      </c>
      <c r="Y3" s="349" t="s">
        <v>765</v>
      </c>
      <c r="Z3" s="349" t="s">
        <v>766</v>
      </c>
      <c r="AA3" s="349" t="s">
        <v>767</v>
      </c>
      <c r="AB3" s="349" t="s">
        <v>768</v>
      </c>
      <c r="AC3" s="349" t="s">
        <v>769</v>
      </c>
      <c r="AD3" s="349" t="s">
        <v>770</v>
      </c>
      <c r="AE3" s="349" t="s">
        <v>764</v>
      </c>
      <c r="AF3" s="349" t="s">
        <v>765</v>
      </c>
      <c r="AG3" s="349" t="s">
        <v>766</v>
      </c>
      <c r="AH3" s="347"/>
      <c r="AI3" s="347"/>
      <c r="AJ3" s="591"/>
      <c r="AK3" s="349" t="s">
        <v>764</v>
      </c>
      <c r="AL3" s="349" t="s">
        <v>765</v>
      </c>
      <c r="AM3" s="349" t="s">
        <v>766</v>
      </c>
      <c r="AN3" s="349" t="s">
        <v>767</v>
      </c>
      <c r="AO3" s="349" t="s">
        <v>768</v>
      </c>
      <c r="AP3" s="349" t="s">
        <v>769</v>
      </c>
      <c r="AQ3" s="349" t="s">
        <v>770</v>
      </c>
      <c r="AR3" s="349" t="s">
        <v>764</v>
      </c>
      <c r="AS3" s="349" t="s">
        <v>765</v>
      </c>
      <c r="AT3" s="349" t="s">
        <v>766</v>
      </c>
      <c r="AU3" s="349" t="s">
        <v>767</v>
      </c>
      <c r="AV3" s="349" t="s">
        <v>768</v>
      </c>
      <c r="AW3" s="349" t="s">
        <v>769</v>
      </c>
      <c r="AX3" s="349" t="s">
        <v>770</v>
      </c>
      <c r="AY3" s="349" t="s">
        <v>764</v>
      </c>
      <c r="AZ3" s="349" t="s">
        <v>765</v>
      </c>
      <c r="BA3" s="349" t="s">
        <v>766</v>
      </c>
      <c r="BB3" s="349" t="s">
        <v>767</v>
      </c>
      <c r="BC3" s="349" t="s">
        <v>768</v>
      </c>
      <c r="BD3" s="349" t="s">
        <v>769</v>
      </c>
      <c r="BE3" s="349" t="s">
        <v>770</v>
      </c>
      <c r="BF3" s="349" t="s">
        <v>764</v>
      </c>
      <c r="BG3" s="349" t="s">
        <v>765</v>
      </c>
      <c r="BH3" s="349" t="s">
        <v>766</v>
      </c>
      <c r="BI3" s="349" t="s">
        <v>767</v>
      </c>
      <c r="BJ3" s="349" t="s">
        <v>768</v>
      </c>
      <c r="BK3" s="349" t="s">
        <v>769</v>
      </c>
      <c r="BL3" s="349" t="s">
        <v>770</v>
      </c>
      <c r="BM3" s="349" t="s">
        <v>764</v>
      </c>
      <c r="BN3" s="349" t="s">
        <v>765</v>
      </c>
      <c r="BO3" s="349" t="s">
        <v>766</v>
      </c>
      <c r="BP3" s="347"/>
      <c r="BQ3" s="347"/>
    </row>
    <row r="4" spans="1:69">
      <c r="A4" s="347"/>
      <c r="B4" s="350">
        <v>0</v>
      </c>
      <c r="C4" s="11">
        <v>4</v>
      </c>
      <c r="D4" s="11">
        <v>4</v>
      </c>
      <c r="E4" s="11">
        <v>4</v>
      </c>
      <c r="F4" s="93">
        <v>3</v>
      </c>
      <c r="G4" s="11">
        <v>4</v>
      </c>
      <c r="H4" s="11">
        <v>4</v>
      </c>
      <c r="I4" s="11">
        <v>4</v>
      </c>
      <c r="J4" s="11">
        <v>4</v>
      </c>
      <c r="K4" s="11">
        <v>4</v>
      </c>
      <c r="L4" s="11">
        <v>4</v>
      </c>
      <c r="M4" s="11">
        <v>4</v>
      </c>
      <c r="N4" s="93">
        <v>3</v>
      </c>
      <c r="O4" s="11">
        <v>4</v>
      </c>
      <c r="P4" s="11">
        <v>4</v>
      </c>
      <c r="Q4" s="11">
        <v>4</v>
      </c>
      <c r="R4" s="11">
        <v>4</v>
      </c>
      <c r="S4" s="11">
        <v>4</v>
      </c>
      <c r="T4" s="93">
        <v>3</v>
      </c>
      <c r="U4" s="282">
        <v>4</v>
      </c>
      <c r="V4" s="282">
        <v>5</v>
      </c>
      <c r="W4" s="204">
        <v>4</v>
      </c>
      <c r="X4" s="204">
        <v>4</v>
      </c>
      <c r="Y4" s="204">
        <v>4</v>
      </c>
      <c r="Z4" s="204">
        <v>4</v>
      </c>
      <c r="AA4" s="204">
        <v>3</v>
      </c>
      <c r="AB4" s="204">
        <v>4</v>
      </c>
      <c r="AC4" s="204">
        <v>4</v>
      </c>
      <c r="AD4" s="204">
        <v>4</v>
      </c>
      <c r="AE4" s="204">
        <v>4</v>
      </c>
      <c r="AF4" s="204">
        <v>5</v>
      </c>
      <c r="AG4" s="204">
        <v>4</v>
      </c>
      <c r="AH4" s="347"/>
      <c r="AI4" s="347"/>
      <c r="AJ4" s="351">
        <v>0</v>
      </c>
      <c r="AK4" s="352">
        <v>27</v>
      </c>
      <c r="AL4" s="352">
        <v>39</v>
      </c>
      <c r="AM4" s="352">
        <v>22</v>
      </c>
      <c r="AN4" s="352">
        <v>18</v>
      </c>
      <c r="AO4" s="352">
        <v>30</v>
      </c>
      <c r="AP4" s="352">
        <v>27</v>
      </c>
      <c r="AQ4" s="352">
        <v>31</v>
      </c>
      <c r="AR4" s="352">
        <v>27</v>
      </c>
      <c r="AS4" s="352">
        <v>45</v>
      </c>
      <c r="AT4" s="352">
        <v>34</v>
      </c>
      <c r="AU4" s="352">
        <v>38</v>
      </c>
      <c r="AV4" s="352">
        <v>30</v>
      </c>
      <c r="AW4" s="352">
        <v>27</v>
      </c>
      <c r="AX4" s="352">
        <v>31</v>
      </c>
      <c r="AY4" s="352">
        <v>27</v>
      </c>
      <c r="AZ4" s="352">
        <v>37</v>
      </c>
      <c r="BA4" s="352">
        <v>39</v>
      </c>
      <c r="BB4" s="352">
        <v>13</v>
      </c>
      <c r="BC4" s="352">
        <v>25</v>
      </c>
      <c r="BD4" s="352">
        <v>34</v>
      </c>
      <c r="BE4" s="352">
        <v>31</v>
      </c>
      <c r="BF4" s="352">
        <v>27</v>
      </c>
      <c r="BG4" s="352">
        <v>37</v>
      </c>
      <c r="BH4" s="352">
        <v>29</v>
      </c>
      <c r="BI4" s="352">
        <v>18</v>
      </c>
      <c r="BJ4" s="352">
        <v>30</v>
      </c>
      <c r="BK4" s="352">
        <v>27</v>
      </c>
      <c r="BL4" s="352">
        <v>31</v>
      </c>
      <c r="BM4" s="352">
        <v>27</v>
      </c>
      <c r="BN4" s="352">
        <v>37</v>
      </c>
      <c r="BO4" s="352">
        <v>39</v>
      </c>
      <c r="BP4" s="347"/>
      <c r="BQ4" s="347"/>
    </row>
    <row r="5" spans="1:69">
      <c r="A5" s="347"/>
      <c r="B5" s="350">
        <v>4.1666666666666664E-2</v>
      </c>
      <c r="C5" s="93">
        <v>3</v>
      </c>
      <c r="D5" s="93">
        <v>3</v>
      </c>
      <c r="E5" s="93">
        <v>3</v>
      </c>
      <c r="F5" s="93">
        <v>3</v>
      </c>
      <c r="G5" s="93">
        <v>3</v>
      </c>
      <c r="H5" s="93">
        <v>3</v>
      </c>
      <c r="I5" s="93">
        <v>3</v>
      </c>
      <c r="J5" s="93">
        <v>3</v>
      </c>
      <c r="K5" s="93">
        <v>3</v>
      </c>
      <c r="L5" s="93">
        <v>3</v>
      </c>
      <c r="M5" s="93">
        <v>3</v>
      </c>
      <c r="N5" s="93">
        <v>3</v>
      </c>
      <c r="O5" s="93">
        <v>3</v>
      </c>
      <c r="P5" s="93">
        <v>3</v>
      </c>
      <c r="Q5" s="93">
        <v>3</v>
      </c>
      <c r="R5" s="93">
        <v>3</v>
      </c>
      <c r="S5" s="93">
        <v>3</v>
      </c>
      <c r="T5" s="93">
        <v>3</v>
      </c>
      <c r="U5" s="282">
        <v>3</v>
      </c>
      <c r="V5" s="282">
        <v>3</v>
      </c>
      <c r="W5" s="204">
        <v>3</v>
      </c>
      <c r="X5" s="204">
        <v>3</v>
      </c>
      <c r="Y5" s="204">
        <v>3</v>
      </c>
      <c r="Z5" s="204">
        <v>3</v>
      </c>
      <c r="AA5" s="204">
        <v>3</v>
      </c>
      <c r="AB5" s="204">
        <v>3</v>
      </c>
      <c r="AC5" s="204">
        <v>3</v>
      </c>
      <c r="AD5" s="204">
        <v>3</v>
      </c>
      <c r="AE5" s="204">
        <v>3</v>
      </c>
      <c r="AF5" s="204">
        <v>3</v>
      </c>
      <c r="AG5" s="204">
        <v>3</v>
      </c>
      <c r="AH5" s="347"/>
      <c r="AI5" s="347"/>
      <c r="AJ5" s="351">
        <v>4.1666666666666664E-2</v>
      </c>
      <c r="AK5" s="352">
        <v>27</v>
      </c>
      <c r="AL5" s="352">
        <v>21</v>
      </c>
      <c r="AM5" s="352">
        <v>10</v>
      </c>
      <c r="AN5" s="352">
        <v>11</v>
      </c>
      <c r="AO5" s="352">
        <v>16</v>
      </c>
      <c r="AP5" s="352">
        <v>21</v>
      </c>
      <c r="AQ5" s="352">
        <v>18</v>
      </c>
      <c r="AR5" s="352">
        <v>27</v>
      </c>
      <c r="AS5" s="352">
        <v>31</v>
      </c>
      <c r="AT5" s="352">
        <v>23</v>
      </c>
      <c r="AU5" s="352">
        <v>23</v>
      </c>
      <c r="AV5" s="352">
        <v>16</v>
      </c>
      <c r="AW5" s="352">
        <v>21</v>
      </c>
      <c r="AX5" s="352">
        <v>18</v>
      </c>
      <c r="AY5" s="352">
        <v>27</v>
      </c>
      <c r="AZ5" s="352">
        <v>27</v>
      </c>
      <c r="BA5" s="352">
        <v>21</v>
      </c>
      <c r="BB5" s="352">
        <v>6</v>
      </c>
      <c r="BC5" s="352">
        <v>12</v>
      </c>
      <c r="BD5" s="352">
        <v>20</v>
      </c>
      <c r="BE5" s="352">
        <v>18</v>
      </c>
      <c r="BF5" s="352">
        <v>27</v>
      </c>
      <c r="BG5" s="352">
        <v>27</v>
      </c>
      <c r="BH5" s="352">
        <v>17</v>
      </c>
      <c r="BI5" s="352">
        <v>17</v>
      </c>
      <c r="BJ5" s="352">
        <v>16</v>
      </c>
      <c r="BK5" s="352">
        <v>21</v>
      </c>
      <c r="BL5" s="352">
        <v>18</v>
      </c>
      <c r="BM5" s="352">
        <v>27</v>
      </c>
      <c r="BN5" s="352">
        <v>27</v>
      </c>
      <c r="BO5" s="352">
        <v>21</v>
      </c>
      <c r="BP5" s="347"/>
      <c r="BQ5" s="347"/>
    </row>
    <row r="6" spans="1:69">
      <c r="A6" s="347"/>
      <c r="B6" s="350">
        <v>8.3333333333333329E-2</v>
      </c>
      <c r="C6" s="93">
        <v>3</v>
      </c>
      <c r="D6" s="93">
        <v>3</v>
      </c>
      <c r="E6" s="93">
        <v>3</v>
      </c>
      <c r="F6" s="93">
        <v>3</v>
      </c>
      <c r="G6" s="12">
        <v>2</v>
      </c>
      <c r="H6" s="93">
        <v>3</v>
      </c>
      <c r="I6" s="93">
        <v>3</v>
      </c>
      <c r="J6" s="93">
        <v>3</v>
      </c>
      <c r="K6" s="93">
        <v>3</v>
      </c>
      <c r="L6" s="93">
        <v>3</v>
      </c>
      <c r="M6" s="93">
        <v>3</v>
      </c>
      <c r="N6" s="93">
        <v>3</v>
      </c>
      <c r="O6" s="93">
        <v>3</v>
      </c>
      <c r="P6" s="93">
        <v>3</v>
      </c>
      <c r="Q6" s="93">
        <v>3</v>
      </c>
      <c r="R6" s="93">
        <v>3</v>
      </c>
      <c r="S6" s="93">
        <v>3</v>
      </c>
      <c r="T6" s="93">
        <v>3</v>
      </c>
      <c r="U6" s="282">
        <v>3</v>
      </c>
      <c r="V6" s="282">
        <v>3</v>
      </c>
      <c r="W6" s="204">
        <v>3</v>
      </c>
      <c r="X6" s="204">
        <v>3</v>
      </c>
      <c r="Y6" s="204">
        <v>3</v>
      </c>
      <c r="Z6" s="204">
        <v>3</v>
      </c>
      <c r="AA6" s="204">
        <v>3</v>
      </c>
      <c r="AB6" s="204">
        <v>3</v>
      </c>
      <c r="AC6" s="204">
        <v>3</v>
      </c>
      <c r="AD6" s="204">
        <v>3</v>
      </c>
      <c r="AE6" s="204">
        <v>3</v>
      </c>
      <c r="AF6" s="204">
        <v>3</v>
      </c>
      <c r="AG6" s="204">
        <v>3</v>
      </c>
      <c r="AH6" s="347"/>
      <c r="AI6" s="347"/>
      <c r="AJ6" s="351">
        <v>8.3333333333333329E-2</v>
      </c>
      <c r="AK6" s="352">
        <v>11</v>
      </c>
      <c r="AL6" s="352">
        <v>16</v>
      </c>
      <c r="AM6" s="352">
        <v>6</v>
      </c>
      <c r="AN6" s="352">
        <v>10</v>
      </c>
      <c r="AO6" s="352">
        <v>8</v>
      </c>
      <c r="AP6" s="352">
        <v>11</v>
      </c>
      <c r="AQ6" s="352">
        <v>11</v>
      </c>
      <c r="AR6" s="352">
        <v>11</v>
      </c>
      <c r="AS6" s="352">
        <v>13</v>
      </c>
      <c r="AT6" s="352">
        <v>10</v>
      </c>
      <c r="AU6" s="352">
        <v>18</v>
      </c>
      <c r="AV6" s="352">
        <v>8</v>
      </c>
      <c r="AW6" s="352">
        <v>11</v>
      </c>
      <c r="AX6" s="352">
        <v>11</v>
      </c>
      <c r="AY6" s="352">
        <v>11</v>
      </c>
      <c r="AZ6" s="352">
        <v>10</v>
      </c>
      <c r="BA6" s="352">
        <v>16</v>
      </c>
      <c r="BB6" s="352">
        <v>3</v>
      </c>
      <c r="BC6" s="352">
        <v>6</v>
      </c>
      <c r="BD6" s="352">
        <v>16</v>
      </c>
      <c r="BE6" s="352">
        <v>11</v>
      </c>
      <c r="BF6" s="352">
        <v>11</v>
      </c>
      <c r="BG6" s="352">
        <v>10</v>
      </c>
      <c r="BH6" s="352">
        <v>8</v>
      </c>
      <c r="BI6" s="352">
        <v>7</v>
      </c>
      <c r="BJ6" s="352">
        <v>8</v>
      </c>
      <c r="BK6" s="352">
        <v>11</v>
      </c>
      <c r="BL6" s="352">
        <v>11</v>
      </c>
      <c r="BM6" s="352">
        <v>11</v>
      </c>
      <c r="BN6" s="352">
        <v>10</v>
      </c>
      <c r="BO6" s="352">
        <v>16</v>
      </c>
      <c r="BP6" s="347"/>
      <c r="BQ6" s="347"/>
    </row>
    <row r="7" spans="1:69">
      <c r="A7" s="347"/>
      <c r="B7" s="350">
        <v>0.125</v>
      </c>
      <c r="C7" s="93">
        <v>3</v>
      </c>
      <c r="D7" s="93">
        <v>3</v>
      </c>
      <c r="E7" s="93">
        <v>3</v>
      </c>
      <c r="F7" s="93">
        <v>3</v>
      </c>
      <c r="G7" s="12">
        <v>2</v>
      </c>
      <c r="H7" s="93">
        <v>3</v>
      </c>
      <c r="I7" s="93">
        <v>3</v>
      </c>
      <c r="J7" s="93">
        <v>3</v>
      </c>
      <c r="K7" s="93">
        <v>3</v>
      </c>
      <c r="L7" s="93">
        <v>3</v>
      </c>
      <c r="M7" s="93">
        <v>3</v>
      </c>
      <c r="N7" s="93">
        <v>3</v>
      </c>
      <c r="O7" s="93">
        <v>3</v>
      </c>
      <c r="P7" s="93">
        <v>3</v>
      </c>
      <c r="Q7" s="93">
        <v>3</v>
      </c>
      <c r="R7" s="93">
        <v>3</v>
      </c>
      <c r="S7" s="93">
        <v>3</v>
      </c>
      <c r="T7" s="93">
        <v>3</v>
      </c>
      <c r="U7" s="282">
        <v>3</v>
      </c>
      <c r="V7" s="282">
        <v>3</v>
      </c>
      <c r="W7" s="204">
        <v>3</v>
      </c>
      <c r="X7" s="204">
        <v>3</v>
      </c>
      <c r="Y7" s="204">
        <v>3</v>
      </c>
      <c r="Z7" s="204">
        <v>3</v>
      </c>
      <c r="AA7" s="204">
        <v>3</v>
      </c>
      <c r="AB7" s="204">
        <v>3</v>
      </c>
      <c r="AC7" s="204">
        <v>3</v>
      </c>
      <c r="AD7" s="204">
        <v>3</v>
      </c>
      <c r="AE7" s="204">
        <v>3</v>
      </c>
      <c r="AF7" s="204">
        <v>3</v>
      </c>
      <c r="AG7" s="204">
        <v>3</v>
      </c>
      <c r="AH7" s="347"/>
      <c r="AI7" s="347"/>
      <c r="AJ7" s="351">
        <v>0.125</v>
      </c>
      <c r="AK7" s="352">
        <v>7</v>
      </c>
      <c r="AL7" s="352">
        <v>15</v>
      </c>
      <c r="AM7" s="352">
        <v>8</v>
      </c>
      <c r="AN7" s="352">
        <v>3</v>
      </c>
      <c r="AO7" s="352">
        <v>6</v>
      </c>
      <c r="AP7" s="352">
        <v>9</v>
      </c>
      <c r="AQ7" s="352">
        <v>7</v>
      </c>
      <c r="AR7" s="352">
        <v>7</v>
      </c>
      <c r="AS7" s="352">
        <v>11</v>
      </c>
      <c r="AT7" s="352">
        <v>8</v>
      </c>
      <c r="AU7" s="352">
        <v>15</v>
      </c>
      <c r="AV7" s="352">
        <v>6</v>
      </c>
      <c r="AW7" s="352">
        <v>9</v>
      </c>
      <c r="AX7" s="352">
        <v>7</v>
      </c>
      <c r="AY7" s="352">
        <v>7</v>
      </c>
      <c r="AZ7" s="352">
        <v>10</v>
      </c>
      <c r="BA7" s="352">
        <v>15</v>
      </c>
      <c r="BB7" s="352">
        <v>4</v>
      </c>
      <c r="BC7" s="352">
        <v>7</v>
      </c>
      <c r="BD7" s="352">
        <v>13</v>
      </c>
      <c r="BE7" s="352">
        <v>7</v>
      </c>
      <c r="BF7" s="352">
        <v>7</v>
      </c>
      <c r="BG7" s="352">
        <v>10</v>
      </c>
      <c r="BH7" s="352">
        <v>3</v>
      </c>
      <c r="BI7" s="352">
        <v>7</v>
      </c>
      <c r="BJ7" s="352">
        <v>6</v>
      </c>
      <c r="BK7" s="352">
        <v>9</v>
      </c>
      <c r="BL7" s="352">
        <v>7</v>
      </c>
      <c r="BM7" s="352">
        <v>7</v>
      </c>
      <c r="BN7" s="352">
        <v>10</v>
      </c>
      <c r="BO7" s="352">
        <v>15</v>
      </c>
      <c r="BP7" s="347"/>
      <c r="BQ7" s="347"/>
    </row>
    <row r="8" spans="1:69">
      <c r="A8" s="347"/>
      <c r="B8" s="350">
        <v>0.16666666666666666</v>
      </c>
      <c r="C8" s="93">
        <v>3</v>
      </c>
      <c r="D8" s="93">
        <v>3</v>
      </c>
      <c r="E8" s="93">
        <v>3</v>
      </c>
      <c r="F8" s="93">
        <v>3</v>
      </c>
      <c r="G8" s="12">
        <v>2</v>
      </c>
      <c r="H8" s="93">
        <v>3</v>
      </c>
      <c r="I8" s="93">
        <v>3</v>
      </c>
      <c r="J8" s="93">
        <v>3</v>
      </c>
      <c r="K8" s="93">
        <v>3</v>
      </c>
      <c r="L8" s="93">
        <v>3</v>
      </c>
      <c r="M8" s="93">
        <v>3</v>
      </c>
      <c r="N8" s="93">
        <v>3</v>
      </c>
      <c r="O8" s="93">
        <v>3</v>
      </c>
      <c r="P8" s="93">
        <v>3</v>
      </c>
      <c r="Q8" s="93">
        <v>3</v>
      </c>
      <c r="R8" s="93">
        <v>3</v>
      </c>
      <c r="S8" s="93">
        <v>3</v>
      </c>
      <c r="T8" s="93">
        <v>3</v>
      </c>
      <c r="U8" s="282">
        <v>3</v>
      </c>
      <c r="V8" s="282">
        <v>3</v>
      </c>
      <c r="W8" s="204">
        <v>3</v>
      </c>
      <c r="X8" s="204">
        <v>3</v>
      </c>
      <c r="Y8" s="204">
        <v>3</v>
      </c>
      <c r="Z8" s="204">
        <v>3</v>
      </c>
      <c r="AA8" s="204">
        <v>3</v>
      </c>
      <c r="AB8" s="204">
        <v>3</v>
      </c>
      <c r="AC8" s="204">
        <v>3</v>
      </c>
      <c r="AD8" s="204">
        <v>3</v>
      </c>
      <c r="AE8" s="204">
        <v>3</v>
      </c>
      <c r="AF8" s="204">
        <v>3</v>
      </c>
      <c r="AG8" s="204">
        <v>3</v>
      </c>
      <c r="AH8" s="347"/>
      <c r="AI8" s="347"/>
      <c r="AJ8" s="351">
        <v>0.16666666666666666</v>
      </c>
      <c r="AK8" s="352">
        <v>11</v>
      </c>
      <c r="AL8" s="352">
        <v>11</v>
      </c>
      <c r="AM8" s="352">
        <v>7</v>
      </c>
      <c r="AN8" s="352">
        <v>10</v>
      </c>
      <c r="AO8" s="352">
        <v>9</v>
      </c>
      <c r="AP8" s="352">
        <v>8</v>
      </c>
      <c r="AQ8" s="352">
        <v>8</v>
      </c>
      <c r="AR8" s="352">
        <v>11</v>
      </c>
      <c r="AS8" s="352">
        <v>9</v>
      </c>
      <c r="AT8" s="352">
        <v>7</v>
      </c>
      <c r="AU8" s="352">
        <v>13</v>
      </c>
      <c r="AV8" s="352">
        <v>9</v>
      </c>
      <c r="AW8" s="352">
        <v>8</v>
      </c>
      <c r="AX8" s="352">
        <v>8</v>
      </c>
      <c r="AY8" s="352">
        <v>11</v>
      </c>
      <c r="AZ8" s="352">
        <v>13</v>
      </c>
      <c r="BA8" s="352">
        <v>11</v>
      </c>
      <c r="BB8" s="352">
        <v>6</v>
      </c>
      <c r="BC8" s="352">
        <v>11</v>
      </c>
      <c r="BD8" s="352">
        <v>9</v>
      </c>
      <c r="BE8" s="352">
        <v>8</v>
      </c>
      <c r="BF8" s="352">
        <v>11</v>
      </c>
      <c r="BG8" s="352">
        <v>13</v>
      </c>
      <c r="BH8" s="352">
        <v>7</v>
      </c>
      <c r="BI8" s="352">
        <v>3</v>
      </c>
      <c r="BJ8" s="352">
        <v>9</v>
      </c>
      <c r="BK8" s="352">
        <v>8</v>
      </c>
      <c r="BL8" s="352">
        <v>8</v>
      </c>
      <c r="BM8" s="352">
        <v>11</v>
      </c>
      <c r="BN8" s="352">
        <v>13</v>
      </c>
      <c r="BO8" s="352">
        <v>11</v>
      </c>
      <c r="BP8" s="347"/>
      <c r="BQ8" s="347"/>
    </row>
    <row r="9" spans="1:69">
      <c r="A9" s="347"/>
      <c r="B9" s="350">
        <v>0.20833333333333334</v>
      </c>
      <c r="C9" s="93">
        <v>3</v>
      </c>
      <c r="D9" s="93">
        <v>3</v>
      </c>
      <c r="E9" s="93">
        <v>3</v>
      </c>
      <c r="F9" s="93">
        <v>3</v>
      </c>
      <c r="G9" s="93">
        <v>3</v>
      </c>
      <c r="H9" s="93">
        <v>3</v>
      </c>
      <c r="I9" s="93">
        <v>3</v>
      </c>
      <c r="J9" s="93">
        <v>3</v>
      </c>
      <c r="K9" s="93">
        <v>3</v>
      </c>
      <c r="L9" s="93">
        <v>3</v>
      </c>
      <c r="M9" s="93">
        <v>3</v>
      </c>
      <c r="N9" s="93">
        <v>3</v>
      </c>
      <c r="O9" s="93">
        <v>3</v>
      </c>
      <c r="P9" s="93">
        <v>3</v>
      </c>
      <c r="Q9" s="93">
        <v>3</v>
      </c>
      <c r="R9" s="93">
        <v>3</v>
      </c>
      <c r="S9" s="93">
        <v>3</v>
      </c>
      <c r="T9" s="93">
        <v>3</v>
      </c>
      <c r="U9" s="282">
        <v>3</v>
      </c>
      <c r="V9" s="282">
        <v>3</v>
      </c>
      <c r="W9" s="204">
        <v>3</v>
      </c>
      <c r="X9" s="204">
        <v>3</v>
      </c>
      <c r="Y9" s="204">
        <v>3</v>
      </c>
      <c r="Z9" s="204">
        <v>3</v>
      </c>
      <c r="AA9" s="204">
        <v>3</v>
      </c>
      <c r="AB9" s="204">
        <v>3</v>
      </c>
      <c r="AC9" s="204">
        <v>3</v>
      </c>
      <c r="AD9" s="204">
        <v>3</v>
      </c>
      <c r="AE9" s="204">
        <v>3</v>
      </c>
      <c r="AF9" s="204">
        <v>3</v>
      </c>
      <c r="AG9" s="204">
        <v>3</v>
      </c>
      <c r="AH9" s="347"/>
      <c r="AI9" s="347"/>
      <c r="AJ9" s="351">
        <v>0.20833333333333334</v>
      </c>
      <c r="AK9" s="352">
        <v>22</v>
      </c>
      <c r="AL9" s="352">
        <v>19</v>
      </c>
      <c r="AM9" s="352">
        <v>14</v>
      </c>
      <c r="AN9" s="352">
        <v>15</v>
      </c>
      <c r="AO9" s="352">
        <v>19</v>
      </c>
      <c r="AP9" s="352">
        <v>21</v>
      </c>
      <c r="AQ9" s="352">
        <v>21</v>
      </c>
      <c r="AR9" s="352">
        <v>22</v>
      </c>
      <c r="AS9" s="352">
        <v>19</v>
      </c>
      <c r="AT9" s="352">
        <v>14</v>
      </c>
      <c r="AU9" s="352">
        <v>17</v>
      </c>
      <c r="AV9" s="352">
        <v>19</v>
      </c>
      <c r="AW9" s="352">
        <v>21</v>
      </c>
      <c r="AX9" s="352">
        <v>21</v>
      </c>
      <c r="AY9" s="352">
        <v>22</v>
      </c>
      <c r="AZ9" s="352">
        <v>21</v>
      </c>
      <c r="BA9" s="352">
        <v>19</v>
      </c>
      <c r="BB9" s="352">
        <v>10</v>
      </c>
      <c r="BC9" s="352">
        <v>19</v>
      </c>
      <c r="BD9" s="352">
        <v>24</v>
      </c>
      <c r="BE9" s="352">
        <v>21</v>
      </c>
      <c r="BF9" s="352">
        <v>22</v>
      </c>
      <c r="BG9" s="352">
        <v>21</v>
      </c>
      <c r="BH9" s="352">
        <v>17</v>
      </c>
      <c r="BI9" s="352">
        <v>15</v>
      </c>
      <c r="BJ9" s="352">
        <v>19</v>
      </c>
      <c r="BK9" s="352">
        <v>21</v>
      </c>
      <c r="BL9" s="352">
        <v>21</v>
      </c>
      <c r="BM9" s="352">
        <v>22</v>
      </c>
      <c r="BN9" s="352">
        <v>21</v>
      </c>
      <c r="BO9" s="352">
        <v>19</v>
      </c>
      <c r="BP9" s="347"/>
      <c r="BQ9" s="347"/>
    </row>
    <row r="10" spans="1:69">
      <c r="A10" s="347"/>
      <c r="B10" s="350">
        <v>0.25</v>
      </c>
      <c r="C10" s="17">
        <v>7</v>
      </c>
      <c r="D10" s="225">
        <v>8</v>
      </c>
      <c r="E10" s="225">
        <v>8</v>
      </c>
      <c r="F10" s="245">
        <v>6</v>
      </c>
      <c r="G10" s="94">
        <v>10</v>
      </c>
      <c r="H10" s="14">
        <v>12</v>
      </c>
      <c r="I10" s="13">
        <v>11</v>
      </c>
      <c r="J10" s="13">
        <v>11</v>
      </c>
      <c r="K10" s="94">
        <v>10</v>
      </c>
      <c r="L10" s="246">
        <v>9</v>
      </c>
      <c r="M10" s="266">
        <v>5</v>
      </c>
      <c r="N10" s="246">
        <v>9</v>
      </c>
      <c r="O10" s="94">
        <v>10</v>
      </c>
      <c r="P10" s="13">
        <v>11</v>
      </c>
      <c r="Q10" s="13">
        <v>11</v>
      </c>
      <c r="R10" s="246">
        <v>9</v>
      </c>
      <c r="S10" s="225">
        <v>8</v>
      </c>
      <c r="T10" s="266">
        <v>5</v>
      </c>
      <c r="U10" s="282">
        <v>11</v>
      </c>
      <c r="V10" s="282">
        <v>13</v>
      </c>
      <c r="W10" s="204">
        <v>13</v>
      </c>
      <c r="X10" s="204">
        <v>14</v>
      </c>
      <c r="Y10" s="204">
        <v>12</v>
      </c>
      <c r="Z10" s="204">
        <v>11</v>
      </c>
      <c r="AA10" s="204">
        <v>9</v>
      </c>
      <c r="AB10" s="204">
        <v>12</v>
      </c>
      <c r="AC10" s="204">
        <v>13</v>
      </c>
      <c r="AD10" s="204">
        <v>13</v>
      </c>
      <c r="AE10" s="204">
        <v>14</v>
      </c>
      <c r="AF10" s="204">
        <v>12</v>
      </c>
      <c r="AG10" s="204">
        <v>10</v>
      </c>
      <c r="AH10" s="347"/>
      <c r="AI10" s="347"/>
      <c r="AJ10" s="351">
        <v>0.25</v>
      </c>
      <c r="AK10" s="352">
        <v>101</v>
      </c>
      <c r="AL10" s="352">
        <v>67</v>
      </c>
      <c r="AM10" s="352">
        <v>61</v>
      </c>
      <c r="AN10" s="352">
        <v>64</v>
      </c>
      <c r="AO10" s="352">
        <v>86</v>
      </c>
      <c r="AP10" s="352">
        <v>90</v>
      </c>
      <c r="AQ10" s="352">
        <v>90</v>
      </c>
      <c r="AR10" s="352">
        <v>101</v>
      </c>
      <c r="AS10" s="352">
        <v>96</v>
      </c>
      <c r="AT10" s="352">
        <v>73</v>
      </c>
      <c r="AU10" s="352">
        <v>48</v>
      </c>
      <c r="AV10" s="352">
        <v>86</v>
      </c>
      <c r="AW10" s="352">
        <v>90</v>
      </c>
      <c r="AX10" s="352">
        <v>90</v>
      </c>
      <c r="AY10" s="352">
        <v>101</v>
      </c>
      <c r="AZ10" s="352">
        <v>86</v>
      </c>
      <c r="BA10" s="352">
        <v>67</v>
      </c>
      <c r="BB10" s="352">
        <v>41</v>
      </c>
      <c r="BC10" s="352">
        <v>75</v>
      </c>
      <c r="BD10" s="352">
        <v>111</v>
      </c>
      <c r="BE10" s="352">
        <v>90</v>
      </c>
      <c r="BF10" s="352">
        <v>101</v>
      </c>
      <c r="BG10" s="352">
        <v>86</v>
      </c>
      <c r="BH10" s="352">
        <v>70</v>
      </c>
      <c r="BI10" s="352">
        <v>59</v>
      </c>
      <c r="BJ10" s="352">
        <v>86</v>
      </c>
      <c r="BK10" s="352">
        <v>90</v>
      </c>
      <c r="BL10" s="352">
        <v>90</v>
      </c>
      <c r="BM10" s="352">
        <v>101</v>
      </c>
      <c r="BN10" s="352">
        <v>86</v>
      </c>
      <c r="BO10" s="352">
        <v>67</v>
      </c>
      <c r="BP10" s="347"/>
      <c r="BQ10" s="347"/>
    </row>
    <row r="11" spans="1:69">
      <c r="A11" s="347"/>
      <c r="B11" s="350">
        <v>0.29166666666666669</v>
      </c>
      <c r="C11" s="94">
        <v>10</v>
      </c>
      <c r="D11" s="94">
        <v>10</v>
      </c>
      <c r="E11" s="94">
        <v>10</v>
      </c>
      <c r="F11" s="245">
        <v>6</v>
      </c>
      <c r="G11" s="13">
        <v>11</v>
      </c>
      <c r="H11" s="56">
        <v>13</v>
      </c>
      <c r="I11" s="150">
        <v>14</v>
      </c>
      <c r="J11" s="150">
        <v>14</v>
      </c>
      <c r="K11" s="14">
        <v>12</v>
      </c>
      <c r="L11" s="94">
        <v>10</v>
      </c>
      <c r="M11" s="225">
        <v>8</v>
      </c>
      <c r="N11" s="14">
        <v>12</v>
      </c>
      <c r="O11" s="56">
        <v>13</v>
      </c>
      <c r="P11" s="56">
        <v>13</v>
      </c>
      <c r="Q11" s="150">
        <v>14</v>
      </c>
      <c r="R11" s="14">
        <v>12</v>
      </c>
      <c r="S11" s="94">
        <v>10</v>
      </c>
      <c r="T11" s="17">
        <v>7</v>
      </c>
      <c r="U11" s="293">
        <v>11</v>
      </c>
      <c r="V11" s="293">
        <v>14</v>
      </c>
      <c r="W11" s="204">
        <v>15</v>
      </c>
      <c r="X11" s="204">
        <v>14</v>
      </c>
      <c r="Y11" s="204">
        <v>11</v>
      </c>
      <c r="Z11" s="204">
        <v>10</v>
      </c>
      <c r="AA11" s="204">
        <v>9</v>
      </c>
      <c r="AB11" s="204">
        <v>13</v>
      </c>
      <c r="AC11" s="204">
        <v>14</v>
      </c>
      <c r="AD11" s="204">
        <v>14</v>
      </c>
      <c r="AE11" s="204">
        <v>14</v>
      </c>
      <c r="AF11" s="204">
        <v>11</v>
      </c>
      <c r="AG11" s="204">
        <v>10</v>
      </c>
      <c r="AH11" s="347"/>
      <c r="AI11" s="347"/>
      <c r="AJ11" s="351">
        <v>0.29166666666666669</v>
      </c>
      <c r="AK11" s="352">
        <v>72</v>
      </c>
      <c r="AL11" s="352">
        <v>49</v>
      </c>
      <c r="AM11" s="352">
        <v>51</v>
      </c>
      <c r="AN11" s="352">
        <v>39</v>
      </c>
      <c r="AO11" s="352">
        <v>64</v>
      </c>
      <c r="AP11" s="352">
        <v>70</v>
      </c>
      <c r="AQ11" s="352">
        <v>74</v>
      </c>
      <c r="AR11" s="352">
        <v>72</v>
      </c>
      <c r="AS11" s="352">
        <v>60</v>
      </c>
      <c r="AT11" s="352">
        <v>45</v>
      </c>
      <c r="AU11" s="352">
        <v>35</v>
      </c>
      <c r="AV11" s="352">
        <v>64</v>
      </c>
      <c r="AW11" s="352">
        <v>70</v>
      </c>
      <c r="AX11" s="352">
        <v>74</v>
      </c>
      <c r="AY11" s="352">
        <v>72</v>
      </c>
      <c r="AZ11" s="352">
        <v>63</v>
      </c>
      <c r="BA11" s="352">
        <v>49</v>
      </c>
      <c r="BB11" s="352">
        <v>36</v>
      </c>
      <c r="BC11" s="352">
        <v>66</v>
      </c>
      <c r="BD11" s="352">
        <v>72</v>
      </c>
      <c r="BE11" s="352">
        <v>74</v>
      </c>
      <c r="BF11" s="352">
        <v>72</v>
      </c>
      <c r="BG11" s="352">
        <v>63</v>
      </c>
      <c r="BH11" s="352">
        <v>54</v>
      </c>
      <c r="BI11" s="352">
        <v>46</v>
      </c>
      <c r="BJ11" s="352">
        <v>64</v>
      </c>
      <c r="BK11" s="352">
        <v>70</v>
      </c>
      <c r="BL11" s="352">
        <v>74</v>
      </c>
      <c r="BM11" s="352">
        <v>72</v>
      </c>
      <c r="BN11" s="352">
        <v>63</v>
      </c>
      <c r="BO11" s="352">
        <v>49</v>
      </c>
      <c r="BP11" s="347"/>
      <c r="BQ11" s="347"/>
    </row>
    <row r="12" spans="1:69">
      <c r="A12" s="347"/>
      <c r="B12" s="350">
        <v>0.33333333333333331</v>
      </c>
      <c r="C12" s="56">
        <v>13</v>
      </c>
      <c r="D12" s="14">
        <v>12</v>
      </c>
      <c r="E12" s="150">
        <v>14</v>
      </c>
      <c r="F12" s="94">
        <v>10</v>
      </c>
      <c r="G12" s="108">
        <v>15</v>
      </c>
      <c r="H12" s="144">
        <v>18</v>
      </c>
      <c r="I12" s="83">
        <v>17</v>
      </c>
      <c r="J12" s="150">
        <v>14</v>
      </c>
      <c r="K12" s="14">
        <v>12</v>
      </c>
      <c r="L12" s="13">
        <v>11</v>
      </c>
      <c r="M12" s="225">
        <v>8</v>
      </c>
      <c r="N12" s="108">
        <v>15</v>
      </c>
      <c r="O12" s="72">
        <v>16</v>
      </c>
      <c r="P12" s="83">
        <v>17</v>
      </c>
      <c r="Q12" s="150">
        <v>14</v>
      </c>
      <c r="R12" s="150">
        <v>14</v>
      </c>
      <c r="S12" s="14">
        <v>12</v>
      </c>
      <c r="T12" s="94">
        <v>10</v>
      </c>
      <c r="U12" s="293">
        <v>19</v>
      </c>
      <c r="V12" s="293">
        <v>19</v>
      </c>
      <c r="W12" s="204">
        <v>24</v>
      </c>
      <c r="X12" s="204">
        <v>22</v>
      </c>
      <c r="Y12" s="204">
        <v>20</v>
      </c>
      <c r="Z12" s="204">
        <v>16</v>
      </c>
      <c r="AA12" s="204">
        <v>14</v>
      </c>
      <c r="AB12" s="204">
        <v>22</v>
      </c>
      <c r="AC12" s="204">
        <v>23</v>
      </c>
      <c r="AD12" s="204">
        <v>24</v>
      </c>
      <c r="AE12" s="204">
        <v>22</v>
      </c>
      <c r="AF12" s="204">
        <v>20</v>
      </c>
      <c r="AG12" s="204">
        <v>16</v>
      </c>
      <c r="AH12" s="347"/>
      <c r="AI12" s="347"/>
      <c r="AJ12" s="351">
        <v>0.33333333333333331</v>
      </c>
      <c r="AK12" s="352">
        <v>115</v>
      </c>
      <c r="AL12" s="352">
        <v>89</v>
      </c>
      <c r="AM12" s="352">
        <v>96</v>
      </c>
      <c r="AN12" s="352">
        <v>68</v>
      </c>
      <c r="AO12" s="352">
        <v>119</v>
      </c>
      <c r="AP12" s="352">
        <v>124</v>
      </c>
      <c r="AQ12" s="352">
        <v>132</v>
      </c>
      <c r="AR12" s="352">
        <v>115</v>
      </c>
      <c r="AS12" s="352">
        <v>91</v>
      </c>
      <c r="AT12" s="352">
        <v>69</v>
      </c>
      <c r="AU12" s="352">
        <v>59</v>
      </c>
      <c r="AV12" s="352">
        <v>119</v>
      </c>
      <c r="AW12" s="352">
        <v>124</v>
      </c>
      <c r="AX12" s="352">
        <v>132</v>
      </c>
      <c r="AY12" s="352">
        <v>115</v>
      </c>
      <c r="AZ12" s="352">
        <v>108</v>
      </c>
      <c r="BA12" s="352">
        <v>89</v>
      </c>
      <c r="BB12" s="352">
        <v>70</v>
      </c>
      <c r="BC12" s="352">
        <v>128</v>
      </c>
      <c r="BD12" s="352">
        <v>122</v>
      </c>
      <c r="BE12" s="352">
        <v>132</v>
      </c>
      <c r="BF12" s="352">
        <v>115</v>
      </c>
      <c r="BG12" s="352">
        <v>108</v>
      </c>
      <c r="BH12" s="352">
        <v>91</v>
      </c>
      <c r="BI12" s="352">
        <v>73</v>
      </c>
      <c r="BJ12" s="352">
        <v>119</v>
      </c>
      <c r="BK12" s="352">
        <v>124</v>
      </c>
      <c r="BL12" s="352">
        <v>132</v>
      </c>
      <c r="BM12" s="352">
        <v>115</v>
      </c>
      <c r="BN12" s="352">
        <v>108</v>
      </c>
      <c r="BO12" s="352">
        <v>89</v>
      </c>
      <c r="BP12" s="347"/>
      <c r="BQ12" s="347"/>
    </row>
    <row r="13" spans="1:69">
      <c r="A13" s="347"/>
      <c r="B13" s="350">
        <v>0.375</v>
      </c>
      <c r="C13" s="83">
        <v>17</v>
      </c>
      <c r="D13" s="108">
        <v>15</v>
      </c>
      <c r="E13" s="83">
        <v>17</v>
      </c>
      <c r="F13" s="14">
        <v>12</v>
      </c>
      <c r="G13" s="80">
        <v>21</v>
      </c>
      <c r="H13" s="120">
        <v>22</v>
      </c>
      <c r="I13" s="80">
        <v>21</v>
      </c>
      <c r="J13" s="137">
        <v>20</v>
      </c>
      <c r="K13" s="144">
        <v>18</v>
      </c>
      <c r="L13" s="72">
        <v>16</v>
      </c>
      <c r="M13" s="94">
        <v>10</v>
      </c>
      <c r="N13" s="80">
        <v>21</v>
      </c>
      <c r="O13" s="137">
        <v>20</v>
      </c>
      <c r="P13" s="80">
        <v>21</v>
      </c>
      <c r="Q13" s="137">
        <v>20</v>
      </c>
      <c r="R13" s="144">
        <v>18</v>
      </c>
      <c r="S13" s="83">
        <v>17</v>
      </c>
      <c r="T13" s="14">
        <v>12</v>
      </c>
      <c r="U13" s="293">
        <v>24</v>
      </c>
      <c r="V13" s="293">
        <v>23</v>
      </c>
      <c r="W13" s="204">
        <v>19</v>
      </c>
      <c r="X13" s="204">
        <v>17</v>
      </c>
      <c r="Y13" s="204">
        <v>18</v>
      </c>
      <c r="Z13" s="204">
        <v>11</v>
      </c>
      <c r="AA13" s="204">
        <v>16</v>
      </c>
      <c r="AB13" s="204">
        <v>18</v>
      </c>
      <c r="AC13" s="204">
        <v>17</v>
      </c>
      <c r="AD13" s="204">
        <v>19</v>
      </c>
      <c r="AE13" s="204">
        <v>17</v>
      </c>
      <c r="AF13" s="204">
        <v>16</v>
      </c>
      <c r="AG13" s="204">
        <v>9</v>
      </c>
      <c r="AH13" s="347"/>
      <c r="AI13" s="347"/>
      <c r="AJ13" s="351">
        <v>0.375</v>
      </c>
      <c r="AK13" s="352">
        <v>161</v>
      </c>
      <c r="AL13" s="352">
        <v>118</v>
      </c>
      <c r="AM13" s="352">
        <v>131</v>
      </c>
      <c r="AN13" s="352">
        <v>92</v>
      </c>
      <c r="AO13" s="352">
        <v>168</v>
      </c>
      <c r="AP13" s="352">
        <v>160</v>
      </c>
      <c r="AQ13" s="352">
        <v>172</v>
      </c>
      <c r="AR13" s="352">
        <v>161</v>
      </c>
      <c r="AS13" s="352">
        <v>151</v>
      </c>
      <c r="AT13" s="352">
        <v>114</v>
      </c>
      <c r="AU13" s="352">
        <v>87</v>
      </c>
      <c r="AV13" s="352">
        <v>168</v>
      </c>
      <c r="AW13" s="352">
        <v>160</v>
      </c>
      <c r="AX13" s="352">
        <v>172</v>
      </c>
      <c r="AY13" s="352">
        <v>161</v>
      </c>
      <c r="AZ13" s="352">
        <v>151</v>
      </c>
      <c r="BA13" s="352">
        <v>118</v>
      </c>
      <c r="BB13" s="352">
        <v>91</v>
      </c>
      <c r="BC13" s="352">
        <v>167</v>
      </c>
      <c r="BD13" s="352">
        <v>157</v>
      </c>
      <c r="BE13" s="352">
        <v>172</v>
      </c>
      <c r="BF13" s="352">
        <v>161</v>
      </c>
      <c r="BG13" s="352">
        <v>151</v>
      </c>
      <c r="BH13" s="352">
        <v>118</v>
      </c>
      <c r="BI13" s="352">
        <v>94</v>
      </c>
      <c r="BJ13" s="352">
        <v>168</v>
      </c>
      <c r="BK13" s="352">
        <v>160</v>
      </c>
      <c r="BL13" s="352">
        <v>172</v>
      </c>
      <c r="BM13" s="352">
        <v>161</v>
      </c>
      <c r="BN13" s="352">
        <v>151</v>
      </c>
      <c r="BO13" s="352">
        <v>118</v>
      </c>
      <c r="BP13" s="347"/>
      <c r="BQ13" s="347"/>
    </row>
    <row r="14" spans="1:69">
      <c r="A14" s="347"/>
      <c r="B14" s="350">
        <v>0.41666666666666669</v>
      </c>
      <c r="C14" s="144">
        <v>18</v>
      </c>
      <c r="D14" s="83">
        <v>17</v>
      </c>
      <c r="E14" s="149">
        <v>19</v>
      </c>
      <c r="F14" s="150">
        <v>14</v>
      </c>
      <c r="G14" s="81">
        <v>25</v>
      </c>
      <c r="H14" s="81">
        <v>25</v>
      </c>
      <c r="I14" s="119">
        <v>24</v>
      </c>
      <c r="J14" s="136">
        <v>23</v>
      </c>
      <c r="K14" s="119">
        <v>24</v>
      </c>
      <c r="L14" s="149">
        <v>19</v>
      </c>
      <c r="M14" s="56">
        <v>13</v>
      </c>
      <c r="N14" s="135">
        <v>26</v>
      </c>
      <c r="O14" s="136">
        <v>23</v>
      </c>
      <c r="P14" s="119">
        <v>24</v>
      </c>
      <c r="Q14" s="136">
        <v>23</v>
      </c>
      <c r="R14" s="136">
        <v>23</v>
      </c>
      <c r="S14" s="149">
        <v>19</v>
      </c>
      <c r="T14" s="150">
        <v>14</v>
      </c>
      <c r="U14" s="293">
        <v>29</v>
      </c>
      <c r="V14" s="293">
        <v>27</v>
      </c>
      <c r="W14" s="204">
        <v>23</v>
      </c>
      <c r="X14" s="204">
        <v>20</v>
      </c>
      <c r="Y14" s="204">
        <v>21</v>
      </c>
      <c r="Z14" s="204">
        <v>16</v>
      </c>
      <c r="AA14" s="204">
        <v>18</v>
      </c>
      <c r="AB14" s="204">
        <v>23</v>
      </c>
      <c r="AC14" s="204">
        <v>21</v>
      </c>
      <c r="AD14" s="204">
        <v>23</v>
      </c>
      <c r="AE14" s="204">
        <v>20</v>
      </c>
      <c r="AF14" s="204">
        <v>20</v>
      </c>
      <c r="AG14" s="204">
        <v>14</v>
      </c>
      <c r="AH14" s="347"/>
      <c r="AI14" s="347"/>
      <c r="AJ14" s="351">
        <v>0.41666666666666669</v>
      </c>
      <c r="AK14" s="352">
        <v>173</v>
      </c>
      <c r="AL14" s="352">
        <v>137</v>
      </c>
      <c r="AM14" s="352">
        <v>139</v>
      </c>
      <c r="AN14" s="352">
        <v>105</v>
      </c>
      <c r="AO14" s="352">
        <v>188</v>
      </c>
      <c r="AP14" s="352">
        <v>174</v>
      </c>
      <c r="AQ14" s="352">
        <v>189</v>
      </c>
      <c r="AR14" s="352">
        <v>173</v>
      </c>
      <c r="AS14" s="352">
        <v>181</v>
      </c>
      <c r="AT14" s="352">
        <v>137</v>
      </c>
      <c r="AU14" s="352">
        <v>99</v>
      </c>
      <c r="AV14" s="352">
        <v>188</v>
      </c>
      <c r="AW14" s="352">
        <v>174</v>
      </c>
      <c r="AX14" s="352">
        <v>189</v>
      </c>
      <c r="AY14" s="352">
        <v>173</v>
      </c>
      <c r="AZ14" s="352">
        <v>173</v>
      </c>
      <c r="BA14" s="352">
        <v>137</v>
      </c>
      <c r="BB14" s="352">
        <v>103</v>
      </c>
      <c r="BC14" s="352">
        <v>189</v>
      </c>
      <c r="BD14" s="352">
        <v>184</v>
      </c>
      <c r="BE14" s="352">
        <v>189</v>
      </c>
      <c r="BF14" s="352">
        <v>173</v>
      </c>
      <c r="BG14" s="352">
        <v>173</v>
      </c>
      <c r="BH14" s="352">
        <v>136</v>
      </c>
      <c r="BI14" s="352">
        <v>104</v>
      </c>
      <c r="BJ14" s="352">
        <v>188</v>
      </c>
      <c r="BK14" s="352">
        <v>174</v>
      </c>
      <c r="BL14" s="352">
        <v>189</v>
      </c>
      <c r="BM14" s="352">
        <v>173</v>
      </c>
      <c r="BN14" s="352">
        <v>173</v>
      </c>
      <c r="BO14" s="352">
        <v>137</v>
      </c>
      <c r="BP14" s="347"/>
      <c r="BQ14" s="347"/>
    </row>
    <row r="15" spans="1:69">
      <c r="A15" s="347"/>
      <c r="B15" s="350">
        <v>0.45833333333333331</v>
      </c>
      <c r="C15" s="144">
        <v>18</v>
      </c>
      <c r="D15" s="83">
        <v>17</v>
      </c>
      <c r="E15" s="149">
        <v>19</v>
      </c>
      <c r="F15" s="150">
        <v>14</v>
      </c>
      <c r="G15" s="135">
        <v>26</v>
      </c>
      <c r="H15" s="81">
        <v>25</v>
      </c>
      <c r="I15" s="119">
        <v>24</v>
      </c>
      <c r="J15" s="136">
        <v>23</v>
      </c>
      <c r="K15" s="119">
        <v>24</v>
      </c>
      <c r="L15" s="149">
        <v>19</v>
      </c>
      <c r="M15" s="150">
        <v>14</v>
      </c>
      <c r="N15" s="135">
        <v>26</v>
      </c>
      <c r="O15" s="81">
        <v>25</v>
      </c>
      <c r="P15" s="119">
        <v>24</v>
      </c>
      <c r="Q15" s="136">
        <v>23</v>
      </c>
      <c r="R15" s="136">
        <v>23</v>
      </c>
      <c r="S15" s="120">
        <v>22</v>
      </c>
      <c r="T15" s="150">
        <v>14</v>
      </c>
      <c r="U15" s="293">
        <v>29</v>
      </c>
      <c r="V15" s="293">
        <v>27</v>
      </c>
      <c r="W15" s="204">
        <v>21</v>
      </c>
      <c r="X15" s="204">
        <v>20</v>
      </c>
      <c r="Y15" s="204">
        <v>20</v>
      </c>
      <c r="Z15" s="204">
        <v>14</v>
      </c>
      <c r="AA15" s="204">
        <v>18</v>
      </c>
      <c r="AB15" s="204">
        <v>21</v>
      </c>
      <c r="AC15" s="204">
        <v>20</v>
      </c>
      <c r="AD15" s="204">
        <v>21</v>
      </c>
      <c r="AE15" s="204">
        <v>20</v>
      </c>
      <c r="AF15" s="204">
        <v>18</v>
      </c>
      <c r="AG15" s="204">
        <v>13</v>
      </c>
      <c r="AH15" s="347"/>
      <c r="AI15" s="347"/>
      <c r="AJ15" s="351">
        <v>0.45833333333333331</v>
      </c>
      <c r="AK15" s="352">
        <v>171</v>
      </c>
      <c r="AL15" s="352">
        <v>140</v>
      </c>
      <c r="AM15" s="352">
        <v>130</v>
      </c>
      <c r="AN15" s="352">
        <v>104</v>
      </c>
      <c r="AO15" s="352">
        <v>184</v>
      </c>
      <c r="AP15" s="352">
        <v>174</v>
      </c>
      <c r="AQ15" s="352">
        <v>173</v>
      </c>
      <c r="AR15" s="352">
        <v>171</v>
      </c>
      <c r="AS15" s="352">
        <v>178</v>
      </c>
      <c r="AT15" s="352">
        <v>135</v>
      </c>
      <c r="AU15" s="352">
        <v>102</v>
      </c>
      <c r="AV15" s="352">
        <v>184</v>
      </c>
      <c r="AW15" s="352">
        <v>174</v>
      </c>
      <c r="AX15" s="352">
        <v>173</v>
      </c>
      <c r="AY15" s="352">
        <v>171</v>
      </c>
      <c r="AZ15" s="352">
        <v>164</v>
      </c>
      <c r="BA15" s="352">
        <v>140</v>
      </c>
      <c r="BB15" s="352">
        <v>104</v>
      </c>
      <c r="BC15" s="352">
        <v>191</v>
      </c>
      <c r="BD15" s="352">
        <v>177</v>
      </c>
      <c r="BE15" s="352">
        <v>173</v>
      </c>
      <c r="BF15" s="352">
        <v>171</v>
      </c>
      <c r="BG15" s="352">
        <v>164</v>
      </c>
      <c r="BH15" s="352">
        <v>132</v>
      </c>
      <c r="BI15" s="352">
        <v>104</v>
      </c>
      <c r="BJ15" s="352">
        <v>184</v>
      </c>
      <c r="BK15" s="352">
        <v>174</v>
      </c>
      <c r="BL15" s="352">
        <v>173</v>
      </c>
      <c r="BM15" s="352">
        <v>171</v>
      </c>
      <c r="BN15" s="352">
        <v>164</v>
      </c>
      <c r="BO15" s="352">
        <v>140</v>
      </c>
      <c r="BP15" s="347"/>
      <c r="BQ15" s="347"/>
    </row>
    <row r="16" spans="1:69">
      <c r="A16" s="347"/>
      <c r="B16" s="350">
        <v>0.5</v>
      </c>
      <c r="C16" s="144">
        <v>18</v>
      </c>
      <c r="D16" s="83">
        <v>17</v>
      </c>
      <c r="E16" s="149">
        <v>19</v>
      </c>
      <c r="F16" s="150">
        <v>14</v>
      </c>
      <c r="G16" s="135">
        <v>26</v>
      </c>
      <c r="H16" s="136">
        <v>23</v>
      </c>
      <c r="I16" s="80">
        <v>21</v>
      </c>
      <c r="J16" s="120">
        <v>22</v>
      </c>
      <c r="K16" s="136">
        <v>23</v>
      </c>
      <c r="L16" s="83">
        <v>17</v>
      </c>
      <c r="M16" s="150">
        <v>14</v>
      </c>
      <c r="N16" s="135">
        <v>26</v>
      </c>
      <c r="O16" s="80">
        <v>21</v>
      </c>
      <c r="P16" s="120">
        <v>22</v>
      </c>
      <c r="Q16" s="120">
        <v>22</v>
      </c>
      <c r="R16" s="80">
        <v>21</v>
      </c>
      <c r="S16" s="149">
        <v>19</v>
      </c>
      <c r="T16" s="150">
        <v>14</v>
      </c>
      <c r="U16" s="293">
        <v>28</v>
      </c>
      <c r="V16" s="293">
        <v>27</v>
      </c>
      <c r="W16" s="204">
        <v>19</v>
      </c>
      <c r="X16" s="204">
        <v>19</v>
      </c>
      <c r="Y16" s="204">
        <v>19</v>
      </c>
      <c r="Z16" s="204">
        <v>13</v>
      </c>
      <c r="AA16" s="204">
        <v>18</v>
      </c>
      <c r="AB16" s="204">
        <v>21</v>
      </c>
      <c r="AC16" s="204">
        <v>20</v>
      </c>
      <c r="AD16" s="204">
        <v>19</v>
      </c>
      <c r="AE16" s="204">
        <v>19</v>
      </c>
      <c r="AF16" s="204">
        <v>18</v>
      </c>
      <c r="AG16" s="204">
        <v>14</v>
      </c>
      <c r="AH16" s="347"/>
      <c r="AI16" s="347"/>
      <c r="AJ16" s="351">
        <v>0.5</v>
      </c>
      <c r="AK16" s="352">
        <v>165</v>
      </c>
      <c r="AL16" s="352">
        <v>131</v>
      </c>
      <c r="AM16" s="352">
        <v>126</v>
      </c>
      <c r="AN16" s="352">
        <v>104</v>
      </c>
      <c r="AO16" s="352">
        <v>179</v>
      </c>
      <c r="AP16" s="352">
        <v>162</v>
      </c>
      <c r="AQ16" s="352">
        <v>160</v>
      </c>
      <c r="AR16" s="352">
        <v>165</v>
      </c>
      <c r="AS16" s="352">
        <v>162</v>
      </c>
      <c r="AT16" s="352">
        <v>122</v>
      </c>
      <c r="AU16" s="352">
        <v>101</v>
      </c>
      <c r="AV16" s="352">
        <v>179</v>
      </c>
      <c r="AW16" s="352">
        <v>162</v>
      </c>
      <c r="AX16" s="352">
        <v>160</v>
      </c>
      <c r="AY16" s="352">
        <v>165</v>
      </c>
      <c r="AZ16" s="352">
        <v>157</v>
      </c>
      <c r="BA16" s="352">
        <v>131</v>
      </c>
      <c r="BB16" s="352">
        <v>100</v>
      </c>
      <c r="BC16" s="352">
        <v>183</v>
      </c>
      <c r="BD16" s="352">
        <v>173</v>
      </c>
      <c r="BE16" s="352">
        <v>160</v>
      </c>
      <c r="BF16" s="352">
        <v>165</v>
      </c>
      <c r="BG16" s="352">
        <v>157</v>
      </c>
      <c r="BH16" s="352">
        <v>116</v>
      </c>
      <c r="BI16" s="352">
        <v>99</v>
      </c>
      <c r="BJ16" s="352">
        <v>179</v>
      </c>
      <c r="BK16" s="352">
        <v>162</v>
      </c>
      <c r="BL16" s="352">
        <v>160</v>
      </c>
      <c r="BM16" s="352">
        <v>165</v>
      </c>
      <c r="BN16" s="352">
        <v>157</v>
      </c>
      <c r="BO16" s="352">
        <v>131</v>
      </c>
      <c r="BP16" s="347"/>
      <c r="BQ16" s="347"/>
    </row>
    <row r="17" spans="1:69">
      <c r="A17" s="347"/>
      <c r="B17" s="350">
        <v>0.54166666666666663</v>
      </c>
      <c r="C17" s="144">
        <v>18</v>
      </c>
      <c r="D17" s="72">
        <v>16</v>
      </c>
      <c r="E17" s="149">
        <v>19</v>
      </c>
      <c r="F17" s="108">
        <v>15</v>
      </c>
      <c r="G17" s="81">
        <v>25</v>
      </c>
      <c r="H17" s="136">
        <v>23</v>
      </c>
      <c r="I17" s="80">
        <v>21</v>
      </c>
      <c r="J17" s="80">
        <v>21</v>
      </c>
      <c r="K17" s="136">
        <v>23</v>
      </c>
      <c r="L17" s="83">
        <v>17</v>
      </c>
      <c r="M17" s="72">
        <v>16</v>
      </c>
      <c r="N17" s="135">
        <v>26</v>
      </c>
      <c r="O17" s="80">
        <v>21</v>
      </c>
      <c r="P17" s="120">
        <v>22</v>
      </c>
      <c r="Q17" s="80">
        <v>21</v>
      </c>
      <c r="R17" s="80">
        <v>21</v>
      </c>
      <c r="S17" s="72">
        <v>16</v>
      </c>
      <c r="T17" s="72">
        <v>16</v>
      </c>
      <c r="U17" s="293">
        <v>27</v>
      </c>
      <c r="V17" s="293">
        <v>26</v>
      </c>
      <c r="W17" s="204">
        <v>19</v>
      </c>
      <c r="X17" s="204">
        <v>19</v>
      </c>
      <c r="Y17" s="204">
        <v>20</v>
      </c>
      <c r="Z17" s="204">
        <v>14</v>
      </c>
      <c r="AA17" s="204">
        <v>16</v>
      </c>
      <c r="AB17" s="204">
        <v>19</v>
      </c>
      <c r="AC17" s="204">
        <v>19</v>
      </c>
      <c r="AD17" s="204">
        <v>19</v>
      </c>
      <c r="AE17" s="204">
        <v>19</v>
      </c>
      <c r="AF17" s="204">
        <v>18</v>
      </c>
      <c r="AG17" s="204">
        <v>12</v>
      </c>
      <c r="AH17" s="347"/>
      <c r="AI17" s="347"/>
      <c r="AJ17" s="351">
        <v>0.54166666666666663</v>
      </c>
      <c r="AK17" s="352">
        <v>161</v>
      </c>
      <c r="AL17" s="352">
        <v>122</v>
      </c>
      <c r="AM17" s="352">
        <v>119</v>
      </c>
      <c r="AN17" s="352">
        <v>101</v>
      </c>
      <c r="AO17" s="352">
        <v>173</v>
      </c>
      <c r="AP17" s="352">
        <v>162</v>
      </c>
      <c r="AQ17" s="352">
        <v>167</v>
      </c>
      <c r="AR17" s="352">
        <v>161</v>
      </c>
      <c r="AS17" s="352">
        <v>165</v>
      </c>
      <c r="AT17" s="352">
        <v>125</v>
      </c>
      <c r="AU17" s="352">
        <v>96</v>
      </c>
      <c r="AV17" s="352">
        <v>173</v>
      </c>
      <c r="AW17" s="352">
        <v>162</v>
      </c>
      <c r="AX17" s="352">
        <v>167</v>
      </c>
      <c r="AY17" s="352">
        <v>161</v>
      </c>
      <c r="AZ17" s="352">
        <v>153</v>
      </c>
      <c r="BA17" s="352">
        <v>122</v>
      </c>
      <c r="BB17" s="352">
        <v>95</v>
      </c>
      <c r="BC17" s="352">
        <v>173</v>
      </c>
      <c r="BD17" s="352">
        <v>162</v>
      </c>
      <c r="BE17" s="352">
        <v>167</v>
      </c>
      <c r="BF17" s="352">
        <v>161</v>
      </c>
      <c r="BG17" s="352">
        <v>153</v>
      </c>
      <c r="BH17" s="352">
        <v>120</v>
      </c>
      <c r="BI17" s="352">
        <v>91</v>
      </c>
      <c r="BJ17" s="352">
        <v>173</v>
      </c>
      <c r="BK17" s="352">
        <v>162</v>
      </c>
      <c r="BL17" s="352">
        <v>167</v>
      </c>
      <c r="BM17" s="352">
        <v>161</v>
      </c>
      <c r="BN17" s="352">
        <v>153</v>
      </c>
      <c r="BO17" s="352">
        <v>122</v>
      </c>
      <c r="BP17" s="347"/>
      <c r="BQ17" s="347"/>
    </row>
    <row r="18" spans="1:69">
      <c r="A18" s="347"/>
      <c r="B18" s="350">
        <v>0.58333333333333337</v>
      </c>
      <c r="C18" s="144">
        <v>18</v>
      </c>
      <c r="D18" s="72">
        <v>16</v>
      </c>
      <c r="E18" s="149">
        <v>19</v>
      </c>
      <c r="F18" s="150">
        <v>14</v>
      </c>
      <c r="G18" s="120">
        <v>22</v>
      </c>
      <c r="H18" s="136">
        <v>23</v>
      </c>
      <c r="I18" s="80">
        <v>21</v>
      </c>
      <c r="J18" s="137">
        <v>20</v>
      </c>
      <c r="K18" s="120">
        <v>22</v>
      </c>
      <c r="L18" s="83">
        <v>17</v>
      </c>
      <c r="M18" s="108">
        <v>15</v>
      </c>
      <c r="N18" s="80">
        <v>21</v>
      </c>
      <c r="O18" s="80">
        <v>21</v>
      </c>
      <c r="P18" s="80">
        <v>21</v>
      </c>
      <c r="Q18" s="137">
        <v>20</v>
      </c>
      <c r="R18" s="80">
        <v>21</v>
      </c>
      <c r="S18" s="72">
        <v>16</v>
      </c>
      <c r="T18" s="150">
        <v>14</v>
      </c>
      <c r="U18" s="293">
        <v>27</v>
      </c>
      <c r="V18" s="293">
        <v>26</v>
      </c>
      <c r="W18" s="204">
        <v>20</v>
      </c>
      <c r="X18" s="204">
        <v>20</v>
      </c>
      <c r="Y18" s="204">
        <v>21</v>
      </c>
      <c r="Z18" s="204">
        <v>12</v>
      </c>
      <c r="AA18" s="204">
        <v>16</v>
      </c>
      <c r="AB18" s="204">
        <v>21</v>
      </c>
      <c r="AC18" s="204">
        <v>19</v>
      </c>
      <c r="AD18" s="204">
        <v>20</v>
      </c>
      <c r="AE18" s="204">
        <v>20</v>
      </c>
      <c r="AF18" s="204">
        <v>19</v>
      </c>
      <c r="AG18" s="204">
        <v>10</v>
      </c>
      <c r="AH18" s="347"/>
      <c r="AI18" s="347"/>
      <c r="AJ18" s="351">
        <v>0.58333333333333337</v>
      </c>
      <c r="AK18" s="352">
        <v>162</v>
      </c>
      <c r="AL18" s="352">
        <v>113</v>
      </c>
      <c r="AM18" s="352">
        <v>129</v>
      </c>
      <c r="AN18" s="352">
        <v>99</v>
      </c>
      <c r="AO18" s="352">
        <v>171</v>
      </c>
      <c r="AP18" s="352">
        <v>159</v>
      </c>
      <c r="AQ18" s="352">
        <v>166</v>
      </c>
      <c r="AR18" s="352">
        <v>162</v>
      </c>
      <c r="AS18" s="352">
        <v>162</v>
      </c>
      <c r="AT18" s="352">
        <v>122</v>
      </c>
      <c r="AU18" s="352">
        <v>86</v>
      </c>
      <c r="AV18" s="352">
        <v>171</v>
      </c>
      <c r="AW18" s="352">
        <v>159</v>
      </c>
      <c r="AX18" s="352">
        <v>166</v>
      </c>
      <c r="AY18" s="352">
        <v>162</v>
      </c>
      <c r="AZ18" s="352">
        <v>154</v>
      </c>
      <c r="BA18" s="352">
        <v>113</v>
      </c>
      <c r="BB18" s="352">
        <v>97</v>
      </c>
      <c r="BC18" s="352">
        <v>177</v>
      </c>
      <c r="BD18" s="352">
        <v>168</v>
      </c>
      <c r="BE18" s="352">
        <v>166</v>
      </c>
      <c r="BF18" s="352">
        <v>162</v>
      </c>
      <c r="BG18" s="352">
        <v>154</v>
      </c>
      <c r="BH18" s="352">
        <v>112</v>
      </c>
      <c r="BI18" s="352">
        <v>95</v>
      </c>
      <c r="BJ18" s="352">
        <v>171</v>
      </c>
      <c r="BK18" s="352">
        <v>159</v>
      </c>
      <c r="BL18" s="352">
        <v>166</v>
      </c>
      <c r="BM18" s="352">
        <v>162</v>
      </c>
      <c r="BN18" s="352">
        <v>154</v>
      </c>
      <c r="BO18" s="352">
        <v>113</v>
      </c>
      <c r="BP18" s="347"/>
      <c r="BQ18" s="347"/>
    </row>
    <row r="19" spans="1:69">
      <c r="A19" s="347"/>
      <c r="B19" s="350">
        <v>0.625</v>
      </c>
      <c r="C19" s="83">
        <v>17</v>
      </c>
      <c r="D19" s="72">
        <v>16</v>
      </c>
      <c r="E19" s="72">
        <v>16</v>
      </c>
      <c r="F19" s="56">
        <v>13</v>
      </c>
      <c r="G19" s="120">
        <v>22</v>
      </c>
      <c r="H19" s="136">
        <v>23</v>
      </c>
      <c r="I19" s="80">
        <v>21</v>
      </c>
      <c r="J19" s="137">
        <v>20</v>
      </c>
      <c r="K19" s="120">
        <v>22</v>
      </c>
      <c r="L19" s="83">
        <v>17</v>
      </c>
      <c r="M19" s="94">
        <v>10</v>
      </c>
      <c r="N19" s="120">
        <v>22</v>
      </c>
      <c r="O19" s="80">
        <v>21</v>
      </c>
      <c r="P19" s="80">
        <v>21</v>
      </c>
      <c r="Q19" s="137">
        <v>20</v>
      </c>
      <c r="R19" s="80">
        <v>21</v>
      </c>
      <c r="S19" s="108">
        <v>15</v>
      </c>
      <c r="T19" s="14">
        <v>12</v>
      </c>
      <c r="U19" s="293">
        <v>26</v>
      </c>
      <c r="V19" s="293">
        <v>25</v>
      </c>
      <c r="W19" s="204">
        <v>20</v>
      </c>
      <c r="X19" s="204">
        <v>19</v>
      </c>
      <c r="Y19" s="204">
        <v>21</v>
      </c>
      <c r="Z19" s="204">
        <v>13</v>
      </c>
      <c r="AA19" s="204">
        <v>16</v>
      </c>
      <c r="AB19" s="204">
        <v>21</v>
      </c>
      <c r="AC19" s="204">
        <v>18</v>
      </c>
      <c r="AD19" s="204">
        <v>20</v>
      </c>
      <c r="AE19" s="204">
        <v>19</v>
      </c>
      <c r="AF19" s="204">
        <v>19</v>
      </c>
      <c r="AG19" s="204">
        <v>9</v>
      </c>
      <c r="AH19" s="347"/>
      <c r="AI19" s="347"/>
      <c r="AJ19" s="351">
        <v>0.625</v>
      </c>
      <c r="AK19" s="352">
        <v>160</v>
      </c>
      <c r="AL19" s="352">
        <v>104</v>
      </c>
      <c r="AM19" s="352">
        <v>120</v>
      </c>
      <c r="AN19" s="352">
        <v>95</v>
      </c>
      <c r="AO19" s="352">
        <v>174</v>
      </c>
      <c r="AP19" s="352">
        <v>157</v>
      </c>
      <c r="AQ19" s="352">
        <v>167</v>
      </c>
      <c r="AR19" s="352">
        <v>160</v>
      </c>
      <c r="AS19" s="352">
        <v>159</v>
      </c>
      <c r="AT19" s="352">
        <v>120</v>
      </c>
      <c r="AU19" s="352">
        <v>80</v>
      </c>
      <c r="AV19" s="352">
        <v>174</v>
      </c>
      <c r="AW19" s="352">
        <v>157</v>
      </c>
      <c r="AX19" s="352">
        <v>167</v>
      </c>
      <c r="AY19" s="352">
        <v>160</v>
      </c>
      <c r="AZ19" s="352">
        <v>161</v>
      </c>
      <c r="BA19" s="352">
        <v>104</v>
      </c>
      <c r="BB19" s="352">
        <v>91</v>
      </c>
      <c r="BC19" s="352">
        <v>168</v>
      </c>
      <c r="BD19" s="352">
        <v>165</v>
      </c>
      <c r="BE19" s="352">
        <v>167</v>
      </c>
      <c r="BF19" s="352">
        <v>160</v>
      </c>
      <c r="BG19" s="352">
        <v>161</v>
      </c>
      <c r="BH19" s="352">
        <v>118</v>
      </c>
      <c r="BI19" s="352">
        <v>83</v>
      </c>
      <c r="BJ19" s="352">
        <v>174</v>
      </c>
      <c r="BK19" s="352">
        <v>157</v>
      </c>
      <c r="BL19" s="352">
        <v>167</v>
      </c>
      <c r="BM19" s="352">
        <v>160</v>
      </c>
      <c r="BN19" s="352">
        <v>161</v>
      </c>
      <c r="BO19" s="352">
        <v>104</v>
      </c>
      <c r="BP19" s="347"/>
      <c r="BQ19" s="347"/>
    </row>
    <row r="20" spans="1:69">
      <c r="A20" s="347"/>
      <c r="B20" s="350">
        <v>0.66666666666666663</v>
      </c>
      <c r="C20" s="83">
        <v>17</v>
      </c>
      <c r="D20" s="72">
        <v>16</v>
      </c>
      <c r="E20" s="72">
        <v>16</v>
      </c>
      <c r="F20" s="56">
        <v>13</v>
      </c>
      <c r="G20" s="120">
        <v>22</v>
      </c>
      <c r="H20" s="120">
        <v>22</v>
      </c>
      <c r="I20" s="80">
        <v>21</v>
      </c>
      <c r="J20" s="137">
        <v>20</v>
      </c>
      <c r="K20" s="120">
        <v>22</v>
      </c>
      <c r="L20" s="83">
        <v>17</v>
      </c>
      <c r="M20" s="13">
        <v>11</v>
      </c>
      <c r="N20" s="120">
        <v>22</v>
      </c>
      <c r="O20" s="137">
        <v>20</v>
      </c>
      <c r="P20" s="80">
        <v>21</v>
      </c>
      <c r="Q20" s="137">
        <v>20</v>
      </c>
      <c r="R20" s="80">
        <v>21</v>
      </c>
      <c r="S20" s="108">
        <v>15</v>
      </c>
      <c r="T20" s="56">
        <v>13</v>
      </c>
      <c r="U20" s="293">
        <v>25</v>
      </c>
      <c r="V20" s="293">
        <v>25</v>
      </c>
      <c r="W20" s="204">
        <v>21</v>
      </c>
      <c r="X20" s="204">
        <v>20</v>
      </c>
      <c r="Y20" s="204">
        <v>19</v>
      </c>
      <c r="Z20" s="204">
        <v>12</v>
      </c>
      <c r="AA20" s="204">
        <v>15</v>
      </c>
      <c r="AB20" s="204">
        <v>19</v>
      </c>
      <c r="AC20" s="204">
        <v>18</v>
      </c>
      <c r="AD20" s="204">
        <v>21</v>
      </c>
      <c r="AE20" s="204">
        <v>20</v>
      </c>
      <c r="AF20" s="204">
        <v>17</v>
      </c>
      <c r="AG20" s="204">
        <v>8</v>
      </c>
      <c r="AH20" s="347"/>
      <c r="AI20" s="347"/>
      <c r="AJ20" s="351">
        <v>0.66666666666666663</v>
      </c>
      <c r="AK20" s="352">
        <v>160</v>
      </c>
      <c r="AL20" s="352">
        <v>104</v>
      </c>
      <c r="AM20" s="352">
        <v>119</v>
      </c>
      <c r="AN20" s="352">
        <v>91</v>
      </c>
      <c r="AO20" s="352">
        <v>166</v>
      </c>
      <c r="AP20" s="352">
        <v>156</v>
      </c>
      <c r="AQ20" s="352">
        <v>170</v>
      </c>
      <c r="AR20" s="352">
        <v>160</v>
      </c>
      <c r="AS20" s="352">
        <v>157</v>
      </c>
      <c r="AT20" s="352">
        <v>118</v>
      </c>
      <c r="AU20" s="352">
        <v>80</v>
      </c>
      <c r="AV20" s="352">
        <v>166</v>
      </c>
      <c r="AW20" s="352">
        <v>156</v>
      </c>
      <c r="AX20" s="352">
        <v>170</v>
      </c>
      <c r="AY20" s="352">
        <v>160</v>
      </c>
      <c r="AZ20" s="352">
        <v>157</v>
      </c>
      <c r="BA20" s="352">
        <v>104</v>
      </c>
      <c r="BB20" s="352">
        <v>91</v>
      </c>
      <c r="BC20" s="352">
        <v>167</v>
      </c>
      <c r="BD20" s="352">
        <v>160</v>
      </c>
      <c r="BE20" s="352">
        <v>170</v>
      </c>
      <c r="BF20" s="352">
        <v>160</v>
      </c>
      <c r="BG20" s="352">
        <v>157</v>
      </c>
      <c r="BH20" s="352">
        <v>114</v>
      </c>
      <c r="BI20" s="352">
        <v>88</v>
      </c>
      <c r="BJ20" s="352">
        <v>166</v>
      </c>
      <c r="BK20" s="352">
        <v>156</v>
      </c>
      <c r="BL20" s="352">
        <v>170</v>
      </c>
      <c r="BM20" s="352">
        <v>160</v>
      </c>
      <c r="BN20" s="352">
        <v>157</v>
      </c>
      <c r="BO20" s="352">
        <v>104</v>
      </c>
      <c r="BP20" s="347"/>
      <c r="BQ20" s="347"/>
    </row>
    <row r="21" spans="1:69">
      <c r="A21" s="347"/>
      <c r="B21" s="350">
        <v>0.70833333333333337</v>
      </c>
      <c r="C21" s="83">
        <v>17</v>
      </c>
      <c r="D21" s="72">
        <v>16</v>
      </c>
      <c r="E21" s="72">
        <v>16</v>
      </c>
      <c r="F21" s="56">
        <v>13</v>
      </c>
      <c r="G21" s="120">
        <v>22</v>
      </c>
      <c r="H21" s="120">
        <v>22</v>
      </c>
      <c r="I21" s="80">
        <v>21</v>
      </c>
      <c r="J21" s="137">
        <v>20</v>
      </c>
      <c r="K21" s="80">
        <v>21</v>
      </c>
      <c r="L21" s="108">
        <v>15</v>
      </c>
      <c r="M21" s="14">
        <v>12</v>
      </c>
      <c r="N21" s="120">
        <v>22</v>
      </c>
      <c r="O21" s="137">
        <v>20</v>
      </c>
      <c r="P21" s="137">
        <v>20</v>
      </c>
      <c r="Q21" s="137">
        <v>20</v>
      </c>
      <c r="R21" s="80">
        <v>21</v>
      </c>
      <c r="S21" s="56">
        <v>13</v>
      </c>
      <c r="T21" s="56">
        <v>13</v>
      </c>
      <c r="U21" s="293">
        <v>24</v>
      </c>
      <c r="V21" s="293">
        <v>23</v>
      </c>
      <c r="W21" s="204">
        <v>17</v>
      </c>
      <c r="X21" s="204">
        <v>17</v>
      </c>
      <c r="Y21" s="204">
        <v>17</v>
      </c>
      <c r="Z21" s="204">
        <v>11</v>
      </c>
      <c r="AA21" s="204">
        <v>14</v>
      </c>
      <c r="AB21" s="204">
        <v>18</v>
      </c>
      <c r="AC21" s="204">
        <v>17</v>
      </c>
      <c r="AD21" s="204">
        <v>18</v>
      </c>
      <c r="AE21" s="204">
        <v>17</v>
      </c>
      <c r="AF21" s="204">
        <v>14</v>
      </c>
      <c r="AG21" s="204">
        <v>7</v>
      </c>
      <c r="AH21" s="347"/>
      <c r="AI21" s="347"/>
      <c r="AJ21" s="351">
        <v>0.70833333333333337</v>
      </c>
      <c r="AK21" s="352">
        <v>148</v>
      </c>
      <c r="AL21" s="352">
        <v>97</v>
      </c>
      <c r="AM21" s="352">
        <v>109</v>
      </c>
      <c r="AN21" s="352">
        <v>84</v>
      </c>
      <c r="AO21" s="352">
        <v>160</v>
      </c>
      <c r="AP21" s="352">
        <v>153</v>
      </c>
      <c r="AQ21" s="352">
        <v>156</v>
      </c>
      <c r="AR21" s="352">
        <v>148</v>
      </c>
      <c r="AS21" s="352">
        <v>143</v>
      </c>
      <c r="AT21" s="352">
        <v>108</v>
      </c>
      <c r="AU21" s="352">
        <v>80</v>
      </c>
      <c r="AV21" s="352">
        <v>160</v>
      </c>
      <c r="AW21" s="352">
        <v>153</v>
      </c>
      <c r="AX21" s="352">
        <v>156</v>
      </c>
      <c r="AY21" s="352">
        <v>148</v>
      </c>
      <c r="AZ21" s="352">
        <v>141</v>
      </c>
      <c r="BA21" s="352">
        <v>97</v>
      </c>
      <c r="BB21" s="352">
        <v>86</v>
      </c>
      <c r="BC21" s="352">
        <v>157</v>
      </c>
      <c r="BD21" s="352">
        <v>152</v>
      </c>
      <c r="BE21" s="352">
        <v>156</v>
      </c>
      <c r="BF21" s="352">
        <v>148</v>
      </c>
      <c r="BG21" s="352">
        <v>141</v>
      </c>
      <c r="BH21" s="352">
        <v>109</v>
      </c>
      <c r="BI21" s="352">
        <v>85</v>
      </c>
      <c r="BJ21" s="352">
        <v>160</v>
      </c>
      <c r="BK21" s="352">
        <v>153</v>
      </c>
      <c r="BL21" s="352">
        <v>156</v>
      </c>
      <c r="BM21" s="352">
        <v>148</v>
      </c>
      <c r="BN21" s="352">
        <v>141</v>
      </c>
      <c r="BO21" s="352">
        <v>97</v>
      </c>
      <c r="BP21" s="347"/>
      <c r="BQ21" s="347"/>
    </row>
    <row r="22" spans="1:69">
      <c r="A22" s="347"/>
      <c r="B22" s="350">
        <v>0.75</v>
      </c>
      <c r="C22" s="108">
        <v>15</v>
      </c>
      <c r="D22" s="14">
        <v>12</v>
      </c>
      <c r="E22" s="150">
        <v>14</v>
      </c>
      <c r="F22" s="13">
        <v>11</v>
      </c>
      <c r="G22" s="80">
        <v>21</v>
      </c>
      <c r="H22" s="119">
        <v>24</v>
      </c>
      <c r="I22" s="149">
        <v>19</v>
      </c>
      <c r="J22" s="149">
        <v>19</v>
      </c>
      <c r="K22" s="83">
        <v>17</v>
      </c>
      <c r="L22" s="56">
        <v>13</v>
      </c>
      <c r="M22" s="94">
        <v>10</v>
      </c>
      <c r="N22" s="80">
        <v>21</v>
      </c>
      <c r="O22" s="137">
        <v>20</v>
      </c>
      <c r="P22" s="149">
        <v>19</v>
      </c>
      <c r="Q22" s="149">
        <v>19</v>
      </c>
      <c r="R22" s="149">
        <v>19</v>
      </c>
      <c r="S22" s="56">
        <v>13</v>
      </c>
      <c r="T22" s="13">
        <v>11</v>
      </c>
      <c r="U22" s="293">
        <v>22</v>
      </c>
      <c r="V22" s="293">
        <v>21</v>
      </c>
      <c r="W22" s="204">
        <v>16</v>
      </c>
      <c r="X22" s="204">
        <v>15</v>
      </c>
      <c r="Y22" s="204">
        <v>15</v>
      </c>
      <c r="Z22" s="204">
        <v>9</v>
      </c>
      <c r="AA22" s="204">
        <v>14</v>
      </c>
      <c r="AB22" s="204">
        <v>16</v>
      </c>
      <c r="AC22" s="204">
        <v>16</v>
      </c>
      <c r="AD22" s="204">
        <v>16</v>
      </c>
      <c r="AE22" s="204">
        <v>15</v>
      </c>
      <c r="AF22" s="204">
        <v>13</v>
      </c>
      <c r="AG22" s="204">
        <v>7</v>
      </c>
      <c r="AH22" s="353"/>
      <c r="AI22" s="347"/>
      <c r="AJ22" s="351">
        <v>0.75</v>
      </c>
      <c r="AK22" s="352">
        <v>134</v>
      </c>
      <c r="AL22" s="352">
        <v>88</v>
      </c>
      <c r="AM22" s="352">
        <v>94</v>
      </c>
      <c r="AN22" s="352">
        <v>79</v>
      </c>
      <c r="AO22" s="352">
        <v>143</v>
      </c>
      <c r="AP22" s="352">
        <v>146</v>
      </c>
      <c r="AQ22" s="352">
        <v>140</v>
      </c>
      <c r="AR22" s="352">
        <v>134</v>
      </c>
      <c r="AS22" s="352">
        <v>123</v>
      </c>
      <c r="AT22" s="352">
        <v>93</v>
      </c>
      <c r="AU22" s="352">
        <v>69</v>
      </c>
      <c r="AV22" s="352">
        <v>143</v>
      </c>
      <c r="AW22" s="352">
        <v>146</v>
      </c>
      <c r="AX22" s="352">
        <v>140</v>
      </c>
      <c r="AY22" s="352">
        <v>134</v>
      </c>
      <c r="AZ22" s="352">
        <v>126</v>
      </c>
      <c r="BA22" s="352">
        <v>88</v>
      </c>
      <c r="BB22" s="352">
        <v>78</v>
      </c>
      <c r="BC22" s="352">
        <v>144</v>
      </c>
      <c r="BD22" s="352">
        <v>138</v>
      </c>
      <c r="BE22" s="352">
        <v>140</v>
      </c>
      <c r="BF22" s="352">
        <v>134</v>
      </c>
      <c r="BG22" s="352">
        <v>126</v>
      </c>
      <c r="BH22" s="352">
        <v>96</v>
      </c>
      <c r="BI22" s="352">
        <v>76</v>
      </c>
      <c r="BJ22" s="352">
        <v>143</v>
      </c>
      <c r="BK22" s="352">
        <v>146</v>
      </c>
      <c r="BL22" s="352">
        <v>140</v>
      </c>
      <c r="BM22" s="352">
        <v>134</v>
      </c>
      <c r="BN22" s="352">
        <v>126</v>
      </c>
      <c r="BO22" s="352">
        <v>88</v>
      </c>
      <c r="BP22" s="347"/>
      <c r="BQ22" s="347"/>
    </row>
    <row r="23" spans="1:69">
      <c r="A23" s="347"/>
      <c r="B23" s="350">
        <v>0.79166666666666663</v>
      </c>
      <c r="C23" s="108">
        <v>15</v>
      </c>
      <c r="D23" s="14">
        <v>12</v>
      </c>
      <c r="E23" s="150">
        <v>14</v>
      </c>
      <c r="F23" s="14">
        <v>12</v>
      </c>
      <c r="G23" s="137">
        <v>20</v>
      </c>
      <c r="H23" s="120">
        <v>22</v>
      </c>
      <c r="I23" s="83">
        <v>17</v>
      </c>
      <c r="J23" s="108">
        <v>15</v>
      </c>
      <c r="K23" s="108">
        <v>15</v>
      </c>
      <c r="L23" s="56">
        <v>13</v>
      </c>
      <c r="M23" s="14">
        <v>12</v>
      </c>
      <c r="N23" s="137">
        <v>20</v>
      </c>
      <c r="O23" s="137">
        <v>20</v>
      </c>
      <c r="P23" s="83">
        <v>17</v>
      </c>
      <c r="Q23" s="108">
        <v>15</v>
      </c>
      <c r="R23" s="72">
        <v>16</v>
      </c>
      <c r="S23" s="13">
        <v>11</v>
      </c>
      <c r="T23" s="14">
        <v>12</v>
      </c>
      <c r="U23" s="293">
        <v>20</v>
      </c>
      <c r="V23" s="293">
        <v>19</v>
      </c>
      <c r="W23" s="204">
        <v>23</v>
      </c>
      <c r="X23" s="204">
        <v>21</v>
      </c>
      <c r="Y23" s="204">
        <v>22</v>
      </c>
      <c r="Z23" s="204">
        <v>16</v>
      </c>
      <c r="AA23" s="204">
        <v>10</v>
      </c>
      <c r="AB23" s="204">
        <v>23</v>
      </c>
      <c r="AC23" s="204">
        <v>22</v>
      </c>
      <c r="AD23" s="204">
        <v>23</v>
      </c>
      <c r="AE23" s="204">
        <v>21</v>
      </c>
      <c r="AF23" s="204">
        <v>22</v>
      </c>
      <c r="AG23" s="204">
        <v>15</v>
      </c>
      <c r="AH23" s="353"/>
      <c r="AI23" s="347"/>
      <c r="AJ23" s="351">
        <v>0.79166666666666663</v>
      </c>
      <c r="AK23" s="352">
        <v>114</v>
      </c>
      <c r="AL23" s="352">
        <v>77</v>
      </c>
      <c r="AM23" s="352">
        <v>93</v>
      </c>
      <c r="AN23" s="352">
        <v>71</v>
      </c>
      <c r="AO23" s="352">
        <v>131</v>
      </c>
      <c r="AP23" s="352">
        <v>128</v>
      </c>
      <c r="AQ23" s="352">
        <v>125</v>
      </c>
      <c r="AR23" s="352">
        <v>114</v>
      </c>
      <c r="AS23" s="352">
        <v>109</v>
      </c>
      <c r="AT23" s="352">
        <v>82</v>
      </c>
      <c r="AU23" s="352">
        <v>71</v>
      </c>
      <c r="AV23" s="352">
        <v>131</v>
      </c>
      <c r="AW23" s="352">
        <v>128</v>
      </c>
      <c r="AX23" s="352">
        <v>125</v>
      </c>
      <c r="AY23" s="352">
        <v>114</v>
      </c>
      <c r="AZ23" s="352">
        <v>115</v>
      </c>
      <c r="BA23" s="352">
        <v>77</v>
      </c>
      <c r="BB23" s="352">
        <v>72</v>
      </c>
      <c r="BC23" s="352">
        <v>132</v>
      </c>
      <c r="BD23" s="352">
        <v>122</v>
      </c>
      <c r="BE23" s="352">
        <v>125</v>
      </c>
      <c r="BF23" s="352">
        <v>114</v>
      </c>
      <c r="BG23" s="352">
        <v>115</v>
      </c>
      <c r="BH23" s="352">
        <v>87</v>
      </c>
      <c r="BI23" s="352">
        <v>61</v>
      </c>
      <c r="BJ23" s="352">
        <v>131</v>
      </c>
      <c r="BK23" s="352">
        <v>128</v>
      </c>
      <c r="BL23" s="352">
        <v>125</v>
      </c>
      <c r="BM23" s="352">
        <v>114</v>
      </c>
      <c r="BN23" s="352">
        <v>115</v>
      </c>
      <c r="BO23" s="352">
        <v>77</v>
      </c>
      <c r="BP23" s="347"/>
      <c r="BQ23" s="347"/>
    </row>
    <row r="24" spans="1:69">
      <c r="A24" s="347"/>
      <c r="B24" s="350">
        <v>0.83333333333333337</v>
      </c>
      <c r="C24" s="56">
        <v>13</v>
      </c>
      <c r="D24" s="13">
        <v>11</v>
      </c>
      <c r="E24" s="14">
        <v>12</v>
      </c>
      <c r="F24" s="246">
        <v>9</v>
      </c>
      <c r="G24" s="83">
        <v>17</v>
      </c>
      <c r="H24" s="149">
        <v>19</v>
      </c>
      <c r="I24" s="150">
        <v>14</v>
      </c>
      <c r="J24" s="150">
        <v>14</v>
      </c>
      <c r="K24" s="150">
        <v>14</v>
      </c>
      <c r="L24" s="13">
        <v>11</v>
      </c>
      <c r="M24" s="94">
        <v>10</v>
      </c>
      <c r="N24" s="83">
        <v>17</v>
      </c>
      <c r="O24" s="83">
        <v>17</v>
      </c>
      <c r="P24" s="150">
        <v>14</v>
      </c>
      <c r="Q24" s="150">
        <v>14</v>
      </c>
      <c r="R24" s="150">
        <v>14</v>
      </c>
      <c r="S24" s="13">
        <v>11</v>
      </c>
      <c r="T24" s="246">
        <v>9</v>
      </c>
      <c r="U24" s="293">
        <v>19</v>
      </c>
      <c r="V24" s="293">
        <v>16</v>
      </c>
      <c r="W24" s="204">
        <v>20</v>
      </c>
      <c r="X24" s="204">
        <v>20</v>
      </c>
      <c r="Y24" s="204">
        <v>18</v>
      </c>
      <c r="Z24" s="204">
        <v>14</v>
      </c>
      <c r="AA24" s="204">
        <v>11</v>
      </c>
      <c r="AB24" s="204">
        <v>22</v>
      </c>
      <c r="AC24" s="204">
        <v>21</v>
      </c>
      <c r="AD24" s="204">
        <v>20</v>
      </c>
      <c r="AE24" s="204">
        <v>20</v>
      </c>
      <c r="AF24" s="204">
        <v>18</v>
      </c>
      <c r="AG24" s="204">
        <v>14</v>
      </c>
      <c r="AH24" s="353"/>
      <c r="AI24" s="347"/>
      <c r="AJ24" s="351">
        <v>0.83333333333333337</v>
      </c>
      <c r="AK24" s="352">
        <v>97</v>
      </c>
      <c r="AL24" s="352">
        <v>66</v>
      </c>
      <c r="AM24" s="352">
        <v>75</v>
      </c>
      <c r="AN24" s="352">
        <v>59</v>
      </c>
      <c r="AO24" s="352">
        <v>110</v>
      </c>
      <c r="AP24" s="352">
        <v>108</v>
      </c>
      <c r="AQ24" s="352">
        <v>101</v>
      </c>
      <c r="AR24" s="352">
        <v>97</v>
      </c>
      <c r="AS24" s="352">
        <v>91</v>
      </c>
      <c r="AT24" s="352">
        <v>69</v>
      </c>
      <c r="AU24" s="352">
        <v>64</v>
      </c>
      <c r="AV24" s="352">
        <v>110</v>
      </c>
      <c r="AW24" s="352">
        <v>108</v>
      </c>
      <c r="AX24" s="352">
        <v>101</v>
      </c>
      <c r="AY24" s="352">
        <v>97</v>
      </c>
      <c r="AZ24" s="352">
        <v>93</v>
      </c>
      <c r="BA24" s="352">
        <v>66</v>
      </c>
      <c r="BB24" s="352">
        <v>60</v>
      </c>
      <c r="BC24" s="352">
        <v>110</v>
      </c>
      <c r="BD24" s="352">
        <v>94</v>
      </c>
      <c r="BE24" s="352">
        <v>101</v>
      </c>
      <c r="BF24" s="352">
        <v>97</v>
      </c>
      <c r="BG24" s="352">
        <v>93</v>
      </c>
      <c r="BH24" s="352">
        <v>71</v>
      </c>
      <c r="BI24" s="352">
        <v>55</v>
      </c>
      <c r="BJ24" s="352">
        <v>110</v>
      </c>
      <c r="BK24" s="352">
        <v>108</v>
      </c>
      <c r="BL24" s="352">
        <v>101</v>
      </c>
      <c r="BM24" s="352">
        <v>97</v>
      </c>
      <c r="BN24" s="352">
        <v>93</v>
      </c>
      <c r="BO24" s="352">
        <v>66</v>
      </c>
      <c r="BP24" s="347"/>
      <c r="BQ24" s="347"/>
    </row>
    <row r="25" spans="1:69">
      <c r="A25" s="347"/>
      <c r="B25" s="350">
        <v>0.875</v>
      </c>
      <c r="C25" s="225">
        <v>8</v>
      </c>
      <c r="D25" s="17">
        <v>7</v>
      </c>
      <c r="E25" s="17">
        <v>7</v>
      </c>
      <c r="F25" s="245">
        <v>6</v>
      </c>
      <c r="G25" s="94">
        <v>10</v>
      </c>
      <c r="H25" s="13">
        <v>11</v>
      </c>
      <c r="I25" s="94">
        <v>10</v>
      </c>
      <c r="J25" s="94">
        <v>10</v>
      </c>
      <c r="K25" s="246">
        <v>9</v>
      </c>
      <c r="L25" s="17">
        <v>7</v>
      </c>
      <c r="M25" s="17">
        <v>7</v>
      </c>
      <c r="N25" s="94">
        <v>10</v>
      </c>
      <c r="O25" s="94">
        <v>10</v>
      </c>
      <c r="P25" s="94">
        <v>10</v>
      </c>
      <c r="Q25" s="94">
        <v>10</v>
      </c>
      <c r="R25" s="246">
        <v>9</v>
      </c>
      <c r="S25" s="17">
        <v>7</v>
      </c>
      <c r="T25" s="245">
        <v>6</v>
      </c>
      <c r="U25" s="293">
        <v>12</v>
      </c>
      <c r="V25" s="293">
        <v>13</v>
      </c>
      <c r="W25" s="204">
        <v>15</v>
      </c>
      <c r="X25" s="204">
        <v>15</v>
      </c>
      <c r="Y25" s="204">
        <v>14</v>
      </c>
      <c r="Z25" s="204">
        <v>11</v>
      </c>
      <c r="AA25" s="204">
        <v>9</v>
      </c>
      <c r="AB25" s="204">
        <v>15</v>
      </c>
      <c r="AC25" s="204">
        <v>15</v>
      </c>
      <c r="AD25" s="204">
        <v>15</v>
      </c>
      <c r="AE25" s="204">
        <v>15</v>
      </c>
      <c r="AF25" s="204">
        <v>14</v>
      </c>
      <c r="AG25" s="204">
        <v>11</v>
      </c>
      <c r="AH25" s="353"/>
      <c r="AI25" s="347"/>
      <c r="AJ25" s="351">
        <v>0.875</v>
      </c>
      <c r="AK25" s="352">
        <v>70</v>
      </c>
      <c r="AL25" s="352">
        <v>48</v>
      </c>
      <c r="AM25" s="352">
        <v>48</v>
      </c>
      <c r="AN25" s="352">
        <v>42</v>
      </c>
      <c r="AO25" s="352">
        <v>72</v>
      </c>
      <c r="AP25" s="352">
        <v>78</v>
      </c>
      <c r="AQ25" s="352">
        <v>74</v>
      </c>
      <c r="AR25" s="352">
        <v>70</v>
      </c>
      <c r="AS25" s="352">
        <v>68</v>
      </c>
      <c r="AT25" s="352">
        <v>51</v>
      </c>
      <c r="AU25" s="352">
        <v>48</v>
      </c>
      <c r="AV25" s="352">
        <v>72</v>
      </c>
      <c r="AW25" s="352">
        <v>78</v>
      </c>
      <c r="AX25" s="352">
        <v>74</v>
      </c>
      <c r="AY25" s="352">
        <v>70</v>
      </c>
      <c r="AZ25" s="352">
        <v>67</v>
      </c>
      <c r="BA25" s="352">
        <v>48</v>
      </c>
      <c r="BB25" s="352">
        <v>38</v>
      </c>
      <c r="BC25" s="352">
        <v>71</v>
      </c>
      <c r="BD25" s="352">
        <v>76</v>
      </c>
      <c r="BE25" s="352">
        <v>74</v>
      </c>
      <c r="BF25" s="352">
        <v>70</v>
      </c>
      <c r="BG25" s="352">
        <v>67</v>
      </c>
      <c r="BH25" s="352">
        <v>49</v>
      </c>
      <c r="BI25" s="352">
        <v>39</v>
      </c>
      <c r="BJ25" s="352">
        <v>72</v>
      </c>
      <c r="BK25" s="352">
        <v>78</v>
      </c>
      <c r="BL25" s="352">
        <v>74</v>
      </c>
      <c r="BM25" s="352">
        <v>70</v>
      </c>
      <c r="BN25" s="352">
        <v>67</v>
      </c>
      <c r="BO25" s="352">
        <v>48</v>
      </c>
      <c r="BP25" s="347"/>
      <c r="BQ25" s="347"/>
    </row>
    <row r="26" spans="1:69">
      <c r="A26" s="347"/>
      <c r="B26" s="350">
        <v>0.91666666666666663</v>
      </c>
      <c r="C26" s="17">
        <v>7</v>
      </c>
      <c r="D26" s="17">
        <v>7</v>
      </c>
      <c r="E26" s="17">
        <v>7</v>
      </c>
      <c r="F26" s="245">
        <v>6</v>
      </c>
      <c r="G26" s="225">
        <v>8</v>
      </c>
      <c r="H26" s="225">
        <v>8</v>
      </c>
      <c r="I26" s="225">
        <v>8</v>
      </c>
      <c r="J26" s="225">
        <v>8</v>
      </c>
      <c r="K26" s="225">
        <v>8</v>
      </c>
      <c r="L26" s="17">
        <v>7</v>
      </c>
      <c r="M26" s="245">
        <v>6</v>
      </c>
      <c r="N26" s="225">
        <v>8</v>
      </c>
      <c r="O26" s="225">
        <v>8</v>
      </c>
      <c r="P26" s="225">
        <v>8</v>
      </c>
      <c r="Q26" s="225">
        <v>8</v>
      </c>
      <c r="R26" s="225">
        <v>8</v>
      </c>
      <c r="S26" s="17">
        <v>7</v>
      </c>
      <c r="T26" s="245">
        <v>6</v>
      </c>
      <c r="U26" s="293">
        <v>8</v>
      </c>
      <c r="V26" s="293">
        <v>7</v>
      </c>
      <c r="W26" s="204">
        <v>8</v>
      </c>
      <c r="X26" s="204">
        <v>7</v>
      </c>
      <c r="Y26" s="204">
        <v>7</v>
      </c>
      <c r="Z26" s="204">
        <v>5</v>
      </c>
      <c r="AA26" s="204">
        <v>4</v>
      </c>
      <c r="AB26" s="204">
        <v>7</v>
      </c>
      <c r="AC26" s="204">
        <v>7</v>
      </c>
      <c r="AD26" s="204">
        <v>8</v>
      </c>
      <c r="AE26" s="204">
        <v>7</v>
      </c>
      <c r="AF26" s="204">
        <v>7</v>
      </c>
      <c r="AG26" s="204">
        <v>6</v>
      </c>
      <c r="AH26" s="353"/>
      <c r="AI26" s="347"/>
      <c r="AJ26" s="351">
        <v>0.91666666666666663</v>
      </c>
      <c r="AK26" s="352">
        <v>36</v>
      </c>
      <c r="AL26" s="352">
        <v>29</v>
      </c>
      <c r="AM26" s="352">
        <v>36</v>
      </c>
      <c r="AN26" s="352">
        <v>25</v>
      </c>
      <c r="AO26" s="352">
        <v>40</v>
      </c>
      <c r="AP26" s="352">
        <v>41</v>
      </c>
      <c r="AQ26" s="352">
        <v>42</v>
      </c>
      <c r="AR26" s="352">
        <v>36</v>
      </c>
      <c r="AS26" s="352">
        <v>38</v>
      </c>
      <c r="AT26" s="352">
        <v>29</v>
      </c>
      <c r="AU26" s="352">
        <v>27</v>
      </c>
      <c r="AV26" s="352">
        <v>40</v>
      </c>
      <c r="AW26" s="352">
        <v>41</v>
      </c>
      <c r="AX26" s="352">
        <v>42</v>
      </c>
      <c r="AY26" s="352">
        <v>36</v>
      </c>
      <c r="AZ26" s="352">
        <v>39</v>
      </c>
      <c r="BA26" s="352">
        <v>29</v>
      </c>
      <c r="BB26" s="352">
        <v>25</v>
      </c>
      <c r="BC26" s="352">
        <v>46</v>
      </c>
      <c r="BD26" s="352">
        <v>35</v>
      </c>
      <c r="BE26" s="352">
        <v>42</v>
      </c>
      <c r="BF26" s="352">
        <v>36</v>
      </c>
      <c r="BG26" s="352">
        <v>39</v>
      </c>
      <c r="BH26" s="352">
        <v>25</v>
      </c>
      <c r="BI26" s="352">
        <v>19</v>
      </c>
      <c r="BJ26" s="352">
        <v>40</v>
      </c>
      <c r="BK26" s="352">
        <v>41</v>
      </c>
      <c r="BL26" s="352">
        <v>42</v>
      </c>
      <c r="BM26" s="352">
        <v>36</v>
      </c>
      <c r="BN26" s="352">
        <v>39</v>
      </c>
      <c r="BO26" s="352">
        <v>29</v>
      </c>
      <c r="BP26" s="347"/>
      <c r="BQ26" s="347"/>
    </row>
    <row r="27" spans="1:69">
      <c r="A27" s="347"/>
      <c r="B27" s="350">
        <v>0.95833333333333337</v>
      </c>
      <c r="C27" s="11">
        <v>4</v>
      </c>
      <c r="D27" s="11">
        <v>4</v>
      </c>
      <c r="E27" s="93">
        <v>3</v>
      </c>
      <c r="F27" s="11">
        <v>4</v>
      </c>
      <c r="G27" s="11">
        <v>4</v>
      </c>
      <c r="H27" s="11">
        <v>4</v>
      </c>
      <c r="I27" s="11">
        <v>4</v>
      </c>
      <c r="J27" s="11">
        <v>4</v>
      </c>
      <c r="K27" s="11">
        <v>4</v>
      </c>
      <c r="L27" s="11">
        <v>4</v>
      </c>
      <c r="M27" s="93">
        <v>3</v>
      </c>
      <c r="N27" s="11">
        <v>4</v>
      </c>
      <c r="O27" s="11">
        <v>4</v>
      </c>
      <c r="P27" s="11">
        <v>4</v>
      </c>
      <c r="Q27" s="11">
        <v>4</v>
      </c>
      <c r="R27" s="11">
        <v>4</v>
      </c>
      <c r="S27" s="93">
        <v>3</v>
      </c>
      <c r="T27" s="11">
        <v>4</v>
      </c>
      <c r="U27" s="293">
        <v>5</v>
      </c>
      <c r="V27" s="293">
        <v>5</v>
      </c>
      <c r="W27" s="204">
        <v>4</v>
      </c>
      <c r="X27" s="204">
        <v>4</v>
      </c>
      <c r="Y27" s="204">
        <v>4</v>
      </c>
      <c r="Z27" s="204">
        <v>3</v>
      </c>
      <c r="AA27" s="204">
        <v>4</v>
      </c>
      <c r="AB27" s="204">
        <v>4</v>
      </c>
      <c r="AC27" s="204">
        <v>4</v>
      </c>
      <c r="AD27" s="204">
        <v>4</v>
      </c>
      <c r="AE27" s="204">
        <v>5</v>
      </c>
      <c r="AF27" s="204">
        <v>4</v>
      </c>
      <c r="AG27" s="204">
        <v>4</v>
      </c>
      <c r="AH27" s="353"/>
      <c r="AI27" s="347"/>
      <c r="AJ27" s="351">
        <v>0.95833333333333337</v>
      </c>
      <c r="AK27" s="352">
        <v>18</v>
      </c>
      <c r="AL27" s="352">
        <v>19</v>
      </c>
      <c r="AM27" s="352">
        <v>16</v>
      </c>
      <c r="AN27" s="352">
        <v>13</v>
      </c>
      <c r="AO27" s="352">
        <v>19</v>
      </c>
      <c r="AP27" s="352">
        <v>17</v>
      </c>
      <c r="AQ27" s="352">
        <v>19</v>
      </c>
      <c r="AR27" s="352">
        <v>18</v>
      </c>
      <c r="AS27" s="352">
        <v>17</v>
      </c>
      <c r="AT27" s="352">
        <v>13</v>
      </c>
      <c r="AU27" s="352">
        <v>12</v>
      </c>
      <c r="AV27" s="352">
        <v>19</v>
      </c>
      <c r="AW27" s="352">
        <v>17</v>
      </c>
      <c r="AX27" s="352">
        <v>19</v>
      </c>
      <c r="AY27" s="352">
        <v>18</v>
      </c>
      <c r="AZ27" s="352">
        <v>20</v>
      </c>
      <c r="BA27" s="352">
        <v>19</v>
      </c>
      <c r="BB27" s="352">
        <v>11</v>
      </c>
      <c r="BC27" s="352">
        <v>21</v>
      </c>
      <c r="BD27" s="352">
        <v>23</v>
      </c>
      <c r="BE27" s="352">
        <v>19</v>
      </c>
      <c r="BF27" s="352">
        <v>18</v>
      </c>
      <c r="BG27" s="352">
        <v>20</v>
      </c>
      <c r="BH27" s="352">
        <v>11</v>
      </c>
      <c r="BI27" s="352">
        <v>10</v>
      </c>
      <c r="BJ27" s="352">
        <v>19</v>
      </c>
      <c r="BK27" s="352">
        <v>17</v>
      </c>
      <c r="BL27" s="352">
        <v>19</v>
      </c>
      <c r="BM27" s="352">
        <v>18</v>
      </c>
      <c r="BN27" s="352">
        <v>20</v>
      </c>
      <c r="BO27" s="352">
        <v>19</v>
      </c>
      <c r="BP27" s="347"/>
      <c r="BQ27" s="347"/>
    </row>
    <row r="28" spans="1:69">
      <c r="A28" s="347"/>
      <c r="B28" s="354" t="s">
        <v>771</v>
      </c>
      <c r="C28" s="354">
        <v>269</v>
      </c>
      <c r="D28" s="354">
        <v>248</v>
      </c>
      <c r="E28" s="354">
        <v>268</v>
      </c>
      <c r="F28" s="354">
        <v>210</v>
      </c>
      <c r="G28" s="354">
        <v>343</v>
      </c>
      <c r="H28" s="354">
        <v>358</v>
      </c>
      <c r="I28" s="354">
        <v>328</v>
      </c>
      <c r="J28" s="354">
        <v>317</v>
      </c>
      <c r="K28" s="354">
        <v>319</v>
      </c>
      <c r="L28" s="354">
        <v>258</v>
      </c>
      <c r="M28" s="354">
        <v>203</v>
      </c>
      <c r="N28" s="354">
        <v>346</v>
      </c>
      <c r="O28" s="354">
        <v>329</v>
      </c>
      <c r="P28" s="354">
        <v>328</v>
      </c>
      <c r="Q28" s="354">
        <v>317</v>
      </c>
      <c r="R28" s="354">
        <v>314</v>
      </c>
      <c r="S28" s="354">
        <v>253</v>
      </c>
      <c r="T28" s="354">
        <v>210</v>
      </c>
      <c r="U28" s="355">
        <f t="shared" ref="U28:AG28" si="0">SUM(U4:U27)</f>
        <v>385</v>
      </c>
      <c r="V28" s="355">
        <f t="shared" si="0"/>
        <v>376</v>
      </c>
      <c r="W28" s="355">
        <f t="shared" si="0"/>
        <v>336</v>
      </c>
      <c r="X28" s="355">
        <f t="shared" si="0"/>
        <v>322</v>
      </c>
      <c r="Y28" s="355">
        <f t="shared" si="0"/>
        <v>318</v>
      </c>
      <c r="Z28" s="355">
        <f t="shared" si="0"/>
        <v>230</v>
      </c>
      <c r="AA28" s="355">
        <f t="shared" si="0"/>
        <v>249</v>
      </c>
      <c r="AB28" s="355">
        <f t="shared" si="0"/>
        <v>334</v>
      </c>
      <c r="AC28" s="355">
        <f t="shared" si="0"/>
        <v>323</v>
      </c>
      <c r="AD28" s="355">
        <f t="shared" si="0"/>
        <v>336</v>
      </c>
      <c r="AE28" s="355">
        <f t="shared" si="0"/>
        <v>323</v>
      </c>
      <c r="AF28" s="355">
        <f t="shared" si="0"/>
        <v>300</v>
      </c>
      <c r="AG28" s="355">
        <f t="shared" si="0"/>
        <v>208</v>
      </c>
      <c r="AH28" s="356">
        <f>SUM(C28:AG28)</f>
        <v>9258</v>
      </c>
      <c r="AI28" s="347"/>
      <c r="AJ28" s="357" t="s">
        <v>771</v>
      </c>
      <c r="AK28" s="354">
        <v>2.323</v>
      </c>
      <c r="AL28" s="354">
        <v>1.7190000000000001</v>
      </c>
      <c r="AM28" s="354">
        <v>1.7589999999999999</v>
      </c>
      <c r="AN28" s="354">
        <v>1.4019999999999999</v>
      </c>
      <c r="AO28" s="354">
        <v>2.4350000000000001</v>
      </c>
      <c r="AP28" s="354">
        <v>2.3559999999999999</v>
      </c>
      <c r="AQ28" s="354">
        <v>2.4129999999999998</v>
      </c>
      <c r="AR28" s="354">
        <v>2.323</v>
      </c>
      <c r="AS28" s="354">
        <v>2.2789999999999999</v>
      </c>
      <c r="AT28" s="354">
        <v>1.7210000000000001</v>
      </c>
      <c r="AU28" s="354">
        <v>1.3680000000000001</v>
      </c>
      <c r="AV28" s="354">
        <v>2.4350000000000001</v>
      </c>
      <c r="AW28" s="354">
        <v>2.3559999999999999</v>
      </c>
      <c r="AX28" s="354">
        <v>2.4129999999999998</v>
      </c>
      <c r="AY28" s="354">
        <v>2.323</v>
      </c>
      <c r="AZ28" s="354">
        <v>2.246</v>
      </c>
      <c r="BA28" s="354">
        <v>1.7190000000000001</v>
      </c>
      <c r="BB28" s="354">
        <v>1.331</v>
      </c>
      <c r="BC28" s="354">
        <v>2.4449999999999998</v>
      </c>
      <c r="BD28" s="354">
        <v>2.407</v>
      </c>
      <c r="BE28" s="354">
        <v>2.4129999999999998</v>
      </c>
      <c r="BF28" s="354">
        <v>2.323</v>
      </c>
      <c r="BG28" s="354">
        <v>2.246</v>
      </c>
      <c r="BH28" s="354">
        <v>1.71</v>
      </c>
      <c r="BI28" s="354">
        <v>1.3480000000000001</v>
      </c>
      <c r="BJ28" s="354">
        <v>2.4350000000000001</v>
      </c>
      <c r="BK28" s="354">
        <v>2.3559999999999999</v>
      </c>
      <c r="BL28" s="354">
        <v>2.4129999999999998</v>
      </c>
      <c r="BM28" s="354">
        <v>2.323</v>
      </c>
      <c r="BN28" s="354">
        <v>2.246</v>
      </c>
      <c r="BO28" s="354">
        <v>1.7190000000000001</v>
      </c>
      <c r="BP28" s="356">
        <v>65.305000000000007</v>
      </c>
      <c r="BQ28" s="347"/>
    </row>
    <row r="29" spans="1:69">
      <c r="A29" s="347"/>
      <c r="B29" s="347"/>
      <c r="C29" s="347"/>
      <c r="D29" s="347"/>
      <c r="E29" s="347"/>
      <c r="F29" s="347"/>
      <c r="G29" s="347"/>
      <c r="H29" s="347"/>
      <c r="I29" s="347"/>
      <c r="J29" s="347"/>
      <c r="K29" s="347"/>
      <c r="L29" s="347">
        <v>20</v>
      </c>
      <c r="M29" s="347">
        <v>20</v>
      </c>
      <c r="N29" s="347"/>
      <c r="O29" s="347"/>
      <c r="P29" s="347"/>
      <c r="Q29" s="347"/>
      <c r="R29" s="347"/>
      <c r="S29" s="347"/>
      <c r="T29" s="347"/>
      <c r="U29" s="347">
        <f>U28+11</f>
        <v>396</v>
      </c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347"/>
      <c r="AH29" s="347"/>
      <c r="AI29" s="347"/>
      <c r="AJ29" s="347"/>
      <c r="AK29" s="347"/>
      <c r="AL29" s="347"/>
      <c r="AM29" s="347"/>
      <c r="AN29" s="347"/>
      <c r="AO29" s="347"/>
      <c r="AP29" s="347"/>
      <c r="AQ29" s="347"/>
      <c r="AR29" s="347"/>
      <c r="AS29" s="347"/>
      <c r="AT29" s="347"/>
      <c r="AU29" s="347"/>
      <c r="AV29" s="347"/>
      <c r="AW29" s="347"/>
      <c r="AX29" s="347"/>
      <c r="AY29" s="347"/>
      <c r="AZ29" s="347"/>
      <c r="BA29" s="347"/>
      <c r="BB29" s="347"/>
      <c r="BC29" s="347"/>
      <c r="BD29" s="347"/>
      <c r="BE29" s="347"/>
      <c r="BF29" s="347"/>
      <c r="BG29" s="347"/>
      <c r="BH29" s="347"/>
      <c r="BI29" s="347"/>
      <c r="BJ29" s="347"/>
      <c r="BK29" s="347"/>
      <c r="BL29" s="347"/>
      <c r="BM29" s="347"/>
      <c r="BN29" s="347"/>
      <c r="BO29" s="347"/>
      <c r="BP29" s="347"/>
      <c r="BQ29" s="347"/>
    </row>
    <row r="30" spans="1:69">
      <c r="A30" s="347"/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>
        <f t="shared" ref="L30:M30" si="1">42-L29</f>
        <v>22</v>
      </c>
      <c r="M30" s="347">
        <f t="shared" si="1"/>
        <v>22</v>
      </c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347"/>
      <c r="AB30" s="347"/>
      <c r="AC30" s="347"/>
      <c r="AD30" s="347"/>
      <c r="AE30" s="347"/>
      <c r="AF30" s="347"/>
      <c r="AG30" s="347"/>
      <c r="AH30" s="347"/>
      <c r="AI30" s="347"/>
      <c r="AJ30" s="347"/>
      <c r="AK30" s="347"/>
      <c r="AL30" s="347"/>
      <c r="AM30" s="347"/>
      <c r="AN30" s="347"/>
      <c r="AO30" s="347"/>
      <c r="AP30" s="347"/>
      <c r="AQ30" s="347"/>
      <c r="AR30" s="347"/>
      <c r="AS30" s="347"/>
      <c r="AT30" s="347"/>
      <c r="AU30" s="347"/>
      <c r="AV30" s="347"/>
      <c r="AW30" s="347"/>
      <c r="AX30" s="347"/>
      <c r="AY30" s="347"/>
      <c r="AZ30" s="347"/>
      <c r="BA30" s="347"/>
      <c r="BB30" s="347"/>
      <c r="BC30" s="347"/>
      <c r="BD30" s="347"/>
      <c r="BE30" s="347"/>
      <c r="BF30" s="347"/>
      <c r="BG30" s="347"/>
      <c r="BH30" s="347"/>
      <c r="BI30" s="347"/>
      <c r="BJ30" s="347"/>
      <c r="BK30" s="347"/>
      <c r="BL30" s="347"/>
      <c r="BM30" s="347"/>
      <c r="BN30" s="347"/>
      <c r="BO30" s="347"/>
      <c r="BP30" s="347"/>
      <c r="BQ30" s="347"/>
    </row>
    <row r="31" spans="1:69">
      <c r="A31" s="347"/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7"/>
      <c r="AO31" s="347"/>
      <c r="AP31" s="347"/>
      <c r="AQ31" s="347"/>
      <c r="AR31" s="347"/>
      <c r="AS31" s="347"/>
      <c r="AT31" s="347"/>
      <c r="AU31" s="347"/>
      <c r="AV31" s="347"/>
      <c r="AW31" s="347"/>
      <c r="AX31" s="347"/>
      <c r="AY31" s="347"/>
      <c r="AZ31" s="347"/>
      <c r="BA31" s="347"/>
      <c r="BB31" s="347"/>
      <c r="BC31" s="347"/>
      <c r="BD31" s="347"/>
      <c r="BE31" s="347"/>
      <c r="BF31" s="347"/>
      <c r="BG31" s="347"/>
      <c r="BH31" s="347"/>
      <c r="BI31" s="347"/>
      <c r="BJ31" s="347"/>
      <c r="BK31" s="347"/>
      <c r="BL31" s="347"/>
      <c r="BM31" s="347"/>
      <c r="BN31" s="347"/>
      <c r="BO31" s="347"/>
      <c r="BP31" s="347"/>
      <c r="BQ31" s="347"/>
    </row>
    <row r="32" spans="1:69">
      <c r="A32" s="347"/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7"/>
      <c r="AD32" s="347"/>
      <c r="AE32" s="347"/>
      <c r="AF32" s="347"/>
      <c r="AG32" s="347"/>
      <c r="AH32" s="347"/>
      <c r="AI32" s="347"/>
      <c r="AJ32" s="347"/>
      <c r="AK32" s="347"/>
      <c r="AL32" s="347"/>
      <c r="AM32" s="347"/>
      <c r="AN32" s="347"/>
      <c r="AO32" s="347"/>
      <c r="AP32" s="347"/>
      <c r="AQ32" s="347"/>
      <c r="AR32" s="347"/>
      <c r="AS32" s="347"/>
      <c r="AT32" s="347"/>
      <c r="AU32" s="347"/>
      <c r="AV32" s="347"/>
      <c r="AW32" s="347"/>
      <c r="AX32" s="347"/>
      <c r="AY32" s="347"/>
      <c r="AZ32" s="347"/>
      <c r="BA32" s="347"/>
      <c r="BB32" s="347"/>
      <c r="BC32" s="347"/>
      <c r="BD32" s="347"/>
      <c r="BE32" s="347"/>
      <c r="BF32" s="347"/>
      <c r="BG32" s="347"/>
      <c r="BH32" s="347"/>
      <c r="BI32" s="347"/>
      <c r="BJ32" s="347"/>
      <c r="BK32" s="347"/>
      <c r="BL32" s="347"/>
      <c r="BM32" s="347"/>
      <c r="BN32" s="347"/>
      <c r="BO32" s="347"/>
      <c r="BP32" s="347"/>
      <c r="BQ32" s="347"/>
    </row>
    <row r="33" spans="1:69">
      <c r="A33" s="347"/>
      <c r="B33" s="358" t="s">
        <v>145</v>
      </c>
      <c r="C33" s="348">
        <v>45658</v>
      </c>
      <c r="D33" s="348">
        <v>45659</v>
      </c>
      <c r="E33" s="348">
        <v>45660</v>
      </c>
      <c r="F33" s="348">
        <v>45661</v>
      </c>
      <c r="G33" s="348">
        <v>45662</v>
      </c>
      <c r="H33" s="348">
        <v>45663</v>
      </c>
      <c r="I33" s="348">
        <v>45664</v>
      </c>
      <c r="J33" s="348">
        <v>45665</v>
      </c>
      <c r="K33" s="348">
        <v>45666</v>
      </c>
      <c r="L33" s="348">
        <v>45667</v>
      </c>
      <c r="M33" s="348">
        <v>45668</v>
      </c>
      <c r="N33" s="348">
        <v>45669</v>
      </c>
      <c r="O33" s="348">
        <v>45670</v>
      </c>
      <c r="P33" s="348">
        <v>45671</v>
      </c>
      <c r="Q33" s="348">
        <v>45672</v>
      </c>
      <c r="R33" s="348">
        <v>45673</v>
      </c>
      <c r="S33" s="348">
        <v>45674</v>
      </c>
      <c r="T33" s="348">
        <v>45675</v>
      </c>
      <c r="U33" s="348">
        <v>45676</v>
      </c>
      <c r="V33" s="348">
        <v>45677</v>
      </c>
      <c r="W33" s="348">
        <v>45678</v>
      </c>
      <c r="X33" s="348">
        <v>45679</v>
      </c>
      <c r="Y33" s="348">
        <v>45680</v>
      </c>
      <c r="Z33" s="348">
        <v>45681</v>
      </c>
      <c r="AA33" s="348">
        <v>45682</v>
      </c>
      <c r="AB33" s="348">
        <v>45683</v>
      </c>
      <c r="AC33" s="348">
        <v>45684</v>
      </c>
      <c r="AD33" s="348">
        <v>45685</v>
      </c>
      <c r="AE33" s="348">
        <v>45686</v>
      </c>
      <c r="AF33" s="348">
        <v>45687</v>
      </c>
      <c r="AG33" s="348">
        <v>45688</v>
      </c>
      <c r="AH33" s="347"/>
      <c r="AI33" s="347"/>
      <c r="AJ33" s="359" t="s">
        <v>763</v>
      </c>
      <c r="AK33" s="348">
        <v>45658</v>
      </c>
      <c r="AL33" s="348">
        <v>45659</v>
      </c>
      <c r="AM33" s="348">
        <v>45660</v>
      </c>
      <c r="AN33" s="348">
        <v>45661</v>
      </c>
      <c r="AO33" s="348">
        <v>45662</v>
      </c>
      <c r="AP33" s="348">
        <v>45663</v>
      </c>
      <c r="AQ33" s="348">
        <v>45664</v>
      </c>
      <c r="AR33" s="348">
        <v>45665</v>
      </c>
      <c r="AS33" s="348">
        <v>45666</v>
      </c>
      <c r="AT33" s="348">
        <v>45667</v>
      </c>
      <c r="AU33" s="348">
        <v>45668</v>
      </c>
      <c r="AV33" s="348">
        <v>45669</v>
      </c>
      <c r="AW33" s="348">
        <v>45670</v>
      </c>
      <c r="AX33" s="348">
        <v>45671</v>
      </c>
      <c r="AY33" s="348">
        <v>45672</v>
      </c>
      <c r="AZ33" s="348">
        <v>45673</v>
      </c>
      <c r="BA33" s="348">
        <v>45674</v>
      </c>
      <c r="BB33" s="348">
        <v>45675</v>
      </c>
      <c r="BC33" s="348">
        <v>45676</v>
      </c>
      <c r="BD33" s="348">
        <v>45677</v>
      </c>
      <c r="BE33" s="348">
        <v>45678</v>
      </c>
      <c r="BF33" s="348">
        <v>45679</v>
      </c>
      <c r="BG33" s="348">
        <v>45680</v>
      </c>
      <c r="BH33" s="348">
        <v>45681</v>
      </c>
      <c r="BI33" s="348">
        <v>45682</v>
      </c>
      <c r="BJ33" s="348">
        <v>45683</v>
      </c>
      <c r="BK33" s="348">
        <v>45684</v>
      </c>
      <c r="BL33" s="348">
        <v>45685</v>
      </c>
      <c r="BM33" s="348">
        <v>45686</v>
      </c>
      <c r="BN33" s="348">
        <v>45687</v>
      </c>
      <c r="BO33" s="348">
        <v>45688</v>
      </c>
      <c r="BP33" s="347"/>
      <c r="BQ33" s="347"/>
    </row>
    <row r="34" spans="1:69">
      <c r="A34" s="347"/>
      <c r="B34" s="359"/>
      <c r="C34" s="349" t="s">
        <v>764</v>
      </c>
      <c r="D34" s="349" t="s">
        <v>765</v>
      </c>
      <c r="E34" s="349" t="s">
        <v>766</v>
      </c>
      <c r="F34" s="349" t="s">
        <v>767</v>
      </c>
      <c r="G34" s="349" t="s">
        <v>768</v>
      </c>
      <c r="H34" s="349" t="s">
        <v>769</v>
      </c>
      <c r="I34" s="349" t="s">
        <v>770</v>
      </c>
      <c r="J34" s="349" t="s">
        <v>764</v>
      </c>
      <c r="K34" s="349" t="s">
        <v>765</v>
      </c>
      <c r="L34" s="349" t="s">
        <v>766</v>
      </c>
      <c r="M34" s="349" t="s">
        <v>767</v>
      </c>
      <c r="N34" s="349" t="s">
        <v>768</v>
      </c>
      <c r="O34" s="349" t="s">
        <v>769</v>
      </c>
      <c r="P34" s="349" t="s">
        <v>770</v>
      </c>
      <c r="Q34" s="349" t="s">
        <v>764</v>
      </c>
      <c r="R34" s="349" t="s">
        <v>765</v>
      </c>
      <c r="S34" s="349" t="s">
        <v>766</v>
      </c>
      <c r="T34" s="349" t="s">
        <v>767</v>
      </c>
      <c r="U34" s="349" t="s">
        <v>768</v>
      </c>
      <c r="V34" s="349" t="s">
        <v>769</v>
      </c>
      <c r="W34" s="349" t="s">
        <v>770</v>
      </c>
      <c r="X34" s="349" t="s">
        <v>764</v>
      </c>
      <c r="Y34" s="349" t="s">
        <v>765</v>
      </c>
      <c r="Z34" s="349" t="s">
        <v>766</v>
      </c>
      <c r="AA34" s="349" t="s">
        <v>767</v>
      </c>
      <c r="AB34" s="349" t="s">
        <v>768</v>
      </c>
      <c r="AC34" s="349" t="s">
        <v>769</v>
      </c>
      <c r="AD34" s="349" t="s">
        <v>770</v>
      </c>
      <c r="AE34" s="349" t="s">
        <v>764</v>
      </c>
      <c r="AF34" s="349" t="s">
        <v>765</v>
      </c>
      <c r="AG34" s="349" t="s">
        <v>766</v>
      </c>
      <c r="AH34" s="347"/>
      <c r="AI34" s="347"/>
      <c r="AJ34" s="359"/>
      <c r="AK34" s="349" t="s">
        <v>764</v>
      </c>
      <c r="AL34" s="349" t="s">
        <v>765</v>
      </c>
      <c r="AM34" s="349" t="s">
        <v>766</v>
      </c>
      <c r="AN34" s="349" t="s">
        <v>767</v>
      </c>
      <c r="AO34" s="349" t="s">
        <v>768</v>
      </c>
      <c r="AP34" s="349" t="s">
        <v>769</v>
      </c>
      <c r="AQ34" s="349" t="s">
        <v>770</v>
      </c>
      <c r="AR34" s="349" t="s">
        <v>764</v>
      </c>
      <c r="AS34" s="349" t="s">
        <v>765</v>
      </c>
      <c r="AT34" s="349" t="s">
        <v>766</v>
      </c>
      <c r="AU34" s="349" t="s">
        <v>767</v>
      </c>
      <c r="AV34" s="349" t="s">
        <v>768</v>
      </c>
      <c r="AW34" s="349" t="s">
        <v>769</v>
      </c>
      <c r="AX34" s="349" t="s">
        <v>770</v>
      </c>
      <c r="AY34" s="349" t="s">
        <v>764</v>
      </c>
      <c r="AZ34" s="349" t="s">
        <v>765</v>
      </c>
      <c r="BA34" s="349" t="s">
        <v>766</v>
      </c>
      <c r="BB34" s="349" t="s">
        <v>767</v>
      </c>
      <c r="BC34" s="349" t="s">
        <v>768</v>
      </c>
      <c r="BD34" s="349" t="s">
        <v>769</v>
      </c>
      <c r="BE34" s="349" t="s">
        <v>770</v>
      </c>
      <c r="BF34" s="349" t="s">
        <v>764</v>
      </c>
      <c r="BG34" s="349" t="s">
        <v>765</v>
      </c>
      <c r="BH34" s="349" t="s">
        <v>766</v>
      </c>
      <c r="BI34" s="349" t="s">
        <v>767</v>
      </c>
      <c r="BJ34" s="349" t="s">
        <v>768</v>
      </c>
      <c r="BK34" s="349" t="s">
        <v>769</v>
      </c>
      <c r="BL34" s="349" t="s">
        <v>770</v>
      </c>
      <c r="BM34" s="349" t="s">
        <v>764</v>
      </c>
      <c r="BN34" s="349" t="s">
        <v>765</v>
      </c>
      <c r="BO34" s="349" t="s">
        <v>766</v>
      </c>
      <c r="BP34" s="347"/>
      <c r="BQ34" s="347"/>
    </row>
    <row r="35" spans="1:69">
      <c r="A35" s="347"/>
      <c r="B35" s="350">
        <v>0</v>
      </c>
      <c r="C35" s="12">
        <v>2</v>
      </c>
      <c r="D35" s="12">
        <v>2</v>
      </c>
      <c r="E35" s="12">
        <v>2</v>
      </c>
      <c r="F35" s="12">
        <v>2</v>
      </c>
      <c r="G35" s="12">
        <v>2</v>
      </c>
      <c r="H35" s="12">
        <v>2</v>
      </c>
      <c r="I35" s="12">
        <v>2</v>
      </c>
      <c r="J35" s="12">
        <v>2</v>
      </c>
      <c r="K35" s="12">
        <v>2</v>
      </c>
      <c r="L35" s="12">
        <v>2</v>
      </c>
      <c r="M35" s="12">
        <v>2</v>
      </c>
      <c r="N35" s="12">
        <v>2</v>
      </c>
      <c r="O35" s="12">
        <v>2</v>
      </c>
      <c r="P35" s="12">
        <v>2</v>
      </c>
      <c r="Q35" s="12">
        <v>2</v>
      </c>
      <c r="R35" s="12">
        <v>2</v>
      </c>
      <c r="S35" s="12">
        <v>2</v>
      </c>
      <c r="T35" s="12">
        <v>2</v>
      </c>
      <c r="U35" s="12">
        <v>2</v>
      </c>
      <c r="V35" s="12">
        <v>2</v>
      </c>
      <c r="W35" s="191">
        <v>2</v>
      </c>
      <c r="X35" s="191">
        <v>2</v>
      </c>
      <c r="Y35" s="191">
        <v>2</v>
      </c>
      <c r="Z35" s="191">
        <v>2</v>
      </c>
      <c r="AA35" s="191">
        <v>2</v>
      </c>
      <c r="AB35" s="191">
        <v>2</v>
      </c>
      <c r="AC35" s="191">
        <v>2</v>
      </c>
      <c r="AD35" s="191">
        <v>2</v>
      </c>
      <c r="AE35" s="191">
        <v>2</v>
      </c>
      <c r="AF35" s="191">
        <v>2</v>
      </c>
      <c r="AG35" s="191">
        <v>2</v>
      </c>
      <c r="AH35" s="347"/>
      <c r="AI35" s="347"/>
      <c r="AJ35" s="351">
        <v>0</v>
      </c>
      <c r="AK35" s="352">
        <v>8</v>
      </c>
      <c r="AL35" s="352">
        <v>6</v>
      </c>
      <c r="AM35" s="352">
        <v>4</v>
      </c>
      <c r="AN35" s="352">
        <v>4</v>
      </c>
      <c r="AO35" s="352">
        <v>4</v>
      </c>
      <c r="AP35" s="352">
        <v>6</v>
      </c>
      <c r="AQ35" s="352">
        <v>7</v>
      </c>
      <c r="AR35" s="352">
        <v>8</v>
      </c>
      <c r="AS35" s="352">
        <v>31</v>
      </c>
      <c r="AT35" s="352">
        <v>23</v>
      </c>
      <c r="AU35" s="352">
        <v>6</v>
      </c>
      <c r="AV35" s="352">
        <v>4</v>
      </c>
      <c r="AW35" s="352">
        <v>6</v>
      </c>
      <c r="AX35" s="352">
        <v>7</v>
      </c>
      <c r="AY35" s="352">
        <v>8</v>
      </c>
      <c r="AZ35" s="352">
        <v>14</v>
      </c>
      <c r="BA35" s="352">
        <v>6</v>
      </c>
      <c r="BB35" s="352">
        <v>2</v>
      </c>
      <c r="BC35" s="352">
        <v>5</v>
      </c>
      <c r="BD35" s="352">
        <v>7</v>
      </c>
      <c r="BE35" s="352">
        <v>7</v>
      </c>
      <c r="BF35" s="352">
        <v>8</v>
      </c>
      <c r="BG35" s="352">
        <v>14</v>
      </c>
      <c r="BH35" s="352">
        <v>3</v>
      </c>
      <c r="BI35" s="352">
        <v>1</v>
      </c>
      <c r="BJ35" s="352">
        <v>4</v>
      </c>
      <c r="BK35" s="352">
        <v>6</v>
      </c>
      <c r="BL35" s="352">
        <v>7</v>
      </c>
      <c r="BM35" s="352">
        <v>8</v>
      </c>
      <c r="BN35" s="352">
        <v>14</v>
      </c>
      <c r="BO35" s="352">
        <v>6</v>
      </c>
      <c r="BP35" s="347"/>
      <c r="BQ35" s="347"/>
    </row>
    <row r="36" spans="1:69">
      <c r="A36" s="347"/>
      <c r="B36" s="350">
        <v>4.1666666666666664E-2</v>
      </c>
      <c r="C36" s="12">
        <v>2</v>
      </c>
      <c r="D36" s="12">
        <v>2</v>
      </c>
      <c r="E36" s="12">
        <v>2</v>
      </c>
      <c r="F36" s="12">
        <v>2</v>
      </c>
      <c r="G36" s="12">
        <v>2</v>
      </c>
      <c r="H36" s="12">
        <v>2</v>
      </c>
      <c r="I36" s="12">
        <v>2</v>
      </c>
      <c r="J36" s="12">
        <v>2</v>
      </c>
      <c r="K36" s="12">
        <v>2</v>
      </c>
      <c r="L36" s="12">
        <v>2</v>
      </c>
      <c r="M36" s="12">
        <v>2</v>
      </c>
      <c r="N36" s="12">
        <v>2</v>
      </c>
      <c r="O36" s="12">
        <v>2</v>
      </c>
      <c r="P36" s="12">
        <v>2</v>
      </c>
      <c r="Q36" s="12">
        <v>2</v>
      </c>
      <c r="R36" s="12">
        <v>2</v>
      </c>
      <c r="S36" s="12">
        <v>2</v>
      </c>
      <c r="T36" s="12">
        <v>2</v>
      </c>
      <c r="U36" s="12">
        <v>2</v>
      </c>
      <c r="V36" s="298">
        <v>2</v>
      </c>
      <c r="W36" s="191">
        <v>2</v>
      </c>
      <c r="X36" s="191">
        <v>2</v>
      </c>
      <c r="Y36" s="191">
        <v>2</v>
      </c>
      <c r="Z36" s="191">
        <v>2</v>
      </c>
      <c r="AA36" s="191">
        <v>2</v>
      </c>
      <c r="AB36" s="191">
        <v>2</v>
      </c>
      <c r="AC36" s="191">
        <v>2</v>
      </c>
      <c r="AD36" s="191">
        <v>2</v>
      </c>
      <c r="AE36" s="191">
        <v>2</v>
      </c>
      <c r="AF36" s="191">
        <v>2</v>
      </c>
      <c r="AG36" s="191">
        <v>2</v>
      </c>
      <c r="AH36" s="347"/>
      <c r="AI36" s="347"/>
      <c r="AJ36" s="351">
        <v>4.1666666666666664E-2</v>
      </c>
      <c r="AK36" s="352">
        <v>26</v>
      </c>
      <c r="AL36" s="352">
        <v>3</v>
      </c>
      <c r="AM36" s="352">
        <v>0</v>
      </c>
      <c r="AN36" s="352">
        <v>1</v>
      </c>
      <c r="AO36" s="352">
        <v>1</v>
      </c>
      <c r="AP36" s="352">
        <v>21</v>
      </c>
      <c r="AQ36" s="352">
        <v>14</v>
      </c>
      <c r="AR36" s="352">
        <v>26</v>
      </c>
      <c r="AS36" s="352">
        <v>13</v>
      </c>
      <c r="AT36" s="352">
        <v>10</v>
      </c>
      <c r="AU36" s="352">
        <v>2</v>
      </c>
      <c r="AV36" s="352">
        <v>1</v>
      </c>
      <c r="AW36" s="352">
        <v>21</v>
      </c>
      <c r="AX36" s="352">
        <v>14</v>
      </c>
      <c r="AY36" s="352">
        <v>26</v>
      </c>
      <c r="AZ36" s="352">
        <v>20</v>
      </c>
      <c r="BA36" s="352">
        <v>3</v>
      </c>
      <c r="BB36" s="352">
        <v>0</v>
      </c>
      <c r="BC36" s="352">
        <v>0</v>
      </c>
      <c r="BD36" s="352">
        <v>1</v>
      </c>
      <c r="BE36" s="352">
        <v>14</v>
      </c>
      <c r="BF36" s="352">
        <v>26</v>
      </c>
      <c r="BG36" s="352">
        <v>20</v>
      </c>
      <c r="BH36" s="352">
        <v>5</v>
      </c>
      <c r="BI36" s="352">
        <v>3</v>
      </c>
      <c r="BJ36" s="352">
        <v>1</v>
      </c>
      <c r="BK36" s="352">
        <v>21</v>
      </c>
      <c r="BL36" s="352">
        <v>14</v>
      </c>
      <c r="BM36" s="352">
        <v>26</v>
      </c>
      <c r="BN36" s="352">
        <v>20</v>
      </c>
      <c r="BO36" s="352">
        <v>3</v>
      </c>
      <c r="BP36" s="347"/>
      <c r="BQ36" s="347"/>
    </row>
    <row r="37" spans="1:69">
      <c r="A37" s="347"/>
      <c r="B37" s="350">
        <v>8.3333333333333329E-2</v>
      </c>
      <c r="C37" s="12">
        <v>2</v>
      </c>
      <c r="D37" s="12">
        <v>2</v>
      </c>
      <c r="E37" s="12">
        <v>2</v>
      </c>
      <c r="F37" s="12">
        <v>2</v>
      </c>
      <c r="G37" s="12">
        <v>2</v>
      </c>
      <c r="H37" s="12">
        <v>2</v>
      </c>
      <c r="I37" s="12">
        <v>2</v>
      </c>
      <c r="J37" s="12">
        <v>2</v>
      </c>
      <c r="K37" s="12">
        <v>2</v>
      </c>
      <c r="L37" s="12">
        <v>2</v>
      </c>
      <c r="M37" s="12">
        <v>2</v>
      </c>
      <c r="N37" s="12">
        <v>2</v>
      </c>
      <c r="O37" s="12">
        <v>2</v>
      </c>
      <c r="P37" s="12">
        <v>2</v>
      </c>
      <c r="Q37" s="12">
        <v>2</v>
      </c>
      <c r="R37" s="12">
        <v>2</v>
      </c>
      <c r="S37" s="12">
        <v>2</v>
      </c>
      <c r="T37" s="12">
        <v>2</v>
      </c>
      <c r="U37" s="12">
        <v>2</v>
      </c>
      <c r="V37" s="298">
        <v>2</v>
      </c>
      <c r="W37" s="191">
        <v>2</v>
      </c>
      <c r="X37" s="191">
        <v>2</v>
      </c>
      <c r="Y37" s="191">
        <v>2</v>
      </c>
      <c r="Z37" s="191">
        <v>2</v>
      </c>
      <c r="AA37" s="191">
        <v>2</v>
      </c>
      <c r="AB37" s="191">
        <v>2</v>
      </c>
      <c r="AC37" s="191">
        <v>2</v>
      </c>
      <c r="AD37" s="191">
        <v>2</v>
      </c>
      <c r="AE37" s="191">
        <v>2</v>
      </c>
      <c r="AF37" s="191">
        <v>2</v>
      </c>
      <c r="AG37" s="191">
        <v>2</v>
      </c>
      <c r="AH37" s="347"/>
      <c r="AI37" s="347"/>
      <c r="AJ37" s="351">
        <v>8.3333333333333329E-2</v>
      </c>
      <c r="AK37" s="352">
        <v>5</v>
      </c>
      <c r="AL37" s="352">
        <v>1</v>
      </c>
      <c r="AM37" s="352">
        <v>1</v>
      </c>
      <c r="AN37" s="352">
        <v>1</v>
      </c>
      <c r="AO37" s="352">
        <v>1</v>
      </c>
      <c r="AP37" s="352">
        <v>3</v>
      </c>
      <c r="AQ37" s="352">
        <v>8</v>
      </c>
      <c r="AR37" s="352">
        <v>5</v>
      </c>
      <c r="AS37" s="352">
        <v>1</v>
      </c>
      <c r="AT37" s="352">
        <v>1</v>
      </c>
      <c r="AU37" s="352">
        <v>2</v>
      </c>
      <c r="AV37" s="352">
        <v>1</v>
      </c>
      <c r="AW37" s="352">
        <v>3</v>
      </c>
      <c r="AX37" s="352">
        <v>8</v>
      </c>
      <c r="AY37" s="352">
        <v>5</v>
      </c>
      <c r="AZ37" s="352">
        <v>7</v>
      </c>
      <c r="BA37" s="352">
        <v>1</v>
      </c>
      <c r="BB37" s="352">
        <v>1</v>
      </c>
      <c r="BC37" s="352">
        <v>2</v>
      </c>
      <c r="BD37" s="352">
        <v>1</v>
      </c>
      <c r="BE37" s="352">
        <v>8</v>
      </c>
      <c r="BF37" s="352">
        <v>5</v>
      </c>
      <c r="BG37" s="352">
        <v>7</v>
      </c>
      <c r="BH37" s="352">
        <v>1</v>
      </c>
      <c r="BI37" s="352">
        <v>1</v>
      </c>
      <c r="BJ37" s="352">
        <v>1</v>
      </c>
      <c r="BK37" s="352">
        <v>3</v>
      </c>
      <c r="BL37" s="352">
        <v>8</v>
      </c>
      <c r="BM37" s="352">
        <v>5</v>
      </c>
      <c r="BN37" s="352">
        <v>7</v>
      </c>
      <c r="BO37" s="352">
        <v>1</v>
      </c>
      <c r="BP37" s="347"/>
      <c r="BQ37" s="347"/>
    </row>
    <row r="38" spans="1:69">
      <c r="A38" s="347"/>
      <c r="B38" s="350">
        <v>0.125</v>
      </c>
      <c r="C38" s="12">
        <v>2</v>
      </c>
      <c r="D38" s="12">
        <v>2</v>
      </c>
      <c r="E38" s="12">
        <v>2</v>
      </c>
      <c r="F38" s="12">
        <v>2</v>
      </c>
      <c r="G38" s="12">
        <v>2</v>
      </c>
      <c r="H38" s="12">
        <v>2</v>
      </c>
      <c r="I38" s="12">
        <v>2</v>
      </c>
      <c r="J38" s="12">
        <v>2</v>
      </c>
      <c r="K38" s="12">
        <v>2</v>
      </c>
      <c r="L38" s="12">
        <v>2</v>
      </c>
      <c r="M38" s="12">
        <v>2</v>
      </c>
      <c r="N38" s="12">
        <v>2</v>
      </c>
      <c r="O38" s="12">
        <v>2</v>
      </c>
      <c r="P38" s="12">
        <v>2</v>
      </c>
      <c r="Q38" s="12">
        <v>2</v>
      </c>
      <c r="R38" s="12">
        <v>2</v>
      </c>
      <c r="S38" s="12">
        <v>2</v>
      </c>
      <c r="T38" s="12">
        <v>2</v>
      </c>
      <c r="U38" s="12">
        <v>2</v>
      </c>
      <c r="V38" s="298">
        <v>2</v>
      </c>
      <c r="W38" s="191">
        <v>2</v>
      </c>
      <c r="X38" s="191">
        <v>2</v>
      </c>
      <c r="Y38" s="191">
        <v>2</v>
      </c>
      <c r="Z38" s="191">
        <v>2</v>
      </c>
      <c r="AA38" s="191">
        <v>2</v>
      </c>
      <c r="AB38" s="191">
        <v>2</v>
      </c>
      <c r="AC38" s="191">
        <v>2</v>
      </c>
      <c r="AD38" s="191">
        <v>2</v>
      </c>
      <c r="AE38" s="191">
        <v>2</v>
      </c>
      <c r="AF38" s="191">
        <v>2</v>
      </c>
      <c r="AG38" s="191">
        <v>2</v>
      </c>
      <c r="AH38" s="347"/>
      <c r="AI38" s="347"/>
      <c r="AJ38" s="351">
        <v>0.125</v>
      </c>
      <c r="AK38" s="352">
        <v>2</v>
      </c>
      <c r="AL38" s="352">
        <v>1</v>
      </c>
      <c r="AM38" s="352">
        <v>0</v>
      </c>
      <c r="AN38" s="352">
        <v>1</v>
      </c>
      <c r="AO38" s="352">
        <v>1</v>
      </c>
      <c r="AP38" s="352">
        <v>1</v>
      </c>
      <c r="AQ38" s="352">
        <v>3</v>
      </c>
      <c r="AR38" s="352">
        <v>2</v>
      </c>
      <c r="AS38" s="352">
        <v>1</v>
      </c>
      <c r="AT38" s="352">
        <v>1</v>
      </c>
      <c r="AU38" s="352">
        <v>1</v>
      </c>
      <c r="AV38" s="352">
        <v>1</v>
      </c>
      <c r="AW38" s="352">
        <v>1</v>
      </c>
      <c r="AX38" s="352">
        <v>3</v>
      </c>
      <c r="AY38" s="352">
        <v>2</v>
      </c>
      <c r="AZ38" s="352">
        <v>2</v>
      </c>
      <c r="BA38" s="352">
        <v>1</v>
      </c>
      <c r="BB38" s="352">
        <v>0</v>
      </c>
      <c r="BC38" s="352">
        <v>0</v>
      </c>
      <c r="BD38" s="352">
        <v>1</v>
      </c>
      <c r="BE38" s="352">
        <v>3</v>
      </c>
      <c r="BF38" s="352">
        <v>2</v>
      </c>
      <c r="BG38" s="352">
        <v>2</v>
      </c>
      <c r="BH38" s="352">
        <v>2</v>
      </c>
      <c r="BI38" s="352">
        <v>0</v>
      </c>
      <c r="BJ38" s="352">
        <v>1</v>
      </c>
      <c r="BK38" s="352">
        <v>1</v>
      </c>
      <c r="BL38" s="352">
        <v>3</v>
      </c>
      <c r="BM38" s="352">
        <v>2</v>
      </c>
      <c r="BN38" s="352">
        <v>2</v>
      </c>
      <c r="BO38" s="352">
        <v>1</v>
      </c>
      <c r="BP38" s="347"/>
      <c r="BQ38" s="347"/>
    </row>
    <row r="39" spans="1:69">
      <c r="A39" s="347"/>
      <c r="B39" s="350">
        <v>0.16666666666666666</v>
      </c>
      <c r="C39" s="12">
        <v>2</v>
      </c>
      <c r="D39" s="12">
        <v>2</v>
      </c>
      <c r="E39" s="12">
        <v>2</v>
      </c>
      <c r="F39" s="12">
        <v>2</v>
      </c>
      <c r="G39" s="12">
        <v>2</v>
      </c>
      <c r="H39" s="12">
        <v>2</v>
      </c>
      <c r="I39" s="12">
        <v>2</v>
      </c>
      <c r="J39" s="12">
        <v>2</v>
      </c>
      <c r="K39" s="12">
        <v>2</v>
      </c>
      <c r="L39" s="12">
        <v>2</v>
      </c>
      <c r="M39" s="12">
        <v>2</v>
      </c>
      <c r="N39" s="12">
        <v>2</v>
      </c>
      <c r="O39" s="12">
        <v>2</v>
      </c>
      <c r="P39" s="12">
        <v>2</v>
      </c>
      <c r="Q39" s="12">
        <v>2</v>
      </c>
      <c r="R39" s="12">
        <v>2</v>
      </c>
      <c r="S39" s="12">
        <v>2</v>
      </c>
      <c r="T39" s="12">
        <v>2</v>
      </c>
      <c r="U39" s="12">
        <v>2</v>
      </c>
      <c r="V39" s="298">
        <v>2</v>
      </c>
      <c r="W39" s="191">
        <v>2</v>
      </c>
      <c r="X39" s="191">
        <v>2</v>
      </c>
      <c r="Y39" s="191">
        <v>2</v>
      </c>
      <c r="Z39" s="191">
        <v>2</v>
      </c>
      <c r="AA39" s="191">
        <v>2</v>
      </c>
      <c r="AB39" s="191">
        <v>2</v>
      </c>
      <c r="AC39" s="191">
        <v>2</v>
      </c>
      <c r="AD39" s="191">
        <v>2</v>
      </c>
      <c r="AE39" s="191">
        <v>2</v>
      </c>
      <c r="AF39" s="191">
        <v>2</v>
      </c>
      <c r="AG39" s="191">
        <v>2</v>
      </c>
      <c r="AH39" s="347"/>
      <c r="AI39" s="347"/>
      <c r="AJ39" s="351">
        <v>0.16666666666666666</v>
      </c>
      <c r="AK39" s="352">
        <v>1</v>
      </c>
      <c r="AL39" s="352">
        <v>1</v>
      </c>
      <c r="AM39" s="352">
        <v>1</v>
      </c>
      <c r="AN39" s="352">
        <v>1</v>
      </c>
      <c r="AO39" s="352">
        <v>1</v>
      </c>
      <c r="AP39" s="352">
        <v>1</v>
      </c>
      <c r="AQ39" s="352">
        <v>1</v>
      </c>
      <c r="AR39" s="352">
        <v>1</v>
      </c>
      <c r="AS39" s="352">
        <v>1</v>
      </c>
      <c r="AT39" s="352">
        <v>1</v>
      </c>
      <c r="AU39" s="352">
        <v>1</v>
      </c>
      <c r="AV39" s="352">
        <v>1</v>
      </c>
      <c r="AW39" s="352">
        <v>1</v>
      </c>
      <c r="AX39" s="352">
        <v>1</v>
      </c>
      <c r="AY39" s="352">
        <v>1</v>
      </c>
      <c r="AZ39" s="352">
        <v>3</v>
      </c>
      <c r="BA39" s="352">
        <v>1</v>
      </c>
      <c r="BB39" s="352">
        <v>1</v>
      </c>
      <c r="BC39" s="352">
        <v>1</v>
      </c>
      <c r="BD39" s="352">
        <v>2</v>
      </c>
      <c r="BE39" s="352">
        <v>1</v>
      </c>
      <c r="BF39" s="352">
        <v>1</v>
      </c>
      <c r="BG39" s="352">
        <v>3</v>
      </c>
      <c r="BH39" s="352">
        <v>1</v>
      </c>
      <c r="BI39" s="352">
        <v>0</v>
      </c>
      <c r="BJ39" s="352">
        <v>1</v>
      </c>
      <c r="BK39" s="352">
        <v>1</v>
      </c>
      <c r="BL39" s="352">
        <v>1</v>
      </c>
      <c r="BM39" s="352">
        <v>1</v>
      </c>
      <c r="BN39" s="352">
        <v>3</v>
      </c>
      <c r="BO39" s="352">
        <v>1</v>
      </c>
      <c r="BP39" s="347"/>
      <c r="BQ39" s="347"/>
    </row>
    <row r="40" spans="1:69">
      <c r="A40" s="347"/>
      <c r="B40" s="350">
        <v>0.20833333333333334</v>
      </c>
      <c r="C40" s="12">
        <v>2</v>
      </c>
      <c r="D40" s="12">
        <v>2</v>
      </c>
      <c r="E40" s="12">
        <v>2</v>
      </c>
      <c r="F40" s="12">
        <v>2</v>
      </c>
      <c r="G40" s="12">
        <v>2</v>
      </c>
      <c r="H40" s="12">
        <v>2</v>
      </c>
      <c r="I40" s="12">
        <v>2</v>
      </c>
      <c r="J40" s="12">
        <v>2</v>
      </c>
      <c r="K40" s="12">
        <v>2</v>
      </c>
      <c r="L40" s="12">
        <v>2</v>
      </c>
      <c r="M40" s="12">
        <v>2</v>
      </c>
      <c r="N40" s="12">
        <v>2</v>
      </c>
      <c r="O40" s="12">
        <v>2</v>
      </c>
      <c r="P40" s="12">
        <v>2</v>
      </c>
      <c r="Q40" s="12">
        <v>2</v>
      </c>
      <c r="R40" s="12">
        <v>2</v>
      </c>
      <c r="S40" s="12">
        <v>2</v>
      </c>
      <c r="T40" s="12">
        <v>2</v>
      </c>
      <c r="U40" s="12">
        <v>2</v>
      </c>
      <c r="V40" s="298">
        <v>2</v>
      </c>
      <c r="W40" s="191">
        <v>2</v>
      </c>
      <c r="X40" s="191">
        <v>2</v>
      </c>
      <c r="Y40" s="191">
        <v>2</v>
      </c>
      <c r="Z40" s="191">
        <v>2</v>
      </c>
      <c r="AA40" s="191">
        <v>2</v>
      </c>
      <c r="AB40" s="191">
        <v>2</v>
      </c>
      <c r="AC40" s="191">
        <v>2</v>
      </c>
      <c r="AD40" s="191">
        <v>2</v>
      </c>
      <c r="AE40" s="191">
        <v>2</v>
      </c>
      <c r="AF40" s="191">
        <v>2</v>
      </c>
      <c r="AG40" s="191">
        <v>2</v>
      </c>
      <c r="AH40" s="347"/>
      <c r="AI40" s="347"/>
      <c r="AJ40" s="351">
        <v>0.20833333333333334</v>
      </c>
      <c r="AK40" s="352">
        <v>4</v>
      </c>
      <c r="AL40" s="352">
        <v>2</v>
      </c>
      <c r="AM40" s="352">
        <v>1</v>
      </c>
      <c r="AN40" s="352">
        <v>1</v>
      </c>
      <c r="AO40" s="352">
        <v>3</v>
      </c>
      <c r="AP40" s="352">
        <v>3</v>
      </c>
      <c r="AQ40" s="352">
        <v>4</v>
      </c>
      <c r="AR40" s="352">
        <v>4</v>
      </c>
      <c r="AS40" s="352">
        <v>5</v>
      </c>
      <c r="AT40" s="352">
        <v>4</v>
      </c>
      <c r="AU40" s="352">
        <v>1</v>
      </c>
      <c r="AV40" s="352">
        <v>3</v>
      </c>
      <c r="AW40" s="352">
        <v>3</v>
      </c>
      <c r="AX40" s="352">
        <v>4</v>
      </c>
      <c r="AY40" s="352">
        <v>4</v>
      </c>
      <c r="AZ40" s="352">
        <v>3</v>
      </c>
      <c r="BA40" s="352">
        <v>2</v>
      </c>
      <c r="BB40" s="352">
        <v>2</v>
      </c>
      <c r="BC40" s="352">
        <v>3</v>
      </c>
      <c r="BD40" s="352">
        <v>7</v>
      </c>
      <c r="BE40" s="352">
        <v>4</v>
      </c>
      <c r="BF40" s="352">
        <v>4</v>
      </c>
      <c r="BG40" s="352">
        <v>3</v>
      </c>
      <c r="BH40" s="352">
        <v>3</v>
      </c>
      <c r="BI40" s="352">
        <v>1</v>
      </c>
      <c r="BJ40" s="352">
        <v>3</v>
      </c>
      <c r="BK40" s="352">
        <v>3</v>
      </c>
      <c r="BL40" s="352">
        <v>4</v>
      </c>
      <c r="BM40" s="352">
        <v>4</v>
      </c>
      <c r="BN40" s="352">
        <v>3</v>
      </c>
      <c r="BO40" s="352">
        <v>2</v>
      </c>
      <c r="BP40" s="347"/>
      <c r="BQ40" s="347"/>
    </row>
    <row r="41" spans="1:69">
      <c r="A41" s="347"/>
      <c r="B41" s="350">
        <v>0.25</v>
      </c>
      <c r="C41" s="234">
        <v>3</v>
      </c>
      <c r="D41" s="234">
        <v>3</v>
      </c>
      <c r="E41" s="234">
        <v>3</v>
      </c>
      <c r="F41" s="12">
        <v>2</v>
      </c>
      <c r="G41" s="242">
        <v>4</v>
      </c>
      <c r="H41" s="242">
        <v>4</v>
      </c>
      <c r="I41" s="242">
        <v>4</v>
      </c>
      <c r="J41" s="242">
        <v>4</v>
      </c>
      <c r="K41" s="242">
        <v>4</v>
      </c>
      <c r="L41" s="242">
        <v>4</v>
      </c>
      <c r="M41" s="12">
        <v>2</v>
      </c>
      <c r="N41" s="242">
        <v>4</v>
      </c>
      <c r="O41" s="242">
        <v>4</v>
      </c>
      <c r="P41" s="242">
        <v>4</v>
      </c>
      <c r="Q41" s="56">
        <v>5</v>
      </c>
      <c r="R41" s="242">
        <v>4</v>
      </c>
      <c r="S41" s="234">
        <v>3</v>
      </c>
      <c r="T41" s="234">
        <v>3</v>
      </c>
      <c r="U41" s="242">
        <v>4</v>
      </c>
      <c r="V41" s="299">
        <v>5</v>
      </c>
      <c r="W41" s="224">
        <v>4</v>
      </c>
      <c r="X41" s="224">
        <v>4</v>
      </c>
      <c r="Y41" s="220">
        <v>3</v>
      </c>
      <c r="Z41" s="220">
        <v>3</v>
      </c>
      <c r="AA41" s="220">
        <v>3</v>
      </c>
      <c r="AB41" s="224">
        <v>4</v>
      </c>
      <c r="AC41" s="224">
        <v>4</v>
      </c>
      <c r="AD41" s="224">
        <v>4</v>
      </c>
      <c r="AE41" s="224">
        <v>4</v>
      </c>
      <c r="AF41" s="224">
        <v>4</v>
      </c>
      <c r="AG41" s="220">
        <v>3</v>
      </c>
      <c r="AH41" s="347"/>
      <c r="AI41" s="347"/>
      <c r="AJ41" s="351">
        <v>0.25</v>
      </c>
      <c r="AK41" s="352">
        <v>23</v>
      </c>
      <c r="AL41" s="352">
        <v>10</v>
      </c>
      <c r="AM41" s="352">
        <v>7</v>
      </c>
      <c r="AN41" s="352">
        <v>6</v>
      </c>
      <c r="AO41" s="352">
        <v>14</v>
      </c>
      <c r="AP41" s="352">
        <v>14</v>
      </c>
      <c r="AQ41" s="352">
        <v>18</v>
      </c>
      <c r="AR41" s="352">
        <v>23</v>
      </c>
      <c r="AS41" s="352">
        <v>20</v>
      </c>
      <c r="AT41" s="352">
        <v>15</v>
      </c>
      <c r="AU41" s="352">
        <v>6</v>
      </c>
      <c r="AV41" s="352">
        <v>14</v>
      </c>
      <c r="AW41" s="352">
        <v>14</v>
      </c>
      <c r="AX41" s="352">
        <v>18</v>
      </c>
      <c r="AY41" s="352">
        <v>23</v>
      </c>
      <c r="AZ41" s="352">
        <v>15</v>
      </c>
      <c r="BA41" s="352">
        <v>10</v>
      </c>
      <c r="BB41" s="352">
        <v>10</v>
      </c>
      <c r="BC41" s="352">
        <v>19</v>
      </c>
      <c r="BD41" s="352">
        <v>47</v>
      </c>
      <c r="BE41" s="352">
        <v>18</v>
      </c>
      <c r="BF41" s="352">
        <v>23</v>
      </c>
      <c r="BG41" s="352">
        <v>15</v>
      </c>
      <c r="BH41" s="352">
        <v>9</v>
      </c>
      <c r="BI41" s="352">
        <v>8</v>
      </c>
      <c r="BJ41" s="352">
        <v>14</v>
      </c>
      <c r="BK41" s="352">
        <v>14</v>
      </c>
      <c r="BL41" s="352">
        <v>18</v>
      </c>
      <c r="BM41" s="352">
        <v>23</v>
      </c>
      <c r="BN41" s="352">
        <v>15</v>
      </c>
      <c r="BO41" s="352">
        <v>10</v>
      </c>
      <c r="BP41" s="347"/>
      <c r="BQ41" s="347"/>
    </row>
    <row r="42" spans="1:69">
      <c r="A42" s="347"/>
      <c r="B42" s="350">
        <v>0.29166666666666669</v>
      </c>
      <c r="C42" s="234">
        <v>3</v>
      </c>
      <c r="D42" s="234">
        <v>3</v>
      </c>
      <c r="E42" s="234">
        <v>3</v>
      </c>
      <c r="F42" s="12">
        <v>2</v>
      </c>
      <c r="G42" s="242">
        <v>4</v>
      </c>
      <c r="H42" s="242">
        <v>4</v>
      </c>
      <c r="I42" s="242">
        <v>4</v>
      </c>
      <c r="J42" s="242">
        <v>4</v>
      </c>
      <c r="K42" s="242">
        <v>4</v>
      </c>
      <c r="L42" s="242">
        <v>4</v>
      </c>
      <c r="M42" s="12">
        <v>2</v>
      </c>
      <c r="N42" s="242">
        <v>4</v>
      </c>
      <c r="O42" s="242">
        <v>4</v>
      </c>
      <c r="P42" s="242">
        <v>4</v>
      </c>
      <c r="Q42" s="56">
        <v>5</v>
      </c>
      <c r="R42" s="242">
        <v>4</v>
      </c>
      <c r="S42" s="234">
        <v>3</v>
      </c>
      <c r="T42" s="234">
        <v>3</v>
      </c>
      <c r="U42" s="56">
        <v>5</v>
      </c>
      <c r="V42" s="299">
        <v>5</v>
      </c>
      <c r="W42" s="223">
        <v>5</v>
      </c>
      <c r="X42" s="223">
        <v>5</v>
      </c>
      <c r="Y42" s="220">
        <v>3</v>
      </c>
      <c r="Z42" s="220">
        <v>3</v>
      </c>
      <c r="AA42" s="224">
        <v>4</v>
      </c>
      <c r="AB42" s="223">
        <v>5</v>
      </c>
      <c r="AC42" s="223">
        <v>5</v>
      </c>
      <c r="AD42" s="223">
        <v>5</v>
      </c>
      <c r="AE42" s="223">
        <v>5</v>
      </c>
      <c r="AF42" s="224">
        <v>4</v>
      </c>
      <c r="AG42" s="220">
        <v>3</v>
      </c>
      <c r="AH42" s="347"/>
      <c r="AI42" s="347"/>
      <c r="AJ42" s="351">
        <v>0.29166666666666669</v>
      </c>
      <c r="AK42" s="360">
        <v>21</v>
      </c>
      <c r="AL42" s="360">
        <v>14</v>
      </c>
      <c r="AM42" s="360">
        <v>11</v>
      </c>
      <c r="AN42" s="360">
        <v>9</v>
      </c>
      <c r="AO42" s="360">
        <v>19</v>
      </c>
      <c r="AP42" s="360">
        <v>19</v>
      </c>
      <c r="AQ42" s="360">
        <v>21</v>
      </c>
      <c r="AR42" s="360">
        <v>21</v>
      </c>
      <c r="AS42" s="360">
        <v>18</v>
      </c>
      <c r="AT42" s="360">
        <v>13</v>
      </c>
      <c r="AU42" s="360">
        <v>8</v>
      </c>
      <c r="AV42" s="360">
        <v>19</v>
      </c>
      <c r="AW42" s="360">
        <v>19</v>
      </c>
      <c r="AX42" s="360">
        <v>21</v>
      </c>
      <c r="AY42" s="360">
        <v>21</v>
      </c>
      <c r="AZ42" s="360">
        <v>17</v>
      </c>
      <c r="BA42" s="360">
        <v>14</v>
      </c>
      <c r="BB42" s="360">
        <v>13</v>
      </c>
      <c r="BC42" s="360">
        <v>24</v>
      </c>
      <c r="BD42" s="360">
        <v>33</v>
      </c>
      <c r="BE42" s="360">
        <v>21</v>
      </c>
      <c r="BF42" s="360">
        <v>21</v>
      </c>
      <c r="BG42" s="360">
        <v>17</v>
      </c>
      <c r="BH42" s="360">
        <v>12</v>
      </c>
      <c r="BI42" s="360">
        <v>10</v>
      </c>
      <c r="BJ42" s="360">
        <v>19</v>
      </c>
      <c r="BK42" s="360">
        <v>19</v>
      </c>
      <c r="BL42" s="360">
        <v>21</v>
      </c>
      <c r="BM42" s="360">
        <v>21</v>
      </c>
      <c r="BN42" s="360">
        <v>17</v>
      </c>
      <c r="BO42" s="360">
        <v>14</v>
      </c>
      <c r="BP42" s="347"/>
      <c r="BQ42" s="347"/>
    </row>
    <row r="43" spans="1:69">
      <c r="A43" s="347"/>
      <c r="B43" s="350">
        <v>0.33333333333333331</v>
      </c>
      <c r="C43" s="136">
        <v>7</v>
      </c>
      <c r="D43" s="56">
        <v>5</v>
      </c>
      <c r="E43" s="144">
        <v>6</v>
      </c>
      <c r="F43" s="242">
        <v>4</v>
      </c>
      <c r="G43" s="144">
        <v>6</v>
      </c>
      <c r="H43" s="136">
        <v>7</v>
      </c>
      <c r="I43" s="136">
        <v>7</v>
      </c>
      <c r="J43" s="56">
        <v>5</v>
      </c>
      <c r="K43" s="56">
        <v>5</v>
      </c>
      <c r="L43" s="242">
        <v>4</v>
      </c>
      <c r="M43" s="242">
        <v>4</v>
      </c>
      <c r="N43" s="144">
        <v>6</v>
      </c>
      <c r="O43" s="144">
        <v>6</v>
      </c>
      <c r="P43" s="136">
        <v>7</v>
      </c>
      <c r="Q43" s="56">
        <v>5</v>
      </c>
      <c r="R43" s="144">
        <v>6</v>
      </c>
      <c r="S43" s="56">
        <v>5</v>
      </c>
      <c r="T43" s="56">
        <v>5</v>
      </c>
      <c r="U43" s="136">
        <v>7</v>
      </c>
      <c r="V43" s="300">
        <v>6</v>
      </c>
      <c r="W43" s="319">
        <v>9</v>
      </c>
      <c r="X43" s="221">
        <v>6</v>
      </c>
      <c r="Y43" s="167">
        <v>7</v>
      </c>
      <c r="Z43" s="167">
        <v>7</v>
      </c>
      <c r="AA43" s="224">
        <v>4</v>
      </c>
      <c r="AB43" s="222">
        <v>8</v>
      </c>
      <c r="AC43" s="222">
        <v>8</v>
      </c>
      <c r="AD43" s="319">
        <v>9</v>
      </c>
      <c r="AE43" s="221">
        <v>6</v>
      </c>
      <c r="AF43" s="167">
        <v>7</v>
      </c>
      <c r="AG43" s="221">
        <v>6</v>
      </c>
      <c r="AH43" s="347"/>
      <c r="AI43" s="347"/>
      <c r="AJ43" s="351">
        <v>0.33333333333333331</v>
      </c>
      <c r="AK43" s="360">
        <v>33</v>
      </c>
      <c r="AL43" s="360">
        <v>26</v>
      </c>
      <c r="AM43" s="360">
        <v>42</v>
      </c>
      <c r="AN43" s="360">
        <v>19</v>
      </c>
      <c r="AO43" s="360">
        <v>39</v>
      </c>
      <c r="AP43" s="360">
        <v>36</v>
      </c>
      <c r="AQ43" s="360">
        <v>48</v>
      </c>
      <c r="AR43" s="360">
        <v>33</v>
      </c>
      <c r="AS43" s="360">
        <v>32</v>
      </c>
      <c r="AT43" s="360">
        <v>24</v>
      </c>
      <c r="AU43" s="360">
        <v>18</v>
      </c>
      <c r="AV43" s="360">
        <v>39</v>
      </c>
      <c r="AW43" s="360">
        <v>36</v>
      </c>
      <c r="AX43" s="360">
        <v>48</v>
      </c>
      <c r="AY43" s="360">
        <v>33</v>
      </c>
      <c r="AZ43" s="360">
        <v>35</v>
      </c>
      <c r="BA43" s="360">
        <v>26</v>
      </c>
      <c r="BB43" s="360">
        <v>24</v>
      </c>
      <c r="BC43" s="360">
        <v>47</v>
      </c>
      <c r="BD43" s="360">
        <v>37</v>
      </c>
      <c r="BE43" s="360">
        <v>48</v>
      </c>
      <c r="BF43" s="360">
        <v>33</v>
      </c>
      <c r="BG43" s="360">
        <v>35</v>
      </c>
      <c r="BH43" s="360">
        <v>29</v>
      </c>
      <c r="BI43" s="360">
        <v>16</v>
      </c>
      <c r="BJ43" s="360">
        <v>39</v>
      </c>
      <c r="BK43" s="360">
        <v>36</v>
      </c>
      <c r="BL43" s="360">
        <v>48</v>
      </c>
      <c r="BM43" s="360">
        <v>33</v>
      </c>
      <c r="BN43" s="360">
        <v>35</v>
      </c>
      <c r="BO43" s="360">
        <v>26</v>
      </c>
      <c r="BP43" s="347"/>
      <c r="BQ43" s="347"/>
    </row>
    <row r="44" spans="1:69">
      <c r="A44" s="347"/>
      <c r="B44" s="350">
        <v>0.375</v>
      </c>
      <c r="C44" s="136">
        <v>7</v>
      </c>
      <c r="D44" s="144">
        <v>6</v>
      </c>
      <c r="E44" s="144">
        <v>6</v>
      </c>
      <c r="F44" s="56">
        <v>5</v>
      </c>
      <c r="G44" s="143">
        <v>8</v>
      </c>
      <c r="H44" s="143">
        <v>8</v>
      </c>
      <c r="I44" s="143">
        <v>8</v>
      </c>
      <c r="J44" s="143">
        <v>8</v>
      </c>
      <c r="K44" s="143">
        <v>8</v>
      </c>
      <c r="L44" s="136">
        <v>7</v>
      </c>
      <c r="M44" s="56">
        <v>5</v>
      </c>
      <c r="N44" s="143">
        <v>8</v>
      </c>
      <c r="O44" s="143">
        <v>8</v>
      </c>
      <c r="P44" s="143">
        <v>8</v>
      </c>
      <c r="Q44" s="143">
        <v>8</v>
      </c>
      <c r="R44" s="143">
        <v>8</v>
      </c>
      <c r="S44" s="136">
        <v>7</v>
      </c>
      <c r="T44" s="56">
        <v>5</v>
      </c>
      <c r="U44" s="143">
        <v>8</v>
      </c>
      <c r="V44" s="301">
        <v>8</v>
      </c>
      <c r="W44" s="310">
        <v>10</v>
      </c>
      <c r="X44" s="222">
        <v>8</v>
      </c>
      <c r="Y44" s="222">
        <v>8</v>
      </c>
      <c r="Z44" s="167">
        <v>7</v>
      </c>
      <c r="AA44" s="167">
        <v>7</v>
      </c>
      <c r="AB44" s="310">
        <v>10</v>
      </c>
      <c r="AC44" s="310">
        <v>10</v>
      </c>
      <c r="AD44" s="310">
        <v>10</v>
      </c>
      <c r="AE44" s="222">
        <v>8</v>
      </c>
      <c r="AF44" s="222">
        <v>8</v>
      </c>
      <c r="AG44" s="167">
        <v>7</v>
      </c>
      <c r="AH44" s="347"/>
      <c r="AI44" s="347"/>
      <c r="AJ44" s="351">
        <v>0.375</v>
      </c>
      <c r="AK44" s="360">
        <v>47</v>
      </c>
      <c r="AL44" s="360">
        <v>37</v>
      </c>
      <c r="AM44" s="360">
        <v>34</v>
      </c>
      <c r="AN44" s="360">
        <v>33</v>
      </c>
      <c r="AO44" s="360">
        <v>52</v>
      </c>
      <c r="AP44" s="360">
        <v>52</v>
      </c>
      <c r="AQ44" s="360">
        <v>53</v>
      </c>
      <c r="AR44" s="360">
        <v>47</v>
      </c>
      <c r="AS44" s="360">
        <v>44</v>
      </c>
      <c r="AT44" s="360">
        <v>33</v>
      </c>
      <c r="AU44" s="360">
        <v>25</v>
      </c>
      <c r="AV44" s="360">
        <v>52</v>
      </c>
      <c r="AW44" s="360">
        <v>52</v>
      </c>
      <c r="AX44" s="360">
        <v>53</v>
      </c>
      <c r="AY44" s="360">
        <v>47</v>
      </c>
      <c r="AZ44" s="360">
        <v>45</v>
      </c>
      <c r="BA44" s="360">
        <v>37</v>
      </c>
      <c r="BB44" s="360">
        <v>27</v>
      </c>
      <c r="BC44" s="360">
        <v>52</v>
      </c>
      <c r="BD44" s="360">
        <v>53</v>
      </c>
      <c r="BE44" s="360">
        <v>53</v>
      </c>
      <c r="BF44" s="360">
        <v>47</v>
      </c>
      <c r="BG44" s="360">
        <v>45</v>
      </c>
      <c r="BH44" s="360">
        <v>31</v>
      </c>
      <c r="BI44" s="360">
        <v>22</v>
      </c>
      <c r="BJ44" s="360">
        <v>52</v>
      </c>
      <c r="BK44" s="360">
        <v>52</v>
      </c>
      <c r="BL44" s="360">
        <v>53</v>
      </c>
      <c r="BM44" s="360">
        <v>47</v>
      </c>
      <c r="BN44" s="360">
        <v>45</v>
      </c>
      <c r="BO44" s="360">
        <v>37</v>
      </c>
      <c r="BP44" s="347"/>
      <c r="BQ44" s="347"/>
    </row>
    <row r="45" spans="1:69">
      <c r="A45" s="347"/>
      <c r="B45" s="350">
        <v>0.41666666666666669</v>
      </c>
      <c r="C45" s="136">
        <v>7</v>
      </c>
      <c r="D45" s="136">
        <v>7</v>
      </c>
      <c r="E45" s="144">
        <v>6</v>
      </c>
      <c r="F45" s="56">
        <v>5</v>
      </c>
      <c r="G45" s="57">
        <v>9</v>
      </c>
      <c r="H45" s="57">
        <v>9</v>
      </c>
      <c r="I45" s="143">
        <v>8</v>
      </c>
      <c r="J45" s="143">
        <v>8</v>
      </c>
      <c r="K45" s="57">
        <v>9</v>
      </c>
      <c r="L45" s="136">
        <v>7</v>
      </c>
      <c r="M45" s="56">
        <v>5</v>
      </c>
      <c r="N45" s="57">
        <v>9</v>
      </c>
      <c r="O45" s="143">
        <v>8</v>
      </c>
      <c r="P45" s="143">
        <v>8</v>
      </c>
      <c r="Q45" s="143">
        <v>8</v>
      </c>
      <c r="R45" s="57">
        <v>9</v>
      </c>
      <c r="S45" s="136">
        <v>7</v>
      </c>
      <c r="T45" s="56">
        <v>5</v>
      </c>
      <c r="U45" s="57">
        <v>9</v>
      </c>
      <c r="V45" s="301">
        <v>8</v>
      </c>
      <c r="W45" s="310">
        <v>10</v>
      </c>
      <c r="X45" s="319">
        <v>9</v>
      </c>
      <c r="Y45" s="310">
        <v>10</v>
      </c>
      <c r="Z45" s="222">
        <v>8</v>
      </c>
      <c r="AA45" s="167">
        <v>7</v>
      </c>
      <c r="AB45" s="320">
        <v>11</v>
      </c>
      <c r="AC45" s="310">
        <v>10</v>
      </c>
      <c r="AD45" s="310">
        <v>10</v>
      </c>
      <c r="AE45" s="319">
        <v>9</v>
      </c>
      <c r="AF45" s="319">
        <v>9</v>
      </c>
      <c r="AG45" s="222">
        <v>8</v>
      </c>
      <c r="AH45" s="347"/>
      <c r="AI45" s="347"/>
      <c r="AJ45" s="351">
        <v>0.41666666666666669</v>
      </c>
      <c r="AK45" s="360">
        <v>51</v>
      </c>
      <c r="AL45" s="360">
        <v>46</v>
      </c>
      <c r="AM45" s="360">
        <v>40</v>
      </c>
      <c r="AN45" s="360">
        <v>37</v>
      </c>
      <c r="AO45" s="360">
        <v>57</v>
      </c>
      <c r="AP45" s="360">
        <v>55</v>
      </c>
      <c r="AQ45" s="360">
        <v>55</v>
      </c>
      <c r="AR45" s="360">
        <v>51</v>
      </c>
      <c r="AS45" s="360">
        <v>56</v>
      </c>
      <c r="AT45" s="360">
        <v>42</v>
      </c>
      <c r="AU45" s="360">
        <v>30</v>
      </c>
      <c r="AV45" s="360">
        <v>57</v>
      </c>
      <c r="AW45" s="360">
        <v>55</v>
      </c>
      <c r="AX45" s="360">
        <v>55</v>
      </c>
      <c r="AY45" s="360">
        <v>51</v>
      </c>
      <c r="AZ45" s="360">
        <v>56</v>
      </c>
      <c r="BA45" s="360">
        <v>46</v>
      </c>
      <c r="BB45" s="360">
        <v>29</v>
      </c>
      <c r="BC45" s="360">
        <v>57</v>
      </c>
      <c r="BD45" s="360">
        <v>55</v>
      </c>
      <c r="BE45" s="360">
        <v>55</v>
      </c>
      <c r="BF45" s="360">
        <v>51</v>
      </c>
      <c r="BG45" s="360">
        <v>56</v>
      </c>
      <c r="BH45" s="360">
        <v>48</v>
      </c>
      <c r="BI45" s="360">
        <v>24</v>
      </c>
      <c r="BJ45" s="360">
        <v>57</v>
      </c>
      <c r="BK45" s="360">
        <v>55</v>
      </c>
      <c r="BL45" s="360">
        <v>55</v>
      </c>
      <c r="BM45" s="360">
        <v>51</v>
      </c>
      <c r="BN45" s="360">
        <v>56</v>
      </c>
      <c r="BO45" s="360">
        <v>46</v>
      </c>
      <c r="BP45" s="347"/>
      <c r="BQ45" s="347"/>
    </row>
    <row r="46" spans="1:69">
      <c r="A46" s="347"/>
      <c r="B46" s="350">
        <v>0.45833333333333331</v>
      </c>
      <c r="C46" s="136">
        <v>7</v>
      </c>
      <c r="D46" s="143">
        <v>8</v>
      </c>
      <c r="E46" s="144">
        <v>6</v>
      </c>
      <c r="F46" s="56">
        <v>5</v>
      </c>
      <c r="G46" s="57">
        <v>9</v>
      </c>
      <c r="H46" s="57">
        <v>9</v>
      </c>
      <c r="I46" s="143">
        <v>8</v>
      </c>
      <c r="J46" s="143">
        <v>8</v>
      </c>
      <c r="K46" s="57">
        <v>9</v>
      </c>
      <c r="L46" s="136">
        <v>7</v>
      </c>
      <c r="M46" s="56">
        <v>5</v>
      </c>
      <c r="N46" s="57">
        <v>9</v>
      </c>
      <c r="O46" s="143">
        <v>8</v>
      </c>
      <c r="P46" s="143">
        <v>8</v>
      </c>
      <c r="Q46" s="143">
        <v>8</v>
      </c>
      <c r="R46" s="57">
        <v>9</v>
      </c>
      <c r="S46" s="136">
        <v>7</v>
      </c>
      <c r="T46" s="56">
        <v>5</v>
      </c>
      <c r="U46" s="57">
        <v>9</v>
      </c>
      <c r="V46" s="301">
        <v>8</v>
      </c>
      <c r="W46" s="319">
        <v>9</v>
      </c>
      <c r="X46" s="319">
        <v>9</v>
      </c>
      <c r="Y46" s="319">
        <v>9</v>
      </c>
      <c r="Z46" s="167">
        <v>7</v>
      </c>
      <c r="AA46" s="167">
        <v>7</v>
      </c>
      <c r="AB46" s="310">
        <v>10</v>
      </c>
      <c r="AC46" s="319">
        <v>9</v>
      </c>
      <c r="AD46" s="319">
        <v>9</v>
      </c>
      <c r="AE46" s="319">
        <v>9</v>
      </c>
      <c r="AF46" s="222">
        <v>8</v>
      </c>
      <c r="AG46" s="167">
        <v>7</v>
      </c>
      <c r="AH46" s="347"/>
      <c r="AI46" s="347"/>
      <c r="AJ46" s="351">
        <v>0.45833333333333331</v>
      </c>
      <c r="AK46" s="360">
        <v>50</v>
      </c>
      <c r="AL46" s="360">
        <v>42</v>
      </c>
      <c r="AM46" s="360">
        <v>34</v>
      </c>
      <c r="AN46" s="360">
        <v>33</v>
      </c>
      <c r="AO46" s="360">
        <v>57</v>
      </c>
      <c r="AP46" s="360">
        <v>55</v>
      </c>
      <c r="AQ46" s="360">
        <v>49</v>
      </c>
      <c r="AR46" s="360">
        <v>50</v>
      </c>
      <c r="AS46" s="360">
        <v>56</v>
      </c>
      <c r="AT46" s="360">
        <v>42</v>
      </c>
      <c r="AU46" s="360">
        <v>29</v>
      </c>
      <c r="AV46" s="360">
        <v>57</v>
      </c>
      <c r="AW46" s="360">
        <v>55</v>
      </c>
      <c r="AX46" s="360">
        <v>49</v>
      </c>
      <c r="AY46" s="360">
        <v>50</v>
      </c>
      <c r="AZ46" s="360">
        <v>50</v>
      </c>
      <c r="BA46" s="360">
        <v>42</v>
      </c>
      <c r="BB46" s="360">
        <v>29</v>
      </c>
      <c r="BC46" s="360">
        <v>58</v>
      </c>
      <c r="BD46" s="360">
        <v>58</v>
      </c>
      <c r="BE46" s="360">
        <v>49</v>
      </c>
      <c r="BF46" s="360">
        <v>50</v>
      </c>
      <c r="BG46" s="360">
        <v>50</v>
      </c>
      <c r="BH46" s="360">
        <v>37</v>
      </c>
      <c r="BI46" s="360">
        <v>29</v>
      </c>
      <c r="BJ46" s="360">
        <v>57</v>
      </c>
      <c r="BK46" s="360">
        <v>55</v>
      </c>
      <c r="BL46" s="360">
        <v>49</v>
      </c>
      <c r="BM46" s="360">
        <v>50</v>
      </c>
      <c r="BN46" s="360">
        <v>50</v>
      </c>
      <c r="BO46" s="360">
        <v>42</v>
      </c>
      <c r="BP46" s="347"/>
      <c r="BQ46" s="347"/>
    </row>
    <row r="47" spans="1:69">
      <c r="A47" s="347"/>
      <c r="B47" s="350">
        <v>0.5</v>
      </c>
      <c r="C47" s="136">
        <v>7</v>
      </c>
      <c r="D47" s="144">
        <v>6</v>
      </c>
      <c r="E47" s="144">
        <v>6</v>
      </c>
      <c r="F47" s="144">
        <v>6</v>
      </c>
      <c r="G47" s="143">
        <v>8</v>
      </c>
      <c r="H47" s="57">
        <v>9</v>
      </c>
      <c r="I47" s="143">
        <v>8</v>
      </c>
      <c r="J47" s="143">
        <v>8</v>
      </c>
      <c r="K47" s="57">
        <v>9</v>
      </c>
      <c r="L47" s="144">
        <v>6</v>
      </c>
      <c r="M47" s="144">
        <v>6</v>
      </c>
      <c r="N47" s="57">
        <v>9</v>
      </c>
      <c r="O47" s="143">
        <v>8</v>
      </c>
      <c r="P47" s="143">
        <v>8</v>
      </c>
      <c r="Q47" s="143">
        <v>8</v>
      </c>
      <c r="R47" s="57">
        <v>9</v>
      </c>
      <c r="S47" s="144">
        <v>6</v>
      </c>
      <c r="T47" s="144">
        <v>6</v>
      </c>
      <c r="U47" s="57">
        <v>9</v>
      </c>
      <c r="V47" s="301">
        <v>9</v>
      </c>
      <c r="W47" s="222">
        <v>8</v>
      </c>
      <c r="X47" s="222">
        <v>8</v>
      </c>
      <c r="Y47" s="310">
        <v>10</v>
      </c>
      <c r="Z47" s="222">
        <v>8</v>
      </c>
      <c r="AA47" s="221">
        <v>6</v>
      </c>
      <c r="AB47" s="310">
        <v>10</v>
      </c>
      <c r="AC47" s="319">
        <v>9</v>
      </c>
      <c r="AD47" s="319">
        <v>9</v>
      </c>
      <c r="AE47" s="222">
        <v>8</v>
      </c>
      <c r="AF47" s="319">
        <v>9</v>
      </c>
      <c r="AG47" s="222">
        <v>8</v>
      </c>
      <c r="AH47" s="347"/>
      <c r="AI47" s="347"/>
      <c r="AJ47" s="351">
        <v>0.5</v>
      </c>
      <c r="AK47" s="360">
        <v>50</v>
      </c>
      <c r="AL47" s="360">
        <v>41</v>
      </c>
      <c r="AM47" s="360">
        <v>37</v>
      </c>
      <c r="AN47" s="360">
        <v>28</v>
      </c>
      <c r="AO47" s="360">
        <v>52</v>
      </c>
      <c r="AP47" s="360">
        <v>49</v>
      </c>
      <c r="AQ47" s="360">
        <v>46</v>
      </c>
      <c r="AR47" s="360">
        <v>50</v>
      </c>
      <c r="AS47" s="360">
        <v>49</v>
      </c>
      <c r="AT47" s="360">
        <v>37</v>
      </c>
      <c r="AU47" s="360">
        <v>29</v>
      </c>
      <c r="AV47" s="360">
        <v>52</v>
      </c>
      <c r="AW47" s="360">
        <v>49</v>
      </c>
      <c r="AX47" s="360">
        <v>46</v>
      </c>
      <c r="AY47" s="360">
        <v>50</v>
      </c>
      <c r="AZ47" s="360">
        <v>48</v>
      </c>
      <c r="BA47" s="360">
        <v>41</v>
      </c>
      <c r="BB47" s="360">
        <v>29</v>
      </c>
      <c r="BC47" s="360">
        <v>57</v>
      </c>
      <c r="BD47" s="360">
        <v>54</v>
      </c>
      <c r="BE47" s="360">
        <v>46</v>
      </c>
      <c r="BF47" s="360">
        <v>50</v>
      </c>
      <c r="BG47" s="360">
        <v>48</v>
      </c>
      <c r="BH47" s="360">
        <v>33</v>
      </c>
      <c r="BI47" s="360">
        <v>28</v>
      </c>
      <c r="BJ47" s="360">
        <v>52</v>
      </c>
      <c r="BK47" s="360">
        <v>49</v>
      </c>
      <c r="BL47" s="360">
        <v>46</v>
      </c>
      <c r="BM47" s="360">
        <v>50</v>
      </c>
      <c r="BN47" s="360">
        <v>48</v>
      </c>
      <c r="BO47" s="360">
        <v>41</v>
      </c>
      <c r="BP47" s="347"/>
      <c r="BQ47" s="347"/>
    </row>
    <row r="48" spans="1:69">
      <c r="A48" s="347"/>
      <c r="B48" s="350">
        <v>0.54166666666666663</v>
      </c>
      <c r="C48" s="144">
        <v>6</v>
      </c>
      <c r="D48" s="144">
        <v>6</v>
      </c>
      <c r="E48" s="144">
        <v>6</v>
      </c>
      <c r="F48" s="144">
        <v>6</v>
      </c>
      <c r="G48" s="143">
        <v>8</v>
      </c>
      <c r="H48" s="57">
        <v>9</v>
      </c>
      <c r="I48" s="143">
        <v>8</v>
      </c>
      <c r="J48" s="143">
        <v>8</v>
      </c>
      <c r="K48" s="143">
        <v>8</v>
      </c>
      <c r="L48" s="144">
        <v>6</v>
      </c>
      <c r="M48" s="144">
        <v>6</v>
      </c>
      <c r="N48" s="143">
        <v>8</v>
      </c>
      <c r="O48" s="143">
        <v>8</v>
      </c>
      <c r="P48" s="143">
        <v>8</v>
      </c>
      <c r="Q48" s="143">
        <v>8</v>
      </c>
      <c r="R48" s="136">
        <v>7</v>
      </c>
      <c r="S48" s="144">
        <v>6</v>
      </c>
      <c r="T48" s="144">
        <v>6</v>
      </c>
      <c r="U48" s="143">
        <v>8</v>
      </c>
      <c r="V48" s="302">
        <v>9</v>
      </c>
      <c r="W48" s="320">
        <v>11</v>
      </c>
      <c r="X48" s="320">
        <v>11</v>
      </c>
      <c r="Y48" s="310">
        <v>10</v>
      </c>
      <c r="Z48" s="167">
        <v>7</v>
      </c>
      <c r="AA48" s="221">
        <v>6</v>
      </c>
      <c r="AB48" s="320">
        <v>11</v>
      </c>
      <c r="AC48" s="320">
        <v>11</v>
      </c>
      <c r="AD48" s="320">
        <v>11</v>
      </c>
      <c r="AE48" s="310">
        <v>10</v>
      </c>
      <c r="AF48" s="319">
        <v>9</v>
      </c>
      <c r="AG48" s="222">
        <v>8</v>
      </c>
      <c r="AH48" s="347"/>
      <c r="AI48" s="347"/>
      <c r="AJ48" s="351">
        <v>0.54166666666666663</v>
      </c>
      <c r="AK48" s="360">
        <v>52</v>
      </c>
      <c r="AL48" s="360">
        <v>34</v>
      </c>
      <c r="AM48" s="360">
        <v>35</v>
      </c>
      <c r="AN48" s="360">
        <v>29</v>
      </c>
      <c r="AO48" s="360">
        <v>54</v>
      </c>
      <c r="AP48" s="360">
        <v>49</v>
      </c>
      <c r="AQ48" s="360">
        <v>50</v>
      </c>
      <c r="AR48" s="360">
        <v>52</v>
      </c>
      <c r="AS48" s="360">
        <v>44</v>
      </c>
      <c r="AT48" s="360">
        <v>33</v>
      </c>
      <c r="AU48" s="360">
        <v>29</v>
      </c>
      <c r="AV48" s="360">
        <v>54</v>
      </c>
      <c r="AW48" s="360">
        <v>49</v>
      </c>
      <c r="AX48" s="360">
        <v>50</v>
      </c>
      <c r="AY48" s="360">
        <v>52</v>
      </c>
      <c r="AZ48" s="360">
        <v>47</v>
      </c>
      <c r="BA48" s="360">
        <v>34</v>
      </c>
      <c r="BB48" s="360">
        <v>27</v>
      </c>
      <c r="BC48" s="360">
        <v>53</v>
      </c>
      <c r="BD48" s="360">
        <v>47</v>
      </c>
      <c r="BE48" s="360">
        <v>50</v>
      </c>
      <c r="BF48" s="360">
        <v>52</v>
      </c>
      <c r="BG48" s="360">
        <v>47</v>
      </c>
      <c r="BH48" s="360">
        <v>36</v>
      </c>
      <c r="BI48" s="360">
        <v>27</v>
      </c>
      <c r="BJ48" s="360">
        <v>54</v>
      </c>
      <c r="BK48" s="360">
        <v>49</v>
      </c>
      <c r="BL48" s="360">
        <v>50</v>
      </c>
      <c r="BM48" s="360">
        <v>52</v>
      </c>
      <c r="BN48" s="360">
        <v>47</v>
      </c>
      <c r="BO48" s="360">
        <v>34</v>
      </c>
      <c r="BP48" s="347"/>
      <c r="BQ48" s="347"/>
    </row>
    <row r="49" spans="1:69">
      <c r="A49" s="347"/>
      <c r="B49" s="350">
        <v>0.58333333333333337</v>
      </c>
      <c r="C49" s="144">
        <v>6</v>
      </c>
      <c r="D49" s="144">
        <v>6</v>
      </c>
      <c r="E49" s="144">
        <v>6</v>
      </c>
      <c r="F49" s="56">
        <v>5</v>
      </c>
      <c r="G49" s="143">
        <v>8</v>
      </c>
      <c r="H49" s="57">
        <v>9</v>
      </c>
      <c r="I49" s="136">
        <v>7</v>
      </c>
      <c r="J49" s="143">
        <v>8</v>
      </c>
      <c r="K49" s="143">
        <v>8</v>
      </c>
      <c r="L49" s="144">
        <v>6</v>
      </c>
      <c r="M49" s="56">
        <v>5</v>
      </c>
      <c r="N49" s="143">
        <v>8</v>
      </c>
      <c r="O49" s="143">
        <v>8</v>
      </c>
      <c r="P49" s="136">
        <v>7</v>
      </c>
      <c r="Q49" s="143">
        <v>8</v>
      </c>
      <c r="R49" s="136">
        <v>7</v>
      </c>
      <c r="S49" s="144">
        <v>6</v>
      </c>
      <c r="T49" s="56">
        <v>5</v>
      </c>
      <c r="U49" s="143">
        <v>8</v>
      </c>
      <c r="V49" s="302">
        <v>10</v>
      </c>
      <c r="W49" s="320">
        <v>11</v>
      </c>
      <c r="X49" s="312">
        <v>12</v>
      </c>
      <c r="Y49" s="320">
        <v>11</v>
      </c>
      <c r="Z49" s="319">
        <v>9</v>
      </c>
      <c r="AA49" s="167">
        <v>7</v>
      </c>
      <c r="AB49" s="312">
        <v>12</v>
      </c>
      <c r="AC49" s="312">
        <v>12</v>
      </c>
      <c r="AD49" s="320">
        <v>11</v>
      </c>
      <c r="AE49" s="312">
        <v>12</v>
      </c>
      <c r="AF49" s="320">
        <v>11</v>
      </c>
      <c r="AG49" s="222">
        <v>8</v>
      </c>
      <c r="AH49" s="347"/>
      <c r="AI49" s="347"/>
      <c r="AJ49" s="351">
        <v>0.58333333333333337</v>
      </c>
      <c r="AK49" s="360">
        <v>47</v>
      </c>
      <c r="AL49" s="360">
        <v>33</v>
      </c>
      <c r="AM49" s="360">
        <v>44</v>
      </c>
      <c r="AN49" s="360">
        <v>28</v>
      </c>
      <c r="AO49" s="360">
        <v>54</v>
      </c>
      <c r="AP49" s="360">
        <v>49</v>
      </c>
      <c r="AQ49" s="360">
        <v>48</v>
      </c>
      <c r="AR49" s="360">
        <v>47</v>
      </c>
      <c r="AS49" s="360">
        <v>49</v>
      </c>
      <c r="AT49" s="360">
        <v>37</v>
      </c>
      <c r="AU49" s="360">
        <v>24</v>
      </c>
      <c r="AV49" s="360">
        <v>54</v>
      </c>
      <c r="AW49" s="360">
        <v>49</v>
      </c>
      <c r="AX49" s="360">
        <v>48</v>
      </c>
      <c r="AY49" s="360">
        <v>47</v>
      </c>
      <c r="AZ49" s="360">
        <v>44</v>
      </c>
      <c r="BA49" s="360">
        <v>33</v>
      </c>
      <c r="BB49" s="360">
        <v>27</v>
      </c>
      <c r="BC49" s="360">
        <v>53</v>
      </c>
      <c r="BD49" s="360">
        <v>50</v>
      </c>
      <c r="BE49" s="360">
        <v>48</v>
      </c>
      <c r="BF49" s="360">
        <v>47</v>
      </c>
      <c r="BG49" s="360">
        <v>44</v>
      </c>
      <c r="BH49" s="360">
        <v>32</v>
      </c>
      <c r="BI49" s="360">
        <v>37</v>
      </c>
      <c r="BJ49" s="360">
        <v>54</v>
      </c>
      <c r="BK49" s="360">
        <v>49</v>
      </c>
      <c r="BL49" s="360">
        <v>48</v>
      </c>
      <c r="BM49" s="360">
        <v>47</v>
      </c>
      <c r="BN49" s="360">
        <v>44</v>
      </c>
      <c r="BO49" s="360">
        <v>33</v>
      </c>
      <c r="BP49" s="347"/>
      <c r="BQ49" s="347"/>
    </row>
    <row r="50" spans="1:69">
      <c r="A50" s="347"/>
      <c r="B50" s="350">
        <v>0.625</v>
      </c>
      <c r="C50" s="144">
        <v>6</v>
      </c>
      <c r="D50" s="144">
        <v>6</v>
      </c>
      <c r="E50" s="144">
        <v>6</v>
      </c>
      <c r="F50" s="56">
        <v>5</v>
      </c>
      <c r="G50" s="143">
        <v>8</v>
      </c>
      <c r="H50" s="57">
        <v>9</v>
      </c>
      <c r="I50" s="136">
        <v>7</v>
      </c>
      <c r="J50" s="143">
        <v>8</v>
      </c>
      <c r="K50" s="143">
        <v>8</v>
      </c>
      <c r="L50" s="144">
        <v>6</v>
      </c>
      <c r="M50" s="56">
        <v>5</v>
      </c>
      <c r="N50" s="143">
        <v>8</v>
      </c>
      <c r="O50" s="143">
        <v>8</v>
      </c>
      <c r="P50" s="136">
        <v>7</v>
      </c>
      <c r="Q50" s="143">
        <v>8</v>
      </c>
      <c r="R50" s="136">
        <v>7</v>
      </c>
      <c r="S50" s="144">
        <v>6</v>
      </c>
      <c r="T50" s="56">
        <v>5</v>
      </c>
      <c r="U50" s="136">
        <v>7</v>
      </c>
      <c r="V50" s="302">
        <v>10</v>
      </c>
      <c r="W50" s="320">
        <v>11</v>
      </c>
      <c r="X50" s="320">
        <v>11</v>
      </c>
      <c r="Y50" s="319">
        <v>9</v>
      </c>
      <c r="Z50" s="167">
        <v>7</v>
      </c>
      <c r="AA50" s="167">
        <v>7</v>
      </c>
      <c r="AB50" s="312">
        <v>12</v>
      </c>
      <c r="AC50" s="320">
        <v>11</v>
      </c>
      <c r="AD50" s="320">
        <v>11</v>
      </c>
      <c r="AE50" s="320">
        <v>11</v>
      </c>
      <c r="AF50" s="319">
        <v>9</v>
      </c>
      <c r="AG50" s="221">
        <v>6</v>
      </c>
      <c r="AH50" s="347"/>
      <c r="AI50" s="347"/>
      <c r="AJ50" s="351">
        <v>0.625</v>
      </c>
      <c r="AK50" s="360">
        <v>49</v>
      </c>
      <c r="AL50" s="360">
        <v>29</v>
      </c>
      <c r="AM50" s="360">
        <v>36</v>
      </c>
      <c r="AN50" s="360">
        <v>26</v>
      </c>
      <c r="AO50" s="360">
        <v>48</v>
      </c>
      <c r="AP50" s="360">
        <v>47</v>
      </c>
      <c r="AQ50" s="360">
        <v>47</v>
      </c>
      <c r="AR50" s="360">
        <v>49</v>
      </c>
      <c r="AS50" s="360">
        <v>50</v>
      </c>
      <c r="AT50" s="360">
        <v>37</v>
      </c>
      <c r="AU50" s="360">
        <v>23</v>
      </c>
      <c r="AV50" s="360">
        <v>48</v>
      </c>
      <c r="AW50" s="360">
        <v>47</v>
      </c>
      <c r="AX50" s="360">
        <v>47</v>
      </c>
      <c r="AY50" s="360">
        <v>49</v>
      </c>
      <c r="AZ50" s="360">
        <v>48</v>
      </c>
      <c r="BA50" s="360">
        <v>29</v>
      </c>
      <c r="BB50" s="360">
        <v>24</v>
      </c>
      <c r="BC50" s="360">
        <v>48</v>
      </c>
      <c r="BD50" s="360">
        <v>43</v>
      </c>
      <c r="BE50" s="360">
        <v>47</v>
      </c>
      <c r="BF50" s="360">
        <v>49</v>
      </c>
      <c r="BG50" s="360">
        <v>48</v>
      </c>
      <c r="BH50" s="360">
        <v>34</v>
      </c>
      <c r="BI50" s="360">
        <v>24</v>
      </c>
      <c r="BJ50" s="360">
        <v>48</v>
      </c>
      <c r="BK50" s="360">
        <v>47</v>
      </c>
      <c r="BL50" s="360">
        <v>47</v>
      </c>
      <c r="BM50" s="360">
        <v>49</v>
      </c>
      <c r="BN50" s="360">
        <v>48</v>
      </c>
      <c r="BO50" s="360">
        <v>29</v>
      </c>
      <c r="BP50" s="347"/>
      <c r="BQ50" s="347"/>
    </row>
    <row r="51" spans="1:69">
      <c r="A51" s="347"/>
      <c r="B51" s="350">
        <v>0.66666666666666663</v>
      </c>
      <c r="C51" s="144">
        <v>6</v>
      </c>
      <c r="D51" s="144">
        <v>6</v>
      </c>
      <c r="E51" s="144">
        <v>6</v>
      </c>
      <c r="F51" s="144">
        <v>6</v>
      </c>
      <c r="G51" s="143">
        <v>8</v>
      </c>
      <c r="H51" s="57">
        <v>9</v>
      </c>
      <c r="I51" s="136">
        <v>7</v>
      </c>
      <c r="J51" s="57">
        <v>9</v>
      </c>
      <c r="K51" s="143">
        <v>8</v>
      </c>
      <c r="L51" s="144">
        <v>6</v>
      </c>
      <c r="M51" s="56">
        <v>5</v>
      </c>
      <c r="N51" s="143">
        <v>8</v>
      </c>
      <c r="O51" s="143">
        <v>8</v>
      </c>
      <c r="P51" s="136">
        <v>7</v>
      </c>
      <c r="Q51" s="57">
        <v>9</v>
      </c>
      <c r="R51" s="136">
        <v>7</v>
      </c>
      <c r="S51" s="144">
        <v>6</v>
      </c>
      <c r="T51" s="56">
        <v>5</v>
      </c>
      <c r="U51" s="136">
        <v>7</v>
      </c>
      <c r="V51" s="302">
        <v>7</v>
      </c>
      <c r="W51" s="222">
        <v>8</v>
      </c>
      <c r="X51" s="319">
        <v>9</v>
      </c>
      <c r="Y51" s="222">
        <v>8</v>
      </c>
      <c r="Z51" s="221">
        <v>6</v>
      </c>
      <c r="AA51" s="167">
        <v>7</v>
      </c>
      <c r="AB51" s="319">
        <v>9</v>
      </c>
      <c r="AC51" s="222">
        <v>8</v>
      </c>
      <c r="AD51" s="222">
        <v>8</v>
      </c>
      <c r="AE51" s="310">
        <v>10</v>
      </c>
      <c r="AF51" s="222">
        <v>8</v>
      </c>
      <c r="AG51" s="223">
        <v>5</v>
      </c>
      <c r="AH51" s="347"/>
      <c r="AI51" s="347"/>
      <c r="AJ51" s="351">
        <v>0.66666666666666663</v>
      </c>
      <c r="AK51" s="360">
        <v>49</v>
      </c>
      <c r="AL51" s="360">
        <v>29</v>
      </c>
      <c r="AM51" s="360">
        <v>32</v>
      </c>
      <c r="AN51" s="360">
        <v>24</v>
      </c>
      <c r="AO51" s="360">
        <v>47</v>
      </c>
      <c r="AP51" s="360">
        <v>45</v>
      </c>
      <c r="AQ51" s="360">
        <v>47</v>
      </c>
      <c r="AR51" s="360">
        <v>49</v>
      </c>
      <c r="AS51" s="360">
        <v>38</v>
      </c>
      <c r="AT51" s="360">
        <v>29</v>
      </c>
      <c r="AU51" s="360">
        <v>23</v>
      </c>
      <c r="AV51" s="360">
        <v>47</v>
      </c>
      <c r="AW51" s="360">
        <v>45</v>
      </c>
      <c r="AX51" s="360">
        <v>47</v>
      </c>
      <c r="AY51" s="360">
        <v>49</v>
      </c>
      <c r="AZ51" s="360">
        <v>40</v>
      </c>
      <c r="BA51" s="360">
        <v>29</v>
      </c>
      <c r="BB51" s="360">
        <v>24</v>
      </c>
      <c r="BC51" s="360">
        <v>47</v>
      </c>
      <c r="BD51" s="360">
        <v>43</v>
      </c>
      <c r="BE51" s="360">
        <v>47</v>
      </c>
      <c r="BF51" s="360">
        <v>49</v>
      </c>
      <c r="BG51" s="360">
        <v>40</v>
      </c>
      <c r="BH51" s="360">
        <v>32</v>
      </c>
      <c r="BI51" s="360">
        <v>23</v>
      </c>
      <c r="BJ51" s="360">
        <v>47</v>
      </c>
      <c r="BK51" s="360">
        <v>45</v>
      </c>
      <c r="BL51" s="360">
        <v>47</v>
      </c>
      <c r="BM51" s="360">
        <v>49</v>
      </c>
      <c r="BN51" s="360">
        <v>40</v>
      </c>
      <c r="BO51" s="360">
        <v>29</v>
      </c>
      <c r="BP51" s="347"/>
      <c r="BQ51" s="347"/>
    </row>
    <row r="52" spans="1:69">
      <c r="A52" s="347"/>
      <c r="B52" s="350">
        <v>0.70833333333333337</v>
      </c>
      <c r="C52" s="144">
        <v>6</v>
      </c>
      <c r="D52" s="56">
        <v>5</v>
      </c>
      <c r="E52" s="144">
        <v>6</v>
      </c>
      <c r="F52" s="144">
        <v>6</v>
      </c>
      <c r="G52" s="143">
        <v>8</v>
      </c>
      <c r="H52" s="57">
        <v>9</v>
      </c>
      <c r="I52" s="136">
        <v>7</v>
      </c>
      <c r="J52" s="57">
        <v>9</v>
      </c>
      <c r="K52" s="144">
        <v>6</v>
      </c>
      <c r="L52" s="56">
        <v>5</v>
      </c>
      <c r="M52" s="144">
        <v>6</v>
      </c>
      <c r="N52" s="143">
        <v>8</v>
      </c>
      <c r="O52" s="143">
        <v>8</v>
      </c>
      <c r="P52" s="136">
        <v>7</v>
      </c>
      <c r="Q52" s="57">
        <v>9</v>
      </c>
      <c r="R52" s="144">
        <v>6</v>
      </c>
      <c r="S52" s="56">
        <v>5</v>
      </c>
      <c r="T52" s="56">
        <v>5</v>
      </c>
      <c r="U52" s="136">
        <v>7</v>
      </c>
      <c r="V52" s="300">
        <v>9</v>
      </c>
      <c r="W52" s="319">
        <v>9</v>
      </c>
      <c r="X52" s="167">
        <v>7</v>
      </c>
      <c r="Y52" s="167">
        <v>7</v>
      </c>
      <c r="Z52" s="222">
        <v>8</v>
      </c>
      <c r="AA52" s="167">
        <v>7</v>
      </c>
      <c r="AB52" s="310">
        <v>10</v>
      </c>
      <c r="AC52" s="319">
        <v>9</v>
      </c>
      <c r="AD52" s="319">
        <v>9</v>
      </c>
      <c r="AE52" s="319">
        <v>9</v>
      </c>
      <c r="AF52" s="167">
        <v>7</v>
      </c>
      <c r="AG52" s="221">
        <v>6</v>
      </c>
      <c r="AH52" s="347"/>
      <c r="AI52" s="347"/>
      <c r="AJ52" s="351">
        <v>0.70833333333333337</v>
      </c>
      <c r="AK52" s="360">
        <v>47</v>
      </c>
      <c r="AL52" s="360">
        <v>29</v>
      </c>
      <c r="AM52" s="360">
        <v>32</v>
      </c>
      <c r="AN52" s="360">
        <v>21</v>
      </c>
      <c r="AO52" s="360">
        <v>46</v>
      </c>
      <c r="AP52" s="360">
        <v>43</v>
      </c>
      <c r="AQ52" s="360">
        <v>45</v>
      </c>
      <c r="AR52" s="360">
        <v>47</v>
      </c>
      <c r="AS52" s="360">
        <v>36</v>
      </c>
      <c r="AT52" s="360">
        <v>27</v>
      </c>
      <c r="AU52" s="360">
        <v>23</v>
      </c>
      <c r="AV52" s="360">
        <v>46</v>
      </c>
      <c r="AW52" s="360">
        <v>43</v>
      </c>
      <c r="AX52" s="360">
        <v>45</v>
      </c>
      <c r="AY52" s="360">
        <v>47</v>
      </c>
      <c r="AZ52" s="360">
        <v>38</v>
      </c>
      <c r="BA52" s="360">
        <v>29</v>
      </c>
      <c r="BB52" s="360">
        <v>24</v>
      </c>
      <c r="BC52" s="360">
        <v>47</v>
      </c>
      <c r="BD52" s="360">
        <v>41</v>
      </c>
      <c r="BE52" s="360">
        <v>45</v>
      </c>
      <c r="BF52" s="360">
        <v>47</v>
      </c>
      <c r="BG52" s="360">
        <v>38</v>
      </c>
      <c r="BH52" s="360">
        <v>34</v>
      </c>
      <c r="BI52" s="360">
        <v>27</v>
      </c>
      <c r="BJ52" s="360">
        <v>46</v>
      </c>
      <c r="BK52" s="360">
        <v>43</v>
      </c>
      <c r="BL52" s="360">
        <v>45</v>
      </c>
      <c r="BM52" s="360">
        <v>47</v>
      </c>
      <c r="BN52" s="360">
        <v>38</v>
      </c>
      <c r="BO52" s="360">
        <v>29</v>
      </c>
      <c r="BP52" s="347"/>
      <c r="BQ52" s="347"/>
    </row>
    <row r="53" spans="1:69">
      <c r="A53" s="347"/>
      <c r="B53" s="350">
        <v>0.75</v>
      </c>
      <c r="C53" s="144">
        <v>6</v>
      </c>
      <c r="D53" s="56">
        <v>5</v>
      </c>
      <c r="E53" s="144">
        <v>6</v>
      </c>
      <c r="F53" s="144">
        <v>6</v>
      </c>
      <c r="G53" s="143">
        <v>8</v>
      </c>
      <c r="H53" s="57">
        <v>9</v>
      </c>
      <c r="I53" s="143">
        <v>8</v>
      </c>
      <c r="J53" s="57">
        <v>9</v>
      </c>
      <c r="K53" s="144">
        <v>6</v>
      </c>
      <c r="L53" s="56">
        <v>5</v>
      </c>
      <c r="M53" s="144">
        <v>6</v>
      </c>
      <c r="N53" s="143">
        <v>8</v>
      </c>
      <c r="O53" s="143">
        <v>8</v>
      </c>
      <c r="P53" s="136">
        <v>7</v>
      </c>
      <c r="Q53" s="57">
        <v>9</v>
      </c>
      <c r="R53" s="144">
        <v>6</v>
      </c>
      <c r="S53" s="56">
        <v>5</v>
      </c>
      <c r="T53" s="56">
        <v>5</v>
      </c>
      <c r="U53" s="136">
        <v>7</v>
      </c>
      <c r="V53" s="300">
        <v>8</v>
      </c>
      <c r="W53" s="319">
        <v>9</v>
      </c>
      <c r="X53" s="222">
        <v>8</v>
      </c>
      <c r="Y53" s="222">
        <v>8</v>
      </c>
      <c r="Z53" s="167">
        <v>7</v>
      </c>
      <c r="AA53" s="167">
        <v>7</v>
      </c>
      <c r="AB53" s="319">
        <v>9</v>
      </c>
      <c r="AC53" s="222">
        <v>8</v>
      </c>
      <c r="AD53" s="222">
        <v>8</v>
      </c>
      <c r="AE53" s="319">
        <v>9</v>
      </c>
      <c r="AF53" s="167">
        <v>7</v>
      </c>
      <c r="AG53" s="221">
        <v>6</v>
      </c>
      <c r="AH53" s="353"/>
      <c r="AI53" s="347"/>
      <c r="AJ53" s="351">
        <v>0.75</v>
      </c>
      <c r="AK53" s="360">
        <v>43</v>
      </c>
      <c r="AL53" s="360">
        <v>26</v>
      </c>
      <c r="AM53" s="360">
        <v>29</v>
      </c>
      <c r="AN53" s="360">
        <v>23</v>
      </c>
      <c r="AO53" s="360">
        <v>44</v>
      </c>
      <c r="AP53" s="360">
        <v>45</v>
      </c>
      <c r="AQ53" s="360">
        <v>44</v>
      </c>
      <c r="AR53" s="360">
        <v>43</v>
      </c>
      <c r="AS53" s="360">
        <v>39</v>
      </c>
      <c r="AT53" s="360">
        <v>29</v>
      </c>
      <c r="AU53" s="360">
        <v>22</v>
      </c>
      <c r="AV53" s="360">
        <v>44</v>
      </c>
      <c r="AW53" s="360">
        <v>45</v>
      </c>
      <c r="AX53" s="360">
        <v>44</v>
      </c>
      <c r="AY53" s="360">
        <v>43</v>
      </c>
      <c r="AZ53" s="360">
        <v>37</v>
      </c>
      <c r="BA53" s="360">
        <v>26</v>
      </c>
      <c r="BB53" s="360">
        <v>23</v>
      </c>
      <c r="BC53" s="360">
        <v>45</v>
      </c>
      <c r="BD53" s="360">
        <v>37</v>
      </c>
      <c r="BE53" s="360">
        <v>44</v>
      </c>
      <c r="BF53" s="360">
        <v>43</v>
      </c>
      <c r="BG53" s="360">
        <v>37</v>
      </c>
      <c r="BH53" s="360">
        <v>31</v>
      </c>
      <c r="BI53" s="360">
        <v>26</v>
      </c>
      <c r="BJ53" s="360">
        <v>44</v>
      </c>
      <c r="BK53" s="360">
        <v>45</v>
      </c>
      <c r="BL53" s="360">
        <v>44</v>
      </c>
      <c r="BM53" s="360">
        <v>43</v>
      </c>
      <c r="BN53" s="360">
        <v>37</v>
      </c>
      <c r="BO53" s="360">
        <v>26</v>
      </c>
      <c r="BP53" s="347"/>
      <c r="BQ53" s="353"/>
    </row>
    <row r="54" spans="1:69">
      <c r="A54" s="347"/>
      <c r="B54" s="350">
        <v>0.79166666666666663</v>
      </c>
      <c r="C54" s="144">
        <v>6</v>
      </c>
      <c r="D54" s="56">
        <v>5</v>
      </c>
      <c r="E54" s="56">
        <v>5</v>
      </c>
      <c r="F54" s="144">
        <v>6</v>
      </c>
      <c r="G54" s="143">
        <v>8</v>
      </c>
      <c r="H54" s="136">
        <v>7</v>
      </c>
      <c r="I54" s="144">
        <v>6</v>
      </c>
      <c r="J54" s="144">
        <v>6</v>
      </c>
      <c r="K54" s="56">
        <v>5</v>
      </c>
      <c r="L54" s="56">
        <v>5</v>
      </c>
      <c r="M54" s="144">
        <v>6</v>
      </c>
      <c r="N54" s="143">
        <v>8</v>
      </c>
      <c r="O54" s="144">
        <v>6</v>
      </c>
      <c r="P54" s="144">
        <v>6</v>
      </c>
      <c r="Q54" s="144">
        <v>6</v>
      </c>
      <c r="R54" s="56">
        <v>5</v>
      </c>
      <c r="S54" s="56">
        <v>5</v>
      </c>
      <c r="T54" s="56">
        <v>5</v>
      </c>
      <c r="U54" s="144">
        <v>6</v>
      </c>
      <c r="V54" s="300">
        <v>8</v>
      </c>
      <c r="W54" s="222">
        <v>8</v>
      </c>
      <c r="X54" s="222">
        <v>8</v>
      </c>
      <c r="Y54" s="167">
        <v>7</v>
      </c>
      <c r="Z54" s="167">
        <v>7</v>
      </c>
      <c r="AA54" s="167">
        <v>7</v>
      </c>
      <c r="AB54" s="319">
        <v>9</v>
      </c>
      <c r="AC54" s="167">
        <v>7</v>
      </c>
      <c r="AD54" s="167">
        <v>7</v>
      </c>
      <c r="AE54" s="167">
        <v>7</v>
      </c>
      <c r="AF54" s="221">
        <v>6</v>
      </c>
      <c r="AG54" s="221">
        <v>6</v>
      </c>
      <c r="AH54" s="353"/>
      <c r="AI54" s="347"/>
      <c r="AJ54" s="351">
        <v>0.79166666666666663</v>
      </c>
      <c r="AK54" s="360">
        <v>38</v>
      </c>
      <c r="AL54" s="360">
        <v>23</v>
      </c>
      <c r="AM54" s="360">
        <v>24</v>
      </c>
      <c r="AN54" s="360">
        <v>20</v>
      </c>
      <c r="AO54" s="360">
        <v>42</v>
      </c>
      <c r="AP54" s="360">
        <v>38</v>
      </c>
      <c r="AQ54" s="360">
        <v>39</v>
      </c>
      <c r="AR54" s="360">
        <v>38</v>
      </c>
      <c r="AS54" s="360">
        <v>32</v>
      </c>
      <c r="AT54" s="360">
        <v>24</v>
      </c>
      <c r="AU54" s="360">
        <v>22</v>
      </c>
      <c r="AV54" s="360">
        <v>42</v>
      </c>
      <c r="AW54" s="360">
        <v>38</v>
      </c>
      <c r="AX54" s="360">
        <v>39</v>
      </c>
      <c r="AY54" s="360">
        <v>38</v>
      </c>
      <c r="AZ54" s="360">
        <v>32</v>
      </c>
      <c r="BA54" s="360">
        <v>23</v>
      </c>
      <c r="BB54" s="360">
        <v>19</v>
      </c>
      <c r="BC54" s="360">
        <v>38</v>
      </c>
      <c r="BD54" s="360">
        <v>36</v>
      </c>
      <c r="BE54" s="360">
        <v>39</v>
      </c>
      <c r="BF54" s="360">
        <v>38</v>
      </c>
      <c r="BG54" s="360">
        <v>32</v>
      </c>
      <c r="BH54" s="360">
        <v>29</v>
      </c>
      <c r="BI54" s="360">
        <v>22</v>
      </c>
      <c r="BJ54" s="360">
        <v>42</v>
      </c>
      <c r="BK54" s="360">
        <v>38</v>
      </c>
      <c r="BL54" s="360">
        <v>39</v>
      </c>
      <c r="BM54" s="360">
        <v>38</v>
      </c>
      <c r="BN54" s="360">
        <v>32</v>
      </c>
      <c r="BO54" s="360">
        <v>23</v>
      </c>
      <c r="BP54" s="347"/>
      <c r="BQ54" s="353"/>
    </row>
    <row r="55" spans="1:69">
      <c r="A55" s="347"/>
      <c r="B55" s="350">
        <v>0.83333333333333337</v>
      </c>
      <c r="C55" s="56">
        <v>5</v>
      </c>
      <c r="D55" s="242">
        <v>4</v>
      </c>
      <c r="E55" s="56">
        <v>5</v>
      </c>
      <c r="F55" s="234">
        <v>3</v>
      </c>
      <c r="G55" s="144">
        <v>6</v>
      </c>
      <c r="H55" s="144">
        <v>6</v>
      </c>
      <c r="I55" s="56">
        <v>5</v>
      </c>
      <c r="J55" s="56">
        <v>5</v>
      </c>
      <c r="K55" s="56">
        <v>5</v>
      </c>
      <c r="L55" s="242">
        <v>4</v>
      </c>
      <c r="M55" s="56">
        <v>5</v>
      </c>
      <c r="N55" s="144">
        <v>6</v>
      </c>
      <c r="O55" s="56">
        <v>5</v>
      </c>
      <c r="P55" s="56">
        <v>5</v>
      </c>
      <c r="Q55" s="56">
        <v>5</v>
      </c>
      <c r="R55" s="56">
        <v>5</v>
      </c>
      <c r="S55" s="242">
        <v>4</v>
      </c>
      <c r="T55" s="242">
        <v>4</v>
      </c>
      <c r="U55" s="56">
        <v>5</v>
      </c>
      <c r="V55" s="299">
        <v>7</v>
      </c>
      <c r="W55" s="167">
        <v>7</v>
      </c>
      <c r="X55" s="167">
        <v>7</v>
      </c>
      <c r="Y55" s="167">
        <v>7</v>
      </c>
      <c r="Z55" s="221">
        <v>6</v>
      </c>
      <c r="AA55" s="221">
        <v>6</v>
      </c>
      <c r="AB55" s="222">
        <v>8</v>
      </c>
      <c r="AC55" s="167">
        <v>7</v>
      </c>
      <c r="AD55" s="167">
        <v>7</v>
      </c>
      <c r="AE55" s="167">
        <v>7</v>
      </c>
      <c r="AF55" s="167">
        <v>7</v>
      </c>
      <c r="AG55" s="221">
        <v>6</v>
      </c>
      <c r="AH55" s="353"/>
      <c r="AI55" s="347"/>
      <c r="AJ55" s="351">
        <v>0.83333333333333337</v>
      </c>
      <c r="AK55" s="360">
        <v>32</v>
      </c>
      <c r="AL55" s="360">
        <v>21</v>
      </c>
      <c r="AM55" s="360">
        <v>24</v>
      </c>
      <c r="AN55" s="360">
        <v>16</v>
      </c>
      <c r="AO55" s="360">
        <v>37</v>
      </c>
      <c r="AP55" s="360">
        <v>32</v>
      </c>
      <c r="AQ55" s="360">
        <v>32</v>
      </c>
      <c r="AR55" s="360">
        <v>32</v>
      </c>
      <c r="AS55" s="360">
        <v>28</v>
      </c>
      <c r="AT55" s="360">
        <v>21</v>
      </c>
      <c r="AU55" s="360">
        <v>19</v>
      </c>
      <c r="AV55" s="360">
        <v>37</v>
      </c>
      <c r="AW55" s="360">
        <v>32</v>
      </c>
      <c r="AX55" s="360">
        <v>32</v>
      </c>
      <c r="AY55" s="360">
        <v>32</v>
      </c>
      <c r="AZ55" s="360">
        <v>27</v>
      </c>
      <c r="BA55" s="360">
        <v>21</v>
      </c>
      <c r="BB55" s="360">
        <v>16</v>
      </c>
      <c r="BC55" s="360">
        <v>31</v>
      </c>
      <c r="BD55" s="360">
        <v>31</v>
      </c>
      <c r="BE55" s="360">
        <v>32</v>
      </c>
      <c r="BF55" s="360">
        <v>32</v>
      </c>
      <c r="BG55" s="360">
        <v>27</v>
      </c>
      <c r="BH55" s="360">
        <v>20</v>
      </c>
      <c r="BI55" s="360">
        <v>19</v>
      </c>
      <c r="BJ55" s="360">
        <v>37</v>
      </c>
      <c r="BK55" s="360">
        <v>32</v>
      </c>
      <c r="BL55" s="360">
        <v>32</v>
      </c>
      <c r="BM55" s="360">
        <v>32</v>
      </c>
      <c r="BN55" s="360">
        <v>27</v>
      </c>
      <c r="BO55" s="360">
        <v>21</v>
      </c>
      <c r="BP55" s="347"/>
      <c r="BQ55" s="353"/>
    </row>
    <row r="56" spans="1:69">
      <c r="A56" s="347"/>
      <c r="B56" s="350">
        <v>0.875</v>
      </c>
      <c r="C56" s="234">
        <v>3</v>
      </c>
      <c r="D56" s="234">
        <v>3</v>
      </c>
      <c r="E56" s="242">
        <v>4</v>
      </c>
      <c r="F56" s="234">
        <v>3</v>
      </c>
      <c r="G56" s="56">
        <v>5</v>
      </c>
      <c r="H56" s="144">
        <v>6</v>
      </c>
      <c r="I56" s="242">
        <v>4</v>
      </c>
      <c r="J56" s="56">
        <v>5</v>
      </c>
      <c r="K56" s="242">
        <v>4</v>
      </c>
      <c r="L56" s="234">
        <v>3</v>
      </c>
      <c r="M56" s="242">
        <v>4</v>
      </c>
      <c r="N56" s="56">
        <v>5</v>
      </c>
      <c r="O56" s="56">
        <v>5</v>
      </c>
      <c r="P56" s="242">
        <v>4</v>
      </c>
      <c r="Q56" s="56">
        <v>5</v>
      </c>
      <c r="R56" s="56">
        <v>5</v>
      </c>
      <c r="S56" s="234">
        <v>3</v>
      </c>
      <c r="T56" s="242">
        <v>4</v>
      </c>
      <c r="U56" s="242">
        <v>4</v>
      </c>
      <c r="V56" s="303">
        <v>6</v>
      </c>
      <c r="W56" s="221">
        <v>6</v>
      </c>
      <c r="X56" s="167">
        <v>7</v>
      </c>
      <c r="Y56" s="223">
        <v>5</v>
      </c>
      <c r="Z56" s="224">
        <v>4</v>
      </c>
      <c r="AA56" s="223">
        <v>5</v>
      </c>
      <c r="AB56" s="167">
        <v>7</v>
      </c>
      <c r="AC56" s="167">
        <v>7</v>
      </c>
      <c r="AD56" s="221">
        <v>6</v>
      </c>
      <c r="AE56" s="167">
        <v>7</v>
      </c>
      <c r="AF56" s="221">
        <v>6</v>
      </c>
      <c r="AG56" s="224">
        <v>4</v>
      </c>
      <c r="AH56" s="353"/>
      <c r="AI56" s="347"/>
      <c r="AJ56" s="351">
        <v>0.875</v>
      </c>
      <c r="AK56" s="360">
        <v>24</v>
      </c>
      <c r="AL56" s="360">
        <v>16</v>
      </c>
      <c r="AM56" s="360">
        <v>18</v>
      </c>
      <c r="AN56" s="360">
        <v>11</v>
      </c>
      <c r="AO56" s="360">
        <v>24</v>
      </c>
      <c r="AP56" s="360">
        <v>24</v>
      </c>
      <c r="AQ56" s="360">
        <v>23</v>
      </c>
      <c r="AR56" s="360">
        <v>24</v>
      </c>
      <c r="AS56" s="360">
        <v>20</v>
      </c>
      <c r="AT56" s="360">
        <v>15</v>
      </c>
      <c r="AU56" s="360">
        <v>13</v>
      </c>
      <c r="AV56" s="360">
        <v>24</v>
      </c>
      <c r="AW56" s="360">
        <v>24</v>
      </c>
      <c r="AX56" s="360">
        <v>23</v>
      </c>
      <c r="AY56" s="360">
        <v>24</v>
      </c>
      <c r="AZ56" s="360">
        <v>21</v>
      </c>
      <c r="BA56" s="360">
        <v>16</v>
      </c>
      <c r="BB56" s="360">
        <v>11</v>
      </c>
      <c r="BC56" s="360">
        <v>21</v>
      </c>
      <c r="BD56" s="360">
        <v>23</v>
      </c>
      <c r="BE56" s="360">
        <v>23</v>
      </c>
      <c r="BF56" s="360">
        <v>24</v>
      </c>
      <c r="BG56" s="360">
        <v>21</v>
      </c>
      <c r="BH56" s="360">
        <v>13</v>
      </c>
      <c r="BI56" s="360">
        <v>11</v>
      </c>
      <c r="BJ56" s="360">
        <v>24</v>
      </c>
      <c r="BK56" s="360">
        <v>24</v>
      </c>
      <c r="BL56" s="360">
        <v>23</v>
      </c>
      <c r="BM56" s="360">
        <v>24</v>
      </c>
      <c r="BN56" s="360">
        <v>21</v>
      </c>
      <c r="BO56" s="360">
        <v>16</v>
      </c>
      <c r="BP56" s="347"/>
      <c r="BQ56" s="353"/>
    </row>
    <row r="57" spans="1:69">
      <c r="A57" s="347"/>
      <c r="B57" s="350">
        <v>0.91666666666666663</v>
      </c>
      <c r="C57" s="234">
        <v>3</v>
      </c>
      <c r="D57" s="234">
        <v>3</v>
      </c>
      <c r="E57" s="234">
        <v>3</v>
      </c>
      <c r="F57" s="12">
        <v>2</v>
      </c>
      <c r="G57" s="234">
        <v>3</v>
      </c>
      <c r="H57" s="234">
        <v>3</v>
      </c>
      <c r="I57" s="242">
        <v>4</v>
      </c>
      <c r="J57" s="234">
        <v>3</v>
      </c>
      <c r="K57" s="234">
        <v>3</v>
      </c>
      <c r="L57" s="234">
        <v>3</v>
      </c>
      <c r="M57" s="234">
        <v>3</v>
      </c>
      <c r="N57" s="234">
        <v>3</v>
      </c>
      <c r="O57" s="234">
        <v>3</v>
      </c>
      <c r="P57" s="242">
        <v>4</v>
      </c>
      <c r="Q57" s="234">
        <v>3</v>
      </c>
      <c r="R57" s="234">
        <v>3</v>
      </c>
      <c r="S57" s="234">
        <v>3</v>
      </c>
      <c r="T57" s="12">
        <v>2</v>
      </c>
      <c r="U57" s="242">
        <v>4</v>
      </c>
      <c r="V57" s="304">
        <v>3</v>
      </c>
      <c r="W57" s="224">
        <v>4</v>
      </c>
      <c r="X57" s="220">
        <v>3</v>
      </c>
      <c r="Y57" s="220">
        <v>3</v>
      </c>
      <c r="Z57" s="220">
        <v>3</v>
      </c>
      <c r="AA57" s="195">
        <v>2</v>
      </c>
      <c r="AB57" s="220">
        <v>3</v>
      </c>
      <c r="AC57" s="220">
        <v>3</v>
      </c>
      <c r="AD57" s="224">
        <v>4</v>
      </c>
      <c r="AE57" s="220">
        <v>3</v>
      </c>
      <c r="AF57" s="220">
        <v>3</v>
      </c>
      <c r="AG57" s="220">
        <v>3</v>
      </c>
      <c r="AH57" s="353"/>
      <c r="AI57" s="347"/>
      <c r="AJ57" s="351">
        <v>0.91666666666666663</v>
      </c>
      <c r="AK57" s="360">
        <v>14</v>
      </c>
      <c r="AL57" s="360">
        <v>10</v>
      </c>
      <c r="AM57" s="360">
        <v>13</v>
      </c>
      <c r="AN57" s="360">
        <v>8</v>
      </c>
      <c r="AO57" s="360">
        <v>15</v>
      </c>
      <c r="AP57" s="360">
        <v>15</v>
      </c>
      <c r="AQ57" s="360">
        <v>17</v>
      </c>
      <c r="AR57" s="360">
        <v>14</v>
      </c>
      <c r="AS57" s="360">
        <v>14</v>
      </c>
      <c r="AT57" s="360">
        <v>10</v>
      </c>
      <c r="AU57" s="360">
        <v>10</v>
      </c>
      <c r="AV57" s="360">
        <v>15</v>
      </c>
      <c r="AW57" s="360">
        <v>15</v>
      </c>
      <c r="AX57" s="360">
        <v>17</v>
      </c>
      <c r="AY57" s="360">
        <v>14</v>
      </c>
      <c r="AZ57" s="360">
        <v>13</v>
      </c>
      <c r="BA57" s="360">
        <v>10</v>
      </c>
      <c r="BB57" s="360">
        <v>9</v>
      </c>
      <c r="BC57" s="360">
        <v>17</v>
      </c>
      <c r="BD57" s="360">
        <v>14</v>
      </c>
      <c r="BE57" s="360">
        <v>17</v>
      </c>
      <c r="BF57" s="360">
        <v>14</v>
      </c>
      <c r="BG57" s="360">
        <v>13</v>
      </c>
      <c r="BH57" s="360">
        <v>11</v>
      </c>
      <c r="BI57" s="360">
        <v>7</v>
      </c>
      <c r="BJ57" s="360">
        <v>15</v>
      </c>
      <c r="BK57" s="360">
        <v>15</v>
      </c>
      <c r="BL57" s="360">
        <v>17</v>
      </c>
      <c r="BM57" s="360">
        <v>14</v>
      </c>
      <c r="BN57" s="360">
        <v>13</v>
      </c>
      <c r="BO57" s="360">
        <v>10</v>
      </c>
      <c r="BP57" s="347"/>
      <c r="BQ57" s="353"/>
    </row>
    <row r="58" spans="1:69">
      <c r="A58" s="347"/>
      <c r="B58" s="350">
        <v>0.95833333333333337</v>
      </c>
      <c r="C58" s="12">
        <v>2</v>
      </c>
      <c r="D58" s="12">
        <v>2</v>
      </c>
      <c r="E58" s="12">
        <v>2</v>
      </c>
      <c r="F58" s="12">
        <v>2</v>
      </c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12">
        <v>2</v>
      </c>
      <c r="N58" s="12">
        <v>2</v>
      </c>
      <c r="O58" s="12">
        <v>2</v>
      </c>
      <c r="P58" s="12">
        <v>2</v>
      </c>
      <c r="Q58" s="12">
        <v>2</v>
      </c>
      <c r="R58" s="12">
        <v>2</v>
      </c>
      <c r="S58" s="12">
        <v>2</v>
      </c>
      <c r="T58" s="12">
        <v>2</v>
      </c>
      <c r="U58" s="12">
        <v>2</v>
      </c>
      <c r="V58" s="298">
        <v>2</v>
      </c>
      <c r="W58" s="195">
        <v>2</v>
      </c>
      <c r="X58" s="195">
        <v>2</v>
      </c>
      <c r="Y58" s="195">
        <v>2</v>
      </c>
      <c r="Z58" s="195">
        <v>2</v>
      </c>
      <c r="AA58" s="195">
        <v>2</v>
      </c>
      <c r="AB58" s="195">
        <v>2</v>
      </c>
      <c r="AC58" s="195">
        <v>2</v>
      </c>
      <c r="AD58" s="195">
        <v>2</v>
      </c>
      <c r="AE58" s="195">
        <v>2</v>
      </c>
      <c r="AF58" s="195">
        <v>2</v>
      </c>
      <c r="AG58" s="195">
        <v>2</v>
      </c>
      <c r="AH58" s="353"/>
      <c r="AI58" s="347"/>
      <c r="AJ58" s="351">
        <v>0.95833333333333337</v>
      </c>
      <c r="AK58" s="360">
        <v>5</v>
      </c>
      <c r="AL58" s="360">
        <v>5</v>
      </c>
      <c r="AM58" s="360">
        <v>6</v>
      </c>
      <c r="AN58" s="360">
        <v>4</v>
      </c>
      <c r="AO58" s="360">
        <v>6</v>
      </c>
      <c r="AP58" s="360">
        <v>5</v>
      </c>
      <c r="AQ58" s="360">
        <v>6</v>
      </c>
      <c r="AR58" s="360">
        <v>5</v>
      </c>
      <c r="AS58" s="360">
        <v>4</v>
      </c>
      <c r="AT58" s="360">
        <v>3</v>
      </c>
      <c r="AU58" s="360">
        <v>4</v>
      </c>
      <c r="AV58" s="360">
        <v>6</v>
      </c>
      <c r="AW58" s="360">
        <v>5</v>
      </c>
      <c r="AX58" s="360">
        <v>6</v>
      </c>
      <c r="AY58" s="360">
        <v>5</v>
      </c>
      <c r="AZ58" s="360">
        <v>7</v>
      </c>
      <c r="BA58" s="360">
        <v>5</v>
      </c>
      <c r="BB58" s="360">
        <v>3</v>
      </c>
      <c r="BC58" s="360">
        <v>6</v>
      </c>
      <c r="BD58" s="360">
        <v>6</v>
      </c>
      <c r="BE58" s="360">
        <v>6</v>
      </c>
      <c r="BF58" s="360">
        <v>5</v>
      </c>
      <c r="BG58" s="360">
        <v>7</v>
      </c>
      <c r="BH58" s="360">
        <v>5</v>
      </c>
      <c r="BI58" s="360">
        <v>3</v>
      </c>
      <c r="BJ58" s="360">
        <v>6</v>
      </c>
      <c r="BK58" s="360">
        <v>5</v>
      </c>
      <c r="BL58" s="360">
        <v>6</v>
      </c>
      <c r="BM58" s="360">
        <v>5</v>
      </c>
      <c r="BN58" s="360">
        <v>7</v>
      </c>
      <c r="BO58" s="360">
        <v>5</v>
      </c>
      <c r="BP58" s="347"/>
      <c r="BQ58" s="353"/>
    </row>
    <row r="59" spans="1:69">
      <c r="A59" s="347"/>
      <c r="B59" s="354" t="s">
        <v>771</v>
      </c>
      <c r="C59" s="354">
        <f t="shared" ref="C59:AG59" si="2">SUM(C35:C58)</f>
        <v>108</v>
      </c>
      <c r="D59" s="354">
        <f t="shared" si="2"/>
        <v>101</v>
      </c>
      <c r="E59" s="354">
        <f t="shared" si="2"/>
        <v>103</v>
      </c>
      <c r="F59" s="354">
        <f t="shared" si="2"/>
        <v>91</v>
      </c>
      <c r="G59" s="354">
        <f t="shared" si="2"/>
        <v>132</v>
      </c>
      <c r="H59" s="354">
        <f t="shared" si="2"/>
        <v>140</v>
      </c>
      <c r="I59" s="354">
        <f t="shared" si="2"/>
        <v>124</v>
      </c>
      <c r="J59" s="354">
        <f t="shared" si="2"/>
        <v>129</v>
      </c>
      <c r="K59" s="354">
        <f t="shared" si="2"/>
        <v>123</v>
      </c>
      <c r="L59" s="354">
        <f t="shared" si="2"/>
        <v>102</v>
      </c>
      <c r="M59" s="354">
        <f t="shared" si="2"/>
        <v>94</v>
      </c>
      <c r="N59" s="354">
        <f t="shared" si="2"/>
        <v>133</v>
      </c>
      <c r="O59" s="354">
        <f t="shared" si="2"/>
        <v>127</v>
      </c>
      <c r="P59" s="354">
        <f t="shared" si="2"/>
        <v>123</v>
      </c>
      <c r="Q59" s="354">
        <f t="shared" si="2"/>
        <v>131</v>
      </c>
      <c r="R59" s="354">
        <f t="shared" si="2"/>
        <v>121</v>
      </c>
      <c r="S59" s="354">
        <f t="shared" si="2"/>
        <v>101</v>
      </c>
      <c r="T59" s="354">
        <f t="shared" si="2"/>
        <v>92</v>
      </c>
      <c r="U59" s="354">
        <f t="shared" si="2"/>
        <v>128</v>
      </c>
      <c r="V59" s="354">
        <f t="shared" si="2"/>
        <v>140</v>
      </c>
      <c r="W59" s="354">
        <f t="shared" si="2"/>
        <v>153</v>
      </c>
      <c r="X59" s="354">
        <f t="shared" si="2"/>
        <v>146</v>
      </c>
      <c r="Y59" s="354">
        <f t="shared" si="2"/>
        <v>139</v>
      </c>
      <c r="Z59" s="354">
        <f t="shared" si="2"/>
        <v>121</v>
      </c>
      <c r="AA59" s="354">
        <f t="shared" si="2"/>
        <v>113</v>
      </c>
      <c r="AB59" s="354">
        <f t="shared" si="2"/>
        <v>162</v>
      </c>
      <c r="AC59" s="354">
        <f t="shared" si="2"/>
        <v>152</v>
      </c>
      <c r="AD59" s="354">
        <f t="shared" si="2"/>
        <v>152</v>
      </c>
      <c r="AE59" s="354">
        <f t="shared" si="2"/>
        <v>148</v>
      </c>
      <c r="AF59" s="354">
        <f t="shared" si="2"/>
        <v>136</v>
      </c>
      <c r="AG59" s="354">
        <f t="shared" si="2"/>
        <v>114</v>
      </c>
      <c r="AH59" s="356">
        <f>SUM(C59:AG59)</f>
        <v>3879</v>
      </c>
      <c r="AI59" s="347"/>
      <c r="AJ59" s="361"/>
      <c r="AK59" s="354">
        <v>721</v>
      </c>
      <c r="AL59" s="354">
        <v>485</v>
      </c>
      <c r="AM59" s="354">
        <v>505</v>
      </c>
      <c r="AN59" s="354">
        <v>384</v>
      </c>
      <c r="AO59" s="354">
        <v>718</v>
      </c>
      <c r="AP59" s="354">
        <v>707</v>
      </c>
      <c r="AQ59" s="354">
        <v>725</v>
      </c>
      <c r="AR59" s="354">
        <v>721</v>
      </c>
      <c r="AS59" s="354">
        <v>681</v>
      </c>
      <c r="AT59" s="354">
        <v>511</v>
      </c>
      <c r="AU59" s="354">
        <v>370</v>
      </c>
      <c r="AV59" s="354">
        <v>718</v>
      </c>
      <c r="AW59" s="354">
        <v>707</v>
      </c>
      <c r="AX59" s="354">
        <v>725</v>
      </c>
      <c r="AY59" s="354">
        <v>721</v>
      </c>
      <c r="AZ59" s="354">
        <v>669</v>
      </c>
      <c r="BA59" s="354">
        <v>485</v>
      </c>
      <c r="BB59" s="354">
        <v>374</v>
      </c>
      <c r="BC59" s="354">
        <v>731</v>
      </c>
      <c r="BD59" s="354">
        <v>727</v>
      </c>
      <c r="BE59" s="354">
        <v>725</v>
      </c>
      <c r="BF59" s="354">
        <v>721</v>
      </c>
      <c r="BG59" s="354">
        <v>669</v>
      </c>
      <c r="BH59" s="354">
        <v>491</v>
      </c>
      <c r="BI59" s="354">
        <v>369</v>
      </c>
      <c r="BJ59" s="354">
        <v>718</v>
      </c>
      <c r="BK59" s="354">
        <v>707</v>
      </c>
      <c r="BL59" s="354">
        <v>725</v>
      </c>
      <c r="BM59" s="354">
        <v>721</v>
      </c>
      <c r="BN59" s="354">
        <v>669</v>
      </c>
      <c r="BO59" s="354">
        <v>485</v>
      </c>
      <c r="BP59" s="356">
        <v>19.385000000000002</v>
      </c>
      <c r="BQ59" s="353"/>
    </row>
    <row r="60" spans="1:69">
      <c r="A60" s="347"/>
      <c r="B60" s="347"/>
      <c r="C60" s="347"/>
      <c r="D60" s="347"/>
      <c r="E60" s="347"/>
      <c r="F60" s="347"/>
      <c r="G60" s="347"/>
      <c r="H60" s="347"/>
      <c r="I60" s="347"/>
      <c r="J60" s="347"/>
      <c r="K60" s="347">
        <v>15</v>
      </c>
      <c r="L60" s="347">
        <v>10</v>
      </c>
      <c r="M60" s="347">
        <v>9</v>
      </c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  <c r="AA60" s="347"/>
      <c r="AB60" s="347"/>
      <c r="AC60" s="347"/>
      <c r="AD60" s="347"/>
      <c r="AE60" s="347"/>
      <c r="AF60" s="347"/>
      <c r="AG60" s="347"/>
      <c r="AH60" s="347"/>
      <c r="AI60" s="347"/>
      <c r="AJ60" s="347"/>
      <c r="AK60" s="347"/>
      <c r="AL60" s="347"/>
      <c r="AM60" s="347"/>
      <c r="AN60" s="347"/>
      <c r="AO60" s="347"/>
      <c r="AP60" s="347"/>
      <c r="AQ60" s="347"/>
      <c r="AR60" s="347"/>
      <c r="AS60" s="347"/>
      <c r="AT60" s="347"/>
      <c r="AU60" s="347"/>
      <c r="AV60" s="347"/>
      <c r="AW60" s="347"/>
      <c r="AX60" s="347"/>
      <c r="AY60" s="347"/>
      <c r="AZ60" s="347"/>
      <c r="BA60" s="347"/>
      <c r="BB60" s="347"/>
      <c r="BC60" s="347"/>
      <c r="BD60" s="347"/>
      <c r="BE60" s="347"/>
      <c r="BF60" s="347"/>
      <c r="BG60" s="347"/>
      <c r="BH60" s="347"/>
      <c r="BI60" s="347"/>
      <c r="BJ60" s="347"/>
      <c r="BK60" s="347"/>
      <c r="BL60" s="347"/>
      <c r="BM60" s="347"/>
      <c r="BN60" s="347"/>
      <c r="BO60" s="347"/>
      <c r="BP60" s="347"/>
      <c r="BQ60" s="347"/>
    </row>
    <row r="61" spans="1:69">
      <c r="A61" s="347"/>
      <c r="B61" s="347"/>
      <c r="C61" s="347"/>
      <c r="D61" s="347"/>
      <c r="E61" s="347"/>
      <c r="F61" s="347"/>
      <c r="G61" s="347"/>
      <c r="H61" s="347"/>
      <c r="I61" s="347"/>
      <c r="J61" s="347"/>
      <c r="K61" s="347">
        <v>2</v>
      </c>
      <c r="L61" s="347">
        <v>7</v>
      </c>
      <c r="M61" s="347">
        <v>8</v>
      </c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347"/>
      <c r="AB61" s="347"/>
      <c r="AC61" s="347"/>
      <c r="AD61" s="347"/>
      <c r="AE61" s="347"/>
      <c r="AF61" s="347"/>
      <c r="AG61" s="347"/>
      <c r="AH61" s="347"/>
      <c r="AI61" s="347"/>
      <c r="AJ61" s="347"/>
      <c r="AK61" s="347"/>
      <c r="AL61" s="347"/>
      <c r="AM61" s="347"/>
      <c r="AN61" s="347"/>
      <c r="AO61" s="347"/>
      <c r="AP61" s="347"/>
      <c r="AQ61" s="347"/>
      <c r="AR61" s="347"/>
      <c r="AS61" s="347"/>
      <c r="AT61" s="347"/>
      <c r="AU61" s="347"/>
      <c r="AV61" s="347"/>
      <c r="AW61" s="347"/>
      <c r="AX61" s="347"/>
      <c r="AY61" s="347"/>
      <c r="AZ61" s="347"/>
      <c r="BA61" s="347"/>
      <c r="BB61" s="347"/>
      <c r="BC61" s="347"/>
      <c r="BD61" s="347"/>
      <c r="BE61" s="347"/>
      <c r="BF61" s="347"/>
      <c r="BG61" s="347"/>
      <c r="BH61" s="347"/>
      <c r="BI61" s="347"/>
      <c r="BJ61" s="347"/>
      <c r="BK61" s="347"/>
      <c r="BL61" s="347"/>
      <c r="BM61" s="347"/>
      <c r="BN61" s="347"/>
      <c r="BO61" s="347"/>
      <c r="BP61" s="347"/>
      <c r="BQ61" s="347"/>
    </row>
    <row r="62" spans="1:69">
      <c r="A62" s="347"/>
      <c r="B62" s="347"/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  <c r="AA62" s="347"/>
      <c r="AB62" s="347"/>
      <c r="AC62" s="347"/>
      <c r="AD62" s="347"/>
      <c r="AE62" s="347"/>
      <c r="AF62" s="347"/>
      <c r="AG62" s="347"/>
      <c r="AH62" s="347"/>
      <c r="AI62" s="347"/>
      <c r="AJ62" s="347"/>
      <c r="AK62" s="347"/>
      <c r="AL62" s="347"/>
      <c r="AM62" s="347"/>
      <c r="AN62" s="347"/>
      <c r="AO62" s="347"/>
      <c r="AP62" s="347"/>
      <c r="AQ62" s="347"/>
      <c r="AR62" s="347"/>
      <c r="AS62" s="347"/>
      <c r="AT62" s="347"/>
      <c r="AU62" s="347"/>
      <c r="AV62" s="347"/>
      <c r="AW62" s="347"/>
      <c r="AX62" s="347"/>
      <c r="AY62" s="347"/>
      <c r="AZ62" s="347"/>
      <c r="BA62" s="347"/>
      <c r="BB62" s="347"/>
      <c r="BC62" s="347"/>
      <c r="BD62" s="347"/>
      <c r="BE62" s="347"/>
      <c r="BF62" s="347"/>
      <c r="BG62" s="347"/>
      <c r="BH62" s="347"/>
      <c r="BI62" s="347"/>
      <c r="BJ62" s="347"/>
      <c r="BK62" s="347"/>
      <c r="BL62" s="347"/>
      <c r="BM62" s="347"/>
      <c r="BN62" s="347"/>
      <c r="BO62" s="347"/>
      <c r="BP62" s="347"/>
      <c r="BQ62" s="347"/>
    </row>
    <row r="63" spans="1:69">
      <c r="A63" s="347"/>
      <c r="B63" s="358" t="s">
        <v>187</v>
      </c>
      <c r="C63" s="348">
        <v>45658</v>
      </c>
      <c r="D63" s="348">
        <v>45659</v>
      </c>
      <c r="E63" s="348">
        <v>45660</v>
      </c>
      <c r="F63" s="348">
        <v>45661</v>
      </c>
      <c r="G63" s="348">
        <v>45662</v>
      </c>
      <c r="H63" s="348">
        <v>45663</v>
      </c>
      <c r="I63" s="348">
        <v>45664</v>
      </c>
      <c r="J63" s="348">
        <v>45665</v>
      </c>
      <c r="K63" s="348">
        <v>45666</v>
      </c>
      <c r="L63" s="348">
        <v>45667</v>
      </c>
      <c r="M63" s="348">
        <v>45668</v>
      </c>
      <c r="N63" s="348">
        <v>45669</v>
      </c>
      <c r="O63" s="348">
        <v>45670</v>
      </c>
      <c r="P63" s="348">
        <v>45671</v>
      </c>
      <c r="Q63" s="348">
        <v>45672</v>
      </c>
      <c r="R63" s="348">
        <v>45673</v>
      </c>
      <c r="S63" s="348">
        <v>45674</v>
      </c>
      <c r="T63" s="348">
        <v>45675</v>
      </c>
      <c r="U63" s="348">
        <v>45676</v>
      </c>
      <c r="V63" s="348">
        <v>45677</v>
      </c>
      <c r="W63" s="348">
        <v>45678</v>
      </c>
      <c r="X63" s="348">
        <v>45679</v>
      </c>
      <c r="Y63" s="348">
        <v>45680</v>
      </c>
      <c r="Z63" s="348">
        <v>45681</v>
      </c>
      <c r="AA63" s="348">
        <v>45682</v>
      </c>
      <c r="AB63" s="348">
        <v>45683</v>
      </c>
      <c r="AC63" s="348">
        <v>45684</v>
      </c>
      <c r="AD63" s="348">
        <v>45685</v>
      </c>
      <c r="AE63" s="348">
        <v>45686</v>
      </c>
      <c r="AF63" s="348">
        <v>45687</v>
      </c>
      <c r="AG63" s="348">
        <v>45688</v>
      </c>
      <c r="AH63" s="347"/>
      <c r="AI63" s="347"/>
      <c r="AJ63" s="347"/>
      <c r="AK63" s="347"/>
      <c r="AL63" s="347"/>
      <c r="AM63" s="347"/>
      <c r="AN63" s="347"/>
      <c r="AO63" s="347"/>
      <c r="AP63" s="347"/>
      <c r="AQ63" s="347"/>
      <c r="AR63" s="347"/>
      <c r="AS63" s="347"/>
      <c r="AT63" s="347"/>
      <c r="AU63" s="347"/>
      <c r="AV63" s="347"/>
      <c r="AW63" s="347"/>
      <c r="AX63" s="347"/>
      <c r="AY63" s="347"/>
      <c r="AZ63" s="347"/>
      <c r="BA63" s="347"/>
      <c r="BB63" s="347"/>
      <c r="BC63" s="347"/>
      <c r="BD63" s="347"/>
      <c r="BE63" s="347"/>
      <c r="BF63" s="347"/>
      <c r="BG63" s="347"/>
      <c r="BH63" s="347"/>
      <c r="BI63" s="347"/>
      <c r="BJ63" s="347"/>
      <c r="BK63" s="347"/>
      <c r="BL63" s="347"/>
      <c r="BM63" s="347"/>
      <c r="BN63" s="347"/>
      <c r="BO63" s="347"/>
      <c r="BP63" s="347"/>
      <c r="BQ63" s="347"/>
    </row>
    <row r="64" spans="1:69">
      <c r="A64" s="347"/>
      <c r="B64" s="359"/>
      <c r="C64" s="349" t="s">
        <v>764</v>
      </c>
      <c r="D64" s="349" t="s">
        <v>765</v>
      </c>
      <c r="E64" s="349" t="s">
        <v>766</v>
      </c>
      <c r="F64" s="349" t="s">
        <v>767</v>
      </c>
      <c r="G64" s="349" t="s">
        <v>768</v>
      </c>
      <c r="H64" s="349" t="s">
        <v>769</v>
      </c>
      <c r="I64" s="349" t="s">
        <v>770</v>
      </c>
      <c r="J64" s="349" t="s">
        <v>764</v>
      </c>
      <c r="K64" s="349" t="s">
        <v>765</v>
      </c>
      <c r="L64" s="349" t="s">
        <v>766</v>
      </c>
      <c r="M64" s="349" t="s">
        <v>767</v>
      </c>
      <c r="N64" s="349" t="s">
        <v>768</v>
      </c>
      <c r="O64" s="349" t="s">
        <v>769</v>
      </c>
      <c r="P64" s="349" t="s">
        <v>770</v>
      </c>
      <c r="Q64" s="349" t="s">
        <v>764</v>
      </c>
      <c r="R64" s="349" t="s">
        <v>765</v>
      </c>
      <c r="S64" s="349" t="s">
        <v>766</v>
      </c>
      <c r="T64" s="349" t="s">
        <v>767</v>
      </c>
      <c r="U64" s="349" t="s">
        <v>768</v>
      </c>
      <c r="V64" s="349" t="s">
        <v>769</v>
      </c>
      <c r="W64" s="349" t="s">
        <v>770</v>
      </c>
      <c r="X64" s="349" t="s">
        <v>764</v>
      </c>
      <c r="Y64" s="349" t="s">
        <v>765</v>
      </c>
      <c r="Z64" s="349" t="s">
        <v>766</v>
      </c>
      <c r="AA64" s="349" t="s">
        <v>767</v>
      </c>
      <c r="AB64" s="349" t="s">
        <v>768</v>
      </c>
      <c r="AC64" s="349" t="s">
        <v>769</v>
      </c>
      <c r="AD64" s="349" t="s">
        <v>770</v>
      </c>
      <c r="AE64" s="349" t="s">
        <v>764</v>
      </c>
      <c r="AF64" s="349" t="s">
        <v>765</v>
      </c>
      <c r="AG64" s="349" t="s">
        <v>766</v>
      </c>
      <c r="AH64" s="347"/>
      <c r="AI64" s="347"/>
      <c r="AJ64" s="347"/>
      <c r="AK64" s="347"/>
      <c r="AL64" s="347"/>
      <c r="AM64" s="347"/>
      <c r="AN64" s="347"/>
      <c r="AO64" s="347"/>
      <c r="AP64" s="347"/>
      <c r="AQ64" s="347"/>
      <c r="AR64" s="347"/>
      <c r="AS64" s="347"/>
      <c r="AT64" s="347"/>
      <c r="AU64" s="347"/>
      <c r="AV64" s="347"/>
      <c r="AW64" s="347"/>
      <c r="AX64" s="347"/>
      <c r="AY64" s="347"/>
      <c r="AZ64" s="347"/>
      <c r="BA64" s="347"/>
      <c r="BB64" s="347"/>
      <c r="BC64" s="347"/>
      <c r="BD64" s="347"/>
      <c r="BE64" s="347"/>
      <c r="BF64" s="347"/>
      <c r="BG64" s="347"/>
      <c r="BH64" s="347"/>
      <c r="BI64" s="347"/>
      <c r="BJ64" s="347"/>
      <c r="BK64" s="347"/>
      <c r="BL64" s="347"/>
      <c r="BM64" s="347"/>
      <c r="BN64" s="347"/>
      <c r="BO64" s="347"/>
      <c r="BP64" s="347"/>
      <c r="BQ64" s="347"/>
    </row>
    <row r="65" spans="1:69">
      <c r="A65" s="347"/>
      <c r="B65" s="350">
        <v>0</v>
      </c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  <c r="AC65" s="362"/>
      <c r="AD65" s="362"/>
      <c r="AE65" s="362"/>
      <c r="AF65" s="362"/>
      <c r="AG65" s="362"/>
      <c r="AH65" s="347"/>
      <c r="AI65" s="347"/>
      <c r="AJ65" s="347"/>
      <c r="AK65" s="347"/>
      <c r="AL65" s="347"/>
      <c r="AM65" s="347"/>
      <c r="AN65" s="347"/>
      <c r="AO65" s="347"/>
      <c r="AP65" s="347"/>
      <c r="AQ65" s="347"/>
      <c r="AR65" s="347"/>
      <c r="AS65" s="347"/>
      <c r="AT65" s="347"/>
      <c r="AU65" s="347"/>
      <c r="AV65" s="347"/>
      <c r="AW65" s="347"/>
      <c r="AX65" s="347"/>
      <c r="AY65" s="347"/>
      <c r="AZ65" s="347"/>
      <c r="BA65" s="347"/>
      <c r="BB65" s="347"/>
      <c r="BC65" s="347"/>
      <c r="BD65" s="347"/>
      <c r="BE65" s="347"/>
      <c r="BF65" s="347"/>
      <c r="BG65" s="347"/>
      <c r="BH65" s="347"/>
      <c r="BI65" s="347"/>
      <c r="BJ65" s="347"/>
      <c r="BK65" s="347"/>
      <c r="BL65" s="347"/>
      <c r="BM65" s="347"/>
      <c r="BN65" s="347"/>
      <c r="BO65" s="347"/>
      <c r="BP65" s="347"/>
      <c r="BQ65" s="347"/>
    </row>
    <row r="66" spans="1:69">
      <c r="A66" s="347"/>
      <c r="B66" s="350">
        <v>4.1666666666666664E-2</v>
      </c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  <c r="AC66" s="362"/>
      <c r="AD66" s="362"/>
      <c r="AE66" s="362"/>
      <c r="AF66" s="362"/>
      <c r="AG66" s="362"/>
      <c r="AH66" s="347"/>
      <c r="AI66" s="347"/>
      <c r="AJ66" s="347"/>
      <c r="AK66" s="347"/>
      <c r="AL66" s="347"/>
      <c r="AM66" s="347"/>
      <c r="AN66" s="347"/>
      <c r="AO66" s="347"/>
      <c r="AP66" s="347"/>
      <c r="AQ66" s="347"/>
      <c r="AR66" s="347"/>
      <c r="AS66" s="347"/>
      <c r="AT66" s="347"/>
      <c r="AU66" s="347"/>
      <c r="AV66" s="347"/>
      <c r="AW66" s="347"/>
      <c r="AX66" s="347"/>
      <c r="AY66" s="347"/>
      <c r="AZ66" s="347"/>
      <c r="BA66" s="347"/>
      <c r="BB66" s="347"/>
      <c r="BC66" s="347"/>
      <c r="BD66" s="347"/>
      <c r="BE66" s="347"/>
      <c r="BF66" s="347"/>
      <c r="BG66" s="347"/>
      <c r="BH66" s="347"/>
      <c r="BI66" s="347"/>
      <c r="BJ66" s="347"/>
      <c r="BK66" s="347"/>
      <c r="BL66" s="347"/>
      <c r="BM66" s="347"/>
      <c r="BN66" s="347"/>
      <c r="BO66" s="347"/>
      <c r="BP66" s="347"/>
      <c r="BQ66" s="347"/>
    </row>
    <row r="67" spans="1:69">
      <c r="A67" s="347"/>
      <c r="B67" s="350">
        <v>8.3333333333333329E-2</v>
      </c>
      <c r="C67" s="362"/>
      <c r="D67" s="362"/>
      <c r="E67" s="362"/>
      <c r="F67" s="362"/>
      <c r="G67" s="362"/>
      <c r="H67" s="362"/>
      <c r="I67" s="362"/>
      <c r="J67" s="362"/>
      <c r="K67" s="362"/>
      <c r="L67" s="362"/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  <c r="AC67" s="362"/>
      <c r="AD67" s="362"/>
      <c r="AE67" s="362"/>
      <c r="AF67" s="362"/>
      <c r="AG67" s="362"/>
      <c r="AH67" s="347"/>
      <c r="AI67" s="347"/>
      <c r="AJ67" s="347"/>
      <c r="AK67" s="347"/>
      <c r="AL67" s="347"/>
      <c r="AM67" s="347"/>
      <c r="AN67" s="347"/>
      <c r="AO67" s="347"/>
      <c r="AP67" s="347"/>
      <c r="AQ67" s="347"/>
      <c r="AR67" s="347"/>
      <c r="AS67" s="347"/>
      <c r="AT67" s="347"/>
      <c r="AU67" s="347"/>
      <c r="AV67" s="347"/>
      <c r="AW67" s="347"/>
      <c r="AX67" s="347"/>
      <c r="AY67" s="347"/>
      <c r="AZ67" s="347"/>
      <c r="BA67" s="347"/>
      <c r="BB67" s="347"/>
      <c r="BC67" s="347"/>
      <c r="BD67" s="347"/>
      <c r="BE67" s="347"/>
      <c r="BF67" s="347"/>
      <c r="BG67" s="347"/>
      <c r="BH67" s="347"/>
      <c r="BI67" s="347"/>
      <c r="BJ67" s="347"/>
      <c r="BK67" s="347"/>
      <c r="BL67" s="347"/>
      <c r="BM67" s="347"/>
      <c r="BN67" s="347"/>
      <c r="BO67" s="347"/>
      <c r="BP67" s="347"/>
      <c r="BQ67" s="347"/>
    </row>
    <row r="68" spans="1:69">
      <c r="A68" s="347"/>
      <c r="B68" s="350">
        <v>0.125</v>
      </c>
      <c r="C68" s="362"/>
      <c r="D68" s="362"/>
      <c r="E68" s="362"/>
      <c r="F68" s="362"/>
      <c r="G68" s="362"/>
      <c r="H68" s="362"/>
      <c r="I68" s="362"/>
      <c r="J68" s="362"/>
      <c r="K68" s="362"/>
      <c r="L68" s="362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  <c r="AC68" s="362"/>
      <c r="AD68" s="362"/>
      <c r="AE68" s="362"/>
      <c r="AF68" s="362"/>
      <c r="AG68" s="362"/>
      <c r="AH68" s="347"/>
      <c r="AI68" s="347"/>
      <c r="AJ68" s="347"/>
      <c r="AK68" s="347"/>
      <c r="AL68" s="347"/>
      <c r="AM68" s="347"/>
      <c r="AN68" s="347"/>
      <c r="AO68" s="347"/>
      <c r="AP68" s="347"/>
      <c r="AQ68" s="347"/>
      <c r="AR68" s="347"/>
      <c r="AS68" s="347"/>
      <c r="AT68" s="347"/>
      <c r="AU68" s="347"/>
      <c r="AV68" s="347"/>
      <c r="AW68" s="347"/>
      <c r="AX68" s="347"/>
      <c r="AY68" s="347"/>
      <c r="AZ68" s="347"/>
      <c r="BA68" s="347"/>
      <c r="BB68" s="347"/>
      <c r="BC68" s="347"/>
      <c r="BD68" s="347"/>
      <c r="BE68" s="347"/>
      <c r="BF68" s="347"/>
      <c r="BG68" s="347"/>
      <c r="BH68" s="347"/>
      <c r="BI68" s="347"/>
      <c r="BJ68" s="347"/>
      <c r="BK68" s="347"/>
      <c r="BL68" s="347"/>
      <c r="BM68" s="347"/>
      <c r="BN68" s="347"/>
      <c r="BO68" s="347"/>
      <c r="BP68" s="347"/>
      <c r="BQ68" s="347"/>
    </row>
    <row r="69" spans="1:69">
      <c r="A69" s="347"/>
      <c r="B69" s="350">
        <v>0.16666666666666666</v>
      </c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  <c r="AC69" s="362"/>
      <c r="AD69" s="362"/>
      <c r="AE69" s="362"/>
      <c r="AF69" s="362"/>
      <c r="AG69" s="362"/>
      <c r="AH69" s="347"/>
      <c r="AI69" s="347"/>
      <c r="AJ69" s="347"/>
      <c r="AK69" s="347"/>
      <c r="AL69" s="347"/>
      <c r="AM69" s="347"/>
      <c r="AN69" s="347"/>
      <c r="AO69" s="347"/>
      <c r="AP69" s="347"/>
      <c r="AQ69" s="347"/>
      <c r="AR69" s="347"/>
      <c r="AS69" s="347"/>
      <c r="AT69" s="347"/>
      <c r="AU69" s="347"/>
      <c r="AV69" s="347"/>
      <c r="AW69" s="347"/>
      <c r="AX69" s="347"/>
      <c r="AY69" s="347"/>
      <c r="AZ69" s="347"/>
      <c r="BA69" s="347"/>
      <c r="BB69" s="347"/>
      <c r="BC69" s="347"/>
      <c r="BD69" s="347"/>
      <c r="BE69" s="347"/>
      <c r="BF69" s="347"/>
      <c r="BG69" s="347"/>
      <c r="BH69" s="347"/>
      <c r="BI69" s="347"/>
      <c r="BJ69" s="347"/>
      <c r="BK69" s="347"/>
      <c r="BL69" s="347"/>
      <c r="BM69" s="347"/>
      <c r="BN69" s="347"/>
      <c r="BO69" s="347"/>
      <c r="BP69" s="347"/>
      <c r="BQ69" s="347"/>
    </row>
    <row r="70" spans="1:69">
      <c r="A70" s="347"/>
      <c r="B70" s="350">
        <v>0.20833333333333334</v>
      </c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  <c r="AC70" s="362"/>
      <c r="AD70" s="362"/>
      <c r="AE70" s="362"/>
      <c r="AF70" s="362"/>
      <c r="AG70" s="362"/>
      <c r="AH70" s="347"/>
      <c r="AI70" s="347"/>
      <c r="AJ70" s="347"/>
      <c r="AK70" s="347"/>
      <c r="AL70" s="347"/>
      <c r="AM70" s="347"/>
      <c r="AN70" s="347"/>
      <c r="AO70" s="347"/>
      <c r="AP70" s="347"/>
      <c r="AQ70" s="347"/>
      <c r="AR70" s="347"/>
      <c r="AS70" s="347"/>
      <c r="AT70" s="347"/>
      <c r="AU70" s="347"/>
      <c r="AV70" s="347"/>
      <c r="AW70" s="347"/>
      <c r="AX70" s="347"/>
      <c r="AY70" s="347"/>
      <c r="AZ70" s="347"/>
      <c r="BA70" s="347"/>
      <c r="BB70" s="347"/>
      <c r="BC70" s="347"/>
      <c r="BD70" s="347"/>
      <c r="BE70" s="347"/>
      <c r="BF70" s="347"/>
      <c r="BG70" s="347"/>
      <c r="BH70" s="347"/>
      <c r="BI70" s="347"/>
      <c r="BJ70" s="347"/>
      <c r="BK70" s="347"/>
      <c r="BL70" s="347"/>
      <c r="BM70" s="347"/>
      <c r="BN70" s="347"/>
      <c r="BO70" s="347"/>
      <c r="BP70" s="347"/>
      <c r="BQ70" s="347"/>
    </row>
    <row r="71" spans="1:69">
      <c r="A71" s="347"/>
      <c r="B71" s="350">
        <v>0.25</v>
      </c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  <c r="AC71" s="362"/>
      <c r="AD71" s="362"/>
      <c r="AE71" s="362"/>
      <c r="AF71" s="362"/>
      <c r="AG71" s="362"/>
      <c r="AH71" s="347"/>
      <c r="AI71" s="347"/>
      <c r="AJ71" s="347"/>
      <c r="AK71" s="347"/>
      <c r="AL71" s="347"/>
      <c r="AM71" s="347"/>
      <c r="AN71" s="347"/>
      <c r="AO71" s="347"/>
      <c r="AP71" s="347"/>
      <c r="AQ71" s="347"/>
      <c r="AR71" s="347"/>
      <c r="AS71" s="347"/>
      <c r="AT71" s="347"/>
      <c r="AU71" s="347"/>
      <c r="AV71" s="347"/>
      <c r="AW71" s="347"/>
      <c r="AX71" s="347"/>
      <c r="AY71" s="347"/>
      <c r="AZ71" s="347"/>
      <c r="BA71" s="347"/>
      <c r="BB71" s="347"/>
      <c r="BC71" s="347"/>
      <c r="BD71" s="347"/>
      <c r="BE71" s="347"/>
      <c r="BF71" s="347"/>
      <c r="BG71" s="347"/>
      <c r="BH71" s="347"/>
      <c r="BI71" s="347"/>
      <c r="BJ71" s="347"/>
      <c r="BK71" s="347"/>
      <c r="BL71" s="347"/>
      <c r="BM71" s="347"/>
      <c r="BN71" s="347"/>
      <c r="BO71" s="347"/>
      <c r="BP71" s="347"/>
      <c r="BQ71" s="347"/>
    </row>
    <row r="72" spans="1:69">
      <c r="A72" s="347"/>
      <c r="B72" s="350">
        <v>0.29166666666666669</v>
      </c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  <c r="AC72" s="362"/>
      <c r="AD72" s="362"/>
      <c r="AE72" s="362"/>
      <c r="AF72" s="362"/>
      <c r="AG72" s="362"/>
      <c r="AH72" s="347"/>
      <c r="AI72" s="347"/>
      <c r="AJ72" s="347"/>
      <c r="AK72" s="347"/>
      <c r="AL72" s="347"/>
      <c r="AM72" s="347"/>
      <c r="AN72" s="347"/>
      <c r="AO72" s="347"/>
      <c r="AP72" s="347"/>
      <c r="AQ72" s="347"/>
      <c r="AR72" s="347"/>
      <c r="AS72" s="347"/>
      <c r="AT72" s="347"/>
      <c r="AU72" s="347"/>
      <c r="AV72" s="347"/>
      <c r="AW72" s="347"/>
      <c r="AX72" s="347"/>
      <c r="AY72" s="347"/>
      <c r="AZ72" s="347"/>
      <c r="BA72" s="347"/>
      <c r="BB72" s="347"/>
      <c r="BC72" s="347"/>
      <c r="BD72" s="347"/>
      <c r="BE72" s="347"/>
      <c r="BF72" s="347"/>
      <c r="BG72" s="347"/>
      <c r="BH72" s="347"/>
      <c r="BI72" s="347"/>
      <c r="BJ72" s="347"/>
      <c r="BK72" s="347"/>
      <c r="BL72" s="347"/>
      <c r="BM72" s="347"/>
      <c r="BN72" s="347"/>
      <c r="BO72" s="347"/>
      <c r="BP72" s="347"/>
      <c r="BQ72" s="347"/>
    </row>
    <row r="73" spans="1:69">
      <c r="A73" s="347"/>
      <c r="B73" s="350">
        <v>0.33333333333333331</v>
      </c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  <c r="Z73" s="362"/>
      <c r="AA73" s="362"/>
      <c r="AB73" s="362"/>
      <c r="AC73" s="362"/>
      <c r="AD73" s="362"/>
      <c r="AE73" s="362"/>
      <c r="AF73" s="362"/>
      <c r="AG73" s="362"/>
      <c r="AH73" s="347"/>
      <c r="AI73" s="347"/>
      <c r="AJ73" s="347"/>
      <c r="AK73" s="347"/>
      <c r="AL73" s="347"/>
      <c r="AM73" s="347"/>
      <c r="AN73" s="347"/>
      <c r="AO73" s="347"/>
      <c r="AP73" s="347"/>
      <c r="AQ73" s="347"/>
      <c r="AR73" s="347"/>
      <c r="AS73" s="347"/>
      <c r="AT73" s="347"/>
      <c r="AU73" s="347"/>
      <c r="AV73" s="347"/>
      <c r="AW73" s="347"/>
      <c r="AX73" s="347"/>
      <c r="AY73" s="347"/>
      <c r="AZ73" s="347"/>
      <c r="BA73" s="347"/>
      <c r="BB73" s="347"/>
      <c r="BC73" s="347"/>
      <c r="BD73" s="347"/>
      <c r="BE73" s="347"/>
      <c r="BF73" s="347"/>
      <c r="BG73" s="347"/>
      <c r="BH73" s="347"/>
      <c r="BI73" s="347"/>
      <c r="BJ73" s="347"/>
      <c r="BK73" s="347"/>
      <c r="BL73" s="347"/>
      <c r="BM73" s="347"/>
      <c r="BN73" s="347"/>
      <c r="BO73" s="347"/>
      <c r="BP73" s="347"/>
      <c r="BQ73" s="347"/>
    </row>
    <row r="74" spans="1:69">
      <c r="A74" s="347"/>
      <c r="B74" s="350">
        <v>0.375</v>
      </c>
      <c r="C74" s="57">
        <v>1</v>
      </c>
      <c r="D74" s="57">
        <v>1</v>
      </c>
      <c r="E74" s="57">
        <v>1</v>
      </c>
      <c r="F74" s="57">
        <v>1</v>
      </c>
      <c r="G74" s="57">
        <v>1</v>
      </c>
      <c r="H74" s="57">
        <v>1</v>
      </c>
      <c r="I74" s="57">
        <v>1</v>
      </c>
      <c r="J74" s="57">
        <v>1</v>
      </c>
      <c r="K74" s="57">
        <v>1</v>
      </c>
      <c r="L74" s="57">
        <v>1</v>
      </c>
      <c r="M74" s="57">
        <v>1</v>
      </c>
      <c r="N74" s="57">
        <v>1</v>
      </c>
      <c r="O74" s="57">
        <v>1</v>
      </c>
      <c r="P74" s="57">
        <v>1</v>
      </c>
      <c r="Q74" s="57">
        <v>1</v>
      </c>
      <c r="R74" s="57">
        <v>1</v>
      </c>
      <c r="S74" s="57">
        <v>1</v>
      </c>
      <c r="T74" s="57">
        <v>1</v>
      </c>
      <c r="U74" s="57">
        <v>1</v>
      </c>
      <c r="V74" s="57">
        <v>1</v>
      </c>
      <c r="W74" s="57">
        <v>1</v>
      </c>
      <c r="X74" s="57">
        <v>1</v>
      </c>
      <c r="Y74" s="57">
        <v>1</v>
      </c>
      <c r="Z74" s="57">
        <v>1</v>
      </c>
      <c r="AA74" s="57">
        <v>1</v>
      </c>
      <c r="AB74" s="57">
        <v>1</v>
      </c>
      <c r="AC74" s="57">
        <v>1</v>
      </c>
      <c r="AD74" s="57">
        <v>1</v>
      </c>
      <c r="AE74" s="57">
        <v>1</v>
      </c>
      <c r="AF74" s="57">
        <v>1</v>
      </c>
      <c r="AG74" s="57">
        <v>1</v>
      </c>
      <c r="AH74" s="347"/>
      <c r="AI74" s="347"/>
      <c r="AJ74" s="347"/>
      <c r="AK74" s="347"/>
      <c r="AL74" s="347"/>
      <c r="AM74" s="347"/>
      <c r="AN74" s="347"/>
      <c r="AO74" s="347"/>
      <c r="AP74" s="347"/>
      <c r="AQ74" s="347"/>
      <c r="AR74" s="347"/>
      <c r="AS74" s="347"/>
      <c r="AT74" s="347"/>
      <c r="AU74" s="347"/>
      <c r="AV74" s="347"/>
      <c r="AW74" s="347"/>
      <c r="AX74" s="347"/>
      <c r="AY74" s="347"/>
      <c r="AZ74" s="347"/>
      <c r="BA74" s="347"/>
      <c r="BB74" s="347"/>
      <c r="BC74" s="347"/>
      <c r="BD74" s="347"/>
      <c r="BE74" s="347"/>
      <c r="BF74" s="347"/>
      <c r="BG74" s="347"/>
      <c r="BH74" s="347"/>
      <c r="BI74" s="347"/>
      <c r="BJ74" s="347"/>
      <c r="BK74" s="347"/>
      <c r="BL74" s="347"/>
      <c r="BM74" s="347"/>
      <c r="BN74" s="347"/>
      <c r="BO74" s="347"/>
      <c r="BP74" s="347"/>
      <c r="BQ74" s="347"/>
    </row>
    <row r="75" spans="1:69">
      <c r="A75" s="347"/>
      <c r="B75" s="350">
        <v>0.41666666666666669</v>
      </c>
      <c r="C75" s="57">
        <v>1</v>
      </c>
      <c r="D75" s="57">
        <v>1</v>
      </c>
      <c r="E75" s="57">
        <v>1</v>
      </c>
      <c r="F75" s="57">
        <v>1</v>
      </c>
      <c r="G75" s="57">
        <v>1</v>
      </c>
      <c r="H75" s="57">
        <v>1</v>
      </c>
      <c r="I75" s="57">
        <v>1</v>
      </c>
      <c r="J75" s="57">
        <v>1</v>
      </c>
      <c r="K75" s="57">
        <v>1</v>
      </c>
      <c r="L75" s="57">
        <v>1</v>
      </c>
      <c r="M75" s="57">
        <v>1</v>
      </c>
      <c r="N75" s="57">
        <v>1</v>
      </c>
      <c r="O75" s="57">
        <v>1</v>
      </c>
      <c r="P75" s="57">
        <v>1</v>
      </c>
      <c r="Q75" s="57">
        <v>1</v>
      </c>
      <c r="R75" s="57">
        <v>1</v>
      </c>
      <c r="S75" s="57">
        <v>1</v>
      </c>
      <c r="T75" s="57">
        <v>1</v>
      </c>
      <c r="U75" s="57">
        <v>1</v>
      </c>
      <c r="V75" s="57">
        <v>1</v>
      </c>
      <c r="W75" s="57">
        <v>1</v>
      </c>
      <c r="X75" s="57">
        <v>1</v>
      </c>
      <c r="Y75" s="57">
        <v>1</v>
      </c>
      <c r="Z75" s="57">
        <v>1</v>
      </c>
      <c r="AA75" s="57">
        <v>1</v>
      </c>
      <c r="AB75" s="57">
        <v>1</v>
      </c>
      <c r="AC75" s="57">
        <v>1</v>
      </c>
      <c r="AD75" s="57">
        <v>1</v>
      </c>
      <c r="AE75" s="57">
        <v>1</v>
      </c>
      <c r="AF75" s="57">
        <v>1</v>
      </c>
      <c r="AG75" s="57">
        <v>1</v>
      </c>
      <c r="AH75" s="347"/>
      <c r="AI75" s="347"/>
      <c r="AJ75" s="347"/>
      <c r="AK75" s="347"/>
      <c r="AL75" s="347"/>
      <c r="AM75" s="347"/>
      <c r="AN75" s="347"/>
      <c r="AO75" s="347"/>
      <c r="AP75" s="347"/>
      <c r="AQ75" s="347"/>
      <c r="AR75" s="347"/>
      <c r="AS75" s="347"/>
      <c r="AT75" s="347"/>
      <c r="AU75" s="347"/>
      <c r="AV75" s="347"/>
      <c r="AW75" s="347"/>
      <c r="AX75" s="347"/>
      <c r="AY75" s="347"/>
      <c r="AZ75" s="347"/>
      <c r="BA75" s="347"/>
      <c r="BB75" s="347"/>
      <c r="BC75" s="347"/>
      <c r="BD75" s="347"/>
      <c r="BE75" s="347"/>
      <c r="BF75" s="347"/>
      <c r="BG75" s="347"/>
      <c r="BH75" s="347"/>
      <c r="BI75" s="347"/>
      <c r="BJ75" s="347"/>
      <c r="BK75" s="347"/>
      <c r="BL75" s="347"/>
      <c r="BM75" s="347"/>
      <c r="BN75" s="347"/>
      <c r="BO75" s="347"/>
      <c r="BP75" s="347"/>
      <c r="BQ75" s="347"/>
    </row>
    <row r="76" spans="1:69">
      <c r="A76" s="347"/>
      <c r="B76" s="350">
        <v>0.45833333333333331</v>
      </c>
      <c r="C76" s="57">
        <v>1</v>
      </c>
      <c r="D76" s="57">
        <v>1</v>
      </c>
      <c r="E76" s="57">
        <v>1</v>
      </c>
      <c r="F76" s="57">
        <v>1</v>
      </c>
      <c r="G76" s="57">
        <v>1</v>
      </c>
      <c r="H76" s="57">
        <v>1</v>
      </c>
      <c r="I76" s="57">
        <v>1</v>
      </c>
      <c r="J76" s="57">
        <v>1</v>
      </c>
      <c r="K76" s="57">
        <v>1</v>
      </c>
      <c r="L76" s="57">
        <v>1</v>
      </c>
      <c r="M76" s="57">
        <v>1</v>
      </c>
      <c r="N76" s="57">
        <v>1</v>
      </c>
      <c r="O76" s="57">
        <v>1</v>
      </c>
      <c r="P76" s="57">
        <v>1</v>
      </c>
      <c r="Q76" s="57">
        <v>1</v>
      </c>
      <c r="R76" s="57">
        <v>1</v>
      </c>
      <c r="S76" s="57">
        <v>1</v>
      </c>
      <c r="T76" s="57">
        <v>1</v>
      </c>
      <c r="U76" s="57">
        <v>1</v>
      </c>
      <c r="V76" s="57">
        <v>1</v>
      </c>
      <c r="W76" s="57">
        <v>1</v>
      </c>
      <c r="X76" s="57">
        <v>1</v>
      </c>
      <c r="Y76" s="57">
        <v>1</v>
      </c>
      <c r="Z76" s="57">
        <v>1</v>
      </c>
      <c r="AA76" s="57">
        <v>1</v>
      </c>
      <c r="AB76" s="57">
        <v>1</v>
      </c>
      <c r="AC76" s="57">
        <v>1</v>
      </c>
      <c r="AD76" s="57">
        <v>1</v>
      </c>
      <c r="AE76" s="57">
        <v>1</v>
      </c>
      <c r="AF76" s="57">
        <v>1</v>
      </c>
      <c r="AG76" s="57">
        <v>1</v>
      </c>
      <c r="AH76" s="347"/>
      <c r="AI76" s="347"/>
      <c r="AJ76" s="347"/>
      <c r="AK76" s="347"/>
      <c r="AL76" s="347"/>
      <c r="AM76" s="347"/>
      <c r="AN76" s="347"/>
      <c r="AO76" s="347"/>
      <c r="AP76" s="347"/>
      <c r="AQ76" s="347"/>
      <c r="AR76" s="347"/>
      <c r="AS76" s="347"/>
      <c r="AT76" s="347"/>
      <c r="AU76" s="347"/>
      <c r="AV76" s="347"/>
      <c r="AW76" s="347"/>
      <c r="AX76" s="347"/>
      <c r="AY76" s="347"/>
      <c r="AZ76" s="347"/>
      <c r="BA76" s="347"/>
      <c r="BB76" s="347"/>
      <c r="BC76" s="347"/>
      <c r="BD76" s="347"/>
      <c r="BE76" s="347"/>
      <c r="BF76" s="347"/>
      <c r="BG76" s="347"/>
      <c r="BH76" s="347"/>
      <c r="BI76" s="347"/>
      <c r="BJ76" s="347"/>
      <c r="BK76" s="347"/>
      <c r="BL76" s="347"/>
      <c r="BM76" s="347"/>
      <c r="BN76" s="347"/>
      <c r="BO76" s="347"/>
      <c r="BP76" s="347"/>
      <c r="BQ76" s="347"/>
    </row>
    <row r="77" spans="1:69">
      <c r="A77" s="347"/>
      <c r="B77" s="350">
        <v>0.5</v>
      </c>
      <c r="C77" s="57">
        <v>1</v>
      </c>
      <c r="D77" s="57">
        <v>1</v>
      </c>
      <c r="E77" s="57">
        <v>1</v>
      </c>
      <c r="F77" s="57">
        <v>1</v>
      </c>
      <c r="G77" s="57">
        <v>1</v>
      </c>
      <c r="H77" s="57">
        <v>1</v>
      </c>
      <c r="I77" s="57">
        <v>1</v>
      </c>
      <c r="J77" s="57">
        <v>1</v>
      </c>
      <c r="K77" s="57">
        <v>1</v>
      </c>
      <c r="L77" s="57">
        <v>1</v>
      </c>
      <c r="M77" s="57">
        <v>1</v>
      </c>
      <c r="N77" s="57">
        <v>1</v>
      </c>
      <c r="O77" s="57">
        <v>1</v>
      </c>
      <c r="P77" s="57">
        <v>1</v>
      </c>
      <c r="Q77" s="57">
        <v>1</v>
      </c>
      <c r="R77" s="57">
        <v>1</v>
      </c>
      <c r="S77" s="57">
        <v>1</v>
      </c>
      <c r="T77" s="57">
        <v>1</v>
      </c>
      <c r="U77" s="57">
        <v>1</v>
      </c>
      <c r="V77" s="57">
        <v>1</v>
      </c>
      <c r="W77" s="57">
        <v>1</v>
      </c>
      <c r="X77" s="57">
        <v>1</v>
      </c>
      <c r="Y77" s="57">
        <v>1</v>
      </c>
      <c r="Z77" s="57">
        <v>1</v>
      </c>
      <c r="AA77" s="57">
        <v>1</v>
      </c>
      <c r="AB77" s="57">
        <v>1</v>
      </c>
      <c r="AC77" s="57">
        <v>1</v>
      </c>
      <c r="AD77" s="57">
        <v>1</v>
      </c>
      <c r="AE77" s="57">
        <v>1</v>
      </c>
      <c r="AF77" s="57">
        <v>1</v>
      </c>
      <c r="AG77" s="57">
        <v>1</v>
      </c>
      <c r="AH77" s="347"/>
      <c r="AI77" s="347"/>
      <c r="AJ77" s="347"/>
      <c r="AK77" s="347"/>
      <c r="AL77" s="347"/>
      <c r="AM77" s="347"/>
      <c r="AN77" s="347"/>
      <c r="AO77" s="347"/>
      <c r="AP77" s="347"/>
      <c r="AQ77" s="347"/>
      <c r="AR77" s="347"/>
      <c r="AS77" s="347"/>
      <c r="AT77" s="347"/>
      <c r="AU77" s="347"/>
      <c r="AV77" s="347"/>
      <c r="AW77" s="347"/>
      <c r="AX77" s="347"/>
      <c r="AY77" s="347"/>
      <c r="AZ77" s="347"/>
      <c r="BA77" s="347"/>
      <c r="BB77" s="347"/>
      <c r="BC77" s="347"/>
      <c r="BD77" s="347"/>
      <c r="BE77" s="347"/>
      <c r="BF77" s="347"/>
      <c r="BG77" s="347"/>
      <c r="BH77" s="347"/>
      <c r="BI77" s="347"/>
      <c r="BJ77" s="347"/>
      <c r="BK77" s="347"/>
      <c r="BL77" s="347"/>
      <c r="BM77" s="347"/>
      <c r="BN77" s="347"/>
      <c r="BO77" s="347"/>
      <c r="BP77" s="347"/>
      <c r="BQ77" s="347"/>
    </row>
    <row r="78" spans="1:69">
      <c r="A78" s="347"/>
      <c r="B78" s="350">
        <v>0.54166666666666663</v>
      </c>
      <c r="C78" s="57">
        <v>1</v>
      </c>
      <c r="D78" s="57">
        <v>1</v>
      </c>
      <c r="E78" s="57">
        <v>1</v>
      </c>
      <c r="F78" s="57">
        <v>1</v>
      </c>
      <c r="G78" s="57">
        <v>1</v>
      </c>
      <c r="H78" s="57">
        <v>1</v>
      </c>
      <c r="I78" s="57">
        <v>1</v>
      </c>
      <c r="J78" s="57">
        <v>1</v>
      </c>
      <c r="K78" s="57">
        <v>1</v>
      </c>
      <c r="L78" s="57">
        <v>1</v>
      </c>
      <c r="M78" s="57">
        <v>1</v>
      </c>
      <c r="N78" s="57">
        <v>1</v>
      </c>
      <c r="O78" s="57">
        <v>1</v>
      </c>
      <c r="P78" s="57">
        <v>1</v>
      </c>
      <c r="Q78" s="57">
        <v>1</v>
      </c>
      <c r="R78" s="57">
        <v>1</v>
      </c>
      <c r="S78" s="57">
        <v>1</v>
      </c>
      <c r="T78" s="57">
        <v>1</v>
      </c>
      <c r="U78" s="57">
        <v>1</v>
      </c>
      <c r="V78" s="57">
        <v>1</v>
      </c>
      <c r="W78" s="57">
        <v>1</v>
      </c>
      <c r="X78" s="57">
        <v>1</v>
      </c>
      <c r="Y78" s="57">
        <v>1</v>
      </c>
      <c r="Z78" s="57">
        <v>1</v>
      </c>
      <c r="AA78" s="57">
        <v>1</v>
      </c>
      <c r="AB78" s="57">
        <v>1</v>
      </c>
      <c r="AC78" s="57">
        <v>1</v>
      </c>
      <c r="AD78" s="57">
        <v>1</v>
      </c>
      <c r="AE78" s="57">
        <v>1</v>
      </c>
      <c r="AF78" s="57">
        <v>1</v>
      </c>
      <c r="AG78" s="57">
        <v>1</v>
      </c>
      <c r="AH78" s="347"/>
      <c r="AI78" s="347"/>
      <c r="AJ78" s="347"/>
      <c r="AK78" s="347"/>
      <c r="AL78" s="347"/>
      <c r="AM78" s="347"/>
      <c r="AN78" s="347"/>
      <c r="AO78" s="347"/>
      <c r="AP78" s="347"/>
      <c r="AQ78" s="347"/>
      <c r="AR78" s="347"/>
      <c r="AS78" s="347"/>
      <c r="AT78" s="347"/>
      <c r="AU78" s="347"/>
      <c r="AV78" s="347"/>
      <c r="AW78" s="347"/>
      <c r="AX78" s="347"/>
      <c r="AY78" s="347"/>
      <c r="AZ78" s="347"/>
      <c r="BA78" s="347"/>
      <c r="BB78" s="347"/>
      <c r="BC78" s="347"/>
      <c r="BD78" s="347"/>
      <c r="BE78" s="347"/>
      <c r="BF78" s="347"/>
      <c r="BG78" s="347"/>
      <c r="BH78" s="347"/>
      <c r="BI78" s="347"/>
      <c r="BJ78" s="347"/>
      <c r="BK78" s="347"/>
      <c r="BL78" s="347"/>
      <c r="BM78" s="347"/>
      <c r="BN78" s="347"/>
      <c r="BO78" s="347"/>
      <c r="BP78" s="347"/>
      <c r="BQ78" s="347"/>
    </row>
    <row r="79" spans="1:69">
      <c r="A79" s="347"/>
      <c r="B79" s="350">
        <v>0.58333333333333337</v>
      </c>
      <c r="C79" s="57">
        <v>1</v>
      </c>
      <c r="D79" s="57">
        <v>1</v>
      </c>
      <c r="E79" s="57">
        <v>1</v>
      </c>
      <c r="F79" s="57">
        <v>1</v>
      </c>
      <c r="G79" s="57">
        <v>1</v>
      </c>
      <c r="H79" s="57">
        <v>1</v>
      </c>
      <c r="I79" s="57">
        <v>1</v>
      </c>
      <c r="J79" s="57">
        <v>1</v>
      </c>
      <c r="K79" s="57">
        <v>1</v>
      </c>
      <c r="L79" s="57">
        <v>1</v>
      </c>
      <c r="M79" s="57">
        <v>1</v>
      </c>
      <c r="N79" s="57">
        <v>1</v>
      </c>
      <c r="O79" s="57">
        <v>1</v>
      </c>
      <c r="P79" s="57">
        <v>1</v>
      </c>
      <c r="Q79" s="57">
        <v>1</v>
      </c>
      <c r="R79" s="57">
        <v>1</v>
      </c>
      <c r="S79" s="57">
        <v>1</v>
      </c>
      <c r="T79" s="57">
        <v>1</v>
      </c>
      <c r="U79" s="57">
        <v>1</v>
      </c>
      <c r="V79" s="57">
        <v>1</v>
      </c>
      <c r="W79" s="57">
        <v>1</v>
      </c>
      <c r="X79" s="57">
        <v>1</v>
      </c>
      <c r="Y79" s="57">
        <v>1</v>
      </c>
      <c r="Z79" s="57">
        <v>1</v>
      </c>
      <c r="AA79" s="57">
        <v>1</v>
      </c>
      <c r="AB79" s="57">
        <v>1</v>
      </c>
      <c r="AC79" s="57">
        <v>1</v>
      </c>
      <c r="AD79" s="57">
        <v>1</v>
      </c>
      <c r="AE79" s="57">
        <v>1</v>
      </c>
      <c r="AF79" s="57">
        <v>1</v>
      </c>
      <c r="AG79" s="57">
        <v>1</v>
      </c>
      <c r="AH79" s="347"/>
      <c r="AI79" s="347"/>
      <c r="AJ79" s="347"/>
      <c r="AK79" s="347"/>
      <c r="AL79" s="347"/>
      <c r="AM79" s="347"/>
      <c r="AN79" s="347"/>
      <c r="AO79" s="347"/>
      <c r="AP79" s="347"/>
      <c r="AQ79" s="347"/>
      <c r="AR79" s="347"/>
      <c r="AS79" s="347"/>
      <c r="AT79" s="347"/>
      <c r="AU79" s="347"/>
      <c r="AV79" s="347"/>
      <c r="AW79" s="347"/>
      <c r="AX79" s="347"/>
      <c r="AY79" s="347"/>
      <c r="AZ79" s="347"/>
      <c r="BA79" s="347"/>
      <c r="BB79" s="347"/>
      <c r="BC79" s="347"/>
      <c r="BD79" s="347"/>
      <c r="BE79" s="347"/>
      <c r="BF79" s="347"/>
      <c r="BG79" s="347"/>
      <c r="BH79" s="347"/>
      <c r="BI79" s="347"/>
      <c r="BJ79" s="347"/>
      <c r="BK79" s="347"/>
      <c r="BL79" s="347"/>
      <c r="BM79" s="347"/>
      <c r="BN79" s="347"/>
      <c r="BO79" s="347"/>
      <c r="BP79" s="347"/>
      <c r="BQ79" s="347"/>
    </row>
    <row r="80" spans="1:69">
      <c r="A80" s="347"/>
      <c r="B80" s="350">
        <v>0.625</v>
      </c>
      <c r="C80" s="57">
        <v>1</v>
      </c>
      <c r="D80" s="57">
        <v>1</v>
      </c>
      <c r="E80" s="57">
        <v>1</v>
      </c>
      <c r="F80" s="57">
        <v>1</v>
      </c>
      <c r="G80" s="57">
        <v>1</v>
      </c>
      <c r="H80" s="57">
        <v>1</v>
      </c>
      <c r="I80" s="57">
        <v>1</v>
      </c>
      <c r="J80" s="57">
        <v>1</v>
      </c>
      <c r="K80" s="57">
        <v>1</v>
      </c>
      <c r="L80" s="57">
        <v>1</v>
      </c>
      <c r="M80" s="57">
        <v>1</v>
      </c>
      <c r="N80" s="57">
        <v>1</v>
      </c>
      <c r="O80" s="57">
        <v>1</v>
      </c>
      <c r="P80" s="57">
        <v>1</v>
      </c>
      <c r="Q80" s="57">
        <v>1</v>
      </c>
      <c r="R80" s="57">
        <v>1</v>
      </c>
      <c r="S80" s="57">
        <v>1</v>
      </c>
      <c r="T80" s="57">
        <v>1</v>
      </c>
      <c r="U80" s="57">
        <v>1</v>
      </c>
      <c r="V80" s="57">
        <v>1</v>
      </c>
      <c r="W80" s="57">
        <v>1</v>
      </c>
      <c r="X80" s="57">
        <v>1</v>
      </c>
      <c r="Y80" s="57">
        <v>1</v>
      </c>
      <c r="Z80" s="57">
        <v>1</v>
      </c>
      <c r="AA80" s="57">
        <v>1</v>
      </c>
      <c r="AB80" s="57">
        <v>1</v>
      </c>
      <c r="AC80" s="57">
        <v>1</v>
      </c>
      <c r="AD80" s="57">
        <v>1</v>
      </c>
      <c r="AE80" s="57">
        <v>1</v>
      </c>
      <c r="AF80" s="57">
        <v>1</v>
      </c>
      <c r="AG80" s="57">
        <v>1</v>
      </c>
      <c r="AH80" s="347"/>
      <c r="AI80" s="347"/>
      <c r="AJ80" s="347"/>
      <c r="AK80" s="347"/>
      <c r="AL80" s="347"/>
      <c r="AM80" s="347"/>
      <c r="AN80" s="347"/>
      <c r="AO80" s="347"/>
      <c r="AP80" s="347"/>
      <c r="AQ80" s="347"/>
      <c r="AR80" s="347"/>
      <c r="AS80" s="347"/>
      <c r="AT80" s="347"/>
      <c r="AU80" s="347"/>
      <c r="AV80" s="347"/>
      <c r="AW80" s="347"/>
      <c r="AX80" s="347"/>
      <c r="AY80" s="347"/>
      <c r="AZ80" s="347"/>
      <c r="BA80" s="347"/>
      <c r="BB80" s="347"/>
      <c r="BC80" s="347"/>
      <c r="BD80" s="347"/>
      <c r="BE80" s="347"/>
      <c r="BF80" s="347"/>
      <c r="BG80" s="347"/>
      <c r="BH80" s="347"/>
      <c r="BI80" s="347"/>
      <c r="BJ80" s="347"/>
      <c r="BK80" s="347"/>
      <c r="BL80" s="347"/>
      <c r="BM80" s="347"/>
      <c r="BN80" s="347"/>
      <c r="BO80" s="347"/>
      <c r="BP80" s="347"/>
      <c r="BQ80" s="347"/>
    </row>
    <row r="81" spans="1:69">
      <c r="A81" s="347"/>
      <c r="B81" s="350">
        <v>0.66666666666666663</v>
      </c>
      <c r="C81" s="57">
        <v>1</v>
      </c>
      <c r="D81" s="57">
        <v>1</v>
      </c>
      <c r="E81" s="57">
        <v>1</v>
      </c>
      <c r="F81" s="57">
        <v>1</v>
      </c>
      <c r="G81" s="57">
        <v>1</v>
      </c>
      <c r="H81" s="57">
        <v>1</v>
      </c>
      <c r="I81" s="57">
        <v>1</v>
      </c>
      <c r="J81" s="57">
        <v>1</v>
      </c>
      <c r="K81" s="57">
        <v>1</v>
      </c>
      <c r="L81" s="57">
        <v>1</v>
      </c>
      <c r="M81" s="57">
        <v>1</v>
      </c>
      <c r="N81" s="57">
        <v>1</v>
      </c>
      <c r="O81" s="57">
        <v>1</v>
      </c>
      <c r="P81" s="57">
        <v>1</v>
      </c>
      <c r="Q81" s="57">
        <v>1</v>
      </c>
      <c r="R81" s="57">
        <v>1</v>
      </c>
      <c r="S81" s="57">
        <v>1</v>
      </c>
      <c r="T81" s="57">
        <v>1</v>
      </c>
      <c r="U81" s="57">
        <v>1</v>
      </c>
      <c r="V81" s="57">
        <v>1</v>
      </c>
      <c r="W81" s="57">
        <v>1</v>
      </c>
      <c r="X81" s="57">
        <v>1</v>
      </c>
      <c r="Y81" s="57">
        <v>1</v>
      </c>
      <c r="Z81" s="57">
        <v>1</v>
      </c>
      <c r="AA81" s="57">
        <v>1</v>
      </c>
      <c r="AB81" s="57">
        <v>1</v>
      </c>
      <c r="AC81" s="57">
        <v>1</v>
      </c>
      <c r="AD81" s="57">
        <v>1</v>
      </c>
      <c r="AE81" s="57">
        <v>1</v>
      </c>
      <c r="AF81" s="57">
        <v>1</v>
      </c>
      <c r="AG81" s="57">
        <v>1</v>
      </c>
      <c r="AH81" s="347"/>
      <c r="AI81" s="347"/>
      <c r="AJ81" s="347"/>
      <c r="AK81" s="347"/>
      <c r="AL81" s="347"/>
      <c r="AM81" s="347"/>
      <c r="AN81" s="347"/>
      <c r="AO81" s="347"/>
      <c r="AP81" s="347"/>
      <c r="AQ81" s="347"/>
      <c r="AR81" s="347"/>
      <c r="AS81" s="347"/>
      <c r="AT81" s="347"/>
      <c r="AU81" s="347"/>
      <c r="AV81" s="347"/>
      <c r="AW81" s="347"/>
      <c r="AX81" s="347"/>
      <c r="AY81" s="347"/>
      <c r="AZ81" s="347"/>
      <c r="BA81" s="347"/>
      <c r="BB81" s="347"/>
      <c r="BC81" s="347"/>
      <c r="BD81" s="347"/>
      <c r="BE81" s="347"/>
      <c r="BF81" s="347"/>
      <c r="BG81" s="347"/>
      <c r="BH81" s="347"/>
      <c r="BI81" s="347"/>
      <c r="BJ81" s="347"/>
      <c r="BK81" s="347"/>
      <c r="BL81" s="347"/>
      <c r="BM81" s="347"/>
      <c r="BN81" s="347"/>
      <c r="BO81" s="347"/>
      <c r="BP81" s="347"/>
      <c r="BQ81" s="347"/>
    </row>
    <row r="82" spans="1:69">
      <c r="A82" s="347"/>
      <c r="B82" s="350">
        <v>0.70833333333333337</v>
      </c>
      <c r="C82" s="57">
        <v>1</v>
      </c>
      <c r="D82" s="57">
        <v>1</v>
      </c>
      <c r="E82" s="57">
        <v>1</v>
      </c>
      <c r="F82" s="57">
        <v>1</v>
      </c>
      <c r="G82" s="57">
        <v>1</v>
      </c>
      <c r="H82" s="57">
        <v>1</v>
      </c>
      <c r="I82" s="57">
        <v>1</v>
      </c>
      <c r="J82" s="57">
        <v>1</v>
      </c>
      <c r="K82" s="57">
        <v>1</v>
      </c>
      <c r="L82" s="57">
        <v>1</v>
      </c>
      <c r="M82" s="57">
        <v>1</v>
      </c>
      <c r="N82" s="57">
        <v>1</v>
      </c>
      <c r="O82" s="57">
        <v>1</v>
      </c>
      <c r="P82" s="57">
        <v>1</v>
      </c>
      <c r="Q82" s="57">
        <v>1</v>
      </c>
      <c r="R82" s="57">
        <v>1</v>
      </c>
      <c r="S82" s="57">
        <v>1</v>
      </c>
      <c r="T82" s="57">
        <v>1</v>
      </c>
      <c r="U82" s="57">
        <v>1</v>
      </c>
      <c r="V82" s="57">
        <v>1</v>
      </c>
      <c r="W82" s="57">
        <v>1</v>
      </c>
      <c r="X82" s="57">
        <v>1</v>
      </c>
      <c r="Y82" s="57">
        <v>1</v>
      </c>
      <c r="Z82" s="57">
        <v>1</v>
      </c>
      <c r="AA82" s="57">
        <v>1</v>
      </c>
      <c r="AB82" s="57">
        <v>1</v>
      </c>
      <c r="AC82" s="57">
        <v>1</v>
      </c>
      <c r="AD82" s="57">
        <v>1</v>
      </c>
      <c r="AE82" s="57">
        <v>1</v>
      </c>
      <c r="AF82" s="57">
        <v>1</v>
      </c>
      <c r="AG82" s="57">
        <v>1</v>
      </c>
      <c r="AH82" s="347"/>
      <c r="AI82" s="347"/>
      <c r="AJ82" s="347"/>
      <c r="AK82" s="347"/>
      <c r="AL82" s="347"/>
      <c r="AM82" s="347"/>
      <c r="AN82" s="347"/>
      <c r="AO82" s="347"/>
      <c r="AP82" s="347"/>
      <c r="AQ82" s="347"/>
      <c r="AR82" s="347"/>
      <c r="AS82" s="347"/>
      <c r="AT82" s="347"/>
      <c r="AU82" s="347"/>
      <c r="AV82" s="347"/>
      <c r="AW82" s="347"/>
      <c r="AX82" s="347"/>
      <c r="AY82" s="347"/>
      <c r="AZ82" s="347"/>
      <c r="BA82" s="347"/>
      <c r="BB82" s="347"/>
      <c r="BC82" s="347"/>
      <c r="BD82" s="347"/>
      <c r="BE82" s="347"/>
      <c r="BF82" s="347"/>
      <c r="BG82" s="347"/>
      <c r="BH82" s="347"/>
      <c r="BI82" s="347"/>
      <c r="BJ82" s="347"/>
      <c r="BK82" s="347"/>
      <c r="BL82" s="347"/>
      <c r="BM82" s="347"/>
      <c r="BN82" s="347"/>
      <c r="BO82" s="347"/>
      <c r="BP82" s="347"/>
      <c r="BQ82" s="347"/>
    </row>
    <row r="83" spans="1:69">
      <c r="A83" s="347"/>
      <c r="B83" s="350">
        <v>0.75</v>
      </c>
      <c r="C83" s="57">
        <v>1</v>
      </c>
      <c r="D83" s="57">
        <v>1</v>
      </c>
      <c r="E83" s="57">
        <v>1</v>
      </c>
      <c r="F83" s="57">
        <v>1</v>
      </c>
      <c r="G83" s="57">
        <v>1</v>
      </c>
      <c r="H83" s="57">
        <v>1</v>
      </c>
      <c r="I83" s="57">
        <v>1</v>
      </c>
      <c r="J83" s="57">
        <v>1</v>
      </c>
      <c r="K83" s="57">
        <v>1</v>
      </c>
      <c r="L83" s="57">
        <v>1</v>
      </c>
      <c r="M83" s="57">
        <v>1</v>
      </c>
      <c r="N83" s="57">
        <v>1</v>
      </c>
      <c r="O83" s="57">
        <v>1</v>
      </c>
      <c r="P83" s="57">
        <v>1</v>
      </c>
      <c r="Q83" s="57">
        <v>1</v>
      </c>
      <c r="R83" s="57">
        <v>1</v>
      </c>
      <c r="S83" s="57">
        <v>1</v>
      </c>
      <c r="T83" s="57">
        <v>1</v>
      </c>
      <c r="U83" s="57">
        <v>1</v>
      </c>
      <c r="V83" s="57">
        <v>1</v>
      </c>
      <c r="W83" s="57">
        <v>1</v>
      </c>
      <c r="X83" s="57">
        <v>1</v>
      </c>
      <c r="Y83" s="57">
        <v>1</v>
      </c>
      <c r="Z83" s="57">
        <v>1</v>
      </c>
      <c r="AA83" s="57">
        <v>1</v>
      </c>
      <c r="AB83" s="57">
        <v>1</v>
      </c>
      <c r="AC83" s="57">
        <v>1</v>
      </c>
      <c r="AD83" s="57">
        <v>1</v>
      </c>
      <c r="AE83" s="57">
        <v>1</v>
      </c>
      <c r="AF83" s="57">
        <v>1</v>
      </c>
      <c r="AG83" s="57">
        <v>1</v>
      </c>
      <c r="AH83" s="353"/>
      <c r="AI83" s="347"/>
      <c r="AJ83" s="347"/>
      <c r="AK83" s="347"/>
      <c r="AL83" s="347"/>
      <c r="AM83" s="347"/>
      <c r="AN83" s="347"/>
      <c r="AO83" s="347"/>
      <c r="AP83" s="347"/>
      <c r="AQ83" s="347"/>
      <c r="AR83" s="347"/>
      <c r="AS83" s="347"/>
      <c r="AT83" s="347"/>
      <c r="AU83" s="347"/>
      <c r="AV83" s="347"/>
      <c r="AW83" s="347"/>
      <c r="AX83" s="347"/>
      <c r="AY83" s="347"/>
      <c r="AZ83" s="347"/>
      <c r="BA83" s="347"/>
      <c r="BB83" s="347"/>
      <c r="BC83" s="347"/>
      <c r="BD83" s="347"/>
      <c r="BE83" s="347"/>
      <c r="BF83" s="347"/>
      <c r="BG83" s="347"/>
      <c r="BH83" s="347"/>
      <c r="BI83" s="347"/>
      <c r="BJ83" s="347"/>
      <c r="BK83" s="347"/>
      <c r="BL83" s="347"/>
      <c r="BM83" s="347"/>
      <c r="BN83" s="347"/>
      <c r="BO83" s="347"/>
      <c r="BP83" s="347"/>
      <c r="BQ83" s="347"/>
    </row>
    <row r="84" spans="1:69">
      <c r="A84" s="347"/>
      <c r="B84" s="350">
        <v>0.79166666666666663</v>
      </c>
      <c r="C84" s="57">
        <v>1</v>
      </c>
      <c r="D84" s="57">
        <v>1</v>
      </c>
      <c r="E84" s="57">
        <v>1</v>
      </c>
      <c r="F84" s="57">
        <v>1</v>
      </c>
      <c r="G84" s="57">
        <v>1</v>
      </c>
      <c r="H84" s="57">
        <v>1</v>
      </c>
      <c r="I84" s="57">
        <v>1</v>
      </c>
      <c r="J84" s="57">
        <v>1</v>
      </c>
      <c r="K84" s="57">
        <v>1</v>
      </c>
      <c r="L84" s="57">
        <v>1</v>
      </c>
      <c r="M84" s="57">
        <v>1</v>
      </c>
      <c r="N84" s="57">
        <v>1</v>
      </c>
      <c r="O84" s="57">
        <v>1</v>
      </c>
      <c r="P84" s="57">
        <v>1</v>
      </c>
      <c r="Q84" s="57">
        <v>1</v>
      </c>
      <c r="R84" s="57">
        <v>1</v>
      </c>
      <c r="S84" s="57">
        <v>1</v>
      </c>
      <c r="T84" s="57">
        <v>1</v>
      </c>
      <c r="U84" s="57">
        <v>1</v>
      </c>
      <c r="V84" s="57">
        <v>1</v>
      </c>
      <c r="W84" s="57">
        <v>1</v>
      </c>
      <c r="X84" s="57">
        <v>1</v>
      </c>
      <c r="Y84" s="57">
        <v>1</v>
      </c>
      <c r="Z84" s="57">
        <v>1</v>
      </c>
      <c r="AA84" s="57">
        <v>1</v>
      </c>
      <c r="AB84" s="57">
        <v>1</v>
      </c>
      <c r="AC84" s="57">
        <v>1</v>
      </c>
      <c r="AD84" s="57">
        <v>1</v>
      </c>
      <c r="AE84" s="57">
        <v>1</v>
      </c>
      <c r="AF84" s="57">
        <v>1</v>
      </c>
      <c r="AG84" s="57">
        <v>1</v>
      </c>
      <c r="AH84" s="353"/>
      <c r="AI84" s="347"/>
      <c r="AJ84" s="347"/>
      <c r="AK84" s="347"/>
      <c r="AL84" s="347"/>
      <c r="AM84" s="347"/>
      <c r="AN84" s="347"/>
      <c r="AO84" s="347"/>
      <c r="AP84" s="347"/>
      <c r="AQ84" s="347"/>
      <c r="AR84" s="347"/>
      <c r="AS84" s="347"/>
      <c r="AT84" s="347"/>
      <c r="AU84" s="347"/>
      <c r="AV84" s="347"/>
      <c r="AW84" s="347"/>
      <c r="AX84" s="347"/>
      <c r="AY84" s="347"/>
      <c r="AZ84" s="347"/>
      <c r="BA84" s="347"/>
      <c r="BB84" s="347"/>
      <c r="BC84" s="347"/>
      <c r="BD84" s="347"/>
      <c r="BE84" s="347"/>
      <c r="BF84" s="347"/>
      <c r="BG84" s="347"/>
      <c r="BH84" s="347"/>
      <c r="BI84" s="347"/>
      <c r="BJ84" s="347"/>
      <c r="BK84" s="347"/>
      <c r="BL84" s="347"/>
      <c r="BM84" s="347"/>
      <c r="BN84" s="347"/>
      <c r="BO84" s="347"/>
      <c r="BP84" s="347"/>
      <c r="BQ84" s="347"/>
    </row>
    <row r="85" spans="1:69">
      <c r="A85" s="347"/>
      <c r="B85" s="350">
        <v>0.83333333333333337</v>
      </c>
      <c r="C85" s="362"/>
      <c r="D85" s="362"/>
      <c r="E85" s="362"/>
      <c r="F85" s="362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  <c r="Z85" s="362"/>
      <c r="AA85" s="362"/>
      <c r="AB85" s="362"/>
      <c r="AC85" s="362"/>
      <c r="AD85" s="362"/>
      <c r="AE85" s="362"/>
      <c r="AF85" s="362"/>
      <c r="AG85" s="362"/>
      <c r="AH85" s="353"/>
      <c r="AI85" s="347"/>
      <c r="AJ85" s="347"/>
      <c r="AK85" s="347"/>
      <c r="AL85" s="347"/>
      <c r="AM85" s="347"/>
      <c r="AN85" s="347"/>
      <c r="AO85" s="347"/>
      <c r="AP85" s="347"/>
      <c r="AQ85" s="347"/>
      <c r="AR85" s="347"/>
      <c r="AS85" s="347"/>
      <c r="AT85" s="347"/>
      <c r="AU85" s="347"/>
      <c r="AV85" s="347"/>
      <c r="AW85" s="347"/>
      <c r="AX85" s="347"/>
      <c r="AY85" s="347"/>
      <c r="AZ85" s="347"/>
      <c r="BA85" s="347"/>
      <c r="BB85" s="347"/>
      <c r="BC85" s="347"/>
      <c r="BD85" s="347"/>
      <c r="BE85" s="347"/>
      <c r="BF85" s="347"/>
      <c r="BG85" s="347"/>
      <c r="BH85" s="347"/>
      <c r="BI85" s="347"/>
      <c r="BJ85" s="347"/>
      <c r="BK85" s="347"/>
      <c r="BL85" s="347"/>
      <c r="BM85" s="347"/>
      <c r="BN85" s="347"/>
      <c r="BO85" s="347"/>
      <c r="BP85" s="347"/>
      <c r="BQ85" s="347"/>
    </row>
    <row r="86" spans="1:69">
      <c r="A86" s="347"/>
      <c r="B86" s="350">
        <v>0.875</v>
      </c>
      <c r="C86" s="362"/>
      <c r="D86" s="362"/>
      <c r="E86" s="362"/>
      <c r="F86" s="362"/>
      <c r="G86" s="362"/>
      <c r="H86" s="362"/>
      <c r="I86" s="362"/>
      <c r="J86" s="362"/>
      <c r="K86" s="362"/>
      <c r="L86" s="362"/>
      <c r="M86" s="362"/>
      <c r="N86" s="362"/>
      <c r="O86" s="362"/>
      <c r="P86" s="362"/>
      <c r="Q86" s="362"/>
      <c r="R86" s="362"/>
      <c r="S86" s="362"/>
      <c r="T86" s="362"/>
      <c r="U86" s="362"/>
      <c r="V86" s="362"/>
      <c r="W86" s="362"/>
      <c r="X86" s="362"/>
      <c r="Y86" s="362"/>
      <c r="Z86" s="362"/>
      <c r="AA86" s="362"/>
      <c r="AB86" s="362"/>
      <c r="AC86" s="362"/>
      <c r="AD86" s="362"/>
      <c r="AE86" s="362"/>
      <c r="AF86" s="362"/>
      <c r="AG86" s="362"/>
      <c r="AH86" s="353"/>
      <c r="AI86" s="347"/>
      <c r="AJ86" s="347"/>
      <c r="AK86" s="347"/>
      <c r="AL86" s="347"/>
      <c r="AM86" s="347"/>
      <c r="AN86" s="347"/>
      <c r="AO86" s="347"/>
      <c r="AP86" s="347"/>
      <c r="AQ86" s="347"/>
      <c r="AR86" s="347"/>
      <c r="AS86" s="347"/>
      <c r="AT86" s="347"/>
      <c r="AU86" s="347"/>
      <c r="AV86" s="347"/>
      <c r="AW86" s="347"/>
      <c r="AX86" s="347"/>
      <c r="AY86" s="347"/>
      <c r="AZ86" s="347"/>
      <c r="BA86" s="347"/>
      <c r="BB86" s="347"/>
      <c r="BC86" s="347"/>
      <c r="BD86" s="347"/>
      <c r="BE86" s="347"/>
      <c r="BF86" s="347"/>
      <c r="BG86" s="347"/>
      <c r="BH86" s="347"/>
      <c r="BI86" s="347"/>
      <c r="BJ86" s="347"/>
      <c r="BK86" s="347"/>
      <c r="BL86" s="347"/>
      <c r="BM86" s="347"/>
      <c r="BN86" s="347"/>
      <c r="BO86" s="347"/>
      <c r="BP86" s="347"/>
      <c r="BQ86" s="347"/>
    </row>
    <row r="87" spans="1:69">
      <c r="A87" s="347"/>
      <c r="B87" s="350">
        <v>0.91666666666666663</v>
      </c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2"/>
      <c r="P87" s="362"/>
      <c r="Q87" s="362"/>
      <c r="R87" s="362"/>
      <c r="S87" s="362"/>
      <c r="T87" s="362"/>
      <c r="U87" s="362"/>
      <c r="V87" s="362"/>
      <c r="W87" s="362"/>
      <c r="X87" s="362"/>
      <c r="Y87" s="362"/>
      <c r="Z87" s="362"/>
      <c r="AA87" s="362"/>
      <c r="AB87" s="362"/>
      <c r="AC87" s="362"/>
      <c r="AD87" s="362"/>
      <c r="AE87" s="362"/>
      <c r="AF87" s="362"/>
      <c r="AG87" s="362"/>
      <c r="AH87" s="353"/>
      <c r="AI87" s="347"/>
      <c r="AJ87" s="347"/>
      <c r="AK87" s="347"/>
      <c r="AL87" s="347"/>
      <c r="AM87" s="347"/>
      <c r="AN87" s="347"/>
      <c r="AO87" s="347"/>
      <c r="AP87" s="347"/>
      <c r="AQ87" s="347"/>
      <c r="AR87" s="347"/>
      <c r="AS87" s="347"/>
      <c r="AT87" s="347"/>
      <c r="AU87" s="347"/>
      <c r="AV87" s="347"/>
      <c r="AW87" s="347"/>
      <c r="AX87" s="347"/>
      <c r="AY87" s="347"/>
      <c r="AZ87" s="347"/>
      <c r="BA87" s="347"/>
      <c r="BB87" s="347"/>
      <c r="BC87" s="347"/>
      <c r="BD87" s="347"/>
      <c r="BE87" s="347"/>
      <c r="BF87" s="347"/>
      <c r="BG87" s="347"/>
      <c r="BH87" s="347"/>
      <c r="BI87" s="347"/>
      <c r="BJ87" s="347"/>
      <c r="BK87" s="347"/>
      <c r="BL87" s="347"/>
      <c r="BM87" s="347"/>
      <c r="BN87" s="347"/>
      <c r="BO87" s="347"/>
      <c r="BP87" s="347"/>
      <c r="BQ87" s="347"/>
    </row>
    <row r="88" spans="1:69">
      <c r="A88" s="347"/>
      <c r="B88" s="350">
        <v>0.95833333333333337</v>
      </c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2"/>
      <c r="P88" s="362"/>
      <c r="Q88" s="362"/>
      <c r="R88" s="362"/>
      <c r="S88" s="362"/>
      <c r="T88" s="362"/>
      <c r="U88" s="362"/>
      <c r="V88" s="362"/>
      <c r="W88" s="362"/>
      <c r="X88" s="362"/>
      <c r="Y88" s="362"/>
      <c r="Z88" s="362"/>
      <c r="AA88" s="362"/>
      <c r="AB88" s="362"/>
      <c r="AC88" s="362"/>
      <c r="AD88" s="362"/>
      <c r="AE88" s="362"/>
      <c r="AF88" s="362"/>
      <c r="AG88" s="362"/>
      <c r="AH88" s="353"/>
      <c r="AI88" s="347"/>
      <c r="AJ88" s="347"/>
      <c r="AK88" s="347"/>
      <c r="AL88" s="347"/>
      <c r="AM88" s="347"/>
      <c r="AN88" s="347"/>
      <c r="AO88" s="347"/>
      <c r="AP88" s="347"/>
      <c r="AQ88" s="347"/>
      <c r="AR88" s="347"/>
      <c r="AS88" s="347"/>
      <c r="AT88" s="347"/>
      <c r="AU88" s="347"/>
      <c r="AV88" s="347"/>
      <c r="AW88" s="347"/>
      <c r="AX88" s="347"/>
      <c r="AY88" s="347"/>
      <c r="AZ88" s="347"/>
      <c r="BA88" s="347"/>
      <c r="BB88" s="347"/>
      <c r="BC88" s="347"/>
      <c r="BD88" s="347"/>
      <c r="BE88" s="347"/>
      <c r="BF88" s="347"/>
      <c r="BG88" s="347"/>
      <c r="BH88" s="347"/>
      <c r="BI88" s="347"/>
      <c r="BJ88" s="347"/>
      <c r="BK88" s="347"/>
      <c r="BL88" s="347"/>
      <c r="BM88" s="347"/>
      <c r="BN88" s="347"/>
      <c r="BO88" s="347"/>
      <c r="BP88" s="347"/>
      <c r="BQ88" s="347"/>
    </row>
    <row r="89" spans="1:69">
      <c r="A89" s="347"/>
      <c r="B89" s="354" t="s">
        <v>771</v>
      </c>
      <c r="C89" s="354">
        <v>11</v>
      </c>
      <c r="D89" s="354">
        <v>11</v>
      </c>
      <c r="E89" s="354">
        <v>11</v>
      </c>
      <c r="F89" s="354">
        <v>11</v>
      </c>
      <c r="G89" s="354">
        <v>11</v>
      </c>
      <c r="H89" s="354">
        <v>11</v>
      </c>
      <c r="I89" s="354">
        <v>11</v>
      </c>
      <c r="J89" s="354">
        <v>11</v>
      </c>
      <c r="K89" s="354">
        <v>11</v>
      </c>
      <c r="L89" s="354">
        <v>11</v>
      </c>
      <c r="M89" s="354">
        <v>11</v>
      </c>
      <c r="N89" s="354">
        <v>11</v>
      </c>
      <c r="O89" s="354">
        <v>11</v>
      </c>
      <c r="P89" s="354">
        <v>11</v>
      </c>
      <c r="Q89" s="354">
        <v>11</v>
      </c>
      <c r="R89" s="354">
        <v>11</v>
      </c>
      <c r="S89" s="354">
        <v>11</v>
      </c>
      <c r="T89" s="354">
        <v>11</v>
      </c>
      <c r="U89" s="354">
        <v>11</v>
      </c>
      <c r="V89" s="354">
        <v>11</v>
      </c>
      <c r="W89" s="354">
        <v>11</v>
      </c>
      <c r="X89" s="354">
        <v>11</v>
      </c>
      <c r="Y89" s="354">
        <v>11</v>
      </c>
      <c r="Z89" s="354">
        <v>11</v>
      </c>
      <c r="AA89" s="354">
        <v>11</v>
      </c>
      <c r="AB89" s="363">
        <v>11</v>
      </c>
      <c r="AC89" s="354">
        <v>11</v>
      </c>
      <c r="AD89" s="354">
        <v>11</v>
      </c>
      <c r="AE89" s="354">
        <v>11</v>
      </c>
      <c r="AF89" s="354">
        <v>11</v>
      </c>
      <c r="AG89" s="354">
        <v>11</v>
      </c>
      <c r="AH89" s="356">
        <v>341</v>
      </c>
      <c r="AI89" s="347"/>
      <c r="AJ89" s="347"/>
      <c r="AK89" s="347"/>
      <c r="AL89" s="347"/>
      <c r="AM89" s="347"/>
      <c r="AN89" s="347"/>
      <c r="AO89" s="347"/>
      <c r="AP89" s="347"/>
      <c r="AQ89" s="347"/>
      <c r="AR89" s="347"/>
      <c r="AS89" s="347"/>
      <c r="AT89" s="347"/>
      <c r="AU89" s="347"/>
      <c r="AV89" s="347"/>
      <c r="AW89" s="347"/>
      <c r="AX89" s="347"/>
      <c r="AY89" s="347"/>
      <c r="AZ89" s="347"/>
      <c r="BA89" s="347"/>
      <c r="BB89" s="347"/>
      <c r="BC89" s="347"/>
      <c r="BD89" s="347"/>
      <c r="BE89" s="347"/>
      <c r="BF89" s="347"/>
      <c r="BG89" s="347"/>
      <c r="BH89" s="347"/>
      <c r="BI89" s="347"/>
      <c r="BJ89" s="347"/>
      <c r="BK89" s="347"/>
      <c r="BL89" s="347"/>
      <c r="BM89" s="347"/>
      <c r="BN89" s="347"/>
      <c r="BO89" s="347"/>
      <c r="BP89" s="347"/>
      <c r="BQ89" s="347"/>
    </row>
    <row r="90" spans="1:69">
      <c r="A90" s="347"/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347"/>
      <c r="AB90" s="347"/>
      <c r="AC90" s="347"/>
      <c r="AD90" s="347"/>
      <c r="AE90" s="347"/>
      <c r="AF90" s="347"/>
      <c r="AG90" s="347"/>
      <c r="AH90" s="347"/>
      <c r="AI90" s="347"/>
      <c r="AJ90" s="347"/>
      <c r="AK90" s="347"/>
      <c r="AL90" s="347"/>
      <c r="AM90" s="347"/>
      <c r="AN90" s="347"/>
      <c r="AO90" s="347"/>
      <c r="AP90" s="347"/>
      <c r="AQ90" s="347"/>
      <c r="AR90" s="347"/>
      <c r="AS90" s="347"/>
      <c r="AT90" s="347"/>
      <c r="AU90" s="347"/>
      <c r="AV90" s="347"/>
      <c r="AW90" s="347"/>
      <c r="AX90" s="347"/>
      <c r="AY90" s="347"/>
      <c r="AZ90" s="347"/>
      <c r="BA90" s="347"/>
      <c r="BB90" s="347"/>
      <c r="BC90" s="347"/>
      <c r="BD90" s="347"/>
      <c r="BE90" s="347"/>
      <c r="BF90" s="347"/>
      <c r="BG90" s="347"/>
      <c r="BH90" s="347"/>
      <c r="BI90" s="347"/>
      <c r="BJ90" s="347"/>
      <c r="BK90" s="347"/>
      <c r="BL90" s="347"/>
      <c r="BM90" s="347"/>
      <c r="BN90" s="347"/>
      <c r="BO90" s="347"/>
      <c r="BP90" s="347"/>
      <c r="BQ90" s="347"/>
    </row>
    <row r="91" spans="1:69">
      <c r="A91" s="347"/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  <c r="AA91" s="347"/>
      <c r="AB91" s="347"/>
      <c r="AC91" s="347"/>
      <c r="AD91" s="347"/>
      <c r="AE91" s="347"/>
      <c r="AF91" s="347"/>
      <c r="AG91" s="347"/>
      <c r="AH91" s="347"/>
      <c r="AI91" s="347"/>
      <c r="AJ91" s="347"/>
      <c r="AK91" s="347"/>
      <c r="AL91" s="347"/>
      <c r="AM91" s="347"/>
      <c r="AN91" s="347"/>
      <c r="AO91" s="347"/>
      <c r="AP91" s="347"/>
      <c r="AQ91" s="347"/>
      <c r="AR91" s="347"/>
      <c r="AS91" s="347"/>
      <c r="AT91" s="347"/>
      <c r="AU91" s="347"/>
      <c r="AV91" s="347"/>
      <c r="AW91" s="347"/>
      <c r="AX91" s="347"/>
      <c r="AY91" s="347"/>
      <c r="AZ91" s="347"/>
      <c r="BA91" s="347"/>
      <c r="BB91" s="347"/>
      <c r="BC91" s="347"/>
      <c r="BD91" s="347"/>
      <c r="BE91" s="347"/>
      <c r="BF91" s="347"/>
      <c r="BG91" s="347"/>
      <c r="BH91" s="347"/>
      <c r="BI91" s="347"/>
      <c r="BJ91" s="347"/>
      <c r="BK91" s="347"/>
      <c r="BL91" s="347"/>
      <c r="BM91" s="347"/>
      <c r="BN91" s="347"/>
      <c r="BO91" s="347"/>
      <c r="BP91" s="347"/>
      <c r="BQ91" s="347"/>
    </row>
    <row r="92" spans="1:69">
      <c r="A92" s="347"/>
      <c r="B92" s="347"/>
      <c r="C92" s="347"/>
      <c r="D92" s="347"/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  <c r="AA92" s="347"/>
      <c r="AB92" s="347"/>
      <c r="AC92" s="347"/>
      <c r="AD92" s="347"/>
      <c r="AE92" s="347"/>
      <c r="AF92" s="347"/>
      <c r="AG92" s="347"/>
      <c r="AH92" s="347"/>
      <c r="AI92" s="347"/>
      <c r="AJ92" s="347"/>
      <c r="AK92" s="347"/>
      <c r="AL92" s="347"/>
      <c r="AM92" s="347"/>
      <c r="AN92" s="347"/>
      <c r="AO92" s="347"/>
      <c r="AP92" s="347"/>
      <c r="AQ92" s="347"/>
      <c r="AR92" s="347"/>
      <c r="AS92" s="347"/>
      <c r="AT92" s="347"/>
      <c r="AU92" s="347"/>
      <c r="AV92" s="347"/>
      <c r="AW92" s="347"/>
      <c r="AX92" s="347"/>
      <c r="AY92" s="347"/>
      <c r="AZ92" s="347"/>
      <c r="BA92" s="347"/>
      <c r="BB92" s="347"/>
      <c r="BC92" s="347"/>
      <c r="BD92" s="347"/>
      <c r="BE92" s="347"/>
      <c r="BF92" s="347"/>
      <c r="BG92" s="347"/>
      <c r="BH92" s="347"/>
      <c r="BI92" s="347"/>
      <c r="BJ92" s="347"/>
      <c r="BK92" s="347"/>
      <c r="BL92" s="347"/>
      <c r="BM92" s="347"/>
      <c r="BN92" s="347"/>
      <c r="BO92" s="347"/>
      <c r="BP92" s="347"/>
      <c r="BQ92" s="347"/>
    </row>
    <row r="93" spans="1:69">
      <c r="A93" s="347"/>
      <c r="B93" s="347"/>
      <c r="C93" s="347"/>
      <c r="D93" s="347"/>
      <c r="E93" s="347"/>
      <c r="F93" s="347"/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/>
      <c r="W93" s="347"/>
      <c r="X93" s="347"/>
      <c r="Y93" s="347"/>
      <c r="Z93" s="347"/>
      <c r="AA93" s="347"/>
      <c r="AB93" s="347"/>
      <c r="AC93" s="347"/>
      <c r="AD93" s="347"/>
      <c r="AE93" s="347"/>
      <c r="AF93" s="347"/>
      <c r="AG93" s="347"/>
      <c r="AH93" s="347"/>
      <c r="AI93" s="347"/>
      <c r="AJ93" s="347"/>
      <c r="AK93" s="347"/>
      <c r="AL93" s="347"/>
      <c r="AM93" s="347"/>
      <c r="AN93" s="347"/>
      <c r="AO93" s="347"/>
      <c r="AP93" s="347"/>
      <c r="AQ93" s="347"/>
      <c r="AR93" s="347"/>
      <c r="AS93" s="347"/>
      <c r="AT93" s="347"/>
      <c r="AU93" s="347"/>
      <c r="AV93" s="347"/>
      <c r="AW93" s="347"/>
      <c r="AX93" s="347"/>
      <c r="AY93" s="347"/>
      <c r="AZ93" s="347"/>
      <c r="BA93" s="347"/>
      <c r="BB93" s="347"/>
      <c r="BC93" s="347"/>
      <c r="BD93" s="347"/>
      <c r="BE93" s="347"/>
      <c r="BF93" s="347"/>
      <c r="BG93" s="347"/>
      <c r="BH93" s="347"/>
      <c r="BI93" s="347"/>
      <c r="BJ93" s="347"/>
      <c r="BK93" s="347"/>
      <c r="BL93" s="347"/>
      <c r="BM93" s="347"/>
      <c r="BN93" s="347"/>
      <c r="BO93" s="347"/>
      <c r="BP93" s="347"/>
      <c r="BQ93" s="347"/>
    </row>
    <row r="94" spans="1:69">
      <c r="A94" s="347"/>
      <c r="B94" s="358" t="s">
        <v>476</v>
      </c>
      <c r="C94" s="348">
        <v>45658</v>
      </c>
      <c r="D94" s="348">
        <v>45659</v>
      </c>
      <c r="E94" s="348">
        <v>45660</v>
      </c>
      <c r="F94" s="348">
        <v>45661</v>
      </c>
      <c r="G94" s="348">
        <v>45662</v>
      </c>
      <c r="H94" s="348">
        <v>45663</v>
      </c>
      <c r="I94" s="348">
        <v>45664</v>
      </c>
      <c r="J94" s="348">
        <v>45665</v>
      </c>
      <c r="K94" s="348">
        <v>45666</v>
      </c>
      <c r="L94" s="348">
        <v>45667</v>
      </c>
      <c r="M94" s="348">
        <v>45668</v>
      </c>
      <c r="N94" s="348">
        <v>45669</v>
      </c>
      <c r="O94" s="348">
        <v>45670</v>
      </c>
      <c r="P94" s="348">
        <v>45671</v>
      </c>
      <c r="Q94" s="348">
        <v>45672</v>
      </c>
      <c r="R94" s="348">
        <v>45673</v>
      </c>
      <c r="S94" s="348">
        <v>45674</v>
      </c>
      <c r="T94" s="348">
        <v>45675</v>
      </c>
      <c r="U94" s="348">
        <v>45676</v>
      </c>
      <c r="V94" s="348">
        <v>45677</v>
      </c>
      <c r="W94" s="348">
        <v>45678</v>
      </c>
      <c r="X94" s="348">
        <v>45679</v>
      </c>
      <c r="Y94" s="348">
        <v>45680</v>
      </c>
      <c r="Z94" s="348">
        <v>45681</v>
      </c>
      <c r="AA94" s="348">
        <v>45682</v>
      </c>
      <c r="AB94" s="348">
        <v>45683</v>
      </c>
      <c r="AC94" s="348">
        <v>45684</v>
      </c>
      <c r="AD94" s="348">
        <v>45685</v>
      </c>
      <c r="AE94" s="348">
        <v>45686</v>
      </c>
      <c r="AF94" s="348">
        <v>45687</v>
      </c>
      <c r="AG94" s="348">
        <v>45688</v>
      </c>
      <c r="AH94" s="347"/>
      <c r="AI94" s="347"/>
      <c r="AJ94" s="347"/>
      <c r="AK94" s="347"/>
      <c r="AL94" s="347"/>
      <c r="AM94" s="347"/>
      <c r="AN94" s="347"/>
      <c r="AO94" s="347"/>
      <c r="AP94" s="347"/>
      <c r="AQ94" s="347"/>
      <c r="AR94" s="347"/>
      <c r="AS94" s="347"/>
      <c r="AT94" s="347"/>
      <c r="AU94" s="347"/>
      <c r="AV94" s="347"/>
      <c r="AW94" s="347"/>
      <c r="AX94" s="347"/>
      <c r="AY94" s="347"/>
      <c r="AZ94" s="347"/>
      <c r="BA94" s="347"/>
      <c r="BB94" s="347"/>
      <c r="BC94" s="347"/>
      <c r="BD94" s="347"/>
      <c r="BE94" s="347"/>
      <c r="BF94" s="347"/>
      <c r="BG94" s="347"/>
      <c r="BH94" s="347"/>
      <c r="BI94" s="347"/>
      <c r="BJ94" s="347"/>
      <c r="BK94" s="347"/>
      <c r="BL94" s="347"/>
      <c r="BM94" s="347"/>
      <c r="BN94" s="347"/>
      <c r="BO94" s="347"/>
      <c r="BP94" s="347"/>
      <c r="BQ94" s="347"/>
    </row>
    <row r="95" spans="1:69">
      <c r="A95" s="347"/>
      <c r="B95" s="359"/>
      <c r="C95" s="349" t="s">
        <v>764</v>
      </c>
      <c r="D95" s="349" t="s">
        <v>765</v>
      </c>
      <c r="E95" s="349" t="s">
        <v>766</v>
      </c>
      <c r="F95" s="349" t="s">
        <v>767</v>
      </c>
      <c r="G95" s="349" t="s">
        <v>768</v>
      </c>
      <c r="H95" s="349" t="s">
        <v>769</v>
      </c>
      <c r="I95" s="349" t="s">
        <v>770</v>
      </c>
      <c r="J95" s="349" t="s">
        <v>764</v>
      </c>
      <c r="K95" s="349" t="s">
        <v>765</v>
      </c>
      <c r="L95" s="349" t="s">
        <v>766</v>
      </c>
      <c r="M95" s="349" t="s">
        <v>767</v>
      </c>
      <c r="N95" s="349" t="s">
        <v>768</v>
      </c>
      <c r="O95" s="349" t="s">
        <v>769</v>
      </c>
      <c r="P95" s="349" t="s">
        <v>770</v>
      </c>
      <c r="Q95" s="349" t="s">
        <v>764</v>
      </c>
      <c r="R95" s="349" t="s">
        <v>765</v>
      </c>
      <c r="S95" s="349" t="s">
        <v>766</v>
      </c>
      <c r="T95" s="349" t="s">
        <v>767</v>
      </c>
      <c r="U95" s="349" t="s">
        <v>768</v>
      </c>
      <c r="V95" s="349" t="s">
        <v>769</v>
      </c>
      <c r="W95" s="349" t="s">
        <v>770</v>
      </c>
      <c r="X95" s="349" t="s">
        <v>764</v>
      </c>
      <c r="Y95" s="349" t="s">
        <v>765</v>
      </c>
      <c r="Z95" s="349" t="s">
        <v>766</v>
      </c>
      <c r="AA95" s="349" t="s">
        <v>767</v>
      </c>
      <c r="AB95" s="349" t="s">
        <v>768</v>
      </c>
      <c r="AC95" s="349" t="s">
        <v>769</v>
      </c>
      <c r="AD95" s="349" t="s">
        <v>770</v>
      </c>
      <c r="AE95" s="349" t="s">
        <v>764</v>
      </c>
      <c r="AF95" s="349" t="s">
        <v>765</v>
      </c>
      <c r="AG95" s="349" t="s">
        <v>766</v>
      </c>
      <c r="AH95" s="347"/>
      <c r="AI95" s="347"/>
      <c r="AJ95" s="347"/>
      <c r="AK95" s="347"/>
      <c r="AL95" s="347"/>
      <c r="AM95" s="347"/>
      <c r="AN95" s="347"/>
      <c r="AO95" s="347"/>
      <c r="AP95" s="347"/>
      <c r="AQ95" s="347"/>
      <c r="AR95" s="347"/>
      <c r="AS95" s="347"/>
      <c r="AT95" s="347"/>
      <c r="AU95" s="347"/>
      <c r="AV95" s="347"/>
      <c r="AW95" s="347"/>
      <c r="AX95" s="347"/>
      <c r="AY95" s="347"/>
      <c r="AZ95" s="347"/>
      <c r="BA95" s="347"/>
      <c r="BB95" s="347"/>
      <c r="BC95" s="347"/>
      <c r="BD95" s="347"/>
      <c r="BE95" s="347"/>
      <c r="BF95" s="347"/>
      <c r="BG95" s="347"/>
      <c r="BH95" s="347"/>
      <c r="BI95" s="347"/>
      <c r="BJ95" s="347"/>
      <c r="BK95" s="347"/>
      <c r="BL95" s="347"/>
      <c r="BM95" s="347"/>
      <c r="BN95" s="347"/>
      <c r="BO95" s="347"/>
      <c r="BP95" s="347"/>
      <c r="BQ95" s="347"/>
    </row>
    <row r="96" spans="1:69">
      <c r="A96" s="347"/>
      <c r="B96" s="350">
        <v>0</v>
      </c>
      <c r="C96" s="362"/>
      <c r="D96" s="362"/>
      <c r="E96" s="362"/>
      <c r="F96" s="362"/>
      <c r="G96" s="362"/>
      <c r="H96" s="362"/>
      <c r="I96" s="362"/>
      <c r="J96" s="362"/>
      <c r="K96" s="362"/>
      <c r="L96" s="362"/>
      <c r="M96" s="362"/>
      <c r="N96" s="362"/>
      <c r="O96" s="362"/>
      <c r="P96" s="362"/>
      <c r="Q96" s="362"/>
      <c r="R96" s="362"/>
      <c r="S96" s="362"/>
      <c r="T96" s="362"/>
      <c r="U96" s="362"/>
      <c r="V96" s="362"/>
      <c r="W96" s="362"/>
      <c r="X96" s="362"/>
      <c r="Y96" s="362"/>
      <c r="Z96" s="362"/>
      <c r="AA96" s="362"/>
      <c r="AB96" s="362"/>
      <c r="AC96" s="362"/>
      <c r="AD96" s="362"/>
      <c r="AE96" s="362"/>
      <c r="AF96" s="362"/>
      <c r="AG96" s="362"/>
      <c r="AH96" s="347"/>
      <c r="AI96" s="347"/>
      <c r="AJ96" s="347"/>
      <c r="AK96" s="347"/>
      <c r="AL96" s="347"/>
      <c r="AM96" s="347"/>
      <c r="AN96" s="347"/>
      <c r="AO96" s="347"/>
      <c r="AP96" s="347"/>
      <c r="AQ96" s="347"/>
      <c r="AR96" s="347"/>
      <c r="AS96" s="347"/>
      <c r="AT96" s="347"/>
      <c r="AU96" s="347"/>
      <c r="AV96" s="347"/>
      <c r="AW96" s="347"/>
      <c r="AX96" s="347"/>
      <c r="AY96" s="347"/>
      <c r="AZ96" s="347"/>
      <c r="BA96" s="347"/>
      <c r="BB96" s="347"/>
      <c r="BC96" s="347"/>
      <c r="BD96" s="347"/>
      <c r="BE96" s="347"/>
      <c r="BF96" s="347"/>
      <c r="BG96" s="347"/>
      <c r="BH96" s="347"/>
      <c r="BI96" s="347"/>
      <c r="BJ96" s="347"/>
      <c r="BK96" s="347"/>
      <c r="BL96" s="347"/>
      <c r="BM96" s="347"/>
      <c r="BN96" s="347"/>
      <c r="BO96" s="347"/>
      <c r="BP96" s="347"/>
      <c r="BQ96" s="347"/>
    </row>
    <row r="97" spans="1:69">
      <c r="A97" s="347"/>
      <c r="B97" s="350">
        <v>4.1666666666666664E-2</v>
      </c>
      <c r="C97" s="362"/>
      <c r="D97" s="362"/>
      <c r="E97" s="362"/>
      <c r="F97" s="362"/>
      <c r="G97" s="362"/>
      <c r="H97" s="362"/>
      <c r="I97" s="362"/>
      <c r="J97" s="362"/>
      <c r="K97" s="362"/>
      <c r="L97" s="362"/>
      <c r="M97" s="362"/>
      <c r="N97" s="362"/>
      <c r="O97" s="362"/>
      <c r="P97" s="362"/>
      <c r="Q97" s="362"/>
      <c r="R97" s="362"/>
      <c r="S97" s="362"/>
      <c r="T97" s="362"/>
      <c r="U97" s="362"/>
      <c r="V97" s="362"/>
      <c r="W97" s="362"/>
      <c r="X97" s="362"/>
      <c r="Y97" s="362"/>
      <c r="Z97" s="362"/>
      <c r="AA97" s="362"/>
      <c r="AB97" s="362"/>
      <c r="AC97" s="362"/>
      <c r="AD97" s="362"/>
      <c r="AE97" s="362"/>
      <c r="AF97" s="362"/>
      <c r="AG97" s="362"/>
      <c r="AH97" s="347"/>
      <c r="AI97" s="347"/>
      <c r="AJ97" s="347"/>
      <c r="AK97" s="347"/>
      <c r="AL97" s="347"/>
      <c r="AM97" s="347"/>
      <c r="AN97" s="347"/>
      <c r="AO97" s="347"/>
      <c r="AP97" s="347"/>
      <c r="AQ97" s="347"/>
      <c r="AR97" s="347"/>
      <c r="AS97" s="347"/>
      <c r="AT97" s="347"/>
      <c r="AU97" s="347"/>
      <c r="AV97" s="347"/>
      <c r="AW97" s="347"/>
      <c r="AX97" s="347"/>
      <c r="AY97" s="347"/>
      <c r="AZ97" s="347"/>
      <c r="BA97" s="347"/>
      <c r="BB97" s="347"/>
      <c r="BC97" s="347"/>
      <c r="BD97" s="347"/>
      <c r="BE97" s="347"/>
      <c r="BF97" s="347"/>
      <c r="BG97" s="347"/>
      <c r="BH97" s="347"/>
      <c r="BI97" s="347"/>
      <c r="BJ97" s="347"/>
      <c r="BK97" s="347"/>
      <c r="BL97" s="347"/>
      <c r="BM97" s="347"/>
      <c r="BN97" s="347"/>
      <c r="BO97" s="347"/>
      <c r="BP97" s="347"/>
      <c r="BQ97" s="347"/>
    </row>
    <row r="98" spans="1:69">
      <c r="A98" s="347"/>
      <c r="B98" s="350">
        <v>8.3333333333333329E-2</v>
      </c>
      <c r="C98" s="362"/>
      <c r="D98" s="362"/>
      <c r="E98" s="362"/>
      <c r="F98" s="362"/>
      <c r="G98" s="362"/>
      <c r="H98" s="362"/>
      <c r="I98" s="362"/>
      <c r="J98" s="362"/>
      <c r="K98" s="362"/>
      <c r="L98" s="362"/>
      <c r="M98" s="362"/>
      <c r="N98" s="362"/>
      <c r="O98" s="362"/>
      <c r="P98" s="362"/>
      <c r="Q98" s="362"/>
      <c r="R98" s="362"/>
      <c r="S98" s="362"/>
      <c r="T98" s="362"/>
      <c r="U98" s="362"/>
      <c r="V98" s="362"/>
      <c r="W98" s="362"/>
      <c r="X98" s="362"/>
      <c r="Y98" s="362"/>
      <c r="Z98" s="362"/>
      <c r="AA98" s="362"/>
      <c r="AB98" s="362"/>
      <c r="AC98" s="362"/>
      <c r="AD98" s="362"/>
      <c r="AE98" s="362"/>
      <c r="AF98" s="362"/>
      <c r="AG98" s="362"/>
      <c r="AH98" s="347"/>
      <c r="AI98" s="347"/>
      <c r="AJ98" s="347"/>
      <c r="AK98" s="347"/>
      <c r="AL98" s="347"/>
      <c r="AM98" s="347"/>
      <c r="AN98" s="347"/>
      <c r="AO98" s="347"/>
      <c r="AP98" s="347"/>
      <c r="AQ98" s="347"/>
      <c r="AR98" s="347"/>
      <c r="AS98" s="347"/>
      <c r="AT98" s="347"/>
      <c r="AU98" s="347"/>
      <c r="AV98" s="347"/>
      <c r="AW98" s="347"/>
      <c r="AX98" s="347"/>
      <c r="AY98" s="347"/>
      <c r="AZ98" s="347"/>
      <c r="BA98" s="347"/>
      <c r="BB98" s="347"/>
      <c r="BC98" s="347"/>
      <c r="BD98" s="347"/>
      <c r="BE98" s="347"/>
      <c r="BF98" s="347"/>
      <c r="BG98" s="347"/>
      <c r="BH98" s="347"/>
      <c r="BI98" s="347"/>
      <c r="BJ98" s="347"/>
      <c r="BK98" s="347"/>
      <c r="BL98" s="347"/>
      <c r="BM98" s="347"/>
      <c r="BN98" s="347"/>
      <c r="BO98" s="347"/>
      <c r="BP98" s="347"/>
      <c r="BQ98" s="347"/>
    </row>
    <row r="99" spans="1:69">
      <c r="A99" s="347"/>
      <c r="B99" s="350">
        <v>0.125</v>
      </c>
      <c r="C99" s="362"/>
      <c r="D99" s="362"/>
      <c r="E99" s="362"/>
      <c r="F99" s="362"/>
      <c r="G99" s="362"/>
      <c r="H99" s="362"/>
      <c r="I99" s="362"/>
      <c r="J99" s="362"/>
      <c r="K99" s="362"/>
      <c r="L99" s="362"/>
      <c r="M99" s="362"/>
      <c r="N99" s="362"/>
      <c r="O99" s="362"/>
      <c r="P99" s="362"/>
      <c r="Q99" s="362"/>
      <c r="R99" s="362"/>
      <c r="S99" s="362"/>
      <c r="T99" s="362"/>
      <c r="U99" s="362"/>
      <c r="V99" s="362"/>
      <c r="W99" s="362"/>
      <c r="X99" s="362"/>
      <c r="Y99" s="362"/>
      <c r="Z99" s="362"/>
      <c r="AA99" s="362"/>
      <c r="AB99" s="362"/>
      <c r="AC99" s="362"/>
      <c r="AD99" s="362"/>
      <c r="AE99" s="362"/>
      <c r="AF99" s="362"/>
      <c r="AG99" s="362"/>
      <c r="AH99" s="347"/>
      <c r="AI99" s="347"/>
      <c r="AJ99" s="347"/>
      <c r="AK99" s="347"/>
      <c r="AL99" s="347"/>
      <c r="AM99" s="347"/>
      <c r="AN99" s="347"/>
      <c r="AO99" s="347"/>
      <c r="AP99" s="347"/>
      <c r="AQ99" s="347"/>
      <c r="AR99" s="347"/>
      <c r="AS99" s="347"/>
      <c r="AT99" s="347"/>
      <c r="AU99" s="347"/>
      <c r="AV99" s="347"/>
      <c r="AW99" s="347"/>
      <c r="AX99" s="347"/>
      <c r="AY99" s="347"/>
      <c r="AZ99" s="347"/>
      <c r="BA99" s="347"/>
      <c r="BB99" s="347"/>
      <c r="BC99" s="347"/>
      <c r="BD99" s="347"/>
      <c r="BE99" s="347"/>
      <c r="BF99" s="347"/>
      <c r="BG99" s="347"/>
      <c r="BH99" s="347"/>
      <c r="BI99" s="347"/>
      <c r="BJ99" s="347"/>
      <c r="BK99" s="347"/>
      <c r="BL99" s="347"/>
      <c r="BM99" s="347"/>
      <c r="BN99" s="347"/>
      <c r="BO99" s="347"/>
      <c r="BP99" s="347"/>
      <c r="BQ99" s="347"/>
    </row>
    <row r="100" spans="1:69">
      <c r="A100" s="347"/>
      <c r="B100" s="350">
        <v>0.16666666666666666</v>
      </c>
      <c r="C100" s="362"/>
      <c r="D100" s="362"/>
      <c r="E100" s="362"/>
      <c r="F100" s="362"/>
      <c r="G100" s="362"/>
      <c r="H100" s="362"/>
      <c r="I100" s="362"/>
      <c r="J100" s="362"/>
      <c r="K100" s="362"/>
      <c r="L100" s="362"/>
      <c r="M100" s="362"/>
      <c r="N100" s="362"/>
      <c r="O100" s="362"/>
      <c r="P100" s="362"/>
      <c r="Q100" s="362"/>
      <c r="R100" s="362"/>
      <c r="S100" s="362"/>
      <c r="T100" s="362"/>
      <c r="U100" s="362"/>
      <c r="V100" s="362"/>
      <c r="W100" s="362"/>
      <c r="X100" s="362"/>
      <c r="Y100" s="362"/>
      <c r="Z100" s="362"/>
      <c r="AA100" s="362"/>
      <c r="AB100" s="362"/>
      <c r="AC100" s="362"/>
      <c r="AD100" s="362"/>
      <c r="AE100" s="362"/>
      <c r="AF100" s="362"/>
      <c r="AG100" s="362"/>
      <c r="AH100" s="347"/>
      <c r="AI100" s="347"/>
      <c r="AJ100" s="347"/>
      <c r="AK100" s="347"/>
      <c r="AL100" s="347"/>
      <c r="AM100" s="347"/>
      <c r="AN100" s="347"/>
      <c r="AO100" s="347"/>
      <c r="AP100" s="347"/>
      <c r="AQ100" s="347"/>
      <c r="AR100" s="347"/>
      <c r="AS100" s="347"/>
      <c r="AT100" s="347"/>
      <c r="AU100" s="347"/>
      <c r="AV100" s="347"/>
      <c r="AW100" s="347"/>
      <c r="AX100" s="347"/>
      <c r="AY100" s="347"/>
      <c r="AZ100" s="347"/>
      <c r="BA100" s="347"/>
      <c r="BB100" s="347"/>
      <c r="BC100" s="347"/>
      <c r="BD100" s="347"/>
      <c r="BE100" s="347"/>
      <c r="BF100" s="347"/>
      <c r="BG100" s="347"/>
      <c r="BH100" s="347"/>
      <c r="BI100" s="347"/>
      <c r="BJ100" s="347"/>
      <c r="BK100" s="347"/>
      <c r="BL100" s="347"/>
      <c r="BM100" s="347"/>
      <c r="BN100" s="347"/>
      <c r="BO100" s="347"/>
      <c r="BP100" s="347"/>
      <c r="BQ100" s="347"/>
    </row>
    <row r="101" spans="1:69">
      <c r="A101" s="347"/>
      <c r="B101" s="350">
        <v>0.20833333333333334</v>
      </c>
      <c r="C101" s="362"/>
      <c r="D101" s="362"/>
      <c r="E101" s="362"/>
      <c r="F101" s="362"/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2"/>
      <c r="V101" s="362"/>
      <c r="W101" s="362"/>
      <c r="X101" s="362"/>
      <c r="Y101" s="362"/>
      <c r="Z101" s="362"/>
      <c r="AA101" s="362"/>
      <c r="AB101" s="362"/>
      <c r="AC101" s="362"/>
      <c r="AD101" s="362"/>
      <c r="AE101" s="362"/>
      <c r="AF101" s="362"/>
      <c r="AG101" s="362"/>
      <c r="AH101" s="347"/>
      <c r="AI101" s="347"/>
      <c r="AJ101" s="347"/>
      <c r="AK101" s="347"/>
      <c r="AL101" s="347"/>
      <c r="AM101" s="347"/>
      <c r="AN101" s="347"/>
      <c r="AO101" s="347"/>
      <c r="AP101" s="347"/>
      <c r="AQ101" s="347"/>
      <c r="AR101" s="347"/>
      <c r="AS101" s="347"/>
      <c r="AT101" s="347"/>
      <c r="AU101" s="347"/>
      <c r="AV101" s="347"/>
      <c r="AW101" s="347"/>
      <c r="AX101" s="347"/>
      <c r="AY101" s="347"/>
      <c r="AZ101" s="347"/>
      <c r="BA101" s="347"/>
      <c r="BB101" s="347"/>
      <c r="BC101" s="347"/>
      <c r="BD101" s="347"/>
      <c r="BE101" s="347"/>
      <c r="BF101" s="347"/>
      <c r="BG101" s="347"/>
      <c r="BH101" s="347"/>
      <c r="BI101" s="347"/>
      <c r="BJ101" s="347"/>
      <c r="BK101" s="347"/>
      <c r="BL101" s="347"/>
      <c r="BM101" s="347"/>
      <c r="BN101" s="347"/>
      <c r="BO101" s="347"/>
      <c r="BP101" s="347"/>
      <c r="BQ101" s="347"/>
    </row>
    <row r="102" spans="1:69">
      <c r="A102" s="347"/>
      <c r="B102" s="350">
        <v>0.25</v>
      </c>
      <c r="C102" s="362"/>
      <c r="D102" s="362"/>
      <c r="E102" s="362"/>
      <c r="F102" s="362"/>
      <c r="G102" s="362"/>
      <c r="H102" s="362"/>
      <c r="I102" s="362"/>
      <c r="J102" s="362"/>
      <c r="K102" s="362"/>
      <c r="L102" s="362"/>
      <c r="M102" s="362"/>
      <c r="N102" s="362"/>
      <c r="O102" s="362"/>
      <c r="P102" s="362"/>
      <c r="Q102" s="362"/>
      <c r="R102" s="362"/>
      <c r="S102" s="362"/>
      <c r="T102" s="362"/>
      <c r="U102" s="362"/>
      <c r="V102" s="362"/>
      <c r="W102" s="362"/>
      <c r="X102" s="362"/>
      <c r="Y102" s="362"/>
      <c r="Z102" s="362"/>
      <c r="AA102" s="362"/>
      <c r="AB102" s="362"/>
      <c r="AC102" s="362"/>
      <c r="AD102" s="362"/>
      <c r="AE102" s="362"/>
      <c r="AF102" s="362"/>
      <c r="AG102" s="362"/>
      <c r="AH102" s="347"/>
      <c r="AI102" s="347"/>
      <c r="AJ102" s="347"/>
      <c r="AK102" s="347"/>
      <c r="AL102" s="347"/>
      <c r="AM102" s="347"/>
      <c r="AN102" s="347"/>
      <c r="AO102" s="347"/>
      <c r="AP102" s="347"/>
      <c r="AQ102" s="347"/>
      <c r="AR102" s="347"/>
      <c r="AS102" s="347"/>
      <c r="AT102" s="347"/>
      <c r="AU102" s="347"/>
      <c r="AV102" s="347"/>
      <c r="AW102" s="347"/>
      <c r="AX102" s="347"/>
      <c r="AY102" s="347"/>
      <c r="AZ102" s="347"/>
      <c r="BA102" s="347"/>
      <c r="BB102" s="347"/>
      <c r="BC102" s="347"/>
      <c r="BD102" s="347"/>
      <c r="BE102" s="347"/>
      <c r="BF102" s="347"/>
      <c r="BG102" s="347"/>
      <c r="BH102" s="347"/>
      <c r="BI102" s="347"/>
      <c r="BJ102" s="347"/>
      <c r="BK102" s="347"/>
      <c r="BL102" s="347"/>
      <c r="BM102" s="347"/>
      <c r="BN102" s="347"/>
      <c r="BO102" s="347"/>
      <c r="BP102" s="347"/>
      <c r="BQ102" s="347"/>
    </row>
    <row r="103" spans="1:69">
      <c r="A103" s="347"/>
      <c r="B103" s="350">
        <v>0.29166666666666669</v>
      </c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2"/>
      <c r="P103" s="362"/>
      <c r="Q103" s="362"/>
      <c r="R103" s="362"/>
      <c r="S103" s="362"/>
      <c r="T103" s="362"/>
      <c r="U103" s="362"/>
      <c r="V103" s="362"/>
      <c r="W103" s="362"/>
      <c r="X103" s="362"/>
      <c r="Y103" s="362"/>
      <c r="Z103" s="362"/>
      <c r="AA103" s="362"/>
      <c r="AB103" s="362"/>
      <c r="AC103" s="362"/>
      <c r="AD103" s="362"/>
      <c r="AE103" s="362"/>
      <c r="AF103" s="362"/>
      <c r="AG103" s="362"/>
      <c r="AH103" s="347"/>
      <c r="AI103" s="347"/>
      <c r="AJ103" s="347"/>
      <c r="AK103" s="347"/>
      <c r="AL103" s="347"/>
      <c r="AM103" s="347"/>
      <c r="AN103" s="347"/>
      <c r="AO103" s="347"/>
      <c r="AP103" s="347"/>
      <c r="AQ103" s="347"/>
      <c r="AR103" s="347"/>
      <c r="AS103" s="347"/>
      <c r="AT103" s="347"/>
      <c r="AU103" s="347"/>
      <c r="AV103" s="347"/>
      <c r="AW103" s="347"/>
      <c r="AX103" s="347"/>
      <c r="AY103" s="347"/>
      <c r="AZ103" s="347"/>
      <c r="BA103" s="347"/>
      <c r="BB103" s="347"/>
      <c r="BC103" s="347"/>
      <c r="BD103" s="347"/>
      <c r="BE103" s="347"/>
      <c r="BF103" s="347"/>
      <c r="BG103" s="347"/>
      <c r="BH103" s="347"/>
      <c r="BI103" s="347"/>
      <c r="BJ103" s="347"/>
      <c r="BK103" s="347"/>
      <c r="BL103" s="347"/>
      <c r="BM103" s="347"/>
      <c r="BN103" s="347"/>
      <c r="BO103" s="347"/>
      <c r="BP103" s="347"/>
      <c r="BQ103" s="347"/>
    </row>
    <row r="104" spans="1:69">
      <c r="A104" s="347"/>
      <c r="B104" s="350">
        <v>0.33333333333333331</v>
      </c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2"/>
      <c r="P104" s="362"/>
      <c r="Q104" s="362"/>
      <c r="R104" s="362"/>
      <c r="S104" s="362"/>
      <c r="T104" s="362"/>
      <c r="U104" s="362"/>
      <c r="V104" s="362"/>
      <c r="W104" s="362"/>
      <c r="X104" s="362"/>
      <c r="Y104" s="362"/>
      <c r="Z104" s="362"/>
      <c r="AA104" s="362"/>
      <c r="AB104" s="362"/>
      <c r="AC104" s="362"/>
      <c r="AD104" s="362"/>
      <c r="AE104" s="362"/>
      <c r="AF104" s="362"/>
      <c r="AG104" s="362"/>
      <c r="AH104" s="347"/>
      <c r="AI104" s="347"/>
      <c r="AJ104" s="347"/>
      <c r="AK104" s="347"/>
      <c r="AL104" s="347"/>
      <c r="AM104" s="347"/>
      <c r="AN104" s="347"/>
      <c r="AO104" s="347"/>
      <c r="AP104" s="347"/>
      <c r="AQ104" s="347"/>
      <c r="AR104" s="347"/>
      <c r="AS104" s="347"/>
      <c r="AT104" s="347"/>
      <c r="AU104" s="347"/>
      <c r="AV104" s="347"/>
      <c r="AW104" s="347"/>
      <c r="AX104" s="347"/>
      <c r="AY104" s="347"/>
      <c r="AZ104" s="347"/>
      <c r="BA104" s="347"/>
      <c r="BB104" s="347"/>
      <c r="BC104" s="347"/>
      <c r="BD104" s="347"/>
      <c r="BE104" s="347"/>
      <c r="BF104" s="347"/>
      <c r="BG104" s="347"/>
      <c r="BH104" s="347"/>
      <c r="BI104" s="347"/>
      <c r="BJ104" s="347"/>
      <c r="BK104" s="347"/>
      <c r="BL104" s="347"/>
      <c r="BM104" s="347"/>
      <c r="BN104" s="347"/>
      <c r="BO104" s="347"/>
      <c r="BP104" s="347"/>
      <c r="BQ104" s="347"/>
    </row>
    <row r="105" spans="1:69">
      <c r="A105" s="347"/>
      <c r="B105" s="350">
        <v>0.375</v>
      </c>
      <c r="C105" s="362"/>
      <c r="D105" s="362"/>
      <c r="E105" s="362"/>
      <c r="F105" s="362"/>
      <c r="G105" s="362"/>
      <c r="H105" s="362"/>
      <c r="I105" s="362"/>
      <c r="J105" s="362"/>
      <c r="K105" s="362"/>
      <c r="L105" s="362"/>
      <c r="M105" s="362"/>
      <c r="N105" s="362"/>
      <c r="O105" s="362"/>
      <c r="P105" s="362"/>
      <c r="Q105" s="362"/>
      <c r="R105" s="362"/>
      <c r="S105" s="362"/>
      <c r="T105" s="362"/>
      <c r="U105" s="362"/>
      <c r="V105" s="364">
        <v>1</v>
      </c>
      <c r="W105" s="364">
        <v>10</v>
      </c>
      <c r="X105" s="364">
        <v>10</v>
      </c>
      <c r="Y105" s="364">
        <v>8</v>
      </c>
      <c r="Z105" s="364">
        <v>8</v>
      </c>
      <c r="AA105" s="362"/>
      <c r="AB105" s="364">
        <v>10</v>
      </c>
      <c r="AC105" s="364">
        <v>10</v>
      </c>
      <c r="AD105" s="364">
        <v>10</v>
      </c>
      <c r="AE105" s="364">
        <v>10</v>
      </c>
      <c r="AF105" s="364">
        <v>10</v>
      </c>
      <c r="AG105" s="364">
        <v>10</v>
      </c>
      <c r="AH105" s="347"/>
      <c r="AI105" s="347"/>
      <c r="AJ105" s="347"/>
      <c r="AK105" s="347"/>
      <c r="AL105" s="347"/>
      <c r="AM105" s="347"/>
      <c r="AN105" s="347"/>
      <c r="AO105" s="347"/>
      <c r="AP105" s="347"/>
      <c r="AQ105" s="347"/>
      <c r="AR105" s="347"/>
      <c r="AS105" s="347"/>
      <c r="AT105" s="347"/>
      <c r="AU105" s="347"/>
      <c r="AV105" s="347"/>
      <c r="AW105" s="347"/>
      <c r="AX105" s="347"/>
      <c r="AY105" s="347"/>
      <c r="AZ105" s="347"/>
      <c r="BA105" s="347"/>
      <c r="BB105" s="347"/>
      <c r="BC105" s="347"/>
      <c r="BD105" s="347"/>
      <c r="BE105" s="347"/>
      <c r="BF105" s="347"/>
      <c r="BG105" s="347"/>
      <c r="BH105" s="347"/>
      <c r="BI105" s="347"/>
      <c r="BJ105" s="347"/>
      <c r="BK105" s="347"/>
      <c r="BL105" s="347"/>
      <c r="BM105" s="347"/>
      <c r="BN105" s="347"/>
      <c r="BO105" s="347"/>
      <c r="BP105" s="347"/>
      <c r="BQ105" s="347"/>
    </row>
    <row r="106" spans="1:69">
      <c r="A106" s="347"/>
      <c r="B106" s="350">
        <v>0.41666666666666669</v>
      </c>
      <c r="C106" s="362"/>
      <c r="D106" s="362"/>
      <c r="E106" s="362"/>
      <c r="F106" s="362"/>
      <c r="G106" s="362"/>
      <c r="H106" s="362"/>
      <c r="I106" s="362"/>
      <c r="J106" s="362"/>
      <c r="K106" s="362"/>
      <c r="L106" s="362"/>
      <c r="M106" s="362"/>
      <c r="N106" s="362"/>
      <c r="O106" s="362"/>
      <c r="P106" s="362"/>
      <c r="Q106" s="362"/>
      <c r="R106" s="362"/>
      <c r="S106" s="362"/>
      <c r="T106" s="362"/>
      <c r="U106" s="362"/>
      <c r="V106" s="364">
        <v>1</v>
      </c>
      <c r="W106" s="364">
        <v>10</v>
      </c>
      <c r="X106" s="364">
        <v>10</v>
      </c>
      <c r="Y106" s="364">
        <v>8</v>
      </c>
      <c r="Z106" s="364">
        <v>8</v>
      </c>
      <c r="AA106" s="362"/>
      <c r="AB106" s="364">
        <v>10</v>
      </c>
      <c r="AC106" s="364">
        <v>10</v>
      </c>
      <c r="AD106" s="364">
        <v>10</v>
      </c>
      <c r="AE106" s="364">
        <v>10</v>
      </c>
      <c r="AF106" s="364">
        <v>10</v>
      </c>
      <c r="AG106" s="364">
        <v>10</v>
      </c>
      <c r="AH106" s="347"/>
      <c r="AI106" s="347"/>
      <c r="AJ106" s="347"/>
      <c r="AK106" s="347"/>
      <c r="AL106" s="347"/>
      <c r="AM106" s="347"/>
      <c r="AN106" s="347"/>
      <c r="AO106" s="347"/>
      <c r="AP106" s="347"/>
      <c r="AQ106" s="347"/>
      <c r="AR106" s="347"/>
      <c r="AS106" s="347"/>
      <c r="AT106" s="347"/>
      <c r="AU106" s="347"/>
      <c r="AV106" s="347"/>
      <c r="AW106" s="347"/>
      <c r="AX106" s="347"/>
      <c r="AY106" s="347"/>
      <c r="AZ106" s="347"/>
      <c r="BA106" s="347"/>
      <c r="BB106" s="347"/>
      <c r="BC106" s="347"/>
      <c r="BD106" s="347"/>
      <c r="BE106" s="347"/>
      <c r="BF106" s="347"/>
      <c r="BG106" s="347"/>
      <c r="BH106" s="347"/>
      <c r="BI106" s="347"/>
      <c r="BJ106" s="347"/>
      <c r="BK106" s="347"/>
      <c r="BL106" s="347"/>
      <c r="BM106" s="347"/>
      <c r="BN106" s="347"/>
      <c r="BO106" s="347"/>
      <c r="BP106" s="347"/>
      <c r="BQ106" s="347"/>
    </row>
    <row r="107" spans="1:69">
      <c r="A107" s="347"/>
      <c r="B107" s="350">
        <v>0.45833333333333331</v>
      </c>
      <c r="C107" s="362"/>
      <c r="D107" s="362"/>
      <c r="E107" s="362"/>
      <c r="F107" s="362"/>
      <c r="G107" s="362"/>
      <c r="H107" s="362"/>
      <c r="I107" s="362"/>
      <c r="J107" s="362"/>
      <c r="K107" s="362"/>
      <c r="L107" s="362"/>
      <c r="M107" s="362"/>
      <c r="N107" s="362"/>
      <c r="O107" s="362"/>
      <c r="P107" s="362"/>
      <c r="Q107" s="362"/>
      <c r="R107" s="362"/>
      <c r="S107" s="362"/>
      <c r="T107" s="362"/>
      <c r="U107" s="362"/>
      <c r="V107" s="364">
        <v>1</v>
      </c>
      <c r="W107" s="364">
        <v>10</v>
      </c>
      <c r="X107" s="364">
        <v>10</v>
      </c>
      <c r="Y107" s="364">
        <v>8</v>
      </c>
      <c r="Z107" s="364">
        <v>8</v>
      </c>
      <c r="AA107" s="362"/>
      <c r="AB107" s="364">
        <v>10</v>
      </c>
      <c r="AC107" s="364">
        <v>10</v>
      </c>
      <c r="AD107" s="364">
        <v>10</v>
      </c>
      <c r="AE107" s="364">
        <v>10</v>
      </c>
      <c r="AF107" s="364">
        <v>10</v>
      </c>
      <c r="AG107" s="364">
        <v>10</v>
      </c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347"/>
      <c r="BH107" s="347"/>
      <c r="BI107" s="347"/>
      <c r="BJ107" s="347"/>
      <c r="BK107" s="347"/>
      <c r="BL107" s="347"/>
      <c r="BM107" s="347"/>
      <c r="BN107" s="347"/>
      <c r="BO107" s="347"/>
      <c r="BP107" s="347"/>
      <c r="BQ107" s="347"/>
    </row>
    <row r="108" spans="1:69">
      <c r="A108" s="347"/>
      <c r="B108" s="350">
        <v>0.5</v>
      </c>
      <c r="C108" s="362"/>
      <c r="D108" s="362"/>
      <c r="E108" s="362"/>
      <c r="F108" s="362"/>
      <c r="G108" s="362"/>
      <c r="H108" s="362"/>
      <c r="I108" s="362"/>
      <c r="J108" s="362"/>
      <c r="K108" s="362"/>
      <c r="L108" s="362"/>
      <c r="M108" s="362"/>
      <c r="N108" s="362"/>
      <c r="O108" s="362"/>
      <c r="P108" s="362"/>
      <c r="Q108" s="362"/>
      <c r="R108" s="362"/>
      <c r="S108" s="362"/>
      <c r="T108" s="362"/>
      <c r="U108" s="362"/>
      <c r="V108" s="364">
        <v>1</v>
      </c>
      <c r="W108" s="364">
        <v>10</v>
      </c>
      <c r="X108" s="364">
        <v>10</v>
      </c>
      <c r="Y108" s="364">
        <v>8</v>
      </c>
      <c r="Z108" s="364">
        <v>8</v>
      </c>
      <c r="AA108" s="362"/>
      <c r="AB108" s="364">
        <v>10</v>
      </c>
      <c r="AC108" s="364">
        <v>10</v>
      </c>
      <c r="AD108" s="364">
        <v>10</v>
      </c>
      <c r="AE108" s="364">
        <v>10</v>
      </c>
      <c r="AF108" s="364">
        <v>10</v>
      </c>
      <c r="AG108" s="364">
        <v>10</v>
      </c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  <c r="BG108" s="347"/>
      <c r="BH108" s="347"/>
      <c r="BI108" s="347"/>
      <c r="BJ108" s="347"/>
      <c r="BK108" s="347"/>
      <c r="BL108" s="347"/>
      <c r="BM108" s="347"/>
      <c r="BN108" s="347"/>
      <c r="BO108" s="347"/>
      <c r="BP108" s="347"/>
      <c r="BQ108" s="347"/>
    </row>
    <row r="109" spans="1:69">
      <c r="A109" s="347"/>
      <c r="B109" s="350">
        <v>0.54166666666666663</v>
      </c>
      <c r="C109" s="362"/>
      <c r="D109" s="362"/>
      <c r="E109" s="362"/>
      <c r="F109" s="362"/>
      <c r="G109" s="362"/>
      <c r="H109" s="362"/>
      <c r="I109" s="362"/>
      <c r="J109" s="362"/>
      <c r="K109" s="362"/>
      <c r="L109" s="362"/>
      <c r="M109" s="362"/>
      <c r="N109" s="362"/>
      <c r="O109" s="362"/>
      <c r="P109" s="362"/>
      <c r="Q109" s="362"/>
      <c r="R109" s="362"/>
      <c r="S109" s="362"/>
      <c r="T109" s="362"/>
      <c r="U109" s="362"/>
      <c r="V109" s="364">
        <v>1</v>
      </c>
      <c r="W109" s="364">
        <v>10</v>
      </c>
      <c r="X109" s="364">
        <v>10</v>
      </c>
      <c r="Y109" s="364">
        <v>8</v>
      </c>
      <c r="Z109" s="364">
        <v>8</v>
      </c>
      <c r="AA109" s="362"/>
      <c r="AB109" s="364">
        <v>10</v>
      </c>
      <c r="AC109" s="364">
        <v>10</v>
      </c>
      <c r="AD109" s="364">
        <v>10</v>
      </c>
      <c r="AE109" s="364">
        <v>10</v>
      </c>
      <c r="AF109" s="364">
        <v>10</v>
      </c>
      <c r="AG109" s="364">
        <v>10</v>
      </c>
      <c r="AH109" s="347"/>
      <c r="AI109" s="347"/>
      <c r="AJ109" s="347"/>
      <c r="AK109" s="347"/>
      <c r="AL109" s="347"/>
      <c r="AM109" s="347"/>
      <c r="AN109" s="347"/>
      <c r="AO109" s="347"/>
      <c r="AP109" s="347"/>
      <c r="AQ109" s="347"/>
      <c r="AR109" s="347"/>
      <c r="AS109" s="347"/>
      <c r="AT109" s="347"/>
      <c r="AU109" s="347"/>
      <c r="AV109" s="347"/>
      <c r="AW109" s="347"/>
      <c r="AX109" s="347"/>
      <c r="AY109" s="347"/>
      <c r="AZ109" s="347"/>
      <c r="BA109" s="347"/>
      <c r="BB109" s="347"/>
      <c r="BC109" s="347"/>
      <c r="BD109" s="347"/>
      <c r="BE109" s="347"/>
      <c r="BF109" s="347"/>
      <c r="BG109" s="347"/>
      <c r="BH109" s="347"/>
      <c r="BI109" s="347"/>
      <c r="BJ109" s="347"/>
      <c r="BK109" s="347"/>
      <c r="BL109" s="347"/>
      <c r="BM109" s="347"/>
      <c r="BN109" s="347"/>
      <c r="BO109" s="347"/>
      <c r="BP109" s="347"/>
      <c r="BQ109" s="347"/>
    </row>
    <row r="110" spans="1:69">
      <c r="A110" s="347"/>
      <c r="B110" s="350">
        <v>0.58333333333333337</v>
      </c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2"/>
      <c r="P110" s="362"/>
      <c r="Q110" s="362"/>
      <c r="R110" s="362"/>
      <c r="S110" s="362"/>
      <c r="T110" s="362"/>
      <c r="U110" s="362"/>
      <c r="V110" s="364">
        <v>1</v>
      </c>
      <c r="W110" s="364">
        <v>10</v>
      </c>
      <c r="X110" s="364">
        <v>10</v>
      </c>
      <c r="Y110" s="364">
        <v>8</v>
      </c>
      <c r="Z110" s="364">
        <v>8</v>
      </c>
      <c r="AA110" s="362"/>
      <c r="AB110" s="364">
        <v>10</v>
      </c>
      <c r="AC110" s="364">
        <v>10</v>
      </c>
      <c r="AD110" s="364">
        <v>10</v>
      </c>
      <c r="AE110" s="364">
        <v>10</v>
      </c>
      <c r="AF110" s="364">
        <v>10</v>
      </c>
      <c r="AG110" s="364">
        <v>10</v>
      </c>
      <c r="AH110" s="347"/>
      <c r="AI110" s="347"/>
      <c r="AJ110" s="347"/>
      <c r="AK110" s="347"/>
      <c r="AL110" s="347"/>
      <c r="AM110" s="347"/>
      <c r="AN110" s="347"/>
      <c r="AO110" s="347"/>
      <c r="AP110" s="347"/>
      <c r="AQ110" s="347"/>
      <c r="AR110" s="347"/>
      <c r="AS110" s="347"/>
      <c r="AT110" s="347"/>
      <c r="AU110" s="347"/>
      <c r="AV110" s="347"/>
      <c r="AW110" s="347"/>
      <c r="AX110" s="347"/>
      <c r="AY110" s="347"/>
      <c r="AZ110" s="347"/>
      <c r="BA110" s="347"/>
      <c r="BB110" s="347"/>
      <c r="BC110" s="347"/>
      <c r="BD110" s="347"/>
      <c r="BE110" s="347"/>
      <c r="BF110" s="347"/>
      <c r="BG110" s="347"/>
      <c r="BH110" s="347"/>
      <c r="BI110" s="347"/>
      <c r="BJ110" s="347"/>
      <c r="BK110" s="347"/>
      <c r="BL110" s="347"/>
      <c r="BM110" s="347"/>
      <c r="BN110" s="347"/>
      <c r="BO110" s="347"/>
      <c r="BP110" s="347"/>
      <c r="BQ110" s="347"/>
    </row>
    <row r="111" spans="1:69">
      <c r="A111" s="347"/>
      <c r="B111" s="350">
        <v>0.625</v>
      </c>
      <c r="C111" s="362"/>
      <c r="D111" s="362"/>
      <c r="E111" s="362"/>
      <c r="F111" s="362"/>
      <c r="G111" s="362"/>
      <c r="H111" s="362"/>
      <c r="I111" s="362"/>
      <c r="J111" s="362"/>
      <c r="K111" s="362"/>
      <c r="L111" s="362"/>
      <c r="M111" s="362"/>
      <c r="N111" s="362"/>
      <c r="O111" s="362"/>
      <c r="P111" s="362"/>
      <c r="Q111" s="362"/>
      <c r="R111" s="362"/>
      <c r="S111" s="362"/>
      <c r="T111" s="362"/>
      <c r="U111" s="362"/>
      <c r="V111" s="364">
        <v>1</v>
      </c>
      <c r="W111" s="364">
        <v>10</v>
      </c>
      <c r="X111" s="364">
        <v>10</v>
      </c>
      <c r="Y111" s="364">
        <v>8</v>
      </c>
      <c r="Z111" s="364">
        <v>8</v>
      </c>
      <c r="AA111" s="362"/>
      <c r="AB111" s="364">
        <v>10</v>
      </c>
      <c r="AC111" s="364">
        <v>10</v>
      </c>
      <c r="AD111" s="364">
        <v>10</v>
      </c>
      <c r="AE111" s="364">
        <v>10</v>
      </c>
      <c r="AF111" s="364">
        <v>10</v>
      </c>
      <c r="AG111" s="364">
        <v>10</v>
      </c>
      <c r="AH111" s="347"/>
      <c r="AI111" s="347"/>
      <c r="AJ111" s="347"/>
      <c r="AK111" s="347"/>
      <c r="AL111" s="347"/>
      <c r="AM111" s="347"/>
      <c r="AN111" s="347"/>
      <c r="AO111" s="347"/>
      <c r="AP111" s="347"/>
      <c r="AQ111" s="347"/>
      <c r="AR111" s="347"/>
      <c r="AS111" s="347"/>
      <c r="AT111" s="347"/>
      <c r="AU111" s="347"/>
      <c r="AV111" s="347"/>
      <c r="AW111" s="347"/>
      <c r="AX111" s="347"/>
      <c r="AY111" s="347"/>
      <c r="AZ111" s="347"/>
      <c r="BA111" s="347"/>
      <c r="BB111" s="347"/>
      <c r="BC111" s="347"/>
      <c r="BD111" s="347"/>
      <c r="BE111" s="347"/>
      <c r="BF111" s="347"/>
      <c r="BG111" s="347"/>
      <c r="BH111" s="347"/>
      <c r="BI111" s="347"/>
      <c r="BJ111" s="347"/>
      <c r="BK111" s="347"/>
      <c r="BL111" s="347"/>
      <c r="BM111" s="347"/>
      <c r="BN111" s="347"/>
      <c r="BO111" s="347"/>
      <c r="BP111" s="347"/>
      <c r="BQ111" s="347"/>
    </row>
    <row r="112" spans="1:69">
      <c r="A112" s="347"/>
      <c r="B112" s="350">
        <v>0.66666666666666663</v>
      </c>
      <c r="C112" s="362"/>
      <c r="D112" s="362"/>
      <c r="E112" s="362"/>
      <c r="F112" s="362"/>
      <c r="G112" s="362"/>
      <c r="H112" s="362"/>
      <c r="I112" s="362"/>
      <c r="J112" s="362"/>
      <c r="K112" s="362"/>
      <c r="L112" s="362"/>
      <c r="M112" s="362"/>
      <c r="N112" s="362"/>
      <c r="O112" s="362"/>
      <c r="P112" s="362"/>
      <c r="Q112" s="362"/>
      <c r="R112" s="362"/>
      <c r="S112" s="362"/>
      <c r="T112" s="362"/>
      <c r="U112" s="362"/>
      <c r="V112" s="364">
        <v>1</v>
      </c>
      <c r="W112" s="364">
        <v>10</v>
      </c>
      <c r="X112" s="364">
        <v>10</v>
      </c>
      <c r="Y112" s="364">
        <v>8</v>
      </c>
      <c r="Z112" s="364">
        <v>8</v>
      </c>
      <c r="AA112" s="362"/>
      <c r="AB112" s="364">
        <v>10</v>
      </c>
      <c r="AC112" s="364">
        <v>10</v>
      </c>
      <c r="AD112" s="364">
        <v>10</v>
      </c>
      <c r="AE112" s="364">
        <v>10</v>
      </c>
      <c r="AF112" s="364">
        <v>10</v>
      </c>
      <c r="AG112" s="364">
        <v>10</v>
      </c>
      <c r="AH112" s="347"/>
      <c r="AI112" s="347"/>
      <c r="AJ112" s="347"/>
      <c r="AK112" s="347"/>
      <c r="AL112" s="347"/>
      <c r="AM112" s="347"/>
      <c r="AN112" s="347"/>
      <c r="AO112" s="347"/>
      <c r="AP112" s="347"/>
      <c r="AQ112" s="347"/>
      <c r="AR112" s="347"/>
      <c r="AS112" s="347"/>
      <c r="AT112" s="347"/>
      <c r="AU112" s="347"/>
      <c r="AV112" s="347"/>
      <c r="AW112" s="347"/>
      <c r="AX112" s="347"/>
      <c r="AY112" s="347"/>
      <c r="AZ112" s="347"/>
      <c r="BA112" s="347"/>
      <c r="BB112" s="347"/>
      <c r="BC112" s="347"/>
      <c r="BD112" s="347"/>
      <c r="BE112" s="347"/>
      <c r="BF112" s="347"/>
      <c r="BG112" s="347"/>
      <c r="BH112" s="347"/>
      <c r="BI112" s="347"/>
      <c r="BJ112" s="347"/>
      <c r="BK112" s="347"/>
      <c r="BL112" s="347"/>
      <c r="BM112" s="347"/>
      <c r="BN112" s="347"/>
      <c r="BO112" s="347"/>
      <c r="BP112" s="347"/>
      <c r="BQ112" s="347"/>
    </row>
    <row r="113" spans="1:69">
      <c r="A113" s="347"/>
      <c r="B113" s="350">
        <v>0.70833333333333337</v>
      </c>
      <c r="C113" s="362"/>
      <c r="D113" s="362"/>
      <c r="E113" s="362"/>
      <c r="F113" s="362"/>
      <c r="G113" s="362"/>
      <c r="H113" s="362"/>
      <c r="I113" s="362"/>
      <c r="J113" s="362"/>
      <c r="K113" s="362"/>
      <c r="L113" s="362"/>
      <c r="M113" s="362"/>
      <c r="N113" s="362"/>
      <c r="O113" s="362"/>
      <c r="P113" s="362"/>
      <c r="Q113" s="362"/>
      <c r="R113" s="362"/>
      <c r="S113" s="362"/>
      <c r="T113" s="362"/>
      <c r="U113" s="362"/>
      <c r="V113" s="364">
        <v>1</v>
      </c>
      <c r="W113" s="364">
        <v>10</v>
      </c>
      <c r="X113" s="364">
        <v>10</v>
      </c>
      <c r="Y113" s="364">
        <v>8</v>
      </c>
      <c r="Z113" s="364">
        <v>8</v>
      </c>
      <c r="AA113" s="362"/>
      <c r="AB113" s="364">
        <v>10</v>
      </c>
      <c r="AC113" s="364">
        <v>10</v>
      </c>
      <c r="AD113" s="364">
        <v>10</v>
      </c>
      <c r="AE113" s="364">
        <v>10</v>
      </c>
      <c r="AF113" s="364">
        <v>10</v>
      </c>
      <c r="AG113" s="364">
        <v>10</v>
      </c>
      <c r="AH113" s="347"/>
      <c r="AI113" s="347"/>
      <c r="AJ113" s="347"/>
      <c r="AK113" s="347"/>
      <c r="AL113" s="347"/>
      <c r="AM113" s="347"/>
      <c r="AN113" s="347"/>
      <c r="AO113" s="347"/>
      <c r="AP113" s="347"/>
      <c r="AQ113" s="347"/>
      <c r="AR113" s="347"/>
      <c r="AS113" s="347"/>
      <c r="AT113" s="347"/>
      <c r="AU113" s="347"/>
      <c r="AV113" s="347"/>
      <c r="AW113" s="347"/>
      <c r="AX113" s="347"/>
      <c r="AY113" s="347"/>
      <c r="AZ113" s="347"/>
      <c r="BA113" s="347"/>
      <c r="BB113" s="347"/>
      <c r="BC113" s="347"/>
      <c r="BD113" s="347"/>
      <c r="BE113" s="347"/>
      <c r="BF113" s="347"/>
      <c r="BG113" s="347"/>
      <c r="BH113" s="347"/>
      <c r="BI113" s="347"/>
      <c r="BJ113" s="347"/>
      <c r="BK113" s="347"/>
      <c r="BL113" s="347"/>
      <c r="BM113" s="347"/>
      <c r="BN113" s="347"/>
      <c r="BO113" s="347"/>
      <c r="BP113" s="347"/>
      <c r="BQ113" s="347"/>
    </row>
    <row r="114" spans="1:69">
      <c r="A114" s="347"/>
      <c r="B114" s="350">
        <v>0.75</v>
      </c>
      <c r="C114" s="362"/>
      <c r="D114" s="362"/>
      <c r="E114" s="362"/>
      <c r="F114" s="362"/>
      <c r="G114" s="362"/>
      <c r="H114" s="362"/>
      <c r="I114" s="362"/>
      <c r="J114" s="362"/>
      <c r="K114" s="362"/>
      <c r="L114" s="362"/>
      <c r="M114" s="362"/>
      <c r="N114" s="362"/>
      <c r="O114" s="362"/>
      <c r="P114" s="362"/>
      <c r="Q114" s="362"/>
      <c r="R114" s="362"/>
      <c r="S114" s="362"/>
      <c r="T114" s="362"/>
      <c r="U114" s="362"/>
      <c r="V114" s="364">
        <v>1</v>
      </c>
      <c r="W114" s="364">
        <v>10</v>
      </c>
      <c r="X114" s="364">
        <v>10</v>
      </c>
      <c r="Y114" s="364">
        <v>8</v>
      </c>
      <c r="Z114" s="364">
        <v>8</v>
      </c>
      <c r="AA114" s="362"/>
      <c r="AB114" s="364">
        <v>10</v>
      </c>
      <c r="AC114" s="364">
        <v>10</v>
      </c>
      <c r="AD114" s="364">
        <v>10</v>
      </c>
      <c r="AE114" s="364">
        <v>10</v>
      </c>
      <c r="AF114" s="364">
        <v>10</v>
      </c>
      <c r="AG114" s="364">
        <v>10</v>
      </c>
      <c r="AH114" s="347"/>
      <c r="AI114" s="347"/>
      <c r="AJ114" s="347"/>
      <c r="AK114" s="347"/>
      <c r="AL114" s="347"/>
      <c r="AM114" s="347"/>
      <c r="AN114" s="347"/>
      <c r="AO114" s="347"/>
      <c r="AP114" s="347"/>
      <c r="AQ114" s="347"/>
      <c r="AR114" s="347"/>
      <c r="AS114" s="347"/>
      <c r="AT114" s="347"/>
      <c r="AU114" s="347"/>
      <c r="AV114" s="347"/>
      <c r="AW114" s="347"/>
      <c r="AX114" s="347"/>
      <c r="AY114" s="347"/>
      <c r="AZ114" s="347"/>
      <c r="BA114" s="347"/>
      <c r="BB114" s="347"/>
      <c r="BC114" s="347"/>
      <c r="BD114" s="347"/>
      <c r="BE114" s="347"/>
      <c r="BF114" s="347"/>
      <c r="BG114" s="347"/>
      <c r="BH114" s="347"/>
      <c r="BI114" s="347"/>
      <c r="BJ114" s="347"/>
      <c r="BK114" s="347"/>
      <c r="BL114" s="347"/>
      <c r="BM114" s="347"/>
      <c r="BN114" s="347"/>
      <c r="BO114" s="347"/>
      <c r="BP114" s="347"/>
      <c r="BQ114" s="347"/>
    </row>
    <row r="115" spans="1:69">
      <c r="A115" s="347"/>
      <c r="B115" s="350">
        <v>0.79166666666666663</v>
      </c>
      <c r="C115" s="362"/>
      <c r="D115" s="362"/>
      <c r="E115" s="362"/>
      <c r="F115" s="362"/>
      <c r="G115" s="362"/>
      <c r="H115" s="362"/>
      <c r="I115" s="362"/>
      <c r="J115" s="362"/>
      <c r="K115" s="362"/>
      <c r="L115" s="362"/>
      <c r="M115" s="362"/>
      <c r="N115" s="362"/>
      <c r="O115" s="362"/>
      <c r="P115" s="362"/>
      <c r="Q115" s="362"/>
      <c r="R115" s="362"/>
      <c r="S115" s="362"/>
      <c r="T115" s="362"/>
      <c r="U115" s="362"/>
      <c r="V115" s="362"/>
      <c r="W115" s="362"/>
      <c r="X115" s="362"/>
      <c r="Y115" s="362"/>
      <c r="Z115" s="362"/>
      <c r="AA115" s="362"/>
      <c r="AB115" s="362"/>
      <c r="AC115" s="362"/>
      <c r="AD115" s="362"/>
      <c r="AE115" s="362"/>
      <c r="AF115" s="362"/>
      <c r="AG115" s="362"/>
      <c r="AH115" s="347"/>
      <c r="AI115" s="347"/>
      <c r="AJ115" s="347"/>
      <c r="AK115" s="347"/>
      <c r="AL115" s="347"/>
      <c r="AM115" s="347"/>
      <c r="AN115" s="347"/>
      <c r="AO115" s="347"/>
      <c r="AP115" s="347"/>
      <c r="AQ115" s="347"/>
      <c r="AR115" s="347"/>
      <c r="AS115" s="347"/>
      <c r="AT115" s="347"/>
      <c r="AU115" s="347"/>
      <c r="AV115" s="347"/>
      <c r="AW115" s="347"/>
      <c r="AX115" s="347"/>
      <c r="AY115" s="347"/>
      <c r="AZ115" s="347"/>
      <c r="BA115" s="347"/>
      <c r="BB115" s="347"/>
      <c r="BC115" s="347"/>
      <c r="BD115" s="347"/>
      <c r="BE115" s="347"/>
      <c r="BF115" s="347"/>
      <c r="BG115" s="347"/>
      <c r="BH115" s="347"/>
      <c r="BI115" s="347"/>
      <c r="BJ115" s="347"/>
      <c r="BK115" s="347"/>
      <c r="BL115" s="347"/>
      <c r="BM115" s="347"/>
      <c r="BN115" s="347"/>
      <c r="BO115" s="347"/>
      <c r="BP115" s="347"/>
      <c r="BQ115" s="347"/>
    </row>
    <row r="116" spans="1:69">
      <c r="A116" s="347"/>
      <c r="B116" s="350">
        <v>0.83333333333333337</v>
      </c>
      <c r="C116" s="362"/>
      <c r="D116" s="362"/>
      <c r="E116" s="362"/>
      <c r="F116" s="362"/>
      <c r="G116" s="362"/>
      <c r="H116" s="362"/>
      <c r="I116" s="362"/>
      <c r="J116" s="362"/>
      <c r="K116" s="362"/>
      <c r="L116" s="362"/>
      <c r="M116" s="362"/>
      <c r="N116" s="362"/>
      <c r="O116" s="362"/>
      <c r="P116" s="362"/>
      <c r="Q116" s="362"/>
      <c r="R116" s="362"/>
      <c r="S116" s="362"/>
      <c r="T116" s="362"/>
      <c r="U116" s="362"/>
      <c r="V116" s="362"/>
      <c r="W116" s="362"/>
      <c r="X116" s="362"/>
      <c r="Y116" s="362"/>
      <c r="Z116" s="362"/>
      <c r="AA116" s="362"/>
      <c r="AB116" s="362"/>
      <c r="AC116" s="362"/>
      <c r="AD116" s="362"/>
      <c r="AE116" s="362"/>
      <c r="AF116" s="362"/>
      <c r="AG116" s="362"/>
      <c r="AH116" s="347"/>
      <c r="AI116" s="347"/>
      <c r="AJ116" s="347"/>
      <c r="AK116" s="347"/>
      <c r="AL116" s="347"/>
      <c r="AM116" s="347"/>
      <c r="AN116" s="347"/>
      <c r="AO116" s="347"/>
      <c r="AP116" s="347"/>
      <c r="AQ116" s="347"/>
      <c r="AR116" s="347"/>
      <c r="AS116" s="347"/>
      <c r="AT116" s="347"/>
      <c r="AU116" s="347"/>
      <c r="AV116" s="347"/>
      <c r="AW116" s="347"/>
      <c r="AX116" s="347"/>
      <c r="AY116" s="347"/>
      <c r="AZ116" s="347"/>
      <c r="BA116" s="347"/>
      <c r="BB116" s="347"/>
      <c r="BC116" s="347"/>
      <c r="BD116" s="347"/>
      <c r="BE116" s="347"/>
      <c r="BF116" s="347"/>
      <c r="BG116" s="347"/>
      <c r="BH116" s="347"/>
      <c r="BI116" s="347"/>
      <c r="BJ116" s="347"/>
      <c r="BK116" s="347"/>
      <c r="BL116" s="347"/>
      <c r="BM116" s="347"/>
      <c r="BN116" s="347"/>
      <c r="BO116" s="347"/>
      <c r="BP116" s="347"/>
      <c r="BQ116" s="347"/>
    </row>
    <row r="117" spans="1:69">
      <c r="A117" s="347"/>
      <c r="B117" s="350">
        <v>0.875</v>
      </c>
      <c r="C117" s="362"/>
      <c r="D117" s="362"/>
      <c r="E117" s="362"/>
      <c r="F117" s="362"/>
      <c r="G117" s="362"/>
      <c r="H117" s="362"/>
      <c r="I117" s="362"/>
      <c r="J117" s="362"/>
      <c r="K117" s="362"/>
      <c r="L117" s="362"/>
      <c r="M117" s="362"/>
      <c r="N117" s="362"/>
      <c r="O117" s="362"/>
      <c r="P117" s="362"/>
      <c r="Q117" s="362"/>
      <c r="R117" s="362"/>
      <c r="S117" s="362"/>
      <c r="T117" s="362"/>
      <c r="U117" s="362"/>
      <c r="V117" s="362"/>
      <c r="W117" s="362"/>
      <c r="X117" s="362"/>
      <c r="Y117" s="362"/>
      <c r="Z117" s="362"/>
      <c r="AA117" s="362"/>
      <c r="AB117" s="362"/>
      <c r="AC117" s="362"/>
      <c r="AD117" s="362"/>
      <c r="AE117" s="362"/>
      <c r="AF117" s="362"/>
      <c r="AG117" s="362"/>
      <c r="AH117" s="347"/>
      <c r="AI117" s="347"/>
      <c r="AJ117" s="347"/>
      <c r="AK117" s="347"/>
      <c r="AL117" s="347"/>
      <c r="AM117" s="347"/>
      <c r="AN117" s="347"/>
      <c r="AO117" s="347"/>
      <c r="AP117" s="347"/>
      <c r="AQ117" s="347"/>
      <c r="AR117" s="347"/>
      <c r="AS117" s="347"/>
      <c r="AT117" s="347"/>
      <c r="AU117" s="347"/>
      <c r="AV117" s="347"/>
      <c r="AW117" s="347"/>
      <c r="AX117" s="347"/>
      <c r="AY117" s="347"/>
      <c r="AZ117" s="347"/>
      <c r="BA117" s="347"/>
      <c r="BB117" s="347"/>
      <c r="BC117" s="347"/>
      <c r="BD117" s="347"/>
      <c r="BE117" s="347"/>
      <c r="BF117" s="347"/>
      <c r="BG117" s="347"/>
      <c r="BH117" s="347"/>
      <c r="BI117" s="347"/>
      <c r="BJ117" s="347"/>
      <c r="BK117" s="347"/>
      <c r="BL117" s="347"/>
      <c r="BM117" s="347"/>
      <c r="BN117" s="347"/>
      <c r="BO117" s="347"/>
      <c r="BP117" s="347"/>
      <c r="BQ117" s="347"/>
    </row>
    <row r="118" spans="1:69">
      <c r="A118" s="347"/>
      <c r="B118" s="350">
        <v>0.91666666666666663</v>
      </c>
      <c r="C118" s="362"/>
      <c r="D118" s="362"/>
      <c r="E118" s="362"/>
      <c r="F118" s="362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362"/>
      <c r="S118" s="362"/>
      <c r="T118" s="362"/>
      <c r="U118" s="362"/>
      <c r="V118" s="362"/>
      <c r="W118" s="362"/>
      <c r="X118" s="362"/>
      <c r="Y118" s="362"/>
      <c r="Z118" s="362"/>
      <c r="AA118" s="362"/>
      <c r="AB118" s="362"/>
      <c r="AC118" s="362"/>
      <c r="AD118" s="362"/>
      <c r="AE118" s="362"/>
      <c r="AF118" s="362"/>
      <c r="AG118" s="362"/>
      <c r="AH118" s="347"/>
      <c r="AI118" s="347"/>
      <c r="AJ118" s="347"/>
      <c r="AK118" s="347"/>
      <c r="AL118" s="347"/>
      <c r="AM118" s="347"/>
      <c r="AN118" s="347"/>
      <c r="AO118" s="347"/>
      <c r="AP118" s="347"/>
      <c r="AQ118" s="347"/>
      <c r="AR118" s="347"/>
      <c r="AS118" s="347"/>
      <c r="AT118" s="347"/>
      <c r="AU118" s="347"/>
      <c r="AV118" s="347"/>
      <c r="AW118" s="347"/>
      <c r="AX118" s="347"/>
      <c r="AY118" s="347"/>
      <c r="AZ118" s="347"/>
      <c r="BA118" s="347"/>
      <c r="BB118" s="347"/>
      <c r="BC118" s="347"/>
      <c r="BD118" s="347"/>
      <c r="BE118" s="347"/>
      <c r="BF118" s="347"/>
      <c r="BG118" s="347"/>
      <c r="BH118" s="347"/>
      <c r="BI118" s="347"/>
      <c r="BJ118" s="347"/>
      <c r="BK118" s="347"/>
      <c r="BL118" s="347"/>
      <c r="BM118" s="347"/>
      <c r="BN118" s="347"/>
      <c r="BO118" s="347"/>
      <c r="BP118" s="347"/>
      <c r="BQ118" s="347"/>
    </row>
    <row r="119" spans="1:69">
      <c r="A119" s="347"/>
      <c r="B119" s="350">
        <v>0.95833333333333337</v>
      </c>
      <c r="C119" s="362"/>
      <c r="D119" s="362"/>
      <c r="E119" s="362"/>
      <c r="F119" s="362"/>
      <c r="G119" s="362"/>
      <c r="H119" s="362"/>
      <c r="I119" s="362"/>
      <c r="J119" s="362"/>
      <c r="K119" s="362"/>
      <c r="L119" s="362"/>
      <c r="M119" s="362"/>
      <c r="N119" s="362"/>
      <c r="O119" s="362"/>
      <c r="P119" s="362"/>
      <c r="Q119" s="362"/>
      <c r="R119" s="362"/>
      <c r="S119" s="362"/>
      <c r="T119" s="362"/>
      <c r="U119" s="362"/>
      <c r="V119" s="362"/>
      <c r="W119" s="362"/>
      <c r="X119" s="362"/>
      <c r="Y119" s="362"/>
      <c r="Z119" s="362"/>
      <c r="AA119" s="362"/>
      <c r="AB119" s="362"/>
      <c r="AC119" s="362"/>
      <c r="AD119" s="362"/>
      <c r="AE119" s="362"/>
      <c r="AF119" s="362"/>
      <c r="AG119" s="362"/>
      <c r="AH119" s="347"/>
      <c r="AI119" s="347"/>
      <c r="AJ119" s="347"/>
      <c r="AK119" s="347"/>
      <c r="AL119" s="347"/>
      <c r="AM119" s="347"/>
      <c r="AN119" s="347"/>
      <c r="AO119" s="347"/>
      <c r="AP119" s="347"/>
      <c r="AQ119" s="347"/>
      <c r="AR119" s="347"/>
      <c r="AS119" s="347"/>
      <c r="AT119" s="347"/>
      <c r="AU119" s="347"/>
      <c r="AV119" s="347"/>
      <c r="AW119" s="347"/>
      <c r="AX119" s="347"/>
      <c r="AY119" s="347"/>
      <c r="AZ119" s="347"/>
      <c r="BA119" s="347"/>
      <c r="BB119" s="347"/>
      <c r="BC119" s="347"/>
      <c r="BD119" s="347"/>
      <c r="BE119" s="347"/>
      <c r="BF119" s="347"/>
      <c r="BG119" s="347"/>
      <c r="BH119" s="347"/>
      <c r="BI119" s="347"/>
      <c r="BJ119" s="347"/>
      <c r="BK119" s="347"/>
      <c r="BL119" s="347"/>
      <c r="BM119" s="347"/>
      <c r="BN119" s="347"/>
      <c r="BO119" s="347"/>
      <c r="BP119" s="347"/>
      <c r="BQ119" s="347"/>
    </row>
    <row r="120" spans="1:69">
      <c r="A120" s="347"/>
      <c r="B120" s="354" t="s">
        <v>771</v>
      </c>
      <c r="C120" s="354">
        <v>11</v>
      </c>
      <c r="D120" s="354">
        <v>11</v>
      </c>
      <c r="E120" s="354">
        <v>11</v>
      </c>
      <c r="F120" s="354">
        <v>11</v>
      </c>
      <c r="G120" s="354">
        <v>11</v>
      </c>
      <c r="H120" s="354">
        <v>11</v>
      </c>
      <c r="I120" s="354">
        <v>11</v>
      </c>
      <c r="J120" s="354">
        <v>11</v>
      </c>
      <c r="K120" s="354">
        <v>11</v>
      </c>
      <c r="L120" s="354">
        <v>11</v>
      </c>
      <c r="M120" s="354">
        <v>11</v>
      </c>
      <c r="N120" s="354">
        <v>11</v>
      </c>
      <c r="O120" s="354">
        <v>11</v>
      </c>
      <c r="P120" s="354">
        <v>11</v>
      </c>
      <c r="Q120" s="354">
        <v>11</v>
      </c>
      <c r="R120" s="354">
        <v>11</v>
      </c>
      <c r="S120" s="354">
        <v>11</v>
      </c>
      <c r="T120" s="354">
        <v>11</v>
      </c>
      <c r="U120" s="354">
        <v>11</v>
      </c>
      <c r="V120" s="354">
        <v>11</v>
      </c>
      <c r="W120" s="354">
        <f t="shared" ref="W120:AG120" si="3">SUM(W105:W114)</f>
        <v>100</v>
      </c>
      <c r="X120" s="354">
        <f t="shared" si="3"/>
        <v>100</v>
      </c>
      <c r="Y120" s="354">
        <f t="shared" si="3"/>
        <v>80</v>
      </c>
      <c r="Z120" s="354">
        <f t="shared" si="3"/>
        <v>80</v>
      </c>
      <c r="AA120" s="354">
        <f t="shared" si="3"/>
        <v>0</v>
      </c>
      <c r="AB120" s="354">
        <f t="shared" si="3"/>
        <v>100</v>
      </c>
      <c r="AC120" s="354">
        <f t="shared" si="3"/>
        <v>100</v>
      </c>
      <c r="AD120" s="354">
        <f t="shared" si="3"/>
        <v>100</v>
      </c>
      <c r="AE120" s="354">
        <f t="shared" si="3"/>
        <v>100</v>
      </c>
      <c r="AF120" s="354">
        <f t="shared" si="3"/>
        <v>100</v>
      </c>
      <c r="AG120" s="354">
        <f t="shared" si="3"/>
        <v>100</v>
      </c>
      <c r="AH120" s="347">
        <f>SUM(V120:AG120)</f>
        <v>971</v>
      </c>
      <c r="AI120" s="347"/>
      <c r="AJ120" s="347"/>
      <c r="AK120" s="347"/>
      <c r="AL120" s="347"/>
      <c r="AM120" s="347"/>
      <c r="AN120" s="347"/>
      <c r="AO120" s="347"/>
      <c r="AP120" s="347"/>
      <c r="AQ120" s="347"/>
      <c r="AR120" s="347"/>
      <c r="AS120" s="347"/>
      <c r="AT120" s="347"/>
      <c r="AU120" s="347"/>
      <c r="AV120" s="347"/>
      <c r="AW120" s="347"/>
      <c r="AX120" s="347"/>
      <c r="AY120" s="347"/>
      <c r="AZ120" s="347"/>
      <c r="BA120" s="347"/>
      <c r="BB120" s="347"/>
      <c r="BC120" s="347"/>
      <c r="BD120" s="347"/>
      <c r="BE120" s="347"/>
      <c r="BF120" s="347"/>
      <c r="BG120" s="347"/>
      <c r="BH120" s="347"/>
      <c r="BI120" s="347"/>
      <c r="BJ120" s="347"/>
      <c r="BK120" s="347"/>
      <c r="BL120" s="347"/>
      <c r="BM120" s="347"/>
      <c r="BN120" s="347"/>
      <c r="BO120" s="347"/>
      <c r="BP120" s="347"/>
      <c r="BQ120" s="347"/>
    </row>
    <row r="121" spans="1:69">
      <c r="A121" s="347"/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347"/>
      <c r="AB121" s="347"/>
      <c r="AC121" s="347"/>
      <c r="AD121" s="347"/>
      <c r="AE121" s="347"/>
      <c r="AF121" s="347"/>
      <c r="AG121" s="347"/>
      <c r="AH121" s="347"/>
      <c r="AI121" s="347"/>
      <c r="AJ121" s="347"/>
      <c r="AK121" s="347"/>
      <c r="AL121" s="347"/>
      <c r="AM121" s="347"/>
      <c r="AN121" s="347"/>
      <c r="AO121" s="347"/>
      <c r="AP121" s="347"/>
      <c r="AQ121" s="347"/>
      <c r="AR121" s="347"/>
      <c r="AS121" s="347"/>
      <c r="AT121" s="347"/>
      <c r="AU121" s="347"/>
      <c r="AV121" s="347"/>
      <c r="AW121" s="347"/>
      <c r="AX121" s="347"/>
      <c r="AY121" s="347"/>
      <c r="AZ121" s="347"/>
      <c r="BA121" s="347"/>
      <c r="BB121" s="347"/>
      <c r="BC121" s="347"/>
      <c r="BD121" s="347"/>
      <c r="BE121" s="347"/>
      <c r="BF121" s="347"/>
      <c r="BG121" s="347"/>
      <c r="BH121" s="347"/>
      <c r="BI121" s="347"/>
      <c r="BJ121" s="347"/>
      <c r="BK121" s="347"/>
      <c r="BL121" s="347"/>
      <c r="BM121" s="347"/>
      <c r="BN121" s="347"/>
      <c r="BO121" s="347"/>
      <c r="BP121" s="347"/>
      <c r="BQ121" s="347"/>
    </row>
    <row r="122" spans="1:69">
      <c r="A122" s="347"/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347"/>
      <c r="AB122" s="347"/>
      <c r="AC122" s="347"/>
      <c r="AD122" s="347"/>
      <c r="AE122" s="347"/>
      <c r="AF122" s="347"/>
      <c r="AG122" s="347"/>
      <c r="AH122" s="347"/>
      <c r="AI122" s="347"/>
      <c r="AJ122" s="347"/>
      <c r="AK122" s="347"/>
      <c r="AL122" s="347"/>
      <c r="AM122" s="347"/>
      <c r="AN122" s="347"/>
      <c r="AO122" s="347"/>
      <c r="AP122" s="347"/>
      <c r="AQ122" s="347"/>
      <c r="AR122" s="347"/>
      <c r="AS122" s="347"/>
      <c r="AT122" s="347"/>
      <c r="AU122" s="347"/>
      <c r="AV122" s="347"/>
      <c r="AW122" s="347"/>
      <c r="AX122" s="347"/>
      <c r="AY122" s="347"/>
      <c r="AZ122" s="347"/>
      <c r="BA122" s="347"/>
      <c r="BB122" s="347"/>
      <c r="BC122" s="347"/>
      <c r="BD122" s="347"/>
      <c r="BE122" s="347"/>
      <c r="BF122" s="347"/>
      <c r="BG122" s="347"/>
      <c r="BH122" s="347"/>
      <c r="BI122" s="347"/>
      <c r="BJ122" s="347"/>
      <c r="BK122" s="347"/>
      <c r="BL122" s="347"/>
      <c r="BM122" s="347"/>
      <c r="BN122" s="347"/>
      <c r="BO122" s="347"/>
      <c r="BP122" s="347"/>
      <c r="BQ122" s="347"/>
    </row>
    <row r="123" spans="1:69">
      <c r="A123" s="347"/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347"/>
      <c r="AB123" s="347"/>
      <c r="AC123" s="347"/>
      <c r="AD123" s="347"/>
      <c r="AE123" s="347"/>
      <c r="AF123" s="347"/>
      <c r="AG123" s="347"/>
      <c r="AH123" s="347"/>
      <c r="AI123" s="347"/>
      <c r="AJ123" s="347"/>
      <c r="AK123" s="347"/>
      <c r="AL123" s="347"/>
      <c r="AM123" s="347"/>
      <c r="AN123" s="347"/>
      <c r="AO123" s="347"/>
      <c r="AP123" s="347"/>
      <c r="AQ123" s="347"/>
      <c r="AR123" s="347"/>
      <c r="AS123" s="347"/>
      <c r="AT123" s="347"/>
      <c r="AU123" s="347"/>
      <c r="AV123" s="347"/>
      <c r="AW123" s="347"/>
      <c r="AX123" s="347"/>
      <c r="AY123" s="347"/>
      <c r="AZ123" s="347"/>
      <c r="BA123" s="347"/>
      <c r="BB123" s="347"/>
      <c r="BC123" s="347"/>
      <c r="BD123" s="347"/>
      <c r="BE123" s="347"/>
      <c r="BF123" s="347"/>
      <c r="BG123" s="347"/>
      <c r="BH123" s="347"/>
      <c r="BI123" s="347"/>
      <c r="BJ123" s="347"/>
      <c r="BK123" s="347"/>
      <c r="BL123" s="347"/>
      <c r="BM123" s="347"/>
      <c r="BN123" s="347"/>
      <c r="BO123" s="347"/>
      <c r="BP123" s="347"/>
      <c r="BQ123" s="347"/>
    </row>
    <row r="124" spans="1:69">
      <c r="A124" s="347"/>
      <c r="B124" s="347"/>
      <c r="C124" s="347"/>
      <c r="D124" s="347"/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  <c r="AA124" s="347"/>
      <c r="AB124" s="347"/>
      <c r="AC124" s="347"/>
      <c r="AD124" s="347"/>
      <c r="AE124" s="347"/>
      <c r="AF124" s="347"/>
      <c r="AG124" s="347"/>
      <c r="AH124" s="347"/>
      <c r="AI124" s="347"/>
      <c r="AJ124" s="347"/>
      <c r="AK124" s="347"/>
      <c r="AL124" s="347"/>
      <c r="AM124" s="347"/>
      <c r="AN124" s="347"/>
      <c r="AO124" s="347"/>
      <c r="AP124" s="347"/>
      <c r="AQ124" s="347"/>
      <c r="AR124" s="347"/>
      <c r="AS124" s="347"/>
      <c r="AT124" s="347"/>
      <c r="AU124" s="347"/>
      <c r="AV124" s="347"/>
      <c r="AW124" s="347"/>
      <c r="AX124" s="347"/>
      <c r="AY124" s="347"/>
      <c r="AZ124" s="347"/>
      <c r="BA124" s="347"/>
      <c r="BB124" s="347"/>
      <c r="BC124" s="347"/>
      <c r="BD124" s="347"/>
      <c r="BE124" s="347"/>
      <c r="BF124" s="347"/>
      <c r="BG124" s="347"/>
      <c r="BH124" s="347"/>
      <c r="BI124" s="347"/>
      <c r="BJ124" s="347"/>
      <c r="BK124" s="347"/>
      <c r="BL124" s="347"/>
      <c r="BM124" s="347"/>
      <c r="BN124" s="347"/>
      <c r="BO124" s="347"/>
      <c r="BP124" s="347"/>
      <c r="BQ124" s="347"/>
    </row>
    <row r="125" spans="1:69">
      <c r="A125" s="347"/>
      <c r="B125" s="590" t="s">
        <v>772</v>
      </c>
      <c r="C125" s="348">
        <v>45658</v>
      </c>
      <c r="D125" s="348">
        <v>45659</v>
      </c>
      <c r="E125" s="348">
        <v>45660</v>
      </c>
      <c r="F125" s="348">
        <v>45661</v>
      </c>
      <c r="G125" s="348">
        <v>45662</v>
      </c>
      <c r="H125" s="348">
        <v>45663</v>
      </c>
      <c r="I125" s="348">
        <v>45664</v>
      </c>
      <c r="J125" s="348">
        <v>45665</v>
      </c>
      <c r="K125" s="348">
        <v>45666</v>
      </c>
      <c r="L125" s="348">
        <v>45667</v>
      </c>
      <c r="M125" s="348">
        <v>45668</v>
      </c>
      <c r="N125" s="348">
        <v>45669</v>
      </c>
      <c r="O125" s="348">
        <v>45670</v>
      </c>
      <c r="P125" s="348">
        <v>45671</v>
      </c>
      <c r="Q125" s="348">
        <v>45672</v>
      </c>
      <c r="R125" s="348">
        <v>45673</v>
      </c>
      <c r="S125" s="348">
        <v>45674</v>
      </c>
      <c r="T125" s="348">
        <v>45675</v>
      </c>
      <c r="U125" s="348">
        <v>45676</v>
      </c>
      <c r="V125" s="348">
        <v>45677</v>
      </c>
      <c r="W125" s="348">
        <v>45678</v>
      </c>
      <c r="X125" s="348">
        <v>45679</v>
      </c>
      <c r="Y125" s="348">
        <v>45680</v>
      </c>
      <c r="Z125" s="348">
        <v>45681</v>
      </c>
      <c r="AA125" s="348">
        <v>45682</v>
      </c>
      <c r="AB125" s="348">
        <v>45683</v>
      </c>
      <c r="AC125" s="348">
        <v>45684</v>
      </c>
      <c r="AD125" s="348">
        <v>45685</v>
      </c>
      <c r="AE125" s="348">
        <v>45686</v>
      </c>
      <c r="AF125" s="348">
        <v>45687</v>
      </c>
      <c r="AG125" s="348">
        <v>45688</v>
      </c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47"/>
      <c r="AU125" s="347"/>
      <c r="AV125" s="347"/>
      <c r="AW125" s="347"/>
      <c r="AX125" s="347"/>
      <c r="AY125" s="347"/>
      <c r="AZ125" s="347"/>
      <c r="BA125" s="347"/>
      <c r="BB125" s="347"/>
      <c r="BC125" s="347"/>
      <c r="BD125" s="347"/>
      <c r="BE125" s="347"/>
      <c r="BF125" s="347"/>
      <c r="BG125" s="347"/>
      <c r="BH125" s="347"/>
      <c r="BI125" s="347"/>
      <c r="BJ125" s="347"/>
      <c r="BK125" s="347"/>
      <c r="BL125" s="347"/>
      <c r="BM125" s="347"/>
      <c r="BN125" s="347"/>
      <c r="BO125" s="347"/>
      <c r="BP125" s="347"/>
      <c r="BQ125" s="347"/>
    </row>
    <row r="126" spans="1:69">
      <c r="A126" s="347"/>
      <c r="B126" s="591"/>
      <c r="C126" s="349" t="s">
        <v>764</v>
      </c>
      <c r="D126" s="349" t="s">
        <v>765</v>
      </c>
      <c r="E126" s="349" t="s">
        <v>766</v>
      </c>
      <c r="F126" s="349" t="s">
        <v>767</v>
      </c>
      <c r="G126" s="349" t="s">
        <v>768</v>
      </c>
      <c r="H126" s="349" t="s">
        <v>769</v>
      </c>
      <c r="I126" s="349" t="s">
        <v>770</v>
      </c>
      <c r="J126" s="349" t="s">
        <v>764</v>
      </c>
      <c r="K126" s="349" t="s">
        <v>765</v>
      </c>
      <c r="L126" s="349" t="s">
        <v>766</v>
      </c>
      <c r="M126" s="349" t="s">
        <v>767</v>
      </c>
      <c r="N126" s="349" t="s">
        <v>768</v>
      </c>
      <c r="O126" s="349" t="s">
        <v>769</v>
      </c>
      <c r="P126" s="349" t="s">
        <v>770</v>
      </c>
      <c r="Q126" s="349" t="s">
        <v>764</v>
      </c>
      <c r="R126" s="349" t="s">
        <v>765</v>
      </c>
      <c r="S126" s="349" t="s">
        <v>766</v>
      </c>
      <c r="T126" s="349" t="s">
        <v>767</v>
      </c>
      <c r="U126" s="349" t="s">
        <v>768</v>
      </c>
      <c r="V126" s="349" t="s">
        <v>769</v>
      </c>
      <c r="W126" s="349" t="s">
        <v>770</v>
      </c>
      <c r="X126" s="349" t="s">
        <v>764</v>
      </c>
      <c r="Y126" s="349" t="s">
        <v>765</v>
      </c>
      <c r="Z126" s="349" t="s">
        <v>766</v>
      </c>
      <c r="AA126" s="349" t="s">
        <v>767</v>
      </c>
      <c r="AB126" s="349" t="s">
        <v>768</v>
      </c>
      <c r="AC126" s="349" t="s">
        <v>769</v>
      </c>
      <c r="AD126" s="349" t="s">
        <v>770</v>
      </c>
      <c r="AE126" s="349" t="s">
        <v>764</v>
      </c>
      <c r="AF126" s="349" t="s">
        <v>765</v>
      </c>
      <c r="AG126" s="349" t="s">
        <v>766</v>
      </c>
      <c r="AH126" s="347"/>
      <c r="AI126" s="347"/>
      <c r="AJ126" s="347"/>
      <c r="AK126" s="347"/>
      <c r="AL126" s="347"/>
      <c r="AM126" s="347"/>
      <c r="AN126" s="347"/>
      <c r="AO126" s="347"/>
      <c r="AP126" s="347"/>
      <c r="AQ126" s="347"/>
      <c r="AR126" s="347"/>
      <c r="AS126" s="347"/>
      <c r="AT126" s="347"/>
      <c r="AU126" s="347"/>
      <c r="AV126" s="347"/>
      <c r="AW126" s="347"/>
      <c r="AX126" s="347"/>
      <c r="AY126" s="347"/>
      <c r="AZ126" s="347"/>
      <c r="BA126" s="347"/>
      <c r="BB126" s="347"/>
      <c r="BC126" s="347"/>
      <c r="BD126" s="347"/>
      <c r="BE126" s="347"/>
      <c r="BF126" s="347"/>
      <c r="BG126" s="347"/>
      <c r="BH126" s="347"/>
      <c r="BI126" s="347"/>
      <c r="BJ126" s="347"/>
      <c r="BK126" s="347"/>
      <c r="BL126" s="347"/>
      <c r="BM126" s="347"/>
      <c r="BN126" s="347"/>
      <c r="BO126" s="347"/>
      <c r="BP126" s="347"/>
      <c r="BQ126" s="347"/>
    </row>
    <row r="127" spans="1:69">
      <c r="A127" s="347"/>
      <c r="B127" s="350">
        <v>0</v>
      </c>
      <c r="C127" s="11">
        <v>4</v>
      </c>
      <c r="D127" s="11">
        <v>4</v>
      </c>
      <c r="E127" s="11">
        <v>4</v>
      </c>
      <c r="F127" s="93">
        <v>3</v>
      </c>
      <c r="G127" s="11">
        <v>4</v>
      </c>
      <c r="H127" s="11">
        <v>4</v>
      </c>
      <c r="I127" s="11">
        <v>4</v>
      </c>
      <c r="J127" s="11">
        <v>4</v>
      </c>
      <c r="K127" s="11">
        <v>4</v>
      </c>
      <c r="L127" s="11">
        <v>4</v>
      </c>
      <c r="M127" s="11">
        <v>4</v>
      </c>
      <c r="N127" s="93">
        <v>3</v>
      </c>
      <c r="O127" s="11">
        <v>4</v>
      </c>
      <c r="P127" s="11">
        <v>4</v>
      </c>
      <c r="Q127" s="11">
        <v>4</v>
      </c>
      <c r="R127" s="11">
        <v>4</v>
      </c>
      <c r="S127" s="11">
        <v>4</v>
      </c>
      <c r="T127" s="93">
        <v>3</v>
      </c>
      <c r="U127" s="11">
        <v>4</v>
      </c>
      <c r="V127" s="266">
        <v>5</v>
      </c>
      <c r="W127" s="365">
        <v>4</v>
      </c>
      <c r="X127" s="365">
        <v>4</v>
      </c>
      <c r="Y127" s="365">
        <v>4</v>
      </c>
      <c r="Z127" s="365">
        <v>4</v>
      </c>
      <c r="AA127" s="195">
        <v>3</v>
      </c>
      <c r="AB127" s="365">
        <v>4</v>
      </c>
      <c r="AC127" s="365">
        <v>4</v>
      </c>
      <c r="AD127" s="365">
        <v>4</v>
      </c>
      <c r="AE127" s="365">
        <v>4</v>
      </c>
      <c r="AF127" s="366">
        <v>5</v>
      </c>
      <c r="AG127" s="365">
        <v>4</v>
      </c>
      <c r="AH127" s="347"/>
      <c r="AI127" s="347"/>
      <c r="AJ127" s="347"/>
      <c r="AK127" s="347"/>
      <c r="AL127" s="347"/>
      <c r="AM127" s="347"/>
      <c r="AN127" s="347"/>
      <c r="AO127" s="347"/>
      <c r="AP127" s="347"/>
      <c r="AQ127" s="347"/>
      <c r="AR127" s="347"/>
      <c r="AS127" s="347"/>
      <c r="AT127" s="347"/>
      <c r="AU127" s="347"/>
      <c r="AV127" s="347"/>
      <c r="AW127" s="347"/>
      <c r="AX127" s="347"/>
      <c r="AY127" s="347"/>
      <c r="AZ127" s="347"/>
      <c r="BA127" s="347"/>
      <c r="BB127" s="347"/>
      <c r="BC127" s="347"/>
      <c r="BD127" s="347"/>
      <c r="BE127" s="347"/>
      <c r="BF127" s="347"/>
      <c r="BG127" s="347"/>
      <c r="BH127" s="347"/>
      <c r="BI127" s="347"/>
      <c r="BJ127" s="347"/>
      <c r="BK127" s="347"/>
      <c r="BL127" s="347"/>
      <c r="BM127" s="347"/>
      <c r="BN127" s="347"/>
      <c r="BO127" s="347"/>
      <c r="BP127" s="347"/>
      <c r="BQ127" s="347"/>
    </row>
    <row r="128" spans="1:69">
      <c r="A128" s="347"/>
      <c r="B128" s="350">
        <v>4.1666666666666664E-2</v>
      </c>
      <c r="C128" s="93">
        <v>3</v>
      </c>
      <c r="D128" s="93">
        <v>3</v>
      </c>
      <c r="E128" s="93">
        <v>3</v>
      </c>
      <c r="F128" s="93">
        <v>3</v>
      </c>
      <c r="G128" s="93">
        <v>3</v>
      </c>
      <c r="H128" s="93">
        <v>3</v>
      </c>
      <c r="I128" s="93">
        <v>3</v>
      </c>
      <c r="J128" s="93">
        <v>3</v>
      </c>
      <c r="K128" s="93">
        <v>3</v>
      </c>
      <c r="L128" s="93">
        <v>3</v>
      </c>
      <c r="M128" s="93">
        <v>3</v>
      </c>
      <c r="N128" s="93">
        <v>3</v>
      </c>
      <c r="O128" s="93">
        <v>3</v>
      </c>
      <c r="P128" s="93">
        <v>3</v>
      </c>
      <c r="Q128" s="93">
        <v>3</v>
      </c>
      <c r="R128" s="93">
        <v>3</v>
      </c>
      <c r="S128" s="93">
        <v>3</v>
      </c>
      <c r="T128" s="93">
        <v>3</v>
      </c>
      <c r="U128" s="93">
        <v>3</v>
      </c>
      <c r="V128" s="93">
        <v>3</v>
      </c>
      <c r="W128" s="195">
        <v>3</v>
      </c>
      <c r="X128" s="195">
        <v>3</v>
      </c>
      <c r="Y128" s="195">
        <v>3</v>
      </c>
      <c r="Z128" s="195">
        <v>3</v>
      </c>
      <c r="AA128" s="195">
        <v>3</v>
      </c>
      <c r="AB128" s="195">
        <v>3</v>
      </c>
      <c r="AC128" s="195">
        <v>3</v>
      </c>
      <c r="AD128" s="195">
        <v>3</v>
      </c>
      <c r="AE128" s="195">
        <v>3</v>
      </c>
      <c r="AF128" s="195">
        <v>3</v>
      </c>
      <c r="AG128" s="195">
        <v>3</v>
      </c>
      <c r="AH128" s="367"/>
      <c r="AI128" s="347"/>
      <c r="AJ128" s="347"/>
      <c r="AK128" s="347"/>
      <c r="AL128" s="347"/>
      <c r="AM128" s="347"/>
      <c r="AN128" s="347"/>
      <c r="AO128" s="347"/>
      <c r="AP128" s="347"/>
      <c r="AQ128" s="347"/>
      <c r="AR128" s="347"/>
      <c r="AS128" s="347"/>
      <c r="AT128" s="347"/>
      <c r="AU128" s="347"/>
      <c r="AV128" s="347"/>
      <c r="AW128" s="347"/>
      <c r="AX128" s="347"/>
      <c r="AY128" s="347"/>
      <c r="AZ128" s="347"/>
      <c r="BA128" s="347"/>
      <c r="BB128" s="347"/>
      <c r="BC128" s="347"/>
      <c r="BD128" s="347"/>
      <c r="BE128" s="347"/>
      <c r="BF128" s="347"/>
      <c r="BG128" s="347"/>
      <c r="BH128" s="347"/>
      <c r="BI128" s="347"/>
      <c r="BJ128" s="347"/>
      <c r="BK128" s="347"/>
      <c r="BL128" s="347"/>
      <c r="BM128" s="347"/>
      <c r="BN128" s="347"/>
      <c r="BO128" s="347"/>
      <c r="BP128" s="347"/>
      <c r="BQ128" s="347"/>
    </row>
    <row r="129" spans="1:69">
      <c r="A129" s="347"/>
      <c r="B129" s="350">
        <v>8.3333333333333329E-2</v>
      </c>
      <c r="C129" s="93">
        <v>3</v>
      </c>
      <c r="D129" s="93">
        <v>3</v>
      </c>
      <c r="E129" s="93">
        <v>3</v>
      </c>
      <c r="F129" s="93">
        <v>3</v>
      </c>
      <c r="G129" s="12">
        <v>2</v>
      </c>
      <c r="H129" s="93">
        <v>3</v>
      </c>
      <c r="I129" s="93">
        <v>3</v>
      </c>
      <c r="J129" s="93">
        <v>3</v>
      </c>
      <c r="K129" s="93">
        <v>3</v>
      </c>
      <c r="L129" s="93">
        <v>3</v>
      </c>
      <c r="M129" s="93">
        <v>3</v>
      </c>
      <c r="N129" s="93">
        <v>3</v>
      </c>
      <c r="O129" s="93">
        <v>3</v>
      </c>
      <c r="P129" s="93">
        <v>3</v>
      </c>
      <c r="Q129" s="93">
        <v>3</v>
      </c>
      <c r="R129" s="93">
        <v>3</v>
      </c>
      <c r="S129" s="93">
        <v>3</v>
      </c>
      <c r="T129" s="93">
        <v>3</v>
      </c>
      <c r="U129" s="93">
        <v>3</v>
      </c>
      <c r="V129" s="93">
        <v>3</v>
      </c>
      <c r="W129" s="195">
        <v>3</v>
      </c>
      <c r="X129" s="195">
        <v>3</v>
      </c>
      <c r="Y129" s="195">
        <v>3</v>
      </c>
      <c r="Z129" s="195">
        <v>3</v>
      </c>
      <c r="AA129" s="195">
        <v>3</v>
      </c>
      <c r="AB129" s="195">
        <v>3</v>
      </c>
      <c r="AC129" s="195">
        <v>3</v>
      </c>
      <c r="AD129" s="195">
        <v>3</v>
      </c>
      <c r="AE129" s="195">
        <v>3</v>
      </c>
      <c r="AF129" s="195">
        <v>3</v>
      </c>
      <c r="AG129" s="195">
        <v>3</v>
      </c>
      <c r="AH129" s="347"/>
      <c r="AI129" s="347"/>
      <c r="AJ129" s="347"/>
      <c r="AK129" s="347"/>
      <c r="AL129" s="347"/>
      <c r="AM129" s="347"/>
      <c r="AN129" s="347"/>
      <c r="AO129" s="347"/>
      <c r="AP129" s="347"/>
      <c r="AQ129" s="347"/>
      <c r="AR129" s="347"/>
      <c r="AS129" s="347"/>
      <c r="AT129" s="347"/>
      <c r="AU129" s="347"/>
      <c r="AV129" s="347"/>
      <c r="AW129" s="347"/>
      <c r="AX129" s="347"/>
      <c r="AY129" s="347"/>
      <c r="AZ129" s="347"/>
      <c r="BA129" s="347"/>
      <c r="BB129" s="347"/>
      <c r="BC129" s="347"/>
      <c r="BD129" s="347"/>
      <c r="BE129" s="347"/>
      <c r="BF129" s="347"/>
      <c r="BG129" s="347"/>
      <c r="BH129" s="347"/>
      <c r="BI129" s="347"/>
      <c r="BJ129" s="347"/>
      <c r="BK129" s="347"/>
      <c r="BL129" s="347"/>
      <c r="BM129" s="347"/>
      <c r="BN129" s="347"/>
      <c r="BO129" s="347"/>
      <c r="BP129" s="347"/>
      <c r="BQ129" s="347"/>
    </row>
    <row r="130" spans="1:69">
      <c r="A130" s="347"/>
      <c r="B130" s="350">
        <v>0.125</v>
      </c>
      <c r="C130" s="93">
        <v>3</v>
      </c>
      <c r="D130" s="93">
        <v>3</v>
      </c>
      <c r="E130" s="93">
        <v>3</v>
      </c>
      <c r="F130" s="93">
        <v>3</v>
      </c>
      <c r="G130" s="12">
        <v>2</v>
      </c>
      <c r="H130" s="93">
        <v>3</v>
      </c>
      <c r="I130" s="93">
        <v>3</v>
      </c>
      <c r="J130" s="93">
        <v>3</v>
      </c>
      <c r="K130" s="93">
        <v>3</v>
      </c>
      <c r="L130" s="93">
        <v>3</v>
      </c>
      <c r="M130" s="93">
        <v>3</v>
      </c>
      <c r="N130" s="93">
        <v>3</v>
      </c>
      <c r="O130" s="93">
        <v>3</v>
      </c>
      <c r="P130" s="93">
        <v>3</v>
      </c>
      <c r="Q130" s="93">
        <v>3</v>
      </c>
      <c r="R130" s="93">
        <v>3</v>
      </c>
      <c r="S130" s="93">
        <v>3</v>
      </c>
      <c r="T130" s="93">
        <v>3</v>
      </c>
      <c r="U130" s="93">
        <v>3</v>
      </c>
      <c r="V130" s="93">
        <v>3</v>
      </c>
      <c r="W130" s="195">
        <v>3</v>
      </c>
      <c r="X130" s="195">
        <v>3</v>
      </c>
      <c r="Y130" s="195">
        <v>3</v>
      </c>
      <c r="Z130" s="195">
        <v>3</v>
      </c>
      <c r="AA130" s="195">
        <v>3</v>
      </c>
      <c r="AB130" s="195">
        <v>3</v>
      </c>
      <c r="AC130" s="195">
        <v>3</v>
      </c>
      <c r="AD130" s="195">
        <v>3</v>
      </c>
      <c r="AE130" s="195">
        <v>3</v>
      </c>
      <c r="AF130" s="195">
        <v>3</v>
      </c>
      <c r="AG130" s="195">
        <v>3</v>
      </c>
      <c r="AH130" s="347"/>
      <c r="AI130" s="347"/>
      <c r="AJ130" s="347"/>
      <c r="AK130" s="347"/>
      <c r="AL130" s="347"/>
      <c r="AM130" s="347"/>
      <c r="AN130" s="347"/>
      <c r="AO130" s="347"/>
      <c r="AP130" s="347"/>
      <c r="AQ130" s="347"/>
      <c r="AR130" s="347"/>
      <c r="AS130" s="347"/>
      <c r="AT130" s="347"/>
      <c r="AU130" s="347"/>
      <c r="AV130" s="347"/>
      <c r="AW130" s="347"/>
      <c r="AX130" s="347"/>
      <c r="AY130" s="347"/>
      <c r="AZ130" s="347"/>
      <c r="BA130" s="347"/>
      <c r="BB130" s="347"/>
      <c r="BC130" s="347"/>
      <c r="BD130" s="347"/>
      <c r="BE130" s="347"/>
      <c r="BF130" s="347"/>
      <c r="BG130" s="347"/>
      <c r="BH130" s="347"/>
      <c r="BI130" s="347"/>
      <c r="BJ130" s="347"/>
      <c r="BK130" s="347"/>
      <c r="BL130" s="347"/>
      <c r="BM130" s="347"/>
      <c r="BN130" s="347"/>
      <c r="BO130" s="347"/>
      <c r="BP130" s="347"/>
      <c r="BQ130" s="347"/>
    </row>
    <row r="131" spans="1:69">
      <c r="A131" s="347"/>
      <c r="B131" s="350">
        <v>0.16666666666666666</v>
      </c>
      <c r="C131" s="93">
        <v>3</v>
      </c>
      <c r="D131" s="93">
        <v>3</v>
      </c>
      <c r="E131" s="93">
        <v>3</v>
      </c>
      <c r="F131" s="93">
        <v>3</v>
      </c>
      <c r="G131" s="12">
        <v>2</v>
      </c>
      <c r="H131" s="93">
        <v>3</v>
      </c>
      <c r="I131" s="93">
        <v>3</v>
      </c>
      <c r="J131" s="93">
        <v>3</v>
      </c>
      <c r="K131" s="93">
        <v>3</v>
      </c>
      <c r="L131" s="93">
        <v>3</v>
      </c>
      <c r="M131" s="93">
        <v>3</v>
      </c>
      <c r="N131" s="93">
        <v>3</v>
      </c>
      <c r="O131" s="93">
        <v>3</v>
      </c>
      <c r="P131" s="93">
        <v>3</v>
      </c>
      <c r="Q131" s="93">
        <v>3</v>
      </c>
      <c r="R131" s="93">
        <v>3</v>
      </c>
      <c r="S131" s="93">
        <v>3</v>
      </c>
      <c r="T131" s="93">
        <v>3</v>
      </c>
      <c r="U131" s="93">
        <v>3</v>
      </c>
      <c r="V131" s="93">
        <v>3</v>
      </c>
      <c r="W131" s="195">
        <v>3</v>
      </c>
      <c r="X131" s="195">
        <v>3</v>
      </c>
      <c r="Y131" s="195">
        <v>3</v>
      </c>
      <c r="Z131" s="195">
        <v>3</v>
      </c>
      <c r="AA131" s="195">
        <v>3</v>
      </c>
      <c r="AB131" s="195">
        <v>3</v>
      </c>
      <c r="AC131" s="195">
        <v>3</v>
      </c>
      <c r="AD131" s="195">
        <v>3</v>
      </c>
      <c r="AE131" s="195">
        <v>3</v>
      </c>
      <c r="AF131" s="195">
        <v>3</v>
      </c>
      <c r="AG131" s="195">
        <v>3</v>
      </c>
      <c r="AH131" s="347"/>
      <c r="AI131" s="347"/>
      <c r="AJ131" s="347"/>
      <c r="AK131" s="347"/>
      <c r="AL131" s="347"/>
      <c r="AM131" s="347"/>
      <c r="AN131" s="347"/>
      <c r="AO131" s="347"/>
      <c r="AP131" s="347"/>
      <c r="AQ131" s="347"/>
      <c r="AR131" s="347"/>
      <c r="AS131" s="347"/>
      <c r="AT131" s="347"/>
      <c r="AU131" s="347"/>
      <c r="AV131" s="347"/>
      <c r="AW131" s="347"/>
      <c r="AX131" s="347"/>
      <c r="AY131" s="347"/>
      <c r="AZ131" s="347"/>
      <c r="BA131" s="347"/>
      <c r="BB131" s="347"/>
      <c r="BC131" s="347"/>
      <c r="BD131" s="347"/>
      <c r="BE131" s="347"/>
      <c r="BF131" s="347"/>
      <c r="BG131" s="347"/>
      <c r="BH131" s="347"/>
      <c r="BI131" s="347"/>
      <c r="BJ131" s="347"/>
      <c r="BK131" s="347"/>
      <c r="BL131" s="347"/>
      <c r="BM131" s="347"/>
      <c r="BN131" s="347"/>
      <c r="BO131" s="347"/>
      <c r="BP131" s="347"/>
      <c r="BQ131" s="347"/>
    </row>
    <row r="132" spans="1:69">
      <c r="A132" s="347"/>
      <c r="B132" s="350">
        <v>0.20833333333333334</v>
      </c>
      <c r="C132" s="93">
        <v>3</v>
      </c>
      <c r="D132" s="93">
        <v>3</v>
      </c>
      <c r="E132" s="93">
        <v>3</v>
      </c>
      <c r="F132" s="93">
        <v>3</v>
      </c>
      <c r="G132" s="93">
        <v>3</v>
      </c>
      <c r="H132" s="93">
        <v>3</v>
      </c>
      <c r="I132" s="93">
        <v>3</v>
      </c>
      <c r="J132" s="93">
        <v>3</v>
      </c>
      <c r="K132" s="93">
        <v>3</v>
      </c>
      <c r="L132" s="93">
        <v>3</v>
      </c>
      <c r="M132" s="93">
        <v>3</v>
      </c>
      <c r="N132" s="93">
        <v>3</v>
      </c>
      <c r="O132" s="93">
        <v>3</v>
      </c>
      <c r="P132" s="93">
        <v>3</v>
      </c>
      <c r="Q132" s="93">
        <v>3</v>
      </c>
      <c r="R132" s="93">
        <v>3</v>
      </c>
      <c r="S132" s="93">
        <v>3</v>
      </c>
      <c r="T132" s="93">
        <v>3</v>
      </c>
      <c r="U132" s="93">
        <v>3</v>
      </c>
      <c r="V132" s="93">
        <v>3</v>
      </c>
      <c r="W132" s="195">
        <v>3</v>
      </c>
      <c r="X132" s="195">
        <v>3</v>
      </c>
      <c r="Y132" s="195">
        <v>3</v>
      </c>
      <c r="Z132" s="195">
        <v>3</v>
      </c>
      <c r="AA132" s="195">
        <v>3</v>
      </c>
      <c r="AB132" s="195">
        <v>3</v>
      </c>
      <c r="AC132" s="195">
        <v>3</v>
      </c>
      <c r="AD132" s="195">
        <v>3</v>
      </c>
      <c r="AE132" s="195">
        <v>3</v>
      </c>
      <c r="AF132" s="195">
        <v>3</v>
      </c>
      <c r="AG132" s="195">
        <v>3</v>
      </c>
      <c r="AH132" s="347"/>
      <c r="AI132" s="347"/>
      <c r="AJ132" s="347"/>
      <c r="AK132" s="347"/>
      <c r="AL132" s="347"/>
      <c r="AM132" s="347"/>
      <c r="AN132" s="347"/>
      <c r="AO132" s="347"/>
      <c r="AP132" s="347"/>
      <c r="AQ132" s="347"/>
      <c r="AR132" s="347"/>
      <c r="AS132" s="347"/>
      <c r="AT132" s="347"/>
      <c r="AU132" s="347"/>
      <c r="AV132" s="347"/>
      <c r="AW132" s="347"/>
      <c r="AX132" s="347"/>
      <c r="AY132" s="347"/>
      <c r="AZ132" s="347"/>
      <c r="BA132" s="347"/>
      <c r="BB132" s="347"/>
      <c r="BC132" s="347"/>
      <c r="BD132" s="347"/>
      <c r="BE132" s="347"/>
      <c r="BF132" s="347"/>
      <c r="BG132" s="347"/>
      <c r="BH132" s="347"/>
      <c r="BI132" s="347"/>
      <c r="BJ132" s="347"/>
      <c r="BK132" s="347"/>
      <c r="BL132" s="347"/>
      <c r="BM132" s="347"/>
      <c r="BN132" s="347"/>
      <c r="BO132" s="347"/>
      <c r="BP132" s="347"/>
      <c r="BQ132" s="347"/>
    </row>
    <row r="133" spans="1:69">
      <c r="A133" s="347"/>
      <c r="B133" s="350">
        <v>0.25</v>
      </c>
      <c r="C133" s="17">
        <v>7</v>
      </c>
      <c r="D133" s="225">
        <v>8</v>
      </c>
      <c r="E133" s="225">
        <v>8</v>
      </c>
      <c r="F133" s="245">
        <v>6</v>
      </c>
      <c r="G133" s="94">
        <v>10</v>
      </c>
      <c r="H133" s="14">
        <v>12</v>
      </c>
      <c r="I133" s="13">
        <v>11</v>
      </c>
      <c r="J133" s="13">
        <v>11</v>
      </c>
      <c r="K133" s="94">
        <v>10</v>
      </c>
      <c r="L133" s="246">
        <v>9</v>
      </c>
      <c r="M133" s="266">
        <v>5</v>
      </c>
      <c r="N133" s="246">
        <v>9</v>
      </c>
      <c r="O133" s="94">
        <v>10</v>
      </c>
      <c r="P133" s="13">
        <v>11</v>
      </c>
      <c r="Q133" s="13">
        <v>11</v>
      </c>
      <c r="R133" s="246">
        <v>9</v>
      </c>
      <c r="S133" s="225">
        <v>8</v>
      </c>
      <c r="T133" s="266">
        <v>5</v>
      </c>
      <c r="U133" s="246">
        <v>11</v>
      </c>
      <c r="V133" s="13">
        <v>13</v>
      </c>
      <c r="W133" s="368">
        <v>13</v>
      </c>
      <c r="X133" s="369">
        <v>14</v>
      </c>
      <c r="Y133" s="370">
        <v>12</v>
      </c>
      <c r="Z133" s="371">
        <v>11</v>
      </c>
      <c r="AA133" s="372">
        <v>9</v>
      </c>
      <c r="AB133" s="370">
        <v>12</v>
      </c>
      <c r="AC133" s="368">
        <v>13</v>
      </c>
      <c r="AD133" s="368">
        <v>13</v>
      </c>
      <c r="AE133" s="369">
        <v>14</v>
      </c>
      <c r="AF133" s="370">
        <v>12</v>
      </c>
      <c r="AG133" s="373">
        <v>10</v>
      </c>
      <c r="AH133" s="347"/>
      <c r="AI133" s="347"/>
      <c r="AJ133" s="347"/>
      <c r="AK133" s="347"/>
      <c r="AL133" s="347"/>
      <c r="AM133" s="347"/>
      <c r="AN133" s="347"/>
      <c r="AO133" s="347"/>
      <c r="AP133" s="347"/>
      <c r="AQ133" s="347"/>
      <c r="AR133" s="347"/>
      <c r="AS133" s="347"/>
      <c r="AT133" s="347"/>
      <c r="AU133" s="347"/>
      <c r="AV133" s="347"/>
      <c r="AW133" s="347"/>
      <c r="AX133" s="347"/>
      <c r="AY133" s="347"/>
      <c r="AZ133" s="347"/>
      <c r="BA133" s="347"/>
      <c r="BB133" s="347"/>
      <c r="BC133" s="347"/>
      <c r="BD133" s="347"/>
      <c r="BE133" s="347"/>
      <c r="BF133" s="347"/>
      <c r="BG133" s="347"/>
      <c r="BH133" s="347"/>
      <c r="BI133" s="347"/>
      <c r="BJ133" s="347"/>
      <c r="BK133" s="347"/>
      <c r="BL133" s="347"/>
      <c r="BM133" s="347"/>
      <c r="BN133" s="347"/>
      <c r="BO133" s="347"/>
      <c r="BP133" s="347"/>
      <c r="BQ133" s="347"/>
    </row>
    <row r="134" spans="1:69">
      <c r="A134" s="347"/>
      <c r="B134" s="350">
        <v>0.29166666666666669</v>
      </c>
      <c r="C134" s="94">
        <v>10</v>
      </c>
      <c r="D134" s="94">
        <v>10</v>
      </c>
      <c r="E134" s="94">
        <v>10</v>
      </c>
      <c r="F134" s="245">
        <v>6</v>
      </c>
      <c r="G134" s="13">
        <v>11</v>
      </c>
      <c r="H134" s="56">
        <v>13</v>
      </c>
      <c r="I134" s="96">
        <v>14</v>
      </c>
      <c r="J134" s="96">
        <v>14</v>
      </c>
      <c r="K134" s="14">
        <v>12</v>
      </c>
      <c r="L134" s="94">
        <v>10</v>
      </c>
      <c r="M134" s="225">
        <v>8</v>
      </c>
      <c r="N134" s="14">
        <v>12</v>
      </c>
      <c r="O134" s="56">
        <v>13</v>
      </c>
      <c r="P134" s="56">
        <v>13</v>
      </c>
      <c r="Q134" s="96">
        <v>14</v>
      </c>
      <c r="R134" s="14">
        <v>12</v>
      </c>
      <c r="S134" s="94">
        <v>10</v>
      </c>
      <c r="T134" s="17">
        <v>7</v>
      </c>
      <c r="U134" s="13">
        <v>11</v>
      </c>
      <c r="V134" s="374">
        <v>14</v>
      </c>
      <c r="W134" s="375">
        <v>15</v>
      </c>
      <c r="X134" s="369">
        <v>14</v>
      </c>
      <c r="Y134" s="371">
        <v>11</v>
      </c>
      <c r="Z134" s="373">
        <v>10</v>
      </c>
      <c r="AA134" s="372">
        <v>9</v>
      </c>
      <c r="AB134" s="368">
        <v>13</v>
      </c>
      <c r="AC134" s="369">
        <v>14</v>
      </c>
      <c r="AD134" s="369">
        <v>14</v>
      </c>
      <c r="AE134" s="369">
        <v>14</v>
      </c>
      <c r="AF134" s="371">
        <v>11</v>
      </c>
      <c r="AG134" s="373">
        <v>10</v>
      </c>
      <c r="AH134" s="347"/>
      <c r="AI134" s="347"/>
      <c r="AJ134" s="347"/>
      <c r="AK134" s="347"/>
      <c r="AL134" s="347"/>
      <c r="AM134" s="347"/>
      <c r="AN134" s="347"/>
      <c r="AO134" s="347"/>
      <c r="AP134" s="347"/>
      <c r="AQ134" s="347"/>
      <c r="AR134" s="347"/>
      <c r="AS134" s="347"/>
      <c r="AT134" s="347"/>
      <c r="AU134" s="347"/>
      <c r="AV134" s="347"/>
      <c r="AW134" s="347"/>
      <c r="AX134" s="347"/>
      <c r="AY134" s="347"/>
      <c r="AZ134" s="347"/>
      <c r="BA134" s="347"/>
      <c r="BB134" s="347"/>
      <c r="BC134" s="347"/>
      <c r="BD134" s="347"/>
      <c r="BE134" s="347"/>
      <c r="BF134" s="347"/>
      <c r="BG134" s="347"/>
      <c r="BH134" s="347"/>
      <c r="BI134" s="347"/>
      <c r="BJ134" s="347"/>
      <c r="BK134" s="347"/>
      <c r="BL134" s="347"/>
      <c r="BM134" s="347"/>
      <c r="BN134" s="347"/>
      <c r="BO134" s="347"/>
      <c r="BP134" s="347"/>
      <c r="BQ134" s="347"/>
    </row>
    <row r="135" spans="1:69">
      <c r="A135" s="347"/>
      <c r="B135" s="350">
        <v>0.33333333333333331</v>
      </c>
      <c r="C135" s="56">
        <v>13</v>
      </c>
      <c r="D135" s="14">
        <v>12</v>
      </c>
      <c r="E135" s="96">
        <v>14</v>
      </c>
      <c r="F135" s="94">
        <v>10</v>
      </c>
      <c r="G135" s="374">
        <v>15</v>
      </c>
      <c r="H135" s="121">
        <v>18</v>
      </c>
      <c r="I135" s="144">
        <v>17</v>
      </c>
      <c r="J135" s="96">
        <v>14</v>
      </c>
      <c r="K135" s="14">
        <v>12</v>
      </c>
      <c r="L135" s="13">
        <v>11</v>
      </c>
      <c r="M135" s="225">
        <v>8</v>
      </c>
      <c r="N135" s="374">
        <v>15</v>
      </c>
      <c r="O135" s="91">
        <v>16</v>
      </c>
      <c r="P135" s="144">
        <v>17</v>
      </c>
      <c r="Q135" s="96">
        <v>14</v>
      </c>
      <c r="R135" s="96">
        <v>14</v>
      </c>
      <c r="S135" s="14">
        <v>12</v>
      </c>
      <c r="T135" s="94">
        <v>10</v>
      </c>
      <c r="U135" s="91">
        <v>19</v>
      </c>
      <c r="V135" s="374">
        <v>19</v>
      </c>
      <c r="W135" s="376">
        <v>24</v>
      </c>
      <c r="X135" s="377">
        <v>22</v>
      </c>
      <c r="Y135" s="378">
        <v>20</v>
      </c>
      <c r="Z135" s="311">
        <v>16</v>
      </c>
      <c r="AA135" s="369">
        <v>14</v>
      </c>
      <c r="AB135" s="377">
        <v>22</v>
      </c>
      <c r="AC135" s="379">
        <v>23</v>
      </c>
      <c r="AD135" s="376">
        <v>24</v>
      </c>
      <c r="AE135" s="377">
        <v>22</v>
      </c>
      <c r="AF135" s="378">
        <v>20</v>
      </c>
      <c r="AG135" s="311">
        <v>16</v>
      </c>
      <c r="AH135" s="347"/>
      <c r="AI135" s="347"/>
      <c r="AJ135" s="347"/>
      <c r="AK135" s="347"/>
      <c r="AL135" s="347"/>
      <c r="AM135" s="347"/>
      <c r="AN135" s="347"/>
      <c r="AO135" s="347"/>
      <c r="AP135" s="347"/>
      <c r="AQ135" s="347"/>
      <c r="AR135" s="347"/>
      <c r="AS135" s="347"/>
      <c r="AT135" s="347"/>
      <c r="AU135" s="347"/>
      <c r="AV135" s="347"/>
      <c r="AW135" s="347"/>
      <c r="AX135" s="347"/>
      <c r="AY135" s="347"/>
      <c r="AZ135" s="347"/>
      <c r="BA135" s="347"/>
      <c r="BB135" s="347"/>
      <c r="BC135" s="347"/>
      <c r="BD135" s="347"/>
      <c r="BE135" s="347"/>
      <c r="BF135" s="347"/>
      <c r="BG135" s="347"/>
      <c r="BH135" s="347"/>
      <c r="BI135" s="347"/>
      <c r="BJ135" s="347"/>
      <c r="BK135" s="347"/>
      <c r="BL135" s="347"/>
      <c r="BM135" s="347"/>
      <c r="BN135" s="347"/>
      <c r="BO135" s="347"/>
      <c r="BP135" s="347"/>
      <c r="BQ135" s="347"/>
    </row>
    <row r="136" spans="1:69">
      <c r="A136" s="347"/>
      <c r="B136" s="350">
        <v>0.375</v>
      </c>
      <c r="C136" s="121">
        <v>18</v>
      </c>
      <c r="D136" s="91">
        <v>16</v>
      </c>
      <c r="E136" s="121">
        <v>18</v>
      </c>
      <c r="F136" s="56">
        <v>13</v>
      </c>
      <c r="G136" s="380">
        <v>22</v>
      </c>
      <c r="H136" s="381">
        <v>23</v>
      </c>
      <c r="I136" s="380">
        <v>22</v>
      </c>
      <c r="J136" s="136">
        <v>21</v>
      </c>
      <c r="K136" s="71">
        <v>19</v>
      </c>
      <c r="L136" s="144">
        <v>17</v>
      </c>
      <c r="M136" s="13">
        <v>11</v>
      </c>
      <c r="N136" s="380">
        <v>22</v>
      </c>
      <c r="O136" s="136">
        <v>21</v>
      </c>
      <c r="P136" s="380">
        <v>22</v>
      </c>
      <c r="Q136" s="136">
        <v>21</v>
      </c>
      <c r="R136" s="71">
        <v>19</v>
      </c>
      <c r="S136" s="121">
        <v>18</v>
      </c>
      <c r="T136" s="56">
        <v>13</v>
      </c>
      <c r="U136" s="136">
        <v>25</v>
      </c>
      <c r="V136" s="71">
        <v>24</v>
      </c>
      <c r="W136" s="382">
        <v>30</v>
      </c>
      <c r="X136" s="383">
        <v>28</v>
      </c>
      <c r="Y136" s="384">
        <v>27</v>
      </c>
      <c r="Z136" s="378">
        <v>20</v>
      </c>
      <c r="AA136" s="167">
        <v>17</v>
      </c>
      <c r="AB136" s="385">
        <v>29</v>
      </c>
      <c r="AC136" s="383">
        <v>28</v>
      </c>
      <c r="AD136" s="382">
        <v>30</v>
      </c>
      <c r="AE136" s="383">
        <v>28</v>
      </c>
      <c r="AF136" s="384">
        <v>27</v>
      </c>
      <c r="AG136" s="378">
        <v>20</v>
      </c>
      <c r="AH136" s="347"/>
      <c r="AI136" s="347"/>
      <c r="AJ136" s="347"/>
      <c r="AK136" s="347"/>
      <c r="AL136" s="347"/>
      <c r="AM136" s="347"/>
      <c r="AN136" s="347"/>
      <c r="AO136" s="347"/>
      <c r="AP136" s="347"/>
      <c r="AQ136" s="347"/>
      <c r="AR136" s="347"/>
      <c r="AS136" s="347"/>
      <c r="AT136" s="347"/>
      <c r="AU136" s="347"/>
      <c r="AV136" s="347"/>
      <c r="AW136" s="347"/>
      <c r="AX136" s="347"/>
      <c r="AY136" s="347"/>
      <c r="AZ136" s="347"/>
      <c r="BA136" s="347"/>
      <c r="BB136" s="347"/>
      <c r="BC136" s="347"/>
      <c r="BD136" s="347"/>
      <c r="BE136" s="347"/>
      <c r="BF136" s="347"/>
      <c r="BG136" s="347"/>
      <c r="BH136" s="347"/>
      <c r="BI136" s="347"/>
      <c r="BJ136" s="347"/>
      <c r="BK136" s="347"/>
      <c r="BL136" s="347"/>
      <c r="BM136" s="347"/>
      <c r="BN136" s="347"/>
      <c r="BO136" s="347"/>
      <c r="BP136" s="347"/>
      <c r="BQ136" s="347"/>
    </row>
    <row r="137" spans="1:69">
      <c r="A137" s="347"/>
      <c r="B137" s="350">
        <v>0.41666666666666669</v>
      </c>
      <c r="C137" s="71">
        <v>19</v>
      </c>
      <c r="D137" s="121">
        <v>18</v>
      </c>
      <c r="E137" s="386">
        <v>20</v>
      </c>
      <c r="F137" s="374">
        <v>15</v>
      </c>
      <c r="G137" s="387">
        <v>26</v>
      </c>
      <c r="H137" s="387">
        <v>26</v>
      </c>
      <c r="I137" s="143">
        <v>25</v>
      </c>
      <c r="J137" s="388">
        <v>24</v>
      </c>
      <c r="K137" s="143">
        <v>25</v>
      </c>
      <c r="L137" s="386">
        <v>20</v>
      </c>
      <c r="M137" s="96">
        <v>14</v>
      </c>
      <c r="N137" s="389">
        <v>27</v>
      </c>
      <c r="O137" s="388">
        <v>24</v>
      </c>
      <c r="P137" s="143">
        <v>25</v>
      </c>
      <c r="Q137" s="388">
        <v>24</v>
      </c>
      <c r="R137" s="388">
        <v>24</v>
      </c>
      <c r="S137" s="386">
        <v>20</v>
      </c>
      <c r="T137" s="374">
        <v>15</v>
      </c>
      <c r="U137" s="387">
        <v>30</v>
      </c>
      <c r="V137" s="143">
        <v>28</v>
      </c>
      <c r="W137" s="312">
        <v>34</v>
      </c>
      <c r="X137" s="390">
        <v>31</v>
      </c>
      <c r="Y137" s="382">
        <v>30</v>
      </c>
      <c r="Z137" s="391">
        <v>25</v>
      </c>
      <c r="AA137" s="392">
        <v>19</v>
      </c>
      <c r="AB137" s="312">
        <v>34</v>
      </c>
      <c r="AC137" s="393">
        <v>32</v>
      </c>
      <c r="AD137" s="312">
        <v>34</v>
      </c>
      <c r="AE137" s="390">
        <v>31</v>
      </c>
      <c r="AF137" s="390">
        <v>31</v>
      </c>
      <c r="AG137" s="391">
        <v>25</v>
      </c>
      <c r="AH137" s="347"/>
      <c r="AI137" s="347"/>
      <c r="AJ137" s="347"/>
      <c r="AK137" s="347"/>
      <c r="AL137" s="347"/>
      <c r="AM137" s="347"/>
      <c r="AN137" s="347"/>
      <c r="AO137" s="347"/>
      <c r="AP137" s="347"/>
      <c r="AQ137" s="347"/>
      <c r="AR137" s="347"/>
      <c r="AS137" s="347"/>
      <c r="AT137" s="347"/>
      <c r="AU137" s="347"/>
      <c r="AV137" s="347"/>
      <c r="AW137" s="347"/>
      <c r="AX137" s="347"/>
      <c r="AY137" s="347"/>
      <c r="AZ137" s="347"/>
      <c r="BA137" s="347"/>
      <c r="BB137" s="347"/>
      <c r="BC137" s="347"/>
      <c r="BD137" s="347"/>
      <c r="BE137" s="347"/>
      <c r="BF137" s="347"/>
      <c r="BG137" s="347"/>
      <c r="BH137" s="347"/>
      <c r="BI137" s="347"/>
      <c r="BJ137" s="347"/>
      <c r="BK137" s="347"/>
      <c r="BL137" s="347"/>
      <c r="BM137" s="347"/>
      <c r="BN137" s="347"/>
      <c r="BO137" s="347"/>
      <c r="BP137" s="347"/>
      <c r="BQ137" s="347"/>
    </row>
    <row r="138" spans="1:69">
      <c r="A138" s="347"/>
      <c r="B138" s="350">
        <v>0.45833333333333331</v>
      </c>
      <c r="C138" s="71">
        <v>19</v>
      </c>
      <c r="D138" s="121">
        <v>18</v>
      </c>
      <c r="E138" s="386">
        <v>20</v>
      </c>
      <c r="F138" s="374">
        <v>15</v>
      </c>
      <c r="G138" s="389">
        <v>27</v>
      </c>
      <c r="H138" s="387">
        <v>26</v>
      </c>
      <c r="I138" s="143">
        <v>25</v>
      </c>
      <c r="J138" s="388">
        <v>24</v>
      </c>
      <c r="K138" s="143">
        <v>25</v>
      </c>
      <c r="L138" s="386">
        <v>20</v>
      </c>
      <c r="M138" s="374">
        <v>15</v>
      </c>
      <c r="N138" s="389">
        <v>27</v>
      </c>
      <c r="O138" s="387">
        <v>26</v>
      </c>
      <c r="P138" s="143">
        <v>25</v>
      </c>
      <c r="Q138" s="388">
        <v>24</v>
      </c>
      <c r="R138" s="388">
        <v>24</v>
      </c>
      <c r="S138" s="381">
        <v>23</v>
      </c>
      <c r="T138" s="374">
        <v>15</v>
      </c>
      <c r="U138" s="57">
        <v>30</v>
      </c>
      <c r="V138" s="143">
        <v>28</v>
      </c>
      <c r="W138" s="393">
        <v>32</v>
      </c>
      <c r="X138" s="390">
        <v>31</v>
      </c>
      <c r="Y138" s="385">
        <v>29</v>
      </c>
      <c r="Z138" s="379">
        <v>23</v>
      </c>
      <c r="AA138" s="392">
        <v>19</v>
      </c>
      <c r="AB138" s="393">
        <v>32</v>
      </c>
      <c r="AC138" s="390">
        <v>31</v>
      </c>
      <c r="AD138" s="393">
        <v>32</v>
      </c>
      <c r="AE138" s="390">
        <v>31</v>
      </c>
      <c r="AF138" s="385">
        <v>29</v>
      </c>
      <c r="AG138" s="376">
        <v>24</v>
      </c>
      <c r="AH138" s="347"/>
      <c r="AI138" s="347"/>
      <c r="AJ138" s="347"/>
      <c r="AK138" s="347"/>
      <c r="AL138" s="347"/>
      <c r="AM138" s="347"/>
      <c r="AN138" s="347"/>
      <c r="AO138" s="347"/>
      <c r="AP138" s="347"/>
      <c r="AQ138" s="347"/>
      <c r="AR138" s="347"/>
      <c r="AS138" s="347"/>
      <c r="AT138" s="347"/>
      <c r="AU138" s="347"/>
      <c r="AV138" s="347"/>
      <c r="AW138" s="347"/>
      <c r="AX138" s="347"/>
      <c r="AY138" s="347"/>
      <c r="AZ138" s="347"/>
      <c r="BA138" s="347"/>
      <c r="BB138" s="347"/>
      <c r="BC138" s="347"/>
      <c r="BD138" s="347"/>
      <c r="BE138" s="347"/>
      <c r="BF138" s="347"/>
      <c r="BG138" s="347"/>
      <c r="BH138" s="347"/>
      <c r="BI138" s="347"/>
      <c r="BJ138" s="347"/>
      <c r="BK138" s="347"/>
      <c r="BL138" s="347"/>
      <c r="BM138" s="347"/>
      <c r="BN138" s="347"/>
      <c r="BO138" s="347"/>
      <c r="BP138" s="347"/>
      <c r="BQ138" s="347"/>
    </row>
    <row r="139" spans="1:69">
      <c r="A139" s="347"/>
      <c r="B139" s="350">
        <v>0.5</v>
      </c>
      <c r="C139" s="71">
        <v>19</v>
      </c>
      <c r="D139" s="121">
        <v>18</v>
      </c>
      <c r="E139" s="386">
        <v>20</v>
      </c>
      <c r="F139" s="374">
        <v>15</v>
      </c>
      <c r="G139" s="389">
        <v>27</v>
      </c>
      <c r="H139" s="388">
        <v>24</v>
      </c>
      <c r="I139" s="380">
        <v>22</v>
      </c>
      <c r="J139" s="381">
        <v>23</v>
      </c>
      <c r="K139" s="388">
        <v>24</v>
      </c>
      <c r="L139" s="121">
        <v>18</v>
      </c>
      <c r="M139" s="374">
        <v>15</v>
      </c>
      <c r="N139" s="389">
        <v>27</v>
      </c>
      <c r="O139" s="380">
        <v>22</v>
      </c>
      <c r="P139" s="381">
        <v>23</v>
      </c>
      <c r="Q139" s="381">
        <v>23</v>
      </c>
      <c r="R139" s="380">
        <v>22</v>
      </c>
      <c r="S139" s="386">
        <v>20</v>
      </c>
      <c r="T139" s="374">
        <v>15</v>
      </c>
      <c r="U139" s="394">
        <v>29</v>
      </c>
      <c r="V139" s="381">
        <v>28</v>
      </c>
      <c r="W139" s="382">
        <v>30</v>
      </c>
      <c r="X139" s="382">
        <v>30</v>
      </c>
      <c r="Y139" s="383">
        <v>28</v>
      </c>
      <c r="Z139" s="377">
        <v>22</v>
      </c>
      <c r="AA139" s="392">
        <v>19</v>
      </c>
      <c r="AB139" s="393">
        <v>32</v>
      </c>
      <c r="AC139" s="390">
        <v>31</v>
      </c>
      <c r="AD139" s="382">
        <v>30</v>
      </c>
      <c r="AE139" s="382">
        <v>30</v>
      </c>
      <c r="AF139" s="385">
        <v>29</v>
      </c>
      <c r="AG139" s="391">
        <v>25</v>
      </c>
      <c r="AH139" s="347"/>
      <c r="AI139" s="347"/>
      <c r="AJ139" s="347"/>
      <c r="AK139" s="347"/>
      <c r="AL139" s="347"/>
      <c r="AM139" s="347"/>
      <c r="AN139" s="347"/>
      <c r="AO139" s="347"/>
      <c r="AP139" s="347"/>
      <c r="AQ139" s="347"/>
      <c r="AR139" s="347"/>
      <c r="AS139" s="347"/>
      <c r="AT139" s="347"/>
      <c r="AU139" s="347"/>
      <c r="AV139" s="347"/>
      <c r="AW139" s="347"/>
      <c r="AX139" s="347"/>
      <c r="AY139" s="347"/>
      <c r="AZ139" s="347"/>
      <c r="BA139" s="347"/>
      <c r="BB139" s="347"/>
      <c r="BC139" s="347"/>
      <c r="BD139" s="347"/>
      <c r="BE139" s="347"/>
      <c r="BF139" s="347"/>
      <c r="BG139" s="347"/>
      <c r="BH139" s="347"/>
      <c r="BI139" s="347"/>
      <c r="BJ139" s="347"/>
      <c r="BK139" s="347"/>
      <c r="BL139" s="347"/>
      <c r="BM139" s="347"/>
      <c r="BN139" s="347"/>
      <c r="BO139" s="347"/>
      <c r="BP139" s="347"/>
      <c r="BQ139" s="347"/>
    </row>
    <row r="140" spans="1:69">
      <c r="A140" s="347"/>
      <c r="B140" s="350">
        <v>0.54166666666666663</v>
      </c>
      <c r="C140" s="71">
        <v>19</v>
      </c>
      <c r="D140" s="144">
        <v>17</v>
      </c>
      <c r="E140" s="386">
        <v>20</v>
      </c>
      <c r="F140" s="91">
        <v>16</v>
      </c>
      <c r="G140" s="387">
        <v>26</v>
      </c>
      <c r="H140" s="388">
        <v>24</v>
      </c>
      <c r="I140" s="380">
        <v>22</v>
      </c>
      <c r="J140" s="380">
        <v>22</v>
      </c>
      <c r="K140" s="388">
        <v>24</v>
      </c>
      <c r="L140" s="121">
        <v>18</v>
      </c>
      <c r="M140" s="144">
        <v>17</v>
      </c>
      <c r="N140" s="389">
        <v>27</v>
      </c>
      <c r="O140" s="380">
        <v>22</v>
      </c>
      <c r="P140" s="381">
        <v>23</v>
      </c>
      <c r="Q140" s="380">
        <v>22</v>
      </c>
      <c r="R140" s="380">
        <v>22</v>
      </c>
      <c r="S140" s="144">
        <v>17</v>
      </c>
      <c r="T140" s="144">
        <v>17</v>
      </c>
      <c r="U140" s="389">
        <v>28</v>
      </c>
      <c r="V140" s="381">
        <v>27</v>
      </c>
      <c r="W140" s="382">
        <v>30</v>
      </c>
      <c r="X140" s="382">
        <v>30</v>
      </c>
      <c r="Y140" s="385">
        <v>29</v>
      </c>
      <c r="Z140" s="379">
        <v>23</v>
      </c>
      <c r="AA140" s="167">
        <v>17</v>
      </c>
      <c r="AB140" s="382">
        <v>30</v>
      </c>
      <c r="AC140" s="382">
        <v>30</v>
      </c>
      <c r="AD140" s="382">
        <v>30</v>
      </c>
      <c r="AE140" s="382">
        <v>30</v>
      </c>
      <c r="AF140" s="385">
        <v>29</v>
      </c>
      <c r="AG140" s="379">
        <v>23</v>
      </c>
      <c r="AH140" s="347"/>
      <c r="AI140" s="347"/>
      <c r="AJ140" s="347"/>
      <c r="AK140" s="347"/>
      <c r="AL140" s="347"/>
      <c r="AM140" s="347"/>
      <c r="AN140" s="347"/>
      <c r="AO140" s="347"/>
      <c r="AP140" s="347"/>
      <c r="AQ140" s="347"/>
      <c r="AR140" s="347"/>
      <c r="AS140" s="347"/>
      <c r="AT140" s="347"/>
      <c r="AU140" s="347"/>
      <c r="AV140" s="347"/>
      <c r="AW140" s="347"/>
      <c r="AX140" s="347"/>
      <c r="AY140" s="347"/>
      <c r="AZ140" s="347"/>
      <c r="BA140" s="347"/>
      <c r="BB140" s="347"/>
      <c r="BC140" s="347"/>
      <c r="BD140" s="347"/>
      <c r="BE140" s="347"/>
      <c r="BF140" s="347"/>
      <c r="BG140" s="347"/>
      <c r="BH140" s="347"/>
      <c r="BI140" s="347"/>
      <c r="BJ140" s="347"/>
      <c r="BK140" s="347"/>
      <c r="BL140" s="347"/>
      <c r="BM140" s="347"/>
      <c r="BN140" s="347"/>
      <c r="BO140" s="347"/>
      <c r="BP140" s="347"/>
      <c r="BQ140" s="347"/>
    </row>
    <row r="141" spans="1:69">
      <c r="A141" s="347"/>
      <c r="B141" s="350">
        <v>0.58333333333333337</v>
      </c>
      <c r="C141" s="71">
        <v>19</v>
      </c>
      <c r="D141" s="144">
        <v>17</v>
      </c>
      <c r="E141" s="386">
        <v>20</v>
      </c>
      <c r="F141" s="374">
        <v>15</v>
      </c>
      <c r="G141" s="381">
        <v>23</v>
      </c>
      <c r="H141" s="388">
        <v>24</v>
      </c>
      <c r="I141" s="380">
        <v>22</v>
      </c>
      <c r="J141" s="136">
        <v>21</v>
      </c>
      <c r="K141" s="381">
        <v>23</v>
      </c>
      <c r="L141" s="121">
        <v>18</v>
      </c>
      <c r="M141" s="91">
        <v>16</v>
      </c>
      <c r="N141" s="380">
        <v>22</v>
      </c>
      <c r="O141" s="380">
        <v>22</v>
      </c>
      <c r="P141" s="380">
        <v>22</v>
      </c>
      <c r="Q141" s="136">
        <v>21</v>
      </c>
      <c r="R141" s="380">
        <v>22</v>
      </c>
      <c r="S141" s="144">
        <v>17</v>
      </c>
      <c r="T141" s="374">
        <v>15</v>
      </c>
      <c r="U141" s="381">
        <v>28</v>
      </c>
      <c r="V141" s="380">
        <v>27</v>
      </c>
      <c r="W141" s="390">
        <v>31</v>
      </c>
      <c r="X141" s="390">
        <v>31</v>
      </c>
      <c r="Y141" s="382">
        <v>30</v>
      </c>
      <c r="Z141" s="395">
        <v>21</v>
      </c>
      <c r="AA141" s="167">
        <v>17</v>
      </c>
      <c r="AB141" s="393">
        <v>32</v>
      </c>
      <c r="AC141" s="382">
        <v>30</v>
      </c>
      <c r="AD141" s="390">
        <v>31</v>
      </c>
      <c r="AE141" s="390">
        <v>31</v>
      </c>
      <c r="AF141" s="382">
        <v>30</v>
      </c>
      <c r="AG141" s="395">
        <v>21</v>
      </c>
      <c r="AH141" s="347"/>
      <c r="AI141" s="347"/>
      <c r="AJ141" s="347"/>
      <c r="AK141" s="347"/>
      <c r="AL141" s="347"/>
      <c r="AM141" s="347"/>
      <c r="AN141" s="347"/>
      <c r="AO141" s="347"/>
      <c r="AP141" s="347"/>
      <c r="AQ141" s="347"/>
      <c r="AR141" s="347"/>
      <c r="AS141" s="347"/>
      <c r="AT141" s="347"/>
      <c r="AU141" s="347"/>
      <c r="AV141" s="347"/>
      <c r="AW141" s="347"/>
      <c r="AX141" s="347"/>
      <c r="AY141" s="347"/>
      <c r="AZ141" s="347"/>
      <c r="BA141" s="347"/>
      <c r="BB141" s="347"/>
      <c r="BC141" s="347"/>
      <c r="BD141" s="347"/>
      <c r="BE141" s="347"/>
      <c r="BF141" s="347"/>
      <c r="BG141" s="347"/>
      <c r="BH141" s="347"/>
      <c r="BI141" s="347"/>
      <c r="BJ141" s="347"/>
      <c r="BK141" s="347"/>
      <c r="BL141" s="347"/>
      <c r="BM141" s="347"/>
      <c r="BN141" s="347"/>
      <c r="BO141" s="347"/>
      <c r="BP141" s="347"/>
      <c r="BQ141" s="347"/>
    </row>
    <row r="142" spans="1:69">
      <c r="A142" s="347"/>
      <c r="B142" s="350">
        <v>0.625</v>
      </c>
      <c r="C142" s="121">
        <v>18</v>
      </c>
      <c r="D142" s="144">
        <v>17</v>
      </c>
      <c r="E142" s="144">
        <v>17</v>
      </c>
      <c r="F142" s="96">
        <v>14</v>
      </c>
      <c r="G142" s="381">
        <v>23</v>
      </c>
      <c r="H142" s="388">
        <v>24</v>
      </c>
      <c r="I142" s="380">
        <v>22</v>
      </c>
      <c r="J142" s="136">
        <v>21</v>
      </c>
      <c r="K142" s="381">
        <v>23</v>
      </c>
      <c r="L142" s="121">
        <v>18</v>
      </c>
      <c r="M142" s="13">
        <v>11</v>
      </c>
      <c r="N142" s="381">
        <v>23</v>
      </c>
      <c r="O142" s="380">
        <v>22</v>
      </c>
      <c r="P142" s="380">
        <v>22</v>
      </c>
      <c r="Q142" s="136">
        <v>21</v>
      </c>
      <c r="R142" s="380">
        <v>22</v>
      </c>
      <c r="S142" s="91">
        <v>16</v>
      </c>
      <c r="T142" s="56">
        <v>13</v>
      </c>
      <c r="U142" s="381">
        <v>27</v>
      </c>
      <c r="V142" s="380">
        <v>26</v>
      </c>
      <c r="W142" s="390">
        <v>31</v>
      </c>
      <c r="X142" s="382">
        <v>30</v>
      </c>
      <c r="Y142" s="382">
        <v>30</v>
      </c>
      <c r="Z142" s="377">
        <v>22</v>
      </c>
      <c r="AA142" s="167">
        <v>17</v>
      </c>
      <c r="AB142" s="393">
        <v>32</v>
      </c>
      <c r="AC142" s="385">
        <v>29</v>
      </c>
      <c r="AD142" s="390">
        <v>31</v>
      </c>
      <c r="AE142" s="382">
        <v>30</v>
      </c>
      <c r="AF142" s="382">
        <v>30</v>
      </c>
      <c r="AG142" s="378">
        <v>20</v>
      </c>
      <c r="AH142" s="347"/>
      <c r="AI142" s="347"/>
      <c r="AJ142" s="347"/>
      <c r="AK142" s="347"/>
      <c r="AL142" s="347"/>
      <c r="AM142" s="347"/>
      <c r="AN142" s="347"/>
      <c r="AO142" s="347"/>
      <c r="AP142" s="347"/>
      <c r="AQ142" s="347"/>
      <c r="AR142" s="347"/>
      <c r="AS142" s="347"/>
      <c r="AT142" s="347"/>
      <c r="AU142" s="347"/>
      <c r="AV142" s="347"/>
      <c r="AW142" s="347"/>
      <c r="AX142" s="347"/>
      <c r="AY142" s="347"/>
      <c r="AZ142" s="347"/>
      <c r="BA142" s="347"/>
      <c r="BB142" s="347"/>
      <c r="BC142" s="347"/>
      <c r="BD142" s="347"/>
      <c r="BE142" s="347"/>
      <c r="BF142" s="347"/>
      <c r="BG142" s="347"/>
      <c r="BH142" s="347"/>
      <c r="BI142" s="347"/>
      <c r="BJ142" s="347"/>
      <c r="BK142" s="347"/>
      <c r="BL142" s="347"/>
      <c r="BM142" s="347"/>
      <c r="BN142" s="347"/>
      <c r="BO142" s="347"/>
      <c r="BP142" s="347"/>
      <c r="BQ142" s="347"/>
    </row>
    <row r="143" spans="1:69">
      <c r="A143" s="347"/>
      <c r="B143" s="350">
        <v>0.66666666666666663</v>
      </c>
      <c r="C143" s="121">
        <v>18</v>
      </c>
      <c r="D143" s="144">
        <v>17</v>
      </c>
      <c r="E143" s="144">
        <v>17</v>
      </c>
      <c r="F143" s="96">
        <v>14</v>
      </c>
      <c r="G143" s="381">
        <v>23</v>
      </c>
      <c r="H143" s="381">
        <v>23</v>
      </c>
      <c r="I143" s="380">
        <v>22</v>
      </c>
      <c r="J143" s="136">
        <v>21</v>
      </c>
      <c r="K143" s="381">
        <v>23</v>
      </c>
      <c r="L143" s="121">
        <v>18</v>
      </c>
      <c r="M143" s="14">
        <v>12</v>
      </c>
      <c r="N143" s="381">
        <v>23</v>
      </c>
      <c r="O143" s="136">
        <v>21</v>
      </c>
      <c r="P143" s="380">
        <v>22</v>
      </c>
      <c r="Q143" s="136">
        <v>21</v>
      </c>
      <c r="R143" s="380">
        <v>22</v>
      </c>
      <c r="S143" s="91">
        <v>16</v>
      </c>
      <c r="T143" s="96">
        <v>14</v>
      </c>
      <c r="U143" s="381">
        <v>26</v>
      </c>
      <c r="V143" s="380">
        <v>26</v>
      </c>
      <c r="W143" s="393">
        <v>32</v>
      </c>
      <c r="X143" s="390">
        <v>31</v>
      </c>
      <c r="Y143" s="383">
        <v>28</v>
      </c>
      <c r="Z143" s="395">
        <v>21</v>
      </c>
      <c r="AA143" s="311">
        <v>16</v>
      </c>
      <c r="AB143" s="382">
        <v>30</v>
      </c>
      <c r="AC143" s="385">
        <v>29</v>
      </c>
      <c r="AD143" s="393">
        <v>32</v>
      </c>
      <c r="AE143" s="390">
        <v>31</v>
      </c>
      <c r="AF143" s="383">
        <v>28</v>
      </c>
      <c r="AG143" s="392">
        <v>19</v>
      </c>
      <c r="AH143" s="347"/>
      <c r="AI143" s="347"/>
      <c r="AJ143" s="347"/>
      <c r="AK143" s="347"/>
      <c r="AL143" s="347"/>
      <c r="AM143" s="347"/>
      <c r="AN143" s="347"/>
      <c r="AO143" s="347"/>
      <c r="AP143" s="347"/>
      <c r="AQ143" s="347"/>
      <c r="AR143" s="347"/>
      <c r="AS143" s="347"/>
      <c r="AT143" s="347"/>
      <c r="AU143" s="347"/>
      <c r="AV143" s="347"/>
      <c r="AW143" s="347"/>
      <c r="AX143" s="347"/>
      <c r="AY143" s="347"/>
      <c r="AZ143" s="347"/>
      <c r="BA143" s="347"/>
      <c r="BB143" s="347"/>
      <c r="BC143" s="347"/>
      <c r="BD143" s="347"/>
      <c r="BE143" s="347"/>
      <c r="BF143" s="347"/>
      <c r="BG143" s="347"/>
      <c r="BH143" s="347"/>
      <c r="BI143" s="347"/>
      <c r="BJ143" s="347"/>
      <c r="BK143" s="347"/>
      <c r="BL143" s="347"/>
      <c r="BM143" s="347"/>
      <c r="BN143" s="347"/>
      <c r="BO143" s="347"/>
      <c r="BP143" s="347"/>
      <c r="BQ143" s="347"/>
    </row>
    <row r="144" spans="1:69">
      <c r="A144" s="347"/>
      <c r="B144" s="350">
        <v>0.70833333333333337</v>
      </c>
      <c r="C144" s="121">
        <v>18</v>
      </c>
      <c r="D144" s="144">
        <v>17</v>
      </c>
      <c r="E144" s="144">
        <v>17</v>
      </c>
      <c r="F144" s="96">
        <v>14</v>
      </c>
      <c r="G144" s="381">
        <v>23</v>
      </c>
      <c r="H144" s="381">
        <v>23</v>
      </c>
      <c r="I144" s="380">
        <v>22</v>
      </c>
      <c r="J144" s="136">
        <v>21</v>
      </c>
      <c r="K144" s="380">
        <v>22</v>
      </c>
      <c r="L144" s="91">
        <v>16</v>
      </c>
      <c r="M144" s="56">
        <v>13</v>
      </c>
      <c r="N144" s="381">
        <v>23</v>
      </c>
      <c r="O144" s="136">
        <v>21</v>
      </c>
      <c r="P144" s="136">
        <v>21</v>
      </c>
      <c r="Q144" s="136">
        <v>21</v>
      </c>
      <c r="R144" s="380">
        <v>22</v>
      </c>
      <c r="S144" s="96">
        <v>14</v>
      </c>
      <c r="T144" s="96">
        <v>14</v>
      </c>
      <c r="U144" s="381">
        <v>25</v>
      </c>
      <c r="V144" s="380">
        <v>24</v>
      </c>
      <c r="W144" s="383">
        <v>28</v>
      </c>
      <c r="X144" s="383">
        <v>28</v>
      </c>
      <c r="Y144" s="396">
        <v>26</v>
      </c>
      <c r="Z144" s="378">
        <v>20</v>
      </c>
      <c r="AA144" s="375">
        <v>15</v>
      </c>
      <c r="AB144" s="385">
        <v>29</v>
      </c>
      <c r="AC144" s="383">
        <v>28</v>
      </c>
      <c r="AD144" s="385">
        <v>29</v>
      </c>
      <c r="AE144" s="383">
        <v>28</v>
      </c>
      <c r="AF144" s="391">
        <v>25</v>
      </c>
      <c r="AG144" s="397">
        <v>18</v>
      </c>
      <c r="AH144" s="347"/>
      <c r="AI144" s="347"/>
      <c r="AJ144" s="347"/>
      <c r="AK144" s="347"/>
      <c r="AL144" s="347"/>
      <c r="AM144" s="347"/>
      <c r="AN144" s="347"/>
      <c r="AO144" s="347"/>
      <c r="AP144" s="347"/>
      <c r="AQ144" s="347"/>
      <c r="AR144" s="347"/>
      <c r="AS144" s="347"/>
      <c r="AT144" s="347"/>
      <c r="AU144" s="347"/>
      <c r="AV144" s="347"/>
      <c r="AW144" s="347"/>
      <c r="AX144" s="347"/>
      <c r="AY144" s="347"/>
      <c r="AZ144" s="347"/>
      <c r="BA144" s="347"/>
      <c r="BB144" s="347"/>
      <c r="BC144" s="347"/>
      <c r="BD144" s="347"/>
      <c r="BE144" s="347"/>
      <c r="BF144" s="347"/>
      <c r="BG144" s="347"/>
      <c r="BH144" s="347"/>
      <c r="BI144" s="347"/>
      <c r="BJ144" s="347"/>
      <c r="BK144" s="347"/>
      <c r="BL144" s="347"/>
      <c r="BM144" s="347"/>
      <c r="BN144" s="347"/>
      <c r="BO144" s="347"/>
      <c r="BP144" s="347"/>
      <c r="BQ144" s="347"/>
    </row>
    <row r="145" spans="1:69">
      <c r="A145" s="347"/>
      <c r="B145" s="350">
        <v>0.75</v>
      </c>
      <c r="C145" s="91">
        <v>16</v>
      </c>
      <c r="D145" s="56">
        <v>13</v>
      </c>
      <c r="E145" s="374">
        <v>15</v>
      </c>
      <c r="F145" s="14">
        <v>12</v>
      </c>
      <c r="G145" s="380">
        <v>22</v>
      </c>
      <c r="H145" s="143">
        <v>25</v>
      </c>
      <c r="I145" s="386">
        <v>20</v>
      </c>
      <c r="J145" s="386">
        <v>20</v>
      </c>
      <c r="K145" s="121">
        <v>18</v>
      </c>
      <c r="L145" s="96">
        <v>14</v>
      </c>
      <c r="M145" s="13">
        <v>11</v>
      </c>
      <c r="N145" s="380">
        <v>22</v>
      </c>
      <c r="O145" s="136">
        <v>21</v>
      </c>
      <c r="P145" s="386">
        <v>20</v>
      </c>
      <c r="Q145" s="386">
        <v>20</v>
      </c>
      <c r="R145" s="386">
        <v>20</v>
      </c>
      <c r="S145" s="96">
        <v>14</v>
      </c>
      <c r="T145" s="14">
        <v>12</v>
      </c>
      <c r="U145" s="386">
        <v>23</v>
      </c>
      <c r="V145" s="386">
        <v>22</v>
      </c>
      <c r="W145" s="384">
        <v>27</v>
      </c>
      <c r="X145" s="396">
        <v>26</v>
      </c>
      <c r="Y145" s="376">
        <v>24</v>
      </c>
      <c r="Z145" s="397">
        <v>18</v>
      </c>
      <c r="AA145" s="375">
        <v>15</v>
      </c>
      <c r="AB145" s="384">
        <v>27</v>
      </c>
      <c r="AC145" s="384">
        <v>27</v>
      </c>
      <c r="AD145" s="384">
        <v>27</v>
      </c>
      <c r="AE145" s="396">
        <v>26</v>
      </c>
      <c r="AF145" s="376">
        <v>24</v>
      </c>
      <c r="AG145" s="397">
        <v>18</v>
      </c>
      <c r="AH145" s="353"/>
      <c r="AI145" s="347"/>
      <c r="AJ145" s="347"/>
      <c r="AK145" s="347"/>
      <c r="AL145" s="347"/>
      <c r="AM145" s="347"/>
      <c r="AN145" s="347"/>
      <c r="AO145" s="347"/>
      <c r="AP145" s="347"/>
      <c r="AQ145" s="347"/>
      <c r="AR145" s="347"/>
      <c r="AS145" s="347"/>
      <c r="AT145" s="347"/>
      <c r="AU145" s="347"/>
      <c r="AV145" s="347"/>
      <c r="AW145" s="347"/>
      <c r="AX145" s="347"/>
      <c r="AY145" s="347"/>
      <c r="AZ145" s="347"/>
      <c r="BA145" s="347"/>
      <c r="BB145" s="347"/>
      <c r="BC145" s="347"/>
      <c r="BD145" s="347"/>
      <c r="BE145" s="347"/>
      <c r="BF145" s="347"/>
      <c r="BG145" s="347"/>
      <c r="BH145" s="347"/>
      <c r="BI145" s="347"/>
      <c r="BJ145" s="347"/>
      <c r="BK145" s="347"/>
      <c r="BL145" s="347"/>
      <c r="BM145" s="347"/>
      <c r="BN145" s="347"/>
      <c r="BO145" s="347"/>
      <c r="BP145" s="347"/>
      <c r="BQ145" s="347"/>
    </row>
    <row r="146" spans="1:69">
      <c r="A146" s="347"/>
      <c r="B146" s="350">
        <v>0.79166666666666663</v>
      </c>
      <c r="C146" s="91">
        <v>16</v>
      </c>
      <c r="D146" s="56">
        <v>13</v>
      </c>
      <c r="E146" s="374">
        <v>15</v>
      </c>
      <c r="F146" s="56">
        <v>13</v>
      </c>
      <c r="G146" s="136">
        <v>21</v>
      </c>
      <c r="H146" s="381">
        <v>23</v>
      </c>
      <c r="I146" s="121">
        <v>18</v>
      </c>
      <c r="J146" s="91">
        <v>16</v>
      </c>
      <c r="K146" s="91">
        <v>16</v>
      </c>
      <c r="L146" s="96">
        <v>14</v>
      </c>
      <c r="M146" s="56">
        <v>13</v>
      </c>
      <c r="N146" s="136">
        <v>21</v>
      </c>
      <c r="O146" s="136">
        <v>21</v>
      </c>
      <c r="P146" s="121">
        <v>18</v>
      </c>
      <c r="Q146" s="91">
        <v>16</v>
      </c>
      <c r="R146" s="144">
        <v>17</v>
      </c>
      <c r="S146" s="14">
        <v>12</v>
      </c>
      <c r="T146" s="56">
        <v>13</v>
      </c>
      <c r="U146" s="136">
        <v>21</v>
      </c>
      <c r="V146" s="71">
        <v>20</v>
      </c>
      <c r="W146" s="376">
        <v>24</v>
      </c>
      <c r="X146" s="377">
        <v>22</v>
      </c>
      <c r="Y146" s="379">
        <v>23</v>
      </c>
      <c r="Z146" s="167">
        <v>17</v>
      </c>
      <c r="AA146" s="371">
        <v>11</v>
      </c>
      <c r="AB146" s="376">
        <v>24</v>
      </c>
      <c r="AC146" s="379">
        <v>23</v>
      </c>
      <c r="AD146" s="376">
        <v>24</v>
      </c>
      <c r="AE146" s="377">
        <v>22</v>
      </c>
      <c r="AF146" s="379">
        <v>23</v>
      </c>
      <c r="AG146" s="311">
        <v>16</v>
      </c>
      <c r="AH146" s="353"/>
      <c r="AI146" s="347"/>
      <c r="AJ146" s="347"/>
      <c r="AK146" s="347"/>
      <c r="AL146" s="347"/>
      <c r="AM146" s="347"/>
      <c r="AN146" s="347"/>
      <c r="AO146" s="347"/>
      <c r="AP146" s="347"/>
      <c r="AQ146" s="347"/>
      <c r="AR146" s="347"/>
      <c r="AS146" s="347"/>
      <c r="AT146" s="347"/>
      <c r="AU146" s="347"/>
      <c r="AV146" s="347"/>
      <c r="AW146" s="347"/>
      <c r="AX146" s="347"/>
      <c r="AY146" s="347"/>
      <c r="AZ146" s="347"/>
      <c r="BA146" s="347"/>
      <c r="BB146" s="347"/>
      <c r="BC146" s="347"/>
      <c r="BD146" s="347"/>
      <c r="BE146" s="347"/>
      <c r="BF146" s="347"/>
      <c r="BG146" s="347"/>
      <c r="BH146" s="347"/>
      <c r="BI146" s="347"/>
      <c r="BJ146" s="347"/>
      <c r="BK146" s="347"/>
      <c r="BL146" s="347"/>
      <c r="BM146" s="347"/>
      <c r="BN146" s="347"/>
      <c r="BO146" s="347"/>
      <c r="BP146" s="347"/>
      <c r="BQ146" s="347"/>
    </row>
    <row r="147" spans="1:69">
      <c r="A147" s="347"/>
      <c r="B147" s="350">
        <v>0.83333333333333337</v>
      </c>
      <c r="C147" s="56">
        <v>13</v>
      </c>
      <c r="D147" s="13">
        <v>11</v>
      </c>
      <c r="E147" s="14">
        <v>12</v>
      </c>
      <c r="F147" s="246">
        <v>9</v>
      </c>
      <c r="G147" s="144">
        <v>17</v>
      </c>
      <c r="H147" s="71">
        <v>19</v>
      </c>
      <c r="I147" s="96">
        <v>14</v>
      </c>
      <c r="J147" s="96">
        <v>14</v>
      </c>
      <c r="K147" s="96">
        <v>14</v>
      </c>
      <c r="L147" s="13">
        <v>11</v>
      </c>
      <c r="M147" s="94">
        <v>10</v>
      </c>
      <c r="N147" s="144">
        <v>17</v>
      </c>
      <c r="O147" s="144">
        <v>17</v>
      </c>
      <c r="P147" s="96">
        <v>14</v>
      </c>
      <c r="Q147" s="96">
        <v>14</v>
      </c>
      <c r="R147" s="96">
        <v>14</v>
      </c>
      <c r="S147" s="13">
        <v>11</v>
      </c>
      <c r="T147" s="246">
        <v>9</v>
      </c>
      <c r="U147" s="91">
        <v>19</v>
      </c>
      <c r="V147" s="96">
        <v>16</v>
      </c>
      <c r="W147" s="378">
        <v>20</v>
      </c>
      <c r="X147" s="378">
        <v>20</v>
      </c>
      <c r="Y147" s="397">
        <v>18</v>
      </c>
      <c r="Z147" s="369">
        <v>14</v>
      </c>
      <c r="AA147" s="371">
        <v>11</v>
      </c>
      <c r="AB147" s="377">
        <v>22</v>
      </c>
      <c r="AC147" s="395">
        <v>21</v>
      </c>
      <c r="AD147" s="378">
        <v>20</v>
      </c>
      <c r="AE147" s="378">
        <v>20</v>
      </c>
      <c r="AF147" s="397">
        <v>18</v>
      </c>
      <c r="AG147" s="369">
        <v>14</v>
      </c>
      <c r="AH147" s="353"/>
      <c r="AI147" s="347"/>
      <c r="AJ147" s="347"/>
      <c r="AK147" s="347"/>
      <c r="AL147" s="347"/>
      <c r="AM147" s="347"/>
      <c r="AN147" s="347"/>
      <c r="AO147" s="347"/>
      <c r="AP147" s="347"/>
      <c r="AQ147" s="347"/>
      <c r="AR147" s="347"/>
      <c r="AS147" s="347"/>
      <c r="AT147" s="347"/>
      <c r="AU147" s="347"/>
      <c r="AV147" s="347"/>
      <c r="AW147" s="347"/>
      <c r="AX147" s="347"/>
      <c r="AY147" s="347"/>
      <c r="AZ147" s="347"/>
      <c r="BA147" s="347"/>
      <c r="BB147" s="347"/>
      <c r="BC147" s="347"/>
      <c r="BD147" s="347"/>
      <c r="BE147" s="347"/>
      <c r="BF147" s="347"/>
      <c r="BG147" s="347"/>
      <c r="BH147" s="347"/>
      <c r="BI147" s="347"/>
      <c r="BJ147" s="347"/>
      <c r="BK147" s="347"/>
      <c r="BL147" s="347"/>
      <c r="BM147" s="347"/>
      <c r="BN147" s="347"/>
      <c r="BO147" s="347"/>
      <c r="BP147" s="347"/>
      <c r="BQ147" s="347"/>
    </row>
    <row r="148" spans="1:69">
      <c r="A148" s="347"/>
      <c r="B148" s="350">
        <v>0.875</v>
      </c>
      <c r="C148" s="225">
        <v>8</v>
      </c>
      <c r="D148" s="17">
        <v>7</v>
      </c>
      <c r="E148" s="17">
        <v>7</v>
      </c>
      <c r="F148" s="245">
        <v>6</v>
      </c>
      <c r="G148" s="94">
        <v>10</v>
      </c>
      <c r="H148" s="13">
        <v>11</v>
      </c>
      <c r="I148" s="94">
        <v>10</v>
      </c>
      <c r="J148" s="94">
        <v>10</v>
      </c>
      <c r="K148" s="246">
        <v>9</v>
      </c>
      <c r="L148" s="17">
        <v>7</v>
      </c>
      <c r="M148" s="17">
        <v>7</v>
      </c>
      <c r="N148" s="94">
        <v>10</v>
      </c>
      <c r="O148" s="94">
        <v>10</v>
      </c>
      <c r="P148" s="94">
        <v>10</v>
      </c>
      <c r="Q148" s="94">
        <v>10</v>
      </c>
      <c r="R148" s="246">
        <v>9</v>
      </c>
      <c r="S148" s="17">
        <v>7</v>
      </c>
      <c r="T148" s="245">
        <v>6</v>
      </c>
      <c r="U148" s="94">
        <v>12</v>
      </c>
      <c r="V148" s="94">
        <v>13</v>
      </c>
      <c r="W148" s="375">
        <v>15</v>
      </c>
      <c r="X148" s="375">
        <v>15</v>
      </c>
      <c r="Y148" s="369">
        <v>14</v>
      </c>
      <c r="Z148" s="371">
        <v>11</v>
      </c>
      <c r="AA148" s="372">
        <v>9</v>
      </c>
      <c r="AB148" s="375">
        <v>15</v>
      </c>
      <c r="AC148" s="375">
        <v>15</v>
      </c>
      <c r="AD148" s="375">
        <v>15</v>
      </c>
      <c r="AE148" s="375">
        <v>15</v>
      </c>
      <c r="AF148" s="369">
        <v>14</v>
      </c>
      <c r="AG148" s="371">
        <v>11</v>
      </c>
      <c r="AH148" s="353"/>
      <c r="AI148" s="347"/>
      <c r="AJ148" s="347"/>
      <c r="AK148" s="347"/>
      <c r="AL148" s="347"/>
      <c r="AM148" s="347"/>
      <c r="AN148" s="347"/>
      <c r="AO148" s="347"/>
      <c r="AP148" s="347"/>
      <c r="AQ148" s="347"/>
      <c r="AR148" s="347"/>
      <c r="AS148" s="347"/>
      <c r="AT148" s="347"/>
      <c r="AU148" s="347"/>
      <c r="AV148" s="347"/>
      <c r="AW148" s="347"/>
      <c r="AX148" s="347"/>
      <c r="AY148" s="347"/>
      <c r="AZ148" s="347"/>
      <c r="BA148" s="347"/>
      <c r="BB148" s="347"/>
      <c r="BC148" s="347"/>
      <c r="BD148" s="347"/>
      <c r="BE148" s="347"/>
      <c r="BF148" s="347"/>
      <c r="BG148" s="347"/>
      <c r="BH148" s="347"/>
      <c r="BI148" s="347"/>
      <c r="BJ148" s="347"/>
      <c r="BK148" s="347"/>
      <c r="BL148" s="347"/>
      <c r="BM148" s="347"/>
      <c r="BN148" s="347"/>
      <c r="BO148" s="347"/>
      <c r="BP148" s="347"/>
      <c r="BQ148" s="347"/>
    </row>
    <row r="149" spans="1:69">
      <c r="A149" s="347"/>
      <c r="B149" s="350">
        <v>0.91666666666666663</v>
      </c>
      <c r="C149" s="17">
        <v>7</v>
      </c>
      <c r="D149" s="17">
        <v>7</v>
      </c>
      <c r="E149" s="17">
        <v>7</v>
      </c>
      <c r="F149" s="245">
        <v>6</v>
      </c>
      <c r="G149" s="225">
        <v>8</v>
      </c>
      <c r="H149" s="225">
        <v>8</v>
      </c>
      <c r="I149" s="225">
        <v>8</v>
      </c>
      <c r="J149" s="225">
        <v>8</v>
      </c>
      <c r="K149" s="225">
        <v>8</v>
      </c>
      <c r="L149" s="17">
        <v>7</v>
      </c>
      <c r="M149" s="245">
        <v>6</v>
      </c>
      <c r="N149" s="225">
        <v>8</v>
      </c>
      <c r="O149" s="225">
        <v>8</v>
      </c>
      <c r="P149" s="225">
        <v>8</v>
      </c>
      <c r="Q149" s="225">
        <v>8</v>
      </c>
      <c r="R149" s="225">
        <v>8</v>
      </c>
      <c r="S149" s="17">
        <v>7</v>
      </c>
      <c r="T149" s="245">
        <v>6</v>
      </c>
      <c r="U149" s="94">
        <v>8</v>
      </c>
      <c r="V149" s="17">
        <v>7</v>
      </c>
      <c r="W149" s="398">
        <v>8</v>
      </c>
      <c r="X149" s="399">
        <v>7</v>
      </c>
      <c r="Y149" s="399">
        <v>7</v>
      </c>
      <c r="Z149" s="366">
        <v>5</v>
      </c>
      <c r="AA149" s="365">
        <v>4</v>
      </c>
      <c r="AB149" s="399">
        <v>7</v>
      </c>
      <c r="AC149" s="399">
        <v>7</v>
      </c>
      <c r="AD149" s="398">
        <v>8</v>
      </c>
      <c r="AE149" s="399">
        <v>7</v>
      </c>
      <c r="AF149" s="399">
        <v>7</v>
      </c>
      <c r="AG149" s="400">
        <v>6</v>
      </c>
      <c r="AH149" s="353"/>
      <c r="AI149" s="347"/>
      <c r="AJ149" s="347"/>
      <c r="AK149" s="347"/>
      <c r="AL149" s="347"/>
      <c r="AM149" s="347"/>
      <c r="AN149" s="347"/>
      <c r="AO149" s="347"/>
      <c r="AP149" s="347"/>
      <c r="AQ149" s="347"/>
      <c r="AR149" s="347"/>
      <c r="AS149" s="347"/>
      <c r="AT149" s="347"/>
      <c r="AU149" s="347"/>
      <c r="AV149" s="347"/>
      <c r="AW149" s="347"/>
      <c r="AX149" s="347"/>
      <c r="AY149" s="347"/>
      <c r="AZ149" s="347"/>
      <c r="BA149" s="347"/>
      <c r="BB149" s="347"/>
      <c r="BC149" s="347"/>
      <c r="BD149" s="347"/>
      <c r="BE149" s="347"/>
      <c r="BF149" s="347"/>
      <c r="BG149" s="347"/>
      <c r="BH149" s="347"/>
      <c r="BI149" s="347"/>
      <c r="BJ149" s="347"/>
      <c r="BK149" s="347"/>
      <c r="BL149" s="347"/>
      <c r="BM149" s="347"/>
      <c r="BN149" s="347"/>
      <c r="BO149" s="347"/>
      <c r="BP149" s="347"/>
      <c r="BQ149" s="347"/>
    </row>
    <row r="150" spans="1:69">
      <c r="A150" s="347"/>
      <c r="B150" s="350">
        <v>0.95833333333333337</v>
      </c>
      <c r="C150" s="11">
        <v>4</v>
      </c>
      <c r="D150" s="11">
        <v>4</v>
      </c>
      <c r="E150" s="93">
        <v>3</v>
      </c>
      <c r="F150" s="11">
        <v>4</v>
      </c>
      <c r="G150" s="11">
        <v>4</v>
      </c>
      <c r="H150" s="11">
        <v>4</v>
      </c>
      <c r="I150" s="11">
        <v>4</v>
      </c>
      <c r="J150" s="11">
        <v>4</v>
      </c>
      <c r="K150" s="11">
        <v>4</v>
      </c>
      <c r="L150" s="11">
        <v>4</v>
      </c>
      <c r="M150" s="93">
        <v>3</v>
      </c>
      <c r="N150" s="11">
        <v>4</v>
      </c>
      <c r="O150" s="11">
        <v>4</v>
      </c>
      <c r="P150" s="11">
        <v>4</v>
      </c>
      <c r="Q150" s="11">
        <v>4</v>
      </c>
      <c r="R150" s="11">
        <v>4</v>
      </c>
      <c r="S150" s="93">
        <v>3</v>
      </c>
      <c r="T150" s="11">
        <v>4</v>
      </c>
      <c r="U150" s="266">
        <v>5</v>
      </c>
      <c r="V150" s="11">
        <v>5</v>
      </c>
      <c r="W150" s="365">
        <v>4</v>
      </c>
      <c r="X150" s="365">
        <v>4</v>
      </c>
      <c r="Y150" s="365">
        <v>4</v>
      </c>
      <c r="Z150" s="195">
        <v>3</v>
      </c>
      <c r="AA150" s="365">
        <v>4</v>
      </c>
      <c r="AB150" s="365">
        <v>4</v>
      </c>
      <c r="AC150" s="365">
        <v>4</v>
      </c>
      <c r="AD150" s="365">
        <v>4</v>
      </c>
      <c r="AE150" s="366">
        <v>5</v>
      </c>
      <c r="AF150" s="365">
        <v>4</v>
      </c>
      <c r="AG150" s="365">
        <v>4</v>
      </c>
      <c r="AH150" s="353"/>
      <c r="AI150" s="347"/>
      <c r="AJ150" s="347"/>
      <c r="AK150" s="347"/>
      <c r="AL150" s="347"/>
      <c r="AM150" s="347"/>
      <c r="AN150" s="347"/>
      <c r="AO150" s="347"/>
      <c r="AP150" s="347"/>
      <c r="AQ150" s="347"/>
      <c r="AR150" s="347"/>
      <c r="AS150" s="347"/>
      <c r="AT150" s="347"/>
      <c r="AU150" s="347"/>
      <c r="AV150" s="347"/>
      <c r="AW150" s="347"/>
      <c r="AX150" s="347"/>
      <c r="AY150" s="347"/>
      <c r="AZ150" s="347"/>
      <c r="BA150" s="347"/>
      <c r="BB150" s="347"/>
      <c r="BC150" s="347"/>
      <c r="BD150" s="347"/>
      <c r="BE150" s="347"/>
      <c r="BF150" s="347"/>
      <c r="BG150" s="347"/>
      <c r="BH150" s="347"/>
      <c r="BI150" s="347"/>
      <c r="BJ150" s="347"/>
      <c r="BK150" s="347"/>
      <c r="BL150" s="347"/>
      <c r="BM150" s="347"/>
      <c r="BN150" s="347"/>
      <c r="BO150" s="347"/>
      <c r="BP150" s="347"/>
      <c r="BQ150" s="347"/>
    </row>
    <row r="151" spans="1:69">
      <c r="A151" s="347"/>
      <c r="B151" s="354" t="s">
        <v>771</v>
      </c>
      <c r="C151" s="354">
        <v>280</v>
      </c>
      <c r="D151" s="354">
        <v>259</v>
      </c>
      <c r="E151" s="354">
        <v>279</v>
      </c>
      <c r="F151" s="354">
        <v>221</v>
      </c>
      <c r="G151" s="354">
        <v>354</v>
      </c>
      <c r="H151" s="354">
        <v>369</v>
      </c>
      <c r="I151" s="354">
        <v>339</v>
      </c>
      <c r="J151" s="354">
        <v>328</v>
      </c>
      <c r="K151" s="354">
        <v>330</v>
      </c>
      <c r="L151" s="354">
        <v>269</v>
      </c>
      <c r="M151" s="354">
        <v>214</v>
      </c>
      <c r="N151" s="354">
        <v>357</v>
      </c>
      <c r="O151" s="354">
        <v>340</v>
      </c>
      <c r="P151" s="354">
        <v>339</v>
      </c>
      <c r="Q151" s="354">
        <v>328</v>
      </c>
      <c r="R151" s="354">
        <v>325</v>
      </c>
      <c r="S151" s="354">
        <v>264</v>
      </c>
      <c r="T151" s="354">
        <v>221</v>
      </c>
      <c r="U151" s="354">
        <f t="shared" ref="U151:AG151" si="4">SUM(U127:U150)</f>
        <v>396</v>
      </c>
      <c r="V151" s="354">
        <f t="shared" si="4"/>
        <v>387</v>
      </c>
      <c r="W151" s="354">
        <f t="shared" si="4"/>
        <v>447</v>
      </c>
      <c r="X151" s="354">
        <f t="shared" si="4"/>
        <v>433</v>
      </c>
      <c r="Y151" s="354">
        <f t="shared" si="4"/>
        <v>409</v>
      </c>
      <c r="Z151" s="354">
        <f t="shared" si="4"/>
        <v>321</v>
      </c>
      <c r="AA151" s="354">
        <f t="shared" si="4"/>
        <v>260</v>
      </c>
      <c r="AB151" s="354">
        <f t="shared" si="4"/>
        <v>445</v>
      </c>
      <c r="AC151" s="354">
        <f t="shared" si="4"/>
        <v>434</v>
      </c>
      <c r="AD151" s="354">
        <f t="shared" si="4"/>
        <v>447</v>
      </c>
      <c r="AE151" s="354">
        <f t="shared" si="4"/>
        <v>434</v>
      </c>
      <c r="AF151" s="354">
        <f t="shared" si="4"/>
        <v>411</v>
      </c>
      <c r="AG151" s="354">
        <f t="shared" si="4"/>
        <v>319</v>
      </c>
      <c r="AH151" s="356">
        <f>SUM(C151:AG151)</f>
        <v>10559</v>
      </c>
      <c r="AI151" s="347"/>
      <c r="AJ151" s="347"/>
      <c r="AK151" s="347"/>
      <c r="AL151" s="347"/>
      <c r="AM151" s="347"/>
      <c r="AN151" s="347"/>
      <c r="AO151" s="347"/>
      <c r="AP151" s="347"/>
      <c r="AQ151" s="347"/>
      <c r="AR151" s="347"/>
      <c r="AS151" s="347"/>
      <c r="AT151" s="347"/>
      <c r="AU151" s="347"/>
      <c r="AV151" s="347"/>
      <c r="AW151" s="347"/>
      <c r="AX151" s="347"/>
      <c r="AY151" s="347"/>
      <c r="AZ151" s="347"/>
      <c r="BA151" s="347"/>
      <c r="BB151" s="347"/>
      <c r="BC151" s="347"/>
      <c r="BD151" s="347"/>
      <c r="BE151" s="347"/>
      <c r="BF151" s="347"/>
      <c r="BG151" s="347"/>
      <c r="BH151" s="347"/>
      <c r="BI151" s="347"/>
      <c r="BJ151" s="347"/>
      <c r="BK151" s="347"/>
      <c r="BL151" s="347"/>
      <c r="BM151" s="347"/>
      <c r="BN151" s="347"/>
      <c r="BO151" s="347"/>
      <c r="BP151" s="347"/>
      <c r="BQ151" s="347"/>
    </row>
    <row r="152" spans="1:69">
      <c r="A152" s="347"/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>
        <f>X151-11</f>
        <v>422</v>
      </c>
      <c r="Y152" s="347"/>
      <c r="Z152" s="347"/>
      <c r="AA152" s="347"/>
      <c r="AB152" s="347"/>
      <c r="AC152" s="347"/>
      <c r="AD152" s="347"/>
      <c r="AE152" s="347"/>
      <c r="AF152" s="347"/>
      <c r="AG152" s="347"/>
      <c r="AH152" s="347">
        <f>AH151/177</f>
        <v>59.655367231638415</v>
      </c>
      <c r="AI152" s="347"/>
      <c r="AJ152" s="347"/>
      <c r="AK152" s="347"/>
      <c r="AL152" s="347"/>
      <c r="AM152" s="347"/>
      <c r="AN152" s="347"/>
      <c r="AO152" s="347"/>
      <c r="AP152" s="347"/>
      <c r="AQ152" s="347"/>
      <c r="AR152" s="347"/>
      <c r="AS152" s="347"/>
      <c r="AT152" s="347"/>
      <c r="AU152" s="347"/>
      <c r="AV152" s="347"/>
      <c r="AW152" s="347"/>
      <c r="AX152" s="347"/>
      <c r="AY152" s="347"/>
      <c r="AZ152" s="347"/>
      <c r="BA152" s="347"/>
      <c r="BB152" s="347"/>
      <c r="BC152" s="347"/>
      <c r="BD152" s="347"/>
      <c r="BE152" s="347"/>
      <c r="BF152" s="347"/>
      <c r="BG152" s="347"/>
      <c r="BH152" s="347"/>
      <c r="BI152" s="347"/>
      <c r="BJ152" s="347"/>
      <c r="BK152" s="347"/>
      <c r="BL152" s="347"/>
      <c r="BM152" s="347"/>
      <c r="BN152" s="347"/>
      <c r="BO152" s="347"/>
      <c r="BP152" s="347"/>
      <c r="BQ152" s="347"/>
    </row>
    <row r="153" spans="1:69">
      <c r="A153" s="347"/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>
        <f>X152-100</f>
        <v>322</v>
      </c>
      <c r="Y153" s="347"/>
      <c r="Z153" s="347"/>
      <c r="AA153" s="347"/>
      <c r="AB153" s="347"/>
      <c r="AC153" s="347"/>
      <c r="AD153" s="347"/>
      <c r="AE153" s="347"/>
      <c r="AF153" s="347"/>
      <c r="AG153" s="347"/>
      <c r="AH153" s="347"/>
      <c r="AI153" s="347"/>
      <c r="AJ153" s="347"/>
      <c r="AK153" s="347"/>
      <c r="AL153" s="347"/>
      <c r="AM153" s="347"/>
      <c r="AN153" s="347"/>
      <c r="AO153" s="347"/>
      <c r="AP153" s="347"/>
      <c r="AQ153" s="347"/>
      <c r="AR153" s="347"/>
      <c r="AS153" s="347"/>
      <c r="AT153" s="347"/>
      <c r="AU153" s="347"/>
      <c r="AV153" s="347"/>
      <c r="AW153" s="347"/>
      <c r="AX153" s="347"/>
      <c r="AY153" s="347"/>
      <c r="AZ153" s="347"/>
      <c r="BA153" s="347"/>
      <c r="BB153" s="347"/>
      <c r="BC153" s="347"/>
      <c r="BD153" s="347"/>
      <c r="BE153" s="347"/>
      <c r="BF153" s="347"/>
      <c r="BG153" s="347"/>
      <c r="BH153" s="347"/>
      <c r="BI153" s="347"/>
      <c r="BJ153" s="347"/>
      <c r="BK153" s="347"/>
      <c r="BL153" s="347"/>
      <c r="BM153" s="347"/>
      <c r="BN153" s="347"/>
      <c r="BO153" s="347"/>
      <c r="BP153" s="347"/>
      <c r="BQ153" s="347"/>
    </row>
    <row r="154" spans="1:69">
      <c r="A154" s="347"/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347"/>
      <c r="AB154" s="347"/>
      <c r="AC154" s="347"/>
      <c r="AD154" s="347"/>
      <c r="AE154" s="347"/>
      <c r="AF154" s="347"/>
      <c r="AG154" s="347"/>
      <c r="AH154" s="347"/>
      <c r="AI154" s="347"/>
      <c r="AJ154" s="347"/>
      <c r="AK154" s="347"/>
      <c r="AL154" s="347"/>
      <c r="AM154" s="347"/>
      <c r="AN154" s="347"/>
      <c r="AO154" s="347"/>
      <c r="AP154" s="347"/>
      <c r="AQ154" s="347"/>
      <c r="AR154" s="347"/>
      <c r="AS154" s="347"/>
      <c r="AT154" s="347"/>
      <c r="AU154" s="347"/>
      <c r="AV154" s="347"/>
      <c r="AW154" s="347"/>
      <c r="AX154" s="347"/>
      <c r="AY154" s="347"/>
      <c r="AZ154" s="347"/>
      <c r="BA154" s="347"/>
      <c r="BB154" s="347"/>
      <c r="BC154" s="347"/>
      <c r="BD154" s="347"/>
      <c r="BE154" s="347"/>
      <c r="BF154" s="347"/>
      <c r="BG154" s="347"/>
      <c r="BH154" s="347"/>
      <c r="BI154" s="347"/>
      <c r="BJ154" s="347"/>
      <c r="BK154" s="347"/>
      <c r="BL154" s="347"/>
      <c r="BM154" s="347"/>
      <c r="BN154" s="347"/>
      <c r="BO154" s="347"/>
      <c r="BP154" s="347"/>
      <c r="BQ154" s="347"/>
    </row>
    <row r="155" spans="1:69">
      <c r="A155" s="347"/>
      <c r="B155" s="590" t="s">
        <v>364</v>
      </c>
      <c r="C155" s="401">
        <v>45658</v>
      </c>
      <c r="D155" s="401">
        <v>45659</v>
      </c>
      <c r="E155" s="401">
        <v>45660</v>
      </c>
      <c r="F155" s="401">
        <v>45661</v>
      </c>
      <c r="G155" s="401">
        <v>45662</v>
      </c>
      <c r="H155" s="401">
        <v>45663</v>
      </c>
      <c r="I155" s="401">
        <v>45664</v>
      </c>
      <c r="J155" s="401">
        <v>45665</v>
      </c>
      <c r="K155" s="401">
        <v>45666</v>
      </c>
      <c r="L155" s="401">
        <v>45667</v>
      </c>
      <c r="M155" s="401">
        <v>45668</v>
      </c>
      <c r="N155" s="401">
        <v>45669</v>
      </c>
      <c r="O155" s="401">
        <v>45670</v>
      </c>
      <c r="P155" s="401">
        <v>45671</v>
      </c>
      <c r="Q155" s="401">
        <v>45672</v>
      </c>
      <c r="R155" s="401">
        <v>45673</v>
      </c>
      <c r="S155" s="401">
        <v>45674</v>
      </c>
      <c r="T155" s="401">
        <v>45675</v>
      </c>
      <c r="U155" s="401">
        <v>45676</v>
      </c>
      <c r="V155" s="401">
        <v>45677</v>
      </c>
      <c r="W155" s="401">
        <v>45678</v>
      </c>
      <c r="X155" s="401">
        <v>45679</v>
      </c>
      <c r="Y155" s="401">
        <v>45680</v>
      </c>
      <c r="Z155" s="401">
        <v>45681</v>
      </c>
      <c r="AA155" s="401">
        <v>45682</v>
      </c>
      <c r="AB155" s="401">
        <v>45683</v>
      </c>
      <c r="AC155" s="401">
        <v>45684</v>
      </c>
      <c r="AD155" s="401">
        <v>45685</v>
      </c>
      <c r="AE155" s="401">
        <v>45686</v>
      </c>
      <c r="AF155" s="401">
        <v>45687</v>
      </c>
      <c r="AG155" s="401">
        <v>45688</v>
      </c>
      <c r="AH155" s="347"/>
      <c r="AI155" s="347"/>
      <c r="AJ155" s="347"/>
      <c r="AK155" s="347"/>
      <c r="AL155" s="347"/>
      <c r="AM155" s="347"/>
      <c r="AN155" s="347"/>
      <c r="AO155" s="347"/>
      <c r="AP155" s="347"/>
      <c r="AQ155" s="347"/>
      <c r="AR155" s="347"/>
      <c r="AS155" s="347"/>
      <c r="AT155" s="347"/>
      <c r="AU155" s="347"/>
      <c r="AV155" s="347"/>
      <c r="AW155" s="347"/>
      <c r="AX155" s="347"/>
      <c r="AY155" s="347"/>
      <c r="AZ155" s="347"/>
      <c r="BA155" s="347"/>
      <c r="BB155" s="347"/>
      <c r="BC155" s="347"/>
      <c r="BD155" s="347"/>
      <c r="BE155" s="347"/>
      <c r="BF155" s="347"/>
      <c r="BG155" s="347"/>
      <c r="BH155" s="347"/>
      <c r="BI155" s="347"/>
      <c r="BJ155" s="347"/>
      <c r="BK155" s="347"/>
      <c r="BL155" s="347"/>
      <c r="BM155" s="347"/>
      <c r="BN155" s="347"/>
      <c r="BO155" s="347"/>
      <c r="BP155" s="347"/>
      <c r="BQ155" s="347"/>
    </row>
    <row r="156" spans="1:69">
      <c r="A156" s="347"/>
      <c r="B156" s="591"/>
      <c r="C156" s="402" t="s">
        <v>773</v>
      </c>
      <c r="D156" s="402" t="s">
        <v>774</v>
      </c>
      <c r="E156" s="402" t="s">
        <v>775</v>
      </c>
      <c r="F156" s="402" t="s">
        <v>776</v>
      </c>
      <c r="G156" s="402" t="s">
        <v>777</v>
      </c>
      <c r="H156" s="402" t="s">
        <v>778</v>
      </c>
      <c r="I156" s="402" t="s">
        <v>779</v>
      </c>
      <c r="J156" s="402" t="s">
        <v>773</v>
      </c>
      <c r="K156" s="402" t="s">
        <v>774</v>
      </c>
      <c r="L156" s="402" t="s">
        <v>775</v>
      </c>
      <c r="M156" s="402" t="s">
        <v>776</v>
      </c>
      <c r="N156" s="402" t="s">
        <v>777</v>
      </c>
      <c r="O156" s="402" t="s">
        <v>778</v>
      </c>
      <c r="P156" s="402" t="s">
        <v>779</v>
      </c>
      <c r="Q156" s="402" t="s">
        <v>773</v>
      </c>
      <c r="R156" s="402" t="s">
        <v>774</v>
      </c>
      <c r="S156" s="402" t="s">
        <v>775</v>
      </c>
      <c r="T156" s="402" t="s">
        <v>776</v>
      </c>
      <c r="U156" s="402" t="s">
        <v>777</v>
      </c>
      <c r="V156" s="402" t="s">
        <v>778</v>
      </c>
      <c r="W156" s="402" t="s">
        <v>779</v>
      </c>
      <c r="X156" s="402" t="s">
        <v>773</v>
      </c>
      <c r="Y156" s="402" t="s">
        <v>774</v>
      </c>
      <c r="Z156" s="402" t="s">
        <v>775</v>
      </c>
      <c r="AA156" s="402" t="s">
        <v>776</v>
      </c>
      <c r="AB156" s="402" t="s">
        <v>777</v>
      </c>
      <c r="AC156" s="402" t="s">
        <v>778</v>
      </c>
      <c r="AD156" s="402" t="s">
        <v>779</v>
      </c>
      <c r="AE156" s="402" t="s">
        <v>773</v>
      </c>
      <c r="AF156" s="402" t="s">
        <v>774</v>
      </c>
      <c r="AG156" s="402" t="s">
        <v>775</v>
      </c>
      <c r="AH156" s="347"/>
      <c r="AI156" s="347"/>
      <c r="AJ156" s="347"/>
      <c r="AK156" s="347"/>
      <c r="AL156" s="347"/>
      <c r="AM156" s="347"/>
      <c r="AN156" s="347"/>
      <c r="AO156" s="347"/>
      <c r="AP156" s="347"/>
      <c r="AQ156" s="347"/>
      <c r="AR156" s="347"/>
      <c r="AS156" s="347"/>
      <c r="AT156" s="347"/>
      <c r="AU156" s="347"/>
      <c r="AV156" s="347"/>
      <c r="AW156" s="347"/>
      <c r="AX156" s="347"/>
      <c r="AY156" s="347"/>
      <c r="AZ156" s="347"/>
      <c r="BA156" s="347"/>
      <c r="BB156" s="347"/>
      <c r="BC156" s="347"/>
      <c r="BD156" s="347"/>
      <c r="BE156" s="347"/>
      <c r="BF156" s="347"/>
      <c r="BG156" s="347"/>
      <c r="BH156" s="347"/>
      <c r="BI156" s="347"/>
      <c r="BJ156" s="347"/>
      <c r="BK156" s="347"/>
      <c r="BL156" s="347"/>
      <c r="BM156" s="347"/>
      <c r="BN156" s="347"/>
      <c r="BO156" s="347"/>
      <c r="BP156" s="347"/>
      <c r="BQ156" s="347"/>
    </row>
    <row r="157" spans="1:69">
      <c r="A157" s="347"/>
      <c r="B157" s="403">
        <v>0</v>
      </c>
      <c r="C157" s="404"/>
      <c r="D157" s="404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404"/>
      <c r="AF157" s="404"/>
      <c r="AG157" s="404"/>
      <c r="AH157" s="347"/>
      <c r="AI157" s="347"/>
      <c r="AJ157" s="347"/>
      <c r="AK157" s="347"/>
      <c r="AL157" s="347"/>
      <c r="AM157" s="347"/>
      <c r="AN157" s="347"/>
      <c r="AO157" s="347"/>
      <c r="AP157" s="347"/>
      <c r="AQ157" s="347"/>
      <c r="AR157" s="347"/>
      <c r="AS157" s="347"/>
      <c r="AT157" s="347"/>
      <c r="AU157" s="347"/>
      <c r="AV157" s="347"/>
      <c r="AW157" s="347"/>
      <c r="AX157" s="347"/>
      <c r="AY157" s="347"/>
      <c r="AZ157" s="347"/>
      <c r="BA157" s="347"/>
      <c r="BB157" s="347"/>
      <c r="BC157" s="347"/>
      <c r="BD157" s="347"/>
      <c r="BE157" s="347"/>
      <c r="BF157" s="347"/>
      <c r="BG157" s="347"/>
      <c r="BH157" s="347"/>
      <c r="BI157" s="347"/>
      <c r="BJ157" s="347"/>
      <c r="BK157" s="347"/>
      <c r="BL157" s="347"/>
      <c r="BM157" s="347"/>
      <c r="BN157" s="347"/>
      <c r="BO157" s="347"/>
      <c r="BP157" s="347"/>
      <c r="BQ157" s="347"/>
    </row>
    <row r="158" spans="1:69">
      <c r="A158" s="347"/>
      <c r="B158" s="403">
        <v>4.1666666666666664E-2</v>
      </c>
      <c r="C158" s="404"/>
      <c r="D158" s="404"/>
      <c r="E158" s="404"/>
      <c r="F158" s="404"/>
      <c r="G158" s="404"/>
      <c r="H158" s="404"/>
      <c r="I158" s="404"/>
      <c r="J158" s="404"/>
      <c r="K158" s="404"/>
      <c r="L158" s="404"/>
      <c r="M158" s="404"/>
      <c r="N158" s="404"/>
      <c r="O158" s="404"/>
      <c r="P158" s="404"/>
      <c r="Q158" s="404"/>
      <c r="R158" s="404"/>
      <c r="S158" s="404"/>
      <c r="T158" s="404"/>
      <c r="U158" s="404"/>
      <c r="V158" s="404"/>
      <c r="W158" s="404"/>
      <c r="X158" s="404"/>
      <c r="Y158" s="404"/>
      <c r="Z158" s="404"/>
      <c r="AA158" s="404"/>
      <c r="AB158" s="404"/>
      <c r="AC158" s="404"/>
      <c r="AD158" s="404"/>
      <c r="AE158" s="404"/>
      <c r="AF158" s="404"/>
      <c r="AG158" s="404"/>
      <c r="AH158" s="347"/>
      <c r="AI158" s="347"/>
      <c r="AJ158" s="347"/>
      <c r="AK158" s="347"/>
      <c r="AL158" s="347"/>
      <c r="AM158" s="347"/>
      <c r="AN158" s="347"/>
      <c r="AO158" s="347"/>
      <c r="AP158" s="347"/>
      <c r="AQ158" s="347"/>
      <c r="AR158" s="347"/>
      <c r="AS158" s="347"/>
      <c r="AT158" s="347"/>
      <c r="AU158" s="347"/>
      <c r="AV158" s="347"/>
      <c r="AW158" s="347"/>
      <c r="AX158" s="347"/>
      <c r="AY158" s="347"/>
      <c r="AZ158" s="347"/>
      <c r="BA158" s="347"/>
      <c r="BB158" s="347"/>
      <c r="BC158" s="347"/>
      <c r="BD158" s="347"/>
      <c r="BE158" s="347"/>
      <c r="BF158" s="347"/>
      <c r="BG158" s="347"/>
      <c r="BH158" s="347"/>
      <c r="BI158" s="347"/>
      <c r="BJ158" s="347"/>
      <c r="BK158" s="347"/>
      <c r="BL158" s="347"/>
      <c r="BM158" s="347"/>
      <c r="BN158" s="347"/>
      <c r="BO158" s="347"/>
      <c r="BP158" s="347"/>
      <c r="BQ158" s="347"/>
    </row>
    <row r="159" spans="1:69">
      <c r="A159" s="347"/>
      <c r="B159" s="403">
        <v>8.3333333333333329E-2</v>
      </c>
      <c r="C159" s="404"/>
      <c r="D159" s="404"/>
      <c r="E159" s="404"/>
      <c r="F159" s="404"/>
      <c r="G159" s="404"/>
      <c r="H159" s="404"/>
      <c r="I159" s="404"/>
      <c r="J159" s="404"/>
      <c r="K159" s="404"/>
      <c r="L159" s="404"/>
      <c r="M159" s="404"/>
      <c r="N159" s="404"/>
      <c r="O159" s="404"/>
      <c r="P159" s="404"/>
      <c r="Q159" s="404"/>
      <c r="R159" s="404"/>
      <c r="S159" s="404"/>
      <c r="T159" s="404"/>
      <c r="U159" s="404"/>
      <c r="V159" s="404"/>
      <c r="W159" s="404"/>
      <c r="X159" s="404"/>
      <c r="Y159" s="404"/>
      <c r="Z159" s="404"/>
      <c r="AA159" s="404"/>
      <c r="AB159" s="404"/>
      <c r="AC159" s="404"/>
      <c r="AD159" s="404"/>
      <c r="AE159" s="404"/>
      <c r="AF159" s="404"/>
      <c r="AG159" s="404"/>
      <c r="AH159" s="347"/>
      <c r="AI159" s="347"/>
      <c r="AJ159" s="347"/>
      <c r="AK159" s="347"/>
      <c r="AL159" s="347"/>
      <c r="AM159" s="347"/>
      <c r="AN159" s="347"/>
      <c r="AO159" s="347"/>
      <c r="AP159" s="347"/>
      <c r="AQ159" s="347"/>
      <c r="AR159" s="347"/>
      <c r="AS159" s="347"/>
      <c r="AT159" s="347"/>
      <c r="AU159" s="347"/>
      <c r="AV159" s="347"/>
      <c r="AW159" s="347"/>
      <c r="AX159" s="347"/>
      <c r="AY159" s="347"/>
      <c r="AZ159" s="347"/>
      <c r="BA159" s="347"/>
      <c r="BB159" s="347"/>
      <c r="BC159" s="347"/>
      <c r="BD159" s="347"/>
      <c r="BE159" s="347"/>
      <c r="BF159" s="347"/>
      <c r="BG159" s="347"/>
      <c r="BH159" s="347"/>
      <c r="BI159" s="347"/>
      <c r="BJ159" s="347"/>
      <c r="BK159" s="347"/>
      <c r="BL159" s="347"/>
      <c r="BM159" s="347"/>
      <c r="BN159" s="347"/>
      <c r="BO159" s="347"/>
      <c r="BP159" s="347"/>
      <c r="BQ159" s="347"/>
    </row>
    <row r="160" spans="1:69">
      <c r="A160" s="347"/>
      <c r="B160" s="403">
        <v>0.125</v>
      </c>
      <c r="C160" s="404"/>
      <c r="D160" s="404"/>
      <c r="E160" s="404"/>
      <c r="F160" s="404"/>
      <c r="G160" s="404"/>
      <c r="H160" s="404"/>
      <c r="I160" s="404"/>
      <c r="J160" s="404"/>
      <c r="K160" s="404"/>
      <c r="L160" s="404"/>
      <c r="M160" s="404"/>
      <c r="N160" s="404"/>
      <c r="O160" s="404"/>
      <c r="P160" s="404"/>
      <c r="Q160" s="404"/>
      <c r="R160" s="404"/>
      <c r="S160" s="404"/>
      <c r="T160" s="404"/>
      <c r="U160" s="404"/>
      <c r="V160" s="404"/>
      <c r="W160" s="404"/>
      <c r="X160" s="404"/>
      <c r="Y160" s="404"/>
      <c r="Z160" s="404"/>
      <c r="AA160" s="404"/>
      <c r="AB160" s="404"/>
      <c r="AC160" s="404"/>
      <c r="AD160" s="404"/>
      <c r="AE160" s="404"/>
      <c r="AF160" s="404"/>
      <c r="AG160" s="404"/>
      <c r="AH160" s="347"/>
      <c r="AI160" s="347"/>
      <c r="AJ160" s="347"/>
      <c r="AK160" s="347"/>
      <c r="AL160" s="347"/>
      <c r="AM160" s="347"/>
      <c r="AN160" s="347"/>
      <c r="AO160" s="347"/>
      <c r="AP160" s="347"/>
      <c r="AQ160" s="347"/>
      <c r="AR160" s="347"/>
      <c r="AS160" s="347"/>
      <c r="AT160" s="347"/>
      <c r="AU160" s="347"/>
      <c r="AV160" s="347"/>
      <c r="AW160" s="347"/>
      <c r="AX160" s="347"/>
      <c r="AY160" s="347"/>
      <c r="AZ160" s="347"/>
      <c r="BA160" s="347"/>
      <c r="BB160" s="347"/>
      <c r="BC160" s="347"/>
      <c r="BD160" s="347"/>
      <c r="BE160" s="347"/>
      <c r="BF160" s="347"/>
      <c r="BG160" s="347"/>
      <c r="BH160" s="347"/>
      <c r="BI160" s="347"/>
      <c r="BJ160" s="347"/>
      <c r="BK160" s="347"/>
      <c r="BL160" s="347"/>
      <c r="BM160" s="347"/>
      <c r="BN160" s="347"/>
      <c r="BO160" s="347"/>
      <c r="BP160" s="347"/>
      <c r="BQ160" s="347"/>
    </row>
    <row r="161" spans="1:69">
      <c r="A161" s="347"/>
      <c r="B161" s="403">
        <v>0.16666666666666666</v>
      </c>
      <c r="C161" s="404"/>
      <c r="D161" s="404"/>
      <c r="E161" s="404"/>
      <c r="F161" s="404"/>
      <c r="G161" s="404"/>
      <c r="H161" s="404"/>
      <c r="I161" s="404"/>
      <c r="J161" s="404"/>
      <c r="K161" s="404"/>
      <c r="L161" s="404"/>
      <c r="M161" s="404"/>
      <c r="N161" s="404"/>
      <c r="O161" s="404"/>
      <c r="P161" s="404"/>
      <c r="Q161" s="404"/>
      <c r="R161" s="404"/>
      <c r="S161" s="404"/>
      <c r="T161" s="404"/>
      <c r="U161" s="404"/>
      <c r="V161" s="404"/>
      <c r="W161" s="404"/>
      <c r="X161" s="404"/>
      <c r="Y161" s="404"/>
      <c r="Z161" s="404"/>
      <c r="AA161" s="404"/>
      <c r="AB161" s="404"/>
      <c r="AC161" s="404"/>
      <c r="AD161" s="404"/>
      <c r="AE161" s="404"/>
      <c r="AF161" s="404"/>
      <c r="AG161" s="404"/>
      <c r="AH161" s="347"/>
      <c r="AI161" s="347"/>
      <c r="AJ161" s="347"/>
      <c r="AK161" s="347"/>
      <c r="AL161" s="347"/>
      <c r="AM161" s="347"/>
      <c r="AN161" s="347"/>
      <c r="AO161" s="347"/>
      <c r="AP161" s="347"/>
      <c r="AQ161" s="347"/>
      <c r="AR161" s="347"/>
      <c r="AS161" s="347"/>
      <c r="AT161" s="347"/>
      <c r="AU161" s="347"/>
      <c r="AV161" s="347"/>
      <c r="AW161" s="347"/>
      <c r="AX161" s="347"/>
      <c r="AY161" s="347"/>
      <c r="AZ161" s="347"/>
      <c r="BA161" s="347"/>
      <c r="BB161" s="347"/>
      <c r="BC161" s="347"/>
      <c r="BD161" s="347"/>
      <c r="BE161" s="347"/>
      <c r="BF161" s="347"/>
      <c r="BG161" s="347"/>
      <c r="BH161" s="347"/>
      <c r="BI161" s="347"/>
      <c r="BJ161" s="347"/>
      <c r="BK161" s="347"/>
      <c r="BL161" s="347"/>
      <c r="BM161" s="347"/>
      <c r="BN161" s="347"/>
      <c r="BO161" s="347"/>
      <c r="BP161" s="347"/>
      <c r="BQ161" s="347"/>
    </row>
    <row r="162" spans="1:69">
      <c r="A162" s="347"/>
      <c r="B162" s="403">
        <v>0.20833333333333334</v>
      </c>
      <c r="C162" s="404"/>
      <c r="D162" s="404"/>
      <c r="E162" s="404"/>
      <c r="F162" s="404"/>
      <c r="G162" s="404"/>
      <c r="H162" s="404"/>
      <c r="I162" s="404"/>
      <c r="J162" s="404"/>
      <c r="K162" s="404"/>
      <c r="L162" s="404"/>
      <c r="M162" s="404"/>
      <c r="N162" s="404"/>
      <c r="O162" s="404"/>
      <c r="P162" s="404"/>
      <c r="Q162" s="404"/>
      <c r="R162" s="404"/>
      <c r="S162" s="404"/>
      <c r="T162" s="404"/>
      <c r="U162" s="404"/>
      <c r="V162" s="404"/>
      <c r="W162" s="404"/>
      <c r="X162" s="404"/>
      <c r="Y162" s="404"/>
      <c r="Z162" s="404"/>
      <c r="AA162" s="404"/>
      <c r="AB162" s="404"/>
      <c r="AC162" s="404"/>
      <c r="AD162" s="404"/>
      <c r="AE162" s="404"/>
      <c r="AF162" s="404"/>
      <c r="AG162" s="404"/>
      <c r="AH162" s="347"/>
      <c r="AI162" s="347"/>
      <c r="AJ162" s="347"/>
      <c r="AK162" s="347"/>
      <c r="AL162" s="347"/>
      <c r="AM162" s="347"/>
      <c r="AN162" s="347"/>
      <c r="AO162" s="347"/>
      <c r="AP162" s="347"/>
      <c r="AQ162" s="347"/>
      <c r="AR162" s="347"/>
      <c r="AS162" s="347"/>
      <c r="AT162" s="347"/>
      <c r="AU162" s="347"/>
      <c r="AV162" s="347"/>
      <c r="AW162" s="347"/>
      <c r="AX162" s="347"/>
      <c r="AY162" s="347"/>
      <c r="AZ162" s="347"/>
      <c r="BA162" s="347"/>
      <c r="BB162" s="347"/>
      <c r="BC162" s="347"/>
      <c r="BD162" s="347"/>
      <c r="BE162" s="347"/>
      <c r="BF162" s="347"/>
      <c r="BG162" s="347"/>
      <c r="BH162" s="347"/>
      <c r="BI162" s="347"/>
      <c r="BJ162" s="347"/>
      <c r="BK162" s="347"/>
      <c r="BL162" s="347"/>
      <c r="BM162" s="347"/>
      <c r="BN162" s="347"/>
      <c r="BO162" s="347"/>
      <c r="BP162" s="347"/>
      <c r="BQ162" s="347"/>
    </row>
    <row r="163" spans="1:69">
      <c r="A163" s="347"/>
      <c r="B163" s="403">
        <v>0.25</v>
      </c>
      <c r="C163" s="404"/>
      <c r="D163" s="404"/>
      <c r="E163" s="404"/>
      <c r="F163" s="404"/>
      <c r="G163" s="404"/>
      <c r="H163" s="404"/>
      <c r="I163" s="404"/>
      <c r="J163" s="404"/>
      <c r="K163" s="404"/>
      <c r="L163" s="404"/>
      <c r="M163" s="404"/>
      <c r="N163" s="404"/>
      <c r="O163" s="404"/>
      <c r="P163" s="404"/>
      <c r="Q163" s="404"/>
      <c r="R163" s="404"/>
      <c r="S163" s="404"/>
      <c r="T163" s="404"/>
      <c r="U163" s="404"/>
      <c r="V163" s="404"/>
      <c r="W163" s="404"/>
      <c r="X163" s="404"/>
      <c r="Y163" s="404"/>
      <c r="Z163" s="404"/>
      <c r="AA163" s="404"/>
      <c r="AB163" s="404"/>
      <c r="AC163" s="404"/>
      <c r="AD163" s="404"/>
      <c r="AE163" s="404"/>
      <c r="AF163" s="404"/>
      <c r="AG163" s="404"/>
      <c r="AH163" s="347"/>
      <c r="AI163" s="347"/>
      <c r="AJ163" s="347"/>
      <c r="AK163" s="347"/>
      <c r="AL163" s="347"/>
      <c r="AM163" s="347"/>
      <c r="AN163" s="347"/>
      <c r="AO163" s="347"/>
      <c r="AP163" s="347"/>
      <c r="AQ163" s="347"/>
      <c r="AR163" s="347"/>
      <c r="AS163" s="347"/>
      <c r="AT163" s="347"/>
      <c r="AU163" s="347"/>
      <c r="AV163" s="347"/>
      <c r="AW163" s="347"/>
      <c r="AX163" s="347"/>
      <c r="AY163" s="347"/>
      <c r="AZ163" s="347"/>
      <c r="BA163" s="347"/>
      <c r="BB163" s="347"/>
      <c r="BC163" s="347"/>
      <c r="BD163" s="347"/>
      <c r="BE163" s="347"/>
      <c r="BF163" s="347"/>
      <c r="BG163" s="347"/>
      <c r="BH163" s="347"/>
      <c r="BI163" s="347"/>
      <c r="BJ163" s="347"/>
      <c r="BK163" s="347"/>
      <c r="BL163" s="347"/>
      <c r="BM163" s="347"/>
      <c r="BN163" s="347"/>
      <c r="BO163" s="347"/>
      <c r="BP163" s="347"/>
      <c r="BQ163" s="347"/>
    </row>
    <row r="164" spans="1:69">
      <c r="A164" s="347"/>
      <c r="B164" s="403">
        <v>0.29166666666666669</v>
      </c>
      <c r="C164" s="404"/>
      <c r="D164" s="404"/>
      <c r="E164" s="404"/>
      <c r="F164" s="404"/>
      <c r="G164" s="404"/>
      <c r="H164" s="404"/>
      <c r="I164" s="404"/>
      <c r="J164" s="404"/>
      <c r="K164" s="404"/>
      <c r="L164" s="404"/>
      <c r="M164" s="404"/>
      <c r="N164" s="404"/>
      <c r="O164" s="404"/>
      <c r="P164" s="404"/>
      <c r="Q164" s="404"/>
      <c r="R164" s="404"/>
      <c r="S164" s="404"/>
      <c r="T164" s="404"/>
      <c r="U164" s="404"/>
      <c r="V164" s="404"/>
      <c r="W164" s="404"/>
      <c r="X164" s="404"/>
      <c r="Y164" s="404"/>
      <c r="Z164" s="404"/>
      <c r="AA164" s="404"/>
      <c r="AB164" s="404"/>
      <c r="AC164" s="404"/>
      <c r="AD164" s="404"/>
      <c r="AE164" s="404"/>
      <c r="AF164" s="404"/>
      <c r="AG164" s="404"/>
      <c r="AH164" s="347"/>
      <c r="AI164" s="347"/>
      <c r="AJ164" s="347"/>
      <c r="AK164" s="347"/>
      <c r="AL164" s="347"/>
      <c r="AM164" s="347"/>
      <c r="AN164" s="347"/>
      <c r="AO164" s="347"/>
      <c r="AP164" s="347"/>
      <c r="AQ164" s="347"/>
      <c r="AR164" s="347"/>
      <c r="AS164" s="347"/>
      <c r="AT164" s="347"/>
      <c r="AU164" s="347"/>
      <c r="AV164" s="347"/>
      <c r="AW164" s="347"/>
      <c r="AX164" s="347"/>
      <c r="AY164" s="347"/>
      <c r="AZ164" s="347"/>
      <c r="BA164" s="347"/>
      <c r="BB164" s="347"/>
      <c r="BC164" s="347"/>
      <c r="BD164" s="347"/>
      <c r="BE164" s="347"/>
      <c r="BF164" s="347"/>
      <c r="BG164" s="347"/>
      <c r="BH164" s="347"/>
      <c r="BI164" s="347"/>
      <c r="BJ164" s="347"/>
      <c r="BK164" s="347"/>
      <c r="BL164" s="347"/>
      <c r="BM164" s="347"/>
      <c r="BN164" s="347"/>
      <c r="BO164" s="347"/>
      <c r="BP164" s="347"/>
      <c r="BQ164" s="347"/>
    </row>
    <row r="165" spans="1:69">
      <c r="A165" s="347"/>
      <c r="B165" s="403">
        <v>0.33333333333333331</v>
      </c>
      <c r="C165" s="352">
        <v>0</v>
      </c>
      <c r="D165" s="352">
        <v>2</v>
      </c>
      <c r="E165" s="352">
        <v>2</v>
      </c>
      <c r="F165" s="405"/>
      <c r="G165" s="352">
        <v>2</v>
      </c>
      <c r="H165" s="352">
        <v>2</v>
      </c>
      <c r="I165" s="352">
        <v>2</v>
      </c>
      <c r="J165" s="352">
        <v>2</v>
      </c>
      <c r="K165" s="352">
        <v>2</v>
      </c>
      <c r="L165" s="352">
        <v>2</v>
      </c>
      <c r="M165" s="405"/>
      <c r="N165" s="352">
        <v>2</v>
      </c>
      <c r="O165" s="352">
        <v>2</v>
      </c>
      <c r="P165" s="352">
        <v>2</v>
      </c>
      <c r="Q165" s="352">
        <v>2</v>
      </c>
      <c r="R165" s="352">
        <v>2</v>
      </c>
      <c r="S165" s="352">
        <v>2</v>
      </c>
      <c r="T165" s="405"/>
      <c r="U165" s="352">
        <v>2</v>
      </c>
      <c r="V165" s="352">
        <v>2</v>
      </c>
      <c r="W165" s="352">
        <v>2</v>
      </c>
      <c r="X165" s="352">
        <v>2</v>
      </c>
      <c r="Y165" s="352">
        <v>2</v>
      </c>
      <c r="Z165" s="352">
        <v>2</v>
      </c>
      <c r="AA165" s="405"/>
      <c r="AB165" s="352">
        <v>2</v>
      </c>
      <c r="AC165" s="352">
        <v>2</v>
      </c>
      <c r="AD165" s="352">
        <v>2</v>
      </c>
      <c r="AE165" s="352">
        <v>3</v>
      </c>
      <c r="AF165" s="352">
        <v>3</v>
      </c>
      <c r="AG165" s="352">
        <v>3</v>
      </c>
      <c r="AH165" s="347" t="s">
        <v>362</v>
      </c>
      <c r="AI165" s="347"/>
      <c r="AJ165" s="347"/>
      <c r="AK165" s="347"/>
      <c r="AL165" s="347"/>
      <c r="AM165" s="347"/>
      <c r="AN165" s="347"/>
      <c r="AO165" s="347"/>
      <c r="AP165" s="347"/>
      <c r="AQ165" s="347"/>
      <c r="AR165" s="347"/>
      <c r="AS165" s="347"/>
      <c r="AT165" s="347"/>
      <c r="AU165" s="347"/>
      <c r="AV165" s="347"/>
      <c r="AW165" s="347"/>
      <c r="AX165" s="347"/>
      <c r="AY165" s="347"/>
      <c r="AZ165" s="347"/>
      <c r="BA165" s="347"/>
      <c r="BB165" s="347"/>
      <c r="BC165" s="347"/>
      <c r="BD165" s="347"/>
      <c r="BE165" s="347"/>
      <c r="BF165" s="347"/>
      <c r="BG165" s="347"/>
      <c r="BH165" s="347"/>
      <c r="BI165" s="347"/>
      <c r="BJ165" s="347"/>
      <c r="BK165" s="347"/>
      <c r="BL165" s="347"/>
      <c r="BM165" s="347"/>
      <c r="BN165" s="347"/>
      <c r="BO165" s="347"/>
      <c r="BP165" s="347"/>
      <c r="BQ165" s="347"/>
    </row>
    <row r="166" spans="1:69">
      <c r="A166" s="347"/>
      <c r="B166" s="403">
        <v>0.375</v>
      </c>
      <c r="C166" s="352">
        <v>2</v>
      </c>
      <c r="D166" s="352">
        <v>2</v>
      </c>
      <c r="E166" s="352">
        <v>2</v>
      </c>
      <c r="F166" s="405"/>
      <c r="G166" s="352">
        <v>2</v>
      </c>
      <c r="H166" s="352">
        <v>2</v>
      </c>
      <c r="I166" s="352">
        <v>2</v>
      </c>
      <c r="J166" s="352">
        <v>2</v>
      </c>
      <c r="K166" s="352">
        <v>2</v>
      </c>
      <c r="L166" s="352">
        <v>2</v>
      </c>
      <c r="M166" s="405"/>
      <c r="N166" s="352">
        <v>2</v>
      </c>
      <c r="O166" s="352">
        <v>2</v>
      </c>
      <c r="P166" s="352">
        <v>2</v>
      </c>
      <c r="Q166" s="352">
        <v>2</v>
      </c>
      <c r="R166" s="352">
        <v>2</v>
      </c>
      <c r="S166" s="352">
        <v>2</v>
      </c>
      <c r="T166" s="405"/>
      <c r="U166" s="352">
        <v>2</v>
      </c>
      <c r="V166" s="352">
        <v>2</v>
      </c>
      <c r="W166" s="352">
        <v>2</v>
      </c>
      <c r="X166" s="352">
        <v>2</v>
      </c>
      <c r="Y166" s="352">
        <v>2</v>
      </c>
      <c r="Z166" s="352">
        <v>2</v>
      </c>
      <c r="AA166" s="405"/>
      <c r="AB166" s="352">
        <v>2</v>
      </c>
      <c r="AC166" s="352">
        <v>2</v>
      </c>
      <c r="AD166" s="352">
        <v>2</v>
      </c>
      <c r="AE166" s="352">
        <v>3</v>
      </c>
      <c r="AF166" s="352">
        <v>3</v>
      </c>
      <c r="AG166" s="352">
        <v>3</v>
      </c>
      <c r="AH166" s="347"/>
      <c r="AI166" s="347"/>
      <c r="AJ166" s="347"/>
      <c r="AK166" s="347"/>
      <c r="AL166" s="347"/>
      <c r="AM166" s="347"/>
      <c r="AN166" s="347"/>
      <c r="AO166" s="347"/>
      <c r="AP166" s="347"/>
      <c r="AQ166" s="347"/>
      <c r="AR166" s="347"/>
      <c r="AS166" s="347"/>
      <c r="AT166" s="347"/>
      <c r="AU166" s="347"/>
      <c r="AV166" s="347"/>
      <c r="AW166" s="347"/>
      <c r="AX166" s="347"/>
      <c r="AY166" s="347"/>
      <c r="AZ166" s="347"/>
      <c r="BA166" s="347"/>
      <c r="BB166" s="347"/>
      <c r="BC166" s="347"/>
      <c r="BD166" s="347"/>
      <c r="BE166" s="347"/>
      <c r="BF166" s="347"/>
      <c r="BG166" s="347"/>
      <c r="BH166" s="347"/>
      <c r="BI166" s="347"/>
      <c r="BJ166" s="347"/>
      <c r="BK166" s="347"/>
      <c r="BL166" s="347"/>
      <c r="BM166" s="347"/>
      <c r="BN166" s="347"/>
      <c r="BO166" s="347"/>
      <c r="BP166" s="347"/>
      <c r="BQ166" s="347"/>
    </row>
    <row r="167" spans="1:69">
      <c r="A167" s="347"/>
      <c r="B167" s="403">
        <v>0.41666666666666669</v>
      </c>
      <c r="C167" s="352">
        <v>2</v>
      </c>
      <c r="D167" s="352">
        <v>2</v>
      </c>
      <c r="E167" s="352">
        <v>2</v>
      </c>
      <c r="F167" s="405"/>
      <c r="G167" s="352">
        <v>2</v>
      </c>
      <c r="H167" s="352">
        <v>2</v>
      </c>
      <c r="I167" s="352">
        <v>2</v>
      </c>
      <c r="J167" s="352">
        <v>2</v>
      </c>
      <c r="K167" s="352">
        <v>2</v>
      </c>
      <c r="L167" s="352">
        <v>2</v>
      </c>
      <c r="M167" s="405"/>
      <c r="N167" s="352">
        <v>2</v>
      </c>
      <c r="O167" s="352">
        <v>2</v>
      </c>
      <c r="P167" s="352">
        <v>2</v>
      </c>
      <c r="Q167" s="352">
        <v>2</v>
      </c>
      <c r="R167" s="352">
        <v>2</v>
      </c>
      <c r="S167" s="352">
        <v>2</v>
      </c>
      <c r="T167" s="405"/>
      <c r="U167" s="352">
        <v>2</v>
      </c>
      <c r="V167" s="352">
        <v>2</v>
      </c>
      <c r="W167" s="352">
        <v>2</v>
      </c>
      <c r="X167" s="352">
        <v>2</v>
      </c>
      <c r="Y167" s="352">
        <v>2</v>
      </c>
      <c r="Z167" s="352">
        <v>2</v>
      </c>
      <c r="AA167" s="405"/>
      <c r="AB167" s="352">
        <v>2</v>
      </c>
      <c r="AC167" s="352">
        <v>2</v>
      </c>
      <c r="AD167" s="352">
        <v>2</v>
      </c>
      <c r="AE167" s="352">
        <v>3</v>
      </c>
      <c r="AF167" s="352">
        <v>3</v>
      </c>
      <c r="AG167" s="352">
        <v>3</v>
      </c>
      <c r="AH167" s="347"/>
      <c r="AI167" s="347"/>
      <c r="AJ167" s="347"/>
      <c r="AK167" s="347"/>
      <c r="AL167" s="347"/>
      <c r="AM167" s="347"/>
      <c r="AN167" s="347"/>
      <c r="AO167" s="347"/>
      <c r="AP167" s="347"/>
      <c r="AQ167" s="347"/>
      <c r="AR167" s="347"/>
      <c r="AS167" s="347"/>
      <c r="AT167" s="347"/>
      <c r="AU167" s="347"/>
      <c r="AV167" s="347"/>
      <c r="AW167" s="347"/>
      <c r="AX167" s="347"/>
      <c r="AY167" s="347"/>
      <c r="AZ167" s="347"/>
      <c r="BA167" s="347"/>
      <c r="BB167" s="347"/>
      <c r="BC167" s="347"/>
      <c r="BD167" s="347"/>
      <c r="BE167" s="347"/>
      <c r="BF167" s="347"/>
      <c r="BG167" s="347"/>
      <c r="BH167" s="347"/>
      <c r="BI167" s="347"/>
      <c r="BJ167" s="347"/>
      <c r="BK167" s="347"/>
      <c r="BL167" s="347"/>
      <c r="BM167" s="347"/>
      <c r="BN167" s="347"/>
      <c r="BO167" s="347"/>
      <c r="BP167" s="347"/>
      <c r="BQ167" s="347"/>
    </row>
    <row r="168" spans="1:69">
      <c r="A168" s="347"/>
      <c r="B168" s="403">
        <v>0.45833333333333331</v>
      </c>
      <c r="C168" s="352">
        <v>2</v>
      </c>
      <c r="D168" s="352">
        <v>2</v>
      </c>
      <c r="E168" s="352">
        <v>2</v>
      </c>
      <c r="F168" s="405"/>
      <c r="G168" s="352">
        <v>2</v>
      </c>
      <c r="H168" s="352">
        <v>2</v>
      </c>
      <c r="I168" s="352">
        <v>2</v>
      </c>
      <c r="J168" s="352">
        <v>2</v>
      </c>
      <c r="K168" s="352">
        <v>2</v>
      </c>
      <c r="L168" s="352">
        <v>2</v>
      </c>
      <c r="M168" s="405"/>
      <c r="N168" s="352">
        <v>2</v>
      </c>
      <c r="O168" s="352">
        <v>2</v>
      </c>
      <c r="P168" s="352">
        <v>2</v>
      </c>
      <c r="Q168" s="352">
        <v>2</v>
      </c>
      <c r="R168" s="352">
        <v>2</v>
      </c>
      <c r="S168" s="352">
        <v>2</v>
      </c>
      <c r="T168" s="405"/>
      <c r="U168" s="352">
        <v>2</v>
      </c>
      <c r="V168" s="352">
        <v>2</v>
      </c>
      <c r="W168" s="352">
        <v>2</v>
      </c>
      <c r="X168" s="352">
        <v>2</v>
      </c>
      <c r="Y168" s="352">
        <v>2</v>
      </c>
      <c r="Z168" s="352">
        <v>2</v>
      </c>
      <c r="AA168" s="405"/>
      <c r="AB168" s="352">
        <v>2</v>
      </c>
      <c r="AC168" s="352">
        <v>2</v>
      </c>
      <c r="AD168" s="352">
        <v>2</v>
      </c>
      <c r="AE168" s="352">
        <v>3</v>
      </c>
      <c r="AF168" s="352">
        <v>3</v>
      </c>
      <c r="AG168" s="352">
        <v>3</v>
      </c>
      <c r="AH168" s="347"/>
      <c r="AI168" s="347"/>
      <c r="AJ168" s="347"/>
      <c r="AK168" s="347"/>
      <c r="AL168" s="347"/>
      <c r="AM168" s="347"/>
      <c r="AN168" s="347"/>
      <c r="AO168" s="347"/>
      <c r="AP168" s="347"/>
      <c r="AQ168" s="347"/>
      <c r="AR168" s="347"/>
      <c r="AS168" s="347"/>
      <c r="AT168" s="347"/>
      <c r="AU168" s="347"/>
      <c r="AV168" s="347"/>
      <c r="AW168" s="347"/>
      <c r="AX168" s="347"/>
      <c r="AY168" s="347"/>
      <c r="AZ168" s="347"/>
      <c r="BA168" s="347"/>
      <c r="BB168" s="347"/>
      <c r="BC168" s="347"/>
      <c r="BD168" s="347"/>
      <c r="BE168" s="347"/>
      <c r="BF168" s="347"/>
      <c r="BG168" s="347"/>
      <c r="BH168" s="347"/>
      <c r="BI168" s="347"/>
      <c r="BJ168" s="347"/>
      <c r="BK168" s="347"/>
      <c r="BL168" s="347"/>
      <c r="BM168" s="347"/>
      <c r="BN168" s="347"/>
      <c r="BO168" s="347"/>
      <c r="BP168" s="347"/>
      <c r="BQ168" s="347"/>
    </row>
    <row r="169" spans="1:69">
      <c r="A169" s="347"/>
      <c r="B169" s="403">
        <v>0.5</v>
      </c>
      <c r="C169" s="352">
        <v>2</v>
      </c>
      <c r="D169" s="352">
        <v>2</v>
      </c>
      <c r="E169" s="352">
        <v>2</v>
      </c>
      <c r="F169" s="405"/>
      <c r="G169" s="352">
        <v>2</v>
      </c>
      <c r="H169" s="352">
        <v>2</v>
      </c>
      <c r="I169" s="352">
        <v>2</v>
      </c>
      <c r="J169" s="352">
        <v>2</v>
      </c>
      <c r="K169" s="352">
        <v>2</v>
      </c>
      <c r="L169" s="352">
        <v>2</v>
      </c>
      <c r="M169" s="405"/>
      <c r="N169" s="352">
        <v>2</v>
      </c>
      <c r="O169" s="352">
        <v>2</v>
      </c>
      <c r="P169" s="352">
        <v>2</v>
      </c>
      <c r="Q169" s="352">
        <v>2</v>
      </c>
      <c r="R169" s="352">
        <v>2</v>
      </c>
      <c r="S169" s="352">
        <v>2</v>
      </c>
      <c r="T169" s="405"/>
      <c r="U169" s="352">
        <v>2</v>
      </c>
      <c r="V169" s="352">
        <v>2</v>
      </c>
      <c r="W169" s="352">
        <v>2</v>
      </c>
      <c r="X169" s="352">
        <v>2</v>
      </c>
      <c r="Y169" s="352">
        <v>2</v>
      </c>
      <c r="Z169" s="352">
        <v>2</v>
      </c>
      <c r="AA169" s="405"/>
      <c r="AB169" s="352">
        <v>2</v>
      </c>
      <c r="AC169" s="352">
        <v>2</v>
      </c>
      <c r="AD169" s="352">
        <v>2</v>
      </c>
      <c r="AE169" s="352">
        <v>3</v>
      </c>
      <c r="AF169" s="352">
        <v>3</v>
      </c>
      <c r="AG169" s="352">
        <v>3</v>
      </c>
      <c r="AH169" s="347"/>
      <c r="AI169" s="347"/>
      <c r="AJ169" s="347"/>
      <c r="AK169" s="347"/>
      <c r="AL169" s="347"/>
      <c r="AM169" s="347"/>
      <c r="AN169" s="347"/>
      <c r="AO169" s="347"/>
      <c r="AP169" s="347"/>
      <c r="AQ169" s="347"/>
      <c r="AR169" s="347"/>
      <c r="AS169" s="347"/>
      <c r="AT169" s="347"/>
      <c r="AU169" s="347"/>
      <c r="AV169" s="347"/>
      <c r="AW169" s="347"/>
      <c r="AX169" s="347"/>
      <c r="AY169" s="347"/>
      <c r="AZ169" s="347"/>
      <c r="BA169" s="347"/>
      <c r="BB169" s="347"/>
      <c r="BC169" s="347"/>
      <c r="BD169" s="347"/>
      <c r="BE169" s="347"/>
      <c r="BF169" s="347"/>
      <c r="BG169" s="347"/>
      <c r="BH169" s="347"/>
      <c r="BI169" s="347"/>
      <c r="BJ169" s="347"/>
      <c r="BK169" s="347"/>
      <c r="BL169" s="347"/>
      <c r="BM169" s="347"/>
      <c r="BN169" s="347"/>
      <c r="BO169" s="347"/>
      <c r="BP169" s="347"/>
      <c r="BQ169" s="347"/>
    </row>
    <row r="170" spans="1:69">
      <c r="A170" s="347"/>
      <c r="B170" s="403">
        <v>0.54166666666666663</v>
      </c>
      <c r="C170" s="352">
        <v>2</v>
      </c>
      <c r="D170" s="352">
        <v>2</v>
      </c>
      <c r="E170" s="352">
        <v>2</v>
      </c>
      <c r="F170" s="405"/>
      <c r="G170" s="352">
        <v>2</v>
      </c>
      <c r="H170" s="352">
        <v>2</v>
      </c>
      <c r="I170" s="352">
        <v>2</v>
      </c>
      <c r="J170" s="352">
        <v>2</v>
      </c>
      <c r="K170" s="352">
        <v>2</v>
      </c>
      <c r="L170" s="352">
        <v>2</v>
      </c>
      <c r="M170" s="405"/>
      <c r="N170" s="352">
        <v>2</v>
      </c>
      <c r="O170" s="352">
        <v>2</v>
      </c>
      <c r="P170" s="352">
        <v>2</v>
      </c>
      <c r="Q170" s="352">
        <v>2</v>
      </c>
      <c r="R170" s="352">
        <v>2</v>
      </c>
      <c r="S170" s="352">
        <v>2</v>
      </c>
      <c r="T170" s="405"/>
      <c r="U170" s="352">
        <v>2</v>
      </c>
      <c r="V170" s="352">
        <v>2</v>
      </c>
      <c r="W170" s="352">
        <v>2</v>
      </c>
      <c r="X170" s="352">
        <v>2</v>
      </c>
      <c r="Y170" s="352">
        <v>2</v>
      </c>
      <c r="Z170" s="352">
        <v>2</v>
      </c>
      <c r="AA170" s="405"/>
      <c r="AB170" s="352">
        <v>2</v>
      </c>
      <c r="AC170" s="352">
        <v>2</v>
      </c>
      <c r="AD170" s="352">
        <v>2</v>
      </c>
      <c r="AE170" s="352">
        <v>3</v>
      </c>
      <c r="AF170" s="352">
        <v>3</v>
      </c>
      <c r="AG170" s="352">
        <v>3</v>
      </c>
      <c r="AH170" s="347"/>
      <c r="AI170" s="347"/>
      <c r="AJ170" s="347"/>
      <c r="AK170" s="347"/>
      <c r="AL170" s="347"/>
      <c r="AM170" s="347"/>
      <c r="AN170" s="347"/>
      <c r="AO170" s="347"/>
      <c r="AP170" s="347"/>
      <c r="AQ170" s="347"/>
      <c r="AR170" s="347"/>
      <c r="AS170" s="347"/>
      <c r="AT170" s="347"/>
      <c r="AU170" s="347"/>
      <c r="AV170" s="347"/>
      <c r="AW170" s="347"/>
      <c r="AX170" s="347"/>
      <c r="AY170" s="347"/>
      <c r="AZ170" s="347"/>
      <c r="BA170" s="347"/>
      <c r="BB170" s="347"/>
      <c r="BC170" s="347"/>
      <c r="BD170" s="347"/>
      <c r="BE170" s="347"/>
      <c r="BF170" s="347"/>
      <c r="BG170" s="347"/>
      <c r="BH170" s="347"/>
      <c r="BI170" s="347"/>
      <c r="BJ170" s="347"/>
      <c r="BK170" s="347"/>
      <c r="BL170" s="347"/>
      <c r="BM170" s="347"/>
      <c r="BN170" s="347"/>
      <c r="BO170" s="347"/>
      <c r="BP170" s="347"/>
      <c r="BQ170" s="347"/>
    </row>
    <row r="171" spans="1:69">
      <c r="A171" s="347"/>
      <c r="B171" s="403">
        <v>0.58333333333333337</v>
      </c>
      <c r="C171" s="352">
        <v>2</v>
      </c>
      <c r="D171" s="352">
        <v>2</v>
      </c>
      <c r="E171" s="352">
        <v>2</v>
      </c>
      <c r="F171" s="405"/>
      <c r="G171" s="352">
        <v>2</v>
      </c>
      <c r="H171" s="352">
        <v>2</v>
      </c>
      <c r="I171" s="352">
        <v>2</v>
      </c>
      <c r="J171" s="352">
        <v>2</v>
      </c>
      <c r="K171" s="352">
        <v>2</v>
      </c>
      <c r="L171" s="352">
        <v>2</v>
      </c>
      <c r="M171" s="405"/>
      <c r="N171" s="352">
        <v>2</v>
      </c>
      <c r="O171" s="352">
        <v>2</v>
      </c>
      <c r="P171" s="352">
        <v>2</v>
      </c>
      <c r="Q171" s="352">
        <v>2</v>
      </c>
      <c r="R171" s="352">
        <v>2</v>
      </c>
      <c r="S171" s="352">
        <v>2</v>
      </c>
      <c r="T171" s="405"/>
      <c r="U171" s="352">
        <v>2</v>
      </c>
      <c r="V171" s="352">
        <v>2</v>
      </c>
      <c r="W171" s="352">
        <v>2</v>
      </c>
      <c r="X171" s="352">
        <v>2</v>
      </c>
      <c r="Y171" s="352">
        <v>2</v>
      </c>
      <c r="Z171" s="352">
        <v>2</v>
      </c>
      <c r="AA171" s="405"/>
      <c r="AB171" s="352">
        <v>2</v>
      </c>
      <c r="AC171" s="352">
        <v>2</v>
      </c>
      <c r="AD171" s="352">
        <v>2</v>
      </c>
      <c r="AE171" s="352">
        <v>3</v>
      </c>
      <c r="AF171" s="352">
        <v>3</v>
      </c>
      <c r="AG171" s="352">
        <v>3</v>
      </c>
      <c r="AH171" s="347"/>
      <c r="AI171" s="347"/>
      <c r="AJ171" s="347"/>
      <c r="AK171" s="347"/>
      <c r="AL171" s="347"/>
      <c r="AM171" s="347"/>
      <c r="AN171" s="347"/>
      <c r="AO171" s="347"/>
      <c r="AP171" s="347"/>
      <c r="AQ171" s="347"/>
      <c r="AR171" s="347"/>
      <c r="AS171" s="347"/>
      <c r="AT171" s="347"/>
      <c r="AU171" s="347"/>
      <c r="AV171" s="347"/>
      <c r="AW171" s="347"/>
      <c r="AX171" s="347"/>
      <c r="AY171" s="347"/>
      <c r="AZ171" s="347"/>
      <c r="BA171" s="347"/>
      <c r="BB171" s="347"/>
      <c r="BC171" s="347"/>
      <c r="BD171" s="347"/>
      <c r="BE171" s="347"/>
      <c r="BF171" s="347"/>
      <c r="BG171" s="347"/>
      <c r="BH171" s="347"/>
      <c r="BI171" s="347"/>
      <c r="BJ171" s="347"/>
      <c r="BK171" s="347"/>
      <c r="BL171" s="347"/>
      <c r="BM171" s="347"/>
      <c r="BN171" s="347"/>
      <c r="BO171" s="347"/>
      <c r="BP171" s="347"/>
      <c r="BQ171" s="347"/>
    </row>
    <row r="172" spans="1:69">
      <c r="A172" s="347"/>
      <c r="B172" s="403">
        <v>0.625</v>
      </c>
      <c r="C172" s="352">
        <v>2</v>
      </c>
      <c r="D172" s="352">
        <v>2</v>
      </c>
      <c r="E172" s="352">
        <v>2</v>
      </c>
      <c r="F172" s="405"/>
      <c r="G172" s="352">
        <v>2</v>
      </c>
      <c r="H172" s="352">
        <v>2</v>
      </c>
      <c r="I172" s="352">
        <v>2</v>
      </c>
      <c r="J172" s="352">
        <v>2</v>
      </c>
      <c r="K172" s="352">
        <v>2</v>
      </c>
      <c r="L172" s="352">
        <v>2</v>
      </c>
      <c r="M172" s="405"/>
      <c r="N172" s="352">
        <v>2</v>
      </c>
      <c r="O172" s="352">
        <v>2</v>
      </c>
      <c r="P172" s="352">
        <v>2</v>
      </c>
      <c r="Q172" s="352">
        <v>2</v>
      </c>
      <c r="R172" s="352">
        <v>2</v>
      </c>
      <c r="S172" s="352">
        <v>2</v>
      </c>
      <c r="T172" s="405"/>
      <c r="U172" s="352">
        <v>2</v>
      </c>
      <c r="V172" s="352">
        <v>2</v>
      </c>
      <c r="W172" s="352">
        <v>2</v>
      </c>
      <c r="X172" s="352">
        <v>2</v>
      </c>
      <c r="Y172" s="352">
        <v>2</v>
      </c>
      <c r="Z172" s="352">
        <v>2</v>
      </c>
      <c r="AA172" s="405"/>
      <c r="AB172" s="352">
        <v>2</v>
      </c>
      <c r="AC172" s="352">
        <v>2</v>
      </c>
      <c r="AD172" s="352">
        <v>2</v>
      </c>
      <c r="AE172" s="352">
        <v>3</v>
      </c>
      <c r="AF172" s="352">
        <v>3</v>
      </c>
      <c r="AG172" s="352">
        <v>3</v>
      </c>
      <c r="AH172" s="347"/>
      <c r="AI172" s="347"/>
      <c r="AJ172" s="347"/>
      <c r="AK172" s="347"/>
      <c r="AL172" s="347"/>
      <c r="AM172" s="347"/>
      <c r="AN172" s="347"/>
      <c r="AO172" s="347"/>
      <c r="AP172" s="347"/>
      <c r="AQ172" s="347"/>
      <c r="AR172" s="347"/>
      <c r="AS172" s="347"/>
      <c r="AT172" s="347"/>
      <c r="AU172" s="347"/>
      <c r="AV172" s="347"/>
      <c r="AW172" s="347"/>
      <c r="AX172" s="347"/>
      <c r="AY172" s="347"/>
      <c r="AZ172" s="347"/>
      <c r="BA172" s="347"/>
      <c r="BB172" s="347"/>
      <c r="BC172" s="347"/>
      <c r="BD172" s="347"/>
      <c r="BE172" s="347"/>
      <c r="BF172" s="347"/>
      <c r="BG172" s="347"/>
      <c r="BH172" s="347"/>
      <c r="BI172" s="347"/>
      <c r="BJ172" s="347"/>
      <c r="BK172" s="347"/>
      <c r="BL172" s="347"/>
      <c r="BM172" s="347"/>
      <c r="BN172" s="347"/>
      <c r="BO172" s="347"/>
      <c r="BP172" s="347"/>
      <c r="BQ172" s="347"/>
    </row>
    <row r="173" spans="1:69">
      <c r="A173" s="347"/>
      <c r="B173" s="403">
        <v>0.66666666666666663</v>
      </c>
      <c r="C173" s="352">
        <v>2</v>
      </c>
      <c r="D173" s="352">
        <v>2</v>
      </c>
      <c r="E173" s="352">
        <v>2</v>
      </c>
      <c r="F173" s="405"/>
      <c r="G173" s="352">
        <v>2</v>
      </c>
      <c r="H173" s="352">
        <v>2</v>
      </c>
      <c r="I173" s="352">
        <v>2</v>
      </c>
      <c r="J173" s="352">
        <v>2</v>
      </c>
      <c r="K173" s="352">
        <v>2</v>
      </c>
      <c r="L173" s="352">
        <v>2</v>
      </c>
      <c r="M173" s="405"/>
      <c r="N173" s="352">
        <v>2</v>
      </c>
      <c r="O173" s="352">
        <v>2</v>
      </c>
      <c r="P173" s="352">
        <v>2</v>
      </c>
      <c r="Q173" s="352">
        <v>2</v>
      </c>
      <c r="R173" s="352">
        <v>2</v>
      </c>
      <c r="S173" s="352">
        <v>2</v>
      </c>
      <c r="T173" s="405"/>
      <c r="U173" s="352">
        <v>2</v>
      </c>
      <c r="V173" s="352">
        <v>2</v>
      </c>
      <c r="W173" s="352">
        <v>2</v>
      </c>
      <c r="X173" s="352">
        <v>2</v>
      </c>
      <c r="Y173" s="352">
        <v>2</v>
      </c>
      <c r="Z173" s="352">
        <v>2</v>
      </c>
      <c r="AA173" s="405"/>
      <c r="AB173" s="352">
        <v>2</v>
      </c>
      <c r="AC173" s="352">
        <v>2</v>
      </c>
      <c r="AD173" s="352">
        <v>2</v>
      </c>
      <c r="AE173" s="352">
        <v>3</v>
      </c>
      <c r="AF173" s="352">
        <v>3</v>
      </c>
      <c r="AG173" s="352">
        <v>3</v>
      </c>
      <c r="AH173" s="347"/>
      <c r="AI173" s="347"/>
      <c r="AJ173" s="347"/>
      <c r="AK173" s="347"/>
      <c r="AL173" s="347"/>
      <c r="AM173" s="347"/>
      <c r="AN173" s="347"/>
      <c r="AO173" s="347"/>
      <c r="AP173" s="347"/>
      <c r="AQ173" s="347"/>
      <c r="AR173" s="347"/>
      <c r="AS173" s="347"/>
      <c r="AT173" s="347"/>
      <c r="AU173" s="347"/>
      <c r="AV173" s="347"/>
      <c r="AW173" s="347"/>
      <c r="AX173" s="347"/>
      <c r="AY173" s="347"/>
      <c r="AZ173" s="347"/>
      <c r="BA173" s="347"/>
      <c r="BB173" s="347"/>
      <c r="BC173" s="347"/>
      <c r="BD173" s="347"/>
      <c r="BE173" s="347"/>
      <c r="BF173" s="347"/>
      <c r="BG173" s="347"/>
      <c r="BH173" s="347"/>
      <c r="BI173" s="347"/>
      <c r="BJ173" s="347"/>
      <c r="BK173" s="347"/>
      <c r="BL173" s="347"/>
      <c r="BM173" s="347"/>
      <c r="BN173" s="347"/>
      <c r="BO173" s="347"/>
      <c r="BP173" s="347"/>
      <c r="BQ173" s="347"/>
    </row>
    <row r="174" spans="1:69">
      <c r="A174" s="347"/>
      <c r="B174" s="403">
        <v>0.70833333333333337</v>
      </c>
      <c r="C174" s="352">
        <v>2</v>
      </c>
      <c r="D174" s="352">
        <v>2</v>
      </c>
      <c r="E174" s="352">
        <v>2</v>
      </c>
      <c r="F174" s="405"/>
      <c r="G174" s="352">
        <v>2</v>
      </c>
      <c r="H174" s="352">
        <v>2</v>
      </c>
      <c r="I174" s="352">
        <v>2</v>
      </c>
      <c r="J174" s="352">
        <v>2</v>
      </c>
      <c r="K174" s="352">
        <v>2</v>
      </c>
      <c r="L174" s="352">
        <v>2</v>
      </c>
      <c r="M174" s="405"/>
      <c r="N174" s="352">
        <v>2</v>
      </c>
      <c r="O174" s="352">
        <v>2</v>
      </c>
      <c r="P174" s="352">
        <v>2</v>
      </c>
      <c r="Q174" s="352">
        <v>2</v>
      </c>
      <c r="R174" s="352">
        <v>2</v>
      </c>
      <c r="S174" s="352">
        <v>2</v>
      </c>
      <c r="T174" s="405"/>
      <c r="U174" s="352">
        <v>2</v>
      </c>
      <c r="V174" s="352">
        <v>2</v>
      </c>
      <c r="W174" s="352">
        <v>2</v>
      </c>
      <c r="X174" s="352">
        <v>2</v>
      </c>
      <c r="Y174" s="352">
        <v>2</v>
      </c>
      <c r="Z174" s="352">
        <v>2</v>
      </c>
      <c r="AA174" s="405"/>
      <c r="AB174" s="352">
        <v>2</v>
      </c>
      <c r="AC174" s="352">
        <v>2</v>
      </c>
      <c r="AD174" s="352">
        <v>2</v>
      </c>
      <c r="AE174" s="352">
        <v>3</v>
      </c>
      <c r="AF174" s="352">
        <v>3</v>
      </c>
      <c r="AG174" s="352">
        <v>3</v>
      </c>
      <c r="AH174" s="347"/>
      <c r="AI174" s="347"/>
      <c r="AJ174" s="347"/>
      <c r="AK174" s="347"/>
      <c r="AL174" s="347"/>
      <c r="AM174" s="347"/>
      <c r="AN174" s="347"/>
      <c r="AO174" s="347"/>
      <c r="AP174" s="347"/>
      <c r="AQ174" s="347"/>
      <c r="AR174" s="347"/>
      <c r="AS174" s="347"/>
      <c r="AT174" s="347"/>
      <c r="AU174" s="347"/>
      <c r="AV174" s="347"/>
      <c r="AW174" s="347"/>
      <c r="AX174" s="347"/>
      <c r="AY174" s="347"/>
      <c r="AZ174" s="347"/>
      <c r="BA174" s="347"/>
      <c r="BB174" s="347"/>
      <c r="BC174" s="347"/>
      <c r="BD174" s="347"/>
      <c r="BE174" s="347"/>
      <c r="BF174" s="347"/>
      <c r="BG174" s="347"/>
      <c r="BH174" s="347"/>
      <c r="BI174" s="347"/>
      <c r="BJ174" s="347"/>
      <c r="BK174" s="347"/>
      <c r="BL174" s="347"/>
      <c r="BM174" s="347"/>
      <c r="BN174" s="347"/>
      <c r="BO174" s="347"/>
      <c r="BP174" s="347"/>
      <c r="BQ174" s="347"/>
    </row>
    <row r="175" spans="1:69">
      <c r="A175" s="347"/>
      <c r="B175" s="403">
        <v>0.75</v>
      </c>
      <c r="C175" s="352">
        <v>2</v>
      </c>
      <c r="D175" s="352">
        <v>2</v>
      </c>
      <c r="E175" s="352">
        <v>2</v>
      </c>
      <c r="F175" s="405"/>
      <c r="G175" s="352">
        <v>2</v>
      </c>
      <c r="H175" s="352">
        <v>2</v>
      </c>
      <c r="I175" s="352">
        <v>2</v>
      </c>
      <c r="J175" s="352">
        <v>2</v>
      </c>
      <c r="K175" s="352">
        <v>2</v>
      </c>
      <c r="L175" s="352">
        <v>2</v>
      </c>
      <c r="M175" s="405"/>
      <c r="N175" s="352">
        <v>2</v>
      </c>
      <c r="O175" s="352">
        <v>2</v>
      </c>
      <c r="P175" s="352">
        <v>2</v>
      </c>
      <c r="Q175" s="352">
        <v>2</v>
      </c>
      <c r="R175" s="352">
        <v>2</v>
      </c>
      <c r="S175" s="352">
        <v>2</v>
      </c>
      <c r="T175" s="405"/>
      <c r="U175" s="352">
        <v>2</v>
      </c>
      <c r="V175" s="352">
        <v>2</v>
      </c>
      <c r="W175" s="352">
        <v>2</v>
      </c>
      <c r="X175" s="352">
        <v>2</v>
      </c>
      <c r="Y175" s="352">
        <v>2</v>
      </c>
      <c r="Z175" s="352">
        <v>2</v>
      </c>
      <c r="AA175" s="405"/>
      <c r="AB175" s="352">
        <v>2</v>
      </c>
      <c r="AC175" s="352">
        <v>2</v>
      </c>
      <c r="AD175" s="352">
        <v>2</v>
      </c>
      <c r="AE175" s="352">
        <v>3</v>
      </c>
      <c r="AF175" s="352">
        <v>3</v>
      </c>
      <c r="AG175" s="352">
        <v>3</v>
      </c>
      <c r="AH175" s="347"/>
      <c r="AI175" s="347"/>
      <c r="AJ175" s="347"/>
      <c r="AK175" s="347"/>
      <c r="AL175" s="347"/>
      <c r="AM175" s="347"/>
      <c r="AN175" s="347"/>
      <c r="AO175" s="347"/>
      <c r="AP175" s="347"/>
      <c r="AQ175" s="347"/>
      <c r="AR175" s="347"/>
      <c r="AS175" s="347"/>
      <c r="AT175" s="347"/>
      <c r="AU175" s="347"/>
      <c r="AV175" s="347"/>
      <c r="AW175" s="347"/>
      <c r="AX175" s="347"/>
      <c r="AY175" s="347"/>
      <c r="AZ175" s="347"/>
      <c r="BA175" s="347"/>
      <c r="BB175" s="347"/>
      <c r="BC175" s="347"/>
      <c r="BD175" s="347"/>
      <c r="BE175" s="347"/>
      <c r="BF175" s="347"/>
      <c r="BG175" s="347"/>
      <c r="BH175" s="347"/>
      <c r="BI175" s="347"/>
      <c r="BJ175" s="347"/>
      <c r="BK175" s="347"/>
      <c r="BL175" s="347"/>
      <c r="BM175" s="347"/>
      <c r="BN175" s="347"/>
      <c r="BO175" s="347"/>
      <c r="BP175" s="347"/>
      <c r="BQ175" s="347"/>
    </row>
    <row r="176" spans="1:69">
      <c r="A176" s="347"/>
      <c r="B176" s="403">
        <v>0.79166666666666663</v>
      </c>
      <c r="C176" s="352">
        <v>2</v>
      </c>
      <c r="D176" s="352">
        <v>2</v>
      </c>
      <c r="E176" s="352">
        <v>2</v>
      </c>
      <c r="F176" s="405"/>
      <c r="G176" s="352">
        <v>2</v>
      </c>
      <c r="H176" s="352">
        <v>2</v>
      </c>
      <c r="I176" s="352">
        <v>2</v>
      </c>
      <c r="J176" s="352">
        <v>2</v>
      </c>
      <c r="K176" s="352">
        <v>2</v>
      </c>
      <c r="L176" s="352">
        <v>2</v>
      </c>
      <c r="M176" s="405"/>
      <c r="N176" s="352">
        <v>2</v>
      </c>
      <c r="O176" s="352">
        <v>2</v>
      </c>
      <c r="P176" s="352">
        <v>2</v>
      </c>
      <c r="Q176" s="352">
        <v>2</v>
      </c>
      <c r="R176" s="352">
        <v>2</v>
      </c>
      <c r="S176" s="352">
        <v>2</v>
      </c>
      <c r="T176" s="405"/>
      <c r="U176" s="352">
        <v>2</v>
      </c>
      <c r="V176" s="352">
        <v>2</v>
      </c>
      <c r="W176" s="352">
        <v>2</v>
      </c>
      <c r="X176" s="352">
        <v>2</v>
      </c>
      <c r="Y176" s="352">
        <v>2</v>
      </c>
      <c r="Z176" s="352">
        <v>2</v>
      </c>
      <c r="AA176" s="405"/>
      <c r="AB176" s="352">
        <v>2</v>
      </c>
      <c r="AC176" s="352">
        <v>2</v>
      </c>
      <c r="AD176" s="352">
        <v>2</v>
      </c>
      <c r="AE176" s="352">
        <v>3</v>
      </c>
      <c r="AF176" s="352">
        <v>3</v>
      </c>
      <c r="AG176" s="352">
        <v>3</v>
      </c>
      <c r="AH176" s="347"/>
      <c r="AI176" s="347"/>
      <c r="AJ176" s="347"/>
      <c r="AK176" s="347"/>
      <c r="AL176" s="347"/>
      <c r="AM176" s="347"/>
      <c r="AN176" s="347"/>
      <c r="AO176" s="347"/>
      <c r="AP176" s="347"/>
      <c r="AQ176" s="347"/>
      <c r="AR176" s="347"/>
      <c r="AS176" s="347"/>
      <c r="AT176" s="347"/>
      <c r="AU176" s="347"/>
      <c r="AV176" s="347"/>
      <c r="AW176" s="347"/>
      <c r="AX176" s="347"/>
      <c r="AY176" s="347"/>
      <c r="AZ176" s="347"/>
      <c r="BA176" s="347"/>
      <c r="BB176" s="347"/>
      <c r="BC176" s="347"/>
      <c r="BD176" s="347"/>
      <c r="BE176" s="347"/>
      <c r="BF176" s="347"/>
      <c r="BG176" s="347"/>
      <c r="BH176" s="347"/>
      <c r="BI176" s="347"/>
      <c r="BJ176" s="347"/>
      <c r="BK176" s="347"/>
      <c r="BL176" s="347"/>
      <c r="BM176" s="347"/>
      <c r="BN176" s="347"/>
      <c r="BO176" s="347"/>
      <c r="BP176" s="347"/>
      <c r="BQ176" s="347"/>
    </row>
    <row r="177" spans="1:69">
      <c r="A177" s="347"/>
      <c r="B177" s="403">
        <v>0.83333333333333337</v>
      </c>
      <c r="C177" s="404"/>
      <c r="D177" s="404"/>
      <c r="E177" s="404"/>
      <c r="F177" s="404"/>
      <c r="G177" s="404"/>
      <c r="H177" s="404"/>
      <c r="I177" s="404"/>
      <c r="J177" s="404"/>
      <c r="K177" s="404"/>
      <c r="L177" s="404"/>
      <c r="M177" s="404"/>
      <c r="N177" s="404"/>
      <c r="O177" s="404"/>
      <c r="P177" s="404"/>
      <c r="Q177" s="404"/>
      <c r="R177" s="404"/>
      <c r="S177" s="404"/>
      <c r="T177" s="404"/>
      <c r="U177" s="404"/>
      <c r="V177" s="404"/>
      <c r="W177" s="404"/>
      <c r="X177" s="404"/>
      <c r="Y177" s="404"/>
      <c r="Z177" s="404"/>
      <c r="AA177" s="404"/>
      <c r="AB177" s="404"/>
      <c r="AC177" s="404"/>
      <c r="AD177" s="404"/>
      <c r="AE177" s="404"/>
      <c r="AF177" s="404"/>
      <c r="AG177" s="404"/>
      <c r="AH177" s="347"/>
      <c r="AI177" s="347"/>
      <c r="AJ177" s="347"/>
      <c r="AK177" s="347"/>
      <c r="AL177" s="347"/>
      <c r="AM177" s="347"/>
      <c r="AN177" s="347"/>
      <c r="AO177" s="347"/>
      <c r="AP177" s="347"/>
      <c r="AQ177" s="347"/>
      <c r="AR177" s="347"/>
      <c r="AS177" s="347"/>
      <c r="AT177" s="347"/>
      <c r="AU177" s="347"/>
      <c r="AV177" s="347"/>
      <c r="AW177" s="347"/>
      <c r="AX177" s="347"/>
      <c r="AY177" s="347"/>
      <c r="AZ177" s="347"/>
      <c r="BA177" s="347"/>
      <c r="BB177" s="347"/>
      <c r="BC177" s="347"/>
      <c r="BD177" s="347"/>
      <c r="BE177" s="347"/>
      <c r="BF177" s="347"/>
      <c r="BG177" s="347"/>
      <c r="BH177" s="347"/>
      <c r="BI177" s="347"/>
      <c r="BJ177" s="347"/>
      <c r="BK177" s="347"/>
      <c r="BL177" s="347"/>
      <c r="BM177" s="347"/>
      <c r="BN177" s="347"/>
      <c r="BO177" s="347"/>
      <c r="BP177" s="347"/>
      <c r="BQ177" s="347"/>
    </row>
    <row r="178" spans="1:69">
      <c r="A178" s="347"/>
      <c r="B178" s="403">
        <v>0.875</v>
      </c>
      <c r="C178" s="404"/>
      <c r="D178" s="404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  <c r="O178" s="404"/>
      <c r="P178" s="404"/>
      <c r="Q178" s="404"/>
      <c r="R178" s="404"/>
      <c r="S178" s="404"/>
      <c r="T178" s="404"/>
      <c r="U178" s="404"/>
      <c r="V178" s="404"/>
      <c r="W178" s="404"/>
      <c r="X178" s="404"/>
      <c r="Y178" s="404"/>
      <c r="Z178" s="404"/>
      <c r="AA178" s="404"/>
      <c r="AB178" s="404"/>
      <c r="AC178" s="404"/>
      <c r="AD178" s="404"/>
      <c r="AE178" s="404"/>
      <c r="AF178" s="404"/>
      <c r="AG178" s="404"/>
      <c r="AH178" s="347"/>
      <c r="AI178" s="347"/>
      <c r="AJ178" s="347"/>
      <c r="AK178" s="347"/>
      <c r="AL178" s="347"/>
      <c r="AM178" s="347"/>
      <c r="AN178" s="347"/>
      <c r="AO178" s="347"/>
      <c r="AP178" s="347"/>
      <c r="AQ178" s="347"/>
      <c r="AR178" s="347"/>
      <c r="AS178" s="347"/>
      <c r="AT178" s="347"/>
      <c r="AU178" s="347"/>
      <c r="AV178" s="347"/>
      <c r="AW178" s="347"/>
      <c r="AX178" s="347"/>
      <c r="AY178" s="347"/>
      <c r="AZ178" s="347"/>
      <c r="BA178" s="347"/>
      <c r="BB178" s="347"/>
      <c r="BC178" s="347"/>
      <c r="BD178" s="347"/>
      <c r="BE178" s="347"/>
      <c r="BF178" s="347"/>
      <c r="BG178" s="347"/>
      <c r="BH178" s="347"/>
      <c r="BI178" s="347"/>
      <c r="BJ178" s="347"/>
      <c r="BK178" s="347"/>
      <c r="BL178" s="347"/>
      <c r="BM178" s="347"/>
      <c r="BN178" s="347"/>
      <c r="BO178" s="347"/>
      <c r="BP178" s="347"/>
      <c r="BQ178" s="347"/>
    </row>
    <row r="179" spans="1:69">
      <c r="A179" s="347"/>
      <c r="B179" s="403">
        <v>0.91666666666666663</v>
      </c>
      <c r="C179" s="404"/>
      <c r="D179" s="404"/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  <c r="O179" s="404"/>
      <c r="P179" s="404"/>
      <c r="Q179" s="404"/>
      <c r="R179" s="404"/>
      <c r="S179" s="404"/>
      <c r="T179" s="404"/>
      <c r="U179" s="404"/>
      <c r="V179" s="404"/>
      <c r="W179" s="404"/>
      <c r="X179" s="404"/>
      <c r="Y179" s="404"/>
      <c r="Z179" s="404"/>
      <c r="AA179" s="404"/>
      <c r="AB179" s="404"/>
      <c r="AC179" s="404"/>
      <c r="AD179" s="404"/>
      <c r="AE179" s="404"/>
      <c r="AF179" s="404"/>
      <c r="AG179" s="404"/>
      <c r="AH179" s="347"/>
      <c r="AI179" s="347"/>
      <c r="AJ179" s="347"/>
      <c r="AK179" s="347"/>
      <c r="AL179" s="347"/>
      <c r="AM179" s="347"/>
      <c r="AN179" s="347"/>
      <c r="AO179" s="347"/>
      <c r="AP179" s="347"/>
      <c r="AQ179" s="347"/>
      <c r="AR179" s="347"/>
      <c r="AS179" s="347"/>
      <c r="AT179" s="347"/>
      <c r="AU179" s="347"/>
      <c r="AV179" s="347"/>
      <c r="AW179" s="347"/>
      <c r="AX179" s="347"/>
      <c r="AY179" s="347"/>
      <c r="AZ179" s="347"/>
      <c r="BA179" s="347"/>
      <c r="BB179" s="347"/>
      <c r="BC179" s="347"/>
      <c r="BD179" s="347"/>
      <c r="BE179" s="347"/>
      <c r="BF179" s="347"/>
      <c r="BG179" s="347"/>
      <c r="BH179" s="347"/>
      <c r="BI179" s="347"/>
      <c r="BJ179" s="347"/>
      <c r="BK179" s="347"/>
      <c r="BL179" s="347"/>
      <c r="BM179" s="347"/>
      <c r="BN179" s="347"/>
      <c r="BO179" s="347"/>
      <c r="BP179" s="347"/>
      <c r="BQ179" s="347"/>
    </row>
    <row r="180" spans="1:69">
      <c r="A180" s="347"/>
      <c r="B180" s="403">
        <v>0.95833333333333337</v>
      </c>
      <c r="C180" s="404"/>
      <c r="D180" s="404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  <c r="O180" s="404"/>
      <c r="P180" s="404"/>
      <c r="Q180" s="404"/>
      <c r="R180" s="404"/>
      <c r="S180" s="404"/>
      <c r="T180" s="404"/>
      <c r="U180" s="404"/>
      <c r="V180" s="404"/>
      <c r="W180" s="404"/>
      <c r="X180" s="404"/>
      <c r="Y180" s="404"/>
      <c r="Z180" s="404"/>
      <c r="AA180" s="404"/>
      <c r="AB180" s="404"/>
      <c r="AC180" s="404"/>
      <c r="AD180" s="404"/>
      <c r="AE180" s="404"/>
      <c r="AF180" s="404"/>
      <c r="AG180" s="404"/>
      <c r="AH180" s="347"/>
      <c r="AI180" s="347"/>
      <c r="AJ180" s="347"/>
      <c r="AK180" s="347"/>
      <c r="AL180" s="347"/>
      <c r="AM180" s="347"/>
      <c r="AN180" s="347"/>
      <c r="AO180" s="347"/>
      <c r="AP180" s="347"/>
      <c r="AQ180" s="347"/>
      <c r="AR180" s="347"/>
      <c r="AS180" s="347"/>
      <c r="AT180" s="347"/>
      <c r="AU180" s="347"/>
      <c r="AV180" s="347"/>
      <c r="AW180" s="347"/>
      <c r="AX180" s="347"/>
      <c r="AY180" s="347"/>
      <c r="AZ180" s="347"/>
      <c r="BA180" s="347"/>
      <c r="BB180" s="347"/>
      <c r="BC180" s="347"/>
      <c r="BD180" s="347"/>
      <c r="BE180" s="347"/>
      <c r="BF180" s="347"/>
      <c r="BG180" s="347"/>
      <c r="BH180" s="347"/>
      <c r="BI180" s="347"/>
      <c r="BJ180" s="347"/>
      <c r="BK180" s="347"/>
      <c r="BL180" s="347"/>
      <c r="BM180" s="347"/>
      <c r="BN180" s="347"/>
      <c r="BO180" s="347"/>
      <c r="BP180" s="347"/>
      <c r="BQ180" s="347"/>
    </row>
    <row r="181" spans="1:69">
      <c r="A181" s="347"/>
      <c r="B181" s="402" t="s">
        <v>780</v>
      </c>
      <c r="C181" s="406">
        <v>24</v>
      </c>
      <c r="D181" s="406">
        <v>24</v>
      </c>
      <c r="E181" s="406">
        <v>24</v>
      </c>
      <c r="F181" s="406">
        <v>0</v>
      </c>
      <c r="G181" s="406">
        <v>24</v>
      </c>
      <c r="H181" s="406">
        <v>24</v>
      </c>
      <c r="I181" s="406">
        <v>24</v>
      </c>
      <c r="J181" s="406">
        <v>24</v>
      </c>
      <c r="K181" s="406">
        <v>24</v>
      </c>
      <c r="L181" s="406">
        <v>24</v>
      </c>
      <c r="M181" s="406">
        <v>0</v>
      </c>
      <c r="N181" s="406">
        <v>24</v>
      </c>
      <c r="O181" s="406">
        <v>24</v>
      </c>
      <c r="P181" s="406">
        <v>24</v>
      </c>
      <c r="Q181" s="406">
        <v>24</v>
      </c>
      <c r="R181" s="406">
        <v>24</v>
      </c>
      <c r="S181" s="406">
        <v>24</v>
      </c>
      <c r="T181" s="406">
        <v>0</v>
      </c>
      <c r="U181" s="406">
        <v>24</v>
      </c>
      <c r="V181" s="406">
        <v>24</v>
      </c>
      <c r="W181" s="406">
        <f t="shared" ref="W181:AG181" si="5">SUM(W165:W176)</f>
        <v>24</v>
      </c>
      <c r="X181" s="406">
        <f t="shared" si="5"/>
        <v>24</v>
      </c>
      <c r="Y181" s="406">
        <f t="shared" si="5"/>
        <v>24</v>
      </c>
      <c r="Z181" s="406">
        <f t="shared" si="5"/>
        <v>24</v>
      </c>
      <c r="AA181" s="406">
        <f t="shared" si="5"/>
        <v>0</v>
      </c>
      <c r="AB181" s="406">
        <f t="shared" si="5"/>
        <v>24</v>
      </c>
      <c r="AC181" s="406">
        <f t="shared" si="5"/>
        <v>24</v>
      </c>
      <c r="AD181" s="406">
        <f t="shared" si="5"/>
        <v>24</v>
      </c>
      <c r="AE181" s="406">
        <f t="shared" si="5"/>
        <v>36</v>
      </c>
      <c r="AF181" s="406">
        <f t="shared" si="5"/>
        <v>36</v>
      </c>
      <c r="AG181" s="406">
        <f t="shared" si="5"/>
        <v>36</v>
      </c>
      <c r="AH181" s="356">
        <f>SUM(C181:AG181)</f>
        <v>684</v>
      </c>
      <c r="AI181" s="347"/>
      <c r="AJ181" s="347"/>
      <c r="AK181" s="347"/>
      <c r="AL181" s="347"/>
      <c r="AM181" s="347"/>
      <c r="AN181" s="347"/>
      <c r="AO181" s="347"/>
      <c r="AP181" s="347"/>
      <c r="AQ181" s="347"/>
      <c r="AR181" s="347"/>
      <c r="AS181" s="347"/>
      <c r="AT181" s="347"/>
      <c r="AU181" s="347"/>
      <c r="AV181" s="347"/>
      <c r="AW181" s="347"/>
      <c r="AX181" s="347"/>
      <c r="AY181" s="347"/>
      <c r="AZ181" s="347"/>
      <c r="BA181" s="347"/>
      <c r="BB181" s="347"/>
      <c r="BC181" s="347"/>
      <c r="BD181" s="347"/>
      <c r="BE181" s="347"/>
      <c r="BF181" s="347"/>
      <c r="BG181" s="347"/>
      <c r="BH181" s="347"/>
      <c r="BI181" s="347"/>
      <c r="BJ181" s="347"/>
      <c r="BK181" s="347"/>
      <c r="BL181" s="347"/>
      <c r="BM181" s="347"/>
      <c r="BN181" s="347"/>
      <c r="BO181" s="347"/>
      <c r="BP181" s="347"/>
      <c r="BQ181" s="347"/>
    </row>
    <row r="184" spans="1:69">
      <c r="B184" s="590" t="s">
        <v>209</v>
      </c>
      <c r="C184" s="401">
        <v>45658</v>
      </c>
      <c r="D184" s="401">
        <v>45659</v>
      </c>
      <c r="E184" s="401">
        <v>45660</v>
      </c>
      <c r="F184" s="401">
        <v>45661</v>
      </c>
      <c r="G184" s="401">
        <v>45662</v>
      </c>
      <c r="H184" s="401">
        <v>45663</v>
      </c>
      <c r="I184" s="401">
        <v>45664</v>
      </c>
      <c r="J184" s="401">
        <v>45665</v>
      </c>
      <c r="K184" s="401">
        <v>45666</v>
      </c>
      <c r="L184" s="401">
        <v>45667</v>
      </c>
      <c r="M184" s="401">
        <v>45668</v>
      </c>
      <c r="N184" s="401">
        <v>45669</v>
      </c>
      <c r="O184" s="401">
        <v>45670</v>
      </c>
      <c r="P184" s="401">
        <v>45671</v>
      </c>
      <c r="Q184" s="401">
        <v>45672</v>
      </c>
      <c r="R184" s="401">
        <v>45673</v>
      </c>
      <c r="S184" s="401">
        <v>45674</v>
      </c>
      <c r="T184" s="401">
        <v>45675</v>
      </c>
      <c r="U184" s="401">
        <v>45676</v>
      </c>
      <c r="V184" s="401">
        <v>45677</v>
      </c>
      <c r="W184" s="401">
        <v>45678</v>
      </c>
      <c r="X184" s="401">
        <v>45679</v>
      </c>
      <c r="Y184" s="401">
        <v>45680</v>
      </c>
      <c r="Z184" s="401">
        <v>45681</v>
      </c>
      <c r="AA184" s="401">
        <v>45682</v>
      </c>
      <c r="AB184" s="401">
        <v>45683</v>
      </c>
      <c r="AC184" s="401">
        <v>45684</v>
      </c>
      <c r="AD184" s="401">
        <v>45685</v>
      </c>
      <c r="AE184" s="401">
        <v>45686</v>
      </c>
      <c r="AF184" s="401">
        <v>45687</v>
      </c>
      <c r="AG184" s="401">
        <v>45688</v>
      </c>
    </row>
    <row r="185" spans="1:69">
      <c r="B185" s="591"/>
      <c r="C185" s="402" t="s">
        <v>773</v>
      </c>
      <c r="D185" s="402" t="s">
        <v>774</v>
      </c>
      <c r="E185" s="402" t="s">
        <v>775</v>
      </c>
      <c r="F185" s="402" t="s">
        <v>776</v>
      </c>
      <c r="G185" s="402" t="s">
        <v>777</v>
      </c>
      <c r="H185" s="402" t="s">
        <v>778</v>
      </c>
      <c r="I185" s="402" t="s">
        <v>779</v>
      </c>
      <c r="J185" s="402" t="s">
        <v>773</v>
      </c>
      <c r="K185" s="402" t="s">
        <v>774</v>
      </c>
      <c r="L185" s="402" t="s">
        <v>775</v>
      </c>
      <c r="M185" s="402" t="s">
        <v>776</v>
      </c>
      <c r="N185" s="402" t="s">
        <v>777</v>
      </c>
      <c r="O185" s="402" t="s">
        <v>778</v>
      </c>
      <c r="P185" s="402" t="s">
        <v>779</v>
      </c>
      <c r="Q185" s="402" t="s">
        <v>773</v>
      </c>
      <c r="R185" s="402" t="s">
        <v>774</v>
      </c>
      <c r="S185" s="402" t="s">
        <v>775</v>
      </c>
      <c r="T185" s="402" t="s">
        <v>776</v>
      </c>
      <c r="U185" s="402" t="s">
        <v>777</v>
      </c>
      <c r="V185" s="402" t="s">
        <v>778</v>
      </c>
      <c r="W185" s="402" t="s">
        <v>779</v>
      </c>
      <c r="X185" s="402" t="s">
        <v>773</v>
      </c>
      <c r="Y185" s="402" t="s">
        <v>774</v>
      </c>
      <c r="Z185" s="402" t="s">
        <v>775</v>
      </c>
      <c r="AA185" s="402" t="s">
        <v>776</v>
      </c>
      <c r="AB185" s="402" t="s">
        <v>777</v>
      </c>
      <c r="AC185" s="402" t="s">
        <v>778</v>
      </c>
      <c r="AD185" s="402" t="s">
        <v>779</v>
      </c>
      <c r="AE185" s="402" t="s">
        <v>773</v>
      </c>
      <c r="AF185" s="402" t="s">
        <v>774</v>
      </c>
      <c r="AG185" s="402" t="s">
        <v>775</v>
      </c>
    </row>
    <row r="186" spans="1:69">
      <c r="B186" s="403">
        <v>0</v>
      </c>
      <c r="C186" s="404"/>
      <c r="D186" s="404"/>
      <c r="E186" s="404"/>
      <c r="F186" s="404"/>
      <c r="G186" s="404"/>
      <c r="H186" s="404"/>
      <c r="I186" s="404"/>
      <c r="J186" s="404"/>
      <c r="K186" s="404"/>
      <c r="L186" s="404"/>
      <c r="M186" s="404"/>
      <c r="N186" s="404"/>
      <c r="O186" s="404"/>
      <c r="P186" s="404"/>
      <c r="Q186" s="404"/>
      <c r="R186" s="404"/>
      <c r="S186" s="404"/>
      <c r="T186" s="404"/>
      <c r="U186" s="404"/>
      <c r="V186" s="404"/>
      <c r="W186" s="404"/>
      <c r="X186" s="404"/>
      <c r="Y186" s="404"/>
      <c r="Z186" s="404"/>
      <c r="AA186" s="404"/>
      <c r="AB186" s="404"/>
      <c r="AC186" s="404"/>
      <c r="AD186" s="404"/>
      <c r="AE186" s="404"/>
      <c r="AF186" s="404"/>
      <c r="AG186" s="404"/>
    </row>
    <row r="187" spans="1:69">
      <c r="B187" s="403">
        <v>4.1666666666666664E-2</v>
      </c>
      <c r="C187" s="404"/>
      <c r="D187" s="404"/>
      <c r="E187" s="404"/>
      <c r="F187" s="404"/>
      <c r="G187" s="404"/>
      <c r="H187" s="404"/>
      <c r="I187" s="404"/>
      <c r="J187" s="404"/>
      <c r="K187" s="404"/>
      <c r="L187" s="404"/>
      <c r="M187" s="404"/>
      <c r="N187" s="404"/>
      <c r="O187" s="404"/>
      <c r="P187" s="404"/>
      <c r="Q187" s="404"/>
      <c r="R187" s="404"/>
      <c r="S187" s="404"/>
      <c r="T187" s="404"/>
      <c r="U187" s="404"/>
      <c r="V187" s="404"/>
      <c r="W187" s="404"/>
      <c r="X187" s="404"/>
      <c r="Y187" s="404"/>
      <c r="Z187" s="404"/>
      <c r="AA187" s="404"/>
      <c r="AB187" s="404"/>
      <c r="AC187" s="404"/>
      <c r="AD187" s="404"/>
      <c r="AE187" s="404"/>
      <c r="AF187" s="404"/>
      <c r="AG187" s="404"/>
    </row>
    <row r="188" spans="1:69">
      <c r="B188" s="403">
        <v>8.3333333333333329E-2</v>
      </c>
      <c r="C188" s="404"/>
      <c r="D188" s="404"/>
      <c r="E188" s="404"/>
      <c r="F188" s="404"/>
      <c r="G188" s="404"/>
      <c r="H188" s="404"/>
      <c r="I188" s="404"/>
      <c r="J188" s="404"/>
      <c r="K188" s="404"/>
      <c r="L188" s="404"/>
      <c r="M188" s="404"/>
      <c r="N188" s="404"/>
      <c r="O188" s="404"/>
      <c r="P188" s="404"/>
      <c r="Q188" s="404"/>
      <c r="R188" s="404"/>
      <c r="S188" s="404"/>
      <c r="T188" s="404"/>
      <c r="U188" s="404"/>
      <c r="V188" s="404"/>
      <c r="W188" s="404"/>
      <c r="X188" s="404"/>
      <c r="Y188" s="404"/>
      <c r="Z188" s="404"/>
      <c r="AA188" s="404"/>
      <c r="AB188" s="404"/>
      <c r="AC188" s="404"/>
      <c r="AD188" s="404"/>
      <c r="AE188" s="404"/>
      <c r="AF188" s="404"/>
      <c r="AG188" s="404"/>
    </row>
    <row r="189" spans="1:69">
      <c r="B189" s="403">
        <v>0.125</v>
      </c>
      <c r="C189" s="407"/>
      <c r="D189" s="407"/>
      <c r="E189" s="407"/>
      <c r="F189" s="407"/>
      <c r="G189" s="407"/>
      <c r="H189" s="404"/>
      <c r="I189" s="404"/>
      <c r="J189" s="404"/>
      <c r="K189" s="404"/>
      <c r="L189" s="404"/>
      <c r="M189" s="404"/>
      <c r="N189" s="404"/>
      <c r="O189" s="404"/>
      <c r="P189" s="404"/>
      <c r="Q189" s="404"/>
      <c r="R189" s="404"/>
      <c r="S189" s="404"/>
      <c r="T189" s="404"/>
      <c r="U189" s="404"/>
      <c r="V189" s="404"/>
      <c r="W189" s="404"/>
      <c r="X189" s="404"/>
      <c r="Y189" s="404"/>
      <c r="Z189" s="404"/>
      <c r="AA189" s="404"/>
      <c r="AB189" s="404"/>
      <c r="AC189" s="404"/>
      <c r="AD189" s="404"/>
      <c r="AE189" s="404"/>
      <c r="AF189" s="404"/>
      <c r="AG189" s="404"/>
    </row>
    <row r="190" spans="1:69">
      <c r="B190" s="403">
        <v>0.16666666666666666</v>
      </c>
      <c r="C190" s="407"/>
      <c r="D190" s="407"/>
      <c r="E190" s="407"/>
      <c r="F190" s="407"/>
      <c r="G190" s="407"/>
      <c r="H190" s="404"/>
      <c r="I190" s="404"/>
      <c r="J190" s="404"/>
      <c r="K190" s="404"/>
      <c r="L190" s="404"/>
      <c r="M190" s="404"/>
      <c r="N190" s="404"/>
      <c r="O190" s="404"/>
      <c r="P190" s="404"/>
      <c r="Q190" s="404"/>
      <c r="R190" s="404"/>
      <c r="S190" s="404"/>
      <c r="T190" s="404"/>
      <c r="U190" s="404"/>
      <c r="V190" s="404"/>
      <c r="W190" s="404"/>
      <c r="X190" s="404"/>
      <c r="Y190" s="404"/>
      <c r="Z190" s="404"/>
      <c r="AA190" s="404"/>
      <c r="AB190" s="404"/>
      <c r="AC190" s="404"/>
      <c r="AD190" s="404"/>
      <c r="AE190" s="404"/>
      <c r="AF190" s="404"/>
      <c r="AG190" s="404"/>
    </row>
    <row r="191" spans="1:69">
      <c r="B191" s="403">
        <v>0.20833333333333334</v>
      </c>
      <c r="C191" s="407"/>
      <c r="D191" s="407"/>
      <c r="E191" s="407"/>
      <c r="F191" s="407"/>
      <c r="G191" s="407"/>
      <c r="H191" s="404"/>
      <c r="I191" s="404"/>
      <c r="J191" s="404"/>
      <c r="K191" s="404"/>
      <c r="L191" s="404"/>
      <c r="M191" s="404"/>
      <c r="N191" s="404"/>
      <c r="O191" s="404"/>
      <c r="P191" s="404"/>
      <c r="Q191" s="404"/>
      <c r="R191" s="404"/>
      <c r="S191" s="404"/>
      <c r="T191" s="404"/>
      <c r="U191" s="404"/>
      <c r="V191" s="404"/>
      <c r="W191" s="404"/>
      <c r="X191" s="404"/>
      <c r="Y191" s="404"/>
      <c r="Z191" s="404"/>
      <c r="AA191" s="404"/>
      <c r="AB191" s="404"/>
      <c r="AC191" s="404"/>
      <c r="AD191" s="404"/>
      <c r="AE191" s="404"/>
      <c r="AF191" s="404"/>
      <c r="AG191" s="404"/>
    </row>
    <row r="192" spans="1:69">
      <c r="B192" s="403">
        <v>0.25</v>
      </c>
      <c r="C192" s="407"/>
      <c r="D192" s="407"/>
      <c r="E192" s="407"/>
      <c r="F192" s="407"/>
      <c r="G192" s="407"/>
      <c r="H192" s="404"/>
      <c r="I192" s="404"/>
      <c r="J192" s="404"/>
      <c r="K192" s="404"/>
      <c r="L192" s="404"/>
      <c r="M192" s="404"/>
      <c r="N192" s="404"/>
      <c r="O192" s="404"/>
      <c r="P192" s="404"/>
      <c r="Q192" s="404"/>
      <c r="R192" s="404"/>
      <c r="S192" s="404"/>
      <c r="T192" s="404"/>
      <c r="U192" s="404"/>
      <c r="V192" s="404"/>
      <c r="W192" s="404"/>
      <c r="X192" s="404"/>
      <c r="Y192" s="404"/>
      <c r="Z192" s="404"/>
      <c r="AA192" s="404"/>
      <c r="AB192" s="404"/>
      <c r="AC192" s="404"/>
      <c r="AD192" s="404"/>
      <c r="AE192" s="404"/>
      <c r="AF192" s="404"/>
      <c r="AG192" s="404"/>
    </row>
    <row r="193" spans="2:33">
      <c r="B193" s="403">
        <v>0.29166666666666669</v>
      </c>
      <c r="C193" s="407"/>
      <c r="D193" s="407"/>
      <c r="E193" s="407"/>
      <c r="F193" s="407"/>
      <c r="G193" s="407"/>
      <c r="H193" s="404">
        <v>1</v>
      </c>
      <c r="I193" s="404">
        <v>1</v>
      </c>
      <c r="J193" s="404">
        <v>1</v>
      </c>
      <c r="K193" s="404">
        <v>1</v>
      </c>
      <c r="L193" s="404">
        <v>1</v>
      </c>
      <c r="M193" s="404"/>
      <c r="N193" s="404">
        <v>1</v>
      </c>
      <c r="O193" s="404">
        <v>1</v>
      </c>
      <c r="P193" s="404"/>
      <c r="Q193" s="404"/>
      <c r="R193" s="404"/>
      <c r="S193" s="404"/>
      <c r="T193" s="404"/>
      <c r="U193" s="404"/>
      <c r="V193" s="404"/>
      <c r="W193" s="404">
        <v>1</v>
      </c>
      <c r="X193" s="404">
        <v>1</v>
      </c>
      <c r="Y193" s="404">
        <v>1</v>
      </c>
      <c r="Z193" s="404">
        <v>1</v>
      </c>
      <c r="AA193" s="404"/>
      <c r="AB193" s="404">
        <v>1</v>
      </c>
      <c r="AC193" s="404">
        <v>1</v>
      </c>
      <c r="AD193" s="404">
        <v>1</v>
      </c>
      <c r="AE193" s="404">
        <v>1</v>
      </c>
      <c r="AF193" s="404">
        <v>1</v>
      </c>
      <c r="AG193" s="404">
        <v>1</v>
      </c>
    </row>
    <row r="194" spans="2:33">
      <c r="B194" s="403">
        <v>0.33333333333333331</v>
      </c>
      <c r="C194" s="407"/>
      <c r="D194" s="407"/>
      <c r="E194" s="407"/>
      <c r="F194" s="407"/>
      <c r="G194" s="407"/>
      <c r="H194" s="404">
        <v>1</v>
      </c>
      <c r="I194" s="404">
        <v>1</v>
      </c>
      <c r="J194" s="404">
        <v>1</v>
      </c>
      <c r="K194" s="404">
        <v>1</v>
      </c>
      <c r="L194" s="404">
        <v>1</v>
      </c>
      <c r="M194" s="404"/>
      <c r="N194" s="404">
        <v>1</v>
      </c>
      <c r="O194" s="404">
        <v>1</v>
      </c>
      <c r="P194" s="404"/>
      <c r="Q194" s="404"/>
      <c r="R194" s="404"/>
      <c r="S194" s="404"/>
      <c r="T194" s="404"/>
      <c r="U194" s="404"/>
      <c r="V194" s="404"/>
      <c r="W194" s="404">
        <v>1</v>
      </c>
      <c r="X194" s="404">
        <v>1</v>
      </c>
      <c r="Y194" s="404">
        <v>1</v>
      </c>
      <c r="Z194" s="404">
        <v>1</v>
      </c>
      <c r="AA194" s="404"/>
      <c r="AB194" s="404">
        <v>1</v>
      </c>
      <c r="AC194" s="404">
        <v>1</v>
      </c>
      <c r="AD194" s="404">
        <v>1</v>
      </c>
      <c r="AE194" s="404">
        <v>1</v>
      </c>
      <c r="AF194" s="404">
        <v>1</v>
      </c>
      <c r="AG194" s="404">
        <v>1</v>
      </c>
    </row>
    <row r="195" spans="2:33">
      <c r="B195" s="403">
        <v>0.375</v>
      </c>
      <c r="C195" s="408"/>
      <c r="D195" s="408"/>
      <c r="E195" s="408"/>
      <c r="F195" s="409"/>
      <c r="G195" s="408"/>
      <c r="H195" s="352">
        <v>1</v>
      </c>
      <c r="I195" s="352">
        <v>1</v>
      </c>
      <c r="J195" s="352">
        <v>1</v>
      </c>
      <c r="K195" s="352">
        <v>1</v>
      </c>
      <c r="L195" s="352">
        <v>1</v>
      </c>
      <c r="M195" s="405"/>
      <c r="N195" s="352">
        <v>1</v>
      </c>
      <c r="O195" s="352">
        <v>1</v>
      </c>
      <c r="P195" s="352"/>
      <c r="Q195" s="352"/>
      <c r="R195" s="352"/>
      <c r="S195" s="352"/>
      <c r="T195" s="405"/>
      <c r="U195" s="352"/>
      <c r="V195" s="352"/>
      <c r="W195" s="352">
        <v>1</v>
      </c>
      <c r="X195" s="352">
        <v>1</v>
      </c>
      <c r="Y195" s="352">
        <v>1</v>
      </c>
      <c r="Z195" s="352">
        <v>1</v>
      </c>
      <c r="AA195" s="405"/>
      <c r="AB195" s="352">
        <v>1</v>
      </c>
      <c r="AC195" s="352">
        <v>1</v>
      </c>
      <c r="AD195" s="352">
        <v>1</v>
      </c>
      <c r="AE195" s="352">
        <v>1</v>
      </c>
      <c r="AF195" s="352">
        <v>1</v>
      </c>
      <c r="AG195" s="352">
        <v>1</v>
      </c>
    </row>
    <row r="196" spans="2:33">
      <c r="B196" s="403">
        <v>0.41666666666666669</v>
      </c>
      <c r="C196" s="408"/>
      <c r="D196" s="408"/>
      <c r="E196" s="408"/>
      <c r="F196" s="409"/>
      <c r="G196" s="408"/>
      <c r="H196" s="352">
        <v>1</v>
      </c>
      <c r="I196" s="352">
        <v>1</v>
      </c>
      <c r="J196" s="352">
        <v>1</v>
      </c>
      <c r="K196" s="352">
        <v>1</v>
      </c>
      <c r="L196" s="352">
        <v>1</v>
      </c>
      <c r="M196" s="405"/>
      <c r="N196" s="352">
        <v>1</v>
      </c>
      <c r="O196" s="352">
        <v>1</v>
      </c>
      <c r="P196" s="352"/>
      <c r="Q196" s="352"/>
      <c r="R196" s="352"/>
      <c r="S196" s="352"/>
      <c r="T196" s="405"/>
      <c r="U196" s="352"/>
      <c r="V196" s="352"/>
      <c r="W196" s="352">
        <v>1</v>
      </c>
      <c r="X196" s="352">
        <v>1</v>
      </c>
      <c r="Y196" s="352">
        <v>1</v>
      </c>
      <c r="Z196" s="352">
        <v>1</v>
      </c>
      <c r="AA196" s="405"/>
      <c r="AB196" s="352">
        <v>1</v>
      </c>
      <c r="AC196" s="352">
        <v>1</v>
      </c>
      <c r="AD196" s="352">
        <v>1</v>
      </c>
      <c r="AE196" s="352">
        <v>1</v>
      </c>
      <c r="AF196" s="352">
        <v>1</v>
      </c>
      <c r="AG196" s="352">
        <v>1</v>
      </c>
    </row>
    <row r="197" spans="2:33">
      <c r="B197" s="403">
        <v>0.45833333333333331</v>
      </c>
      <c r="C197" s="408"/>
      <c r="D197" s="408"/>
      <c r="E197" s="408"/>
      <c r="F197" s="409"/>
      <c r="G197" s="408"/>
      <c r="H197" s="352">
        <v>1</v>
      </c>
      <c r="I197" s="352">
        <v>1</v>
      </c>
      <c r="J197" s="352">
        <v>1</v>
      </c>
      <c r="K197" s="352">
        <v>1</v>
      </c>
      <c r="L197" s="352">
        <v>1</v>
      </c>
      <c r="M197" s="405"/>
      <c r="N197" s="352">
        <v>1</v>
      </c>
      <c r="O197" s="352">
        <v>1</v>
      </c>
      <c r="P197" s="352"/>
      <c r="Q197" s="352"/>
      <c r="R197" s="352"/>
      <c r="S197" s="352"/>
      <c r="T197" s="405"/>
      <c r="U197" s="352"/>
      <c r="V197" s="352"/>
      <c r="W197" s="352">
        <v>1</v>
      </c>
      <c r="X197" s="352">
        <v>1</v>
      </c>
      <c r="Y197" s="352">
        <v>1</v>
      </c>
      <c r="Z197" s="352">
        <v>1</v>
      </c>
      <c r="AA197" s="405"/>
      <c r="AB197" s="352">
        <v>1</v>
      </c>
      <c r="AC197" s="352">
        <v>1</v>
      </c>
      <c r="AD197" s="352">
        <v>1</v>
      </c>
      <c r="AE197" s="352">
        <v>1</v>
      </c>
      <c r="AF197" s="352">
        <v>1</v>
      </c>
      <c r="AG197" s="352">
        <v>1</v>
      </c>
    </row>
    <row r="198" spans="2:33">
      <c r="B198" s="403">
        <v>0.5</v>
      </c>
      <c r="C198" s="408"/>
      <c r="D198" s="408"/>
      <c r="E198" s="408"/>
      <c r="F198" s="409"/>
      <c r="G198" s="408"/>
      <c r="H198" s="352">
        <v>1</v>
      </c>
      <c r="I198" s="352">
        <v>1</v>
      </c>
      <c r="J198" s="352">
        <v>1</v>
      </c>
      <c r="K198" s="352">
        <v>1</v>
      </c>
      <c r="L198" s="352">
        <v>1</v>
      </c>
      <c r="M198" s="405"/>
      <c r="N198" s="352">
        <v>1</v>
      </c>
      <c r="O198" s="352">
        <v>1</v>
      </c>
      <c r="P198" s="352"/>
      <c r="Q198" s="352"/>
      <c r="R198" s="352"/>
      <c r="S198" s="352"/>
      <c r="T198" s="405"/>
      <c r="U198" s="352"/>
      <c r="V198" s="352"/>
      <c r="W198" s="352">
        <v>1</v>
      </c>
      <c r="X198" s="352">
        <v>1</v>
      </c>
      <c r="Y198" s="352">
        <v>1</v>
      </c>
      <c r="Z198" s="352">
        <v>1</v>
      </c>
      <c r="AA198" s="405"/>
      <c r="AB198" s="352">
        <v>1</v>
      </c>
      <c r="AC198" s="352">
        <v>1</v>
      </c>
      <c r="AD198" s="352">
        <v>1</v>
      </c>
      <c r="AE198" s="352">
        <v>1</v>
      </c>
      <c r="AF198" s="352">
        <v>1</v>
      </c>
      <c r="AG198" s="352">
        <v>1</v>
      </c>
    </row>
    <row r="199" spans="2:33">
      <c r="B199" s="403">
        <v>0.54166666666666663</v>
      </c>
      <c r="C199" s="408"/>
      <c r="D199" s="408"/>
      <c r="E199" s="408"/>
      <c r="F199" s="409"/>
      <c r="G199" s="408"/>
      <c r="H199" s="352">
        <v>1</v>
      </c>
      <c r="I199" s="352">
        <v>1</v>
      </c>
      <c r="J199" s="352">
        <v>1</v>
      </c>
      <c r="K199" s="352">
        <v>1</v>
      </c>
      <c r="L199" s="352">
        <v>1</v>
      </c>
      <c r="M199" s="405"/>
      <c r="N199" s="352">
        <v>1</v>
      </c>
      <c r="O199" s="352">
        <v>1</v>
      </c>
      <c r="P199" s="352"/>
      <c r="Q199" s="352"/>
      <c r="R199" s="352"/>
      <c r="S199" s="352"/>
      <c r="T199" s="405"/>
      <c r="U199" s="352"/>
      <c r="V199" s="352"/>
      <c r="W199" s="352">
        <v>1</v>
      </c>
      <c r="X199" s="352">
        <v>1</v>
      </c>
      <c r="Y199" s="352">
        <v>1</v>
      </c>
      <c r="Z199" s="352">
        <v>1</v>
      </c>
      <c r="AA199" s="405"/>
      <c r="AB199" s="352">
        <v>1</v>
      </c>
      <c r="AC199" s="352">
        <v>1</v>
      </c>
      <c r="AD199" s="352">
        <v>1</v>
      </c>
      <c r="AE199" s="352">
        <v>1</v>
      </c>
      <c r="AF199" s="352">
        <v>1</v>
      </c>
      <c r="AG199" s="352">
        <v>1</v>
      </c>
    </row>
    <row r="200" spans="2:33">
      <c r="B200" s="403">
        <v>0.58333333333333337</v>
      </c>
      <c r="C200" s="408"/>
      <c r="D200" s="408"/>
      <c r="E200" s="408"/>
      <c r="F200" s="409"/>
      <c r="G200" s="408"/>
      <c r="H200" s="352">
        <v>1</v>
      </c>
      <c r="I200" s="352">
        <v>1</v>
      </c>
      <c r="J200" s="352">
        <v>1</v>
      </c>
      <c r="K200" s="352">
        <v>1</v>
      </c>
      <c r="L200" s="352">
        <v>1</v>
      </c>
      <c r="M200" s="405"/>
      <c r="N200" s="352">
        <v>1</v>
      </c>
      <c r="O200" s="352">
        <v>1</v>
      </c>
      <c r="P200" s="352"/>
      <c r="Q200" s="352"/>
      <c r="R200" s="352"/>
      <c r="S200" s="352"/>
      <c r="T200" s="405"/>
      <c r="U200" s="352"/>
      <c r="V200" s="352"/>
      <c r="W200" s="352">
        <v>1</v>
      </c>
      <c r="X200" s="352">
        <v>1</v>
      </c>
      <c r="Y200" s="352">
        <v>1</v>
      </c>
      <c r="Z200" s="352">
        <v>1</v>
      </c>
      <c r="AA200" s="405"/>
      <c r="AB200" s="352">
        <v>1</v>
      </c>
      <c r="AC200" s="352">
        <v>1</v>
      </c>
      <c r="AD200" s="352">
        <v>1</v>
      </c>
      <c r="AE200" s="352">
        <v>1</v>
      </c>
      <c r="AF200" s="352">
        <v>1</v>
      </c>
      <c r="AG200" s="352">
        <v>1</v>
      </c>
    </row>
    <row r="201" spans="2:33">
      <c r="B201" s="403">
        <v>0.625</v>
      </c>
      <c r="C201" s="408"/>
      <c r="D201" s="408"/>
      <c r="E201" s="408"/>
      <c r="F201" s="409"/>
      <c r="G201" s="408"/>
      <c r="H201" s="352">
        <v>4</v>
      </c>
      <c r="I201" s="352">
        <v>4</v>
      </c>
      <c r="J201" s="352">
        <v>4</v>
      </c>
      <c r="K201" s="352">
        <v>4</v>
      </c>
      <c r="L201" s="352">
        <v>4</v>
      </c>
      <c r="M201" s="405"/>
      <c r="N201" s="352">
        <v>4</v>
      </c>
      <c r="O201" s="352">
        <v>4</v>
      </c>
      <c r="P201" s="352">
        <v>4</v>
      </c>
      <c r="Q201" s="352">
        <v>4</v>
      </c>
      <c r="R201" s="352">
        <v>4</v>
      </c>
      <c r="S201" s="352">
        <v>4</v>
      </c>
      <c r="T201" s="405"/>
      <c r="U201" s="352">
        <v>4</v>
      </c>
      <c r="V201" s="352">
        <v>4</v>
      </c>
      <c r="W201" s="352">
        <v>4</v>
      </c>
      <c r="X201" s="352">
        <v>4</v>
      </c>
      <c r="Y201" s="352">
        <v>4</v>
      </c>
      <c r="Z201" s="352">
        <v>4</v>
      </c>
      <c r="AA201" s="405"/>
      <c r="AB201" s="352">
        <v>4</v>
      </c>
      <c r="AC201" s="352">
        <v>4</v>
      </c>
      <c r="AD201" s="352">
        <v>4</v>
      </c>
      <c r="AE201" s="352">
        <v>4</v>
      </c>
      <c r="AF201" s="352">
        <v>4</v>
      </c>
      <c r="AG201" s="352">
        <v>4</v>
      </c>
    </row>
    <row r="202" spans="2:33">
      <c r="B202" s="403">
        <v>0.66666666666666663</v>
      </c>
      <c r="C202" s="408"/>
      <c r="D202" s="408"/>
      <c r="E202" s="408"/>
      <c r="F202" s="409"/>
      <c r="G202" s="408"/>
      <c r="H202" s="352">
        <v>4</v>
      </c>
      <c r="I202" s="352">
        <v>4</v>
      </c>
      <c r="J202" s="352">
        <v>4</v>
      </c>
      <c r="K202" s="352">
        <v>4</v>
      </c>
      <c r="L202" s="352">
        <v>4</v>
      </c>
      <c r="M202" s="405"/>
      <c r="N202" s="352">
        <v>4</v>
      </c>
      <c r="O202" s="352">
        <v>4</v>
      </c>
      <c r="P202" s="352">
        <v>4</v>
      </c>
      <c r="Q202" s="352">
        <v>4</v>
      </c>
      <c r="R202" s="352">
        <v>4</v>
      </c>
      <c r="S202" s="352">
        <v>4</v>
      </c>
      <c r="T202" s="405"/>
      <c r="U202" s="352">
        <v>4</v>
      </c>
      <c r="V202" s="352">
        <v>4</v>
      </c>
      <c r="W202" s="352">
        <v>4</v>
      </c>
      <c r="X202" s="352">
        <v>4</v>
      </c>
      <c r="Y202" s="352">
        <v>4</v>
      </c>
      <c r="Z202" s="352">
        <v>4</v>
      </c>
      <c r="AA202" s="405"/>
      <c r="AB202" s="352">
        <v>4</v>
      </c>
      <c r="AC202" s="352">
        <v>4</v>
      </c>
      <c r="AD202" s="352">
        <v>4</v>
      </c>
      <c r="AE202" s="352">
        <v>4</v>
      </c>
      <c r="AF202" s="352">
        <v>4</v>
      </c>
      <c r="AG202" s="352">
        <v>4</v>
      </c>
    </row>
    <row r="203" spans="2:33">
      <c r="B203" s="403">
        <v>0.70833333333333337</v>
      </c>
      <c r="C203" s="408"/>
      <c r="D203" s="408"/>
      <c r="E203" s="408"/>
      <c r="F203" s="409"/>
      <c r="G203" s="408"/>
      <c r="H203" s="352">
        <v>4</v>
      </c>
      <c r="I203" s="352">
        <v>4</v>
      </c>
      <c r="J203" s="352">
        <v>4</v>
      </c>
      <c r="K203" s="352">
        <v>4</v>
      </c>
      <c r="L203" s="352">
        <v>4</v>
      </c>
      <c r="M203" s="405"/>
      <c r="N203" s="352">
        <v>4</v>
      </c>
      <c r="O203" s="352">
        <v>4</v>
      </c>
      <c r="P203" s="352">
        <v>4</v>
      </c>
      <c r="Q203" s="352">
        <v>4</v>
      </c>
      <c r="R203" s="352">
        <v>4</v>
      </c>
      <c r="S203" s="352">
        <v>4</v>
      </c>
      <c r="T203" s="405"/>
      <c r="U203" s="352">
        <v>4</v>
      </c>
      <c r="V203" s="352">
        <v>4</v>
      </c>
      <c r="W203" s="352">
        <v>4</v>
      </c>
      <c r="X203" s="352">
        <v>4</v>
      </c>
      <c r="Y203" s="352">
        <v>4</v>
      </c>
      <c r="Z203" s="352">
        <v>4</v>
      </c>
      <c r="AA203" s="405"/>
      <c r="AB203" s="352">
        <v>4</v>
      </c>
      <c r="AC203" s="352">
        <v>4</v>
      </c>
      <c r="AD203" s="352">
        <v>4</v>
      </c>
      <c r="AE203" s="352">
        <v>4</v>
      </c>
      <c r="AF203" s="352">
        <v>4</v>
      </c>
      <c r="AG203" s="352">
        <v>4</v>
      </c>
    </row>
    <row r="204" spans="2:33">
      <c r="B204" s="403">
        <v>0.75</v>
      </c>
      <c r="C204" s="408"/>
      <c r="D204" s="408"/>
      <c r="E204" s="408"/>
      <c r="F204" s="409"/>
      <c r="G204" s="408"/>
      <c r="H204" s="352">
        <v>4</v>
      </c>
      <c r="I204" s="352">
        <v>4</v>
      </c>
      <c r="J204" s="352">
        <v>4</v>
      </c>
      <c r="K204" s="352">
        <v>4</v>
      </c>
      <c r="L204" s="352">
        <v>4</v>
      </c>
      <c r="M204" s="405"/>
      <c r="N204" s="352">
        <v>4</v>
      </c>
      <c r="O204" s="352">
        <v>4</v>
      </c>
      <c r="P204" s="352">
        <v>4</v>
      </c>
      <c r="Q204" s="352">
        <v>4</v>
      </c>
      <c r="R204" s="352">
        <v>4</v>
      </c>
      <c r="S204" s="352">
        <v>4</v>
      </c>
      <c r="T204" s="405"/>
      <c r="U204" s="352">
        <v>4</v>
      </c>
      <c r="V204" s="352">
        <v>4</v>
      </c>
      <c r="W204" s="352">
        <v>4</v>
      </c>
      <c r="X204" s="352">
        <v>4</v>
      </c>
      <c r="Y204" s="352">
        <v>4</v>
      </c>
      <c r="Z204" s="352">
        <v>4</v>
      </c>
      <c r="AA204" s="405"/>
      <c r="AB204" s="352">
        <v>4</v>
      </c>
      <c r="AC204" s="352">
        <v>4</v>
      </c>
      <c r="AD204" s="352">
        <v>4</v>
      </c>
      <c r="AE204" s="352">
        <v>4</v>
      </c>
      <c r="AF204" s="352">
        <v>4</v>
      </c>
      <c r="AG204" s="352">
        <v>4</v>
      </c>
    </row>
    <row r="205" spans="2:33">
      <c r="B205" s="403">
        <v>0.79166666666666663</v>
      </c>
      <c r="C205" s="408"/>
      <c r="D205" s="408"/>
      <c r="E205" s="408"/>
      <c r="F205" s="409"/>
      <c r="G205" s="408"/>
      <c r="H205" s="352">
        <v>4</v>
      </c>
      <c r="I205" s="352">
        <v>4</v>
      </c>
      <c r="J205" s="352">
        <v>4</v>
      </c>
      <c r="K205" s="352">
        <v>4</v>
      </c>
      <c r="L205" s="352">
        <v>4</v>
      </c>
      <c r="M205" s="405"/>
      <c r="N205" s="352">
        <v>4</v>
      </c>
      <c r="O205" s="352">
        <v>4</v>
      </c>
      <c r="P205" s="352">
        <v>4</v>
      </c>
      <c r="Q205" s="352">
        <v>4</v>
      </c>
      <c r="R205" s="352">
        <v>4</v>
      </c>
      <c r="S205" s="352">
        <v>4</v>
      </c>
      <c r="T205" s="405"/>
      <c r="U205" s="352">
        <v>4</v>
      </c>
      <c r="V205" s="352">
        <v>4</v>
      </c>
      <c r="W205" s="352">
        <v>4</v>
      </c>
      <c r="X205" s="352">
        <v>4</v>
      </c>
      <c r="Y205" s="352">
        <v>4</v>
      </c>
      <c r="Z205" s="352">
        <v>4</v>
      </c>
      <c r="AA205" s="405"/>
      <c r="AB205" s="352">
        <v>4</v>
      </c>
      <c r="AC205" s="352">
        <v>4</v>
      </c>
      <c r="AD205" s="352">
        <v>4</v>
      </c>
      <c r="AE205" s="352">
        <v>4</v>
      </c>
      <c r="AF205" s="352">
        <v>4</v>
      </c>
      <c r="AG205" s="352">
        <v>4</v>
      </c>
    </row>
    <row r="206" spans="2:33">
      <c r="B206" s="403">
        <v>0.83333333333333337</v>
      </c>
      <c r="C206" s="407"/>
      <c r="D206" s="407"/>
      <c r="E206" s="407"/>
      <c r="F206" s="407"/>
      <c r="G206" s="407"/>
      <c r="H206" s="404">
        <v>4</v>
      </c>
      <c r="I206" s="404">
        <v>4</v>
      </c>
      <c r="J206" s="404">
        <v>4</v>
      </c>
      <c r="K206" s="404">
        <v>4</v>
      </c>
      <c r="L206" s="404">
        <v>4</v>
      </c>
      <c r="M206" s="404"/>
      <c r="N206" s="404">
        <v>4</v>
      </c>
      <c r="O206" s="404">
        <v>4</v>
      </c>
      <c r="P206" s="404">
        <v>4</v>
      </c>
      <c r="Q206" s="404">
        <v>4</v>
      </c>
      <c r="R206" s="404">
        <v>4</v>
      </c>
      <c r="S206" s="404">
        <v>4</v>
      </c>
      <c r="T206" s="404"/>
      <c r="U206" s="404">
        <v>4</v>
      </c>
      <c r="V206" s="404">
        <v>4</v>
      </c>
      <c r="W206" s="404">
        <v>4</v>
      </c>
      <c r="X206" s="404">
        <v>4</v>
      </c>
      <c r="Y206" s="404">
        <v>4</v>
      </c>
      <c r="Z206" s="404">
        <v>4</v>
      </c>
      <c r="AA206" s="404"/>
      <c r="AB206" s="404">
        <v>4</v>
      </c>
      <c r="AC206" s="404">
        <v>4</v>
      </c>
      <c r="AD206" s="404">
        <v>4</v>
      </c>
      <c r="AE206" s="404">
        <v>4</v>
      </c>
      <c r="AF206" s="404">
        <v>4</v>
      </c>
      <c r="AG206" s="404">
        <v>4</v>
      </c>
    </row>
    <row r="207" spans="2:33">
      <c r="B207" s="403">
        <v>0.875</v>
      </c>
      <c r="C207" s="407"/>
      <c r="D207" s="407"/>
      <c r="E207" s="407"/>
      <c r="F207" s="407"/>
      <c r="G207" s="407"/>
      <c r="H207" s="404">
        <v>4</v>
      </c>
      <c r="I207" s="404">
        <v>4</v>
      </c>
      <c r="J207" s="404">
        <v>4</v>
      </c>
      <c r="K207" s="404">
        <v>4</v>
      </c>
      <c r="L207" s="404">
        <v>4</v>
      </c>
      <c r="M207" s="404"/>
      <c r="N207" s="404">
        <v>4</v>
      </c>
      <c r="O207" s="404">
        <v>4</v>
      </c>
      <c r="P207" s="404">
        <v>4</v>
      </c>
      <c r="Q207" s="404">
        <v>4</v>
      </c>
      <c r="R207" s="404">
        <v>4</v>
      </c>
      <c r="S207" s="404">
        <v>4</v>
      </c>
      <c r="T207" s="404"/>
      <c r="U207" s="404">
        <v>4</v>
      </c>
      <c r="V207" s="404">
        <v>4</v>
      </c>
      <c r="W207" s="404">
        <v>4</v>
      </c>
      <c r="X207" s="404">
        <v>4</v>
      </c>
      <c r="Y207" s="404">
        <v>4</v>
      </c>
      <c r="Z207" s="404">
        <v>4</v>
      </c>
      <c r="AA207" s="404"/>
      <c r="AB207" s="404">
        <v>4</v>
      </c>
      <c r="AC207" s="404">
        <v>4</v>
      </c>
      <c r="AD207" s="404">
        <v>4</v>
      </c>
      <c r="AE207" s="404">
        <v>4</v>
      </c>
      <c r="AF207" s="404">
        <v>4</v>
      </c>
      <c r="AG207" s="404">
        <v>4</v>
      </c>
    </row>
    <row r="208" spans="2:33">
      <c r="B208" s="403">
        <v>0.91666666666666663</v>
      </c>
      <c r="C208" s="407"/>
      <c r="D208" s="407"/>
      <c r="E208" s="407"/>
      <c r="F208" s="407"/>
      <c r="G208" s="407"/>
      <c r="H208" s="404">
        <v>4</v>
      </c>
      <c r="I208" s="404">
        <v>4</v>
      </c>
      <c r="J208" s="404">
        <v>4</v>
      </c>
      <c r="K208" s="404">
        <v>4</v>
      </c>
      <c r="L208" s="404">
        <v>4</v>
      </c>
      <c r="M208" s="404"/>
      <c r="N208" s="404">
        <v>4</v>
      </c>
      <c r="O208" s="404">
        <v>4</v>
      </c>
      <c r="P208" s="404">
        <v>4</v>
      </c>
      <c r="Q208" s="404">
        <v>4</v>
      </c>
      <c r="R208" s="404">
        <v>4</v>
      </c>
      <c r="S208" s="404">
        <v>4</v>
      </c>
      <c r="T208" s="404"/>
      <c r="U208" s="404">
        <v>4</v>
      </c>
      <c r="V208" s="404">
        <v>4</v>
      </c>
      <c r="W208" s="404">
        <v>4</v>
      </c>
      <c r="X208" s="404">
        <v>4</v>
      </c>
      <c r="Y208" s="404">
        <v>4</v>
      </c>
      <c r="Z208" s="404">
        <v>4</v>
      </c>
      <c r="AA208" s="404"/>
      <c r="AB208" s="404">
        <v>4</v>
      </c>
      <c r="AC208" s="404">
        <v>4</v>
      </c>
      <c r="AD208" s="404">
        <v>4</v>
      </c>
      <c r="AE208" s="404">
        <v>4</v>
      </c>
      <c r="AF208" s="404">
        <v>4</v>
      </c>
      <c r="AG208" s="404">
        <v>4</v>
      </c>
    </row>
    <row r="209" spans="2:34">
      <c r="B209" s="403">
        <v>0.95833333333333337</v>
      </c>
      <c r="C209" s="407"/>
      <c r="D209" s="407"/>
      <c r="E209" s="407"/>
      <c r="F209" s="407"/>
      <c r="G209" s="407"/>
      <c r="H209" s="404"/>
      <c r="I209" s="404"/>
      <c r="J209" s="404"/>
      <c r="K209" s="404"/>
      <c r="L209" s="404"/>
      <c r="M209" s="404"/>
      <c r="N209" s="404"/>
      <c r="O209" s="404"/>
      <c r="P209" s="404"/>
      <c r="Q209" s="404"/>
      <c r="R209" s="404"/>
      <c r="S209" s="404"/>
      <c r="T209" s="404"/>
      <c r="U209" s="404"/>
      <c r="V209" s="404"/>
      <c r="W209" s="404"/>
      <c r="X209" s="404"/>
      <c r="Y209" s="404"/>
      <c r="Z209" s="404"/>
      <c r="AA209" s="404"/>
      <c r="AB209" s="404"/>
      <c r="AC209" s="404"/>
      <c r="AD209" s="404"/>
      <c r="AE209" s="404"/>
      <c r="AF209" s="404"/>
      <c r="AG209" s="404"/>
    </row>
    <row r="210" spans="2:34">
      <c r="B210" s="402" t="s">
        <v>780</v>
      </c>
      <c r="C210" s="406"/>
      <c r="D210" s="406"/>
      <c r="E210" s="406"/>
      <c r="F210" s="406"/>
      <c r="G210" s="406"/>
      <c r="H210" s="406">
        <f t="shared" ref="H210:AG210" si="6">SUM(H186:H209)</f>
        <v>40</v>
      </c>
      <c r="I210" s="406">
        <f t="shared" si="6"/>
        <v>40</v>
      </c>
      <c r="J210" s="406">
        <f t="shared" si="6"/>
        <v>40</v>
      </c>
      <c r="K210" s="406">
        <f t="shared" si="6"/>
        <v>40</v>
      </c>
      <c r="L210" s="406">
        <f t="shared" si="6"/>
        <v>40</v>
      </c>
      <c r="M210" s="406">
        <f t="shared" si="6"/>
        <v>0</v>
      </c>
      <c r="N210" s="406">
        <f t="shared" si="6"/>
        <v>40</v>
      </c>
      <c r="O210" s="406">
        <f t="shared" si="6"/>
        <v>40</v>
      </c>
      <c r="P210" s="406">
        <f t="shared" si="6"/>
        <v>32</v>
      </c>
      <c r="Q210" s="406">
        <f t="shared" si="6"/>
        <v>32</v>
      </c>
      <c r="R210" s="406">
        <f t="shared" si="6"/>
        <v>32</v>
      </c>
      <c r="S210" s="406">
        <f t="shared" si="6"/>
        <v>32</v>
      </c>
      <c r="T210" s="406">
        <f t="shared" si="6"/>
        <v>0</v>
      </c>
      <c r="U210" s="406">
        <f t="shared" si="6"/>
        <v>32</v>
      </c>
      <c r="V210" s="406">
        <f t="shared" si="6"/>
        <v>32</v>
      </c>
      <c r="W210" s="406">
        <f t="shared" si="6"/>
        <v>40</v>
      </c>
      <c r="X210" s="406">
        <f t="shared" si="6"/>
        <v>40</v>
      </c>
      <c r="Y210" s="406">
        <f t="shared" si="6"/>
        <v>40</v>
      </c>
      <c r="Z210" s="406">
        <f t="shared" si="6"/>
        <v>40</v>
      </c>
      <c r="AA210" s="406">
        <f t="shared" si="6"/>
        <v>0</v>
      </c>
      <c r="AB210" s="406">
        <f t="shared" si="6"/>
        <v>40</v>
      </c>
      <c r="AC210" s="406">
        <f t="shared" si="6"/>
        <v>40</v>
      </c>
      <c r="AD210" s="406">
        <f t="shared" si="6"/>
        <v>40</v>
      </c>
      <c r="AE210" s="406">
        <f t="shared" si="6"/>
        <v>40</v>
      </c>
      <c r="AF210" s="406">
        <f t="shared" si="6"/>
        <v>40</v>
      </c>
      <c r="AG210" s="406">
        <f t="shared" si="6"/>
        <v>40</v>
      </c>
      <c r="AH210" s="410">
        <f>SUM(H210:AG210)</f>
        <v>872</v>
      </c>
    </row>
    <row r="214" spans="2:34">
      <c r="B214" s="590" t="s">
        <v>320</v>
      </c>
      <c r="C214" s="401">
        <v>45658</v>
      </c>
      <c r="D214" s="401">
        <v>45659</v>
      </c>
      <c r="E214" s="401">
        <v>45660</v>
      </c>
      <c r="F214" s="401">
        <v>45661</v>
      </c>
      <c r="G214" s="401">
        <v>45662</v>
      </c>
      <c r="H214" s="401">
        <v>45663</v>
      </c>
      <c r="I214" s="401">
        <v>45664</v>
      </c>
      <c r="J214" s="401">
        <v>45665</v>
      </c>
      <c r="K214" s="401">
        <v>45666</v>
      </c>
      <c r="L214" s="401">
        <v>45667</v>
      </c>
      <c r="M214" s="401">
        <v>45668</v>
      </c>
      <c r="N214" s="401">
        <v>45669</v>
      </c>
      <c r="O214" s="401">
        <v>45670</v>
      </c>
      <c r="P214" s="401">
        <v>45671</v>
      </c>
      <c r="Q214" s="401">
        <v>45672</v>
      </c>
      <c r="R214" s="401">
        <v>45673</v>
      </c>
      <c r="S214" s="401">
        <v>45674</v>
      </c>
      <c r="T214" s="401">
        <v>45675</v>
      </c>
      <c r="U214" s="401">
        <v>45676</v>
      </c>
      <c r="V214" s="401">
        <v>45677</v>
      </c>
      <c r="W214" s="401">
        <v>45678</v>
      </c>
      <c r="X214" s="401">
        <v>45679</v>
      </c>
      <c r="Y214" s="401">
        <v>45680</v>
      </c>
      <c r="Z214" s="401">
        <v>45681</v>
      </c>
      <c r="AA214" s="401">
        <v>45682</v>
      </c>
      <c r="AB214" s="401">
        <v>45683</v>
      </c>
      <c r="AC214" s="401">
        <v>45684</v>
      </c>
      <c r="AD214" s="401">
        <v>45685</v>
      </c>
      <c r="AE214" s="401">
        <v>45686</v>
      </c>
      <c r="AF214" s="401">
        <v>45687</v>
      </c>
      <c r="AG214" s="401">
        <v>45688</v>
      </c>
    </row>
    <row r="215" spans="2:34">
      <c r="B215" s="591"/>
      <c r="C215" s="402" t="s">
        <v>773</v>
      </c>
      <c r="D215" s="402" t="s">
        <v>774</v>
      </c>
      <c r="E215" s="402" t="s">
        <v>775</v>
      </c>
      <c r="F215" s="402" t="s">
        <v>776</v>
      </c>
      <c r="G215" s="402" t="s">
        <v>777</v>
      </c>
      <c r="H215" s="402" t="s">
        <v>778</v>
      </c>
      <c r="I215" s="402" t="s">
        <v>779</v>
      </c>
      <c r="J215" s="402" t="s">
        <v>773</v>
      </c>
      <c r="K215" s="402" t="s">
        <v>774</v>
      </c>
      <c r="L215" s="402" t="s">
        <v>775</v>
      </c>
      <c r="M215" s="402" t="s">
        <v>776</v>
      </c>
      <c r="N215" s="402" t="s">
        <v>777</v>
      </c>
      <c r="O215" s="402" t="s">
        <v>778</v>
      </c>
      <c r="P215" s="402" t="s">
        <v>779</v>
      </c>
      <c r="Q215" s="402" t="s">
        <v>773</v>
      </c>
      <c r="R215" s="402" t="s">
        <v>774</v>
      </c>
      <c r="S215" s="402" t="s">
        <v>775</v>
      </c>
      <c r="T215" s="402" t="s">
        <v>776</v>
      </c>
      <c r="U215" s="402" t="s">
        <v>777</v>
      </c>
      <c r="V215" s="402" t="s">
        <v>778</v>
      </c>
      <c r="W215" s="402" t="s">
        <v>779</v>
      </c>
      <c r="X215" s="402" t="s">
        <v>773</v>
      </c>
      <c r="Y215" s="402" t="s">
        <v>774</v>
      </c>
      <c r="Z215" s="402" t="s">
        <v>775</v>
      </c>
      <c r="AA215" s="402" t="s">
        <v>776</v>
      </c>
      <c r="AB215" s="402" t="s">
        <v>777</v>
      </c>
      <c r="AC215" s="402" t="s">
        <v>778</v>
      </c>
      <c r="AD215" s="402" t="s">
        <v>779</v>
      </c>
      <c r="AE215" s="402" t="s">
        <v>773</v>
      </c>
      <c r="AF215" s="402" t="s">
        <v>774</v>
      </c>
      <c r="AG215" s="402" t="s">
        <v>775</v>
      </c>
    </row>
    <row r="216" spans="2:34">
      <c r="B216" s="403">
        <v>0</v>
      </c>
      <c r="C216" s="404"/>
      <c r="D216" s="404"/>
      <c r="E216" s="404"/>
      <c r="F216" s="404"/>
      <c r="G216" s="404"/>
      <c r="H216" s="404"/>
      <c r="I216" s="404"/>
      <c r="J216" s="404"/>
      <c r="K216" s="404"/>
      <c r="L216" s="404"/>
      <c r="M216" s="404"/>
      <c r="N216" s="404"/>
      <c r="O216" s="404"/>
      <c r="P216" s="404"/>
      <c r="Q216" s="404"/>
      <c r="R216" s="404"/>
      <c r="S216" s="404"/>
      <c r="T216" s="404"/>
      <c r="U216" s="404"/>
      <c r="V216" s="404"/>
      <c r="W216" s="404"/>
      <c r="X216" s="404"/>
      <c r="Y216" s="404"/>
      <c r="Z216" s="404"/>
      <c r="AA216" s="404"/>
      <c r="AB216" s="404"/>
      <c r="AC216" s="404"/>
      <c r="AD216" s="404"/>
      <c r="AE216" s="404"/>
      <c r="AF216" s="404"/>
      <c r="AG216" s="404"/>
    </row>
    <row r="217" spans="2:34">
      <c r="B217" s="403">
        <v>4.1666666666666664E-2</v>
      </c>
      <c r="C217" s="404"/>
      <c r="D217" s="404"/>
      <c r="E217" s="404"/>
      <c r="F217" s="404"/>
      <c r="G217" s="404"/>
      <c r="H217" s="404"/>
      <c r="I217" s="404"/>
      <c r="J217" s="404"/>
      <c r="K217" s="404"/>
      <c r="L217" s="404"/>
      <c r="M217" s="404"/>
      <c r="N217" s="404"/>
      <c r="O217" s="404"/>
      <c r="P217" s="404"/>
      <c r="Q217" s="404"/>
      <c r="R217" s="404"/>
      <c r="S217" s="404"/>
      <c r="T217" s="404"/>
      <c r="U217" s="404"/>
      <c r="V217" s="404"/>
      <c r="W217" s="404"/>
      <c r="X217" s="404"/>
      <c r="Y217" s="404"/>
      <c r="Z217" s="404"/>
      <c r="AA217" s="404"/>
      <c r="AB217" s="404"/>
      <c r="AC217" s="404"/>
      <c r="AD217" s="404"/>
      <c r="AE217" s="404"/>
      <c r="AF217" s="404"/>
      <c r="AG217" s="404"/>
    </row>
    <row r="218" spans="2:34">
      <c r="B218" s="403">
        <v>8.3333333333333329E-2</v>
      </c>
      <c r="C218" s="404"/>
      <c r="D218" s="404"/>
      <c r="E218" s="404"/>
      <c r="F218" s="404"/>
      <c r="G218" s="404"/>
      <c r="H218" s="404"/>
      <c r="I218" s="404"/>
      <c r="J218" s="404"/>
      <c r="K218" s="404"/>
      <c r="L218" s="404"/>
      <c r="M218" s="404"/>
      <c r="N218" s="404"/>
      <c r="O218" s="404"/>
      <c r="P218" s="404"/>
      <c r="Q218" s="404"/>
      <c r="R218" s="404"/>
      <c r="S218" s="404"/>
      <c r="T218" s="404"/>
      <c r="U218" s="404"/>
      <c r="V218" s="404"/>
      <c r="W218" s="404"/>
      <c r="X218" s="404"/>
      <c r="Y218" s="404"/>
      <c r="Z218" s="404"/>
      <c r="AA218" s="404"/>
      <c r="AB218" s="404"/>
      <c r="AC218" s="404"/>
      <c r="AD218" s="404"/>
      <c r="AE218" s="404"/>
      <c r="AF218" s="404"/>
      <c r="AG218" s="404"/>
    </row>
    <row r="219" spans="2:34">
      <c r="B219" s="403">
        <v>0.125</v>
      </c>
      <c r="C219" s="407"/>
      <c r="D219" s="407"/>
      <c r="E219" s="407"/>
      <c r="F219" s="407"/>
      <c r="G219" s="407"/>
      <c r="H219" s="404"/>
      <c r="I219" s="404"/>
      <c r="J219" s="404"/>
      <c r="K219" s="404"/>
      <c r="L219" s="404"/>
      <c r="M219" s="404"/>
      <c r="N219" s="404"/>
      <c r="O219" s="404"/>
      <c r="P219" s="404"/>
      <c r="Q219" s="404"/>
      <c r="R219" s="404"/>
      <c r="S219" s="404"/>
      <c r="T219" s="404"/>
      <c r="U219" s="404"/>
      <c r="V219" s="404"/>
      <c r="W219" s="404"/>
      <c r="X219" s="404"/>
      <c r="Y219" s="404"/>
      <c r="Z219" s="404"/>
      <c r="AA219" s="404"/>
      <c r="AB219" s="404"/>
      <c r="AC219" s="404"/>
      <c r="AD219" s="404"/>
      <c r="AE219" s="404"/>
      <c r="AF219" s="404"/>
      <c r="AG219" s="404"/>
    </row>
    <row r="220" spans="2:34">
      <c r="B220" s="403">
        <v>0.16666666666666666</v>
      </c>
      <c r="C220" s="407"/>
      <c r="D220" s="407"/>
      <c r="E220" s="407"/>
      <c r="F220" s="407"/>
      <c r="G220" s="407"/>
      <c r="H220" s="404"/>
      <c r="I220" s="404"/>
      <c r="J220" s="404"/>
      <c r="K220" s="404"/>
      <c r="L220" s="404"/>
      <c r="M220" s="404"/>
      <c r="N220" s="404"/>
      <c r="O220" s="404"/>
      <c r="P220" s="404"/>
      <c r="Q220" s="404"/>
      <c r="R220" s="404"/>
      <c r="S220" s="404"/>
      <c r="T220" s="404"/>
      <c r="U220" s="404"/>
      <c r="V220" s="404"/>
      <c r="W220" s="404"/>
      <c r="X220" s="404"/>
      <c r="Y220" s="404"/>
      <c r="Z220" s="404"/>
      <c r="AA220" s="404"/>
      <c r="AB220" s="404"/>
      <c r="AC220" s="404"/>
      <c r="AD220" s="404"/>
      <c r="AE220" s="404"/>
      <c r="AF220" s="404"/>
      <c r="AG220" s="404"/>
    </row>
    <row r="221" spans="2:34">
      <c r="B221" s="403">
        <v>0.20833333333333334</v>
      </c>
      <c r="C221" s="407"/>
      <c r="D221" s="407"/>
      <c r="E221" s="407"/>
      <c r="F221" s="407"/>
      <c r="G221" s="407"/>
      <c r="H221" s="404"/>
      <c r="I221" s="404"/>
      <c r="J221" s="404"/>
      <c r="K221" s="404"/>
      <c r="L221" s="404"/>
      <c r="M221" s="404"/>
      <c r="N221" s="404"/>
      <c r="O221" s="404"/>
      <c r="P221" s="404"/>
      <c r="Q221" s="404"/>
      <c r="R221" s="404"/>
      <c r="S221" s="404"/>
      <c r="T221" s="404"/>
      <c r="U221" s="404"/>
      <c r="V221" s="404"/>
      <c r="W221" s="404"/>
      <c r="X221" s="404"/>
      <c r="Y221" s="404"/>
      <c r="Z221" s="404"/>
      <c r="AA221" s="404"/>
      <c r="AB221" s="404"/>
      <c r="AC221" s="404"/>
      <c r="AD221" s="404"/>
      <c r="AE221" s="404"/>
      <c r="AF221" s="404"/>
      <c r="AG221" s="404"/>
    </row>
    <row r="222" spans="2:34">
      <c r="B222" s="403">
        <v>0.25</v>
      </c>
      <c r="C222" s="407"/>
      <c r="D222" s="407"/>
      <c r="E222" s="407"/>
      <c r="F222" s="407"/>
      <c r="G222" s="407"/>
      <c r="H222" s="404"/>
      <c r="I222" s="404"/>
      <c r="J222" s="404"/>
      <c r="K222" s="404"/>
      <c r="L222" s="404"/>
      <c r="M222" s="404"/>
      <c r="N222" s="404"/>
      <c r="O222" s="404"/>
      <c r="P222" s="404"/>
      <c r="Q222" s="404"/>
      <c r="R222" s="404"/>
      <c r="S222" s="404"/>
      <c r="T222" s="404"/>
      <c r="U222" s="404"/>
      <c r="V222" s="404"/>
      <c r="W222" s="404"/>
      <c r="X222" s="404"/>
      <c r="Y222" s="404"/>
      <c r="Z222" s="404"/>
      <c r="AA222" s="404"/>
      <c r="AB222" s="404"/>
      <c r="AC222" s="404"/>
      <c r="AD222" s="404"/>
      <c r="AE222" s="404"/>
      <c r="AF222" s="404"/>
      <c r="AG222" s="404"/>
    </row>
    <row r="223" spans="2:34">
      <c r="B223" s="403">
        <v>0.29166666666666669</v>
      </c>
      <c r="C223" s="408">
        <v>1</v>
      </c>
      <c r="D223" s="408">
        <v>1</v>
      </c>
      <c r="E223" s="408">
        <v>1</v>
      </c>
      <c r="F223" s="408">
        <v>1</v>
      </c>
      <c r="G223" s="408">
        <v>1</v>
      </c>
      <c r="H223" s="408">
        <v>1</v>
      </c>
      <c r="I223" s="408">
        <v>1</v>
      </c>
      <c r="J223" s="408">
        <v>1</v>
      </c>
      <c r="K223" s="408">
        <v>1</v>
      </c>
      <c r="L223" s="408">
        <v>1</v>
      </c>
      <c r="M223" s="408">
        <v>1</v>
      </c>
      <c r="N223" s="408">
        <v>1</v>
      </c>
      <c r="O223" s="408">
        <v>1</v>
      </c>
      <c r="P223" s="408">
        <v>1</v>
      </c>
      <c r="Q223" s="408">
        <v>1</v>
      </c>
      <c r="R223" s="408">
        <v>1</v>
      </c>
      <c r="S223" s="408">
        <v>1</v>
      </c>
      <c r="T223" s="408">
        <v>1</v>
      </c>
      <c r="U223" s="408">
        <v>1</v>
      </c>
      <c r="V223" s="408">
        <v>1</v>
      </c>
      <c r="W223" s="408">
        <v>1</v>
      </c>
      <c r="X223" s="408">
        <v>1</v>
      </c>
      <c r="Y223" s="408">
        <v>1</v>
      </c>
      <c r="Z223" s="408">
        <v>1</v>
      </c>
      <c r="AA223" s="408">
        <v>1</v>
      </c>
      <c r="AB223" s="408">
        <v>1</v>
      </c>
      <c r="AC223" s="408">
        <v>1</v>
      </c>
      <c r="AD223" s="408">
        <v>1</v>
      </c>
      <c r="AE223" s="408">
        <v>1</v>
      </c>
      <c r="AF223" s="408">
        <v>1</v>
      </c>
      <c r="AG223" s="408">
        <v>1</v>
      </c>
    </row>
    <row r="224" spans="2:34">
      <c r="B224" s="403">
        <v>0.33333333333333331</v>
      </c>
      <c r="C224" s="411">
        <v>1</v>
      </c>
      <c r="D224" s="411">
        <v>1</v>
      </c>
      <c r="E224" s="411">
        <v>1</v>
      </c>
      <c r="F224" s="411">
        <v>1</v>
      </c>
      <c r="G224" s="411">
        <v>1</v>
      </c>
      <c r="H224" s="411">
        <v>1</v>
      </c>
      <c r="I224" s="411">
        <v>1</v>
      </c>
      <c r="J224" s="411">
        <v>1</v>
      </c>
      <c r="K224" s="411">
        <v>1</v>
      </c>
      <c r="L224" s="411">
        <v>1</v>
      </c>
      <c r="M224" s="411">
        <v>1</v>
      </c>
      <c r="N224" s="411">
        <v>1</v>
      </c>
      <c r="O224" s="411">
        <v>1</v>
      </c>
      <c r="P224" s="411">
        <v>1</v>
      </c>
      <c r="Q224" s="411">
        <v>1</v>
      </c>
      <c r="R224" s="411">
        <v>1</v>
      </c>
      <c r="S224" s="411">
        <v>1</v>
      </c>
      <c r="T224" s="411">
        <v>1</v>
      </c>
      <c r="U224" s="411">
        <v>1</v>
      </c>
      <c r="V224" s="411">
        <v>1</v>
      </c>
      <c r="W224" s="411">
        <v>1</v>
      </c>
      <c r="X224" s="411">
        <v>1</v>
      </c>
      <c r="Y224" s="411">
        <v>1</v>
      </c>
      <c r="Z224" s="411">
        <v>1</v>
      </c>
      <c r="AA224" s="411">
        <v>1</v>
      </c>
      <c r="AB224" s="411">
        <v>1</v>
      </c>
      <c r="AC224" s="411">
        <v>1</v>
      </c>
      <c r="AD224" s="411">
        <v>1</v>
      </c>
      <c r="AE224" s="411">
        <v>1</v>
      </c>
      <c r="AF224" s="411">
        <v>1</v>
      </c>
      <c r="AG224" s="411">
        <v>1</v>
      </c>
    </row>
    <row r="225" spans="2:34">
      <c r="B225" s="403">
        <v>0.375</v>
      </c>
      <c r="C225" s="411">
        <v>1</v>
      </c>
      <c r="D225" s="411">
        <v>1</v>
      </c>
      <c r="E225" s="411">
        <v>1</v>
      </c>
      <c r="F225" s="411">
        <v>1</v>
      </c>
      <c r="G225" s="411">
        <v>1</v>
      </c>
      <c r="H225" s="411">
        <v>1</v>
      </c>
      <c r="I225" s="411">
        <v>1</v>
      </c>
      <c r="J225" s="411">
        <v>1</v>
      </c>
      <c r="K225" s="411">
        <v>1</v>
      </c>
      <c r="L225" s="411">
        <v>1</v>
      </c>
      <c r="M225" s="411">
        <v>1</v>
      </c>
      <c r="N225" s="411">
        <v>1</v>
      </c>
      <c r="O225" s="411">
        <v>1</v>
      </c>
      <c r="P225" s="411">
        <v>1</v>
      </c>
      <c r="Q225" s="411">
        <v>1</v>
      </c>
      <c r="R225" s="411">
        <v>1</v>
      </c>
      <c r="S225" s="411">
        <v>1</v>
      </c>
      <c r="T225" s="411">
        <v>1</v>
      </c>
      <c r="U225" s="411">
        <v>1</v>
      </c>
      <c r="V225" s="411">
        <v>1</v>
      </c>
      <c r="W225" s="411">
        <v>1</v>
      </c>
      <c r="X225" s="411">
        <v>1</v>
      </c>
      <c r="Y225" s="411">
        <v>1</v>
      </c>
      <c r="Z225" s="411">
        <v>1</v>
      </c>
      <c r="AA225" s="411">
        <v>1</v>
      </c>
      <c r="AB225" s="411">
        <v>1</v>
      </c>
      <c r="AC225" s="411">
        <v>1</v>
      </c>
      <c r="AD225" s="411">
        <v>1</v>
      </c>
      <c r="AE225" s="411">
        <v>1</v>
      </c>
      <c r="AF225" s="411">
        <v>1</v>
      </c>
      <c r="AG225" s="411">
        <v>1</v>
      </c>
    </row>
    <row r="226" spans="2:34">
      <c r="B226" s="403">
        <v>0.41666666666666669</v>
      </c>
      <c r="C226" s="411">
        <v>1</v>
      </c>
      <c r="D226" s="411">
        <v>1</v>
      </c>
      <c r="E226" s="411">
        <v>1</v>
      </c>
      <c r="F226" s="411">
        <v>1</v>
      </c>
      <c r="G226" s="411">
        <v>1</v>
      </c>
      <c r="H226" s="411">
        <v>1</v>
      </c>
      <c r="I226" s="411">
        <v>1</v>
      </c>
      <c r="J226" s="411">
        <v>1</v>
      </c>
      <c r="K226" s="411">
        <v>1</v>
      </c>
      <c r="L226" s="411">
        <v>1</v>
      </c>
      <c r="M226" s="411">
        <v>1</v>
      </c>
      <c r="N226" s="411">
        <v>1</v>
      </c>
      <c r="O226" s="411">
        <v>1</v>
      </c>
      <c r="P226" s="411">
        <v>1</v>
      </c>
      <c r="Q226" s="411">
        <v>1</v>
      </c>
      <c r="R226" s="411">
        <v>1</v>
      </c>
      <c r="S226" s="411">
        <v>1</v>
      </c>
      <c r="T226" s="411">
        <v>1</v>
      </c>
      <c r="U226" s="411">
        <v>1</v>
      </c>
      <c r="V226" s="411">
        <v>1</v>
      </c>
      <c r="W226" s="411">
        <v>1</v>
      </c>
      <c r="X226" s="411">
        <v>1</v>
      </c>
      <c r="Y226" s="411">
        <v>1</v>
      </c>
      <c r="Z226" s="411">
        <v>1</v>
      </c>
      <c r="AA226" s="411">
        <v>1</v>
      </c>
      <c r="AB226" s="411">
        <v>1</v>
      </c>
      <c r="AC226" s="411">
        <v>1</v>
      </c>
      <c r="AD226" s="411">
        <v>1</v>
      </c>
      <c r="AE226" s="411">
        <v>1</v>
      </c>
      <c r="AF226" s="411">
        <v>1</v>
      </c>
      <c r="AG226" s="411">
        <v>1</v>
      </c>
    </row>
    <row r="227" spans="2:34">
      <c r="B227" s="403">
        <v>0.45833333333333331</v>
      </c>
      <c r="C227" s="411">
        <v>1</v>
      </c>
      <c r="D227" s="411">
        <v>1</v>
      </c>
      <c r="E227" s="411">
        <v>1</v>
      </c>
      <c r="F227" s="411">
        <v>1</v>
      </c>
      <c r="G227" s="411">
        <v>1</v>
      </c>
      <c r="H227" s="411">
        <v>1</v>
      </c>
      <c r="I227" s="411">
        <v>1</v>
      </c>
      <c r="J227" s="411">
        <v>1</v>
      </c>
      <c r="K227" s="411">
        <v>1</v>
      </c>
      <c r="L227" s="411">
        <v>1</v>
      </c>
      <c r="M227" s="411">
        <v>1</v>
      </c>
      <c r="N227" s="411">
        <v>1</v>
      </c>
      <c r="O227" s="411">
        <v>1</v>
      </c>
      <c r="P227" s="411">
        <v>1</v>
      </c>
      <c r="Q227" s="411">
        <v>1</v>
      </c>
      <c r="R227" s="411">
        <v>1</v>
      </c>
      <c r="S227" s="411">
        <v>1</v>
      </c>
      <c r="T227" s="411">
        <v>1</v>
      </c>
      <c r="U227" s="411">
        <v>1</v>
      </c>
      <c r="V227" s="411">
        <v>1</v>
      </c>
      <c r="W227" s="411">
        <v>1</v>
      </c>
      <c r="X227" s="411">
        <v>1</v>
      </c>
      <c r="Y227" s="411">
        <v>1</v>
      </c>
      <c r="Z227" s="411">
        <v>1</v>
      </c>
      <c r="AA227" s="411">
        <v>1</v>
      </c>
      <c r="AB227" s="411">
        <v>1</v>
      </c>
      <c r="AC227" s="411">
        <v>1</v>
      </c>
      <c r="AD227" s="411">
        <v>1</v>
      </c>
      <c r="AE227" s="411">
        <v>1</v>
      </c>
      <c r="AF227" s="411">
        <v>1</v>
      </c>
      <c r="AG227" s="411">
        <v>1</v>
      </c>
    </row>
    <row r="228" spans="2:34">
      <c r="B228" s="403">
        <v>0.5</v>
      </c>
      <c r="C228" s="411">
        <v>1</v>
      </c>
      <c r="D228" s="411">
        <v>1</v>
      </c>
      <c r="E228" s="411">
        <v>1</v>
      </c>
      <c r="F228" s="411">
        <v>1</v>
      </c>
      <c r="G228" s="411">
        <v>1</v>
      </c>
      <c r="H228" s="411">
        <v>1</v>
      </c>
      <c r="I228" s="411">
        <v>1</v>
      </c>
      <c r="J228" s="411">
        <v>1</v>
      </c>
      <c r="K228" s="411">
        <v>1</v>
      </c>
      <c r="L228" s="411">
        <v>1</v>
      </c>
      <c r="M228" s="411">
        <v>1</v>
      </c>
      <c r="N228" s="411">
        <v>1</v>
      </c>
      <c r="O228" s="411">
        <v>1</v>
      </c>
      <c r="P228" s="411">
        <v>1</v>
      </c>
      <c r="Q228" s="411">
        <v>1</v>
      </c>
      <c r="R228" s="411">
        <v>1</v>
      </c>
      <c r="S228" s="411">
        <v>1</v>
      </c>
      <c r="T228" s="411">
        <v>1</v>
      </c>
      <c r="U228" s="411">
        <v>1</v>
      </c>
      <c r="V228" s="411">
        <v>1</v>
      </c>
      <c r="W228" s="411">
        <v>1</v>
      </c>
      <c r="X228" s="411">
        <v>1</v>
      </c>
      <c r="Y228" s="411">
        <v>1</v>
      </c>
      <c r="Z228" s="411">
        <v>1</v>
      </c>
      <c r="AA228" s="411">
        <v>1</v>
      </c>
      <c r="AB228" s="411">
        <v>1</v>
      </c>
      <c r="AC228" s="411">
        <v>1</v>
      </c>
      <c r="AD228" s="411">
        <v>1</v>
      </c>
      <c r="AE228" s="411">
        <v>1</v>
      </c>
      <c r="AF228" s="411">
        <v>1</v>
      </c>
      <c r="AG228" s="411">
        <v>1</v>
      </c>
    </row>
    <row r="229" spans="2:34">
      <c r="B229" s="403">
        <v>0.54166666666666663</v>
      </c>
      <c r="C229" s="411">
        <v>1</v>
      </c>
      <c r="D229" s="411">
        <v>1</v>
      </c>
      <c r="E229" s="411">
        <v>1</v>
      </c>
      <c r="F229" s="411">
        <v>1</v>
      </c>
      <c r="G229" s="411">
        <v>1</v>
      </c>
      <c r="H229" s="411">
        <v>1</v>
      </c>
      <c r="I229" s="411">
        <v>1</v>
      </c>
      <c r="J229" s="411">
        <v>1</v>
      </c>
      <c r="K229" s="411">
        <v>1</v>
      </c>
      <c r="L229" s="411">
        <v>1</v>
      </c>
      <c r="M229" s="411">
        <v>1</v>
      </c>
      <c r="N229" s="411">
        <v>1</v>
      </c>
      <c r="O229" s="411">
        <v>1</v>
      </c>
      <c r="P229" s="411">
        <v>1</v>
      </c>
      <c r="Q229" s="411">
        <v>1</v>
      </c>
      <c r="R229" s="411">
        <v>1</v>
      </c>
      <c r="S229" s="411">
        <v>1</v>
      </c>
      <c r="T229" s="411">
        <v>1</v>
      </c>
      <c r="U229" s="411">
        <v>1</v>
      </c>
      <c r="V229" s="411">
        <v>1</v>
      </c>
      <c r="W229" s="411">
        <v>1</v>
      </c>
      <c r="X229" s="411">
        <v>1</v>
      </c>
      <c r="Y229" s="411">
        <v>1</v>
      </c>
      <c r="Z229" s="411">
        <v>1</v>
      </c>
      <c r="AA229" s="411">
        <v>1</v>
      </c>
      <c r="AB229" s="411">
        <v>1</v>
      </c>
      <c r="AC229" s="411">
        <v>1</v>
      </c>
      <c r="AD229" s="411">
        <v>1</v>
      </c>
      <c r="AE229" s="411">
        <v>1</v>
      </c>
      <c r="AF229" s="411">
        <v>1</v>
      </c>
      <c r="AG229" s="411">
        <v>1</v>
      </c>
    </row>
    <row r="230" spans="2:34">
      <c r="B230" s="403">
        <v>0.58333333333333337</v>
      </c>
      <c r="C230" s="411">
        <v>1</v>
      </c>
      <c r="D230" s="411">
        <v>1</v>
      </c>
      <c r="E230" s="411">
        <v>1</v>
      </c>
      <c r="F230" s="411">
        <v>1</v>
      </c>
      <c r="G230" s="411">
        <v>1</v>
      </c>
      <c r="H230" s="411">
        <v>1</v>
      </c>
      <c r="I230" s="411">
        <v>1</v>
      </c>
      <c r="J230" s="411">
        <v>1</v>
      </c>
      <c r="K230" s="411">
        <v>1</v>
      </c>
      <c r="L230" s="411">
        <v>1</v>
      </c>
      <c r="M230" s="411">
        <v>1</v>
      </c>
      <c r="N230" s="411">
        <v>1</v>
      </c>
      <c r="O230" s="411">
        <v>1</v>
      </c>
      <c r="P230" s="411">
        <v>1</v>
      </c>
      <c r="Q230" s="411">
        <v>1</v>
      </c>
      <c r="R230" s="411">
        <v>1</v>
      </c>
      <c r="S230" s="411">
        <v>1</v>
      </c>
      <c r="T230" s="411">
        <v>1</v>
      </c>
      <c r="U230" s="411">
        <v>1</v>
      </c>
      <c r="V230" s="411">
        <v>1</v>
      </c>
      <c r="W230" s="411">
        <v>1</v>
      </c>
      <c r="X230" s="411">
        <v>1</v>
      </c>
      <c r="Y230" s="411">
        <v>1</v>
      </c>
      <c r="Z230" s="411">
        <v>1</v>
      </c>
      <c r="AA230" s="411">
        <v>1</v>
      </c>
      <c r="AB230" s="411">
        <v>1</v>
      </c>
      <c r="AC230" s="411">
        <v>1</v>
      </c>
      <c r="AD230" s="411">
        <v>1</v>
      </c>
      <c r="AE230" s="411">
        <v>1</v>
      </c>
      <c r="AF230" s="411">
        <v>1</v>
      </c>
      <c r="AG230" s="411">
        <v>1</v>
      </c>
    </row>
    <row r="231" spans="2:34">
      <c r="B231" s="403">
        <v>0.625</v>
      </c>
      <c r="C231" s="411">
        <v>1</v>
      </c>
      <c r="D231" s="411">
        <v>1</v>
      </c>
      <c r="E231" s="411">
        <v>1</v>
      </c>
      <c r="F231" s="411">
        <v>1</v>
      </c>
      <c r="G231" s="411">
        <v>1</v>
      </c>
      <c r="H231" s="411">
        <v>1</v>
      </c>
      <c r="I231" s="411">
        <v>1</v>
      </c>
      <c r="J231" s="411">
        <v>1</v>
      </c>
      <c r="K231" s="411">
        <v>1</v>
      </c>
      <c r="L231" s="411">
        <v>1</v>
      </c>
      <c r="M231" s="411">
        <v>1</v>
      </c>
      <c r="N231" s="411">
        <v>1</v>
      </c>
      <c r="O231" s="411">
        <v>1</v>
      </c>
      <c r="P231" s="411">
        <v>1</v>
      </c>
      <c r="Q231" s="411">
        <v>1</v>
      </c>
      <c r="R231" s="411">
        <v>1</v>
      </c>
      <c r="S231" s="411">
        <v>1</v>
      </c>
      <c r="T231" s="411">
        <v>1</v>
      </c>
      <c r="U231" s="411">
        <v>1</v>
      </c>
      <c r="V231" s="411">
        <v>1</v>
      </c>
      <c r="W231" s="411">
        <v>1</v>
      </c>
      <c r="X231" s="411">
        <v>1</v>
      </c>
      <c r="Y231" s="411">
        <v>1</v>
      </c>
      <c r="Z231" s="411">
        <v>1</v>
      </c>
      <c r="AA231" s="411">
        <v>1</v>
      </c>
      <c r="AB231" s="411">
        <v>1</v>
      </c>
      <c r="AC231" s="411">
        <v>1</v>
      </c>
      <c r="AD231" s="411">
        <v>1</v>
      </c>
      <c r="AE231" s="411">
        <v>1</v>
      </c>
      <c r="AF231" s="411">
        <v>1</v>
      </c>
      <c r="AG231" s="411">
        <v>1</v>
      </c>
    </row>
    <row r="232" spans="2:34">
      <c r="B232" s="403">
        <v>0.66666666666666663</v>
      </c>
      <c r="C232" s="411">
        <v>1</v>
      </c>
      <c r="D232" s="411">
        <v>1</v>
      </c>
      <c r="E232" s="411">
        <v>1</v>
      </c>
      <c r="F232" s="411">
        <v>1</v>
      </c>
      <c r="G232" s="411">
        <v>1</v>
      </c>
      <c r="H232" s="411">
        <v>1</v>
      </c>
      <c r="I232" s="411">
        <v>1</v>
      </c>
      <c r="J232" s="411">
        <v>1</v>
      </c>
      <c r="K232" s="411">
        <v>1</v>
      </c>
      <c r="L232" s="411">
        <v>1</v>
      </c>
      <c r="M232" s="411">
        <v>1</v>
      </c>
      <c r="N232" s="411">
        <v>1</v>
      </c>
      <c r="O232" s="411">
        <v>1</v>
      </c>
      <c r="P232" s="411">
        <v>1</v>
      </c>
      <c r="Q232" s="411">
        <v>1</v>
      </c>
      <c r="R232" s="411">
        <v>1</v>
      </c>
      <c r="S232" s="411">
        <v>1</v>
      </c>
      <c r="T232" s="411">
        <v>1</v>
      </c>
      <c r="U232" s="411">
        <v>1</v>
      </c>
      <c r="V232" s="411">
        <v>1</v>
      </c>
      <c r="W232" s="411">
        <v>1</v>
      </c>
      <c r="X232" s="411">
        <v>1</v>
      </c>
      <c r="Y232" s="411">
        <v>1</v>
      </c>
      <c r="Z232" s="411">
        <v>1</v>
      </c>
      <c r="AA232" s="411">
        <v>1</v>
      </c>
      <c r="AB232" s="411">
        <v>1</v>
      </c>
      <c r="AC232" s="411">
        <v>1</v>
      </c>
      <c r="AD232" s="411">
        <v>1</v>
      </c>
      <c r="AE232" s="411">
        <v>1</v>
      </c>
      <c r="AF232" s="411">
        <v>1</v>
      </c>
      <c r="AG232" s="411">
        <v>1</v>
      </c>
    </row>
    <row r="233" spans="2:34">
      <c r="B233" s="403">
        <v>0.70833333333333337</v>
      </c>
      <c r="C233" s="411">
        <v>1</v>
      </c>
      <c r="D233" s="411">
        <v>1</v>
      </c>
      <c r="E233" s="411">
        <v>1</v>
      </c>
      <c r="F233" s="411">
        <v>1</v>
      </c>
      <c r="G233" s="411">
        <v>1</v>
      </c>
      <c r="H233" s="411">
        <v>1</v>
      </c>
      <c r="I233" s="411">
        <v>1</v>
      </c>
      <c r="J233" s="411">
        <v>1</v>
      </c>
      <c r="K233" s="411">
        <v>1</v>
      </c>
      <c r="L233" s="411">
        <v>1</v>
      </c>
      <c r="M233" s="411">
        <v>1</v>
      </c>
      <c r="N233" s="411">
        <v>1</v>
      </c>
      <c r="O233" s="411">
        <v>1</v>
      </c>
      <c r="P233" s="411">
        <v>1</v>
      </c>
      <c r="Q233" s="411">
        <v>1</v>
      </c>
      <c r="R233" s="411">
        <v>1</v>
      </c>
      <c r="S233" s="411">
        <v>1</v>
      </c>
      <c r="T233" s="411">
        <v>1</v>
      </c>
      <c r="U233" s="411">
        <v>1</v>
      </c>
      <c r="V233" s="411">
        <v>1</v>
      </c>
      <c r="W233" s="411">
        <v>1</v>
      </c>
      <c r="X233" s="411">
        <v>1</v>
      </c>
      <c r="Y233" s="411">
        <v>1</v>
      </c>
      <c r="Z233" s="411">
        <v>1</v>
      </c>
      <c r="AA233" s="411">
        <v>1</v>
      </c>
      <c r="AB233" s="411">
        <v>1</v>
      </c>
      <c r="AC233" s="411">
        <v>1</v>
      </c>
      <c r="AD233" s="411">
        <v>1</v>
      </c>
      <c r="AE233" s="411">
        <v>1</v>
      </c>
      <c r="AF233" s="411">
        <v>1</v>
      </c>
      <c r="AG233" s="411">
        <v>1</v>
      </c>
    </row>
    <row r="234" spans="2:34">
      <c r="B234" s="403">
        <v>0.75</v>
      </c>
      <c r="C234" s="411">
        <v>1</v>
      </c>
      <c r="D234" s="411">
        <v>1</v>
      </c>
      <c r="E234" s="411">
        <v>1</v>
      </c>
      <c r="F234" s="411">
        <v>1</v>
      </c>
      <c r="G234" s="411">
        <v>1</v>
      </c>
      <c r="H234" s="411">
        <v>1</v>
      </c>
      <c r="I234" s="411">
        <v>1</v>
      </c>
      <c r="J234" s="411">
        <v>1</v>
      </c>
      <c r="K234" s="411">
        <v>1</v>
      </c>
      <c r="L234" s="411">
        <v>1</v>
      </c>
      <c r="M234" s="411">
        <v>1</v>
      </c>
      <c r="N234" s="411">
        <v>1</v>
      </c>
      <c r="O234" s="411">
        <v>1</v>
      </c>
      <c r="P234" s="411">
        <v>1</v>
      </c>
      <c r="Q234" s="411">
        <v>1</v>
      </c>
      <c r="R234" s="411">
        <v>1</v>
      </c>
      <c r="S234" s="411">
        <v>1</v>
      </c>
      <c r="T234" s="411">
        <v>1</v>
      </c>
      <c r="U234" s="411">
        <v>1</v>
      </c>
      <c r="V234" s="411">
        <v>1</v>
      </c>
      <c r="W234" s="411">
        <v>1</v>
      </c>
      <c r="X234" s="411">
        <v>1</v>
      </c>
      <c r="Y234" s="411">
        <v>1</v>
      </c>
      <c r="Z234" s="411">
        <v>1</v>
      </c>
      <c r="AA234" s="411">
        <v>1</v>
      </c>
      <c r="AB234" s="411">
        <v>1</v>
      </c>
      <c r="AC234" s="411">
        <v>1</v>
      </c>
      <c r="AD234" s="411">
        <v>1</v>
      </c>
      <c r="AE234" s="411">
        <v>1</v>
      </c>
      <c r="AF234" s="411">
        <v>1</v>
      </c>
      <c r="AG234" s="411">
        <v>1</v>
      </c>
    </row>
    <row r="235" spans="2:34">
      <c r="B235" s="403">
        <v>0.79166666666666663</v>
      </c>
      <c r="C235" s="411">
        <v>1</v>
      </c>
      <c r="D235" s="411">
        <v>1</v>
      </c>
      <c r="E235" s="411">
        <v>1</v>
      </c>
      <c r="F235" s="411">
        <v>1</v>
      </c>
      <c r="G235" s="411">
        <v>1</v>
      </c>
      <c r="H235" s="411">
        <v>1</v>
      </c>
      <c r="I235" s="411">
        <v>1</v>
      </c>
      <c r="J235" s="411">
        <v>1</v>
      </c>
      <c r="K235" s="411">
        <v>1</v>
      </c>
      <c r="L235" s="411">
        <v>1</v>
      </c>
      <c r="M235" s="411">
        <v>1</v>
      </c>
      <c r="N235" s="411">
        <v>1</v>
      </c>
      <c r="O235" s="411">
        <v>1</v>
      </c>
      <c r="P235" s="411">
        <v>1</v>
      </c>
      <c r="Q235" s="411">
        <v>1</v>
      </c>
      <c r="R235" s="411">
        <v>1</v>
      </c>
      <c r="S235" s="411">
        <v>1</v>
      </c>
      <c r="T235" s="411">
        <v>1</v>
      </c>
      <c r="U235" s="411">
        <v>1</v>
      </c>
      <c r="V235" s="411">
        <v>1</v>
      </c>
      <c r="W235" s="411">
        <v>1</v>
      </c>
      <c r="X235" s="411">
        <v>1</v>
      </c>
      <c r="Y235" s="411">
        <v>1</v>
      </c>
      <c r="Z235" s="411">
        <v>1</v>
      </c>
      <c r="AA235" s="411">
        <v>1</v>
      </c>
      <c r="AB235" s="411">
        <v>1</v>
      </c>
      <c r="AC235" s="411">
        <v>1</v>
      </c>
      <c r="AD235" s="411">
        <v>1</v>
      </c>
      <c r="AE235" s="411">
        <v>1</v>
      </c>
      <c r="AF235" s="411">
        <v>1</v>
      </c>
      <c r="AG235" s="411">
        <v>1</v>
      </c>
    </row>
    <row r="236" spans="2:34">
      <c r="B236" s="403">
        <v>0.83333333333333337</v>
      </c>
      <c r="C236" s="411">
        <v>1</v>
      </c>
      <c r="D236" s="411">
        <v>1</v>
      </c>
      <c r="E236" s="411">
        <v>1</v>
      </c>
      <c r="F236" s="411">
        <v>1</v>
      </c>
      <c r="G236" s="411">
        <v>1</v>
      </c>
      <c r="H236" s="411">
        <v>1</v>
      </c>
      <c r="I236" s="411">
        <v>1</v>
      </c>
      <c r="J236" s="411">
        <v>1</v>
      </c>
      <c r="K236" s="411">
        <v>1</v>
      </c>
      <c r="L236" s="411">
        <v>1</v>
      </c>
      <c r="M236" s="411">
        <v>1</v>
      </c>
      <c r="N236" s="411">
        <v>1</v>
      </c>
      <c r="O236" s="411">
        <v>1</v>
      </c>
      <c r="P236" s="411">
        <v>1</v>
      </c>
      <c r="Q236" s="411">
        <v>1</v>
      </c>
      <c r="R236" s="411">
        <v>1</v>
      </c>
      <c r="S236" s="411">
        <v>1</v>
      </c>
      <c r="T236" s="411">
        <v>1</v>
      </c>
      <c r="U236" s="411">
        <v>1</v>
      </c>
      <c r="V236" s="411">
        <v>1</v>
      </c>
      <c r="W236" s="411">
        <v>1</v>
      </c>
      <c r="X236" s="411">
        <v>1</v>
      </c>
      <c r="Y236" s="411">
        <v>1</v>
      </c>
      <c r="Z236" s="411">
        <v>1</v>
      </c>
      <c r="AA236" s="411">
        <v>1</v>
      </c>
      <c r="AB236" s="411">
        <v>1</v>
      </c>
      <c r="AC236" s="411">
        <v>1</v>
      </c>
      <c r="AD236" s="411">
        <v>1</v>
      </c>
      <c r="AE236" s="411">
        <v>1</v>
      </c>
      <c r="AF236" s="411">
        <v>1</v>
      </c>
      <c r="AG236" s="411">
        <v>1</v>
      </c>
    </row>
    <row r="237" spans="2:34">
      <c r="B237" s="403">
        <v>0.875</v>
      </c>
      <c r="C237" s="411">
        <v>1</v>
      </c>
      <c r="D237" s="411">
        <v>1</v>
      </c>
      <c r="E237" s="411">
        <v>1</v>
      </c>
      <c r="F237" s="411">
        <v>1</v>
      </c>
      <c r="G237" s="411">
        <v>1</v>
      </c>
      <c r="H237" s="411">
        <v>1</v>
      </c>
      <c r="I237" s="411">
        <v>1</v>
      </c>
      <c r="J237" s="411">
        <v>1</v>
      </c>
      <c r="K237" s="411">
        <v>1</v>
      </c>
      <c r="L237" s="411">
        <v>1</v>
      </c>
      <c r="M237" s="411">
        <v>1</v>
      </c>
      <c r="N237" s="411">
        <v>1</v>
      </c>
      <c r="O237" s="411">
        <v>1</v>
      </c>
      <c r="P237" s="411">
        <v>1</v>
      </c>
      <c r="Q237" s="411">
        <v>1</v>
      </c>
      <c r="R237" s="411">
        <v>1</v>
      </c>
      <c r="S237" s="411">
        <v>1</v>
      </c>
      <c r="T237" s="411">
        <v>1</v>
      </c>
      <c r="U237" s="411">
        <v>1</v>
      </c>
      <c r="V237" s="411">
        <v>1</v>
      </c>
      <c r="W237" s="411">
        <v>1</v>
      </c>
      <c r="X237" s="411">
        <v>1</v>
      </c>
      <c r="Y237" s="411">
        <v>1</v>
      </c>
      <c r="Z237" s="411">
        <v>1</v>
      </c>
      <c r="AA237" s="411">
        <v>1</v>
      </c>
      <c r="AB237" s="411">
        <v>1</v>
      </c>
      <c r="AC237" s="411">
        <v>1</v>
      </c>
      <c r="AD237" s="411">
        <v>1</v>
      </c>
      <c r="AE237" s="411">
        <v>1</v>
      </c>
      <c r="AF237" s="411">
        <v>1</v>
      </c>
      <c r="AG237" s="411">
        <v>1</v>
      </c>
    </row>
    <row r="238" spans="2:34">
      <c r="B238" s="403">
        <v>0.91666666666666663</v>
      </c>
      <c r="C238" s="411">
        <v>1</v>
      </c>
      <c r="D238" s="411">
        <v>1</v>
      </c>
      <c r="E238" s="411">
        <v>1</v>
      </c>
      <c r="F238" s="411">
        <v>1</v>
      </c>
      <c r="G238" s="411">
        <v>1</v>
      </c>
      <c r="H238" s="411">
        <v>1</v>
      </c>
      <c r="I238" s="411">
        <v>1</v>
      </c>
      <c r="J238" s="411">
        <v>1</v>
      </c>
      <c r="K238" s="411">
        <v>1</v>
      </c>
      <c r="L238" s="411">
        <v>1</v>
      </c>
      <c r="M238" s="411">
        <v>1</v>
      </c>
      <c r="N238" s="411">
        <v>1</v>
      </c>
      <c r="O238" s="411">
        <v>1</v>
      </c>
      <c r="P238" s="411">
        <v>1</v>
      </c>
      <c r="Q238" s="411">
        <v>1</v>
      </c>
      <c r="R238" s="411">
        <v>1</v>
      </c>
      <c r="S238" s="411">
        <v>1</v>
      </c>
      <c r="T238" s="411">
        <v>1</v>
      </c>
      <c r="U238" s="411">
        <v>1</v>
      </c>
      <c r="V238" s="411">
        <v>1</v>
      </c>
      <c r="W238" s="411">
        <v>1</v>
      </c>
      <c r="X238" s="411">
        <v>1</v>
      </c>
      <c r="Y238" s="411">
        <v>1</v>
      </c>
      <c r="Z238" s="411">
        <v>1</v>
      </c>
      <c r="AA238" s="411">
        <v>1</v>
      </c>
      <c r="AB238" s="411">
        <v>1</v>
      </c>
      <c r="AC238" s="411">
        <v>1</v>
      </c>
      <c r="AD238" s="411">
        <v>1</v>
      </c>
      <c r="AE238" s="411">
        <v>1</v>
      </c>
      <c r="AF238" s="411">
        <v>1</v>
      </c>
      <c r="AG238" s="411">
        <v>1</v>
      </c>
    </row>
    <row r="239" spans="2:34">
      <c r="B239" s="403">
        <v>0.95833333333333337</v>
      </c>
      <c r="C239" s="407"/>
      <c r="D239" s="407"/>
      <c r="E239" s="407"/>
      <c r="F239" s="407"/>
      <c r="G239" s="407"/>
      <c r="H239" s="407"/>
      <c r="I239" s="407"/>
      <c r="J239" s="407"/>
      <c r="K239" s="407"/>
      <c r="L239" s="407"/>
      <c r="M239" s="407"/>
      <c r="N239" s="407"/>
      <c r="O239" s="407"/>
      <c r="P239" s="407"/>
      <c r="Q239" s="407"/>
      <c r="R239" s="407"/>
      <c r="S239" s="407"/>
      <c r="T239" s="407"/>
      <c r="U239" s="407"/>
      <c r="V239" s="407"/>
      <c r="W239" s="407"/>
      <c r="X239" s="407"/>
      <c r="Y239" s="407"/>
      <c r="Z239" s="407"/>
      <c r="AA239" s="407"/>
      <c r="AB239" s="407"/>
      <c r="AC239" s="407"/>
      <c r="AD239" s="407"/>
      <c r="AE239" s="407"/>
      <c r="AF239" s="407"/>
      <c r="AG239" s="407"/>
    </row>
    <row r="240" spans="2:34">
      <c r="B240" s="402" t="s">
        <v>780</v>
      </c>
      <c r="C240" s="406">
        <f t="shared" ref="C240:AG240" si="7">SUM(C216:C239)</f>
        <v>16</v>
      </c>
      <c r="D240" s="406">
        <f t="shared" si="7"/>
        <v>16</v>
      </c>
      <c r="E240" s="406">
        <f t="shared" si="7"/>
        <v>16</v>
      </c>
      <c r="F240" s="406">
        <f t="shared" si="7"/>
        <v>16</v>
      </c>
      <c r="G240" s="406">
        <f t="shared" si="7"/>
        <v>16</v>
      </c>
      <c r="H240" s="406">
        <f t="shared" si="7"/>
        <v>16</v>
      </c>
      <c r="I240" s="406">
        <f t="shared" si="7"/>
        <v>16</v>
      </c>
      <c r="J240" s="406">
        <f t="shared" si="7"/>
        <v>16</v>
      </c>
      <c r="K240" s="406">
        <f t="shared" si="7"/>
        <v>16</v>
      </c>
      <c r="L240" s="406">
        <f t="shared" si="7"/>
        <v>16</v>
      </c>
      <c r="M240" s="406">
        <f t="shared" si="7"/>
        <v>16</v>
      </c>
      <c r="N240" s="406">
        <f t="shared" si="7"/>
        <v>16</v>
      </c>
      <c r="O240" s="406">
        <f t="shared" si="7"/>
        <v>16</v>
      </c>
      <c r="P240" s="406">
        <f t="shared" si="7"/>
        <v>16</v>
      </c>
      <c r="Q240" s="406">
        <f t="shared" si="7"/>
        <v>16</v>
      </c>
      <c r="R240" s="406">
        <f t="shared" si="7"/>
        <v>16</v>
      </c>
      <c r="S240" s="406">
        <f t="shared" si="7"/>
        <v>16</v>
      </c>
      <c r="T240" s="406">
        <f t="shared" si="7"/>
        <v>16</v>
      </c>
      <c r="U240" s="406">
        <f t="shared" si="7"/>
        <v>16</v>
      </c>
      <c r="V240" s="406">
        <f t="shared" si="7"/>
        <v>16</v>
      </c>
      <c r="W240" s="406">
        <f t="shared" si="7"/>
        <v>16</v>
      </c>
      <c r="X240" s="406">
        <f t="shared" si="7"/>
        <v>16</v>
      </c>
      <c r="Y240" s="406">
        <f t="shared" si="7"/>
        <v>16</v>
      </c>
      <c r="Z240" s="406">
        <f t="shared" si="7"/>
        <v>16</v>
      </c>
      <c r="AA240" s="406">
        <f t="shared" si="7"/>
        <v>16</v>
      </c>
      <c r="AB240" s="406">
        <f t="shared" si="7"/>
        <v>16</v>
      </c>
      <c r="AC240" s="406">
        <f t="shared" si="7"/>
        <v>16</v>
      </c>
      <c r="AD240" s="406">
        <f t="shared" si="7"/>
        <v>16</v>
      </c>
      <c r="AE240" s="406">
        <f t="shared" si="7"/>
        <v>16</v>
      </c>
      <c r="AF240" s="406">
        <f t="shared" si="7"/>
        <v>16</v>
      </c>
      <c r="AG240" s="406">
        <f t="shared" si="7"/>
        <v>16</v>
      </c>
      <c r="AH240" s="410">
        <f>SUM(H240:AG240)</f>
        <v>416</v>
      </c>
    </row>
  </sheetData>
  <mergeCells count="6">
    <mergeCell ref="B214:B215"/>
    <mergeCell ref="B2:B3"/>
    <mergeCell ref="AJ2:AJ3"/>
    <mergeCell ref="B125:B126"/>
    <mergeCell ref="B155:B156"/>
    <mergeCell ref="B184:B18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1A68-C041-421E-87AA-F53539BD3C76}">
  <dimension ref="A1:AL45"/>
  <sheetViews>
    <sheetView showGridLines="0" topLeftCell="A30" zoomScale="70" zoomScaleNormal="70" workbookViewId="0">
      <selection activeCell="A46" sqref="A46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291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347">
        <v>4</v>
      </c>
      <c r="H4" s="347">
        <v>3</v>
      </c>
      <c r="I4" s="347">
        <v>3</v>
      </c>
      <c r="J4" s="347">
        <v>3</v>
      </c>
      <c r="K4" s="347">
        <v>3</v>
      </c>
      <c r="L4" s="347">
        <v>3</v>
      </c>
      <c r="M4" s="347">
        <v>5</v>
      </c>
      <c r="N4" s="347">
        <v>5</v>
      </c>
      <c r="O4" s="347">
        <v>9</v>
      </c>
      <c r="P4" s="347">
        <v>11</v>
      </c>
      <c r="Q4" s="347">
        <v>13</v>
      </c>
      <c r="R4" s="347">
        <v>13</v>
      </c>
      <c r="S4" s="347">
        <v>13</v>
      </c>
      <c r="T4" s="347">
        <v>13</v>
      </c>
      <c r="U4" s="347">
        <v>12</v>
      </c>
      <c r="V4" s="347">
        <v>11</v>
      </c>
      <c r="W4" s="347">
        <v>11</v>
      </c>
      <c r="X4" s="347">
        <v>11</v>
      </c>
      <c r="Y4" s="347">
        <v>11</v>
      </c>
      <c r="Z4" s="347">
        <v>10</v>
      </c>
      <c r="AA4" s="347">
        <v>11</v>
      </c>
      <c r="AB4" s="347">
        <v>8</v>
      </c>
      <c r="AC4" s="347">
        <v>6</v>
      </c>
      <c r="AD4" s="347">
        <v>4</v>
      </c>
      <c r="AE4" s="18">
        <f>SUM(G4:AD4)</f>
        <v>196</v>
      </c>
      <c r="AF4" s="3"/>
      <c r="AG4" s="3"/>
      <c r="AH4" s="3"/>
      <c r="AI4" s="3"/>
      <c r="AJ4" s="3"/>
      <c r="AK4" s="3"/>
      <c r="AL4" s="3"/>
    </row>
    <row r="5" spans="1:38" ht="63" thickBot="1">
      <c r="A5" s="3"/>
      <c r="B5" s="2"/>
      <c r="C5" s="2"/>
      <c r="D5" s="19"/>
      <c r="E5" s="569">
        <v>1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-1</v>
      </c>
      <c r="N6" s="28">
        <f t="shared" si="0"/>
        <v>-1</v>
      </c>
      <c r="O6" s="28">
        <f t="shared" si="0"/>
        <v>-2</v>
      </c>
      <c r="P6" s="28">
        <f t="shared" si="0"/>
        <v>-3</v>
      </c>
      <c r="Q6" s="28">
        <f t="shared" si="0"/>
        <v>-3</v>
      </c>
      <c r="R6" s="28">
        <f t="shared" si="0"/>
        <v>-3</v>
      </c>
      <c r="S6" s="28">
        <f t="shared" si="0"/>
        <v>-3</v>
      </c>
      <c r="T6" s="28">
        <f t="shared" si="0"/>
        <v>-3</v>
      </c>
      <c r="U6" s="28">
        <f t="shared" si="0"/>
        <v>-3</v>
      </c>
      <c r="V6" s="28">
        <f t="shared" si="0"/>
        <v>-3</v>
      </c>
      <c r="W6" s="28">
        <f t="shared" si="0"/>
        <v>-2</v>
      </c>
      <c r="X6" s="28">
        <f t="shared" si="0"/>
        <v>-3</v>
      </c>
      <c r="Y6" s="28">
        <f t="shared" si="0"/>
        <v>-2</v>
      </c>
      <c r="Z6" s="28">
        <f t="shared" si="0"/>
        <v>-1</v>
      </c>
      <c r="AA6" s="28">
        <f t="shared" si="0"/>
        <v>-2</v>
      </c>
      <c r="AB6" s="28">
        <f t="shared" si="0"/>
        <v>-1</v>
      </c>
      <c r="AC6" s="28">
        <f t="shared" si="0"/>
        <v>0</v>
      </c>
      <c r="AD6" s="28">
        <f t="shared" si="0"/>
        <v>1</v>
      </c>
      <c r="AE6" s="29">
        <f t="shared" ref="AE6:AE43" si="1">SUM(G6:AD6)</f>
        <v>-35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SUM(G8:G43)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4</v>
      </c>
      <c r="N7" s="172">
        <f t="shared" si="2"/>
        <v>4</v>
      </c>
      <c r="O7" s="172">
        <f t="shared" si="2"/>
        <v>7</v>
      </c>
      <c r="P7" s="172">
        <f t="shared" si="2"/>
        <v>8</v>
      </c>
      <c r="Q7" s="172">
        <f t="shared" si="2"/>
        <v>10</v>
      </c>
      <c r="R7" s="172">
        <f t="shared" si="2"/>
        <v>10</v>
      </c>
      <c r="S7" s="172">
        <f t="shared" si="2"/>
        <v>10</v>
      </c>
      <c r="T7" s="172">
        <f t="shared" si="2"/>
        <v>10</v>
      </c>
      <c r="U7" s="172">
        <f t="shared" si="2"/>
        <v>9</v>
      </c>
      <c r="V7" s="172">
        <f t="shared" si="2"/>
        <v>8</v>
      </c>
      <c r="W7" s="172">
        <f t="shared" si="2"/>
        <v>9</v>
      </c>
      <c r="X7" s="172">
        <f t="shared" si="2"/>
        <v>8</v>
      </c>
      <c r="Y7" s="172">
        <f t="shared" si="2"/>
        <v>9</v>
      </c>
      <c r="Z7" s="172">
        <f t="shared" si="2"/>
        <v>9</v>
      </c>
      <c r="AA7" s="172">
        <f t="shared" si="2"/>
        <v>9</v>
      </c>
      <c r="AB7" s="172">
        <f t="shared" si="2"/>
        <v>7</v>
      </c>
      <c r="AC7" s="172">
        <f t="shared" si="2"/>
        <v>6</v>
      </c>
      <c r="AD7" s="172">
        <f t="shared" si="2"/>
        <v>5</v>
      </c>
      <c r="AE7" s="168">
        <f t="shared" si="1"/>
        <v>161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43" si="3">SUM(G8:AD8)</f>
        <v>5</v>
      </c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519" t="s">
        <v>231</v>
      </c>
      <c r="Y8" s="519" t="s">
        <v>231</v>
      </c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5</v>
      </c>
      <c r="AF8" s="504" t="s">
        <v>74</v>
      </c>
      <c r="AG8" s="550" t="s">
        <v>41</v>
      </c>
      <c r="AH8" s="542"/>
      <c r="AI8" s="178" t="s">
        <v>444</v>
      </c>
      <c r="AJ8" s="179"/>
      <c r="AK8" s="489" t="s">
        <v>146</v>
      </c>
      <c r="AL8" s="490">
        <v>1.8599537037037036E-2</v>
      </c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7</v>
      </c>
      <c r="G9" s="176">
        <v>1</v>
      </c>
      <c r="H9" s="176">
        <v>1</v>
      </c>
      <c r="I9" s="176">
        <v>1</v>
      </c>
      <c r="J9" s="176">
        <v>1</v>
      </c>
      <c r="K9" s="176">
        <v>1</v>
      </c>
      <c r="L9" s="176">
        <v>1</v>
      </c>
      <c r="M9" s="176">
        <v>1</v>
      </c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41">
        <f t="shared" si="1"/>
        <v>7</v>
      </c>
      <c r="AF9" s="504" t="s">
        <v>284</v>
      </c>
      <c r="AG9" s="556" t="s">
        <v>41</v>
      </c>
      <c r="AH9" s="557"/>
      <c r="AI9" s="178" t="s">
        <v>444</v>
      </c>
      <c r="AJ9" s="179"/>
      <c r="AK9" s="491" t="s">
        <v>921</v>
      </c>
      <c r="AL9" s="492">
        <v>1.3576388888888891E-2</v>
      </c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0</v>
      </c>
      <c r="G10" s="185">
        <v>0</v>
      </c>
      <c r="H10" s="185">
        <v>0</v>
      </c>
      <c r="I10" s="185">
        <v>0</v>
      </c>
      <c r="J10" s="185">
        <v>0</v>
      </c>
      <c r="K10" s="185">
        <v>0</v>
      </c>
      <c r="L10" s="185">
        <v>0</v>
      </c>
      <c r="M10" s="185">
        <v>0</v>
      </c>
      <c r="N10" s="185">
        <v>0</v>
      </c>
      <c r="O10" s="185">
        <v>0</v>
      </c>
      <c r="P10" s="185">
        <v>0</v>
      </c>
      <c r="Q10" s="185">
        <v>0</v>
      </c>
      <c r="R10" s="185">
        <v>0</v>
      </c>
      <c r="S10" s="185">
        <v>0</v>
      </c>
      <c r="T10" s="185">
        <v>0</v>
      </c>
      <c r="U10" s="185">
        <v>0</v>
      </c>
      <c r="V10" s="185">
        <v>0</v>
      </c>
      <c r="W10" s="185">
        <v>0</v>
      </c>
      <c r="X10" s="185">
        <v>0</v>
      </c>
      <c r="Y10" s="185">
        <v>0</v>
      </c>
      <c r="Z10" s="185">
        <v>0</v>
      </c>
      <c r="AA10" s="185">
        <v>0</v>
      </c>
      <c r="AB10" s="185">
        <v>0</v>
      </c>
      <c r="AC10" s="185">
        <v>0</v>
      </c>
      <c r="AD10" s="185">
        <v>0</v>
      </c>
      <c r="AE10" s="41">
        <f t="shared" ref="AE10" si="4">SUM(G10:AD10)</f>
        <v>0</v>
      </c>
      <c r="AF10" s="89" t="s">
        <v>225</v>
      </c>
      <c r="AG10" s="556" t="s">
        <v>41</v>
      </c>
      <c r="AH10" s="557"/>
      <c r="AI10" s="178" t="s">
        <v>444</v>
      </c>
      <c r="AJ10" s="179"/>
      <c r="AK10" s="491" t="s">
        <v>445</v>
      </c>
      <c r="AL10" s="492">
        <v>5.2638888888888895E-2</v>
      </c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0</v>
      </c>
      <c r="G11" s="185">
        <v>0</v>
      </c>
      <c r="H11" s="185">
        <v>0</v>
      </c>
      <c r="I11" s="185">
        <v>0</v>
      </c>
      <c r="J11" s="185">
        <v>0</v>
      </c>
      <c r="K11" s="185">
        <v>0</v>
      </c>
      <c r="L11" s="185">
        <v>0</v>
      </c>
      <c r="M11" s="185">
        <v>0</v>
      </c>
      <c r="N11" s="185">
        <v>0</v>
      </c>
      <c r="O11" s="185">
        <v>0</v>
      </c>
      <c r="P11" s="185">
        <v>0</v>
      </c>
      <c r="Q11" s="185">
        <v>0</v>
      </c>
      <c r="R11" s="185">
        <v>0</v>
      </c>
      <c r="S11" s="185">
        <v>0</v>
      </c>
      <c r="T11" s="185">
        <v>0</v>
      </c>
      <c r="U11" s="185">
        <v>0</v>
      </c>
      <c r="V11" s="185">
        <v>0</v>
      </c>
      <c r="W11" s="185">
        <v>0</v>
      </c>
      <c r="X11" s="185">
        <v>0</v>
      </c>
      <c r="Y11" s="185">
        <v>0</v>
      </c>
      <c r="Z11" s="185">
        <v>0</v>
      </c>
      <c r="AA11" s="185">
        <v>0</v>
      </c>
      <c r="AB11" s="185">
        <v>0</v>
      </c>
      <c r="AC11" s="185">
        <v>0</v>
      </c>
      <c r="AD11" s="185">
        <v>0</v>
      </c>
      <c r="AE11" s="41">
        <f t="shared" si="1"/>
        <v>0</v>
      </c>
      <c r="AF11" s="89" t="s">
        <v>225</v>
      </c>
      <c r="AG11" s="556" t="s">
        <v>41</v>
      </c>
      <c r="AH11" s="557"/>
      <c r="AI11" s="178" t="s">
        <v>444</v>
      </c>
      <c r="AJ11" s="179"/>
      <c r="AK11" s="491" t="s">
        <v>468</v>
      </c>
      <c r="AL11" s="492">
        <v>2.5868055555555557E-2</v>
      </c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514" t="s">
        <v>60</v>
      </c>
      <c r="F12" s="515">
        <v>15</v>
      </c>
      <c r="G12" s="503"/>
      <c r="H12" s="503"/>
      <c r="I12" s="503"/>
      <c r="J12" s="503"/>
      <c r="K12" s="503"/>
      <c r="L12" s="503"/>
      <c r="M12" s="503"/>
      <c r="N12" s="543" t="s">
        <v>912</v>
      </c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  <c r="AA12" s="544"/>
      <c r="AB12" s="545"/>
      <c r="AC12" s="503"/>
      <c r="AD12" s="503"/>
      <c r="AE12" s="515">
        <v>15</v>
      </c>
      <c r="AF12" s="504" t="s">
        <v>380</v>
      </c>
      <c r="AG12" s="558" t="s">
        <v>41</v>
      </c>
      <c r="AH12" s="542"/>
      <c r="AI12" s="517" t="s">
        <v>444</v>
      </c>
      <c r="AJ12" s="179"/>
      <c r="AK12" s="491" t="s">
        <v>500</v>
      </c>
      <c r="AL12" s="492">
        <v>2.3148148148148147E-5</v>
      </c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41">
        <v>12</v>
      </c>
      <c r="G13" s="185"/>
      <c r="H13" s="185"/>
      <c r="I13" s="185"/>
      <c r="J13" s="185"/>
      <c r="K13" s="185"/>
      <c r="L13" s="185"/>
      <c r="M13" s="503"/>
      <c r="N13" s="552" t="s">
        <v>320</v>
      </c>
      <c r="O13" s="553"/>
      <c r="P13" s="553"/>
      <c r="Q13" s="553"/>
      <c r="R13" s="553"/>
      <c r="S13" s="553"/>
      <c r="T13" s="553"/>
      <c r="U13" s="554"/>
      <c r="V13" s="503">
        <v>1</v>
      </c>
      <c r="W13" s="503">
        <v>1</v>
      </c>
      <c r="X13" s="176">
        <v>1</v>
      </c>
      <c r="Y13" s="176">
        <v>1</v>
      </c>
      <c r="Z13" s="185"/>
      <c r="AA13" s="185"/>
      <c r="AB13" s="185"/>
      <c r="AC13" s="185"/>
      <c r="AD13" s="185"/>
      <c r="AE13" s="41">
        <v>12</v>
      </c>
      <c r="AF13" s="504" t="s">
        <v>327</v>
      </c>
      <c r="AG13" s="550" t="s">
        <v>41</v>
      </c>
      <c r="AH13" s="542"/>
      <c r="AI13" s="178" t="s">
        <v>444</v>
      </c>
      <c r="AJ13" s="179"/>
      <c r="AK13" s="491" t="s">
        <v>115</v>
      </c>
      <c r="AL13" s="492">
        <v>8.8078703703703722E-3</v>
      </c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6</v>
      </c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>
        <v>1</v>
      </c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41">
        <f t="shared" si="1"/>
        <v>6</v>
      </c>
      <c r="AF14" s="504" t="s">
        <v>281</v>
      </c>
      <c r="AG14" s="550" t="s">
        <v>41</v>
      </c>
      <c r="AH14" s="542"/>
      <c r="AI14" s="178" t="s">
        <v>444</v>
      </c>
      <c r="AJ14" s="179"/>
      <c r="AK14" s="491" t="s">
        <v>446</v>
      </c>
      <c r="AL14" s="492">
        <v>5.6331018518518516E-2</v>
      </c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0</v>
      </c>
      <c r="G15" s="176">
        <v>0</v>
      </c>
      <c r="H15" s="176">
        <v>0</v>
      </c>
      <c r="I15" s="176">
        <v>0</v>
      </c>
      <c r="J15" s="176">
        <v>0</v>
      </c>
      <c r="K15" s="176">
        <v>0</v>
      </c>
      <c r="L15" s="176">
        <v>0</v>
      </c>
      <c r="M15" s="176">
        <v>0</v>
      </c>
      <c r="N15" s="176">
        <v>0</v>
      </c>
      <c r="O15" s="176">
        <v>0</v>
      </c>
      <c r="P15" s="176">
        <v>0</v>
      </c>
      <c r="Q15" s="176">
        <v>0</v>
      </c>
      <c r="R15" s="176">
        <v>0</v>
      </c>
      <c r="S15" s="176">
        <v>0</v>
      </c>
      <c r="T15" s="176">
        <v>0</v>
      </c>
      <c r="U15" s="176">
        <v>0</v>
      </c>
      <c r="V15" s="176">
        <v>0</v>
      </c>
      <c r="W15" s="176">
        <v>0</v>
      </c>
      <c r="X15" s="176">
        <v>0</v>
      </c>
      <c r="Y15" s="176">
        <v>0</v>
      </c>
      <c r="Z15" s="176">
        <v>0</v>
      </c>
      <c r="AA15" s="176">
        <v>0</v>
      </c>
      <c r="AB15" s="176">
        <v>0</v>
      </c>
      <c r="AC15" s="176">
        <v>0</v>
      </c>
      <c r="AD15" s="176">
        <v>0</v>
      </c>
      <c r="AE15" s="41">
        <f t="shared" si="1"/>
        <v>0</v>
      </c>
      <c r="AF15" s="504" t="s">
        <v>225</v>
      </c>
      <c r="AG15" s="550" t="s">
        <v>41</v>
      </c>
      <c r="AH15" s="542"/>
      <c r="AI15" s="178" t="s">
        <v>444</v>
      </c>
      <c r="AJ15" s="179"/>
      <c r="AK15" s="491" t="s">
        <v>55</v>
      </c>
      <c r="AL15" s="492">
        <v>1.8958333333333334E-2</v>
      </c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0</v>
      </c>
      <c r="G16" s="185"/>
      <c r="H16" s="185"/>
      <c r="I16" s="185"/>
      <c r="J16" s="185"/>
      <c r="K16" s="185"/>
      <c r="L16" s="185"/>
      <c r="M16" s="509"/>
      <c r="N16" s="509"/>
      <c r="O16" s="509"/>
      <c r="P16" s="509"/>
      <c r="Q16" s="509"/>
      <c r="R16" s="509"/>
      <c r="S16" s="509"/>
      <c r="T16" s="509"/>
      <c r="U16" s="509"/>
      <c r="V16" s="509"/>
      <c r="W16" s="509"/>
      <c r="X16" s="509"/>
      <c r="Y16" s="185"/>
      <c r="Z16" s="185"/>
      <c r="AA16" s="185"/>
      <c r="AB16" s="185"/>
      <c r="AC16" s="185"/>
      <c r="AD16" s="185"/>
      <c r="AE16" s="41">
        <f t="shared" si="1"/>
        <v>0</v>
      </c>
      <c r="AF16" s="504" t="s">
        <v>84</v>
      </c>
      <c r="AG16" s="550" t="s">
        <v>41</v>
      </c>
      <c r="AH16" s="542"/>
      <c r="AI16" s="178" t="s">
        <v>444</v>
      </c>
      <c r="AJ16" s="179"/>
      <c r="AK16" s="491" t="s">
        <v>448</v>
      </c>
      <c r="AL16" s="492">
        <v>2.8472222222222215E-2</v>
      </c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40" t="s">
        <v>333</v>
      </c>
      <c r="F17" s="41">
        <f t="shared" si="3"/>
        <v>7</v>
      </c>
      <c r="G17" s="187"/>
      <c r="H17" s="187"/>
      <c r="I17" s="187"/>
      <c r="J17" s="187"/>
      <c r="K17" s="187"/>
      <c r="L17" s="187"/>
      <c r="M17" s="187"/>
      <c r="N17" s="187">
        <v>1</v>
      </c>
      <c r="O17" s="187">
        <v>1</v>
      </c>
      <c r="P17" s="187">
        <v>1</v>
      </c>
      <c r="Q17" s="187">
        <v>1</v>
      </c>
      <c r="R17" s="187">
        <v>1</v>
      </c>
      <c r="S17" s="187">
        <v>1</v>
      </c>
      <c r="T17" s="187">
        <v>1</v>
      </c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41">
        <f t="shared" si="1"/>
        <v>7</v>
      </c>
      <c r="AF17" s="95" t="s">
        <v>196</v>
      </c>
      <c r="AG17" s="559" t="s">
        <v>41</v>
      </c>
      <c r="AH17" s="560"/>
      <c r="AI17" s="178" t="s">
        <v>444</v>
      </c>
      <c r="AJ17" s="179"/>
      <c r="AK17" s="491" t="s">
        <v>449</v>
      </c>
      <c r="AL17" s="492">
        <v>2.9131944444444443E-2</v>
      </c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7</v>
      </c>
      <c r="G18" s="176">
        <v>1</v>
      </c>
      <c r="H18" s="176">
        <v>1</v>
      </c>
      <c r="I18" s="176">
        <v>1</v>
      </c>
      <c r="J18" s="176">
        <v>1</v>
      </c>
      <c r="K18" s="176">
        <v>1</v>
      </c>
      <c r="L18" s="176">
        <v>1</v>
      </c>
      <c r="M18" s="176">
        <v>1</v>
      </c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41">
        <f t="shared" si="1"/>
        <v>7</v>
      </c>
      <c r="AF18" s="504" t="s">
        <v>284</v>
      </c>
      <c r="AG18" s="550" t="s">
        <v>41</v>
      </c>
      <c r="AH18" s="542"/>
      <c r="AI18" s="178" t="s">
        <v>444</v>
      </c>
      <c r="AJ18" s="179"/>
      <c r="AK18" s="491" t="s">
        <v>450</v>
      </c>
      <c r="AL18" s="492">
        <v>2.3148148148148149E-4</v>
      </c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486" t="s">
        <v>112</v>
      </c>
      <c r="F19" s="41">
        <f t="shared" si="3"/>
        <v>9</v>
      </c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76">
        <v>1</v>
      </c>
      <c r="R19" s="176">
        <v>1</v>
      </c>
      <c r="S19" s="176">
        <v>1</v>
      </c>
      <c r="T19" s="176">
        <v>1</v>
      </c>
      <c r="U19" s="176">
        <v>1</v>
      </c>
      <c r="V19" s="176">
        <v>1</v>
      </c>
      <c r="W19" s="176">
        <v>1</v>
      </c>
      <c r="X19" s="176">
        <v>1</v>
      </c>
      <c r="Y19" s="176">
        <v>1</v>
      </c>
      <c r="Z19" s="185"/>
      <c r="AA19" s="185"/>
      <c r="AB19" s="185"/>
      <c r="AC19" s="185"/>
      <c r="AD19" s="185"/>
      <c r="AE19" s="41">
        <f t="shared" si="1"/>
        <v>9</v>
      </c>
      <c r="AF19" s="504" t="s">
        <v>368</v>
      </c>
      <c r="AG19" s="556" t="s">
        <v>41</v>
      </c>
      <c r="AH19" s="557"/>
      <c r="AI19" s="178" t="s">
        <v>444</v>
      </c>
      <c r="AJ19" s="179"/>
      <c r="AK19" s="491" t="s">
        <v>451</v>
      </c>
      <c r="AL19" s="492">
        <v>1.847222222222222E-2</v>
      </c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6</v>
      </c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>
        <v>1</v>
      </c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6</v>
      </c>
      <c r="AF20" s="504" t="s">
        <v>281</v>
      </c>
      <c r="AG20" s="550" t="s">
        <v>41</v>
      </c>
      <c r="AH20" s="542"/>
      <c r="AI20" s="178" t="s">
        <v>444</v>
      </c>
      <c r="AJ20" s="179"/>
      <c r="AK20" s="491" t="s">
        <v>88</v>
      </c>
      <c r="AL20" s="492">
        <v>3.3692129629629627E-2</v>
      </c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13</v>
      </c>
      <c r="G21" s="176"/>
      <c r="H21" s="176"/>
      <c r="I21" s="176"/>
      <c r="J21" s="176"/>
      <c r="K21" s="176"/>
      <c r="L21" s="176"/>
      <c r="M21" s="176"/>
      <c r="N21" s="176"/>
      <c r="O21" s="503">
        <v>1</v>
      </c>
      <c r="P21" s="503">
        <v>1</v>
      </c>
      <c r="Q21" s="503">
        <v>1</v>
      </c>
      <c r="R21" s="503">
        <v>1</v>
      </c>
      <c r="S21" s="503">
        <v>1</v>
      </c>
      <c r="T21" s="503">
        <v>1</v>
      </c>
      <c r="U21" s="503">
        <v>1</v>
      </c>
      <c r="V21" s="503">
        <v>1</v>
      </c>
      <c r="W21" s="176"/>
      <c r="X21" s="503">
        <v>1</v>
      </c>
      <c r="Y21" s="503">
        <v>1</v>
      </c>
      <c r="Z21" s="503">
        <v>1</v>
      </c>
      <c r="AA21" s="503">
        <v>1</v>
      </c>
      <c r="AB21" s="503">
        <v>1</v>
      </c>
      <c r="AC21" s="176"/>
      <c r="AD21" s="176"/>
      <c r="AE21" s="41">
        <f t="shared" si="1"/>
        <v>13</v>
      </c>
      <c r="AF21" s="504" t="s">
        <v>344</v>
      </c>
      <c r="AG21" s="550" t="s">
        <v>41</v>
      </c>
      <c r="AH21" s="542"/>
      <c r="AI21" s="178" t="s">
        <v>444</v>
      </c>
      <c r="AJ21" s="179"/>
      <c r="AK21" s="491" t="s">
        <v>111</v>
      </c>
      <c r="AL21" s="492">
        <v>3.4664351851851856E-2</v>
      </c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7</v>
      </c>
      <c r="G22" s="176">
        <v>1</v>
      </c>
      <c r="H22" s="176">
        <v>1</v>
      </c>
      <c r="I22" s="176">
        <v>1</v>
      </c>
      <c r="J22" s="176">
        <v>1</v>
      </c>
      <c r="K22" s="176">
        <v>1</v>
      </c>
      <c r="L22" s="176">
        <v>1</v>
      </c>
      <c r="M22" s="176">
        <v>1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41">
        <f t="shared" si="1"/>
        <v>7</v>
      </c>
      <c r="AF22" s="504" t="s">
        <v>284</v>
      </c>
      <c r="AG22" s="550" t="s">
        <v>41</v>
      </c>
      <c r="AH22" s="542"/>
      <c r="AI22" s="178" t="s">
        <v>444</v>
      </c>
      <c r="AJ22" s="179"/>
      <c r="AK22" s="491" t="s">
        <v>456</v>
      </c>
      <c r="AL22" s="492">
        <v>1.0763888888888889E-3</v>
      </c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11</v>
      </c>
      <c r="G23" s="185"/>
      <c r="H23" s="185"/>
      <c r="I23" s="185"/>
      <c r="J23" s="185"/>
      <c r="K23" s="185"/>
      <c r="L23" s="185"/>
      <c r="M23" s="503">
        <v>1</v>
      </c>
      <c r="N23" s="503">
        <v>1</v>
      </c>
      <c r="O23" s="503">
        <v>1</v>
      </c>
      <c r="P23" s="503">
        <v>1</v>
      </c>
      <c r="Q23" s="503">
        <v>1</v>
      </c>
      <c r="R23" s="503">
        <v>1</v>
      </c>
      <c r="S23" s="503">
        <v>1</v>
      </c>
      <c r="T23" s="503">
        <v>1</v>
      </c>
      <c r="U23" s="503">
        <v>1</v>
      </c>
      <c r="V23" s="503">
        <v>1</v>
      </c>
      <c r="W23" s="503">
        <v>1</v>
      </c>
      <c r="X23" s="503"/>
      <c r="Y23" s="185"/>
      <c r="Z23" s="185"/>
      <c r="AA23" s="185"/>
      <c r="AB23" s="185"/>
      <c r="AC23" s="185"/>
      <c r="AD23" s="185"/>
      <c r="AE23" s="41">
        <f t="shared" si="1"/>
        <v>11</v>
      </c>
      <c r="AF23" s="504" t="s">
        <v>192</v>
      </c>
      <c r="AG23" s="550" t="s">
        <v>41</v>
      </c>
      <c r="AH23" s="542"/>
      <c r="AI23" s="178" t="s">
        <v>444</v>
      </c>
      <c r="AJ23" s="179"/>
      <c r="AK23" s="491" t="s">
        <v>452</v>
      </c>
      <c r="AL23" s="492">
        <v>8.6805555555555551E-4</v>
      </c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40" t="s">
        <v>123</v>
      </c>
      <c r="F24" s="41">
        <v>10</v>
      </c>
      <c r="G24" s="42"/>
      <c r="H24" s="77"/>
      <c r="I24" s="77"/>
      <c r="J24" s="77"/>
      <c r="K24" s="77"/>
      <c r="L24" s="176"/>
      <c r="M24" s="176"/>
      <c r="N24" s="503">
        <v>1</v>
      </c>
      <c r="O24" s="503">
        <v>1</v>
      </c>
      <c r="P24" s="503">
        <v>1</v>
      </c>
      <c r="Q24" s="503">
        <v>1</v>
      </c>
      <c r="R24" s="503">
        <v>1</v>
      </c>
      <c r="S24" s="503">
        <v>1</v>
      </c>
      <c r="T24" s="503">
        <v>1</v>
      </c>
      <c r="U24" s="503">
        <v>1</v>
      </c>
      <c r="V24" s="503">
        <v>1</v>
      </c>
      <c r="W24" s="503">
        <v>1</v>
      </c>
      <c r="X24" s="503"/>
      <c r="Y24" s="503"/>
      <c r="Z24" s="503"/>
      <c r="AA24" s="176"/>
      <c r="AB24" s="176"/>
      <c r="AC24" s="176"/>
      <c r="AD24" s="176"/>
      <c r="AE24" s="41">
        <v>10</v>
      </c>
      <c r="AF24" s="504" t="s">
        <v>61</v>
      </c>
      <c r="AG24" s="561" t="s">
        <v>471</v>
      </c>
      <c r="AH24" s="562"/>
      <c r="AI24" s="178" t="s">
        <v>444</v>
      </c>
      <c r="AJ24" s="179"/>
      <c r="AK24" s="491" t="s">
        <v>485</v>
      </c>
      <c r="AL24" s="492">
        <v>2.1412037037037035E-2</v>
      </c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13</v>
      </c>
      <c r="G25" s="176"/>
      <c r="H25" s="176"/>
      <c r="I25" s="176"/>
      <c r="J25" s="176"/>
      <c r="K25" s="176"/>
      <c r="L25" s="176"/>
      <c r="M25" s="176"/>
      <c r="N25" s="507">
        <v>1</v>
      </c>
      <c r="O25" s="176">
        <v>1</v>
      </c>
      <c r="P25" s="176">
        <v>1</v>
      </c>
      <c r="Q25" s="176">
        <v>1</v>
      </c>
      <c r="R25" s="176">
        <v>1</v>
      </c>
      <c r="S25" s="176">
        <v>1</v>
      </c>
      <c r="T25" s="176">
        <v>1</v>
      </c>
      <c r="U25" s="176">
        <v>1</v>
      </c>
      <c r="V25" s="176">
        <v>1</v>
      </c>
      <c r="W25" s="176">
        <v>1</v>
      </c>
      <c r="X25" s="176">
        <v>1</v>
      </c>
      <c r="Y25" s="176"/>
      <c r="Z25" s="176">
        <v>1</v>
      </c>
      <c r="AA25" s="176">
        <v>1</v>
      </c>
      <c r="AB25" s="176"/>
      <c r="AC25" s="176"/>
      <c r="AD25" s="176"/>
      <c r="AE25" s="41">
        <f t="shared" si="1"/>
        <v>13</v>
      </c>
      <c r="AF25" s="504" t="s">
        <v>911</v>
      </c>
      <c r="AG25" s="550" t="s">
        <v>41</v>
      </c>
      <c r="AH25" s="542"/>
      <c r="AI25" s="178" t="s">
        <v>444</v>
      </c>
      <c r="AJ25" s="179"/>
      <c r="AK25" s="491" t="s">
        <v>178</v>
      </c>
      <c r="AL25" s="492">
        <v>1.2060185185185186E-2</v>
      </c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0</v>
      </c>
      <c r="G26" s="185">
        <v>0</v>
      </c>
      <c r="H26" s="185">
        <v>0</v>
      </c>
      <c r="I26" s="185">
        <v>0</v>
      </c>
      <c r="J26" s="185">
        <v>0</v>
      </c>
      <c r="K26" s="185">
        <v>0</v>
      </c>
      <c r="L26" s="185">
        <v>0</v>
      </c>
      <c r="M26" s="185">
        <v>0</v>
      </c>
      <c r="N26" s="185">
        <v>0</v>
      </c>
      <c r="O26" s="185">
        <v>0</v>
      </c>
      <c r="P26" s="185">
        <v>0</v>
      </c>
      <c r="Q26" s="185">
        <v>0</v>
      </c>
      <c r="R26" s="185">
        <v>0</v>
      </c>
      <c r="S26" s="185">
        <v>0</v>
      </c>
      <c r="T26" s="185">
        <v>0</v>
      </c>
      <c r="U26" s="185">
        <v>0</v>
      </c>
      <c r="V26" s="185">
        <v>0</v>
      </c>
      <c r="W26" s="185">
        <v>0</v>
      </c>
      <c r="X26" s="185">
        <v>0</v>
      </c>
      <c r="Y26" s="185">
        <v>0</v>
      </c>
      <c r="Z26" s="185">
        <v>0</v>
      </c>
      <c r="AA26" s="185">
        <v>0</v>
      </c>
      <c r="AB26" s="185">
        <v>0</v>
      </c>
      <c r="AC26" s="185">
        <v>0</v>
      </c>
      <c r="AD26" s="185">
        <v>0</v>
      </c>
      <c r="AE26" s="41">
        <f t="shared" si="1"/>
        <v>0</v>
      </c>
      <c r="AF26" s="89" t="s">
        <v>225</v>
      </c>
      <c r="AG26" s="550" t="s">
        <v>41</v>
      </c>
      <c r="AH26" s="542"/>
      <c r="AI26" s="178" t="s">
        <v>444</v>
      </c>
      <c r="AJ26" s="179"/>
      <c r="AK26" s="491" t="s">
        <v>190</v>
      </c>
      <c r="AL26" s="492">
        <v>2.1527777777777778E-2</v>
      </c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v>16</v>
      </c>
      <c r="G27" s="176"/>
      <c r="H27" s="176"/>
      <c r="I27" s="176"/>
      <c r="J27" s="176"/>
      <c r="K27" s="176"/>
      <c r="L27" s="176"/>
      <c r="M27" s="176"/>
      <c r="N27" s="543" t="s">
        <v>912</v>
      </c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  <c r="AA27" s="544"/>
      <c r="AB27" s="545"/>
      <c r="AC27" s="518">
        <v>1</v>
      </c>
      <c r="AD27" s="176"/>
      <c r="AE27" s="41">
        <v>16</v>
      </c>
      <c r="AF27" s="516" t="s">
        <v>913</v>
      </c>
      <c r="AG27" s="550" t="s">
        <v>41</v>
      </c>
      <c r="AH27" s="542"/>
      <c r="AI27" s="178" t="s">
        <v>444</v>
      </c>
      <c r="AJ27" s="179"/>
      <c r="AK27" s="491" t="s">
        <v>117</v>
      </c>
      <c r="AL27" s="492">
        <v>5.3159722222222212E-2</v>
      </c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0</v>
      </c>
      <c r="G28" s="185">
        <v>0</v>
      </c>
      <c r="H28" s="185">
        <v>0</v>
      </c>
      <c r="I28" s="185">
        <v>0</v>
      </c>
      <c r="J28" s="185">
        <v>0</v>
      </c>
      <c r="K28" s="185">
        <v>0</v>
      </c>
      <c r="L28" s="185">
        <v>0</v>
      </c>
      <c r="M28" s="185">
        <v>0</v>
      </c>
      <c r="N28" s="185">
        <v>0</v>
      </c>
      <c r="O28" s="185">
        <v>0</v>
      </c>
      <c r="P28" s="185">
        <v>0</v>
      </c>
      <c r="Q28" s="185">
        <v>0</v>
      </c>
      <c r="R28" s="185">
        <v>0</v>
      </c>
      <c r="S28" s="185">
        <v>0</v>
      </c>
      <c r="T28" s="185">
        <v>0</v>
      </c>
      <c r="U28" s="185">
        <v>0</v>
      </c>
      <c r="V28" s="185">
        <v>0</v>
      </c>
      <c r="W28" s="185">
        <v>0</v>
      </c>
      <c r="X28" s="185">
        <v>0</v>
      </c>
      <c r="Y28" s="185">
        <v>0</v>
      </c>
      <c r="Z28" s="185">
        <v>0</v>
      </c>
      <c r="AA28" s="185">
        <v>0</v>
      </c>
      <c r="AB28" s="185">
        <v>0</v>
      </c>
      <c r="AC28" s="185">
        <v>0</v>
      </c>
      <c r="AD28" s="185">
        <v>0</v>
      </c>
      <c r="AE28" s="41">
        <f t="shared" si="1"/>
        <v>0</v>
      </c>
      <c r="AF28" s="89" t="s">
        <v>225</v>
      </c>
      <c r="AG28" s="550" t="s">
        <v>41</v>
      </c>
      <c r="AH28" s="542"/>
      <c r="AI28" s="178" t="s">
        <v>444</v>
      </c>
      <c r="AJ28" s="179"/>
      <c r="AK28" s="491" t="s">
        <v>120</v>
      </c>
      <c r="AL28" s="492">
        <v>3.8900462962962963E-2</v>
      </c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14</v>
      </c>
      <c r="G29" s="185"/>
      <c r="H29" s="185"/>
      <c r="I29" s="185"/>
      <c r="J29" s="185"/>
      <c r="K29" s="185"/>
      <c r="L29" s="185"/>
      <c r="M29" s="503"/>
      <c r="N29" s="503"/>
      <c r="O29" s="503"/>
      <c r="P29" s="503"/>
      <c r="Q29" s="503">
        <v>1</v>
      </c>
      <c r="R29" s="503">
        <v>1</v>
      </c>
      <c r="S29" s="503">
        <v>1</v>
      </c>
      <c r="T29" s="503">
        <v>1</v>
      </c>
      <c r="U29" s="503">
        <v>1</v>
      </c>
      <c r="V29" s="503">
        <v>1</v>
      </c>
      <c r="W29" s="503">
        <v>1</v>
      </c>
      <c r="X29" s="503">
        <v>1</v>
      </c>
      <c r="Y29" s="503">
        <v>1</v>
      </c>
      <c r="Z29" s="503">
        <v>1</v>
      </c>
      <c r="AA29" s="503">
        <v>1</v>
      </c>
      <c r="AB29" s="503">
        <v>1</v>
      </c>
      <c r="AC29" s="503">
        <v>1</v>
      </c>
      <c r="AD29" s="503">
        <v>1</v>
      </c>
      <c r="AE29" s="41">
        <f t="shared" si="1"/>
        <v>14</v>
      </c>
      <c r="AF29" s="504" t="s">
        <v>916</v>
      </c>
      <c r="AG29" s="550" t="s">
        <v>41</v>
      </c>
      <c r="AH29" s="542"/>
      <c r="AI29" s="178" t="s">
        <v>444</v>
      </c>
      <c r="AJ29" s="179"/>
      <c r="AK29" s="491" t="s">
        <v>128</v>
      </c>
      <c r="AL29" s="492">
        <v>2.5000000000000001E-2</v>
      </c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253" t="s">
        <v>457</v>
      </c>
      <c r="F30" s="41">
        <f t="shared" si="3"/>
        <v>0</v>
      </c>
      <c r="G30" s="185">
        <v>0</v>
      </c>
      <c r="H30" s="185">
        <v>0</v>
      </c>
      <c r="I30" s="185">
        <v>0</v>
      </c>
      <c r="J30" s="185">
        <v>0</v>
      </c>
      <c r="K30" s="185">
        <v>0</v>
      </c>
      <c r="L30" s="185">
        <v>0</v>
      </c>
      <c r="M30" s="185">
        <v>0</v>
      </c>
      <c r="N30" s="185">
        <v>0</v>
      </c>
      <c r="O30" s="185">
        <v>0</v>
      </c>
      <c r="P30" s="185">
        <v>0</v>
      </c>
      <c r="Q30" s="185">
        <v>0</v>
      </c>
      <c r="R30" s="185">
        <v>0</v>
      </c>
      <c r="S30" s="185">
        <v>0</v>
      </c>
      <c r="T30" s="185">
        <v>0</v>
      </c>
      <c r="U30" s="185">
        <v>0</v>
      </c>
      <c r="V30" s="185">
        <v>0</v>
      </c>
      <c r="W30" s="185">
        <v>0</v>
      </c>
      <c r="X30" s="185">
        <v>0</v>
      </c>
      <c r="Y30" s="185">
        <v>0</v>
      </c>
      <c r="Z30" s="185">
        <v>0</v>
      </c>
      <c r="AA30" s="185">
        <v>0</v>
      </c>
      <c r="AB30" s="185">
        <v>0</v>
      </c>
      <c r="AC30" s="185">
        <v>0</v>
      </c>
      <c r="AD30" s="185">
        <v>0</v>
      </c>
      <c r="AE30" s="41">
        <f t="shared" ref="AE30" si="5">SUM(G30:AD30)</f>
        <v>0</v>
      </c>
      <c r="AF30" s="89" t="s">
        <v>225</v>
      </c>
      <c r="AG30" s="550" t="s">
        <v>41</v>
      </c>
      <c r="AH30" s="542"/>
      <c r="AI30" s="178" t="s">
        <v>444</v>
      </c>
      <c r="AJ30" s="179"/>
      <c r="AK30" s="491" t="s">
        <v>149</v>
      </c>
      <c r="AL30" s="492">
        <v>1.3310185185185185E-3</v>
      </c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v>13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>
        <v>1</v>
      </c>
      <c r="Q31" s="176">
        <v>1</v>
      </c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176">
        <v>1</v>
      </c>
      <c r="X31" s="176">
        <v>1</v>
      </c>
      <c r="Y31" s="176">
        <v>1</v>
      </c>
      <c r="Z31" s="176">
        <v>1</v>
      </c>
      <c r="AA31" s="176">
        <v>1</v>
      </c>
      <c r="AB31" s="176">
        <v>1</v>
      </c>
      <c r="AC31" s="176">
        <v>1</v>
      </c>
      <c r="AD31" s="176"/>
      <c r="AE31" s="41">
        <v>13</v>
      </c>
      <c r="AF31" s="504" t="s">
        <v>48</v>
      </c>
      <c r="AG31" s="177" t="s">
        <v>41</v>
      </c>
      <c r="AH31" s="186" t="s">
        <v>320</v>
      </c>
      <c r="AI31" s="178" t="s">
        <v>444</v>
      </c>
      <c r="AJ31" s="179"/>
      <c r="AK31" s="491" t="s">
        <v>760</v>
      </c>
      <c r="AL31" s="492">
        <v>3.8148148148148146E-2</v>
      </c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87" t="s">
        <v>461</v>
      </c>
      <c r="F32" s="88">
        <f t="shared" si="3"/>
        <v>0</v>
      </c>
      <c r="G32" s="185">
        <v>0</v>
      </c>
      <c r="H32" s="185">
        <v>0</v>
      </c>
      <c r="I32" s="185">
        <v>0</v>
      </c>
      <c r="J32" s="185">
        <v>0</v>
      </c>
      <c r="K32" s="185">
        <v>0</v>
      </c>
      <c r="L32" s="185">
        <v>0</v>
      </c>
      <c r="M32" s="185">
        <v>0</v>
      </c>
      <c r="N32" s="185">
        <v>0</v>
      </c>
      <c r="O32" s="185">
        <v>0</v>
      </c>
      <c r="P32" s="185">
        <v>0</v>
      </c>
      <c r="Q32" s="185">
        <v>0</v>
      </c>
      <c r="R32" s="185">
        <v>0</v>
      </c>
      <c r="S32" s="185">
        <v>0</v>
      </c>
      <c r="T32" s="185">
        <v>0</v>
      </c>
      <c r="U32" s="185">
        <v>0</v>
      </c>
      <c r="V32" s="185">
        <v>0</v>
      </c>
      <c r="W32" s="185">
        <v>0</v>
      </c>
      <c r="X32" s="185">
        <v>0</v>
      </c>
      <c r="Y32" s="185">
        <v>0</v>
      </c>
      <c r="Z32" s="185">
        <v>0</v>
      </c>
      <c r="AA32" s="185">
        <v>0</v>
      </c>
      <c r="AB32" s="185">
        <v>0</v>
      </c>
      <c r="AC32" s="185">
        <v>0</v>
      </c>
      <c r="AD32" s="185">
        <v>0</v>
      </c>
      <c r="AE32" s="88">
        <f t="shared" si="1"/>
        <v>0</v>
      </c>
      <c r="AF32" s="504" t="s">
        <v>225</v>
      </c>
      <c r="AG32" s="558" t="s">
        <v>41</v>
      </c>
      <c r="AH32" s="542"/>
      <c r="AI32" s="178" t="s">
        <v>444</v>
      </c>
      <c r="AJ32" s="179"/>
      <c r="AK32" s="491" t="s">
        <v>781</v>
      </c>
      <c r="AL32" s="492">
        <v>1.2800925925925926E-2</v>
      </c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253" t="s">
        <v>463</v>
      </c>
      <c r="F33" s="41">
        <f t="shared" si="3"/>
        <v>1</v>
      </c>
      <c r="G33" s="176">
        <v>1</v>
      </c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41">
        <f t="shared" si="1"/>
        <v>1</v>
      </c>
      <c r="AF33" s="504" t="s">
        <v>412</v>
      </c>
      <c r="AG33" s="550" t="s">
        <v>41</v>
      </c>
      <c r="AH33" s="542"/>
      <c r="AI33" s="178" t="s">
        <v>444</v>
      </c>
      <c r="AJ33" s="179"/>
      <c r="AK33" s="491" t="s">
        <v>782</v>
      </c>
      <c r="AL33" s="492">
        <v>2.7303240740740743E-2</v>
      </c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253" t="s">
        <v>465</v>
      </c>
      <c r="F34" s="41">
        <f t="shared" si="3"/>
        <v>0</v>
      </c>
      <c r="G34" s="176"/>
      <c r="H34" s="176"/>
      <c r="I34" s="176"/>
      <c r="J34" s="176"/>
      <c r="K34" s="176"/>
      <c r="L34" s="176"/>
      <c r="M34" s="176"/>
      <c r="N34" s="176"/>
      <c r="O34" s="176"/>
      <c r="P34" s="502"/>
      <c r="Q34" s="502"/>
      <c r="R34" s="502"/>
      <c r="S34" s="502"/>
      <c r="T34" s="502"/>
      <c r="U34" s="502"/>
      <c r="V34" s="502"/>
      <c r="W34" s="502"/>
      <c r="X34" s="502"/>
      <c r="Y34" s="176"/>
      <c r="Z34" s="502"/>
      <c r="AA34" s="502"/>
      <c r="AB34" s="502"/>
      <c r="AC34" s="502"/>
      <c r="AD34" s="176"/>
      <c r="AE34" s="41">
        <f t="shared" si="1"/>
        <v>0</v>
      </c>
      <c r="AF34" s="504" t="s">
        <v>427</v>
      </c>
      <c r="AG34" s="550" t="s">
        <v>41</v>
      </c>
      <c r="AH34" s="542"/>
      <c r="AI34" s="178" t="s">
        <v>444</v>
      </c>
      <c r="AJ34" s="179"/>
      <c r="AK34" s="491" t="s">
        <v>761</v>
      </c>
      <c r="AL34" s="492">
        <v>1.5972222222222221E-2</v>
      </c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0</v>
      </c>
      <c r="G35" s="185">
        <v>0</v>
      </c>
      <c r="H35" s="185">
        <v>0</v>
      </c>
      <c r="I35" s="185">
        <v>0</v>
      </c>
      <c r="J35" s="185">
        <v>0</v>
      </c>
      <c r="K35" s="185">
        <v>0</v>
      </c>
      <c r="L35" s="185">
        <v>0</v>
      </c>
      <c r="M35" s="185">
        <v>0</v>
      </c>
      <c r="N35" s="185">
        <v>0</v>
      </c>
      <c r="O35" s="185">
        <v>0</v>
      </c>
      <c r="P35" s="185">
        <v>0</v>
      </c>
      <c r="Q35" s="185">
        <v>0</v>
      </c>
      <c r="R35" s="185">
        <v>0</v>
      </c>
      <c r="S35" s="185">
        <v>0</v>
      </c>
      <c r="T35" s="185">
        <v>0</v>
      </c>
      <c r="U35" s="185">
        <v>0</v>
      </c>
      <c r="V35" s="185">
        <v>0</v>
      </c>
      <c r="W35" s="185">
        <v>0</v>
      </c>
      <c r="X35" s="185">
        <v>0</v>
      </c>
      <c r="Y35" s="185">
        <v>0</v>
      </c>
      <c r="Z35" s="185">
        <v>0</v>
      </c>
      <c r="AA35" s="185">
        <v>0</v>
      </c>
      <c r="AB35" s="185">
        <v>0</v>
      </c>
      <c r="AC35" s="185">
        <v>0</v>
      </c>
      <c r="AD35" s="185">
        <v>0</v>
      </c>
      <c r="AE35" s="41">
        <f t="shared" si="1"/>
        <v>0</v>
      </c>
      <c r="AF35" s="89" t="s">
        <v>225</v>
      </c>
      <c r="AG35" s="550" t="s">
        <v>41</v>
      </c>
      <c r="AH35" s="542"/>
      <c r="AI35" s="178" t="s">
        <v>444</v>
      </c>
      <c r="AJ35" s="179"/>
      <c r="AK35" s="491" t="s">
        <v>762</v>
      </c>
      <c r="AL35" s="492">
        <v>2.613425925925926E-2</v>
      </c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253" t="s">
        <v>467</v>
      </c>
      <c r="F36" s="41">
        <f t="shared" si="3"/>
        <v>13</v>
      </c>
      <c r="G36" s="185"/>
      <c r="H36" s="185"/>
      <c r="I36" s="185"/>
      <c r="J36" s="185"/>
      <c r="K36" s="185"/>
      <c r="L36" s="185"/>
      <c r="M36" s="185"/>
      <c r="N36" s="185"/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/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>
        <v>1</v>
      </c>
      <c r="AC36" s="185"/>
      <c r="AD36" s="185"/>
      <c r="AE36" s="41">
        <f t="shared" si="1"/>
        <v>13</v>
      </c>
      <c r="AF36" s="504" t="s">
        <v>247</v>
      </c>
      <c r="AG36" s="550" t="s">
        <v>41</v>
      </c>
      <c r="AH36" s="542"/>
      <c r="AI36" s="178" t="s">
        <v>444</v>
      </c>
      <c r="AJ36" s="179"/>
      <c r="AK36" s="491" t="s">
        <v>105</v>
      </c>
      <c r="AL36" s="492">
        <v>1.7974537037037035E-2</v>
      </c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12</v>
      </c>
      <c r="G37" s="185"/>
      <c r="H37" s="185"/>
      <c r="I37" s="185"/>
      <c r="J37" s="185"/>
      <c r="K37" s="185"/>
      <c r="L37" s="185"/>
      <c r="M37" s="185"/>
      <c r="N37" s="185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/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85"/>
      <c r="AC37" s="185"/>
      <c r="AD37" s="185"/>
      <c r="AE37" s="41">
        <f t="shared" si="1"/>
        <v>12</v>
      </c>
      <c r="AF37" s="504" t="s">
        <v>247</v>
      </c>
      <c r="AG37" s="550" t="s">
        <v>41</v>
      </c>
      <c r="AH37" s="542"/>
      <c r="AI37" s="178" t="s">
        <v>444</v>
      </c>
      <c r="AJ37" s="179"/>
      <c r="AK37" s="491" t="s">
        <v>122</v>
      </c>
      <c r="AL37" s="492">
        <v>3.0810185185185187E-2</v>
      </c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488" t="s">
        <v>478</v>
      </c>
      <c r="F38" s="41">
        <f t="shared" si="3"/>
        <v>0</v>
      </c>
      <c r="G38" s="176"/>
      <c r="H38" s="176"/>
      <c r="I38" s="176"/>
      <c r="J38" s="176"/>
      <c r="K38" s="176"/>
      <c r="L38" s="176"/>
      <c r="M38" s="176"/>
      <c r="N38" s="176"/>
      <c r="O38" s="502"/>
      <c r="P38" s="502"/>
      <c r="Q38" s="502"/>
      <c r="R38" s="502"/>
      <c r="S38" s="502"/>
      <c r="T38" s="502"/>
      <c r="U38" s="502"/>
      <c r="V38" s="502"/>
      <c r="W38" s="176"/>
      <c r="X38" s="502"/>
      <c r="Y38" s="502"/>
      <c r="Z38" s="502"/>
      <c r="AA38" s="502"/>
      <c r="AB38" s="176"/>
      <c r="AC38" s="176"/>
      <c r="AD38" s="176"/>
      <c r="AE38" s="41">
        <f t="shared" si="1"/>
        <v>0</v>
      </c>
      <c r="AF38" s="504" t="s">
        <v>325</v>
      </c>
      <c r="AG38" s="550" t="s">
        <v>41</v>
      </c>
      <c r="AH38" s="542"/>
      <c r="AI38" s="178" t="s">
        <v>444</v>
      </c>
      <c r="AJ38" s="179"/>
      <c r="AK38" s="491" t="s">
        <v>922</v>
      </c>
      <c r="AL38" s="492">
        <v>2.1215277777777777E-2</v>
      </c>
    </row>
    <row r="39" spans="1:38" ht="14.25" customHeight="1" thickBot="1">
      <c r="A39" s="38" t="s">
        <v>41</v>
      </c>
      <c r="B39" s="76" t="s">
        <v>126</v>
      </c>
      <c r="C39" s="76">
        <v>986256130</v>
      </c>
      <c r="D39" s="99">
        <v>32</v>
      </c>
      <c r="E39" s="486" t="s">
        <v>127</v>
      </c>
      <c r="F39" s="41">
        <v>0</v>
      </c>
      <c r="G39" s="185">
        <v>0</v>
      </c>
      <c r="H39" s="185">
        <v>0</v>
      </c>
      <c r="I39" s="185">
        <v>0</v>
      </c>
      <c r="J39" s="185">
        <v>0</v>
      </c>
      <c r="K39" s="185">
        <v>0</v>
      </c>
      <c r="L39" s="185">
        <v>0</v>
      </c>
      <c r="M39" s="185">
        <v>0</v>
      </c>
      <c r="N39" s="185">
        <v>0</v>
      </c>
      <c r="O39" s="185">
        <v>0</v>
      </c>
      <c r="P39" s="185">
        <v>0</v>
      </c>
      <c r="Q39" s="185">
        <v>0</v>
      </c>
      <c r="R39" s="185">
        <v>0</v>
      </c>
      <c r="S39" s="185">
        <v>0</v>
      </c>
      <c r="T39" s="185">
        <v>0</v>
      </c>
      <c r="U39" s="185">
        <v>0</v>
      </c>
      <c r="V39" s="185">
        <v>0</v>
      </c>
      <c r="W39" s="185">
        <v>0</v>
      </c>
      <c r="X39" s="185">
        <v>0</v>
      </c>
      <c r="Y39" s="185">
        <v>0</v>
      </c>
      <c r="Z39" s="185">
        <v>0</v>
      </c>
      <c r="AA39" s="185">
        <v>0</v>
      </c>
      <c r="AB39" s="185">
        <v>0</v>
      </c>
      <c r="AC39" s="185">
        <v>0</v>
      </c>
      <c r="AD39" s="185">
        <v>0</v>
      </c>
      <c r="AE39" s="41">
        <f t="shared" ref="AE39" si="6">SUM(G39:AD39)</f>
        <v>0</v>
      </c>
      <c r="AF39" s="89" t="s">
        <v>225</v>
      </c>
      <c r="AG39" s="551" t="s">
        <v>910</v>
      </c>
      <c r="AH39" s="555"/>
      <c r="AI39" s="189" t="s">
        <v>444</v>
      </c>
      <c r="AJ39" s="179"/>
      <c r="AK39" s="491" t="s">
        <v>160</v>
      </c>
      <c r="AL39" s="492">
        <v>3.8425925925925928E-3</v>
      </c>
    </row>
    <row r="40" spans="1:38" ht="14.25" customHeight="1" thickBot="1">
      <c r="A40" s="38" t="s">
        <v>41</v>
      </c>
      <c r="B40" s="38" t="s">
        <v>88</v>
      </c>
      <c r="C40" s="38">
        <v>985570860</v>
      </c>
      <c r="D40" s="99">
        <v>33</v>
      </c>
      <c r="E40" s="486" t="s">
        <v>89</v>
      </c>
      <c r="F40" s="41">
        <v>11</v>
      </c>
      <c r="G40" s="185"/>
      <c r="H40" s="185"/>
      <c r="I40" s="185"/>
      <c r="J40" s="185"/>
      <c r="K40" s="185"/>
      <c r="L40" s="185"/>
      <c r="M40" s="185"/>
      <c r="N40" s="185"/>
      <c r="O40" s="185"/>
      <c r="P40" s="577" t="s">
        <v>471</v>
      </c>
      <c r="Q40" s="555"/>
      <c r="R40" s="555"/>
      <c r="S40" s="555"/>
      <c r="T40" s="555"/>
      <c r="U40" s="555"/>
      <c r="V40" s="555"/>
      <c r="W40" s="555"/>
      <c r="X40" s="555"/>
      <c r="Y40" s="555"/>
      <c r="Z40" s="542"/>
      <c r="AA40" s="185"/>
      <c r="AB40" s="185"/>
      <c r="AC40" s="185"/>
      <c r="AD40" s="185"/>
      <c r="AE40" s="41">
        <v>11</v>
      </c>
      <c r="AF40" s="504" t="s">
        <v>164</v>
      </c>
      <c r="AG40" s="551" t="s">
        <v>471</v>
      </c>
      <c r="AH40" s="555"/>
      <c r="AI40" s="189" t="s">
        <v>444</v>
      </c>
      <c r="AJ40" s="179"/>
      <c r="AK40" s="491" t="s">
        <v>462</v>
      </c>
      <c r="AL40" s="492">
        <v>2.8125000000000001E-2</v>
      </c>
    </row>
    <row r="41" spans="1:38" ht="14.25" customHeight="1" thickBot="1">
      <c r="A41" s="511" t="s">
        <v>41</v>
      </c>
      <c r="B41" s="512" t="s">
        <v>137</v>
      </c>
      <c r="C41" s="511"/>
      <c r="D41" s="513">
        <v>34</v>
      </c>
      <c r="E41" s="514" t="s">
        <v>138</v>
      </c>
      <c r="F41" s="515">
        <v>9</v>
      </c>
      <c r="G41" s="503">
        <v>0</v>
      </c>
      <c r="H41" s="503">
        <v>0</v>
      </c>
      <c r="I41" s="503">
        <v>0</v>
      </c>
      <c r="J41" s="503">
        <v>0</v>
      </c>
      <c r="K41" s="503">
        <v>0</v>
      </c>
      <c r="L41" s="503">
        <v>0</v>
      </c>
      <c r="M41" s="503">
        <v>0</v>
      </c>
      <c r="N41" s="503">
        <v>0</v>
      </c>
      <c r="O41" s="503">
        <v>0</v>
      </c>
      <c r="P41" s="503">
        <v>0</v>
      </c>
      <c r="Q41" s="503">
        <v>0</v>
      </c>
      <c r="R41" s="503">
        <v>0</v>
      </c>
      <c r="S41" s="503">
        <v>0</v>
      </c>
      <c r="T41" s="503">
        <v>0</v>
      </c>
      <c r="U41" s="503">
        <v>0</v>
      </c>
      <c r="V41" s="552" t="s">
        <v>320</v>
      </c>
      <c r="W41" s="553"/>
      <c r="X41" s="553"/>
      <c r="Y41" s="553"/>
      <c r="Z41" s="553"/>
      <c r="AA41" s="553"/>
      <c r="AB41" s="553"/>
      <c r="AC41" s="554"/>
      <c r="AD41" s="503">
        <v>1</v>
      </c>
      <c r="AE41" s="515">
        <v>9</v>
      </c>
      <c r="AF41" s="504" t="s">
        <v>218</v>
      </c>
      <c r="AG41" s="551" t="s">
        <v>320</v>
      </c>
      <c r="AH41" s="542"/>
      <c r="AI41" s="189" t="s">
        <v>444</v>
      </c>
      <c r="AJ41" s="179"/>
      <c r="AK41" s="491" t="s">
        <v>167</v>
      </c>
      <c r="AL41" s="492">
        <v>3.6817129629629623E-2</v>
      </c>
    </row>
    <row r="42" spans="1:38" ht="14.25" customHeight="1" thickBot="1">
      <c r="A42" s="38" t="s">
        <v>41</v>
      </c>
      <c r="B42" s="190" t="s">
        <v>190</v>
      </c>
      <c r="C42" s="98"/>
      <c r="D42" s="99">
        <v>35</v>
      </c>
      <c r="E42" s="145" t="s">
        <v>191</v>
      </c>
      <c r="F42" s="41">
        <v>0</v>
      </c>
      <c r="G42" s="185">
        <v>0</v>
      </c>
      <c r="H42" s="185">
        <v>0</v>
      </c>
      <c r="I42" s="185">
        <v>0</v>
      </c>
      <c r="J42" s="185">
        <v>0</v>
      </c>
      <c r="K42" s="185">
        <v>0</v>
      </c>
      <c r="L42" s="185">
        <v>0</v>
      </c>
      <c r="M42" s="185">
        <v>0</v>
      </c>
      <c r="N42" s="185">
        <v>0</v>
      </c>
      <c r="O42" s="185">
        <v>0</v>
      </c>
      <c r="P42" s="185">
        <v>0</v>
      </c>
      <c r="Q42" s="185">
        <v>0</v>
      </c>
      <c r="R42" s="185">
        <v>0</v>
      </c>
      <c r="S42" s="185">
        <v>0</v>
      </c>
      <c r="T42" s="185">
        <v>0</v>
      </c>
      <c r="U42" s="185">
        <v>0</v>
      </c>
      <c r="V42" s="185">
        <v>0</v>
      </c>
      <c r="W42" s="185">
        <v>0</v>
      </c>
      <c r="X42" s="185">
        <v>0</v>
      </c>
      <c r="Y42" s="185">
        <v>0</v>
      </c>
      <c r="Z42" s="185">
        <v>0</v>
      </c>
      <c r="AA42" s="185">
        <v>0</v>
      </c>
      <c r="AB42" s="185">
        <v>0</v>
      </c>
      <c r="AC42" s="185">
        <v>0</v>
      </c>
      <c r="AD42" s="185">
        <v>0</v>
      </c>
      <c r="AE42" s="41">
        <f t="shared" ref="AE42" si="7">SUM(G42:AD42)</f>
        <v>0</v>
      </c>
      <c r="AF42" s="89" t="s">
        <v>225</v>
      </c>
      <c r="AG42" s="551" t="s">
        <v>320</v>
      </c>
      <c r="AH42" s="542"/>
      <c r="AI42" s="189" t="s">
        <v>444</v>
      </c>
      <c r="AJ42" s="179"/>
      <c r="AK42" s="491" t="s">
        <v>168</v>
      </c>
      <c r="AL42" s="492">
        <v>8.564814814814815E-4</v>
      </c>
    </row>
    <row r="43" spans="1:38" ht="16.5" thickBot="1">
      <c r="A43" s="38" t="s">
        <v>41</v>
      </c>
      <c r="B43" s="38" t="s">
        <v>64</v>
      </c>
      <c r="C43" s="38">
        <v>995545886</v>
      </c>
      <c r="D43" s="99">
        <v>36</v>
      </c>
      <c r="E43" s="40" t="s">
        <v>65</v>
      </c>
      <c r="F43" s="41">
        <f t="shared" si="3"/>
        <v>0</v>
      </c>
      <c r="G43" s="185">
        <v>0</v>
      </c>
      <c r="H43" s="185">
        <v>0</v>
      </c>
      <c r="I43" s="185">
        <v>0</v>
      </c>
      <c r="J43" s="185">
        <v>0</v>
      </c>
      <c r="K43" s="185">
        <v>0</v>
      </c>
      <c r="L43" s="185">
        <v>0</v>
      </c>
      <c r="M43" s="185">
        <v>0</v>
      </c>
      <c r="N43" s="185">
        <v>0</v>
      </c>
      <c r="O43" s="185">
        <v>0</v>
      </c>
      <c r="P43" s="185">
        <v>0</v>
      </c>
      <c r="Q43" s="185">
        <v>0</v>
      </c>
      <c r="R43" s="185">
        <v>0</v>
      </c>
      <c r="S43" s="185">
        <v>0</v>
      </c>
      <c r="T43" s="185">
        <v>0</v>
      </c>
      <c r="U43" s="185">
        <v>0</v>
      </c>
      <c r="V43" s="185">
        <v>0</v>
      </c>
      <c r="W43" s="185">
        <v>0</v>
      </c>
      <c r="X43" s="185">
        <v>0</v>
      </c>
      <c r="Y43" s="185">
        <v>0</v>
      </c>
      <c r="Z43" s="185">
        <v>0</v>
      </c>
      <c r="AA43" s="185">
        <v>0</v>
      </c>
      <c r="AB43" s="185">
        <v>0</v>
      </c>
      <c r="AC43" s="185">
        <v>0</v>
      </c>
      <c r="AD43" s="185">
        <v>0</v>
      </c>
      <c r="AE43" s="41">
        <f t="shared" si="1"/>
        <v>0</v>
      </c>
      <c r="AF43" s="89" t="s">
        <v>225</v>
      </c>
      <c r="AG43" s="551" t="s">
        <v>473</v>
      </c>
      <c r="AH43" s="555"/>
      <c r="AI43" s="178" t="s">
        <v>444</v>
      </c>
      <c r="AJ43" s="179"/>
      <c r="AK43" s="491" t="s">
        <v>165</v>
      </c>
      <c r="AL43" s="492">
        <v>3.4826388888888886E-2</v>
      </c>
    </row>
    <row r="44" spans="1:38" ht="63" thickBot="1">
      <c r="A44" s="2"/>
      <c r="B44" s="2"/>
      <c r="C44" s="2"/>
      <c r="D44" s="128"/>
      <c r="E44" s="49"/>
      <c r="F44" s="50"/>
      <c r="G44" s="51" t="s">
        <v>9</v>
      </c>
      <c r="H44" s="51" t="s">
        <v>10</v>
      </c>
      <c r="I44" s="51" t="s">
        <v>11</v>
      </c>
      <c r="J44" s="51" t="s">
        <v>12</v>
      </c>
      <c r="K44" s="51" t="s">
        <v>13</v>
      </c>
      <c r="L44" s="51" t="s">
        <v>14</v>
      </c>
      <c r="M44" s="51" t="s">
        <v>15</v>
      </c>
      <c r="N44" s="51" t="s">
        <v>16</v>
      </c>
      <c r="O44" s="106" t="s">
        <v>17</v>
      </c>
      <c r="P44" s="106" t="s">
        <v>18</v>
      </c>
      <c r="Q44" s="107" t="s">
        <v>19</v>
      </c>
      <c r="R44" s="107" t="s">
        <v>20</v>
      </c>
      <c r="S44" s="107" t="s">
        <v>21</v>
      </c>
      <c r="T44" s="107" t="s">
        <v>22</v>
      </c>
      <c r="U44" s="107" t="s">
        <v>23</v>
      </c>
      <c r="V44" s="107" t="s">
        <v>24</v>
      </c>
      <c r="W44" s="107" t="s">
        <v>25</v>
      </c>
      <c r="X44" s="107" t="s">
        <v>26</v>
      </c>
      <c r="Y44" s="107" t="s">
        <v>27</v>
      </c>
      <c r="Z44" s="107" t="s">
        <v>28</v>
      </c>
      <c r="AA44" s="52" t="s">
        <v>29</v>
      </c>
      <c r="AB44" s="52" t="s">
        <v>30</v>
      </c>
      <c r="AC44" s="52" t="s">
        <v>31</v>
      </c>
      <c r="AD44" s="51" t="s">
        <v>32</v>
      </c>
      <c r="AE44" s="53"/>
      <c r="AF44" s="116"/>
      <c r="AG44" s="25"/>
      <c r="AH44" s="25"/>
      <c r="AI44" s="25"/>
      <c r="AJ44" s="25"/>
      <c r="AK44" s="491" t="s">
        <v>70</v>
      </c>
      <c r="AL44" s="492">
        <v>3.5300925925925923E-2</v>
      </c>
    </row>
    <row r="45" spans="1:38" ht="14.25" customHeight="1">
      <c r="A45" s="2"/>
      <c r="B45" s="2"/>
      <c r="C45" s="2"/>
      <c r="D45" s="152"/>
      <c r="E45" s="2"/>
      <c r="F45" s="2"/>
      <c r="AE45" s="2"/>
      <c r="AF45" s="2"/>
      <c r="AG45" s="2"/>
      <c r="AH45" s="2"/>
      <c r="AI45" s="2"/>
      <c r="AJ45" s="2"/>
      <c r="AK45" s="491" t="s">
        <v>134</v>
      </c>
      <c r="AL45" s="492">
        <v>4.4618055555555564E-2</v>
      </c>
    </row>
  </sheetData>
  <mergeCells count="45">
    <mergeCell ref="AG14:AH14"/>
    <mergeCell ref="AG15:AH15"/>
    <mergeCell ref="AG9:AH9"/>
    <mergeCell ref="AG10:AH10"/>
    <mergeCell ref="AG11:AH11"/>
    <mergeCell ref="AG12:AH12"/>
    <mergeCell ref="AG13:AH13"/>
    <mergeCell ref="AG8:AH8"/>
    <mergeCell ref="A1:B1"/>
    <mergeCell ref="D3:AE3"/>
    <mergeCell ref="E4:F4"/>
    <mergeCell ref="E5:F5"/>
    <mergeCell ref="AG7:AH7"/>
    <mergeCell ref="AG16:AH16"/>
    <mergeCell ref="AG17:AH17"/>
    <mergeCell ref="AG18:AH18"/>
    <mergeCell ref="AG19:AH19"/>
    <mergeCell ref="AG23:AH23"/>
    <mergeCell ref="AG21:AH21"/>
    <mergeCell ref="AG22:AH22"/>
    <mergeCell ref="AG20:AH20"/>
    <mergeCell ref="AG24:AH24"/>
    <mergeCell ref="AG25:AH25"/>
    <mergeCell ref="AG39:AH39"/>
    <mergeCell ref="AG40:AH40"/>
    <mergeCell ref="AG26:AH26"/>
    <mergeCell ref="AG27:AH27"/>
    <mergeCell ref="AG41:AH41"/>
    <mergeCell ref="AG42:AH42"/>
    <mergeCell ref="N27:AB27"/>
    <mergeCell ref="N13:U13"/>
    <mergeCell ref="AG43:AH43"/>
    <mergeCell ref="AG28:AH28"/>
    <mergeCell ref="AG29:AH29"/>
    <mergeCell ref="AG30:AH30"/>
    <mergeCell ref="V41:AC41"/>
    <mergeCell ref="AG32:AH32"/>
    <mergeCell ref="AG33:AH33"/>
    <mergeCell ref="AG34:AH34"/>
    <mergeCell ref="AG35:AH35"/>
    <mergeCell ref="AG36:AH36"/>
    <mergeCell ref="AG37:AH37"/>
    <mergeCell ref="N12:AB12"/>
    <mergeCell ref="P40:Z40"/>
    <mergeCell ref="AG38:AH38"/>
  </mergeCells>
  <conditionalFormatting sqref="G4:A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2356-0C97-4A30-B1FE-C552E61DBB92}">
  <dimension ref="A1:AL45"/>
  <sheetViews>
    <sheetView showGridLines="0" topLeftCell="A30" zoomScale="70" zoomScaleNormal="70" workbookViewId="0">
      <selection activeCell="A46" sqref="A46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347">
        <v>4</v>
      </c>
      <c r="H4" s="347">
        <v>3</v>
      </c>
      <c r="I4" s="347">
        <v>3</v>
      </c>
      <c r="J4" s="347">
        <v>3</v>
      </c>
      <c r="K4" s="347">
        <v>3</v>
      </c>
      <c r="L4" s="347">
        <v>3</v>
      </c>
      <c r="M4" s="347">
        <v>9</v>
      </c>
      <c r="N4" s="347">
        <v>9</v>
      </c>
      <c r="O4" s="347">
        <v>17</v>
      </c>
      <c r="P4" s="347">
        <v>18</v>
      </c>
      <c r="Q4" s="347">
        <v>20</v>
      </c>
      <c r="R4" s="347">
        <v>20</v>
      </c>
      <c r="S4" s="347">
        <v>18</v>
      </c>
      <c r="T4" s="347">
        <v>18</v>
      </c>
      <c r="U4" s="347">
        <v>18</v>
      </c>
      <c r="V4" s="347">
        <v>18</v>
      </c>
      <c r="W4" s="347">
        <v>18</v>
      </c>
      <c r="X4" s="347">
        <v>17</v>
      </c>
      <c r="Y4" s="347">
        <v>15</v>
      </c>
      <c r="Z4" s="347">
        <v>17</v>
      </c>
      <c r="AA4" s="347">
        <v>16</v>
      </c>
      <c r="AB4" s="347">
        <v>12</v>
      </c>
      <c r="AC4" s="347">
        <v>7</v>
      </c>
      <c r="AD4" s="347">
        <v>4</v>
      </c>
      <c r="AE4" s="18">
        <f>SUM(G4:AD4)</f>
        <v>290</v>
      </c>
      <c r="AF4" s="3"/>
      <c r="AG4" s="3"/>
      <c r="AH4" s="3"/>
      <c r="AI4" s="3"/>
      <c r="AJ4" s="3"/>
      <c r="AK4" s="3"/>
      <c r="AL4" s="3"/>
    </row>
    <row r="5" spans="1:38" ht="63" thickBot="1">
      <c r="A5" s="3"/>
      <c r="B5" s="2"/>
      <c r="C5" s="2"/>
      <c r="D5" s="19"/>
      <c r="E5" s="569">
        <v>2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1</v>
      </c>
      <c r="O6" s="28">
        <f t="shared" si="0"/>
        <v>2</v>
      </c>
      <c r="P6" s="28">
        <f t="shared" si="0"/>
        <v>4</v>
      </c>
      <c r="Q6" s="28">
        <f t="shared" si="0"/>
        <v>4</v>
      </c>
      <c r="R6" s="28">
        <f t="shared" si="0"/>
        <v>4</v>
      </c>
      <c r="S6" s="28">
        <f t="shared" si="0"/>
        <v>4</v>
      </c>
      <c r="T6" s="28">
        <f t="shared" si="0"/>
        <v>4</v>
      </c>
      <c r="U6" s="28">
        <f t="shared" si="0"/>
        <v>3</v>
      </c>
      <c r="V6" s="28">
        <f t="shared" si="0"/>
        <v>3</v>
      </c>
      <c r="W6" s="28">
        <f t="shared" si="0"/>
        <v>3</v>
      </c>
      <c r="X6" s="28">
        <f t="shared" si="0"/>
        <v>3</v>
      </c>
      <c r="Y6" s="28">
        <f t="shared" si="0"/>
        <v>3</v>
      </c>
      <c r="Z6" s="497">
        <f t="shared" si="0"/>
        <v>-2</v>
      </c>
      <c r="AA6" s="497">
        <f t="shared" si="0"/>
        <v>-2</v>
      </c>
      <c r="AB6" s="28">
        <f t="shared" si="0"/>
        <v>1</v>
      </c>
      <c r="AC6" s="28">
        <f t="shared" si="0"/>
        <v>0</v>
      </c>
      <c r="AD6" s="28">
        <f t="shared" si="0"/>
        <v>0</v>
      </c>
      <c r="AE6" s="29">
        <f t="shared" ref="AE6:AE38" si="1">SUM(G6:AD6)</f>
        <v>35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SUM(G8:G43)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9</v>
      </c>
      <c r="N7" s="172">
        <f t="shared" si="2"/>
        <v>10</v>
      </c>
      <c r="O7" s="172">
        <f t="shared" si="2"/>
        <v>19</v>
      </c>
      <c r="P7" s="172">
        <f t="shared" si="2"/>
        <v>22</v>
      </c>
      <c r="Q7" s="172">
        <f t="shared" si="2"/>
        <v>24</v>
      </c>
      <c r="R7" s="172">
        <f t="shared" si="2"/>
        <v>24</v>
      </c>
      <c r="S7" s="172">
        <f t="shared" si="2"/>
        <v>22</v>
      </c>
      <c r="T7" s="172">
        <f t="shared" si="2"/>
        <v>22</v>
      </c>
      <c r="U7" s="172">
        <f t="shared" si="2"/>
        <v>21</v>
      </c>
      <c r="V7" s="172">
        <f t="shared" si="2"/>
        <v>21</v>
      </c>
      <c r="W7" s="172">
        <f t="shared" si="2"/>
        <v>21</v>
      </c>
      <c r="X7" s="172">
        <f t="shared" si="2"/>
        <v>20</v>
      </c>
      <c r="Y7" s="172">
        <f t="shared" si="2"/>
        <v>18</v>
      </c>
      <c r="Z7" s="172">
        <f t="shared" si="2"/>
        <v>15</v>
      </c>
      <c r="AA7" s="172">
        <f t="shared" si="2"/>
        <v>14</v>
      </c>
      <c r="AB7" s="172">
        <f t="shared" si="2"/>
        <v>13</v>
      </c>
      <c r="AC7" s="172">
        <f t="shared" si="2"/>
        <v>7</v>
      </c>
      <c r="AD7" s="172">
        <f t="shared" si="2"/>
        <v>4</v>
      </c>
      <c r="AE7" s="168">
        <f t="shared" si="1"/>
        <v>325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38" si="3">SUM(G8:AD8)</f>
        <v>12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12</v>
      </c>
      <c r="AF8" s="504" t="s">
        <v>311</v>
      </c>
      <c r="AG8" s="550" t="s">
        <v>41</v>
      </c>
      <c r="AH8" s="542"/>
      <c r="AI8" s="178" t="s">
        <v>444</v>
      </c>
      <c r="AJ8" s="179"/>
      <c r="AK8" s="489" t="s">
        <v>146</v>
      </c>
      <c r="AL8" s="490">
        <v>4.1701388888888892E-2</v>
      </c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11</v>
      </c>
      <c r="G9" s="176"/>
      <c r="H9" s="176"/>
      <c r="I9" s="176"/>
      <c r="J9" s="176"/>
      <c r="K9" s="176"/>
      <c r="L9" s="176"/>
      <c r="M9" s="176"/>
      <c r="N9" s="176"/>
      <c r="O9" s="176">
        <v>1</v>
      </c>
      <c r="P9" s="176">
        <v>1</v>
      </c>
      <c r="Q9" s="176">
        <v>1</v>
      </c>
      <c r="R9" s="176">
        <v>1</v>
      </c>
      <c r="S9" s="176">
        <v>1</v>
      </c>
      <c r="T9" s="176">
        <v>1</v>
      </c>
      <c r="U9" s="505" t="s">
        <v>47</v>
      </c>
      <c r="V9" s="176">
        <v>1</v>
      </c>
      <c r="W9" s="176">
        <v>1</v>
      </c>
      <c r="X9" s="176">
        <v>1</v>
      </c>
      <c r="Y9" s="176">
        <v>1</v>
      </c>
      <c r="Z9" s="176">
        <v>1</v>
      </c>
      <c r="AA9" s="176"/>
      <c r="AB9" s="176"/>
      <c r="AC9" s="176"/>
      <c r="AD9" s="176"/>
      <c r="AE9" s="41">
        <f t="shared" si="1"/>
        <v>11</v>
      </c>
      <c r="AF9" s="504" t="s">
        <v>66</v>
      </c>
      <c r="AG9" s="556" t="s">
        <v>41</v>
      </c>
      <c r="AH9" s="557"/>
      <c r="AI9" s="178" t="s">
        <v>444</v>
      </c>
      <c r="AJ9" s="179"/>
      <c r="AK9" s="491" t="s">
        <v>477</v>
      </c>
      <c r="AL9" s="492">
        <v>3.1365740740740736E-2</v>
      </c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11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>
        <v>1</v>
      </c>
      <c r="T10" s="176">
        <v>1</v>
      </c>
      <c r="U10" s="176">
        <v>1</v>
      </c>
      <c r="V10" s="176">
        <v>1</v>
      </c>
      <c r="W10" s="176">
        <v>1</v>
      </c>
      <c r="X10" s="505" t="s">
        <v>47</v>
      </c>
      <c r="Y10" s="176"/>
      <c r="Z10" s="176"/>
      <c r="AA10" s="176"/>
      <c r="AB10" s="176"/>
      <c r="AC10" s="176"/>
      <c r="AD10" s="176"/>
      <c r="AE10" s="41">
        <f t="shared" si="1"/>
        <v>11</v>
      </c>
      <c r="AF10" s="504" t="s">
        <v>84</v>
      </c>
      <c r="AG10" s="556" t="s">
        <v>41</v>
      </c>
      <c r="AH10" s="557"/>
      <c r="AI10" s="178" t="s">
        <v>444</v>
      </c>
      <c r="AJ10" s="179"/>
      <c r="AK10" s="491" t="s">
        <v>921</v>
      </c>
      <c r="AL10" s="492">
        <v>1.423611111111111E-3</v>
      </c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10</v>
      </c>
      <c r="G11" s="176"/>
      <c r="H11" s="176"/>
      <c r="I11" s="176"/>
      <c r="J11" s="176"/>
      <c r="K11" s="176"/>
      <c r="L11" s="176"/>
      <c r="M11" s="176"/>
      <c r="N11" s="176"/>
      <c r="O11" s="520">
        <v>1</v>
      </c>
      <c r="P11" s="520">
        <v>1</v>
      </c>
      <c r="Q11" s="520">
        <v>1</v>
      </c>
      <c r="R11" s="520">
        <v>1</v>
      </c>
      <c r="S11" s="520">
        <v>1</v>
      </c>
      <c r="T11" s="520">
        <v>1</v>
      </c>
      <c r="U11" s="176">
        <v>1</v>
      </c>
      <c r="V11" s="176">
        <v>1</v>
      </c>
      <c r="W11" s="176">
        <v>1</v>
      </c>
      <c r="X11" s="176">
        <v>1</v>
      </c>
      <c r="Y11" s="176"/>
      <c r="Z11" s="176"/>
      <c r="AA11" s="176"/>
      <c r="AB11" s="176"/>
      <c r="AC11" s="176"/>
      <c r="AD11" s="176"/>
      <c r="AE11" s="41">
        <f t="shared" si="1"/>
        <v>10</v>
      </c>
      <c r="AF11" s="504" t="s">
        <v>180</v>
      </c>
      <c r="AG11" s="556" t="s">
        <v>41</v>
      </c>
      <c r="AH11" s="557"/>
      <c r="AI11" s="178" t="s">
        <v>444</v>
      </c>
      <c r="AJ11" s="179"/>
      <c r="AK11" s="491" t="s">
        <v>82</v>
      </c>
      <c r="AL11" s="492">
        <v>2.7048611111111114E-2</v>
      </c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15</v>
      </c>
      <c r="G12" s="176"/>
      <c r="H12" s="176"/>
      <c r="I12" s="176"/>
      <c r="J12" s="176"/>
      <c r="K12" s="176"/>
      <c r="L12" s="176"/>
      <c r="M12" s="176"/>
      <c r="N12" s="495">
        <v>1</v>
      </c>
      <c r="O12" s="495">
        <v>1</v>
      </c>
      <c r="P12" s="495">
        <v>1</v>
      </c>
      <c r="Q12" s="495">
        <v>1</v>
      </c>
      <c r="R12" s="495">
        <v>1</v>
      </c>
      <c r="S12" s="495">
        <v>1</v>
      </c>
      <c r="T12" s="495">
        <v>1</v>
      </c>
      <c r="U12" s="495">
        <v>1</v>
      </c>
      <c r="V12" s="495">
        <v>1</v>
      </c>
      <c r="W12" s="495">
        <v>1</v>
      </c>
      <c r="X12" s="495">
        <v>1</v>
      </c>
      <c r="Y12" s="495">
        <v>1</v>
      </c>
      <c r="Z12" s="495">
        <v>1</v>
      </c>
      <c r="AA12" s="495">
        <v>1</v>
      </c>
      <c r="AB12" s="495">
        <v>1</v>
      </c>
      <c r="AC12" s="176"/>
      <c r="AD12" s="176"/>
      <c r="AE12" s="515">
        <f t="shared" si="1"/>
        <v>15</v>
      </c>
      <c r="AF12" s="504" t="s">
        <v>380</v>
      </c>
      <c r="AG12" s="558" t="s">
        <v>41</v>
      </c>
      <c r="AH12" s="542"/>
      <c r="AI12" s="517" t="s">
        <v>444</v>
      </c>
      <c r="AJ12" s="179"/>
      <c r="AK12" s="491" t="s">
        <v>759</v>
      </c>
      <c r="AL12" s="492">
        <v>2.539351851851852E-2</v>
      </c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515">
        <f t="shared" si="3"/>
        <v>10</v>
      </c>
      <c r="G13" s="176"/>
      <c r="H13" s="176"/>
      <c r="I13" s="176"/>
      <c r="J13" s="176"/>
      <c r="K13" s="176"/>
      <c r="L13" s="176"/>
      <c r="M13" s="176">
        <v>1</v>
      </c>
      <c r="N13" s="176">
        <v>1</v>
      </c>
      <c r="O13" s="176">
        <v>1</v>
      </c>
      <c r="P13" s="176">
        <v>1</v>
      </c>
      <c r="Q13" s="176">
        <v>1</v>
      </c>
      <c r="R13" s="176">
        <v>1</v>
      </c>
      <c r="S13" s="176">
        <v>1</v>
      </c>
      <c r="T13" s="176"/>
      <c r="U13" s="505" t="s">
        <v>47</v>
      </c>
      <c r="V13" s="176">
        <v>1</v>
      </c>
      <c r="W13" s="176">
        <v>1</v>
      </c>
      <c r="X13" s="176">
        <v>1</v>
      </c>
      <c r="Y13" s="176"/>
      <c r="Z13" s="176"/>
      <c r="AA13" s="176"/>
      <c r="AB13" s="176"/>
      <c r="AC13" s="176"/>
      <c r="AD13" s="176"/>
      <c r="AE13" s="515">
        <f t="shared" si="1"/>
        <v>10</v>
      </c>
      <c r="AF13" s="504" t="s">
        <v>51</v>
      </c>
      <c r="AG13" s="550" t="s">
        <v>41</v>
      </c>
      <c r="AH13" s="542"/>
      <c r="AI13" s="178" t="s">
        <v>444</v>
      </c>
      <c r="AJ13" s="179"/>
      <c r="AK13" s="491" t="s">
        <v>445</v>
      </c>
      <c r="AL13" s="492">
        <v>4.5138888888888887E-4</v>
      </c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515">
        <f t="shared" si="3"/>
        <v>12</v>
      </c>
      <c r="G14" s="176">
        <v>1</v>
      </c>
      <c r="H14" s="176">
        <v>1</v>
      </c>
      <c r="I14" s="176">
        <v>1</v>
      </c>
      <c r="J14" s="176">
        <v>1</v>
      </c>
      <c r="K14" s="176">
        <v>1</v>
      </c>
      <c r="L14" s="176">
        <v>1</v>
      </c>
      <c r="M14" s="176">
        <v>1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515">
        <f t="shared" si="1"/>
        <v>12</v>
      </c>
      <c r="AF14" s="504" t="s">
        <v>311</v>
      </c>
      <c r="AG14" s="550" t="s">
        <v>41</v>
      </c>
      <c r="AH14" s="542"/>
      <c r="AI14" s="178" t="s">
        <v>444</v>
      </c>
      <c r="AJ14" s="179"/>
      <c r="AK14" s="491" t="s">
        <v>468</v>
      </c>
      <c r="AL14" s="492">
        <v>2.1180555555555553E-2</v>
      </c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515">
        <f t="shared" si="3"/>
        <v>12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>
        <v>1</v>
      </c>
      <c r="Q15" s="176">
        <v>1</v>
      </c>
      <c r="R15" s="176">
        <v>1</v>
      </c>
      <c r="S15" s="176">
        <v>1</v>
      </c>
      <c r="T15" s="176">
        <v>1</v>
      </c>
      <c r="U15" s="176">
        <v>1</v>
      </c>
      <c r="V15" s="176">
        <v>1</v>
      </c>
      <c r="W15" s="505" t="s">
        <v>47</v>
      </c>
      <c r="X15" s="176">
        <v>1</v>
      </c>
      <c r="Y15" s="176"/>
      <c r="Z15" s="176">
        <v>1</v>
      </c>
      <c r="AA15" s="176">
        <v>1</v>
      </c>
      <c r="AB15" s="176">
        <v>1</v>
      </c>
      <c r="AC15" s="176">
        <v>1</v>
      </c>
      <c r="AD15" s="176"/>
      <c r="AE15" s="515">
        <f t="shared" si="1"/>
        <v>12</v>
      </c>
      <c r="AF15" s="504" t="s">
        <v>427</v>
      </c>
      <c r="AG15" s="550" t="s">
        <v>41</v>
      </c>
      <c r="AH15" s="542"/>
      <c r="AI15" s="178" t="s">
        <v>444</v>
      </c>
      <c r="AJ15" s="179"/>
      <c r="AK15" s="491" t="s">
        <v>500</v>
      </c>
      <c r="AL15" s="492">
        <v>2.3148148148148147E-5</v>
      </c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515">
        <f t="shared" si="3"/>
        <v>12</v>
      </c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>
        <v>1</v>
      </c>
      <c r="R16" s="176">
        <v>1</v>
      </c>
      <c r="S16" s="176">
        <v>1</v>
      </c>
      <c r="T16" s="176"/>
      <c r="U16" s="505" t="s">
        <v>47</v>
      </c>
      <c r="V16" s="176">
        <v>1</v>
      </c>
      <c r="W16" s="176">
        <v>1</v>
      </c>
      <c r="X16" s="176">
        <v>1</v>
      </c>
      <c r="Y16" s="176">
        <v>1</v>
      </c>
      <c r="Z16" s="176">
        <v>1</v>
      </c>
      <c r="AA16" s="176">
        <v>1</v>
      </c>
      <c r="AB16" s="176">
        <v>1</v>
      </c>
      <c r="AC16" s="176">
        <v>1</v>
      </c>
      <c r="AD16" s="176">
        <v>1</v>
      </c>
      <c r="AE16" s="515">
        <f t="shared" si="1"/>
        <v>12</v>
      </c>
      <c r="AF16" s="504" t="s">
        <v>917</v>
      </c>
      <c r="AG16" s="550" t="s">
        <v>41</v>
      </c>
      <c r="AH16" s="542"/>
      <c r="AI16" s="178" t="s">
        <v>444</v>
      </c>
      <c r="AJ16" s="179"/>
      <c r="AK16" s="491" t="s">
        <v>115</v>
      </c>
      <c r="AL16" s="492">
        <v>3.5949074074074071E-2</v>
      </c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7</v>
      </c>
      <c r="G17" s="176"/>
      <c r="H17" s="176"/>
      <c r="I17" s="176"/>
      <c r="J17" s="176"/>
      <c r="K17" s="176"/>
      <c r="L17" s="176"/>
      <c r="M17" s="176"/>
      <c r="N17" s="176"/>
      <c r="O17" s="176">
        <v>1</v>
      </c>
      <c r="P17" s="176">
        <v>1</v>
      </c>
      <c r="Q17" s="176">
        <v>1</v>
      </c>
      <c r="R17" s="176">
        <v>1</v>
      </c>
      <c r="S17" s="176">
        <v>1</v>
      </c>
      <c r="T17" s="176">
        <v>1</v>
      </c>
      <c r="U17" s="176">
        <v>1</v>
      </c>
      <c r="V17" s="505" t="s">
        <v>47</v>
      </c>
      <c r="W17" s="176"/>
      <c r="X17" s="176"/>
      <c r="Y17" s="176"/>
      <c r="Z17" s="176"/>
      <c r="AA17" s="176"/>
      <c r="AB17" s="176"/>
      <c r="AC17" s="176"/>
      <c r="AD17" s="176"/>
      <c r="AE17" s="515">
        <f t="shared" si="1"/>
        <v>7</v>
      </c>
      <c r="AF17" s="95" t="s">
        <v>258</v>
      </c>
      <c r="AG17" s="559" t="s">
        <v>41</v>
      </c>
      <c r="AH17" s="560"/>
      <c r="AI17" s="178" t="s">
        <v>444</v>
      </c>
      <c r="AJ17" s="179"/>
      <c r="AK17" s="491" t="s">
        <v>45</v>
      </c>
      <c r="AL17" s="492">
        <v>4.3055555555555555E-2</v>
      </c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11</v>
      </c>
      <c r="G18" s="176"/>
      <c r="H18" s="176"/>
      <c r="I18" s="176"/>
      <c r="J18" s="176"/>
      <c r="K18" s="176"/>
      <c r="L18" s="176"/>
      <c r="M18" s="176">
        <v>1</v>
      </c>
      <c r="N18" s="176">
        <v>1</v>
      </c>
      <c r="O18" s="176">
        <v>1</v>
      </c>
      <c r="P18" s="176">
        <v>1</v>
      </c>
      <c r="Q18" s="176">
        <v>1</v>
      </c>
      <c r="R18" s="176">
        <v>1</v>
      </c>
      <c r="S18" s="176">
        <v>1</v>
      </c>
      <c r="T18" s="176">
        <v>1</v>
      </c>
      <c r="U18" s="176">
        <v>1</v>
      </c>
      <c r="V18" s="176">
        <v>1</v>
      </c>
      <c r="W18" s="176">
        <v>1</v>
      </c>
      <c r="X18" s="505" t="s">
        <v>47</v>
      </c>
      <c r="Y18" s="176"/>
      <c r="Z18" s="176"/>
      <c r="AA18" s="176"/>
      <c r="AB18" s="176"/>
      <c r="AC18" s="176"/>
      <c r="AD18" s="176"/>
      <c r="AE18" s="41">
        <f t="shared" si="1"/>
        <v>11</v>
      </c>
      <c r="AF18" s="504" t="s">
        <v>84</v>
      </c>
      <c r="AG18" s="550" t="s">
        <v>41</v>
      </c>
      <c r="AH18" s="542"/>
      <c r="AI18" s="178" t="s">
        <v>444</v>
      </c>
      <c r="AJ18" s="179"/>
      <c r="AK18" s="491" t="s">
        <v>446</v>
      </c>
      <c r="AL18" s="492">
        <v>4.5509259259259256E-2</v>
      </c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f t="shared" si="3"/>
        <v>13</v>
      </c>
      <c r="G19" s="176"/>
      <c r="H19" s="176"/>
      <c r="I19" s="176"/>
      <c r="J19" s="176"/>
      <c r="K19" s="176"/>
      <c r="L19" s="176"/>
      <c r="M19" s="176">
        <v>1</v>
      </c>
      <c r="N19" s="176">
        <v>1</v>
      </c>
      <c r="O19" s="176">
        <v>1</v>
      </c>
      <c r="P19" s="508">
        <v>1</v>
      </c>
      <c r="Q19" s="508">
        <v>1</v>
      </c>
      <c r="R19" s="508">
        <v>1</v>
      </c>
      <c r="S19" s="508">
        <v>1</v>
      </c>
      <c r="T19" s="508">
        <v>1</v>
      </c>
      <c r="U19" s="508">
        <v>1</v>
      </c>
      <c r="V19" s="508">
        <v>1</v>
      </c>
      <c r="W19" s="508">
        <v>1</v>
      </c>
      <c r="X19" s="508">
        <v>1</v>
      </c>
      <c r="Y19" s="508">
        <v>1</v>
      </c>
      <c r="Z19" s="176"/>
      <c r="AA19" s="176"/>
      <c r="AB19" s="176"/>
      <c r="AC19" s="176"/>
      <c r="AD19" s="176"/>
      <c r="AE19" s="41">
        <f t="shared" si="1"/>
        <v>13</v>
      </c>
      <c r="AF19" s="504" t="s">
        <v>261</v>
      </c>
      <c r="AG19" s="556" t="s">
        <v>41</v>
      </c>
      <c r="AH19" s="557"/>
      <c r="AI19" s="178" t="s">
        <v>444</v>
      </c>
      <c r="AJ19" s="179"/>
      <c r="AK19" s="491" t="s">
        <v>55</v>
      </c>
      <c r="AL19" s="492">
        <v>4.5439814814814822E-2</v>
      </c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13</v>
      </c>
      <c r="G20" s="176">
        <v>1</v>
      </c>
      <c r="H20" s="176">
        <v>1</v>
      </c>
      <c r="I20" s="176">
        <v>1</v>
      </c>
      <c r="J20" s="176">
        <v>1</v>
      </c>
      <c r="K20" s="176">
        <v>1</v>
      </c>
      <c r="L20" s="176">
        <v>1</v>
      </c>
      <c r="M20" s="176">
        <v>1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>
        <v>1</v>
      </c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13</v>
      </c>
      <c r="AF20" s="504" t="s">
        <v>311</v>
      </c>
      <c r="AG20" s="550" t="s">
        <v>41</v>
      </c>
      <c r="AH20" s="542"/>
      <c r="AI20" s="178" t="s">
        <v>444</v>
      </c>
      <c r="AJ20" s="179"/>
      <c r="AK20" s="491" t="s">
        <v>447</v>
      </c>
      <c r="AL20" s="492">
        <v>3.6180555555555549E-2</v>
      </c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11</v>
      </c>
      <c r="G21" s="176"/>
      <c r="H21" s="176"/>
      <c r="I21" s="176"/>
      <c r="J21" s="176"/>
      <c r="K21" s="176"/>
      <c r="L21" s="176"/>
      <c r="M21" s="176"/>
      <c r="N21" s="176">
        <v>1</v>
      </c>
      <c r="O21" s="176">
        <v>1</v>
      </c>
      <c r="P21" s="176">
        <v>1</v>
      </c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505" t="s">
        <v>47</v>
      </c>
      <c r="X21" s="176">
        <v>1</v>
      </c>
      <c r="Y21" s="176">
        <v>1</v>
      </c>
      <c r="Z21" s="176"/>
      <c r="AA21" s="176"/>
      <c r="AB21" s="176"/>
      <c r="AC21" s="176"/>
      <c r="AD21" s="176"/>
      <c r="AE21" s="41">
        <f t="shared" si="1"/>
        <v>11</v>
      </c>
      <c r="AF21" s="504" t="s">
        <v>327</v>
      </c>
      <c r="AG21" s="550" t="s">
        <v>41</v>
      </c>
      <c r="AH21" s="542"/>
      <c r="AI21" s="178" t="s">
        <v>444</v>
      </c>
      <c r="AJ21" s="179"/>
      <c r="AK21" s="491" t="s">
        <v>449</v>
      </c>
      <c r="AL21" s="492">
        <v>3.923611111111111E-2</v>
      </c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10</v>
      </c>
      <c r="G22" s="176"/>
      <c r="H22" s="176"/>
      <c r="I22" s="176"/>
      <c r="J22" s="176"/>
      <c r="K22" s="176"/>
      <c r="L22" s="176"/>
      <c r="M22" s="176">
        <v>1</v>
      </c>
      <c r="N22" s="176">
        <v>1</v>
      </c>
      <c r="O22" s="176">
        <v>1</v>
      </c>
      <c r="P22" s="176">
        <v>1</v>
      </c>
      <c r="Q22" s="176">
        <v>1</v>
      </c>
      <c r="R22" s="176">
        <v>1</v>
      </c>
      <c r="S22" s="176">
        <v>1</v>
      </c>
      <c r="T22" s="176">
        <v>1</v>
      </c>
      <c r="U22" s="176">
        <v>1</v>
      </c>
      <c r="V22" s="176">
        <v>1</v>
      </c>
      <c r="W22" s="505" t="s">
        <v>47</v>
      </c>
      <c r="X22" s="176"/>
      <c r="Y22" s="176"/>
      <c r="Z22" s="176"/>
      <c r="AA22" s="176"/>
      <c r="AB22" s="176"/>
      <c r="AC22" s="176"/>
      <c r="AD22" s="176"/>
      <c r="AE22" s="41">
        <f t="shared" si="1"/>
        <v>10</v>
      </c>
      <c r="AF22" s="504" t="s">
        <v>192</v>
      </c>
      <c r="AG22" s="550" t="s">
        <v>41</v>
      </c>
      <c r="AH22" s="542"/>
      <c r="AI22" s="178" t="s">
        <v>444</v>
      </c>
      <c r="AJ22" s="179"/>
      <c r="AK22" s="491" t="s">
        <v>450</v>
      </c>
      <c r="AL22" s="492">
        <v>9.2129629629629627E-3</v>
      </c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9</v>
      </c>
      <c r="G23" s="176"/>
      <c r="H23" s="176"/>
      <c r="I23" s="176"/>
      <c r="J23" s="176"/>
      <c r="K23" s="176"/>
      <c r="L23" s="176"/>
      <c r="M23" s="176"/>
      <c r="N23" s="176"/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505" t="s">
        <v>47</v>
      </c>
      <c r="W23" s="176">
        <v>1</v>
      </c>
      <c r="X23" s="176">
        <v>1</v>
      </c>
      <c r="Y23" s="176"/>
      <c r="Z23" s="176"/>
      <c r="AA23" s="176"/>
      <c r="AB23" s="176"/>
      <c r="AC23" s="176"/>
      <c r="AD23" s="176"/>
      <c r="AE23" s="41">
        <f t="shared" si="1"/>
        <v>9</v>
      </c>
      <c r="AF23" s="504" t="s">
        <v>783</v>
      </c>
      <c r="AG23" s="550" t="s">
        <v>41</v>
      </c>
      <c r="AH23" s="542"/>
      <c r="AI23" s="178" t="s">
        <v>444</v>
      </c>
      <c r="AJ23" s="179"/>
      <c r="AK23" s="491" t="s">
        <v>451</v>
      </c>
      <c r="AL23" s="492">
        <v>4.0439814814814803E-2</v>
      </c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10</v>
      </c>
      <c r="G24" s="176"/>
      <c r="H24" s="176"/>
      <c r="I24" s="176"/>
      <c r="J24" s="176"/>
      <c r="K24" s="176"/>
      <c r="L24" s="176"/>
      <c r="M24" s="176">
        <v>1</v>
      </c>
      <c r="N24" s="176">
        <v>1</v>
      </c>
      <c r="O24" s="176">
        <v>1</v>
      </c>
      <c r="P24" s="176">
        <v>1</v>
      </c>
      <c r="Q24" s="176">
        <v>1</v>
      </c>
      <c r="R24" s="176">
        <v>1</v>
      </c>
      <c r="S24" s="176">
        <v>1</v>
      </c>
      <c r="T24" s="176"/>
      <c r="U24" s="505" t="s">
        <v>47</v>
      </c>
      <c r="V24" s="176">
        <v>1</v>
      </c>
      <c r="W24" s="176">
        <v>1</v>
      </c>
      <c r="X24" s="176">
        <v>1</v>
      </c>
      <c r="Y24" s="176"/>
      <c r="Z24" s="176"/>
      <c r="AA24" s="176"/>
      <c r="AB24" s="176"/>
      <c r="AC24" s="176"/>
      <c r="AD24" s="176"/>
      <c r="AE24" s="41">
        <f t="shared" si="1"/>
        <v>10</v>
      </c>
      <c r="AF24" s="504" t="s">
        <v>51</v>
      </c>
      <c r="AG24" s="561" t="s">
        <v>471</v>
      </c>
      <c r="AH24" s="562"/>
      <c r="AI24" s="178" t="s">
        <v>444</v>
      </c>
      <c r="AJ24" s="179"/>
      <c r="AK24" s="491" t="s">
        <v>88</v>
      </c>
      <c r="AL24" s="492">
        <v>2.8472222222222225E-2</v>
      </c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8</v>
      </c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505" t="s">
        <v>47</v>
      </c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/>
      <c r="AE25" s="41">
        <f t="shared" si="1"/>
        <v>8</v>
      </c>
      <c r="AF25" s="504" t="s">
        <v>81</v>
      </c>
      <c r="AG25" s="550" t="s">
        <v>41</v>
      </c>
      <c r="AH25" s="542"/>
      <c r="AI25" s="178" t="s">
        <v>444</v>
      </c>
      <c r="AJ25" s="179"/>
      <c r="AK25" s="491" t="s">
        <v>111</v>
      </c>
      <c r="AL25" s="492">
        <v>5.0752314814814813E-2</v>
      </c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0</v>
      </c>
      <c r="G26" s="176"/>
      <c r="H26" s="176"/>
      <c r="I26" s="176"/>
      <c r="J26" s="176"/>
      <c r="K26" s="176"/>
      <c r="L26" s="176"/>
      <c r="M26" s="176"/>
      <c r="N26" s="176" t="s">
        <v>915</v>
      </c>
      <c r="O26" s="176" t="s">
        <v>204</v>
      </c>
      <c r="P26" s="176" t="s">
        <v>47</v>
      </c>
      <c r="Q26" s="176" t="s">
        <v>204</v>
      </c>
      <c r="R26" s="176" t="s">
        <v>47</v>
      </c>
      <c r="S26" s="176" t="s">
        <v>203</v>
      </c>
      <c r="T26" s="176" t="s">
        <v>348</v>
      </c>
      <c r="U26" s="176" t="s">
        <v>201</v>
      </c>
      <c r="V26" s="176" t="s">
        <v>200</v>
      </c>
      <c r="W26" s="176" t="s">
        <v>350</v>
      </c>
      <c r="X26" s="176"/>
      <c r="Y26" s="176"/>
      <c r="Z26" s="176"/>
      <c r="AA26" s="176"/>
      <c r="AB26" s="176"/>
      <c r="AC26" s="176"/>
      <c r="AD26" s="176"/>
      <c r="AE26" s="41">
        <f t="shared" si="1"/>
        <v>0</v>
      </c>
      <c r="AF26" s="95" t="s">
        <v>6</v>
      </c>
      <c r="AG26" s="550" t="s">
        <v>41</v>
      </c>
      <c r="AH26" s="542"/>
      <c r="AI26" s="178" t="s">
        <v>444</v>
      </c>
      <c r="AJ26" s="179"/>
      <c r="AK26" s="491" t="s">
        <v>456</v>
      </c>
      <c r="AL26" s="492">
        <v>2.1689814814814815E-2</v>
      </c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11</v>
      </c>
      <c r="G27" s="176"/>
      <c r="H27" s="176"/>
      <c r="I27" s="176"/>
      <c r="J27" s="176"/>
      <c r="K27" s="176"/>
      <c r="L27" s="176"/>
      <c r="M27" s="176"/>
      <c r="N27" s="176">
        <v>1</v>
      </c>
      <c r="O27" s="176">
        <v>1</v>
      </c>
      <c r="P27" s="176">
        <v>1</v>
      </c>
      <c r="Q27" s="176">
        <v>1</v>
      </c>
      <c r="R27" s="176">
        <v>1</v>
      </c>
      <c r="S27" s="176">
        <v>1</v>
      </c>
      <c r="T27" s="176">
        <v>1</v>
      </c>
      <c r="U27" s="176">
        <v>1</v>
      </c>
      <c r="V27" s="505" t="s">
        <v>47</v>
      </c>
      <c r="W27" s="176">
        <v>1</v>
      </c>
      <c r="X27" s="176">
        <v>1</v>
      </c>
      <c r="Y27" s="176">
        <v>1</v>
      </c>
      <c r="Z27" s="176"/>
      <c r="AA27" s="176"/>
      <c r="AB27" s="176"/>
      <c r="AC27" s="176"/>
      <c r="AD27" s="176"/>
      <c r="AE27" s="41">
        <f t="shared" si="1"/>
        <v>11</v>
      </c>
      <c r="AF27" s="516" t="s">
        <v>327</v>
      </c>
      <c r="AG27" s="550" t="s">
        <v>41</v>
      </c>
      <c r="AH27" s="542"/>
      <c r="AI27" s="178" t="s">
        <v>444</v>
      </c>
      <c r="AJ27" s="179"/>
      <c r="AK27" s="491" t="s">
        <v>452</v>
      </c>
      <c r="AL27" s="492">
        <v>6.5682870370370364E-2</v>
      </c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12</v>
      </c>
      <c r="G28" s="176"/>
      <c r="H28" s="176"/>
      <c r="I28" s="176"/>
      <c r="J28" s="176"/>
      <c r="K28" s="176"/>
      <c r="L28" s="176"/>
      <c r="M28" s="176"/>
      <c r="N28" s="176"/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505" t="s">
        <v>47</v>
      </c>
      <c r="W28" s="176">
        <v>1</v>
      </c>
      <c r="X28" s="176">
        <v>1</v>
      </c>
      <c r="Y28" s="176">
        <v>1</v>
      </c>
      <c r="Z28" s="176"/>
      <c r="AA28" s="176">
        <v>1</v>
      </c>
      <c r="AB28" s="176">
        <v>1</v>
      </c>
      <c r="AC28" s="176"/>
      <c r="AD28" s="176"/>
      <c r="AE28" s="41">
        <f t="shared" si="1"/>
        <v>12</v>
      </c>
      <c r="AF28" s="504" t="s">
        <v>918</v>
      </c>
      <c r="AG28" s="550" t="s">
        <v>41</v>
      </c>
      <c r="AH28" s="542"/>
      <c r="AI28" s="178" t="s">
        <v>444</v>
      </c>
      <c r="AJ28" s="179"/>
      <c r="AK28" s="491" t="s">
        <v>485</v>
      </c>
      <c r="AL28" s="492">
        <v>1.8865740740740738E-2</v>
      </c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13</v>
      </c>
      <c r="G29" s="176">
        <v>1</v>
      </c>
      <c r="H29" s="176"/>
      <c r="I29" s="176"/>
      <c r="J29" s="176"/>
      <c r="K29" s="176"/>
      <c r="L29" s="176"/>
      <c r="M29" s="176"/>
      <c r="N29" s="176"/>
      <c r="O29" s="176"/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505" t="s">
        <v>47</v>
      </c>
      <c r="W29" s="176">
        <v>1</v>
      </c>
      <c r="X29" s="176">
        <v>1</v>
      </c>
      <c r="Y29" s="176">
        <v>1</v>
      </c>
      <c r="Z29" s="176"/>
      <c r="AA29" s="176">
        <v>1</v>
      </c>
      <c r="AB29" s="176">
        <v>1</v>
      </c>
      <c r="AC29" s="176">
        <v>1</v>
      </c>
      <c r="AD29" s="176"/>
      <c r="AE29" s="41">
        <f t="shared" si="1"/>
        <v>13</v>
      </c>
      <c r="AF29" s="504" t="s">
        <v>919</v>
      </c>
      <c r="AG29" s="556" t="s">
        <v>41</v>
      </c>
      <c r="AH29" s="557"/>
      <c r="AI29" s="178" t="s">
        <v>444</v>
      </c>
      <c r="AJ29" s="179"/>
      <c r="AK29" s="491" t="s">
        <v>178</v>
      </c>
      <c r="AL29" s="492">
        <v>2.0497685185185185E-2</v>
      </c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12</v>
      </c>
      <c r="G30" s="176"/>
      <c r="H30" s="176"/>
      <c r="I30" s="176"/>
      <c r="J30" s="176"/>
      <c r="K30" s="176"/>
      <c r="L30" s="176"/>
      <c r="M30" s="176"/>
      <c r="N30" s="176"/>
      <c r="O30" s="176"/>
      <c r="P30" s="508">
        <v>1</v>
      </c>
      <c r="Q30" s="508">
        <v>1</v>
      </c>
      <c r="R30" s="508">
        <v>1</v>
      </c>
      <c r="S30" s="508">
        <v>1</v>
      </c>
      <c r="T30" s="508">
        <v>1</v>
      </c>
      <c r="U30" s="508">
        <v>1</v>
      </c>
      <c r="V30" s="508">
        <v>1</v>
      </c>
      <c r="W30" s="508">
        <v>1</v>
      </c>
      <c r="X30" s="508">
        <v>1</v>
      </c>
      <c r="Y30" s="508">
        <v>1</v>
      </c>
      <c r="Z30" s="176">
        <v>1</v>
      </c>
      <c r="AA30" s="176">
        <v>1</v>
      </c>
      <c r="AB30" s="176"/>
      <c r="AC30" s="176"/>
      <c r="AD30" s="176"/>
      <c r="AE30" s="41">
        <f t="shared" si="1"/>
        <v>12</v>
      </c>
      <c r="AF30" s="516" t="s">
        <v>69</v>
      </c>
      <c r="AG30" s="550" t="s">
        <v>41</v>
      </c>
      <c r="AH30" s="542"/>
      <c r="AI30" s="178" t="s">
        <v>444</v>
      </c>
      <c r="AJ30" s="179"/>
      <c r="AK30" s="491" t="s">
        <v>190</v>
      </c>
      <c r="AL30" s="492">
        <v>2.7013888888888893E-2</v>
      </c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11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>
        <v>1</v>
      </c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505" t="s">
        <v>47</v>
      </c>
      <c r="X31" s="176">
        <v>1</v>
      </c>
      <c r="Y31" s="176">
        <v>1</v>
      </c>
      <c r="Z31" s="176">
        <v>1</v>
      </c>
      <c r="AA31" s="176">
        <v>1</v>
      </c>
      <c r="AB31" s="176">
        <v>1</v>
      </c>
      <c r="AC31" s="176"/>
      <c r="AD31" s="176"/>
      <c r="AE31" s="41">
        <f t="shared" si="1"/>
        <v>11</v>
      </c>
      <c r="AF31" s="504" t="s">
        <v>96</v>
      </c>
      <c r="AG31" s="177" t="s">
        <v>41</v>
      </c>
      <c r="AH31" s="186" t="s">
        <v>320</v>
      </c>
      <c r="AI31" s="178" t="s">
        <v>444</v>
      </c>
      <c r="AJ31" s="179"/>
      <c r="AK31" s="491" t="s">
        <v>117</v>
      </c>
      <c r="AL31" s="492">
        <v>5.8576388888888886E-2</v>
      </c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11</v>
      </c>
      <c r="G32" s="176"/>
      <c r="H32" s="176"/>
      <c r="I32" s="176"/>
      <c r="J32" s="176"/>
      <c r="K32" s="176"/>
      <c r="L32" s="176"/>
      <c r="M32" s="176"/>
      <c r="N32" s="176"/>
      <c r="O32" s="176">
        <v>1</v>
      </c>
      <c r="P32" s="176">
        <v>1</v>
      </c>
      <c r="Q32" s="176">
        <v>1</v>
      </c>
      <c r="R32" s="176">
        <v>1</v>
      </c>
      <c r="S32" s="505" t="s">
        <v>47</v>
      </c>
      <c r="T32" s="176">
        <v>1</v>
      </c>
      <c r="U32" s="176">
        <v>1</v>
      </c>
      <c r="V32" s="176">
        <v>1</v>
      </c>
      <c r="W32" s="176">
        <v>1</v>
      </c>
      <c r="X32" s="176">
        <v>1</v>
      </c>
      <c r="Y32" s="176">
        <v>1</v>
      </c>
      <c r="Z32" s="176">
        <v>1</v>
      </c>
      <c r="AA32" s="176"/>
      <c r="AB32" s="176"/>
      <c r="AC32" s="176"/>
      <c r="AD32" s="176"/>
      <c r="AE32" s="41">
        <f t="shared" si="1"/>
        <v>11</v>
      </c>
      <c r="AF32" s="504" t="s">
        <v>66</v>
      </c>
      <c r="AG32" s="558" t="s">
        <v>41</v>
      </c>
      <c r="AH32" s="542"/>
      <c r="AI32" s="178" t="s">
        <v>444</v>
      </c>
      <c r="AJ32" s="179"/>
      <c r="AK32" s="491" t="s">
        <v>120</v>
      </c>
      <c r="AL32" s="492">
        <v>3.7812499999999985E-2</v>
      </c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12</v>
      </c>
      <c r="G33" s="176"/>
      <c r="H33" s="176"/>
      <c r="I33" s="176"/>
      <c r="J33" s="176"/>
      <c r="K33" s="176"/>
      <c r="L33" s="176"/>
      <c r="M33" s="176"/>
      <c r="N33" s="176"/>
      <c r="O33" s="176"/>
      <c r="P33" s="176">
        <v>1</v>
      </c>
      <c r="Q33" s="176">
        <v>1</v>
      </c>
      <c r="R33" s="176">
        <v>1</v>
      </c>
      <c r="S33" s="176">
        <v>1</v>
      </c>
      <c r="T33" s="176">
        <v>1</v>
      </c>
      <c r="U33" s="176">
        <v>1</v>
      </c>
      <c r="V33" s="176">
        <v>1</v>
      </c>
      <c r="W33" s="176">
        <v>1</v>
      </c>
      <c r="X33" s="505" t="s">
        <v>47</v>
      </c>
      <c r="Y33" s="176">
        <v>1</v>
      </c>
      <c r="Z33" s="176">
        <v>1</v>
      </c>
      <c r="AA33" s="176">
        <v>1</v>
      </c>
      <c r="AB33" s="176">
        <v>1</v>
      </c>
      <c r="AC33" s="176"/>
      <c r="AD33" s="176"/>
      <c r="AE33" s="41">
        <f t="shared" si="1"/>
        <v>12</v>
      </c>
      <c r="AF33" s="504" t="s">
        <v>326</v>
      </c>
      <c r="AG33" s="550" t="s">
        <v>41</v>
      </c>
      <c r="AH33" s="542"/>
      <c r="AI33" s="178" t="s">
        <v>444</v>
      </c>
      <c r="AJ33" s="179"/>
      <c r="AK33" s="491" t="s">
        <v>128</v>
      </c>
      <c r="AL33" s="492">
        <v>2.3483796296296294E-2</v>
      </c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12</v>
      </c>
      <c r="G34" s="176"/>
      <c r="H34" s="176"/>
      <c r="I34" s="176"/>
      <c r="J34" s="176"/>
      <c r="K34" s="176"/>
      <c r="L34" s="176"/>
      <c r="M34" s="176"/>
      <c r="N34" s="176"/>
      <c r="O34" s="176"/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>
        <v>1</v>
      </c>
      <c r="X34" s="505" t="s">
        <v>47</v>
      </c>
      <c r="Y34" s="176">
        <v>1</v>
      </c>
      <c r="Z34" s="176">
        <v>1</v>
      </c>
      <c r="AA34" s="176">
        <v>1</v>
      </c>
      <c r="AB34" s="176">
        <v>1</v>
      </c>
      <c r="AC34" s="176"/>
      <c r="AD34" s="176"/>
      <c r="AE34" s="41">
        <f t="shared" si="1"/>
        <v>12</v>
      </c>
      <c r="AF34" s="504" t="s">
        <v>326</v>
      </c>
      <c r="AG34" s="550" t="s">
        <v>41</v>
      </c>
      <c r="AH34" s="542"/>
      <c r="AI34" s="178" t="s">
        <v>444</v>
      </c>
      <c r="AJ34" s="179"/>
      <c r="AK34" s="491" t="s">
        <v>149</v>
      </c>
      <c r="AL34" s="492">
        <v>3.2731481481481473E-2</v>
      </c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11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176">
        <v>1</v>
      </c>
      <c r="Q35" s="176">
        <v>1</v>
      </c>
      <c r="R35" s="176">
        <v>1</v>
      </c>
      <c r="S35" s="505" t="s">
        <v>47</v>
      </c>
      <c r="T35" s="176">
        <v>1</v>
      </c>
      <c r="U35" s="176">
        <v>1</v>
      </c>
      <c r="V35" s="176">
        <v>1</v>
      </c>
      <c r="W35" s="176">
        <v>1</v>
      </c>
      <c r="X35" s="176">
        <v>1</v>
      </c>
      <c r="Y35" s="176">
        <v>1</v>
      </c>
      <c r="Z35" s="176">
        <v>1</v>
      </c>
      <c r="AA35" s="176"/>
      <c r="AB35" s="176"/>
      <c r="AC35" s="176"/>
      <c r="AD35" s="176"/>
      <c r="AE35" s="41">
        <f t="shared" si="1"/>
        <v>11</v>
      </c>
      <c r="AF35" s="504" t="s">
        <v>66</v>
      </c>
      <c r="AG35" s="550" t="s">
        <v>41</v>
      </c>
      <c r="AH35" s="542"/>
      <c r="AI35" s="178" t="s">
        <v>444</v>
      </c>
      <c r="AJ35" s="179"/>
      <c r="AK35" s="491" t="s">
        <v>94</v>
      </c>
      <c r="AL35" s="492">
        <v>2.9131944444444446E-2</v>
      </c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0</v>
      </c>
      <c r="G36" s="176">
        <v>0</v>
      </c>
      <c r="H36" s="176">
        <v>0</v>
      </c>
      <c r="I36" s="176">
        <v>0</v>
      </c>
      <c r="J36" s="176"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0</v>
      </c>
      <c r="S36" s="176">
        <v>0</v>
      </c>
      <c r="T36" s="176">
        <v>0</v>
      </c>
      <c r="U36" s="176">
        <v>0</v>
      </c>
      <c r="V36" s="176">
        <v>0</v>
      </c>
      <c r="W36" s="176">
        <v>0</v>
      </c>
      <c r="X36" s="176">
        <v>0</v>
      </c>
      <c r="Y36" s="176">
        <v>0</v>
      </c>
      <c r="Z36" s="176">
        <v>0</v>
      </c>
      <c r="AA36" s="176">
        <v>0</v>
      </c>
      <c r="AB36" s="176">
        <v>0</v>
      </c>
      <c r="AC36" s="176">
        <v>0</v>
      </c>
      <c r="AD36" s="176">
        <v>0</v>
      </c>
      <c r="AE36" s="41">
        <f t="shared" si="1"/>
        <v>0</v>
      </c>
      <c r="AF36" s="89" t="s">
        <v>225</v>
      </c>
      <c r="AG36" s="550" t="s">
        <v>41</v>
      </c>
      <c r="AH36" s="542"/>
      <c r="AI36" s="178" t="s">
        <v>444</v>
      </c>
      <c r="AJ36" s="179"/>
      <c r="AK36" s="491" t="s">
        <v>139</v>
      </c>
      <c r="AL36" s="492">
        <v>2.2499999999999999E-2</v>
      </c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10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505" t="s">
        <v>47</v>
      </c>
      <c r="T37" s="176">
        <v>1</v>
      </c>
      <c r="U37" s="176">
        <v>1</v>
      </c>
      <c r="V37" s="176">
        <v>1</v>
      </c>
      <c r="W37" s="176">
        <v>1</v>
      </c>
      <c r="X37" s="176">
        <v>1</v>
      </c>
      <c r="Y37" s="176">
        <v>1</v>
      </c>
      <c r="Z37" s="176"/>
      <c r="AA37" s="176"/>
      <c r="AB37" s="176"/>
      <c r="AC37" s="176"/>
      <c r="AD37" s="176"/>
      <c r="AE37" s="41">
        <f t="shared" si="1"/>
        <v>10</v>
      </c>
      <c r="AF37" s="504" t="s">
        <v>119</v>
      </c>
      <c r="AG37" s="550" t="s">
        <v>41</v>
      </c>
      <c r="AH37" s="542"/>
      <c r="AI37" s="178" t="s">
        <v>444</v>
      </c>
      <c r="AJ37" s="179"/>
      <c r="AK37" s="491" t="s">
        <v>171</v>
      </c>
      <c r="AL37" s="492">
        <v>3.1145833333333331E-2</v>
      </c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10</v>
      </c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505" t="s">
        <v>47</v>
      </c>
      <c r="S38" s="176">
        <v>1</v>
      </c>
      <c r="T38" s="176">
        <v>1</v>
      </c>
      <c r="U38" s="176">
        <v>1</v>
      </c>
      <c r="V38" s="176">
        <v>1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>
        <v>1</v>
      </c>
      <c r="AC38" s="176"/>
      <c r="AD38" s="176"/>
      <c r="AE38" s="41">
        <f t="shared" si="1"/>
        <v>10</v>
      </c>
      <c r="AF38" s="504" t="s">
        <v>197</v>
      </c>
      <c r="AG38" s="550" t="s">
        <v>41</v>
      </c>
      <c r="AH38" s="542"/>
      <c r="AI38" s="178" t="s">
        <v>444</v>
      </c>
      <c r="AJ38" s="179"/>
      <c r="AK38" s="491" t="s">
        <v>781</v>
      </c>
      <c r="AL38" s="492">
        <v>1.5462962962962963E-2</v>
      </c>
    </row>
    <row r="39" spans="1:38" ht="14.25" customHeight="1" thickBot="1">
      <c r="A39" s="38" t="s">
        <v>41</v>
      </c>
      <c r="B39" s="76" t="s">
        <v>126</v>
      </c>
      <c r="C39" s="76">
        <v>986256130</v>
      </c>
      <c r="D39" s="99">
        <v>32</v>
      </c>
      <c r="E39" s="145" t="s">
        <v>127</v>
      </c>
      <c r="F39" s="41">
        <v>11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552" t="s">
        <v>914</v>
      </c>
      <c r="Q39" s="553"/>
      <c r="R39" s="553"/>
      <c r="S39" s="553"/>
      <c r="T39" s="553"/>
      <c r="U39" s="553"/>
      <c r="V39" s="553"/>
      <c r="W39" s="553"/>
      <c r="X39" s="553"/>
      <c r="Y39" s="554"/>
      <c r="Z39" s="176"/>
      <c r="AA39" s="176"/>
      <c r="AB39" s="176"/>
      <c r="AC39" s="176"/>
      <c r="AD39" s="176"/>
      <c r="AE39" s="41">
        <v>11</v>
      </c>
      <c r="AF39" s="504" t="s">
        <v>119</v>
      </c>
      <c r="AG39" s="551" t="s">
        <v>910</v>
      </c>
      <c r="AH39" s="555"/>
      <c r="AI39" s="189" t="s">
        <v>444</v>
      </c>
      <c r="AJ39" s="179"/>
      <c r="AK39" s="491" t="s">
        <v>59</v>
      </c>
      <c r="AL39" s="492">
        <v>1.5856481481481483E-3</v>
      </c>
    </row>
    <row r="40" spans="1:38" ht="14.25" customHeight="1" thickBot="1">
      <c r="A40" s="38" t="s">
        <v>41</v>
      </c>
      <c r="B40" s="38" t="s">
        <v>88</v>
      </c>
      <c r="C40" s="38">
        <v>985570860</v>
      </c>
      <c r="D40" s="99">
        <v>33</v>
      </c>
      <c r="E40" s="145" t="s">
        <v>89</v>
      </c>
      <c r="F40" s="41">
        <v>11</v>
      </c>
      <c r="G40" s="185"/>
      <c r="H40" s="185"/>
      <c r="I40" s="185"/>
      <c r="J40" s="185"/>
      <c r="K40" s="185"/>
      <c r="L40" s="185"/>
      <c r="M40" s="185"/>
      <c r="N40" s="185"/>
      <c r="O40" s="185"/>
      <c r="P40" s="577" t="s">
        <v>471</v>
      </c>
      <c r="Q40" s="555"/>
      <c r="R40" s="555"/>
      <c r="S40" s="555"/>
      <c r="T40" s="555"/>
      <c r="U40" s="555"/>
      <c r="V40" s="555"/>
      <c r="W40" s="555"/>
      <c r="X40" s="555"/>
      <c r="Y40" s="555"/>
      <c r="Z40" s="542"/>
      <c r="AA40" s="185"/>
      <c r="AB40" s="185"/>
      <c r="AC40" s="185"/>
      <c r="AD40" s="185"/>
      <c r="AE40" s="41">
        <v>11</v>
      </c>
      <c r="AF40" s="504" t="s">
        <v>164</v>
      </c>
      <c r="AG40" s="551" t="s">
        <v>471</v>
      </c>
      <c r="AH40" s="555"/>
      <c r="AI40" s="189" t="s">
        <v>444</v>
      </c>
      <c r="AJ40" s="179"/>
      <c r="AK40" s="491" t="s">
        <v>761</v>
      </c>
      <c r="AL40" s="492">
        <v>2.6921296296296294E-2</v>
      </c>
    </row>
    <row r="41" spans="1:38" ht="14.25" customHeight="1" thickBot="1">
      <c r="A41" s="511" t="s">
        <v>41</v>
      </c>
      <c r="B41" s="512" t="s">
        <v>137</v>
      </c>
      <c r="C41" s="511"/>
      <c r="D41" s="513">
        <v>34</v>
      </c>
      <c r="E41" s="145" t="s">
        <v>138</v>
      </c>
      <c r="F41" s="515">
        <v>8</v>
      </c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552" t="s">
        <v>320</v>
      </c>
      <c r="W41" s="553"/>
      <c r="X41" s="553"/>
      <c r="Y41" s="553"/>
      <c r="Z41" s="553"/>
      <c r="AA41" s="553"/>
      <c r="AB41" s="553"/>
      <c r="AC41" s="554"/>
      <c r="AD41" s="185"/>
      <c r="AE41" s="515">
        <v>8</v>
      </c>
      <c r="AF41" s="504" t="s">
        <v>218</v>
      </c>
      <c r="AG41" s="551" t="s">
        <v>320</v>
      </c>
      <c r="AH41" s="542"/>
      <c r="AI41" s="189" t="s">
        <v>444</v>
      </c>
      <c r="AJ41" s="179"/>
      <c r="AK41" s="491" t="s">
        <v>64</v>
      </c>
      <c r="AL41" s="492">
        <v>2.3148148148148147E-5</v>
      </c>
    </row>
    <row r="42" spans="1:38" ht="14.25" customHeight="1" thickBot="1">
      <c r="A42" s="38" t="s">
        <v>41</v>
      </c>
      <c r="B42" s="190" t="s">
        <v>190</v>
      </c>
      <c r="C42" s="98"/>
      <c r="D42" s="99">
        <v>35</v>
      </c>
      <c r="E42" s="145" t="s">
        <v>191</v>
      </c>
      <c r="F42" s="41">
        <v>8</v>
      </c>
      <c r="G42" s="185"/>
      <c r="H42" s="185"/>
      <c r="I42" s="185"/>
      <c r="J42" s="185"/>
      <c r="K42" s="185"/>
      <c r="L42" s="185"/>
      <c r="M42" s="185"/>
      <c r="N42" s="552" t="s">
        <v>320</v>
      </c>
      <c r="O42" s="553"/>
      <c r="P42" s="553"/>
      <c r="Q42" s="553"/>
      <c r="R42" s="553"/>
      <c r="S42" s="553"/>
      <c r="T42" s="553"/>
      <c r="U42" s="554"/>
      <c r="V42" s="185"/>
      <c r="W42" s="185"/>
      <c r="X42" s="185"/>
      <c r="Y42" s="185"/>
      <c r="Z42" s="185"/>
      <c r="AA42" s="185"/>
      <c r="AB42" s="185"/>
      <c r="AC42" s="185"/>
      <c r="AD42" s="185"/>
      <c r="AE42" s="41">
        <v>8</v>
      </c>
      <c r="AF42" s="504" t="s">
        <v>288</v>
      </c>
      <c r="AG42" s="551" t="s">
        <v>320</v>
      </c>
      <c r="AH42" s="542"/>
      <c r="AI42" s="189" t="s">
        <v>444</v>
      </c>
      <c r="AJ42" s="179"/>
      <c r="AK42" s="491" t="s">
        <v>757</v>
      </c>
      <c r="AL42" s="492">
        <v>2.372685185185185E-2</v>
      </c>
    </row>
    <row r="43" spans="1:38" ht="16.5" thickBot="1">
      <c r="A43" s="38" t="s">
        <v>41</v>
      </c>
      <c r="B43" s="38" t="s">
        <v>64</v>
      </c>
      <c r="C43" s="38">
        <v>995545886</v>
      </c>
      <c r="D43" s="99">
        <v>36</v>
      </c>
      <c r="E43" s="145" t="s">
        <v>65</v>
      </c>
      <c r="F43" s="41">
        <v>12</v>
      </c>
      <c r="G43" s="185"/>
      <c r="H43" s="185"/>
      <c r="I43" s="185"/>
      <c r="J43" s="185"/>
      <c r="K43" s="185"/>
      <c r="L43" s="185"/>
      <c r="M43" s="185"/>
      <c r="N43" s="176">
        <v>1</v>
      </c>
      <c r="O43" s="176">
        <v>1</v>
      </c>
      <c r="P43" s="552" t="s">
        <v>914</v>
      </c>
      <c r="Q43" s="553"/>
      <c r="R43" s="553"/>
      <c r="S43" s="553"/>
      <c r="T43" s="553"/>
      <c r="U43" s="553"/>
      <c r="V43" s="553"/>
      <c r="W43" s="553"/>
      <c r="X43" s="553"/>
      <c r="Y43" s="554"/>
      <c r="Z43" s="185"/>
      <c r="AA43" s="185"/>
      <c r="AB43" s="185"/>
      <c r="AC43" s="185"/>
      <c r="AD43" s="185"/>
      <c r="AE43" s="41">
        <v>12</v>
      </c>
      <c r="AF43" s="504" t="s">
        <v>327</v>
      </c>
      <c r="AG43" s="551" t="s">
        <v>473</v>
      </c>
      <c r="AH43" s="555"/>
      <c r="AI43" s="178" t="s">
        <v>444</v>
      </c>
      <c r="AJ43" s="179"/>
      <c r="AK43" s="491" t="s">
        <v>762</v>
      </c>
      <c r="AL43" s="492">
        <v>1.8263888888888889E-2</v>
      </c>
    </row>
    <row r="44" spans="1:38" ht="63" thickBot="1">
      <c r="A44" s="2"/>
      <c r="B44" s="2"/>
      <c r="C44" s="2"/>
      <c r="D44" s="128"/>
      <c r="E44" s="49"/>
      <c r="F44" s="50"/>
      <c r="G44" s="51" t="s">
        <v>9</v>
      </c>
      <c r="H44" s="51" t="s">
        <v>10</v>
      </c>
      <c r="I44" s="51" t="s">
        <v>11</v>
      </c>
      <c r="J44" s="51" t="s">
        <v>12</v>
      </c>
      <c r="K44" s="51" t="s">
        <v>13</v>
      </c>
      <c r="L44" s="51" t="s">
        <v>14</v>
      </c>
      <c r="M44" s="51" t="s">
        <v>15</v>
      </c>
      <c r="N44" s="51" t="s">
        <v>16</v>
      </c>
      <c r="O44" s="106" t="s">
        <v>17</v>
      </c>
      <c r="P44" s="106" t="s">
        <v>18</v>
      </c>
      <c r="Q44" s="107" t="s">
        <v>19</v>
      </c>
      <c r="R44" s="107" t="s">
        <v>20</v>
      </c>
      <c r="S44" s="107" t="s">
        <v>21</v>
      </c>
      <c r="T44" s="107" t="s">
        <v>22</v>
      </c>
      <c r="U44" s="107" t="s">
        <v>23</v>
      </c>
      <c r="V44" s="107" t="s">
        <v>24</v>
      </c>
      <c r="W44" s="107" t="s">
        <v>25</v>
      </c>
      <c r="X44" s="107" t="s">
        <v>26</v>
      </c>
      <c r="Y44" s="107" t="s">
        <v>27</v>
      </c>
      <c r="Z44" s="107" t="s">
        <v>28</v>
      </c>
      <c r="AA44" s="52" t="s">
        <v>29</v>
      </c>
      <c r="AB44" s="52" t="s">
        <v>30</v>
      </c>
      <c r="AC44" s="52" t="s">
        <v>31</v>
      </c>
      <c r="AD44" s="51" t="s">
        <v>32</v>
      </c>
      <c r="AE44" s="53"/>
      <c r="AF44" s="116"/>
      <c r="AG44" s="25"/>
      <c r="AH44" s="25"/>
      <c r="AI44" s="25"/>
      <c r="AJ44" s="25"/>
      <c r="AK44" s="491" t="s">
        <v>101</v>
      </c>
      <c r="AL44" s="492">
        <v>3.0833333333333334E-2</v>
      </c>
    </row>
    <row r="45" spans="1:38" ht="14.25" customHeight="1">
      <c r="A45" s="2"/>
      <c r="B45" s="2"/>
      <c r="C45" s="2"/>
      <c r="D45" s="152"/>
      <c r="E45" s="2"/>
      <c r="F45" s="2"/>
      <c r="AE45" s="2"/>
      <c r="AF45" s="2"/>
      <c r="AG45" s="2"/>
      <c r="AH45" s="2"/>
      <c r="AI45" s="2"/>
      <c r="AJ45" s="2"/>
      <c r="AK45" s="491" t="s">
        <v>105</v>
      </c>
      <c r="AL45" s="492">
        <v>3.4467592592592591E-2</v>
      </c>
    </row>
  </sheetData>
  <mergeCells count="45">
    <mergeCell ref="AG42:AH42"/>
    <mergeCell ref="AG43:AH43"/>
    <mergeCell ref="N42:U42"/>
    <mergeCell ref="P43:Y43"/>
    <mergeCell ref="AG38:AH38"/>
    <mergeCell ref="AG39:AH39"/>
    <mergeCell ref="P40:Z40"/>
    <mergeCell ref="AG40:AH40"/>
    <mergeCell ref="V41:AC41"/>
    <mergeCell ref="AG41:AH41"/>
    <mergeCell ref="P39:Y39"/>
    <mergeCell ref="AG37:AH37"/>
    <mergeCell ref="AG26:AH26"/>
    <mergeCell ref="AG27:AH27"/>
    <mergeCell ref="AG28:AH28"/>
    <mergeCell ref="AG29:AH29"/>
    <mergeCell ref="AG30:AH30"/>
    <mergeCell ref="AG32:AH32"/>
    <mergeCell ref="AG33:AH33"/>
    <mergeCell ref="AG34:AH34"/>
    <mergeCell ref="AG35:AH35"/>
    <mergeCell ref="AG36:AH36"/>
    <mergeCell ref="AG25:AH25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9:AH9"/>
    <mergeCell ref="AG10:AH10"/>
    <mergeCell ref="AG11:AH11"/>
    <mergeCell ref="AG12:AH12"/>
    <mergeCell ref="AG13:AH13"/>
    <mergeCell ref="AG8:AH8"/>
    <mergeCell ref="A1:B1"/>
    <mergeCell ref="D3:AE3"/>
    <mergeCell ref="E4:F4"/>
    <mergeCell ref="E5:F5"/>
    <mergeCell ref="AG7:AH7"/>
  </mergeCells>
  <conditionalFormatting sqref="E4:F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0122-EA84-4BE0-80CA-5D61EF0956F1}">
  <dimension ref="A1:AL47"/>
  <sheetViews>
    <sheetView showGridLines="0" topLeftCell="A28" zoomScale="60" zoomScaleNormal="60" workbookViewId="0">
      <selection activeCell="A48" sqref="A48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219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347">
        <v>4</v>
      </c>
      <c r="H4" s="347">
        <v>3</v>
      </c>
      <c r="I4" s="347">
        <v>3</v>
      </c>
      <c r="J4" s="347">
        <v>3</v>
      </c>
      <c r="K4" s="347">
        <v>3</v>
      </c>
      <c r="L4" s="347">
        <v>3</v>
      </c>
      <c r="M4" s="347">
        <v>10</v>
      </c>
      <c r="N4" s="347">
        <v>10</v>
      </c>
      <c r="O4" s="347">
        <v>18</v>
      </c>
      <c r="P4" s="347">
        <v>18</v>
      </c>
      <c r="Q4" s="347">
        <v>20</v>
      </c>
      <c r="R4" s="347">
        <v>20</v>
      </c>
      <c r="S4" s="347">
        <v>19</v>
      </c>
      <c r="T4" s="347">
        <v>18</v>
      </c>
      <c r="U4" s="347">
        <v>18</v>
      </c>
      <c r="V4" s="347">
        <v>16</v>
      </c>
      <c r="W4" s="347">
        <v>16</v>
      </c>
      <c r="X4" s="347">
        <v>16</v>
      </c>
      <c r="Y4" s="347">
        <v>15</v>
      </c>
      <c r="Z4" s="347">
        <v>16</v>
      </c>
      <c r="AA4" s="347">
        <v>15</v>
      </c>
      <c r="AB4" s="347">
        <v>13</v>
      </c>
      <c r="AC4" s="347">
        <v>9</v>
      </c>
      <c r="AD4" s="347">
        <v>4</v>
      </c>
      <c r="AE4" s="18">
        <f>SUM(G4:AD4)</f>
        <v>290</v>
      </c>
      <c r="AF4" s="3"/>
      <c r="AG4" s="3"/>
      <c r="AH4" s="3"/>
      <c r="AI4" s="3"/>
      <c r="AJ4" s="3"/>
      <c r="AK4" s="3"/>
      <c r="AL4" s="3"/>
    </row>
    <row r="5" spans="1:38" ht="63.75" thickBot="1">
      <c r="A5" s="3"/>
      <c r="B5" s="2"/>
      <c r="C5" s="2"/>
      <c r="D5" s="19"/>
      <c r="E5" s="569">
        <v>3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2</v>
      </c>
      <c r="O6" s="28">
        <f t="shared" si="0"/>
        <v>2</v>
      </c>
      <c r="P6" s="28">
        <f t="shared" si="0"/>
        <v>5</v>
      </c>
      <c r="Q6" s="28">
        <f t="shared" si="0"/>
        <v>4</v>
      </c>
      <c r="R6" s="28">
        <f t="shared" si="0"/>
        <v>4</v>
      </c>
      <c r="S6" s="28">
        <f t="shared" si="0"/>
        <v>5</v>
      </c>
      <c r="T6" s="28">
        <f t="shared" si="0"/>
        <v>5</v>
      </c>
      <c r="U6" s="28">
        <f t="shared" si="0"/>
        <v>5</v>
      </c>
      <c r="V6" s="28">
        <f t="shared" si="0"/>
        <v>5</v>
      </c>
      <c r="W6" s="28">
        <f t="shared" si="0"/>
        <v>4</v>
      </c>
      <c r="X6" s="28">
        <f t="shared" si="0"/>
        <v>4</v>
      </c>
      <c r="Y6" s="28">
        <f t="shared" si="0"/>
        <v>4</v>
      </c>
      <c r="Z6" s="497">
        <f t="shared" si="0"/>
        <v>0</v>
      </c>
      <c r="AA6" s="497">
        <f t="shared" si="0"/>
        <v>0</v>
      </c>
      <c r="AB6" s="497">
        <f t="shared" si="0"/>
        <v>0</v>
      </c>
      <c r="AC6" s="497">
        <f t="shared" si="0"/>
        <v>-1</v>
      </c>
      <c r="AD6" s="28">
        <f t="shared" si="0"/>
        <v>0</v>
      </c>
      <c r="AE6" s="29">
        <f t="shared" ref="AE6:AE38" si="1">SUM(G6:AD6)</f>
        <v>48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SUM(G8:G43)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10</v>
      </c>
      <c r="N7" s="172">
        <f t="shared" si="2"/>
        <v>12</v>
      </c>
      <c r="O7" s="172">
        <f t="shared" si="2"/>
        <v>20</v>
      </c>
      <c r="P7" s="172">
        <f t="shared" si="2"/>
        <v>23</v>
      </c>
      <c r="Q7" s="172">
        <f t="shared" si="2"/>
        <v>24</v>
      </c>
      <c r="R7" s="172">
        <f t="shared" si="2"/>
        <v>24</v>
      </c>
      <c r="S7" s="172">
        <f t="shared" si="2"/>
        <v>24</v>
      </c>
      <c r="T7" s="172">
        <f t="shared" si="2"/>
        <v>23</v>
      </c>
      <c r="U7" s="172">
        <f t="shared" si="2"/>
        <v>23</v>
      </c>
      <c r="V7" s="172">
        <f t="shared" si="2"/>
        <v>21</v>
      </c>
      <c r="W7" s="172">
        <f t="shared" si="2"/>
        <v>20</v>
      </c>
      <c r="X7" s="172">
        <f t="shared" si="2"/>
        <v>20</v>
      </c>
      <c r="Y7" s="172">
        <f t="shared" si="2"/>
        <v>19</v>
      </c>
      <c r="Z7" s="172">
        <f t="shared" si="2"/>
        <v>16</v>
      </c>
      <c r="AA7" s="172">
        <f t="shared" si="2"/>
        <v>15</v>
      </c>
      <c r="AB7" s="172">
        <f t="shared" si="2"/>
        <v>13</v>
      </c>
      <c r="AC7" s="172">
        <f t="shared" si="2"/>
        <v>8</v>
      </c>
      <c r="AD7" s="172">
        <f t="shared" si="2"/>
        <v>4</v>
      </c>
      <c r="AE7" s="168">
        <f t="shared" si="1"/>
        <v>338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38" si="3">SUM(G8:AD8)</f>
        <v>12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12</v>
      </c>
      <c r="AF8" s="95" t="s">
        <v>311</v>
      </c>
      <c r="AG8" s="550" t="s">
        <v>41</v>
      </c>
      <c r="AH8" s="542"/>
      <c r="AI8" s="178" t="s">
        <v>444</v>
      </c>
      <c r="AJ8" s="179"/>
      <c r="AK8" s="489" t="s">
        <v>146</v>
      </c>
      <c r="AL8" s="490">
        <v>7.8356481481481471E-3</v>
      </c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13</v>
      </c>
      <c r="G9" s="176"/>
      <c r="H9" s="176"/>
      <c r="I9" s="176"/>
      <c r="J9" s="176"/>
      <c r="K9" s="176"/>
      <c r="L9" s="176"/>
      <c r="M9" s="176"/>
      <c r="N9" s="176"/>
      <c r="O9" s="176"/>
      <c r="P9" s="176">
        <v>1</v>
      </c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/>
      <c r="X9" s="176">
        <v>1</v>
      </c>
      <c r="Y9" s="176">
        <v>1</v>
      </c>
      <c r="Z9" s="176">
        <v>1</v>
      </c>
      <c r="AA9" s="176">
        <v>1</v>
      </c>
      <c r="AB9" s="176">
        <v>1</v>
      </c>
      <c r="AC9" s="176">
        <v>1</v>
      </c>
      <c r="AD9" s="176"/>
      <c r="AE9" s="41">
        <f t="shared" si="1"/>
        <v>13</v>
      </c>
      <c r="AF9" s="95" t="s">
        <v>343</v>
      </c>
      <c r="AG9" s="556" t="s">
        <v>41</v>
      </c>
      <c r="AH9" s="557"/>
      <c r="AI9" s="178" t="s">
        <v>444</v>
      </c>
      <c r="AJ9" s="179"/>
      <c r="AK9" s="491" t="s">
        <v>477</v>
      </c>
      <c r="AL9" s="492">
        <v>1.3310185185185187E-3</v>
      </c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13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>
        <v>1</v>
      </c>
      <c r="T10" s="176">
        <v>1</v>
      </c>
      <c r="U10" s="176">
        <v>1</v>
      </c>
      <c r="V10" s="176">
        <v>1</v>
      </c>
      <c r="W10" s="176">
        <v>1</v>
      </c>
      <c r="X10" s="176">
        <v>1</v>
      </c>
      <c r="Y10" s="176">
        <v>1</v>
      </c>
      <c r="Z10" s="176"/>
      <c r="AA10" s="176"/>
      <c r="AB10" s="176"/>
      <c r="AC10" s="176"/>
      <c r="AD10" s="176"/>
      <c r="AE10" s="41">
        <f t="shared" si="1"/>
        <v>13</v>
      </c>
      <c r="AF10" s="95" t="s">
        <v>261</v>
      </c>
      <c r="AG10" s="556" t="s">
        <v>41</v>
      </c>
      <c r="AH10" s="557"/>
      <c r="AI10" s="178" t="s">
        <v>444</v>
      </c>
      <c r="AJ10" s="179"/>
      <c r="AK10" s="491" t="s">
        <v>921</v>
      </c>
      <c r="AL10" s="492">
        <v>1.082175925925926E-2</v>
      </c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9</v>
      </c>
      <c r="G11" s="176"/>
      <c r="H11" s="176"/>
      <c r="I11" s="176"/>
      <c r="J11" s="176"/>
      <c r="K11" s="176"/>
      <c r="L11" s="176"/>
      <c r="M11" s="176"/>
      <c r="N11" s="521">
        <v>1</v>
      </c>
      <c r="O11" s="521">
        <v>1</v>
      </c>
      <c r="P11" s="521">
        <v>1</v>
      </c>
      <c r="Q11" s="176">
        <v>1</v>
      </c>
      <c r="R11" s="176">
        <v>1</v>
      </c>
      <c r="S11" s="521">
        <v>1</v>
      </c>
      <c r="T11" s="521">
        <v>1</v>
      </c>
      <c r="U11" s="521">
        <v>1</v>
      </c>
      <c r="V11" s="521">
        <v>1</v>
      </c>
      <c r="W11" s="176"/>
      <c r="X11" s="176"/>
      <c r="Y11" s="176"/>
      <c r="Z11" s="176"/>
      <c r="AA11" s="176"/>
      <c r="AB11" s="176"/>
      <c r="AC11" s="176"/>
      <c r="AD11" s="176"/>
      <c r="AE11" s="41">
        <f t="shared" si="1"/>
        <v>9</v>
      </c>
      <c r="AF11" s="95" t="s">
        <v>228</v>
      </c>
      <c r="AG11" s="556" t="s">
        <v>41</v>
      </c>
      <c r="AH11" s="557"/>
      <c r="AI11" s="178" t="s">
        <v>444</v>
      </c>
      <c r="AJ11" s="179"/>
      <c r="AK11" s="491" t="s">
        <v>82</v>
      </c>
      <c r="AL11" s="492">
        <v>2.6562499999999999E-2</v>
      </c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0</v>
      </c>
      <c r="G12" s="176">
        <v>0</v>
      </c>
      <c r="H12" s="176">
        <v>0</v>
      </c>
      <c r="I12" s="176">
        <v>0</v>
      </c>
      <c r="J12" s="176">
        <v>0</v>
      </c>
      <c r="K12" s="176">
        <v>0</v>
      </c>
      <c r="L12" s="176">
        <v>0</v>
      </c>
      <c r="M12" s="176">
        <v>0</v>
      </c>
      <c r="N12" s="176">
        <v>0</v>
      </c>
      <c r="O12" s="176">
        <v>0</v>
      </c>
      <c r="P12" s="176">
        <v>0</v>
      </c>
      <c r="Q12" s="176">
        <v>0</v>
      </c>
      <c r="R12" s="176">
        <v>0</v>
      </c>
      <c r="S12" s="176">
        <v>0</v>
      </c>
      <c r="T12" s="176">
        <v>0</v>
      </c>
      <c r="U12" s="176">
        <v>0</v>
      </c>
      <c r="V12" s="176">
        <v>0</v>
      </c>
      <c r="W12" s="176">
        <v>0</v>
      </c>
      <c r="X12" s="176">
        <v>0</v>
      </c>
      <c r="Y12" s="176">
        <v>0</v>
      </c>
      <c r="Z12" s="176">
        <v>0</v>
      </c>
      <c r="AA12" s="176">
        <v>0</v>
      </c>
      <c r="AB12" s="176">
        <v>0</v>
      </c>
      <c r="AC12" s="176">
        <v>0</v>
      </c>
      <c r="AD12" s="176">
        <v>0</v>
      </c>
      <c r="AE12" s="515">
        <f t="shared" si="1"/>
        <v>0</v>
      </c>
      <c r="AF12" s="95" t="s">
        <v>225</v>
      </c>
      <c r="AG12" s="558" t="s">
        <v>41</v>
      </c>
      <c r="AH12" s="542"/>
      <c r="AI12" s="517" t="s">
        <v>444</v>
      </c>
      <c r="AJ12" s="179"/>
      <c r="AK12" s="491" t="s">
        <v>759</v>
      </c>
      <c r="AL12" s="492">
        <v>1.5138888888888889E-2</v>
      </c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41">
        <v>12</v>
      </c>
      <c r="G13" s="176"/>
      <c r="H13" s="176"/>
      <c r="I13" s="176"/>
      <c r="J13" s="176"/>
      <c r="K13" s="176"/>
      <c r="L13" s="176"/>
      <c r="M13" s="176">
        <v>1</v>
      </c>
      <c r="N13" s="176">
        <v>1</v>
      </c>
      <c r="O13" s="176">
        <v>1</v>
      </c>
      <c r="P13" s="176">
        <v>1</v>
      </c>
      <c r="Q13" s="176">
        <v>1</v>
      </c>
      <c r="R13" s="176">
        <v>1</v>
      </c>
      <c r="S13" s="176">
        <v>1</v>
      </c>
      <c r="T13" s="176">
        <v>1</v>
      </c>
      <c r="U13" s="176">
        <v>1</v>
      </c>
      <c r="V13" s="176">
        <v>1</v>
      </c>
      <c r="W13" s="176">
        <v>1</v>
      </c>
      <c r="X13" s="176">
        <v>1</v>
      </c>
      <c r="Y13" s="176"/>
      <c r="Z13" s="176"/>
      <c r="AA13" s="176"/>
      <c r="AB13" s="176"/>
      <c r="AC13" s="176"/>
      <c r="AD13" s="176"/>
      <c r="AE13" s="41">
        <v>12</v>
      </c>
      <c r="AF13" s="95" t="s">
        <v>84</v>
      </c>
      <c r="AG13" s="550" t="s">
        <v>41</v>
      </c>
      <c r="AH13" s="542"/>
      <c r="AI13" s="178" t="s">
        <v>444</v>
      </c>
      <c r="AJ13" s="179"/>
      <c r="AK13" s="491" t="s">
        <v>445</v>
      </c>
      <c r="AL13" s="492">
        <v>6.8935185185185183E-2</v>
      </c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12</v>
      </c>
      <c r="G14" s="176">
        <v>1</v>
      </c>
      <c r="H14" s="176">
        <v>1</v>
      </c>
      <c r="I14" s="176">
        <v>1</v>
      </c>
      <c r="J14" s="176">
        <v>1</v>
      </c>
      <c r="K14" s="176">
        <v>1</v>
      </c>
      <c r="L14" s="176">
        <v>1</v>
      </c>
      <c r="M14" s="176">
        <v>1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41">
        <f t="shared" si="1"/>
        <v>12</v>
      </c>
      <c r="AF14" s="95" t="s">
        <v>311</v>
      </c>
      <c r="AG14" s="550" t="s">
        <v>41</v>
      </c>
      <c r="AH14" s="542"/>
      <c r="AI14" s="178" t="s">
        <v>444</v>
      </c>
      <c r="AJ14" s="179"/>
      <c r="AK14" s="491" t="s">
        <v>468</v>
      </c>
      <c r="AL14" s="492">
        <v>4.4895833333333329E-2</v>
      </c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12</v>
      </c>
      <c r="G15" s="176"/>
      <c r="H15" s="176"/>
      <c r="I15" s="176"/>
      <c r="J15" s="176"/>
      <c r="K15" s="176"/>
      <c r="L15" s="176"/>
      <c r="M15" s="176">
        <v>1</v>
      </c>
      <c r="N15" s="176">
        <v>1</v>
      </c>
      <c r="O15" s="176">
        <v>1</v>
      </c>
      <c r="P15" s="176">
        <v>1</v>
      </c>
      <c r="Q15" s="176">
        <v>1</v>
      </c>
      <c r="R15" s="176">
        <v>1</v>
      </c>
      <c r="S15" s="176">
        <v>1</v>
      </c>
      <c r="T15" s="176">
        <v>1</v>
      </c>
      <c r="U15" s="176">
        <v>1</v>
      </c>
      <c r="V15" s="176">
        <v>1</v>
      </c>
      <c r="W15" s="176">
        <v>1</v>
      </c>
      <c r="X15" s="176">
        <v>1</v>
      </c>
      <c r="Y15" s="176"/>
      <c r="Z15" s="176"/>
      <c r="AA15" s="176"/>
      <c r="AB15" s="176"/>
      <c r="AC15" s="176"/>
      <c r="AD15" s="176"/>
      <c r="AE15" s="41">
        <f t="shared" si="1"/>
        <v>12</v>
      </c>
      <c r="AF15" s="95" t="s">
        <v>84</v>
      </c>
      <c r="AG15" s="550" t="s">
        <v>41</v>
      </c>
      <c r="AH15" s="542"/>
      <c r="AI15" s="178" t="s">
        <v>444</v>
      </c>
      <c r="AJ15" s="179"/>
      <c r="AK15" s="491" t="s">
        <v>115</v>
      </c>
      <c r="AL15" s="492">
        <v>3.9432870370370375E-2</v>
      </c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14</v>
      </c>
      <c r="G16" s="176">
        <v>1</v>
      </c>
      <c r="H16" s="176"/>
      <c r="I16" s="176"/>
      <c r="J16" s="176"/>
      <c r="K16" s="176"/>
      <c r="L16" s="176"/>
      <c r="M16" s="176"/>
      <c r="N16" s="176"/>
      <c r="O16" s="176"/>
      <c r="P16" s="176">
        <v>1</v>
      </c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>
        <v>1</v>
      </c>
      <c r="X16" s="176"/>
      <c r="Y16" s="176">
        <v>1</v>
      </c>
      <c r="Z16" s="176">
        <v>1</v>
      </c>
      <c r="AA16" s="176">
        <v>1</v>
      </c>
      <c r="AB16" s="176">
        <v>1</v>
      </c>
      <c r="AC16" s="176">
        <v>1</v>
      </c>
      <c r="AD16" s="176"/>
      <c r="AE16" s="41">
        <f t="shared" si="1"/>
        <v>14</v>
      </c>
      <c r="AF16" s="95" t="s">
        <v>483</v>
      </c>
      <c r="AG16" s="550" t="s">
        <v>41</v>
      </c>
      <c r="AH16" s="542"/>
      <c r="AI16" s="178" t="s">
        <v>444</v>
      </c>
      <c r="AJ16" s="179"/>
      <c r="AK16" s="491" t="s">
        <v>45</v>
      </c>
      <c r="AL16" s="492">
        <v>4.0092592592592596E-2</v>
      </c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6</v>
      </c>
      <c r="G17" s="176"/>
      <c r="H17" s="176"/>
      <c r="I17" s="176"/>
      <c r="J17" s="176"/>
      <c r="K17" s="176"/>
      <c r="L17" s="176"/>
      <c r="M17" s="176"/>
      <c r="N17" s="176"/>
      <c r="O17" s="176">
        <v>1</v>
      </c>
      <c r="P17" s="176">
        <v>1</v>
      </c>
      <c r="Q17" s="176">
        <v>1</v>
      </c>
      <c r="R17" s="176">
        <v>1</v>
      </c>
      <c r="S17" s="176">
        <v>1</v>
      </c>
      <c r="T17" s="176">
        <v>1</v>
      </c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41">
        <f t="shared" si="1"/>
        <v>6</v>
      </c>
      <c r="AF17" s="95" t="s">
        <v>305</v>
      </c>
      <c r="AG17" s="559" t="s">
        <v>41</v>
      </c>
      <c r="AH17" s="560"/>
      <c r="AI17" s="178" t="s">
        <v>444</v>
      </c>
      <c r="AJ17" s="179"/>
      <c r="AK17" s="491" t="s">
        <v>446</v>
      </c>
      <c r="AL17" s="492">
        <v>4.5648148148148146E-2</v>
      </c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13</v>
      </c>
      <c r="G18" s="176"/>
      <c r="H18" s="176"/>
      <c r="I18" s="176"/>
      <c r="J18" s="176"/>
      <c r="K18" s="176"/>
      <c r="L18" s="176"/>
      <c r="M18" s="176">
        <v>1</v>
      </c>
      <c r="N18" s="176">
        <v>1</v>
      </c>
      <c r="O18" s="176">
        <v>1</v>
      </c>
      <c r="P18" s="176">
        <v>1</v>
      </c>
      <c r="Q18" s="176">
        <v>1</v>
      </c>
      <c r="R18" s="176">
        <v>1</v>
      </c>
      <c r="S18" s="176">
        <v>1</v>
      </c>
      <c r="T18" s="176">
        <v>1</v>
      </c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/>
      <c r="AA18" s="176"/>
      <c r="AB18" s="176"/>
      <c r="AC18" s="176"/>
      <c r="AD18" s="176"/>
      <c r="AE18" s="41">
        <f t="shared" si="1"/>
        <v>13</v>
      </c>
      <c r="AF18" s="95" t="s">
        <v>261</v>
      </c>
      <c r="AG18" s="550" t="s">
        <v>41</v>
      </c>
      <c r="AH18" s="542"/>
      <c r="AI18" s="178" t="s">
        <v>444</v>
      </c>
      <c r="AJ18" s="179"/>
      <c r="AK18" s="491" t="s">
        <v>55</v>
      </c>
      <c r="AL18" s="492">
        <v>3.8935185185185184E-2</v>
      </c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f t="shared" si="3"/>
        <v>13</v>
      </c>
      <c r="G19" s="176"/>
      <c r="H19" s="176"/>
      <c r="I19" s="176"/>
      <c r="J19" s="176"/>
      <c r="K19" s="176"/>
      <c r="L19" s="176"/>
      <c r="M19" s="176">
        <v>1</v>
      </c>
      <c r="N19" s="176">
        <v>1</v>
      </c>
      <c r="O19" s="176">
        <v>1</v>
      </c>
      <c r="P19" s="508">
        <v>1</v>
      </c>
      <c r="Q19" s="508">
        <v>1</v>
      </c>
      <c r="R19" s="508">
        <v>1</v>
      </c>
      <c r="S19" s="508">
        <v>1</v>
      </c>
      <c r="T19" s="508">
        <v>1</v>
      </c>
      <c r="U19" s="508">
        <v>1</v>
      </c>
      <c r="V19" s="508">
        <v>1</v>
      </c>
      <c r="W19" s="508">
        <v>1</v>
      </c>
      <c r="X19" s="508">
        <v>1</v>
      </c>
      <c r="Y19" s="508">
        <v>1</v>
      </c>
      <c r="Z19" s="176"/>
      <c r="AA19" s="176"/>
      <c r="AB19" s="176"/>
      <c r="AC19" s="176"/>
      <c r="AD19" s="176"/>
      <c r="AE19" s="41">
        <f t="shared" si="1"/>
        <v>13</v>
      </c>
      <c r="AF19" s="522" t="s">
        <v>261</v>
      </c>
      <c r="AG19" s="556" t="s">
        <v>41</v>
      </c>
      <c r="AH19" s="557"/>
      <c r="AI19" s="178" t="s">
        <v>444</v>
      </c>
      <c r="AJ19" s="179"/>
      <c r="AK19" s="491" t="s">
        <v>447</v>
      </c>
      <c r="AL19" s="492">
        <v>4.7118055555555545E-2</v>
      </c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13</v>
      </c>
      <c r="G20" s="176">
        <v>1</v>
      </c>
      <c r="H20" s="176">
        <v>1</v>
      </c>
      <c r="I20" s="176">
        <v>1</v>
      </c>
      <c r="J20" s="176">
        <v>1</v>
      </c>
      <c r="K20" s="176">
        <v>1</v>
      </c>
      <c r="L20" s="176">
        <v>1</v>
      </c>
      <c r="M20" s="176">
        <v>1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>
        <v>1</v>
      </c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13</v>
      </c>
      <c r="AF20" s="95" t="s">
        <v>280</v>
      </c>
      <c r="AG20" s="550" t="s">
        <v>41</v>
      </c>
      <c r="AH20" s="542"/>
      <c r="AI20" s="178" t="s">
        <v>444</v>
      </c>
      <c r="AJ20" s="179"/>
      <c r="AK20" s="491" t="s">
        <v>448</v>
      </c>
      <c r="AL20" s="492">
        <v>3.7418981481481484E-2</v>
      </c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0</v>
      </c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41">
        <f t="shared" si="1"/>
        <v>0</v>
      </c>
      <c r="AF21" s="95" t="s">
        <v>225</v>
      </c>
      <c r="AG21" s="550" t="s">
        <v>41</v>
      </c>
      <c r="AH21" s="542"/>
      <c r="AI21" s="178" t="s">
        <v>444</v>
      </c>
      <c r="AJ21" s="179"/>
      <c r="AK21" s="491" t="s">
        <v>449</v>
      </c>
      <c r="AL21" s="492">
        <v>4.2488425925925929E-2</v>
      </c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13</v>
      </c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>
        <v>1</v>
      </c>
      <c r="R22" s="176">
        <v>1</v>
      </c>
      <c r="S22" s="176">
        <v>1</v>
      </c>
      <c r="T22" s="176">
        <v>1</v>
      </c>
      <c r="U22" s="176">
        <v>1</v>
      </c>
      <c r="V22" s="176"/>
      <c r="W22" s="176">
        <v>1</v>
      </c>
      <c r="X22" s="176">
        <v>1</v>
      </c>
      <c r="Y22" s="176">
        <v>1</v>
      </c>
      <c r="Z22" s="176">
        <v>1</v>
      </c>
      <c r="AA22" s="176">
        <v>1</v>
      </c>
      <c r="AB22" s="176">
        <v>1</v>
      </c>
      <c r="AC22" s="176">
        <v>1</v>
      </c>
      <c r="AD22" s="176">
        <v>1</v>
      </c>
      <c r="AE22" s="41">
        <f t="shared" si="1"/>
        <v>13</v>
      </c>
      <c r="AF22" s="95" t="s">
        <v>920</v>
      </c>
      <c r="AG22" s="550" t="s">
        <v>41</v>
      </c>
      <c r="AH22" s="542"/>
      <c r="AI22" s="178" t="s">
        <v>444</v>
      </c>
      <c r="AJ22" s="179"/>
      <c r="AK22" s="491" t="s">
        <v>450</v>
      </c>
      <c r="AL22" s="492">
        <v>3.7037037037037041E-4</v>
      </c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11</v>
      </c>
      <c r="G23" s="176"/>
      <c r="H23" s="176"/>
      <c r="I23" s="176"/>
      <c r="J23" s="176"/>
      <c r="K23" s="176"/>
      <c r="L23" s="176"/>
      <c r="M23" s="176">
        <v>1</v>
      </c>
      <c r="N23" s="176">
        <v>1</v>
      </c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176"/>
      <c r="Y23" s="176"/>
      <c r="Z23" s="176"/>
      <c r="AA23" s="176"/>
      <c r="AB23" s="176"/>
      <c r="AC23" s="176"/>
      <c r="AD23" s="176"/>
      <c r="AE23" s="41">
        <f t="shared" si="1"/>
        <v>11</v>
      </c>
      <c r="AF23" s="95" t="s">
        <v>192</v>
      </c>
      <c r="AG23" s="550" t="s">
        <v>41</v>
      </c>
      <c r="AH23" s="542"/>
      <c r="AI23" s="178" t="s">
        <v>444</v>
      </c>
      <c r="AJ23" s="179"/>
      <c r="AK23" s="491" t="s">
        <v>451</v>
      </c>
      <c r="AL23" s="492">
        <v>3.8865740740740742E-2</v>
      </c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13</v>
      </c>
      <c r="G24" s="176"/>
      <c r="H24" s="176"/>
      <c r="I24" s="176"/>
      <c r="J24" s="176"/>
      <c r="K24" s="176"/>
      <c r="L24" s="176"/>
      <c r="M24" s="176"/>
      <c r="N24" s="176"/>
      <c r="O24" s="176">
        <v>1</v>
      </c>
      <c r="P24" s="176">
        <v>1</v>
      </c>
      <c r="Q24" s="176">
        <v>1</v>
      </c>
      <c r="R24" s="176">
        <v>1</v>
      </c>
      <c r="S24" s="176">
        <v>1</v>
      </c>
      <c r="T24" s="176">
        <v>1</v>
      </c>
      <c r="U24" s="176">
        <v>1</v>
      </c>
      <c r="V24" s="176">
        <v>1</v>
      </c>
      <c r="W24" s="176">
        <v>1</v>
      </c>
      <c r="X24" s="176">
        <v>1</v>
      </c>
      <c r="Y24" s="176"/>
      <c r="Z24" s="176">
        <v>1</v>
      </c>
      <c r="AA24" s="176">
        <v>1</v>
      </c>
      <c r="AB24" s="176">
        <v>1</v>
      </c>
      <c r="AC24" s="176"/>
      <c r="AD24" s="176"/>
      <c r="AE24" s="41">
        <f t="shared" si="1"/>
        <v>13</v>
      </c>
      <c r="AF24" s="95" t="s">
        <v>754</v>
      </c>
      <c r="AG24" s="561" t="s">
        <v>471</v>
      </c>
      <c r="AH24" s="562"/>
      <c r="AI24" s="178" t="s">
        <v>444</v>
      </c>
      <c r="AJ24" s="179"/>
      <c r="AK24" s="491" t="s">
        <v>88</v>
      </c>
      <c r="AL24" s="492">
        <v>2.8888888888888891E-2</v>
      </c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8</v>
      </c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/>
      <c r="AE25" s="41">
        <f t="shared" si="1"/>
        <v>8</v>
      </c>
      <c r="AF25" s="95" t="s">
        <v>218</v>
      </c>
      <c r="AG25" s="550" t="s">
        <v>41</v>
      </c>
      <c r="AH25" s="542"/>
      <c r="AI25" s="178" t="s">
        <v>444</v>
      </c>
      <c r="AJ25" s="179"/>
      <c r="AK25" s="491" t="s">
        <v>111</v>
      </c>
      <c r="AL25" s="492">
        <v>5.1168981481481475E-2</v>
      </c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0</v>
      </c>
      <c r="G26" s="176"/>
      <c r="H26" s="176"/>
      <c r="I26" s="176"/>
      <c r="J26" s="176"/>
      <c r="K26" s="176"/>
      <c r="L26" s="176"/>
      <c r="M26" s="176"/>
      <c r="N26" s="176" t="s">
        <v>915</v>
      </c>
      <c r="O26" s="176" t="s">
        <v>204</v>
      </c>
      <c r="P26" s="176" t="s">
        <v>47</v>
      </c>
      <c r="Q26" s="176" t="s">
        <v>204</v>
      </c>
      <c r="R26" s="176" t="s">
        <v>47</v>
      </c>
      <c r="S26" s="176" t="s">
        <v>203</v>
      </c>
      <c r="T26" s="176" t="s">
        <v>348</v>
      </c>
      <c r="U26" s="176" t="s">
        <v>201</v>
      </c>
      <c r="V26" s="176" t="s">
        <v>200</v>
      </c>
      <c r="W26" s="176" t="s">
        <v>350</v>
      </c>
      <c r="X26" s="176"/>
      <c r="Y26" s="176"/>
      <c r="Z26" s="176"/>
      <c r="AA26" s="176"/>
      <c r="AB26" s="176"/>
      <c r="AC26" s="176"/>
      <c r="AD26" s="176"/>
      <c r="AE26" s="41">
        <f t="shared" si="1"/>
        <v>0</v>
      </c>
      <c r="AF26" s="95" t="s">
        <v>6</v>
      </c>
      <c r="AG26" s="550" t="s">
        <v>41</v>
      </c>
      <c r="AH26" s="542"/>
      <c r="AI26" s="178" t="s">
        <v>444</v>
      </c>
      <c r="AJ26" s="179"/>
      <c r="AK26" s="491" t="s">
        <v>456</v>
      </c>
      <c r="AL26" s="492">
        <v>6.9328703703703698E-2</v>
      </c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15</v>
      </c>
      <c r="G27" s="176"/>
      <c r="H27" s="176"/>
      <c r="I27" s="176"/>
      <c r="J27" s="176"/>
      <c r="K27" s="176"/>
      <c r="L27" s="176"/>
      <c r="M27" s="176"/>
      <c r="N27" s="495">
        <v>1</v>
      </c>
      <c r="O27" s="495">
        <v>1</v>
      </c>
      <c r="P27" s="495">
        <v>1</v>
      </c>
      <c r="Q27" s="495">
        <v>1</v>
      </c>
      <c r="R27" s="495">
        <v>1</v>
      </c>
      <c r="S27" s="495">
        <v>1</v>
      </c>
      <c r="T27" s="495">
        <v>1</v>
      </c>
      <c r="U27" s="495">
        <v>1</v>
      </c>
      <c r="V27" s="495">
        <v>1</v>
      </c>
      <c r="W27" s="495">
        <v>1</v>
      </c>
      <c r="X27" s="495">
        <v>1</v>
      </c>
      <c r="Y27" s="495">
        <v>1</v>
      </c>
      <c r="Z27" s="495">
        <v>1</v>
      </c>
      <c r="AA27" s="495">
        <v>1</v>
      </c>
      <c r="AB27" s="495">
        <v>1</v>
      </c>
      <c r="AC27" s="176"/>
      <c r="AD27" s="176"/>
      <c r="AE27" s="41">
        <f t="shared" si="1"/>
        <v>15</v>
      </c>
      <c r="AF27" s="522" t="s">
        <v>380</v>
      </c>
      <c r="AG27" s="550" t="s">
        <v>41</v>
      </c>
      <c r="AH27" s="542"/>
      <c r="AI27" s="178" t="s">
        <v>444</v>
      </c>
      <c r="AJ27" s="179"/>
      <c r="AK27" s="491" t="s">
        <v>452</v>
      </c>
      <c r="AL27" s="492">
        <v>3.908564814814814E-2</v>
      </c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11</v>
      </c>
      <c r="G28" s="176"/>
      <c r="H28" s="176"/>
      <c r="I28" s="176"/>
      <c r="J28" s="176"/>
      <c r="K28" s="176"/>
      <c r="L28" s="176"/>
      <c r="M28" s="176"/>
      <c r="N28" s="176">
        <v>1</v>
      </c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176">
        <v>1</v>
      </c>
      <c r="W28" s="176">
        <v>1</v>
      </c>
      <c r="X28" s="176">
        <v>1</v>
      </c>
      <c r="Y28" s="176"/>
      <c r="Z28" s="176"/>
      <c r="AA28" s="176"/>
      <c r="AB28" s="176"/>
      <c r="AC28" s="176"/>
      <c r="AD28" s="176"/>
      <c r="AE28" s="41">
        <f t="shared" si="1"/>
        <v>11</v>
      </c>
      <c r="AF28" s="95" t="s">
        <v>154</v>
      </c>
      <c r="AG28" s="550" t="s">
        <v>41</v>
      </c>
      <c r="AH28" s="542"/>
      <c r="AI28" s="178" t="s">
        <v>444</v>
      </c>
      <c r="AJ28" s="179"/>
      <c r="AK28" s="491" t="s">
        <v>485</v>
      </c>
      <c r="AL28" s="492">
        <v>7.1759259259259259E-4</v>
      </c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11</v>
      </c>
      <c r="G29" s="176"/>
      <c r="H29" s="176"/>
      <c r="I29" s="176"/>
      <c r="J29" s="176"/>
      <c r="K29" s="176"/>
      <c r="L29" s="176"/>
      <c r="M29" s="176"/>
      <c r="N29" s="176"/>
      <c r="O29" s="176">
        <v>1</v>
      </c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176">
        <v>1</v>
      </c>
      <c r="W29" s="176">
        <v>1</v>
      </c>
      <c r="X29" s="176">
        <v>1</v>
      </c>
      <c r="Y29" s="176">
        <v>1</v>
      </c>
      <c r="Z29" s="176"/>
      <c r="AA29" s="176"/>
      <c r="AB29" s="176"/>
      <c r="AC29" s="176"/>
      <c r="AD29" s="176"/>
      <c r="AE29" s="41">
        <f t="shared" si="1"/>
        <v>11</v>
      </c>
      <c r="AF29" s="95" t="s">
        <v>119</v>
      </c>
      <c r="AG29" s="556" t="s">
        <v>41</v>
      </c>
      <c r="AH29" s="557"/>
      <c r="AI29" s="178" t="s">
        <v>444</v>
      </c>
      <c r="AJ29" s="179"/>
      <c r="AK29" s="491" t="s">
        <v>178</v>
      </c>
      <c r="AL29" s="492">
        <v>2.6608796296296297E-2</v>
      </c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12</v>
      </c>
      <c r="G30" s="176"/>
      <c r="H30" s="176"/>
      <c r="I30" s="176"/>
      <c r="J30" s="176"/>
      <c r="K30" s="176"/>
      <c r="L30" s="176"/>
      <c r="M30" s="176"/>
      <c r="N30" s="176">
        <v>1</v>
      </c>
      <c r="O30" s="176">
        <v>1</v>
      </c>
      <c r="P30" s="508">
        <v>1</v>
      </c>
      <c r="Q30" s="508">
        <v>1</v>
      </c>
      <c r="R30" s="508">
        <v>1</v>
      </c>
      <c r="S30" s="508">
        <v>1</v>
      </c>
      <c r="T30" s="508">
        <v>1</v>
      </c>
      <c r="U30" s="508">
        <v>1</v>
      </c>
      <c r="V30" s="508">
        <v>1</v>
      </c>
      <c r="W30" s="508">
        <v>1</v>
      </c>
      <c r="X30" s="508">
        <v>1</v>
      </c>
      <c r="Y30" s="508">
        <v>1</v>
      </c>
      <c r="Z30" s="176"/>
      <c r="AA30" s="176"/>
      <c r="AB30" s="176"/>
      <c r="AC30" s="176"/>
      <c r="AD30" s="176"/>
      <c r="AE30" s="41">
        <f t="shared" si="1"/>
        <v>12</v>
      </c>
      <c r="AF30" s="95" t="s">
        <v>327</v>
      </c>
      <c r="AG30" s="550" t="s">
        <v>41</v>
      </c>
      <c r="AH30" s="542"/>
      <c r="AI30" s="178" t="s">
        <v>444</v>
      </c>
      <c r="AJ30" s="179"/>
      <c r="AK30" s="491" t="s">
        <v>190</v>
      </c>
      <c r="AL30" s="492">
        <v>1.8738425925925926E-2</v>
      </c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13</v>
      </c>
      <c r="G31" s="176"/>
      <c r="H31" s="176"/>
      <c r="I31" s="176"/>
      <c r="J31" s="176"/>
      <c r="K31" s="176"/>
      <c r="L31" s="176"/>
      <c r="M31" s="176"/>
      <c r="N31" s="176"/>
      <c r="O31" s="176">
        <v>1</v>
      </c>
      <c r="P31" s="176">
        <v>1</v>
      </c>
      <c r="Q31" s="176">
        <v>1</v>
      </c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176"/>
      <c r="X31" s="176">
        <v>1</v>
      </c>
      <c r="Y31" s="176">
        <v>1</v>
      </c>
      <c r="Z31" s="176">
        <v>1</v>
      </c>
      <c r="AA31" s="176">
        <v>1</v>
      </c>
      <c r="AB31" s="176">
        <v>1</v>
      </c>
      <c r="AC31" s="176"/>
      <c r="AD31" s="176"/>
      <c r="AE31" s="41">
        <f t="shared" si="1"/>
        <v>13</v>
      </c>
      <c r="AF31" s="95" t="s">
        <v>344</v>
      </c>
      <c r="AG31" s="177" t="s">
        <v>41</v>
      </c>
      <c r="AH31" s="186" t="s">
        <v>320</v>
      </c>
      <c r="AI31" s="178" t="s">
        <v>444</v>
      </c>
      <c r="AJ31" s="179"/>
      <c r="AK31" s="491" t="s">
        <v>117</v>
      </c>
      <c r="AL31" s="492">
        <v>2.3263888888888887E-3</v>
      </c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13</v>
      </c>
      <c r="G32" s="176"/>
      <c r="H32" s="176"/>
      <c r="I32" s="176"/>
      <c r="J32" s="176"/>
      <c r="K32" s="176"/>
      <c r="L32" s="176"/>
      <c r="M32" s="176"/>
      <c r="N32" s="176"/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/>
      <c r="W32" s="176">
        <v>1</v>
      </c>
      <c r="X32" s="176">
        <v>1</v>
      </c>
      <c r="Y32" s="176">
        <v>1</v>
      </c>
      <c r="Z32" s="176">
        <v>1</v>
      </c>
      <c r="AA32" s="176">
        <v>1</v>
      </c>
      <c r="AB32" s="176">
        <v>1</v>
      </c>
      <c r="AC32" s="176"/>
      <c r="AD32" s="176"/>
      <c r="AE32" s="41">
        <f t="shared" si="1"/>
        <v>13</v>
      </c>
      <c r="AF32" s="95" t="s">
        <v>247</v>
      </c>
      <c r="AG32" s="558" t="s">
        <v>41</v>
      </c>
      <c r="AH32" s="542"/>
      <c r="AI32" s="178" t="s">
        <v>444</v>
      </c>
      <c r="AJ32" s="179"/>
      <c r="AK32" s="491" t="s">
        <v>128</v>
      </c>
      <c r="AL32" s="492">
        <v>2.8298611111111115E-2</v>
      </c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13</v>
      </c>
      <c r="G33" s="176"/>
      <c r="H33" s="176"/>
      <c r="I33" s="176"/>
      <c r="J33" s="176"/>
      <c r="K33" s="176"/>
      <c r="L33" s="176"/>
      <c r="M33" s="176"/>
      <c r="N33" s="176"/>
      <c r="O33" s="176">
        <v>1</v>
      </c>
      <c r="P33" s="176">
        <v>1</v>
      </c>
      <c r="Q33" s="176">
        <v>1</v>
      </c>
      <c r="R33" s="176">
        <v>1</v>
      </c>
      <c r="S33" s="176">
        <v>1</v>
      </c>
      <c r="T33" s="176"/>
      <c r="U33" s="176">
        <v>1</v>
      </c>
      <c r="V33" s="176">
        <v>1</v>
      </c>
      <c r="W33" s="176">
        <v>1</v>
      </c>
      <c r="X33" s="176">
        <v>1</v>
      </c>
      <c r="Y33" s="176">
        <v>1</v>
      </c>
      <c r="Z33" s="176">
        <v>1</v>
      </c>
      <c r="AA33" s="176">
        <v>1</v>
      </c>
      <c r="AB33" s="176">
        <v>1</v>
      </c>
      <c r="AC33" s="176"/>
      <c r="AD33" s="176"/>
      <c r="AE33" s="41">
        <f t="shared" si="1"/>
        <v>13</v>
      </c>
      <c r="AF33" s="95" t="s">
        <v>719</v>
      </c>
      <c r="AG33" s="550" t="s">
        <v>41</v>
      </c>
      <c r="AH33" s="542"/>
      <c r="AI33" s="178" t="s">
        <v>444</v>
      </c>
      <c r="AJ33" s="179"/>
      <c r="AK33" s="491" t="s">
        <v>149</v>
      </c>
      <c r="AL33" s="492">
        <v>3.3599537037037039E-2</v>
      </c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12</v>
      </c>
      <c r="G34" s="176"/>
      <c r="H34" s="176"/>
      <c r="I34" s="176"/>
      <c r="J34" s="176"/>
      <c r="K34" s="176"/>
      <c r="L34" s="176"/>
      <c r="M34" s="176"/>
      <c r="N34" s="176"/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/>
      <c r="X34" s="176">
        <v>1</v>
      </c>
      <c r="Y34" s="176">
        <v>1</v>
      </c>
      <c r="Z34" s="176">
        <v>1</v>
      </c>
      <c r="AA34" s="176">
        <v>1</v>
      </c>
      <c r="AB34" s="176"/>
      <c r="AC34" s="176"/>
      <c r="AD34" s="176"/>
      <c r="AE34" s="41">
        <f t="shared" si="1"/>
        <v>12</v>
      </c>
      <c r="AF34" s="95" t="s">
        <v>325</v>
      </c>
      <c r="AG34" s="550" t="s">
        <v>41</v>
      </c>
      <c r="AH34" s="542"/>
      <c r="AI34" s="178" t="s">
        <v>444</v>
      </c>
      <c r="AJ34" s="179"/>
      <c r="AK34" s="491" t="s">
        <v>94</v>
      </c>
      <c r="AL34" s="492">
        <v>8.1666666666666651E-2</v>
      </c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13</v>
      </c>
      <c r="G35" s="176"/>
      <c r="H35" s="176"/>
      <c r="I35" s="176"/>
      <c r="J35" s="176"/>
      <c r="K35" s="176"/>
      <c r="L35" s="176"/>
      <c r="M35" s="176"/>
      <c r="N35" s="176"/>
      <c r="O35" s="176"/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176"/>
      <c r="Y35" s="176">
        <v>1</v>
      </c>
      <c r="Z35" s="176">
        <v>1</v>
      </c>
      <c r="AA35" s="176">
        <v>1</v>
      </c>
      <c r="AB35" s="176">
        <v>1</v>
      </c>
      <c r="AC35" s="176">
        <v>1</v>
      </c>
      <c r="AD35" s="176"/>
      <c r="AE35" s="41">
        <f t="shared" si="1"/>
        <v>13</v>
      </c>
      <c r="AF35" s="95" t="s">
        <v>483</v>
      </c>
      <c r="AG35" s="550" t="s">
        <v>41</v>
      </c>
      <c r="AH35" s="542"/>
      <c r="AI35" s="178" t="s">
        <v>444</v>
      </c>
      <c r="AJ35" s="179"/>
      <c r="AK35" s="491" t="s">
        <v>171</v>
      </c>
      <c r="AL35" s="492">
        <v>6.4560185185185193E-2</v>
      </c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13</v>
      </c>
      <c r="G36" s="176"/>
      <c r="H36" s="176"/>
      <c r="I36" s="176"/>
      <c r="J36" s="176"/>
      <c r="K36" s="176"/>
      <c r="L36" s="176"/>
      <c r="M36" s="176">
        <v>1</v>
      </c>
      <c r="N36" s="176">
        <v>1</v>
      </c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/>
      <c r="W36" s="176">
        <v>1</v>
      </c>
      <c r="X36" s="176">
        <v>1</v>
      </c>
      <c r="Y36" s="176">
        <v>1</v>
      </c>
      <c r="Z36" s="176">
        <v>1</v>
      </c>
      <c r="AA36" s="176"/>
      <c r="AB36" s="176"/>
      <c r="AC36" s="176"/>
      <c r="AD36" s="176"/>
      <c r="AE36" s="41">
        <f t="shared" si="1"/>
        <v>13</v>
      </c>
      <c r="AF36" s="95" t="s">
        <v>521</v>
      </c>
      <c r="AG36" s="550" t="s">
        <v>41</v>
      </c>
      <c r="AH36" s="542"/>
      <c r="AI36" s="178" t="s">
        <v>444</v>
      </c>
      <c r="AJ36" s="179"/>
      <c r="AK36" s="491" t="s">
        <v>782</v>
      </c>
      <c r="AL36" s="492">
        <v>1.7002314814814814E-2</v>
      </c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13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/>
      <c r="AC37" s="176"/>
      <c r="AD37" s="176"/>
      <c r="AE37" s="41">
        <f t="shared" si="1"/>
        <v>13</v>
      </c>
      <c r="AF37" s="95" t="s">
        <v>329</v>
      </c>
      <c r="AG37" s="550" t="s">
        <v>41</v>
      </c>
      <c r="AH37" s="542"/>
      <c r="AI37" s="178" t="s">
        <v>444</v>
      </c>
      <c r="AJ37" s="179"/>
      <c r="AK37" s="491" t="s">
        <v>761</v>
      </c>
      <c r="AL37" s="492">
        <v>2.3703703703703703E-2</v>
      </c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10</v>
      </c>
      <c r="G38" s="176"/>
      <c r="H38" s="176"/>
      <c r="I38" s="176"/>
      <c r="J38" s="176"/>
      <c r="K38" s="176"/>
      <c r="L38" s="176"/>
      <c r="M38" s="176"/>
      <c r="N38" s="176"/>
      <c r="O38" s="176"/>
      <c r="P38" s="508">
        <v>1</v>
      </c>
      <c r="Q38" s="508">
        <v>1</v>
      </c>
      <c r="R38" s="508">
        <v>1</v>
      </c>
      <c r="S38" s="508">
        <v>1</v>
      </c>
      <c r="T38" s="508">
        <v>1</v>
      </c>
      <c r="U38" s="508">
        <v>1</v>
      </c>
      <c r="V38" s="508">
        <v>1</v>
      </c>
      <c r="W38" s="508">
        <v>1</v>
      </c>
      <c r="X38" s="508">
        <v>1</v>
      </c>
      <c r="Y38" s="508">
        <v>1</v>
      </c>
      <c r="Z38" s="176"/>
      <c r="AA38" s="176"/>
      <c r="AB38" s="176"/>
      <c r="AC38" s="176"/>
      <c r="AD38" s="176"/>
      <c r="AE38" s="41">
        <f t="shared" si="1"/>
        <v>10</v>
      </c>
      <c r="AF38" s="95" t="s">
        <v>302</v>
      </c>
      <c r="AG38" s="550" t="s">
        <v>41</v>
      </c>
      <c r="AH38" s="542"/>
      <c r="AI38" s="178" t="s">
        <v>444</v>
      </c>
      <c r="AJ38" s="179"/>
      <c r="AK38" s="491" t="s">
        <v>757</v>
      </c>
      <c r="AL38" s="492">
        <v>1.9166666666666669E-2</v>
      </c>
    </row>
    <row r="39" spans="1:38" ht="14.25" customHeight="1" thickBot="1">
      <c r="A39" s="38" t="s">
        <v>41</v>
      </c>
      <c r="B39" s="76" t="s">
        <v>126</v>
      </c>
      <c r="C39" s="76">
        <v>986256130</v>
      </c>
      <c r="D39" s="99">
        <v>32</v>
      </c>
      <c r="E39" s="145" t="s">
        <v>127</v>
      </c>
      <c r="F39" s="41">
        <v>10</v>
      </c>
      <c r="G39" s="176"/>
      <c r="H39" s="176"/>
      <c r="I39" s="176"/>
      <c r="J39" s="176"/>
      <c r="K39" s="176"/>
      <c r="L39" s="176"/>
      <c r="M39" s="176"/>
      <c r="N39" s="176"/>
      <c r="O39" s="176"/>
      <c r="P39" s="552" t="s">
        <v>914</v>
      </c>
      <c r="Q39" s="553"/>
      <c r="R39" s="553"/>
      <c r="S39" s="553"/>
      <c r="T39" s="553"/>
      <c r="U39" s="553"/>
      <c r="V39" s="553"/>
      <c r="W39" s="553"/>
      <c r="X39" s="553"/>
      <c r="Y39" s="554"/>
      <c r="Z39" s="176"/>
      <c r="AA39" s="176"/>
      <c r="AB39" s="176"/>
      <c r="AC39" s="176"/>
      <c r="AD39" s="176"/>
      <c r="AE39" s="41">
        <v>10</v>
      </c>
      <c r="AF39" s="95" t="s">
        <v>302</v>
      </c>
      <c r="AG39" s="551" t="s">
        <v>910</v>
      </c>
      <c r="AH39" s="555"/>
      <c r="AI39" s="189" t="s">
        <v>444</v>
      </c>
      <c r="AJ39" s="179"/>
      <c r="AK39" s="491" t="s">
        <v>101</v>
      </c>
      <c r="AL39" s="492">
        <v>3.2511574074074075E-2</v>
      </c>
    </row>
    <row r="40" spans="1:38" ht="14.25" customHeight="1" thickBot="1">
      <c r="A40" s="38" t="s">
        <v>41</v>
      </c>
      <c r="B40" s="38" t="s">
        <v>88</v>
      </c>
      <c r="C40" s="38">
        <v>985570860</v>
      </c>
      <c r="D40" s="99">
        <v>33</v>
      </c>
      <c r="E40" s="145" t="s">
        <v>89</v>
      </c>
      <c r="F40" s="41">
        <v>11</v>
      </c>
      <c r="G40" s="185"/>
      <c r="H40" s="185"/>
      <c r="I40" s="185"/>
      <c r="J40" s="185"/>
      <c r="K40" s="185"/>
      <c r="L40" s="185"/>
      <c r="M40" s="185"/>
      <c r="N40" s="185"/>
      <c r="O40" s="185"/>
      <c r="P40" s="577" t="s">
        <v>471</v>
      </c>
      <c r="Q40" s="555"/>
      <c r="R40" s="555"/>
      <c r="S40" s="555"/>
      <c r="T40" s="555"/>
      <c r="U40" s="555"/>
      <c r="V40" s="555"/>
      <c r="W40" s="555"/>
      <c r="X40" s="555"/>
      <c r="Y40" s="555"/>
      <c r="Z40" s="542"/>
      <c r="AA40" s="185"/>
      <c r="AB40" s="185"/>
      <c r="AC40" s="185"/>
      <c r="AD40" s="185"/>
      <c r="AE40" s="41">
        <v>11</v>
      </c>
      <c r="AF40" s="95" t="s">
        <v>164</v>
      </c>
      <c r="AG40" s="551" t="s">
        <v>471</v>
      </c>
      <c r="AH40" s="555"/>
      <c r="AI40" s="189" t="s">
        <v>444</v>
      </c>
      <c r="AJ40" s="179"/>
      <c r="AK40" s="491" t="s">
        <v>105</v>
      </c>
      <c r="AL40" s="492">
        <v>4.8541666666666664E-2</v>
      </c>
    </row>
    <row r="41" spans="1:38" ht="14.25" customHeight="1" thickBot="1">
      <c r="A41" s="511" t="s">
        <v>41</v>
      </c>
      <c r="B41" s="512" t="s">
        <v>137</v>
      </c>
      <c r="C41" s="511"/>
      <c r="D41" s="513">
        <v>34</v>
      </c>
      <c r="E41" s="145" t="s">
        <v>138</v>
      </c>
      <c r="F41" s="515">
        <v>8</v>
      </c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552" t="s">
        <v>320</v>
      </c>
      <c r="W41" s="553"/>
      <c r="X41" s="553"/>
      <c r="Y41" s="553"/>
      <c r="Z41" s="553"/>
      <c r="AA41" s="553"/>
      <c r="AB41" s="553"/>
      <c r="AC41" s="554"/>
      <c r="AD41" s="185"/>
      <c r="AE41" s="515">
        <v>8</v>
      </c>
      <c r="AF41" s="95" t="s">
        <v>218</v>
      </c>
      <c r="AG41" s="551" t="s">
        <v>320</v>
      </c>
      <c r="AH41" s="542"/>
      <c r="AI41" s="189" t="s">
        <v>444</v>
      </c>
      <c r="AJ41" s="179"/>
      <c r="AK41" s="491" t="s">
        <v>122</v>
      </c>
      <c r="AL41" s="492">
        <v>4.1215277777777781E-2</v>
      </c>
    </row>
    <row r="42" spans="1:38" ht="14.25" customHeight="1" thickBot="1">
      <c r="A42" s="38" t="s">
        <v>41</v>
      </c>
      <c r="B42" s="190" t="s">
        <v>190</v>
      </c>
      <c r="C42" s="98"/>
      <c r="D42" s="99">
        <v>35</v>
      </c>
      <c r="E42" s="145" t="s">
        <v>191</v>
      </c>
      <c r="F42" s="41">
        <v>8</v>
      </c>
      <c r="G42" s="185"/>
      <c r="H42" s="185"/>
      <c r="I42" s="185"/>
      <c r="J42" s="185"/>
      <c r="K42" s="185"/>
      <c r="L42" s="185"/>
      <c r="M42" s="185"/>
      <c r="N42" s="552" t="s">
        <v>320</v>
      </c>
      <c r="O42" s="553"/>
      <c r="P42" s="553"/>
      <c r="Q42" s="553"/>
      <c r="R42" s="553"/>
      <c r="S42" s="553"/>
      <c r="T42" s="553"/>
      <c r="U42" s="554"/>
      <c r="V42" s="185"/>
      <c r="W42" s="185"/>
      <c r="X42" s="185"/>
      <c r="Y42" s="185"/>
      <c r="Z42" s="185"/>
      <c r="AA42" s="185"/>
      <c r="AB42" s="185"/>
      <c r="AC42" s="185"/>
      <c r="AD42" s="185"/>
      <c r="AE42" s="41">
        <v>8</v>
      </c>
      <c r="AF42" s="95" t="s">
        <v>288</v>
      </c>
      <c r="AG42" s="551" t="s">
        <v>320</v>
      </c>
      <c r="AH42" s="542"/>
      <c r="AI42" s="189" t="s">
        <v>444</v>
      </c>
      <c r="AJ42" s="179"/>
      <c r="AK42" s="491" t="s">
        <v>922</v>
      </c>
      <c r="AL42" s="492">
        <v>1.5868055555555559E-2</v>
      </c>
    </row>
    <row r="43" spans="1:38" ht="16.5" thickBot="1">
      <c r="A43" s="38" t="s">
        <v>41</v>
      </c>
      <c r="B43" s="38" t="s">
        <v>64</v>
      </c>
      <c r="C43" s="38">
        <v>995545886</v>
      </c>
      <c r="D43" s="99">
        <v>36</v>
      </c>
      <c r="E43" s="145" t="s">
        <v>65</v>
      </c>
      <c r="F43" s="41">
        <v>12</v>
      </c>
      <c r="G43" s="185"/>
      <c r="H43" s="185"/>
      <c r="I43" s="185"/>
      <c r="J43" s="185"/>
      <c r="K43" s="185"/>
      <c r="L43" s="185"/>
      <c r="M43" s="185"/>
      <c r="N43" s="176">
        <v>1</v>
      </c>
      <c r="O43" s="176">
        <v>1</v>
      </c>
      <c r="P43" s="552" t="s">
        <v>914</v>
      </c>
      <c r="Q43" s="553"/>
      <c r="R43" s="553"/>
      <c r="S43" s="553"/>
      <c r="T43" s="553"/>
      <c r="U43" s="553"/>
      <c r="V43" s="553"/>
      <c r="W43" s="553"/>
      <c r="X43" s="553"/>
      <c r="Y43" s="554"/>
      <c r="Z43" s="185"/>
      <c r="AA43" s="185"/>
      <c r="AB43" s="185"/>
      <c r="AC43" s="185"/>
      <c r="AD43" s="185"/>
      <c r="AE43" s="41">
        <v>12</v>
      </c>
      <c r="AF43" s="95" t="s">
        <v>327</v>
      </c>
      <c r="AG43" s="551" t="s">
        <v>473</v>
      </c>
      <c r="AH43" s="555"/>
      <c r="AI43" s="178" t="s">
        <v>444</v>
      </c>
      <c r="AJ43" s="179"/>
      <c r="AK43" s="491" t="s">
        <v>486</v>
      </c>
      <c r="AL43" s="492">
        <v>3.4930555555555555E-2</v>
      </c>
    </row>
    <row r="44" spans="1:38" ht="63.75" thickBot="1">
      <c r="A44" s="2"/>
      <c r="B44" s="2"/>
      <c r="C44" s="2"/>
      <c r="D44" s="128"/>
      <c r="E44" s="49"/>
      <c r="F44" s="50"/>
      <c r="G44" s="51" t="s">
        <v>9</v>
      </c>
      <c r="H44" s="51" t="s">
        <v>10</v>
      </c>
      <c r="I44" s="51" t="s">
        <v>11</v>
      </c>
      <c r="J44" s="51" t="s">
        <v>12</v>
      </c>
      <c r="K44" s="51" t="s">
        <v>13</v>
      </c>
      <c r="L44" s="51" t="s">
        <v>14</v>
      </c>
      <c r="M44" s="51" t="s">
        <v>15</v>
      </c>
      <c r="N44" s="51" t="s">
        <v>16</v>
      </c>
      <c r="O44" s="106" t="s">
        <v>17</v>
      </c>
      <c r="P44" s="106" t="s">
        <v>18</v>
      </c>
      <c r="Q44" s="107" t="s">
        <v>19</v>
      </c>
      <c r="R44" s="107" t="s">
        <v>20</v>
      </c>
      <c r="S44" s="107" t="s">
        <v>21</v>
      </c>
      <c r="T44" s="107" t="s">
        <v>22</v>
      </c>
      <c r="U44" s="107" t="s">
        <v>23</v>
      </c>
      <c r="V44" s="107" t="s">
        <v>24</v>
      </c>
      <c r="W44" s="107" t="s">
        <v>25</v>
      </c>
      <c r="X44" s="107" t="s">
        <v>26</v>
      </c>
      <c r="Y44" s="107" t="s">
        <v>27</v>
      </c>
      <c r="Z44" s="107" t="s">
        <v>28</v>
      </c>
      <c r="AA44" s="52" t="s">
        <v>29</v>
      </c>
      <c r="AB44" s="52" t="s">
        <v>30</v>
      </c>
      <c r="AC44" s="52" t="s">
        <v>31</v>
      </c>
      <c r="AD44" s="51" t="s">
        <v>32</v>
      </c>
      <c r="AE44" s="53"/>
      <c r="AF44" s="116"/>
      <c r="AG44" s="25"/>
      <c r="AH44" s="25"/>
      <c r="AI44" s="25"/>
      <c r="AJ44" s="25"/>
      <c r="AK44" s="491" t="s">
        <v>458</v>
      </c>
      <c r="AL44" s="492">
        <v>4.0324074074074068E-2</v>
      </c>
    </row>
    <row r="45" spans="1:38" ht="14.25" customHeight="1">
      <c r="A45" s="2"/>
      <c r="B45" s="2"/>
      <c r="C45" s="2"/>
      <c r="D45" s="152"/>
      <c r="E45" s="2"/>
      <c r="F45" s="2"/>
      <c r="AE45" s="2"/>
      <c r="AF45" s="2"/>
      <c r="AG45" s="2"/>
      <c r="AH45" s="2"/>
      <c r="AI45" s="2"/>
      <c r="AJ45" s="2"/>
      <c r="AK45" s="491" t="s">
        <v>160</v>
      </c>
      <c r="AL45" s="492">
        <v>3.7175925925925925E-2</v>
      </c>
    </row>
    <row r="46" spans="1:38" ht="14.25" customHeight="1">
      <c r="A46" s="2"/>
      <c r="B46" s="2"/>
      <c r="C46" s="2"/>
      <c r="D46" s="152"/>
      <c r="E46" s="2"/>
      <c r="F46" s="2"/>
      <c r="AE46" s="2"/>
      <c r="AF46" s="2"/>
      <c r="AG46" s="2"/>
      <c r="AH46" s="2"/>
      <c r="AI46" s="2"/>
      <c r="AJ46" s="2"/>
      <c r="AK46" s="491" t="s">
        <v>462</v>
      </c>
      <c r="AL46" s="492">
        <v>1.5046296296296297E-4</v>
      </c>
    </row>
    <row r="47" spans="1:38" ht="14.25" customHeight="1">
      <c r="A47" s="2"/>
      <c r="B47" s="2"/>
      <c r="C47" s="2"/>
      <c r="D47" s="152"/>
      <c r="E47" s="2"/>
      <c r="F47" s="2"/>
      <c r="AE47" s="2"/>
      <c r="AF47" s="2"/>
      <c r="AG47" s="2"/>
      <c r="AH47" s="2"/>
      <c r="AI47" s="2"/>
      <c r="AJ47" s="2"/>
      <c r="AK47" s="491" t="s">
        <v>167</v>
      </c>
      <c r="AL47" s="492">
        <v>1.832175925925926E-2</v>
      </c>
    </row>
  </sheetData>
  <mergeCells count="45">
    <mergeCell ref="AG14:AH14"/>
    <mergeCell ref="A1:B1"/>
    <mergeCell ref="D3:AE3"/>
    <mergeCell ref="E4:F4"/>
    <mergeCell ref="E5:F5"/>
    <mergeCell ref="AG7:AH7"/>
    <mergeCell ref="AG8:AH8"/>
    <mergeCell ref="AG9:AH9"/>
    <mergeCell ref="AG10:AH10"/>
    <mergeCell ref="AG11:AH11"/>
    <mergeCell ref="AG12:AH12"/>
    <mergeCell ref="AG13:AH13"/>
    <mergeCell ref="AG26:AH26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P39:Y39"/>
    <mergeCell ref="AG39:AH39"/>
    <mergeCell ref="AG27:AH27"/>
    <mergeCell ref="AG28:AH28"/>
    <mergeCell ref="AG29:AH29"/>
    <mergeCell ref="AG30:AH30"/>
    <mergeCell ref="AG32:AH32"/>
    <mergeCell ref="AG33:AH33"/>
    <mergeCell ref="AG34:AH34"/>
    <mergeCell ref="AG35:AH35"/>
    <mergeCell ref="AG36:AH36"/>
    <mergeCell ref="AG37:AH37"/>
    <mergeCell ref="AG38:AH38"/>
    <mergeCell ref="P40:Z40"/>
    <mergeCell ref="AG40:AH40"/>
    <mergeCell ref="V41:AC41"/>
    <mergeCell ref="AG41:AH41"/>
    <mergeCell ref="N42:U42"/>
    <mergeCell ref="AG42:AH42"/>
    <mergeCell ref="P43:Y43"/>
    <mergeCell ref="AG43:AH43"/>
  </mergeCells>
  <conditionalFormatting sqref="E4:F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F9B6-CDE4-498B-AFF4-E0FC640E2543}">
  <dimension ref="A1:AL45"/>
  <sheetViews>
    <sheetView showGridLines="0" topLeftCell="C26" zoomScale="60" zoomScaleNormal="60" workbookViewId="0">
      <selection activeCell="C46" sqref="A46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257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524">
        <v>4</v>
      </c>
      <c r="H4" s="524">
        <v>3</v>
      </c>
      <c r="I4" s="524">
        <v>3</v>
      </c>
      <c r="J4" s="524">
        <v>3</v>
      </c>
      <c r="K4" s="524">
        <v>3</v>
      </c>
      <c r="L4" s="524">
        <v>3</v>
      </c>
      <c r="M4" s="524">
        <v>9</v>
      </c>
      <c r="N4" s="524">
        <v>12</v>
      </c>
      <c r="O4" s="524">
        <v>17</v>
      </c>
      <c r="P4" s="524">
        <v>24</v>
      </c>
      <c r="Q4" s="524">
        <v>26</v>
      </c>
      <c r="R4" s="524">
        <v>26</v>
      </c>
      <c r="S4" s="524">
        <v>26</v>
      </c>
      <c r="T4" s="524">
        <v>26</v>
      </c>
      <c r="U4" s="524">
        <v>26</v>
      </c>
      <c r="V4" s="524">
        <v>26</v>
      </c>
      <c r="W4" s="524">
        <v>26</v>
      </c>
      <c r="X4" s="524">
        <v>24</v>
      </c>
      <c r="Y4" s="524">
        <v>23</v>
      </c>
      <c r="Z4" s="524">
        <v>20</v>
      </c>
      <c r="AA4" s="524">
        <v>19</v>
      </c>
      <c r="AB4" s="524">
        <v>13</v>
      </c>
      <c r="AC4" s="524">
        <v>8</v>
      </c>
      <c r="AD4" s="524">
        <v>4</v>
      </c>
      <c r="AE4" s="18">
        <f>SUM(G4:AD4)</f>
        <v>374</v>
      </c>
      <c r="AF4" s="3"/>
      <c r="AG4" s="3"/>
      <c r="AH4" s="3"/>
      <c r="AI4" s="3"/>
      <c r="AJ4" s="3"/>
      <c r="AK4" s="3"/>
      <c r="AL4" s="3"/>
    </row>
    <row r="5" spans="1:38" ht="63.75" thickBot="1">
      <c r="A5" s="3"/>
      <c r="B5" s="2"/>
      <c r="C5" s="2"/>
      <c r="D5" s="19"/>
      <c r="E5" s="569">
        <v>5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1</v>
      </c>
      <c r="O6" s="28">
        <f t="shared" si="0"/>
        <v>1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497">
        <f t="shared" si="0"/>
        <v>1</v>
      </c>
      <c r="AA6" s="497">
        <f t="shared" si="0"/>
        <v>1</v>
      </c>
      <c r="AB6" s="497">
        <f t="shared" si="0"/>
        <v>1</v>
      </c>
      <c r="AC6" s="497">
        <f t="shared" si="0"/>
        <v>0</v>
      </c>
      <c r="AD6" s="28">
        <f t="shared" si="0"/>
        <v>0</v>
      </c>
      <c r="AE6" s="29">
        <f t="shared" ref="AE6:AE39" si="1">SUM(G6:AD6)</f>
        <v>5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SUM(G8:G43)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9</v>
      </c>
      <c r="N7" s="172">
        <f t="shared" si="2"/>
        <v>13</v>
      </c>
      <c r="O7" s="172">
        <f t="shared" si="2"/>
        <v>18</v>
      </c>
      <c r="P7" s="172">
        <f t="shared" si="2"/>
        <v>24</v>
      </c>
      <c r="Q7" s="172">
        <f t="shared" si="2"/>
        <v>26</v>
      </c>
      <c r="R7" s="172">
        <f t="shared" si="2"/>
        <v>26</v>
      </c>
      <c r="S7" s="172">
        <f t="shared" si="2"/>
        <v>26</v>
      </c>
      <c r="T7" s="172">
        <f t="shared" si="2"/>
        <v>26</v>
      </c>
      <c r="U7" s="172">
        <f t="shared" si="2"/>
        <v>26</v>
      </c>
      <c r="V7" s="172">
        <f t="shared" si="2"/>
        <v>26</v>
      </c>
      <c r="W7" s="172">
        <f t="shared" si="2"/>
        <v>26</v>
      </c>
      <c r="X7" s="172">
        <f t="shared" si="2"/>
        <v>24</v>
      </c>
      <c r="Y7" s="172">
        <f t="shared" si="2"/>
        <v>23</v>
      </c>
      <c r="Z7" s="172">
        <f t="shared" si="2"/>
        <v>21</v>
      </c>
      <c r="AA7" s="172">
        <f t="shared" si="2"/>
        <v>20</v>
      </c>
      <c r="AB7" s="172">
        <f t="shared" si="2"/>
        <v>14</v>
      </c>
      <c r="AC7" s="172">
        <f t="shared" si="2"/>
        <v>8</v>
      </c>
      <c r="AD7" s="172">
        <f t="shared" si="2"/>
        <v>4</v>
      </c>
      <c r="AE7" s="168">
        <f t="shared" si="1"/>
        <v>379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39" si="3">SUM(G8:AD8)</f>
        <v>12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12</v>
      </c>
      <c r="AF8" s="95" t="s">
        <v>311</v>
      </c>
      <c r="AG8" s="550" t="s">
        <v>41</v>
      </c>
      <c r="AH8" s="542"/>
      <c r="AI8" s="178" t="s">
        <v>444</v>
      </c>
      <c r="AJ8" s="179"/>
      <c r="AK8" s="489"/>
      <c r="AL8" s="490"/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14</v>
      </c>
      <c r="G9" s="176"/>
      <c r="H9" s="176"/>
      <c r="I9" s="176"/>
      <c r="J9" s="176"/>
      <c r="K9" s="176"/>
      <c r="L9" s="176"/>
      <c r="M9" s="176"/>
      <c r="N9" s="176">
        <v>1</v>
      </c>
      <c r="O9" s="176">
        <v>1</v>
      </c>
      <c r="P9" s="176">
        <v>1</v>
      </c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/>
      <c r="Y9" s="176">
        <v>1</v>
      </c>
      <c r="Z9" s="176">
        <v>1</v>
      </c>
      <c r="AA9" s="176">
        <v>1</v>
      </c>
      <c r="AB9" s="176">
        <v>1</v>
      </c>
      <c r="AC9" s="176"/>
      <c r="AD9" s="176"/>
      <c r="AE9" s="41">
        <f t="shared" si="1"/>
        <v>14</v>
      </c>
      <c r="AF9" s="95" t="s">
        <v>929</v>
      </c>
      <c r="AG9" s="556" t="s">
        <v>41</v>
      </c>
      <c r="AH9" s="557"/>
      <c r="AI9" s="178" t="s">
        <v>444</v>
      </c>
      <c r="AJ9" s="179"/>
      <c r="AK9" s="491"/>
      <c r="AL9" s="492"/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12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>
        <v>1</v>
      </c>
      <c r="T10" s="176">
        <v>1</v>
      </c>
      <c r="U10" s="176">
        <v>1</v>
      </c>
      <c r="V10" s="176">
        <v>1</v>
      </c>
      <c r="W10" s="176">
        <v>1</v>
      </c>
      <c r="X10" s="176">
        <v>1</v>
      </c>
      <c r="Y10" s="176"/>
      <c r="Z10" s="176"/>
      <c r="AA10" s="176"/>
      <c r="AB10" s="176"/>
      <c r="AC10" s="176"/>
      <c r="AD10" s="176"/>
      <c r="AE10" s="41">
        <f t="shared" si="1"/>
        <v>12</v>
      </c>
      <c r="AF10" s="95" t="s">
        <v>354</v>
      </c>
      <c r="AG10" s="556" t="s">
        <v>41</v>
      </c>
      <c r="AH10" s="557"/>
      <c r="AI10" s="178" t="s">
        <v>444</v>
      </c>
      <c r="AJ10" s="179"/>
      <c r="AK10" s="491"/>
      <c r="AL10" s="492"/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12</v>
      </c>
      <c r="G11" s="176"/>
      <c r="H11" s="176"/>
      <c r="I11" s="176"/>
      <c r="J11" s="176"/>
      <c r="K11" s="176"/>
      <c r="L11" s="176"/>
      <c r="M11" s="176">
        <v>1</v>
      </c>
      <c r="N11" s="176">
        <v>1</v>
      </c>
      <c r="O11" s="176">
        <v>1</v>
      </c>
      <c r="P11" s="176">
        <v>1</v>
      </c>
      <c r="Q11" s="176">
        <v>1</v>
      </c>
      <c r="R11" s="176"/>
      <c r="S11" s="176">
        <v>1</v>
      </c>
      <c r="T11" s="176">
        <v>1</v>
      </c>
      <c r="U11" s="176">
        <v>1</v>
      </c>
      <c r="V11" s="176">
        <v>1</v>
      </c>
      <c r="W11" s="176">
        <v>1</v>
      </c>
      <c r="X11" s="176">
        <v>1</v>
      </c>
      <c r="Y11" s="176">
        <v>1</v>
      </c>
      <c r="Z11" s="176"/>
      <c r="AA11" s="176"/>
      <c r="AB11" s="176"/>
      <c r="AC11" s="176"/>
      <c r="AD11" s="176"/>
      <c r="AE11" s="41">
        <f t="shared" si="1"/>
        <v>12</v>
      </c>
      <c r="AF11" s="95" t="s">
        <v>436</v>
      </c>
      <c r="AG11" s="556" t="s">
        <v>41</v>
      </c>
      <c r="AH11" s="557"/>
      <c r="AI11" s="178" t="s">
        <v>444</v>
      </c>
      <c r="AJ11" s="179"/>
      <c r="AK11" s="491"/>
      <c r="AL11" s="492"/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15</v>
      </c>
      <c r="G12" s="176"/>
      <c r="H12" s="176"/>
      <c r="I12" s="176"/>
      <c r="J12" s="176"/>
      <c r="K12" s="176"/>
      <c r="L12" s="176"/>
      <c r="M12" s="176"/>
      <c r="N12" s="495">
        <v>1</v>
      </c>
      <c r="O12" s="495">
        <v>1</v>
      </c>
      <c r="P12" s="495">
        <v>1</v>
      </c>
      <c r="Q12" s="495">
        <v>1</v>
      </c>
      <c r="R12" s="495">
        <v>1</v>
      </c>
      <c r="S12" s="495">
        <v>1</v>
      </c>
      <c r="T12" s="495">
        <v>1</v>
      </c>
      <c r="U12" s="495">
        <v>1</v>
      </c>
      <c r="V12" s="495">
        <v>1</v>
      </c>
      <c r="W12" s="495">
        <v>1</v>
      </c>
      <c r="X12" s="495">
        <v>1</v>
      </c>
      <c r="Y12" s="495">
        <v>1</v>
      </c>
      <c r="Z12" s="495">
        <v>1</v>
      </c>
      <c r="AA12" s="495">
        <v>1</v>
      </c>
      <c r="AB12" s="495">
        <v>1</v>
      </c>
      <c r="AC12" s="176"/>
      <c r="AD12" s="176"/>
      <c r="AE12" s="515">
        <f t="shared" si="1"/>
        <v>15</v>
      </c>
      <c r="AF12" s="95" t="s">
        <v>380</v>
      </c>
      <c r="AG12" s="558" t="s">
        <v>41</v>
      </c>
      <c r="AH12" s="542"/>
      <c r="AI12" s="517" t="s">
        <v>444</v>
      </c>
      <c r="AJ12" s="179"/>
      <c r="AK12" s="491"/>
      <c r="AL12" s="492"/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41">
        <v>12</v>
      </c>
      <c r="G13" s="176"/>
      <c r="H13" s="176"/>
      <c r="I13" s="176"/>
      <c r="J13" s="176"/>
      <c r="K13" s="176"/>
      <c r="L13" s="176"/>
      <c r="M13" s="176">
        <v>1</v>
      </c>
      <c r="N13" s="176">
        <v>1</v>
      </c>
      <c r="O13" s="176">
        <v>1</v>
      </c>
      <c r="P13" s="176">
        <v>1</v>
      </c>
      <c r="Q13" s="176">
        <v>1</v>
      </c>
      <c r="R13" s="176">
        <v>1</v>
      </c>
      <c r="S13" s="176">
        <v>1</v>
      </c>
      <c r="T13" s="176">
        <v>1</v>
      </c>
      <c r="U13" s="176"/>
      <c r="V13" s="176">
        <v>1</v>
      </c>
      <c r="W13" s="176">
        <v>1</v>
      </c>
      <c r="X13" s="176">
        <v>1</v>
      </c>
      <c r="Y13" s="176">
        <v>1</v>
      </c>
      <c r="Z13" s="176"/>
      <c r="AA13" s="176"/>
      <c r="AB13" s="176"/>
      <c r="AC13" s="176"/>
      <c r="AD13" s="176"/>
      <c r="AE13" s="41">
        <v>12</v>
      </c>
      <c r="AF13" s="95" t="s">
        <v>374</v>
      </c>
      <c r="AG13" s="550" t="s">
        <v>41</v>
      </c>
      <c r="AH13" s="542"/>
      <c r="AI13" s="178" t="s">
        <v>444</v>
      </c>
      <c r="AJ13" s="179"/>
      <c r="AK13" s="491"/>
      <c r="AL13" s="492"/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12</v>
      </c>
      <c r="G14" s="176">
        <v>1</v>
      </c>
      <c r="H14" s="176">
        <v>1</v>
      </c>
      <c r="I14" s="176">
        <v>1</v>
      </c>
      <c r="J14" s="176">
        <v>1</v>
      </c>
      <c r="K14" s="176">
        <v>1</v>
      </c>
      <c r="L14" s="176">
        <v>1</v>
      </c>
      <c r="M14" s="176">
        <v>1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41">
        <f t="shared" si="1"/>
        <v>12</v>
      </c>
      <c r="AF14" s="95" t="s">
        <v>311</v>
      </c>
      <c r="AG14" s="550" t="s">
        <v>41</v>
      </c>
      <c r="AH14" s="542"/>
      <c r="AI14" s="178" t="s">
        <v>444</v>
      </c>
      <c r="AJ14" s="179"/>
      <c r="AK14" s="491"/>
      <c r="AL14" s="492"/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13</v>
      </c>
      <c r="G15" s="176"/>
      <c r="H15" s="176"/>
      <c r="I15" s="176"/>
      <c r="J15" s="176"/>
      <c r="K15" s="176"/>
      <c r="L15" s="176"/>
      <c r="M15" s="176">
        <v>1</v>
      </c>
      <c r="N15" s="176">
        <v>1</v>
      </c>
      <c r="O15" s="176">
        <v>1</v>
      </c>
      <c r="P15" s="176">
        <v>1</v>
      </c>
      <c r="Q15" s="176">
        <v>1</v>
      </c>
      <c r="R15" s="176">
        <v>1</v>
      </c>
      <c r="S15" s="176">
        <v>1</v>
      </c>
      <c r="T15" s="176">
        <v>1</v>
      </c>
      <c r="U15" s="176">
        <v>1</v>
      </c>
      <c r="V15" s="176">
        <v>1</v>
      </c>
      <c r="W15" s="176">
        <v>1</v>
      </c>
      <c r="X15" s="176"/>
      <c r="Y15" s="176">
        <v>1</v>
      </c>
      <c r="Z15" s="176">
        <v>1</v>
      </c>
      <c r="AA15" s="176"/>
      <c r="AB15" s="176"/>
      <c r="AC15" s="176"/>
      <c r="AD15" s="176"/>
      <c r="AE15" s="41">
        <f t="shared" si="1"/>
        <v>13</v>
      </c>
      <c r="AF15" s="95" t="s">
        <v>638</v>
      </c>
      <c r="AG15" s="550" t="s">
        <v>41</v>
      </c>
      <c r="AH15" s="542"/>
      <c r="AI15" s="178" t="s">
        <v>444</v>
      </c>
      <c r="AJ15" s="179"/>
      <c r="AK15" s="491"/>
      <c r="AL15" s="492"/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12</v>
      </c>
      <c r="G16" s="176"/>
      <c r="H16" s="176"/>
      <c r="I16" s="176"/>
      <c r="J16" s="176"/>
      <c r="K16" s="176"/>
      <c r="L16" s="176"/>
      <c r="M16" s="176"/>
      <c r="N16" s="176">
        <v>1</v>
      </c>
      <c r="O16" s="176">
        <v>1</v>
      </c>
      <c r="P16" s="176">
        <v>1</v>
      </c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>
        <v>1</v>
      </c>
      <c r="X16" s="176">
        <v>1</v>
      </c>
      <c r="Y16" s="176">
        <v>1</v>
      </c>
      <c r="Z16" s="176"/>
      <c r="AA16" s="176"/>
      <c r="AB16" s="176"/>
      <c r="AC16" s="176"/>
      <c r="AD16" s="176"/>
      <c r="AE16" s="41">
        <f t="shared" si="1"/>
        <v>12</v>
      </c>
      <c r="AF16" s="95" t="s">
        <v>327</v>
      </c>
      <c r="AG16" s="550" t="s">
        <v>41</v>
      </c>
      <c r="AH16" s="542"/>
      <c r="AI16" s="178" t="s">
        <v>444</v>
      </c>
      <c r="AJ16" s="179"/>
      <c r="AK16" s="491"/>
      <c r="AL16" s="492"/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7</v>
      </c>
      <c r="G17" s="176"/>
      <c r="H17" s="176"/>
      <c r="I17" s="176"/>
      <c r="J17" s="176"/>
      <c r="K17" s="176"/>
      <c r="L17" s="176"/>
      <c r="M17" s="176"/>
      <c r="N17" s="176"/>
      <c r="O17" s="176">
        <v>1</v>
      </c>
      <c r="P17" s="176">
        <v>1</v>
      </c>
      <c r="Q17" s="176">
        <v>1</v>
      </c>
      <c r="R17" s="176">
        <v>1</v>
      </c>
      <c r="S17" s="176">
        <v>1</v>
      </c>
      <c r="T17" s="176">
        <v>1</v>
      </c>
      <c r="U17" s="176">
        <v>1</v>
      </c>
      <c r="V17" s="176"/>
      <c r="W17" s="176"/>
      <c r="X17" s="176"/>
      <c r="Y17" s="176"/>
      <c r="Z17" s="176"/>
      <c r="AA17" s="176"/>
      <c r="AB17" s="176"/>
      <c r="AC17" s="176"/>
      <c r="AD17" s="176"/>
      <c r="AE17" s="41">
        <f t="shared" si="1"/>
        <v>7</v>
      </c>
      <c r="AF17" s="95" t="s">
        <v>87</v>
      </c>
      <c r="AG17" s="559" t="s">
        <v>41</v>
      </c>
      <c r="AH17" s="560"/>
      <c r="AI17" s="178" t="s">
        <v>444</v>
      </c>
      <c r="AJ17" s="179"/>
      <c r="AK17" s="491"/>
      <c r="AL17" s="492"/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12</v>
      </c>
      <c r="G18" s="176"/>
      <c r="H18" s="176"/>
      <c r="I18" s="176"/>
      <c r="J18" s="176"/>
      <c r="K18" s="176"/>
      <c r="L18" s="176"/>
      <c r="M18" s="176">
        <v>1</v>
      </c>
      <c r="N18" s="176">
        <v>1</v>
      </c>
      <c r="O18" s="176">
        <v>1</v>
      </c>
      <c r="P18" s="176">
        <v>1</v>
      </c>
      <c r="Q18" s="176">
        <v>1</v>
      </c>
      <c r="R18" s="176">
        <v>1</v>
      </c>
      <c r="S18" s="176"/>
      <c r="T18" s="176">
        <v>1</v>
      </c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/>
      <c r="AA18" s="176"/>
      <c r="AB18" s="176"/>
      <c r="AC18" s="176"/>
      <c r="AD18" s="176"/>
      <c r="AE18" s="41">
        <f t="shared" si="1"/>
        <v>12</v>
      </c>
      <c r="AF18" s="95" t="s">
        <v>366</v>
      </c>
      <c r="AG18" s="550" t="s">
        <v>41</v>
      </c>
      <c r="AH18" s="542"/>
      <c r="AI18" s="178" t="s">
        <v>444</v>
      </c>
      <c r="AJ18" s="179"/>
      <c r="AK18" s="491"/>
      <c r="AL18" s="492"/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f t="shared" si="3"/>
        <v>12</v>
      </c>
      <c r="G19" s="176"/>
      <c r="H19" s="176"/>
      <c r="I19" s="176"/>
      <c r="J19" s="176"/>
      <c r="K19" s="176"/>
      <c r="L19" s="176"/>
      <c r="M19" s="176"/>
      <c r="N19" s="176"/>
      <c r="O19" s="176"/>
      <c r="P19" s="508">
        <v>1</v>
      </c>
      <c r="Q19" s="508">
        <v>1</v>
      </c>
      <c r="R19" s="508">
        <v>1</v>
      </c>
      <c r="S19" s="508">
        <v>1</v>
      </c>
      <c r="T19" s="508">
        <v>1</v>
      </c>
      <c r="U19" s="508">
        <v>1</v>
      </c>
      <c r="V19" s="508">
        <v>1</v>
      </c>
      <c r="W19" s="508">
        <v>1</v>
      </c>
      <c r="X19" s="508">
        <v>1</v>
      </c>
      <c r="Y19" s="508">
        <v>1</v>
      </c>
      <c r="Z19" s="176"/>
      <c r="AA19" s="176">
        <v>1</v>
      </c>
      <c r="AB19" s="176">
        <v>1</v>
      </c>
      <c r="AC19" s="176"/>
      <c r="AD19" s="176"/>
      <c r="AE19" s="41">
        <f t="shared" si="1"/>
        <v>12</v>
      </c>
      <c r="AF19" s="95" t="s">
        <v>386</v>
      </c>
      <c r="AG19" s="556" t="s">
        <v>41</v>
      </c>
      <c r="AH19" s="557"/>
      <c r="AI19" s="178" t="s">
        <v>444</v>
      </c>
      <c r="AJ19" s="179"/>
      <c r="AK19" s="491"/>
      <c r="AL19" s="492"/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12</v>
      </c>
      <c r="G20" s="176">
        <v>1</v>
      </c>
      <c r="H20" s="176">
        <v>1</v>
      </c>
      <c r="I20" s="176">
        <v>1</v>
      </c>
      <c r="J20" s="176">
        <v>1</v>
      </c>
      <c r="K20" s="176">
        <v>1</v>
      </c>
      <c r="L20" s="176">
        <v>1</v>
      </c>
      <c r="M20" s="176">
        <v>1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12</v>
      </c>
      <c r="AF20" s="95" t="s">
        <v>311</v>
      </c>
      <c r="AG20" s="550" t="s">
        <v>41</v>
      </c>
      <c r="AH20" s="542"/>
      <c r="AI20" s="178" t="s">
        <v>444</v>
      </c>
      <c r="AJ20" s="179"/>
      <c r="AK20" s="491"/>
      <c r="AL20" s="492"/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11</v>
      </c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/>
      <c r="X21" s="176">
        <v>1</v>
      </c>
      <c r="Y21" s="176">
        <v>1</v>
      </c>
      <c r="Z21" s="176">
        <v>1</v>
      </c>
      <c r="AA21" s="176">
        <v>1</v>
      </c>
      <c r="AB21" s="176">
        <v>1</v>
      </c>
      <c r="AC21" s="176"/>
      <c r="AD21" s="176"/>
      <c r="AE21" s="41">
        <f t="shared" si="1"/>
        <v>11</v>
      </c>
      <c r="AF21" s="95" t="s">
        <v>277</v>
      </c>
      <c r="AG21" s="550" t="s">
        <v>41</v>
      </c>
      <c r="AH21" s="542"/>
      <c r="AI21" s="178" t="s">
        <v>444</v>
      </c>
      <c r="AJ21" s="179"/>
      <c r="AK21" s="491"/>
      <c r="AL21" s="492"/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11</v>
      </c>
      <c r="G22" s="176">
        <v>1</v>
      </c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>
        <v>1</v>
      </c>
      <c r="S22" s="176">
        <v>1</v>
      </c>
      <c r="T22" s="176">
        <v>1</v>
      </c>
      <c r="U22" s="176">
        <v>1</v>
      </c>
      <c r="V22" s="176">
        <v>1</v>
      </c>
      <c r="W22" s="176">
        <v>1</v>
      </c>
      <c r="X22" s="176">
        <v>1</v>
      </c>
      <c r="Y22" s="176"/>
      <c r="Z22" s="176">
        <v>1</v>
      </c>
      <c r="AA22" s="176">
        <v>1</v>
      </c>
      <c r="AB22" s="176">
        <v>1</v>
      </c>
      <c r="AC22" s="176"/>
      <c r="AD22" s="176"/>
      <c r="AE22" s="41">
        <f t="shared" si="1"/>
        <v>11</v>
      </c>
      <c r="AF22" s="95" t="s">
        <v>930</v>
      </c>
      <c r="AG22" s="550" t="s">
        <v>41</v>
      </c>
      <c r="AH22" s="542"/>
      <c r="AI22" s="178" t="s">
        <v>444</v>
      </c>
      <c r="AJ22" s="179"/>
      <c r="AK22" s="491"/>
      <c r="AL22" s="492"/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12</v>
      </c>
      <c r="G23" s="176"/>
      <c r="H23" s="176"/>
      <c r="I23" s="176"/>
      <c r="J23" s="176"/>
      <c r="K23" s="176"/>
      <c r="L23" s="176"/>
      <c r="M23" s="176">
        <v>1</v>
      </c>
      <c r="N23" s="176">
        <v>1</v>
      </c>
      <c r="O23" s="176">
        <v>1</v>
      </c>
      <c r="P23" s="176"/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176">
        <v>1</v>
      </c>
      <c r="Y23" s="176">
        <v>1</v>
      </c>
      <c r="Z23" s="176"/>
      <c r="AA23" s="176"/>
      <c r="AB23" s="176"/>
      <c r="AC23" s="176"/>
      <c r="AD23" s="176"/>
      <c r="AE23" s="41">
        <f t="shared" si="1"/>
        <v>12</v>
      </c>
      <c r="AF23" s="95" t="s">
        <v>909</v>
      </c>
      <c r="AG23" s="550" t="s">
        <v>41</v>
      </c>
      <c r="AH23" s="542"/>
      <c r="AI23" s="178" t="s">
        <v>444</v>
      </c>
      <c r="AJ23" s="179"/>
      <c r="AK23" s="491"/>
      <c r="AL23" s="492"/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10</v>
      </c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>
        <v>1</v>
      </c>
      <c r="U24" s="176">
        <v>1</v>
      </c>
      <c r="V24" s="176">
        <v>1</v>
      </c>
      <c r="W24" s="176">
        <v>1</v>
      </c>
      <c r="X24" s="176">
        <v>1</v>
      </c>
      <c r="Y24" s="176">
        <v>1</v>
      </c>
      <c r="Z24" s="176">
        <v>1</v>
      </c>
      <c r="AA24" s="176">
        <v>1</v>
      </c>
      <c r="AB24" s="176">
        <v>1</v>
      </c>
      <c r="AC24" s="176">
        <v>1</v>
      </c>
      <c r="AD24" s="176"/>
      <c r="AE24" s="41">
        <f t="shared" si="1"/>
        <v>10</v>
      </c>
      <c r="AF24" s="95" t="s">
        <v>175</v>
      </c>
      <c r="AG24" s="561" t="s">
        <v>471</v>
      </c>
      <c r="AH24" s="562"/>
      <c r="AI24" s="178" t="s">
        <v>444</v>
      </c>
      <c r="AJ24" s="179"/>
      <c r="AK24" s="491"/>
      <c r="AL24" s="492"/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9</v>
      </c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>
        <v>1</v>
      </c>
      <c r="AE25" s="41">
        <f t="shared" si="1"/>
        <v>9</v>
      </c>
      <c r="AF25" s="95" t="s">
        <v>237</v>
      </c>
      <c r="AG25" s="550" t="s">
        <v>41</v>
      </c>
      <c r="AH25" s="542"/>
      <c r="AI25" s="178" t="s">
        <v>444</v>
      </c>
      <c r="AJ25" s="179"/>
      <c r="AK25" s="491"/>
      <c r="AL25" s="492"/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0</v>
      </c>
      <c r="G26" s="176"/>
      <c r="H26" s="176"/>
      <c r="I26" s="176"/>
      <c r="J26" s="176"/>
      <c r="K26" s="176"/>
      <c r="L26" s="176"/>
      <c r="M26" s="176"/>
      <c r="N26" s="176" t="s">
        <v>915</v>
      </c>
      <c r="O26" s="176" t="s">
        <v>204</v>
      </c>
      <c r="P26" s="176" t="s">
        <v>47</v>
      </c>
      <c r="Q26" s="176" t="s">
        <v>204</v>
      </c>
      <c r="R26" s="176" t="s">
        <v>47</v>
      </c>
      <c r="S26" s="176" t="s">
        <v>203</v>
      </c>
      <c r="T26" s="176" t="s">
        <v>348</v>
      </c>
      <c r="U26" s="176" t="s">
        <v>201</v>
      </c>
      <c r="V26" s="176" t="s">
        <v>200</v>
      </c>
      <c r="W26" s="176" t="s">
        <v>350</v>
      </c>
      <c r="X26" s="176"/>
      <c r="Y26" s="176"/>
      <c r="Z26" s="176"/>
      <c r="AA26" s="176"/>
      <c r="AB26" s="176"/>
      <c r="AC26" s="176"/>
      <c r="AD26" s="176"/>
      <c r="AE26" s="41">
        <f t="shared" si="1"/>
        <v>0</v>
      </c>
      <c r="AF26" s="95" t="s">
        <v>6</v>
      </c>
      <c r="AG26" s="550" t="s">
        <v>41</v>
      </c>
      <c r="AH26" s="542"/>
      <c r="AI26" s="178" t="s">
        <v>444</v>
      </c>
      <c r="AJ26" s="179"/>
      <c r="AK26" s="491"/>
      <c r="AL26" s="492"/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13</v>
      </c>
      <c r="G27" s="176"/>
      <c r="H27" s="176"/>
      <c r="I27" s="176"/>
      <c r="J27" s="176"/>
      <c r="K27" s="176"/>
      <c r="L27" s="176"/>
      <c r="M27" s="176"/>
      <c r="N27" s="176"/>
      <c r="O27" s="176"/>
      <c r="P27" s="176">
        <v>1</v>
      </c>
      <c r="Q27" s="176">
        <v>1</v>
      </c>
      <c r="R27" s="176">
        <v>1</v>
      </c>
      <c r="S27" s="176">
        <v>1</v>
      </c>
      <c r="T27" s="176">
        <v>1</v>
      </c>
      <c r="U27" s="176">
        <v>1</v>
      </c>
      <c r="V27" s="176">
        <v>1</v>
      </c>
      <c r="W27" s="176">
        <v>1</v>
      </c>
      <c r="X27" s="176"/>
      <c r="Y27" s="176">
        <v>1</v>
      </c>
      <c r="Z27" s="176">
        <v>1</v>
      </c>
      <c r="AA27" s="176">
        <v>1</v>
      </c>
      <c r="AB27" s="176">
        <v>1</v>
      </c>
      <c r="AC27" s="176">
        <v>1</v>
      </c>
      <c r="AD27" s="176"/>
      <c r="AE27" s="41">
        <f t="shared" si="1"/>
        <v>13</v>
      </c>
      <c r="AF27" s="95" t="s">
        <v>483</v>
      </c>
      <c r="AG27" s="550" t="s">
        <v>41</v>
      </c>
      <c r="AH27" s="542"/>
      <c r="AI27" s="178" t="s">
        <v>444</v>
      </c>
      <c r="AJ27" s="179"/>
      <c r="AK27" s="491"/>
      <c r="AL27" s="492"/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12</v>
      </c>
      <c r="G28" s="176"/>
      <c r="H28" s="176"/>
      <c r="I28" s="176"/>
      <c r="J28" s="176"/>
      <c r="K28" s="176"/>
      <c r="L28" s="176"/>
      <c r="M28" s="176"/>
      <c r="N28" s="176">
        <v>1</v>
      </c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176">
        <v>1</v>
      </c>
      <c r="W28" s="176">
        <v>1</v>
      </c>
      <c r="X28" s="176">
        <v>1</v>
      </c>
      <c r="Y28" s="176">
        <v>1</v>
      </c>
      <c r="Z28" s="176"/>
      <c r="AA28" s="176"/>
      <c r="AB28" s="176"/>
      <c r="AC28" s="176"/>
      <c r="AD28" s="176"/>
      <c r="AE28" s="41">
        <f t="shared" si="1"/>
        <v>12</v>
      </c>
      <c r="AF28" s="95" t="s">
        <v>327</v>
      </c>
      <c r="AG28" s="550" t="s">
        <v>41</v>
      </c>
      <c r="AH28" s="542"/>
      <c r="AI28" s="178" t="s">
        <v>444</v>
      </c>
      <c r="AJ28" s="179"/>
      <c r="AK28" s="491"/>
      <c r="AL28" s="492"/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11</v>
      </c>
      <c r="G29" s="176"/>
      <c r="H29" s="176"/>
      <c r="I29" s="176"/>
      <c r="J29" s="176"/>
      <c r="K29" s="176"/>
      <c r="L29" s="176"/>
      <c r="M29" s="176"/>
      <c r="N29" s="176">
        <v>1</v>
      </c>
      <c r="O29" s="176">
        <v>1</v>
      </c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176"/>
      <c r="W29" s="176">
        <v>1</v>
      </c>
      <c r="X29" s="176">
        <v>1</v>
      </c>
      <c r="Y29" s="176">
        <v>1</v>
      </c>
      <c r="Z29" s="176"/>
      <c r="AA29" s="176"/>
      <c r="AB29" s="176"/>
      <c r="AC29" s="176"/>
      <c r="AD29" s="176"/>
      <c r="AE29" s="41">
        <f t="shared" si="1"/>
        <v>11</v>
      </c>
      <c r="AF29" s="95" t="s">
        <v>357</v>
      </c>
      <c r="AG29" s="556" t="s">
        <v>41</v>
      </c>
      <c r="AH29" s="557"/>
      <c r="AI29" s="178" t="s">
        <v>444</v>
      </c>
      <c r="AJ29" s="179"/>
      <c r="AK29" s="491"/>
      <c r="AL29" s="492"/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14</v>
      </c>
      <c r="G30" s="176"/>
      <c r="H30" s="176"/>
      <c r="I30" s="176"/>
      <c r="J30" s="176"/>
      <c r="K30" s="176"/>
      <c r="L30" s="176"/>
      <c r="M30" s="176"/>
      <c r="N30" s="176"/>
      <c r="O30" s="176"/>
      <c r="P30" s="508">
        <v>1</v>
      </c>
      <c r="Q30" s="508">
        <v>1</v>
      </c>
      <c r="R30" s="508">
        <v>1</v>
      </c>
      <c r="S30" s="508">
        <v>1</v>
      </c>
      <c r="T30" s="508">
        <v>1</v>
      </c>
      <c r="U30" s="508">
        <v>1</v>
      </c>
      <c r="V30" s="508">
        <v>1</v>
      </c>
      <c r="W30" s="508">
        <v>1</v>
      </c>
      <c r="X30" s="508">
        <v>1</v>
      </c>
      <c r="Y30" s="508">
        <v>1</v>
      </c>
      <c r="Z30" s="176">
        <v>1</v>
      </c>
      <c r="AA30" s="176">
        <v>1</v>
      </c>
      <c r="AB30" s="176">
        <v>1</v>
      </c>
      <c r="AC30" s="176">
        <v>1</v>
      </c>
      <c r="AD30" s="176"/>
      <c r="AE30" s="41">
        <f t="shared" si="1"/>
        <v>14</v>
      </c>
      <c r="AF30" s="95" t="s">
        <v>708</v>
      </c>
      <c r="AG30" s="550" t="s">
        <v>41</v>
      </c>
      <c r="AH30" s="542"/>
      <c r="AI30" s="178" t="s">
        <v>444</v>
      </c>
      <c r="AJ30" s="179"/>
      <c r="AK30" s="491"/>
      <c r="AL30" s="492"/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12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>
        <v>1</v>
      </c>
      <c r="Q31" s="176">
        <v>1</v>
      </c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176">
        <v>1</v>
      </c>
      <c r="X31" s="176">
        <v>1</v>
      </c>
      <c r="Y31" s="176"/>
      <c r="Z31" s="176">
        <v>1</v>
      </c>
      <c r="AA31" s="176">
        <v>1</v>
      </c>
      <c r="AB31" s="176">
        <v>1</v>
      </c>
      <c r="AC31" s="176"/>
      <c r="AD31" s="176"/>
      <c r="AE31" s="41">
        <f t="shared" si="1"/>
        <v>12</v>
      </c>
      <c r="AF31" s="95" t="s">
        <v>710</v>
      </c>
      <c r="AG31" s="177" t="s">
        <v>41</v>
      </c>
      <c r="AH31" s="186" t="s">
        <v>320</v>
      </c>
      <c r="AI31" s="178" t="s">
        <v>444</v>
      </c>
      <c r="AJ31" s="179"/>
      <c r="AK31" s="491"/>
      <c r="AL31" s="492"/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12</v>
      </c>
      <c r="G32" s="176"/>
      <c r="H32" s="176"/>
      <c r="I32" s="176"/>
      <c r="J32" s="176"/>
      <c r="K32" s="176"/>
      <c r="L32" s="176"/>
      <c r="M32" s="176"/>
      <c r="N32" s="176"/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/>
      <c r="U32" s="176">
        <v>1</v>
      </c>
      <c r="V32" s="176">
        <v>1</v>
      </c>
      <c r="W32" s="176">
        <v>1</v>
      </c>
      <c r="X32" s="176">
        <v>1</v>
      </c>
      <c r="Y32" s="176">
        <v>1</v>
      </c>
      <c r="Z32" s="176">
        <v>1</v>
      </c>
      <c r="AA32" s="176">
        <v>1</v>
      </c>
      <c r="AB32" s="176"/>
      <c r="AC32" s="176"/>
      <c r="AD32" s="176"/>
      <c r="AE32" s="41">
        <f t="shared" si="1"/>
        <v>12</v>
      </c>
      <c r="AF32" s="95" t="s">
        <v>373</v>
      </c>
      <c r="AG32" s="558" t="s">
        <v>41</v>
      </c>
      <c r="AH32" s="542"/>
      <c r="AI32" s="178" t="s">
        <v>444</v>
      </c>
      <c r="AJ32" s="179"/>
      <c r="AK32" s="491"/>
      <c r="AL32" s="492"/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11</v>
      </c>
      <c r="G33" s="176"/>
      <c r="H33" s="176"/>
      <c r="I33" s="176"/>
      <c r="J33" s="176"/>
      <c r="K33" s="176"/>
      <c r="L33" s="176"/>
      <c r="M33" s="176"/>
      <c r="N33" s="176"/>
      <c r="O33" s="176"/>
      <c r="P33" s="176">
        <v>1</v>
      </c>
      <c r="Q33" s="176">
        <v>1</v>
      </c>
      <c r="R33" s="176">
        <v>1</v>
      </c>
      <c r="S33" s="176">
        <v>1</v>
      </c>
      <c r="T33" s="176">
        <v>1</v>
      </c>
      <c r="U33" s="176">
        <v>1</v>
      </c>
      <c r="V33" s="176">
        <v>1</v>
      </c>
      <c r="W33" s="176">
        <v>1</v>
      </c>
      <c r="X33" s="176">
        <v>1</v>
      </c>
      <c r="Y33" s="176"/>
      <c r="Z33" s="176">
        <v>1</v>
      </c>
      <c r="AA33" s="176">
        <v>1</v>
      </c>
      <c r="AB33" s="176"/>
      <c r="AC33" s="176"/>
      <c r="AD33" s="176"/>
      <c r="AE33" s="41">
        <f t="shared" si="1"/>
        <v>11</v>
      </c>
      <c r="AF33" s="95" t="s">
        <v>629</v>
      </c>
      <c r="AG33" s="550" t="s">
        <v>41</v>
      </c>
      <c r="AH33" s="542"/>
      <c r="AI33" s="178" t="s">
        <v>444</v>
      </c>
      <c r="AJ33" s="179"/>
      <c r="AK33" s="491"/>
      <c r="AL33" s="492"/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12</v>
      </c>
      <c r="G34" s="176"/>
      <c r="H34" s="176"/>
      <c r="I34" s="176"/>
      <c r="J34" s="176"/>
      <c r="K34" s="176"/>
      <c r="L34" s="176"/>
      <c r="M34" s="176"/>
      <c r="N34" s="176"/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/>
      <c r="V34" s="176">
        <v>1</v>
      </c>
      <c r="W34" s="176">
        <v>1</v>
      </c>
      <c r="X34" s="176">
        <v>1</v>
      </c>
      <c r="Y34" s="176">
        <v>1</v>
      </c>
      <c r="Z34" s="176">
        <v>1</v>
      </c>
      <c r="AA34" s="176">
        <v>1</v>
      </c>
      <c r="AB34" s="176"/>
      <c r="AC34" s="176"/>
      <c r="AD34" s="176"/>
      <c r="AE34" s="41">
        <f t="shared" si="1"/>
        <v>12</v>
      </c>
      <c r="AF34" s="95" t="s">
        <v>346</v>
      </c>
      <c r="AG34" s="550" t="s">
        <v>41</v>
      </c>
      <c r="AH34" s="542"/>
      <c r="AI34" s="178" t="s">
        <v>444</v>
      </c>
      <c r="AJ34" s="179"/>
      <c r="AK34" s="491"/>
      <c r="AL34" s="492"/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12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/>
      <c r="W35" s="176">
        <v>1</v>
      </c>
      <c r="X35" s="176">
        <v>1</v>
      </c>
      <c r="Y35" s="176">
        <v>1</v>
      </c>
      <c r="Z35" s="176">
        <v>1</v>
      </c>
      <c r="AA35" s="176">
        <v>1</v>
      </c>
      <c r="AB35" s="176"/>
      <c r="AC35" s="176"/>
      <c r="AD35" s="176"/>
      <c r="AE35" s="41">
        <f t="shared" si="1"/>
        <v>12</v>
      </c>
      <c r="AF35" s="95" t="s">
        <v>360</v>
      </c>
      <c r="AG35" s="550" t="s">
        <v>41</v>
      </c>
      <c r="AH35" s="542"/>
      <c r="AI35" s="178" t="s">
        <v>444</v>
      </c>
      <c r="AJ35" s="179"/>
      <c r="AK35" s="491"/>
      <c r="AL35" s="492"/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13</v>
      </c>
      <c r="G36" s="176"/>
      <c r="H36" s="176"/>
      <c r="I36" s="176"/>
      <c r="J36" s="176"/>
      <c r="K36" s="176"/>
      <c r="L36" s="176"/>
      <c r="M36" s="176"/>
      <c r="N36" s="176">
        <v>1</v>
      </c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>
        <v>1</v>
      </c>
      <c r="W36" s="176">
        <v>1</v>
      </c>
      <c r="X36" s="176"/>
      <c r="Y36" s="176">
        <v>1</v>
      </c>
      <c r="Z36" s="176">
        <v>1</v>
      </c>
      <c r="AA36" s="176">
        <v>1</v>
      </c>
      <c r="AB36" s="176"/>
      <c r="AC36" s="176"/>
      <c r="AD36" s="176"/>
      <c r="AE36" s="41">
        <f t="shared" si="1"/>
        <v>13</v>
      </c>
      <c r="AF36" s="95" t="s">
        <v>384</v>
      </c>
      <c r="AG36" s="550" t="s">
        <v>41</v>
      </c>
      <c r="AH36" s="542"/>
      <c r="AI36" s="178" t="s">
        <v>444</v>
      </c>
      <c r="AJ36" s="179"/>
      <c r="AK36" s="491"/>
      <c r="AL36" s="492"/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12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>
        <v>1</v>
      </c>
      <c r="W37" s="176"/>
      <c r="X37" s="176">
        <v>1</v>
      </c>
      <c r="Y37" s="176">
        <v>1</v>
      </c>
      <c r="Z37" s="176">
        <v>1</v>
      </c>
      <c r="AA37" s="176">
        <v>1</v>
      </c>
      <c r="AB37" s="176"/>
      <c r="AC37" s="176"/>
      <c r="AD37" s="176"/>
      <c r="AE37" s="41">
        <f t="shared" si="1"/>
        <v>12</v>
      </c>
      <c r="AF37" s="95" t="s">
        <v>325</v>
      </c>
      <c r="AG37" s="550" t="s">
        <v>41</v>
      </c>
      <c r="AH37" s="542"/>
      <c r="AI37" s="178" t="s">
        <v>444</v>
      </c>
      <c r="AJ37" s="179"/>
      <c r="AK37" s="491"/>
      <c r="AL37" s="492"/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14</v>
      </c>
      <c r="G38" s="176"/>
      <c r="H38" s="176"/>
      <c r="I38" s="176"/>
      <c r="J38" s="176"/>
      <c r="K38" s="176"/>
      <c r="L38" s="176"/>
      <c r="M38" s="176"/>
      <c r="N38" s="176"/>
      <c r="O38" s="176"/>
      <c r="P38" s="508">
        <v>1</v>
      </c>
      <c r="Q38" s="508">
        <v>1</v>
      </c>
      <c r="R38" s="508">
        <v>1</v>
      </c>
      <c r="S38" s="508">
        <v>1</v>
      </c>
      <c r="T38" s="508">
        <v>1</v>
      </c>
      <c r="U38" s="508">
        <v>1</v>
      </c>
      <c r="V38" s="508">
        <v>1</v>
      </c>
      <c r="W38" s="508">
        <v>1</v>
      </c>
      <c r="X38" s="508">
        <v>1</v>
      </c>
      <c r="Y38" s="508">
        <v>1</v>
      </c>
      <c r="Z38" s="176">
        <v>1</v>
      </c>
      <c r="AA38" s="176">
        <v>1</v>
      </c>
      <c r="AB38" s="176">
        <v>1</v>
      </c>
      <c r="AC38" s="176">
        <v>1</v>
      </c>
      <c r="AD38" s="176"/>
      <c r="AE38" s="41">
        <f t="shared" si="1"/>
        <v>14</v>
      </c>
      <c r="AF38" s="95" t="s">
        <v>48</v>
      </c>
      <c r="AG38" s="550" t="s">
        <v>41</v>
      </c>
      <c r="AH38" s="542"/>
      <c r="AI38" s="178" t="s">
        <v>444</v>
      </c>
      <c r="AJ38" s="179"/>
      <c r="AK38" s="491"/>
      <c r="AL38" s="492"/>
    </row>
    <row r="39" spans="1:38" ht="14.25" customHeight="1" thickBot="1">
      <c r="A39" s="38" t="s">
        <v>41</v>
      </c>
      <c r="B39" s="76" t="s">
        <v>126</v>
      </c>
      <c r="C39" s="76">
        <v>986256130</v>
      </c>
      <c r="D39" s="99">
        <v>32</v>
      </c>
      <c r="E39" s="145" t="s">
        <v>127</v>
      </c>
      <c r="F39" s="41">
        <f t="shared" si="3"/>
        <v>12</v>
      </c>
      <c r="G39" s="176"/>
      <c r="H39" s="176"/>
      <c r="I39" s="176"/>
      <c r="J39" s="176"/>
      <c r="K39" s="176"/>
      <c r="L39" s="176"/>
      <c r="M39" s="176"/>
      <c r="N39" s="176">
        <v>1</v>
      </c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/>
      <c r="U39" s="176">
        <v>1</v>
      </c>
      <c r="V39" s="176">
        <v>1</v>
      </c>
      <c r="W39" s="176">
        <v>1</v>
      </c>
      <c r="X39" s="176">
        <v>1</v>
      </c>
      <c r="Y39" s="176">
        <v>1</v>
      </c>
      <c r="Z39" s="176">
        <v>1</v>
      </c>
      <c r="AA39" s="176"/>
      <c r="AB39" s="176"/>
      <c r="AC39" s="176"/>
      <c r="AD39" s="176"/>
      <c r="AE39" s="41">
        <f t="shared" si="1"/>
        <v>12</v>
      </c>
      <c r="AF39" s="95" t="s">
        <v>265</v>
      </c>
      <c r="AG39" s="551" t="s">
        <v>910</v>
      </c>
      <c r="AH39" s="555"/>
      <c r="AI39" s="189" t="s">
        <v>444</v>
      </c>
      <c r="AJ39" s="179"/>
      <c r="AK39" s="491"/>
      <c r="AL39" s="492"/>
    </row>
    <row r="40" spans="1:38" ht="14.25" customHeight="1" thickBot="1">
      <c r="A40" s="38" t="s">
        <v>41</v>
      </c>
      <c r="B40" s="38" t="s">
        <v>88</v>
      </c>
      <c r="C40" s="38">
        <v>985570860</v>
      </c>
      <c r="D40" s="99">
        <v>33</v>
      </c>
      <c r="E40" s="145" t="s">
        <v>89</v>
      </c>
      <c r="F40" s="41">
        <v>11</v>
      </c>
      <c r="G40" s="185"/>
      <c r="H40" s="185"/>
      <c r="I40" s="185"/>
      <c r="J40" s="185"/>
      <c r="K40" s="185"/>
      <c r="L40" s="185"/>
      <c r="M40" s="185"/>
      <c r="N40" s="185"/>
      <c r="O40" s="185"/>
      <c r="P40" s="577" t="s">
        <v>471</v>
      </c>
      <c r="Q40" s="555"/>
      <c r="R40" s="555"/>
      <c r="S40" s="555"/>
      <c r="T40" s="555"/>
      <c r="U40" s="555"/>
      <c r="V40" s="555"/>
      <c r="W40" s="555"/>
      <c r="X40" s="555"/>
      <c r="Y40" s="555"/>
      <c r="Z40" s="542"/>
      <c r="AA40" s="185"/>
      <c r="AB40" s="185"/>
      <c r="AC40" s="185"/>
      <c r="AD40" s="185"/>
      <c r="AE40" s="41">
        <v>11</v>
      </c>
      <c r="AF40" s="95" t="s">
        <v>164</v>
      </c>
      <c r="AG40" s="551" t="s">
        <v>471</v>
      </c>
      <c r="AH40" s="555"/>
      <c r="AI40" s="189" t="s">
        <v>444</v>
      </c>
      <c r="AJ40" s="179"/>
      <c r="AK40" s="491"/>
      <c r="AL40" s="492"/>
    </row>
    <row r="41" spans="1:38" ht="14.25" customHeight="1" thickBot="1">
      <c r="A41" s="511" t="s">
        <v>41</v>
      </c>
      <c r="B41" s="512" t="s">
        <v>137</v>
      </c>
      <c r="C41" s="511"/>
      <c r="D41" s="513">
        <v>34</v>
      </c>
      <c r="E41" s="145" t="s">
        <v>138</v>
      </c>
      <c r="F41" s="515">
        <v>14</v>
      </c>
      <c r="G41" s="185"/>
      <c r="H41" s="185"/>
      <c r="I41" s="185"/>
      <c r="J41" s="185"/>
      <c r="K41" s="185"/>
      <c r="L41" s="185"/>
      <c r="M41" s="185"/>
      <c r="N41" s="185"/>
      <c r="O41" s="185"/>
      <c r="P41" s="176">
        <v>1</v>
      </c>
      <c r="Q41" s="176">
        <v>1</v>
      </c>
      <c r="R41" s="176">
        <v>1</v>
      </c>
      <c r="S41" s="176">
        <v>1</v>
      </c>
      <c r="T41" s="176">
        <v>1</v>
      </c>
      <c r="U41" s="176">
        <v>1</v>
      </c>
      <c r="V41" s="552" t="s">
        <v>320</v>
      </c>
      <c r="W41" s="553"/>
      <c r="X41" s="553"/>
      <c r="Y41" s="553"/>
      <c r="Z41" s="553"/>
      <c r="AA41" s="553"/>
      <c r="AB41" s="553"/>
      <c r="AC41" s="554"/>
      <c r="AD41" s="185"/>
      <c r="AE41" s="515">
        <v>14</v>
      </c>
      <c r="AF41" s="95" t="s">
        <v>48</v>
      </c>
      <c r="AG41" s="551" t="s">
        <v>320</v>
      </c>
      <c r="AH41" s="542"/>
      <c r="AI41" s="189" t="s">
        <v>444</v>
      </c>
      <c r="AJ41" s="179"/>
      <c r="AK41" s="491"/>
      <c r="AL41" s="492"/>
    </row>
    <row r="42" spans="1:38" ht="14.25" customHeight="1" thickBot="1">
      <c r="A42" s="38" t="s">
        <v>41</v>
      </c>
      <c r="B42" s="190" t="s">
        <v>190</v>
      </c>
      <c r="C42" s="98"/>
      <c r="D42" s="99">
        <v>35</v>
      </c>
      <c r="E42" s="145" t="s">
        <v>191</v>
      </c>
      <c r="F42" s="41">
        <v>11</v>
      </c>
      <c r="G42" s="185"/>
      <c r="H42" s="185"/>
      <c r="I42" s="185"/>
      <c r="J42" s="185"/>
      <c r="K42" s="185"/>
      <c r="L42" s="185"/>
      <c r="M42" s="185"/>
      <c r="N42" s="552" t="s">
        <v>320</v>
      </c>
      <c r="O42" s="553"/>
      <c r="P42" s="553"/>
      <c r="Q42" s="553"/>
      <c r="R42" s="553"/>
      <c r="S42" s="553"/>
      <c r="T42" s="553"/>
      <c r="U42" s="554"/>
      <c r="V42" s="176">
        <v>1</v>
      </c>
      <c r="W42" s="176">
        <v>1</v>
      </c>
      <c r="X42" s="176">
        <v>1</v>
      </c>
      <c r="Y42" s="185"/>
      <c r="Z42" s="185"/>
      <c r="AA42" s="185"/>
      <c r="AB42" s="185"/>
      <c r="AC42" s="185"/>
      <c r="AD42" s="185"/>
      <c r="AE42" s="41">
        <v>11</v>
      </c>
      <c r="AF42" s="95" t="s">
        <v>154</v>
      </c>
      <c r="AG42" s="551" t="s">
        <v>320</v>
      </c>
      <c r="AH42" s="542"/>
      <c r="AI42" s="189" t="s">
        <v>444</v>
      </c>
      <c r="AJ42" s="179"/>
      <c r="AK42" s="491"/>
      <c r="AL42" s="492"/>
    </row>
    <row r="43" spans="1:38" ht="16.5" thickBot="1">
      <c r="A43" s="38" t="s">
        <v>41</v>
      </c>
      <c r="B43" s="38" t="s">
        <v>64</v>
      </c>
      <c r="C43" s="38">
        <v>995545886</v>
      </c>
      <c r="D43" s="99">
        <v>36</v>
      </c>
      <c r="E43" s="145" t="s">
        <v>65</v>
      </c>
      <c r="F43" s="41">
        <v>10</v>
      </c>
      <c r="G43" s="185"/>
      <c r="H43" s="185"/>
      <c r="I43" s="185"/>
      <c r="J43" s="185"/>
      <c r="K43" s="185"/>
      <c r="L43" s="185"/>
      <c r="M43" s="185"/>
      <c r="N43" s="176"/>
      <c r="O43" s="176"/>
      <c r="P43" s="552" t="s">
        <v>914</v>
      </c>
      <c r="Q43" s="553"/>
      <c r="R43" s="553"/>
      <c r="S43" s="553"/>
      <c r="T43" s="553"/>
      <c r="U43" s="553"/>
      <c r="V43" s="553"/>
      <c r="W43" s="553"/>
      <c r="X43" s="553"/>
      <c r="Y43" s="554"/>
      <c r="Z43" s="185"/>
      <c r="AA43" s="185"/>
      <c r="AB43" s="185"/>
      <c r="AC43" s="185"/>
      <c r="AD43" s="185"/>
      <c r="AE43" s="41">
        <v>10</v>
      </c>
      <c r="AF43" s="95" t="s">
        <v>119</v>
      </c>
      <c r="AG43" s="551" t="s">
        <v>473</v>
      </c>
      <c r="AH43" s="555"/>
      <c r="AI43" s="178" t="s">
        <v>444</v>
      </c>
      <c r="AJ43" s="179"/>
      <c r="AK43" s="491"/>
      <c r="AL43" s="492"/>
    </row>
    <row r="44" spans="1:38" ht="63" thickBot="1">
      <c r="A44" s="2"/>
      <c r="B44" s="2"/>
      <c r="C44" s="2"/>
      <c r="D44" s="128"/>
      <c r="E44" s="49"/>
      <c r="F44" s="50"/>
      <c r="G44" s="51" t="s">
        <v>9</v>
      </c>
      <c r="H44" s="51" t="s">
        <v>10</v>
      </c>
      <c r="I44" s="51" t="s">
        <v>11</v>
      </c>
      <c r="J44" s="51" t="s">
        <v>12</v>
      </c>
      <c r="K44" s="51" t="s">
        <v>13</v>
      </c>
      <c r="L44" s="51" t="s">
        <v>14</v>
      </c>
      <c r="M44" s="51" t="s">
        <v>15</v>
      </c>
      <c r="N44" s="51" t="s">
        <v>16</v>
      </c>
      <c r="O44" s="106" t="s">
        <v>17</v>
      </c>
      <c r="P44" s="106" t="s">
        <v>18</v>
      </c>
      <c r="Q44" s="107" t="s">
        <v>19</v>
      </c>
      <c r="R44" s="107" t="s">
        <v>20</v>
      </c>
      <c r="S44" s="107" t="s">
        <v>21</v>
      </c>
      <c r="T44" s="107" t="s">
        <v>22</v>
      </c>
      <c r="U44" s="107" t="s">
        <v>23</v>
      </c>
      <c r="V44" s="107" t="s">
        <v>24</v>
      </c>
      <c r="W44" s="107" t="s">
        <v>25</v>
      </c>
      <c r="X44" s="107" t="s">
        <v>26</v>
      </c>
      <c r="Y44" s="107" t="s">
        <v>27</v>
      </c>
      <c r="Z44" s="107" t="s">
        <v>28</v>
      </c>
      <c r="AA44" s="52" t="s">
        <v>29</v>
      </c>
      <c r="AB44" s="52" t="s">
        <v>30</v>
      </c>
      <c r="AC44" s="52" t="s">
        <v>31</v>
      </c>
      <c r="AD44" s="51" t="s">
        <v>32</v>
      </c>
      <c r="AE44" s="53"/>
      <c r="AF44" s="116"/>
      <c r="AG44" s="25"/>
      <c r="AH44" s="25"/>
      <c r="AI44" s="25"/>
      <c r="AJ44" s="25"/>
      <c r="AK44" s="491"/>
      <c r="AL44" s="492"/>
    </row>
    <row r="45" spans="1:38" ht="14.25" customHeight="1">
      <c r="A45" s="2"/>
      <c r="B45" s="2"/>
      <c r="C45" s="2"/>
      <c r="D45" s="152"/>
      <c r="E45" s="2"/>
      <c r="F45" s="2"/>
      <c r="AE45" s="2"/>
      <c r="AF45" s="2"/>
      <c r="AG45" s="2"/>
      <c r="AH45" s="2"/>
      <c r="AI45" s="2"/>
      <c r="AJ45" s="2"/>
      <c r="AK45" s="491"/>
      <c r="AL45" s="492"/>
    </row>
  </sheetData>
  <mergeCells count="44">
    <mergeCell ref="AG14:AH14"/>
    <mergeCell ref="A1:B1"/>
    <mergeCell ref="D3:AE3"/>
    <mergeCell ref="E4:F4"/>
    <mergeCell ref="E5:F5"/>
    <mergeCell ref="AG7:AH7"/>
    <mergeCell ref="AG8:AH8"/>
    <mergeCell ref="AG9:AH9"/>
    <mergeCell ref="AG10:AH10"/>
    <mergeCell ref="AG11:AH11"/>
    <mergeCell ref="AG12:AH12"/>
    <mergeCell ref="AG13:AH13"/>
    <mergeCell ref="AG26:AH26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39:AH39"/>
    <mergeCell ref="AG27:AH27"/>
    <mergeCell ref="AG28:AH28"/>
    <mergeCell ref="AG29:AH29"/>
    <mergeCell ref="AG30:AH30"/>
    <mergeCell ref="AG32:AH32"/>
    <mergeCell ref="AG33:AH33"/>
    <mergeCell ref="AG34:AH34"/>
    <mergeCell ref="AG35:AH35"/>
    <mergeCell ref="AG36:AH36"/>
    <mergeCell ref="AG37:AH37"/>
    <mergeCell ref="AG38:AH38"/>
    <mergeCell ref="P40:Z40"/>
    <mergeCell ref="AG40:AH40"/>
    <mergeCell ref="V41:AC41"/>
    <mergeCell ref="AG41:AH41"/>
    <mergeCell ref="N42:U42"/>
    <mergeCell ref="AG42:AH42"/>
    <mergeCell ref="P43:Y43"/>
    <mergeCell ref="AG43:AH43"/>
  </mergeCells>
  <conditionalFormatting sqref="E4:F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AD31-25DB-4B66-8E26-7AF1D5B24111}">
  <dimension ref="A1:AL45"/>
  <sheetViews>
    <sheetView showGridLines="0" topLeftCell="A26" zoomScale="60" zoomScaleNormal="60" workbookViewId="0">
      <selection activeCell="A46" sqref="A46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268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524">
        <v>4</v>
      </c>
      <c r="H4" s="524">
        <v>3</v>
      </c>
      <c r="I4" s="524">
        <v>3</v>
      </c>
      <c r="J4" s="524">
        <v>3</v>
      </c>
      <c r="K4" s="524">
        <v>3</v>
      </c>
      <c r="L4" s="524">
        <v>3</v>
      </c>
      <c r="M4" s="524">
        <v>9</v>
      </c>
      <c r="N4" s="524">
        <v>12</v>
      </c>
      <c r="O4" s="524">
        <v>18</v>
      </c>
      <c r="P4" s="524">
        <v>25</v>
      </c>
      <c r="Q4" s="524">
        <v>26</v>
      </c>
      <c r="R4" s="524">
        <v>26</v>
      </c>
      <c r="S4" s="524">
        <v>26</v>
      </c>
      <c r="T4" s="524">
        <v>26</v>
      </c>
      <c r="U4" s="524">
        <v>26</v>
      </c>
      <c r="V4" s="524">
        <v>26</v>
      </c>
      <c r="W4" s="524">
        <v>26</v>
      </c>
      <c r="X4" s="524">
        <v>24</v>
      </c>
      <c r="Y4" s="524">
        <v>22</v>
      </c>
      <c r="Z4" s="524">
        <v>21</v>
      </c>
      <c r="AA4" s="524">
        <v>19</v>
      </c>
      <c r="AB4" s="524">
        <v>14</v>
      </c>
      <c r="AC4" s="524">
        <v>9</v>
      </c>
      <c r="AD4" s="524">
        <v>4</v>
      </c>
      <c r="AE4" s="18">
        <f>SUM(G4:AD4)</f>
        <v>378</v>
      </c>
      <c r="AF4" s="3"/>
      <c r="AG4" s="3"/>
      <c r="AH4" s="3"/>
      <c r="AI4" s="3"/>
      <c r="AJ4" s="3"/>
      <c r="AK4" s="3"/>
      <c r="AL4" s="3"/>
    </row>
    <row r="5" spans="1:38" ht="63.75" thickBot="1">
      <c r="A5" s="3"/>
      <c r="B5" s="2"/>
      <c r="C5" s="2"/>
      <c r="D5" s="19"/>
      <c r="E5" s="569">
        <v>6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-6</v>
      </c>
      <c r="Q6" s="28">
        <f t="shared" si="0"/>
        <v>-6</v>
      </c>
      <c r="R6" s="28">
        <f t="shared" si="0"/>
        <v>-6</v>
      </c>
      <c r="S6" s="28">
        <f t="shared" si="0"/>
        <v>-6</v>
      </c>
      <c r="T6" s="28">
        <f t="shared" si="0"/>
        <v>-5</v>
      </c>
      <c r="U6" s="28">
        <f t="shared" si="0"/>
        <v>-5</v>
      </c>
      <c r="V6" s="28">
        <f t="shared" si="0"/>
        <v>-5</v>
      </c>
      <c r="W6" s="28">
        <f t="shared" si="0"/>
        <v>-5</v>
      </c>
      <c r="X6" s="28">
        <f t="shared" si="0"/>
        <v>-5</v>
      </c>
      <c r="Y6" s="28">
        <f t="shared" si="0"/>
        <v>-4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39" si="1">SUM(G6:AD6)</f>
        <v>-53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SUM(G8:G43)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9</v>
      </c>
      <c r="N7" s="172">
        <f t="shared" si="2"/>
        <v>12</v>
      </c>
      <c r="O7" s="172">
        <f t="shared" si="2"/>
        <v>18</v>
      </c>
      <c r="P7" s="172">
        <f t="shared" si="2"/>
        <v>19</v>
      </c>
      <c r="Q7" s="172">
        <f t="shared" si="2"/>
        <v>20</v>
      </c>
      <c r="R7" s="172">
        <f t="shared" si="2"/>
        <v>20</v>
      </c>
      <c r="S7" s="172">
        <f t="shared" si="2"/>
        <v>20</v>
      </c>
      <c r="T7" s="172">
        <f t="shared" si="2"/>
        <v>21</v>
      </c>
      <c r="U7" s="172">
        <f t="shared" si="2"/>
        <v>21</v>
      </c>
      <c r="V7" s="172">
        <f t="shared" si="2"/>
        <v>21</v>
      </c>
      <c r="W7" s="172">
        <f t="shared" si="2"/>
        <v>21</v>
      </c>
      <c r="X7" s="172">
        <f t="shared" si="2"/>
        <v>19</v>
      </c>
      <c r="Y7" s="172">
        <f t="shared" si="2"/>
        <v>18</v>
      </c>
      <c r="Z7" s="172">
        <f t="shared" si="2"/>
        <v>21</v>
      </c>
      <c r="AA7" s="172">
        <f t="shared" si="2"/>
        <v>19</v>
      </c>
      <c r="AB7" s="172">
        <f t="shared" si="2"/>
        <v>14</v>
      </c>
      <c r="AC7" s="172">
        <f t="shared" si="2"/>
        <v>9</v>
      </c>
      <c r="AD7" s="172">
        <f t="shared" si="2"/>
        <v>4</v>
      </c>
      <c r="AE7" s="168">
        <f t="shared" si="1"/>
        <v>325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39" si="3">SUM(G8:AD8)</f>
        <v>12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12</v>
      </c>
      <c r="AF8" s="95" t="s">
        <v>311</v>
      </c>
      <c r="AG8" s="550" t="s">
        <v>41</v>
      </c>
      <c r="AH8" s="542"/>
      <c r="AI8" s="178" t="s">
        <v>444</v>
      </c>
      <c r="AJ8" s="179"/>
      <c r="AK8" s="489"/>
      <c r="AL8" s="490"/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13</v>
      </c>
      <c r="G9" s="176"/>
      <c r="H9" s="176"/>
      <c r="I9" s="176"/>
      <c r="J9" s="176"/>
      <c r="K9" s="176"/>
      <c r="L9" s="176"/>
      <c r="M9" s="176"/>
      <c r="N9" s="176"/>
      <c r="O9" s="176"/>
      <c r="P9" s="176">
        <v>1</v>
      </c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/>
      <c r="Y9" s="176">
        <v>1</v>
      </c>
      <c r="Z9" s="176">
        <v>1</v>
      </c>
      <c r="AA9" s="176">
        <v>1</v>
      </c>
      <c r="AB9" s="176">
        <v>1</v>
      </c>
      <c r="AC9" s="176">
        <v>1</v>
      </c>
      <c r="AD9" s="176"/>
      <c r="AE9" s="41">
        <f t="shared" si="1"/>
        <v>13</v>
      </c>
      <c r="AF9" s="95" t="s">
        <v>483</v>
      </c>
      <c r="AG9" s="556" t="s">
        <v>41</v>
      </c>
      <c r="AH9" s="557"/>
      <c r="AI9" s="178" t="s">
        <v>444</v>
      </c>
      <c r="AJ9" s="179"/>
      <c r="AK9" s="491"/>
      <c r="AL9" s="492"/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8</v>
      </c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>
        <v>1</v>
      </c>
      <c r="T10" s="176">
        <v>1</v>
      </c>
      <c r="U10" s="176">
        <v>1</v>
      </c>
      <c r="V10" s="176">
        <v>1</v>
      </c>
      <c r="W10" s="176">
        <v>1</v>
      </c>
      <c r="X10" s="176">
        <v>1</v>
      </c>
      <c r="Y10" s="176">
        <v>1</v>
      </c>
      <c r="Z10" s="176">
        <v>1</v>
      </c>
      <c r="AA10" s="176"/>
      <c r="AB10" s="176"/>
      <c r="AC10" s="176"/>
      <c r="AD10" s="176"/>
      <c r="AE10" s="41">
        <f t="shared" si="1"/>
        <v>8</v>
      </c>
      <c r="AF10" s="95" t="s">
        <v>365</v>
      </c>
      <c r="AG10" s="556" t="s">
        <v>41</v>
      </c>
      <c r="AH10" s="557"/>
      <c r="AI10" s="178" t="s">
        <v>444</v>
      </c>
      <c r="AJ10" s="179"/>
      <c r="AK10" s="491"/>
      <c r="AL10" s="492"/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13</v>
      </c>
      <c r="G11" s="176"/>
      <c r="H11" s="176"/>
      <c r="I11" s="176"/>
      <c r="J11" s="176"/>
      <c r="K11" s="176"/>
      <c r="L11" s="176"/>
      <c r="M11" s="176">
        <v>1</v>
      </c>
      <c r="N11" s="176">
        <v>1</v>
      </c>
      <c r="O11" s="176">
        <v>1</v>
      </c>
      <c r="P11" s="176">
        <v>1</v>
      </c>
      <c r="Q11" s="176">
        <v>1</v>
      </c>
      <c r="R11" s="176">
        <v>1</v>
      </c>
      <c r="S11" s="176">
        <v>1</v>
      </c>
      <c r="T11" s="176">
        <v>1</v>
      </c>
      <c r="U11" s="176">
        <v>1</v>
      </c>
      <c r="V11" s="176">
        <v>1</v>
      </c>
      <c r="W11" s="176">
        <v>1</v>
      </c>
      <c r="X11" s="176">
        <v>1</v>
      </c>
      <c r="Y11" s="176">
        <v>1</v>
      </c>
      <c r="Z11" s="176"/>
      <c r="AA11" s="176"/>
      <c r="AB11" s="176"/>
      <c r="AC11" s="176"/>
      <c r="AD11" s="176"/>
      <c r="AE11" s="41">
        <f t="shared" si="1"/>
        <v>13</v>
      </c>
      <c r="AF11" s="95" t="s">
        <v>261</v>
      </c>
      <c r="AG11" s="556" t="s">
        <v>41</v>
      </c>
      <c r="AH11" s="557"/>
      <c r="AI11" s="178" t="s">
        <v>444</v>
      </c>
      <c r="AJ11" s="179"/>
      <c r="AK11" s="491"/>
      <c r="AL11" s="492"/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0</v>
      </c>
      <c r="G12" s="176"/>
      <c r="H12" s="176"/>
      <c r="I12" s="176"/>
      <c r="J12" s="176"/>
      <c r="K12" s="176"/>
      <c r="L12" s="176"/>
      <c r="M12" s="176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5"/>
      <c r="AB12" s="495"/>
      <c r="AC12" s="176"/>
      <c r="AD12" s="176"/>
      <c r="AE12" s="515">
        <f t="shared" si="1"/>
        <v>0</v>
      </c>
      <c r="AF12" s="95" t="s">
        <v>380</v>
      </c>
      <c r="AG12" s="558" t="s">
        <v>41</v>
      </c>
      <c r="AH12" s="542"/>
      <c r="AI12" s="517" t="s">
        <v>444</v>
      </c>
      <c r="AJ12" s="179"/>
      <c r="AK12" s="491"/>
      <c r="AL12" s="492"/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41">
        <v>12</v>
      </c>
      <c r="G13" s="176"/>
      <c r="H13" s="176"/>
      <c r="I13" s="176"/>
      <c r="J13" s="176"/>
      <c r="K13" s="176"/>
      <c r="L13" s="176"/>
      <c r="M13" s="176">
        <v>1</v>
      </c>
      <c r="N13" s="176">
        <v>1</v>
      </c>
      <c r="O13" s="176">
        <v>1</v>
      </c>
      <c r="P13" s="176">
        <v>1</v>
      </c>
      <c r="Q13" s="176">
        <v>1</v>
      </c>
      <c r="R13" s="176">
        <v>1</v>
      </c>
      <c r="S13" s="176">
        <v>1</v>
      </c>
      <c r="T13" s="176">
        <v>1</v>
      </c>
      <c r="U13" s="176"/>
      <c r="V13" s="176">
        <v>1</v>
      </c>
      <c r="W13" s="176">
        <v>1</v>
      </c>
      <c r="X13" s="176">
        <v>1</v>
      </c>
      <c r="Y13" s="176"/>
      <c r="Z13" s="176"/>
      <c r="AA13" s="176"/>
      <c r="AB13" s="176"/>
      <c r="AC13" s="176"/>
      <c r="AD13" s="176"/>
      <c r="AE13" s="41">
        <v>12</v>
      </c>
      <c r="AF13" s="95" t="s">
        <v>274</v>
      </c>
      <c r="AG13" s="550" t="s">
        <v>41</v>
      </c>
      <c r="AH13" s="542"/>
      <c r="AI13" s="178" t="s">
        <v>444</v>
      </c>
      <c r="AJ13" s="179"/>
      <c r="AK13" s="491"/>
      <c r="AL13" s="492"/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12</v>
      </c>
      <c r="G14" s="176">
        <v>1</v>
      </c>
      <c r="H14" s="176">
        <v>1</v>
      </c>
      <c r="I14" s="176">
        <v>1</v>
      </c>
      <c r="J14" s="176">
        <v>1</v>
      </c>
      <c r="K14" s="176">
        <v>1</v>
      </c>
      <c r="L14" s="176">
        <v>1</v>
      </c>
      <c r="M14" s="176">
        <v>1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41">
        <f t="shared" si="1"/>
        <v>12</v>
      </c>
      <c r="AF14" s="95" t="s">
        <v>311</v>
      </c>
      <c r="AG14" s="550" t="s">
        <v>41</v>
      </c>
      <c r="AH14" s="542"/>
      <c r="AI14" s="178" t="s">
        <v>444</v>
      </c>
      <c r="AJ14" s="179"/>
      <c r="AK14" s="491"/>
      <c r="AL14" s="492"/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13</v>
      </c>
      <c r="G15" s="176"/>
      <c r="H15" s="176"/>
      <c r="I15" s="176"/>
      <c r="J15" s="176"/>
      <c r="K15" s="176"/>
      <c r="L15" s="176"/>
      <c r="M15" s="176">
        <v>1</v>
      </c>
      <c r="N15" s="176">
        <v>1</v>
      </c>
      <c r="O15" s="176">
        <v>1</v>
      </c>
      <c r="P15" s="176">
        <v>1</v>
      </c>
      <c r="Q15" s="176">
        <v>1</v>
      </c>
      <c r="R15" s="176">
        <v>1</v>
      </c>
      <c r="S15" s="176">
        <v>1</v>
      </c>
      <c r="T15" s="176">
        <v>1</v>
      </c>
      <c r="U15" s="176">
        <v>1</v>
      </c>
      <c r="V15" s="176">
        <v>1</v>
      </c>
      <c r="W15" s="176">
        <v>1</v>
      </c>
      <c r="X15" s="176"/>
      <c r="Y15" s="176">
        <v>1</v>
      </c>
      <c r="Z15" s="176">
        <v>1</v>
      </c>
      <c r="AA15" s="176"/>
      <c r="AB15" s="176"/>
      <c r="AC15" s="176"/>
      <c r="AD15" s="176"/>
      <c r="AE15" s="41">
        <f t="shared" si="1"/>
        <v>13</v>
      </c>
      <c r="AF15" s="95" t="s">
        <v>638</v>
      </c>
      <c r="AG15" s="550" t="s">
        <v>41</v>
      </c>
      <c r="AH15" s="542"/>
      <c r="AI15" s="178" t="s">
        <v>444</v>
      </c>
      <c r="AJ15" s="179"/>
      <c r="AK15" s="491"/>
      <c r="AL15" s="492"/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12</v>
      </c>
      <c r="G16" s="176"/>
      <c r="H16" s="176"/>
      <c r="I16" s="176"/>
      <c r="J16" s="176"/>
      <c r="K16" s="176"/>
      <c r="L16" s="176"/>
      <c r="M16" s="176"/>
      <c r="N16" s="176">
        <v>1</v>
      </c>
      <c r="O16" s="176">
        <v>1</v>
      </c>
      <c r="P16" s="176">
        <v>1</v>
      </c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>
        <v>1</v>
      </c>
      <c r="X16" s="176">
        <v>1</v>
      </c>
      <c r="Y16" s="176">
        <v>1</v>
      </c>
      <c r="Z16" s="176"/>
      <c r="AA16" s="176"/>
      <c r="AB16" s="176"/>
      <c r="AC16" s="176"/>
      <c r="AD16" s="176"/>
      <c r="AE16" s="41">
        <f t="shared" si="1"/>
        <v>12</v>
      </c>
      <c r="AF16" s="95" t="s">
        <v>327</v>
      </c>
      <c r="AG16" s="550" t="s">
        <v>41</v>
      </c>
      <c r="AH16" s="542"/>
      <c r="AI16" s="178" t="s">
        <v>444</v>
      </c>
      <c r="AJ16" s="179"/>
      <c r="AK16" s="491"/>
      <c r="AL16" s="492"/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7</v>
      </c>
      <c r="G17" s="176"/>
      <c r="H17" s="176"/>
      <c r="I17" s="176"/>
      <c r="J17" s="176"/>
      <c r="K17" s="176"/>
      <c r="L17" s="176"/>
      <c r="M17" s="176"/>
      <c r="N17" s="176"/>
      <c r="O17" s="176">
        <v>1</v>
      </c>
      <c r="P17" s="176">
        <v>1</v>
      </c>
      <c r="Q17" s="176">
        <v>1</v>
      </c>
      <c r="R17" s="176">
        <v>1</v>
      </c>
      <c r="S17" s="176">
        <v>1</v>
      </c>
      <c r="T17" s="176">
        <v>1</v>
      </c>
      <c r="U17" s="176">
        <v>1</v>
      </c>
      <c r="V17" s="176"/>
      <c r="W17" s="176"/>
      <c r="X17" s="176"/>
      <c r="Y17" s="176"/>
      <c r="Z17" s="176"/>
      <c r="AA17" s="176"/>
      <c r="AB17" s="176"/>
      <c r="AC17" s="176"/>
      <c r="AD17" s="176"/>
      <c r="AE17" s="41">
        <f t="shared" si="1"/>
        <v>7</v>
      </c>
      <c r="AF17" s="95" t="s">
        <v>87</v>
      </c>
      <c r="AG17" s="559" t="s">
        <v>41</v>
      </c>
      <c r="AH17" s="560"/>
      <c r="AI17" s="178" t="s">
        <v>444</v>
      </c>
      <c r="AJ17" s="179"/>
      <c r="AK17" s="491"/>
      <c r="AL17" s="492"/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12</v>
      </c>
      <c r="G18" s="176"/>
      <c r="H18" s="176"/>
      <c r="I18" s="176"/>
      <c r="J18" s="176"/>
      <c r="K18" s="176"/>
      <c r="L18" s="176"/>
      <c r="M18" s="176">
        <v>1</v>
      </c>
      <c r="N18" s="176">
        <v>1</v>
      </c>
      <c r="O18" s="176">
        <v>1</v>
      </c>
      <c r="P18" s="176">
        <v>1</v>
      </c>
      <c r="Q18" s="176">
        <v>1</v>
      </c>
      <c r="R18" s="176">
        <v>1</v>
      </c>
      <c r="S18" s="176"/>
      <c r="T18" s="176">
        <v>1</v>
      </c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/>
      <c r="AA18" s="176"/>
      <c r="AB18" s="176"/>
      <c r="AC18" s="176"/>
      <c r="AD18" s="176"/>
      <c r="AE18" s="41">
        <f t="shared" si="1"/>
        <v>12</v>
      </c>
      <c r="AF18" s="95" t="s">
        <v>638</v>
      </c>
      <c r="AG18" s="550" t="s">
        <v>41</v>
      </c>
      <c r="AH18" s="542"/>
      <c r="AI18" s="178" t="s">
        <v>444</v>
      </c>
      <c r="AJ18" s="179"/>
      <c r="AK18" s="491"/>
      <c r="AL18" s="492"/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f t="shared" si="3"/>
        <v>5</v>
      </c>
      <c r="G19" s="176"/>
      <c r="H19" s="176"/>
      <c r="I19" s="176"/>
      <c r="J19" s="176"/>
      <c r="K19" s="176"/>
      <c r="L19" s="176"/>
      <c r="M19" s="176"/>
      <c r="N19" s="176">
        <v>1</v>
      </c>
      <c r="O19" s="176">
        <v>1</v>
      </c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176"/>
      <c r="AA19" s="531">
        <v>1</v>
      </c>
      <c r="AB19" s="531">
        <v>1</v>
      </c>
      <c r="AC19" s="531">
        <v>1</v>
      </c>
      <c r="AD19" s="176"/>
      <c r="AE19" s="41">
        <f t="shared" si="1"/>
        <v>5</v>
      </c>
      <c r="AF19" s="95" t="s">
        <v>931</v>
      </c>
      <c r="AG19" s="556" t="s">
        <v>41</v>
      </c>
      <c r="AH19" s="557"/>
      <c r="AI19" s="178" t="s">
        <v>444</v>
      </c>
      <c r="AJ19" s="179"/>
      <c r="AK19" s="491"/>
      <c r="AL19" s="492"/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12</v>
      </c>
      <c r="G20" s="176">
        <v>1</v>
      </c>
      <c r="H20" s="176">
        <v>1</v>
      </c>
      <c r="I20" s="176">
        <v>1</v>
      </c>
      <c r="J20" s="176">
        <v>1</v>
      </c>
      <c r="K20" s="176">
        <v>1</v>
      </c>
      <c r="L20" s="176">
        <v>1</v>
      </c>
      <c r="M20" s="176">
        <v>1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12</v>
      </c>
      <c r="AF20" s="95" t="s">
        <v>311</v>
      </c>
      <c r="AG20" s="550" t="s">
        <v>41</v>
      </c>
      <c r="AH20" s="542"/>
      <c r="AI20" s="178" t="s">
        <v>444</v>
      </c>
      <c r="AJ20" s="179"/>
      <c r="AK20" s="491"/>
      <c r="AL20" s="492"/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12</v>
      </c>
      <c r="G21" s="176"/>
      <c r="H21" s="176"/>
      <c r="I21" s="176"/>
      <c r="J21" s="176"/>
      <c r="K21" s="176"/>
      <c r="L21" s="176"/>
      <c r="M21" s="176"/>
      <c r="N21" s="176"/>
      <c r="O21" s="176"/>
      <c r="P21" s="176">
        <v>1</v>
      </c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/>
      <c r="X21" s="176">
        <v>1</v>
      </c>
      <c r="Y21" s="176">
        <v>1</v>
      </c>
      <c r="Z21" s="176">
        <v>1</v>
      </c>
      <c r="AA21" s="176">
        <v>1</v>
      </c>
      <c r="AB21" s="176">
        <v>1</v>
      </c>
      <c r="AC21" s="176"/>
      <c r="AD21" s="176"/>
      <c r="AE21" s="41">
        <f t="shared" si="1"/>
        <v>12</v>
      </c>
      <c r="AF21" s="95" t="s">
        <v>316</v>
      </c>
      <c r="AG21" s="550" t="s">
        <v>41</v>
      </c>
      <c r="AH21" s="542"/>
      <c r="AI21" s="178" t="s">
        <v>444</v>
      </c>
      <c r="AJ21" s="179"/>
      <c r="AK21" s="491"/>
      <c r="AL21" s="492"/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0</v>
      </c>
      <c r="G22" s="176">
        <v>0</v>
      </c>
      <c r="H22" s="176">
        <v>0</v>
      </c>
      <c r="I22" s="176">
        <v>0</v>
      </c>
      <c r="J22" s="176">
        <v>0</v>
      </c>
      <c r="K22" s="176">
        <v>0</v>
      </c>
      <c r="L22" s="176">
        <v>0</v>
      </c>
      <c r="M22" s="176">
        <v>0</v>
      </c>
      <c r="N22" s="176">
        <v>0</v>
      </c>
      <c r="O22" s="176">
        <v>0</v>
      </c>
      <c r="P22" s="176">
        <v>0</v>
      </c>
      <c r="Q22" s="176">
        <v>0</v>
      </c>
      <c r="R22" s="176">
        <v>0</v>
      </c>
      <c r="S22" s="176">
        <v>0</v>
      </c>
      <c r="T22" s="176">
        <v>0</v>
      </c>
      <c r="U22" s="176">
        <v>0</v>
      </c>
      <c r="V22" s="176">
        <v>0</v>
      </c>
      <c r="W22" s="176">
        <v>0</v>
      </c>
      <c r="X22" s="176">
        <v>0</v>
      </c>
      <c r="Y22" s="176">
        <v>0</v>
      </c>
      <c r="Z22" s="176">
        <v>0</v>
      </c>
      <c r="AA22" s="176">
        <v>0</v>
      </c>
      <c r="AB22" s="176">
        <v>0</v>
      </c>
      <c r="AC22" s="176">
        <v>0</v>
      </c>
      <c r="AD22" s="176">
        <v>0</v>
      </c>
      <c r="AE22" s="41">
        <f t="shared" si="1"/>
        <v>0</v>
      </c>
      <c r="AF22" s="95" t="s">
        <v>225</v>
      </c>
      <c r="AG22" s="550" t="s">
        <v>41</v>
      </c>
      <c r="AH22" s="542"/>
      <c r="AI22" s="178" t="s">
        <v>444</v>
      </c>
      <c r="AJ22" s="179"/>
      <c r="AK22" s="491"/>
      <c r="AL22" s="492"/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13</v>
      </c>
      <c r="G23" s="176"/>
      <c r="H23" s="176"/>
      <c r="I23" s="176"/>
      <c r="J23" s="176"/>
      <c r="K23" s="176"/>
      <c r="L23" s="176"/>
      <c r="M23" s="176">
        <v>1</v>
      </c>
      <c r="N23" s="176">
        <v>1</v>
      </c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176">
        <v>1</v>
      </c>
      <c r="Y23" s="176">
        <v>1</v>
      </c>
      <c r="Z23" s="176"/>
      <c r="AA23" s="176"/>
      <c r="AB23" s="176"/>
      <c r="AC23" s="176"/>
      <c r="AD23" s="176"/>
      <c r="AE23" s="41">
        <f t="shared" si="1"/>
        <v>13</v>
      </c>
      <c r="AF23" s="95" t="s">
        <v>261</v>
      </c>
      <c r="AG23" s="550" t="s">
        <v>41</v>
      </c>
      <c r="AH23" s="542"/>
      <c r="AI23" s="178" t="s">
        <v>444</v>
      </c>
      <c r="AJ23" s="179"/>
      <c r="AK23" s="491"/>
      <c r="AL23" s="492"/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5</v>
      </c>
      <c r="G24" s="176"/>
      <c r="H24" s="176"/>
      <c r="I24" s="176"/>
      <c r="J24" s="176"/>
      <c r="K24" s="176"/>
      <c r="L24" s="176"/>
      <c r="M24" s="176"/>
      <c r="N24" s="176">
        <v>1</v>
      </c>
      <c r="O24" s="176">
        <v>1</v>
      </c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176">
        <v>1</v>
      </c>
      <c r="AA24" s="176">
        <v>1</v>
      </c>
      <c r="AB24" s="176">
        <v>1</v>
      </c>
      <c r="AC24" s="176"/>
      <c r="AD24" s="176"/>
      <c r="AE24" s="41">
        <f t="shared" si="1"/>
        <v>5</v>
      </c>
      <c r="AF24" s="95" t="s">
        <v>380</v>
      </c>
      <c r="AG24" s="561" t="s">
        <v>471</v>
      </c>
      <c r="AH24" s="562"/>
      <c r="AI24" s="178" t="s">
        <v>444</v>
      </c>
      <c r="AJ24" s="179"/>
      <c r="AK24" s="491"/>
      <c r="AL24" s="492"/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10</v>
      </c>
      <c r="G25" s="176">
        <v>1</v>
      </c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>
        <v>1</v>
      </c>
      <c r="AE25" s="41">
        <f t="shared" si="1"/>
        <v>10</v>
      </c>
      <c r="AF25" s="95" t="s">
        <v>932</v>
      </c>
      <c r="AG25" s="550" t="s">
        <v>41</v>
      </c>
      <c r="AH25" s="542"/>
      <c r="AI25" s="178" t="s">
        <v>444</v>
      </c>
      <c r="AJ25" s="179"/>
      <c r="AK25" s="491"/>
      <c r="AL25" s="492"/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0</v>
      </c>
      <c r="G26" s="176"/>
      <c r="H26" s="176"/>
      <c r="I26" s="176"/>
      <c r="J26" s="176"/>
      <c r="K26" s="176"/>
      <c r="L26" s="176"/>
      <c r="M26" s="176"/>
      <c r="N26" s="176" t="s">
        <v>915</v>
      </c>
      <c r="O26" s="176" t="s">
        <v>204</v>
      </c>
      <c r="P26" s="176" t="s">
        <v>47</v>
      </c>
      <c r="Q26" s="176" t="s">
        <v>204</v>
      </c>
      <c r="R26" s="176" t="s">
        <v>47</v>
      </c>
      <c r="S26" s="176" t="s">
        <v>203</v>
      </c>
      <c r="T26" s="176" t="s">
        <v>348</v>
      </c>
      <c r="U26" s="176" t="s">
        <v>201</v>
      </c>
      <c r="V26" s="176" t="s">
        <v>200</v>
      </c>
      <c r="W26" s="176" t="s">
        <v>350</v>
      </c>
      <c r="X26" s="176"/>
      <c r="Y26" s="176"/>
      <c r="Z26" s="176"/>
      <c r="AA26" s="176"/>
      <c r="AB26" s="176"/>
      <c r="AC26" s="176"/>
      <c r="AD26" s="176"/>
      <c r="AE26" s="41">
        <f t="shared" si="1"/>
        <v>0</v>
      </c>
      <c r="AF26" s="95" t="s">
        <v>6</v>
      </c>
      <c r="AG26" s="550" t="s">
        <v>41</v>
      </c>
      <c r="AH26" s="542"/>
      <c r="AI26" s="178" t="s">
        <v>444</v>
      </c>
      <c r="AJ26" s="179"/>
      <c r="AK26" s="491"/>
      <c r="AL26" s="492"/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14</v>
      </c>
      <c r="G27" s="176"/>
      <c r="H27" s="176"/>
      <c r="I27" s="176"/>
      <c r="J27" s="176"/>
      <c r="K27" s="176"/>
      <c r="L27" s="176"/>
      <c r="M27" s="176"/>
      <c r="N27" s="176">
        <v>1</v>
      </c>
      <c r="O27" s="176">
        <v>1</v>
      </c>
      <c r="P27" s="176">
        <v>1</v>
      </c>
      <c r="Q27" s="176">
        <v>1</v>
      </c>
      <c r="R27" s="176">
        <v>1</v>
      </c>
      <c r="S27" s="176">
        <v>1</v>
      </c>
      <c r="T27" s="176">
        <v>1</v>
      </c>
      <c r="U27" s="176">
        <v>1</v>
      </c>
      <c r="V27" s="176">
        <v>1</v>
      </c>
      <c r="W27" s="176">
        <v>1</v>
      </c>
      <c r="X27" s="176"/>
      <c r="Y27" s="176">
        <v>1</v>
      </c>
      <c r="Z27" s="176">
        <v>1</v>
      </c>
      <c r="AA27" s="176">
        <v>1</v>
      </c>
      <c r="AB27" s="176">
        <v>1</v>
      </c>
      <c r="AC27" s="176"/>
      <c r="AD27" s="176"/>
      <c r="AE27" s="41">
        <f t="shared" si="1"/>
        <v>14</v>
      </c>
      <c r="AF27" s="95" t="s">
        <v>929</v>
      </c>
      <c r="AG27" s="550" t="s">
        <v>41</v>
      </c>
      <c r="AH27" s="542"/>
      <c r="AI27" s="178" t="s">
        <v>444</v>
      </c>
      <c r="AJ27" s="179"/>
      <c r="AK27" s="491"/>
      <c r="AL27" s="492"/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12</v>
      </c>
      <c r="G28" s="176"/>
      <c r="H28" s="176"/>
      <c r="I28" s="176"/>
      <c r="J28" s="176"/>
      <c r="K28" s="176"/>
      <c r="L28" s="176"/>
      <c r="M28" s="176"/>
      <c r="N28" s="176">
        <v>1</v>
      </c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176">
        <v>1</v>
      </c>
      <c r="W28" s="176">
        <v>1</v>
      </c>
      <c r="X28" s="176">
        <v>1</v>
      </c>
      <c r="Y28" s="176">
        <v>1</v>
      </c>
      <c r="Z28" s="176"/>
      <c r="AA28" s="176"/>
      <c r="AB28" s="176"/>
      <c r="AC28" s="176"/>
      <c r="AD28" s="176"/>
      <c r="AE28" s="41">
        <f t="shared" si="1"/>
        <v>12</v>
      </c>
      <c r="AF28" s="95" t="s">
        <v>327</v>
      </c>
      <c r="AG28" s="550" t="s">
        <v>41</v>
      </c>
      <c r="AH28" s="542"/>
      <c r="AI28" s="178" t="s">
        <v>444</v>
      </c>
      <c r="AJ28" s="179"/>
      <c r="AK28" s="491"/>
      <c r="AL28" s="492"/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12</v>
      </c>
      <c r="G29" s="176"/>
      <c r="H29" s="176"/>
      <c r="I29" s="176"/>
      <c r="J29" s="176"/>
      <c r="K29" s="176"/>
      <c r="L29" s="176"/>
      <c r="M29" s="176">
        <v>1</v>
      </c>
      <c r="N29" s="176">
        <v>1</v>
      </c>
      <c r="O29" s="176">
        <v>1</v>
      </c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176"/>
      <c r="W29" s="176">
        <v>1</v>
      </c>
      <c r="X29" s="176">
        <v>1</v>
      </c>
      <c r="Y29" s="176">
        <v>1</v>
      </c>
      <c r="Z29" s="176"/>
      <c r="AA29" s="176"/>
      <c r="AB29" s="176"/>
      <c r="AC29" s="176"/>
      <c r="AD29" s="176"/>
      <c r="AE29" s="41">
        <f t="shared" si="1"/>
        <v>12</v>
      </c>
      <c r="AF29" s="95" t="s">
        <v>392</v>
      </c>
      <c r="AG29" s="556" t="s">
        <v>41</v>
      </c>
      <c r="AH29" s="557"/>
      <c r="AI29" s="178" t="s">
        <v>444</v>
      </c>
      <c r="AJ29" s="179"/>
      <c r="AK29" s="491"/>
      <c r="AL29" s="492"/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4</v>
      </c>
      <c r="G30" s="176"/>
      <c r="H30" s="176"/>
      <c r="I30" s="176"/>
      <c r="J30" s="176"/>
      <c r="K30" s="176"/>
      <c r="L30" s="176"/>
      <c r="M30" s="176"/>
      <c r="N30" s="176"/>
      <c r="O30" s="176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531">
        <v>1</v>
      </c>
      <c r="AA30" s="531">
        <v>1</v>
      </c>
      <c r="AB30" s="531">
        <v>1</v>
      </c>
      <c r="AC30" s="531">
        <v>1</v>
      </c>
      <c r="AD30" s="176"/>
      <c r="AE30" s="41">
        <f t="shared" si="1"/>
        <v>4</v>
      </c>
      <c r="AF30" s="95" t="s">
        <v>48</v>
      </c>
      <c r="AG30" s="550" t="s">
        <v>41</v>
      </c>
      <c r="AH30" s="542"/>
      <c r="AI30" s="178" t="s">
        <v>444</v>
      </c>
      <c r="AJ30" s="179"/>
      <c r="AK30" s="491"/>
      <c r="AL30" s="492"/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13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>
        <v>1</v>
      </c>
      <c r="Q31" s="176">
        <v>1</v>
      </c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176">
        <v>1</v>
      </c>
      <c r="X31" s="176">
        <v>1</v>
      </c>
      <c r="Y31" s="176"/>
      <c r="Z31" s="176">
        <v>1</v>
      </c>
      <c r="AA31" s="176">
        <v>1</v>
      </c>
      <c r="AB31" s="176">
        <v>1</v>
      </c>
      <c r="AC31" s="176">
        <v>1</v>
      </c>
      <c r="AD31" s="176"/>
      <c r="AE31" s="41">
        <f t="shared" si="1"/>
        <v>13</v>
      </c>
      <c r="AF31" s="95" t="s">
        <v>427</v>
      </c>
      <c r="AG31" s="177" t="s">
        <v>41</v>
      </c>
      <c r="AH31" s="186" t="s">
        <v>320</v>
      </c>
      <c r="AI31" s="178" t="s">
        <v>444</v>
      </c>
      <c r="AJ31" s="179"/>
      <c r="AK31" s="491"/>
      <c r="AL31" s="492"/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13</v>
      </c>
      <c r="G32" s="176"/>
      <c r="H32" s="176"/>
      <c r="I32" s="176"/>
      <c r="J32" s="176"/>
      <c r="K32" s="176"/>
      <c r="L32" s="176"/>
      <c r="M32" s="176"/>
      <c r="N32" s="176"/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>
        <v>1</v>
      </c>
      <c r="W32" s="176">
        <v>1</v>
      </c>
      <c r="X32" s="176">
        <v>1</v>
      </c>
      <c r="Y32" s="176">
        <v>1</v>
      </c>
      <c r="Z32" s="176">
        <v>1</v>
      </c>
      <c r="AA32" s="176">
        <v>1</v>
      </c>
      <c r="AB32" s="176"/>
      <c r="AC32" s="176"/>
      <c r="AD32" s="176"/>
      <c r="AE32" s="41">
        <f t="shared" si="1"/>
        <v>13</v>
      </c>
      <c r="AF32" s="95" t="s">
        <v>329</v>
      </c>
      <c r="AG32" s="558" t="s">
        <v>41</v>
      </c>
      <c r="AH32" s="542"/>
      <c r="AI32" s="178" t="s">
        <v>444</v>
      </c>
      <c r="AJ32" s="179"/>
      <c r="AK32" s="491"/>
      <c r="AL32" s="492"/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12</v>
      </c>
      <c r="G33" s="176"/>
      <c r="H33" s="176"/>
      <c r="I33" s="176"/>
      <c r="J33" s="176"/>
      <c r="K33" s="176"/>
      <c r="L33" s="176"/>
      <c r="M33" s="176"/>
      <c r="N33" s="176"/>
      <c r="O33" s="176"/>
      <c r="P33" s="176">
        <v>1</v>
      </c>
      <c r="Q33" s="176">
        <v>1</v>
      </c>
      <c r="R33" s="176">
        <v>1</v>
      </c>
      <c r="S33" s="176">
        <v>1</v>
      </c>
      <c r="T33" s="176">
        <v>1</v>
      </c>
      <c r="U33" s="176">
        <v>1</v>
      </c>
      <c r="V33" s="176">
        <v>1</v>
      </c>
      <c r="W33" s="176">
        <v>1</v>
      </c>
      <c r="X33" s="176">
        <v>1</v>
      </c>
      <c r="Y33" s="176"/>
      <c r="Z33" s="176">
        <v>1</v>
      </c>
      <c r="AA33" s="176">
        <v>1</v>
      </c>
      <c r="AB33" s="176">
        <v>1</v>
      </c>
      <c r="AC33" s="176"/>
      <c r="AD33" s="176"/>
      <c r="AE33" s="41">
        <f t="shared" si="1"/>
        <v>12</v>
      </c>
      <c r="AF33" s="95" t="s">
        <v>710</v>
      </c>
      <c r="AG33" s="550" t="s">
        <v>41</v>
      </c>
      <c r="AH33" s="542"/>
      <c r="AI33" s="178" t="s">
        <v>444</v>
      </c>
      <c r="AJ33" s="179"/>
      <c r="AK33" s="491"/>
      <c r="AL33" s="492"/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13</v>
      </c>
      <c r="G34" s="176"/>
      <c r="H34" s="176"/>
      <c r="I34" s="176"/>
      <c r="J34" s="176"/>
      <c r="K34" s="176"/>
      <c r="L34" s="176"/>
      <c r="M34" s="176"/>
      <c r="N34" s="176"/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>
        <v>1</v>
      </c>
      <c r="X34" s="176">
        <v>1</v>
      </c>
      <c r="Y34" s="176">
        <v>1</v>
      </c>
      <c r="Z34" s="176">
        <v>1</v>
      </c>
      <c r="AA34" s="176">
        <v>1</v>
      </c>
      <c r="AB34" s="176"/>
      <c r="AC34" s="176"/>
      <c r="AD34" s="176"/>
      <c r="AE34" s="41">
        <f t="shared" si="1"/>
        <v>13</v>
      </c>
      <c r="AF34" s="95" t="s">
        <v>329</v>
      </c>
      <c r="AG34" s="550" t="s">
        <v>41</v>
      </c>
      <c r="AH34" s="542"/>
      <c r="AI34" s="178" t="s">
        <v>444</v>
      </c>
      <c r="AJ34" s="179"/>
      <c r="AK34" s="491"/>
      <c r="AL34" s="492"/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13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176">
        <v>1</v>
      </c>
      <c r="Y35" s="176">
        <v>1</v>
      </c>
      <c r="Z35" s="176">
        <v>1</v>
      </c>
      <c r="AA35" s="176">
        <v>1</v>
      </c>
      <c r="AB35" s="176"/>
      <c r="AC35" s="176"/>
      <c r="AD35" s="176"/>
      <c r="AE35" s="41">
        <f t="shared" si="1"/>
        <v>13</v>
      </c>
      <c r="AF35" s="95" t="s">
        <v>329</v>
      </c>
      <c r="AG35" s="550" t="s">
        <v>41</v>
      </c>
      <c r="AH35" s="542"/>
      <c r="AI35" s="178" t="s">
        <v>444</v>
      </c>
      <c r="AJ35" s="179"/>
      <c r="AK35" s="491"/>
      <c r="AL35" s="492"/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13</v>
      </c>
      <c r="G36" s="176"/>
      <c r="H36" s="176"/>
      <c r="I36" s="176"/>
      <c r="J36" s="176"/>
      <c r="K36" s="176"/>
      <c r="L36" s="176"/>
      <c r="M36" s="176"/>
      <c r="N36" s="176"/>
      <c r="O36" s="176"/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>
        <v>1</v>
      </c>
      <c r="W36" s="176">
        <v>1</v>
      </c>
      <c r="X36" s="176">
        <v>1</v>
      </c>
      <c r="Y36" s="176">
        <v>1</v>
      </c>
      <c r="Z36" s="176">
        <v>1</v>
      </c>
      <c r="AA36" s="176">
        <v>1</v>
      </c>
      <c r="AB36" s="176">
        <v>1</v>
      </c>
      <c r="AC36" s="176"/>
      <c r="AD36" s="176"/>
      <c r="AE36" s="41">
        <f t="shared" si="1"/>
        <v>13</v>
      </c>
      <c r="AF36" s="95" t="s">
        <v>326</v>
      </c>
      <c r="AG36" s="550" t="s">
        <v>41</v>
      </c>
      <c r="AH36" s="542"/>
      <c r="AI36" s="178" t="s">
        <v>444</v>
      </c>
      <c r="AJ36" s="179"/>
      <c r="AK36" s="491"/>
      <c r="AL36" s="492"/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13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/>
      <c r="AC37" s="176"/>
      <c r="AD37" s="176"/>
      <c r="AE37" s="41">
        <f t="shared" si="1"/>
        <v>13</v>
      </c>
      <c r="AF37" s="95" t="s">
        <v>329</v>
      </c>
      <c r="AG37" s="550" t="s">
        <v>41</v>
      </c>
      <c r="AH37" s="542"/>
      <c r="AI37" s="178" t="s">
        <v>444</v>
      </c>
      <c r="AJ37" s="179"/>
      <c r="AK37" s="491"/>
      <c r="AL37" s="492"/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4</v>
      </c>
      <c r="G38" s="176"/>
      <c r="H38" s="176"/>
      <c r="I38" s="176"/>
      <c r="J38" s="176"/>
      <c r="K38" s="176"/>
      <c r="L38" s="176"/>
      <c r="M38" s="176"/>
      <c r="N38" s="176"/>
      <c r="O38" s="176"/>
      <c r="P38" s="508"/>
      <c r="Q38" s="508"/>
      <c r="R38" s="508"/>
      <c r="S38" s="508"/>
      <c r="T38" s="508"/>
      <c r="U38" s="508"/>
      <c r="V38" s="508"/>
      <c r="W38" s="508"/>
      <c r="X38" s="508"/>
      <c r="Y38" s="508"/>
      <c r="Z38" s="176">
        <v>1</v>
      </c>
      <c r="AA38" s="176">
        <v>1</v>
      </c>
      <c r="AB38" s="176">
        <v>1</v>
      </c>
      <c r="AC38" s="176">
        <v>1</v>
      </c>
      <c r="AD38" s="176"/>
      <c r="AE38" s="41">
        <f t="shared" si="1"/>
        <v>4</v>
      </c>
      <c r="AF38" s="95" t="s">
        <v>48</v>
      </c>
      <c r="AG38" s="550" t="s">
        <v>41</v>
      </c>
      <c r="AH38" s="542"/>
      <c r="AI38" s="178" t="s">
        <v>444</v>
      </c>
      <c r="AJ38" s="179"/>
      <c r="AK38" s="491"/>
      <c r="AL38" s="492"/>
    </row>
    <row r="39" spans="1:38" ht="14.25" customHeight="1" thickBot="1">
      <c r="A39" s="38" t="s">
        <v>41</v>
      </c>
      <c r="B39" s="76" t="s">
        <v>126</v>
      </c>
      <c r="C39" s="76">
        <v>986256130</v>
      </c>
      <c r="D39" s="99">
        <v>32</v>
      </c>
      <c r="E39" s="145" t="s">
        <v>127</v>
      </c>
      <c r="F39" s="41">
        <f t="shared" si="3"/>
        <v>7</v>
      </c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>
        <v>1</v>
      </c>
      <c r="V39" s="176">
        <v>1</v>
      </c>
      <c r="W39" s="176">
        <v>1</v>
      </c>
      <c r="X39" s="176">
        <v>1</v>
      </c>
      <c r="Y39" s="176">
        <v>1</v>
      </c>
      <c r="Z39" s="176">
        <v>1</v>
      </c>
      <c r="AA39" s="176">
        <v>1</v>
      </c>
      <c r="AB39" s="176"/>
      <c r="AC39" s="176"/>
      <c r="AD39" s="176"/>
      <c r="AE39" s="41">
        <f t="shared" si="1"/>
        <v>7</v>
      </c>
      <c r="AF39" s="95" t="s">
        <v>75</v>
      </c>
      <c r="AG39" s="551" t="s">
        <v>910</v>
      </c>
      <c r="AH39" s="555"/>
      <c r="AI39" s="189" t="s">
        <v>444</v>
      </c>
      <c r="AJ39" s="179"/>
      <c r="AK39" s="491"/>
      <c r="AL39" s="492"/>
    </row>
    <row r="40" spans="1:38" ht="14.25" customHeight="1" thickBot="1">
      <c r="A40" s="38" t="s">
        <v>41</v>
      </c>
      <c r="B40" s="38" t="s">
        <v>88</v>
      </c>
      <c r="C40" s="38">
        <v>985570860</v>
      </c>
      <c r="D40" s="99">
        <v>33</v>
      </c>
      <c r="E40" s="145" t="s">
        <v>89</v>
      </c>
      <c r="F40" s="41">
        <v>11</v>
      </c>
      <c r="G40" s="185"/>
      <c r="H40" s="185"/>
      <c r="I40" s="185"/>
      <c r="J40" s="185"/>
      <c r="K40" s="185"/>
      <c r="L40" s="185"/>
      <c r="M40" s="185"/>
      <c r="N40" s="185">
        <v>1</v>
      </c>
      <c r="O40" s="185">
        <v>1</v>
      </c>
      <c r="P40" s="577" t="s">
        <v>471</v>
      </c>
      <c r="Q40" s="555"/>
      <c r="R40" s="555"/>
      <c r="S40" s="555"/>
      <c r="T40" s="555"/>
      <c r="U40" s="555"/>
      <c r="V40" s="555"/>
      <c r="W40" s="555"/>
      <c r="X40" s="555"/>
      <c r="Y40" s="555"/>
      <c r="Z40" s="542"/>
      <c r="AA40" s="185"/>
      <c r="AB40" s="185"/>
      <c r="AC40" s="185"/>
      <c r="AD40" s="185"/>
      <c r="AE40" s="41">
        <v>11</v>
      </c>
      <c r="AF40" s="95" t="s">
        <v>263</v>
      </c>
      <c r="AG40" s="551" t="s">
        <v>471</v>
      </c>
      <c r="AH40" s="555"/>
      <c r="AI40" s="189" t="s">
        <v>444</v>
      </c>
      <c r="AJ40" s="179"/>
      <c r="AK40" s="491"/>
      <c r="AL40" s="492"/>
    </row>
    <row r="41" spans="1:38" ht="14.25" customHeight="1" thickBot="1">
      <c r="A41" s="511" t="s">
        <v>41</v>
      </c>
      <c r="B41" s="512" t="s">
        <v>137</v>
      </c>
      <c r="C41" s="511"/>
      <c r="D41" s="513">
        <v>34</v>
      </c>
      <c r="E41" s="145" t="s">
        <v>138</v>
      </c>
      <c r="F41" s="515">
        <v>14</v>
      </c>
      <c r="G41" s="185"/>
      <c r="H41" s="185"/>
      <c r="I41" s="185"/>
      <c r="J41" s="185"/>
      <c r="K41" s="185"/>
      <c r="L41" s="185"/>
      <c r="M41" s="185"/>
      <c r="N41" s="185"/>
      <c r="O41" s="185"/>
      <c r="P41" s="176"/>
      <c r="Q41" s="176">
        <v>1</v>
      </c>
      <c r="R41" s="176">
        <v>1</v>
      </c>
      <c r="S41" s="176">
        <v>1</v>
      </c>
      <c r="T41" s="176">
        <v>1</v>
      </c>
      <c r="U41" s="176">
        <v>1</v>
      </c>
      <c r="V41" s="552" t="s">
        <v>320</v>
      </c>
      <c r="W41" s="553"/>
      <c r="X41" s="553"/>
      <c r="Y41" s="553"/>
      <c r="Z41" s="553"/>
      <c r="AA41" s="553"/>
      <c r="AB41" s="553"/>
      <c r="AC41" s="554"/>
      <c r="AD41" s="185"/>
      <c r="AE41" s="515">
        <v>14</v>
      </c>
      <c r="AF41" s="95" t="s">
        <v>359</v>
      </c>
      <c r="AG41" s="551" t="s">
        <v>320</v>
      </c>
      <c r="AH41" s="542"/>
      <c r="AI41" s="189" t="s">
        <v>444</v>
      </c>
      <c r="AJ41" s="179"/>
      <c r="AK41" s="491"/>
      <c r="AL41" s="492"/>
    </row>
    <row r="42" spans="1:38" ht="14.25" customHeight="1" thickBot="1">
      <c r="A42" s="38" t="s">
        <v>41</v>
      </c>
      <c r="B42" s="190" t="s">
        <v>190</v>
      </c>
      <c r="C42" s="98"/>
      <c r="D42" s="99">
        <v>35</v>
      </c>
      <c r="E42" s="145" t="s">
        <v>191</v>
      </c>
      <c r="F42" s="41">
        <v>11</v>
      </c>
      <c r="G42" s="185"/>
      <c r="H42" s="185"/>
      <c r="I42" s="185"/>
      <c r="J42" s="185"/>
      <c r="K42" s="185"/>
      <c r="L42" s="185"/>
      <c r="M42" s="185"/>
      <c r="N42" s="552" t="s">
        <v>320</v>
      </c>
      <c r="O42" s="553"/>
      <c r="P42" s="553"/>
      <c r="Q42" s="553"/>
      <c r="R42" s="553"/>
      <c r="S42" s="553"/>
      <c r="T42" s="553"/>
      <c r="U42" s="554"/>
      <c r="V42" s="176">
        <v>1</v>
      </c>
      <c r="W42" s="176">
        <v>1</v>
      </c>
      <c r="X42" s="176">
        <v>1</v>
      </c>
      <c r="Y42" s="185"/>
      <c r="Z42" s="185"/>
      <c r="AA42" s="185"/>
      <c r="AB42" s="185"/>
      <c r="AC42" s="185"/>
      <c r="AD42" s="185"/>
      <c r="AE42" s="41">
        <v>11</v>
      </c>
      <c r="AF42" s="95" t="s">
        <v>154</v>
      </c>
      <c r="AG42" s="551" t="s">
        <v>320</v>
      </c>
      <c r="AH42" s="542"/>
      <c r="AI42" s="189" t="s">
        <v>444</v>
      </c>
      <c r="AJ42" s="179"/>
      <c r="AK42" s="491"/>
      <c r="AL42" s="492"/>
    </row>
    <row r="43" spans="1:38" ht="16.5" thickBot="1">
      <c r="A43" s="38" t="s">
        <v>41</v>
      </c>
      <c r="B43" s="38" t="s">
        <v>64</v>
      </c>
      <c r="C43" s="38">
        <v>995545886</v>
      </c>
      <c r="D43" s="99">
        <v>36</v>
      </c>
      <c r="E43" s="145" t="s">
        <v>65</v>
      </c>
      <c r="F43" s="41">
        <v>12</v>
      </c>
      <c r="G43" s="185"/>
      <c r="H43" s="185"/>
      <c r="I43" s="185"/>
      <c r="J43" s="185"/>
      <c r="K43" s="185"/>
      <c r="L43" s="185"/>
      <c r="M43" s="185"/>
      <c r="N43" s="176"/>
      <c r="O43" s="176">
        <v>1</v>
      </c>
      <c r="P43" s="552" t="s">
        <v>914</v>
      </c>
      <c r="Q43" s="553"/>
      <c r="R43" s="553"/>
      <c r="S43" s="553"/>
      <c r="T43" s="553"/>
      <c r="U43" s="553"/>
      <c r="V43" s="553"/>
      <c r="W43" s="553"/>
      <c r="X43" s="553"/>
      <c r="Y43" s="554"/>
      <c r="Z43" s="531">
        <v>1</v>
      </c>
      <c r="AA43" s="185"/>
      <c r="AB43" s="185"/>
      <c r="AC43" s="185"/>
      <c r="AD43" s="185"/>
      <c r="AE43" s="41">
        <v>12</v>
      </c>
      <c r="AF43" s="95" t="s">
        <v>66</v>
      </c>
      <c r="AG43" s="551" t="s">
        <v>473</v>
      </c>
      <c r="AH43" s="555"/>
      <c r="AI43" s="178" t="s">
        <v>444</v>
      </c>
      <c r="AJ43" s="179"/>
      <c r="AK43" s="491"/>
      <c r="AL43" s="492"/>
    </row>
    <row r="44" spans="1:38" ht="63.75" thickBot="1">
      <c r="A44" s="2"/>
      <c r="B44" s="2"/>
      <c r="C44" s="2"/>
      <c r="D44" s="128"/>
      <c r="E44" s="49"/>
      <c r="F44" s="50"/>
      <c r="G44" s="51" t="s">
        <v>9</v>
      </c>
      <c r="H44" s="51" t="s">
        <v>10</v>
      </c>
      <c r="I44" s="51" t="s">
        <v>11</v>
      </c>
      <c r="J44" s="51" t="s">
        <v>12</v>
      </c>
      <c r="K44" s="51" t="s">
        <v>13</v>
      </c>
      <c r="L44" s="51" t="s">
        <v>14</v>
      </c>
      <c r="M44" s="51" t="s">
        <v>15</v>
      </c>
      <c r="N44" s="51" t="s">
        <v>16</v>
      </c>
      <c r="O44" s="106" t="s">
        <v>17</v>
      </c>
      <c r="P44" s="106" t="s">
        <v>18</v>
      </c>
      <c r="Q44" s="107" t="s">
        <v>19</v>
      </c>
      <c r="R44" s="107" t="s">
        <v>20</v>
      </c>
      <c r="S44" s="107" t="s">
        <v>21</v>
      </c>
      <c r="T44" s="107" t="s">
        <v>22</v>
      </c>
      <c r="U44" s="107" t="s">
        <v>23</v>
      </c>
      <c r="V44" s="107" t="s">
        <v>24</v>
      </c>
      <c r="W44" s="107" t="s">
        <v>25</v>
      </c>
      <c r="X44" s="107" t="s">
        <v>26</v>
      </c>
      <c r="Y44" s="107" t="s">
        <v>27</v>
      </c>
      <c r="Z44" s="107" t="s">
        <v>28</v>
      </c>
      <c r="AA44" s="52" t="s">
        <v>29</v>
      </c>
      <c r="AB44" s="52" t="s">
        <v>30</v>
      </c>
      <c r="AC44" s="52" t="s">
        <v>31</v>
      </c>
      <c r="AD44" s="51" t="s">
        <v>32</v>
      </c>
      <c r="AE44" s="53"/>
      <c r="AF44" s="116"/>
      <c r="AG44" s="25"/>
      <c r="AH44" s="25"/>
      <c r="AI44" s="25"/>
      <c r="AJ44" s="25"/>
      <c r="AK44" s="491"/>
      <c r="AL44" s="492"/>
    </row>
    <row r="45" spans="1:38" ht="14.25" customHeight="1">
      <c r="A45" s="2"/>
      <c r="B45" s="2"/>
      <c r="C45" s="2"/>
      <c r="D45" s="152"/>
      <c r="E45" s="2"/>
      <c r="F45" s="2"/>
      <c r="AE45" s="2"/>
      <c r="AF45" s="2"/>
      <c r="AG45" s="2"/>
      <c r="AH45" s="2"/>
      <c r="AI45" s="2"/>
      <c r="AJ45" s="2"/>
      <c r="AK45" s="491"/>
      <c r="AL45" s="492"/>
    </row>
  </sheetData>
  <mergeCells count="44">
    <mergeCell ref="P43:Y43"/>
    <mergeCell ref="AG43:AH43"/>
    <mergeCell ref="P40:Z40"/>
    <mergeCell ref="AG40:AH40"/>
    <mergeCell ref="V41:AC41"/>
    <mergeCell ref="AG41:AH41"/>
    <mergeCell ref="N42:U42"/>
    <mergeCell ref="AG42:AH42"/>
    <mergeCell ref="AG39:AH39"/>
    <mergeCell ref="AG27:AH27"/>
    <mergeCell ref="AG28:AH28"/>
    <mergeCell ref="AG29:AH29"/>
    <mergeCell ref="AG30:AH30"/>
    <mergeCell ref="AG32:AH32"/>
    <mergeCell ref="AG33:AH33"/>
    <mergeCell ref="AG34:AH34"/>
    <mergeCell ref="AG35:AH35"/>
    <mergeCell ref="AG36:AH36"/>
    <mergeCell ref="AG37:AH37"/>
    <mergeCell ref="AG38:AH38"/>
    <mergeCell ref="AG26:AH26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14:AH14"/>
    <mergeCell ref="A1:B1"/>
    <mergeCell ref="D3:AE3"/>
    <mergeCell ref="E4:F4"/>
    <mergeCell ref="E5:F5"/>
    <mergeCell ref="AG7:AH7"/>
    <mergeCell ref="AG8:AH8"/>
    <mergeCell ref="AG9:AH9"/>
    <mergeCell ref="AG10:AH10"/>
    <mergeCell ref="AG11:AH11"/>
    <mergeCell ref="AG12:AH12"/>
    <mergeCell ref="AG13:AH13"/>
  </mergeCells>
  <conditionalFormatting sqref="E4:F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D706-B6E4-4E82-815A-080A1ED1ECF7}">
  <dimension ref="A1:AL60"/>
  <sheetViews>
    <sheetView showGridLines="0" topLeftCell="A45" zoomScale="60" zoomScaleNormal="60" workbookViewId="0">
      <selection activeCell="A61" sqref="A61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557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347">
        <v>4</v>
      </c>
      <c r="H4" s="347">
        <v>3</v>
      </c>
      <c r="I4" s="347">
        <v>3</v>
      </c>
      <c r="J4" s="347">
        <v>3</v>
      </c>
      <c r="K4" s="347">
        <v>3</v>
      </c>
      <c r="L4" s="347">
        <v>3</v>
      </c>
      <c r="M4" s="347">
        <v>9</v>
      </c>
      <c r="N4" s="347">
        <v>9</v>
      </c>
      <c r="O4" s="347">
        <v>15</v>
      </c>
      <c r="P4" s="347">
        <v>15</v>
      </c>
      <c r="Q4" s="347">
        <v>18</v>
      </c>
      <c r="R4" s="347">
        <v>18</v>
      </c>
      <c r="S4" s="347">
        <v>17</v>
      </c>
      <c r="T4" s="347">
        <v>17</v>
      </c>
      <c r="U4" s="347">
        <v>17</v>
      </c>
      <c r="V4" s="347">
        <v>17</v>
      </c>
      <c r="W4" s="347">
        <v>17</v>
      </c>
      <c r="X4" s="347">
        <v>16</v>
      </c>
      <c r="Y4" s="347">
        <v>15</v>
      </c>
      <c r="Z4" s="347">
        <v>15</v>
      </c>
      <c r="AA4" s="347">
        <v>15</v>
      </c>
      <c r="AB4" s="347">
        <v>12</v>
      </c>
      <c r="AC4" s="347">
        <v>8</v>
      </c>
      <c r="AD4" s="347">
        <v>4</v>
      </c>
      <c r="AE4" s="18">
        <f>SUM(G4:AD4)</f>
        <v>273</v>
      </c>
      <c r="AF4" s="3"/>
      <c r="AG4" s="3"/>
      <c r="AH4" s="3"/>
      <c r="AI4" s="3"/>
      <c r="AJ4" s="3"/>
      <c r="AK4" s="3"/>
      <c r="AL4" s="3"/>
    </row>
    <row r="5" spans="1:38" ht="63.75" thickBot="1">
      <c r="A5" s="3"/>
      <c r="B5" s="2"/>
      <c r="C5" s="2"/>
      <c r="D5" s="19"/>
      <c r="E5" s="569">
        <v>4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1</v>
      </c>
      <c r="O6" s="28">
        <f t="shared" si="0"/>
        <v>1</v>
      </c>
      <c r="P6" s="28">
        <f t="shared" si="0"/>
        <v>5</v>
      </c>
      <c r="Q6" s="28">
        <f t="shared" si="0"/>
        <v>5</v>
      </c>
      <c r="R6" s="28">
        <f t="shared" si="0"/>
        <v>5</v>
      </c>
      <c r="S6" s="28">
        <f t="shared" si="0"/>
        <v>5</v>
      </c>
      <c r="T6" s="28">
        <f t="shared" si="0"/>
        <v>5</v>
      </c>
      <c r="U6" s="28">
        <f t="shared" si="0"/>
        <v>5</v>
      </c>
      <c r="V6" s="28">
        <f t="shared" si="0"/>
        <v>5</v>
      </c>
      <c r="W6" s="28">
        <f t="shared" si="0"/>
        <v>8</v>
      </c>
      <c r="X6" s="28">
        <f t="shared" si="0"/>
        <v>9</v>
      </c>
      <c r="Y6" s="28">
        <f t="shared" si="0"/>
        <v>8</v>
      </c>
      <c r="Z6" s="497">
        <f t="shared" si="0"/>
        <v>4</v>
      </c>
      <c r="AA6" s="497">
        <f t="shared" si="0"/>
        <v>3</v>
      </c>
      <c r="AB6" s="497">
        <f t="shared" si="0"/>
        <v>1</v>
      </c>
      <c r="AC6" s="497">
        <f t="shared" si="0"/>
        <v>0</v>
      </c>
      <c r="AD6" s="28">
        <f t="shared" si="0"/>
        <v>0</v>
      </c>
      <c r="AE6" s="29">
        <f t="shared" ref="AE6:AE38" si="1">SUM(G6:AD6)</f>
        <v>70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SUM(G8:G43)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9</v>
      </c>
      <c r="N7" s="172">
        <f t="shared" si="2"/>
        <v>10</v>
      </c>
      <c r="O7" s="172">
        <f t="shared" si="2"/>
        <v>16</v>
      </c>
      <c r="P7" s="172">
        <f t="shared" si="2"/>
        <v>20</v>
      </c>
      <c r="Q7" s="172">
        <f t="shared" si="2"/>
        <v>23</v>
      </c>
      <c r="R7" s="172">
        <f t="shared" si="2"/>
        <v>23</v>
      </c>
      <c r="S7" s="172">
        <f t="shared" si="2"/>
        <v>22</v>
      </c>
      <c r="T7" s="172">
        <f t="shared" si="2"/>
        <v>22</v>
      </c>
      <c r="U7" s="172">
        <f t="shared" si="2"/>
        <v>22</v>
      </c>
      <c r="V7" s="172">
        <f t="shared" si="2"/>
        <v>22</v>
      </c>
      <c r="W7" s="172">
        <f t="shared" si="2"/>
        <v>25</v>
      </c>
      <c r="X7" s="172">
        <f t="shared" si="2"/>
        <v>25</v>
      </c>
      <c r="Y7" s="172">
        <f t="shared" si="2"/>
        <v>23</v>
      </c>
      <c r="Z7" s="172">
        <f t="shared" si="2"/>
        <v>19</v>
      </c>
      <c r="AA7" s="172">
        <f t="shared" si="2"/>
        <v>18</v>
      </c>
      <c r="AB7" s="172">
        <f t="shared" si="2"/>
        <v>13</v>
      </c>
      <c r="AC7" s="172">
        <f t="shared" si="2"/>
        <v>8</v>
      </c>
      <c r="AD7" s="172">
        <f t="shared" si="2"/>
        <v>4</v>
      </c>
      <c r="AE7" s="168">
        <f t="shared" si="1"/>
        <v>343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38" si="3">SUM(G8:AD8)</f>
        <v>12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12</v>
      </c>
      <c r="AF8" s="95" t="s">
        <v>311</v>
      </c>
      <c r="AG8" s="550" t="s">
        <v>41</v>
      </c>
      <c r="AH8" s="542"/>
      <c r="AI8" s="178" t="s">
        <v>444</v>
      </c>
      <c r="AJ8" s="179"/>
      <c r="AK8" s="489"/>
      <c r="AL8" s="490"/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12</v>
      </c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>
        <v>1</v>
      </c>
      <c r="Y9" s="176">
        <v>1</v>
      </c>
      <c r="Z9" s="176">
        <v>1</v>
      </c>
      <c r="AA9" s="176">
        <v>1</v>
      </c>
      <c r="AB9" s="176">
        <v>1</v>
      </c>
      <c r="AC9" s="176"/>
      <c r="AD9" s="176"/>
      <c r="AE9" s="41">
        <f t="shared" si="1"/>
        <v>12</v>
      </c>
      <c r="AF9" s="95" t="s">
        <v>923</v>
      </c>
      <c r="AG9" s="556" t="s">
        <v>41</v>
      </c>
      <c r="AH9" s="557"/>
      <c r="AI9" s="178" t="s">
        <v>444</v>
      </c>
      <c r="AJ9" s="179"/>
      <c r="AK9" s="491"/>
      <c r="AL9" s="492"/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13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>
        <v>1</v>
      </c>
      <c r="T10" s="176">
        <v>1</v>
      </c>
      <c r="U10" s="176">
        <v>1</v>
      </c>
      <c r="V10" s="176">
        <v>1</v>
      </c>
      <c r="W10" s="176">
        <v>1</v>
      </c>
      <c r="X10" s="176">
        <v>1</v>
      </c>
      <c r="Y10" s="176">
        <v>1</v>
      </c>
      <c r="Z10" s="176"/>
      <c r="AA10" s="176"/>
      <c r="AB10" s="176"/>
      <c r="AC10" s="176"/>
      <c r="AD10" s="176"/>
      <c r="AE10" s="41">
        <f t="shared" si="1"/>
        <v>13</v>
      </c>
      <c r="AF10" s="95" t="s">
        <v>924</v>
      </c>
      <c r="AG10" s="556" t="s">
        <v>41</v>
      </c>
      <c r="AH10" s="557"/>
      <c r="AI10" s="178" t="s">
        <v>444</v>
      </c>
      <c r="AJ10" s="179"/>
      <c r="AK10" s="491"/>
      <c r="AL10" s="492"/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10</v>
      </c>
      <c r="G11" s="176"/>
      <c r="H11" s="176"/>
      <c r="I11" s="176"/>
      <c r="J11" s="176"/>
      <c r="K11" s="176"/>
      <c r="L11" s="176"/>
      <c r="M11" s="176"/>
      <c r="N11" s="521"/>
      <c r="O11" s="510">
        <v>1</v>
      </c>
      <c r="P11" s="510">
        <v>1</v>
      </c>
      <c r="Q11" s="510">
        <v>1</v>
      </c>
      <c r="R11" s="510">
        <v>1</v>
      </c>
      <c r="S11" s="510">
        <v>1</v>
      </c>
      <c r="T11" s="510">
        <v>1</v>
      </c>
      <c r="U11" s="510">
        <v>1</v>
      </c>
      <c r="V11" s="510">
        <v>1</v>
      </c>
      <c r="W11" s="510">
        <v>1</v>
      </c>
      <c r="X11" s="510">
        <v>1</v>
      </c>
      <c r="Y11" s="176"/>
      <c r="Z11" s="176"/>
      <c r="AA11" s="176"/>
      <c r="AB11" s="176"/>
      <c r="AC11" s="176"/>
      <c r="AD11" s="176"/>
      <c r="AE11" s="41">
        <f t="shared" si="1"/>
        <v>10</v>
      </c>
      <c r="AF11" s="95" t="s">
        <v>154</v>
      </c>
      <c r="AG11" s="556" t="s">
        <v>41</v>
      </c>
      <c r="AH11" s="557"/>
      <c r="AI11" s="178" t="s">
        <v>444</v>
      </c>
      <c r="AJ11" s="179"/>
      <c r="AK11" s="491"/>
      <c r="AL11" s="492"/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15</v>
      </c>
      <c r="G12" s="176"/>
      <c r="H12" s="176"/>
      <c r="I12" s="176"/>
      <c r="J12" s="176"/>
      <c r="K12" s="176"/>
      <c r="L12" s="176"/>
      <c r="M12" s="176"/>
      <c r="N12" s="495">
        <v>1</v>
      </c>
      <c r="O12" s="495">
        <v>1</v>
      </c>
      <c r="P12" s="495">
        <v>1</v>
      </c>
      <c r="Q12" s="495">
        <v>1</v>
      </c>
      <c r="R12" s="495">
        <v>1</v>
      </c>
      <c r="S12" s="495">
        <v>1</v>
      </c>
      <c r="T12" s="495">
        <v>1</v>
      </c>
      <c r="U12" s="495">
        <v>1</v>
      </c>
      <c r="V12" s="495">
        <v>1</v>
      </c>
      <c r="W12" s="495">
        <v>1</v>
      </c>
      <c r="X12" s="495">
        <v>1</v>
      </c>
      <c r="Y12" s="495">
        <v>1</v>
      </c>
      <c r="Z12" s="495">
        <v>1</v>
      </c>
      <c r="AA12" s="495">
        <v>1</v>
      </c>
      <c r="AB12" s="495">
        <v>1</v>
      </c>
      <c r="AC12" s="176"/>
      <c r="AD12" s="176"/>
      <c r="AE12" s="515">
        <f t="shared" si="1"/>
        <v>15</v>
      </c>
      <c r="AF12" s="95" t="s">
        <v>380</v>
      </c>
      <c r="AG12" s="558" t="s">
        <v>41</v>
      </c>
      <c r="AH12" s="542"/>
      <c r="AI12" s="517" t="s">
        <v>444</v>
      </c>
      <c r="AJ12" s="179"/>
      <c r="AK12" s="491"/>
      <c r="AL12" s="492"/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41">
        <v>12</v>
      </c>
      <c r="G13" s="176"/>
      <c r="H13" s="176"/>
      <c r="I13" s="176"/>
      <c r="J13" s="176"/>
      <c r="K13" s="176"/>
      <c r="L13" s="176"/>
      <c r="M13" s="176">
        <v>1</v>
      </c>
      <c r="N13" s="176">
        <v>1</v>
      </c>
      <c r="O13" s="176">
        <v>1</v>
      </c>
      <c r="P13" s="505" t="s">
        <v>47</v>
      </c>
      <c r="Q13" s="176">
        <v>1</v>
      </c>
      <c r="R13" s="176">
        <v>1</v>
      </c>
      <c r="S13" s="176">
        <v>1</v>
      </c>
      <c r="T13" s="176"/>
      <c r="U13" s="176">
        <v>1</v>
      </c>
      <c r="V13" s="176">
        <v>1</v>
      </c>
      <c r="W13" s="176">
        <v>1</v>
      </c>
      <c r="X13" s="176">
        <v>1</v>
      </c>
      <c r="Y13" s="176"/>
      <c r="Z13" s="176"/>
      <c r="AA13" s="176"/>
      <c r="AB13" s="176"/>
      <c r="AC13" s="176"/>
      <c r="AD13" s="176"/>
      <c r="AE13" s="41">
        <v>12</v>
      </c>
      <c r="AF13" s="95" t="s">
        <v>51</v>
      </c>
      <c r="AG13" s="550" t="s">
        <v>41</v>
      </c>
      <c r="AH13" s="542"/>
      <c r="AI13" s="178" t="s">
        <v>444</v>
      </c>
      <c r="AJ13" s="179"/>
      <c r="AK13" s="491"/>
      <c r="AL13" s="492"/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12</v>
      </c>
      <c r="G14" s="176">
        <v>1</v>
      </c>
      <c r="H14" s="176">
        <v>1</v>
      </c>
      <c r="I14" s="176">
        <v>1</v>
      </c>
      <c r="J14" s="176">
        <v>1</v>
      </c>
      <c r="K14" s="176">
        <v>1</v>
      </c>
      <c r="L14" s="176">
        <v>1</v>
      </c>
      <c r="M14" s="176">
        <v>1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41">
        <f t="shared" si="1"/>
        <v>12</v>
      </c>
      <c r="AF14" s="95" t="s">
        <v>311</v>
      </c>
      <c r="AG14" s="550" t="s">
        <v>41</v>
      </c>
      <c r="AH14" s="542"/>
      <c r="AI14" s="178" t="s">
        <v>444</v>
      </c>
      <c r="AJ14" s="179"/>
      <c r="AK14" s="491"/>
      <c r="AL14" s="492"/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13</v>
      </c>
      <c r="G15" s="176"/>
      <c r="H15" s="176"/>
      <c r="I15" s="176"/>
      <c r="J15" s="176"/>
      <c r="K15" s="176"/>
      <c r="L15" s="176"/>
      <c r="M15" s="176">
        <v>1</v>
      </c>
      <c r="N15" s="176">
        <v>1</v>
      </c>
      <c r="O15" s="176">
        <v>1</v>
      </c>
      <c r="P15" s="176">
        <v>1</v>
      </c>
      <c r="Q15" s="176">
        <v>1</v>
      </c>
      <c r="R15" s="176">
        <v>1</v>
      </c>
      <c r="S15" s="176">
        <v>1</v>
      </c>
      <c r="T15" s="176">
        <v>1</v>
      </c>
      <c r="U15" s="176">
        <v>1</v>
      </c>
      <c r="V15" s="176">
        <v>1</v>
      </c>
      <c r="W15" s="176">
        <v>1</v>
      </c>
      <c r="X15" s="176">
        <v>1</v>
      </c>
      <c r="Y15" s="510">
        <v>1</v>
      </c>
      <c r="Z15" s="176"/>
      <c r="AA15" s="176"/>
      <c r="AB15" s="176"/>
      <c r="AC15" s="176"/>
      <c r="AD15" s="176"/>
      <c r="AE15" s="41">
        <f t="shared" si="1"/>
        <v>13</v>
      </c>
      <c r="AF15" s="95" t="s">
        <v>261</v>
      </c>
      <c r="AG15" s="550" t="s">
        <v>41</v>
      </c>
      <c r="AH15" s="542"/>
      <c r="AI15" s="178" t="s">
        <v>444</v>
      </c>
      <c r="AJ15" s="179"/>
      <c r="AK15" s="491"/>
      <c r="AL15" s="492"/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0</v>
      </c>
      <c r="G16" s="176">
        <v>0</v>
      </c>
      <c r="H16" s="176">
        <v>0</v>
      </c>
      <c r="I16" s="176">
        <v>0</v>
      </c>
      <c r="J16" s="176">
        <v>0</v>
      </c>
      <c r="K16" s="176">
        <v>0</v>
      </c>
      <c r="L16" s="176">
        <v>0</v>
      </c>
      <c r="M16" s="176">
        <v>0</v>
      </c>
      <c r="N16" s="176">
        <v>0</v>
      </c>
      <c r="O16" s="176">
        <v>0</v>
      </c>
      <c r="P16" s="176">
        <v>0</v>
      </c>
      <c r="Q16" s="176">
        <v>0</v>
      </c>
      <c r="R16" s="176">
        <v>0</v>
      </c>
      <c r="S16" s="176">
        <v>0</v>
      </c>
      <c r="T16" s="176">
        <v>0</v>
      </c>
      <c r="U16" s="176">
        <v>0</v>
      </c>
      <c r="V16" s="176">
        <v>0</v>
      </c>
      <c r="W16" s="176">
        <v>0</v>
      </c>
      <c r="X16" s="176">
        <v>0</v>
      </c>
      <c r="Y16" s="176">
        <v>0</v>
      </c>
      <c r="Z16" s="176">
        <v>0</v>
      </c>
      <c r="AA16" s="176">
        <v>0</v>
      </c>
      <c r="AB16" s="176">
        <v>0</v>
      </c>
      <c r="AC16" s="176">
        <v>0</v>
      </c>
      <c r="AD16" s="176">
        <v>0</v>
      </c>
      <c r="AE16" s="41">
        <f t="shared" si="1"/>
        <v>0</v>
      </c>
      <c r="AF16" s="95" t="s">
        <v>225</v>
      </c>
      <c r="AG16" s="550" t="s">
        <v>41</v>
      </c>
      <c r="AH16" s="542"/>
      <c r="AI16" s="178" t="s">
        <v>444</v>
      </c>
      <c r="AJ16" s="179"/>
      <c r="AK16" s="491"/>
      <c r="AL16" s="492"/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6</v>
      </c>
      <c r="G17" s="176"/>
      <c r="H17" s="176"/>
      <c r="I17" s="176"/>
      <c r="J17" s="176"/>
      <c r="K17" s="176"/>
      <c r="L17" s="176"/>
      <c r="M17" s="176"/>
      <c r="N17" s="176"/>
      <c r="O17" s="176">
        <v>1</v>
      </c>
      <c r="P17" s="176">
        <v>1</v>
      </c>
      <c r="Q17" s="176">
        <v>1</v>
      </c>
      <c r="R17" s="176">
        <v>1</v>
      </c>
      <c r="S17" s="176">
        <v>1</v>
      </c>
      <c r="T17" s="176">
        <v>1</v>
      </c>
      <c r="U17" s="505" t="s">
        <v>47</v>
      </c>
      <c r="V17" s="176"/>
      <c r="W17" s="176"/>
      <c r="X17" s="176"/>
      <c r="Y17" s="176"/>
      <c r="Z17" s="176"/>
      <c r="AA17" s="176"/>
      <c r="AB17" s="176"/>
      <c r="AC17" s="176"/>
      <c r="AD17" s="176"/>
      <c r="AE17" s="41">
        <f t="shared" si="1"/>
        <v>6</v>
      </c>
      <c r="AF17" s="95" t="s">
        <v>87</v>
      </c>
      <c r="AG17" s="559" t="s">
        <v>41</v>
      </c>
      <c r="AH17" s="560"/>
      <c r="AI17" s="178" t="s">
        <v>444</v>
      </c>
      <c r="AJ17" s="179"/>
      <c r="AK17" s="491"/>
      <c r="AL17" s="492"/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12</v>
      </c>
      <c r="G18" s="176"/>
      <c r="H18" s="176"/>
      <c r="I18" s="176"/>
      <c r="J18" s="176"/>
      <c r="K18" s="176"/>
      <c r="L18" s="176"/>
      <c r="M18" s="176">
        <v>1</v>
      </c>
      <c r="N18" s="176">
        <v>1</v>
      </c>
      <c r="O18" s="176">
        <v>1</v>
      </c>
      <c r="P18" s="176">
        <v>1</v>
      </c>
      <c r="Q18" s="176">
        <v>1</v>
      </c>
      <c r="R18" s="176">
        <v>1</v>
      </c>
      <c r="S18" s="176">
        <v>1</v>
      </c>
      <c r="T18" s="176">
        <v>1</v>
      </c>
      <c r="U18" s="176">
        <v>1</v>
      </c>
      <c r="V18" s="176"/>
      <c r="W18" s="176">
        <v>1</v>
      </c>
      <c r="X18" s="176">
        <v>1</v>
      </c>
      <c r="Y18" s="176">
        <v>1</v>
      </c>
      <c r="Z18" s="176"/>
      <c r="AA18" s="176"/>
      <c r="AB18" s="176"/>
      <c r="AC18" s="176"/>
      <c r="AD18" s="176"/>
      <c r="AE18" s="41">
        <f t="shared" si="1"/>
        <v>12</v>
      </c>
      <c r="AF18" s="95" t="s">
        <v>392</v>
      </c>
      <c r="AG18" s="550" t="s">
        <v>41</v>
      </c>
      <c r="AH18" s="542"/>
      <c r="AI18" s="178" t="s">
        <v>444</v>
      </c>
      <c r="AJ18" s="179"/>
      <c r="AK18" s="491"/>
      <c r="AL18" s="492"/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f t="shared" si="3"/>
        <v>12</v>
      </c>
      <c r="G19" s="176"/>
      <c r="H19" s="176"/>
      <c r="I19" s="176"/>
      <c r="J19" s="176"/>
      <c r="K19" s="176"/>
      <c r="L19" s="176"/>
      <c r="M19" s="176"/>
      <c r="N19" s="176"/>
      <c r="O19" s="505" t="s">
        <v>47</v>
      </c>
      <c r="P19" s="508">
        <v>1</v>
      </c>
      <c r="Q19" s="508">
        <v>1</v>
      </c>
      <c r="R19" s="508">
        <v>1</v>
      </c>
      <c r="S19" s="508">
        <v>1</v>
      </c>
      <c r="T19" s="508">
        <v>1</v>
      </c>
      <c r="U19" s="508">
        <v>1</v>
      </c>
      <c r="V19" s="508">
        <v>1</v>
      </c>
      <c r="W19" s="508">
        <v>1</v>
      </c>
      <c r="X19" s="508">
        <v>1</v>
      </c>
      <c r="Y19" s="508">
        <v>1</v>
      </c>
      <c r="Z19" s="176">
        <v>1</v>
      </c>
      <c r="AA19" s="176">
        <v>1</v>
      </c>
      <c r="AB19" s="176"/>
      <c r="AC19" s="176"/>
      <c r="AD19" s="176"/>
      <c r="AE19" s="41">
        <f t="shared" si="1"/>
        <v>12</v>
      </c>
      <c r="AF19" s="95" t="s">
        <v>329</v>
      </c>
      <c r="AG19" s="556" t="s">
        <v>41</v>
      </c>
      <c r="AH19" s="557"/>
      <c r="AI19" s="178" t="s">
        <v>444</v>
      </c>
      <c r="AJ19" s="179"/>
      <c r="AK19" s="491"/>
      <c r="AL19" s="492"/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13</v>
      </c>
      <c r="G20" s="176">
        <v>1</v>
      </c>
      <c r="H20" s="176">
        <v>1</v>
      </c>
      <c r="I20" s="176">
        <v>1</v>
      </c>
      <c r="J20" s="176">
        <v>1</v>
      </c>
      <c r="K20" s="176">
        <v>1</v>
      </c>
      <c r="L20" s="176">
        <v>1</v>
      </c>
      <c r="M20" s="176">
        <v>1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>
        <v>1</v>
      </c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13</v>
      </c>
      <c r="AF20" s="95" t="s">
        <v>280</v>
      </c>
      <c r="AG20" s="550" t="s">
        <v>41</v>
      </c>
      <c r="AH20" s="542"/>
      <c r="AI20" s="178" t="s">
        <v>444</v>
      </c>
      <c r="AJ20" s="179"/>
      <c r="AK20" s="491"/>
      <c r="AL20" s="492"/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12</v>
      </c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>
        <v>1</v>
      </c>
      <c r="X21" s="176">
        <v>1</v>
      </c>
      <c r="Y21" s="176">
        <v>1</v>
      </c>
      <c r="Z21" s="176"/>
      <c r="AA21" s="176">
        <v>1</v>
      </c>
      <c r="AB21" s="176">
        <v>1</v>
      </c>
      <c r="AC21" s="176">
        <v>1</v>
      </c>
      <c r="AD21" s="176"/>
      <c r="AE21" s="41">
        <f t="shared" si="1"/>
        <v>12</v>
      </c>
      <c r="AF21" s="95" t="s">
        <v>484</v>
      </c>
      <c r="AG21" s="550" t="s">
        <v>41</v>
      </c>
      <c r="AH21" s="542"/>
      <c r="AI21" s="178" t="s">
        <v>444</v>
      </c>
      <c r="AJ21" s="179"/>
      <c r="AK21" s="491"/>
      <c r="AL21" s="492"/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14</v>
      </c>
      <c r="G22" s="176">
        <v>1</v>
      </c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>
        <v>1</v>
      </c>
      <c r="S22" s="176">
        <v>1</v>
      </c>
      <c r="T22" s="176">
        <v>1</v>
      </c>
      <c r="U22" s="176">
        <v>1</v>
      </c>
      <c r="V22" s="510">
        <v>1</v>
      </c>
      <c r="W22" s="510">
        <v>1</v>
      </c>
      <c r="X22" s="176">
        <v>1</v>
      </c>
      <c r="Y22" s="176">
        <v>1</v>
      </c>
      <c r="Z22" s="176">
        <v>1</v>
      </c>
      <c r="AA22" s="176">
        <v>1</v>
      </c>
      <c r="AB22" s="176">
        <v>1</v>
      </c>
      <c r="AC22" s="176">
        <v>1</v>
      </c>
      <c r="AD22" s="176">
        <v>1</v>
      </c>
      <c r="AE22" s="41">
        <f t="shared" si="1"/>
        <v>14</v>
      </c>
      <c r="AF22" s="95" t="s">
        <v>925</v>
      </c>
      <c r="AG22" s="550" t="s">
        <v>41</v>
      </c>
      <c r="AH22" s="542"/>
      <c r="AI22" s="178" t="s">
        <v>444</v>
      </c>
      <c r="AJ22" s="179"/>
      <c r="AK22" s="491"/>
      <c r="AL22" s="492"/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12</v>
      </c>
      <c r="G23" s="176"/>
      <c r="H23" s="176"/>
      <c r="I23" s="176"/>
      <c r="J23" s="176"/>
      <c r="K23" s="176"/>
      <c r="L23" s="176"/>
      <c r="M23" s="176">
        <v>1</v>
      </c>
      <c r="N23" s="176">
        <v>1</v>
      </c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510">
        <v>1</v>
      </c>
      <c r="Y23" s="176"/>
      <c r="Z23" s="176"/>
      <c r="AA23" s="176"/>
      <c r="AB23" s="176"/>
      <c r="AC23" s="176"/>
      <c r="AD23" s="176"/>
      <c r="AE23" s="41">
        <f t="shared" si="1"/>
        <v>12</v>
      </c>
      <c r="AF23" s="95" t="s">
        <v>192</v>
      </c>
      <c r="AG23" s="550" t="s">
        <v>41</v>
      </c>
      <c r="AH23" s="542"/>
      <c r="AI23" s="178" t="s">
        <v>444</v>
      </c>
      <c r="AJ23" s="179"/>
      <c r="AK23" s="491"/>
      <c r="AL23" s="492"/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13</v>
      </c>
      <c r="G24" s="176"/>
      <c r="H24" s="176"/>
      <c r="I24" s="176"/>
      <c r="J24" s="176"/>
      <c r="K24" s="176"/>
      <c r="L24" s="176"/>
      <c r="M24" s="176"/>
      <c r="N24" s="176"/>
      <c r="O24" s="176"/>
      <c r="P24" s="508">
        <v>1</v>
      </c>
      <c r="Q24" s="508">
        <v>1</v>
      </c>
      <c r="R24" s="508">
        <v>1</v>
      </c>
      <c r="S24" s="508">
        <v>1</v>
      </c>
      <c r="T24" s="508">
        <v>1</v>
      </c>
      <c r="U24" s="508">
        <v>1</v>
      </c>
      <c r="V24" s="508">
        <v>1</v>
      </c>
      <c r="W24" s="508">
        <v>1</v>
      </c>
      <c r="X24" s="508">
        <v>1</v>
      </c>
      <c r="Y24" s="508">
        <v>1</v>
      </c>
      <c r="Z24" s="176">
        <v>1</v>
      </c>
      <c r="AA24" s="176">
        <v>1</v>
      </c>
      <c r="AB24" s="176">
        <v>1</v>
      </c>
      <c r="AC24" s="176"/>
      <c r="AD24" s="176"/>
      <c r="AE24" s="41">
        <f t="shared" si="1"/>
        <v>13</v>
      </c>
      <c r="AF24" s="95" t="s">
        <v>710</v>
      </c>
      <c r="AG24" s="561" t="s">
        <v>471</v>
      </c>
      <c r="AH24" s="562"/>
      <c r="AI24" s="178" t="s">
        <v>444</v>
      </c>
      <c r="AJ24" s="179"/>
      <c r="AK24" s="491"/>
      <c r="AL24" s="492"/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8</v>
      </c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505" t="s">
        <v>47</v>
      </c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/>
      <c r="AE25" s="41">
        <f t="shared" si="1"/>
        <v>8</v>
      </c>
      <c r="AF25" s="95" t="s">
        <v>81</v>
      </c>
      <c r="AG25" s="550" t="s">
        <v>41</v>
      </c>
      <c r="AH25" s="542"/>
      <c r="AI25" s="178" t="s">
        <v>444</v>
      </c>
      <c r="AJ25" s="179"/>
      <c r="AK25" s="491"/>
      <c r="AL25" s="492"/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0</v>
      </c>
      <c r="G26" s="176"/>
      <c r="H26" s="176"/>
      <c r="I26" s="176"/>
      <c r="J26" s="176"/>
      <c r="K26" s="176"/>
      <c r="L26" s="176"/>
      <c r="M26" s="176"/>
      <c r="N26" s="176" t="s">
        <v>915</v>
      </c>
      <c r="O26" s="176" t="s">
        <v>204</v>
      </c>
      <c r="P26" s="176" t="s">
        <v>47</v>
      </c>
      <c r="Q26" s="176" t="s">
        <v>204</v>
      </c>
      <c r="R26" s="176" t="s">
        <v>47</v>
      </c>
      <c r="S26" s="176" t="s">
        <v>203</v>
      </c>
      <c r="T26" s="176" t="s">
        <v>348</v>
      </c>
      <c r="U26" s="176" t="s">
        <v>201</v>
      </c>
      <c r="V26" s="176" t="s">
        <v>200</v>
      </c>
      <c r="W26" s="176" t="s">
        <v>350</v>
      </c>
      <c r="X26" s="176"/>
      <c r="Y26" s="176"/>
      <c r="Z26" s="176"/>
      <c r="AA26" s="176"/>
      <c r="AB26" s="176"/>
      <c r="AC26" s="176"/>
      <c r="AD26" s="176"/>
      <c r="AE26" s="41">
        <f t="shared" si="1"/>
        <v>0</v>
      </c>
      <c r="AF26" s="95" t="s">
        <v>6</v>
      </c>
      <c r="AG26" s="550" t="s">
        <v>41</v>
      </c>
      <c r="AH26" s="542"/>
      <c r="AI26" s="178" t="s">
        <v>444</v>
      </c>
      <c r="AJ26" s="179"/>
      <c r="AK26" s="491"/>
      <c r="AL26" s="492"/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13</v>
      </c>
      <c r="G27" s="176"/>
      <c r="H27" s="176"/>
      <c r="I27" s="176"/>
      <c r="J27" s="176"/>
      <c r="K27" s="176"/>
      <c r="L27" s="176"/>
      <c r="M27" s="176"/>
      <c r="N27" s="176"/>
      <c r="O27" s="176"/>
      <c r="P27" s="176">
        <v>1</v>
      </c>
      <c r="Q27" s="176">
        <v>1</v>
      </c>
      <c r="R27" s="176">
        <v>1</v>
      </c>
      <c r="S27" s="176">
        <v>1</v>
      </c>
      <c r="T27" s="176">
        <v>1</v>
      </c>
      <c r="U27" s="176"/>
      <c r="V27" s="176">
        <v>1</v>
      </c>
      <c r="W27" s="176">
        <v>1</v>
      </c>
      <c r="X27" s="510">
        <v>1</v>
      </c>
      <c r="Y27" s="176">
        <v>1</v>
      </c>
      <c r="Z27" s="176">
        <v>1</v>
      </c>
      <c r="AA27" s="176">
        <v>1</v>
      </c>
      <c r="AB27" s="176">
        <v>1</v>
      </c>
      <c r="AC27" s="176">
        <v>1</v>
      </c>
      <c r="AD27" s="176"/>
      <c r="AE27" s="41">
        <f t="shared" si="1"/>
        <v>13</v>
      </c>
      <c r="AF27" s="95" t="s">
        <v>351</v>
      </c>
      <c r="AG27" s="550" t="s">
        <v>41</v>
      </c>
      <c r="AH27" s="542"/>
      <c r="AI27" s="178" t="s">
        <v>444</v>
      </c>
      <c r="AJ27" s="179"/>
      <c r="AK27" s="491"/>
      <c r="AL27" s="492"/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11</v>
      </c>
      <c r="G28" s="176"/>
      <c r="H28" s="176"/>
      <c r="I28" s="176"/>
      <c r="J28" s="176"/>
      <c r="K28" s="176"/>
      <c r="L28" s="176"/>
      <c r="M28" s="176"/>
      <c r="N28" s="176">
        <v>1</v>
      </c>
      <c r="O28" s="176">
        <v>1</v>
      </c>
      <c r="P28" s="176">
        <v>1</v>
      </c>
      <c r="Q28" s="176">
        <v>1</v>
      </c>
      <c r="R28" s="505" t="s">
        <v>47</v>
      </c>
      <c r="S28" s="176">
        <v>1</v>
      </c>
      <c r="T28" s="176">
        <v>1</v>
      </c>
      <c r="U28" s="176">
        <v>1</v>
      </c>
      <c r="V28" s="176">
        <v>1</v>
      </c>
      <c r="W28" s="176">
        <v>1</v>
      </c>
      <c r="X28" s="176">
        <v>1</v>
      </c>
      <c r="Y28" s="510">
        <v>1</v>
      </c>
      <c r="Z28" s="176"/>
      <c r="AA28" s="176"/>
      <c r="AB28" s="176"/>
      <c r="AC28" s="176"/>
      <c r="AD28" s="176"/>
      <c r="AE28" s="41">
        <f t="shared" si="1"/>
        <v>11</v>
      </c>
      <c r="AF28" s="95" t="s">
        <v>327</v>
      </c>
      <c r="AG28" s="550" t="s">
        <v>41</v>
      </c>
      <c r="AH28" s="542"/>
      <c r="AI28" s="178" t="s">
        <v>444</v>
      </c>
      <c r="AJ28" s="179"/>
      <c r="AK28" s="491"/>
      <c r="AL28" s="492"/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11</v>
      </c>
      <c r="G29" s="176"/>
      <c r="H29" s="176"/>
      <c r="I29" s="176"/>
      <c r="J29" s="176"/>
      <c r="K29" s="176"/>
      <c r="L29" s="176"/>
      <c r="M29" s="176"/>
      <c r="N29" s="176"/>
      <c r="O29" s="176">
        <v>1</v>
      </c>
      <c r="P29" s="176">
        <v>1</v>
      </c>
      <c r="Q29" s="176">
        <v>1</v>
      </c>
      <c r="R29" s="176">
        <v>1</v>
      </c>
      <c r="S29" s="505" t="s">
        <v>47</v>
      </c>
      <c r="T29" s="176">
        <v>1</v>
      </c>
      <c r="U29" s="176">
        <v>1</v>
      </c>
      <c r="V29" s="176">
        <v>1</v>
      </c>
      <c r="W29" s="176">
        <v>1</v>
      </c>
      <c r="X29" s="176">
        <v>1</v>
      </c>
      <c r="Y29" s="176">
        <v>1</v>
      </c>
      <c r="Z29" s="510">
        <v>1</v>
      </c>
      <c r="AA29" s="176"/>
      <c r="AB29" s="176"/>
      <c r="AC29" s="176"/>
      <c r="AD29" s="176"/>
      <c r="AE29" s="41">
        <f t="shared" si="1"/>
        <v>11</v>
      </c>
      <c r="AF29" s="95" t="s">
        <v>927</v>
      </c>
      <c r="AG29" s="556" t="s">
        <v>41</v>
      </c>
      <c r="AH29" s="557"/>
      <c r="AI29" s="178" t="s">
        <v>444</v>
      </c>
      <c r="AJ29" s="179"/>
      <c r="AK29" s="491"/>
      <c r="AL29" s="492"/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10</v>
      </c>
      <c r="G30" s="176"/>
      <c r="H30" s="176"/>
      <c r="I30" s="176"/>
      <c r="J30" s="176"/>
      <c r="K30" s="176"/>
      <c r="L30" s="176"/>
      <c r="M30" s="176"/>
      <c r="N30" s="176"/>
      <c r="O30" s="505" t="s">
        <v>47</v>
      </c>
      <c r="P30" s="508">
        <v>1</v>
      </c>
      <c r="Q30" s="508">
        <v>1</v>
      </c>
      <c r="R30" s="508">
        <v>1</v>
      </c>
      <c r="S30" s="508">
        <v>1</v>
      </c>
      <c r="T30" s="508">
        <v>1</v>
      </c>
      <c r="U30" s="508">
        <v>1</v>
      </c>
      <c r="V30" s="508">
        <v>1</v>
      </c>
      <c r="W30" s="508">
        <v>1</v>
      </c>
      <c r="X30" s="508">
        <v>1</v>
      </c>
      <c r="Y30" s="508">
        <v>1</v>
      </c>
      <c r="Z30" s="176"/>
      <c r="AA30" s="176"/>
      <c r="AB30" s="176"/>
      <c r="AC30" s="176"/>
      <c r="AD30" s="176"/>
      <c r="AE30" s="41">
        <f t="shared" si="1"/>
        <v>10</v>
      </c>
      <c r="AF30" s="95" t="s">
        <v>119</v>
      </c>
      <c r="AG30" s="550" t="s">
        <v>41</v>
      </c>
      <c r="AH30" s="542"/>
      <c r="AI30" s="178" t="s">
        <v>444</v>
      </c>
      <c r="AJ30" s="179"/>
      <c r="AK30" s="491"/>
      <c r="AL30" s="492"/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0</v>
      </c>
      <c r="G31" s="176"/>
      <c r="H31" s="176"/>
      <c r="I31" s="176"/>
      <c r="J31" s="176"/>
      <c r="K31" s="176"/>
      <c r="L31" s="176"/>
      <c r="M31" s="176"/>
      <c r="N31" s="176"/>
      <c r="O31" s="502"/>
      <c r="P31" s="502"/>
      <c r="Q31" s="502"/>
      <c r="R31" s="502"/>
      <c r="S31" s="502"/>
      <c r="T31" s="502"/>
      <c r="U31" s="502"/>
      <c r="V31" s="502"/>
      <c r="W31" s="505" t="s">
        <v>47</v>
      </c>
      <c r="X31" s="176"/>
      <c r="Y31" s="502"/>
      <c r="Z31" s="502"/>
      <c r="AA31" s="502"/>
      <c r="AB31" s="502"/>
      <c r="AC31" s="176"/>
      <c r="AD31" s="176"/>
      <c r="AE31" s="41">
        <f t="shared" si="1"/>
        <v>0</v>
      </c>
      <c r="AF31" s="95" t="s">
        <v>339</v>
      </c>
      <c r="AG31" s="177" t="s">
        <v>41</v>
      </c>
      <c r="AH31" s="186" t="s">
        <v>320</v>
      </c>
      <c r="AI31" s="178" t="s">
        <v>444</v>
      </c>
      <c r="AJ31" s="179"/>
      <c r="AK31" s="491"/>
      <c r="AL31" s="492"/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13</v>
      </c>
      <c r="G32" s="176"/>
      <c r="H32" s="176"/>
      <c r="I32" s="176"/>
      <c r="J32" s="176"/>
      <c r="K32" s="176"/>
      <c r="L32" s="176"/>
      <c r="M32" s="176"/>
      <c r="N32" s="176"/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505" t="s">
        <v>47</v>
      </c>
      <c r="W32" s="176">
        <v>1</v>
      </c>
      <c r="X32" s="176">
        <v>1</v>
      </c>
      <c r="Y32" s="510">
        <v>1</v>
      </c>
      <c r="Z32" s="176">
        <v>1</v>
      </c>
      <c r="AA32" s="176">
        <v>1</v>
      </c>
      <c r="AB32" s="176">
        <v>1</v>
      </c>
      <c r="AC32" s="176"/>
      <c r="AD32" s="176"/>
      <c r="AE32" s="41">
        <f t="shared" si="1"/>
        <v>13</v>
      </c>
      <c r="AF32" s="95" t="s">
        <v>385</v>
      </c>
      <c r="AG32" s="558" t="s">
        <v>41</v>
      </c>
      <c r="AH32" s="542"/>
      <c r="AI32" s="178" t="s">
        <v>444</v>
      </c>
      <c r="AJ32" s="179"/>
      <c r="AK32" s="491"/>
      <c r="AL32" s="492"/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12</v>
      </c>
      <c r="G33" s="176"/>
      <c r="H33" s="176"/>
      <c r="I33" s="176"/>
      <c r="J33" s="176"/>
      <c r="K33" s="176"/>
      <c r="L33" s="176"/>
      <c r="M33" s="176"/>
      <c r="N33" s="176">
        <v>1</v>
      </c>
      <c r="O33" s="176">
        <v>1</v>
      </c>
      <c r="P33" s="176">
        <v>1</v>
      </c>
      <c r="Q33" s="176">
        <v>1</v>
      </c>
      <c r="R33" s="176">
        <v>1</v>
      </c>
      <c r="S33" s="176">
        <v>1</v>
      </c>
      <c r="T33" s="176">
        <v>1</v>
      </c>
      <c r="U33" s="176">
        <v>1</v>
      </c>
      <c r="V33" s="176">
        <v>1</v>
      </c>
      <c r="W33" s="176">
        <v>1</v>
      </c>
      <c r="X33" s="176">
        <v>1</v>
      </c>
      <c r="Y33" s="176">
        <v>1</v>
      </c>
      <c r="Z33" s="176"/>
      <c r="AA33" s="176"/>
      <c r="AB33" s="176"/>
      <c r="AC33" s="176"/>
      <c r="AD33" s="176"/>
      <c r="AE33" s="41">
        <f t="shared" si="1"/>
        <v>12</v>
      </c>
      <c r="AF33" s="95" t="s">
        <v>534</v>
      </c>
      <c r="AG33" s="550" t="s">
        <v>41</v>
      </c>
      <c r="AH33" s="542"/>
      <c r="AI33" s="178" t="s">
        <v>444</v>
      </c>
      <c r="AJ33" s="179"/>
      <c r="AK33" s="491"/>
      <c r="AL33" s="492"/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13</v>
      </c>
      <c r="G34" s="176"/>
      <c r="H34" s="176"/>
      <c r="I34" s="176"/>
      <c r="J34" s="176"/>
      <c r="K34" s="176"/>
      <c r="L34" s="176"/>
      <c r="M34" s="176"/>
      <c r="N34" s="176"/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510">
        <v>1</v>
      </c>
      <c r="X34" s="176">
        <v>1</v>
      </c>
      <c r="Y34" s="176">
        <v>1</v>
      </c>
      <c r="Z34" s="176">
        <v>1</v>
      </c>
      <c r="AA34" s="176">
        <v>1</v>
      </c>
      <c r="AB34" s="176"/>
      <c r="AC34" s="176"/>
      <c r="AD34" s="176"/>
      <c r="AE34" s="41">
        <f t="shared" si="1"/>
        <v>13</v>
      </c>
      <c r="AF34" s="95" t="s">
        <v>329</v>
      </c>
      <c r="AG34" s="550" t="s">
        <v>41</v>
      </c>
      <c r="AH34" s="542"/>
      <c r="AI34" s="178" t="s">
        <v>444</v>
      </c>
      <c r="AJ34" s="179"/>
      <c r="AK34" s="491"/>
      <c r="AL34" s="492"/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14</v>
      </c>
      <c r="G35" s="176"/>
      <c r="H35" s="176"/>
      <c r="I35" s="176"/>
      <c r="J35" s="176"/>
      <c r="K35" s="176"/>
      <c r="L35" s="176"/>
      <c r="M35" s="176"/>
      <c r="N35" s="176"/>
      <c r="O35" s="176"/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510">
        <v>1</v>
      </c>
      <c r="Y35" s="176">
        <v>1</v>
      </c>
      <c r="Z35" s="176">
        <v>1</v>
      </c>
      <c r="AA35" s="176">
        <v>1</v>
      </c>
      <c r="AB35" s="176">
        <v>1</v>
      </c>
      <c r="AC35" s="176">
        <v>1</v>
      </c>
      <c r="AD35" s="176"/>
      <c r="AE35" s="41">
        <f t="shared" si="1"/>
        <v>14</v>
      </c>
      <c r="AF35" s="95" t="s">
        <v>48</v>
      </c>
      <c r="AG35" s="550" t="s">
        <v>41</v>
      </c>
      <c r="AH35" s="542"/>
      <c r="AI35" s="178" t="s">
        <v>444</v>
      </c>
      <c r="AJ35" s="179"/>
      <c r="AK35" s="491"/>
      <c r="AL35" s="492"/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14</v>
      </c>
      <c r="G36" s="176"/>
      <c r="H36" s="176"/>
      <c r="I36" s="176"/>
      <c r="J36" s="176"/>
      <c r="K36" s="176"/>
      <c r="L36" s="176"/>
      <c r="M36" s="176">
        <v>1</v>
      </c>
      <c r="N36" s="176">
        <v>1</v>
      </c>
      <c r="O36" s="176">
        <v>1</v>
      </c>
      <c r="P36" s="176">
        <v>1</v>
      </c>
      <c r="Q36" s="176">
        <v>1</v>
      </c>
      <c r="R36" s="176">
        <v>1</v>
      </c>
      <c r="S36" s="505" t="s">
        <v>47</v>
      </c>
      <c r="T36" s="176">
        <v>1</v>
      </c>
      <c r="U36" s="176">
        <v>1</v>
      </c>
      <c r="V36" s="176">
        <v>1</v>
      </c>
      <c r="W36" s="176">
        <v>1</v>
      </c>
      <c r="X36" s="176">
        <v>1</v>
      </c>
      <c r="Y36" s="176">
        <v>1</v>
      </c>
      <c r="Z36" s="176">
        <v>1</v>
      </c>
      <c r="AA36" s="510">
        <v>1</v>
      </c>
      <c r="AB36" s="176"/>
      <c r="AC36" s="176"/>
      <c r="AD36" s="176"/>
      <c r="AE36" s="41">
        <f t="shared" si="1"/>
        <v>14</v>
      </c>
      <c r="AF36" s="95" t="s">
        <v>926</v>
      </c>
      <c r="AG36" s="550" t="s">
        <v>41</v>
      </c>
      <c r="AH36" s="542"/>
      <c r="AI36" s="178" t="s">
        <v>444</v>
      </c>
      <c r="AJ36" s="179"/>
      <c r="AK36" s="491"/>
      <c r="AL36" s="492"/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12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505" t="s">
        <v>47</v>
      </c>
      <c r="U37" s="176">
        <v>1</v>
      </c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>
        <v>1</v>
      </c>
      <c r="AB37" s="176"/>
      <c r="AC37" s="176"/>
      <c r="AD37" s="176"/>
      <c r="AE37" s="41">
        <f t="shared" si="1"/>
        <v>12</v>
      </c>
      <c r="AF37" s="95" t="s">
        <v>329</v>
      </c>
      <c r="AG37" s="550" t="s">
        <v>41</v>
      </c>
      <c r="AH37" s="542"/>
      <c r="AI37" s="178" t="s">
        <v>444</v>
      </c>
      <c r="AJ37" s="179"/>
      <c r="AK37" s="491"/>
      <c r="AL37" s="492"/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13</v>
      </c>
      <c r="G38" s="176"/>
      <c r="H38" s="176"/>
      <c r="I38" s="176"/>
      <c r="J38" s="176"/>
      <c r="K38" s="176"/>
      <c r="L38" s="176"/>
      <c r="M38" s="176"/>
      <c r="N38" s="176">
        <v>1</v>
      </c>
      <c r="O38" s="505" t="s">
        <v>47</v>
      </c>
      <c r="P38" s="508">
        <v>1</v>
      </c>
      <c r="Q38" s="508">
        <v>1</v>
      </c>
      <c r="R38" s="508">
        <v>1</v>
      </c>
      <c r="S38" s="508">
        <v>1</v>
      </c>
      <c r="T38" s="508">
        <v>1</v>
      </c>
      <c r="U38" s="508">
        <v>1</v>
      </c>
      <c r="V38" s="508">
        <v>1</v>
      </c>
      <c r="W38" s="508">
        <v>1</v>
      </c>
      <c r="X38" s="508">
        <v>1</v>
      </c>
      <c r="Y38" s="508">
        <v>1</v>
      </c>
      <c r="Z38" s="510">
        <v>1</v>
      </c>
      <c r="AA38" s="510">
        <v>1</v>
      </c>
      <c r="AB38" s="176"/>
      <c r="AC38" s="176"/>
      <c r="AD38" s="176"/>
      <c r="AE38" s="41">
        <f t="shared" si="1"/>
        <v>13</v>
      </c>
      <c r="AF38" s="95" t="s">
        <v>928</v>
      </c>
      <c r="AG38" s="550" t="s">
        <v>41</v>
      </c>
      <c r="AH38" s="542"/>
      <c r="AI38" s="178" t="s">
        <v>444</v>
      </c>
      <c r="AJ38" s="179"/>
      <c r="AK38" s="491"/>
      <c r="AL38" s="492"/>
    </row>
    <row r="39" spans="1:38" ht="14.25" customHeight="1" thickBot="1">
      <c r="A39" s="38" t="s">
        <v>41</v>
      </c>
      <c r="B39" s="76" t="s">
        <v>126</v>
      </c>
      <c r="C39" s="76">
        <v>986256130</v>
      </c>
      <c r="D39" s="99">
        <v>32</v>
      </c>
      <c r="E39" s="145" t="s">
        <v>127</v>
      </c>
      <c r="F39" s="41">
        <v>12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552" t="s">
        <v>914</v>
      </c>
      <c r="Q39" s="553"/>
      <c r="R39" s="553"/>
      <c r="S39" s="553"/>
      <c r="T39" s="553"/>
      <c r="U39" s="553"/>
      <c r="V39" s="553"/>
      <c r="W39" s="553"/>
      <c r="X39" s="553"/>
      <c r="Y39" s="554"/>
      <c r="Z39" s="510">
        <v>1</v>
      </c>
      <c r="AA39" s="176"/>
      <c r="AB39" s="176"/>
      <c r="AC39" s="176"/>
      <c r="AD39" s="176"/>
      <c r="AE39" s="41">
        <v>12</v>
      </c>
      <c r="AF39" s="95" t="s">
        <v>66</v>
      </c>
      <c r="AG39" s="551" t="s">
        <v>910</v>
      </c>
      <c r="AH39" s="555"/>
      <c r="AI39" s="189" t="s">
        <v>444</v>
      </c>
      <c r="AJ39" s="179"/>
      <c r="AK39" s="491"/>
      <c r="AL39" s="492"/>
    </row>
    <row r="40" spans="1:38" ht="14.25" customHeight="1" thickBot="1">
      <c r="A40" s="38" t="s">
        <v>41</v>
      </c>
      <c r="B40" s="38" t="s">
        <v>88</v>
      </c>
      <c r="C40" s="38">
        <v>985570860</v>
      </c>
      <c r="D40" s="99">
        <v>33</v>
      </c>
      <c r="E40" s="145" t="s">
        <v>89</v>
      </c>
      <c r="F40" s="41">
        <v>11</v>
      </c>
      <c r="G40" s="185"/>
      <c r="H40" s="185"/>
      <c r="I40" s="185"/>
      <c r="J40" s="185"/>
      <c r="K40" s="185"/>
      <c r="L40" s="185"/>
      <c r="M40" s="185"/>
      <c r="N40" s="185"/>
      <c r="O40" s="185"/>
      <c r="P40" s="577" t="s">
        <v>471</v>
      </c>
      <c r="Q40" s="555"/>
      <c r="R40" s="555"/>
      <c r="S40" s="555"/>
      <c r="T40" s="555"/>
      <c r="U40" s="555"/>
      <c r="V40" s="555"/>
      <c r="W40" s="555"/>
      <c r="X40" s="555"/>
      <c r="Y40" s="555"/>
      <c r="Z40" s="542"/>
      <c r="AA40" s="185"/>
      <c r="AB40" s="185"/>
      <c r="AC40" s="185"/>
      <c r="AD40" s="185"/>
      <c r="AE40" s="41">
        <v>11</v>
      </c>
      <c r="AF40" s="95" t="s">
        <v>164</v>
      </c>
      <c r="AG40" s="551" t="s">
        <v>471</v>
      </c>
      <c r="AH40" s="555"/>
      <c r="AI40" s="189" t="s">
        <v>444</v>
      </c>
      <c r="AJ40" s="179"/>
      <c r="AK40" s="491"/>
      <c r="AL40" s="492"/>
    </row>
    <row r="41" spans="1:38" ht="14.25" customHeight="1" thickBot="1">
      <c r="A41" s="511" t="s">
        <v>41</v>
      </c>
      <c r="B41" s="512" t="s">
        <v>137</v>
      </c>
      <c r="C41" s="511"/>
      <c r="D41" s="513">
        <v>34</v>
      </c>
      <c r="E41" s="145" t="s">
        <v>138</v>
      </c>
      <c r="F41" s="515">
        <v>8</v>
      </c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552" t="s">
        <v>320</v>
      </c>
      <c r="W41" s="553"/>
      <c r="X41" s="553"/>
      <c r="Y41" s="553"/>
      <c r="Z41" s="553"/>
      <c r="AA41" s="553"/>
      <c r="AB41" s="553"/>
      <c r="AC41" s="554"/>
      <c r="AD41" s="185"/>
      <c r="AE41" s="515">
        <v>8</v>
      </c>
      <c r="AF41" s="95" t="s">
        <v>218</v>
      </c>
      <c r="AG41" s="551" t="s">
        <v>320</v>
      </c>
      <c r="AH41" s="542"/>
      <c r="AI41" s="189" t="s">
        <v>444</v>
      </c>
      <c r="AJ41" s="179"/>
      <c r="AK41" s="491"/>
      <c r="AL41" s="492"/>
    </row>
    <row r="42" spans="1:38" ht="14.25" customHeight="1" thickBot="1">
      <c r="A42" s="38" t="s">
        <v>41</v>
      </c>
      <c r="B42" s="190" t="s">
        <v>190</v>
      </c>
      <c r="C42" s="98"/>
      <c r="D42" s="99">
        <v>35</v>
      </c>
      <c r="E42" s="145" t="s">
        <v>191</v>
      </c>
      <c r="F42" s="41">
        <v>14</v>
      </c>
      <c r="G42" s="185"/>
      <c r="H42" s="185"/>
      <c r="I42" s="185"/>
      <c r="J42" s="185"/>
      <c r="K42" s="185"/>
      <c r="L42" s="185"/>
      <c r="M42" s="185"/>
      <c r="N42" s="552" t="s">
        <v>320</v>
      </c>
      <c r="O42" s="553"/>
      <c r="P42" s="553"/>
      <c r="Q42" s="553"/>
      <c r="R42" s="553"/>
      <c r="S42" s="553"/>
      <c r="T42" s="553"/>
      <c r="U42" s="554"/>
      <c r="V42" s="185"/>
      <c r="W42" s="510">
        <v>1</v>
      </c>
      <c r="X42" s="510">
        <v>1</v>
      </c>
      <c r="Y42" s="510">
        <v>1</v>
      </c>
      <c r="Z42" s="510">
        <v>1</v>
      </c>
      <c r="AA42" s="510">
        <v>1</v>
      </c>
      <c r="AB42" s="510">
        <v>1</v>
      </c>
      <c r="AC42" s="185"/>
      <c r="AD42" s="185"/>
      <c r="AE42" s="41">
        <v>14</v>
      </c>
      <c r="AF42" s="95" t="s">
        <v>288</v>
      </c>
      <c r="AG42" s="551" t="s">
        <v>320</v>
      </c>
      <c r="AH42" s="542"/>
      <c r="AI42" s="189" t="s">
        <v>444</v>
      </c>
      <c r="AJ42" s="179"/>
      <c r="AK42" s="491"/>
      <c r="AL42" s="492"/>
    </row>
    <row r="43" spans="1:38" ht="16.5" thickBot="1">
      <c r="A43" s="38" t="s">
        <v>41</v>
      </c>
      <c r="B43" s="38" t="s">
        <v>64</v>
      </c>
      <c r="C43" s="38">
        <v>995545886</v>
      </c>
      <c r="D43" s="99">
        <v>36</v>
      </c>
      <c r="E43" s="145" t="s">
        <v>65</v>
      </c>
      <c r="F43" s="41">
        <v>10</v>
      </c>
      <c r="G43" s="185"/>
      <c r="H43" s="185"/>
      <c r="I43" s="185"/>
      <c r="J43" s="185"/>
      <c r="K43" s="185"/>
      <c r="L43" s="185"/>
      <c r="M43" s="185"/>
      <c r="N43" s="176"/>
      <c r="O43" s="505" t="s">
        <v>47</v>
      </c>
      <c r="P43" s="552" t="s">
        <v>914</v>
      </c>
      <c r="Q43" s="553"/>
      <c r="R43" s="553"/>
      <c r="S43" s="553"/>
      <c r="T43" s="553"/>
      <c r="U43" s="553"/>
      <c r="V43" s="553"/>
      <c r="W43" s="553"/>
      <c r="X43" s="553"/>
      <c r="Y43" s="554"/>
      <c r="Z43" s="185"/>
      <c r="AA43" s="185"/>
      <c r="AB43" s="185"/>
      <c r="AC43" s="185"/>
      <c r="AD43" s="185"/>
      <c r="AE43" s="41">
        <v>10</v>
      </c>
      <c r="AF43" s="95" t="s">
        <v>119</v>
      </c>
      <c r="AG43" s="551" t="s">
        <v>473</v>
      </c>
      <c r="AH43" s="555"/>
      <c r="AI43" s="178" t="s">
        <v>444</v>
      </c>
      <c r="AJ43" s="179"/>
      <c r="AK43" s="491"/>
      <c r="AL43" s="492"/>
    </row>
    <row r="44" spans="1:38" ht="63.75" thickBot="1">
      <c r="A44" s="2"/>
      <c r="B44" s="2"/>
      <c r="C44" s="2"/>
      <c r="D44" s="128"/>
      <c r="E44" s="49"/>
      <c r="F44" s="50"/>
      <c r="G44" s="51" t="s">
        <v>9</v>
      </c>
      <c r="H44" s="51" t="s">
        <v>10</v>
      </c>
      <c r="I44" s="51" t="s">
        <v>11</v>
      </c>
      <c r="J44" s="51" t="s">
        <v>12</v>
      </c>
      <c r="K44" s="51" t="s">
        <v>13</v>
      </c>
      <c r="L44" s="51" t="s">
        <v>14</v>
      </c>
      <c r="M44" s="51" t="s">
        <v>15</v>
      </c>
      <c r="N44" s="51" t="s">
        <v>16</v>
      </c>
      <c r="O44" s="106" t="s">
        <v>17</v>
      </c>
      <c r="P44" s="106" t="s">
        <v>18</v>
      </c>
      <c r="Q44" s="107" t="s">
        <v>19</v>
      </c>
      <c r="R44" s="107" t="s">
        <v>20</v>
      </c>
      <c r="S44" s="107" t="s">
        <v>21</v>
      </c>
      <c r="T44" s="107" t="s">
        <v>22</v>
      </c>
      <c r="U44" s="107" t="s">
        <v>23</v>
      </c>
      <c r="V44" s="107" t="s">
        <v>24</v>
      </c>
      <c r="W44" s="107" t="s">
        <v>25</v>
      </c>
      <c r="X44" s="107" t="s">
        <v>26</v>
      </c>
      <c r="Y44" s="107" t="s">
        <v>27</v>
      </c>
      <c r="Z44" s="107" t="s">
        <v>28</v>
      </c>
      <c r="AA44" s="52" t="s">
        <v>29</v>
      </c>
      <c r="AB44" s="52" t="s">
        <v>30</v>
      </c>
      <c r="AC44" s="52" t="s">
        <v>31</v>
      </c>
      <c r="AD44" s="51" t="s">
        <v>32</v>
      </c>
      <c r="AE44" s="53"/>
      <c r="AF44" s="116"/>
      <c r="AG44" s="25"/>
      <c r="AH44" s="25"/>
      <c r="AI44" s="25"/>
      <c r="AJ44" s="25"/>
      <c r="AK44" s="491"/>
      <c r="AL44" s="492"/>
    </row>
    <row r="45" spans="1:38" ht="14.25" customHeight="1">
      <c r="A45" s="2"/>
      <c r="B45" s="2"/>
      <c r="C45" s="2"/>
      <c r="D45" s="152"/>
      <c r="E45" s="2"/>
      <c r="F45" s="2"/>
      <c r="AE45" s="2"/>
      <c r="AF45" s="2"/>
      <c r="AG45" s="2"/>
      <c r="AH45" s="2"/>
      <c r="AI45" s="2"/>
      <c r="AJ45" s="2"/>
      <c r="AK45" s="491"/>
      <c r="AL45" s="492"/>
    </row>
    <row r="46" spans="1:38" ht="14.25" customHeight="1">
      <c r="A46" s="2"/>
      <c r="B46" s="2"/>
      <c r="C46" s="2"/>
      <c r="D46" s="152"/>
      <c r="E46" s="2"/>
      <c r="F46" s="2"/>
      <c r="AE46" s="2"/>
      <c r="AF46" s="2"/>
      <c r="AG46" s="2"/>
      <c r="AH46" s="2"/>
      <c r="AI46" s="2"/>
      <c r="AJ46" s="2"/>
      <c r="AK46" s="491"/>
      <c r="AL46" s="492"/>
    </row>
    <row r="47" spans="1:38" ht="14.25" customHeight="1">
      <c r="A47" s="2"/>
      <c r="B47" s="2"/>
      <c r="C47" s="2"/>
      <c r="D47" s="152"/>
      <c r="E47" s="2"/>
      <c r="F47" s="2"/>
      <c r="AE47" s="2"/>
      <c r="AF47" s="2"/>
      <c r="AG47" s="2"/>
      <c r="AH47" s="2"/>
      <c r="AI47" s="2"/>
      <c r="AJ47" s="2"/>
      <c r="AK47" s="491"/>
      <c r="AL47" s="492"/>
    </row>
    <row r="48" spans="1:38" ht="14.25" customHeight="1" thickBot="1">
      <c r="A48" s="2"/>
      <c r="B48" s="2"/>
      <c r="C48" s="2"/>
      <c r="D48" s="152"/>
      <c r="E48" s="2"/>
      <c r="F48" s="2"/>
      <c r="AE48" s="2"/>
      <c r="AF48" s="2"/>
      <c r="AG48" s="2"/>
      <c r="AH48" s="2"/>
      <c r="AI48" s="2"/>
      <c r="AJ48" s="2"/>
      <c r="AK48" s="491"/>
      <c r="AL48" s="492"/>
    </row>
    <row r="49" spans="1:38" ht="14.25" customHeight="1" thickBot="1">
      <c r="A49" s="3"/>
      <c r="B49" s="3"/>
      <c r="C49" s="3"/>
      <c r="D49" s="128"/>
      <c r="E49" s="547" t="s">
        <v>8</v>
      </c>
      <c r="F49" s="548"/>
      <c r="G49" s="191">
        <v>0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8</v>
      </c>
      <c r="Q49" s="191">
        <v>8</v>
      </c>
      <c r="R49" s="191">
        <v>8</v>
      </c>
      <c r="S49" s="191">
        <v>8</v>
      </c>
      <c r="T49" s="191">
        <v>8</v>
      </c>
      <c r="U49" s="191">
        <v>8</v>
      </c>
      <c r="V49" s="191">
        <v>8</v>
      </c>
      <c r="W49" s="191">
        <v>8</v>
      </c>
      <c r="X49" s="191">
        <v>8</v>
      </c>
      <c r="Y49" s="191">
        <v>8</v>
      </c>
      <c r="Z49" s="191">
        <v>2</v>
      </c>
      <c r="AA49" s="191">
        <v>2</v>
      </c>
      <c r="AB49" s="191">
        <v>2</v>
      </c>
      <c r="AC49" s="191">
        <v>0</v>
      </c>
      <c r="AD49" s="191">
        <v>0</v>
      </c>
      <c r="AE49" s="18">
        <f>SUM(G49:AD49)</f>
        <v>86</v>
      </c>
      <c r="AF49" s="25"/>
      <c r="AG49" s="2"/>
      <c r="AH49" s="2"/>
      <c r="AI49" s="2"/>
      <c r="AJ49" s="2"/>
      <c r="AK49" s="491"/>
      <c r="AL49" s="492"/>
    </row>
    <row r="50" spans="1:38" ht="14.25" customHeight="1" thickBot="1">
      <c r="A50" s="3"/>
      <c r="B50" s="3"/>
      <c r="C50" s="3"/>
      <c r="D50" s="128"/>
      <c r="E50" s="59"/>
      <c r="F50" s="59"/>
      <c r="G50" s="28">
        <f t="shared" ref="G50:AD50" si="4">G52-G49</f>
        <v>0</v>
      </c>
      <c r="H50" s="28">
        <f t="shared" si="4"/>
        <v>0</v>
      </c>
      <c r="I50" s="28">
        <f t="shared" si="4"/>
        <v>0</v>
      </c>
      <c r="J50" s="28">
        <f t="shared" si="4"/>
        <v>0</v>
      </c>
      <c r="K50" s="28">
        <f t="shared" si="4"/>
        <v>0</v>
      </c>
      <c r="L50" s="28">
        <f t="shared" si="4"/>
        <v>0</v>
      </c>
      <c r="M50" s="28">
        <f t="shared" si="4"/>
        <v>0</v>
      </c>
      <c r="N50" s="28">
        <f t="shared" si="4"/>
        <v>1</v>
      </c>
      <c r="O50" s="28">
        <f t="shared" si="4"/>
        <v>1</v>
      </c>
      <c r="P50" s="28">
        <f t="shared" si="4"/>
        <v>-3</v>
      </c>
      <c r="Q50" s="28">
        <f t="shared" si="4"/>
        <v>-3</v>
      </c>
      <c r="R50" s="28">
        <f t="shared" si="4"/>
        <v>-3</v>
      </c>
      <c r="S50" s="28">
        <f t="shared" si="4"/>
        <v>-3</v>
      </c>
      <c r="T50" s="28">
        <f t="shared" si="4"/>
        <v>-3</v>
      </c>
      <c r="U50" s="28">
        <f t="shared" si="4"/>
        <v>-3</v>
      </c>
      <c r="V50" s="28">
        <f t="shared" si="4"/>
        <v>-3</v>
      </c>
      <c r="W50" s="28">
        <f t="shared" si="4"/>
        <v>-3</v>
      </c>
      <c r="X50" s="28">
        <f t="shared" si="4"/>
        <v>-3</v>
      </c>
      <c r="Y50" s="28">
        <f t="shared" si="4"/>
        <v>-3</v>
      </c>
      <c r="Z50" s="496">
        <f t="shared" si="4"/>
        <v>1</v>
      </c>
      <c r="AA50" s="496">
        <f t="shared" si="4"/>
        <v>1</v>
      </c>
      <c r="AB50" s="496">
        <f t="shared" si="4"/>
        <v>1</v>
      </c>
      <c r="AC50" s="496">
        <f t="shared" si="4"/>
        <v>0</v>
      </c>
      <c r="AD50" s="28">
        <f t="shared" si="4"/>
        <v>0</v>
      </c>
      <c r="AE50" s="53"/>
      <c r="AF50" s="3"/>
      <c r="AG50" s="2"/>
      <c r="AH50" s="2"/>
      <c r="AI50" s="2"/>
      <c r="AJ50" s="2"/>
      <c r="AK50" s="491"/>
      <c r="AL50" s="492"/>
    </row>
    <row r="51" spans="1:38" ht="63.75" thickBot="1">
      <c r="A51" s="3"/>
      <c r="B51" s="3"/>
      <c r="C51" s="3"/>
      <c r="D51" s="128"/>
      <c r="E51" s="60" t="s">
        <v>476</v>
      </c>
      <c r="F51" s="59"/>
      <c r="G51" s="51" t="s">
        <v>9</v>
      </c>
      <c r="H51" s="51" t="s">
        <v>10</v>
      </c>
      <c r="I51" s="51" t="s">
        <v>11</v>
      </c>
      <c r="J51" s="51" t="s">
        <v>12</v>
      </c>
      <c r="K51" s="51" t="s">
        <v>13</v>
      </c>
      <c r="L51" s="51" t="s">
        <v>14</v>
      </c>
      <c r="M51" s="51" t="s">
        <v>15</v>
      </c>
      <c r="N51" s="51" t="s">
        <v>16</v>
      </c>
      <c r="O51" s="51" t="s">
        <v>17</v>
      </c>
      <c r="P51" s="51" t="s">
        <v>18</v>
      </c>
      <c r="Q51" s="52" t="s">
        <v>19</v>
      </c>
      <c r="R51" s="52" t="s">
        <v>20</v>
      </c>
      <c r="S51" s="52" t="s">
        <v>21</v>
      </c>
      <c r="T51" s="52" t="s">
        <v>22</v>
      </c>
      <c r="U51" s="52" t="s">
        <v>23</v>
      </c>
      <c r="V51" s="52" t="s">
        <v>24</v>
      </c>
      <c r="W51" s="52" t="s">
        <v>25</v>
      </c>
      <c r="X51" s="52" t="s">
        <v>26</v>
      </c>
      <c r="Y51" s="52" t="s">
        <v>27</v>
      </c>
      <c r="Z51" s="52" t="s">
        <v>28</v>
      </c>
      <c r="AA51" s="52" t="s">
        <v>29</v>
      </c>
      <c r="AB51" s="52" t="s">
        <v>30</v>
      </c>
      <c r="AC51" s="52" t="s">
        <v>31</v>
      </c>
      <c r="AD51" s="51" t="s">
        <v>32</v>
      </c>
      <c r="AE51" s="53"/>
      <c r="AF51" s="25"/>
      <c r="AG51" s="2"/>
      <c r="AH51" s="2"/>
      <c r="AI51" s="2"/>
      <c r="AJ51" s="2"/>
      <c r="AK51" s="491"/>
      <c r="AL51" s="492"/>
    </row>
    <row r="52" spans="1:38" ht="14.25" customHeight="1" thickBot="1">
      <c r="A52" s="3"/>
      <c r="B52" s="3"/>
      <c r="C52" s="3"/>
      <c r="D52" s="128"/>
      <c r="E52" s="61" t="s">
        <v>37</v>
      </c>
      <c r="F52" s="37" t="s">
        <v>38</v>
      </c>
      <c r="G52" s="35">
        <f>SUM(G53:G60)</f>
        <v>0</v>
      </c>
      <c r="H52" s="35">
        <f>SUM(H53:H60)</f>
        <v>0</v>
      </c>
      <c r="I52" s="35">
        <f>SUM(I53:I60)</f>
        <v>0</v>
      </c>
      <c r="J52" s="35">
        <f>SUM(J53:J60)</f>
        <v>0</v>
      </c>
      <c r="K52" s="35">
        <f>SUM(K53:K60)</f>
        <v>0</v>
      </c>
      <c r="L52" s="35">
        <f>SUM(L53:L60)</f>
        <v>0</v>
      </c>
      <c r="M52" s="35">
        <f>SUM(M53:M60)</f>
        <v>0</v>
      </c>
      <c r="N52" s="35">
        <f>SUM(N53:N60)</f>
        <v>1</v>
      </c>
      <c r="O52" s="35">
        <f>SUM(O53:O60)</f>
        <v>1</v>
      </c>
      <c r="P52" s="35">
        <f>SUM(P53:P60)</f>
        <v>5</v>
      </c>
      <c r="Q52" s="35">
        <f>SUM(Q53:Q60)</f>
        <v>5</v>
      </c>
      <c r="R52" s="35">
        <f>SUM(R53:R60)</f>
        <v>5</v>
      </c>
      <c r="S52" s="35">
        <f>SUM(S53:S60)</f>
        <v>5</v>
      </c>
      <c r="T52" s="35">
        <f>SUM(T53:T60)</f>
        <v>5</v>
      </c>
      <c r="U52" s="35">
        <f>SUM(U53:U60)</f>
        <v>5</v>
      </c>
      <c r="V52" s="35">
        <f>SUM(V53:V60)</f>
        <v>5</v>
      </c>
      <c r="W52" s="35">
        <f>SUM(W53:W60)</f>
        <v>5</v>
      </c>
      <c r="X52" s="35">
        <f>SUM(X53:X60)</f>
        <v>5</v>
      </c>
      <c r="Y52" s="35">
        <f>SUM(Y53:Y60)</f>
        <v>5</v>
      </c>
      <c r="Z52" s="35">
        <f>SUM(Z53:Z60)</f>
        <v>3</v>
      </c>
      <c r="AA52" s="35">
        <f>SUM(AA53:AA60)</f>
        <v>3</v>
      </c>
      <c r="AB52" s="35">
        <f>SUM(AB53:AB60)</f>
        <v>3</v>
      </c>
      <c r="AC52" s="35">
        <f>SUM(AC53:AC60)</f>
        <v>0</v>
      </c>
      <c r="AD52" s="35">
        <f>SUM(AD53:AD60)</f>
        <v>0</v>
      </c>
      <c r="AE52" s="30">
        <f t="shared" ref="AE52:AE58" si="5">SUM(G52:AD52)</f>
        <v>61</v>
      </c>
      <c r="AF52" s="36"/>
      <c r="AG52" s="196"/>
      <c r="AH52" s="196"/>
      <c r="AI52" s="197" t="s">
        <v>40</v>
      </c>
      <c r="AJ52" s="198"/>
      <c r="AK52" s="491"/>
      <c r="AL52" s="492"/>
    </row>
    <row r="53" spans="1:38" ht="14.25" customHeight="1" thickBot="1">
      <c r="A53" s="76" t="s">
        <v>41</v>
      </c>
      <c r="B53" s="76" t="s">
        <v>45</v>
      </c>
      <c r="C53" s="76">
        <v>999600729</v>
      </c>
      <c r="D53" s="99">
        <v>1</v>
      </c>
      <c r="E53" s="40" t="s">
        <v>46</v>
      </c>
      <c r="F53" s="41">
        <f t="shared" ref="F53:F58" si="6">SUM(G53:AD53)</f>
        <v>13</v>
      </c>
      <c r="G53" s="503"/>
      <c r="H53" s="503"/>
      <c r="I53" s="503"/>
      <c r="J53" s="503"/>
      <c r="K53" s="503"/>
      <c r="L53" s="503"/>
      <c r="M53" s="503"/>
      <c r="N53" s="503"/>
      <c r="O53" s="505" t="s">
        <v>47</v>
      </c>
      <c r="P53" s="503">
        <v>1</v>
      </c>
      <c r="Q53" s="503">
        <v>1</v>
      </c>
      <c r="R53" s="503">
        <v>1</v>
      </c>
      <c r="S53" s="503">
        <v>1</v>
      </c>
      <c r="T53" s="503">
        <v>1</v>
      </c>
      <c r="U53" s="503">
        <v>1</v>
      </c>
      <c r="V53" s="503">
        <v>1</v>
      </c>
      <c r="W53" s="503">
        <v>1</v>
      </c>
      <c r="X53" s="503">
        <v>1</v>
      </c>
      <c r="Y53" s="503">
        <v>1</v>
      </c>
      <c r="Z53" s="503">
        <v>1</v>
      </c>
      <c r="AA53" s="503">
        <v>1</v>
      </c>
      <c r="AB53" s="503">
        <v>1</v>
      </c>
      <c r="AC53" s="503"/>
      <c r="AD53" s="503"/>
      <c r="AE53" s="41">
        <f t="shared" si="5"/>
        <v>13</v>
      </c>
      <c r="AF53" s="95" t="s">
        <v>385</v>
      </c>
      <c r="AG53" s="549" t="s">
        <v>476</v>
      </c>
      <c r="AH53" s="542"/>
      <c r="AI53" s="178" t="s">
        <v>444</v>
      </c>
      <c r="AJ53" s="179"/>
      <c r="AK53" s="491"/>
      <c r="AL53" s="492"/>
    </row>
    <row r="54" spans="1:38" ht="14.25" customHeight="1" thickBot="1">
      <c r="A54" s="38" t="s">
        <v>41</v>
      </c>
      <c r="B54" s="38" t="s">
        <v>72</v>
      </c>
      <c r="C54" s="38">
        <v>989533877</v>
      </c>
      <c r="D54" s="99">
        <v>3</v>
      </c>
      <c r="E54" s="40" t="s">
        <v>73</v>
      </c>
      <c r="F54" s="41">
        <f t="shared" si="6"/>
        <v>15</v>
      </c>
      <c r="G54" s="176"/>
      <c r="H54" s="176"/>
      <c r="I54" s="176"/>
      <c r="J54" s="176"/>
      <c r="K54" s="176"/>
      <c r="L54" s="176"/>
      <c r="M54" s="176"/>
      <c r="N54" s="495">
        <v>1</v>
      </c>
      <c r="O54" s="495">
        <v>1</v>
      </c>
      <c r="P54" s="495">
        <v>1</v>
      </c>
      <c r="Q54" s="495">
        <v>1</v>
      </c>
      <c r="R54" s="495">
        <v>1</v>
      </c>
      <c r="S54" s="495">
        <v>1</v>
      </c>
      <c r="T54" s="495">
        <v>1</v>
      </c>
      <c r="U54" s="495">
        <v>1</v>
      </c>
      <c r="V54" s="495">
        <v>1</v>
      </c>
      <c r="W54" s="495">
        <v>1</v>
      </c>
      <c r="X54" s="495">
        <v>1</v>
      </c>
      <c r="Y54" s="495">
        <v>1</v>
      </c>
      <c r="Z54" s="495">
        <v>1</v>
      </c>
      <c r="AA54" s="495">
        <v>1</v>
      </c>
      <c r="AB54" s="495">
        <v>1</v>
      </c>
      <c r="AC54" s="176"/>
      <c r="AD54" s="176"/>
      <c r="AE54" s="41">
        <f t="shared" si="5"/>
        <v>15</v>
      </c>
      <c r="AF54" s="95" t="s">
        <v>380</v>
      </c>
      <c r="AG54" s="549" t="s">
        <v>912</v>
      </c>
      <c r="AH54" s="542"/>
      <c r="AI54" s="178" t="s">
        <v>444</v>
      </c>
      <c r="AJ54" s="179"/>
      <c r="AK54" s="491"/>
      <c r="AL54" s="492"/>
    </row>
    <row r="55" spans="1:38" ht="14.25" customHeight="1" thickBot="1">
      <c r="A55" s="38" t="s">
        <v>41</v>
      </c>
      <c r="B55" s="38" t="s">
        <v>92</v>
      </c>
      <c r="C55" s="38">
        <v>989858490</v>
      </c>
      <c r="D55" s="99">
        <v>4</v>
      </c>
      <c r="E55" s="40" t="s">
        <v>93</v>
      </c>
      <c r="F55" s="41">
        <f t="shared" si="6"/>
        <v>10</v>
      </c>
      <c r="G55" s="503"/>
      <c r="H55" s="503"/>
      <c r="I55" s="503"/>
      <c r="J55" s="503"/>
      <c r="K55" s="503"/>
      <c r="L55" s="503"/>
      <c r="M55" s="503"/>
      <c r="N55" s="503"/>
      <c r="O55" s="505" t="s">
        <v>47</v>
      </c>
      <c r="P55" s="503">
        <v>1</v>
      </c>
      <c r="Q55" s="503">
        <v>1</v>
      </c>
      <c r="R55" s="503">
        <v>1</v>
      </c>
      <c r="S55" s="503">
        <v>1</v>
      </c>
      <c r="T55" s="503">
        <v>1</v>
      </c>
      <c r="U55" s="503">
        <v>1</v>
      </c>
      <c r="V55" s="503">
        <v>1</v>
      </c>
      <c r="W55" s="503">
        <v>1</v>
      </c>
      <c r="X55" s="503">
        <v>1</v>
      </c>
      <c r="Y55" s="503">
        <v>1</v>
      </c>
      <c r="Z55" s="503"/>
      <c r="AA55" s="503"/>
      <c r="AB55" s="503"/>
      <c r="AC55" s="503"/>
      <c r="AD55" s="503"/>
      <c r="AE55" s="41">
        <f t="shared" si="5"/>
        <v>10</v>
      </c>
      <c r="AF55" s="95" t="s">
        <v>119</v>
      </c>
      <c r="AG55" s="549" t="s">
        <v>476</v>
      </c>
      <c r="AH55" s="542"/>
      <c r="AI55" s="178" t="s">
        <v>444</v>
      </c>
      <c r="AJ55" s="179"/>
      <c r="AK55" s="491"/>
      <c r="AL55" s="492"/>
    </row>
    <row r="56" spans="1:38" ht="14.25" customHeight="1" thickBot="1">
      <c r="A56" s="38" t="s">
        <v>41</v>
      </c>
      <c r="B56" s="38" t="s">
        <v>94</v>
      </c>
      <c r="C56" s="38">
        <v>988957267</v>
      </c>
      <c r="D56" s="99">
        <v>5</v>
      </c>
      <c r="E56" s="40" t="s">
        <v>95</v>
      </c>
      <c r="F56" s="41">
        <f t="shared" si="6"/>
        <v>0</v>
      </c>
      <c r="G56" s="503"/>
      <c r="H56" s="503"/>
      <c r="I56" s="503"/>
      <c r="J56" s="503"/>
      <c r="K56" s="503"/>
      <c r="L56" s="503"/>
      <c r="M56" s="503"/>
      <c r="N56" s="503"/>
      <c r="O56" s="505" t="s">
        <v>47</v>
      </c>
      <c r="P56" s="509"/>
      <c r="Q56" s="509"/>
      <c r="R56" s="509"/>
      <c r="S56" s="509"/>
      <c r="T56" s="509"/>
      <c r="U56" s="509"/>
      <c r="V56" s="509"/>
      <c r="W56" s="509"/>
      <c r="X56" s="509"/>
      <c r="Y56" s="509"/>
      <c r="Z56" s="503"/>
      <c r="AA56" s="503"/>
      <c r="AB56" s="503"/>
      <c r="AC56" s="503"/>
      <c r="AD56" s="503"/>
      <c r="AE56" s="41">
        <f t="shared" si="5"/>
        <v>0</v>
      </c>
      <c r="AF56" s="95" t="s">
        <v>119</v>
      </c>
      <c r="AG56" s="549" t="s">
        <v>476</v>
      </c>
      <c r="AH56" s="542"/>
      <c r="AI56" s="178" t="s">
        <v>444</v>
      </c>
      <c r="AJ56" s="179"/>
      <c r="AK56" s="491"/>
      <c r="AL56" s="492"/>
    </row>
    <row r="57" spans="1:38" ht="14.25" customHeight="1" thickBot="1">
      <c r="A57" s="38" t="s">
        <v>41</v>
      </c>
      <c r="B57" s="98" t="s">
        <v>130</v>
      </c>
      <c r="C57" s="98">
        <v>998810875</v>
      </c>
      <c r="D57" s="99">
        <v>7</v>
      </c>
      <c r="E57" s="40" t="s">
        <v>131</v>
      </c>
      <c r="F57" s="41">
        <f t="shared" si="6"/>
        <v>10</v>
      </c>
      <c r="G57" s="503"/>
      <c r="H57" s="503"/>
      <c r="I57" s="503"/>
      <c r="J57" s="503"/>
      <c r="K57" s="503"/>
      <c r="L57" s="503"/>
      <c r="M57" s="503"/>
      <c r="N57" s="503"/>
      <c r="O57" s="505" t="s">
        <v>47</v>
      </c>
      <c r="P57" s="503">
        <v>1</v>
      </c>
      <c r="Q57" s="503">
        <v>1</v>
      </c>
      <c r="R57" s="503">
        <v>1</v>
      </c>
      <c r="S57" s="503">
        <v>1</v>
      </c>
      <c r="T57" s="503">
        <v>1</v>
      </c>
      <c r="U57" s="503">
        <v>1</v>
      </c>
      <c r="V57" s="503">
        <v>1</v>
      </c>
      <c r="W57" s="503">
        <v>1</v>
      </c>
      <c r="X57" s="503">
        <v>1</v>
      </c>
      <c r="Y57" s="503">
        <v>1</v>
      </c>
      <c r="Z57" s="503"/>
      <c r="AA57" s="503"/>
      <c r="AB57" s="503"/>
      <c r="AC57" s="503"/>
      <c r="AD57" s="503"/>
      <c r="AE57" s="41">
        <f t="shared" si="5"/>
        <v>10</v>
      </c>
      <c r="AF57" s="95" t="s">
        <v>119</v>
      </c>
      <c r="AG57" s="549" t="s">
        <v>476</v>
      </c>
      <c r="AH57" s="542"/>
      <c r="AI57" s="178" t="s">
        <v>444</v>
      </c>
      <c r="AJ57" s="179"/>
      <c r="AK57" s="179"/>
      <c r="AL57" s="179"/>
    </row>
    <row r="58" spans="1:38" ht="14.25" customHeight="1">
      <c r="A58" s="511" t="s">
        <v>41</v>
      </c>
      <c r="B58" s="511" t="s">
        <v>171</v>
      </c>
      <c r="C58" s="511">
        <v>990489779</v>
      </c>
      <c r="D58" s="513">
        <v>9</v>
      </c>
      <c r="E58" s="514" t="s">
        <v>172</v>
      </c>
      <c r="F58" s="515">
        <f t="shared" si="6"/>
        <v>13</v>
      </c>
      <c r="G58" s="503"/>
      <c r="H58" s="503"/>
      <c r="I58" s="503"/>
      <c r="J58" s="503"/>
      <c r="K58" s="503"/>
      <c r="L58" s="503"/>
      <c r="M58" s="503"/>
      <c r="N58" s="503"/>
      <c r="O58" s="505" t="s">
        <v>47</v>
      </c>
      <c r="P58" s="503">
        <v>1</v>
      </c>
      <c r="Q58" s="503">
        <v>1</v>
      </c>
      <c r="R58" s="503">
        <v>1</v>
      </c>
      <c r="S58" s="503">
        <v>1</v>
      </c>
      <c r="T58" s="503">
        <v>1</v>
      </c>
      <c r="U58" s="503">
        <v>1</v>
      </c>
      <c r="V58" s="503">
        <v>1</v>
      </c>
      <c r="W58" s="503">
        <v>1</v>
      </c>
      <c r="X58" s="503">
        <v>1</v>
      </c>
      <c r="Y58" s="503">
        <v>1</v>
      </c>
      <c r="Z58" s="503">
        <v>1</v>
      </c>
      <c r="AA58" s="503">
        <v>1</v>
      </c>
      <c r="AB58" s="523">
        <v>1</v>
      </c>
      <c r="AC58" s="503"/>
      <c r="AD58" s="503"/>
      <c r="AE58" s="515">
        <f t="shared" si="5"/>
        <v>13</v>
      </c>
      <c r="AF58" s="95" t="s">
        <v>385</v>
      </c>
      <c r="AG58" s="549" t="s">
        <v>476</v>
      </c>
      <c r="AH58" s="542"/>
      <c r="AI58" s="178" t="s">
        <v>444</v>
      </c>
      <c r="AJ58" s="179"/>
      <c r="AK58" s="179"/>
      <c r="AL58" s="179"/>
    </row>
    <row r="59" spans="1:38" ht="63">
      <c r="A59" s="2"/>
      <c r="B59" s="2"/>
      <c r="C59" s="2"/>
      <c r="D59" s="152"/>
      <c r="E59" s="2"/>
      <c r="F59" s="2"/>
      <c r="G59" s="65" t="s">
        <v>9</v>
      </c>
      <c r="H59" s="65" t="s">
        <v>10</v>
      </c>
      <c r="I59" s="65" t="s">
        <v>11</v>
      </c>
      <c r="J59" s="65" t="s">
        <v>12</v>
      </c>
      <c r="K59" s="65" t="s">
        <v>13</v>
      </c>
      <c r="L59" s="65" t="s">
        <v>14</v>
      </c>
      <c r="M59" s="65" t="s">
        <v>15</v>
      </c>
      <c r="N59" s="65" t="s">
        <v>16</v>
      </c>
      <c r="O59" s="65" t="s">
        <v>17</v>
      </c>
      <c r="P59" s="65" t="s">
        <v>18</v>
      </c>
      <c r="Q59" s="66" t="s">
        <v>19</v>
      </c>
      <c r="R59" s="66" t="s">
        <v>20</v>
      </c>
      <c r="S59" s="66" t="s">
        <v>21</v>
      </c>
      <c r="T59" s="66" t="s">
        <v>22</v>
      </c>
      <c r="U59" s="66" t="s">
        <v>23</v>
      </c>
      <c r="V59" s="66" t="s">
        <v>24</v>
      </c>
      <c r="W59" s="66" t="s">
        <v>25</v>
      </c>
      <c r="X59" s="66" t="s">
        <v>26</v>
      </c>
      <c r="Y59" s="66" t="s">
        <v>27</v>
      </c>
      <c r="Z59" s="66" t="s">
        <v>28</v>
      </c>
      <c r="AA59" s="66" t="s">
        <v>29</v>
      </c>
      <c r="AB59" s="66" t="s">
        <v>30</v>
      </c>
      <c r="AC59" s="66" t="s">
        <v>31</v>
      </c>
      <c r="AD59" s="65" t="s">
        <v>32</v>
      </c>
      <c r="AE59" s="53"/>
      <c r="AF59" s="2"/>
      <c r="AG59" s="2"/>
      <c r="AH59" s="2"/>
      <c r="AI59" s="2"/>
      <c r="AJ59" s="2"/>
      <c r="AK59" s="2"/>
      <c r="AL59" s="2"/>
    </row>
    <row r="60" spans="1:38" ht="14.25" customHeight="1">
      <c r="A60" s="2"/>
      <c r="B60" s="2"/>
      <c r="C60" s="2"/>
      <c r="D60" s="152"/>
      <c r="E60" s="2"/>
      <c r="F60" s="2"/>
      <c r="AE60" s="2"/>
      <c r="AF60" s="2"/>
      <c r="AG60" s="2"/>
      <c r="AH60" s="2"/>
      <c r="AI60" s="2"/>
      <c r="AJ60" s="2"/>
      <c r="AK60" s="2"/>
      <c r="AL60" s="2"/>
    </row>
  </sheetData>
  <mergeCells count="52">
    <mergeCell ref="P43:Y43"/>
    <mergeCell ref="AG43:AH43"/>
    <mergeCell ref="E49:F49"/>
    <mergeCell ref="AG53:AH53"/>
    <mergeCell ref="AG54:AH54"/>
    <mergeCell ref="AG55:AH55"/>
    <mergeCell ref="AG56:AH56"/>
    <mergeCell ref="AG57:AH57"/>
    <mergeCell ref="AG58:AH58"/>
    <mergeCell ref="P40:Z40"/>
    <mergeCell ref="AG40:AH40"/>
    <mergeCell ref="V41:AC41"/>
    <mergeCell ref="AG41:AH41"/>
    <mergeCell ref="N42:U42"/>
    <mergeCell ref="AG42:AH42"/>
    <mergeCell ref="P39:Y39"/>
    <mergeCell ref="AG39:AH39"/>
    <mergeCell ref="AG27:AH27"/>
    <mergeCell ref="AG28:AH28"/>
    <mergeCell ref="AG29:AH29"/>
    <mergeCell ref="AG30:AH30"/>
    <mergeCell ref="AG32:AH32"/>
    <mergeCell ref="AG33:AH33"/>
    <mergeCell ref="AG34:AH34"/>
    <mergeCell ref="AG35:AH35"/>
    <mergeCell ref="AG36:AH36"/>
    <mergeCell ref="AG37:AH37"/>
    <mergeCell ref="AG38:AH38"/>
    <mergeCell ref="AG26:AH26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14:AH14"/>
    <mergeCell ref="A1:B1"/>
    <mergeCell ref="D3:AE3"/>
    <mergeCell ref="E4:F4"/>
    <mergeCell ref="E5:F5"/>
    <mergeCell ref="AG7:AH7"/>
    <mergeCell ref="AG8:AH8"/>
    <mergeCell ref="AG9:AH9"/>
    <mergeCell ref="AG10:AH10"/>
    <mergeCell ref="AG11:AH11"/>
    <mergeCell ref="AG12:AH12"/>
    <mergeCell ref="AG13:AH13"/>
  </mergeCells>
  <conditionalFormatting sqref="E49:F52 E4:F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:AB51 N59:AB59">
    <cfRule type="colorScale" priority="1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BF61-FB92-428B-BF27-19043E3B2F88}">
  <dimension ref="A1:AL52"/>
  <sheetViews>
    <sheetView showGridLines="0" topLeftCell="B37" zoomScale="70" zoomScaleNormal="70" workbookViewId="0">
      <selection activeCell="B53" sqref="A53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487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526">
        <v>4</v>
      </c>
      <c r="H4" s="526">
        <v>3</v>
      </c>
      <c r="I4" s="526">
        <v>3</v>
      </c>
      <c r="J4" s="526">
        <v>3</v>
      </c>
      <c r="K4" s="526">
        <v>3</v>
      </c>
      <c r="L4" s="526">
        <v>3</v>
      </c>
      <c r="M4" s="526">
        <v>7</v>
      </c>
      <c r="N4" s="526">
        <v>9</v>
      </c>
      <c r="O4" s="526">
        <v>14</v>
      </c>
      <c r="P4" s="526">
        <v>19</v>
      </c>
      <c r="Q4" s="526">
        <v>21</v>
      </c>
      <c r="R4" s="526">
        <v>22</v>
      </c>
      <c r="S4" s="526">
        <v>21</v>
      </c>
      <c r="T4" s="526">
        <v>21</v>
      </c>
      <c r="U4" s="526">
        <v>21</v>
      </c>
      <c r="V4" s="526">
        <v>19</v>
      </c>
      <c r="W4" s="526">
        <v>19</v>
      </c>
      <c r="X4" s="526">
        <v>17</v>
      </c>
      <c r="Y4" s="526">
        <v>17</v>
      </c>
      <c r="Z4" s="526">
        <v>14</v>
      </c>
      <c r="AA4" s="526">
        <v>13</v>
      </c>
      <c r="AB4" s="526">
        <v>10</v>
      </c>
      <c r="AC4" s="526">
        <v>6</v>
      </c>
      <c r="AD4" s="526">
        <v>4</v>
      </c>
      <c r="AE4" s="18">
        <f>SUM(G4:AD4)</f>
        <v>293</v>
      </c>
      <c r="AF4" s="3"/>
      <c r="AG4" s="3"/>
      <c r="AH4" s="3"/>
      <c r="AI4" s="3"/>
      <c r="AJ4" s="3"/>
      <c r="AK4" s="3"/>
      <c r="AL4" s="3"/>
    </row>
    <row r="5" spans="1:38" ht="63" thickBot="1">
      <c r="A5" s="3"/>
      <c r="B5" s="2"/>
      <c r="C5" s="2"/>
      <c r="D5" s="19"/>
      <c r="E5" s="569">
        <v>7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-1</v>
      </c>
      <c r="N6" s="28">
        <f t="shared" si="0"/>
        <v>-2</v>
      </c>
      <c r="O6" s="28">
        <f t="shared" si="0"/>
        <v>0</v>
      </c>
      <c r="P6" s="28">
        <f t="shared" si="0"/>
        <v>-1</v>
      </c>
      <c r="Q6" s="28">
        <f t="shared" si="0"/>
        <v>-2</v>
      </c>
      <c r="R6" s="28">
        <f t="shared" si="0"/>
        <v>-2</v>
      </c>
      <c r="S6" s="28">
        <f t="shared" si="0"/>
        <v>-1</v>
      </c>
      <c r="T6" s="28">
        <f t="shared" si="0"/>
        <v>-1</v>
      </c>
      <c r="U6" s="28">
        <f t="shared" si="0"/>
        <v>-2</v>
      </c>
      <c r="V6" s="28">
        <f t="shared" si="0"/>
        <v>-2</v>
      </c>
      <c r="W6" s="28">
        <f t="shared" si="0"/>
        <v>-1</v>
      </c>
      <c r="X6" s="28">
        <f t="shared" si="0"/>
        <v>-1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0</v>
      </c>
      <c r="AE6" s="29">
        <f t="shared" ref="AE6:AE45" si="1">SUM(G6:AD6)</f>
        <v>-16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6</v>
      </c>
      <c r="N7" s="172">
        <f t="shared" si="2"/>
        <v>7</v>
      </c>
      <c r="O7" s="172">
        <f t="shared" si="2"/>
        <v>14</v>
      </c>
      <c r="P7" s="172">
        <f t="shared" si="2"/>
        <v>18</v>
      </c>
      <c r="Q7" s="172">
        <f t="shared" si="2"/>
        <v>19</v>
      </c>
      <c r="R7" s="172">
        <f t="shared" si="2"/>
        <v>20</v>
      </c>
      <c r="S7" s="172">
        <f t="shared" si="2"/>
        <v>20</v>
      </c>
      <c r="T7" s="172">
        <f t="shared" si="2"/>
        <v>20</v>
      </c>
      <c r="U7" s="172">
        <f t="shared" si="2"/>
        <v>19</v>
      </c>
      <c r="V7" s="172">
        <f t="shared" si="2"/>
        <v>17</v>
      </c>
      <c r="W7" s="172">
        <f t="shared" si="2"/>
        <v>18</v>
      </c>
      <c r="X7" s="172">
        <f>SUM(X8:X49)</f>
        <v>16</v>
      </c>
      <c r="Y7" s="172">
        <f t="shared" si="2"/>
        <v>17</v>
      </c>
      <c r="Z7" s="172">
        <f t="shared" si="2"/>
        <v>14</v>
      </c>
      <c r="AA7" s="172">
        <f t="shared" si="2"/>
        <v>13</v>
      </c>
      <c r="AB7" s="172">
        <f t="shared" si="2"/>
        <v>10</v>
      </c>
      <c r="AC7" s="172">
        <f t="shared" si="2"/>
        <v>6</v>
      </c>
      <c r="AD7" s="172">
        <f t="shared" si="2"/>
        <v>4</v>
      </c>
      <c r="AE7" s="168">
        <f t="shared" si="1"/>
        <v>277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45" si="3">SUM(G8:AD8)</f>
        <v>7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41">
        <f t="shared" si="1"/>
        <v>7</v>
      </c>
      <c r="AF8" s="95" t="s">
        <v>284</v>
      </c>
      <c r="AG8" s="550" t="s">
        <v>41</v>
      </c>
      <c r="AH8" s="542"/>
      <c r="AI8" s="178" t="s">
        <v>444</v>
      </c>
      <c r="AJ8" s="179"/>
      <c r="AK8" s="489"/>
      <c r="AL8" s="490"/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6</v>
      </c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>
        <v>1</v>
      </c>
      <c r="Z9" s="176">
        <v>1</v>
      </c>
      <c r="AA9" s="176">
        <v>1</v>
      </c>
      <c r="AB9" s="176">
        <v>1</v>
      </c>
      <c r="AC9" s="176">
        <v>1</v>
      </c>
      <c r="AD9" s="176">
        <v>1</v>
      </c>
      <c r="AE9" s="41">
        <f t="shared" si="1"/>
        <v>6</v>
      </c>
      <c r="AF9" s="95" t="s">
        <v>281</v>
      </c>
      <c r="AG9" s="556" t="s">
        <v>41</v>
      </c>
      <c r="AH9" s="557"/>
      <c r="AI9" s="178" t="s">
        <v>444</v>
      </c>
      <c r="AJ9" s="179"/>
      <c r="AK9" s="491"/>
      <c r="AL9" s="492"/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6</v>
      </c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>
        <v>1</v>
      </c>
      <c r="Z10" s="176">
        <v>1</v>
      </c>
      <c r="AA10" s="176">
        <v>1</v>
      </c>
      <c r="AB10" s="176">
        <v>1</v>
      </c>
      <c r="AC10" s="176">
        <v>1</v>
      </c>
      <c r="AD10" s="176">
        <v>1</v>
      </c>
      <c r="AE10" s="41">
        <f t="shared" si="1"/>
        <v>6</v>
      </c>
      <c r="AF10" s="95" t="s">
        <v>281</v>
      </c>
      <c r="AG10" s="556" t="s">
        <v>41</v>
      </c>
      <c r="AH10" s="557"/>
      <c r="AI10" s="178" t="s">
        <v>444</v>
      </c>
      <c r="AJ10" s="179"/>
      <c r="AK10" s="491"/>
      <c r="AL10" s="492"/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9</v>
      </c>
      <c r="G11" s="176"/>
      <c r="H11" s="176"/>
      <c r="I11" s="176"/>
      <c r="J11" s="176"/>
      <c r="K11" s="176"/>
      <c r="L11" s="176"/>
      <c r="M11" s="176"/>
      <c r="N11" s="176"/>
      <c r="O11" s="176"/>
      <c r="P11" s="176">
        <v>1</v>
      </c>
      <c r="Q11" s="176">
        <v>1</v>
      </c>
      <c r="R11" s="176">
        <v>1</v>
      </c>
      <c r="S11" s="176">
        <v>1</v>
      </c>
      <c r="T11" s="176">
        <v>1</v>
      </c>
      <c r="U11" s="176">
        <v>1</v>
      </c>
      <c r="V11" s="202">
        <v>1</v>
      </c>
      <c r="W11" s="202">
        <v>1</v>
      </c>
      <c r="X11" s="202">
        <v>1</v>
      </c>
      <c r="Y11" s="176"/>
      <c r="Z11" s="176"/>
      <c r="AA11" s="176"/>
      <c r="AB11" s="176"/>
      <c r="AC11" s="176"/>
      <c r="AD11" s="176"/>
      <c r="AE11" s="41">
        <f t="shared" si="1"/>
        <v>9</v>
      </c>
      <c r="AF11" s="95" t="s">
        <v>193</v>
      </c>
      <c r="AG11" s="534" t="s">
        <v>41</v>
      </c>
      <c r="AH11" s="535" t="s">
        <v>479</v>
      </c>
      <c r="AI11" s="178" t="s">
        <v>444</v>
      </c>
      <c r="AJ11" s="179"/>
      <c r="AK11" s="491"/>
      <c r="AL11" s="492"/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0</v>
      </c>
      <c r="G12" s="202">
        <v>0</v>
      </c>
      <c r="H12" s="202">
        <v>0</v>
      </c>
      <c r="I12" s="202">
        <v>0</v>
      </c>
      <c r="J12" s="202">
        <v>0</v>
      </c>
      <c r="K12" s="202">
        <v>0</v>
      </c>
      <c r="L12" s="202">
        <v>0</v>
      </c>
      <c r="M12" s="202">
        <v>0</v>
      </c>
      <c r="N12" s="202">
        <v>0</v>
      </c>
      <c r="O12" s="202">
        <v>0</v>
      </c>
      <c r="P12" s="202">
        <v>0</v>
      </c>
      <c r="Q12" s="202">
        <v>0</v>
      </c>
      <c r="R12" s="202">
        <v>0</v>
      </c>
      <c r="S12" s="202">
        <v>0</v>
      </c>
      <c r="T12" s="202">
        <v>0</v>
      </c>
      <c r="U12" s="202">
        <v>0</v>
      </c>
      <c r="V12" s="202">
        <v>0</v>
      </c>
      <c r="W12" s="202">
        <v>0</v>
      </c>
      <c r="X12" s="202">
        <v>0</v>
      </c>
      <c r="Y12" s="202">
        <v>0</v>
      </c>
      <c r="Z12" s="202">
        <v>0</v>
      </c>
      <c r="AA12" s="202">
        <v>0</v>
      </c>
      <c r="AB12" s="202">
        <v>0</v>
      </c>
      <c r="AC12" s="202">
        <v>0</v>
      </c>
      <c r="AD12" s="202">
        <v>0</v>
      </c>
      <c r="AE12" s="515">
        <f t="shared" si="1"/>
        <v>0</v>
      </c>
      <c r="AF12" s="95" t="s">
        <v>225</v>
      </c>
      <c r="AG12" s="549" t="s">
        <v>912</v>
      </c>
      <c r="AH12" s="542"/>
      <c r="AI12" s="517" t="s">
        <v>444</v>
      </c>
      <c r="AJ12" s="179"/>
      <c r="AK12" s="491"/>
      <c r="AL12" s="492"/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41">
        <v>12</v>
      </c>
      <c r="G13" s="202"/>
      <c r="H13" s="202"/>
      <c r="I13" s="202"/>
      <c r="J13" s="202"/>
      <c r="K13" s="202"/>
      <c r="L13" s="202"/>
      <c r="M13" s="202"/>
      <c r="N13" s="202"/>
      <c r="O13" s="202">
        <v>1</v>
      </c>
      <c r="P13" s="202">
        <v>1</v>
      </c>
      <c r="Q13" s="202">
        <v>1</v>
      </c>
      <c r="R13" s="202">
        <v>1</v>
      </c>
      <c r="S13" s="202">
        <v>1</v>
      </c>
      <c r="T13" s="202">
        <v>1</v>
      </c>
      <c r="U13" s="202">
        <v>1</v>
      </c>
      <c r="V13" s="202">
        <v>1</v>
      </c>
      <c r="W13" s="202">
        <v>1</v>
      </c>
      <c r="X13" s="202">
        <v>1</v>
      </c>
      <c r="Y13" s="202"/>
      <c r="Z13" s="202"/>
      <c r="AA13" s="202"/>
      <c r="AB13" s="202"/>
      <c r="AC13" s="202"/>
      <c r="AD13" s="202"/>
      <c r="AE13" s="41">
        <v>12</v>
      </c>
      <c r="AF13" s="95" t="s">
        <v>180</v>
      </c>
      <c r="AG13" s="550" t="s">
        <v>41</v>
      </c>
      <c r="AH13" s="542"/>
      <c r="AI13" s="178" t="s">
        <v>444</v>
      </c>
      <c r="AJ13" s="179"/>
      <c r="AK13" s="491"/>
      <c r="AL13" s="492"/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7</v>
      </c>
      <c r="G14" s="176">
        <v>1</v>
      </c>
      <c r="H14" s="176">
        <v>1</v>
      </c>
      <c r="I14" s="176">
        <v>1</v>
      </c>
      <c r="J14" s="176">
        <v>1</v>
      </c>
      <c r="K14" s="176">
        <v>1</v>
      </c>
      <c r="L14" s="176">
        <v>1</v>
      </c>
      <c r="M14" s="176">
        <v>1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41">
        <f t="shared" si="1"/>
        <v>7</v>
      </c>
      <c r="AF14" s="95" t="s">
        <v>284</v>
      </c>
      <c r="AG14" s="550" t="s">
        <v>41</v>
      </c>
      <c r="AH14" s="542"/>
      <c r="AI14" s="178" t="s">
        <v>444</v>
      </c>
      <c r="AJ14" s="179"/>
      <c r="AK14" s="491"/>
      <c r="AL14" s="492"/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12</v>
      </c>
      <c r="G15" s="176"/>
      <c r="H15" s="176"/>
      <c r="I15" s="176"/>
      <c r="J15" s="176"/>
      <c r="K15" s="176"/>
      <c r="L15" s="176"/>
      <c r="M15" s="176">
        <v>1</v>
      </c>
      <c r="N15" s="176">
        <v>1</v>
      </c>
      <c r="O15" s="176">
        <v>1</v>
      </c>
      <c r="P15" s="176">
        <v>1</v>
      </c>
      <c r="Q15" s="176">
        <v>1</v>
      </c>
      <c r="R15" s="176">
        <v>1</v>
      </c>
      <c r="S15" s="176">
        <v>1</v>
      </c>
      <c r="T15" s="176">
        <v>1</v>
      </c>
      <c r="U15" s="176">
        <v>1</v>
      </c>
      <c r="V15" s="176">
        <v>1</v>
      </c>
      <c r="W15" s="176">
        <v>1</v>
      </c>
      <c r="X15" s="176">
        <v>1</v>
      </c>
      <c r="Y15" s="176"/>
      <c r="Z15" s="176"/>
      <c r="AA15" s="176"/>
      <c r="AB15" s="176"/>
      <c r="AC15" s="176"/>
      <c r="AD15" s="176"/>
      <c r="AE15" s="41">
        <f t="shared" si="1"/>
        <v>12</v>
      </c>
      <c r="AF15" s="95" t="s">
        <v>84</v>
      </c>
      <c r="AG15" s="550" t="s">
        <v>41</v>
      </c>
      <c r="AH15" s="542"/>
      <c r="AI15" s="178" t="s">
        <v>444</v>
      </c>
      <c r="AJ15" s="179"/>
      <c r="AK15" s="491"/>
      <c r="AL15" s="492"/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11</v>
      </c>
      <c r="G16" s="176"/>
      <c r="H16" s="176"/>
      <c r="I16" s="176"/>
      <c r="J16" s="176"/>
      <c r="K16" s="176"/>
      <c r="L16" s="176"/>
      <c r="M16" s="176"/>
      <c r="N16" s="176">
        <v>1</v>
      </c>
      <c r="O16" s="176">
        <v>1</v>
      </c>
      <c r="P16" s="176">
        <v>1</v>
      </c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>
        <v>1</v>
      </c>
      <c r="X16" s="176">
        <v>1</v>
      </c>
      <c r="Y16" s="176"/>
      <c r="Z16" s="176"/>
      <c r="AA16" s="176"/>
      <c r="AB16" s="176"/>
      <c r="AC16" s="176"/>
      <c r="AD16" s="176"/>
      <c r="AE16" s="41">
        <f t="shared" si="1"/>
        <v>11</v>
      </c>
      <c r="AF16" s="95" t="s">
        <v>154</v>
      </c>
      <c r="AG16" s="550" t="s">
        <v>41</v>
      </c>
      <c r="AH16" s="542"/>
      <c r="AI16" s="178" t="s">
        <v>444</v>
      </c>
      <c r="AJ16" s="179"/>
      <c r="AK16" s="491"/>
      <c r="AL16" s="492"/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0</v>
      </c>
      <c r="G17" s="202">
        <v>0</v>
      </c>
      <c r="H17" s="202">
        <v>0</v>
      </c>
      <c r="I17" s="202">
        <v>0</v>
      </c>
      <c r="J17" s="202">
        <v>0</v>
      </c>
      <c r="K17" s="202">
        <v>0</v>
      </c>
      <c r="L17" s="202">
        <v>0</v>
      </c>
      <c r="M17" s="202">
        <v>0</v>
      </c>
      <c r="N17" s="202">
        <v>0</v>
      </c>
      <c r="O17" s="202">
        <v>0</v>
      </c>
      <c r="P17" s="202">
        <v>0</v>
      </c>
      <c r="Q17" s="202">
        <v>0</v>
      </c>
      <c r="R17" s="202">
        <v>0</v>
      </c>
      <c r="S17" s="202">
        <v>0</v>
      </c>
      <c r="T17" s="202">
        <v>0</v>
      </c>
      <c r="U17" s="202">
        <v>0</v>
      </c>
      <c r="V17" s="202">
        <v>0</v>
      </c>
      <c r="W17" s="202">
        <v>0</v>
      </c>
      <c r="X17" s="202">
        <v>0</v>
      </c>
      <c r="Y17" s="202">
        <v>0</v>
      </c>
      <c r="Z17" s="202">
        <v>0</v>
      </c>
      <c r="AA17" s="202">
        <v>0</v>
      </c>
      <c r="AB17" s="202">
        <v>0</v>
      </c>
      <c r="AC17" s="202">
        <v>0</v>
      </c>
      <c r="AD17" s="202">
        <v>0</v>
      </c>
      <c r="AE17" s="41">
        <f t="shared" si="1"/>
        <v>0</v>
      </c>
      <c r="AF17" s="95" t="s">
        <v>225</v>
      </c>
      <c r="AG17" s="559" t="s">
        <v>41</v>
      </c>
      <c r="AH17" s="560"/>
      <c r="AI17" s="178" t="s">
        <v>444</v>
      </c>
      <c r="AJ17" s="179"/>
      <c r="AK17" s="491"/>
      <c r="AL17" s="492"/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12</v>
      </c>
      <c r="G18" s="176"/>
      <c r="H18" s="176"/>
      <c r="I18" s="176"/>
      <c r="J18" s="176"/>
      <c r="K18" s="176"/>
      <c r="L18" s="176"/>
      <c r="M18" s="176"/>
      <c r="N18" s="176"/>
      <c r="O18" s="176">
        <v>1</v>
      </c>
      <c r="P18" s="176">
        <v>1</v>
      </c>
      <c r="Q18" s="176">
        <v>1</v>
      </c>
      <c r="R18" s="176">
        <v>1</v>
      </c>
      <c r="S18" s="176">
        <v>1</v>
      </c>
      <c r="T18" s="176">
        <v>1</v>
      </c>
      <c r="U18" s="176">
        <v>1</v>
      </c>
      <c r="V18" s="176">
        <v>1</v>
      </c>
      <c r="W18" s="176">
        <v>1</v>
      </c>
      <c r="X18" s="176"/>
      <c r="Y18" s="176">
        <v>1</v>
      </c>
      <c r="Z18" s="176">
        <v>1</v>
      </c>
      <c r="AA18" s="176">
        <v>1</v>
      </c>
      <c r="AB18" s="176"/>
      <c r="AC18" s="176"/>
      <c r="AD18" s="176"/>
      <c r="AE18" s="41">
        <f t="shared" si="1"/>
        <v>12</v>
      </c>
      <c r="AF18" s="95" t="s">
        <v>338</v>
      </c>
      <c r="AG18" s="556" t="s">
        <v>41</v>
      </c>
      <c r="AH18" s="557"/>
      <c r="AI18" s="178" t="s">
        <v>444</v>
      </c>
      <c r="AJ18" s="179"/>
      <c r="AK18" s="491"/>
      <c r="AL18" s="492"/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f t="shared" si="3"/>
        <v>3</v>
      </c>
      <c r="G19" s="176"/>
      <c r="H19" s="176"/>
      <c r="I19" s="176"/>
      <c r="J19" s="176"/>
      <c r="K19" s="176"/>
      <c r="L19" s="176"/>
      <c r="M19" s="176">
        <v>1</v>
      </c>
      <c r="N19" s="176">
        <v>1</v>
      </c>
      <c r="O19" s="176">
        <v>1</v>
      </c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176"/>
      <c r="AA19" s="176"/>
      <c r="AB19" s="176"/>
      <c r="AC19" s="176"/>
      <c r="AD19" s="176"/>
      <c r="AE19" s="41">
        <f t="shared" si="1"/>
        <v>3</v>
      </c>
      <c r="AF19" s="95" t="s">
        <v>261</v>
      </c>
      <c r="AG19" s="556" t="s">
        <v>41</v>
      </c>
      <c r="AH19" s="557"/>
      <c r="AI19" s="178" t="s">
        <v>444</v>
      </c>
      <c r="AJ19" s="179"/>
      <c r="AK19" s="491"/>
      <c r="AL19" s="492"/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7</v>
      </c>
      <c r="G20" s="176">
        <v>1</v>
      </c>
      <c r="H20" s="176">
        <v>1</v>
      </c>
      <c r="I20" s="176">
        <v>1</v>
      </c>
      <c r="J20" s="176">
        <v>1</v>
      </c>
      <c r="K20" s="176">
        <v>1</v>
      </c>
      <c r="L20" s="176">
        <v>1</v>
      </c>
      <c r="M20" s="176">
        <v>1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41">
        <f t="shared" si="1"/>
        <v>7</v>
      </c>
      <c r="AF20" s="95" t="s">
        <v>284</v>
      </c>
      <c r="AG20" s="550" t="s">
        <v>41</v>
      </c>
      <c r="AH20" s="542"/>
      <c r="AI20" s="178" t="s">
        <v>444</v>
      </c>
      <c r="AJ20" s="179"/>
      <c r="AK20" s="491"/>
      <c r="AL20" s="492"/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10</v>
      </c>
      <c r="G21" s="176"/>
      <c r="H21" s="176"/>
      <c r="I21" s="176"/>
      <c r="J21" s="176"/>
      <c r="K21" s="176"/>
      <c r="L21" s="176"/>
      <c r="M21" s="176"/>
      <c r="N21" s="176"/>
      <c r="O21" s="176"/>
      <c r="P21" s="176">
        <v>1</v>
      </c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>
        <v>1</v>
      </c>
      <c r="X21" s="176">
        <v>1</v>
      </c>
      <c r="Y21" s="176">
        <v>1</v>
      </c>
      <c r="Z21" s="176"/>
      <c r="AA21" s="176"/>
      <c r="AB21" s="176"/>
      <c r="AC21" s="176"/>
      <c r="AD21" s="176"/>
      <c r="AE21" s="41">
        <f t="shared" si="1"/>
        <v>10</v>
      </c>
      <c r="AF21" s="95" t="s">
        <v>302</v>
      </c>
      <c r="AG21" s="550" t="s">
        <v>41</v>
      </c>
      <c r="AH21" s="542"/>
      <c r="AI21" s="178" t="s">
        <v>444</v>
      </c>
      <c r="AJ21" s="179"/>
      <c r="AK21" s="491"/>
      <c r="AL21" s="492"/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6</v>
      </c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>
        <v>1</v>
      </c>
      <c r="Z22" s="176">
        <v>1</v>
      </c>
      <c r="AA22" s="176">
        <v>1</v>
      </c>
      <c r="AB22" s="176">
        <v>1</v>
      </c>
      <c r="AC22" s="176">
        <v>1</v>
      </c>
      <c r="AD22" s="176">
        <v>1</v>
      </c>
      <c r="AE22" s="41">
        <f t="shared" si="1"/>
        <v>6</v>
      </c>
      <c r="AF22" s="95" t="s">
        <v>281</v>
      </c>
      <c r="AG22" s="550" t="s">
        <v>41</v>
      </c>
      <c r="AH22" s="542"/>
      <c r="AI22" s="178" t="s">
        <v>444</v>
      </c>
      <c r="AJ22" s="179"/>
      <c r="AK22" s="491"/>
      <c r="AL22" s="492"/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0</v>
      </c>
      <c r="G23" s="202">
        <v>0</v>
      </c>
      <c r="H23" s="202">
        <v>0</v>
      </c>
      <c r="I23" s="202">
        <v>0</v>
      </c>
      <c r="J23" s="202">
        <v>0</v>
      </c>
      <c r="K23" s="202">
        <v>0</v>
      </c>
      <c r="L23" s="202">
        <v>0</v>
      </c>
      <c r="M23" s="202">
        <v>0</v>
      </c>
      <c r="N23" s="202">
        <v>0</v>
      </c>
      <c r="O23" s="202">
        <v>0</v>
      </c>
      <c r="P23" s="202">
        <v>0</v>
      </c>
      <c r="Q23" s="202">
        <v>0</v>
      </c>
      <c r="R23" s="202">
        <v>0</v>
      </c>
      <c r="S23" s="202">
        <v>0</v>
      </c>
      <c r="T23" s="202">
        <v>0</v>
      </c>
      <c r="U23" s="202">
        <v>0</v>
      </c>
      <c r="V23" s="202">
        <v>0</v>
      </c>
      <c r="W23" s="202">
        <v>0</v>
      </c>
      <c r="X23" s="202">
        <v>0</v>
      </c>
      <c r="Y23" s="202">
        <v>0</v>
      </c>
      <c r="Z23" s="202">
        <v>0</v>
      </c>
      <c r="AA23" s="202">
        <v>0</v>
      </c>
      <c r="AB23" s="202">
        <v>0</v>
      </c>
      <c r="AC23" s="202">
        <v>0</v>
      </c>
      <c r="AD23" s="202">
        <v>0</v>
      </c>
      <c r="AE23" s="41">
        <f t="shared" si="1"/>
        <v>0</v>
      </c>
      <c r="AF23" s="95" t="s">
        <v>225</v>
      </c>
      <c r="AG23" s="550" t="s">
        <v>41</v>
      </c>
      <c r="AH23" s="542"/>
      <c r="AI23" s="178" t="s">
        <v>444</v>
      </c>
      <c r="AJ23" s="179"/>
      <c r="AK23" s="491"/>
      <c r="AL23" s="492"/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5</v>
      </c>
      <c r="G24" s="176"/>
      <c r="H24" s="176"/>
      <c r="I24" s="176"/>
      <c r="J24" s="176"/>
      <c r="K24" s="176"/>
      <c r="L24" s="176"/>
      <c r="M24" s="176"/>
      <c r="N24" s="176">
        <v>1</v>
      </c>
      <c r="O24" s="176">
        <v>1</v>
      </c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176">
        <v>1</v>
      </c>
      <c r="AA24" s="176">
        <v>1</v>
      </c>
      <c r="AB24" s="176">
        <v>1</v>
      </c>
      <c r="AC24" s="176"/>
      <c r="AD24" s="176"/>
      <c r="AE24" s="41">
        <f t="shared" si="1"/>
        <v>5</v>
      </c>
      <c r="AF24" s="95" t="s">
        <v>380</v>
      </c>
      <c r="AG24" s="493" t="s">
        <v>41</v>
      </c>
      <c r="AH24" s="536" t="s">
        <v>476</v>
      </c>
      <c r="AI24" s="178" t="s">
        <v>444</v>
      </c>
      <c r="AJ24" s="179"/>
      <c r="AK24" s="491"/>
      <c r="AL24" s="492"/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9</v>
      </c>
      <c r="G25" s="176">
        <v>1</v>
      </c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494" t="s">
        <v>231</v>
      </c>
      <c r="V25" s="494" t="s">
        <v>231</v>
      </c>
      <c r="W25" s="537">
        <v>1</v>
      </c>
      <c r="X25" s="537">
        <v>1</v>
      </c>
      <c r="Y25" s="537">
        <v>1</v>
      </c>
      <c r="Z25" s="537">
        <v>1</v>
      </c>
      <c r="AA25" s="537">
        <v>1</v>
      </c>
      <c r="AB25" s="537">
        <v>1</v>
      </c>
      <c r="AC25" s="537">
        <v>1</v>
      </c>
      <c r="AD25" s="537">
        <v>1</v>
      </c>
      <c r="AE25" s="41">
        <f t="shared" si="1"/>
        <v>9</v>
      </c>
      <c r="AF25" s="95" t="s">
        <v>75</v>
      </c>
      <c r="AG25" s="550" t="s">
        <v>41</v>
      </c>
      <c r="AH25" s="542"/>
      <c r="AI25" s="178" t="s">
        <v>444</v>
      </c>
      <c r="AJ25" s="179"/>
      <c r="AK25" s="491"/>
      <c r="AL25" s="492"/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0</v>
      </c>
      <c r="G26" s="176"/>
      <c r="H26" s="176"/>
      <c r="I26" s="176"/>
      <c r="J26" s="176"/>
      <c r="K26" s="176"/>
      <c r="L26" s="176"/>
      <c r="M26" s="176"/>
      <c r="N26" s="176" t="s">
        <v>915</v>
      </c>
      <c r="O26" s="176" t="s">
        <v>204</v>
      </c>
      <c r="P26" s="176" t="s">
        <v>47</v>
      </c>
      <c r="Q26" s="176" t="s">
        <v>204</v>
      </c>
      <c r="R26" s="176" t="s">
        <v>47</v>
      </c>
      <c r="S26" s="176" t="s">
        <v>203</v>
      </c>
      <c r="T26" s="176" t="s">
        <v>348</v>
      </c>
      <c r="U26" s="176" t="s">
        <v>201</v>
      </c>
      <c r="V26" s="176" t="s">
        <v>200</v>
      </c>
      <c r="W26" s="176" t="s">
        <v>350</v>
      </c>
      <c r="X26" s="176"/>
      <c r="Y26" s="176"/>
      <c r="Z26" s="176"/>
      <c r="AA26" s="176"/>
      <c r="AB26" s="176"/>
      <c r="AC26" s="176"/>
      <c r="AD26" s="176"/>
      <c r="AE26" s="41">
        <f t="shared" si="1"/>
        <v>0</v>
      </c>
      <c r="AF26" s="95" t="s">
        <v>6</v>
      </c>
      <c r="AG26" s="550" t="s">
        <v>41</v>
      </c>
      <c r="AH26" s="542"/>
      <c r="AI26" s="178" t="s">
        <v>444</v>
      </c>
      <c r="AJ26" s="179"/>
      <c r="AK26" s="491"/>
      <c r="AL26" s="492"/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0</v>
      </c>
      <c r="G27" s="176"/>
      <c r="H27" s="176"/>
      <c r="I27" s="176"/>
      <c r="J27" s="176"/>
      <c r="K27" s="176"/>
      <c r="L27" s="176"/>
      <c r="M27" s="176"/>
      <c r="N27" s="495"/>
      <c r="O27" s="495"/>
      <c r="P27" s="495"/>
      <c r="Q27" s="495"/>
      <c r="R27" s="495"/>
      <c r="S27" s="495"/>
      <c r="T27" s="495"/>
      <c r="U27" s="495"/>
      <c r="V27" s="495"/>
      <c r="W27" s="495"/>
      <c r="X27" s="495"/>
      <c r="Y27" s="495"/>
      <c r="Z27" s="495"/>
      <c r="AA27" s="495"/>
      <c r="AB27" s="495"/>
      <c r="AC27" s="176"/>
      <c r="AD27" s="176"/>
      <c r="AE27" s="41">
        <f t="shared" si="1"/>
        <v>0</v>
      </c>
      <c r="AF27" s="95" t="s">
        <v>380</v>
      </c>
      <c r="AG27" s="549" t="s">
        <v>912</v>
      </c>
      <c r="AH27" s="542"/>
      <c r="AI27" s="178" t="s">
        <v>444</v>
      </c>
      <c r="AJ27" s="179"/>
      <c r="AK27" s="491"/>
      <c r="AL27" s="492"/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12</v>
      </c>
      <c r="G28" s="176"/>
      <c r="H28" s="176"/>
      <c r="I28" s="176"/>
      <c r="J28" s="176"/>
      <c r="K28" s="176"/>
      <c r="L28" s="176"/>
      <c r="M28" s="176"/>
      <c r="N28" s="176"/>
      <c r="O28" s="176"/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176">
        <v>1</v>
      </c>
      <c r="W28" s="176">
        <v>1</v>
      </c>
      <c r="X28" s="176">
        <v>1</v>
      </c>
      <c r="Y28" s="176">
        <v>1</v>
      </c>
      <c r="Z28" s="176">
        <v>1</v>
      </c>
      <c r="AA28" s="176">
        <v>1</v>
      </c>
      <c r="AB28" s="176"/>
      <c r="AC28" s="176"/>
      <c r="AD28" s="176"/>
      <c r="AE28" s="41">
        <f t="shared" si="1"/>
        <v>12</v>
      </c>
      <c r="AF28" s="95" t="s">
        <v>69</v>
      </c>
      <c r="AG28" s="550" t="s">
        <v>41</v>
      </c>
      <c r="AH28" s="542"/>
      <c r="AI28" s="178" t="s">
        <v>444</v>
      </c>
      <c r="AJ28" s="179"/>
      <c r="AK28" s="491"/>
      <c r="AL28" s="492"/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10</v>
      </c>
      <c r="G29" s="176"/>
      <c r="H29" s="176"/>
      <c r="I29" s="176"/>
      <c r="J29" s="176"/>
      <c r="K29" s="176"/>
      <c r="L29" s="176"/>
      <c r="M29" s="176"/>
      <c r="N29" s="176"/>
      <c r="O29" s="176"/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176">
        <v>1</v>
      </c>
      <c r="W29" s="176">
        <v>1</v>
      </c>
      <c r="X29" s="176">
        <v>1</v>
      </c>
      <c r="Y29" s="176">
        <v>1</v>
      </c>
      <c r="Z29" s="176"/>
      <c r="AA29" s="176"/>
      <c r="AB29" s="176"/>
      <c r="AC29" s="176"/>
      <c r="AD29" s="176"/>
      <c r="AE29" s="41">
        <f t="shared" si="1"/>
        <v>10</v>
      </c>
      <c r="AF29" s="95" t="s">
        <v>302</v>
      </c>
      <c r="AG29" s="556" t="s">
        <v>41</v>
      </c>
      <c r="AH29" s="557"/>
      <c r="AI29" s="178" t="s">
        <v>444</v>
      </c>
      <c r="AJ29" s="179"/>
      <c r="AK29" s="491"/>
      <c r="AL29" s="492"/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2</v>
      </c>
      <c r="G30" s="176"/>
      <c r="H30" s="176"/>
      <c r="I30" s="176"/>
      <c r="J30" s="176"/>
      <c r="K30" s="176"/>
      <c r="L30" s="176"/>
      <c r="M30" s="176"/>
      <c r="N30" s="176"/>
      <c r="O30" s="176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176"/>
      <c r="AA30" s="495">
        <v>1</v>
      </c>
      <c r="AB30" s="495">
        <v>1</v>
      </c>
      <c r="AC30" s="176"/>
      <c r="AD30" s="176"/>
      <c r="AE30" s="41">
        <f t="shared" si="1"/>
        <v>2</v>
      </c>
      <c r="AF30" s="95" t="s">
        <v>386</v>
      </c>
      <c r="AG30" s="493" t="s">
        <v>41</v>
      </c>
      <c r="AH30" s="536" t="s">
        <v>476</v>
      </c>
      <c r="AI30" s="178" t="s">
        <v>444</v>
      </c>
      <c r="AJ30" s="179"/>
      <c r="AK30" s="491"/>
      <c r="AL30" s="492"/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12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176">
        <v>1</v>
      </c>
      <c r="X31" s="176">
        <v>1</v>
      </c>
      <c r="Y31" s="529">
        <v>1</v>
      </c>
      <c r="Z31" s="529">
        <v>1</v>
      </c>
      <c r="AA31" s="529">
        <v>1</v>
      </c>
      <c r="AB31" s="529">
        <v>1</v>
      </c>
      <c r="AC31" s="529">
        <v>1</v>
      </c>
      <c r="AD31" s="176"/>
      <c r="AE31" s="41">
        <f t="shared" si="1"/>
        <v>12</v>
      </c>
      <c r="AF31" s="95" t="s">
        <v>133</v>
      </c>
      <c r="AG31" s="177" t="s">
        <v>41</v>
      </c>
      <c r="AH31" s="186" t="s">
        <v>320</v>
      </c>
      <c r="AI31" s="178" t="s">
        <v>444</v>
      </c>
      <c r="AJ31" s="179"/>
      <c r="AK31" s="491"/>
      <c r="AL31" s="492"/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0</v>
      </c>
      <c r="G32" s="202">
        <v>0</v>
      </c>
      <c r="H32" s="202">
        <v>0</v>
      </c>
      <c r="I32" s="202">
        <v>0</v>
      </c>
      <c r="J32" s="202">
        <v>0</v>
      </c>
      <c r="K32" s="202">
        <v>0</v>
      </c>
      <c r="L32" s="202">
        <v>0</v>
      </c>
      <c r="M32" s="202">
        <v>0</v>
      </c>
      <c r="N32" s="202">
        <v>0</v>
      </c>
      <c r="O32" s="202">
        <v>0</v>
      </c>
      <c r="P32" s="202">
        <v>0</v>
      </c>
      <c r="Q32" s="202">
        <v>0</v>
      </c>
      <c r="R32" s="202">
        <v>0</v>
      </c>
      <c r="S32" s="202">
        <v>0</v>
      </c>
      <c r="T32" s="202">
        <v>0</v>
      </c>
      <c r="U32" s="202">
        <v>0</v>
      </c>
      <c r="V32" s="202">
        <v>0</v>
      </c>
      <c r="W32" s="202">
        <v>0</v>
      </c>
      <c r="X32" s="202">
        <v>0</v>
      </c>
      <c r="Y32" s="202">
        <v>0</v>
      </c>
      <c r="Z32" s="202">
        <v>0</v>
      </c>
      <c r="AA32" s="202">
        <v>0</v>
      </c>
      <c r="AB32" s="202">
        <v>0</v>
      </c>
      <c r="AC32" s="202">
        <v>0</v>
      </c>
      <c r="AD32" s="202">
        <v>0</v>
      </c>
      <c r="AE32" s="41">
        <f t="shared" si="1"/>
        <v>0</v>
      </c>
      <c r="AF32" s="95" t="s">
        <v>225</v>
      </c>
      <c r="AG32" s="558" t="s">
        <v>41</v>
      </c>
      <c r="AH32" s="542"/>
      <c r="AI32" s="178" t="s">
        <v>444</v>
      </c>
      <c r="AJ32" s="179"/>
      <c r="AK32" s="491"/>
      <c r="AL32" s="492"/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11</v>
      </c>
      <c r="G33" s="176"/>
      <c r="H33" s="176"/>
      <c r="I33" s="176"/>
      <c r="J33" s="176"/>
      <c r="K33" s="176"/>
      <c r="L33" s="176"/>
      <c r="M33" s="176"/>
      <c r="N33" s="176">
        <v>1</v>
      </c>
      <c r="O33" s="176">
        <v>1</v>
      </c>
      <c r="P33" s="176">
        <v>1</v>
      </c>
      <c r="Q33" s="176">
        <v>1</v>
      </c>
      <c r="R33" s="176">
        <v>1</v>
      </c>
      <c r="S33" s="176">
        <v>1</v>
      </c>
      <c r="T33" s="176">
        <v>1</v>
      </c>
      <c r="U33" s="176">
        <v>1</v>
      </c>
      <c r="V33" s="176">
        <v>1</v>
      </c>
      <c r="W33" s="176">
        <v>1</v>
      </c>
      <c r="X33" s="176">
        <v>1</v>
      </c>
      <c r="Y33" s="176"/>
      <c r="Z33" s="176"/>
      <c r="AA33" s="176"/>
      <c r="AB33" s="176"/>
      <c r="AC33" s="176"/>
      <c r="AD33" s="176"/>
      <c r="AE33" s="41">
        <f t="shared" si="1"/>
        <v>11</v>
      </c>
      <c r="AF33" s="95" t="s">
        <v>154</v>
      </c>
      <c r="AG33" s="550" t="s">
        <v>41</v>
      </c>
      <c r="AH33" s="542"/>
      <c r="AI33" s="178" t="s">
        <v>444</v>
      </c>
      <c r="AJ33" s="179"/>
      <c r="AK33" s="491"/>
      <c r="AL33" s="492"/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12</v>
      </c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>
        <v>1</v>
      </c>
      <c r="X34" s="176">
        <v>1</v>
      </c>
      <c r="Y34" s="176">
        <v>1</v>
      </c>
      <c r="Z34" s="176"/>
      <c r="AA34" s="176">
        <v>1</v>
      </c>
      <c r="AB34" s="176">
        <v>1</v>
      </c>
      <c r="AC34" s="176">
        <v>1</v>
      </c>
      <c r="AD34" s="176"/>
      <c r="AE34" s="41">
        <f t="shared" si="1"/>
        <v>12</v>
      </c>
      <c r="AF34" s="95" t="s">
        <v>484</v>
      </c>
      <c r="AG34" s="550" t="s">
        <v>41</v>
      </c>
      <c r="AH34" s="542"/>
      <c r="AI34" s="178" t="s">
        <v>444</v>
      </c>
      <c r="AJ34" s="179"/>
      <c r="AK34" s="491"/>
      <c r="AL34" s="492"/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12</v>
      </c>
      <c r="G35" s="176"/>
      <c r="H35" s="176"/>
      <c r="I35" s="176"/>
      <c r="J35" s="176"/>
      <c r="K35" s="176"/>
      <c r="L35" s="176"/>
      <c r="M35" s="176"/>
      <c r="N35" s="176"/>
      <c r="O35" s="176"/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/>
      <c r="X35" s="176">
        <v>1</v>
      </c>
      <c r="Y35" s="176">
        <v>1</v>
      </c>
      <c r="Z35" s="176">
        <v>1</v>
      </c>
      <c r="AA35" s="176">
        <v>1</v>
      </c>
      <c r="AB35" s="176">
        <v>1</v>
      </c>
      <c r="AC35" s="176"/>
      <c r="AD35" s="176"/>
      <c r="AE35" s="41">
        <f t="shared" si="1"/>
        <v>12</v>
      </c>
      <c r="AF35" s="95" t="s">
        <v>316</v>
      </c>
      <c r="AG35" s="550" t="s">
        <v>41</v>
      </c>
      <c r="AH35" s="542"/>
      <c r="AI35" s="178" t="s">
        <v>444</v>
      </c>
      <c r="AJ35" s="179"/>
      <c r="AK35" s="491"/>
      <c r="AL35" s="492"/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12</v>
      </c>
      <c r="G36" s="176"/>
      <c r="H36" s="176"/>
      <c r="I36" s="176"/>
      <c r="J36" s="176"/>
      <c r="K36" s="176"/>
      <c r="L36" s="176"/>
      <c r="M36" s="176"/>
      <c r="N36" s="176"/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>
        <v>1</v>
      </c>
      <c r="W36" s="176">
        <v>1</v>
      </c>
      <c r="X36" s="176">
        <v>1</v>
      </c>
      <c r="Y36" s="176">
        <v>1</v>
      </c>
      <c r="Z36" s="176">
        <v>1</v>
      </c>
      <c r="AA36" s="176"/>
      <c r="AB36" s="176"/>
      <c r="AC36" s="176"/>
      <c r="AD36" s="176"/>
      <c r="AE36" s="41">
        <f t="shared" si="1"/>
        <v>12</v>
      </c>
      <c r="AF36" s="95" t="s">
        <v>66</v>
      </c>
      <c r="AG36" s="550" t="s">
        <v>41</v>
      </c>
      <c r="AH36" s="542"/>
      <c r="AI36" s="178" t="s">
        <v>444</v>
      </c>
      <c r="AJ36" s="179"/>
      <c r="AK36" s="491"/>
      <c r="AL36" s="492"/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11</v>
      </c>
      <c r="G37" s="176"/>
      <c r="H37" s="176"/>
      <c r="I37" s="176"/>
      <c r="J37" s="176"/>
      <c r="K37" s="176"/>
      <c r="L37" s="176"/>
      <c r="M37" s="176">
        <v>1</v>
      </c>
      <c r="N37" s="176">
        <v>1</v>
      </c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>
        <v>1</v>
      </c>
      <c r="W37" s="176">
        <v>1</v>
      </c>
      <c r="X37" s="176"/>
      <c r="Y37" s="176"/>
      <c r="Z37" s="176"/>
      <c r="AA37" s="176"/>
      <c r="AB37" s="176"/>
      <c r="AC37" s="176"/>
      <c r="AD37" s="176"/>
      <c r="AE37" s="41">
        <f t="shared" si="1"/>
        <v>11</v>
      </c>
      <c r="AF37" s="95" t="s">
        <v>192</v>
      </c>
      <c r="AG37" s="550" t="s">
        <v>41</v>
      </c>
      <c r="AH37" s="542"/>
      <c r="AI37" s="178" t="s">
        <v>444</v>
      </c>
      <c r="AJ37" s="179"/>
      <c r="AK37" s="491"/>
      <c r="AL37" s="492"/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2</v>
      </c>
      <c r="G38" s="176"/>
      <c r="H38" s="176"/>
      <c r="I38" s="176"/>
      <c r="J38" s="176"/>
      <c r="K38" s="176"/>
      <c r="L38" s="176"/>
      <c r="M38" s="176"/>
      <c r="N38" s="176">
        <v>1</v>
      </c>
      <c r="O38" s="176">
        <v>1</v>
      </c>
      <c r="P38" s="508"/>
      <c r="Q38" s="508"/>
      <c r="R38" s="508"/>
      <c r="S38" s="508"/>
      <c r="T38" s="508"/>
      <c r="U38" s="508"/>
      <c r="V38" s="508"/>
      <c r="W38" s="508"/>
      <c r="X38" s="508"/>
      <c r="Y38" s="508"/>
      <c r="Z38" s="176"/>
      <c r="AA38" s="176"/>
      <c r="AB38" s="176"/>
      <c r="AC38" s="176"/>
      <c r="AD38" s="176"/>
      <c r="AE38" s="41">
        <f t="shared" si="1"/>
        <v>2</v>
      </c>
      <c r="AF38" s="95" t="s">
        <v>327</v>
      </c>
      <c r="AG38" s="493" t="s">
        <v>41</v>
      </c>
      <c r="AH38" s="536" t="s">
        <v>476</v>
      </c>
      <c r="AI38" s="178" t="s">
        <v>444</v>
      </c>
      <c r="AJ38" s="179"/>
      <c r="AK38" s="491"/>
      <c r="AL38" s="492"/>
    </row>
    <row r="39" spans="1:38" ht="14.25" customHeight="1" thickBot="1">
      <c r="A39" s="38" t="s">
        <v>145</v>
      </c>
      <c r="B39" s="38" t="s">
        <v>76</v>
      </c>
      <c r="C39" s="38">
        <v>997829699</v>
      </c>
      <c r="D39" s="99">
        <v>3</v>
      </c>
      <c r="E39" s="122" t="s">
        <v>77</v>
      </c>
      <c r="F39" s="41">
        <f t="shared" si="3"/>
        <v>10</v>
      </c>
      <c r="G39" s="202"/>
      <c r="H39" s="202"/>
      <c r="I39" s="202"/>
      <c r="J39" s="202"/>
      <c r="K39" s="202"/>
      <c r="L39" s="202"/>
      <c r="M39" s="202"/>
      <c r="N39" s="202"/>
      <c r="O39" s="202">
        <v>1</v>
      </c>
      <c r="P39" s="202">
        <v>1</v>
      </c>
      <c r="Q39" s="202">
        <v>1</v>
      </c>
      <c r="R39" s="202">
        <v>1</v>
      </c>
      <c r="S39" s="202">
        <v>1</v>
      </c>
      <c r="T39" s="202">
        <v>1</v>
      </c>
      <c r="U39" s="202">
        <v>1</v>
      </c>
      <c r="V39" s="531"/>
      <c r="W39" s="531"/>
      <c r="X39" s="531"/>
      <c r="Y39" s="202">
        <v>1</v>
      </c>
      <c r="Z39" s="202"/>
      <c r="AA39" s="202">
        <v>1</v>
      </c>
      <c r="AB39" s="202">
        <v>1</v>
      </c>
      <c r="AC39" s="202"/>
      <c r="AD39" s="202"/>
      <c r="AE39" s="41">
        <f t="shared" si="1"/>
        <v>10</v>
      </c>
      <c r="AF39" s="95" t="s">
        <v>918</v>
      </c>
      <c r="AG39" s="546" t="s">
        <v>479</v>
      </c>
      <c r="AH39" s="542"/>
      <c r="AI39" s="178"/>
      <c r="AJ39" s="179"/>
      <c r="AK39" s="491"/>
      <c r="AL39" s="492"/>
    </row>
    <row r="40" spans="1:38" ht="14.25" customHeight="1" thickBot="1">
      <c r="A40" s="38" t="s">
        <v>145</v>
      </c>
      <c r="B40" s="38" t="s">
        <v>165</v>
      </c>
      <c r="C40" s="38">
        <v>992994680</v>
      </c>
      <c r="D40" s="117">
        <v>8</v>
      </c>
      <c r="E40" s="122" t="s">
        <v>166</v>
      </c>
      <c r="F40" s="41">
        <f>SUM(G40:AD40)</f>
        <v>11</v>
      </c>
      <c r="G40" s="202"/>
      <c r="H40" s="202"/>
      <c r="I40" s="202"/>
      <c r="J40" s="202"/>
      <c r="K40" s="202"/>
      <c r="L40" s="202"/>
      <c r="M40" s="202"/>
      <c r="N40" s="202"/>
      <c r="O40" s="202">
        <v>1</v>
      </c>
      <c r="P40" s="202">
        <v>1</v>
      </c>
      <c r="Q40" s="202">
        <v>1</v>
      </c>
      <c r="R40" s="202">
        <v>1</v>
      </c>
      <c r="S40" s="202">
        <v>1</v>
      </c>
      <c r="T40" s="202">
        <v>1</v>
      </c>
      <c r="U40" s="202">
        <v>1</v>
      </c>
      <c r="V40" s="202"/>
      <c r="W40" s="202">
        <v>1</v>
      </c>
      <c r="X40" s="202">
        <v>1</v>
      </c>
      <c r="Y40" s="202">
        <v>1</v>
      </c>
      <c r="Z40" s="202">
        <v>1</v>
      </c>
      <c r="AA40" s="202"/>
      <c r="AB40" s="202"/>
      <c r="AC40" s="202"/>
      <c r="AD40" s="202"/>
      <c r="AE40" s="41">
        <f>SUM(G40:AD40)</f>
        <v>11</v>
      </c>
      <c r="AF40" s="95" t="s">
        <v>330</v>
      </c>
      <c r="AG40" s="546" t="s">
        <v>479</v>
      </c>
      <c r="AH40" s="542"/>
      <c r="AI40" s="189" t="s">
        <v>444</v>
      </c>
      <c r="AJ40" s="179"/>
      <c r="AK40" s="179"/>
      <c r="AL40" s="179"/>
    </row>
    <row r="41" spans="1:38" ht="14.25" customHeight="1" thickBot="1">
      <c r="A41" s="38" t="s">
        <v>145</v>
      </c>
      <c r="B41" s="38" t="s">
        <v>181</v>
      </c>
      <c r="C41" s="38"/>
      <c r="D41" s="99">
        <v>12</v>
      </c>
      <c r="E41" s="122" t="s">
        <v>182</v>
      </c>
      <c r="F41" s="41">
        <f>SUM(G41:AD41)</f>
        <v>0</v>
      </c>
      <c r="G41" s="202">
        <v>0</v>
      </c>
      <c r="H41" s="202">
        <v>0</v>
      </c>
      <c r="I41" s="202">
        <v>0</v>
      </c>
      <c r="J41" s="202">
        <v>0</v>
      </c>
      <c r="K41" s="202">
        <v>0</v>
      </c>
      <c r="L41" s="202">
        <v>0</v>
      </c>
      <c r="M41" s="202">
        <v>0</v>
      </c>
      <c r="N41" s="202">
        <v>0</v>
      </c>
      <c r="O41" s="202">
        <v>0</v>
      </c>
      <c r="P41" s="202">
        <v>0</v>
      </c>
      <c r="Q41" s="202">
        <v>0</v>
      </c>
      <c r="R41" s="202">
        <v>0</v>
      </c>
      <c r="S41" s="202">
        <v>0</v>
      </c>
      <c r="T41" s="202">
        <v>0</v>
      </c>
      <c r="U41" s="202">
        <v>0</v>
      </c>
      <c r="V41" s="202">
        <v>0</v>
      </c>
      <c r="W41" s="202">
        <v>0</v>
      </c>
      <c r="X41" s="202">
        <v>0</v>
      </c>
      <c r="Y41" s="202">
        <v>0</v>
      </c>
      <c r="Z41" s="202">
        <v>0</v>
      </c>
      <c r="AA41" s="202">
        <v>0</v>
      </c>
      <c r="AB41" s="202">
        <v>0</v>
      </c>
      <c r="AC41" s="202">
        <v>0</v>
      </c>
      <c r="AD41" s="202">
        <v>0</v>
      </c>
      <c r="AE41" s="41">
        <f>SUM(G41:AD41)</f>
        <v>0</v>
      </c>
      <c r="AF41" s="95" t="s">
        <v>225</v>
      </c>
      <c r="AG41" s="546" t="s">
        <v>479</v>
      </c>
      <c r="AH41" s="542"/>
      <c r="AI41" s="189" t="s">
        <v>444</v>
      </c>
      <c r="AJ41" s="179"/>
      <c r="AK41" s="179"/>
      <c r="AL41" s="179"/>
    </row>
    <row r="42" spans="1:38" ht="14.25" customHeight="1" thickBot="1">
      <c r="A42" s="38" t="s">
        <v>145</v>
      </c>
      <c r="B42" s="38" t="s">
        <v>157</v>
      </c>
      <c r="C42" s="38">
        <v>990911747</v>
      </c>
      <c r="D42" s="99">
        <v>6</v>
      </c>
      <c r="E42" s="122" t="s">
        <v>158</v>
      </c>
      <c r="F42" s="41">
        <f>SUM(G42:AD42)</f>
        <v>12</v>
      </c>
      <c r="G42" s="202"/>
      <c r="H42" s="202"/>
      <c r="I42" s="202"/>
      <c r="J42" s="202"/>
      <c r="K42" s="202"/>
      <c r="L42" s="202"/>
      <c r="M42" s="202"/>
      <c r="N42" s="202"/>
      <c r="O42" s="202">
        <v>1</v>
      </c>
      <c r="P42" s="202">
        <v>1</v>
      </c>
      <c r="Q42" s="202">
        <v>1</v>
      </c>
      <c r="R42" s="202">
        <v>1</v>
      </c>
      <c r="S42" s="202">
        <v>1</v>
      </c>
      <c r="T42" s="202">
        <v>1</v>
      </c>
      <c r="U42" s="202">
        <v>1</v>
      </c>
      <c r="V42" s="202">
        <v>1</v>
      </c>
      <c r="W42" s="202">
        <v>1</v>
      </c>
      <c r="X42" s="202">
        <v>1</v>
      </c>
      <c r="Y42" s="202">
        <v>1</v>
      </c>
      <c r="Z42" s="202">
        <v>1</v>
      </c>
      <c r="AA42" s="202"/>
      <c r="AB42" s="202"/>
      <c r="AC42" s="202"/>
      <c r="AD42" s="202"/>
      <c r="AE42" s="41">
        <f>SUM(G42:AD42)</f>
        <v>12</v>
      </c>
      <c r="AF42" s="95" t="s">
        <v>66</v>
      </c>
      <c r="AG42" s="546" t="s">
        <v>479</v>
      </c>
      <c r="AH42" s="542"/>
      <c r="AI42" s="189" t="s">
        <v>444</v>
      </c>
      <c r="AJ42" s="179"/>
      <c r="AK42" s="179"/>
      <c r="AL42" s="179"/>
    </row>
    <row r="43" spans="1:38" ht="14.25" customHeight="1" thickBot="1">
      <c r="A43" s="38"/>
      <c r="B43" s="38"/>
      <c r="C43" s="38"/>
      <c r="D43" s="527"/>
      <c r="E43" s="122" t="s">
        <v>933</v>
      </c>
      <c r="F43" s="41">
        <f>SUM(G43:AD43)</f>
        <v>10</v>
      </c>
      <c r="G43" s="202"/>
      <c r="H43" s="202"/>
      <c r="I43" s="202"/>
      <c r="J43" s="202"/>
      <c r="K43" s="202"/>
      <c r="L43" s="202"/>
      <c r="M43" s="202"/>
      <c r="N43" s="202"/>
      <c r="O43" s="202"/>
      <c r="P43" s="533">
        <v>1</v>
      </c>
      <c r="Q43" s="533">
        <v>1</v>
      </c>
      <c r="R43" s="533">
        <v>1</v>
      </c>
      <c r="S43" s="533">
        <v>1</v>
      </c>
      <c r="T43" s="533">
        <v>1</v>
      </c>
      <c r="U43" s="533">
        <v>1</v>
      </c>
      <c r="V43" s="533">
        <v>1</v>
      </c>
      <c r="W43" s="533">
        <v>1</v>
      </c>
      <c r="X43" s="533"/>
      <c r="Y43" s="532">
        <v>1</v>
      </c>
      <c r="Z43" s="532">
        <v>1</v>
      </c>
      <c r="AA43" s="202"/>
      <c r="AB43" s="202"/>
      <c r="AC43" s="202"/>
      <c r="AD43" s="202"/>
      <c r="AE43" s="41">
        <f>SUM(G43:AD43)</f>
        <v>10</v>
      </c>
      <c r="AF43" s="95" t="s">
        <v>164</v>
      </c>
      <c r="AG43" s="186" t="s">
        <v>471</v>
      </c>
      <c r="AH43" s="177" t="s">
        <v>41</v>
      </c>
      <c r="AI43" s="189"/>
      <c r="AJ43" s="179"/>
      <c r="AK43" s="179"/>
      <c r="AL43" s="179"/>
    </row>
    <row r="44" spans="1:38" ht="14.25" customHeight="1" thickBot="1">
      <c r="A44" s="38"/>
      <c r="B44" s="38"/>
      <c r="C44" s="38"/>
      <c r="D44" s="527"/>
      <c r="E44" s="122" t="s">
        <v>934</v>
      </c>
      <c r="F44" s="41">
        <f>SUM(G44:AD44)</f>
        <v>12</v>
      </c>
      <c r="G44" s="202"/>
      <c r="H44" s="202"/>
      <c r="I44" s="202"/>
      <c r="J44" s="202"/>
      <c r="K44" s="202"/>
      <c r="L44" s="202"/>
      <c r="M44" s="202"/>
      <c r="N44" s="202"/>
      <c r="O44" s="202"/>
      <c r="P44" s="202">
        <v>1</v>
      </c>
      <c r="Q44" s="202">
        <v>1</v>
      </c>
      <c r="R44" s="202">
        <v>1</v>
      </c>
      <c r="S44" s="202">
        <v>1</v>
      </c>
      <c r="T44" s="202">
        <v>1</v>
      </c>
      <c r="U44" s="202">
        <v>1</v>
      </c>
      <c r="V44" s="202">
        <v>1</v>
      </c>
      <c r="W44" s="202">
        <v>1</v>
      </c>
      <c r="X44" s="202">
        <v>1</v>
      </c>
      <c r="Y44" s="202">
        <v>1</v>
      </c>
      <c r="Z44" s="202">
        <v>1</v>
      </c>
      <c r="AA44" s="202">
        <v>1</v>
      </c>
      <c r="AB44" s="202"/>
      <c r="AC44" s="202"/>
      <c r="AD44" s="202"/>
      <c r="AE44" s="41">
        <f>SUM(G44:AD44)</f>
        <v>12</v>
      </c>
      <c r="AF44" s="95" t="s">
        <v>69</v>
      </c>
      <c r="AG44" s="528"/>
      <c r="AH44" s="525"/>
      <c r="AI44" s="189"/>
      <c r="AJ44" s="179"/>
      <c r="AK44" s="179"/>
      <c r="AL44" s="179"/>
    </row>
    <row r="45" spans="1:38" ht="14.25" customHeight="1" thickBot="1">
      <c r="A45" s="38" t="s">
        <v>41</v>
      </c>
      <c r="B45" s="76" t="s">
        <v>126</v>
      </c>
      <c r="C45" s="76">
        <v>986256130</v>
      </c>
      <c r="D45" s="99">
        <v>32</v>
      </c>
      <c r="E45" s="145" t="s">
        <v>127</v>
      </c>
      <c r="F45" s="41">
        <f t="shared" si="3"/>
        <v>0</v>
      </c>
      <c r="G45" s="176"/>
      <c r="H45" s="176"/>
      <c r="I45" s="176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176"/>
      <c r="AC45" s="176"/>
      <c r="AD45" s="176"/>
      <c r="AE45" s="41">
        <f t="shared" si="1"/>
        <v>0</v>
      </c>
      <c r="AF45" s="95" t="s">
        <v>225</v>
      </c>
      <c r="AG45" s="551" t="s">
        <v>910</v>
      </c>
      <c r="AH45" s="555"/>
      <c r="AI45" s="189" t="s">
        <v>444</v>
      </c>
      <c r="AJ45" s="179"/>
      <c r="AK45" s="491"/>
      <c r="AL45" s="492"/>
    </row>
    <row r="46" spans="1:38" ht="14.25" customHeight="1" thickBot="1">
      <c r="A46" s="38" t="s">
        <v>41</v>
      </c>
      <c r="B46" s="38" t="s">
        <v>88</v>
      </c>
      <c r="C46" s="38">
        <v>985570860</v>
      </c>
      <c r="D46" s="99">
        <v>33</v>
      </c>
      <c r="E46" s="145" t="s">
        <v>89</v>
      </c>
      <c r="F46" s="41">
        <v>11</v>
      </c>
      <c r="G46" s="185">
        <v>0</v>
      </c>
      <c r="H46" s="185">
        <v>0</v>
      </c>
      <c r="I46" s="185">
        <v>0</v>
      </c>
      <c r="J46" s="185">
        <v>0</v>
      </c>
      <c r="K46" s="185">
        <v>0</v>
      </c>
      <c r="L46" s="185">
        <v>0</v>
      </c>
      <c r="M46" s="185">
        <v>0</v>
      </c>
      <c r="N46" s="185">
        <v>0</v>
      </c>
      <c r="O46" s="185">
        <v>0</v>
      </c>
      <c r="P46" s="185">
        <v>0</v>
      </c>
      <c r="Q46" s="185">
        <v>0</v>
      </c>
      <c r="R46" s="185">
        <v>0</v>
      </c>
      <c r="S46" s="185">
        <v>0</v>
      </c>
      <c r="T46" s="185">
        <v>0</v>
      </c>
      <c r="U46" s="185">
        <v>0</v>
      </c>
      <c r="V46" s="185">
        <v>0</v>
      </c>
      <c r="W46" s="185">
        <v>0</v>
      </c>
      <c r="X46" s="185">
        <v>0</v>
      </c>
      <c r="Y46" s="185">
        <v>0</v>
      </c>
      <c r="Z46" s="185">
        <v>0</v>
      </c>
      <c r="AA46" s="185">
        <v>0</v>
      </c>
      <c r="AB46" s="185">
        <v>0</v>
      </c>
      <c r="AC46" s="185">
        <v>0</v>
      </c>
      <c r="AD46" s="185">
        <v>0</v>
      </c>
      <c r="AE46" s="41">
        <v>11</v>
      </c>
      <c r="AF46" s="95" t="s">
        <v>225</v>
      </c>
      <c r="AG46" s="551" t="s">
        <v>471</v>
      </c>
      <c r="AH46" s="555"/>
      <c r="AI46" s="189" t="s">
        <v>444</v>
      </c>
      <c r="AJ46" s="179"/>
      <c r="AK46" s="491"/>
      <c r="AL46" s="492"/>
    </row>
    <row r="47" spans="1:38" ht="14.25" customHeight="1" thickBot="1">
      <c r="A47" s="511" t="s">
        <v>41</v>
      </c>
      <c r="B47" s="512" t="s">
        <v>137</v>
      </c>
      <c r="C47" s="511"/>
      <c r="D47" s="513">
        <v>34</v>
      </c>
      <c r="E47" s="145" t="s">
        <v>138</v>
      </c>
      <c r="F47" s="515">
        <v>14</v>
      </c>
      <c r="G47" s="185"/>
      <c r="H47" s="185"/>
      <c r="I47" s="185"/>
      <c r="J47" s="185"/>
      <c r="K47" s="185"/>
      <c r="L47" s="185"/>
      <c r="M47" s="185"/>
      <c r="N47" s="529"/>
      <c r="O47" s="529"/>
      <c r="P47" s="530">
        <v>1</v>
      </c>
      <c r="Q47" s="530">
        <v>1</v>
      </c>
      <c r="R47" s="530">
        <v>1</v>
      </c>
      <c r="S47" s="530">
        <v>1</v>
      </c>
      <c r="T47" s="530">
        <v>1</v>
      </c>
      <c r="U47" s="529"/>
      <c r="V47" s="529"/>
      <c r="W47" s="529"/>
      <c r="X47" s="529"/>
      <c r="Y47" s="185"/>
      <c r="Z47" s="185"/>
      <c r="AA47" s="185"/>
      <c r="AB47" s="185"/>
      <c r="AC47" s="185"/>
      <c r="AD47" s="185"/>
      <c r="AE47" s="515">
        <v>14</v>
      </c>
      <c r="AF47" s="95" t="s">
        <v>154</v>
      </c>
      <c r="AG47" s="551" t="s">
        <v>320</v>
      </c>
      <c r="AH47" s="542"/>
      <c r="AI47" s="189" t="s">
        <v>444</v>
      </c>
      <c r="AJ47" s="179"/>
      <c r="AK47" s="491"/>
      <c r="AL47" s="492"/>
    </row>
    <row r="48" spans="1:38" ht="14.25" customHeight="1" thickBot="1">
      <c r="A48" s="38" t="s">
        <v>41</v>
      </c>
      <c r="B48" s="190" t="s">
        <v>190</v>
      </c>
      <c r="C48" s="98"/>
      <c r="D48" s="99">
        <v>35</v>
      </c>
      <c r="E48" s="145" t="s">
        <v>191</v>
      </c>
      <c r="F48" s="41">
        <v>11</v>
      </c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41">
        <v>11</v>
      </c>
      <c r="AF48" s="95" t="s">
        <v>225</v>
      </c>
      <c r="AG48" s="551" t="s">
        <v>320</v>
      </c>
      <c r="AH48" s="542"/>
      <c r="AI48" s="189" t="s">
        <v>444</v>
      </c>
      <c r="AJ48" s="179"/>
      <c r="AK48" s="491"/>
      <c r="AL48" s="492"/>
    </row>
    <row r="49" spans="1:38" ht="16.5" thickBot="1">
      <c r="A49" s="38" t="s">
        <v>41</v>
      </c>
      <c r="B49" s="38" t="s">
        <v>64</v>
      </c>
      <c r="C49" s="38">
        <v>995545886</v>
      </c>
      <c r="D49" s="99">
        <v>36</v>
      </c>
      <c r="E49" s="145" t="s">
        <v>65</v>
      </c>
      <c r="F49" s="41">
        <v>12</v>
      </c>
      <c r="G49" s="185"/>
      <c r="H49" s="185"/>
      <c r="I49" s="185"/>
      <c r="J49" s="185"/>
      <c r="K49" s="185"/>
      <c r="L49" s="185"/>
      <c r="M49" s="185"/>
      <c r="N49" s="176"/>
      <c r="O49" s="176">
        <v>1</v>
      </c>
      <c r="P49" s="552" t="s">
        <v>914</v>
      </c>
      <c r="Q49" s="553"/>
      <c r="R49" s="553"/>
      <c r="S49" s="553"/>
      <c r="T49" s="553"/>
      <c r="U49" s="553"/>
      <c r="V49" s="553"/>
      <c r="W49" s="553"/>
      <c r="X49" s="553"/>
      <c r="Y49" s="554"/>
      <c r="Z49" s="176"/>
      <c r="AA49" s="185"/>
      <c r="AB49" s="185"/>
      <c r="AC49" s="185"/>
      <c r="AD49" s="185"/>
      <c r="AE49" s="41">
        <v>12</v>
      </c>
      <c r="AF49" s="95" t="s">
        <v>119</v>
      </c>
      <c r="AG49" s="551" t="s">
        <v>473</v>
      </c>
      <c r="AH49" s="555"/>
      <c r="AI49" s="178" t="s">
        <v>444</v>
      </c>
      <c r="AJ49" s="179"/>
      <c r="AK49" s="491"/>
      <c r="AL49" s="492"/>
    </row>
    <row r="50" spans="1:38" ht="63" thickBot="1">
      <c r="A50" s="2"/>
      <c r="B50" s="2"/>
      <c r="C50" s="2"/>
      <c r="D50" s="12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116"/>
      <c r="AG50" s="25"/>
      <c r="AH50" s="25"/>
      <c r="AI50" s="25"/>
      <c r="AJ50" s="25"/>
      <c r="AK50" s="491"/>
      <c r="AL50" s="492"/>
    </row>
    <row r="51" spans="1:38" ht="14.25" customHeight="1">
      <c r="A51" s="2"/>
      <c r="B51" s="2"/>
      <c r="C51" s="2"/>
      <c r="D51" s="152"/>
      <c r="E51" s="2"/>
      <c r="F51" s="2"/>
      <c r="AE51" s="2"/>
      <c r="AF51" s="2"/>
      <c r="AG51" s="2"/>
      <c r="AH51" s="2"/>
      <c r="AI51" s="2"/>
      <c r="AJ51" s="2"/>
      <c r="AK51" s="491"/>
      <c r="AL51" s="492"/>
    </row>
    <row r="52" spans="1:38" ht="14.25" customHeight="1">
      <c r="A52" s="2"/>
      <c r="B52" s="2"/>
      <c r="C52" s="2"/>
      <c r="D52" s="152"/>
      <c r="E52" s="2"/>
      <c r="F52" s="2"/>
      <c r="AE52" s="2"/>
      <c r="AF52" s="2"/>
      <c r="AG52" s="2"/>
      <c r="AH52" s="2"/>
      <c r="AI52" s="2"/>
      <c r="AJ52" s="2"/>
      <c r="AK52" s="491"/>
      <c r="AL52" s="492"/>
    </row>
  </sheetData>
  <mergeCells count="41">
    <mergeCell ref="AG8:AH8"/>
    <mergeCell ref="A1:B1"/>
    <mergeCell ref="D3:AE3"/>
    <mergeCell ref="E4:F4"/>
    <mergeCell ref="E5:F5"/>
    <mergeCell ref="AG7:AH7"/>
    <mergeCell ref="AG20:AH20"/>
    <mergeCell ref="AG9:AH9"/>
    <mergeCell ref="AG10:AH10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1:AH21"/>
    <mergeCell ref="AG22:AH22"/>
    <mergeCell ref="AG23:AH23"/>
    <mergeCell ref="AG25:AH25"/>
    <mergeCell ref="AG26:AH26"/>
    <mergeCell ref="AG27:AH27"/>
    <mergeCell ref="AG28:AH28"/>
    <mergeCell ref="AG29:AH29"/>
    <mergeCell ref="AG32:AH32"/>
    <mergeCell ref="AG33:AH33"/>
    <mergeCell ref="AG34:AH34"/>
    <mergeCell ref="AG35:AH35"/>
    <mergeCell ref="AG36:AH36"/>
    <mergeCell ref="AG37:AH37"/>
    <mergeCell ref="AG45:AH45"/>
    <mergeCell ref="AG40:AH40"/>
    <mergeCell ref="P49:Y49"/>
    <mergeCell ref="AG49:AH49"/>
    <mergeCell ref="AG46:AH46"/>
    <mergeCell ref="AG47:AH47"/>
    <mergeCell ref="AG48:AH48"/>
    <mergeCell ref="AG39:AH39"/>
    <mergeCell ref="AG41:AH41"/>
    <mergeCell ref="AG42:AH42"/>
  </mergeCells>
  <conditionalFormatting sqref="E4:F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4009-A5C5-46FC-9572-C2446A5EF766}">
  <dimension ref="A1:AL51"/>
  <sheetViews>
    <sheetView showGridLines="0" topLeftCell="B32" zoomScale="60" zoomScaleNormal="60" workbookViewId="0">
      <selection activeCell="B52" sqref="A52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291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526">
        <v>4</v>
      </c>
      <c r="H4" s="526">
        <v>3</v>
      </c>
      <c r="I4" s="526">
        <v>3</v>
      </c>
      <c r="J4" s="526">
        <v>3</v>
      </c>
      <c r="K4" s="526">
        <v>3</v>
      </c>
      <c r="L4" s="526">
        <v>3</v>
      </c>
      <c r="M4" s="526">
        <v>7</v>
      </c>
      <c r="N4" s="526">
        <v>9</v>
      </c>
      <c r="O4" s="526">
        <v>14</v>
      </c>
      <c r="P4" s="526">
        <v>19</v>
      </c>
      <c r="Q4" s="526">
        <v>21</v>
      </c>
      <c r="R4" s="526">
        <v>22</v>
      </c>
      <c r="S4" s="526">
        <v>21</v>
      </c>
      <c r="T4" s="526">
        <v>21</v>
      </c>
      <c r="U4" s="526">
        <v>21</v>
      </c>
      <c r="V4" s="526">
        <v>19</v>
      </c>
      <c r="W4" s="526">
        <v>19</v>
      </c>
      <c r="X4" s="526">
        <v>17</v>
      </c>
      <c r="Y4" s="526">
        <v>17</v>
      </c>
      <c r="Z4" s="526">
        <v>14</v>
      </c>
      <c r="AA4" s="526">
        <v>13</v>
      </c>
      <c r="AB4" s="526">
        <v>10</v>
      </c>
      <c r="AC4" s="526">
        <v>6</v>
      </c>
      <c r="AD4" s="526">
        <v>4</v>
      </c>
      <c r="AE4" s="18">
        <f>SUM(G4:AD4)</f>
        <v>293</v>
      </c>
      <c r="AF4" s="3"/>
      <c r="AG4" s="3"/>
      <c r="AH4" s="3"/>
      <c r="AI4" s="3"/>
      <c r="AJ4" s="3"/>
      <c r="AK4" s="3"/>
      <c r="AL4" s="3"/>
    </row>
    <row r="5" spans="1:38" ht="63.75" thickBot="1">
      <c r="A5" s="3"/>
      <c r="B5" s="2"/>
      <c r="C5" s="2"/>
      <c r="D5" s="19"/>
      <c r="E5" s="569">
        <v>8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-1</v>
      </c>
      <c r="N6" s="28">
        <f t="shared" si="0"/>
        <v>-3</v>
      </c>
      <c r="O6" s="28">
        <f t="shared" si="0"/>
        <v>-3</v>
      </c>
      <c r="P6" s="28">
        <f t="shared" si="0"/>
        <v>-5</v>
      </c>
      <c r="Q6" s="28">
        <f t="shared" si="0"/>
        <v>-5</v>
      </c>
      <c r="R6" s="28">
        <f t="shared" si="0"/>
        <v>-5</v>
      </c>
      <c r="S6" s="28">
        <f t="shared" si="0"/>
        <v>-4</v>
      </c>
      <c r="T6" s="28">
        <f t="shared" si="0"/>
        <v>-4</v>
      </c>
      <c r="U6" s="28">
        <f t="shared" si="0"/>
        <v>-3</v>
      </c>
      <c r="V6" s="28">
        <f t="shared" si="0"/>
        <v>-1</v>
      </c>
      <c r="W6" s="28">
        <f t="shared" si="0"/>
        <v>-2</v>
      </c>
      <c r="X6" s="28">
        <f t="shared" si="0"/>
        <v>1</v>
      </c>
      <c r="Y6" s="28">
        <f t="shared" si="0"/>
        <v>1</v>
      </c>
      <c r="Z6" s="28">
        <f t="shared" si="0"/>
        <v>4</v>
      </c>
      <c r="AA6" s="28">
        <f t="shared" si="0"/>
        <v>2</v>
      </c>
      <c r="AB6" s="28">
        <f t="shared" si="0"/>
        <v>2</v>
      </c>
      <c r="AC6" s="28">
        <f t="shared" si="0"/>
        <v>3</v>
      </c>
      <c r="AD6" s="28">
        <f t="shared" si="0"/>
        <v>0</v>
      </c>
      <c r="AE6" s="29">
        <f t="shared" ref="AE6:AE45" si="1">SUM(G6:AD6)</f>
        <v>-23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SUM(G8:G49)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6</v>
      </c>
      <c r="N7" s="172">
        <f t="shared" si="2"/>
        <v>6</v>
      </c>
      <c r="O7" s="172">
        <f t="shared" si="2"/>
        <v>11</v>
      </c>
      <c r="P7" s="172">
        <f t="shared" si="2"/>
        <v>14</v>
      </c>
      <c r="Q7" s="172">
        <f t="shared" si="2"/>
        <v>16</v>
      </c>
      <c r="R7" s="172">
        <f t="shared" si="2"/>
        <v>17</v>
      </c>
      <c r="S7" s="172">
        <f t="shared" si="2"/>
        <v>17</v>
      </c>
      <c r="T7" s="172">
        <f t="shared" si="2"/>
        <v>17</v>
      </c>
      <c r="U7" s="172">
        <f t="shared" si="2"/>
        <v>18</v>
      </c>
      <c r="V7" s="172">
        <f t="shared" si="2"/>
        <v>18</v>
      </c>
      <c r="W7" s="172">
        <f t="shared" si="2"/>
        <v>17</v>
      </c>
      <c r="X7" s="172">
        <f>SUM(X8:X49)</f>
        <v>18</v>
      </c>
      <c r="Y7" s="172">
        <f t="shared" si="2"/>
        <v>18</v>
      </c>
      <c r="Z7" s="172">
        <f t="shared" si="2"/>
        <v>18</v>
      </c>
      <c r="AA7" s="172">
        <f t="shared" si="2"/>
        <v>15</v>
      </c>
      <c r="AB7" s="172">
        <f t="shared" si="2"/>
        <v>12</v>
      </c>
      <c r="AC7" s="172">
        <f t="shared" si="2"/>
        <v>9</v>
      </c>
      <c r="AD7" s="172">
        <f t="shared" si="2"/>
        <v>4</v>
      </c>
      <c r="AE7" s="168">
        <f t="shared" si="1"/>
        <v>270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45" si="3">SUM(G8:AD8)</f>
        <v>6</v>
      </c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>
        <v>1</v>
      </c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6</v>
      </c>
      <c r="AF8" s="95" t="s">
        <v>281</v>
      </c>
      <c r="AG8" s="550" t="s">
        <v>41</v>
      </c>
      <c r="AH8" s="542"/>
      <c r="AI8" s="178" t="s">
        <v>444</v>
      </c>
      <c r="AJ8" s="179"/>
      <c r="AK8" s="489"/>
      <c r="AL8" s="490"/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7</v>
      </c>
      <c r="G9" s="176">
        <v>1</v>
      </c>
      <c r="H9" s="176">
        <v>1</v>
      </c>
      <c r="I9" s="176">
        <v>1</v>
      </c>
      <c r="J9" s="176">
        <v>1</v>
      </c>
      <c r="K9" s="176">
        <v>1</v>
      </c>
      <c r="L9" s="176">
        <v>1</v>
      </c>
      <c r="M9" s="176">
        <v>1</v>
      </c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41">
        <f t="shared" si="1"/>
        <v>7</v>
      </c>
      <c r="AF9" s="95" t="s">
        <v>284</v>
      </c>
      <c r="AG9" s="556" t="s">
        <v>41</v>
      </c>
      <c r="AH9" s="557"/>
      <c r="AI9" s="178" t="s">
        <v>444</v>
      </c>
      <c r="AJ9" s="179"/>
      <c r="AK9" s="491"/>
      <c r="AL9" s="492"/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7</v>
      </c>
      <c r="G10" s="176">
        <v>1</v>
      </c>
      <c r="H10" s="176">
        <v>1</v>
      </c>
      <c r="I10" s="176">
        <v>1</v>
      </c>
      <c r="J10" s="176">
        <v>1</v>
      </c>
      <c r="K10" s="176">
        <v>1</v>
      </c>
      <c r="L10" s="176">
        <v>1</v>
      </c>
      <c r="M10" s="176">
        <v>1</v>
      </c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41">
        <f t="shared" si="1"/>
        <v>7</v>
      </c>
      <c r="AF10" s="95" t="s">
        <v>284</v>
      </c>
      <c r="AG10" s="556" t="s">
        <v>41</v>
      </c>
      <c r="AH10" s="557"/>
      <c r="AI10" s="178" t="s">
        <v>444</v>
      </c>
      <c r="AJ10" s="179"/>
      <c r="AK10" s="491"/>
      <c r="AL10" s="492"/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13</v>
      </c>
      <c r="G11" s="176"/>
      <c r="H11" s="176"/>
      <c r="I11" s="176"/>
      <c r="J11" s="176"/>
      <c r="K11" s="176"/>
      <c r="L11" s="176"/>
      <c r="M11" s="176"/>
      <c r="N11" s="176"/>
      <c r="O11" s="176">
        <v>1</v>
      </c>
      <c r="P11" s="176">
        <v>1</v>
      </c>
      <c r="Q11" s="176">
        <v>1</v>
      </c>
      <c r="R11" s="176">
        <v>1</v>
      </c>
      <c r="S11" s="176">
        <v>1</v>
      </c>
      <c r="T11" s="176">
        <v>1</v>
      </c>
      <c r="U11" s="176">
        <v>1</v>
      </c>
      <c r="V11" s="176">
        <v>1</v>
      </c>
      <c r="W11" s="176">
        <v>1</v>
      </c>
      <c r="X11" s="176">
        <v>1</v>
      </c>
      <c r="Y11" s="176">
        <v>1</v>
      </c>
      <c r="Z11" s="176">
        <v>1</v>
      </c>
      <c r="AA11" s="176">
        <v>1</v>
      </c>
      <c r="AB11" s="176"/>
      <c r="AC11" s="176"/>
      <c r="AD11" s="176"/>
      <c r="AE11" s="41">
        <f t="shared" si="1"/>
        <v>13</v>
      </c>
      <c r="AF11" s="95" t="s">
        <v>66</v>
      </c>
      <c r="AG11" s="561" t="s">
        <v>471</v>
      </c>
      <c r="AH11" s="562"/>
      <c r="AI11" s="178" t="s">
        <v>444</v>
      </c>
      <c r="AJ11" s="179"/>
      <c r="AK11" s="491"/>
      <c r="AL11" s="492"/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0</v>
      </c>
      <c r="G12" s="176"/>
      <c r="H12" s="176"/>
      <c r="I12" s="176"/>
      <c r="J12" s="176"/>
      <c r="K12" s="176"/>
      <c r="L12" s="176"/>
      <c r="M12" s="176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5"/>
      <c r="AB12" s="495"/>
      <c r="AC12" s="176"/>
      <c r="AD12" s="176"/>
      <c r="AE12" s="515">
        <f t="shared" si="1"/>
        <v>0</v>
      </c>
      <c r="AF12" s="95" t="s">
        <v>380</v>
      </c>
      <c r="AG12" s="558" t="s">
        <v>41</v>
      </c>
      <c r="AH12" s="542"/>
      <c r="AI12" s="517" t="s">
        <v>444</v>
      </c>
      <c r="AJ12" s="179"/>
      <c r="AK12" s="491"/>
      <c r="AL12" s="492"/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515">
        <f t="shared" si="3"/>
        <v>12</v>
      </c>
      <c r="G13" s="176"/>
      <c r="H13" s="176"/>
      <c r="I13" s="176"/>
      <c r="J13" s="176"/>
      <c r="K13" s="176"/>
      <c r="L13" s="176"/>
      <c r="M13" s="176">
        <v>1</v>
      </c>
      <c r="N13" s="176">
        <v>1</v>
      </c>
      <c r="O13" s="176">
        <v>1</v>
      </c>
      <c r="P13" s="176">
        <v>1</v>
      </c>
      <c r="Q13" s="176">
        <v>1</v>
      </c>
      <c r="R13" s="176">
        <v>1</v>
      </c>
      <c r="S13" s="176">
        <v>1</v>
      </c>
      <c r="T13" s="176">
        <v>1</v>
      </c>
      <c r="U13" s="176">
        <v>1</v>
      </c>
      <c r="V13" s="176">
        <v>1</v>
      </c>
      <c r="W13" s="176">
        <v>1</v>
      </c>
      <c r="X13" s="176">
        <v>1</v>
      </c>
      <c r="Y13" s="176"/>
      <c r="Z13" s="176"/>
      <c r="AA13" s="176"/>
      <c r="AB13" s="176"/>
      <c r="AC13" s="176"/>
      <c r="AD13" s="176"/>
      <c r="AE13" s="515">
        <f t="shared" si="1"/>
        <v>12</v>
      </c>
      <c r="AF13" s="95" t="s">
        <v>84</v>
      </c>
      <c r="AG13" s="550" t="s">
        <v>41</v>
      </c>
      <c r="AH13" s="542"/>
      <c r="AI13" s="178" t="s">
        <v>444</v>
      </c>
      <c r="AJ13" s="179"/>
      <c r="AK13" s="491"/>
      <c r="AL13" s="492"/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6</v>
      </c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>
        <v>1</v>
      </c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41">
        <f t="shared" si="1"/>
        <v>6</v>
      </c>
      <c r="AF14" s="95" t="s">
        <v>281</v>
      </c>
      <c r="AG14" s="550" t="s">
        <v>41</v>
      </c>
      <c r="AH14" s="542"/>
      <c r="AI14" s="178" t="s">
        <v>444</v>
      </c>
      <c r="AJ14" s="179"/>
      <c r="AK14" s="491"/>
      <c r="AL14" s="492"/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0</v>
      </c>
      <c r="G15" s="176">
        <v>0</v>
      </c>
      <c r="H15" s="176">
        <v>0</v>
      </c>
      <c r="I15" s="176">
        <v>0</v>
      </c>
      <c r="J15" s="176">
        <v>0</v>
      </c>
      <c r="K15" s="176">
        <v>0</v>
      </c>
      <c r="L15" s="176">
        <v>0</v>
      </c>
      <c r="M15" s="176">
        <v>0</v>
      </c>
      <c r="N15" s="176">
        <v>0</v>
      </c>
      <c r="O15" s="176">
        <v>0</v>
      </c>
      <c r="P15" s="176">
        <v>0</v>
      </c>
      <c r="Q15" s="176">
        <v>0</v>
      </c>
      <c r="R15" s="176">
        <v>0</v>
      </c>
      <c r="S15" s="176">
        <v>0</v>
      </c>
      <c r="T15" s="176">
        <v>0</v>
      </c>
      <c r="U15" s="176">
        <v>0</v>
      </c>
      <c r="V15" s="176">
        <v>0</v>
      </c>
      <c r="W15" s="176">
        <v>0</v>
      </c>
      <c r="X15" s="176">
        <v>0</v>
      </c>
      <c r="Y15" s="176">
        <v>0</v>
      </c>
      <c r="Z15" s="176">
        <v>0</v>
      </c>
      <c r="AA15" s="176">
        <v>0</v>
      </c>
      <c r="AB15" s="176">
        <v>0</v>
      </c>
      <c r="AC15" s="176">
        <v>0</v>
      </c>
      <c r="AD15" s="176">
        <v>0</v>
      </c>
      <c r="AE15" s="41">
        <f t="shared" si="1"/>
        <v>0</v>
      </c>
      <c r="AF15" s="95" t="s">
        <v>225</v>
      </c>
      <c r="AG15" s="550" t="s">
        <v>41</v>
      </c>
      <c r="AH15" s="542"/>
      <c r="AI15" s="178" t="s">
        <v>444</v>
      </c>
      <c r="AJ15" s="179"/>
      <c r="AK15" s="491"/>
      <c r="AL15" s="492"/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12</v>
      </c>
      <c r="G16" s="176"/>
      <c r="H16" s="176"/>
      <c r="I16" s="176"/>
      <c r="J16" s="176"/>
      <c r="K16" s="176"/>
      <c r="L16" s="176"/>
      <c r="M16" s="176">
        <v>1</v>
      </c>
      <c r="N16" s="176">
        <v>1</v>
      </c>
      <c r="O16" s="176">
        <v>1</v>
      </c>
      <c r="P16" s="176">
        <v>1</v>
      </c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>
        <v>1</v>
      </c>
      <c r="X16" s="176">
        <v>1</v>
      </c>
      <c r="Y16" s="176"/>
      <c r="Z16" s="176"/>
      <c r="AA16" s="176"/>
      <c r="AB16" s="176"/>
      <c r="AC16" s="176"/>
      <c r="AD16" s="176"/>
      <c r="AE16" s="41">
        <f t="shared" si="1"/>
        <v>12</v>
      </c>
      <c r="AF16" s="95" t="s">
        <v>84</v>
      </c>
      <c r="AG16" s="550" t="s">
        <v>41</v>
      </c>
      <c r="AH16" s="542"/>
      <c r="AI16" s="178" t="s">
        <v>444</v>
      </c>
      <c r="AJ16" s="179"/>
      <c r="AK16" s="491"/>
      <c r="AL16" s="492"/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0</v>
      </c>
      <c r="G17" s="176">
        <v>0</v>
      </c>
      <c r="H17" s="176">
        <v>0</v>
      </c>
      <c r="I17" s="176">
        <v>0</v>
      </c>
      <c r="J17" s="176">
        <v>0</v>
      </c>
      <c r="K17" s="176">
        <v>0</v>
      </c>
      <c r="L17" s="176">
        <v>0</v>
      </c>
      <c r="M17" s="176">
        <v>0</v>
      </c>
      <c r="N17" s="176">
        <v>0</v>
      </c>
      <c r="O17" s="176">
        <v>0</v>
      </c>
      <c r="P17" s="176">
        <v>0</v>
      </c>
      <c r="Q17" s="176">
        <v>0</v>
      </c>
      <c r="R17" s="176">
        <v>0</v>
      </c>
      <c r="S17" s="176">
        <v>0</v>
      </c>
      <c r="T17" s="176">
        <v>0</v>
      </c>
      <c r="U17" s="176">
        <v>0</v>
      </c>
      <c r="V17" s="176">
        <v>0</v>
      </c>
      <c r="W17" s="176">
        <v>0</v>
      </c>
      <c r="X17" s="176">
        <v>0</v>
      </c>
      <c r="Y17" s="176">
        <v>0</v>
      </c>
      <c r="Z17" s="176">
        <v>0</v>
      </c>
      <c r="AA17" s="176">
        <v>0</v>
      </c>
      <c r="AB17" s="176">
        <v>0</v>
      </c>
      <c r="AC17" s="176">
        <v>0</v>
      </c>
      <c r="AD17" s="176">
        <v>0</v>
      </c>
      <c r="AE17" s="41">
        <f t="shared" si="1"/>
        <v>0</v>
      </c>
      <c r="AF17" s="95" t="s">
        <v>225</v>
      </c>
      <c r="AG17" s="559" t="s">
        <v>41</v>
      </c>
      <c r="AH17" s="560"/>
      <c r="AI17" s="178" t="s">
        <v>444</v>
      </c>
      <c r="AJ17" s="179"/>
      <c r="AK17" s="491"/>
      <c r="AL17" s="492"/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0</v>
      </c>
      <c r="G18" s="176">
        <v>0</v>
      </c>
      <c r="H18" s="176">
        <v>0</v>
      </c>
      <c r="I18" s="176">
        <v>0</v>
      </c>
      <c r="J18" s="176">
        <v>0</v>
      </c>
      <c r="K18" s="176">
        <v>0</v>
      </c>
      <c r="L18" s="176">
        <v>0</v>
      </c>
      <c r="M18" s="176">
        <v>0</v>
      </c>
      <c r="N18" s="176">
        <v>0</v>
      </c>
      <c r="O18" s="176">
        <v>0</v>
      </c>
      <c r="P18" s="176">
        <v>0</v>
      </c>
      <c r="Q18" s="176">
        <v>0</v>
      </c>
      <c r="R18" s="176">
        <v>0</v>
      </c>
      <c r="S18" s="176">
        <v>0</v>
      </c>
      <c r="T18" s="176">
        <v>0</v>
      </c>
      <c r="U18" s="176">
        <v>0</v>
      </c>
      <c r="V18" s="176">
        <v>0</v>
      </c>
      <c r="W18" s="176">
        <v>0</v>
      </c>
      <c r="X18" s="176">
        <v>0</v>
      </c>
      <c r="Y18" s="176">
        <v>0</v>
      </c>
      <c r="Z18" s="176">
        <v>0</v>
      </c>
      <c r="AA18" s="176">
        <v>0</v>
      </c>
      <c r="AB18" s="176">
        <v>0</v>
      </c>
      <c r="AC18" s="176">
        <v>0</v>
      </c>
      <c r="AD18" s="176">
        <v>0</v>
      </c>
      <c r="AE18" s="41">
        <f t="shared" si="1"/>
        <v>0</v>
      </c>
      <c r="AF18" s="95" t="s">
        <v>225</v>
      </c>
      <c r="AG18" s="550" t="s">
        <v>41</v>
      </c>
      <c r="AH18" s="542"/>
      <c r="AI18" s="178" t="s">
        <v>444</v>
      </c>
      <c r="AJ18" s="179"/>
      <c r="AK18" s="491"/>
      <c r="AL18" s="492"/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f t="shared" si="3"/>
        <v>0</v>
      </c>
      <c r="G19" s="176">
        <v>0</v>
      </c>
      <c r="H19" s="176">
        <v>0</v>
      </c>
      <c r="I19" s="176">
        <v>0</v>
      </c>
      <c r="J19" s="176">
        <v>0</v>
      </c>
      <c r="K19" s="176">
        <v>0</v>
      </c>
      <c r="L19" s="176">
        <v>0</v>
      </c>
      <c r="M19" s="176">
        <v>0</v>
      </c>
      <c r="N19" s="176">
        <v>0</v>
      </c>
      <c r="O19" s="176">
        <v>0</v>
      </c>
      <c r="P19" s="176">
        <v>0</v>
      </c>
      <c r="Q19" s="176">
        <v>0</v>
      </c>
      <c r="R19" s="176">
        <v>0</v>
      </c>
      <c r="S19" s="176">
        <v>0</v>
      </c>
      <c r="T19" s="176">
        <v>0</v>
      </c>
      <c r="U19" s="176">
        <v>0</v>
      </c>
      <c r="V19" s="176">
        <v>0</v>
      </c>
      <c r="W19" s="176">
        <v>0</v>
      </c>
      <c r="X19" s="176">
        <v>0</v>
      </c>
      <c r="Y19" s="176">
        <v>0</v>
      </c>
      <c r="Z19" s="176">
        <v>0</v>
      </c>
      <c r="AA19" s="176">
        <v>0</v>
      </c>
      <c r="AB19" s="176">
        <v>0</v>
      </c>
      <c r="AC19" s="176">
        <v>0</v>
      </c>
      <c r="AD19" s="176">
        <v>0</v>
      </c>
      <c r="AE19" s="41">
        <f t="shared" si="1"/>
        <v>0</v>
      </c>
      <c r="AF19" s="95" t="s">
        <v>225</v>
      </c>
      <c r="AG19" s="556" t="s">
        <v>41</v>
      </c>
      <c r="AH19" s="557"/>
      <c r="AI19" s="178" t="s">
        <v>444</v>
      </c>
      <c r="AJ19" s="179"/>
      <c r="AK19" s="491"/>
      <c r="AL19" s="492"/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6</v>
      </c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>
        <v>1</v>
      </c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6</v>
      </c>
      <c r="AF20" s="95" t="s">
        <v>281</v>
      </c>
      <c r="AG20" s="550" t="s">
        <v>41</v>
      </c>
      <c r="AH20" s="542"/>
      <c r="AI20" s="178" t="s">
        <v>444</v>
      </c>
      <c r="AJ20" s="179"/>
      <c r="AK20" s="491"/>
      <c r="AL20" s="492"/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13</v>
      </c>
      <c r="G21" s="176"/>
      <c r="H21" s="176"/>
      <c r="I21" s="176"/>
      <c r="J21" s="176"/>
      <c r="K21" s="176"/>
      <c r="L21" s="176"/>
      <c r="M21" s="176">
        <v>1</v>
      </c>
      <c r="N21" s="176">
        <v>1</v>
      </c>
      <c r="O21" s="176">
        <v>1</v>
      </c>
      <c r="P21" s="176">
        <v>1</v>
      </c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>
        <v>1</v>
      </c>
      <c r="X21" s="176">
        <v>1</v>
      </c>
      <c r="Y21" s="176">
        <v>1</v>
      </c>
      <c r="Z21" s="176"/>
      <c r="AA21" s="176"/>
      <c r="AB21" s="176"/>
      <c r="AC21" s="176"/>
      <c r="AD21" s="176"/>
      <c r="AE21" s="41">
        <f t="shared" si="1"/>
        <v>13</v>
      </c>
      <c r="AF21" s="95" t="s">
        <v>366</v>
      </c>
      <c r="AG21" s="550" t="s">
        <v>41</v>
      </c>
      <c r="AH21" s="542"/>
      <c r="AI21" s="178" t="s">
        <v>444</v>
      </c>
      <c r="AJ21" s="179"/>
      <c r="AK21" s="491"/>
      <c r="AL21" s="492"/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8</v>
      </c>
      <c r="G22" s="176">
        <v>1</v>
      </c>
      <c r="H22" s="176">
        <v>1</v>
      </c>
      <c r="I22" s="176">
        <v>1</v>
      </c>
      <c r="J22" s="176">
        <v>1</v>
      </c>
      <c r="K22" s="176">
        <v>1</v>
      </c>
      <c r="L22" s="176">
        <v>1</v>
      </c>
      <c r="M22" s="176">
        <v>1</v>
      </c>
      <c r="N22" s="176">
        <v>1</v>
      </c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41">
        <f t="shared" si="1"/>
        <v>8</v>
      </c>
      <c r="AF22" s="95" t="s">
        <v>482</v>
      </c>
      <c r="AG22" s="550" t="s">
        <v>41</v>
      </c>
      <c r="AH22" s="542"/>
      <c r="AI22" s="178" t="s">
        <v>444</v>
      </c>
      <c r="AJ22" s="179"/>
      <c r="AK22" s="491"/>
      <c r="AL22" s="492"/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13</v>
      </c>
      <c r="G23" s="176"/>
      <c r="H23" s="176"/>
      <c r="I23" s="176"/>
      <c r="J23" s="176"/>
      <c r="K23" s="176"/>
      <c r="L23" s="176"/>
      <c r="M23" s="176"/>
      <c r="N23" s="176"/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176">
        <v>1</v>
      </c>
      <c r="Y23" s="176">
        <v>1</v>
      </c>
      <c r="Z23" s="176">
        <v>1</v>
      </c>
      <c r="AA23" s="176">
        <v>1</v>
      </c>
      <c r="AB23" s="176"/>
      <c r="AC23" s="176"/>
      <c r="AD23" s="176"/>
      <c r="AE23" s="41">
        <f t="shared" si="1"/>
        <v>13</v>
      </c>
      <c r="AF23" s="95" t="s">
        <v>329</v>
      </c>
      <c r="AG23" s="550" t="s">
        <v>41</v>
      </c>
      <c r="AH23" s="542"/>
      <c r="AI23" s="178" t="s">
        <v>444</v>
      </c>
      <c r="AJ23" s="179"/>
      <c r="AK23" s="491"/>
      <c r="AL23" s="492"/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0</v>
      </c>
      <c r="G24" s="176">
        <v>0</v>
      </c>
      <c r="H24" s="176">
        <v>0</v>
      </c>
      <c r="I24" s="176">
        <v>0</v>
      </c>
      <c r="J24" s="176">
        <v>0</v>
      </c>
      <c r="K24" s="176">
        <v>0</v>
      </c>
      <c r="L24" s="176">
        <v>0</v>
      </c>
      <c r="M24" s="176">
        <v>0</v>
      </c>
      <c r="N24" s="176">
        <v>0</v>
      </c>
      <c r="O24" s="176">
        <v>0</v>
      </c>
      <c r="P24" s="176">
        <v>0</v>
      </c>
      <c r="Q24" s="176">
        <v>0</v>
      </c>
      <c r="R24" s="176">
        <v>0</v>
      </c>
      <c r="S24" s="176">
        <v>0</v>
      </c>
      <c r="T24" s="176">
        <v>0</v>
      </c>
      <c r="U24" s="176">
        <v>0</v>
      </c>
      <c r="V24" s="176">
        <v>0</v>
      </c>
      <c r="W24" s="176">
        <v>0</v>
      </c>
      <c r="X24" s="176">
        <v>0</v>
      </c>
      <c r="Y24" s="176">
        <v>0</v>
      </c>
      <c r="Z24" s="176">
        <v>0</v>
      </c>
      <c r="AA24" s="176">
        <v>0</v>
      </c>
      <c r="AB24" s="176">
        <v>0</v>
      </c>
      <c r="AC24" s="176">
        <v>0</v>
      </c>
      <c r="AD24" s="176">
        <v>0</v>
      </c>
      <c r="AE24" s="41">
        <f t="shared" si="1"/>
        <v>0</v>
      </c>
      <c r="AF24" s="95" t="s">
        <v>225</v>
      </c>
      <c r="AG24" s="550" t="s">
        <v>41</v>
      </c>
      <c r="AH24" s="542"/>
      <c r="AI24" s="178" t="s">
        <v>444</v>
      </c>
      <c r="AJ24" s="179"/>
      <c r="AK24" s="491"/>
      <c r="AL24" s="492"/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7</v>
      </c>
      <c r="G25" s="176">
        <v>1</v>
      </c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>
        <v>1</v>
      </c>
      <c r="AE25" s="41">
        <f t="shared" si="1"/>
        <v>7</v>
      </c>
      <c r="AF25" s="95" t="s">
        <v>935</v>
      </c>
      <c r="AG25" s="550" t="s">
        <v>41</v>
      </c>
      <c r="AH25" s="542"/>
      <c r="AI25" s="178" t="s">
        <v>444</v>
      </c>
      <c r="AJ25" s="179"/>
      <c r="AK25" s="491"/>
      <c r="AL25" s="492"/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0</v>
      </c>
      <c r="G26" s="176"/>
      <c r="H26" s="176"/>
      <c r="I26" s="176"/>
      <c r="J26" s="176"/>
      <c r="K26" s="176"/>
      <c r="L26" s="176"/>
      <c r="M26" s="176"/>
      <c r="N26" s="176" t="s">
        <v>915</v>
      </c>
      <c r="O26" s="176" t="s">
        <v>204</v>
      </c>
      <c r="P26" s="176" t="s">
        <v>47</v>
      </c>
      <c r="Q26" s="176" t="s">
        <v>204</v>
      </c>
      <c r="R26" s="176" t="s">
        <v>47</v>
      </c>
      <c r="S26" s="176" t="s">
        <v>203</v>
      </c>
      <c r="T26" s="176" t="s">
        <v>348</v>
      </c>
      <c r="U26" s="176" t="s">
        <v>201</v>
      </c>
      <c r="V26" s="176" t="s">
        <v>200</v>
      </c>
      <c r="W26" s="176" t="s">
        <v>350</v>
      </c>
      <c r="X26" s="176"/>
      <c r="Y26" s="176"/>
      <c r="Z26" s="176"/>
      <c r="AA26" s="176"/>
      <c r="AB26" s="176"/>
      <c r="AC26" s="176"/>
      <c r="AD26" s="176"/>
      <c r="AE26" s="41">
        <f t="shared" si="1"/>
        <v>0</v>
      </c>
      <c r="AF26" s="95" t="s">
        <v>6</v>
      </c>
      <c r="AG26" s="550" t="s">
        <v>41</v>
      </c>
      <c r="AH26" s="542"/>
      <c r="AI26" s="178" t="s">
        <v>444</v>
      </c>
      <c r="AJ26" s="179"/>
      <c r="AK26" s="491"/>
      <c r="AL26" s="492"/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0</v>
      </c>
      <c r="G27" s="176"/>
      <c r="H27" s="176"/>
      <c r="I27" s="176"/>
      <c r="J27" s="176"/>
      <c r="K27" s="176"/>
      <c r="L27" s="176"/>
      <c r="M27" s="176"/>
      <c r="N27" s="494" t="s">
        <v>231</v>
      </c>
      <c r="O27" s="494" t="s">
        <v>231</v>
      </c>
      <c r="P27" s="494" t="s">
        <v>231</v>
      </c>
      <c r="Q27" s="494" t="s">
        <v>231</v>
      </c>
      <c r="R27" s="494" t="s">
        <v>231</v>
      </c>
      <c r="S27" s="494" t="s">
        <v>231</v>
      </c>
      <c r="T27" s="494" t="s">
        <v>231</v>
      </c>
      <c r="U27" s="494" t="s">
        <v>231</v>
      </c>
      <c r="V27" s="494" t="s">
        <v>231</v>
      </c>
      <c r="W27" s="494" t="s">
        <v>231</v>
      </c>
      <c r="X27" s="494" t="s">
        <v>231</v>
      </c>
      <c r="Y27" s="494" t="s">
        <v>231</v>
      </c>
      <c r="Z27" s="494" t="s">
        <v>231</v>
      </c>
      <c r="AA27" s="494" t="s">
        <v>231</v>
      </c>
      <c r="AB27" s="494" t="s">
        <v>231</v>
      </c>
      <c r="AC27" s="176"/>
      <c r="AD27" s="176"/>
      <c r="AE27" s="41">
        <f t="shared" si="1"/>
        <v>0</v>
      </c>
      <c r="AF27" s="95" t="s">
        <v>380</v>
      </c>
      <c r="AG27" s="549" t="s">
        <v>912</v>
      </c>
      <c r="AH27" s="542"/>
      <c r="AI27" s="178" t="s">
        <v>444</v>
      </c>
      <c r="AJ27" s="179"/>
      <c r="AK27" s="491"/>
      <c r="AL27" s="492"/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6</v>
      </c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>
        <v>1</v>
      </c>
      <c r="V28" s="176">
        <v>1</v>
      </c>
      <c r="W28" s="176">
        <v>1</v>
      </c>
      <c r="X28" s="176">
        <v>1</v>
      </c>
      <c r="Y28" s="176">
        <v>1</v>
      </c>
      <c r="Z28" s="176">
        <v>1</v>
      </c>
      <c r="AA28" s="176"/>
      <c r="AB28" s="176"/>
      <c r="AC28" s="176"/>
      <c r="AD28" s="176"/>
      <c r="AE28" s="41">
        <f t="shared" si="1"/>
        <v>6</v>
      </c>
      <c r="AF28" s="95" t="s">
        <v>651</v>
      </c>
      <c r="AG28" s="550" t="s">
        <v>41</v>
      </c>
      <c r="AH28" s="542"/>
      <c r="AI28" s="178" t="s">
        <v>444</v>
      </c>
      <c r="AJ28" s="179"/>
      <c r="AK28" s="491"/>
      <c r="AL28" s="492"/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12</v>
      </c>
      <c r="G29" s="176"/>
      <c r="H29" s="176"/>
      <c r="I29" s="176"/>
      <c r="J29" s="176"/>
      <c r="K29" s="176"/>
      <c r="L29" s="176"/>
      <c r="M29" s="176"/>
      <c r="N29" s="176">
        <v>1</v>
      </c>
      <c r="O29" s="176">
        <v>1</v>
      </c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176">
        <v>1</v>
      </c>
      <c r="W29" s="176">
        <v>1</v>
      </c>
      <c r="X29" s="176">
        <v>1</v>
      </c>
      <c r="Y29" s="176">
        <v>1</v>
      </c>
      <c r="Z29" s="176"/>
      <c r="AA29" s="176"/>
      <c r="AB29" s="176"/>
      <c r="AC29" s="176"/>
      <c r="AD29" s="176"/>
      <c r="AE29" s="41">
        <f t="shared" si="1"/>
        <v>12</v>
      </c>
      <c r="AF29" s="95" t="s">
        <v>61</v>
      </c>
      <c r="AG29" s="556" t="s">
        <v>41</v>
      </c>
      <c r="AH29" s="557"/>
      <c r="AI29" s="178" t="s">
        <v>444</v>
      </c>
      <c r="AJ29" s="179"/>
      <c r="AK29" s="491"/>
      <c r="AL29" s="492"/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0</v>
      </c>
      <c r="G30" s="176"/>
      <c r="H30" s="176"/>
      <c r="I30" s="176"/>
      <c r="J30" s="176"/>
      <c r="K30" s="176"/>
      <c r="L30" s="176"/>
      <c r="M30" s="176"/>
      <c r="N30" s="494" t="s">
        <v>231</v>
      </c>
      <c r="O30" s="494" t="s">
        <v>231</v>
      </c>
      <c r="P30" s="494" t="s">
        <v>231</v>
      </c>
      <c r="Q30" s="494" t="s">
        <v>231</v>
      </c>
      <c r="R30" s="494" t="s">
        <v>231</v>
      </c>
      <c r="S30" s="494" t="s">
        <v>231</v>
      </c>
      <c r="T30" s="494" t="s">
        <v>231</v>
      </c>
      <c r="U30" s="494" t="s">
        <v>231</v>
      </c>
      <c r="V30" s="494" t="s">
        <v>231</v>
      </c>
      <c r="W30" s="494" t="s">
        <v>231</v>
      </c>
      <c r="X30" s="494" t="s">
        <v>231</v>
      </c>
      <c r="Y30" s="176"/>
      <c r="Z30" s="176"/>
      <c r="AA30" s="176"/>
      <c r="AB30" s="176"/>
      <c r="AC30" s="176"/>
      <c r="AD30" s="176"/>
      <c r="AE30" s="41">
        <f t="shared" si="1"/>
        <v>0</v>
      </c>
      <c r="AF30" s="95" t="s">
        <v>154</v>
      </c>
      <c r="AG30" s="550" t="s">
        <v>41</v>
      </c>
      <c r="AH30" s="542"/>
      <c r="AI30" s="178" t="s">
        <v>444</v>
      </c>
      <c r="AJ30" s="179"/>
      <c r="AK30" s="491"/>
      <c r="AL30" s="492"/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12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>
        <v>1</v>
      </c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176">
        <v>1</v>
      </c>
      <c r="X31" s="176">
        <v>1</v>
      </c>
      <c r="Y31" s="176"/>
      <c r="Z31" s="176">
        <v>1</v>
      </c>
      <c r="AA31" s="176">
        <v>1</v>
      </c>
      <c r="AB31" s="176">
        <v>1</v>
      </c>
      <c r="AC31" s="176">
        <v>1</v>
      </c>
      <c r="AD31" s="176"/>
      <c r="AE31" s="41">
        <f t="shared" si="1"/>
        <v>12</v>
      </c>
      <c r="AF31" s="95" t="s">
        <v>633</v>
      </c>
      <c r="AG31" s="550" t="s">
        <v>41</v>
      </c>
      <c r="AH31" s="542"/>
      <c r="AI31" s="178" t="s">
        <v>444</v>
      </c>
      <c r="AJ31" s="179"/>
      <c r="AK31" s="491"/>
      <c r="AL31" s="492"/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13</v>
      </c>
      <c r="G32" s="176"/>
      <c r="H32" s="176"/>
      <c r="I32" s="176"/>
      <c r="J32" s="176"/>
      <c r="K32" s="176"/>
      <c r="L32" s="176"/>
      <c r="M32" s="176"/>
      <c r="N32" s="176"/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>
        <v>1</v>
      </c>
      <c r="W32" s="176">
        <v>1</v>
      </c>
      <c r="X32" s="176">
        <v>1</v>
      </c>
      <c r="Y32" s="176">
        <v>1</v>
      </c>
      <c r="Z32" s="176">
        <v>1</v>
      </c>
      <c r="AA32" s="176">
        <v>1</v>
      </c>
      <c r="AB32" s="176"/>
      <c r="AC32" s="176"/>
      <c r="AD32" s="176"/>
      <c r="AE32" s="41">
        <f t="shared" si="1"/>
        <v>13</v>
      </c>
      <c r="AF32" s="95" t="s">
        <v>373</v>
      </c>
      <c r="AG32" s="558" t="s">
        <v>41</v>
      </c>
      <c r="AH32" s="542"/>
      <c r="AI32" s="178" t="s">
        <v>444</v>
      </c>
      <c r="AJ32" s="179"/>
      <c r="AK32" s="491"/>
      <c r="AL32" s="492"/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14</v>
      </c>
      <c r="G33" s="176"/>
      <c r="H33" s="176"/>
      <c r="I33" s="176"/>
      <c r="J33" s="176"/>
      <c r="K33" s="176"/>
      <c r="L33" s="176"/>
      <c r="M33" s="176"/>
      <c r="N33" s="176"/>
      <c r="O33" s="176">
        <v>1</v>
      </c>
      <c r="P33" s="176">
        <v>1</v>
      </c>
      <c r="Q33" s="176">
        <v>1</v>
      </c>
      <c r="R33" s="176">
        <v>1</v>
      </c>
      <c r="S33" s="176">
        <v>1</v>
      </c>
      <c r="T33" s="176">
        <v>1</v>
      </c>
      <c r="U33" s="176">
        <v>1</v>
      </c>
      <c r="V33" s="176">
        <v>1</v>
      </c>
      <c r="W33" s="176">
        <v>1</v>
      </c>
      <c r="X33" s="176">
        <v>1</v>
      </c>
      <c r="Y33" s="176">
        <v>1</v>
      </c>
      <c r="Z33" s="176">
        <v>1</v>
      </c>
      <c r="AA33" s="176">
        <v>1</v>
      </c>
      <c r="AB33" s="176">
        <v>1</v>
      </c>
      <c r="AC33" s="176"/>
      <c r="AD33" s="176"/>
      <c r="AE33" s="41">
        <f t="shared" si="1"/>
        <v>14</v>
      </c>
      <c r="AF33" s="95" t="s">
        <v>937</v>
      </c>
      <c r="AG33" s="550" t="s">
        <v>41</v>
      </c>
      <c r="AH33" s="542"/>
      <c r="AI33" s="178" t="s">
        <v>444</v>
      </c>
      <c r="AJ33" s="179"/>
      <c r="AK33" s="491"/>
      <c r="AL33" s="492"/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14</v>
      </c>
      <c r="G34" s="176"/>
      <c r="H34" s="176"/>
      <c r="I34" s="176"/>
      <c r="J34" s="176"/>
      <c r="K34" s="176"/>
      <c r="L34" s="176"/>
      <c r="M34" s="176"/>
      <c r="N34" s="176"/>
      <c r="O34" s="176"/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>
        <v>1</v>
      </c>
      <c r="X34" s="176">
        <v>1</v>
      </c>
      <c r="Y34" s="176">
        <v>1</v>
      </c>
      <c r="Z34" s="176">
        <v>1</v>
      </c>
      <c r="AA34" s="176">
        <v>1</v>
      </c>
      <c r="AB34" s="176">
        <v>1</v>
      </c>
      <c r="AC34" s="176">
        <v>1</v>
      </c>
      <c r="AD34" s="176"/>
      <c r="AE34" s="41">
        <f t="shared" si="1"/>
        <v>14</v>
      </c>
      <c r="AF34" s="95" t="s">
        <v>326</v>
      </c>
      <c r="AG34" s="550" t="s">
        <v>41</v>
      </c>
      <c r="AH34" s="542"/>
      <c r="AI34" s="178" t="s">
        <v>444</v>
      </c>
      <c r="AJ34" s="179"/>
      <c r="AK34" s="491"/>
      <c r="AL34" s="492"/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12</v>
      </c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176">
        <v>1</v>
      </c>
      <c r="Y35" s="176">
        <v>1</v>
      </c>
      <c r="Z35" s="176">
        <v>1</v>
      </c>
      <c r="AA35" s="176">
        <v>1</v>
      </c>
      <c r="AB35" s="176">
        <v>1</v>
      </c>
      <c r="AC35" s="176">
        <v>1</v>
      </c>
      <c r="AD35" s="176"/>
      <c r="AE35" s="41">
        <f t="shared" si="1"/>
        <v>12</v>
      </c>
      <c r="AF35" s="95" t="s">
        <v>133</v>
      </c>
      <c r="AG35" s="550" t="s">
        <v>41</v>
      </c>
      <c r="AH35" s="542"/>
      <c r="AI35" s="178" t="s">
        <v>444</v>
      </c>
      <c r="AJ35" s="179"/>
      <c r="AK35" s="491"/>
      <c r="AL35" s="492"/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0</v>
      </c>
      <c r="G36" s="176">
        <v>0</v>
      </c>
      <c r="H36" s="176">
        <v>0</v>
      </c>
      <c r="I36" s="176">
        <v>0</v>
      </c>
      <c r="J36" s="176"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0</v>
      </c>
      <c r="S36" s="176">
        <v>0</v>
      </c>
      <c r="T36" s="176">
        <v>0</v>
      </c>
      <c r="U36" s="176">
        <v>0</v>
      </c>
      <c r="V36" s="176">
        <v>0</v>
      </c>
      <c r="W36" s="176">
        <v>0</v>
      </c>
      <c r="X36" s="176">
        <v>0</v>
      </c>
      <c r="Y36" s="176">
        <v>0</v>
      </c>
      <c r="Z36" s="176">
        <v>0</v>
      </c>
      <c r="AA36" s="176">
        <v>0</v>
      </c>
      <c r="AB36" s="176">
        <v>0</v>
      </c>
      <c r="AC36" s="176">
        <v>0</v>
      </c>
      <c r="AD36" s="176">
        <v>0</v>
      </c>
      <c r="AE36" s="41">
        <f t="shared" si="1"/>
        <v>0</v>
      </c>
      <c r="AF36" s="95" t="s">
        <v>225</v>
      </c>
      <c r="AG36" s="550" t="s">
        <v>41</v>
      </c>
      <c r="AH36" s="542"/>
      <c r="AI36" s="178" t="s">
        <v>444</v>
      </c>
      <c r="AJ36" s="179"/>
      <c r="AK36" s="491"/>
      <c r="AL36" s="492"/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12</v>
      </c>
      <c r="G37" s="176"/>
      <c r="H37" s="176"/>
      <c r="I37" s="176"/>
      <c r="J37" s="176"/>
      <c r="K37" s="176"/>
      <c r="L37" s="176"/>
      <c r="M37" s="176"/>
      <c r="N37" s="176"/>
      <c r="O37" s="176">
        <v>1</v>
      </c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/>
      <c r="AB37" s="176"/>
      <c r="AC37" s="176"/>
      <c r="AD37" s="176"/>
      <c r="AE37" s="41">
        <f t="shared" si="1"/>
        <v>12</v>
      </c>
      <c r="AF37" s="95" t="s">
        <v>66</v>
      </c>
      <c r="AG37" s="550" t="s">
        <v>41</v>
      </c>
      <c r="AH37" s="542"/>
      <c r="AI37" s="178" t="s">
        <v>444</v>
      </c>
      <c r="AJ37" s="179"/>
      <c r="AK37" s="491"/>
      <c r="AL37" s="492"/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12</v>
      </c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>
        <v>1</v>
      </c>
      <c r="R38" s="176">
        <v>1</v>
      </c>
      <c r="S38" s="176">
        <v>1</v>
      </c>
      <c r="T38" s="176">
        <v>1</v>
      </c>
      <c r="U38" s="176">
        <v>1</v>
      </c>
      <c r="V38" s="176">
        <v>1</v>
      </c>
      <c r="W38" s="176"/>
      <c r="X38" s="176">
        <v>1</v>
      </c>
      <c r="Y38" s="176">
        <v>1</v>
      </c>
      <c r="Z38" s="176">
        <v>1</v>
      </c>
      <c r="AA38" s="176">
        <v>1</v>
      </c>
      <c r="AB38" s="176">
        <v>1</v>
      </c>
      <c r="AC38" s="176">
        <v>1</v>
      </c>
      <c r="AD38" s="176"/>
      <c r="AE38" s="41">
        <f t="shared" si="1"/>
        <v>12</v>
      </c>
      <c r="AF38" s="95" t="s">
        <v>287</v>
      </c>
      <c r="AG38" s="550" t="s">
        <v>41</v>
      </c>
      <c r="AH38" s="542"/>
      <c r="AI38" s="178" t="s">
        <v>444</v>
      </c>
      <c r="AJ38" s="179"/>
      <c r="AK38" s="491"/>
      <c r="AL38" s="492"/>
    </row>
    <row r="39" spans="1:38" ht="14.25" customHeight="1" thickBot="1">
      <c r="A39" s="38" t="s">
        <v>145</v>
      </c>
      <c r="B39" s="38" t="s">
        <v>76</v>
      </c>
      <c r="C39" s="38">
        <v>997829699</v>
      </c>
      <c r="D39" s="99">
        <v>3</v>
      </c>
      <c r="E39" s="122" t="s">
        <v>77</v>
      </c>
      <c r="F39" s="41">
        <f t="shared" si="3"/>
        <v>12</v>
      </c>
      <c r="G39" s="176"/>
      <c r="H39" s="176"/>
      <c r="I39" s="176"/>
      <c r="J39" s="176"/>
      <c r="K39" s="176"/>
      <c r="L39" s="176"/>
      <c r="M39" s="176"/>
      <c r="N39" s="176"/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>
        <v>1</v>
      </c>
      <c r="U39" s="176">
        <v>1</v>
      </c>
      <c r="V39" s="176">
        <v>1</v>
      </c>
      <c r="W39" s="176">
        <v>1</v>
      </c>
      <c r="X39" s="176">
        <v>1</v>
      </c>
      <c r="Y39" s="176">
        <v>1</v>
      </c>
      <c r="Z39" s="176">
        <v>1</v>
      </c>
      <c r="AA39" s="176"/>
      <c r="AB39" s="176"/>
      <c r="AC39" s="176"/>
      <c r="AD39" s="176"/>
      <c r="AE39" s="41">
        <f t="shared" si="1"/>
        <v>12</v>
      </c>
      <c r="AF39" s="95" t="s">
        <v>119</v>
      </c>
      <c r="AG39" s="550" t="s">
        <v>41</v>
      </c>
      <c r="AH39" s="542"/>
      <c r="AI39" s="178"/>
      <c r="AJ39" s="179"/>
      <c r="AK39" s="491"/>
      <c r="AL39" s="492"/>
    </row>
    <row r="40" spans="1:38" ht="14.25" customHeight="1" thickBot="1">
      <c r="A40" s="38" t="s">
        <v>145</v>
      </c>
      <c r="B40" s="38" t="s">
        <v>165</v>
      </c>
      <c r="C40" s="38">
        <v>992994680</v>
      </c>
      <c r="D40" s="117">
        <v>8</v>
      </c>
      <c r="E40" s="122" t="s">
        <v>166</v>
      </c>
      <c r="F40" s="41">
        <f>SUM(G40:AD40)</f>
        <v>13</v>
      </c>
      <c r="G40" s="176"/>
      <c r="H40" s="176"/>
      <c r="I40" s="176"/>
      <c r="J40" s="176"/>
      <c r="K40" s="176"/>
      <c r="L40" s="176"/>
      <c r="M40" s="176"/>
      <c r="N40" s="176"/>
      <c r="O40" s="176"/>
      <c r="P40" s="176">
        <v>1</v>
      </c>
      <c r="Q40" s="176">
        <v>1</v>
      </c>
      <c r="R40" s="176">
        <v>1</v>
      </c>
      <c r="S40" s="176">
        <v>1</v>
      </c>
      <c r="T40" s="176">
        <v>1</v>
      </c>
      <c r="U40" s="176">
        <v>1</v>
      </c>
      <c r="V40" s="176">
        <v>1</v>
      </c>
      <c r="W40" s="176">
        <v>1</v>
      </c>
      <c r="X40" s="176">
        <v>1</v>
      </c>
      <c r="Y40" s="176">
        <v>1</v>
      </c>
      <c r="Z40" s="176">
        <v>1</v>
      </c>
      <c r="AA40" s="176">
        <v>1</v>
      </c>
      <c r="AB40" s="176">
        <v>1</v>
      </c>
      <c r="AC40" s="176"/>
      <c r="AD40" s="176"/>
      <c r="AE40" s="41">
        <f>SUM(G40:AD40)</f>
        <v>13</v>
      </c>
      <c r="AF40" s="95" t="s">
        <v>936</v>
      </c>
      <c r="AG40" s="550" t="s">
        <v>41</v>
      </c>
      <c r="AH40" s="542"/>
      <c r="AI40" s="189" t="s">
        <v>444</v>
      </c>
      <c r="AJ40" s="179"/>
      <c r="AK40" s="179"/>
      <c r="AL40" s="179"/>
    </row>
    <row r="41" spans="1:38" ht="14.25" customHeight="1" thickBot="1">
      <c r="A41" s="38" t="s">
        <v>145</v>
      </c>
      <c r="B41" s="38" t="s">
        <v>181</v>
      </c>
      <c r="C41" s="38"/>
      <c r="D41" s="99">
        <v>12</v>
      </c>
      <c r="E41" s="122" t="s">
        <v>182</v>
      </c>
      <c r="F41" s="41">
        <f>SUM(G41:AD41)</f>
        <v>12</v>
      </c>
      <c r="G41" s="176"/>
      <c r="H41" s="176"/>
      <c r="I41" s="176"/>
      <c r="J41" s="176"/>
      <c r="K41" s="176"/>
      <c r="L41" s="176"/>
      <c r="M41" s="176"/>
      <c r="N41" s="176"/>
      <c r="O41" s="176"/>
      <c r="P41" s="176">
        <v>1</v>
      </c>
      <c r="Q41" s="176">
        <v>1</v>
      </c>
      <c r="R41" s="176">
        <v>1</v>
      </c>
      <c r="S41" s="176">
        <v>1</v>
      </c>
      <c r="T41" s="176">
        <v>1</v>
      </c>
      <c r="U41" s="176">
        <v>1</v>
      </c>
      <c r="V41" s="176">
        <v>1</v>
      </c>
      <c r="W41" s="176">
        <v>1</v>
      </c>
      <c r="X41" s="176">
        <v>1</v>
      </c>
      <c r="Y41" s="176"/>
      <c r="Z41" s="176">
        <v>1</v>
      </c>
      <c r="AA41" s="176">
        <v>1</v>
      </c>
      <c r="AB41" s="176">
        <v>1</v>
      </c>
      <c r="AC41" s="176"/>
      <c r="AD41" s="176"/>
      <c r="AE41" s="41">
        <f>SUM(G41:AD41)</f>
        <v>12</v>
      </c>
      <c r="AF41" s="95" t="s">
        <v>710</v>
      </c>
      <c r="AG41" s="550" t="s">
        <v>41</v>
      </c>
      <c r="AH41" s="542"/>
      <c r="AI41" s="189" t="s">
        <v>444</v>
      </c>
      <c r="AJ41" s="179"/>
      <c r="AK41" s="179"/>
      <c r="AL41" s="179"/>
    </row>
    <row r="42" spans="1:38" ht="14.25" customHeight="1" thickBot="1">
      <c r="A42" s="38" t="s">
        <v>145</v>
      </c>
      <c r="B42" s="38" t="s">
        <v>157</v>
      </c>
      <c r="C42" s="38">
        <v>990911747</v>
      </c>
      <c r="D42" s="99">
        <v>6</v>
      </c>
      <c r="E42" s="122" t="s">
        <v>158</v>
      </c>
      <c r="F42" s="41">
        <f>SUM(G42:AD42)</f>
        <v>10</v>
      </c>
      <c r="G42" s="176"/>
      <c r="H42" s="176"/>
      <c r="I42" s="176"/>
      <c r="J42" s="176"/>
      <c r="K42" s="176"/>
      <c r="L42" s="176"/>
      <c r="M42" s="176"/>
      <c r="N42" s="176">
        <v>1</v>
      </c>
      <c r="O42" s="176">
        <v>1</v>
      </c>
      <c r="P42" s="176">
        <v>1</v>
      </c>
      <c r="Q42" s="176">
        <v>1</v>
      </c>
      <c r="R42" s="176">
        <v>1</v>
      </c>
      <c r="S42" s="176">
        <v>1</v>
      </c>
      <c r="T42" s="176">
        <v>1</v>
      </c>
      <c r="U42" s="176">
        <v>1</v>
      </c>
      <c r="V42" s="176">
        <v>1</v>
      </c>
      <c r="W42" s="176">
        <v>1</v>
      </c>
      <c r="X42" s="176"/>
      <c r="Y42" s="176"/>
      <c r="Z42" s="176"/>
      <c r="AA42" s="176"/>
      <c r="AB42" s="176"/>
      <c r="AC42" s="176"/>
      <c r="AD42" s="176"/>
      <c r="AE42" s="41">
        <f>SUM(G42:AD42)</f>
        <v>10</v>
      </c>
      <c r="AF42" s="95" t="s">
        <v>61</v>
      </c>
      <c r="AG42" s="550" t="s">
        <v>41</v>
      </c>
      <c r="AH42" s="542"/>
      <c r="AI42" s="189" t="s">
        <v>444</v>
      </c>
      <c r="AJ42" s="179"/>
      <c r="AK42" s="179"/>
      <c r="AL42" s="179"/>
    </row>
    <row r="43" spans="1:38" ht="14.25" customHeight="1" thickBot="1">
      <c r="A43" s="38"/>
      <c r="B43" s="38"/>
      <c r="C43" s="38"/>
      <c r="D43" s="527"/>
      <c r="E43" s="122" t="s">
        <v>933</v>
      </c>
      <c r="F43" s="41">
        <f>SUM(G43:AD43)</f>
        <v>6</v>
      </c>
      <c r="G43" s="176">
        <v>0</v>
      </c>
      <c r="H43" s="176">
        <v>0</v>
      </c>
      <c r="I43" s="176">
        <v>0</v>
      </c>
      <c r="J43" s="176">
        <v>0</v>
      </c>
      <c r="K43" s="176">
        <v>0</v>
      </c>
      <c r="L43" s="176">
        <v>0</v>
      </c>
      <c r="M43" s="176">
        <v>0</v>
      </c>
      <c r="N43" s="176">
        <v>0</v>
      </c>
      <c r="O43" s="176">
        <v>0</v>
      </c>
      <c r="P43" s="176">
        <v>0</v>
      </c>
      <c r="Q43" s="176">
        <v>0</v>
      </c>
      <c r="R43" s="176">
        <v>0</v>
      </c>
      <c r="S43" s="176">
        <v>0</v>
      </c>
      <c r="T43" s="176">
        <v>0</v>
      </c>
      <c r="U43" s="176">
        <v>0</v>
      </c>
      <c r="V43" s="176">
        <v>0</v>
      </c>
      <c r="W43" s="176">
        <v>0</v>
      </c>
      <c r="X43" s="176">
        <v>1</v>
      </c>
      <c r="Y43" s="176">
        <v>1</v>
      </c>
      <c r="Z43" s="176">
        <v>1</v>
      </c>
      <c r="AA43" s="176">
        <v>1</v>
      </c>
      <c r="AB43" s="176">
        <v>1</v>
      </c>
      <c r="AC43" s="176">
        <v>1</v>
      </c>
      <c r="AD43" s="176">
        <v>0</v>
      </c>
      <c r="AE43" s="41">
        <f>SUM(G43:AD43)</f>
        <v>6</v>
      </c>
      <c r="AF43" s="95" t="s">
        <v>225</v>
      </c>
      <c r="AG43" s="550" t="s">
        <v>41</v>
      </c>
      <c r="AH43" s="542"/>
      <c r="AI43" s="189"/>
      <c r="AJ43" s="179"/>
      <c r="AK43" s="179"/>
      <c r="AL43" s="179"/>
    </row>
    <row r="44" spans="1:38" ht="14.25" customHeight="1" thickBot="1">
      <c r="A44" s="38"/>
      <c r="B44" s="38"/>
      <c r="C44" s="38"/>
      <c r="D44" s="527"/>
      <c r="E44" s="122" t="s">
        <v>934</v>
      </c>
      <c r="F44" s="41">
        <f>SUM(G44:AD44)</f>
        <v>0</v>
      </c>
      <c r="G44" s="176">
        <v>0</v>
      </c>
      <c r="H44" s="176">
        <v>0</v>
      </c>
      <c r="I44" s="176">
        <v>0</v>
      </c>
      <c r="J44" s="176">
        <v>0</v>
      </c>
      <c r="K44" s="176">
        <v>0</v>
      </c>
      <c r="L44" s="176">
        <v>0</v>
      </c>
      <c r="M44" s="176">
        <v>0</v>
      </c>
      <c r="N44" s="176">
        <v>0</v>
      </c>
      <c r="O44" s="176">
        <v>0</v>
      </c>
      <c r="P44" s="176">
        <v>0</v>
      </c>
      <c r="Q44" s="176">
        <v>0</v>
      </c>
      <c r="R44" s="176">
        <v>0</v>
      </c>
      <c r="S44" s="176">
        <v>0</v>
      </c>
      <c r="T44" s="176">
        <v>0</v>
      </c>
      <c r="U44" s="176">
        <v>0</v>
      </c>
      <c r="V44" s="176">
        <v>0</v>
      </c>
      <c r="W44" s="176">
        <v>0</v>
      </c>
      <c r="X44" s="176">
        <v>0</v>
      </c>
      <c r="Y44" s="176">
        <v>0</v>
      </c>
      <c r="Z44" s="176">
        <v>0</v>
      </c>
      <c r="AA44" s="176">
        <v>0</v>
      </c>
      <c r="AB44" s="176">
        <v>0</v>
      </c>
      <c r="AC44" s="176">
        <v>0</v>
      </c>
      <c r="AD44" s="176">
        <v>0</v>
      </c>
      <c r="AE44" s="41">
        <f>SUM(G44:AD44)</f>
        <v>0</v>
      </c>
      <c r="AF44" s="95" t="s">
        <v>225</v>
      </c>
      <c r="AG44" s="550" t="s">
        <v>41</v>
      </c>
      <c r="AH44" s="542"/>
      <c r="AI44" s="189"/>
      <c r="AJ44" s="179"/>
      <c r="AK44" s="179"/>
      <c r="AL44" s="179"/>
    </row>
    <row r="45" spans="1:38" ht="14.25" customHeight="1" thickBot="1">
      <c r="A45" s="38" t="s">
        <v>41</v>
      </c>
      <c r="B45" s="76" t="s">
        <v>126</v>
      </c>
      <c r="C45" s="76">
        <v>986256130</v>
      </c>
      <c r="D45" s="99">
        <v>32</v>
      </c>
      <c r="E45" s="145" t="s">
        <v>127</v>
      </c>
      <c r="F45" s="41">
        <f t="shared" si="3"/>
        <v>0</v>
      </c>
      <c r="G45" s="176">
        <v>0</v>
      </c>
      <c r="H45" s="176">
        <v>0</v>
      </c>
      <c r="I45" s="176">
        <v>0</v>
      </c>
      <c r="J45" s="176">
        <v>0</v>
      </c>
      <c r="K45" s="176">
        <v>0</v>
      </c>
      <c r="L45" s="176">
        <v>0</v>
      </c>
      <c r="M45" s="176">
        <v>0</v>
      </c>
      <c r="N45" s="176">
        <v>0</v>
      </c>
      <c r="O45" s="176">
        <v>0</v>
      </c>
      <c r="P45" s="176">
        <v>0</v>
      </c>
      <c r="Q45" s="176">
        <v>0</v>
      </c>
      <c r="R45" s="176">
        <v>0</v>
      </c>
      <c r="S45" s="176">
        <v>0</v>
      </c>
      <c r="T45" s="176">
        <v>0</v>
      </c>
      <c r="U45" s="176">
        <v>0</v>
      </c>
      <c r="V45" s="176">
        <v>0</v>
      </c>
      <c r="W45" s="176">
        <v>0</v>
      </c>
      <c r="X45" s="176">
        <v>0</v>
      </c>
      <c r="Y45" s="176">
        <v>0</v>
      </c>
      <c r="Z45" s="176">
        <v>0</v>
      </c>
      <c r="AA45" s="176">
        <v>0</v>
      </c>
      <c r="AB45" s="176">
        <v>0</v>
      </c>
      <c r="AC45" s="176">
        <v>0</v>
      </c>
      <c r="AD45" s="176">
        <v>0</v>
      </c>
      <c r="AE45" s="41">
        <f t="shared" si="1"/>
        <v>0</v>
      </c>
      <c r="AF45" s="95" t="s">
        <v>225</v>
      </c>
      <c r="AG45" s="551" t="s">
        <v>910</v>
      </c>
      <c r="AH45" s="555"/>
      <c r="AI45" s="189" t="s">
        <v>444</v>
      </c>
      <c r="AJ45" s="179"/>
      <c r="AK45" s="491"/>
      <c r="AL45" s="492"/>
    </row>
    <row r="46" spans="1:38" ht="14.25" customHeight="1" thickBot="1">
      <c r="A46" s="38" t="s">
        <v>41</v>
      </c>
      <c r="B46" s="38" t="s">
        <v>88</v>
      </c>
      <c r="C46" s="38">
        <v>985570860</v>
      </c>
      <c r="D46" s="99">
        <v>33</v>
      </c>
      <c r="E46" s="145" t="s">
        <v>89</v>
      </c>
      <c r="F46" s="41">
        <v>11</v>
      </c>
      <c r="G46" s="185"/>
      <c r="H46" s="185"/>
      <c r="I46" s="185"/>
      <c r="J46" s="185"/>
      <c r="K46" s="185"/>
      <c r="L46" s="185"/>
      <c r="M46" s="185"/>
      <c r="N46" s="185"/>
      <c r="O46" s="176"/>
      <c r="P46" s="577" t="s">
        <v>471</v>
      </c>
      <c r="Q46" s="555"/>
      <c r="R46" s="555"/>
      <c r="S46" s="555"/>
      <c r="T46" s="555"/>
      <c r="U46" s="555"/>
      <c r="V46" s="555"/>
      <c r="W46" s="555"/>
      <c r="X46" s="555"/>
      <c r="Y46" s="555"/>
      <c r="Z46" s="542"/>
      <c r="AA46" s="185"/>
      <c r="AB46" s="185"/>
      <c r="AC46" s="185"/>
      <c r="AD46" s="185"/>
      <c r="AE46" s="41">
        <v>11</v>
      </c>
      <c r="AF46" s="95" t="s">
        <v>164</v>
      </c>
      <c r="AG46" s="551" t="s">
        <v>471</v>
      </c>
      <c r="AH46" s="555"/>
      <c r="AI46" s="189" t="s">
        <v>444</v>
      </c>
      <c r="AJ46" s="179"/>
      <c r="AK46" s="491"/>
      <c r="AL46" s="492"/>
    </row>
    <row r="47" spans="1:38" ht="14.25" customHeight="1" thickBot="1">
      <c r="A47" s="511" t="s">
        <v>41</v>
      </c>
      <c r="B47" s="512" t="s">
        <v>137</v>
      </c>
      <c r="C47" s="511"/>
      <c r="D47" s="513">
        <v>34</v>
      </c>
      <c r="E47" s="145" t="s">
        <v>138</v>
      </c>
      <c r="F47" s="515">
        <v>14</v>
      </c>
      <c r="G47" s="176">
        <v>0</v>
      </c>
      <c r="H47" s="176">
        <v>0</v>
      </c>
      <c r="I47" s="176">
        <v>0</v>
      </c>
      <c r="J47" s="176">
        <v>0</v>
      </c>
      <c r="K47" s="176">
        <v>0</v>
      </c>
      <c r="L47" s="176">
        <v>0</v>
      </c>
      <c r="M47" s="176">
        <v>0</v>
      </c>
      <c r="N47" s="176">
        <v>0</v>
      </c>
      <c r="O47" s="176">
        <v>0</v>
      </c>
      <c r="P47" s="176">
        <v>0</v>
      </c>
      <c r="Q47" s="176">
        <v>0</v>
      </c>
      <c r="R47" s="176">
        <v>0</v>
      </c>
      <c r="S47" s="176">
        <v>0</v>
      </c>
      <c r="T47" s="176">
        <v>0</v>
      </c>
      <c r="U47" s="176">
        <v>0</v>
      </c>
      <c r="V47" s="176">
        <v>0</v>
      </c>
      <c r="W47" s="176">
        <v>0</v>
      </c>
      <c r="X47" s="176">
        <v>0</v>
      </c>
      <c r="Y47" s="176">
        <v>0</v>
      </c>
      <c r="Z47" s="176">
        <v>0</v>
      </c>
      <c r="AA47" s="176">
        <v>0</v>
      </c>
      <c r="AB47" s="176">
        <v>0</v>
      </c>
      <c r="AC47" s="176">
        <v>0</v>
      </c>
      <c r="AD47" s="176">
        <v>0</v>
      </c>
      <c r="AE47" s="515">
        <v>14</v>
      </c>
      <c r="AF47" s="95" t="s">
        <v>225</v>
      </c>
      <c r="AG47" s="551" t="s">
        <v>320</v>
      </c>
      <c r="AH47" s="542"/>
      <c r="AI47" s="189" t="s">
        <v>444</v>
      </c>
      <c r="AJ47" s="179"/>
      <c r="AK47" s="491"/>
      <c r="AL47" s="492"/>
    </row>
    <row r="48" spans="1:38" ht="14.25" customHeight="1" thickBot="1">
      <c r="A48" s="38" t="s">
        <v>41</v>
      </c>
      <c r="B48" s="190" t="s">
        <v>190</v>
      </c>
      <c r="C48" s="98"/>
      <c r="D48" s="99">
        <v>35</v>
      </c>
      <c r="E48" s="145" t="s">
        <v>191</v>
      </c>
      <c r="F48" s="41">
        <v>11</v>
      </c>
      <c r="G48" s="185"/>
      <c r="H48" s="185"/>
      <c r="I48" s="185"/>
      <c r="J48" s="185"/>
      <c r="K48" s="185"/>
      <c r="L48" s="185"/>
      <c r="M48" s="185"/>
      <c r="N48" s="595" t="s">
        <v>320</v>
      </c>
      <c r="O48" s="596"/>
      <c r="P48" s="596"/>
      <c r="Q48" s="596"/>
      <c r="R48" s="596"/>
      <c r="S48" s="596"/>
      <c r="T48" s="596"/>
      <c r="U48" s="596"/>
      <c r="V48" s="596"/>
      <c r="W48" s="596"/>
      <c r="X48" s="596"/>
      <c r="Y48" s="596"/>
      <c r="Z48" s="596"/>
      <c r="AA48" s="596"/>
      <c r="AB48" s="596"/>
      <c r="AC48" s="597"/>
      <c r="AD48" s="185"/>
      <c r="AE48" s="41">
        <v>11</v>
      </c>
      <c r="AF48" s="95" t="s">
        <v>913</v>
      </c>
      <c r="AG48" s="551" t="s">
        <v>320</v>
      </c>
      <c r="AH48" s="542"/>
      <c r="AI48" s="189" t="s">
        <v>444</v>
      </c>
      <c r="AJ48" s="179"/>
      <c r="AK48" s="491"/>
      <c r="AL48" s="492"/>
    </row>
    <row r="49" spans="1:38" ht="16.5" thickBot="1">
      <c r="A49" s="38" t="s">
        <v>41</v>
      </c>
      <c r="B49" s="38" t="s">
        <v>64</v>
      </c>
      <c r="C49" s="38">
        <v>995545886</v>
      </c>
      <c r="D49" s="99">
        <v>36</v>
      </c>
      <c r="E49" s="145" t="s">
        <v>65</v>
      </c>
      <c r="F49" s="41">
        <v>12</v>
      </c>
      <c r="G49" s="176">
        <v>0</v>
      </c>
      <c r="H49" s="176">
        <v>0</v>
      </c>
      <c r="I49" s="176">
        <v>0</v>
      </c>
      <c r="J49" s="176">
        <v>0</v>
      </c>
      <c r="K49" s="176">
        <v>0</v>
      </c>
      <c r="L49" s="176">
        <v>0</v>
      </c>
      <c r="M49" s="176">
        <v>0</v>
      </c>
      <c r="N49" s="176">
        <v>0</v>
      </c>
      <c r="O49" s="176">
        <v>0</v>
      </c>
      <c r="P49" s="176">
        <v>0</v>
      </c>
      <c r="Q49" s="176">
        <v>0</v>
      </c>
      <c r="R49" s="176">
        <v>0</v>
      </c>
      <c r="S49" s="176">
        <v>0</v>
      </c>
      <c r="T49" s="176">
        <v>0</v>
      </c>
      <c r="U49" s="176">
        <v>0</v>
      </c>
      <c r="V49" s="176">
        <v>0</v>
      </c>
      <c r="W49" s="176">
        <v>0</v>
      </c>
      <c r="X49" s="176">
        <v>0</v>
      </c>
      <c r="Y49" s="176">
        <v>0</v>
      </c>
      <c r="Z49" s="176">
        <v>0</v>
      </c>
      <c r="AA49" s="176">
        <v>0</v>
      </c>
      <c r="AB49" s="176">
        <v>0</v>
      </c>
      <c r="AC49" s="176">
        <v>0</v>
      </c>
      <c r="AD49" s="176">
        <v>0</v>
      </c>
      <c r="AE49" s="41">
        <v>12</v>
      </c>
      <c r="AF49" s="95" t="s">
        <v>225</v>
      </c>
      <c r="AG49" s="551" t="s">
        <v>473</v>
      </c>
      <c r="AH49" s="555"/>
      <c r="AI49" s="178" t="s">
        <v>444</v>
      </c>
      <c r="AJ49" s="179"/>
      <c r="AK49" s="491"/>
      <c r="AL49" s="492"/>
    </row>
    <row r="50" spans="1:38" ht="63.75" thickBot="1">
      <c r="A50" s="2"/>
      <c r="B50" s="2"/>
      <c r="C50" s="2"/>
      <c r="D50" s="128"/>
      <c r="E50" s="49"/>
      <c r="F50" s="50"/>
      <c r="G50" s="51" t="s">
        <v>9</v>
      </c>
      <c r="H50" s="51" t="s">
        <v>10</v>
      </c>
      <c r="I50" s="51" t="s">
        <v>11</v>
      </c>
      <c r="J50" s="51" t="s">
        <v>12</v>
      </c>
      <c r="K50" s="51" t="s">
        <v>13</v>
      </c>
      <c r="L50" s="51" t="s">
        <v>14</v>
      </c>
      <c r="M50" s="51" t="s">
        <v>15</v>
      </c>
      <c r="N50" s="51" t="s">
        <v>16</v>
      </c>
      <c r="O50" s="106" t="s">
        <v>17</v>
      </c>
      <c r="P50" s="106" t="s">
        <v>18</v>
      </c>
      <c r="Q50" s="107" t="s">
        <v>19</v>
      </c>
      <c r="R50" s="107" t="s">
        <v>20</v>
      </c>
      <c r="S50" s="107" t="s">
        <v>21</v>
      </c>
      <c r="T50" s="107" t="s">
        <v>22</v>
      </c>
      <c r="U50" s="107" t="s">
        <v>23</v>
      </c>
      <c r="V50" s="107" t="s">
        <v>24</v>
      </c>
      <c r="W50" s="107" t="s">
        <v>25</v>
      </c>
      <c r="X50" s="107" t="s">
        <v>26</v>
      </c>
      <c r="Y50" s="107" t="s">
        <v>27</v>
      </c>
      <c r="Z50" s="107" t="s">
        <v>28</v>
      </c>
      <c r="AA50" s="52" t="s">
        <v>29</v>
      </c>
      <c r="AB50" s="52" t="s">
        <v>30</v>
      </c>
      <c r="AC50" s="52" t="s">
        <v>31</v>
      </c>
      <c r="AD50" s="51" t="s">
        <v>32</v>
      </c>
      <c r="AE50" s="53"/>
      <c r="AF50" s="116"/>
      <c r="AG50" s="25"/>
      <c r="AH50" s="25"/>
      <c r="AI50" s="25"/>
      <c r="AJ50" s="25"/>
      <c r="AK50" s="491"/>
      <c r="AL50" s="492"/>
    </row>
    <row r="51" spans="1:38" ht="14.25" customHeight="1">
      <c r="A51" s="2"/>
      <c r="B51" s="2"/>
      <c r="C51" s="2"/>
      <c r="D51" s="152"/>
      <c r="E51" s="2"/>
      <c r="F51" s="2"/>
      <c r="AE51" s="2"/>
      <c r="AF51" s="2"/>
      <c r="AG51" s="2"/>
      <c r="AH51" s="2"/>
      <c r="AI51" s="2"/>
      <c r="AJ51" s="2"/>
      <c r="AK51" s="491"/>
      <c r="AL51" s="492"/>
    </row>
  </sheetData>
  <mergeCells count="49">
    <mergeCell ref="P46:Z46"/>
    <mergeCell ref="AG14:AH14"/>
    <mergeCell ref="A1:B1"/>
    <mergeCell ref="D3:AE3"/>
    <mergeCell ref="E4:F4"/>
    <mergeCell ref="E5:F5"/>
    <mergeCell ref="AG7:AH7"/>
    <mergeCell ref="AG8:AH8"/>
    <mergeCell ref="AG9:AH9"/>
    <mergeCell ref="AG10:AH10"/>
    <mergeCell ref="AG11:AH11"/>
    <mergeCell ref="AG12:AH12"/>
    <mergeCell ref="AG13:AH13"/>
    <mergeCell ref="AG26:AH26"/>
    <mergeCell ref="AG15:AH15"/>
    <mergeCell ref="AG16:AH16"/>
    <mergeCell ref="AG39:AH39"/>
    <mergeCell ref="AG17:AH17"/>
    <mergeCell ref="AG18:AH18"/>
    <mergeCell ref="AG19:AH19"/>
    <mergeCell ref="AG20:AH20"/>
    <mergeCell ref="AG21:AH21"/>
    <mergeCell ref="AG33:AH33"/>
    <mergeCell ref="AG22:AH22"/>
    <mergeCell ref="AG23:AH23"/>
    <mergeCell ref="AG24:AH24"/>
    <mergeCell ref="AG25:AH25"/>
    <mergeCell ref="AG27:AH27"/>
    <mergeCell ref="AG28:AH28"/>
    <mergeCell ref="AG29:AH29"/>
    <mergeCell ref="AG30:AH30"/>
    <mergeCell ref="AG32:AH32"/>
    <mergeCell ref="AG49:AH49"/>
    <mergeCell ref="N48:AC48"/>
    <mergeCell ref="AG31:AH31"/>
    <mergeCell ref="AG38:AH38"/>
    <mergeCell ref="AG43:AH43"/>
    <mergeCell ref="AG44:AH44"/>
    <mergeCell ref="AG41:AH41"/>
    <mergeCell ref="AG42:AH42"/>
    <mergeCell ref="AG45:AH45"/>
    <mergeCell ref="AG46:AH46"/>
    <mergeCell ref="AG47:AH47"/>
    <mergeCell ref="AG48:AH48"/>
    <mergeCell ref="AG34:AH34"/>
    <mergeCell ref="AG35:AH35"/>
    <mergeCell ref="AG36:AH36"/>
    <mergeCell ref="AG37:AH37"/>
    <mergeCell ref="AG40:AH40"/>
  </mergeCells>
  <conditionalFormatting sqref="E4:F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DB05-7E35-4CA4-A50F-77B9FD8EA896}">
  <dimension ref="A1:AL49"/>
  <sheetViews>
    <sheetView showGridLines="0" zoomScale="60" zoomScaleNormal="60" workbookViewId="0">
      <selection activeCell="E19" sqref="E19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5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347">
        <v>4</v>
      </c>
      <c r="H4" s="347">
        <v>3</v>
      </c>
      <c r="I4" s="347">
        <v>3</v>
      </c>
      <c r="J4" s="347">
        <v>3</v>
      </c>
      <c r="K4" s="347">
        <v>3</v>
      </c>
      <c r="L4" s="347">
        <v>3</v>
      </c>
      <c r="M4" s="347">
        <v>10</v>
      </c>
      <c r="N4" s="347">
        <v>13</v>
      </c>
      <c r="O4" s="347">
        <v>19</v>
      </c>
      <c r="P4" s="347">
        <v>27</v>
      </c>
      <c r="Q4" s="347">
        <v>31</v>
      </c>
      <c r="R4" s="347">
        <v>31</v>
      </c>
      <c r="S4" s="347">
        <v>31</v>
      </c>
      <c r="T4" s="347">
        <v>29</v>
      </c>
      <c r="U4" s="347">
        <v>29</v>
      </c>
      <c r="V4" s="347">
        <v>29</v>
      </c>
      <c r="W4" s="347">
        <v>29</v>
      </c>
      <c r="X4" s="347">
        <v>27</v>
      </c>
      <c r="Y4" s="347">
        <v>25</v>
      </c>
      <c r="Z4" s="347">
        <v>22</v>
      </c>
      <c r="AA4" s="347">
        <v>19</v>
      </c>
      <c r="AB4" s="347">
        <v>13</v>
      </c>
      <c r="AC4" s="347">
        <v>9</v>
      </c>
      <c r="AD4" s="347">
        <v>4</v>
      </c>
      <c r="AE4" s="18">
        <f>SUM(G4:AD4)</f>
        <v>416</v>
      </c>
      <c r="AF4" s="3"/>
      <c r="AG4" s="3"/>
      <c r="AH4" s="3"/>
      <c r="AI4" s="3"/>
      <c r="AJ4" s="3"/>
      <c r="AK4" s="3"/>
      <c r="AL4" s="3"/>
    </row>
    <row r="5" spans="1:38" ht="63.75" thickBot="1">
      <c r="A5" s="3"/>
      <c r="B5" s="2"/>
      <c r="C5" s="2"/>
      <c r="D5" s="19"/>
      <c r="E5" s="569">
        <v>9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1</v>
      </c>
      <c r="O6" s="28">
        <f t="shared" si="0"/>
        <v>1</v>
      </c>
      <c r="P6" s="28">
        <f t="shared" si="0"/>
        <v>1</v>
      </c>
      <c r="Q6" s="538">
        <f t="shared" si="0"/>
        <v>-2</v>
      </c>
      <c r="R6" s="538">
        <f t="shared" si="0"/>
        <v>-2</v>
      </c>
      <c r="S6" s="538">
        <f t="shared" si="0"/>
        <v>-2</v>
      </c>
      <c r="T6" s="538">
        <f t="shared" si="0"/>
        <v>-2</v>
      </c>
      <c r="U6" s="538">
        <f t="shared" si="0"/>
        <v>-2</v>
      </c>
      <c r="V6" s="538">
        <f t="shared" si="0"/>
        <v>-1</v>
      </c>
      <c r="W6" s="538">
        <f t="shared" si="0"/>
        <v>-2</v>
      </c>
      <c r="X6" s="538">
        <f t="shared" si="0"/>
        <v>-1</v>
      </c>
      <c r="Y6" s="538">
        <f t="shared" si="0"/>
        <v>-1</v>
      </c>
      <c r="Z6" s="538">
        <f t="shared" si="0"/>
        <v>-1</v>
      </c>
      <c r="AA6" s="538">
        <f t="shared" si="0"/>
        <v>-4</v>
      </c>
      <c r="AB6" s="538">
        <f t="shared" si="0"/>
        <v>-3</v>
      </c>
      <c r="AC6" s="538">
        <f t="shared" si="0"/>
        <v>-3</v>
      </c>
      <c r="AD6" s="28">
        <f t="shared" si="0"/>
        <v>0</v>
      </c>
      <c r="AE6" s="29">
        <f t="shared" ref="AE6:AE39" si="1">SUM(G6:AD6)</f>
        <v>-23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SUM(G8:G47)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10</v>
      </c>
      <c r="N7" s="172">
        <f t="shared" si="2"/>
        <v>14</v>
      </c>
      <c r="O7" s="172">
        <f t="shared" si="2"/>
        <v>20</v>
      </c>
      <c r="P7" s="172">
        <f t="shared" si="2"/>
        <v>28</v>
      </c>
      <c r="Q7" s="172">
        <f t="shared" si="2"/>
        <v>29</v>
      </c>
      <c r="R7" s="172">
        <f t="shared" si="2"/>
        <v>29</v>
      </c>
      <c r="S7" s="172">
        <f t="shared" si="2"/>
        <v>29</v>
      </c>
      <c r="T7" s="172">
        <f t="shared" si="2"/>
        <v>27</v>
      </c>
      <c r="U7" s="172">
        <f t="shared" si="2"/>
        <v>27</v>
      </c>
      <c r="V7" s="172">
        <f t="shared" si="2"/>
        <v>28</v>
      </c>
      <c r="W7" s="172">
        <f t="shared" si="2"/>
        <v>27</v>
      </c>
      <c r="X7" s="172">
        <f t="shared" si="2"/>
        <v>26</v>
      </c>
      <c r="Y7" s="172">
        <f t="shared" si="2"/>
        <v>24</v>
      </c>
      <c r="Z7" s="172">
        <f t="shared" si="2"/>
        <v>21</v>
      </c>
      <c r="AA7" s="172">
        <f t="shared" si="2"/>
        <v>15</v>
      </c>
      <c r="AB7" s="172">
        <f t="shared" si="2"/>
        <v>10</v>
      </c>
      <c r="AC7" s="172">
        <f t="shared" si="2"/>
        <v>6</v>
      </c>
      <c r="AD7" s="172">
        <f t="shared" si="2"/>
        <v>4</v>
      </c>
      <c r="AE7" s="168">
        <f t="shared" si="1"/>
        <v>393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39" si="3">SUM(G8:AD8)</f>
        <v>14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>
        <v>1</v>
      </c>
      <c r="Y8" s="176">
        <v>1</v>
      </c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14</v>
      </c>
      <c r="AF8" s="95" t="s">
        <v>324</v>
      </c>
      <c r="AG8" s="550" t="s">
        <v>41</v>
      </c>
      <c r="AH8" s="542"/>
      <c r="AI8" s="178" t="s">
        <v>444</v>
      </c>
      <c r="AJ8" s="179"/>
      <c r="AK8" s="489"/>
      <c r="AL8" s="490"/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13</v>
      </c>
      <c r="G9" s="176"/>
      <c r="H9" s="176"/>
      <c r="I9" s="176"/>
      <c r="J9" s="176"/>
      <c r="K9" s="176"/>
      <c r="L9" s="176"/>
      <c r="M9" s="176"/>
      <c r="N9" s="176">
        <v>1</v>
      </c>
      <c r="O9" s="176">
        <v>1</v>
      </c>
      <c r="P9" s="176">
        <v>1</v>
      </c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/>
      <c r="Y9" s="176">
        <v>1</v>
      </c>
      <c r="Z9" s="176">
        <v>1</v>
      </c>
      <c r="AA9" s="176">
        <v>1</v>
      </c>
      <c r="AB9" s="176"/>
      <c r="AC9" s="176"/>
      <c r="AD9" s="176"/>
      <c r="AE9" s="41">
        <f t="shared" si="1"/>
        <v>13</v>
      </c>
      <c r="AF9" s="95" t="s">
        <v>384</v>
      </c>
      <c r="AG9" s="556" t="s">
        <v>41</v>
      </c>
      <c r="AH9" s="557"/>
      <c r="AI9" s="178" t="s">
        <v>444</v>
      </c>
      <c r="AJ9" s="179"/>
      <c r="AK9" s="491"/>
      <c r="AL9" s="492"/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12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>
        <v>1</v>
      </c>
      <c r="T10" s="176">
        <v>1</v>
      </c>
      <c r="U10" s="176">
        <v>1</v>
      </c>
      <c r="V10" s="176">
        <v>1</v>
      </c>
      <c r="W10" s="176">
        <v>1</v>
      </c>
      <c r="X10" s="176">
        <v>1</v>
      </c>
      <c r="Y10" s="176"/>
      <c r="Z10" s="176"/>
      <c r="AA10" s="176"/>
      <c r="AB10" s="176"/>
      <c r="AC10" s="176"/>
      <c r="AD10" s="176"/>
      <c r="AE10" s="41">
        <f t="shared" si="1"/>
        <v>12</v>
      </c>
      <c r="AF10" s="95" t="s">
        <v>84</v>
      </c>
      <c r="AG10" s="556" t="s">
        <v>41</v>
      </c>
      <c r="AH10" s="557"/>
      <c r="AI10" s="178" t="s">
        <v>444</v>
      </c>
      <c r="AJ10" s="179"/>
      <c r="AK10" s="491"/>
      <c r="AL10" s="492"/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11</v>
      </c>
      <c r="G11" s="176"/>
      <c r="H11" s="176"/>
      <c r="I11" s="176"/>
      <c r="J11" s="176"/>
      <c r="K11" s="176"/>
      <c r="L11" s="176"/>
      <c r="M11" s="176"/>
      <c r="N11" s="176">
        <v>1</v>
      </c>
      <c r="O11" s="176">
        <v>1</v>
      </c>
      <c r="P11" s="176">
        <v>1</v>
      </c>
      <c r="Q11" s="176">
        <v>1</v>
      </c>
      <c r="R11" s="176">
        <v>1</v>
      </c>
      <c r="S11" s="176">
        <v>1</v>
      </c>
      <c r="T11" s="176">
        <v>1</v>
      </c>
      <c r="U11" s="176">
        <v>1</v>
      </c>
      <c r="V11" s="176">
        <v>1</v>
      </c>
      <c r="W11" s="176">
        <v>1</v>
      </c>
      <c r="X11" s="176">
        <v>1</v>
      </c>
      <c r="Y11" s="176"/>
      <c r="Z11" s="176"/>
      <c r="AA11" s="176"/>
      <c r="AB11" s="176"/>
      <c r="AC11" s="176"/>
      <c r="AD11" s="176"/>
      <c r="AE11" s="41">
        <f t="shared" si="1"/>
        <v>11</v>
      </c>
      <c r="AF11" s="95" t="s">
        <v>154</v>
      </c>
      <c r="AG11" s="561" t="s">
        <v>471</v>
      </c>
      <c r="AH11" s="562"/>
      <c r="AI11" s="178" t="s">
        <v>444</v>
      </c>
      <c r="AJ11" s="179"/>
      <c r="AK11" s="491"/>
      <c r="AL11" s="492"/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0</v>
      </c>
      <c r="G12" s="176"/>
      <c r="H12" s="176"/>
      <c r="I12" s="176"/>
      <c r="J12" s="176"/>
      <c r="K12" s="176"/>
      <c r="L12" s="176"/>
      <c r="M12" s="176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5"/>
      <c r="AB12" s="495"/>
      <c r="AC12" s="176"/>
      <c r="AD12" s="176"/>
      <c r="AE12" s="515">
        <f t="shared" si="1"/>
        <v>0</v>
      </c>
      <c r="AF12" s="95" t="s">
        <v>380</v>
      </c>
      <c r="AG12" s="558" t="s">
        <v>41</v>
      </c>
      <c r="AH12" s="542"/>
      <c r="AI12" s="517" t="s">
        <v>444</v>
      </c>
      <c r="AJ12" s="179"/>
      <c r="AK12" s="491"/>
      <c r="AL12" s="492"/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515">
        <f t="shared" si="3"/>
        <v>11</v>
      </c>
      <c r="G13" s="176"/>
      <c r="H13" s="176"/>
      <c r="I13" s="176"/>
      <c r="J13" s="176"/>
      <c r="K13" s="176"/>
      <c r="L13" s="176"/>
      <c r="M13" s="176">
        <v>1</v>
      </c>
      <c r="N13" s="176">
        <v>1</v>
      </c>
      <c r="O13" s="176">
        <v>1</v>
      </c>
      <c r="P13" s="176">
        <v>1</v>
      </c>
      <c r="Q13" s="176">
        <v>1</v>
      </c>
      <c r="R13" s="176">
        <v>1</v>
      </c>
      <c r="S13" s="176">
        <v>1</v>
      </c>
      <c r="T13" s="176">
        <v>1</v>
      </c>
      <c r="U13" s="176">
        <v>1</v>
      </c>
      <c r="V13" s="176">
        <v>1</v>
      </c>
      <c r="W13" s="176">
        <v>1</v>
      </c>
      <c r="X13" s="176"/>
      <c r="Y13" s="176"/>
      <c r="Z13" s="176"/>
      <c r="AA13" s="176"/>
      <c r="AB13" s="176"/>
      <c r="AC13" s="176"/>
      <c r="AD13" s="176"/>
      <c r="AE13" s="515">
        <f t="shared" si="1"/>
        <v>11</v>
      </c>
      <c r="AF13" s="95" t="s">
        <v>192</v>
      </c>
      <c r="AG13" s="550" t="s">
        <v>41</v>
      </c>
      <c r="AH13" s="542"/>
      <c r="AI13" s="178" t="s">
        <v>444</v>
      </c>
      <c r="AJ13" s="179"/>
      <c r="AK13" s="491"/>
      <c r="AL13" s="492"/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14</v>
      </c>
      <c r="G14" s="176">
        <v>1</v>
      </c>
      <c r="H14" s="176">
        <v>1</v>
      </c>
      <c r="I14" s="176">
        <v>1</v>
      </c>
      <c r="J14" s="176">
        <v>1</v>
      </c>
      <c r="K14" s="176">
        <v>1</v>
      </c>
      <c r="L14" s="176">
        <v>1</v>
      </c>
      <c r="M14" s="176">
        <v>1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>
        <v>1</v>
      </c>
      <c r="Y14" s="176">
        <v>1</v>
      </c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41">
        <f t="shared" si="1"/>
        <v>14</v>
      </c>
      <c r="AF14" s="95" t="s">
        <v>324</v>
      </c>
      <c r="AG14" s="550" t="s">
        <v>41</v>
      </c>
      <c r="AH14" s="542"/>
      <c r="AI14" s="178" t="s">
        <v>444</v>
      </c>
      <c r="AJ14" s="179"/>
      <c r="AK14" s="491"/>
      <c r="AL14" s="492"/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12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>
        <v>1</v>
      </c>
      <c r="Q15" s="176">
        <v>1</v>
      </c>
      <c r="R15" s="176">
        <v>1</v>
      </c>
      <c r="S15" s="176">
        <v>1</v>
      </c>
      <c r="T15" s="176">
        <v>1</v>
      </c>
      <c r="U15" s="176">
        <v>1</v>
      </c>
      <c r="V15" s="176">
        <v>1</v>
      </c>
      <c r="W15" s="176">
        <v>1</v>
      </c>
      <c r="X15" s="176">
        <v>1</v>
      </c>
      <c r="Y15" s="176"/>
      <c r="Z15" s="176">
        <v>1</v>
      </c>
      <c r="AA15" s="176">
        <v>1</v>
      </c>
      <c r="AB15" s="176">
        <v>1</v>
      </c>
      <c r="AC15" s="176"/>
      <c r="AD15" s="176"/>
      <c r="AE15" s="41">
        <f t="shared" si="1"/>
        <v>12</v>
      </c>
      <c r="AF15" s="95" t="s">
        <v>710</v>
      </c>
      <c r="AG15" s="550" t="s">
        <v>41</v>
      </c>
      <c r="AH15" s="542"/>
      <c r="AI15" s="178" t="s">
        <v>444</v>
      </c>
      <c r="AJ15" s="179"/>
      <c r="AK15" s="491"/>
      <c r="AL15" s="492"/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13</v>
      </c>
      <c r="G16" s="176"/>
      <c r="H16" s="176"/>
      <c r="I16" s="176"/>
      <c r="J16" s="176"/>
      <c r="K16" s="176"/>
      <c r="L16" s="176"/>
      <c r="M16" s="176"/>
      <c r="N16" s="176"/>
      <c r="O16" s="176">
        <v>1</v>
      </c>
      <c r="P16" s="176">
        <v>1</v>
      </c>
      <c r="Q16" s="176">
        <v>1</v>
      </c>
      <c r="R16" s="176">
        <v>1</v>
      </c>
      <c r="S16" s="176">
        <v>1</v>
      </c>
      <c r="T16" s="176">
        <v>1</v>
      </c>
      <c r="U16" s="176"/>
      <c r="V16" s="176">
        <v>1</v>
      </c>
      <c r="W16" s="176">
        <v>1</v>
      </c>
      <c r="X16" s="176">
        <v>1</v>
      </c>
      <c r="Y16" s="176">
        <v>1</v>
      </c>
      <c r="Z16" s="176">
        <v>1</v>
      </c>
      <c r="AA16" s="176">
        <v>1</v>
      </c>
      <c r="AB16" s="176">
        <v>1</v>
      </c>
      <c r="AC16" s="176"/>
      <c r="AD16" s="176"/>
      <c r="AE16" s="41">
        <f t="shared" si="1"/>
        <v>13</v>
      </c>
      <c r="AF16" s="95" t="s">
        <v>407</v>
      </c>
      <c r="AG16" s="550" t="s">
        <v>41</v>
      </c>
      <c r="AH16" s="542"/>
      <c r="AI16" s="178" t="s">
        <v>444</v>
      </c>
      <c r="AJ16" s="179"/>
      <c r="AK16" s="491"/>
      <c r="AL16" s="492"/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8</v>
      </c>
      <c r="G17" s="176"/>
      <c r="H17" s="176"/>
      <c r="I17" s="176"/>
      <c r="J17" s="176"/>
      <c r="K17" s="176"/>
      <c r="L17" s="176"/>
      <c r="M17" s="176"/>
      <c r="N17" s="176"/>
      <c r="O17" s="176">
        <v>1</v>
      </c>
      <c r="P17" s="176">
        <v>1</v>
      </c>
      <c r="Q17" s="176">
        <v>1</v>
      </c>
      <c r="R17" s="176">
        <v>1</v>
      </c>
      <c r="S17" s="176">
        <v>1</v>
      </c>
      <c r="T17" s="176">
        <v>1</v>
      </c>
      <c r="U17" s="176">
        <v>1</v>
      </c>
      <c r="V17" s="176">
        <v>1</v>
      </c>
      <c r="W17" s="176"/>
      <c r="X17" s="176"/>
      <c r="Y17" s="176"/>
      <c r="Z17" s="176"/>
      <c r="AA17" s="176"/>
      <c r="AB17" s="176"/>
      <c r="AC17" s="176"/>
      <c r="AD17" s="176"/>
      <c r="AE17" s="41">
        <f t="shared" si="1"/>
        <v>8</v>
      </c>
      <c r="AF17" s="95" t="s">
        <v>258</v>
      </c>
      <c r="AG17" s="559" t="s">
        <v>41</v>
      </c>
      <c r="AH17" s="560"/>
      <c r="AI17" s="178" t="s">
        <v>444</v>
      </c>
      <c r="AJ17" s="179"/>
      <c r="AK17" s="491"/>
      <c r="AL17" s="492"/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11</v>
      </c>
      <c r="G18" s="176"/>
      <c r="H18" s="176"/>
      <c r="I18" s="176"/>
      <c r="J18" s="176"/>
      <c r="K18" s="176"/>
      <c r="L18" s="176"/>
      <c r="M18" s="176"/>
      <c r="N18" s="176"/>
      <c r="O18" s="176"/>
      <c r="P18" s="176">
        <v>1</v>
      </c>
      <c r="Q18" s="176">
        <v>1</v>
      </c>
      <c r="R18" s="176">
        <v>1</v>
      </c>
      <c r="S18" s="176">
        <v>1</v>
      </c>
      <c r="T18" s="176">
        <v>1</v>
      </c>
      <c r="U18" s="176">
        <v>1</v>
      </c>
      <c r="V18" s="176">
        <v>1</v>
      </c>
      <c r="W18" s="176">
        <v>1</v>
      </c>
      <c r="X18" s="176">
        <v>1</v>
      </c>
      <c r="Y18" s="176">
        <v>1</v>
      </c>
      <c r="Z18" s="176">
        <v>1</v>
      </c>
      <c r="AA18" s="176"/>
      <c r="AB18" s="176"/>
      <c r="AC18" s="176"/>
      <c r="AD18" s="176"/>
      <c r="AE18" s="41">
        <f t="shared" si="1"/>
        <v>11</v>
      </c>
      <c r="AF18" s="95" t="s">
        <v>940</v>
      </c>
      <c r="AG18" s="550" t="s">
        <v>41</v>
      </c>
      <c r="AH18" s="542"/>
      <c r="AI18" s="178" t="s">
        <v>444</v>
      </c>
      <c r="AJ18" s="179"/>
      <c r="AK18" s="491"/>
      <c r="AL18" s="492"/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v>13</v>
      </c>
      <c r="G19" s="176"/>
      <c r="H19" s="176"/>
      <c r="I19" s="176"/>
      <c r="J19" s="176"/>
      <c r="K19" s="176"/>
      <c r="L19" s="176"/>
      <c r="M19" s="487">
        <v>1</v>
      </c>
      <c r="N19" s="487">
        <v>1</v>
      </c>
      <c r="O19" s="487">
        <v>1</v>
      </c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176"/>
      <c r="AA19" s="176"/>
      <c r="AB19" s="176"/>
      <c r="AC19" s="176"/>
      <c r="AD19" s="176"/>
      <c r="AE19" s="41">
        <v>13</v>
      </c>
      <c r="AF19" s="95" t="s">
        <v>261</v>
      </c>
      <c r="AG19" s="556" t="s">
        <v>41</v>
      </c>
      <c r="AH19" s="557"/>
      <c r="AI19" s="178" t="s">
        <v>444</v>
      </c>
      <c r="AJ19" s="179"/>
      <c r="AK19" s="491"/>
      <c r="AL19" s="492"/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14</v>
      </c>
      <c r="G20" s="176">
        <v>1</v>
      </c>
      <c r="H20" s="176">
        <v>1</v>
      </c>
      <c r="I20" s="176">
        <v>1</v>
      </c>
      <c r="J20" s="176">
        <v>1</v>
      </c>
      <c r="K20" s="176">
        <v>1</v>
      </c>
      <c r="L20" s="176">
        <v>1</v>
      </c>
      <c r="M20" s="176">
        <v>1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>
        <v>1</v>
      </c>
      <c r="Y20" s="176">
        <v>1</v>
      </c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14</v>
      </c>
      <c r="AF20" s="95" t="s">
        <v>324</v>
      </c>
      <c r="AG20" s="550" t="s">
        <v>41</v>
      </c>
      <c r="AH20" s="542"/>
      <c r="AI20" s="178" t="s">
        <v>444</v>
      </c>
      <c r="AJ20" s="179"/>
      <c r="AK20" s="491"/>
      <c r="AL20" s="492"/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13</v>
      </c>
      <c r="G21" s="176"/>
      <c r="H21" s="176"/>
      <c r="I21" s="176"/>
      <c r="J21" s="176"/>
      <c r="K21" s="176"/>
      <c r="L21" s="176"/>
      <c r="M21" s="176"/>
      <c r="N21" s="176">
        <v>1</v>
      </c>
      <c r="O21" s="176">
        <v>1</v>
      </c>
      <c r="P21" s="176">
        <v>1</v>
      </c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/>
      <c r="X21" s="176">
        <v>1</v>
      </c>
      <c r="Y21" s="176">
        <v>1</v>
      </c>
      <c r="Z21" s="176">
        <v>1</v>
      </c>
      <c r="AA21" s="176">
        <v>1</v>
      </c>
      <c r="AB21" s="176"/>
      <c r="AC21" s="176"/>
      <c r="AD21" s="176"/>
      <c r="AE21" s="41">
        <f t="shared" si="1"/>
        <v>13</v>
      </c>
      <c r="AF21" s="95" t="s">
        <v>942</v>
      </c>
      <c r="AG21" s="550" t="s">
        <v>41</v>
      </c>
      <c r="AH21" s="542"/>
      <c r="AI21" s="178" t="s">
        <v>444</v>
      </c>
      <c r="AJ21" s="179"/>
      <c r="AK21" s="491"/>
      <c r="AL21" s="492"/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11</v>
      </c>
      <c r="G22" s="176"/>
      <c r="H22" s="176"/>
      <c r="I22" s="176"/>
      <c r="J22" s="176"/>
      <c r="K22" s="176"/>
      <c r="L22" s="176"/>
      <c r="M22" s="176">
        <v>1</v>
      </c>
      <c r="N22" s="176">
        <v>1</v>
      </c>
      <c r="O22" s="176">
        <v>1</v>
      </c>
      <c r="P22" s="176">
        <v>1</v>
      </c>
      <c r="Q22" s="176">
        <v>1</v>
      </c>
      <c r="R22" s="176">
        <v>1</v>
      </c>
      <c r="S22" s="176">
        <v>1</v>
      </c>
      <c r="T22" s="176">
        <v>1</v>
      </c>
      <c r="U22" s="176">
        <v>1</v>
      </c>
      <c r="V22" s="176">
        <v>1</v>
      </c>
      <c r="W22" s="176">
        <v>1</v>
      </c>
      <c r="X22" s="176"/>
      <c r="Y22" s="176"/>
      <c r="Z22" s="176"/>
      <c r="AA22" s="176"/>
      <c r="AB22" s="176"/>
      <c r="AC22" s="176"/>
      <c r="AD22" s="176"/>
      <c r="AE22" s="41">
        <f t="shared" si="1"/>
        <v>11</v>
      </c>
      <c r="AF22" s="95" t="s">
        <v>192</v>
      </c>
      <c r="AG22" s="550" t="s">
        <v>41</v>
      </c>
      <c r="AH22" s="542"/>
      <c r="AI22" s="178" t="s">
        <v>444</v>
      </c>
      <c r="AJ22" s="179"/>
      <c r="AK22" s="491"/>
      <c r="AL22" s="492"/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11</v>
      </c>
      <c r="G23" s="176"/>
      <c r="H23" s="176"/>
      <c r="I23" s="176"/>
      <c r="J23" s="176"/>
      <c r="K23" s="176"/>
      <c r="L23" s="176"/>
      <c r="M23" s="176"/>
      <c r="N23" s="176"/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176">
        <v>1</v>
      </c>
      <c r="Y23" s="176">
        <v>1</v>
      </c>
      <c r="Z23" s="176"/>
      <c r="AA23" s="176"/>
      <c r="AB23" s="176"/>
      <c r="AC23" s="176"/>
      <c r="AD23" s="176"/>
      <c r="AE23" s="41">
        <f t="shared" si="1"/>
        <v>11</v>
      </c>
      <c r="AF23" s="95" t="s">
        <v>119</v>
      </c>
      <c r="AG23" s="550" t="s">
        <v>41</v>
      </c>
      <c r="AH23" s="542"/>
      <c r="AI23" s="178" t="s">
        <v>444</v>
      </c>
      <c r="AJ23" s="179"/>
      <c r="AK23" s="491"/>
      <c r="AL23" s="492"/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12</v>
      </c>
      <c r="G24" s="176"/>
      <c r="H24" s="176"/>
      <c r="I24" s="176"/>
      <c r="J24" s="176"/>
      <c r="K24" s="176"/>
      <c r="L24" s="176"/>
      <c r="M24" s="176">
        <v>1</v>
      </c>
      <c r="N24" s="176">
        <v>1</v>
      </c>
      <c r="O24" s="176">
        <v>1</v>
      </c>
      <c r="P24" s="176">
        <v>1</v>
      </c>
      <c r="Q24" s="176">
        <v>1</v>
      </c>
      <c r="R24" s="176">
        <v>1</v>
      </c>
      <c r="S24" s="176">
        <v>1</v>
      </c>
      <c r="T24" s="176">
        <v>1</v>
      </c>
      <c r="U24" s="176">
        <v>1</v>
      </c>
      <c r="V24" s="176">
        <v>1</v>
      </c>
      <c r="W24" s="176">
        <v>1</v>
      </c>
      <c r="X24" s="176">
        <v>1</v>
      </c>
      <c r="Y24" s="176"/>
      <c r="Z24" s="176"/>
      <c r="AA24" s="176"/>
      <c r="AB24" s="176"/>
      <c r="AC24" s="176"/>
      <c r="AD24" s="176"/>
      <c r="AE24" s="41">
        <f t="shared" si="1"/>
        <v>12</v>
      </c>
      <c r="AF24" s="95" t="s">
        <v>84</v>
      </c>
      <c r="AG24" s="550" t="s">
        <v>41</v>
      </c>
      <c r="AH24" s="542"/>
      <c r="AI24" s="178" t="s">
        <v>444</v>
      </c>
      <c r="AJ24" s="179"/>
      <c r="AK24" s="491"/>
      <c r="AL24" s="492"/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11</v>
      </c>
      <c r="G25" s="176">
        <v>1</v>
      </c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>
        <v>1</v>
      </c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>
        <v>1</v>
      </c>
      <c r="AE25" s="41">
        <f t="shared" si="1"/>
        <v>11</v>
      </c>
      <c r="AF25" s="95" t="s">
        <v>136</v>
      </c>
      <c r="AG25" s="550" t="s">
        <v>41</v>
      </c>
      <c r="AH25" s="542"/>
      <c r="AI25" s="178" t="s">
        <v>444</v>
      </c>
      <c r="AJ25" s="179"/>
      <c r="AK25" s="491"/>
      <c r="AL25" s="492"/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6</v>
      </c>
      <c r="G26" s="176"/>
      <c r="H26" s="176"/>
      <c r="I26" s="176"/>
      <c r="J26" s="176"/>
      <c r="K26" s="176"/>
      <c r="L26" s="176"/>
      <c r="M26" s="176"/>
      <c r="N26" s="176">
        <v>1</v>
      </c>
      <c r="O26" s="176">
        <v>1</v>
      </c>
      <c r="P26" s="176">
        <v>1</v>
      </c>
      <c r="Q26" s="176">
        <v>1</v>
      </c>
      <c r="R26" s="176">
        <v>1</v>
      </c>
      <c r="S26" s="176">
        <v>1</v>
      </c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41">
        <f t="shared" si="1"/>
        <v>6</v>
      </c>
      <c r="AF26" s="95" t="s">
        <v>84</v>
      </c>
      <c r="AG26" s="550" t="s">
        <v>41</v>
      </c>
      <c r="AH26" s="542"/>
      <c r="AI26" s="178" t="s">
        <v>444</v>
      </c>
      <c r="AJ26" s="179"/>
      <c r="AK26" s="491"/>
      <c r="AL26" s="492"/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13</v>
      </c>
      <c r="G27" s="176"/>
      <c r="H27" s="176"/>
      <c r="I27" s="176"/>
      <c r="J27" s="176"/>
      <c r="K27" s="176"/>
      <c r="L27" s="176"/>
      <c r="M27" s="176"/>
      <c r="N27" s="176"/>
      <c r="O27" s="176"/>
      <c r="P27" s="176">
        <v>1</v>
      </c>
      <c r="Q27" s="176">
        <v>1</v>
      </c>
      <c r="R27" s="176">
        <v>1</v>
      </c>
      <c r="S27" s="176">
        <v>1</v>
      </c>
      <c r="T27" s="176">
        <v>1</v>
      </c>
      <c r="U27" s="176"/>
      <c r="V27" s="176">
        <v>1</v>
      </c>
      <c r="W27" s="176">
        <v>1</v>
      </c>
      <c r="X27" s="176">
        <v>1</v>
      </c>
      <c r="Y27" s="176">
        <v>1</v>
      </c>
      <c r="Z27" s="176">
        <v>1</v>
      </c>
      <c r="AA27" s="176">
        <v>1</v>
      </c>
      <c r="AB27" s="176">
        <v>1</v>
      </c>
      <c r="AC27" s="176">
        <v>1</v>
      </c>
      <c r="AD27" s="176"/>
      <c r="AE27" s="41">
        <f t="shared" si="1"/>
        <v>13</v>
      </c>
      <c r="AF27" s="95" t="s">
        <v>941</v>
      </c>
      <c r="AG27" s="549" t="s">
        <v>912</v>
      </c>
      <c r="AH27" s="542"/>
      <c r="AI27" s="178" t="s">
        <v>444</v>
      </c>
      <c r="AJ27" s="179"/>
      <c r="AK27" s="491"/>
      <c r="AL27" s="492"/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12</v>
      </c>
      <c r="G28" s="176"/>
      <c r="H28" s="176"/>
      <c r="I28" s="176"/>
      <c r="J28" s="176"/>
      <c r="K28" s="176"/>
      <c r="L28" s="176"/>
      <c r="M28" s="176">
        <v>1</v>
      </c>
      <c r="N28" s="176">
        <v>1</v>
      </c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176"/>
      <c r="W28" s="176">
        <v>1</v>
      </c>
      <c r="X28" s="176">
        <v>1</v>
      </c>
      <c r="Y28" s="176">
        <v>1</v>
      </c>
      <c r="Z28" s="176"/>
      <c r="AA28" s="176"/>
      <c r="AB28" s="176"/>
      <c r="AC28" s="176"/>
      <c r="AD28" s="176"/>
      <c r="AE28" s="41">
        <f t="shared" si="1"/>
        <v>12</v>
      </c>
      <c r="AF28" s="95" t="s">
        <v>392</v>
      </c>
      <c r="AG28" s="550" t="s">
        <v>41</v>
      </c>
      <c r="AH28" s="542"/>
      <c r="AI28" s="178" t="s">
        <v>444</v>
      </c>
      <c r="AJ28" s="179"/>
      <c r="AK28" s="491"/>
      <c r="AL28" s="492"/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13</v>
      </c>
      <c r="G29" s="176"/>
      <c r="H29" s="176"/>
      <c r="I29" s="176"/>
      <c r="J29" s="176"/>
      <c r="K29" s="176"/>
      <c r="L29" s="176"/>
      <c r="M29" s="176"/>
      <c r="N29" s="176"/>
      <c r="O29" s="176"/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176">
        <v>1</v>
      </c>
      <c r="W29" s="176">
        <v>1</v>
      </c>
      <c r="X29" s="176">
        <v>1</v>
      </c>
      <c r="Y29" s="176">
        <v>1</v>
      </c>
      <c r="Z29" s="176">
        <v>1</v>
      </c>
      <c r="AA29" s="176">
        <v>1</v>
      </c>
      <c r="AB29" s="176">
        <v>1</v>
      </c>
      <c r="AC29" s="176"/>
      <c r="AD29" s="176"/>
      <c r="AE29" s="41">
        <f t="shared" si="1"/>
        <v>13</v>
      </c>
      <c r="AF29" s="95" t="s">
        <v>938</v>
      </c>
      <c r="AG29" s="556" t="s">
        <v>41</v>
      </c>
      <c r="AH29" s="557"/>
      <c r="AI29" s="178" t="s">
        <v>444</v>
      </c>
      <c r="AJ29" s="179"/>
      <c r="AK29" s="491"/>
      <c r="AL29" s="492"/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4</v>
      </c>
      <c r="G30" s="176"/>
      <c r="H30" s="176"/>
      <c r="I30" s="176"/>
      <c r="J30" s="176"/>
      <c r="K30" s="176"/>
      <c r="L30" s="176"/>
      <c r="M30" s="176"/>
      <c r="N30" s="176"/>
      <c r="O30" s="176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176">
        <v>1</v>
      </c>
      <c r="AA30" s="176">
        <v>1</v>
      </c>
      <c r="AB30" s="176">
        <v>1</v>
      </c>
      <c r="AC30" s="176">
        <v>1</v>
      </c>
      <c r="AD30" s="176"/>
      <c r="AE30" s="41">
        <f t="shared" si="1"/>
        <v>4</v>
      </c>
      <c r="AF30" s="95" t="s">
        <v>939</v>
      </c>
      <c r="AG30" s="550" t="s">
        <v>41</v>
      </c>
      <c r="AH30" s="542"/>
      <c r="AI30" s="178" t="s">
        <v>444</v>
      </c>
      <c r="AJ30" s="179"/>
      <c r="AK30" s="491"/>
      <c r="AL30" s="492"/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12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>
        <v>1</v>
      </c>
      <c r="Q31" s="176">
        <v>1</v>
      </c>
      <c r="R31" s="176">
        <v>1</v>
      </c>
      <c r="S31" s="176">
        <v>1</v>
      </c>
      <c r="T31" s="176"/>
      <c r="U31" s="176">
        <v>1</v>
      </c>
      <c r="V31" s="176">
        <v>1</v>
      </c>
      <c r="W31" s="176">
        <v>1</v>
      </c>
      <c r="X31" s="176">
        <v>1</v>
      </c>
      <c r="Y31" s="176">
        <v>1</v>
      </c>
      <c r="Z31" s="176">
        <v>1</v>
      </c>
      <c r="AA31" s="176">
        <v>1</v>
      </c>
      <c r="AB31" s="176">
        <v>1</v>
      </c>
      <c r="AC31" s="176"/>
      <c r="AD31" s="176"/>
      <c r="AE31" s="41">
        <f t="shared" si="1"/>
        <v>12</v>
      </c>
      <c r="AF31" s="95" t="s">
        <v>249</v>
      </c>
      <c r="AG31" s="550" t="s">
        <v>41</v>
      </c>
      <c r="AH31" s="542"/>
      <c r="AI31" s="178" t="s">
        <v>444</v>
      </c>
      <c r="AJ31" s="179"/>
      <c r="AK31" s="491"/>
      <c r="AL31" s="492"/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12</v>
      </c>
      <c r="G32" s="176"/>
      <c r="H32" s="176"/>
      <c r="I32" s="176"/>
      <c r="J32" s="176"/>
      <c r="K32" s="176"/>
      <c r="L32" s="176"/>
      <c r="M32" s="176"/>
      <c r="N32" s="176">
        <v>1</v>
      </c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>
        <v>1</v>
      </c>
      <c r="W32" s="176">
        <v>1</v>
      </c>
      <c r="X32" s="176">
        <v>1</v>
      </c>
      <c r="Y32" s="176">
        <v>1</v>
      </c>
      <c r="Z32" s="176"/>
      <c r="AA32" s="176"/>
      <c r="AB32" s="176"/>
      <c r="AC32" s="176"/>
      <c r="AD32" s="176"/>
      <c r="AE32" s="41">
        <f t="shared" si="1"/>
        <v>12</v>
      </c>
      <c r="AF32" s="95" t="s">
        <v>943</v>
      </c>
      <c r="AG32" s="558" t="s">
        <v>41</v>
      </c>
      <c r="AH32" s="542"/>
      <c r="AI32" s="178" t="s">
        <v>444</v>
      </c>
      <c r="AJ32" s="179"/>
      <c r="AK32" s="491"/>
      <c r="AL32" s="492"/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11</v>
      </c>
      <c r="G33" s="176"/>
      <c r="H33" s="176"/>
      <c r="I33" s="176"/>
      <c r="J33" s="176"/>
      <c r="K33" s="176"/>
      <c r="L33" s="176"/>
      <c r="M33" s="176"/>
      <c r="N33" s="176"/>
      <c r="O33" s="176"/>
      <c r="P33" s="176">
        <v>1</v>
      </c>
      <c r="Q33" s="176">
        <v>1</v>
      </c>
      <c r="R33" s="176">
        <v>1</v>
      </c>
      <c r="S33" s="176">
        <v>1</v>
      </c>
      <c r="T33" s="176">
        <v>1</v>
      </c>
      <c r="U33" s="176">
        <v>1</v>
      </c>
      <c r="V33" s="176">
        <v>1</v>
      </c>
      <c r="W33" s="176">
        <v>1</v>
      </c>
      <c r="X33" s="176"/>
      <c r="Y33" s="176">
        <v>1</v>
      </c>
      <c r="Z33" s="176">
        <v>1</v>
      </c>
      <c r="AA33" s="176">
        <v>1</v>
      </c>
      <c r="AB33" s="176"/>
      <c r="AC33" s="176"/>
      <c r="AD33" s="176"/>
      <c r="AE33" s="41">
        <f t="shared" si="1"/>
        <v>11</v>
      </c>
      <c r="AF33" s="95" t="s">
        <v>387</v>
      </c>
      <c r="AG33" s="550" t="s">
        <v>41</v>
      </c>
      <c r="AH33" s="542"/>
      <c r="AI33" s="178" t="s">
        <v>444</v>
      </c>
      <c r="AJ33" s="179"/>
      <c r="AK33" s="491"/>
      <c r="AL33" s="492"/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11</v>
      </c>
      <c r="G34" s="176"/>
      <c r="H34" s="176"/>
      <c r="I34" s="176"/>
      <c r="J34" s="176"/>
      <c r="K34" s="176"/>
      <c r="L34" s="176"/>
      <c r="M34" s="176"/>
      <c r="N34" s="176"/>
      <c r="O34" s="176"/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>
        <v>1</v>
      </c>
      <c r="X34" s="176">
        <v>1</v>
      </c>
      <c r="Y34" s="176">
        <v>1</v>
      </c>
      <c r="Z34" s="176">
        <v>1</v>
      </c>
      <c r="AA34" s="176"/>
      <c r="AB34" s="176"/>
      <c r="AC34" s="176"/>
      <c r="AD34" s="176"/>
      <c r="AE34" s="41">
        <f t="shared" si="1"/>
        <v>11</v>
      </c>
      <c r="AF34" s="95" t="s">
        <v>164</v>
      </c>
      <c r="AG34" s="550" t="s">
        <v>41</v>
      </c>
      <c r="AH34" s="542"/>
      <c r="AI34" s="178" t="s">
        <v>444</v>
      </c>
      <c r="AJ34" s="179"/>
      <c r="AK34" s="491"/>
      <c r="AL34" s="492"/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11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176">
        <v>1</v>
      </c>
      <c r="Y35" s="176">
        <v>1</v>
      </c>
      <c r="Z35" s="176"/>
      <c r="AA35" s="176"/>
      <c r="AB35" s="176"/>
      <c r="AC35" s="176"/>
      <c r="AD35" s="176"/>
      <c r="AE35" s="41">
        <f t="shared" si="1"/>
        <v>11</v>
      </c>
      <c r="AF35" s="95" t="s">
        <v>119</v>
      </c>
      <c r="AG35" s="550" t="s">
        <v>41</v>
      </c>
      <c r="AH35" s="542"/>
      <c r="AI35" s="178" t="s">
        <v>444</v>
      </c>
      <c r="AJ35" s="179"/>
      <c r="AK35" s="491"/>
      <c r="AL35" s="492"/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10</v>
      </c>
      <c r="G36" s="176"/>
      <c r="H36" s="176"/>
      <c r="I36" s="176"/>
      <c r="J36" s="176"/>
      <c r="K36" s="176"/>
      <c r="L36" s="176"/>
      <c r="M36" s="176"/>
      <c r="N36" s="176"/>
      <c r="O36" s="176"/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>
        <v>1</v>
      </c>
      <c r="W36" s="176">
        <v>1</v>
      </c>
      <c r="X36" s="176">
        <v>1</v>
      </c>
      <c r="Y36" s="176">
        <v>1</v>
      </c>
      <c r="Z36" s="176"/>
      <c r="AA36" s="176"/>
      <c r="AB36" s="176"/>
      <c r="AC36" s="176"/>
      <c r="AD36" s="176"/>
      <c r="AE36" s="41">
        <f t="shared" si="1"/>
        <v>10</v>
      </c>
      <c r="AF36" s="95" t="s">
        <v>302</v>
      </c>
      <c r="AG36" s="550" t="s">
        <v>41</v>
      </c>
      <c r="AH36" s="542"/>
      <c r="AI36" s="178" t="s">
        <v>444</v>
      </c>
      <c r="AJ36" s="179"/>
      <c r="AK36" s="491"/>
      <c r="AL36" s="492"/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11</v>
      </c>
      <c r="G37" s="176"/>
      <c r="H37" s="176"/>
      <c r="I37" s="176"/>
      <c r="J37" s="176"/>
      <c r="K37" s="176"/>
      <c r="L37" s="176"/>
      <c r="M37" s="176"/>
      <c r="N37" s="176"/>
      <c r="O37" s="176"/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/>
      <c r="AB37" s="176"/>
      <c r="AC37" s="176"/>
      <c r="AD37" s="176"/>
      <c r="AE37" s="41">
        <f t="shared" si="1"/>
        <v>11</v>
      </c>
      <c r="AF37" s="95" t="s">
        <v>164</v>
      </c>
      <c r="AG37" s="550" t="s">
        <v>41</v>
      </c>
      <c r="AH37" s="542"/>
      <c r="AI37" s="178" t="s">
        <v>444</v>
      </c>
      <c r="AJ37" s="179"/>
      <c r="AK37" s="491"/>
      <c r="AL37" s="492"/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12</v>
      </c>
      <c r="G38" s="176"/>
      <c r="H38" s="176"/>
      <c r="I38" s="176"/>
      <c r="J38" s="176"/>
      <c r="K38" s="176"/>
      <c r="L38" s="176"/>
      <c r="M38" s="176"/>
      <c r="N38" s="176"/>
      <c r="O38" s="176"/>
      <c r="P38" s="176">
        <v>1</v>
      </c>
      <c r="Q38" s="176">
        <v>1</v>
      </c>
      <c r="R38" s="176">
        <v>1</v>
      </c>
      <c r="S38" s="176">
        <v>1</v>
      </c>
      <c r="T38" s="176">
        <v>1</v>
      </c>
      <c r="U38" s="176">
        <v>1</v>
      </c>
      <c r="V38" s="176">
        <v>1</v>
      </c>
      <c r="W38" s="176">
        <v>1</v>
      </c>
      <c r="X38" s="176">
        <v>1</v>
      </c>
      <c r="Y38" s="176">
        <v>1</v>
      </c>
      <c r="Z38" s="176">
        <v>1</v>
      </c>
      <c r="AA38" s="176">
        <v>1</v>
      </c>
      <c r="AB38" s="176"/>
      <c r="AC38" s="176"/>
      <c r="AD38" s="176"/>
      <c r="AE38" s="41">
        <f t="shared" si="1"/>
        <v>12</v>
      </c>
      <c r="AF38" s="95" t="s">
        <v>69</v>
      </c>
      <c r="AG38" s="550" t="s">
        <v>41</v>
      </c>
      <c r="AH38" s="542"/>
      <c r="AI38" s="178" t="s">
        <v>444</v>
      </c>
      <c r="AJ38" s="179"/>
      <c r="AK38" s="491"/>
      <c r="AL38" s="492"/>
    </row>
    <row r="39" spans="1:38" ht="14.25" customHeight="1" thickBot="1">
      <c r="A39" s="38" t="s">
        <v>145</v>
      </c>
      <c r="B39" s="38" t="s">
        <v>76</v>
      </c>
      <c r="C39" s="38">
        <v>997829699</v>
      </c>
      <c r="D39" s="99">
        <v>3</v>
      </c>
      <c r="E39" s="122" t="s">
        <v>77</v>
      </c>
      <c r="F39" s="41">
        <f t="shared" si="3"/>
        <v>11</v>
      </c>
      <c r="G39" s="176"/>
      <c r="H39" s="176"/>
      <c r="I39" s="176"/>
      <c r="J39" s="176"/>
      <c r="K39" s="176"/>
      <c r="L39" s="176"/>
      <c r="M39" s="176">
        <v>1</v>
      </c>
      <c r="N39" s="176">
        <v>1</v>
      </c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>
        <v>1</v>
      </c>
      <c r="U39" s="176"/>
      <c r="V39" s="176">
        <v>1</v>
      </c>
      <c r="W39" s="176">
        <v>1</v>
      </c>
      <c r="X39" s="176">
        <v>1</v>
      </c>
      <c r="Y39" s="176"/>
      <c r="Z39" s="176"/>
      <c r="AA39" s="176"/>
      <c r="AB39" s="176"/>
      <c r="AC39" s="176"/>
      <c r="AD39" s="176"/>
      <c r="AE39" s="41">
        <f t="shared" si="1"/>
        <v>11</v>
      </c>
      <c r="AF39" s="95" t="s">
        <v>274</v>
      </c>
      <c r="AG39" s="550" t="s">
        <v>41</v>
      </c>
      <c r="AH39" s="542"/>
      <c r="AI39" s="178"/>
      <c r="AJ39" s="179"/>
      <c r="AK39" s="491"/>
      <c r="AL39" s="492"/>
    </row>
    <row r="40" spans="1:38" ht="14.25" customHeight="1" thickBot="1">
      <c r="A40" s="38" t="s">
        <v>145</v>
      </c>
      <c r="B40" s="38" t="s">
        <v>165</v>
      </c>
      <c r="C40" s="38">
        <v>992994680</v>
      </c>
      <c r="D40" s="117">
        <v>8</v>
      </c>
      <c r="E40" s="122" t="s">
        <v>166</v>
      </c>
      <c r="F40" s="41">
        <f>SUM(G40:AD40)</f>
        <v>12</v>
      </c>
      <c r="G40" s="185"/>
      <c r="H40" s="185"/>
      <c r="I40" s="185"/>
      <c r="J40" s="185"/>
      <c r="K40" s="185"/>
      <c r="L40" s="185"/>
      <c r="M40" s="185"/>
      <c r="N40" s="185">
        <v>1</v>
      </c>
      <c r="O40" s="185">
        <v>1</v>
      </c>
      <c r="P40" s="185">
        <v>1</v>
      </c>
      <c r="Q40" s="185">
        <v>1</v>
      </c>
      <c r="R40" s="185">
        <v>1</v>
      </c>
      <c r="S40" s="185">
        <v>1</v>
      </c>
      <c r="T40" s="185">
        <v>1</v>
      </c>
      <c r="U40" s="185">
        <v>1</v>
      </c>
      <c r="V40" s="185">
        <v>1</v>
      </c>
      <c r="W40" s="185">
        <v>1</v>
      </c>
      <c r="X40" s="185"/>
      <c r="Y40" s="185">
        <v>1</v>
      </c>
      <c r="Z40" s="185">
        <v>1</v>
      </c>
      <c r="AA40" s="185"/>
      <c r="AB40" s="185"/>
      <c r="AC40" s="185"/>
      <c r="AD40" s="185"/>
      <c r="AE40" s="41">
        <f>SUM(G40:AD40)</f>
        <v>12</v>
      </c>
      <c r="AF40" s="95" t="s">
        <v>341</v>
      </c>
      <c r="AG40" s="550" t="s">
        <v>41</v>
      </c>
      <c r="AH40" s="542"/>
      <c r="AI40" s="189" t="s">
        <v>444</v>
      </c>
      <c r="AJ40" s="179"/>
      <c r="AK40" s="179"/>
      <c r="AL40" s="179"/>
    </row>
    <row r="41" spans="1:38" ht="14.25" customHeight="1" thickBot="1">
      <c r="A41" s="38" t="s">
        <v>145</v>
      </c>
      <c r="B41" s="38" t="s">
        <v>181</v>
      </c>
      <c r="C41" s="38"/>
      <c r="D41" s="99">
        <v>12</v>
      </c>
      <c r="E41" s="122" t="s">
        <v>182</v>
      </c>
      <c r="F41" s="41">
        <f>SUM(G41:AD41)</f>
        <v>10</v>
      </c>
      <c r="G41" s="185"/>
      <c r="H41" s="185"/>
      <c r="I41" s="185"/>
      <c r="J41" s="185"/>
      <c r="K41" s="185"/>
      <c r="L41" s="185"/>
      <c r="M41" s="185"/>
      <c r="N41" s="185"/>
      <c r="O41" s="185"/>
      <c r="P41" s="185">
        <v>1</v>
      </c>
      <c r="Q41" s="185">
        <v>1</v>
      </c>
      <c r="R41" s="185">
        <v>1</v>
      </c>
      <c r="S41" s="185">
        <v>1</v>
      </c>
      <c r="T41" s="185">
        <v>1</v>
      </c>
      <c r="U41" s="185">
        <v>1</v>
      </c>
      <c r="V41" s="185"/>
      <c r="W41" s="185">
        <v>1</v>
      </c>
      <c r="X41" s="185">
        <v>1</v>
      </c>
      <c r="Y41" s="185">
        <v>1</v>
      </c>
      <c r="Z41" s="185">
        <v>1</v>
      </c>
      <c r="AA41" s="185"/>
      <c r="AB41" s="185"/>
      <c r="AC41" s="185"/>
      <c r="AD41" s="185"/>
      <c r="AE41" s="41">
        <f>SUM(G41:AD41)</f>
        <v>10</v>
      </c>
      <c r="AF41" s="95" t="s">
        <v>306</v>
      </c>
      <c r="AG41" s="550" t="s">
        <v>41</v>
      </c>
      <c r="AH41" s="542"/>
      <c r="AI41" s="189" t="s">
        <v>444</v>
      </c>
      <c r="AJ41" s="179"/>
      <c r="AK41" s="179"/>
      <c r="AL41" s="179"/>
    </row>
    <row r="42" spans="1:38" ht="14.25" customHeight="1" thickBot="1">
      <c r="A42" s="38" t="s">
        <v>145</v>
      </c>
      <c r="B42" s="38" t="s">
        <v>157</v>
      </c>
      <c r="C42" s="38">
        <v>990911747</v>
      </c>
      <c r="D42" s="99">
        <v>6</v>
      </c>
      <c r="E42" s="122" t="s">
        <v>158</v>
      </c>
      <c r="F42" s="41">
        <f>SUM(G42:AD42)</f>
        <v>9</v>
      </c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>
        <v>1</v>
      </c>
      <c r="R42" s="185">
        <v>1</v>
      </c>
      <c r="S42" s="185">
        <v>1</v>
      </c>
      <c r="T42" s="185">
        <v>1</v>
      </c>
      <c r="U42" s="185">
        <v>1</v>
      </c>
      <c r="V42" s="185">
        <v>1</v>
      </c>
      <c r="W42" s="185">
        <v>1</v>
      </c>
      <c r="X42" s="185">
        <v>1</v>
      </c>
      <c r="Y42" s="185">
        <v>1</v>
      </c>
      <c r="Z42" s="185"/>
      <c r="AA42" s="185"/>
      <c r="AB42" s="185"/>
      <c r="AC42" s="185"/>
      <c r="AD42" s="185"/>
      <c r="AE42" s="41">
        <f>SUM(G42:AD42)</f>
        <v>9</v>
      </c>
      <c r="AF42" s="95" t="s">
        <v>368</v>
      </c>
      <c r="AG42" s="550" t="s">
        <v>41</v>
      </c>
      <c r="AH42" s="542"/>
      <c r="AI42" s="189" t="s">
        <v>444</v>
      </c>
      <c r="AJ42" s="179"/>
      <c r="AK42" s="179"/>
      <c r="AL42" s="179"/>
    </row>
    <row r="43" spans="1:38" ht="14.25" customHeight="1" thickBot="1">
      <c r="A43" s="38" t="s">
        <v>41</v>
      </c>
      <c r="B43" s="76" t="s">
        <v>126</v>
      </c>
      <c r="C43" s="76">
        <v>986256130</v>
      </c>
      <c r="D43" s="99">
        <v>32</v>
      </c>
      <c r="E43" s="145" t="s">
        <v>127</v>
      </c>
      <c r="F43" s="41">
        <f>SUM(G43:AD43)</f>
        <v>11</v>
      </c>
      <c r="G43" s="185"/>
      <c r="H43" s="185"/>
      <c r="I43" s="185"/>
      <c r="J43" s="185"/>
      <c r="K43" s="185"/>
      <c r="L43" s="185"/>
      <c r="M43" s="185"/>
      <c r="N43" s="176"/>
      <c r="O43" s="176">
        <v>1</v>
      </c>
      <c r="P43" s="539"/>
      <c r="Q43" s="540">
        <v>1</v>
      </c>
      <c r="R43" s="540">
        <v>1</v>
      </c>
      <c r="S43" s="540">
        <v>1</v>
      </c>
      <c r="T43" s="540">
        <v>1</v>
      </c>
      <c r="U43" s="540">
        <v>1</v>
      </c>
      <c r="V43" s="540">
        <v>1</v>
      </c>
      <c r="W43" s="540">
        <v>1</v>
      </c>
      <c r="X43" s="540">
        <v>1</v>
      </c>
      <c r="Y43" s="541">
        <v>1</v>
      </c>
      <c r="Z43" s="176">
        <v>1</v>
      </c>
      <c r="AA43" s="185"/>
      <c r="AB43" s="185"/>
      <c r="AC43" s="185"/>
      <c r="AD43" s="185"/>
      <c r="AE43" s="41">
        <f>SUM(G43:AD43)</f>
        <v>11</v>
      </c>
      <c r="AF43" s="95" t="s">
        <v>66</v>
      </c>
      <c r="AG43" s="551" t="s">
        <v>910</v>
      </c>
      <c r="AH43" s="555"/>
      <c r="AI43" s="189" t="s">
        <v>444</v>
      </c>
      <c r="AJ43" s="179"/>
      <c r="AK43" s="491"/>
      <c r="AL43" s="492"/>
    </row>
    <row r="44" spans="1:38" ht="14.25" customHeight="1" thickBot="1">
      <c r="A44" s="38" t="s">
        <v>41</v>
      </c>
      <c r="B44" s="38" t="s">
        <v>88</v>
      </c>
      <c r="C44" s="38">
        <v>985570860</v>
      </c>
      <c r="D44" s="99">
        <v>33</v>
      </c>
      <c r="E44" s="145" t="s">
        <v>89</v>
      </c>
      <c r="F44" s="41">
        <v>12</v>
      </c>
      <c r="G44" s="185"/>
      <c r="H44" s="185"/>
      <c r="I44" s="185"/>
      <c r="J44" s="185"/>
      <c r="K44" s="185"/>
      <c r="L44" s="185"/>
      <c r="M44" s="185"/>
      <c r="N44" s="176"/>
      <c r="O44" s="176"/>
      <c r="P44" s="552" t="s">
        <v>471</v>
      </c>
      <c r="Q44" s="553"/>
      <c r="R44" s="553"/>
      <c r="S44" s="553"/>
      <c r="T44" s="553"/>
      <c r="U44" s="553"/>
      <c r="V44" s="553"/>
      <c r="W44" s="553"/>
      <c r="X44" s="553"/>
      <c r="Y44" s="553"/>
      <c r="Z44" s="554"/>
      <c r="AA44" s="187">
        <v>1</v>
      </c>
      <c r="AB44" s="185"/>
      <c r="AC44" s="185"/>
      <c r="AD44" s="185"/>
      <c r="AE44" s="41">
        <v>12</v>
      </c>
      <c r="AF44" s="95" t="s">
        <v>69</v>
      </c>
      <c r="AG44" s="551" t="s">
        <v>471</v>
      </c>
      <c r="AH44" s="555"/>
      <c r="AI44" s="189" t="s">
        <v>444</v>
      </c>
      <c r="AJ44" s="179"/>
      <c r="AK44" s="491"/>
      <c r="AL44" s="492"/>
    </row>
    <row r="45" spans="1:38" ht="14.25" customHeight="1" thickBot="1">
      <c r="A45" s="511" t="s">
        <v>41</v>
      </c>
      <c r="B45" s="512" t="s">
        <v>137</v>
      </c>
      <c r="C45" s="511"/>
      <c r="D45" s="513">
        <v>34</v>
      </c>
      <c r="E45" s="145" t="s">
        <v>138</v>
      </c>
      <c r="F45" s="41">
        <v>9</v>
      </c>
      <c r="G45" s="185"/>
      <c r="H45" s="185"/>
      <c r="I45" s="185"/>
      <c r="J45" s="185"/>
      <c r="K45" s="185"/>
      <c r="L45" s="185"/>
      <c r="M45" s="185"/>
      <c r="N45" s="529">
        <v>1</v>
      </c>
      <c r="O45" s="529">
        <v>1</v>
      </c>
      <c r="P45" s="530">
        <v>1</v>
      </c>
      <c r="Q45" s="530"/>
      <c r="R45" s="530"/>
      <c r="S45" s="530"/>
      <c r="T45" s="530"/>
      <c r="U45" s="529"/>
      <c r="V45" s="185">
        <v>1</v>
      </c>
      <c r="W45" s="185"/>
      <c r="X45" s="185"/>
      <c r="Y45" s="185"/>
      <c r="Z45" s="185"/>
      <c r="AA45" s="185"/>
      <c r="AB45" s="185"/>
      <c r="AC45" s="185"/>
      <c r="AD45" s="185"/>
      <c r="AE45" s="41">
        <v>9</v>
      </c>
      <c r="AF45" s="95" t="s">
        <v>228</v>
      </c>
      <c r="AG45" s="551" t="s">
        <v>320</v>
      </c>
      <c r="AH45" s="542"/>
      <c r="AI45" s="189" t="s">
        <v>444</v>
      </c>
      <c r="AJ45" s="179"/>
      <c r="AK45" s="491"/>
      <c r="AL45" s="492"/>
    </row>
    <row r="46" spans="1:38" ht="14.25" customHeight="1" thickBot="1">
      <c r="A46" s="38" t="s">
        <v>41</v>
      </c>
      <c r="B46" s="190" t="s">
        <v>190</v>
      </c>
      <c r="C46" s="98"/>
      <c r="D46" s="99">
        <v>35</v>
      </c>
      <c r="E46" s="145" t="s">
        <v>191</v>
      </c>
      <c r="F46" s="515">
        <v>9</v>
      </c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>
        <v>1</v>
      </c>
      <c r="V46" s="529"/>
      <c r="W46" s="529"/>
      <c r="X46" s="530"/>
      <c r="Y46" s="530"/>
      <c r="Z46" s="530"/>
      <c r="AA46" s="530"/>
      <c r="AB46" s="530"/>
      <c r="AC46" s="529"/>
      <c r="AD46" s="185"/>
      <c r="AE46" s="515">
        <v>9</v>
      </c>
      <c r="AF46" s="504" t="s">
        <v>81</v>
      </c>
      <c r="AG46" s="551" t="s">
        <v>320</v>
      </c>
      <c r="AH46" s="542"/>
      <c r="AI46" s="189" t="s">
        <v>444</v>
      </c>
      <c r="AJ46" s="179"/>
      <c r="AK46" s="491"/>
      <c r="AL46" s="492"/>
    </row>
    <row r="47" spans="1:38" ht="16.5" thickBot="1">
      <c r="A47" s="38" t="s">
        <v>41</v>
      </c>
      <c r="B47" s="38" t="s">
        <v>64</v>
      </c>
      <c r="C47" s="38">
        <v>995545886</v>
      </c>
      <c r="D47" s="99">
        <v>36</v>
      </c>
      <c r="E47" s="145" t="s">
        <v>65</v>
      </c>
      <c r="F47" s="41">
        <v>12</v>
      </c>
      <c r="G47" s="185"/>
      <c r="H47" s="185"/>
      <c r="I47" s="185"/>
      <c r="J47" s="185"/>
      <c r="K47" s="185"/>
      <c r="L47" s="185"/>
      <c r="M47" s="185"/>
      <c r="N47" s="176"/>
      <c r="O47" s="176">
        <v>1</v>
      </c>
      <c r="P47" s="552" t="s">
        <v>914</v>
      </c>
      <c r="Q47" s="553"/>
      <c r="R47" s="553"/>
      <c r="S47" s="553"/>
      <c r="T47" s="553"/>
      <c r="U47" s="553"/>
      <c r="V47" s="553"/>
      <c r="W47" s="553"/>
      <c r="X47" s="553"/>
      <c r="Y47" s="554"/>
      <c r="Z47" s="176">
        <v>1</v>
      </c>
      <c r="AA47" s="185"/>
      <c r="AB47" s="185"/>
      <c r="AC47" s="185"/>
      <c r="AD47" s="185"/>
      <c r="AE47" s="41">
        <v>12</v>
      </c>
      <c r="AF47" s="95" t="s">
        <v>66</v>
      </c>
      <c r="AG47" s="551" t="s">
        <v>473</v>
      </c>
      <c r="AH47" s="555"/>
      <c r="AI47" s="178" t="s">
        <v>444</v>
      </c>
      <c r="AJ47" s="179"/>
      <c r="AK47" s="491"/>
      <c r="AL47" s="492"/>
    </row>
    <row r="48" spans="1:38" ht="63.75" thickBot="1">
      <c r="A48" s="2"/>
      <c r="B48" s="2"/>
      <c r="C48" s="2"/>
      <c r="D48" s="128"/>
      <c r="E48" s="49"/>
      <c r="F48" s="50"/>
      <c r="G48" s="51" t="s">
        <v>9</v>
      </c>
      <c r="H48" s="51" t="s">
        <v>10</v>
      </c>
      <c r="I48" s="51" t="s">
        <v>11</v>
      </c>
      <c r="J48" s="51" t="s">
        <v>12</v>
      </c>
      <c r="K48" s="51" t="s">
        <v>13</v>
      </c>
      <c r="L48" s="51" t="s">
        <v>14</v>
      </c>
      <c r="M48" s="51" t="s">
        <v>15</v>
      </c>
      <c r="N48" s="51" t="s">
        <v>16</v>
      </c>
      <c r="O48" s="106" t="s">
        <v>17</v>
      </c>
      <c r="P48" s="106" t="s">
        <v>18</v>
      </c>
      <c r="Q48" s="107" t="s">
        <v>19</v>
      </c>
      <c r="R48" s="107" t="s">
        <v>20</v>
      </c>
      <c r="S48" s="107" t="s">
        <v>21</v>
      </c>
      <c r="T48" s="107" t="s">
        <v>22</v>
      </c>
      <c r="U48" s="107" t="s">
        <v>23</v>
      </c>
      <c r="V48" s="107" t="s">
        <v>24</v>
      </c>
      <c r="W48" s="107" t="s">
        <v>25</v>
      </c>
      <c r="X48" s="107" t="s">
        <v>26</v>
      </c>
      <c r="Y48" s="107" t="s">
        <v>27</v>
      </c>
      <c r="Z48" s="107" t="s">
        <v>28</v>
      </c>
      <c r="AA48" s="52" t="s">
        <v>29</v>
      </c>
      <c r="AB48" s="52" t="s">
        <v>30</v>
      </c>
      <c r="AC48" s="52" t="s">
        <v>31</v>
      </c>
      <c r="AD48" s="51" t="s">
        <v>32</v>
      </c>
      <c r="AE48" s="53"/>
      <c r="AF48" s="116"/>
      <c r="AG48" s="25"/>
      <c r="AH48" s="25"/>
      <c r="AI48" s="25"/>
      <c r="AJ48" s="25"/>
      <c r="AK48" s="491"/>
      <c r="AL48" s="492"/>
    </row>
    <row r="49" spans="1:38" ht="14.25" customHeight="1">
      <c r="A49" s="2"/>
      <c r="B49" s="2"/>
      <c r="C49" s="2"/>
      <c r="D49" s="152"/>
      <c r="E49" s="2"/>
      <c r="F49" s="2"/>
      <c r="AE49" s="2"/>
      <c r="AF49" s="2"/>
      <c r="AG49" s="2"/>
      <c r="AH49" s="2"/>
      <c r="AI49" s="2"/>
      <c r="AJ49" s="2"/>
      <c r="AK49" s="491"/>
      <c r="AL49" s="492"/>
    </row>
  </sheetData>
  <mergeCells count="47">
    <mergeCell ref="AG8:AH8"/>
    <mergeCell ref="AG19:AH19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1:B1"/>
    <mergeCell ref="D3:AE3"/>
    <mergeCell ref="E4:F4"/>
    <mergeCell ref="E5:F5"/>
    <mergeCell ref="AG7:AH7"/>
    <mergeCell ref="AG42:AH42"/>
    <mergeCell ref="AG31:AH31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7:AH37"/>
    <mergeCell ref="AG38:AH38"/>
    <mergeCell ref="AG39:AH39"/>
    <mergeCell ref="AG40:AH40"/>
    <mergeCell ref="AG41:AH41"/>
    <mergeCell ref="AG32:AH32"/>
    <mergeCell ref="AG33:AH33"/>
    <mergeCell ref="AG34:AH34"/>
    <mergeCell ref="AG35:AH35"/>
    <mergeCell ref="AG36:AH36"/>
    <mergeCell ref="AG43:AH43"/>
    <mergeCell ref="AG44:AH44"/>
    <mergeCell ref="AG45:AH45"/>
    <mergeCell ref="AG46:AH46"/>
    <mergeCell ref="P47:Y47"/>
    <mergeCell ref="P44:Z44"/>
    <mergeCell ref="AG47:AH47"/>
  </mergeCells>
  <conditionalFormatting sqref="E4:F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F6AD-FE5F-4019-8C3C-641396A6584D}">
  <dimension ref="A1:AL49"/>
  <sheetViews>
    <sheetView showGridLines="0" topLeftCell="A7" zoomScale="60" zoomScaleNormal="60" workbookViewId="0">
      <selection activeCell="A50" sqref="A50:XFD1048576"/>
    </sheetView>
  </sheetViews>
  <sheetFormatPr baseColWidth="10" defaultColWidth="14.42578125" defaultRowHeight="15" customHeight="1"/>
  <cols>
    <col min="1" max="1" width="21.28515625" customWidth="1"/>
    <col min="2" max="2" width="15.28515625" customWidth="1"/>
    <col min="3" max="3" width="12.140625" customWidth="1"/>
    <col min="4" max="4" width="7.42578125" customWidth="1"/>
    <col min="5" max="5" width="45.7109375" customWidth="1"/>
    <col min="6" max="6" width="3.7109375" customWidth="1"/>
    <col min="7" max="30" width="4.140625" customWidth="1"/>
    <col min="31" max="31" width="5.5703125" customWidth="1"/>
    <col min="32" max="32" width="40.42578125" customWidth="1"/>
    <col min="33" max="33" width="16.5703125" bestFit="1" customWidth="1"/>
    <col min="34" max="34" width="16.7109375" customWidth="1"/>
    <col min="35" max="38" width="27.7109375" customWidth="1"/>
  </cols>
  <sheetData>
    <row r="1" spans="1:38" ht="14.25" customHeight="1">
      <c r="A1" s="563" t="s">
        <v>0</v>
      </c>
      <c r="B1" s="564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thickBot="1">
      <c r="A2" s="4" t="s">
        <v>1</v>
      </c>
      <c r="B2" s="5" t="s">
        <v>2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8" thickBot="1">
      <c r="A3" s="6" t="s">
        <v>3</v>
      </c>
      <c r="B3" s="7" t="s">
        <v>4</v>
      </c>
      <c r="C3" s="2"/>
      <c r="D3" s="565" t="s">
        <v>219</v>
      </c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7"/>
      <c r="AF3" s="3"/>
      <c r="AG3" s="3"/>
      <c r="AH3" s="3"/>
      <c r="AI3" s="3"/>
      <c r="AJ3" s="3"/>
      <c r="AK3" s="3"/>
      <c r="AL3" s="3"/>
    </row>
    <row r="4" spans="1:38" ht="16.5" customHeight="1" thickBot="1">
      <c r="A4" s="8" t="s">
        <v>6</v>
      </c>
      <c r="B4" s="9" t="s">
        <v>7</v>
      </c>
      <c r="C4" s="2"/>
      <c r="D4" s="10"/>
      <c r="E4" s="568" t="s">
        <v>8</v>
      </c>
      <c r="F4" s="548"/>
      <c r="G4" s="526">
        <v>4</v>
      </c>
      <c r="H4" s="526">
        <v>3</v>
      </c>
      <c r="I4" s="526">
        <v>3</v>
      </c>
      <c r="J4" s="526">
        <v>3</v>
      </c>
      <c r="K4" s="526">
        <v>3</v>
      </c>
      <c r="L4" s="526">
        <v>3</v>
      </c>
      <c r="M4" s="526">
        <v>9</v>
      </c>
      <c r="N4" s="526">
        <v>12</v>
      </c>
      <c r="O4" s="526">
        <v>19</v>
      </c>
      <c r="P4" s="526">
        <v>27</v>
      </c>
      <c r="Q4" s="526">
        <v>30</v>
      </c>
      <c r="R4" s="526">
        <v>30</v>
      </c>
      <c r="S4" s="526">
        <v>29</v>
      </c>
      <c r="T4" s="526">
        <v>28</v>
      </c>
      <c r="U4" s="526">
        <v>28</v>
      </c>
      <c r="V4" s="526">
        <v>29</v>
      </c>
      <c r="W4" s="526">
        <v>28</v>
      </c>
      <c r="X4" s="526">
        <v>26</v>
      </c>
      <c r="Y4" s="526">
        <v>23</v>
      </c>
      <c r="Z4" s="526">
        <v>21</v>
      </c>
      <c r="AA4" s="526">
        <v>19</v>
      </c>
      <c r="AB4" s="526">
        <v>13</v>
      </c>
      <c r="AC4" s="526">
        <v>8</v>
      </c>
      <c r="AD4" s="526">
        <v>4</v>
      </c>
      <c r="AE4" s="18">
        <f>SUM(G4:AD4)</f>
        <v>402</v>
      </c>
      <c r="AF4" s="3"/>
      <c r="AG4" s="3"/>
      <c r="AH4" s="3"/>
      <c r="AI4" s="3"/>
      <c r="AJ4" s="3"/>
      <c r="AK4" s="3"/>
      <c r="AL4" s="3"/>
    </row>
    <row r="5" spans="1:38" ht="63.75" thickBot="1">
      <c r="A5" s="3"/>
      <c r="B5" s="2"/>
      <c r="C5" s="2"/>
      <c r="D5" s="19"/>
      <c r="E5" s="569">
        <v>10</v>
      </c>
      <c r="F5" s="570"/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17</v>
      </c>
      <c r="P5" s="20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0" t="s">
        <v>32</v>
      </c>
      <c r="AE5" s="22"/>
      <c r="AF5" s="23"/>
      <c r="AG5" s="3"/>
      <c r="AH5" s="3"/>
      <c r="AI5" s="3"/>
      <c r="AJ5" s="3"/>
      <c r="AK5" s="3"/>
      <c r="AL5" s="3"/>
    </row>
    <row r="6" spans="1:38" ht="15.75" customHeight="1" thickBot="1">
      <c r="A6" s="24"/>
      <c r="B6" s="25"/>
      <c r="C6" s="25"/>
      <c r="D6" s="19"/>
      <c r="E6" s="26"/>
      <c r="F6" s="27"/>
      <c r="G6" s="28">
        <f t="shared" ref="G6:AD6" si="0">G7-G4</f>
        <v>0</v>
      </c>
      <c r="H6" s="28">
        <f t="shared" si="0"/>
        <v>0</v>
      </c>
      <c r="I6" s="28">
        <f t="shared" si="0"/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3</v>
      </c>
      <c r="P6" s="28">
        <f t="shared" si="0"/>
        <v>0</v>
      </c>
      <c r="Q6" s="538">
        <f t="shared" si="0"/>
        <v>-1</v>
      </c>
      <c r="R6" s="538">
        <f t="shared" si="0"/>
        <v>-1</v>
      </c>
      <c r="S6" s="538">
        <f t="shared" si="0"/>
        <v>0</v>
      </c>
      <c r="T6" s="538">
        <f t="shared" si="0"/>
        <v>0</v>
      </c>
      <c r="U6" s="538">
        <f t="shared" si="0"/>
        <v>0</v>
      </c>
      <c r="V6" s="538">
        <f t="shared" si="0"/>
        <v>0</v>
      </c>
      <c r="W6" s="538">
        <f t="shared" si="0"/>
        <v>0</v>
      </c>
      <c r="X6" s="538">
        <f t="shared" si="0"/>
        <v>0</v>
      </c>
      <c r="Y6" s="538">
        <f t="shared" si="0"/>
        <v>0</v>
      </c>
      <c r="Z6" s="538">
        <f t="shared" si="0"/>
        <v>0</v>
      </c>
      <c r="AA6" s="538">
        <f t="shared" si="0"/>
        <v>0</v>
      </c>
      <c r="AB6" s="538">
        <f t="shared" si="0"/>
        <v>0</v>
      </c>
      <c r="AC6" s="538">
        <f t="shared" si="0"/>
        <v>0</v>
      </c>
      <c r="AD6" s="28">
        <f t="shared" si="0"/>
        <v>0</v>
      </c>
      <c r="AE6" s="29">
        <f t="shared" ref="AE6:AE43" si="1">SUM(G6:AD6)</f>
        <v>1</v>
      </c>
      <c r="AG6" s="24"/>
      <c r="AH6" s="24"/>
      <c r="AI6" s="24"/>
      <c r="AJ6" s="24"/>
      <c r="AK6" s="24"/>
      <c r="AL6" s="24"/>
    </row>
    <row r="7" spans="1:38" ht="15.75" thickBot="1">
      <c r="A7" s="168" t="s">
        <v>33</v>
      </c>
      <c r="B7" s="168" t="s">
        <v>34</v>
      </c>
      <c r="C7" s="169" t="s">
        <v>35</v>
      </c>
      <c r="D7" s="170" t="s">
        <v>36</v>
      </c>
      <c r="E7" s="33" t="s">
        <v>37</v>
      </c>
      <c r="F7" s="171" t="s">
        <v>38</v>
      </c>
      <c r="G7" s="172">
        <f t="shared" ref="G7:AD7" si="2">SUM(G8:G47)</f>
        <v>4</v>
      </c>
      <c r="H7" s="172">
        <f t="shared" si="2"/>
        <v>3</v>
      </c>
      <c r="I7" s="172">
        <f t="shared" si="2"/>
        <v>3</v>
      </c>
      <c r="J7" s="172">
        <f t="shared" si="2"/>
        <v>3</v>
      </c>
      <c r="K7" s="172">
        <f t="shared" si="2"/>
        <v>3</v>
      </c>
      <c r="L7" s="172">
        <f t="shared" si="2"/>
        <v>3</v>
      </c>
      <c r="M7" s="172">
        <f t="shared" si="2"/>
        <v>9</v>
      </c>
      <c r="N7" s="172">
        <f t="shared" si="2"/>
        <v>12</v>
      </c>
      <c r="O7" s="172">
        <f t="shared" si="2"/>
        <v>22</v>
      </c>
      <c r="P7" s="172">
        <f t="shared" si="2"/>
        <v>27</v>
      </c>
      <c r="Q7" s="172">
        <f t="shared" si="2"/>
        <v>29</v>
      </c>
      <c r="R7" s="172">
        <f t="shared" si="2"/>
        <v>29</v>
      </c>
      <c r="S7" s="172">
        <f t="shared" si="2"/>
        <v>29</v>
      </c>
      <c r="T7" s="172">
        <f t="shared" si="2"/>
        <v>28</v>
      </c>
      <c r="U7" s="172">
        <f t="shared" si="2"/>
        <v>28</v>
      </c>
      <c r="V7" s="172">
        <f t="shared" si="2"/>
        <v>29</v>
      </c>
      <c r="W7" s="172">
        <f t="shared" si="2"/>
        <v>28</v>
      </c>
      <c r="X7" s="172">
        <f t="shared" si="2"/>
        <v>26</v>
      </c>
      <c r="Y7" s="172">
        <f t="shared" si="2"/>
        <v>23</v>
      </c>
      <c r="Z7" s="172">
        <f t="shared" si="2"/>
        <v>21</v>
      </c>
      <c r="AA7" s="172">
        <f t="shared" si="2"/>
        <v>19</v>
      </c>
      <c r="AB7" s="172">
        <f t="shared" si="2"/>
        <v>13</v>
      </c>
      <c r="AC7" s="172">
        <f t="shared" si="2"/>
        <v>8</v>
      </c>
      <c r="AD7" s="172">
        <f t="shared" si="2"/>
        <v>4</v>
      </c>
      <c r="AE7" s="168">
        <f t="shared" si="1"/>
        <v>403</v>
      </c>
      <c r="AF7" s="36"/>
      <c r="AG7" s="571" t="s">
        <v>440</v>
      </c>
      <c r="AH7" s="572"/>
      <c r="AI7" s="37" t="s">
        <v>40</v>
      </c>
      <c r="AJ7" s="174"/>
      <c r="AK7" s="174" t="s">
        <v>441</v>
      </c>
      <c r="AL7" s="174" t="s">
        <v>442</v>
      </c>
    </row>
    <row r="8" spans="1:38" ht="14.25" customHeight="1" thickBot="1">
      <c r="A8" s="38" t="s">
        <v>41</v>
      </c>
      <c r="B8" s="38" t="s">
        <v>52</v>
      </c>
      <c r="C8" s="38">
        <v>984098910</v>
      </c>
      <c r="D8" s="99">
        <v>1</v>
      </c>
      <c r="E8" s="145" t="s">
        <v>53</v>
      </c>
      <c r="F8" s="41">
        <f t="shared" ref="F8:F43" si="3">SUM(G8:AD8)</f>
        <v>14</v>
      </c>
      <c r="G8" s="176">
        <v>1</v>
      </c>
      <c r="H8" s="176">
        <v>1</v>
      </c>
      <c r="I8" s="176">
        <v>1</v>
      </c>
      <c r="J8" s="176">
        <v>1</v>
      </c>
      <c r="K8" s="176">
        <v>1</v>
      </c>
      <c r="L8" s="176">
        <v>1</v>
      </c>
      <c r="M8" s="176">
        <v>1</v>
      </c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>
        <v>1</v>
      </c>
      <c r="Y8" s="176">
        <v>1</v>
      </c>
      <c r="Z8" s="176">
        <v>1</v>
      </c>
      <c r="AA8" s="176">
        <v>1</v>
      </c>
      <c r="AB8" s="176">
        <v>1</v>
      </c>
      <c r="AC8" s="176">
        <v>1</v>
      </c>
      <c r="AD8" s="176">
        <v>1</v>
      </c>
      <c r="AE8" s="41">
        <f t="shared" si="1"/>
        <v>14</v>
      </c>
      <c r="AF8" s="95"/>
      <c r="AG8" s="550" t="s">
        <v>41</v>
      </c>
      <c r="AH8" s="542"/>
      <c r="AI8" s="178" t="s">
        <v>444</v>
      </c>
      <c r="AJ8" s="179"/>
      <c r="AK8" s="489"/>
      <c r="AL8" s="490"/>
    </row>
    <row r="9" spans="1:38" ht="14.25" customHeight="1" thickBot="1">
      <c r="A9" s="76" t="s">
        <v>41</v>
      </c>
      <c r="B9" s="76" t="s">
        <v>55</v>
      </c>
      <c r="C9" s="76">
        <v>987983128</v>
      </c>
      <c r="D9" s="99">
        <v>2</v>
      </c>
      <c r="E9" s="145" t="s">
        <v>56</v>
      </c>
      <c r="F9" s="41">
        <f t="shared" si="3"/>
        <v>13</v>
      </c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>
        <v>1</v>
      </c>
      <c r="R9" s="176">
        <v>1</v>
      </c>
      <c r="S9" s="176">
        <v>1</v>
      </c>
      <c r="T9" s="176">
        <v>1</v>
      </c>
      <c r="U9" s="176">
        <v>1</v>
      </c>
      <c r="V9" s="176">
        <v>1</v>
      </c>
      <c r="W9" s="176">
        <v>1</v>
      </c>
      <c r="X9" s="176">
        <v>1</v>
      </c>
      <c r="Y9" s="176">
        <v>1</v>
      </c>
      <c r="Z9" s="176">
        <v>1</v>
      </c>
      <c r="AA9" s="176">
        <v>1</v>
      </c>
      <c r="AB9" s="176">
        <v>1</v>
      </c>
      <c r="AC9" s="176">
        <v>1</v>
      </c>
      <c r="AD9" s="176"/>
      <c r="AE9" s="41">
        <f t="shared" si="1"/>
        <v>13</v>
      </c>
      <c r="AF9" s="95"/>
      <c r="AG9" s="556" t="s">
        <v>41</v>
      </c>
      <c r="AH9" s="557"/>
      <c r="AI9" s="178" t="s">
        <v>444</v>
      </c>
      <c r="AJ9" s="179"/>
      <c r="AK9" s="491"/>
      <c r="AL9" s="492"/>
    </row>
    <row r="10" spans="1:38" ht="14.25" customHeight="1" thickBot="1">
      <c r="A10" s="38" t="s">
        <v>41</v>
      </c>
      <c r="B10" s="498" t="s">
        <v>57</v>
      </c>
      <c r="C10" s="2"/>
      <c r="D10" s="99">
        <v>3</v>
      </c>
      <c r="E10" s="145" t="s">
        <v>58</v>
      </c>
      <c r="F10" s="41">
        <f t="shared" si="3"/>
        <v>12</v>
      </c>
      <c r="G10" s="176"/>
      <c r="H10" s="176"/>
      <c r="I10" s="176"/>
      <c r="J10" s="176"/>
      <c r="K10" s="176"/>
      <c r="L10" s="176"/>
      <c r="M10" s="176">
        <v>1</v>
      </c>
      <c r="N10" s="176">
        <v>1</v>
      </c>
      <c r="O10" s="176">
        <v>1</v>
      </c>
      <c r="P10" s="176">
        <v>1</v>
      </c>
      <c r="Q10" s="176">
        <v>1</v>
      </c>
      <c r="R10" s="176">
        <v>1</v>
      </c>
      <c r="S10" s="176">
        <v>1</v>
      </c>
      <c r="T10" s="176">
        <v>1</v>
      </c>
      <c r="U10" s="176">
        <v>1</v>
      </c>
      <c r="V10" s="176">
        <v>1</v>
      </c>
      <c r="W10" s="176">
        <v>1</v>
      </c>
      <c r="X10" s="176">
        <v>1</v>
      </c>
      <c r="Y10" s="176"/>
      <c r="Z10" s="176"/>
      <c r="AA10" s="176"/>
      <c r="AB10" s="176"/>
      <c r="AC10" s="176"/>
      <c r="AD10" s="176"/>
      <c r="AE10" s="41">
        <f t="shared" si="1"/>
        <v>12</v>
      </c>
      <c r="AF10" s="95"/>
      <c r="AG10" s="556" t="s">
        <v>41</v>
      </c>
      <c r="AH10" s="557"/>
      <c r="AI10" s="178" t="s">
        <v>444</v>
      </c>
      <c r="AJ10" s="179"/>
      <c r="AK10" s="491"/>
      <c r="AL10" s="492"/>
    </row>
    <row r="11" spans="1:38" ht="14.25" customHeight="1" thickBot="1">
      <c r="A11" s="98" t="s">
        <v>41</v>
      </c>
      <c r="B11" s="98" t="s">
        <v>146</v>
      </c>
      <c r="C11" s="98">
        <v>998223732</v>
      </c>
      <c r="D11" s="99">
        <v>4</v>
      </c>
      <c r="E11" s="145" t="s">
        <v>147</v>
      </c>
      <c r="F11" s="41">
        <f t="shared" si="3"/>
        <v>12</v>
      </c>
      <c r="G11" s="176"/>
      <c r="H11" s="176"/>
      <c r="I11" s="176"/>
      <c r="J11" s="176"/>
      <c r="K11" s="176"/>
      <c r="L11" s="176"/>
      <c r="M11" s="176"/>
      <c r="N11" s="176">
        <v>1</v>
      </c>
      <c r="O11" s="176">
        <v>1</v>
      </c>
      <c r="P11" s="176">
        <v>1</v>
      </c>
      <c r="Q11" s="176">
        <v>1</v>
      </c>
      <c r="R11" s="176">
        <v>1</v>
      </c>
      <c r="S11" s="176">
        <v>1</v>
      </c>
      <c r="T11" s="176">
        <v>1</v>
      </c>
      <c r="U11" s="176">
        <v>1</v>
      </c>
      <c r="V11" s="176">
        <v>1</v>
      </c>
      <c r="W11" s="176">
        <v>1</v>
      </c>
      <c r="X11" s="176">
        <v>1</v>
      </c>
      <c r="Y11" s="176">
        <v>1</v>
      </c>
      <c r="Z11" s="176"/>
      <c r="AA11" s="176"/>
      <c r="AB11" s="176"/>
      <c r="AC11" s="176"/>
      <c r="AD11" s="176"/>
      <c r="AE11" s="41">
        <f t="shared" si="1"/>
        <v>12</v>
      </c>
      <c r="AF11" s="95"/>
      <c r="AG11" s="561" t="s">
        <v>471</v>
      </c>
      <c r="AH11" s="562"/>
      <c r="AI11" s="178" t="s">
        <v>444</v>
      </c>
      <c r="AJ11" s="179"/>
      <c r="AK11" s="491"/>
      <c r="AL11" s="492"/>
    </row>
    <row r="12" spans="1:38" ht="14.25" customHeight="1" thickBot="1">
      <c r="A12" s="511" t="s">
        <v>41</v>
      </c>
      <c r="B12" s="511" t="s">
        <v>59</v>
      </c>
      <c r="C12" s="511"/>
      <c r="D12" s="513">
        <v>5</v>
      </c>
      <c r="E12" s="145" t="s">
        <v>60</v>
      </c>
      <c r="F12" s="515">
        <f t="shared" si="3"/>
        <v>0</v>
      </c>
      <c r="G12" s="176"/>
      <c r="H12" s="176"/>
      <c r="I12" s="176"/>
      <c r="J12" s="176"/>
      <c r="K12" s="176"/>
      <c r="L12" s="176"/>
      <c r="M12" s="176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5"/>
      <c r="AB12" s="495"/>
      <c r="AC12" s="176"/>
      <c r="AD12" s="176"/>
      <c r="AE12" s="515">
        <f t="shared" si="1"/>
        <v>0</v>
      </c>
      <c r="AF12" s="95"/>
      <c r="AG12" s="558" t="s">
        <v>41</v>
      </c>
      <c r="AH12" s="542"/>
      <c r="AI12" s="517" t="s">
        <v>444</v>
      </c>
      <c r="AJ12" s="179"/>
      <c r="AK12" s="491"/>
      <c r="AL12" s="492"/>
    </row>
    <row r="13" spans="1:38" ht="14.25" customHeight="1" thickBot="1">
      <c r="A13" s="38" t="s">
        <v>41</v>
      </c>
      <c r="B13" s="38" t="s">
        <v>70</v>
      </c>
      <c r="C13" s="38"/>
      <c r="D13" s="99">
        <v>6</v>
      </c>
      <c r="E13" s="145" t="s">
        <v>71</v>
      </c>
      <c r="F13" s="515">
        <f t="shared" si="3"/>
        <v>13</v>
      </c>
      <c r="G13" s="176"/>
      <c r="H13" s="176"/>
      <c r="I13" s="176"/>
      <c r="J13" s="176"/>
      <c r="K13" s="176"/>
      <c r="L13" s="176"/>
      <c r="M13" s="176">
        <v>1</v>
      </c>
      <c r="N13" s="176">
        <v>1</v>
      </c>
      <c r="O13" s="176">
        <v>1</v>
      </c>
      <c r="P13" s="176">
        <v>1</v>
      </c>
      <c r="Q13" s="176">
        <v>1</v>
      </c>
      <c r="R13" s="176">
        <v>1</v>
      </c>
      <c r="S13" s="176">
        <v>1</v>
      </c>
      <c r="T13" s="176">
        <v>1</v>
      </c>
      <c r="U13" s="176">
        <v>1</v>
      </c>
      <c r="V13" s="176">
        <v>1</v>
      </c>
      <c r="W13" s="176">
        <v>1</v>
      </c>
      <c r="X13" s="176">
        <v>1</v>
      </c>
      <c r="Y13" s="176">
        <v>1</v>
      </c>
      <c r="Z13" s="176"/>
      <c r="AA13" s="176"/>
      <c r="AB13" s="176"/>
      <c r="AC13" s="176"/>
      <c r="AD13" s="176"/>
      <c r="AE13" s="515">
        <f t="shared" si="1"/>
        <v>13</v>
      </c>
      <c r="AF13" s="95"/>
      <c r="AG13" s="550" t="s">
        <v>41</v>
      </c>
      <c r="AH13" s="542"/>
      <c r="AI13" s="178" t="s">
        <v>444</v>
      </c>
      <c r="AJ13" s="179"/>
      <c r="AK13" s="491"/>
      <c r="AL13" s="492"/>
    </row>
    <row r="14" spans="1:38" ht="14.25" customHeight="1" thickBot="1">
      <c r="A14" s="38" t="s">
        <v>41</v>
      </c>
      <c r="B14" s="38" t="s">
        <v>79</v>
      </c>
      <c r="C14" s="38"/>
      <c r="D14" s="99">
        <v>7</v>
      </c>
      <c r="E14" s="145" t="s">
        <v>80</v>
      </c>
      <c r="F14" s="41">
        <f t="shared" si="3"/>
        <v>14</v>
      </c>
      <c r="G14" s="176">
        <v>1</v>
      </c>
      <c r="H14" s="176">
        <v>1</v>
      </c>
      <c r="I14" s="176">
        <v>1</v>
      </c>
      <c r="J14" s="176">
        <v>1</v>
      </c>
      <c r="K14" s="176">
        <v>1</v>
      </c>
      <c r="L14" s="176">
        <v>1</v>
      </c>
      <c r="M14" s="176">
        <v>1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>
        <v>1</v>
      </c>
      <c r="Y14" s="176">
        <v>1</v>
      </c>
      <c r="Z14" s="176">
        <v>1</v>
      </c>
      <c r="AA14" s="176">
        <v>1</v>
      </c>
      <c r="AB14" s="176">
        <v>1</v>
      </c>
      <c r="AC14" s="176">
        <v>1</v>
      </c>
      <c r="AD14" s="176">
        <v>1</v>
      </c>
      <c r="AE14" s="41">
        <f t="shared" si="1"/>
        <v>14</v>
      </c>
      <c r="AF14" s="95"/>
      <c r="AG14" s="550" t="s">
        <v>41</v>
      </c>
      <c r="AH14" s="542"/>
      <c r="AI14" s="178" t="s">
        <v>444</v>
      </c>
      <c r="AJ14" s="179"/>
      <c r="AK14" s="491"/>
      <c r="AL14" s="492"/>
    </row>
    <row r="15" spans="1:38" ht="14.25" customHeight="1" thickBot="1">
      <c r="A15" s="38" t="s">
        <v>41</v>
      </c>
      <c r="B15" s="38" t="s">
        <v>82</v>
      </c>
      <c r="C15" s="38">
        <v>996303208</v>
      </c>
      <c r="D15" s="99">
        <v>8</v>
      </c>
      <c r="E15" s="145" t="s">
        <v>83</v>
      </c>
      <c r="F15" s="41">
        <f t="shared" si="3"/>
        <v>13</v>
      </c>
      <c r="G15" s="176"/>
      <c r="H15" s="176"/>
      <c r="I15" s="176"/>
      <c r="J15" s="176"/>
      <c r="K15" s="176"/>
      <c r="L15" s="176"/>
      <c r="M15" s="176"/>
      <c r="N15" s="176"/>
      <c r="O15" s="176">
        <v>1</v>
      </c>
      <c r="P15" s="176">
        <v>1</v>
      </c>
      <c r="Q15" s="176">
        <v>1</v>
      </c>
      <c r="R15" s="176">
        <v>1</v>
      </c>
      <c r="S15" s="176">
        <v>1</v>
      </c>
      <c r="T15" s="176">
        <v>1</v>
      </c>
      <c r="U15" s="176">
        <v>1</v>
      </c>
      <c r="V15" s="176">
        <v>1</v>
      </c>
      <c r="W15" s="176">
        <v>1</v>
      </c>
      <c r="X15" s="176">
        <v>1</v>
      </c>
      <c r="Y15" s="176"/>
      <c r="Z15" s="176">
        <v>1</v>
      </c>
      <c r="AA15" s="176">
        <v>1</v>
      </c>
      <c r="AB15" s="176">
        <v>1</v>
      </c>
      <c r="AC15" s="176"/>
      <c r="AD15" s="176"/>
      <c r="AE15" s="41">
        <f t="shared" si="1"/>
        <v>13</v>
      </c>
      <c r="AF15" s="95"/>
      <c r="AG15" s="550" t="s">
        <v>41</v>
      </c>
      <c r="AH15" s="542"/>
      <c r="AI15" s="178" t="s">
        <v>444</v>
      </c>
      <c r="AJ15" s="179"/>
      <c r="AK15" s="491"/>
      <c r="AL15" s="492"/>
    </row>
    <row r="16" spans="1:38" ht="14.25" customHeight="1" thickBot="1">
      <c r="A16" s="38" t="s">
        <v>41</v>
      </c>
      <c r="B16" s="38" t="s">
        <v>101</v>
      </c>
      <c r="C16" s="38">
        <v>962757006</v>
      </c>
      <c r="D16" s="99">
        <v>9</v>
      </c>
      <c r="E16" s="145" t="s">
        <v>102</v>
      </c>
      <c r="F16" s="41">
        <f t="shared" si="3"/>
        <v>13</v>
      </c>
      <c r="G16" s="176"/>
      <c r="H16" s="176"/>
      <c r="I16" s="176"/>
      <c r="J16" s="176"/>
      <c r="K16" s="176"/>
      <c r="L16" s="176"/>
      <c r="M16" s="176"/>
      <c r="N16" s="176"/>
      <c r="O16" s="176">
        <v>1</v>
      </c>
      <c r="P16" s="176">
        <v>1</v>
      </c>
      <c r="Q16" s="176">
        <v>1</v>
      </c>
      <c r="R16" s="176">
        <v>1</v>
      </c>
      <c r="S16" s="176">
        <v>1</v>
      </c>
      <c r="T16" s="176">
        <v>1</v>
      </c>
      <c r="U16" s="176">
        <v>1</v>
      </c>
      <c r="V16" s="176">
        <v>1</v>
      </c>
      <c r="W16" s="176">
        <v>1</v>
      </c>
      <c r="X16" s="176">
        <v>1</v>
      </c>
      <c r="Y16" s="176"/>
      <c r="Z16" s="176">
        <v>1</v>
      </c>
      <c r="AA16" s="176">
        <v>1</v>
      </c>
      <c r="AB16" s="176">
        <v>1</v>
      </c>
      <c r="AC16" s="176"/>
      <c r="AD16" s="176"/>
      <c r="AE16" s="41">
        <f t="shared" si="1"/>
        <v>13</v>
      </c>
      <c r="AF16" s="95"/>
      <c r="AG16" s="550" t="s">
        <v>41</v>
      </c>
      <c r="AH16" s="542"/>
      <c r="AI16" s="178" t="s">
        <v>444</v>
      </c>
      <c r="AJ16" s="179"/>
      <c r="AK16" s="491"/>
      <c r="AL16" s="492"/>
    </row>
    <row r="17" spans="1:38" ht="14.25" customHeight="1" thickBot="1">
      <c r="A17" s="38" t="s">
        <v>41</v>
      </c>
      <c r="B17" s="38" t="s">
        <v>332</v>
      </c>
      <c r="C17" s="38"/>
      <c r="D17" s="39">
        <v>11</v>
      </c>
      <c r="E17" s="145" t="s">
        <v>333</v>
      </c>
      <c r="F17" s="41">
        <f t="shared" si="3"/>
        <v>8</v>
      </c>
      <c r="G17" s="176"/>
      <c r="H17" s="176"/>
      <c r="I17" s="176"/>
      <c r="J17" s="176"/>
      <c r="K17" s="176"/>
      <c r="L17" s="176"/>
      <c r="M17" s="176"/>
      <c r="N17" s="176"/>
      <c r="O17" s="176">
        <v>1</v>
      </c>
      <c r="P17" s="176">
        <v>1</v>
      </c>
      <c r="Q17" s="176">
        <v>1</v>
      </c>
      <c r="R17" s="176">
        <v>1</v>
      </c>
      <c r="S17" s="176">
        <v>1</v>
      </c>
      <c r="T17" s="176">
        <v>1</v>
      </c>
      <c r="U17" s="176">
        <v>1</v>
      </c>
      <c r="V17" s="176">
        <v>1</v>
      </c>
      <c r="W17" s="176"/>
      <c r="X17" s="176"/>
      <c r="Y17" s="176"/>
      <c r="Z17" s="176"/>
      <c r="AA17" s="176"/>
      <c r="AB17" s="176"/>
      <c r="AC17" s="176"/>
      <c r="AD17" s="176"/>
      <c r="AE17" s="41">
        <f t="shared" si="1"/>
        <v>8</v>
      </c>
      <c r="AF17" s="95"/>
      <c r="AG17" s="559" t="s">
        <v>41</v>
      </c>
      <c r="AH17" s="560"/>
      <c r="AI17" s="178" t="s">
        <v>444</v>
      </c>
      <c r="AJ17" s="179"/>
      <c r="AK17" s="491"/>
      <c r="AL17" s="492"/>
    </row>
    <row r="18" spans="1:38" ht="14.25" customHeight="1" thickBot="1">
      <c r="A18" s="38" t="s">
        <v>41</v>
      </c>
      <c r="B18" s="38" t="s">
        <v>105</v>
      </c>
      <c r="C18" s="38"/>
      <c r="D18" s="99">
        <v>12</v>
      </c>
      <c r="E18" s="145" t="s">
        <v>106</v>
      </c>
      <c r="F18" s="41">
        <f t="shared" si="3"/>
        <v>13</v>
      </c>
      <c r="G18" s="176"/>
      <c r="H18" s="176"/>
      <c r="I18" s="176"/>
      <c r="J18" s="176"/>
      <c r="K18" s="176"/>
      <c r="L18" s="176"/>
      <c r="M18" s="176"/>
      <c r="N18" s="176"/>
      <c r="O18" s="176">
        <v>1</v>
      </c>
      <c r="P18" s="176">
        <v>1</v>
      </c>
      <c r="Q18" s="176">
        <v>1</v>
      </c>
      <c r="R18" s="176">
        <v>1</v>
      </c>
      <c r="S18" s="176">
        <v>1</v>
      </c>
      <c r="T18" s="176">
        <v>1</v>
      </c>
      <c r="U18" s="176">
        <v>1</v>
      </c>
      <c r="V18" s="176">
        <v>1</v>
      </c>
      <c r="W18" s="176">
        <v>1</v>
      </c>
      <c r="X18" s="176"/>
      <c r="Y18" s="176">
        <v>1</v>
      </c>
      <c r="Z18" s="176">
        <v>1</v>
      </c>
      <c r="AA18" s="176">
        <v>1</v>
      </c>
      <c r="AB18" s="176">
        <v>1</v>
      </c>
      <c r="AC18" s="176"/>
      <c r="AD18" s="176"/>
      <c r="AE18" s="41">
        <f t="shared" si="1"/>
        <v>13</v>
      </c>
      <c r="AF18" s="95"/>
      <c r="AG18" s="550" t="s">
        <v>41</v>
      </c>
      <c r="AH18" s="542"/>
      <c r="AI18" s="178" t="s">
        <v>444</v>
      </c>
      <c r="AJ18" s="179"/>
      <c r="AK18" s="491"/>
      <c r="AL18" s="492"/>
    </row>
    <row r="19" spans="1:38" ht="14.25" customHeight="1" thickBot="1">
      <c r="A19" s="98" t="s">
        <v>41</v>
      </c>
      <c r="B19" s="98" t="s">
        <v>111</v>
      </c>
      <c r="C19" s="98"/>
      <c r="D19" s="99">
        <v>13</v>
      </c>
      <c r="E19" s="145" t="s">
        <v>112</v>
      </c>
      <c r="F19" s="41">
        <v>13</v>
      </c>
      <c r="G19" s="176"/>
      <c r="H19" s="176"/>
      <c r="I19" s="176"/>
      <c r="J19" s="176"/>
      <c r="K19" s="176"/>
      <c r="L19" s="176"/>
      <c r="M19" s="176"/>
      <c r="N19" s="176">
        <v>1</v>
      </c>
      <c r="O19" s="176">
        <v>1</v>
      </c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176"/>
      <c r="AA19" s="176"/>
      <c r="AB19" s="176"/>
      <c r="AC19" s="176"/>
      <c r="AD19" s="176"/>
      <c r="AE19" s="41">
        <v>13</v>
      </c>
      <c r="AF19" s="95"/>
      <c r="AG19" s="556" t="s">
        <v>41</v>
      </c>
      <c r="AH19" s="557"/>
      <c r="AI19" s="178" t="s">
        <v>444</v>
      </c>
      <c r="AJ19" s="179"/>
      <c r="AK19" s="491"/>
      <c r="AL19" s="492"/>
    </row>
    <row r="20" spans="1:38" ht="14.25" customHeight="1" thickBot="1">
      <c r="A20" s="38" t="s">
        <v>41</v>
      </c>
      <c r="B20" s="38" t="s">
        <v>115</v>
      </c>
      <c r="C20" s="38">
        <v>962936744</v>
      </c>
      <c r="D20" s="99">
        <v>14</v>
      </c>
      <c r="E20" s="145" t="s">
        <v>116</v>
      </c>
      <c r="F20" s="41">
        <f t="shared" si="3"/>
        <v>14</v>
      </c>
      <c r="G20" s="176">
        <v>1</v>
      </c>
      <c r="H20" s="176">
        <v>1</v>
      </c>
      <c r="I20" s="176">
        <v>1</v>
      </c>
      <c r="J20" s="176">
        <v>1</v>
      </c>
      <c r="K20" s="176">
        <v>1</v>
      </c>
      <c r="L20" s="176">
        <v>1</v>
      </c>
      <c r="M20" s="176">
        <v>1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>
        <v>1</v>
      </c>
      <c r="Y20" s="176">
        <v>1</v>
      </c>
      <c r="Z20" s="176">
        <v>1</v>
      </c>
      <c r="AA20" s="176">
        <v>1</v>
      </c>
      <c r="AB20" s="176">
        <v>1</v>
      </c>
      <c r="AC20" s="176">
        <v>1</v>
      </c>
      <c r="AD20" s="176">
        <v>1</v>
      </c>
      <c r="AE20" s="41">
        <f t="shared" si="1"/>
        <v>14</v>
      </c>
      <c r="AF20" s="95"/>
      <c r="AG20" s="550" t="s">
        <v>41</v>
      </c>
      <c r="AH20" s="542"/>
      <c r="AI20" s="178" t="s">
        <v>444</v>
      </c>
      <c r="AJ20" s="179"/>
      <c r="AK20" s="491"/>
      <c r="AL20" s="492"/>
    </row>
    <row r="21" spans="1:38" ht="14.25" customHeight="1" thickBot="1">
      <c r="A21" s="38" t="s">
        <v>41</v>
      </c>
      <c r="B21" s="38" t="s">
        <v>120</v>
      </c>
      <c r="C21" s="38"/>
      <c r="D21" s="99">
        <v>15</v>
      </c>
      <c r="E21" s="145" t="s">
        <v>121</v>
      </c>
      <c r="F21" s="41">
        <f t="shared" si="3"/>
        <v>13</v>
      </c>
      <c r="G21" s="176"/>
      <c r="H21" s="176"/>
      <c r="I21" s="176"/>
      <c r="J21" s="176"/>
      <c r="K21" s="176"/>
      <c r="L21" s="176"/>
      <c r="M21" s="176"/>
      <c r="N21" s="176">
        <v>1</v>
      </c>
      <c r="O21" s="176">
        <v>1</v>
      </c>
      <c r="P21" s="176">
        <v>1</v>
      </c>
      <c r="Q21" s="176">
        <v>1</v>
      </c>
      <c r="R21" s="176">
        <v>1</v>
      </c>
      <c r="S21" s="176">
        <v>1</v>
      </c>
      <c r="T21" s="176">
        <v>1</v>
      </c>
      <c r="U21" s="176">
        <v>1</v>
      </c>
      <c r="V21" s="176">
        <v>1</v>
      </c>
      <c r="W21" s="176">
        <v>1</v>
      </c>
      <c r="X21" s="176">
        <v>1</v>
      </c>
      <c r="Y21" s="176"/>
      <c r="Z21" s="176">
        <v>1</v>
      </c>
      <c r="AA21" s="176">
        <v>1</v>
      </c>
      <c r="AB21" s="176"/>
      <c r="AC21" s="176"/>
      <c r="AD21" s="176"/>
      <c r="AE21" s="41">
        <f t="shared" si="1"/>
        <v>13</v>
      </c>
      <c r="AF21" s="95"/>
      <c r="AG21" s="550" t="s">
        <v>41</v>
      </c>
      <c r="AH21" s="542"/>
      <c r="AI21" s="178" t="s">
        <v>444</v>
      </c>
      <c r="AJ21" s="179"/>
      <c r="AK21" s="491"/>
      <c r="AL21" s="492"/>
    </row>
    <row r="22" spans="1:38" ht="14.25" customHeight="1" thickBot="1">
      <c r="A22" s="38" t="s">
        <v>41</v>
      </c>
      <c r="B22" s="38" t="s">
        <v>124</v>
      </c>
      <c r="C22" s="38">
        <v>979137365</v>
      </c>
      <c r="D22" s="99">
        <v>16</v>
      </c>
      <c r="E22" s="145" t="s">
        <v>125</v>
      </c>
      <c r="F22" s="41">
        <f t="shared" si="3"/>
        <v>13</v>
      </c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>
        <v>1</v>
      </c>
      <c r="R22" s="176">
        <v>1</v>
      </c>
      <c r="S22" s="176">
        <v>1</v>
      </c>
      <c r="T22" s="176">
        <v>1</v>
      </c>
      <c r="U22" s="176">
        <v>1</v>
      </c>
      <c r="V22" s="176">
        <v>1</v>
      </c>
      <c r="W22" s="176">
        <v>1</v>
      </c>
      <c r="X22" s="176"/>
      <c r="Y22" s="176">
        <v>1</v>
      </c>
      <c r="Z22" s="176">
        <v>1</v>
      </c>
      <c r="AA22" s="176">
        <v>1</v>
      </c>
      <c r="AB22" s="176">
        <v>1</v>
      </c>
      <c r="AC22" s="176">
        <v>1</v>
      </c>
      <c r="AD22" s="176">
        <v>1</v>
      </c>
      <c r="AE22" s="41">
        <f t="shared" si="1"/>
        <v>13</v>
      </c>
      <c r="AF22" s="95"/>
      <c r="AG22" s="550" t="s">
        <v>41</v>
      </c>
      <c r="AH22" s="542"/>
      <c r="AI22" s="178" t="s">
        <v>444</v>
      </c>
      <c r="AJ22" s="179"/>
      <c r="AK22" s="491"/>
      <c r="AL22" s="492"/>
    </row>
    <row r="23" spans="1:38" ht="14.25" customHeight="1" thickBot="1">
      <c r="A23" s="38" t="s">
        <v>41</v>
      </c>
      <c r="B23" s="38" t="s">
        <v>128</v>
      </c>
      <c r="C23" s="38"/>
      <c r="D23" s="99">
        <v>17</v>
      </c>
      <c r="E23" s="145" t="s">
        <v>129</v>
      </c>
      <c r="F23" s="41">
        <f t="shared" si="3"/>
        <v>13</v>
      </c>
      <c r="G23" s="176"/>
      <c r="H23" s="176"/>
      <c r="I23" s="176"/>
      <c r="J23" s="176"/>
      <c r="K23" s="176"/>
      <c r="L23" s="176"/>
      <c r="M23" s="176"/>
      <c r="N23" s="176"/>
      <c r="O23" s="176">
        <v>1</v>
      </c>
      <c r="P23" s="176">
        <v>1</v>
      </c>
      <c r="Q23" s="176">
        <v>1</v>
      </c>
      <c r="R23" s="176">
        <v>1</v>
      </c>
      <c r="S23" s="176">
        <v>1</v>
      </c>
      <c r="T23" s="176">
        <v>1</v>
      </c>
      <c r="U23" s="176">
        <v>1</v>
      </c>
      <c r="V23" s="176">
        <v>1</v>
      </c>
      <c r="W23" s="176">
        <v>1</v>
      </c>
      <c r="X23" s="176">
        <v>1</v>
      </c>
      <c r="Y23" s="176">
        <v>1</v>
      </c>
      <c r="Z23" s="176">
        <v>1</v>
      </c>
      <c r="AA23" s="176">
        <v>1</v>
      </c>
      <c r="AB23" s="176"/>
      <c r="AC23" s="176"/>
      <c r="AD23" s="176"/>
      <c r="AE23" s="41">
        <f t="shared" si="1"/>
        <v>13</v>
      </c>
      <c r="AF23" s="95"/>
      <c r="AG23" s="550" t="s">
        <v>41</v>
      </c>
      <c r="AH23" s="542"/>
      <c r="AI23" s="178" t="s">
        <v>444</v>
      </c>
      <c r="AJ23" s="179"/>
      <c r="AK23" s="491"/>
      <c r="AL23" s="492"/>
    </row>
    <row r="24" spans="1:38" ht="14.25" customHeight="1" thickBot="1">
      <c r="A24" s="38" t="s">
        <v>41</v>
      </c>
      <c r="B24" s="38" t="s">
        <v>122</v>
      </c>
      <c r="C24" s="38">
        <v>984490770</v>
      </c>
      <c r="D24" s="99">
        <v>6</v>
      </c>
      <c r="E24" s="145" t="s">
        <v>123</v>
      </c>
      <c r="F24" s="41">
        <f t="shared" si="3"/>
        <v>12</v>
      </c>
      <c r="G24" s="176"/>
      <c r="H24" s="176"/>
      <c r="I24" s="176"/>
      <c r="J24" s="176"/>
      <c r="K24" s="176"/>
      <c r="L24" s="176"/>
      <c r="M24" s="176">
        <v>1</v>
      </c>
      <c r="N24" s="176">
        <v>1</v>
      </c>
      <c r="O24" s="176">
        <v>1</v>
      </c>
      <c r="P24" s="176">
        <v>1</v>
      </c>
      <c r="Q24" s="176">
        <v>1</v>
      </c>
      <c r="R24" s="176">
        <v>1</v>
      </c>
      <c r="S24" s="176">
        <v>1</v>
      </c>
      <c r="T24" s="176">
        <v>1</v>
      </c>
      <c r="U24" s="176">
        <v>1</v>
      </c>
      <c r="V24" s="176">
        <v>1</v>
      </c>
      <c r="W24" s="176">
        <v>1</v>
      </c>
      <c r="X24" s="176">
        <v>1</v>
      </c>
      <c r="Y24" s="176"/>
      <c r="Z24" s="176"/>
      <c r="AA24" s="176"/>
      <c r="AB24" s="176"/>
      <c r="AC24" s="176"/>
      <c r="AD24" s="176"/>
      <c r="AE24" s="41">
        <f t="shared" si="1"/>
        <v>12</v>
      </c>
      <c r="AF24" s="95"/>
      <c r="AG24" s="550" t="s">
        <v>41</v>
      </c>
      <c r="AH24" s="542"/>
      <c r="AI24" s="178" t="s">
        <v>444</v>
      </c>
      <c r="AJ24" s="179"/>
      <c r="AK24" s="491"/>
      <c r="AL24" s="492"/>
    </row>
    <row r="25" spans="1:38" ht="14.25" customHeight="1" thickBot="1">
      <c r="A25" s="38" t="s">
        <v>41</v>
      </c>
      <c r="B25" s="499" t="s">
        <v>134</v>
      </c>
      <c r="C25" s="38">
        <v>962839078</v>
      </c>
      <c r="D25" s="99">
        <v>19</v>
      </c>
      <c r="E25" s="145" t="s">
        <v>135</v>
      </c>
      <c r="F25" s="41">
        <f t="shared" si="3"/>
        <v>10</v>
      </c>
      <c r="G25" s="176">
        <v>1</v>
      </c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>
        <v>1</v>
      </c>
      <c r="V25" s="176">
        <v>1</v>
      </c>
      <c r="W25" s="176">
        <v>1</v>
      </c>
      <c r="X25" s="176">
        <v>1</v>
      </c>
      <c r="Y25" s="176">
        <v>1</v>
      </c>
      <c r="Z25" s="176">
        <v>1</v>
      </c>
      <c r="AA25" s="176">
        <v>1</v>
      </c>
      <c r="AB25" s="176">
        <v>1</v>
      </c>
      <c r="AC25" s="176">
        <v>1</v>
      </c>
      <c r="AD25" s="176"/>
      <c r="AE25" s="41">
        <f t="shared" si="1"/>
        <v>10</v>
      </c>
      <c r="AF25" s="95"/>
      <c r="AG25" s="550" t="s">
        <v>41</v>
      </c>
      <c r="AH25" s="542"/>
      <c r="AI25" s="178" t="s">
        <v>444</v>
      </c>
      <c r="AJ25" s="179"/>
      <c r="AK25" s="491"/>
      <c r="AL25" s="492"/>
    </row>
    <row r="26" spans="1:38" ht="14.25" customHeight="1" thickBot="1">
      <c r="A26" s="38" t="s">
        <v>41</v>
      </c>
      <c r="B26" s="38" t="s">
        <v>139</v>
      </c>
      <c r="C26" s="38">
        <v>990660059</v>
      </c>
      <c r="D26" s="99">
        <v>20</v>
      </c>
      <c r="E26" s="145" t="s">
        <v>140</v>
      </c>
      <c r="F26" s="41">
        <f t="shared" si="3"/>
        <v>6</v>
      </c>
      <c r="G26" s="176"/>
      <c r="H26" s="176"/>
      <c r="I26" s="176"/>
      <c r="J26" s="176"/>
      <c r="K26" s="176"/>
      <c r="L26" s="176"/>
      <c r="M26" s="176"/>
      <c r="N26" s="176">
        <v>1</v>
      </c>
      <c r="O26" s="176">
        <v>1</v>
      </c>
      <c r="P26" s="176">
        <v>1</v>
      </c>
      <c r="Q26" s="176">
        <v>1</v>
      </c>
      <c r="R26" s="176">
        <v>1</v>
      </c>
      <c r="S26" s="176">
        <v>1</v>
      </c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41">
        <f t="shared" si="1"/>
        <v>6</v>
      </c>
      <c r="AF26" s="95"/>
      <c r="AG26" s="550" t="s">
        <v>41</v>
      </c>
      <c r="AH26" s="542"/>
      <c r="AI26" s="178" t="s">
        <v>444</v>
      </c>
      <c r="AJ26" s="179"/>
      <c r="AK26" s="491"/>
      <c r="AL26" s="492"/>
    </row>
    <row r="27" spans="1:38" ht="14.25" customHeight="1" thickBot="1">
      <c r="A27" s="38" t="s">
        <v>41</v>
      </c>
      <c r="B27" s="501" t="s">
        <v>117</v>
      </c>
      <c r="C27" s="38"/>
      <c r="D27" s="99">
        <v>21</v>
      </c>
      <c r="E27" s="145" t="s">
        <v>118</v>
      </c>
      <c r="F27" s="41">
        <f t="shared" si="3"/>
        <v>13</v>
      </c>
      <c r="G27" s="176"/>
      <c r="H27" s="176"/>
      <c r="I27" s="176"/>
      <c r="J27" s="176"/>
      <c r="K27" s="176"/>
      <c r="L27" s="176"/>
      <c r="M27" s="176"/>
      <c r="N27" s="176"/>
      <c r="O27" s="176"/>
      <c r="P27" s="176">
        <v>1</v>
      </c>
      <c r="Q27" s="176">
        <v>1</v>
      </c>
      <c r="R27" s="176">
        <v>1</v>
      </c>
      <c r="S27" s="176">
        <v>1</v>
      </c>
      <c r="T27" s="176">
        <v>1</v>
      </c>
      <c r="U27" s="176"/>
      <c r="V27" s="176">
        <v>1</v>
      </c>
      <c r="W27" s="176">
        <v>1</v>
      </c>
      <c r="X27" s="176">
        <v>1</v>
      </c>
      <c r="Y27" s="176">
        <v>1</v>
      </c>
      <c r="Z27" s="176">
        <v>1</v>
      </c>
      <c r="AA27" s="176">
        <v>1</v>
      </c>
      <c r="AB27" s="176">
        <v>1</v>
      </c>
      <c r="AC27" s="176">
        <v>1</v>
      </c>
      <c r="AD27" s="176"/>
      <c r="AE27" s="41">
        <f t="shared" si="1"/>
        <v>13</v>
      </c>
      <c r="AF27" s="95"/>
      <c r="AG27" s="549" t="s">
        <v>912</v>
      </c>
      <c r="AH27" s="542"/>
      <c r="AI27" s="178" t="s">
        <v>444</v>
      </c>
      <c r="AJ27" s="179"/>
      <c r="AK27" s="491"/>
      <c r="AL27" s="492"/>
    </row>
    <row r="28" spans="1:38" ht="14.25" customHeight="1" thickBot="1">
      <c r="A28" s="38" t="s">
        <v>41</v>
      </c>
      <c r="B28" s="76" t="s">
        <v>142</v>
      </c>
      <c r="C28" s="76">
        <v>982807786</v>
      </c>
      <c r="D28" s="99">
        <v>22</v>
      </c>
      <c r="E28" s="145" t="s">
        <v>143</v>
      </c>
      <c r="F28" s="41">
        <f t="shared" si="3"/>
        <v>13</v>
      </c>
      <c r="G28" s="176"/>
      <c r="H28" s="176"/>
      <c r="I28" s="176"/>
      <c r="J28" s="176"/>
      <c r="K28" s="176"/>
      <c r="L28" s="176"/>
      <c r="M28" s="176">
        <v>1</v>
      </c>
      <c r="N28" s="176">
        <v>1</v>
      </c>
      <c r="O28" s="176">
        <v>1</v>
      </c>
      <c r="P28" s="176">
        <v>1</v>
      </c>
      <c r="Q28" s="176">
        <v>1</v>
      </c>
      <c r="R28" s="176">
        <v>1</v>
      </c>
      <c r="S28" s="176">
        <v>1</v>
      </c>
      <c r="T28" s="176">
        <v>1</v>
      </c>
      <c r="U28" s="176">
        <v>1</v>
      </c>
      <c r="V28" s="176">
        <v>1</v>
      </c>
      <c r="W28" s="176">
        <v>1</v>
      </c>
      <c r="X28" s="176"/>
      <c r="Y28" s="176">
        <v>1</v>
      </c>
      <c r="Z28" s="176">
        <v>1</v>
      </c>
      <c r="AA28" s="176"/>
      <c r="AB28" s="176"/>
      <c r="AC28" s="176"/>
      <c r="AD28" s="176"/>
      <c r="AE28" s="41">
        <f t="shared" si="1"/>
        <v>13</v>
      </c>
      <c r="AF28" s="95"/>
      <c r="AG28" s="550" t="s">
        <v>41</v>
      </c>
      <c r="AH28" s="542"/>
      <c r="AI28" s="178" t="s">
        <v>444</v>
      </c>
      <c r="AJ28" s="179"/>
      <c r="AK28" s="491"/>
      <c r="AL28" s="492"/>
    </row>
    <row r="29" spans="1:38" ht="14.25" customHeight="1" thickBot="1">
      <c r="A29" s="38" t="s">
        <v>41</v>
      </c>
      <c r="B29" s="188" t="s">
        <v>449</v>
      </c>
      <c r="C29" s="38">
        <v>992908618</v>
      </c>
      <c r="D29" s="99">
        <v>23</v>
      </c>
      <c r="E29" s="145" t="s">
        <v>455</v>
      </c>
      <c r="F29" s="41">
        <f t="shared" si="3"/>
        <v>13</v>
      </c>
      <c r="G29" s="176"/>
      <c r="H29" s="176"/>
      <c r="I29" s="176"/>
      <c r="J29" s="176"/>
      <c r="K29" s="176"/>
      <c r="L29" s="176"/>
      <c r="M29" s="176"/>
      <c r="N29" s="176"/>
      <c r="O29" s="176"/>
      <c r="P29" s="176">
        <v>1</v>
      </c>
      <c r="Q29" s="176">
        <v>1</v>
      </c>
      <c r="R29" s="176">
        <v>1</v>
      </c>
      <c r="S29" s="176">
        <v>1</v>
      </c>
      <c r="T29" s="176">
        <v>1</v>
      </c>
      <c r="U29" s="176">
        <v>1</v>
      </c>
      <c r="V29" s="176">
        <v>1</v>
      </c>
      <c r="W29" s="176">
        <v>1</v>
      </c>
      <c r="X29" s="176">
        <v>1</v>
      </c>
      <c r="Y29" s="176">
        <v>1</v>
      </c>
      <c r="Z29" s="176">
        <v>1</v>
      </c>
      <c r="AA29" s="176">
        <v>1</v>
      </c>
      <c r="AB29" s="176">
        <v>1</v>
      </c>
      <c r="AC29" s="176"/>
      <c r="AD29" s="176"/>
      <c r="AE29" s="41">
        <f t="shared" si="1"/>
        <v>13</v>
      </c>
      <c r="AF29" s="95"/>
      <c r="AG29" s="556" t="s">
        <v>41</v>
      </c>
      <c r="AH29" s="557"/>
      <c r="AI29" s="178" t="s">
        <v>444</v>
      </c>
      <c r="AJ29" s="179"/>
      <c r="AK29" s="491"/>
      <c r="AL29" s="492"/>
    </row>
    <row r="30" spans="1:38" ht="14.25" customHeight="1" thickBot="1">
      <c r="A30" s="38" t="s">
        <v>41</v>
      </c>
      <c r="B30" s="188" t="s">
        <v>456</v>
      </c>
      <c r="C30" s="98">
        <v>969080587</v>
      </c>
      <c r="D30" s="99">
        <v>24</v>
      </c>
      <c r="E30" s="145" t="s">
        <v>457</v>
      </c>
      <c r="F30" s="41">
        <f t="shared" si="3"/>
        <v>4</v>
      </c>
      <c r="G30" s="176"/>
      <c r="H30" s="176"/>
      <c r="I30" s="176"/>
      <c r="J30" s="176"/>
      <c r="K30" s="176"/>
      <c r="L30" s="176"/>
      <c r="M30" s="176"/>
      <c r="N30" s="176"/>
      <c r="O30" s="176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176">
        <v>1</v>
      </c>
      <c r="AA30" s="176">
        <v>1</v>
      </c>
      <c r="AB30" s="176">
        <v>1</v>
      </c>
      <c r="AC30" s="176">
        <v>1</v>
      </c>
      <c r="AD30" s="176"/>
      <c r="AE30" s="41">
        <f t="shared" si="1"/>
        <v>4</v>
      </c>
      <c r="AF30" s="95"/>
      <c r="AG30" s="550" t="s">
        <v>41</v>
      </c>
      <c r="AH30" s="542"/>
      <c r="AI30" s="178" t="s">
        <v>444</v>
      </c>
      <c r="AJ30" s="179"/>
      <c r="AK30" s="491"/>
      <c r="AL30" s="492"/>
    </row>
    <row r="31" spans="1:38" ht="14.25" customHeight="1" thickBot="1">
      <c r="A31" s="38" t="s">
        <v>41</v>
      </c>
      <c r="B31" s="500" t="s">
        <v>459</v>
      </c>
      <c r="C31" s="38">
        <v>969776425</v>
      </c>
      <c r="D31" s="99">
        <v>25</v>
      </c>
      <c r="E31" s="145" t="s">
        <v>460</v>
      </c>
      <c r="F31" s="41">
        <f t="shared" si="3"/>
        <v>13</v>
      </c>
      <c r="G31" s="176"/>
      <c r="H31" s="176"/>
      <c r="I31" s="176"/>
      <c r="J31" s="176"/>
      <c r="K31" s="176"/>
      <c r="L31" s="176"/>
      <c r="M31" s="176"/>
      <c r="N31" s="176"/>
      <c r="O31" s="176"/>
      <c r="P31" s="176">
        <v>1</v>
      </c>
      <c r="Q31" s="176">
        <v>1</v>
      </c>
      <c r="R31" s="176">
        <v>1</v>
      </c>
      <c r="S31" s="176">
        <v>1</v>
      </c>
      <c r="T31" s="176">
        <v>1</v>
      </c>
      <c r="U31" s="176">
        <v>1</v>
      </c>
      <c r="V31" s="176">
        <v>1</v>
      </c>
      <c r="W31" s="176">
        <v>1</v>
      </c>
      <c r="X31" s="176">
        <v>1</v>
      </c>
      <c r="Y31" s="176">
        <v>1</v>
      </c>
      <c r="Z31" s="176">
        <v>1</v>
      </c>
      <c r="AA31" s="176">
        <v>1</v>
      </c>
      <c r="AB31" s="176">
        <v>1</v>
      </c>
      <c r="AC31" s="176"/>
      <c r="AD31" s="176"/>
      <c r="AE31" s="41">
        <f t="shared" si="1"/>
        <v>13</v>
      </c>
      <c r="AF31" s="95"/>
      <c r="AG31" s="550" t="s">
        <v>41</v>
      </c>
      <c r="AH31" s="542"/>
      <c r="AI31" s="178" t="s">
        <v>444</v>
      </c>
      <c r="AJ31" s="179"/>
      <c r="AK31" s="491"/>
      <c r="AL31" s="492"/>
    </row>
    <row r="32" spans="1:38" ht="14.25" customHeight="1" thickBot="1">
      <c r="A32" s="76" t="s">
        <v>41</v>
      </c>
      <c r="B32" s="412" t="s">
        <v>458</v>
      </c>
      <c r="C32" s="76">
        <v>992753316</v>
      </c>
      <c r="D32" s="86">
        <v>26</v>
      </c>
      <c r="E32" s="145" t="s">
        <v>461</v>
      </c>
      <c r="F32" s="88">
        <f t="shared" si="3"/>
        <v>12</v>
      </c>
      <c r="G32" s="176"/>
      <c r="H32" s="176"/>
      <c r="I32" s="176"/>
      <c r="J32" s="176"/>
      <c r="K32" s="176"/>
      <c r="L32" s="176"/>
      <c r="M32" s="176">
        <v>1</v>
      </c>
      <c r="N32" s="176">
        <v>1</v>
      </c>
      <c r="O32" s="176">
        <v>1</v>
      </c>
      <c r="P32" s="176">
        <v>1</v>
      </c>
      <c r="Q32" s="176">
        <v>1</v>
      </c>
      <c r="R32" s="176">
        <v>1</v>
      </c>
      <c r="S32" s="176">
        <v>1</v>
      </c>
      <c r="T32" s="176">
        <v>1</v>
      </c>
      <c r="U32" s="176">
        <v>1</v>
      </c>
      <c r="V32" s="176">
        <v>1</v>
      </c>
      <c r="W32" s="176">
        <v>1</v>
      </c>
      <c r="X32" s="176">
        <v>1</v>
      </c>
      <c r="Y32" s="176"/>
      <c r="Z32" s="176"/>
      <c r="AA32" s="176"/>
      <c r="AB32" s="176"/>
      <c r="AC32" s="176"/>
      <c r="AD32" s="176"/>
      <c r="AE32" s="41">
        <f t="shared" si="1"/>
        <v>12</v>
      </c>
      <c r="AF32" s="95"/>
      <c r="AG32" s="558" t="s">
        <v>41</v>
      </c>
      <c r="AH32" s="542"/>
      <c r="AI32" s="178" t="s">
        <v>444</v>
      </c>
      <c r="AJ32" s="179"/>
      <c r="AK32" s="491"/>
      <c r="AL32" s="492"/>
    </row>
    <row r="33" spans="1:38" ht="14.25" customHeight="1" thickBot="1">
      <c r="A33" s="38" t="s">
        <v>41</v>
      </c>
      <c r="B33" s="188" t="s">
        <v>452</v>
      </c>
      <c r="C33" s="38">
        <v>985553653</v>
      </c>
      <c r="D33" s="99">
        <v>27</v>
      </c>
      <c r="E33" s="145" t="s">
        <v>463</v>
      </c>
      <c r="F33" s="41">
        <f t="shared" si="3"/>
        <v>12</v>
      </c>
      <c r="G33" s="176"/>
      <c r="H33" s="176"/>
      <c r="I33" s="176"/>
      <c r="J33" s="176"/>
      <c r="K33" s="176"/>
      <c r="L33" s="176"/>
      <c r="M33" s="176"/>
      <c r="N33" s="176"/>
      <c r="O33" s="176"/>
      <c r="P33" s="176">
        <v>1</v>
      </c>
      <c r="Q33" s="176">
        <v>1</v>
      </c>
      <c r="R33" s="176">
        <v>1</v>
      </c>
      <c r="S33" s="176">
        <v>1</v>
      </c>
      <c r="T33" s="176">
        <v>1</v>
      </c>
      <c r="U33" s="176">
        <v>1</v>
      </c>
      <c r="V33" s="176">
        <v>1</v>
      </c>
      <c r="W33" s="176">
        <v>1</v>
      </c>
      <c r="X33" s="176">
        <v>1</v>
      </c>
      <c r="Y33" s="176">
        <v>1</v>
      </c>
      <c r="Z33" s="176">
        <v>1</v>
      </c>
      <c r="AA33" s="176">
        <v>1</v>
      </c>
      <c r="AB33" s="176"/>
      <c r="AC33" s="176"/>
      <c r="AD33" s="176"/>
      <c r="AE33" s="41">
        <f t="shared" si="1"/>
        <v>12</v>
      </c>
      <c r="AF33" s="95"/>
      <c r="AG33" s="550" t="s">
        <v>41</v>
      </c>
      <c r="AH33" s="542"/>
      <c r="AI33" s="178" t="s">
        <v>444</v>
      </c>
      <c r="AJ33" s="179"/>
      <c r="AK33" s="491"/>
      <c r="AL33" s="492"/>
    </row>
    <row r="34" spans="1:38" ht="14.25" customHeight="1" thickBot="1">
      <c r="A34" s="38" t="s">
        <v>41</v>
      </c>
      <c r="B34" s="188" t="s">
        <v>464</v>
      </c>
      <c r="C34" s="38">
        <v>982043776</v>
      </c>
      <c r="D34" s="99">
        <v>28</v>
      </c>
      <c r="E34" s="145" t="s">
        <v>465</v>
      </c>
      <c r="F34" s="41">
        <f t="shared" si="3"/>
        <v>12</v>
      </c>
      <c r="G34" s="176"/>
      <c r="H34" s="176"/>
      <c r="I34" s="176"/>
      <c r="J34" s="176"/>
      <c r="K34" s="176"/>
      <c r="L34" s="176"/>
      <c r="M34" s="176"/>
      <c r="N34" s="176"/>
      <c r="O34" s="176">
        <v>1</v>
      </c>
      <c r="P34" s="176">
        <v>1</v>
      </c>
      <c r="Q34" s="176">
        <v>1</v>
      </c>
      <c r="R34" s="176">
        <v>1</v>
      </c>
      <c r="S34" s="176">
        <v>1</v>
      </c>
      <c r="T34" s="176">
        <v>1</v>
      </c>
      <c r="U34" s="176">
        <v>1</v>
      </c>
      <c r="V34" s="176">
        <v>1</v>
      </c>
      <c r="W34" s="176">
        <v>1</v>
      </c>
      <c r="X34" s="176"/>
      <c r="Y34" s="176">
        <v>1</v>
      </c>
      <c r="Z34" s="176">
        <v>1</v>
      </c>
      <c r="AA34" s="176">
        <v>1</v>
      </c>
      <c r="AB34" s="176"/>
      <c r="AC34" s="176"/>
      <c r="AD34" s="176"/>
      <c r="AE34" s="41">
        <f t="shared" si="1"/>
        <v>12</v>
      </c>
      <c r="AF34" s="95"/>
      <c r="AG34" s="550" t="s">
        <v>41</v>
      </c>
      <c r="AH34" s="542"/>
      <c r="AI34" s="178" t="s">
        <v>444</v>
      </c>
      <c r="AJ34" s="179"/>
      <c r="AK34" s="491"/>
      <c r="AL34" s="492"/>
    </row>
    <row r="35" spans="1:38" ht="14.25" customHeight="1" thickBot="1">
      <c r="A35" s="38" t="s">
        <v>41</v>
      </c>
      <c r="B35" s="188" t="s">
        <v>447</v>
      </c>
      <c r="C35" s="38">
        <v>979138395</v>
      </c>
      <c r="D35" s="99">
        <v>29</v>
      </c>
      <c r="E35" s="145" t="s">
        <v>466</v>
      </c>
      <c r="F35" s="41">
        <f t="shared" si="3"/>
        <v>11</v>
      </c>
      <c r="G35" s="176"/>
      <c r="H35" s="176"/>
      <c r="I35" s="176"/>
      <c r="J35" s="176"/>
      <c r="K35" s="176"/>
      <c r="L35" s="176"/>
      <c r="M35" s="176"/>
      <c r="N35" s="176"/>
      <c r="O35" s="176">
        <v>1</v>
      </c>
      <c r="P35" s="176">
        <v>1</v>
      </c>
      <c r="Q35" s="176">
        <v>1</v>
      </c>
      <c r="R35" s="176">
        <v>1</v>
      </c>
      <c r="S35" s="176">
        <v>1</v>
      </c>
      <c r="T35" s="176">
        <v>1</v>
      </c>
      <c r="U35" s="176">
        <v>1</v>
      </c>
      <c r="V35" s="176">
        <v>1</v>
      </c>
      <c r="W35" s="176">
        <v>1</v>
      </c>
      <c r="X35" s="176">
        <v>1</v>
      </c>
      <c r="Y35" s="176">
        <v>1</v>
      </c>
      <c r="Z35" s="176"/>
      <c r="AA35" s="176"/>
      <c r="AB35" s="176"/>
      <c r="AC35" s="176"/>
      <c r="AD35" s="176"/>
      <c r="AE35" s="41">
        <f t="shared" si="1"/>
        <v>11</v>
      </c>
      <c r="AF35" s="95"/>
      <c r="AG35" s="550" t="s">
        <v>41</v>
      </c>
      <c r="AH35" s="542"/>
      <c r="AI35" s="178" t="s">
        <v>444</v>
      </c>
      <c r="AJ35" s="179"/>
      <c r="AK35" s="491"/>
      <c r="AL35" s="492"/>
    </row>
    <row r="36" spans="1:38" ht="14.25" customHeight="1" thickBot="1">
      <c r="A36" s="38" t="s">
        <v>41</v>
      </c>
      <c r="B36" s="188" t="s">
        <v>448</v>
      </c>
      <c r="C36" s="98">
        <v>979187927</v>
      </c>
      <c r="D36" s="99">
        <v>30</v>
      </c>
      <c r="E36" s="145" t="s">
        <v>467</v>
      </c>
      <c r="F36" s="41">
        <f t="shared" si="3"/>
        <v>11</v>
      </c>
      <c r="G36" s="176"/>
      <c r="H36" s="176"/>
      <c r="I36" s="176"/>
      <c r="J36" s="176"/>
      <c r="K36" s="176"/>
      <c r="L36" s="176"/>
      <c r="M36" s="176"/>
      <c r="N36" s="176"/>
      <c r="O36" s="176">
        <v>1</v>
      </c>
      <c r="P36" s="176">
        <v>1</v>
      </c>
      <c r="Q36" s="176">
        <v>1</v>
      </c>
      <c r="R36" s="176">
        <v>1</v>
      </c>
      <c r="S36" s="176">
        <v>1</v>
      </c>
      <c r="T36" s="176">
        <v>1</v>
      </c>
      <c r="U36" s="176">
        <v>1</v>
      </c>
      <c r="V36" s="176">
        <v>1</v>
      </c>
      <c r="W36" s="176">
        <v>1</v>
      </c>
      <c r="X36" s="176">
        <v>1</v>
      </c>
      <c r="Y36" s="176">
        <v>1</v>
      </c>
      <c r="Z36" s="176"/>
      <c r="AA36" s="176"/>
      <c r="AB36" s="176"/>
      <c r="AC36" s="176"/>
      <c r="AD36" s="176"/>
      <c r="AE36" s="41">
        <f t="shared" si="1"/>
        <v>11</v>
      </c>
      <c r="AF36" s="95"/>
      <c r="AG36" s="550" t="s">
        <v>41</v>
      </c>
      <c r="AH36" s="542"/>
      <c r="AI36" s="178" t="s">
        <v>444</v>
      </c>
      <c r="AJ36" s="179"/>
      <c r="AK36" s="491"/>
      <c r="AL36" s="492"/>
    </row>
    <row r="37" spans="1:38" ht="14.25" customHeight="1" thickBot="1">
      <c r="A37" s="38" t="s">
        <v>41</v>
      </c>
      <c r="B37" s="188" t="s">
        <v>468</v>
      </c>
      <c r="C37" s="98">
        <v>987948960</v>
      </c>
      <c r="D37" s="99">
        <v>31</v>
      </c>
      <c r="E37" s="145" t="s">
        <v>469</v>
      </c>
      <c r="F37" s="41">
        <f t="shared" si="3"/>
        <v>11</v>
      </c>
      <c r="G37" s="176"/>
      <c r="H37" s="176"/>
      <c r="I37" s="176"/>
      <c r="J37" s="176"/>
      <c r="K37" s="176"/>
      <c r="L37" s="176"/>
      <c r="M37" s="176"/>
      <c r="N37" s="176"/>
      <c r="O37" s="176"/>
      <c r="P37" s="176">
        <v>1</v>
      </c>
      <c r="Q37" s="176">
        <v>1</v>
      </c>
      <c r="R37" s="176">
        <v>1</v>
      </c>
      <c r="S37" s="176">
        <v>1</v>
      </c>
      <c r="T37" s="176">
        <v>1</v>
      </c>
      <c r="U37" s="176">
        <v>1</v>
      </c>
      <c r="V37" s="176">
        <v>1</v>
      </c>
      <c r="W37" s="176">
        <v>1</v>
      </c>
      <c r="X37" s="176">
        <v>1</v>
      </c>
      <c r="Y37" s="176">
        <v>1</v>
      </c>
      <c r="Z37" s="176">
        <v>1</v>
      </c>
      <c r="AA37" s="176"/>
      <c r="AB37" s="176"/>
      <c r="AC37" s="176"/>
      <c r="AD37" s="176"/>
      <c r="AE37" s="41">
        <f t="shared" si="1"/>
        <v>11</v>
      </c>
      <c r="AF37" s="95"/>
      <c r="AG37" s="550" t="s">
        <v>41</v>
      </c>
      <c r="AH37" s="542"/>
      <c r="AI37" s="178" t="s">
        <v>444</v>
      </c>
      <c r="AJ37" s="179"/>
      <c r="AK37" s="491"/>
      <c r="AL37" s="492"/>
    </row>
    <row r="38" spans="1:38" ht="14.25" customHeight="1" thickBot="1">
      <c r="A38" s="38" t="s">
        <v>41</v>
      </c>
      <c r="B38" s="188" t="s">
        <v>477</v>
      </c>
      <c r="C38" s="38">
        <v>999763726</v>
      </c>
      <c r="D38" s="99">
        <v>8</v>
      </c>
      <c r="E38" s="145" t="s">
        <v>478</v>
      </c>
      <c r="F38" s="41">
        <f t="shared" si="3"/>
        <v>2</v>
      </c>
      <c r="G38" s="176"/>
      <c r="H38" s="176"/>
      <c r="I38" s="176"/>
      <c r="J38" s="176"/>
      <c r="K38" s="176"/>
      <c r="L38" s="176"/>
      <c r="M38" s="176"/>
      <c r="N38" s="176"/>
      <c r="O38" s="176"/>
      <c r="P38" s="508"/>
      <c r="Q38" s="508"/>
      <c r="R38" s="508"/>
      <c r="S38" s="508"/>
      <c r="T38" s="508"/>
      <c r="U38" s="508"/>
      <c r="V38" s="508"/>
      <c r="W38" s="508"/>
      <c r="X38" s="508"/>
      <c r="Y38" s="508"/>
      <c r="Z38" s="176">
        <v>1</v>
      </c>
      <c r="AA38" s="176">
        <v>1</v>
      </c>
      <c r="AB38" s="176"/>
      <c r="AC38" s="176"/>
      <c r="AD38" s="176"/>
      <c r="AE38" s="41">
        <f t="shared" si="1"/>
        <v>2</v>
      </c>
      <c r="AF38" s="95"/>
      <c r="AG38" s="550" t="s">
        <v>41</v>
      </c>
      <c r="AH38" s="542"/>
      <c r="AI38" s="178" t="s">
        <v>444</v>
      </c>
      <c r="AJ38" s="179"/>
      <c r="AK38" s="491"/>
      <c r="AL38" s="492"/>
    </row>
    <row r="39" spans="1:38" ht="14.25" customHeight="1" thickBot="1">
      <c r="A39" s="38" t="s">
        <v>145</v>
      </c>
      <c r="B39" s="38" t="s">
        <v>76</v>
      </c>
      <c r="C39" s="38">
        <v>997829699</v>
      </c>
      <c r="D39" s="99">
        <v>3</v>
      </c>
      <c r="E39" s="122" t="s">
        <v>77</v>
      </c>
      <c r="F39" s="41">
        <f t="shared" si="3"/>
        <v>12</v>
      </c>
      <c r="G39" s="176"/>
      <c r="H39" s="176"/>
      <c r="I39" s="176"/>
      <c r="J39" s="176"/>
      <c r="K39" s="176"/>
      <c r="L39" s="176"/>
      <c r="M39" s="176">
        <v>1</v>
      </c>
      <c r="N39" s="176">
        <v>1</v>
      </c>
      <c r="O39" s="176">
        <v>1</v>
      </c>
      <c r="P39" s="176">
        <v>1</v>
      </c>
      <c r="Q39" s="176">
        <v>1</v>
      </c>
      <c r="R39" s="176">
        <v>1</v>
      </c>
      <c r="S39" s="176">
        <v>1</v>
      </c>
      <c r="T39" s="176">
        <v>1</v>
      </c>
      <c r="U39" s="176">
        <v>1</v>
      </c>
      <c r="V39" s="176">
        <v>1</v>
      </c>
      <c r="W39" s="176">
        <v>1</v>
      </c>
      <c r="X39" s="176">
        <v>1</v>
      </c>
      <c r="Y39" s="176"/>
      <c r="Z39" s="176"/>
      <c r="AA39" s="176"/>
      <c r="AB39" s="176"/>
      <c r="AC39" s="176"/>
      <c r="AD39" s="176"/>
      <c r="AE39" s="41">
        <f t="shared" si="1"/>
        <v>12</v>
      </c>
      <c r="AF39" s="95"/>
      <c r="AG39" s="550" t="s">
        <v>41</v>
      </c>
      <c r="AH39" s="542"/>
      <c r="AI39" s="178"/>
      <c r="AJ39" s="179"/>
      <c r="AK39" s="491"/>
      <c r="AL39" s="492"/>
    </row>
    <row r="40" spans="1:38" ht="14.25" customHeight="1" thickBot="1">
      <c r="A40" s="38" t="s">
        <v>145</v>
      </c>
      <c r="B40" s="38" t="s">
        <v>165</v>
      </c>
      <c r="C40" s="38">
        <v>992994680</v>
      </c>
      <c r="D40" s="117">
        <v>8</v>
      </c>
      <c r="E40" s="122" t="s">
        <v>166</v>
      </c>
      <c r="F40" s="41">
        <f>SUM(G40:AD40)</f>
        <v>12</v>
      </c>
      <c r="G40" s="185"/>
      <c r="H40" s="185"/>
      <c r="I40" s="185"/>
      <c r="J40" s="185"/>
      <c r="K40" s="185"/>
      <c r="L40" s="185"/>
      <c r="M40" s="185"/>
      <c r="N40" s="185">
        <v>1</v>
      </c>
      <c r="O40" s="185">
        <v>1</v>
      </c>
      <c r="P40" s="185">
        <v>1</v>
      </c>
      <c r="Q40" s="185">
        <v>1</v>
      </c>
      <c r="R40" s="185">
        <v>1</v>
      </c>
      <c r="S40" s="185">
        <v>1</v>
      </c>
      <c r="T40" s="185">
        <v>1</v>
      </c>
      <c r="U40" s="185">
        <v>1</v>
      </c>
      <c r="V40" s="185">
        <v>1</v>
      </c>
      <c r="W40" s="185">
        <v>1</v>
      </c>
      <c r="X40" s="185">
        <v>1</v>
      </c>
      <c r="Y40" s="185">
        <v>1</v>
      </c>
      <c r="Z40" s="185"/>
      <c r="AA40" s="185"/>
      <c r="AB40" s="185"/>
      <c r="AC40" s="185"/>
      <c r="AD40" s="185"/>
      <c r="AE40" s="41">
        <f>SUM(G40:AD40)</f>
        <v>12</v>
      </c>
      <c r="AF40" s="95"/>
      <c r="AG40" s="550" t="s">
        <v>41</v>
      </c>
      <c r="AH40" s="542"/>
      <c r="AI40" s="189" t="s">
        <v>444</v>
      </c>
      <c r="AJ40" s="179"/>
      <c r="AK40" s="179"/>
      <c r="AL40" s="179"/>
    </row>
    <row r="41" spans="1:38" ht="14.25" customHeight="1" thickBot="1">
      <c r="A41" s="38" t="s">
        <v>145</v>
      </c>
      <c r="B41" s="38" t="s">
        <v>181</v>
      </c>
      <c r="C41" s="38"/>
      <c r="D41" s="99">
        <v>12</v>
      </c>
      <c r="E41" s="122" t="s">
        <v>182</v>
      </c>
      <c r="F41" s="41">
        <f>SUM(G41:AD41)</f>
        <v>11</v>
      </c>
      <c r="G41" s="185"/>
      <c r="H41" s="185"/>
      <c r="I41" s="185"/>
      <c r="J41" s="185"/>
      <c r="K41" s="185"/>
      <c r="L41" s="185"/>
      <c r="M41" s="185"/>
      <c r="N41" s="185"/>
      <c r="O41" s="185">
        <v>1</v>
      </c>
      <c r="P41" s="185">
        <v>1</v>
      </c>
      <c r="Q41" s="185">
        <v>1</v>
      </c>
      <c r="R41" s="185">
        <v>1</v>
      </c>
      <c r="S41" s="185">
        <v>1</v>
      </c>
      <c r="T41" s="185">
        <v>1</v>
      </c>
      <c r="U41" s="185">
        <v>1</v>
      </c>
      <c r="V41" s="185">
        <v>1</v>
      </c>
      <c r="W41" s="185">
        <v>1</v>
      </c>
      <c r="X41" s="185">
        <v>1</v>
      </c>
      <c r="Y41" s="185">
        <v>1</v>
      </c>
      <c r="Z41" s="185"/>
      <c r="AA41" s="185"/>
      <c r="AB41" s="185"/>
      <c r="AC41" s="185"/>
      <c r="AD41" s="185"/>
      <c r="AE41" s="41">
        <f>SUM(G41:AD41)</f>
        <v>11</v>
      </c>
      <c r="AF41" s="95"/>
      <c r="AG41" s="550" t="s">
        <v>41</v>
      </c>
      <c r="AH41" s="542"/>
      <c r="AI41" s="189" t="s">
        <v>444</v>
      </c>
      <c r="AJ41" s="179"/>
      <c r="AK41" s="179"/>
      <c r="AL41" s="179"/>
    </row>
    <row r="42" spans="1:38" ht="14.25" customHeight="1" thickBot="1">
      <c r="A42" s="38" t="s">
        <v>145</v>
      </c>
      <c r="B42" s="38" t="s">
        <v>157</v>
      </c>
      <c r="C42" s="38">
        <v>990911747</v>
      </c>
      <c r="D42" s="99">
        <v>6</v>
      </c>
      <c r="E42" s="122" t="s">
        <v>158</v>
      </c>
      <c r="F42" s="41">
        <f>SUM(G42:AD42)</f>
        <v>11</v>
      </c>
      <c r="G42" s="185"/>
      <c r="H42" s="185"/>
      <c r="I42" s="185"/>
      <c r="J42" s="185"/>
      <c r="K42" s="185"/>
      <c r="L42" s="185"/>
      <c r="M42" s="185"/>
      <c r="N42" s="185"/>
      <c r="O42" s="185">
        <v>1</v>
      </c>
      <c r="P42" s="185">
        <v>1</v>
      </c>
      <c r="Q42" s="185">
        <v>1</v>
      </c>
      <c r="R42" s="185">
        <v>1</v>
      </c>
      <c r="S42" s="185">
        <v>1</v>
      </c>
      <c r="T42" s="185">
        <v>1</v>
      </c>
      <c r="U42" s="185">
        <v>1</v>
      </c>
      <c r="V42" s="185">
        <v>1</v>
      </c>
      <c r="W42" s="185">
        <v>1</v>
      </c>
      <c r="X42" s="185">
        <v>1</v>
      </c>
      <c r="Y42" s="185">
        <v>1</v>
      </c>
      <c r="Z42" s="185"/>
      <c r="AA42" s="185"/>
      <c r="AB42" s="185"/>
      <c r="AC42" s="185"/>
      <c r="AD42" s="185"/>
      <c r="AE42" s="41">
        <f>SUM(G42:AD42)</f>
        <v>11</v>
      </c>
      <c r="AF42" s="95"/>
      <c r="AG42" s="550" t="s">
        <v>41</v>
      </c>
      <c r="AH42" s="542"/>
      <c r="AI42" s="189" t="s">
        <v>444</v>
      </c>
      <c r="AJ42" s="179"/>
      <c r="AK42" s="179"/>
      <c r="AL42" s="179"/>
    </row>
    <row r="43" spans="1:38" ht="14.25" customHeight="1" thickBot="1">
      <c r="A43" s="38" t="s">
        <v>41</v>
      </c>
      <c r="B43" s="76" t="s">
        <v>126</v>
      </c>
      <c r="C43" s="76">
        <v>986256130</v>
      </c>
      <c r="D43" s="99">
        <v>32</v>
      </c>
      <c r="E43" s="145" t="s">
        <v>127</v>
      </c>
      <c r="F43" s="41">
        <f t="shared" si="3"/>
        <v>14</v>
      </c>
      <c r="G43" s="185"/>
      <c r="H43" s="185"/>
      <c r="I43" s="185"/>
      <c r="J43" s="185"/>
      <c r="K43" s="185"/>
      <c r="L43" s="185"/>
      <c r="M43" s="185"/>
      <c r="N43" s="176">
        <v>1</v>
      </c>
      <c r="O43" s="176">
        <v>1</v>
      </c>
      <c r="P43" s="539">
        <v>1</v>
      </c>
      <c r="Q43" s="540">
        <v>1</v>
      </c>
      <c r="R43" s="540">
        <v>1</v>
      </c>
      <c r="S43" s="540">
        <v>1</v>
      </c>
      <c r="T43" s="540">
        <v>1</v>
      </c>
      <c r="U43" s="540">
        <v>1</v>
      </c>
      <c r="V43" s="540">
        <v>1</v>
      </c>
      <c r="W43" s="540">
        <v>1</v>
      </c>
      <c r="X43" s="540">
        <v>1</v>
      </c>
      <c r="Y43" s="541">
        <v>1</v>
      </c>
      <c r="Z43" s="176">
        <v>1</v>
      </c>
      <c r="AA43" s="185">
        <v>1</v>
      </c>
      <c r="AB43" s="185"/>
      <c r="AC43" s="185"/>
      <c r="AD43" s="185"/>
      <c r="AE43" s="41">
        <f t="shared" si="1"/>
        <v>14</v>
      </c>
      <c r="AF43" s="95"/>
      <c r="AG43" s="551" t="s">
        <v>910</v>
      </c>
      <c r="AH43" s="555"/>
      <c r="AI43" s="189" t="s">
        <v>444</v>
      </c>
      <c r="AJ43" s="179"/>
      <c r="AK43" s="491"/>
      <c r="AL43" s="492"/>
    </row>
    <row r="44" spans="1:38" ht="14.25" customHeight="1" thickBot="1">
      <c r="A44" s="38" t="s">
        <v>41</v>
      </c>
      <c r="B44" s="38" t="s">
        <v>88</v>
      </c>
      <c r="C44" s="38">
        <v>985570860</v>
      </c>
      <c r="D44" s="99">
        <v>33</v>
      </c>
      <c r="E44" s="145" t="s">
        <v>89</v>
      </c>
      <c r="F44" s="41">
        <v>11</v>
      </c>
      <c r="G44" s="185"/>
      <c r="H44" s="185"/>
      <c r="I44" s="185"/>
      <c r="J44" s="185"/>
      <c r="K44" s="185"/>
      <c r="L44" s="185"/>
      <c r="M44" s="185"/>
      <c r="N44" s="176"/>
      <c r="O44" s="176"/>
      <c r="P44" s="552" t="s">
        <v>471</v>
      </c>
      <c r="Q44" s="553"/>
      <c r="R44" s="553"/>
      <c r="S44" s="553"/>
      <c r="T44" s="553"/>
      <c r="U44" s="553"/>
      <c r="V44" s="553"/>
      <c r="W44" s="553"/>
      <c r="X44" s="553"/>
      <c r="Y44" s="553"/>
      <c r="Z44" s="554"/>
      <c r="AA44" s="187"/>
      <c r="AB44" s="185"/>
      <c r="AC44" s="185"/>
      <c r="AD44" s="185"/>
      <c r="AE44" s="41">
        <v>12</v>
      </c>
      <c r="AF44" s="95"/>
      <c r="AG44" s="551" t="s">
        <v>471</v>
      </c>
      <c r="AH44" s="555"/>
      <c r="AI44" s="189" t="s">
        <v>444</v>
      </c>
      <c r="AJ44" s="179"/>
      <c r="AK44" s="491"/>
      <c r="AL44" s="492"/>
    </row>
    <row r="45" spans="1:38" ht="14.25" customHeight="1" thickBot="1">
      <c r="A45" s="511" t="s">
        <v>41</v>
      </c>
      <c r="B45" s="512" t="s">
        <v>137</v>
      </c>
      <c r="C45" s="511"/>
      <c r="D45" s="513">
        <v>34</v>
      </c>
      <c r="E45" s="145" t="s">
        <v>138</v>
      </c>
      <c r="F45" s="515">
        <v>8</v>
      </c>
      <c r="G45" s="185"/>
      <c r="H45" s="185"/>
      <c r="I45" s="185"/>
      <c r="J45" s="185"/>
      <c r="K45" s="185"/>
      <c r="L45" s="185"/>
      <c r="M45" s="185"/>
      <c r="N45" s="543" t="s">
        <v>320</v>
      </c>
      <c r="O45" s="544"/>
      <c r="P45" s="544"/>
      <c r="Q45" s="544"/>
      <c r="R45" s="544"/>
      <c r="S45" s="544"/>
      <c r="T45" s="544"/>
      <c r="U45" s="545"/>
      <c r="V45" s="185">
        <v>1</v>
      </c>
      <c r="W45" s="185">
        <v>1</v>
      </c>
      <c r="X45" s="185"/>
      <c r="Y45" s="185"/>
      <c r="Z45" s="185"/>
      <c r="AA45" s="185"/>
      <c r="AB45" s="185"/>
      <c r="AC45" s="185"/>
      <c r="AD45" s="185"/>
      <c r="AE45" s="41">
        <v>8</v>
      </c>
      <c r="AF45" s="95"/>
      <c r="AG45" s="551" t="s">
        <v>320</v>
      </c>
      <c r="AH45" s="542"/>
      <c r="AI45" s="189" t="s">
        <v>444</v>
      </c>
      <c r="AJ45" s="179"/>
      <c r="AK45" s="491"/>
      <c r="AL45" s="492"/>
    </row>
    <row r="46" spans="1:38" ht="14.25" customHeight="1" thickBot="1">
      <c r="A46" s="38" t="s">
        <v>41</v>
      </c>
      <c r="B46" s="190" t="s">
        <v>190</v>
      </c>
      <c r="C46" s="98"/>
      <c r="D46" s="99">
        <v>35</v>
      </c>
      <c r="E46" s="145" t="s">
        <v>191</v>
      </c>
      <c r="F46" s="41">
        <v>8</v>
      </c>
      <c r="G46" s="185"/>
      <c r="H46" s="185"/>
      <c r="I46" s="185"/>
      <c r="J46" s="185"/>
      <c r="K46" s="185"/>
      <c r="L46" s="185"/>
      <c r="M46" s="185"/>
      <c r="N46" s="185"/>
      <c r="O46" s="185"/>
      <c r="P46" s="185">
        <v>1</v>
      </c>
      <c r="Q46" s="185">
        <v>1</v>
      </c>
      <c r="R46" s="185">
        <v>1</v>
      </c>
      <c r="S46" s="185">
        <v>1</v>
      </c>
      <c r="T46" s="185">
        <v>1</v>
      </c>
      <c r="U46" s="185">
        <v>1</v>
      </c>
      <c r="V46" s="543" t="s">
        <v>320</v>
      </c>
      <c r="W46" s="544"/>
      <c r="X46" s="544"/>
      <c r="Y46" s="544"/>
      <c r="Z46" s="544"/>
      <c r="AA46" s="544"/>
      <c r="AB46" s="544"/>
      <c r="AC46" s="545"/>
      <c r="AD46" s="185"/>
      <c r="AE46" s="515">
        <v>8</v>
      </c>
      <c r="AF46" s="504"/>
      <c r="AG46" s="551" t="s">
        <v>320</v>
      </c>
      <c r="AH46" s="542"/>
      <c r="AI46" s="189" t="s">
        <v>444</v>
      </c>
      <c r="AJ46" s="179"/>
      <c r="AK46" s="491"/>
      <c r="AL46" s="492"/>
    </row>
    <row r="47" spans="1:38" ht="16.5" thickBot="1">
      <c r="A47" s="38" t="s">
        <v>41</v>
      </c>
      <c r="B47" s="38" t="s">
        <v>64</v>
      </c>
      <c r="C47" s="38">
        <v>995545886</v>
      </c>
      <c r="D47" s="99">
        <v>36</v>
      </c>
      <c r="E47" s="145" t="s">
        <v>65</v>
      </c>
      <c r="F47" s="41">
        <v>12</v>
      </c>
      <c r="G47" s="185"/>
      <c r="H47" s="185"/>
      <c r="I47" s="185"/>
      <c r="J47" s="185"/>
      <c r="K47" s="185"/>
      <c r="L47" s="185"/>
      <c r="M47" s="185"/>
      <c r="N47" s="176"/>
      <c r="O47" s="176"/>
      <c r="P47" s="552" t="s">
        <v>914</v>
      </c>
      <c r="Q47" s="553"/>
      <c r="R47" s="553"/>
      <c r="S47" s="553"/>
      <c r="T47" s="553"/>
      <c r="U47" s="553"/>
      <c r="V47" s="553"/>
      <c r="W47" s="553"/>
      <c r="X47" s="553"/>
      <c r="Y47" s="554"/>
      <c r="Z47" s="176"/>
      <c r="AA47" s="185"/>
      <c r="AB47" s="185"/>
      <c r="AC47" s="185"/>
      <c r="AD47" s="185"/>
      <c r="AE47" s="41">
        <v>12</v>
      </c>
      <c r="AF47" s="95"/>
      <c r="AG47" s="551" t="s">
        <v>473</v>
      </c>
      <c r="AH47" s="555"/>
      <c r="AI47" s="178" t="s">
        <v>444</v>
      </c>
      <c r="AJ47" s="179"/>
      <c r="AK47" s="491"/>
      <c r="AL47" s="492"/>
    </row>
    <row r="48" spans="1:38" ht="63.75" thickBot="1">
      <c r="A48" s="2"/>
      <c r="B48" s="2"/>
      <c r="C48" s="2"/>
      <c r="D48" s="128"/>
      <c r="E48" s="49"/>
      <c r="F48" s="50"/>
      <c r="G48" s="51" t="s">
        <v>9</v>
      </c>
      <c r="H48" s="51" t="s">
        <v>10</v>
      </c>
      <c r="I48" s="51" t="s">
        <v>11</v>
      </c>
      <c r="J48" s="51" t="s">
        <v>12</v>
      </c>
      <c r="K48" s="51" t="s">
        <v>13</v>
      </c>
      <c r="L48" s="51" t="s">
        <v>14</v>
      </c>
      <c r="M48" s="51" t="s">
        <v>15</v>
      </c>
      <c r="N48" s="51" t="s">
        <v>16</v>
      </c>
      <c r="O48" s="106" t="s">
        <v>17</v>
      </c>
      <c r="P48" s="106" t="s">
        <v>18</v>
      </c>
      <c r="Q48" s="107" t="s">
        <v>19</v>
      </c>
      <c r="R48" s="107" t="s">
        <v>20</v>
      </c>
      <c r="S48" s="107" t="s">
        <v>21</v>
      </c>
      <c r="T48" s="107" t="s">
        <v>22</v>
      </c>
      <c r="U48" s="107" t="s">
        <v>23</v>
      </c>
      <c r="V48" s="107" t="s">
        <v>24</v>
      </c>
      <c r="W48" s="107" t="s">
        <v>25</v>
      </c>
      <c r="X48" s="107" t="s">
        <v>26</v>
      </c>
      <c r="Y48" s="107" t="s">
        <v>27</v>
      </c>
      <c r="Z48" s="107" t="s">
        <v>28</v>
      </c>
      <c r="AA48" s="52" t="s">
        <v>29</v>
      </c>
      <c r="AB48" s="52" t="s">
        <v>30</v>
      </c>
      <c r="AC48" s="52" t="s">
        <v>31</v>
      </c>
      <c r="AD48" s="51" t="s">
        <v>32</v>
      </c>
      <c r="AE48" s="53"/>
      <c r="AF48" s="116"/>
      <c r="AG48" s="25"/>
      <c r="AH48" s="25"/>
      <c r="AI48" s="25"/>
      <c r="AJ48" s="25"/>
      <c r="AK48" s="491"/>
      <c r="AL48" s="492"/>
    </row>
    <row r="49" spans="1:38" ht="14.25" customHeight="1">
      <c r="A49" s="2"/>
      <c r="B49" s="2"/>
      <c r="C49" s="2"/>
      <c r="D49" s="152"/>
      <c r="E49" s="2"/>
      <c r="F49" s="2"/>
      <c r="AE49" s="2"/>
      <c r="AF49" s="2"/>
      <c r="AG49" s="2"/>
      <c r="AH49" s="2"/>
      <c r="AI49" s="2"/>
      <c r="AJ49" s="2"/>
      <c r="AK49" s="491"/>
      <c r="AL49" s="492"/>
    </row>
  </sheetData>
  <mergeCells count="49">
    <mergeCell ref="AG8:AH8"/>
    <mergeCell ref="A1:B1"/>
    <mergeCell ref="D3:AE3"/>
    <mergeCell ref="E4:F4"/>
    <mergeCell ref="E5:F5"/>
    <mergeCell ref="AG7:AH7"/>
    <mergeCell ref="AG20:AH20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32:AH32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P44:Z44"/>
    <mergeCell ref="AG44:AH44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5:AH45"/>
    <mergeCell ref="AG46:AH46"/>
    <mergeCell ref="P47:Y47"/>
    <mergeCell ref="AG47:AH47"/>
    <mergeCell ref="N45:U45"/>
    <mergeCell ref="V46:AC46"/>
  </mergeCells>
  <conditionalFormatting sqref="E4:F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00FF00"/>
    <outlinePr summaryBelow="0" summaryRight="0"/>
  </sheetPr>
  <dimension ref="A1:DY234"/>
  <sheetViews>
    <sheetView workbookViewId="0">
      <pane xSplit="4" ySplit="2" topLeftCell="DH28" activePane="bottomRight" state="frozen"/>
      <selection activeCell="DJ38" sqref="DJ38"/>
      <selection pane="topRight" activeCell="DJ38" sqref="DJ38"/>
      <selection pane="bottomLeft" activeCell="DJ38" sqref="DJ38"/>
      <selection pane="bottomRight" activeCell="DJ38" sqref="DJ38"/>
    </sheetView>
  </sheetViews>
  <sheetFormatPr baseColWidth="10" defaultColWidth="14.42578125" defaultRowHeight="15" customHeight="1"/>
  <cols>
    <col min="1" max="1" width="13.42578125" customWidth="1"/>
    <col min="2" max="2" width="44.7109375" customWidth="1"/>
    <col min="3" max="3" width="11.7109375" hidden="1" customWidth="1"/>
    <col min="4" max="4" width="19" hidden="1" customWidth="1"/>
    <col min="5" max="5" width="8.140625" customWidth="1"/>
    <col min="6" max="6" width="14.7109375" customWidth="1"/>
    <col min="7" max="7" width="14.85546875" customWidth="1"/>
    <col min="8" max="8" width="10.5703125" customWidth="1"/>
    <col min="9" max="9" width="9.42578125" customWidth="1"/>
    <col min="10" max="10" width="14.7109375" customWidth="1"/>
    <col min="11" max="11" width="14.85546875" customWidth="1"/>
    <col min="12" max="12" width="10.5703125" customWidth="1"/>
    <col min="13" max="13" width="11.7109375" customWidth="1"/>
    <col min="14" max="14" width="14.7109375" customWidth="1"/>
    <col min="15" max="15" width="14.85546875" customWidth="1"/>
    <col min="16" max="16" width="10.5703125" customWidth="1"/>
    <col min="17" max="17" width="8.85546875" customWidth="1"/>
    <col min="18" max="18" width="14.7109375" customWidth="1"/>
    <col min="19" max="19" width="14.85546875" customWidth="1"/>
    <col min="20" max="20" width="10.5703125" customWidth="1"/>
    <col min="21" max="21" width="9.5703125" customWidth="1"/>
    <col min="22" max="22" width="14.7109375" customWidth="1"/>
    <col min="23" max="23" width="14.85546875" customWidth="1"/>
    <col min="24" max="24" width="10.5703125" customWidth="1"/>
    <col min="25" max="25" width="9.5703125" customWidth="1"/>
    <col min="26" max="26" width="14.7109375" customWidth="1"/>
    <col min="27" max="27" width="14.85546875" customWidth="1"/>
    <col min="28" max="28" width="10.5703125" customWidth="1"/>
    <col min="29" max="29" width="11" customWidth="1"/>
    <col min="30" max="30" width="14.7109375" customWidth="1"/>
    <col min="31" max="31" width="14.85546875" customWidth="1"/>
    <col min="32" max="32" width="10.5703125" customWidth="1"/>
    <col min="33" max="33" width="8" customWidth="1"/>
    <col min="34" max="34" width="14.7109375" customWidth="1"/>
    <col min="35" max="35" width="14.85546875" customWidth="1"/>
    <col min="36" max="36" width="10.5703125" customWidth="1"/>
    <col min="37" max="37" width="9.42578125" customWidth="1"/>
    <col min="38" max="38" width="14.7109375" customWidth="1"/>
    <col min="39" max="39" width="14.85546875" customWidth="1"/>
    <col min="40" max="40" width="10.5703125" customWidth="1"/>
    <col min="41" max="41" width="12.7109375" customWidth="1"/>
    <col min="42" max="42" width="14.7109375" customWidth="1"/>
    <col min="43" max="43" width="14.85546875" customWidth="1"/>
    <col min="44" max="44" width="10.5703125" customWidth="1"/>
    <col min="45" max="45" width="10" customWidth="1"/>
    <col min="46" max="46" width="14.7109375" customWidth="1"/>
    <col min="47" max="47" width="14.85546875" customWidth="1"/>
    <col min="48" max="48" width="10.5703125" customWidth="1"/>
    <col min="49" max="49" width="10.7109375" customWidth="1"/>
    <col min="50" max="50" width="14.7109375" customWidth="1"/>
    <col min="51" max="51" width="14.85546875" customWidth="1"/>
    <col min="52" max="52" width="10.5703125" customWidth="1"/>
    <col min="53" max="53" width="10.7109375" customWidth="1"/>
    <col min="54" max="54" width="14.7109375" customWidth="1"/>
    <col min="55" max="55" width="14.85546875" customWidth="1"/>
    <col min="56" max="56" width="10.5703125" customWidth="1"/>
    <col min="57" max="57" width="12" customWidth="1"/>
    <col min="58" max="58" width="14.7109375" customWidth="1"/>
    <col min="59" max="59" width="14.85546875" customWidth="1"/>
    <col min="60" max="60" width="10.5703125" customWidth="1"/>
    <col min="61" max="61" width="9" customWidth="1"/>
    <col min="62" max="62" width="14.7109375" customWidth="1"/>
    <col min="63" max="63" width="14.85546875" customWidth="1"/>
    <col min="64" max="64" width="10.5703125" customWidth="1"/>
    <col min="65" max="65" width="10.42578125" customWidth="1"/>
    <col min="66" max="66" width="14.7109375" customWidth="1"/>
    <col min="67" max="67" width="14.85546875" customWidth="1"/>
    <col min="68" max="68" width="10.5703125" customWidth="1"/>
    <col min="69" max="69" width="12.7109375" customWidth="1"/>
    <col min="70" max="70" width="14.7109375" customWidth="1"/>
    <col min="71" max="71" width="14.85546875" customWidth="1"/>
    <col min="72" max="72" width="10.5703125" customWidth="1"/>
    <col min="73" max="73" width="10" customWidth="1"/>
    <col min="74" max="74" width="14.7109375" customWidth="1"/>
    <col min="75" max="75" width="14.85546875" customWidth="1"/>
    <col min="76" max="76" width="10.5703125" customWidth="1"/>
    <col min="77" max="77" width="10.7109375" customWidth="1"/>
    <col min="78" max="78" width="14.7109375" customWidth="1"/>
    <col min="79" max="79" width="14.85546875" customWidth="1"/>
    <col min="80" max="80" width="10.5703125" customWidth="1"/>
    <col min="81" max="81" width="10.7109375" customWidth="1"/>
    <col min="82" max="82" width="14.7109375" customWidth="1"/>
    <col min="83" max="83" width="14.85546875" customWidth="1"/>
    <col min="84" max="84" width="10.5703125" customWidth="1"/>
    <col min="85" max="85" width="12" customWidth="1"/>
    <col min="86" max="86" width="14.7109375" customWidth="1"/>
    <col min="87" max="87" width="14.85546875" customWidth="1"/>
    <col min="88" max="88" width="10.5703125" customWidth="1"/>
    <col min="89" max="89" width="9" customWidth="1"/>
    <col min="90" max="90" width="14.7109375" customWidth="1"/>
    <col min="91" max="91" width="14.85546875" customWidth="1"/>
    <col min="92" max="92" width="10.5703125" customWidth="1"/>
    <col min="93" max="93" width="10.42578125" customWidth="1"/>
    <col min="94" max="94" width="14.7109375" customWidth="1"/>
    <col min="95" max="95" width="14.85546875" customWidth="1"/>
    <col min="96" max="96" width="10.5703125" customWidth="1"/>
    <col min="97" max="97" width="12.7109375" customWidth="1"/>
    <col min="98" max="98" width="14.7109375" customWidth="1"/>
    <col min="99" max="99" width="14.85546875" customWidth="1"/>
    <col min="100" max="100" width="10.5703125" customWidth="1"/>
    <col min="101" max="101" width="10" customWidth="1"/>
    <col min="102" max="102" width="14.7109375" customWidth="1"/>
    <col min="103" max="103" width="14.85546875" customWidth="1"/>
    <col min="104" max="104" width="10.5703125" customWidth="1"/>
    <col min="105" max="105" width="10.7109375" customWidth="1"/>
    <col min="106" max="106" width="14.7109375" customWidth="1"/>
    <col min="107" max="107" width="14.85546875" customWidth="1"/>
    <col min="108" max="108" width="10.5703125" customWidth="1"/>
    <col min="109" max="109" width="10.7109375" customWidth="1"/>
    <col min="110" max="110" width="14.7109375" customWidth="1"/>
    <col min="111" max="111" width="14.85546875" customWidth="1"/>
    <col min="112" max="112" width="10.5703125" customWidth="1"/>
    <col min="113" max="113" width="12" customWidth="1"/>
    <col min="114" max="114" width="14.7109375" customWidth="1"/>
    <col min="115" max="115" width="14.85546875" customWidth="1"/>
    <col min="116" max="116" width="10.5703125" customWidth="1"/>
    <col min="117" max="117" width="3.140625" hidden="1" customWidth="1"/>
    <col min="118" max="118" width="14.7109375" hidden="1" customWidth="1"/>
    <col min="119" max="119" width="14.85546875" hidden="1" customWidth="1"/>
    <col min="120" max="120" width="10.5703125" hidden="1" customWidth="1"/>
    <col min="121" max="121" width="10.42578125" hidden="1" customWidth="1"/>
    <col min="122" max="122" width="14.7109375" hidden="1" customWidth="1"/>
    <col min="123" max="123" width="14.85546875" hidden="1" customWidth="1"/>
    <col min="124" max="124" width="10.5703125" hidden="1" customWidth="1"/>
    <col min="125" max="125" width="12.7109375" hidden="1" customWidth="1"/>
    <col min="126" max="126" width="14.7109375" hidden="1" customWidth="1"/>
    <col min="127" max="127" width="14.85546875" hidden="1" customWidth="1"/>
    <col min="128" max="128" width="10.5703125" hidden="1" customWidth="1"/>
    <col min="129" max="129" width="17.42578125" customWidth="1"/>
  </cols>
  <sheetData>
    <row r="1" spans="1:129">
      <c r="E1" s="599">
        <v>46054</v>
      </c>
      <c r="F1" s="593"/>
      <c r="G1" s="593"/>
      <c r="H1" s="594"/>
      <c r="I1" s="599">
        <v>46055</v>
      </c>
      <c r="J1" s="593"/>
      <c r="K1" s="593"/>
      <c r="L1" s="594"/>
      <c r="M1" s="599">
        <v>46056</v>
      </c>
      <c r="N1" s="593"/>
      <c r="O1" s="593"/>
      <c r="P1" s="594"/>
      <c r="Q1" s="599">
        <v>46057</v>
      </c>
      <c r="R1" s="593"/>
      <c r="S1" s="593"/>
      <c r="T1" s="594"/>
      <c r="U1" s="599">
        <v>46058</v>
      </c>
      <c r="V1" s="593"/>
      <c r="W1" s="593"/>
      <c r="X1" s="594"/>
      <c r="Y1" s="599">
        <v>46059</v>
      </c>
      <c r="Z1" s="593"/>
      <c r="AA1" s="593"/>
      <c r="AB1" s="594"/>
      <c r="AC1" s="599">
        <v>46060</v>
      </c>
      <c r="AD1" s="593"/>
      <c r="AE1" s="593"/>
      <c r="AF1" s="594"/>
      <c r="AG1" s="599">
        <v>46061</v>
      </c>
      <c r="AH1" s="593"/>
      <c r="AI1" s="593"/>
      <c r="AJ1" s="594"/>
      <c r="AK1" s="599">
        <v>46062</v>
      </c>
      <c r="AL1" s="593"/>
      <c r="AM1" s="593"/>
      <c r="AN1" s="594"/>
      <c r="AO1" s="599">
        <v>46063</v>
      </c>
      <c r="AP1" s="593"/>
      <c r="AQ1" s="593"/>
      <c r="AR1" s="594"/>
      <c r="AS1" s="599">
        <v>46064</v>
      </c>
      <c r="AT1" s="593"/>
      <c r="AU1" s="593"/>
      <c r="AV1" s="594"/>
      <c r="AW1" s="599">
        <v>46065</v>
      </c>
      <c r="AX1" s="593"/>
      <c r="AY1" s="593"/>
      <c r="AZ1" s="594"/>
      <c r="BA1" s="599">
        <v>46066</v>
      </c>
      <c r="BB1" s="593"/>
      <c r="BC1" s="593"/>
      <c r="BD1" s="594"/>
      <c r="BE1" s="599">
        <v>46067</v>
      </c>
      <c r="BF1" s="593"/>
      <c r="BG1" s="593"/>
      <c r="BH1" s="594"/>
      <c r="BI1" s="599">
        <v>46068</v>
      </c>
      <c r="BJ1" s="593"/>
      <c r="BK1" s="593"/>
      <c r="BL1" s="594"/>
      <c r="BM1" s="599">
        <v>46069</v>
      </c>
      <c r="BN1" s="593"/>
      <c r="BO1" s="593"/>
      <c r="BP1" s="594"/>
      <c r="BQ1" s="599">
        <v>46070</v>
      </c>
      <c r="BR1" s="593"/>
      <c r="BS1" s="593"/>
      <c r="BT1" s="594"/>
      <c r="BU1" s="599">
        <v>46071</v>
      </c>
      <c r="BV1" s="593"/>
      <c r="BW1" s="593"/>
      <c r="BX1" s="594"/>
      <c r="BY1" s="599">
        <v>46072</v>
      </c>
      <c r="BZ1" s="593"/>
      <c r="CA1" s="593"/>
      <c r="CB1" s="594"/>
      <c r="CC1" s="599">
        <v>46073</v>
      </c>
      <c r="CD1" s="593"/>
      <c r="CE1" s="593"/>
      <c r="CF1" s="594"/>
      <c r="CG1" s="599">
        <v>46074</v>
      </c>
      <c r="CH1" s="593"/>
      <c r="CI1" s="593"/>
      <c r="CJ1" s="594"/>
      <c r="CK1" s="599">
        <v>46075</v>
      </c>
      <c r="CL1" s="593"/>
      <c r="CM1" s="593"/>
      <c r="CN1" s="594"/>
      <c r="CO1" s="599">
        <v>46076</v>
      </c>
      <c r="CP1" s="593"/>
      <c r="CQ1" s="593"/>
      <c r="CR1" s="594"/>
      <c r="CS1" s="599">
        <v>46077</v>
      </c>
      <c r="CT1" s="593"/>
      <c r="CU1" s="593"/>
      <c r="CV1" s="594"/>
      <c r="CW1" s="599">
        <v>46078</v>
      </c>
      <c r="CX1" s="593"/>
      <c r="CY1" s="593"/>
      <c r="CZ1" s="594"/>
      <c r="DA1" s="599">
        <v>46079</v>
      </c>
      <c r="DB1" s="593"/>
      <c r="DC1" s="593"/>
      <c r="DD1" s="594"/>
      <c r="DE1" s="599">
        <v>46080</v>
      </c>
      <c r="DF1" s="593"/>
      <c r="DG1" s="593"/>
      <c r="DH1" s="594"/>
      <c r="DI1" s="599">
        <v>46081</v>
      </c>
      <c r="DJ1" s="593"/>
      <c r="DK1" s="593"/>
      <c r="DL1" s="594"/>
      <c r="DM1" s="599">
        <v>46051</v>
      </c>
      <c r="DN1" s="593"/>
      <c r="DO1" s="593"/>
      <c r="DP1" s="594"/>
      <c r="DQ1" s="599">
        <v>46052</v>
      </c>
      <c r="DR1" s="593"/>
      <c r="DS1" s="593"/>
      <c r="DT1" s="594"/>
      <c r="DU1" s="599">
        <v>46053</v>
      </c>
      <c r="DV1" s="593"/>
      <c r="DW1" s="593"/>
      <c r="DX1" s="594"/>
    </row>
    <row r="2" spans="1:129" ht="15" customHeight="1">
      <c r="A2" s="424" t="s">
        <v>789</v>
      </c>
      <c r="B2" s="425" t="s">
        <v>37</v>
      </c>
      <c r="C2" s="424" t="s">
        <v>790</v>
      </c>
      <c r="D2" s="424" t="s">
        <v>791</v>
      </c>
      <c r="E2" s="426" t="s">
        <v>38</v>
      </c>
      <c r="F2" s="427" t="s">
        <v>792</v>
      </c>
      <c r="G2" s="428" t="s">
        <v>793</v>
      </c>
      <c r="H2" s="429" t="s">
        <v>794</v>
      </c>
      <c r="I2" s="426" t="s">
        <v>38</v>
      </c>
      <c r="J2" s="427" t="s">
        <v>792</v>
      </c>
      <c r="K2" s="428" t="s">
        <v>793</v>
      </c>
      <c r="L2" s="429" t="s">
        <v>794</v>
      </c>
      <c r="M2" s="426" t="s">
        <v>38</v>
      </c>
      <c r="N2" s="427" t="s">
        <v>792</v>
      </c>
      <c r="O2" s="428" t="s">
        <v>793</v>
      </c>
      <c r="P2" s="429" t="s">
        <v>794</v>
      </c>
      <c r="Q2" s="426" t="s">
        <v>38</v>
      </c>
      <c r="R2" s="427" t="s">
        <v>792</v>
      </c>
      <c r="S2" s="428" t="s">
        <v>793</v>
      </c>
      <c r="T2" s="429" t="s">
        <v>794</v>
      </c>
      <c r="U2" s="426" t="s">
        <v>38</v>
      </c>
      <c r="V2" s="427" t="s">
        <v>792</v>
      </c>
      <c r="W2" s="428" t="s">
        <v>793</v>
      </c>
      <c r="X2" s="429" t="s">
        <v>794</v>
      </c>
      <c r="Y2" s="426" t="s">
        <v>38</v>
      </c>
      <c r="Z2" s="427" t="s">
        <v>792</v>
      </c>
      <c r="AA2" s="428" t="s">
        <v>793</v>
      </c>
      <c r="AB2" s="429" t="s">
        <v>794</v>
      </c>
      <c r="AC2" s="426" t="s">
        <v>38</v>
      </c>
      <c r="AD2" s="427" t="s">
        <v>792</v>
      </c>
      <c r="AE2" s="428" t="s">
        <v>793</v>
      </c>
      <c r="AF2" s="429" t="s">
        <v>794</v>
      </c>
      <c r="AG2" s="426" t="s">
        <v>38</v>
      </c>
      <c r="AH2" s="427" t="s">
        <v>792</v>
      </c>
      <c r="AI2" s="428" t="s">
        <v>793</v>
      </c>
      <c r="AJ2" s="429" t="s">
        <v>794</v>
      </c>
      <c r="AK2" s="426" t="s">
        <v>38</v>
      </c>
      <c r="AL2" s="427" t="s">
        <v>792</v>
      </c>
      <c r="AM2" s="428" t="s">
        <v>793</v>
      </c>
      <c r="AN2" s="429" t="s">
        <v>794</v>
      </c>
      <c r="AO2" s="426" t="s">
        <v>38</v>
      </c>
      <c r="AP2" s="427" t="s">
        <v>792</v>
      </c>
      <c r="AQ2" s="428" t="s">
        <v>793</v>
      </c>
      <c r="AR2" s="429" t="s">
        <v>794</v>
      </c>
      <c r="AS2" s="426" t="s">
        <v>38</v>
      </c>
      <c r="AT2" s="427" t="s">
        <v>792</v>
      </c>
      <c r="AU2" s="428" t="s">
        <v>793</v>
      </c>
      <c r="AV2" s="429" t="s">
        <v>794</v>
      </c>
      <c r="AW2" s="426" t="s">
        <v>38</v>
      </c>
      <c r="AX2" s="427" t="s">
        <v>792</v>
      </c>
      <c r="AY2" s="428" t="s">
        <v>793</v>
      </c>
      <c r="AZ2" s="429" t="s">
        <v>794</v>
      </c>
      <c r="BA2" s="426" t="s">
        <v>38</v>
      </c>
      <c r="BB2" s="427" t="s">
        <v>792</v>
      </c>
      <c r="BC2" s="428" t="s">
        <v>793</v>
      </c>
      <c r="BD2" s="429" t="s">
        <v>794</v>
      </c>
      <c r="BE2" s="426" t="s">
        <v>38</v>
      </c>
      <c r="BF2" s="427" t="s">
        <v>792</v>
      </c>
      <c r="BG2" s="428" t="s">
        <v>793</v>
      </c>
      <c r="BH2" s="429" t="s">
        <v>794</v>
      </c>
      <c r="BI2" s="426" t="s">
        <v>38</v>
      </c>
      <c r="BJ2" s="427" t="s">
        <v>792</v>
      </c>
      <c r="BK2" s="428" t="s">
        <v>793</v>
      </c>
      <c r="BL2" s="429" t="s">
        <v>794</v>
      </c>
      <c r="BM2" s="426" t="s">
        <v>38</v>
      </c>
      <c r="BN2" s="427" t="s">
        <v>792</v>
      </c>
      <c r="BO2" s="428" t="s">
        <v>793</v>
      </c>
      <c r="BP2" s="429" t="s">
        <v>794</v>
      </c>
      <c r="BQ2" s="426" t="s">
        <v>38</v>
      </c>
      <c r="BR2" s="427" t="s">
        <v>792</v>
      </c>
      <c r="BS2" s="428" t="s">
        <v>793</v>
      </c>
      <c r="BT2" s="429" t="s">
        <v>794</v>
      </c>
      <c r="BU2" s="426" t="s">
        <v>38</v>
      </c>
      <c r="BV2" s="427" t="s">
        <v>792</v>
      </c>
      <c r="BW2" s="428" t="s">
        <v>793</v>
      </c>
      <c r="BX2" s="429" t="s">
        <v>794</v>
      </c>
      <c r="BY2" s="426" t="s">
        <v>38</v>
      </c>
      <c r="BZ2" s="427" t="s">
        <v>792</v>
      </c>
      <c r="CA2" s="428" t="s">
        <v>793</v>
      </c>
      <c r="CB2" s="429" t="s">
        <v>794</v>
      </c>
      <c r="CC2" s="426" t="s">
        <v>38</v>
      </c>
      <c r="CD2" s="427" t="s">
        <v>792</v>
      </c>
      <c r="CE2" s="428" t="s">
        <v>793</v>
      </c>
      <c r="CF2" s="429" t="s">
        <v>794</v>
      </c>
      <c r="CG2" s="426" t="s">
        <v>38</v>
      </c>
      <c r="CH2" s="427" t="s">
        <v>792</v>
      </c>
      <c r="CI2" s="428" t="s">
        <v>793</v>
      </c>
      <c r="CJ2" s="429" t="s">
        <v>794</v>
      </c>
      <c r="CK2" s="426" t="s">
        <v>38</v>
      </c>
      <c r="CL2" s="427" t="s">
        <v>792</v>
      </c>
      <c r="CM2" s="428" t="s">
        <v>793</v>
      </c>
      <c r="CN2" s="429" t="s">
        <v>794</v>
      </c>
      <c r="CO2" s="426" t="s">
        <v>38</v>
      </c>
      <c r="CP2" s="427" t="s">
        <v>792</v>
      </c>
      <c r="CQ2" s="428" t="s">
        <v>793</v>
      </c>
      <c r="CR2" s="429" t="s">
        <v>794</v>
      </c>
      <c r="CS2" s="426" t="s">
        <v>38</v>
      </c>
      <c r="CT2" s="427" t="s">
        <v>792</v>
      </c>
      <c r="CU2" s="428" t="s">
        <v>793</v>
      </c>
      <c r="CV2" s="429" t="s">
        <v>794</v>
      </c>
      <c r="CW2" s="426" t="s">
        <v>38</v>
      </c>
      <c r="CX2" s="427" t="s">
        <v>792</v>
      </c>
      <c r="CY2" s="428" t="s">
        <v>793</v>
      </c>
      <c r="CZ2" s="429" t="s">
        <v>794</v>
      </c>
      <c r="DA2" s="426" t="s">
        <v>38</v>
      </c>
      <c r="DB2" s="427" t="s">
        <v>792</v>
      </c>
      <c r="DC2" s="428" t="s">
        <v>793</v>
      </c>
      <c r="DD2" s="429" t="s">
        <v>794</v>
      </c>
      <c r="DE2" s="426" t="s">
        <v>38</v>
      </c>
      <c r="DF2" s="427" t="s">
        <v>792</v>
      </c>
      <c r="DG2" s="428" t="s">
        <v>793</v>
      </c>
      <c r="DH2" s="429" t="s">
        <v>794</v>
      </c>
      <c r="DI2" s="426" t="s">
        <v>38</v>
      </c>
      <c r="DJ2" s="427" t="s">
        <v>792</v>
      </c>
      <c r="DK2" s="428" t="s">
        <v>793</v>
      </c>
      <c r="DL2" s="429" t="s">
        <v>794</v>
      </c>
      <c r="DM2" s="426" t="s">
        <v>38</v>
      </c>
      <c r="DN2" s="427" t="s">
        <v>792</v>
      </c>
      <c r="DO2" s="428" t="s">
        <v>793</v>
      </c>
      <c r="DP2" s="429" t="s">
        <v>794</v>
      </c>
      <c r="DQ2" s="426" t="s">
        <v>38</v>
      </c>
      <c r="DR2" s="427" t="s">
        <v>792</v>
      </c>
      <c r="DS2" s="428" t="s">
        <v>793</v>
      </c>
      <c r="DT2" s="429" t="s">
        <v>794</v>
      </c>
      <c r="DU2" s="426" t="s">
        <v>38</v>
      </c>
      <c r="DV2" s="427" t="s">
        <v>792</v>
      </c>
      <c r="DW2" s="428" t="s">
        <v>793</v>
      </c>
      <c r="DX2" s="429" t="s">
        <v>794</v>
      </c>
      <c r="DY2" s="430" t="s">
        <v>795</v>
      </c>
    </row>
    <row r="3" spans="1:129" ht="15.75">
      <c r="A3" s="166" t="s">
        <v>52</v>
      </c>
      <c r="B3" s="506" t="s">
        <v>53</v>
      </c>
      <c r="C3" s="166">
        <v>502873573</v>
      </c>
      <c r="D3" s="431">
        <v>32880</v>
      </c>
      <c r="E3" s="163" t="e">
        <f>VLOOKUP($B:$B,#REF!,2,FALSE)</f>
        <v>#REF!</v>
      </c>
      <c r="F3" s="432">
        <f t="shared" ref="F3:G62" si="0">IFERROR(VLOOKUP(E3,$B$220:$E$236,2,FALSE),0)</f>
        <v>0</v>
      </c>
      <c r="G3" s="433" t="str">
        <f>IFERROR(VLOOKUP($A3,#REF!,2,0),"0")</f>
        <v>0</v>
      </c>
      <c r="H3" s="432">
        <f t="shared" ref="H3:H17" si="1">IF(G3-F3&lt;0,0,G3-F3)</f>
        <v>0</v>
      </c>
      <c r="I3" s="163" t="e">
        <f>VLOOKUP($B:$B,#REF!,3,FALSE)</f>
        <v>#REF!</v>
      </c>
      <c r="J3" s="432">
        <f t="shared" ref="J3:J62" si="2">IFERROR(VLOOKUP(I3,$B$220:$E$236,2,FALSE),0)</f>
        <v>0</v>
      </c>
      <c r="K3" s="433" t="str">
        <f>IFERROR(VLOOKUP($A3,#REF!,2,0),"0")</f>
        <v>0</v>
      </c>
      <c r="L3" s="432">
        <f t="shared" ref="L3:L11" si="3">IF(K3-J3&lt;0,0,K3-J3)</f>
        <v>0</v>
      </c>
      <c r="M3" s="163" t="e">
        <f>VLOOKUP($B:$B,#REF!,4,FALSE)</f>
        <v>#REF!</v>
      </c>
      <c r="N3" s="432">
        <f t="shared" ref="N3:N62" si="4">IFERROR(VLOOKUP(M3,$B$220:$E$236,2,FALSE),0)</f>
        <v>0</v>
      </c>
      <c r="O3" s="433" t="str">
        <f>IFERROR(VLOOKUP($A3,#REF!,2,0),"0")</f>
        <v>0</v>
      </c>
      <c r="P3" s="432">
        <f t="shared" ref="P3:P62" si="5">IF(O3-N3&lt;0,0,O3-N3)</f>
        <v>0</v>
      </c>
      <c r="Q3" s="163" t="e">
        <f>VLOOKUP($B:$B,#REF!,5,FALSE)</f>
        <v>#REF!</v>
      </c>
      <c r="R3" s="432">
        <f t="shared" ref="R3:S62" si="6">IFERROR(VLOOKUP(Q3,$B$220:$E$236,2,FALSE),0)</f>
        <v>0</v>
      </c>
      <c r="S3" s="433" t="str">
        <f>IFERROR(VLOOKUP($A3,#REF!,2,0),"0")</f>
        <v>0</v>
      </c>
      <c r="T3" s="432">
        <f t="shared" ref="T3:T40" si="7">IF(S3-R3&lt;0,0,S3-R3)</f>
        <v>0</v>
      </c>
      <c r="U3" s="163" t="e">
        <f>VLOOKUP($B:$B,#REF!,6,FALSE)</f>
        <v>#REF!</v>
      </c>
      <c r="V3" s="432">
        <f t="shared" ref="V3:V62" si="8">IFERROR(VLOOKUP(U3,$B$220:$E$236,2,FALSE),0)</f>
        <v>0</v>
      </c>
      <c r="W3" s="433" t="str">
        <f>IFERROR(VLOOKUP($A3,#REF!,2,0),"0")</f>
        <v>0</v>
      </c>
      <c r="X3" s="432">
        <f t="shared" ref="X3:X62" si="9">IF(W3-V3&lt;0,0,W3-V3)</f>
        <v>0</v>
      </c>
      <c r="Y3" s="163" t="e">
        <f>VLOOKUP($B:$B,#REF!,7,FALSE)</f>
        <v>#REF!</v>
      </c>
      <c r="Z3" s="432">
        <f t="shared" ref="Z3:Z62" si="10">IFERROR(VLOOKUP(Y3,$B$220:$E$236,2,FALSE),0)</f>
        <v>0</v>
      </c>
      <c r="AA3" s="433" t="str">
        <f>IFERROR(VLOOKUP($A3,#REF!,2,0),"0")</f>
        <v>0</v>
      </c>
      <c r="AB3" s="432">
        <f t="shared" ref="AB3:AB62" si="11">IF(AA3-Z3&lt;0,0,AA3-Z3)</f>
        <v>0</v>
      </c>
      <c r="AC3" s="163" t="e">
        <f>VLOOKUP($B:$B,#REF!,8,FALSE)</f>
        <v>#REF!</v>
      </c>
      <c r="AD3" s="432">
        <f t="shared" ref="AD3:AE62" si="12">IFERROR(VLOOKUP(AC3,$B$220:$E$236,2,FALSE),0)</f>
        <v>0</v>
      </c>
      <c r="AE3" s="433" t="str">
        <f>IFERROR(VLOOKUP($A3,#REF!,2,0),"0")</f>
        <v>0</v>
      </c>
      <c r="AF3" s="432">
        <f t="shared" ref="AF3:AF62" si="13">IF(AE3-AD3&lt;0,0,AE3-AD3)</f>
        <v>0</v>
      </c>
      <c r="AG3" s="163" t="e">
        <f>VLOOKUP($B:$B,#REF!,9,FALSE)</f>
        <v>#REF!</v>
      </c>
      <c r="AH3" s="432">
        <f t="shared" ref="AH3:AI62" si="14">IFERROR(VLOOKUP(AG3,$B$220:$E$236,2,FALSE),0)</f>
        <v>0</v>
      </c>
      <c r="AI3" s="433" t="str">
        <f>IFERROR(VLOOKUP($A3,#REF!,2,0),"0")</f>
        <v>0</v>
      </c>
      <c r="AJ3" s="432">
        <f t="shared" ref="AJ3:AJ62" si="15">IF(AI3-AH3&lt;0,0,AI3-AH3)</f>
        <v>0</v>
      </c>
      <c r="AK3" s="163" t="e">
        <f>VLOOKUP($B:$B,#REF!,10,FALSE)</f>
        <v>#REF!</v>
      </c>
      <c r="AL3" s="432">
        <f t="shared" ref="AL3:AM62" si="16">IFERROR(VLOOKUP(AK3,$B$220:$E$236,2,FALSE),0)</f>
        <v>0</v>
      </c>
      <c r="AM3" s="433" t="str">
        <f>IFERROR(VLOOKUP($A3,#REF!,2,0),"0")</f>
        <v>0</v>
      </c>
      <c r="AN3" s="432">
        <f t="shared" ref="AN3:AN62" si="17">IF(AM3-AL3&lt;0,0,AM3-AL3)</f>
        <v>0</v>
      </c>
      <c r="AO3" s="163" t="e">
        <f>VLOOKUP($B:$B,#REF!,11,FALSE)</f>
        <v>#REF!</v>
      </c>
      <c r="AP3" s="432">
        <f t="shared" ref="AP3:AQ62" si="18">IFERROR(VLOOKUP(AO3,$B$220:$E$236,2,FALSE),0)</f>
        <v>0</v>
      </c>
      <c r="AQ3" s="433" t="str">
        <f>IFERROR(VLOOKUP($A3,#REF!,2,0),"0")</f>
        <v>0</v>
      </c>
      <c r="AR3" s="432">
        <f t="shared" ref="AR3:AR62" si="19">IF(AQ3-AP3&lt;0,0,AQ3-AP3)</f>
        <v>0</v>
      </c>
      <c r="AS3" s="163" t="e">
        <f>VLOOKUP($B:$B,#REF!,12,FALSE)</f>
        <v>#REF!</v>
      </c>
      <c r="AT3" s="432">
        <f t="shared" ref="AT3:AU62" si="20">IFERROR(VLOOKUP(AS3,$B$220:$E$236,2,FALSE),0)</f>
        <v>0</v>
      </c>
      <c r="AU3" s="433" t="str">
        <f>IFERROR(VLOOKUP($A3,#REF!,2,0),"0")</f>
        <v>0</v>
      </c>
      <c r="AV3" s="432">
        <f t="shared" ref="AV3:AV62" si="21">IF(AU3-AT3&lt;0,0,AU3-AT3)</f>
        <v>0</v>
      </c>
      <c r="AW3" s="163" t="e">
        <f>VLOOKUP($B:$B,#REF!,13,FALSE)</f>
        <v>#REF!</v>
      </c>
      <c r="AX3" s="432">
        <f t="shared" ref="AX3:AX62" si="22">IFERROR(VLOOKUP(AW3,$B$220:$E$236,2,FALSE),0)</f>
        <v>0</v>
      </c>
      <c r="AY3" s="433" t="str">
        <f>IFERROR(VLOOKUP($A3,#REF!,2,0),"0")</f>
        <v>0</v>
      </c>
      <c r="AZ3" s="432">
        <f t="shared" ref="AZ3:AZ62" si="23">IF(AY3-AX3&lt;0,0,AY3-AX3)</f>
        <v>0</v>
      </c>
      <c r="BA3" s="163" t="e">
        <f>VLOOKUP($B:$B,#REF!,14,FALSE)</f>
        <v>#REF!</v>
      </c>
      <c r="BB3" s="432">
        <f t="shared" ref="BB3:BC62" si="24">IFERROR(VLOOKUP(BA3,$B$220:$E$236,2,FALSE),0)</f>
        <v>0</v>
      </c>
      <c r="BC3" s="433" t="str">
        <f>IFERROR(VLOOKUP($A3,#REF!,2,0),"0")</f>
        <v>0</v>
      </c>
      <c r="BD3" s="432">
        <f t="shared" ref="BD3:BD62" si="25">IF(BC3-BB3&lt;0,0,BC3-BB3)</f>
        <v>0</v>
      </c>
      <c r="BE3" s="163" t="e">
        <f>VLOOKUP($B:$B,#REF!,15,FALSE)</f>
        <v>#REF!</v>
      </c>
      <c r="BF3" s="432">
        <f t="shared" ref="BF3:BF62" si="26">IFERROR(VLOOKUP(BE3,$B$220:$E$236,2,FALSE),0)</f>
        <v>0</v>
      </c>
      <c r="BG3" s="433" t="str">
        <f>IFERROR(VLOOKUP($A3,#REF!,2,0),"0")</f>
        <v>0</v>
      </c>
      <c r="BH3" s="432">
        <f t="shared" ref="BH3:BH62" si="27">IF(BG3-BF3&lt;0,0,BG3-BF3)</f>
        <v>0</v>
      </c>
      <c r="BI3" s="163" t="e">
        <f>VLOOKUP($B:$B,#REF!,16,FALSE)</f>
        <v>#REF!</v>
      </c>
      <c r="BJ3" s="432">
        <f t="shared" ref="BJ3:BK62" si="28">IFERROR(VLOOKUP(BI3,$B$220:$E$236,2,FALSE),0)</f>
        <v>0</v>
      </c>
      <c r="BK3" s="433" t="str">
        <f>IFERROR(VLOOKUP($A3,#REF!,2,0),"0")</f>
        <v>0</v>
      </c>
      <c r="BL3" s="432">
        <f t="shared" ref="BL3:BL62" si="29">IF(BK3-BJ3&lt;0,0,BK3-BJ3)</f>
        <v>0</v>
      </c>
      <c r="BM3" s="163" t="e">
        <f>VLOOKUP($B:$B,#REF!,17,FALSE)</f>
        <v>#REF!</v>
      </c>
      <c r="BN3" s="432">
        <f t="shared" ref="BN3:BO62" si="30">IFERROR(VLOOKUP(BM3,$B$220:$E$236,2,FALSE),0)</f>
        <v>0</v>
      </c>
      <c r="BO3" s="433" t="str">
        <f>IFERROR(VLOOKUP($A3,#REF!,2,0),"0")</f>
        <v>0</v>
      </c>
      <c r="BP3" s="432">
        <f t="shared" ref="BP3:BP62" si="31">IF(BO3-BN3&lt;0,0,BO3-BN3)</f>
        <v>0</v>
      </c>
      <c r="BQ3" s="163" t="e">
        <f>VLOOKUP($B:$B,#REF!,18,FALSE)</f>
        <v>#REF!</v>
      </c>
      <c r="BR3" s="432">
        <f t="shared" ref="BR3:BR62" si="32">IFERROR(VLOOKUP(BQ3,$B$220:$E$236,2,FALSE),0)</f>
        <v>0</v>
      </c>
      <c r="BS3" s="433" t="str">
        <f>IFERROR(VLOOKUP($A3,#REF!,2,0),"0")</f>
        <v>0</v>
      </c>
      <c r="BT3" s="432">
        <f t="shared" ref="BT3:BT62" si="33">IF(BS3-BR3&lt;0,0,BS3-BR3)</f>
        <v>0</v>
      </c>
      <c r="BU3" s="163" t="e">
        <f>VLOOKUP($B:$B,#REF!,19,FALSE)</f>
        <v>#REF!</v>
      </c>
      <c r="BV3" s="432">
        <f t="shared" ref="BV3:BV62" si="34">IFERROR(VLOOKUP(BU3,$B$220:$E$236,2,FALSE),0)</f>
        <v>0</v>
      </c>
      <c r="BW3" s="433" t="str">
        <f>IFERROR(VLOOKUP($A3,#REF!,2,0),"0")</f>
        <v>0</v>
      </c>
      <c r="BX3" s="432">
        <f t="shared" ref="BX3:BX62" si="35">IF(BW3-BV3&lt;0,0,BW3-BV3)</f>
        <v>0</v>
      </c>
      <c r="BY3" s="163" t="e">
        <f>VLOOKUP($B:$B,#REF!,20,FALSE)</f>
        <v>#REF!</v>
      </c>
      <c r="BZ3" s="432">
        <f t="shared" ref="BZ3:CA62" si="36">IFERROR(VLOOKUP(BY3,$B$220:$E$236,2,FALSE),0)</f>
        <v>0</v>
      </c>
      <c r="CA3" s="433" t="str">
        <f>IFERROR(VLOOKUP($A3,#REF!,2,0),"0")</f>
        <v>0</v>
      </c>
      <c r="CB3" s="432">
        <f t="shared" ref="CB3:CB62" si="37">IF(CA3-BZ3&lt;0,0,CA3-BZ3)</f>
        <v>0</v>
      </c>
      <c r="CC3" s="163" t="e">
        <f>VLOOKUP($B:$B,#REF!,21,FALSE)</f>
        <v>#REF!</v>
      </c>
      <c r="CD3" s="432">
        <f t="shared" ref="CD3:CE62" si="38">IFERROR(VLOOKUP(CC3,$B$220:$E$236,2,FALSE),0)</f>
        <v>0</v>
      </c>
      <c r="CE3" s="433" t="str">
        <f>IFERROR(VLOOKUP($A3,#REF!,2,0),"0")</f>
        <v>0</v>
      </c>
      <c r="CF3" s="432">
        <f t="shared" ref="CF3:CF62" si="39">IF(CE3-CD3&lt;0,0,CE3-CD3)</f>
        <v>0</v>
      </c>
      <c r="CG3" s="163" t="e">
        <f>VLOOKUP($B:$B,#REF!,22,FALSE)</f>
        <v>#REF!</v>
      </c>
      <c r="CH3" s="432">
        <f t="shared" ref="CH3:CH62" si="40">IFERROR(VLOOKUP(CG3,$B$220:$E$236,2,FALSE),0)</f>
        <v>0</v>
      </c>
      <c r="CI3" s="433" t="str">
        <f>IFERROR(VLOOKUP($A3,#REF!,2,0),"0")</f>
        <v>0</v>
      </c>
      <c r="CJ3" s="432">
        <f t="shared" ref="CJ3:CJ62" si="41">IF(CI3-CH3&lt;0,0,CI3-CH3)</f>
        <v>0</v>
      </c>
      <c r="CK3" s="163" t="e">
        <f>VLOOKUP($B:$B,#REF!,23,FALSE)</f>
        <v>#REF!</v>
      </c>
      <c r="CL3" s="432">
        <f t="shared" ref="CL3:CL62" si="42">IFERROR(VLOOKUP(CK3,$B$220:$E$236,2,FALSE),0)</f>
        <v>0</v>
      </c>
      <c r="CM3" s="433" t="str">
        <f>IFERROR(VLOOKUP($A3,#REF!,2,0),"0")</f>
        <v>0</v>
      </c>
      <c r="CN3" s="432">
        <f t="shared" ref="CN3:CN62" si="43">IF(CM3-CL3&lt;0,0,CM3-CL3)</f>
        <v>0</v>
      </c>
      <c r="CO3" s="163" t="e">
        <f>VLOOKUP($B:$B,#REF!,24,FALSE)</f>
        <v>#REF!</v>
      </c>
      <c r="CP3" s="432">
        <f t="shared" ref="CP3:CP62" si="44">IFERROR(VLOOKUP(CO3,$B$220:$E$236,2,FALSE),0)</f>
        <v>0</v>
      </c>
      <c r="CQ3" s="433" t="str">
        <f>IFERROR(VLOOKUP($A3,#REF!,2,0),"0")</f>
        <v>0</v>
      </c>
      <c r="CR3" s="432">
        <f t="shared" ref="CR3:CR62" si="45">IF(CQ3-CP3&lt;0,0,CQ3-CP3)</f>
        <v>0</v>
      </c>
      <c r="CS3" s="163" t="e">
        <f>VLOOKUP($B:$B,#REF!,25,FALSE)</f>
        <v>#REF!</v>
      </c>
      <c r="CT3" s="432">
        <f t="shared" ref="CT3:CT62" si="46">IFERROR(VLOOKUP(CS3,$B$220:$E$236,2,FALSE),0)</f>
        <v>0</v>
      </c>
      <c r="CU3" s="433" t="str">
        <f>IFERROR(VLOOKUP($A3,#REF!,2,0),"0")</f>
        <v>0</v>
      </c>
      <c r="CV3" s="432">
        <f t="shared" ref="CV3:CV62" si="47">IF(CU3-CT3&lt;0,0,CU3-CT3)</f>
        <v>0</v>
      </c>
      <c r="CW3" s="163" t="e">
        <f>VLOOKUP($B:$B,#REF!,26,FALSE)</f>
        <v>#REF!</v>
      </c>
      <c r="CX3" s="432">
        <f t="shared" ref="CX3:CX62" si="48">IFERROR(VLOOKUP(CW3,$B$220:$E$236,2,FALSE),0)</f>
        <v>0</v>
      </c>
      <c r="CY3" s="433" t="str">
        <f>IFERROR(VLOOKUP($A3,#REF!,2,0),"0")</f>
        <v>0</v>
      </c>
      <c r="CZ3" s="432">
        <f t="shared" ref="CZ3:CZ62" si="49">IF(CY3-CX3&lt;0,0,CY3-CX3)</f>
        <v>0</v>
      </c>
      <c r="DA3" s="163" t="e">
        <f>VLOOKUP($B:$B,#REF!,27,FALSE)</f>
        <v>#REF!</v>
      </c>
      <c r="DB3" s="432">
        <f t="shared" ref="DB3:DB62" si="50">IFERROR(VLOOKUP(DA3,$B$220:$E$236,2,FALSE),0)</f>
        <v>0</v>
      </c>
      <c r="DC3" s="433" t="str">
        <f>IFERROR(VLOOKUP($A3,#REF!,2,0),"0")</f>
        <v>0</v>
      </c>
      <c r="DD3" s="432">
        <f t="shared" ref="DD3:DD62" si="51">IF(DC3-DB3&lt;0,0,DC3-DB3)</f>
        <v>0</v>
      </c>
      <c r="DE3" s="163" t="e">
        <f>VLOOKUP($B:$B,#REF!,28,FALSE)</f>
        <v>#REF!</v>
      </c>
      <c r="DF3" s="432">
        <f t="shared" ref="DF3:DF62" si="52">IFERROR(VLOOKUP(DE3,$B$220:$E$236,2,FALSE),0)</f>
        <v>0</v>
      </c>
      <c r="DG3" s="433" t="str">
        <f>IFERROR(VLOOKUP($A3,#REF!,2,0),"0")</f>
        <v>0</v>
      </c>
      <c r="DH3" s="432">
        <f t="shared" ref="DH3:DH62" si="53">IF(DG3-DF3&lt;0,0,DG3-DF3)</f>
        <v>0</v>
      </c>
      <c r="DI3" s="163" t="e">
        <f>VLOOKUP($B:$B,#REF!,29,FALSE)</f>
        <v>#REF!</v>
      </c>
      <c r="DJ3" s="432">
        <f t="shared" ref="DJ3:DJ62" si="54">IFERROR(VLOOKUP(DI3,$B$220:$E$236,2,FALSE),0)</f>
        <v>0</v>
      </c>
      <c r="DK3" s="433" t="str">
        <f>IFERROR(VLOOKUP($A3,#REF!,2,0),"0")</f>
        <v>0</v>
      </c>
      <c r="DL3" s="432">
        <f t="shared" ref="DL3:DL62" si="55">IF(DK3-DJ3&lt;0,0,DK3-DJ3)</f>
        <v>0</v>
      </c>
      <c r="DM3" s="163" t="e">
        <f>VLOOKUP($B:$B,#REF!,30,FALSE)</f>
        <v>#REF!</v>
      </c>
      <c r="DN3" s="432">
        <f t="shared" ref="DN3:DN62" si="56">IFERROR(VLOOKUP(DM3,$B$220:$E$236,2,FALSE),0)</f>
        <v>0</v>
      </c>
      <c r="DO3" s="432"/>
      <c r="DP3" s="432">
        <f t="shared" ref="DP3:DP62" si="57">IF(DO3-DN3&lt;0,0,DO3-DN3)</f>
        <v>0</v>
      </c>
      <c r="DQ3" s="163" t="e">
        <f>VLOOKUP($B:$B,#REF!,31,FALSE)</f>
        <v>#REF!</v>
      </c>
      <c r="DR3" s="432">
        <f t="shared" ref="DR3:DR62" si="58">IFERROR(VLOOKUP(DQ3,$B$220:$E$236,2,FALSE),0)</f>
        <v>0</v>
      </c>
      <c r="DS3" s="434"/>
      <c r="DT3" s="432">
        <f t="shared" ref="DT3:DT62" si="59">IF(DS3-DR3&lt;0,0,DS3-DR3)</f>
        <v>0</v>
      </c>
      <c r="DU3" s="163" t="e">
        <f>VLOOKUP($B:$B,#REF!,32,FALSE)</f>
        <v>#REF!</v>
      </c>
      <c r="DV3" s="432">
        <f t="shared" ref="DV3:DV62" si="60">IFERROR(VLOOKUP(DU3,$B$220:$E$236,2,FALSE),0)</f>
        <v>0</v>
      </c>
      <c r="DW3" s="434"/>
      <c r="DX3" s="432">
        <f t="shared" ref="DX3:DX62" si="61">IF(DW3-DV3&lt;0,0,DW3-DV3)</f>
        <v>0</v>
      </c>
      <c r="DY3" s="432">
        <f t="shared" ref="DY3:DY62" si="62">DX3+DT3+DP3+DL3+DH3+DD3+CZ3+CV3+CR3+CN3+CJ3+CF3+CB3+BX3+BT3+BP3+BL3+BH3+BD3+AZ3+AV3+AR3+AN3+AJ3+AF3+AB3+X3+T3+P3+L3+H3</f>
        <v>0</v>
      </c>
    </row>
    <row r="4" spans="1:129" ht="15.75">
      <c r="A4" s="166" t="s">
        <v>55</v>
      </c>
      <c r="B4" s="506" t="s">
        <v>56</v>
      </c>
      <c r="C4" s="166">
        <v>1728990050</v>
      </c>
      <c r="D4" s="431">
        <v>38165</v>
      </c>
      <c r="E4" s="163" t="e">
        <f>VLOOKUP($B:$B,#REF!,2,FALSE)</f>
        <v>#REF!</v>
      </c>
      <c r="F4" s="432">
        <f t="shared" si="0"/>
        <v>0</v>
      </c>
      <c r="G4" s="433"/>
      <c r="H4" s="432">
        <f t="shared" si="1"/>
        <v>0</v>
      </c>
      <c r="I4" s="163" t="e">
        <f>VLOOKUP($B:$B,#REF!,3,FALSE)</f>
        <v>#REF!</v>
      </c>
      <c r="J4" s="432">
        <f t="shared" si="2"/>
        <v>0</v>
      </c>
      <c r="K4" s="433" t="str">
        <f>IFERROR(VLOOKUP($A4,#REF!,2,0),"0")</f>
        <v>0</v>
      </c>
      <c r="L4" s="432">
        <f t="shared" si="3"/>
        <v>0</v>
      </c>
      <c r="M4" s="163" t="e">
        <f>VLOOKUP($B:$B,#REF!,4,FALSE)</f>
        <v>#REF!</v>
      </c>
      <c r="N4" s="432">
        <f t="shared" si="4"/>
        <v>0</v>
      </c>
      <c r="O4" s="433" t="str">
        <f>IFERROR(VLOOKUP($A4,#REF!,2,0),"0")</f>
        <v>0</v>
      </c>
      <c r="P4" s="432">
        <f t="shared" si="5"/>
        <v>0</v>
      </c>
      <c r="Q4" s="163" t="e">
        <f>VLOOKUP($B:$B,#REF!,5,FALSE)</f>
        <v>#REF!</v>
      </c>
      <c r="R4" s="432">
        <f t="shared" si="6"/>
        <v>0</v>
      </c>
      <c r="S4" s="433" t="str">
        <f>IFERROR(VLOOKUP($A4,#REF!,2,0),"0")</f>
        <v>0</v>
      </c>
      <c r="T4" s="432">
        <f t="shared" si="7"/>
        <v>0</v>
      </c>
      <c r="U4" s="163" t="e">
        <f>VLOOKUP($B:$B,#REF!,6,FALSE)</f>
        <v>#REF!</v>
      </c>
      <c r="V4" s="432">
        <f t="shared" si="8"/>
        <v>0</v>
      </c>
      <c r="W4" s="433" t="str">
        <f>IFERROR(VLOOKUP($A4,#REF!,2,0),"0")</f>
        <v>0</v>
      </c>
      <c r="X4" s="432">
        <f t="shared" si="9"/>
        <v>0</v>
      </c>
      <c r="Y4" s="163" t="e">
        <f>VLOOKUP($B:$B,#REF!,7,FALSE)</f>
        <v>#REF!</v>
      </c>
      <c r="Z4" s="432">
        <f t="shared" si="10"/>
        <v>0</v>
      </c>
      <c r="AA4" s="433" t="str">
        <f>IFERROR(VLOOKUP($A4,#REF!,2,0),"0")</f>
        <v>0</v>
      </c>
      <c r="AB4" s="432">
        <f t="shared" si="11"/>
        <v>0</v>
      </c>
      <c r="AC4" s="163" t="e">
        <f>VLOOKUP($B:$B,#REF!,8,FALSE)</f>
        <v>#REF!</v>
      </c>
      <c r="AD4" s="432">
        <f t="shared" si="12"/>
        <v>0</v>
      </c>
      <c r="AE4" s="433" t="str">
        <f>IFERROR(VLOOKUP($A4,#REF!,2,0),"0")</f>
        <v>0</v>
      </c>
      <c r="AF4" s="432">
        <f t="shared" si="13"/>
        <v>0</v>
      </c>
      <c r="AG4" s="163" t="e">
        <f>VLOOKUP($B:$B,#REF!,9,FALSE)</f>
        <v>#REF!</v>
      </c>
      <c r="AH4" s="432">
        <f t="shared" si="14"/>
        <v>0</v>
      </c>
      <c r="AI4" s="433" t="str">
        <f>IFERROR(VLOOKUP($A4,#REF!,2,0),"0")</f>
        <v>0</v>
      </c>
      <c r="AJ4" s="432">
        <f t="shared" si="15"/>
        <v>0</v>
      </c>
      <c r="AK4" s="163" t="e">
        <f>VLOOKUP($B:$B,#REF!,10,FALSE)</f>
        <v>#REF!</v>
      </c>
      <c r="AL4" s="432">
        <f t="shared" si="16"/>
        <v>0</v>
      </c>
      <c r="AM4" s="433" t="str">
        <f>IFERROR(VLOOKUP($A4,#REF!,2,0),"0")</f>
        <v>0</v>
      </c>
      <c r="AN4" s="432">
        <f t="shared" si="17"/>
        <v>0</v>
      </c>
      <c r="AO4" s="163" t="e">
        <f>VLOOKUP($B:$B,#REF!,11,FALSE)</f>
        <v>#REF!</v>
      </c>
      <c r="AP4" s="432">
        <f t="shared" si="18"/>
        <v>0</v>
      </c>
      <c r="AQ4" s="433" t="str">
        <f>IFERROR(VLOOKUP($A4,#REF!,2,0),"0")</f>
        <v>0</v>
      </c>
      <c r="AR4" s="432">
        <f t="shared" si="19"/>
        <v>0</v>
      </c>
      <c r="AS4" s="163" t="e">
        <f>VLOOKUP($B:$B,#REF!,12,FALSE)</f>
        <v>#REF!</v>
      </c>
      <c r="AT4" s="432">
        <f t="shared" si="20"/>
        <v>0</v>
      </c>
      <c r="AU4" s="433" t="str">
        <f>IFERROR(VLOOKUP($A4,#REF!,2,0),"0")</f>
        <v>0</v>
      </c>
      <c r="AV4" s="432">
        <f t="shared" si="21"/>
        <v>0</v>
      </c>
      <c r="AW4" s="163" t="e">
        <f>VLOOKUP($B:$B,#REF!,13,FALSE)</f>
        <v>#REF!</v>
      </c>
      <c r="AX4" s="432">
        <f t="shared" si="22"/>
        <v>0</v>
      </c>
      <c r="AY4" s="433" t="str">
        <f>IFERROR(VLOOKUP($A4,#REF!,2,0),"0")</f>
        <v>0</v>
      </c>
      <c r="AZ4" s="432">
        <f t="shared" si="23"/>
        <v>0</v>
      </c>
      <c r="BA4" s="163" t="e">
        <f>VLOOKUP($B:$B,#REF!,14,FALSE)</f>
        <v>#REF!</v>
      </c>
      <c r="BB4" s="432">
        <f t="shared" si="24"/>
        <v>0</v>
      </c>
      <c r="BC4" s="433" t="str">
        <f>IFERROR(VLOOKUP($A4,#REF!,2,0),"0")</f>
        <v>0</v>
      </c>
      <c r="BD4" s="432">
        <f t="shared" si="25"/>
        <v>0</v>
      </c>
      <c r="BE4" s="163" t="e">
        <f>VLOOKUP($B:$B,#REF!,15,FALSE)</f>
        <v>#REF!</v>
      </c>
      <c r="BF4" s="432">
        <f t="shared" si="26"/>
        <v>0</v>
      </c>
      <c r="BG4" s="433" t="str">
        <f>IFERROR(VLOOKUP($A4,#REF!,2,0),"0")</f>
        <v>0</v>
      </c>
      <c r="BH4" s="432">
        <f t="shared" si="27"/>
        <v>0</v>
      </c>
      <c r="BI4" s="163" t="e">
        <f>VLOOKUP($B:$B,#REF!,16,FALSE)</f>
        <v>#REF!</v>
      </c>
      <c r="BJ4" s="432">
        <f t="shared" si="28"/>
        <v>0</v>
      </c>
      <c r="BK4" s="433" t="str">
        <f>IFERROR(VLOOKUP($A4,#REF!,2,0),"0")</f>
        <v>0</v>
      </c>
      <c r="BL4" s="432">
        <f t="shared" si="29"/>
        <v>0</v>
      </c>
      <c r="BM4" s="163" t="e">
        <f>VLOOKUP($B:$B,#REF!,17,FALSE)</f>
        <v>#REF!</v>
      </c>
      <c r="BN4" s="432">
        <f t="shared" si="30"/>
        <v>0</v>
      </c>
      <c r="BO4" s="433" t="str">
        <f>IFERROR(VLOOKUP($A4,#REF!,2,0),"0")</f>
        <v>0</v>
      </c>
      <c r="BP4" s="432">
        <f t="shared" si="31"/>
        <v>0</v>
      </c>
      <c r="BQ4" s="163" t="e">
        <f>VLOOKUP($B:$B,#REF!,18,FALSE)</f>
        <v>#REF!</v>
      </c>
      <c r="BR4" s="432">
        <f t="shared" si="32"/>
        <v>0</v>
      </c>
      <c r="BS4" s="433" t="str">
        <f>IFERROR(VLOOKUP($A4,#REF!,2,0),"0")</f>
        <v>0</v>
      </c>
      <c r="BT4" s="432">
        <f t="shared" si="33"/>
        <v>0</v>
      </c>
      <c r="BU4" s="163" t="e">
        <f>VLOOKUP($B:$B,#REF!,19,FALSE)</f>
        <v>#REF!</v>
      </c>
      <c r="BV4" s="432">
        <f t="shared" si="34"/>
        <v>0</v>
      </c>
      <c r="BW4" s="433" t="str">
        <f>IFERROR(VLOOKUP($A4,#REF!,2,0),"0")</f>
        <v>0</v>
      </c>
      <c r="BX4" s="432">
        <f t="shared" si="35"/>
        <v>0</v>
      </c>
      <c r="BY4" s="163" t="e">
        <f>VLOOKUP($B:$B,#REF!,20,FALSE)</f>
        <v>#REF!</v>
      </c>
      <c r="BZ4" s="432">
        <f t="shared" si="36"/>
        <v>0</v>
      </c>
      <c r="CA4" s="433" t="str">
        <f>IFERROR(VLOOKUP($A4,#REF!,2,0),"0")</f>
        <v>0</v>
      </c>
      <c r="CB4" s="432">
        <f t="shared" si="37"/>
        <v>0</v>
      </c>
      <c r="CC4" s="163" t="e">
        <f>VLOOKUP($B:$B,#REF!,21,FALSE)</f>
        <v>#REF!</v>
      </c>
      <c r="CD4" s="432">
        <f t="shared" si="38"/>
        <v>0</v>
      </c>
      <c r="CE4" s="433" t="str">
        <f>IFERROR(VLOOKUP($A4,#REF!,2,0),"0")</f>
        <v>0</v>
      </c>
      <c r="CF4" s="432">
        <f t="shared" si="39"/>
        <v>0</v>
      </c>
      <c r="CG4" s="163" t="e">
        <f>VLOOKUP($B:$B,#REF!,22,FALSE)</f>
        <v>#REF!</v>
      </c>
      <c r="CH4" s="432">
        <f t="shared" si="40"/>
        <v>0</v>
      </c>
      <c r="CI4" s="433" t="str">
        <f>IFERROR(VLOOKUP($A4,#REF!,2,0),"0")</f>
        <v>0</v>
      </c>
      <c r="CJ4" s="432">
        <f t="shared" si="41"/>
        <v>0</v>
      </c>
      <c r="CK4" s="163" t="e">
        <f>VLOOKUP($B:$B,#REF!,23,FALSE)</f>
        <v>#REF!</v>
      </c>
      <c r="CL4" s="432">
        <f t="shared" si="42"/>
        <v>0</v>
      </c>
      <c r="CM4" s="433" t="str">
        <f>IFERROR(VLOOKUP($A4,#REF!,2,0),"0")</f>
        <v>0</v>
      </c>
      <c r="CN4" s="432">
        <f t="shared" si="43"/>
        <v>0</v>
      </c>
      <c r="CO4" s="163" t="e">
        <f>VLOOKUP($B:$B,#REF!,24,FALSE)</f>
        <v>#REF!</v>
      </c>
      <c r="CP4" s="432">
        <f t="shared" si="44"/>
        <v>0</v>
      </c>
      <c r="CQ4" s="433" t="str">
        <f>IFERROR(VLOOKUP($A4,#REF!,2,0),"0")</f>
        <v>0</v>
      </c>
      <c r="CR4" s="432">
        <f t="shared" si="45"/>
        <v>0</v>
      </c>
      <c r="CS4" s="163" t="e">
        <f>VLOOKUP($B:$B,#REF!,25,FALSE)</f>
        <v>#REF!</v>
      </c>
      <c r="CT4" s="432">
        <f t="shared" si="46"/>
        <v>0</v>
      </c>
      <c r="CU4" s="433" t="str">
        <f>IFERROR(VLOOKUP($A4,#REF!,2,0),"0")</f>
        <v>0</v>
      </c>
      <c r="CV4" s="432">
        <f t="shared" si="47"/>
        <v>0</v>
      </c>
      <c r="CW4" s="163" t="e">
        <f>VLOOKUP($B:$B,#REF!,26,FALSE)</f>
        <v>#REF!</v>
      </c>
      <c r="CX4" s="432">
        <f t="shared" si="48"/>
        <v>0</v>
      </c>
      <c r="CY4" s="433" t="str">
        <f>IFERROR(VLOOKUP($A4,#REF!,2,0),"0")</f>
        <v>0</v>
      </c>
      <c r="CZ4" s="432">
        <f t="shared" si="49"/>
        <v>0</v>
      </c>
      <c r="DA4" s="163" t="e">
        <f>VLOOKUP($B:$B,#REF!,27,FALSE)</f>
        <v>#REF!</v>
      </c>
      <c r="DB4" s="432">
        <f t="shared" si="50"/>
        <v>0</v>
      </c>
      <c r="DC4" s="433" t="str">
        <f>IFERROR(VLOOKUP($A4,#REF!,2,0),"0")</f>
        <v>0</v>
      </c>
      <c r="DD4" s="432">
        <f t="shared" si="51"/>
        <v>0</v>
      </c>
      <c r="DE4" s="163" t="e">
        <f>VLOOKUP($B:$B,#REF!,28,FALSE)</f>
        <v>#REF!</v>
      </c>
      <c r="DF4" s="432">
        <f t="shared" si="52"/>
        <v>0</v>
      </c>
      <c r="DG4" s="433" t="str">
        <f>IFERROR(VLOOKUP($A4,#REF!,2,0),"0")</f>
        <v>0</v>
      </c>
      <c r="DH4" s="432">
        <f t="shared" si="53"/>
        <v>0</v>
      </c>
      <c r="DI4" s="163" t="e">
        <f>VLOOKUP($B:$B,#REF!,29,FALSE)</f>
        <v>#REF!</v>
      </c>
      <c r="DJ4" s="432">
        <f t="shared" si="54"/>
        <v>0</v>
      </c>
      <c r="DK4" s="433" t="str">
        <f>IFERROR(VLOOKUP($A4,#REF!,2,0),"0")</f>
        <v>0</v>
      </c>
      <c r="DL4" s="432">
        <f t="shared" si="55"/>
        <v>0</v>
      </c>
      <c r="DM4" s="163" t="e">
        <f>VLOOKUP($B:$B,#REF!,30,FALSE)</f>
        <v>#REF!</v>
      </c>
      <c r="DN4" s="432">
        <f t="shared" si="56"/>
        <v>0</v>
      </c>
      <c r="DO4" s="432"/>
      <c r="DP4" s="432">
        <f t="shared" si="57"/>
        <v>0</v>
      </c>
      <c r="DQ4" s="163" t="e">
        <f>VLOOKUP($B:$B,#REF!,31,FALSE)</f>
        <v>#REF!</v>
      </c>
      <c r="DR4" s="432">
        <f t="shared" si="58"/>
        <v>0</v>
      </c>
      <c r="DS4" s="434"/>
      <c r="DT4" s="432">
        <f t="shared" si="59"/>
        <v>0</v>
      </c>
      <c r="DU4" s="163" t="e">
        <f>VLOOKUP($B:$B,#REF!,32,FALSE)</f>
        <v>#REF!</v>
      </c>
      <c r="DV4" s="432">
        <f t="shared" si="60"/>
        <v>0</v>
      </c>
      <c r="DW4" s="434"/>
      <c r="DX4" s="432">
        <f t="shared" si="61"/>
        <v>0</v>
      </c>
      <c r="DY4" s="432">
        <f t="shared" si="62"/>
        <v>0</v>
      </c>
    </row>
    <row r="5" spans="1:129" ht="15.75">
      <c r="A5" s="166" t="s">
        <v>57</v>
      </c>
      <c r="B5" s="506" t="s">
        <v>58</v>
      </c>
      <c r="C5" s="166">
        <v>1753735560</v>
      </c>
      <c r="D5" s="431">
        <v>39088</v>
      </c>
      <c r="E5" s="163" t="e">
        <f>VLOOKUP($B:$B,#REF!,2,FALSE)</f>
        <v>#REF!</v>
      </c>
      <c r="F5" s="432">
        <f t="shared" si="0"/>
        <v>0</v>
      </c>
      <c r="G5" s="433" t="str">
        <f>IFERROR(VLOOKUP($A5,#REF!,2,0),"0")</f>
        <v>0</v>
      </c>
      <c r="H5" s="432">
        <f t="shared" si="1"/>
        <v>0</v>
      </c>
      <c r="I5" s="163" t="e">
        <f>VLOOKUP($B:$B,#REF!,3,FALSE)</f>
        <v>#REF!</v>
      </c>
      <c r="J5" s="432">
        <f t="shared" si="2"/>
        <v>0</v>
      </c>
      <c r="K5" s="433" t="str">
        <f>IFERROR(VLOOKUP($A5,#REF!,2,0),"0")</f>
        <v>0</v>
      </c>
      <c r="L5" s="432">
        <f t="shared" si="3"/>
        <v>0</v>
      </c>
      <c r="M5" s="163" t="e">
        <f>VLOOKUP($B:$B,#REF!,4,FALSE)</f>
        <v>#REF!</v>
      </c>
      <c r="N5" s="432">
        <f t="shared" si="4"/>
        <v>0</v>
      </c>
      <c r="O5" s="433" t="str">
        <f>IFERROR(VLOOKUP($A5,#REF!,2,0),"0")</f>
        <v>0</v>
      </c>
      <c r="P5" s="432">
        <f t="shared" si="5"/>
        <v>0</v>
      </c>
      <c r="Q5" s="163" t="e">
        <f>VLOOKUP($B:$B,#REF!,5,FALSE)</f>
        <v>#REF!</v>
      </c>
      <c r="R5" s="432">
        <f t="shared" si="6"/>
        <v>0</v>
      </c>
      <c r="S5" s="433" t="str">
        <f>IFERROR(VLOOKUP($A5,#REF!,2,0),"0")</f>
        <v>0</v>
      </c>
      <c r="T5" s="432">
        <f t="shared" si="7"/>
        <v>0</v>
      </c>
      <c r="U5" s="163" t="e">
        <f>VLOOKUP($B:$B,#REF!,6,FALSE)</f>
        <v>#REF!</v>
      </c>
      <c r="V5" s="432">
        <f t="shared" si="8"/>
        <v>0</v>
      </c>
      <c r="W5" s="433" t="str">
        <f>IFERROR(VLOOKUP($A5,#REF!,2,0),"0")</f>
        <v>0</v>
      </c>
      <c r="X5" s="432">
        <f t="shared" si="9"/>
        <v>0</v>
      </c>
      <c r="Y5" s="163" t="e">
        <f>VLOOKUP($B:$B,#REF!,7,FALSE)</f>
        <v>#REF!</v>
      </c>
      <c r="Z5" s="432">
        <f t="shared" si="10"/>
        <v>0</v>
      </c>
      <c r="AA5" s="433" t="str">
        <f>IFERROR(VLOOKUP($A5,#REF!,2,0),"0")</f>
        <v>0</v>
      </c>
      <c r="AB5" s="432">
        <f t="shared" si="11"/>
        <v>0</v>
      </c>
      <c r="AC5" s="163" t="e">
        <f>VLOOKUP($B:$B,#REF!,8,FALSE)</f>
        <v>#REF!</v>
      </c>
      <c r="AD5" s="432">
        <f t="shared" si="12"/>
        <v>0</v>
      </c>
      <c r="AE5" s="433" t="str">
        <f>IFERROR(VLOOKUP($A5,#REF!,2,0),"0")</f>
        <v>0</v>
      </c>
      <c r="AF5" s="432">
        <f t="shared" si="13"/>
        <v>0</v>
      </c>
      <c r="AG5" s="163" t="e">
        <f>VLOOKUP($B:$B,#REF!,9,FALSE)</f>
        <v>#REF!</v>
      </c>
      <c r="AH5" s="432">
        <f t="shared" si="14"/>
        <v>0</v>
      </c>
      <c r="AI5" s="433" t="str">
        <f>IFERROR(VLOOKUP($A5,#REF!,2,0),"0")</f>
        <v>0</v>
      </c>
      <c r="AJ5" s="432">
        <f t="shared" si="15"/>
        <v>0</v>
      </c>
      <c r="AK5" s="163" t="e">
        <f>VLOOKUP($B:$B,#REF!,10,FALSE)</f>
        <v>#REF!</v>
      </c>
      <c r="AL5" s="432">
        <f t="shared" si="16"/>
        <v>0</v>
      </c>
      <c r="AM5" s="433" t="str">
        <f>IFERROR(VLOOKUP($A5,#REF!,2,0),"0")</f>
        <v>0</v>
      </c>
      <c r="AN5" s="432">
        <f t="shared" si="17"/>
        <v>0</v>
      </c>
      <c r="AO5" s="163" t="e">
        <f>VLOOKUP($B:$B,#REF!,11,FALSE)</f>
        <v>#REF!</v>
      </c>
      <c r="AP5" s="432">
        <f t="shared" si="18"/>
        <v>0</v>
      </c>
      <c r="AQ5" s="433" t="str">
        <f>IFERROR(VLOOKUP($A5,#REF!,2,0),"0")</f>
        <v>0</v>
      </c>
      <c r="AR5" s="432">
        <f t="shared" si="19"/>
        <v>0</v>
      </c>
      <c r="AS5" s="163" t="e">
        <f>VLOOKUP($B:$B,#REF!,12,FALSE)</f>
        <v>#REF!</v>
      </c>
      <c r="AT5" s="432">
        <f t="shared" si="20"/>
        <v>0</v>
      </c>
      <c r="AU5" s="433" t="str">
        <f>IFERROR(VLOOKUP($A5,#REF!,2,0),"0")</f>
        <v>0</v>
      </c>
      <c r="AV5" s="432">
        <f t="shared" si="21"/>
        <v>0</v>
      </c>
      <c r="AW5" s="163" t="e">
        <f>VLOOKUP($B:$B,#REF!,13,FALSE)</f>
        <v>#REF!</v>
      </c>
      <c r="AX5" s="432">
        <f t="shared" si="22"/>
        <v>0</v>
      </c>
      <c r="AY5" s="433" t="str">
        <f>IFERROR(VLOOKUP($A5,#REF!,2,0),"0")</f>
        <v>0</v>
      </c>
      <c r="AZ5" s="432">
        <f t="shared" si="23"/>
        <v>0</v>
      </c>
      <c r="BA5" s="163" t="e">
        <f>VLOOKUP($B:$B,#REF!,14,FALSE)</f>
        <v>#REF!</v>
      </c>
      <c r="BB5" s="432">
        <f t="shared" si="24"/>
        <v>0</v>
      </c>
      <c r="BC5" s="433" t="str">
        <f>IFERROR(VLOOKUP($A5,#REF!,2,0),"0")</f>
        <v>0</v>
      </c>
      <c r="BD5" s="432">
        <f t="shared" si="25"/>
        <v>0</v>
      </c>
      <c r="BE5" s="163" t="e">
        <f>VLOOKUP($B:$B,#REF!,15,FALSE)</f>
        <v>#REF!</v>
      </c>
      <c r="BF5" s="432">
        <f t="shared" si="26"/>
        <v>0</v>
      </c>
      <c r="BG5" s="433" t="str">
        <f>IFERROR(VLOOKUP($A5,#REF!,2,0),"0")</f>
        <v>0</v>
      </c>
      <c r="BH5" s="432">
        <f t="shared" si="27"/>
        <v>0</v>
      </c>
      <c r="BI5" s="163" t="e">
        <f>VLOOKUP($B:$B,#REF!,16,FALSE)</f>
        <v>#REF!</v>
      </c>
      <c r="BJ5" s="432">
        <f t="shared" si="28"/>
        <v>0</v>
      </c>
      <c r="BK5" s="433">
        <v>0</v>
      </c>
      <c r="BL5" s="432">
        <f t="shared" si="29"/>
        <v>0</v>
      </c>
      <c r="BM5" s="163" t="e">
        <f>VLOOKUP($B:$B,#REF!,17,FALSE)</f>
        <v>#REF!</v>
      </c>
      <c r="BN5" s="432">
        <f t="shared" si="30"/>
        <v>0</v>
      </c>
      <c r="BO5" s="433" t="str">
        <f>IFERROR(VLOOKUP($A5,#REF!,2,0),"0")</f>
        <v>0</v>
      </c>
      <c r="BP5" s="432">
        <f t="shared" si="31"/>
        <v>0</v>
      </c>
      <c r="BQ5" s="163" t="e">
        <f>VLOOKUP($B:$B,#REF!,18,FALSE)</f>
        <v>#REF!</v>
      </c>
      <c r="BR5" s="432">
        <f t="shared" si="32"/>
        <v>0</v>
      </c>
      <c r="BS5" s="433" t="str">
        <f>IFERROR(VLOOKUP($A5,#REF!,2,0),"0")</f>
        <v>0</v>
      </c>
      <c r="BT5" s="432">
        <f t="shared" si="33"/>
        <v>0</v>
      </c>
      <c r="BU5" s="163" t="e">
        <f>VLOOKUP($B:$B,#REF!,19,FALSE)</f>
        <v>#REF!</v>
      </c>
      <c r="BV5" s="432">
        <f t="shared" si="34"/>
        <v>0</v>
      </c>
      <c r="BW5" s="433" t="str">
        <f>IFERROR(VLOOKUP($A5,#REF!,2,0),"0")</f>
        <v>0</v>
      </c>
      <c r="BX5" s="432">
        <f t="shared" si="35"/>
        <v>0</v>
      </c>
      <c r="BY5" s="163" t="e">
        <f>VLOOKUP($B:$B,#REF!,20,FALSE)</f>
        <v>#REF!</v>
      </c>
      <c r="BZ5" s="432">
        <f t="shared" si="36"/>
        <v>0</v>
      </c>
      <c r="CA5" s="433" t="str">
        <f>IFERROR(VLOOKUP($A5,#REF!,2,0),"0")</f>
        <v>0</v>
      </c>
      <c r="CB5" s="432">
        <f t="shared" si="37"/>
        <v>0</v>
      </c>
      <c r="CC5" s="163" t="e">
        <f>VLOOKUP($B:$B,#REF!,21,FALSE)</f>
        <v>#REF!</v>
      </c>
      <c r="CD5" s="432">
        <f t="shared" si="38"/>
        <v>0</v>
      </c>
      <c r="CE5" s="433" t="str">
        <f>IFERROR(VLOOKUP($A5,#REF!,2,0),"0")</f>
        <v>0</v>
      </c>
      <c r="CF5" s="432">
        <f t="shared" si="39"/>
        <v>0</v>
      </c>
      <c r="CG5" s="163" t="e">
        <f>VLOOKUP($B:$B,#REF!,22,FALSE)</f>
        <v>#REF!</v>
      </c>
      <c r="CH5" s="432">
        <f t="shared" si="40"/>
        <v>0</v>
      </c>
      <c r="CI5" s="433" t="str">
        <f>IFERROR(VLOOKUP($A5,#REF!,2,0),"0")</f>
        <v>0</v>
      </c>
      <c r="CJ5" s="432">
        <f t="shared" si="41"/>
        <v>0</v>
      </c>
      <c r="CK5" s="163" t="e">
        <f>VLOOKUP($B:$B,#REF!,23,FALSE)</f>
        <v>#REF!</v>
      </c>
      <c r="CL5" s="432">
        <f t="shared" si="42"/>
        <v>0</v>
      </c>
      <c r="CM5" s="433" t="str">
        <f>IFERROR(VLOOKUP($A5,#REF!,2,0),"0")</f>
        <v>0</v>
      </c>
      <c r="CN5" s="432">
        <f t="shared" si="43"/>
        <v>0</v>
      </c>
      <c r="CO5" s="163" t="e">
        <f>VLOOKUP($B:$B,#REF!,24,FALSE)</f>
        <v>#REF!</v>
      </c>
      <c r="CP5" s="432">
        <f t="shared" si="44"/>
        <v>0</v>
      </c>
      <c r="CQ5" s="433" t="str">
        <f>IFERROR(VLOOKUP($A5,#REF!,2,0),"0")</f>
        <v>0</v>
      </c>
      <c r="CR5" s="432">
        <f t="shared" si="45"/>
        <v>0</v>
      </c>
      <c r="CS5" s="163" t="e">
        <f>VLOOKUP($B:$B,#REF!,25,FALSE)</f>
        <v>#REF!</v>
      </c>
      <c r="CT5" s="432">
        <f t="shared" si="46"/>
        <v>0</v>
      </c>
      <c r="CU5" s="433" t="str">
        <f>IFERROR(VLOOKUP($A5,#REF!,2,0),"0")</f>
        <v>0</v>
      </c>
      <c r="CV5" s="432">
        <f t="shared" si="47"/>
        <v>0</v>
      </c>
      <c r="CW5" s="163" t="e">
        <f>VLOOKUP($B:$B,#REF!,26,FALSE)</f>
        <v>#REF!</v>
      </c>
      <c r="CX5" s="432">
        <f t="shared" si="48"/>
        <v>0</v>
      </c>
      <c r="CY5" s="433" t="str">
        <f>IFERROR(VLOOKUP($A5,#REF!,2,0),"0")</f>
        <v>0</v>
      </c>
      <c r="CZ5" s="432">
        <f t="shared" si="49"/>
        <v>0</v>
      </c>
      <c r="DA5" s="163" t="e">
        <f>VLOOKUP($B:$B,#REF!,27,FALSE)</f>
        <v>#REF!</v>
      </c>
      <c r="DB5" s="432">
        <f t="shared" si="50"/>
        <v>0</v>
      </c>
      <c r="DC5" s="433" t="str">
        <f>IFERROR(VLOOKUP($A5,#REF!,2,0),"0")</f>
        <v>0</v>
      </c>
      <c r="DD5" s="432">
        <f t="shared" si="51"/>
        <v>0</v>
      </c>
      <c r="DE5" s="163" t="e">
        <f>VLOOKUP($B:$B,#REF!,28,FALSE)</f>
        <v>#REF!</v>
      </c>
      <c r="DF5" s="432">
        <f t="shared" si="52"/>
        <v>0</v>
      </c>
      <c r="DG5" s="433" t="str">
        <f>IFERROR(VLOOKUP($A5,#REF!,2,0),"0")</f>
        <v>0</v>
      </c>
      <c r="DH5" s="432">
        <f t="shared" si="53"/>
        <v>0</v>
      </c>
      <c r="DI5" s="163" t="e">
        <f>VLOOKUP($B:$B,#REF!,29,FALSE)</f>
        <v>#REF!</v>
      </c>
      <c r="DJ5" s="432">
        <f t="shared" si="54"/>
        <v>0</v>
      </c>
      <c r="DK5" s="433" t="str">
        <f>IFERROR(VLOOKUP($A5,#REF!,2,0),"0")</f>
        <v>0</v>
      </c>
      <c r="DL5" s="432">
        <f t="shared" si="55"/>
        <v>0</v>
      </c>
      <c r="DM5" s="163" t="e">
        <f>VLOOKUP($B:$B,#REF!,30,FALSE)</f>
        <v>#REF!</v>
      </c>
      <c r="DN5" s="432">
        <f t="shared" si="56"/>
        <v>0</v>
      </c>
      <c r="DO5" s="432"/>
      <c r="DP5" s="432">
        <f t="shared" si="57"/>
        <v>0</v>
      </c>
      <c r="DQ5" s="163" t="e">
        <f>VLOOKUP($B:$B,#REF!,31,FALSE)</f>
        <v>#REF!</v>
      </c>
      <c r="DR5" s="432">
        <f t="shared" si="58"/>
        <v>0</v>
      </c>
      <c r="DS5" s="434"/>
      <c r="DT5" s="432">
        <f t="shared" si="59"/>
        <v>0</v>
      </c>
      <c r="DU5" s="163" t="e">
        <f>VLOOKUP($B:$B,#REF!,32,FALSE)</f>
        <v>#REF!</v>
      </c>
      <c r="DV5" s="432">
        <f t="shared" si="60"/>
        <v>0</v>
      </c>
      <c r="DW5" s="434"/>
      <c r="DX5" s="432">
        <f t="shared" si="61"/>
        <v>0</v>
      </c>
      <c r="DY5" s="432">
        <f t="shared" si="62"/>
        <v>0</v>
      </c>
    </row>
    <row r="6" spans="1:129" ht="15.75">
      <c r="A6" s="166" t="s">
        <v>146</v>
      </c>
      <c r="B6" s="506" t="s">
        <v>147</v>
      </c>
      <c r="C6" s="166">
        <v>703534875</v>
      </c>
      <c r="D6" s="431">
        <v>27774</v>
      </c>
      <c r="E6" s="163" t="e">
        <f>VLOOKUP($B:$B,#REF!,2,FALSE)</f>
        <v>#REF!</v>
      </c>
      <c r="F6" s="432">
        <f t="shared" si="0"/>
        <v>0</v>
      </c>
      <c r="G6" s="433" t="str">
        <f>IFERROR(VLOOKUP($A6,#REF!,2,0),"0")</f>
        <v>0</v>
      </c>
      <c r="H6" s="432">
        <f t="shared" si="1"/>
        <v>0</v>
      </c>
      <c r="I6" s="163" t="e">
        <f>VLOOKUP($B:$B,#REF!,3,FALSE)</f>
        <v>#REF!</v>
      </c>
      <c r="J6" s="432">
        <f t="shared" si="2"/>
        <v>0</v>
      </c>
      <c r="K6" s="433" t="str">
        <f>IFERROR(VLOOKUP($A6,#REF!,2,0),"0")</f>
        <v>0</v>
      </c>
      <c r="L6" s="432">
        <f t="shared" si="3"/>
        <v>0</v>
      </c>
      <c r="M6" s="163" t="e">
        <f>VLOOKUP($B:$B,#REF!,4,FALSE)</f>
        <v>#REF!</v>
      </c>
      <c r="N6" s="432">
        <f t="shared" si="4"/>
        <v>0</v>
      </c>
      <c r="O6" s="433"/>
      <c r="P6" s="432">
        <f t="shared" si="5"/>
        <v>0</v>
      </c>
      <c r="Q6" s="163" t="e">
        <f>VLOOKUP($B:$B,#REF!,5,FALSE)</f>
        <v>#REF!</v>
      </c>
      <c r="R6" s="432">
        <f t="shared" si="6"/>
        <v>0</v>
      </c>
      <c r="S6" s="433" t="str">
        <f>IFERROR(VLOOKUP($A6,#REF!,2,0),"0")</f>
        <v>0</v>
      </c>
      <c r="T6" s="432">
        <f t="shared" si="7"/>
        <v>0</v>
      </c>
      <c r="U6" s="163" t="e">
        <f>VLOOKUP($B:$B,#REF!,6,FALSE)</f>
        <v>#REF!</v>
      </c>
      <c r="V6" s="432">
        <f t="shared" si="8"/>
        <v>0</v>
      </c>
      <c r="W6" s="433" t="str">
        <f>IFERROR(VLOOKUP($A6,#REF!,2,0),"0")</f>
        <v>0</v>
      </c>
      <c r="X6" s="432">
        <f t="shared" si="9"/>
        <v>0</v>
      </c>
      <c r="Y6" s="163" t="e">
        <f>VLOOKUP($B:$B,#REF!,7,FALSE)</f>
        <v>#REF!</v>
      </c>
      <c r="Z6" s="432">
        <f t="shared" si="10"/>
        <v>0</v>
      </c>
      <c r="AA6" s="433" t="str">
        <f>IFERROR(VLOOKUP($A6,#REF!,2,0),"0")</f>
        <v>0</v>
      </c>
      <c r="AB6" s="432">
        <f t="shared" si="11"/>
        <v>0</v>
      </c>
      <c r="AC6" s="163" t="e">
        <f>VLOOKUP($B:$B,#REF!,8,FALSE)</f>
        <v>#REF!</v>
      </c>
      <c r="AD6" s="432">
        <f t="shared" si="12"/>
        <v>0</v>
      </c>
      <c r="AE6" s="433" t="str">
        <f>IFERROR(VLOOKUP($A6,#REF!,2,0),"0")</f>
        <v>0</v>
      </c>
      <c r="AF6" s="432">
        <f t="shared" si="13"/>
        <v>0</v>
      </c>
      <c r="AG6" s="163" t="e">
        <f>VLOOKUP($B:$B,#REF!,9,FALSE)</f>
        <v>#REF!</v>
      </c>
      <c r="AH6" s="432">
        <f t="shared" si="14"/>
        <v>0</v>
      </c>
      <c r="AI6" s="433" t="str">
        <f>IFERROR(VLOOKUP($A6,#REF!,2,0),"0")</f>
        <v>0</v>
      </c>
      <c r="AJ6" s="432">
        <f t="shared" si="15"/>
        <v>0</v>
      </c>
      <c r="AK6" s="163" t="e">
        <f>VLOOKUP($B:$B,#REF!,10,FALSE)</f>
        <v>#REF!</v>
      </c>
      <c r="AL6" s="432">
        <f t="shared" si="16"/>
        <v>0</v>
      </c>
      <c r="AM6" s="433" t="str">
        <f>IFERROR(VLOOKUP($A6,#REF!,2,0),"0")</f>
        <v>0</v>
      </c>
      <c r="AN6" s="432">
        <f t="shared" si="17"/>
        <v>0</v>
      </c>
      <c r="AO6" s="163" t="e">
        <f>VLOOKUP($B:$B,#REF!,11,FALSE)</f>
        <v>#REF!</v>
      </c>
      <c r="AP6" s="432">
        <f t="shared" si="18"/>
        <v>0</v>
      </c>
      <c r="AQ6" s="433" t="str">
        <f>IFERROR(VLOOKUP($A6,#REF!,2,0),"0")</f>
        <v>0</v>
      </c>
      <c r="AR6" s="432">
        <f t="shared" si="19"/>
        <v>0</v>
      </c>
      <c r="AS6" s="163" t="e">
        <f>VLOOKUP($B:$B,#REF!,12,FALSE)</f>
        <v>#REF!</v>
      </c>
      <c r="AT6" s="432">
        <f t="shared" si="20"/>
        <v>0</v>
      </c>
      <c r="AU6" s="433" t="str">
        <f>IFERROR(VLOOKUP($A6,#REF!,2,0),"0")</f>
        <v>0</v>
      </c>
      <c r="AV6" s="432">
        <f t="shared" si="21"/>
        <v>0</v>
      </c>
      <c r="AW6" s="163" t="e">
        <f>VLOOKUP($B:$B,#REF!,13,FALSE)</f>
        <v>#REF!</v>
      </c>
      <c r="AX6" s="432">
        <f t="shared" si="22"/>
        <v>0</v>
      </c>
      <c r="AY6" s="433" t="str">
        <f>IFERROR(VLOOKUP($A6,#REF!,2,0),"0")</f>
        <v>0</v>
      </c>
      <c r="AZ6" s="432">
        <f t="shared" si="23"/>
        <v>0</v>
      </c>
      <c r="BA6" s="163" t="e">
        <f>VLOOKUP($B:$B,#REF!,14,FALSE)</f>
        <v>#REF!</v>
      </c>
      <c r="BB6" s="432">
        <f t="shared" si="24"/>
        <v>0</v>
      </c>
      <c r="BC6" s="433" t="str">
        <f>IFERROR(VLOOKUP($A6,#REF!,2,0),"0")</f>
        <v>0</v>
      </c>
      <c r="BD6" s="432">
        <f t="shared" si="25"/>
        <v>0</v>
      </c>
      <c r="BE6" s="163" t="e">
        <f>VLOOKUP($B:$B,#REF!,15,FALSE)</f>
        <v>#REF!</v>
      </c>
      <c r="BF6" s="432">
        <f t="shared" si="26"/>
        <v>0</v>
      </c>
      <c r="BG6" s="433" t="str">
        <f>IFERROR(VLOOKUP($A6,#REF!,2,0),"0")</f>
        <v>0</v>
      </c>
      <c r="BH6" s="432">
        <f t="shared" si="27"/>
        <v>0</v>
      </c>
      <c r="BI6" s="163" t="e">
        <f>VLOOKUP($B:$B,#REF!,16,FALSE)</f>
        <v>#REF!</v>
      </c>
      <c r="BJ6" s="432">
        <f t="shared" si="28"/>
        <v>0</v>
      </c>
      <c r="BK6" s="433" t="str">
        <f>IFERROR(VLOOKUP($A6,#REF!,2,0),"0")</f>
        <v>0</v>
      </c>
      <c r="BL6" s="432">
        <f t="shared" si="29"/>
        <v>0</v>
      </c>
      <c r="BM6" s="163" t="e">
        <f>VLOOKUP($B:$B,#REF!,17,FALSE)</f>
        <v>#REF!</v>
      </c>
      <c r="BN6" s="432">
        <f t="shared" si="30"/>
        <v>0</v>
      </c>
      <c r="BO6" s="433" t="str">
        <f>IFERROR(VLOOKUP($A6,#REF!,2,0),"0")</f>
        <v>0</v>
      </c>
      <c r="BP6" s="432">
        <f t="shared" si="31"/>
        <v>0</v>
      </c>
      <c r="BQ6" s="163" t="e">
        <f>VLOOKUP($B:$B,#REF!,18,FALSE)</f>
        <v>#REF!</v>
      </c>
      <c r="BR6" s="432">
        <f t="shared" si="32"/>
        <v>0</v>
      </c>
      <c r="BS6" s="433" t="str">
        <f>IFERROR(VLOOKUP($A6,#REF!,2,0),"0")</f>
        <v>0</v>
      </c>
      <c r="BT6" s="432">
        <f t="shared" si="33"/>
        <v>0</v>
      </c>
      <c r="BU6" s="163" t="e">
        <f>VLOOKUP($B:$B,#REF!,19,FALSE)</f>
        <v>#REF!</v>
      </c>
      <c r="BV6" s="432">
        <f t="shared" si="34"/>
        <v>0</v>
      </c>
      <c r="BW6" s="433" t="str">
        <f>IFERROR(VLOOKUP($A6,#REF!,2,0),"0")</f>
        <v>0</v>
      </c>
      <c r="BX6" s="432">
        <f t="shared" si="35"/>
        <v>0</v>
      </c>
      <c r="BY6" s="163" t="e">
        <f>VLOOKUP($B:$B,#REF!,20,FALSE)</f>
        <v>#REF!</v>
      </c>
      <c r="BZ6" s="432">
        <f t="shared" si="36"/>
        <v>0</v>
      </c>
      <c r="CA6" s="433" t="str">
        <f>IFERROR(VLOOKUP($A6,#REF!,2,0),"0")</f>
        <v>0</v>
      </c>
      <c r="CB6" s="432">
        <f t="shared" si="37"/>
        <v>0</v>
      </c>
      <c r="CC6" s="163" t="e">
        <f>VLOOKUP($B:$B,#REF!,21,FALSE)</f>
        <v>#REF!</v>
      </c>
      <c r="CD6" s="432">
        <f t="shared" si="38"/>
        <v>0</v>
      </c>
      <c r="CE6" s="433" t="str">
        <f>IFERROR(VLOOKUP($A6,#REF!,2,0),"0")</f>
        <v>0</v>
      </c>
      <c r="CF6" s="432">
        <f t="shared" si="39"/>
        <v>0</v>
      </c>
      <c r="CG6" s="163" t="e">
        <f>VLOOKUP($B:$B,#REF!,22,FALSE)</f>
        <v>#REF!</v>
      </c>
      <c r="CH6" s="432">
        <f t="shared" si="40"/>
        <v>0</v>
      </c>
      <c r="CI6" s="433" t="str">
        <f>IFERROR(VLOOKUP($A6,#REF!,2,0),"0")</f>
        <v>0</v>
      </c>
      <c r="CJ6" s="432">
        <f t="shared" si="41"/>
        <v>0</v>
      </c>
      <c r="CK6" s="163" t="e">
        <f>VLOOKUP($B:$B,#REF!,23,FALSE)</f>
        <v>#REF!</v>
      </c>
      <c r="CL6" s="432">
        <f t="shared" si="42"/>
        <v>0</v>
      </c>
      <c r="CM6" s="433" t="str">
        <f>IFERROR(VLOOKUP($A6,#REF!,2,0),"0")</f>
        <v>0</v>
      </c>
      <c r="CN6" s="432">
        <f t="shared" si="43"/>
        <v>0</v>
      </c>
      <c r="CO6" s="163" t="e">
        <f>VLOOKUP($B:$B,#REF!,24,FALSE)</f>
        <v>#REF!</v>
      </c>
      <c r="CP6" s="432">
        <f t="shared" si="44"/>
        <v>0</v>
      </c>
      <c r="CQ6" s="433" t="str">
        <f>IFERROR(VLOOKUP($A6,#REF!,2,0),"0")</f>
        <v>0</v>
      </c>
      <c r="CR6" s="432">
        <f t="shared" si="45"/>
        <v>0</v>
      </c>
      <c r="CS6" s="163" t="e">
        <f>VLOOKUP($B:$B,#REF!,25,FALSE)</f>
        <v>#REF!</v>
      </c>
      <c r="CT6" s="432">
        <f t="shared" si="46"/>
        <v>0</v>
      </c>
      <c r="CU6" s="433" t="str">
        <f>IFERROR(VLOOKUP($A6,#REF!,2,0),"0")</f>
        <v>0</v>
      </c>
      <c r="CV6" s="432">
        <f t="shared" si="47"/>
        <v>0</v>
      </c>
      <c r="CW6" s="163" t="e">
        <f>VLOOKUP($B:$B,#REF!,26,FALSE)</f>
        <v>#REF!</v>
      </c>
      <c r="CX6" s="432">
        <f t="shared" si="48"/>
        <v>0</v>
      </c>
      <c r="CY6" s="433" t="str">
        <f>IFERROR(VLOOKUP($A6,#REF!,2,0),"0")</f>
        <v>0</v>
      </c>
      <c r="CZ6" s="432">
        <f t="shared" si="49"/>
        <v>0</v>
      </c>
      <c r="DA6" s="163" t="e">
        <f>VLOOKUP($B:$B,#REF!,27,FALSE)</f>
        <v>#REF!</v>
      </c>
      <c r="DB6" s="432">
        <f t="shared" si="50"/>
        <v>0</v>
      </c>
      <c r="DC6" s="433" t="str">
        <f>IFERROR(VLOOKUP($A6,#REF!,2,0),"0")</f>
        <v>0</v>
      </c>
      <c r="DD6" s="432">
        <f t="shared" si="51"/>
        <v>0</v>
      </c>
      <c r="DE6" s="163" t="e">
        <f>VLOOKUP($B:$B,#REF!,28,FALSE)</f>
        <v>#REF!</v>
      </c>
      <c r="DF6" s="432">
        <f t="shared" si="52"/>
        <v>0</v>
      </c>
      <c r="DG6" s="433" t="str">
        <f>IFERROR(VLOOKUP($A6,#REF!,2,0),"0")</f>
        <v>0</v>
      </c>
      <c r="DH6" s="432">
        <f t="shared" si="53"/>
        <v>0</v>
      </c>
      <c r="DI6" s="163" t="e">
        <f>VLOOKUP($B:$B,#REF!,29,FALSE)</f>
        <v>#REF!</v>
      </c>
      <c r="DJ6" s="432">
        <f t="shared" si="54"/>
        <v>0</v>
      </c>
      <c r="DK6" s="433" t="str">
        <f>IFERROR(VLOOKUP($A6,#REF!,2,0),"0")</f>
        <v>0</v>
      </c>
      <c r="DL6" s="432">
        <f t="shared" si="55"/>
        <v>0</v>
      </c>
      <c r="DM6" s="163" t="e">
        <f>VLOOKUP($B:$B,#REF!,30,FALSE)</f>
        <v>#REF!</v>
      </c>
      <c r="DN6" s="432">
        <f t="shared" si="56"/>
        <v>0</v>
      </c>
      <c r="DO6" s="432"/>
      <c r="DP6" s="432">
        <f t="shared" si="57"/>
        <v>0</v>
      </c>
      <c r="DQ6" s="163" t="e">
        <f>VLOOKUP($B:$B,#REF!,31,FALSE)</f>
        <v>#REF!</v>
      </c>
      <c r="DR6" s="432">
        <f t="shared" si="58"/>
        <v>0</v>
      </c>
      <c r="DS6" s="434"/>
      <c r="DT6" s="432">
        <f t="shared" si="59"/>
        <v>0</v>
      </c>
      <c r="DU6" s="163" t="e">
        <f>VLOOKUP($B:$B,#REF!,32,FALSE)</f>
        <v>#REF!</v>
      </c>
      <c r="DV6" s="432">
        <f t="shared" si="60"/>
        <v>0</v>
      </c>
      <c r="DW6" s="434"/>
      <c r="DX6" s="432">
        <f t="shared" si="61"/>
        <v>0</v>
      </c>
      <c r="DY6" s="432">
        <f t="shared" si="62"/>
        <v>0</v>
      </c>
    </row>
    <row r="7" spans="1:129" ht="15.75">
      <c r="A7" s="166" t="s">
        <v>59</v>
      </c>
      <c r="B7" s="506" t="s">
        <v>60</v>
      </c>
      <c r="C7" s="166">
        <v>1751542109</v>
      </c>
      <c r="D7" s="431">
        <v>35489</v>
      </c>
      <c r="E7" s="163" t="e">
        <f>VLOOKUP($B:$B,#REF!,2,FALSE)</f>
        <v>#REF!</v>
      </c>
      <c r="F7" s="432">
        <f t="shared" si="0"/>
        <v>0</v>
      </c>
      <c r="G7" s="433" t="str">
        <f>IFERROR(VLOOKUP($A7,#REF!,2,0),"0")</f>
        <v>0</v>
      </c>
      <c r="H7" s="432">
        <f t="shared" si="1"/>
        <v>0</v>
      </c>
      <c r="I7" s="163" t="e">
        <f>VLOOKUP($B:$B,#REF!,3,FALSE)</f>
        <v>#REF!</v>
      </c>
      <c r="J7" s="432">
        <f t="shared" si="2"/>
        <v>0</v>
      </c>
      <c r="K7" s="433" t="str">
        <f>IFERROR(VLOOKUP($A7,#REF!,2,0),"0")</f>
        <v>0</v>
      </c>
      <c r="L7" s="432">
        <f t="shared" si="3"/>
        <v>0</v>
      </c>
      <c r="M7" s="163" t="e">
        <f>VLOOKUP($B:$B,#REF!,4,FALSE)</f>
        <v>#REF!</v>
      </c>
      <c r="N7" s="432">
        <f t="shared" si="4"/>
        <v>0</v>
      </c>
      <c r="O7" s="433" t="str">
        <f>IFERROR(VLOOKUP($A7,#REF!,2,0),"0")</f>
        <v>0</v>
      </c>
      <c r="P7" s="432">
        <f t="shared" si="5"/>
        <v>0</v>
      </c>
      <c r="Q7" s="163" t="e">
        <f>VLOOKUP($B:$B,#REF!,5,FALSE)</f>
        <v>#REF!</v>
      </c>
      <c r="R7" s="432">
        <f t="shared" si="6"/>
        <v>0</v>
      </c>
      <c r="S7" s="433" t="str">
        <f>IFERROR(VLOOKUP($A7,#REF!,2,0),"0")</f>
        <v>0</v>
      </c>
      <c r="T7" s="432">
        <f t="shared" si="7"/>
        <v>0</v>
      </c>
      <c r="U7" s="163" t="e">
        <f>VLOOKUP($B:$B,#REF!,6,FALSE)</f>
        <v>#REF!</v>
      </c>
      <c r="V7" s="432">
        <f t="shared" si="8"/>
        <v>0</v>
      </c>
      <c r="W7" s="433" t="str">
        <f>IFERROR(VLOOKUP($A7,#REF!,2,0),"0")</f>
        <v>0</v>
      </c>
      <c r="X7" s="432">
        <f t="shared" si="9"/>
        <v>0</v>
      </c>
      <c r="Y7" s="163" t="e">
        <f>VLOOKUP($B:$B,#REF!,7,FALSE)</f>
        <v>#REF!</v>
      </c>
      <c r="Z7" s="432">
        <f t="shared" si="10"/>
        <v>0</v>
      </c>
      <c r="AA7" s="433" t="str">
        <f>IFERROR(VLOOKUP($A7,#REF!,2,0),"0")</f>
        <v>0</v>
      </c>
      <c r="AB7" s="432">
        <f t="shared" si="11"/>
        <v>0</v>
      </c>
      <c r="AC7" s="163" t="e">
        <f>VLOOKUP($B:$B,#REF!,8,FALSE)</f>
        <v>#REF!</v>
      </c>
      <c r="AD7" s="432">
        <f t="shared" si="12"/>
        <v>0</v>
      </c>
      <c r="AE7" s="433" t="str">
        <f>IFERROR(VLOOKUP($A7,#REF!,2,0),"0")</f>
        <v>0</v>
      </c>
      <c r="AF7" s="432">
        <f t="shared" si="13"/>
        <v>0</v>
      </c>
      <c r="AG7" s="163" t="e">
        <f>VLOOKUP($B:$B,#REF!,9,FALSE)</f>
        <v>#REF!</v>
      </c>
      <c r="AH7" s="432">
        <f t="shared" si="14"/>
        <v>0</v>
      </c>
      <c r="AI7" s="433" t="str">
        <f>IFERROR(VLOOKUP($A7,#REF!,2,0),"0")</f>
        <v>0</v>
      </c>
      <c r="AJ7" s="432">
        <f t="shared" si="15"/>
        <v>0</v>
      </c>
      <c r="AK7" s="163" t="e">
        <f>VLOOKUP($B:$B,#REF!,10,FALSE)</f>
        <v>#REF!</v>
      </c>
      <c r="AL7" s="432">
        <f t="shared" si="16"/>
        <v>0</v>
      </c>
      <c r="AM7" s="433" t="str">
        <f>IFERROR(VLOOKUP($A7,#REF!,2,0),"0")</f>
        <v>0</v>
      </c>
      <c r="AN7" s="432">
        <f t="shared" si="17"/>
        <v>0</v>
      </c>
      <c r="AO7" s="163" t="e">
        <f>VLOOKUP($B:$B,#REF!,11,FALSE)</f>
        <v>#REF!</v>
      </c>
      <c r="AP7" s="432">
        <f t="shared" si="18"/>
        <v>0</v>
      </c>
      <c r="AQ7" s="433" t="str">
        <f>IFERROR(VLOOKUP($A7,#REF!,2,0),"0")</f>
        <v>0</v>
      </c>
      <c r="AR7" s="432">
        <f t="shared" si="19"/>
        <v>0</v>
      </c>
      <c r="AS7" s="163" t="e">
        <f>VLOOKUP($B:$B,#REF!,12,FALSE)</f>
        <v>#REF!</v>
      </c>
      <c r="AT7" s="432">
        <f t="shared" si="20"/>
        <v>0</v>
      </c>
      <c r="AU7" s="433" t="str">
        <f>IFERROR(VLOOKUP($A7,#REF!,2,0),"0")</f>
        <v>0</v>
      </c>
      <c r="AV7" s="432">
        <f t="shared" si="21"/>
        <v>0</v>
      </c>
      <c r="AW7" s="163" t="e">
        <f>VLOOKUP($B:$B,#REF!,13,FALSE)</f>
        <v>#REF!</v>
      </c>
      <c r="AX7" s="432">
        <f t="shared" si="22"/>
        <v>0</v>
      </c>
      <c r="AY7" s="433" t="str">
        <f>IFERROR(VLOOKUP($A7,#REF!,2,0),"0")</f>
        <v>0</v>
      </c>
      <c r="AZ7" s="432">
        <f t="shared" si="23"/>
        <v>0</v>
      </c>
      <c r="BA7" s="163" t="e">
        <f>VLOOKUP($B:$B,#REF!,14,FALSE)</f>
        <v>#REF!</v>
      </c>
      <c r="BB7" s="432">
        <f t="shared" si="24"/>
        <v>0</v>
      </c>
      <c r="BC7" s="433" t="str">
        <f>IFERROR(VLOOKUP($A7,#REF!,2,0),"0")</f>
        <v>0</v>
      </c>
      <c r="BD7" s="432">
        <f t="shared" si="25"/>
        <v>0</v>
      </c>
      <c r="BE7" s="163" t="e">
        <f>VLOOKUP($B:$B,#REF!,15,FALSE)</f>
        <v>#REF!</v>
      </c>
      <c r="BF7" s="432">
        <f t="shared" si="26"/>
        <v>0</v>
      </c>
      <c r="BG7" s="433" t="str">
        <f>IFERROR(VLOOKUP($A7,#REF!,2,0),"0")</f>
        <v>0</v>
      </c>
      <c r="BH7" s="432">
        <f t="shared" si="27"/>
        <v>0</v>
      </c>
      <c r="BI7" s="163" t="e">
        <f>VLOOKUP($B:$B,#REF!,16,FALSE)</f>
        <v>#REF!</v>
      </c>
      <c r="BJ7" s="432">
        <f t="shared" si="28"/>
        <v>0</v>
      </c>
      <c r="BK7" s="433" t="str">
        <f>IFERROR(VLOOKUP($A7,#REF!,2,0),"0")</f>
        <v>0</v>
      </c>
      <c r="BL7" s="432">
        <f t="shared" si="29"/>
        <v>0</v>
      </c>
      <c r="BM7" s="163" t="e">
        <f>VLOOKUP($B:$B,#REF!,17,FALSE)</f>
        <v>#REF!</v>
      </c>
      <c r="BN7" s="432">
        <f t="shared" si="30"/>
        <v>0</v>
      </c>
      <c r="BO7" s="433" t="str">
        <f>IFERROR(VLOOKUP($A7,#REF!,2,0),"0")</f>
        <v>0</v>
      </c>
      <c r="BP7" s="432">
        <f t="shared" si="31"/>
        <v>0</v>
      </c>
      <c r="BQ7" s="163" t="e">
        <f>VLOOKUP($B:$B,#REF!,18,FALSE)</f>
        <v>#REF!</v>
      </c>
      <c r="BR7" s="432">
        <f t="shared" si="32"/>
        <v>0</v>
      </c>
      <c r="BS7" s="433">
        <v>0</v>
      </c>
      <c r="BT7" s="432">
        <f t="shared" si="33"/>
        <v>0</v>
      </c>
      <c r="BU7" s="163" t="e">
        <f>VLOOKUP($B:$B,#REF!,19,FALSE)</f>
        <v>#REF!</v>
      </c>
      <c r="BV7" s="432">
        <f t="shared" si="34"/>
        <v>0</v>
      </c>
      <c r="BW7" s="433" t="str">
        <f>IFERROR(VLOOKUP($A7,#REF!,2,0),"0")</f>
        <v>0</v>
      </c>
      <c r="BX7" s="432">
        <f t="shared" si="35"/>
        <v>0</v>
      </c>
      <c r="BY7" s="163" t="e">
        <f>VLOOKUP($B:$B,#REF!,20,FALSE)</f>
        <v>#REF!</v>
      </c>
      <c r="BZ7" s="432">
        <f t="shared" si="36"/>
        <v>0</v>
      </c>
      <c r="CA7" s="433" t="str">
        <f>IFERROR(VLOOKUP($A7,#REF!,2,0),"0")</f>
        <v>0</v>
      </c>
      <c r="CB7" s="432">
        <f t="shared" si="37"/>
        <v>0</v>
      </c>
      <c r="CC7" s="163" t="e">
        <f>VLOOKUP($B:$B,#REF!,21,FALSE)</f>
        <v>#REF!</v>
      </c>
      <c r="CD7" s="432">
        <f t="shared" si="38"/>
        <v>0</v>
      </c>
      <c r="CE7" s="433" t="str">
        <f>IFERROR(VLOOKUP($A7,#REF!,2,0),"0")</f>
        <v>0</v>
      </c>
      <c r="CF7" s="432">
        <f t="shared" si="39"/>
        <v>0</v>
      </c>
      <c r="CG7" s="163" t="e">
        <f>VLOOKUP($B:$B,#REF!,22,FALSE)</f>
        <v>#REF!</v>
      </c>
      <c r="CH7" s="432">
        <f t="shared" si="40"/>
        <v>0</v>
      </c>
      <c r="CI7" s="433" t="str">
        <f>IFERROR(VLOOKUP($A7,#REF!,2,0),"0")</f>
        <v>0</v>
      </c>
      <c r="CJ7" s="432">
        <f t="shared" si="41"/>
        <v>0</v>
      </c>
      <c r="CK7" s="163" t="e">
        <f>VLOOKUP($B:$B,#REF!,23,FALSE)</f>
        <v>#REF!</v>
      </c>
      <c r="CL7" s="432">
        <f t="shared" si="42"/>
        <v>0</v>
      </c>
      <c r="CM7" s="433" t="str">
        <f>IFERROR(VLOOKUP($A7,#REF!,2,0),"0")</f>
        <v>0</v>
      </c>
      <c r="CN7" s="432">
        <f t="shared" si="43"/>
        <v>0</v>
      </c>
      <c r="CO7" s="163" t="e">
        <f>VLOOKUP($B:$B,#REF!,24,FALSE)</f>
        <v>#REF!</v>
      </c>
      <c r="CP7" s="432">
        <f t="shared" si="44"/>
        <v>0</v>
      </c>
      <c r="CQ7" s="433"/>
      <c r="CR7" s="432">
        <f t="shared" si="45"/>
        <v>0</v>
      </c>
      <c r="CS7" s="163" t="e">
        <f>VLOOKUP($B:$B,#REF!,25,FALSE)</f>
        <v>#REF!</v>
      </c>
      <c r="CT7" s="432">
        <f t="shared" si="46"/>
        <v>0</v>
      </c>
      <c r="CU7" s="433"/>
      <c r="CV7" s="432">
        <f t="shared" si="47"/>
        <v>0</v>
      </c>
      <c r="CW7" s="163" t="e">
        <f>VLOOKUP($B:$B,#REF!,26,FALSE)</f>
        <v>#REF!</v>
      </c>
      <c r="CX7" s="432">
        <f t="shared" si="48"/>
        <v>0</v>
      </c>
      <c r="CY7" s="433"/>
      <c r="CZ7" s="432">
        <f t="shared" si="49"/>
        <v>0</v>
      </c>
      <c r="DA7" s="163" t="e">
        <f>VLOOKUP($B:$B,#REF!,27,FALSE)</f>
        <v>#REF!</v>
      </c>
      <c r="DB7" s="432">
        <f t="shared" si="50"/>
        <v>0</v>
      </c>
      <c r="DC7" s="433" t="str">
        <f>IFERROR(VLOOKUP($A7,#REF!,2,0),"0")</f>
        <v>0</v>
      </c>
      <c r="DD7" s="432">
        <f t="shared" si="51"/>
        <v>0</v>
      </c>
      <c r="DE7" s="163" t="e">
        <f>VLOOKUP($B:$B,#REF!,28,FALSE)</f>
        <v>#REF!</v>
      </c>
      <c r="DF7" s="432">
        <f t="shared" si="52"/>
        <v>0</v>
      </c>
      <c r="DG7" s="433"/>
      <c r="DH7" s="432">
        <f t="shared" si="53"/>
        <v>0</v>
      </c>
      <c r="DI7" s="163" t="e">
        <f>VLOOKUP($B:$B,#REF!,29,FALSE)</f>
        <v>#REF!</v>
      </c>
      <c r="DJ7" s="432">
        <f t="shared" si="54"/>
        <v>0</v>
      </c>
      <c r="DK7" s="433" t="str">
        <f>IFERROR(VLOOKUP($A7,#REF!,2,0),"0")</f>
        <v>0</v>
      </c>
      <c r="DL7" s="432">
        <f t="shared" si="55"/>
        <v>0</v>
      </c>
      <c r="DM7" s="163" t="e">
        <f>VLOOKUP($B:$B,#REF!,30,FALSE)</f>
        <v>#REF!</v>
      </c>
      <c r="DN7" s="432">
        <f t="shared" si="56"/>
        <v>0</v>
      </c>
      <c r="DO7" s="432"/>
      <c r="DP7" s="432">
        <f t="shared" si="57"/>
        <v>0</v>
      </c>
      <c r="DQ7" s="163" t="e">
        <f>VLOOKUP($B:$B,#REF!,31,FALSE)</f>
        <v>#REF!</v>
      </c>
      <c r="DR7" s="432">
        <f t="shared" si="58"/>
        <v>0</v>
      </c>
      <c r="DS7" s="434"/>
      <c r="DT7" s="432">
        <f t="shared" si="59"/>
        <v>0</v>
      </c>
      <c r="DU7" s="163" t="e">
        <f>VLOOKUP($B:$B,#REF!,32,FALSE)</f>
        <v>#REF!</v>
      </c>
      <c r="DV7" s="432">
        <f t="shared" si="60"/>
        <v>0</v>
      </c>
      <c r="DW7" s="434"/>
      <c r="DX7" s="432">
        <f t="shared" si="61"/>
        <v>0</v>
      </c>
      <c r="DY7" s="432">
        <f t="shared" si="62"/>
        <v>0</v>
      </c>
    </row>
    <row r="8" spans="1:129" ht="15.75">
      <c r="A8" s="166" t="s">
        <v>70</v>
      </c>
      <c r="B8" s="506" t="s">
        <v>71</v>
      </c>
      <c r="C8" s="166">
        <v>402109086</v>
      </c>
      <c r="D8" s="431">
        <v>39034</v>
      </c>
      <c r="E8" s="163" t="e">
        <f>VLOOKUP($B:$B,#REF!,2,FALSE)</f>
        <v>#REF!</v>
      </c>
      <c r="F8" s="432">
        <f t="shared" si="0"/>
        <v>0</v>
      </c>
      <c r="G8" s="433" t="str">
        <f>IFERROR(VLOOKUP($A8,#REF!,2,0),"0")</f>
        <v>0</v>
      </c>
      <c r="H8" s="432">
        <f t="shared" si="1"/>
        <v>0</v>
      </c>
      <c r="I8" s="163" t="e">
        <f>VLOOKUP($B:$B,#REF!,3,FALSE)</f>
        <v>#REF!</v>
      </c>
      <c r="J8" s="432">
        <f t="shared" si="2"/>
        <v>0</v>
      </c>
      <c r="K8" s="433" t="str">
        <f>IFERROR(VLOOKUP($A8,#REF!,2,0),"0")</f>
        <v>0</v>
      </c>
      <c r="L8" s="432">
        <f t="shared" si="3"/>
        <v>0</v>
      </c>
      <c r="M8" s="163" t="e">
        <f>VLOOKUP($B:$B,#REF!,4,FALSE)</f>
        <v>#REF!</v>
      </c>
      <c r="N8" s="432">
        <f t="shared" si="4"/>
        <v>0</v>
      </c>
      <c r="O8" s="433" t="str">
        <f>IFERROR(VLOOKUP($A8,#REF!,2,0),"0")</f>
        <v>0</v>
      </c>
      <c r="P8" s="432">
        <f t="shared" si="5"/>
        <v>0</v>
      </c>
      <c r="Q8" s="163" t="e">
        <f>VLOOKUP($B:$B,#REF!,5,FALSE)</f>
        <v>#REF!</v>
      </c>
      <c r="R8" s="432">
        <f t="shared" si="6"/>
        <v>0</v>
      </c>
      <c r="S8" s="433" t="str">
        <f>IFERROR(VLOOKUP($A8,#REF!,2,0),"0")</f>
        <v>0</v>
      </c>
      <c r="T8" s="432">
        <f t="shared" si="7"/>
        <v>0</v>
      </c>
      <c r="U8" s="163" t="e">
        <f>VLOOKUP($B:$B,#REF!,6,FALSE)</f>
        <v>#REF!</v>
      </c>
      <c r="V8" s="432">
        <f t="shared" si="8"/>
        <v>0</v>
      </c>
      <c r="W8" s="433" t="str">
        <f>IFERROR(VLOOKUP($A8,#REF!,2,0),"0")</f>
        <v>0</v>
      </c>
      <c r="X8" s="432">
        <f t="shared" si="9"/>
        <v>0</v>
      </c>
      <c r="Y8" s="163" t="e">
        <f>VLOOKUP($B:$B,#REF!,7,FALSE)</f>
        <v>#REF!</v>
      </c>
      <c r="Z8" s="432">
        <f t="shared" si="10"/>
        <v>0</v>
      </c>
      <c r="AA8" s="433" t="str">
        <f>IFERROR(VLOOKUP($A8,#REF!,2,0),"0")</f>
        <v>0</v>
      </c>
      <c r="AB8" s="432">
        <f t="shared" si="11"/>
        <v>0</v>
      </c>
      <c r="AC8" s="163" t="e">
        <f>VLOOKUP($B:$B,#REF!,8,FALSE)</f>
        <v>#REF!</v>
      </c>
      <c r="AD8" s="432">
        <f t="shared" si="12"/>
        <v>0</v>
      </c>
      <c r="AE8" s="433" t="str">
        <f>IFERROR(VLOOKUP($A8,#REF!,2,0),"0")</f>
        <v>0</v>
      </c>
      <c r="AF8" s="432">
        <f t="shared" si="13"/>
        <v>0</v>
      </c>
      <c r="AG8" s="163" t="e">
        <f>VLOOKUP($B:$B,#REF!,9,FALSE)</f>
        <v>#REF!</v>
      </c>
      <c r="AH8" s="432">
        <f t="shared" si="14"/>
        <v>0</v>
      </c>
      <c r="AI8" s="433" t="str">
        <f>IFERROR(VLOOKUP($A8,#REF!,2,0),"0")</f>
        <v>0</v>
      </c>
      <c r="AJ8" s="432">
        <f t="shared" si="15"/>
        <v>0</v>
      </c>
      <c r="AK8" s="163" t="e">
        <f>VLOOKUP($B:$B,#REF!,10,FALSE)</f>
        <v>#REF!</v>
      </c>
      <c r="AL8" s="432">
        <f t="shared" si="16"/>
        <v>0</v>
      </c>
      <c r="AM8" s="433" t="str">
        <f>IFERROR(VLOOKUP($A8,#REF!,2,0),"0")</f>
        <v>0</v>
      </c>
      <c r="AN8" s="432">
        <f t="shared" si="17"/>
        <v>0</v>
      </c>
      <c r="AO8" s="163" t="e">
        <f>VLOOKUP($B:$B,#REF!,11,FALSE)</f>
        <v>#REF!</v>
      </c>
      <c r="AP8" s="432">
        <f t="shared" si="18"/>
        <v>0</v>
      </c>
      <c r="AQ8" s="432">
        <f t="shared" si="18"/>
        <v>0</v>
      </c>
      <c r="AR8" s="432">
        <f t="shared" si="19"/>
        <v>0</v>
      </c>
      <c r="AS8" s="163" t="e">
        <f>VLOOKUP($B:$B,#REF!,12,FALSE)</f>
        <v>#REF!</v>
      </c>
      <c r="AT8" s="432">
        <f t="shared" si="20"/>
        <v>0</v>
      </c>
      <c r="AU8" s="433" t="str">
        <f>IFERROR(VLOOKUP($A8,#REF!,2,0),"0")</f>
        <v>0</v>
      </c>
      <c r="AV8" s="432">
        <f t="shared" si="21"/>
        <v>0</v>
      </c>
      <c r="AW8" s="163" t="e">
        <f>VLOOKUP($B:$B,#REF!,13,FALSE)</f>
        <v>#REF!</v>
      </c>
      <c r="AX8" s="432">
        <f t="shared" si="22"/>
        <v>0</v>
      </c>
      <c r="AY8" s="433" t="str">
        <f>IFERROR(VLOOKUP($A8,#REF!,2,0),"0")</f>
        <v>0</v>
      </c>
      <c r="AZ8" s="432">
        <f t="shared" si="23"/>
        <v>0</v>
      </c>
      <c r="BA8" s="163" t="e">
        <f>VLOOKUP($B:$B,#REF!,14,FALSE)</f>
        <v>#REF!</v>
      </c>
      <c r="BB8" s="432">
        <f t="shared" si="24"/>
        <v>0</v>
      </c>
      <c r="BC8" s="433" t="str">
        <f>IFERROR(VLOOKUP($A8,#REF!,2,0),"0")</f>
        <v>0</v>
      </c>
      <c r="BD8" s="432">
        <f t="shared" si="25"/>
        <v>0</v>
      </c>
      <c r="BE8" s="163" t="e">
        <f>VLOOKUP($B:$B,#REF!,15,FALSE)</f>
        <v>#REF!</v>
      </c>
      <c r="BF8" s="432">
        <f t="shared" si="26"/>
        <v>0</v>
      </c>
      <c r="BG8" s="433" t="str">
        <f>IFERROR(VLOOKUP($A8,#REF!,2,0),"0")</f>
        <v>0</v>
      </c>
      <c r="BH8" s="432">
        <f t="shared" si="27"/>
        <v>0</v>
      </c>
      <c r="BI8" s="163" t="e">
        <f>VLOOKUP($B:$B,#REF!,16,FALSE)</f>
        <v>#REF!</v>
      </c>
      <c r="BJ8" s="432">
        <f t="shared" si="28"/>
        <v>0</v>
      </c>
      <c r="BK8" s="433" t="str">
        <f>IFERROR(VLOOKUP($A8,#REF!,2,0),"0")</f>
        <v>0</v>
      </c>
      <c r="BL8" s="432">
        <f t="shared" si="29"/>
        <v>0</v>
      </c>
      <c r="BM8" s="163" t="e">
        <f>VLOOKUP($B:$B,#REF!,17,FALSE)</f>
        <v>#REF!</v>
      </c>
      <c r="BN8" s="432">
        <f t="shared" si="30"/>
        <v>0</v>
      </c>
      <c r="BO8" s="433" t="str">
        <f>IFERROR(VLOOKUP($A8,#REF!,2,0),"0")</f>
        <v>0</v>
      </c>
      <c r="BP8" s="432">
        <f t="shared" si="31"/>
        <v>0</v>
      </c>
      <c r="BQ8" s="163" t="e">
        <f>VLOOKUP($B:$B,#REF!,18,FALSE)</f>
        <v>#REF!</v>
      </c>
      <c r="BR8" s="432">
        <f t="shared" si="32"/>
        <v>0</v>
      </c>
      <c r="BS8" s="433" t="str">
        <f>IFERROR(VLOOKUP($A8,#REF!,2,0),"0")</f>
        <v>0</v>
      </c>
      <c r="BT8" s="432">
        <f t="shared" si="33"/>
        <v>0</v>
      </c>
      <c r="BU8" s="163" t="e">
        <f>VLOOKUP($B:$B,#REF!,19,FALSE)</f>
        <v>#REF!</v>
      </c>
      <c r="BV8" s="432">
        <f t="shared" si="34"/>
        <v>0</v>
      </c>
      <c r="BW8" s="433" t="str">
        <f>IFERROR(VLOOKUP($A8,#REF!,2,0),"0")</f>
        <v>0</v>
      </c>
      <c r="BX8" s="432">
        <f t="shared" si="35"/>
        <v>0</v>
      </c>
      <c r="BY8" s="163" t="e">
        <f>VLOOKUP($B:$B,#REF!,20,FALSE)</f>
        <v>#REF!</v>
      </c>
      <c r="BZ8" s="432">
        <f t="shared" si="36"/>
        <v>0</v>
      </c>
      <c r="CA8" s="433" t="str">
        <f>IFERROR(VLOOKUP($A8,#REF!,2,0),"0")</f>
        <v>0</v>
      </c>
      <c r="CB8" s="432">
        <f t="shared" si="37"/>
        <v>0</v>
      </c>
      <c r="CC8" s="163" t="e">
        <f>VLOOKUP($B:$B,#REF!,21,FALSE)</f>
        <v>#REF!</v>
      </c>
      <c r="CD8" s="432">
        <f t="shared" si="38"/>
        <v>0</v>
      </c>
      <c r="CE8" s="433" t="str">
        <f>IFERROR(VLOOKUP($A8,#REF!,2,0),"0")</f>
        <v>0</v>
      </c>
      <c r="CF8" s="432">
        <f t="shared" si="39"/>
        <v>0</v>
      </c>
      <c r="CG8" s="163" t="e">
        <f>VLOOKUP($B:$B,#REF!,22,FALSE)</f>
        <v>#REF!</v>
      </c>
      <c r="CH8" s="432">
        <f t="shared" si="40"/>
        <v>0</v>
      </c>
      <c r="CI8" s="433" t="str">
        <f>IFERROR(VLOOKUP($A8,#REF!,2,0),"0")</f>
        <v>0</v>
      </c>
      <c r="CJ8" s="432">
        <f t="shared" si="41"/>
        <v>0</v>
      </c>
      <c r="CK8" s="163" t="e">
        <f>VLOOKUP($B:$B,#REF!,23,FALSE)</f>
        <v>#REF!</v>
      </c>
      <c r="CL8" s="432">
        <f t="shared" si="42"/>
        <v>0</v>
      </c>
      <c r="CM8" s="433" t="str">
        <f>IFERROR(VLOOKUP($A8,#REF!,2,0),"0")</f>
        <v>0</v>
      </c>
      <c r="CN8" s="432">
        <f t="shared" si="43"/>
        <v>0</v>
      </c>
      <c r="CO8" s="163" t="e">
        <f>VLOOKUP($B:$B,#REF!,24,FALSE)</f>
        <v>#REF!</v>
      </c>
      <c r="CP8" s="432">
        <f t="shared" si="44"/>
        <v>0</v>
      </c>
      <c r="CQ8" s="433" t="str">
        <f>IFERROR(VLOOKUP($A8,#REF!,2,0),"0")</f>
        <v>0</v>
      </c>
      <c r="CR8" s="432">
        <f t="shared" si="45"/>
        <v>0</v>
      </c>
      <c r="CS8" s="163" t="e">
        <f>VLOOKUP($B:$B,#REF!,25,FALSE)</f>
        <v>#REF!</v>
      </c>
      <c r="CT8" s="432">
        <f t="shared" si="46"/>
        <v>0</v>
      </c>
      <c r="CU8" s="433" t="str">
        <f>IFERROR(VLOOKUP($A8,#REF!,2,0),"0")</f>
        <v>0</v>
      </c>
      <c r="CV8" s="432">
        <f t="shared" si="47"/>
        <v>0</v>
      </c>
      <c r="CW8" s="163" t="e">
        <f>VLOOKUP($B:$B,#REF!,26,FALSE)</f>
        <v>#REF!</v>
      </c>
      <c r="CX8" s="432">
        <f t="shared" si="48"/>
        <v>0</v>
      </c>
      <c r="CY8" s="433" t="str">
        <f>IFERROR(VLOOKUP($A8,#REF!,2,0),"0")</f>
        <v>0</v>
      </c>
      <c r="CZ8" s="432">
        <f t="shared" si="49"/>
        <v>0</v>
      </c>
      <c r="DA8" s="163" t="e">
        <f>VLOOKUP($B:$B,#REF!,27,FALSE)</f>
        <v>#REF!</v>
      </c>
      <c r="DB8" s="432">
        <f t="shared" si="50"/>
        <v>0</v>
      </c>
      <c r="DC8" s="433" t="str">
        <f>IFERROR(VLOOKUP($A8,#REF!,2,0),"0")</f>
        <v>0</v>
      </c>
      <c r="DD8" s="432">
        <f t="shared" si="51"/>
        <v>0</v>
      </c>
      <c r="DE8" s="163" t="e">
        <f>VLOOKUP($B:$B,#REF!,28,FALSE)</f>
        <v>#REF!</v>
      </c>
      <c r="DF8" s="432">
        <f t="shared" si="52"/>
        <v>0</v>
      </c>
      <c r="DG8" s="433" t="str">
        <f>IFERROR(VLOOKUP($A8,#REF!,2,0),"0")</f>
        <v>0</v>
      </c>
      <c r="DH8" s="432">
        <f t="shared" si="53"/>
        <v>0</v>
      </c>
      <c r="DI8" s="163" t="e">
        <f>VLOOKUP($B:$B,#REF!,29,FALSE)</f>
        <v>#REF!</v>
      </c>
      <c r="DJ8" s="432">
        <f t="shared" si="54"/>
        <v>0</v>
      </c>
      <c r="DK8" s="433" t="str">
        <f>IFERROR(VLOOKUP($A8,#REF!,2,0),"0")</f>
        <v>0</v>
      </c>
      <c r="DL8" s="432">
        <f t="shared" si="55"/>
        <v>0</v>
      </c>
      <c r="DM8" s="163" t="e">
        <f>VLOOKUP($B:$B,#REF!,30,FALSE)</f>
        <v>#REF!</v>
      </c>
      <c r="DN8" s="432">
        <f t="shared" si="56"/>
        <v>0</v>
      </c>
      <c r="DO8" s="432"/>
      <c r="DP8" s="432">
        <f t="shared" si="57"/>
        <v>0</v>
      </c>
      <c r="DQ8" s="163" t="e">
        <f>VLOOKUP($B:$B,#REF!,31,FALSE)</f>
        <v>#REF!</v>
      </c>
      <c r="DR8" s="432">
        <f t="shared" si="58"/>
        <v>0</v>
      </c>
      <c r="DS8" s="434"/>
      <c r="DT8" s="432">
        <f t="shared" si="59"/>
        <v>0</v>
      </c>
      <c r="DU8" s="163" t="e">
        <f>VLOOKUP($B:$B,#REF!,32,FALSE)</f>
        <v>#REF!</v>
      </c>
      <c r="DV8" s="432">
        <f t="shared" si="60"/>
        <v>0</v>
      </c>
      <c r="DW8" s="434"/>
      <c r="DX8" s="432">
        <f t="shared" si="61"/>
        <v>0</v>
      </c>
      <c r="DY8" s="432">
        <f t="shared" si="62"/>
        <v>0</v>
      </c>
    </row>
    <row r="9" spans="1:129" ht="15.75">
      <c r="A9" s="166" t="s">
        <v>79</v>
      </c>
      <c r="B9" s="506" t="s">
        <v>80</v>
      </c>
      <c r="C9" s="166">
        <v>1714423439</v>
      </c>
      <c r="D9" s="431">
        <v>28323</v>
      </c>
      <c r="E9" s="163" t="e">
        <f>VLOOKUP($B:$B,#REF!,2,FALSE)</f>
        <v>#REF!</v>
      </c>
      <c r="F9" s="432">
        <f t="shared" si="0"/>
        <v>0</v>
      </c>
      <c r="G9" s="433" t="str">
        <f>IFERROR(VLOOKUP($A9,#REF!,2,0),"0")</f>
        <v>0</v>
      </c>
      <c r="H9" s="432">
        <f t="shared" si="1"/>
        <v>0</v>
      </c>
      <c r="I9" s="163" t="e">
        <f>VLOOKUP($B:$B,#REF!,3,FALSE)</f>
        <v>#REF!</v>
      </c>
      <c r="J9" s="432">
        <f t="shared" si="2"/>
        <v>0</v>
      </c>
      <c r="K9" s="433" t="str">
        <f>IFERROR(VLOOKUP($A9,#REF!,2,0),"0")</f>
        <v>0</v>
      </c>
      <c r="L9" s="432">
        <f t="shared" si="3"/>
        <v>0</v>
      </c>
      <c r="M9" s="163" t="e">
        <f>VLOOKUP($B:$B,#REF!,4,FALSE)</f>
        <v>#REF!</v>
      </c>
      <c r="N9" s="432">
        <f t="shared" si="4"/>
        <v>0</v>
      </c>
      <c r="O9" s="433" t="str">
        <f>IFERROR(VLOOKUP($A9,#REF!,2,0),"0")</f>
        <v>0</v>
      </c>
      <c r="P9" s="432">
        <f t="shared" si="5"/>
        <v>0</v>
      </c>
      <c r="Q9" s="163" t="e">
        <f>VLOOKUP($B:$B,#REF!,5,FALSE)</f>
        <v>#REF!</v>
      </c>
      <c r="R9" s="432">
        <f t="shared" si="6"/>
        <v>0</v>
      </c>
      <c r="S9" s="433" t="str">
        <f>IFERROR(VLOOKUP($A9,#REF!,2,0),"0")</f>
        <v>0</v>
      </c>
      <c r="T9" s="432">
        <f t="shared" si="7"/>
        <v>0</v>
      </c>
      <c r="U9" s="163" t="e">
        <f>VLOOKUP($B:$B,#REF!,6,FALSE)</f>
        <v>#REF!</v>
      </c>
      <c r="V9" s="432">
        <f t="shared" si="8"/>
        <v>0</v>
      </c>
      <c r="W9" s="433" t="str">
        <f>IFERROR(VLOOKUP($A9,#REF!,2,0),"0")</f>
        <v>0</v>
      </c>
      <c r="X9" s="432">
        <f t="shared" si="9"/>
        <v>0</v>
      </c>
      <c r="Y9" s="163" t="e">
        <f>VLOOKUP($B:$B,#REF!,7,FALSE)</f>
        <v>#REF!</v>
      </c>
      <c r="Z9" s="432">
        <f t="shared" si="10"/>
        <v>0</v>
      </c>
      <c r="AA9" s="433" t="str">
        <f>IFERROR(VLOOKUP($A9,#REF!,2,0),"0")</f>
        <v>0</v>
      </c>
      <c r="AB9" s="432">
        <f t="shared" si="11"/>
        <v>0</v>
      </c>
      <c r="AC9" s="163" t="e">
        <f>VLOOKUP($B:$B,#REF!,8,FALSE)</f>
        <v>#REF!</v>
      </c>
      <c r="AD9" s="432">
        <f t="shared" si="12"/>
        <v>0</v>
      </c>
      <c r="AE9" s="433" t="str">
        <f>IFERROR(VLOOKUP($A9,#REF!,2,0),"0")</f>
        <v>0</v>
      </c>
      <c r="AF9" s="432">
        <f t="shared" si="13"/>
        <v>0</v>
      </c>
      <c r="AG9" s="163" t="e">
        <f>VLOOKUP($B:$B,#REF!,9,FALSE)</f>
        <v>#REF!</v>
      </c>
      <c r="AH9" s="432">
        <f t="shared" si="14"/>
        <v>0</v>
      </c>
      <c r="AI9" s="433" t="str">
        <f>IFERROR(VLOOKUP($A9,#REF!,2,0),"0")</f>
        <v>0</v>
      </c>
      <c r="AJ9" s="432">
        <f t="shared" si="15"/>
        <v>0</v>
      </c>
      <c r="AK9" s="163" t="e">
        <f>VLOOKUP($B:$B,#REF!,10,FALSE)</f>
        <v>#REF!</v>
      </c>
      <c r="AL9" s="432">
        <f t="shared" si="16"/>
        <v>0</v>
      </c>
      <c r="AM9" s="433" t="str">
        <f>IFERROR(VLOOKUP($A9,#REF!,2,0),"0")</f>
        <v>0</v>
      </c>
      <c r="AN9" s="432">
        <f t="shared" si="17"/>
        <v>0</v>
      </c>
      <c r="AO9" s="163" t="e">
        <f>VLOOKUP($B:$B,#REF!,11,FALSE)</f>
        <v>#REF!</v>
      </c>
      <c r="AP9" s="432">
        <f t="shared" si="18"/>
        <v>0</v>
      </c>
      <c r="AQ9" s="433" t="str">
        <f>IFERROR(VLOOKUP($A9,#REF!,2,0),"0")</f>
        <v>0</v>
      </c>
      <c r="AR9" s="432">
        <f t="shared" si="19"/>
        <v>0</v>
      </c>
      <c r="AS9" s="163" t="e">
        <f>VLOOKUP($B:$B,#REF!,12,FALSE)</f>
        <v>#REF!</v>
      </c>
      <c r="AT9" s="432">
        <f t="shared" si="20"/>
        <v>0</v>
      </c>
      <c r="AU9" s="433" t="str">
        <f>IFERROR(VLOOKUP($A9,#REF!,2,0),"0")</f>
        <v>0</v>
      </c>
      <c r="AV9" s="432">
        <f t="shared" si="21"/>
        <v>0</v>
      </c>
      <c r="AW9" s="163" t="e">
        <f>VLOOKUP($B:$B,#REF!,13,FALSE)</f>
        <v>#REF!</v>
      </c>
      <c r="AX9" s="432">
        <f t="shared" si="22"/>
        <v>0</v>
      </c>
      <c r="AY9" s="433" t="str">
        <f>IFERROR(VLOOKUP($A9,#REF!,2,0),"0")</f>
        <v>0</v>
      </c>
      <c r="AZ9" s="432">
        <f t="shared" si="23"/>
        <v>0</v>
      </c>
      <c r="BA9" s="163" t="e">
        <f>VLOOKUP($B:$B,#REF!,14,FALSE)</f>
        <v>#REF!</v>
      </c>
      <c r="BB9" s="432">
        <f t="shared" si="24"/>
        <v>0</v>
      </c>
      <c r="BC9" s="433" t="str">
        <f>IFERROR(VLOOKUP($A9,#REF!,2,0),"0")</f>
        <v>0</v>
      </c>
      <c r="BD9" s="432">
        <f t="shared" si="25"/>
        <v>0</v>
      </c>
      <c r="BE9" s="163" t="e">
        <f>VLOOKUP($B:$B,#REF!,15,FALSE)</f>
        <v>#REF!</v>
      </c>
      <c r="BF9" s="432">
        <f t="shared" si="26"/>
        <v>0</v>
      </c>
      <c r="BG9" s="433" t="str">
        <f>IFERROR(VLOOKUP($A9,#REF!,2,0),"0")</f>
        <v>0</v>
      </c>
      <c r="BH9" s="432">
        <f t="shared" si="27"/>
        <v>0</v>
      </c>
      <c r="BI9" s="163" t="e">
        <f>VLOOKUP($B:$B,#REF!,16,FALSE)</f>
        <v>#REF!</v>
      </c>
      <c r="BJ9" s="432">
        <f t="shared" si="28"/>
        <v>0</v>
      </c>
      <c r="BK9" s="433" t="str">
        <f>IFERROR(VLOOKUP($A9,#REF!,2,0),"0")</f>
        <v>0</v>
      </c>
      <c r="BL9" s="432">
        <f t="shared" si="29"/>
        <v>0</v>
      </c>
      <c r="BM9" s="163" t="e">
        <f>VLOOKUP($B:$B,#REF!,17,FALSE)</f>
        <v>#REF!</v>
      </c>
      <c r="BN9" s="432">
        <f t="shared" si="30"/>
        <v>0</v>
      </c>
      <c r="BO9" s="433" t="str">
        <f>IFERROR(VLOOKUP($A9,#REF!,2,0),"0")</f>
        <v>0</v>
      </c>
      <c r="BP9" s="432">
        <f t="shared" si="31"/>
        <v>0</v>
      </c>
      <c r="BQ9" s="163" t="e">
        <f>VLOOKUP($B:$B,#REF!,18,FALSE)</f>
        <v>#REF!</v>
      </c>
      <c r="BR9" s="432">
        <f t="shared" si="32"/>
        <v>0</v>
      </c>
      <c r="BS9" s="433" t="str">
        <f>IFERROR(VLOOKUP($A9,#REF!,2,0),"0")</f>
        <v>0</v>
      </c>
      <c r="BT9" s="432">
        <f t="shared" si="33"/>
        <v>0</v>
      </c>
      <c r="BU9" s="163" t="e">
        <f>VLOOKUP($B:$B,#REF!,19,FALSE)</f>
        <v>#REF!</v>
      </c>
      <c r="BV9" s="432">
        <f t="shared" si="34"/>
        <v>0</v>
      </c>
      <c r="BW9" s="433" t="str">
        <f>IFERROR(VLOOKUP($A9,#REF!,2,0),"0")</f>
        <v>0</v>
      </c>
      <c r="BX9" s="432">
        <f t="shared" si="35"/>
        <v>0</v>
      </c>
      <c r="BY9" s="163" t="e">
        <f>VLOOKUP($B:$B,#REF!,20,FALSE)</f>
        <v>#REF!</v>
      </c>
      <c r="BZ9" s="432">
        <f t="shared" si="36"/>
        <v>0</v>
      </c>
      <c r="CA9" s="433" t="str">
        <f>IFERROR(VLOOKUP($A9,#REF!,2,0),"0")</f>
        <v>0</v>
      </c>
      <c r="CB9" s="432">
        <f t="shared" si="37"/>
        <v>0</v>
      </c>
      <c r="CC9" s="163" t="e">
        <f>VLOOKUP($B:$B,#REF!,21,FALSE)</f>
        <v>#REF!</v>
      </c>
      <c r="CD9" s="432">
        <f t="shared" si="38"/>
        <v>0</v>
      </c>
      <c r="CE9" s="433" t="str">
        <f>IFERROR(VLOOKUP($A9,#REF!,2,0),"0")</f>
        <v>0</v>
      </c>
      <c r="CF9" s="432">
        <f t="shared" si="39"/>
        <v>0</v>
      </c>
      <c r="CG9" s="163" t="e">
        <f>VLOOKUP($B:$B,#REF!,22,FALSE)</f>
        <v>#REF!</v>
      </c>
      <c r="CH9" s="432">
        <f t="shared" si="40"/>
        <v>0</v>
      </c>
      <c r="CI9" s="433" t="str">
        <f>IFERROR(VLOOKUP($A9,#REF!,2,0),"0")</f>
        <v>0</v>
      </c>
      <c r="CJ9" s="432">
        <f t="shared" si="41"/>
        <v>0</v>
      </c>
      <c r="CK9" s="163" t="e">
        <f>VLOOKUP($B:$B,#REF!,23,FALSE)</f>
        <v>#REF!</v>
      </c>
      <c r="CL9" s="432">
        <f t="shared" si="42"/>
        <v>0</v>
      </c>
      <c r="CM9" s="433" t="str">
        <f>IFERROR(VLOOKUP($A9,#REF!,2,0),"0")</f>
        <v>0</v>
      </c>
      <c r="CN9" s="432">
        <f t="shared" si="43"/>
        <v>0</v>
      </c>
      <c r="CO9" s="163" t="e">
        <f>VLOOKUP($B:$B,#REF!,24,FALSE)</f>
        <v>#REF!</v>
      </c>
      <c r="CP9" s="432">
        <f t="shared" si="44"/>
        <v>0</v>
      </c>
      <c r="CQ9" s="433" t="str">
        <f>IFERROR(VLOOKUP($A9,#REF!,2,0),"0")</f>
        <v>0</v>
      </c>
      <c r="CR9" s="432">
        <f t="shared" si="45"/>
        <v>0</v>
      </c>
      <c r="CS9" s="163" t="e">
        <f>VLOOKUP($B:$B,#REF!,25,FALSE)</f>
        <v>#REF!</v>
      </c>
      <c r="CT9" s="432">
        <f t="shared" si="46"/>
        <v>0</v>
      </c>
      <c r="CU9" s="433" t="str">
        <f>IFERROR(VLOOKUP($A9,#REF!,2,0),"0")</f>
        <v>0</v>
      </c>
      <c r="CV9" s="432">
        <f t="shared" si="47"/>
        <v>0</v>
      </c>
      <c r="CW9" s="163" t="e">
        <f>VLOOKUP($B:$B,#REF!,26,FALSE)</f>
        <v>#REF!</v>
      </c>
      <c r="CX9" s="432">
        <f t="shared" si="48"/>
        <v>0</v>
      </c>
      <c r="CY9" s="433" t="str">
        <f>IFERROR(VLOOKUP($A9,#REF!,2,0),"0")</f>
        <v>0</v>
      </c>
      <c r="CZ9" s="432">
        <f t="shared" si="49"/>
        <v>0</v>
      </c>
      <c r="DA9" s="163" t="e">
        <f>VLOOKUP($B:$B,#REF!,27,FALSE)</f>
        <v>#REF!</v>
      </c>
      <c r="DB9" s="432">
        <f t="shared" si="50"/>
        <v>0</v>
      </c>
      <c r="DC9" s="433" t="str">
        <f>IFERROR(VLOOKUP($A9,#REF!,2,0),"0")</f>
        <v>0</v>
      </c>
      <c r="DD9" s="432">
        <f t="shared" si="51"/>
        <v>0</v>
      </c>
      <c r="DE9" s="163" t="e">
        <f>VLOOKUP($B:$B,#REF!,28,FALSE)</f>
        <v>#REF!</v>
      </c>
      <c r="DF9" s="432">
        <f t="shared" si="52"/>
        <v>0</v>
      </c>
      <c r="DG9" s="433" t="str">
        <f>IFERROR(VLOOKUP($A9,#REF!,2,0),"0")</f>
        <v>0</v>
      </c>
      <c r="DH9" s="432">
        <f t="shared" si="53"/>
        <v>0</v>
      </c>
      <c r="DI9" s="163" t="e">
        <f>VLOOKUP($B:$B,#REF!,29,FALSE)</f>
        <v>#REF!</v>
      </c>
      <c r="DJ9" s="432">
        <f t="shared" si="54"/>
        <v>0</v>
      </c>
      <c r="DK9" s="433" t="str">
        <f>IFERROR(VLOOKUP($A9,#REF!,2,0),"0")</f>
        <v>0</v>
      </c>
      <c r="DL9" s="432">
        <f t="shared" si="55"/>
        <v>0</v>
      </c>
      <c r="DM9" s="163" t="e">
        <f>VLOOKUP($B:$B,#REF!,30,FALSE)</f>
        <v>#REF!</v>
      </c>
      <c r="DN9" s="432">
        <f t="shared" si="56"/>
        <v>0</v>
      </c>
      <c r="DO9" s="432"/>
      <c r="DP9" s="432">
        <f t="shared" si="57"/>
        <v>0</v>
      </c>
      <c r="DQ9" s="163" t="e">
        <f>VLOOKUP($B:$B,#REF!,31,FALSE)</f>
        <v>#REF!</v>
      </c>
      <c r="DR9" s="432">
        <f t="shared" si="58"/>
        <v>0</v>
      </c>
      <c r="DS9" s="434"/>
      <c r="DT9" s="432">
        <f t="shared" si="59"/>
        <v>0</v>
      </c>
      <c r="DU9" s="163" t="e">
        <f>VLOOKUP($B:$B,#REF!,32,FALSE)</f>
        <v>#REF!</v>
      </c>
      <c r="DV9" s="432">
        <f t="shared" si="60"/>
        <v>0</v>
      </c>
      <c r="DW9" s="434"/>
      <c r="DX9" s="432">
        <f t="shared" si="61"/>
        <v>0</v>
      </c>
      <c r="DY9" s="432">
        <f t="shared" si="62"/>
        <v>0</v>
      </c>
    </row>
    <row r="10" spans="1:129" ht="15.75">
      <c r="A10" s="166" t="s">
        <v>82</v>
      </c>
      <c r="B10" s="506" t="s">
        <v>83</v>
      </c>
      <c r="C10" s="166">
        <v>1717547200</v>
      </c>
      <c r="D10" s="431">
        <v>31439</v>
      </c>
      <c r="E10" s="163" t="e">
        <f>VLOOKUP($B:$B,#REF!,2,FALSE)</f>
        <v>#REF!</v>
      </c>
      <c r="F10" s="432">
        <f t="shared" si="0"/>
        <v>0</v>
      </c>
      <c r="G10" s="432">
        <f t="shared" si="0"/>
        <v>0</v>
      </c>
      <c r="H10" s="432">
        <f t="shared" si="1"/>
        <v>0</v>
      </c>
      <c r="I10" s="163" t="e">
        <f>VLOOKUP($B:$B,#REF!,3,FALSE)</f>
        <v>#REF!</v>
      </c>
      <c r="J10" s="432">
        <f t="shared" si="2"/>
        <v>0</v>
      </c>
      <c r="K10" s="433" t="str">
        <f>IFERROR(VLOOKUP($A10,#REF!,2,0),"0")</f>
        <v>0</v>
      </c>
      <c r="L10" s="432">
        <f t="shared" si="3"/>
        <v>0</v>
      </c>
      <c r="M10" s="163" t="e">
        <f>VLOOKUP($B:$B,#REF!,4,FALSE)</f>
        <v>#REF!</v>
      </c>
      <c r="N10" s="432">
        <f t="shared" si="4"/>
        <v>0</v>
      </c>
      <c r="O10" s="433" t="str">
        <f>IFERROR(VLOOKUP($A10,#REF!,2,0),"0")</f>
        <v>0</v>
      </c>
      <c r="P10" s="432">
        <f t="shared" si="5"/>
        <v>0</v>
      </c>
      <c r="Q10" s="163" t="e">
        <f>VLOOKUP($B:$B,#REF!,5,FALSE)</f>
        <v>#REF!</v>
      </c>
      <c r="R10" s="432">
        <f t="shared" si="6"/>
        <v>0</v>
      </c>
      <c r="S10" s="432">
        <f t="shared" si="6"/>
        <v>0</v>
      </c>
      <c r="T10" s="432">
        <f t="shared" si="7"/>
        <v>0</v>
      </c>
      <c r="U10" s="163" t="e">
        <f>VLOOKUP($B:$B,#REF!,6,FALSE)</f>
        <v>#REF!</v>
      </c>
      <c r="V10" s="432">
        <f t="shared" si="8"/>
        <v>0</v>
      </c>
      <c r="W10" s="433" t="str">
        <f>IFERROR(VLOOKUP($A10,#REF!,2,0),"0")</f>
        <v>0</v>
      </c>
      <c r="X10" s="432">
        <f t="shared" si="9"/>
        <v>0</v>
      </c>
      <c r="Y10" s="163" t="e">
        <f>VLOOKUP($B:$B,#REF!,7,FALSE)</f>
        <v>#REF!</v>
      </c>
      <c r="Z10" s="432">
        <f t="shared" si="10"/>
        <v>0</v>
      </c>
      <c r="AA10" s="433" t="str">
        <f>IFERROR(VLOOKUP($A10,#REF!,2,0),"0")</f>
        <v>0</v>
      </c>
      <c r="AB10" s="432">
        <f t="shared" si="11"/>
        <v>0</v>
      </c>
      <c r="AC10" s="163" t="e">
        <f>VLOOKUP($B:$B,#REF!,8,FALSE)</f>
        <v>#REF!</v>
      </c>
      <c r="AD10" s="432">
        <f t="shared" si="12"/>
        <v>0</v>
      </c>
      <c r="AE10" s="433" t="str">
        <f>IFERROR(VLOOKUP($A10,#REF!,2,0),"0")</f>
        <v>0</v>
      </c>
      <c r="AF10" s="432">
        <f t="shared" si="13"/>
        <v>0</v>
      </c>
      <c r="AG10" s="163" t="e">
        <f>VLOOKUP($B:$B,#REF!,9,FALSE)</f>
        <v>#REF!</v>
      </c>
      <c r="AH10" s="432">
        <f t="shared" si="14"/>
        <v>0</v>
      </c>
      <c r="AI10" s="433" t="str">
        <f>IFERROR(VLOOKUP($A10,#REF!,2,0),"0")</f>
        <v>0</v>
      </c>
      <c r="AJ10" s="432">
        <f t="shared" si="15"/>
        <v>0</v>
      </c>
      <c r="AK10" s="163" t="e">
        <f>VLOOKUP($B:$B,#REF!,10,FALSE)</f>
        <v>#REF!</v>
      </c>
      <c r="AL10" s="432">
        <f t="shared" si="16"/>
        <v>0</v>
      </c>
      <c r="AM10" s="432">
        <f t="shared" si="16"/>
        <v>0</v>
      </c>
      <c r="AN10" s="432">
        <f t="shared" si="17"/>
        <v>0</v>
      </c>
      <c r="AO10" s="163" t="e">
        <f>VLOOKUP($B:$B,#REF!,11,FALSE)</f>
        <v>#REF!</v>
      </c>
      <c r="AP10" s="432">
        <f t="shared" si="18"/>
        <v>0</v>
      </c>
      <c r="AQ10" s="433" t="str">
        <f>IFERROR(VLOOKUP($A10,#REF!,2,0),"0")</f>
        <v>0</v>
      </c>
      <c r="AR10" s="432">
        <f t="shared" si="19"/>
        <v>0</v>
      </c>
      <c r="AS10" s="163" t="e">
        <f>VLOOKUP($B:$B,#REF!,12,FALSE)</f>
        <v>#REF!</v>
      </c>
      <c r="AT10" s="432">
        <f t="shared" si="20"/>
        <v>0</v>
      </c>
      <c r="AU10" s="433" t="str">
        <f>IFERROR(VLOOKUP($A10,#REF!,2,0),"0")</f>
        <v>0</v>
      </c>
      <c r="AV10" s="432">
        <f t="shared" si="21"/>
        <v>0</v>
      </c>
      <c r="AW10" s="163" t="e">
        <f>VLOOKUP($B:$B,#REF!,13,FALSE)</f>
        <v>#REF!</v>
      </c>
      <c r="AX10" s="432">
        <f t="shared" si="22"/>
        <v>0</v>
      </c>
      <c r="AY10" s="433" t="str">
        <f>IFERROR(VLOOKUP($A10,#REF!,2,0),"0")</f>
        <v>0</v>
      </c>
      <c r="AZ10" s="432">
        <f t="shared" si="23"/>
        <v>0</v>
      </c>
      <c r="BA10" s="163" t="e">
        <f>VLOOKUP($B:$B,#REF!,14,FALSE)</f>
        <v>#REF!</v>
      </c>
      <c r="BB10" s="432">
        <f t="shared" si="24"/>
        <v>0</v>
      </c>
      <c r="BC10" s="433" t="str">
        <f>IFERROR(VLOOKUP($A10,#REF!,2,0),"0")</f>
        <v>0</v>
      </c>
      <c r="BD10" s="432">
        <f t="shared" si="25"/>
        <v>0</v>
      </c>
      <c r="BE10" s="163" t="e">
        <f>VLOOKUP($B:$B,#REF!,15,FALSE)</f>
        <v>#REF!</v>
      </c>
      <c r="BF10" s="432">
        <f t="shared" si="26"/>
        <v>0</v>
      </c>
      <c r="BG10" s="433" t="str">
        <f>IFERROR(VLOOKUP($A10,#REF!,2,0),"0")</f>
        <v>0</v>
      </c>
      <c r="BH10" s="432">
        <f t="shared" si="27"/>
        <v>0</v>
      </c>
      <c r="BI10" s="163" t="e">
        <f>VLOOKUP($B:$B,#REF!,16,FALSE)</f>
        <v>#REF!</v>
      </c>
      <c r="BJ10" s="432">
        <f t="shared" si="28"/>
        <v>0</v>
      </c>
      <c r="BK10" s="433" t="str">
        <f>IFERROR(VLOOKUP($A10,#REF!,2,0),"0")</f>
        <v>0</v>
      </c>
      <c r="BL10" s="432">
        <f t="shared" si="29"/>
        <v>0</v>
      </c>
      <c r="BM10" s="163" t="e">
        <f>VLOOKUP($B:$B,#REF!,17,FALSE)</f>
        <v>#REF!</v>
      </c>
      <c r="BN10" s="432">
        <f t="shared" si="30"/>
        <v>0</v>
      </c>
      <c r="BO10" s="433" t="str">
        <f>IFERROR(VLOOKUP($A10,#REF!,2,0),"0")</f>
        <v>0</v>
      </c>
      <c r="BP10" s="432">
        <f t="shared" si="31"/>
        <v>0</v>
      </c>
      <c r="BQ10" s="163" t="e">
        <f>VLOOKUP($B:$B,#REF!,18,FALSE)</f>
        <v>#REF!</v>
      </c>
      <c r="BR10" s="432">
        <f t="shared" si="32"/>
        <v>0</v>
      </c>
      <c r="BS10" s="433">
        <v>0</v>
      </c>
      <c r="BT10" s="432">
        <f t="shared" si="33"/>
        <v>0</v>
      </c>
      <c r="BU10" s="163" t="e">
        <f>VLOOKUP($B:$B,#REF!,19,FALSE)</f>
        <v>#REF!</v>
      </c>
      <c r="BV10" s="432">
        <f t="shared" si="34"/>
        <v>0</v>
      </c>
      <c r="BW10" s="433" t="str">
        <f>IFERROR(VLOOKUP($A10,#REF!,2,0),"0")</f>
        <v>0</v>
      </c>
      <c r="BX10" s="432">
        <f t="shared" si="35"/>
        <v>0</v>
      </c>
      <c r="BY10" s="163" t="e">
        <f>VLOOKUP($B:$B,#REF!,20,FALSE)</f>
        <v>#REF!</v>
      </c>
      <c r="BZ10" s="432">
        <f t="shared" si="36"/>
        <v>0</v>
      </c>
      <c r="CA10" s="432">
        <f t="shared" si="36"/>
        <v>0</v>
      </c>
      <c r="CB10" s="432">
        <f t="shared" si="37"/>
        <v>0</v>
      </c>
      <c r="CC10" s="163" t="e">
        <f>VLOOKUP($B:$B,#REF!,21,FALSE)</f>
        <v>#REF!</v>
      </c>
      <c r="CD10" s="432">
        <f t="shared" si="38"/>
        <v>0</v>
      </c>
      <c r="CE10" s="433" t="str">
        <f>IFERROR(VLOOKUP($A10,#REF!,2,0),"0")</f>
        <v>0</v>
      </c>
      <c r="CF10" s="432">
        <f t="shared" si="39"/>
        <v>0</v>
      </c>
      <c r="CG10" s="163" t="e">
        <f>VLOOKUP($B:$B,#REF!,22,FALSE)</f>
        <v>#REF!</v>
      </c>
      <c r="CH10" s="432">
        <f t="shared" si="40"/>
        <v>0</v>
      </c>
      <c r="CI10" s="433" t="str">
        <f>IFERROR(VLOOKUP($A10,#REF!,2,0),"0")</f>
        <v>0</v>
      </c>
      <c r="CJ10" s="432">
        <f t="shared" si="41"/>
        <v>0</v>
      </c>
      <c r="CK10" s="163" t="e">
        <f>VLOOKUP($B:$B,#REF!,23,FALSE)</f>
        <v>#REF!</v>
      </c>
      <c r="CL10" s="432">
        <f t="shared" si="42"/>
        <v>0</v>
      </c>
      <c r="CM10" s="433" t="str">
        <f>IFERROR(VLOOKUP($A10,#REF!,2,0),"0")</f>
        <v>0</v>
      </c>
      <c r="CN10" s="432">
        <f t="shared" si="43"/>
        <v>0</v>
      </c>
      <c r="CO10" s="163" t="e">
        <f>VLOOKUP($B:$B,#REF!,24,FALSE)</f>
        <v>#REF!</v>
      </c>
      <c r="CP10" s="432">
        <f t="shared" si="44"/>
        <v>0</v>
      </c>
      <c r="CQ10" s="433" t="str">
        <f>IFERROR(VLOOKUP($A10,#REF!,2,0),"0")</f>
        <v>0</v>
      </c>
      <c r="CR10" s="432">
        <f t="shared" si="45"/>
        <v>0</v>
      </c>
      <c r="CS10" s="163" t="e">
        <f>VLOOKUP($B:$B,#REF!,25,FALSE)</f>
        <v>#REF!</v>
      </c>
      <c r="CT10" s="432">
        <f t="shared" si="46"/>
        <v>0</v>
      </c>
      <c r="CU10" s="433" t="str">
        <f>IFERROR(VLOOKUP($A10,#REF!,2,0),"0")</f>
        <v>0</v>
      </c>
      <c r="CV10" s="432">
        <f t="shared" si="47"/>
        <v>0</v>
      </c>
      <c r="CW10" s="163" t="e">
        <f>VLOOKUP($B:$B,#REF!,26,FALSE)</f>
        <v>#REF!</v>
      </c>
      <c r="CX10" s="432">
        <f t="shared" si="48"/>
        <v>0</v>
      </c>
      <c r="CY10" s="433" t="str">
        <f>IFERROR(VLOOKUP($A10,#REF!,2,0),"0")</f>
        <v>0</v>
      </c>
      <c r="CZ10" s="432">
        <f t="shared" si="49"/>
        <v>0</v>
      </c>
      <c r="DA10" s="163" t="e">
        <f>VLOOKUP($B:$B,#REF!,27,FALSE)</f>
        <v>#REF!</v>
      </c>
      <c r="DB10" s="432">
        <f t="shared" si="50"/>
        <v>0</v>
      </c>
      <c r="DC10" s="433" t="str">
        <f>IFERROR(VLOOKUP($A10,#REF!,2,0),"0")</f>
        <v>0</v>
      </c>
      <c r="DD10" s="432">
        <f t="shared" si="51"/>
        <v>0</v>
      </c>
      <c r="DE10" s="163" t="e">
        <f>VLOOKUP($B:$B,#REF!,28,FALSE)</f>
        <v>#REF!</v>
      </c>
      <c r="DF10" s="432">
        <f t="shared" si="52"/>
        <v>0</v>
      </c>
      <c r="DG10" s="433" t="str">
        <f>IFERROR(VLOOKUP($A10,#REF!,2,0),"0")</f>
        <v>0</v>
      </c>
      <c r="DH10" s="432">
        <f t="shared" si="53"/>
        <v>0</v>
      </c>
      <c r="DI10" s="163" t="e">
        <f>VLOOKUP($B:$B,#REF!,29,FALSE)</f>
        <v>#REF!</v>
      </c>
      <c r="DJ10" s="432">
        <f t="shared" si="54"/>
        <v>0</v>
      </c>
      <c r="DK10" s="433" t="str">
        <f>IFERROR(VLOOKUP($A10,#REF!,2,0),"0")</f>
        <v>0</v>
      </c>
      <c r="DL10" s="432">
        <f t="shared" si="55"/>
        <v>0</v>
      </c>
      <c r="DM10" s="163" t="e">
        <f>VLOOKUP($B:$B,#REF!,30,FALSE)</f>
        <v>#REF!</v>
      </c>
      <c r="DN10" s="432">
        <f t="shared" si="56"/>
        <v>0</v>
      </c>
      <c r="DO10" s="432"/>
      <c r="DP10" s="432">
        <f t="shared" si="57"/>
        <v>0</v>
      </c>
      <c r="DQ10" s="163" t="e">
        <f>VLOOKUP($B:$B,#REF!,31,FALSE)</f>
        <v>#REF!</v>
      </c>
      <c r="DR10" s="432">
        <f t="shared" si="58"/>
        <v>0</v>
      </c>
      <c r="DS10" s="434"/>
      <c r="DT10" s="432">
        <f t="shared" si="59"/>
        <v>0</v>
      </c>
      <c r="DU10" s="163" t="e">
        <f>VLOOKUP($B:$B,#REF!,32,FALSE)</f>
        <v>#REF!</v>
      </c>
      <c r="DV10" s="432">
        <f t="shared" si="60"/>
        <v>0</v>
      </c>
      <c r="DW10" s="434"/>
      <c r="DX10" s="432">
        <f t="shared" si="61"/>
        <v>0</v>
      </c>
      <c r="DY10" s="432">
        <f t="shared" si="62"/>
        <v>0</v>
      </c>
    </row>
    <row r="11" spans="1:129" ht="15.75">
      <c r="A11" s="166" t="s">
        <v>101</v>
      </c>
      <c r="B11" s="506" t="s">
        <v>102</v>
      </c>
      <c r="C11" s="166">
        <v>1713706412</v>
      </c>
      <c r="D11" s="431">
        <v>27598</v>
      </c>
      <c r="E11" s="163" t="e">
        <f>VLOOKUP($B:$B,#REF!,2,FALSE)</f>
        <v>#REF!</v>
      </c>
      <c r="F11" s="432">
        <f t="shared" si="0"/>
        <v>0</v>
      </c>
      <c r="G11" s="433" t="str">
        <f>IFERROR(VLOOKUP($A11,#REF!,2,0),"0")</f>
        <v>0</v>
      </c>
      <c r="H11" s="432">
        <f t="shared" si="1"/>
        <v>0</v>
      </c>
      <c r="I11" s="163" t="e">
        <f>VLOOKUP($B:$B,#REF!,3,FALSE)</f>
        <v>#REF!</v>
      </c>
      <c r="J11" s="432">
        <f t="shared" si="2"/>
        <v>0</v>
      </c>
      <c r="K11" s="433" t="str">
        <f>IFERROR(VLOOKUP($A11,#REF!,2,0),"0")</f>
        <v>0</v>
      </c>
      <c r="L11" s="432">
        <f t="shared" si="3"/>
        <v>0</v>
      </c>
      <c r="M11" s="163" t="e">
        <f>VLOOKUP($B:$B,#REF!,4,FALSE)</f>
        <v>#REF!</v>
      </c>
      <c r="N11" s="432">
        <f t="shared" si="4"/>
        <v>0</v>
      </c>
      <c r="O11" s="433" t="str">
        <f>IFERROR(VLOOKUP($A11,#REF!,2,0),"0")</f>
        <v>0</v>
      </c>
      <c r="P11" s="432">
        <f t="shared" si="5"/>
        <v>0</v>
      </c>
      <c r="Q11" s="163" t="e">
        <f>VLOOKUP($B:$B,#REF!,5,FALSE)</f>
        <v>#REF!</v>
      </c>
      <c r="R11" s="432">
        <f t="shared" si="6"/>
        <v>0</v>
      </c>
      <c r="S11" s="432">
        <f t="shared" si="6"/>
        <v>0</v>
      </c>
      <c r="T11" s="432">
        <f t="shared" si="7"/>
        <v>0</v>
      </c>
      <c r="U11" s="163" t="e">
        <f>VLOOKUP($B:$B,#REF!,6,FALSE)</f>
        <v>#REF!</v>
      </c>
      <c r="V11" s="432">
        <f t="shared" si="8"/>
        <v>0</v>
      </c>
      <c r="W11" s="433" t="str">
        <f>IFERROR(VLOOKUP($A11,#REF!,2,0),"0")</f>
        <v>0</v>
      </c>
      <c r="X11" s="432">
        <f t="shared" si="9"/>
        <v>0</v>
      </c>
      <c r="Y11" s="163" t="e">
        <f>VLOOKUP($B:$B,#REF!,7,FALSE)</f>
        <v>#REF!</v>
      </c>
      <c r="Z11" s="432">
        <f t="shared" si="10"/>
        <v>0</v>
      </c>
      <c r="AA11" s="433" t="str">
        <f>IFERROR(VLOOKUP($A11,#REF!,2,0),"0")</f>
        <v>0</v>
      </c>
      <c r="AB11" s="432">
        <f t="shared" si="11"/>
        <v>0</v>
      </c>
      <c r="AC11" s="163" t="e">
        <f>VLOOKUP($B:$B,#REF!,8,FALSE)</f>
        <v>#REF!</v>
      </c>
      <c r="AD11" s="432">
        <f t="shared" si="12"/>
        <v>0</v>
      </c>
      <c r="AE11" s="432">
        <f t="shared" si="12"/>
        <v>0</v>
      </c>
      <c r="AF11" s="432">
        <f t="shared" si="13"/>
        <v>0</v>
      </c>
      <c r="AG11" s="163" t="e">
        <f>VLOOKUP($B:$B,#REF!,9,FALSE)</f>
        <v>#REF!</v>
      </c>
      <c r="AH11" s="432">
        <f t="shared" si="14"/>
        <v>0</v>
      </c>
      <c r="AI11" s="432">
        <f t="shared" si="14"/>
        <v>0</v>
      </c>
      <c r="AJ11" s="432">
        <f t="shared" si="15"/>
        <v>0</v>
      </c>
      <c r="AK11" s="163" t="e">
        <f>VLOOKUP($B:$B,#REF!,10,FALSE)</f>
        <v>#REF!</v>
      </c>
      <c r="AL11" s="432">
        <f t="shared" si="16"/>
        <v>0</v>
      </c>
      <c r="AM11" s="433" t="str">
        <f>IFERROR(VLOOKUP($A11,#REF!,2,0),"0")</f>
        <v>0</v>
      </c>
      <c r="AN11" s="432">
        <f t="shared" si="17"/>
        <v>0</v>
      </c>
      <c r="AO11" s="163" t="e">
        <f>VLOOKUP($B:$B,#REF!,11,FALSE)</f>
        <v>#REF!</v>
      </c>
      <c r="AP11" s="432">
        <f t="shared" si="18"/>
        <v>0</v>
      </c>
      <c r="AQ11" s="433" t="str">
        <f>IFERROR(VLOOKUP($A11,#REF!,2,0),"0")</f>
        <v>0</v>
      </c>
      <c r="AR11" s="432">
        <f t="shared" si="19"/>
        <v>0</v>
      </c>
      <c r="AS11" s="163" t="e">
        <f>VLOOKUP($B:$B,#REF!,12,FALSE)</f>
        <v>#REF!</v>
      </c>
      <c r="AT11" s="432">
        <f t="shared" si="20"/>
        <v>0</v>
      </c>
      <c r="AU11" s="433" t="str">
        <f>IFERROR(VLOOKUP($A11,#REF!,2,0),"0")</f>
        <v>0</v>
      </c>
      <c r="AV11" s="432">
        <f t="shared" si="21"/>
        <v>0</v>
      </c>
      <c r="AW11" s="163" t="e">
        <f>VLOOKUP($B:$B,#REF!,13,FALSE)</f>
        <v>#REF!</v>
      </c>
      <c r="AX11" s="432">
        <f t="shared" si="22"/>
        <v>0</v>
      </c>
      <c r="AY11" s="433" t="str">
        <f>IFERROR(VLOOKUP($A11,#REF!,2,0),"0")</f>
        <v>0</v>
      </c>
      <c r="AZ11" s="432">
        <f t="shared" si="23"/>
        <v>0</v>
      </c>
      <c r="BA11" s="163" t="e">
        <f>VLOOKUP($B:$B,#REF!,14,FALSE)</f>
        <v>#REF!</v>
      </c>
      <c r="BB11" s="432">
        <f t="shared" si="24"/>
        <v>0</v>
      </c>
      <c r="BC11" s="433" t="str">
        <f>IFERROR(VLOOKUP($A11,#REF!,2,0),"0")</f>
        <v>0</v>
      </c>
      <c r="BD11" s="432">
        <f t="shared" si="25"/>
        <v>0</v>
      </c>
      <c r="BE11" s="163" t="e">
        <f>VLOOKUP($B:$B,#REF!,15,FALSE)</f>
        <v>#REF!</v>
      </c>
      <c r="BF11" s="432">
        <f t="shared" si="26"/>
        <v>0</v>
      </c>
      <c r="BG11" s="433">
        <v>0</v>
      </c>
      <c r="BH11" s="432">
        <f t="shared" si="27"/>
        <v>0</v>
      </c>
      <c r="BI11" s="163" t="e">
        <f>VLOOKUP($B:$B,#REF!,16,FALSE)</f>
        <v>#REF!</v>
      </c>
      <c r="BJ11" s="432">
        <f t="shared" si="28"/>
        <v>0</v>
      </c>
      <c r="BK11" s="433" t="str">
        <f>IFERROR(VLOOKUP($A11,#REF!,2,0),"0")</f>
        <v>0</v>
      </c>
      <c r="BL11" s="432">
        <f t="shared" si="29"/>
        <v>0</v>
      </c>
      <c r="BM11" s="163" t="e">
        <f>VLOOKUP($B:$B,#REF!,17,FALSE)</f>
        <v>#REF!</v>
      </c>
      <c r="BN11" s="432">
        <f t="shared" si="30"/>
        <v>0</v>
      </c>
      <c r="BO11" s="433" t="str">
        <f>IFERROR(VLOOKUP($A11,#REF!,2,0),"0")</f>
        <v>0</v>
      </c>
      <c r="BP11" s="432">
        <f t="shared" si="31"/>
        <v>0</v>
      </c>
      <c r="BQ11" s="163" t="e">
        <f>VLOOKUP($B:$B,#REF!,18,FALSE)</f>
        <v>#REF!</v>
      </c>
      <c r="BR11" s="432">
        <f t="shared" si="32"/>
        <v>0</v>
      </c>
      <c r="BS11" s="433" t="str">
        <f>IFERROR(VLOOKUP($A11,#REF!,2,0),"0")</f>
        <v>0</v>
      </c>
      <c r="BT11" s="432">
        <f t="shared" si="33"/>
        <v>0</v>
      </c>
      <c r="BU11" s="163" t="e">
        <f>VLOOKUP($B:$B,#REF!,19,FALSE)</f>
        <v>#REF!</v>
      </c>
      <c r="BV11" s="432">
        <f t="shared" si="34"/>
        <v>0</v>
      </c>
      <c r="BW11" s="433" t="str">
        <f>IFERROR(VLOOKUP($A11,#REF!,2,0),"0")</f>
        <v>0</v>
      </c>
      <c r="BX11" s="432">
        <f t="shared" si="35"/>
        <v>0</v>
      </c>
      <c r="BY11" s="163" t="e">
        <f>VLOOKUP($B:$B,#REF!,20,FALSE)</f>
        <v>#REF!</v>
      </c>
      <c r="BZ11" s="432">
        <f t="shared" si="36"/>
        <v>0</v>
      </c>
      <c r="CA11" s="433" t="str">
        <f>IFERROR(VLOOKUP($A11,#REF!,2,0),"0")</f>
        <v>0</v>
      </c>
      <c r="CB11" s="432">
        <f t="shared" si="37"/>
        <v>0</v>
      </c>
      <c r="CC11" s="163" t="e">
        <f>VLOOKUP($B:$B,#REF!,21,FALSE)</f>
        <v>#REF!</v>
      </c>
      <c r="CD11" s="432">
        <f t="shared" si="38"/>
        <v>0</v>
      </c>
      <c r="CE11" s="433" t="str">
        <f>IFERROR(VLOOKUP($A11,#REF!,2,0),"0")</f>
        <v>0</v>
      </c>
      <c r="CF11" s="432">
        <f t="shared" si="39"/>
        <v>0</v>
      </c>
      <c r="CG11" s="163" t="e">
        <f>VLOOKUP($B:$B,#REF!,22,FALSE)</f>
        <v>#REF!</v>
      </c>
      <c r="CH11" s="432">
        <f t="shared" si="40"/>
        <v>0</v>
      </c>
      <c r="CI11" s="433" t="str">
        <f>IFERROR(VLOOKUP($A11,#REF!,2,0),"0")</f>
        <v>0</v>
      </c>
      <c r="CJ11" s="432">
        <f t="shared" si="41"/>
        <v>0</v>
      </c>
      <c r="CK11" s="163" t="e">
        <f>VLOOKUP($B:$B,#REF!,23,FALSE)</f>
        <v>#REF!</v>
      </c>
      <c r="CL11" s="432">
        <f t="shared" si="42"/>
        <v>0</v>
      </c>
      <c r="CM11" s="433" t="str">
        <f>IFERROR(VLOOKUP($A11,#REF!,2,0),"0")</f>
        <v>0</v>
      </c>
      <c r="CN11" s="432">
        <f t="shared" si="43"/>
        <v>0</v>
      </c>
      <c r="CO11" s="163" t="e">
        <f>VLOOKUP($B:$B,#REF!,24,FALSE)</f>
        <v>#REF!</v>
      </c>
      <c r="CP11" s="432">
        <f t="shared" si="44"/>
        <v>0</v>
      </c>
      <c r="CQ11" s="433" t="str">
        <f>IFERROR(VLOOKUP($A11,#REF!,2,0),"0")</f>
        <v>0</v>
      </c>
      <c r="CR11" s="432">
        <f t="shared" si="45"/>
        <v>0</v>
      </c>
      <c r="CS11" s="163" t="e">
        <f>VLOOKUP($B:$B,#REF!,25,FALSE)</f>
        <v>#REF!</v>
      </c>
      <c r="CT11" s="432">
        <f t="shared" si="46"/>
        <v>0</v>
      </c>
      <c r="CU11" s="433" t="str">
        <f>IFERROR(VLOOKUP($A11,#REF!,2,0),"0")</f>
        <v>0</v>
      </c>
      <c r="CV11" s="432">
        <f t="shared" si="47"/>
        <v>0</v>
      </c>
      <c r="CW11" s="163" t="e">
        <f>VLOOKUP($B:$B,#REF!,26,FALSE)</f>
        <v>#REF!</v>
      </c>
      <c r="CX11" s="432">
        <f t="shared" si="48"/>
        <v>0</v>
      </c>
      <c r="CY11" s="433" t="str">
        <f>IFERROR(VLOOKUP($A11,#REF!,2,0),"0")</f>
        <v>0</v>
      </c>
      <c r="CZ11" s="432">
        <f t="shared" si="49"/>
        <v>0</v>
      </c>
      <c r="DA11" s="163" t="e">
        <f>VLOOKUP($B:$B,#REF!,27,FALSE)</f>
        <v>#REF!</v>
      </c>
      <c r="DB11" s="432">
        <f t="shared" si="50"/>
        <v>0</v>
      </c>
      <c r="DC11" s="433" t="str">
        <f>IFERROR(VLOOKUP($A11,#REF!,2,0),"0")</f>
        <v>0</v>
      </c>
      <c r="DD11" s="432">
        <f t="shared" si="51"/>
        <v>0</v>
      </c>
      <c r="DE11" s="163" t="e">
        <f>VLOOKUP($B:$B,#REF!,28,FALSE)</f>
        <v>#REF!</v>
      </c>
      <c r="DF11" s="432">
        <f t="shared" si="52"/>
        <v>0</v>
      </c>
      <c r="DG11" s="433" t="str">
        <f>IFERROR(VLOOKUP($A11,#REF!,2,0),"0")</f>
        <v>0</v>
      </c>
      <c r="DH11" s="432">
        <f t="shared" si="53"/>
        <v>0</v>
      </c>
      <c r="DI11" s="163" t="e">
        <f>VLOOKUP($B:$B,#REF!,29,FALSE)</f>
        <v>#REF!</v>
      </c>
      <c r="DJ11" s="432">
        <f t="shared" si="54"/>
        <v>0</v>
      </c>
      <c r="DK11" s="433" t="str">
        <f>IFERROR(VLOOKUP($A11,#REF!,2,0),"0")</f>
        <v>0</v>
      </c>
      <c r="DL11" s="432">
        <f t="shared" si="55"/>
        <v>0</v>
      </c>
      <c r="DM11" s="163" t="e">
        <f>VLOOKUP($B:$B,#REF!,30,FALSE)</f>
        <v>#REF!</v>
      </c>
      <c r="DN11" s="432">
        <f t="shared" si="56"/>
        <v>0</v>
      </c>
      <c r="DO11" s="432"/>
      <c r="DP11" s="432">
        <f t="shared" si="57"/>
        <v>0</v>
      </c>
      <c r="DQ11" s="163" t="e">
        <f>VLOOKUP($B:$B,#REF!,31,FALSE)</f>
        <v>#REF!</v>
      </c>
      <c r="DR11" s="432">
        <f t="shared" si="58"/>
        <v>0</v>
      </c>
      <c r="DS11" s="434"/>
      <c r="DT11" s="432">
        <f t="shared" si="59"/>
        <v>0</v>
      </c>
      <c r="DU11" s="163" t="e">
        <f>VLOOKUP($B:$B,#REF!,32,FALSE)</f>
        <v>#REF!</v>
      </c>
      <c r="DV11" s="432">
        <f t="shared" si="60"/>
        <v>0</v>
      </c>
      <c r="DW11" s="434"/>
      <c r="DX11" s="432">
        <f t="shared" si="61"/>
        <v>0</v>
      </c>
      <c r="DY11" s="432">
        <f t="shared" si="62"/>
        <v>0</v>
      </c>
    </row>
    <row r="12" spans="1:129" ht="15.75">
      <c r="A12" s="166" t="s">
        <v>103</v>
      </c>
      <c r="B12" s="506" t="s">
        <v>104</v>
      </c>
      <c r="C12" s="166">
        <v>1750030973</v>
      </c>
      <c r="D12" s="431">
        <v>38024</v>
      </c>
      <c r="E12" s="163" t="e">
        <f>VLOOKUP($B:$B,#REF!,2,FALSE)</f>
        <v>#REF!</v>
      </c>
      <c r="F12" s="432">
        <f t="shared" si="0"/>
        <v>0</v>
      </c>
      <c r="G12" s="433" t="str">
        <f>IFERROR(VLOOKUP($A12,#REF!,2,0),"0")</f>
        <v>0</v>
      </c>
      <c r="H12" s="432">
        <f t="shared" si="1"/>
        <v>0</v>
      </c>
      <c r="I12" s="163" t="e">
        <f>VLOOKUP($B:$B,#REF!,3,FALSE)</f>
        <v>#REF!</v>
      </c>
      <c r="J12" s="432">
        <f t="shared" si="2"/>
        <v>0</v>
      </c>
      <c r="K12" s="433" t="str">
        <f>IFERROR(VLOOKUP($A12,#REF!,2,0),"0")</f>
        <v>0</v>
      </c>
      <c r="L12" s="432">
        <v>0</v>
      </c>
      <c r="M12" s="163" t="e">
        <f>VLOOKUP($B:$B,#REF!,4,FALSE)</f>
        <v>#REF!</v>
      </c>
      <c r="N12" s="432">
        <f t="shared" si="4"/>
        <v>0</v>
      </c>
      <c r="O12" s="433" t="str">
        <f>IFERROR(VLOOKUP($A12,#REF!,2,0),"0")</f>
        <v>0</v>
      </c>
      <c r="P12" s="432">
        <f t="shared" si="5"/>
        <v>0</v>
      </c>
      <c r="Q12" s="163" t="e">
        <f>VLOOKUP($B:$B,#REF!,5,FALSE)</f>
        <v>#REF!</v>
      </c>
      <c r="R12" s="432">
        <f t="shared" si="6"/>
        <v>0</v>
      </c>
      <c r="S12" s="432">
        <f>IFERROR(VLOOKUP(R12,$B$220:$E$236,2,FALSE),0)</f>
        <v>0</v>
      </c>
      <c r="T12" s="432">
        <f t="shared" si="7"/>
        <v>0</v>
      </c>
      <c r="U12" s="163" t="e">
        <f>VLOOKUP($B:$B,#REF!,6,FALSE)</f>
        <v>#REF!</v>
      </c>
      <c r="V12" s="432">
        <f t="shared" si="8"/>
        <v>0</v>
      </c>
      <c r="W12" s="433" t="str">
        <f>IFERROR(VLOOKUP($A12,#REF!,2,0),"0")</f>
        <v>0</v>
      </c>
      <c r="X12" s="432">
        <f t="shared" si="9"/>
        <v>0</v>
      </c>
      <c r="Y12" s="163" t="e">
        <f>VLOOKUP($B:$B,#REF!,7,FALSE)</f>
        <v>#REF!</v>
      </c>
      <c r="Z12" s="432">
        <f t="shared" si="10"/>
        <v>0</v>
      </c>
      <c r="AA12" s="433" t="str">
        <f>IFERROR(VLOOKUP($A12,#REF!,2,0),"0")</f>
        <v>0</v>
      </c>
      <c r="AB12" s="432">
        <f t="shared" si="11"/>
        <v>0</v>
      </c>
      <c r="AC12" s="163" t="e">
        <f>VLOOKUP($B:$B,#REF!,8,FALSE)</f>
        <v>#REF!</v>
      </c>
      <c r="AD12" s="432">
        <f t="shared" si="12"/>
        <v>0</v>
      </c>
      <c r="AE12" s="433" t="str">
        <f>IFERROR(VLOOKUP($A12,#REF!,2,0),"0")</f>
        <v>0</v>
      </c>
      <c r="AF12" s="432">
        <f t="shared" si="13"/>
        <v>0</v>
      </c>
      <c r="AG12" s="163" t="e">
        <f>VLOOKUP($B:$B,#REF!,9,FALSE)</f>
        <v>#REF!</v>
      </c>
      <c r="AH12" s="432">
        <f t="shared" si="14"/>
        <v>0</v>
      </c>
      <c r="AI12" s="433" t="str">
        <f>IFERROR(VLOOKUP($A12,#REF!,2,0),"0")</f>
        <v>0</v>
      </c>
      <c r="AJ12" s="432">
        <f t="shared" si="15"/>
        <v>0</v>
      </c>
      <c r="AK12" s="163" t="e">
        <f>VLOOKUP($B:$B,#REF!,10,FALSE)</f>
        <v>#REF!</v>
      </c>
      <c r="AL12" s="432">
        <f t="shared" si="16"/>
        <v>0</v>
      </c>
      <c r="AM12" s="433" t="str">
        <f>IFERROR(VLOOKUP($A12,#REF!,2,0),"0")</f>
        <v>0</v>
      </c>
      <c r="AN12" s="432">
        <f t="shared" si="17"/>
        <v>0</v>
      </c>
      <c r="AO12" s="163" t="e">
        <f>VLOOKUP($B:$B,#REF!,11,FALSE)</f>
        <v>#REF!</v>
      </c>
      <c r="AP12" s="432">
        <f t="shared" si="18"/>
        <v>0</v>
      </c>
      <c r="AQ12" s="433" t="str">
        <f>IFERROR(VLOOKUP($A12,#REF!,2,0),"0")</f>
        <v>0</v>
      </c>
      <c r="AR12" s="432">
        <f t="shared" si="19"/>
        <v>0</v>
      </c>
      <c r="AS12" s="163" t="e">
        <f>VLOOKUP($B:$B,#REF!,12,FALSE)</f>
        <v>#REF!</v>
      </c>
      <c r="AT12" s="432">
        <f t="shared" si="20"/>
        <v>0</v>
      </c>
      <c r="AU12" s="433" t="str">
        <f>IFERROR(VLOOKUP($A12,#REF!,2,0),"0")</f>
        <v>0</v>
      </c>
      <c r="AV12" s="432">
        <f t="shared" si="21"/>
        <v>0</v>
      </c>
      <c r="AW12" s="163" t="e">
        <f>VLOOKUP($B:$B,#REF!,13,FALSE)</f>
        <v>#REF!</v>
      </c>
      <c r="AX12" s="432">
        <f t="shared" si="22"/>
        <v>0</v>
      </c>
      <c r="AY12" s="433" t="str">
        <f>IFERROR(VLOOKUP($A12,#REF!,2,0),"0")</f>
        <v>0</v>
      </c>
      <c r="AZ12" s="432">
        <f t="shared" si="23"/>
        <v>0</v>
      </c>
      <c r="BA12" s="163" t="e">
        <f>VLOOKUP($B:$B,#REF!,14,FALSE)</f>
        <v>#REF!</v>
      </c>
      <c r="BB12" s="432">
        <f t="shared" si="24"/>
        <v>0</v>
      </c>
      <c r="BC12" s="433" t="str">
        <f>IFERROR(VLOOKUP($A12,#REF!,2,0),"0")</f>
        <v>0</v>
      </c>
      <c r="BD12" s="432">
        <f t="shared" si="25"/>
        <v>0</v>
      </c>
      <c r="BE12" s="163" t="e">
        <f>VLOOKUP($B:$B,#REF!,15,FALSE)</f>
        <v>#REF!</v>
      </c>
      <c r="BF12" s="432">
        <f t="shared" si="26"/>
        <v>0</v>
      </c>
      <c r="BG12" s="433" t="str">
        <f>IFERROR(VLOOKUP($A12,#REF!,2,0),"0")</f>
        <v>0</v>
      </c>
      <c r="BH12" s="432">
        <f t="shared" si="27"/>
        <v>0</v>
      </c>
      <c r="BI12" s="163" t="e">
        <f>VLOOKUP($B:$B,#REF!,16,FALSE)</f>
        <v>#REF!</v>
      </c>
      <c r="BJ12" s="432">
        <f t="shared" si="28"/>
        <v>0</v>
      </c>
      <c r="BK12" s="433">
        <v>0</v>
      </c>
      <c r="BL12" s="432">
        <f t="shared" si="29"/>
        <v>0</v>
      </c>
      <c r="BM12" s="163" t="e">
        <f>VLOOKUP($B:$B,#REF!,17,FALSE)</f>
        <v>#REF!</v>
      </c>
      <c r="BN12" s="432">
        <f t="shared" si="30"/>
        <v>0</v>
      </c>
      <c r="BO12" s="433" t="str">
        <f>IFERROR(VLOOKUP($A12,#REF!,2,0),"0")</f>
        <v>0</v>
      </c>
      <c r="BP12" s="432">
        <f t="shared" si="31"/>
        <v>0</v>
      </c>
      <c r="BQ12" s="163" t="e">
        <f>VLOOKUP($B:$B,#REF!,18,FALSE)</f>
        <v>#REF!</v>
      </c>
      <c r="BR12" s="432">
        <f t="shared" si="32"/>
        <v>0</v>
      </c>
      <c r="BS12" s="433" t="str">
        <f>IFERROR(VLOOKUP($A12,#REF!,2,0),"0")</f>
        <v>0</v>
      </c>
      <c r="BT12" s="432">
        <f t="shared" si="33"/>
        <v>0</v>
      </c>
      <c r="BU12" s="163" t="e">
        <f>VLOOKUP($B:$B,#REF!,19,FALSE)</f>
        <v>#REF!</v>
      </c>
      <c r="BV12" s="432">
        <f t="shared" si="34"/>
        <v>0</v>
      </c>
      <c r="BW12" s="433" t="str">
        <f>IFERROR(VLOOKUP($A12,#REF!,2,0),"0")</f>
        <v>0</v>
      </c>
      <c r="BX12" s="432">
        <f t="shared" si="35"/>
        <v>0</v>
      </c>
      <c r="BY12" s="163" t="e">
        <f>VLOOKUP($B:$B,#REF!,20,FALSE)</f>
        <v>#REF!</v>
      </c>
      <c r="BZ12" s="432">
        <f t="shared" si="36"/>
        <v>0</v>
      </c>
      <c r="CA12" s="433" t="str">
        <f>IFERROR(VLOOKUP($A12,#REF!,2,0),"0")</f>
        <v>0</v>
      </c>
      <c r="CB12" s="432">
        <f t="shared" si="37"/>
        <v>0</v>
      </c>
      <c r="CC12" s="163" t="e">
        <f>VLOOKUP($B:$B,#REF!,21,FALSE)</f>
        <v>#REF!</v>
      </c>
      <c r="CD12" s="432">
        <f t="shared" si="38"/>
        <v>0</v>
      </c>
      <c r="CE12" s="433" t="str">
        <f>IFERROR(VLOOKUP($A12,#REF!,2,0),"0")</f>
        <v>0</v>
      </c>
      <c r="CF12" s="432">
        <f t="shared" si="39"/>
        <v>0</v>
      </c>
      <c r="CG12" s="163" t="e">
        <f>VLOOKUP($B:$B,#REF!,22,FALSE)</f>
        <v>#REF!</v>
      </c>
      <c r="CH12" s="432">
        <f t="shared" si="40"/>
        <v>0</v>
      </c>
      <c r="CI12" s="433" t="str">
        <f>IFERROR(VLOOKUP($A12,#REF!,2,0),"0")</f>
        <v>0</v>
      </c>
      <c r="CJ12" s="432">
        <f t="shared" si="41"/>
        <v>0</v>
      </c>
      <c r="CK12" s="163" t="e">
        <f>VLOOKUP($B:$B,#REF!,23,FALSE)</f>
        <v>#REF!</v>
      </c>
      <c r="CL12" s="432">
        <f t="shared" si="42"/>
        <v>0</v>
      </c>
      <c r="CM12" s="433" t="str">
        <f>IFERROR(VLOOKUP($A12,#REF!,2,0),"0")</f>
        <v>0</v>
      </c>
      <c r="CN12" s="432">
        <f t="shared" si="43"/>
        <v>0</v>
      </c>
      <c r="CO12" s="163" t="e">
        <f>VLOOKUP($B:$B,#REF!,24,FALSE)</f>
        <v>#REF!</v>
      </c>
      <c r="CP12" s="432">
        <f t="shared" si="44"/>
        <v>0</v>
      </c>
      <c r="CQ12" s="433" t="str">
        <f>IFERROR(VLOOKUP($A12,#REF!,2,0),"0")</f>
        <v>0</v>
      </c>
      <c r="CR12" s="432">
        <f t="shared" si="45"/>
        <v>0</v>
      </c>
      <c r="CS12" s="163" t="e">
        <f>VLOOKUP($B:$B,#REF!,25,FALSE)</f>
        <v>#REF!</v>
      </c>
      <c r="CT12" s="432">
        <f t="shared" si="46"/>
        <v>0</v>
      </c>
      <c r="CU12" s="433" t="str">
        <f>IFERROR(VLOOKUP($A12,#REF!,2,0),"0")</f>
        <v>0</v>
      </c>
      <c r="CV12" s="432">
        <f t="shared" si="47"/>
        <v>0</v>
      </c>
      <c r="CW12" s="163" t="e">
        <f>VLOOKUP($B:$B,#REF!,26,FALSE)</f>
        <v>#REF!</v>
      </c>
      <c r="CX12" s="432">
        <f t="shared" si="48"/>
        <v>0</v>
      </c>
      <c r="CY12" s="433" t="str">
        <f>IFERROR(VLOOKUP($A12,#REF!,2,0),"0")</f>
        <v>0</v>
      </c>
      <c r="CZ12" s="432">
        <f t="shared" si="49"/>
        <v>0</v>
      </c>
      <c r="DA12" s="163" t="e">
        <f>VLOOKUP($B:$B,#REF!,27,FALSE)</f>
        <v>#REF!</v>
      </c>
      <c r="DB12" s="432">
        <f t="shared" si="50"/>
        <v>0</v>
      </c>
      <c r="DC12" s="433" t="str">
        <f>IFERROR(VLOOKUP($A12,#REF!,2,0),"0")</f>
        <v>0</v>
      </c>
      <c r="DD12" s="432">
        <f t="shared" si="51"/>
        <v>0</v>
      </c>
      <c r="DE12" s="163" t="e">
        <f>VLOOKUP($B:$B,#REF!,28,FALSE)</f>
        <v>#REF!</v>
      </c>
      <c r="DF12" s="432">
        <f t="shared" si="52"/>
        <v>0</v>
      </c>
      <c r="DG12" s="433" t="str">
        <f>IFERROR(VLOOKUP($A12,#REF!,2,0),"0")</f>
        <v>0</v>
      </c>
      <c r="DH12" s="432">
        <f t="shared" si="53"/>
        <v>0</v>
      </c>
      <c r="DI12" s="163" t="e">
        <f>VLOOKUP($B:$B,#REF!,29,FALSE)</f>
        <v>#REF!</v>
      </c>
      <c r="DJ12" s="432">
        <f t="shared" si="54"/>
        <v>0</v>
      </c>
      <c r="DK12" s="433" t="str">
        <f>IFERROR(VLOOKUP($A12,#REF!,2,0),"0")</f>
        <v>0</v>
      </c>
      <c r="DL12" s="432">
        <f t="shared" si="55"/>
        <v>0</v>
      </c>
      <c r="DM12" s="163" t="e">
        <f>VLOOKUP($B:$B,#REF!,30,FALSE)</f>
        <v>#REF!</v>
      </c>
      <c r="DN12" s="432">
        <f t="shared" si="56"/>
        <v>0</v>
      </c>
      <c r="DO12" s="432"/>
      <c r="DP12" s="432">
        <f t="shared" si="57"/>
        <v>0</v>
      </c>
      <c r="DQ12" s="163" t="e">
        <f>VLOOKUP($B:$B,#REF!,31,FALSE)</f>
        <v>#REF!</v>
      </c>
      <c r="DR12" s="432">
        <f t="shared" si="58"/>
        <v>0</v>
      </c>
      <c r="DS12" s="434"/>
      <c r="DT12" s="432">
        <f t="shared" si="59"/>
        <v>0</v>
      </c>
      <c r="DU12" s="163" t="e">
        <f>VLOOKUP($B:$B,#REF!,32,FALSE)</f>
        <v>#REF!</v>
      </c>
      <c r="DV12" s="432">
        <f t="shared" si="60"/>
        <v>0</v>
      </c>
      <c r="DW12" s="434"/>
      <c r="DX12" s="432">
        <f t="shared" si="61"/>
        <v>0</v>
      </c>
      <c r="DY12" s="432">
        <f t="shared" si="62"/>
        <v>0</v>
      </c>
    </row>
    <row r="13" spans="1:129" ht="15.75">
      <c r="A13" s="166" t="s">
        <v>332</v>
      </c>
      <c r="B13" s="506" t="s">
        <v>333</v>
      </c>
      <c r="C13" s="166">
        <v>1719808956</v>
      </c>
      <c r="D13" s="431">
        <v>30857</v>
      </c>
      <c r="E13" s="163" t="e">
        <f>VLOOKUP($B:$B,#REF!,2,FALSE)</f>
        <v>#REF!</v>
      </c>
      <c r="F13" s="432">
        <f t="shared" si="0"/>
        <v>0</v>
      </c>
      <c r="G13" s="433" t="str">
        <f>IFERROR(VLOOKUP($A13,#REF!,2,0),"0")</f>
        <v>0</v>
      </c>
      <c r="H13" s="432">
        <f t="shared" si="1"/>
        <v>0</v>
      </c>
      <c r="I13" s="163" t="e">
        <f>VLOOKUP($B:$B,#REF!,3,FALSE)</f>
        <v>#REF!</v>
      </c>
      <c r="J13" s="432">
        <f t="shared" si="2"/>
        <v>0</v>
      </c>
      <c r="K13" s="433" t="str">
        <f>IFERROR(VLOOKUP($A13,#REF!,2,0),"0")</f>
        <v>0</v>
      </c>
      <c r="L13" s="432">
        <f t="shared" ref="L13:L57" si="63">IF(K13-J13&lt;0,0,K13-J13)</f>
        <v>0</v>
      </c>
      <c r="M13" s="163" t="e">
        <f>VLOOKUP($B:$B,#REF!,4,FALSE)</f>
        <v>#REF!</v>
      </c>
      <c r="N13" s="432">
        <f t="shared" si="4"/>
        <v>0</v>
      </c>
      <c r="O13" s="433" t="str">
        <f>IFERROR(VLOOKUP($A13,#REF!,2,0),"0")</f>
        <v>0</v>
      </c>
      <c r="P13" s="432">
        <f t="shared" si="5"/>
        <v>0</v>
      </c>
      <c r="Q13" s="163" t="e">
        <f>VLOOKUP($B:$B,#REF!,5,FALSE)</f>
        <v>#REF!</v>
      </c>
      <c r="R13" s="432">
        <f t="shared" si="6"/>
        <v>0</v>
      </c>
      <c r="S13" s="433" t="str">
        <f>IFERROR(VLOOKUP($A13,#REF!,2,0),"0")</f>
        <v>0</v>
      </c>
      <c r="T13" s="432">
        <f t="shared" si="7"/>
        <v>0</v>
      </c>
      <c r="U13" s="163" t="e">
        <f>VLOOKUP($B:$B,#REF!,6,FALSE)</f>
        <v>#REF!</v>
      </c>
      <c r="V13" s="432">
        <f t="shared" si="8"/>
        <v>0</v>
      </c>
      <c r="W13" s="433" t="str">
        <f>IFERROR(VLOOKUP($A13,#REF!,2,0),"0")</f>
        <v>0</v>
      </c>
      <c r="X13" s="432">
        <f t="shared" si="9"/>
        <v>0</v>
      </c>
      <c r="Y13" s="163" t="e">
        <f>VLOOKUP($B:$B,#REF!,7,FALSE)</f>
        <v>#REF!</v>
      </c>
      <c r="Z13" s="432">
        <f t="shared" si="10"/>
        <v>0</v>
      </c>
      <c r="AA13" s="433" t="str">
        <f>IFERROR(VLOOKUP($A13,#REF!,2,0),"0")</f>
        <v>0</v>
      </c>
      <c r="AB13" s="432">
        <f t="shared" si="11"/>
        <v>0</v>
      </c>
      <c r="AC13" s="163" t="e">
        <f>VLOOKUP($B:$B,#REF!,8,FALSE)</f>
        <v>#REF!</v>
      </c>
      <c r="AD13" s="432">
        <f t="shared" si="12"/>
        <v>0</v>
      </c>
      <c r="AE13" s="432">
        <f t="shared" si="12"/>
        <v>0</v>
      </c>
      <c r="AF13" s="432">
        <f t="shared" si="13"/>
        <v>0</v>
      </c>
      <c r="AG13" s="163" t="e">
        <f>VLOOKUP($B:$B,#REF!,9,FALSE)</f>
        <v>#REF!</v>
      </c>
      <c r="AH13" s="432">
        <f t="shared" si="14"/>
        <v>0</v>
      </c>
      <c r="AI13" s="433" t="str">
        <f>IFERROR(VLOOKUP($A13,#REF!,2,0),"0")</f>
        <v>0</v>
      </c>
      <c r="AJ13" s="432">
        <f t="shared" si="15"/>
        <v>0</v>
      </c>
      <c r="AK13" s="163" t="e">
        <f>VLOOKUP($B:$B,#REF!,10,FALSE)</f>
        <v>#REF!</v>
      </c>
      <c r="AL13" s="432">
        <f t="shared" si="16"/>
        <v>0</v>
      </c>
      <c r="AM13" s="433" t="str">
        <f>IFERROR(VLOOKUP($A13,#REF!,2,0),"0")</f>
        <v>0</v>
      </c>
      <c r="AN13" s="432">
        <f t="shared" si="17"/>
        <v>0</v>
      </c>
      <c r="AO13" s="163" t="e">
        <f>VLOOKUP($B:$B,#REF!,11,FALSE)</f>
        <v>#REF!</v>
      </c>
      <c r="AP13" s="432">
        <f t="shared" si="18"/>
        <v>0</v>
      </c>
      <c r="AQ13" s="433" t="str">
        <f>IFERROR(VLOOKUP($A13,#REF!,2,0),"0")</f>
        <v>0</v>
      </c>
      <c r="AR13" s="432">
        <f t="shared" si="19"/>
        <v>0</v>
      </c>
      <c r="AS13" s="163" t="e">
        <f>VLOOKUP($B:$B,#REF!,12,FALSE)</f>
        <v>#REF!</v>
      </c>
      <c r="AT13" s="432">
        <f t="shared" si="20"/>
        <v>0</v>
      </c>
      <c r="AU13" s="433" t="str">
        <f>IFERROR(VLOOKUP($A13,#REF!,2,0),"0")</f>
        <v>0</v>
      </c>
      <c r="AV13" s="432">
        <f t="shared" si="21"/>
        <v>0</v>
      </c>
      <c r="AW13" s="163" t="e">
        <f>VLOOKUP($B:$B,#REF!,13,FALSE)</f>
        <v>#REF!</v>
      </c>
      <c r="AX13" s="432">
        <f t="shared" si="22"/>
        <v>0</v>
      </c>
      <c r="AY13" s="433" t="str">
        <f>IFERROR(VLOOKUP($A13,#REF!,2,0),"0")</f>
        <v>0</v>
      </c>
      <c r="AZ13" s="432">
        <f t="shared" si="23"/>
        <v>0</v>
      </c>
      <c r="BA13" s="163" t="e">
        <f>VLOOKUP($B:$B,#REF!,14,FALSE)</f>
        <v>#REF!</v>
      </c>
      <c r="BB13" s="432">
        <f t="shared" si="24"/>
        <v>0</v>
      </c>
      <c r="BC13" s="433" t="str">
        <f>IFERROR(VLOOKUP($A13,#REF!,2,0),"0")</f>
        <v>0</v>
      </c>
      <c r="BD13" s="432">
        <f t="shared" si="25"/>
        <v>0</v>
      </c>
      <c r="BE13" s="163" t="e">
        <f>VLOOKUP($B:$B,#REF!,15,FALSE)</f>
        <v>#REF!</v>
      </c>
      <c r="BF13" s="432">
        <f t="shared" si="26"/>
        <v>0</v>
      </c>
      <c r="BG13" s="433" t="str">
        <f>IFERROR(VLOOKUP($A13,#REF!,2,0),"0")</f>
        <v>0</v>
      </c>
      <c r="BH13" s="432">
        <f t="shared" si="27"/>
        <v>0</v>
      </c>
      <c r="BI13" s="163" t="e">
        <f>VLOOKUP($B:$B,#REF!,16,FALSE)</f>
        <v>#REF!</v>
      </c>
      <c r="BJ13" s="432">
        <f t="shared" si="28"/>
        <v>0</v>
      </c>
      <c r="BK13" s="433" t="str">
        <f>IFERROR(VLOOKUP($A13,#REF!,2,0),"0")</f>
        <v>0</v>
      </c>
      <c r="BL13" s="432">
        <f t="shared" si="29"/>
        <v>0</v>
      </c>
      <c r="BM13" s="163" t="e">
        <f>VLOOKUP($B:$B,#REF!,17,FALSE)</f>
        <v>#REF!</v>
      </c>
      <c r="BN13" s="432">
        <f t="shared" si="30"/>
        <v>0</v>
      </c>
      <c r="BO13" s="432">
        <f t="shared" si="30"/>
        <v>0</v>
      </c>
      <c r="BP13" s="432">
        <f t="shared" si="31"/>
        <v>0</v>
      </c>
      <c r="BQ13" s="163" t="e">
        <f>VLOOKUP($B:$B,#REF!,18,FALSE)</f>
        <v>#REF!</v>
      </c>
      <c r="BR13" s="432">
        <f t="shared" si="32"/>
        <v>0</v>
      </c>
      <c r="BS13" s="433" t="str">
        <f>IFERROR(VLOOKUP($A13,#REF!,2,0),"0")</f>
        <v>0</v>
      </c>
      <c r="BT13" s="432">
        <f t="shared" si="33"/>
        <v>0</v>
      </c>
      <c r="BU13" s="163" t="e">
        <f>VLOOKUP($B:$B,#REF!,19,FALSE)</f>
        <v>#REF!</v>
      </c>
      <c r="BV13" s="432">
        <f t="shared" si="34"/>
        <v>0</v>
      </c>
      <c r="BW13" s="433" t="str">
        <f>IFERROR(VLOOKUP($A13,#REF!,2,0),"0")</f>
        <v>0</v>
      </c>
      <c r="BX13" s="432">
        <f t="shared" si="35"/>
        <v>0</v>
      </c>
      <c r="BY13" s="163" t="e">
        <f>VLOOKUP($B:$B,#REF!,20,FALSE)</f>
        <v>#REF!</v>
      </c>
      <c r="BZ13" s="432">
        <f t="shared" si="36"/>
        <v>0</v>
      </c>
      <c r="CA13" s="433" t="str">
        <f>IFERROR(VLOOKUP($A13,#REF!,2,0),"0")</f>
        <v>0</v>
      </c>
      <c r="CB13" s="432">
        <f t="shared" si="37"/>
        <v>0</v>
      </c>
      <c r="CC13" s="163" t="e">
        <f>VLOOKUP($B:$B,#REF!,21,FALSE)</f>
        <v>#REF!</v>
      </c>
      <c r="CD13" s="432">
        <f t="shared" si="38"/>
        <v>0</v>
      </c>
      <c r="CE13" s="433" t="str">
        <f>IFERROR(VLOOKUP($A13,#REF!,2,0),"0")</f>
        <v>0</v>
      </c>
      <c r="CF13" s="432">
        <f t="shared" si="39"/>
        <v>0</v>
      </c>
      <c r="CG13" s="163" t="e">
        <f>VLOOKUP($B:$B,#REF!,22,FALSE)</f>
        <v>#REF!</v>
      </c>
      <c r="CH13" s="432">
        <f t="shared" si="40"/>
        <v>0</v>
      </c>
      <c r="CI13" s="433" t="str">
        <f>IFERROR(VLOOKUP($A13,#REF!,2,0),"0")</f>
        <v>0</v>
      </c>
      <c r="CJ13" s="432">
        <f t="shared" si="41"/>
        <v>0</v>
      </c>
      <c r="CK13" s="163" t="e">
        <f>VLOOKUP($B:$B,#REF!,23,FALSE)</f>
        <v>#REF!</v>
      </c>
      <c r="CL13" s="432">
        <f t="shared" si="42"/>
        <v>0</v>
      </c>
      <c r="CM13" s="433" t="str">
        <f>IFERROR(VLOOKUP($A13,#REF!,2,0),"0")</f>
        <v>0</v>
      </c>
      <c r="CN13" s="432">
        <f t="shared" si="43"/>
        <v>0</v>
      </c>
      <c r="CO13" s="163" t="e">
        <f>VLOOKUP($B:$B,#REF!,24,FALSE)</f>
        <v>#REF!</v>
      </c>
      <c r="CP13" s="432">
        <f t="shared" si="44"/>
        <v>0</v>
      </c>
      <c r="CQ13" s="433" t="str">
        <f>IFERROR(VLOOKUP($A13,#REF!,2,0),"0")</f>
        <v>0</v>
      </c>
      <c r="CR13" s="432">
        <f t="shared" si="45"/>
        <v>0</v>
      </c>
      <c r="CS13" s="163" t="e">
        <f>VLOOKUP($B:$B,#REF!,25,FALSE)</f>
        <v>#REF!</v>
      </c>
      <c r="CT13" s="432">
        <f t="shared" si="46"/>
        <v>0</v>
      </c>
      <c r="CU13" s="433" t="str">
        <f>IFERROR(VLOOKUP($A13,#REF!,2,0),"0")</f>
        <v>0</v>
      </c>
      <c r="CV13" s="432">
        <f t="shared" si="47"/>
        <v>0</v>
      </c>
      <c r="CW13" s="163" t="e">
        <f>VLOOKUP($B:$B,#REF!,26,FALSE)</f>
        <v>#REF!</v>
      </c>
      <c r="CX13" s="432">
        <f t="shared" si="48"/>
        <v>0</v>
      </c>
      <c r="CY13" s="433" t="str">
        <f>IFERROR(VLOOKUP($A13,#REF!,2,0),"0")</f>
        <v>0</v>
      </c>
      <c r="CZ13" s="432">
        <f t="shared" si="49"/>
        <v>0</v>
      </c>
      <c r="DA13" s="163" t="e">
        <f>VLOOKUP($B:$B,#REF!,27,FALSE)</f>
        <v>#REF!</v>
      </c>
      <c r="DB13" s="432">
        <f t="shared" si="50"/>
        <v>0</v>
      </c>
      <c r="DC13" s="433" t="str">
        <f>IFERROR(VLOOKUP($A13,#REF!,2,0),"0")</f>
        <v>0</v>
      </c>
      <c r="DD13" s="432">
        <f t="shared" si="51"/>
        <v>0</v>
      </c>
      <c r="DE13" s="163" t="e">
        <f>VLOOKUP($B:$B,#REF!,28,FALSE)</f>
        <v>#REF!</v>
      </c>
      <c r="DF13" s="432">
        <f t="shared" si="52"/>
        <v>0</v>
      </c>
      <c r="DG13" s="433" t="str">
        <f>IFERROR(VLOOKUP($A13,#REF!,2,0),"0")</f>
        <v>0</v>
      </c>
      <c r="DH13" s="432">
        <f t="shared" si="53"/>
        <v>0</v>
      </c>
      <c r="DI13" s="163" t="e">
        <f>VLOOKUP($B:$B,#REF!,29,FALSE)</f>
        <v>#REF!</v>
      </c>
      <c r="DJ13" s="432">
        <f t="shared" si="54"/>
        <v>0</v>
      </c>
      <c r="DK13" s="433" t="str">
        <f>IFERROR(VLOOKUP($A13,#REF!,2,0),"0")</f>
        <v>0</v>
      </c>
      <c r="DL13" s="432">
        <f t="shared" si="55"/>
        <v>0</v>
      </c>
      <c r="DM13" s="163" t="e">
        <f>VLOOKUP($B:$B,#REF!,30,FALSE)</f>
        <v>#REF!</v>
      </c>
      <c r="DN13" s="432">
        <f t="shared" si="56"/>
        <v>0</v>
      </c>
      <c r="DO13" s="432"/>
      <c r="DP13" s="432">
        <f t="shared" si="57"/>
        <v>0</v>
      </c>
      <c r="DQ13" s="163" t="e">
        <f>VLOOKUP($B:$B,#REF!,31,FALSE)</f>
        <v>#REF!</v>
      </c>
      <c r="DR13" s="432">
        <f t="shared" si="58"/>
        <v>0</v>
      </c>
      <c r="DS13" s="434"/>
      <c r="DT13" s="432">
        <f t="shared" si="59"/>
        <v>0</v>
      </c>
      <c r="DU13" s="163" t="e">
        <f>VLOOKUP($B:$B,#REF!,32,FALSE)</f>
        <v>#REF!</v>
      </c>
      <c r="DV13" s="432">
        <f t="shared" si="60"/>
        <v>0</v>
      </c>
      <c r="DW13" s="434"/>
      <c r="DX13" s="432">
        <f t="shared" si="61"/>
        <v>0</v>
      </c>
      <c r="DY13" s="432">
        <f t="shared" si="62"/>
        <v>0</v>
      </c>
    </row>
    <row r="14" spans="1:129" ht="15.75">
      <c r="A14" s="166" t="s">
        <v>105</v>
      </c>
      <c r="B14" s="506" t="s">
        <v>106</v>
      </c>
      <c r="C14" s="166">
        <v>1724384258</v>
      </c>
      <c r="D14" s="431">
        <v>35090</v>
      </c>
      <c r="E14" s="163" t="e">
        <f>VLOOKUP($B:$B,#REF!,2,FALSE)</f>
        <v>#REF!</v>
      </c>
      <c r="F14" s="432">
        <f t="shared" si="0"/>
        <v>0</v>
      </c>
      <c r="G14" s="433" t="str">
        <f>IFERROR(VLOOKUP($A14,#REF!,2,0),"0")</f>
        <v>0</v>
      </c>
      <c r="H14" s="432">
        <f t="shared" si="1"/>
        <v>0</v>
      </c>
      <c r="I14" s="163" t="e">
        <f>VLOOKUP($B:$B,#REF!,3,FALSE)</f>
        <v>#REF!</v>
      </c>
      <c r="J14" s="432">
        <f t="shared" si="2"/>
        <v>0</v>
      </c>
      <c r="K14" s="433" t="str">
        <f>IFERROR(VLOOKUP($A14,#REF!,2,0),"0")</f>
        <v>0</v>
      </c>
      <c r="L14" s="432">
        <f t="shared" si="63"/>
        <v>0</v>
      </c>
      <c r="M14" s="163" t="e">
        <f>VLOOKUP($B:$B,#REF!,4,FALSE)</f>
        <v>#REF!</v>
      </c>
      <c r="N14" s="432">
        <f t="shared" si="4"/>
        <v>0</v>
      </c>
      <c r="O14" s="433" t="str">
        <f>IFERROR(VLOOKUP($A14,#REF!,2,0),"0")</f>
        <v>0</v>
      </c>
      <c r="P14" s="432">
        <f t="shared" si="5"/>
        <v>0</v>
      </c>
      <c r="Q14" s="163" t="e">
        <f>VLOOKUP($B:$B,#REF!,5,FALSE)</f>
        <v>#REF!</v>
      </c>
      <c r="R14" s="432">
        <f t="shared" si="6"/>
        <v>0</v>
      </c>
      <c r="S14" s="433" t="str">
        <f>IFERROR(VLOOKUP($A14,#REF!,2,0),"0")</f>
        <v>0</v>
      </c>
      <c r="T14" s="432">
        <f t="shared" si="7"/>
        <v>0</v>
      </c>
      <c r="U14" s="163" t="e">
        <f>VLOOKUP($B:$B,#REF!,6,FALSE)</f>
        <v>#REF!</v>
      </c>
      <c r="V14" s="432">
        <f t="shared" si="8"/>
        <v>0</v>
      </c>
      <c r="W14" s="433" t="str">
        <f>IFERROR(VLOOKUP($A14,#REF!,2,0),"0")</f>
        <v>0</v>
      </c>
      <c r="X14" s="432">
        <f t="shared" si="9"/>
        <v>0</v>
      </c>
      <c r="Y14" s="163" t="e">
        <f>VLOOKUP($B:$B,#REF!,7,FALSE)</f>
        <v>#REF!</v>
      </c>
      <c r="Z14" s="432">
        <f t="shared" si="10"/>
        <v>0</v>
      </c>
      <c r="AA14" s="433" t="str">
        <f>IFERROR(VLOOKUP($A14,#REF!,2,0),"0")</f>
        <v>0</v>
      </c>
      <c r="AB14" s="432">
        <f t="shared" si="11"/>
        <v>0</v>
      </c>
      <c r="AC14" s="163" t="e">
        <f>VLOOKUP($B:$B,#REF!,8,FALSE)</f>
        <v>#REF!</v>
      </c>
      <c r="AD14" s="432">
        <f t="shared" si="12"/>
        <v>0</v>
      </c>
      <c r="AE14" s="433" t="str">
        <f>IFERROR(VLOOKUP($A14,#REF!,2,0),"0")</f>
        <v>0</v>
      </c>
      <c r="AF14" s="432">
        <f t="shared" si="13"/>
        <v>0</v>
      </c>
      <c r="AG14" s="163" t="e">
        <f>VLOOKUP($B:$B,#REF!,9,FALSE)</f>
        <v>#REF!</v>
      </c>
      <c r="AH14" s="432">
        <f t="shared" si="14"/>
        <v>0</v>
      </c>
      <c r="AI14" s="433" t="str">
        <f>IFERROR(VLOOKUP($A14,#REF!,2,0),"0")</f>
        <v>0</v>
      </c>
      <c r="AJ14" s="432">
        <f t="shared" si="15"/>
        <v>0</v>
      </c>
      <c r="AK14" s="163" t="e">
        <f>VLOOKUP($B:$B,#REF!,10,FALSE)</f>
        <v>#REF!</v>
      </c>
      <c r="AL14" s="432">
        <f t="shared" si="16"/>
        <v>0</v>
      </c>
      <c r="AM14" s="433" t="str">
        <f>IFERROR(VLOOKUP($A14,#REF!,2,0),"0")</f>
        <v>0</v>
      </c>
      <c r="AN14" s="432">
        <f t="shared" si="17"/>
        <v>0</v>
      </c>
      <c r="AO14" s="163" t="e">
        <f>VLOOKUP($B:$B,#REF!,11,FALSE)</f>
        <v>#REF!</v>
      </c>
      <c r="AP14" s="432">
        <f t="shared" si="18"/>
        <v>0</v>
      </c>
      <c r="AQ14" s="433" t="str">
        <f>IFERROR(VLOOKUP($A14,#REF!,2,0),"0")</f>
        <v>0</v>
      </c>
      <c r="AR14" s="432">
        <f t="shared" si="19"/>
        <v>0</v>
      </c>
      <c r="AS14" s="163" t="e">
        <f>VLOOKUP($B:$B,#REF!,12,FALSE)</f>
        <v>#REF!</v>
      </c>
      <c r="AT14" s="432">
        <f t="shared" si="20"/>
        <v>0</v>
      </c>
      <c r="AU14" s="433" t="str">
        <f>IFERROR(VLOOKUP($A14,#REF!,2,0),"0")</f>
        <v>0</v>
      </c>
      <c r="AV14" s="432">
        <f t="shared" si="21"/>
        <v>0</v>
      </c>
      <c r="AW14" s="163" t="e">
        <f>VLOOKUP($B:$B,#REF!,13,FALSE)</f>
        <v>#REF!</v>
      </c>
      <c r="AX14" s="432">
        <f t="shared" si="22"/>
        <v>0</v>
      </c>
      <c r="AY14" s="433" t="str">
        <f>IFERROR(VLOOKUP($A14,#REF!,2,0),"0")</f>
        <v>0</v>
      </c>
      <c r="AZ14" s="432">
        <f t="shared" si="23"/>
        <v>0</v>
      </c>
      <c r="BA14" s="163" t="e">
        <f>VLOOKUP($B:$B,#REF!,14,FALSE)</f>
        <v>#REF!</v>
      </c>
      <c r="BB14" s="432">
        <f t="shared" si="24"/>
        <v>0</v>
      </c>
      <c r="BC14" s="433" t="str">
        <f>IFERROR(VLOOKUP($A14,#REF!,2,0),"0")</f>
        <v>0</v>
      </c>
      <c r="BD14" s="432">
        <f t="shared" si="25"/>
        <v>0</v>
      </c>
      <c r="BE14" s="163" t="e">
        <f>VLOOKUP($B:$B,#REF!,15,FALSE)</f>
        <v>#REF!</v>
      </c>
      <c r="BF14" s="432">
        <f t="shared" si="26"/>
        <v>0</v>
      </c>
      <c r="BG14" s="433" t="str">
        <f>IFERROR(VLOOKUP($A14,#REF!,2,0),"0")</f>
        <v>0</v>
      </c>
      <c r="BH14" s="432">
        <f t="shared" si="27"/>
        <v>0</v>
      </c>
      <c r="BI14" s="163" t="e">
        <f>VLOOKUP($B:$B,#REF!,16,FALSE)</f>
        <v>#REF!</v>
      </c>
      <c r="BJ14" s="432">
        <f t="shared" si="28"/>
        <v>0</v>
      </c>
      <c r="BK14" s="433" t="str">
        <f>IFERROR(VLOOKUP($A14,#REF!,2,0),"0")</f>
        <v>0</v>
      </c>
      <c r="BL14" s="432">
        <f t="shared" si="29"/>
        <v>0</v>
      </c>
      <c r="BM14" s="163" t="e">
        <f>VLOOKUP($B:$B,#REF!,17,FALSE)</f>
        <v>#REF!</v>
      </c>
      <c r="BN14" s="432">
        <f t="shared" si="30"/>
        <v>0</v>
      </c>
      <c r="BO14" s="433" t="str">
        <f>IFERROR(VLOOKUP($A14,#REF!,2,0),"0")</f>
        <v>0</v>
      </c>
      <c r="BP14" s="432">
        <f t="shared" si="31"/>
        <v>0</v>
      </c>
      <c r="BQ14" s="163" t="e">
        <f>VLOOKUP($B:$B,#REF!,18,FALSE)</f>
        <v>#REF!</v>
      </c>
      <c r="BR14" s="432">
        <f t="shared" si="32"/>
        <v>0</v>
      </c>
      <c r="BS14" s="433" t="str">
        <f>IFERROR(VLOOKUP($A14,#REF!,2,0),"0")</f>
        <v>0</v>
      </c>
      <c r="BT14" s="432">
        <f t="shared" si="33"/>
        <v>0</v>
      </c>
      <c r="BU14" s="163" t="e">
        <f>VLOOKUP($B:$B,#REF!,19,FALSE)</f>
        <v>#REF!</v>
      </c>
      <c r="BV14" s="432">
        <f t="shared" si="34"/>
        <v>0</v>
      </c>
      <c r="BW14" s="433" t="str">
        <f>IFERROR(VLOOKUP($A14,#REF!,2,0),"0")</f>
        <v>0</v>
      </c>
      <c r="BX14" s="432">
        <f t="shared" si="35"/>
        <v>0</v>
      </c>
      <c r="BY14" s="163" t="e">
        <f>VLOOKUP($B:$B,#REF!,20,FALSE)</f>
        <v>#REF!</v>
      </c>
      <c r="BZ14" s="432">
        <f t="shared" si="36"/>
        <v>0</v>
      </c>
      <c r="CA14" s="433" t="str">
        <f>IFERROR(VLOOKUP($A14,#REF!,2,0),"0")</f>
        <v>0</v>
      </c>
      <c r="CB14" s="432">
        <f t="shared" si="37"/>
        <v>0</v>
      </c>
      <c r="CC14" s="163" t="e">
        <f>VLOOKUP($B:$B,#REF!,21,FALSE)</f>
        <v>#REF!</v>
      </c>
      <c r="CD14" s="432">
        <f t="shared" si="38"/>
        <v>0</v>
      </c>
      <c r="CE14" s="433" t="str">
        <f>IFERROR(VLOOKUP($A14,#REF!,2,0),"0")</f>
        <v>0</v>
      </c>
      <c r="CF14" s="432">
        <f t="shared" si="39"/>
        <v>0</v>
      </c>
      <c r="CG14" s="163" t="e">
        <f>VLOOKUP($B:$B,#REF!,22,FALSE)</f>
        <v>#REF!</v>
      </c>
      <c r="CH14" s="432">
        <f t="shared" si="40"/>
        <v>0</v>
      </c>
      <c r="CI14" s="433" t="str">
        <f>IFERROR(VLOOKUP($A14,#REF!,2,0),"0")</f>
        <v>0</v>
      </c>
      <c r="CJ14" s="432">
        <f t="shared" si="41"/>
        <v>0</v>
      </c>
      <c r="CK14" s="163" t="e">
        <f>VLOOKUP($B:$B,#REF!,23,FALSE)</f>
        <v>#REF!</v>
      </c>
      <c r="CL14" s="432">
        <f t="shared" si="42"/>
        <v>0</v>
      </c>
      <c r="CM14" s="433" t="str">
        <f>IFERROR(VLOOKUP($A14,#REF!,2,0),"0")</f>
        <v>0</v>
      </c>
      <c r="CN14" s="432">
        <f t="shared" si="43"/>
        <v>0</v>
      </c>
      <c r="CO14" s="163" t="e">
        <f>VLOOKUP($B:$B,#REF!,24,FALSE)</f>
        <v>#REF!</v>
      </c>
      <c r="CP14" s="432">
        <f t="shared" si="44"/>
        <v>0</v>
      </c>
      <c r="CQ14" s="433" t="str">
        <f>IFERROR(VLOOKUP($A14,#REF!,2,0),"0")</f>
        <v>0</v>
      </c>
      <c r="CR14" s="432">
        <f t="shared" si="45"/>
        <v>0</v>
      </c>
      <c r="CS14" s="163" t="e">
        <f>VLOOKUP($B:$B,#REF!,25,FALSE)</f>
        <v>#REF!</v>
      </c>
      <c r="CT14" s="432">
        <f t="shared" si="46"/>
        <v>0</v>
      </c>
      <c r="CU14" s="433" t="str">
        <f>IFERROR(VLOOKUP($A14,#REF!,2,0),"0")</f>
        <v>0</v>
      </c>
      <c r="CV14" s="432">
        <f t="shared" si="47"/>
        <v>0</v>
      </c>
      <c r="CW14" s="163" t="e">
        <f>VLOOKUP($B:$B,#REF!,26,FALSE)</f>
        <v>#REF!</v>
      </c>
      <c r="CX14" s="432">
        <f t="shared" si="48"/>
        <v>0</v>
      </c>
      <c r="CY14" s="433" t="str">
        <f>IFERROR(VLOOKUP($A14,#REF!,2,0),"0")</f>
        <v>0</v>
      </c>
      <c r="CZ14" s="432">
        <f t="shared" si="49"/>
        <v>0</v>
      </c>
      <c r="DA14" s="163" t="e">
        <f>VLOOKUP($B:$B,#REF!,27,FALSE)</f>
        <v>#REF!</v>
      </c>
      <c r="DB14" s="432">
        <f t="shared" si="50"/>
        <v>0</v>
      </c>
      <c r="DC14" s="433" t="str">
        <f>IFERROR(VLOOKUP($A14,#REF!,2,0),"0")</f>
        <v>0</v>
      </c>
      <c r="DD14" s="432">
        <f t="shared" si="51"/>
        <v>0</v>
      </c>
      <c r="DE14" s="163" t="e">
        <f>VLOOKUP($B:$B,#REF!,28,FALSE)</f>
        <v>#REF!</v>
      </c>
      <c r="DF14" s="432">
        <f t="shared" si="52"/>
        <v>0</v>
      </c>
      <c r="DG14" s="433" t="str">
        <f>IFERROR(VLOOKUP($A14,#REF!,2,0),"0")</f>
        <v>0</v>
      </c>
      <c r="DH14" s="432">
        <f t="shared" si="53"/>
        <v>0</v>
      </c>
      <c r="DI14" s="163" t="e">
        <f>VLOOKUP($B:$B,#REF!,29,FALSE)</f>
        <v>#REF!</v>
      </c>
      <c r="DJ14" s="432">
        <f t="shared" si="54"/>
        <v>0</v>
      </c>
      <c r="DK14" s="433" t="str">
        <f>IFERROR(VLOOKUP($A14,#REF!,2,0),"0")</f>
        <v>0</v>
      </c>
      <c r="DL14" s="432">
        <f t="shared" si="55"/>
        <v>0</v>
      </c>
      <c r="DM14" s="163" t="e">
        <f>VLOOKUP($B:$B,#REF!,30,FALSE)</f>
        <v>#REF!</v>
      </c>
      <c r="DN14" s="432">
        <f t="shared" si="56"/>
        <v>0</v>
      </c>
      <c r="DO14" s="432"/>
      <c r="DP14" s="432">
        <f t="shared" si="57"/>
        <v>0</v>
      </c>
      <c r="DQ14" s="163" t="e">
        <f>VLOOKUP($B:$B,#REF!,31,FALSE)</f>
        <v>#REF!</v>
      </c>
      <c r="DR14" s="432">
        <f t="shared" si="58"/>
        <v>0</v>
      </c>
      <c r="DS14" s="434"/>
      <c r="DT14" s="432">
        <f t="shared" si="59"/>
        <v>0</v>
      </c>
      <c r="DU14" s="163" t="e">
        <f>VLOOKUP($B:$B,#REF!,32,FALSE)</f>
        <v>#REF!</v>
      </c>
      <c r="DV14" s="432">
        <f t="shared" si="60"/>
        <v>0</v>
      </c>
      <c r="DW14" s="434"/>
      <c r="DX14" s="432">
        <f t="shared" si="61"/>
        <v>0</v>
      </c>
      <c r="DY14" s="432">
        <f t="shared" si="62"/>
        <v>0</v>
      </c>
    </row>
    <row r="15" spans="1:129" ht="15.75">
      <c r="A15" s="166" t="s">
        <v>111</v>
      </c>
      <c r="B15" s="506" t="s">
        <v>112</v>
      </c>
      <c r="C15" s="166">
        <v>1721161105</v>
      </c>
      <c r="D15" s="431">
        <v>34024</v>
      </c>
      <c r="E15" s="163" t="e">
        <f>VLOOKUP($B:$B,#REF!,2,FALSE)</f>
        <v>#REF!</v>
      </c>
      <c r="F15" s="432">
        <f t="shared" si="0"/>
        <v>0</v>
      </c>
      <c r="G15" s="433" t="str">
        <f>IFERROR(VLOOKUP($A15,#REF!,2,0),"0")</f>
        <v>0</v>
      </c>
      <c r="H15" s="432">
        <f t="shared" si="1"/>
        <v>0</v>
      </c>
      <c r="I15" s="163" t="e">
        <f>VLOOKUP($B:$B,#REF!,3,FALSE)</f>
        <v>#REF!</v>
      </c>
      <c r="J15" s="432">
        <f t="shared" si="2"/>
        <v>0</v>
      </c>
      <c r="K15" s="433" t="str">
        <f>IFERROR(VLOOKUP($A15,#REF!,2,0),"0")</f>
        <v>0</v>
      </c>
      <c r="L15" s="432">
        <f t="shared" si="63"/>
        <v>0</v>
      </c>
      <c r="M15" s="163" t="e">
        <f>VLOOKUP($B:$B,#REF!,4,FALSE)</f>
        <v>#REF!</v>
      </c>
      <c r="N15" s="432">
        <f t="shared" si="4"/>
        <v>0</v>
      </c>
      <c r="O15" s="433" t="str">
        <f>IFERROR(VLOOKUP($A15,#REF!,2,0),"0")</f>
        <v>0</v>
      </c>
      <c r="P15" s="432">
        <f t="shared" si="5"/>
        <v>0</v>
      </c>
      <c r="Q15" s="163" t="e">
        <f>VLOOKUP($B:$B,#REF!,5,FALSE)</f>
        <v>#REF!</v>
      </c>
      <c r="R15" s="432">
        <f t="shared" si="6"/>
        <v>0</v>
      </c>
      <c r="S15" s="433" t="str">
        <f>IFERROR(VLOOKUP($A15,#REF!,2,0),"0")</f>
        <v>0</v>
      </c>
      <c r="T15" s="432">
        <f t="shared" si="7"/>
        <v>0</v>
      </c>
      <c r="U15" s="163" t="e">
        <f>VLOOKUP($B:$B,#REF!,6,FALSE)</f>
        <v>#REF!</v>
      </c>
      <c r="V15" s="432">
        <f t="shared" si="8"/>
        <v>0</v>
      </c>
      <c r="W15" s="433" t="str">
        <f>IFERROR(VLOOKUP($A15,#REF!,2,0),"0")</f>
        <v>0</v>
      </c>
      <c r="X15" s="432">
        <f t="shared" si="9"/>
        <v>0</v>
      </c>
      <c r="Y15" s="163" t="e">
        <f>VLOOKUP($B:$B,#REF!,7,FALSE)</f>
        <v>#REF!</v>
      </c>
      <c r="Z15" s="432">
        <f t="shared" si="10"/>
        <v>0</v>
      </c>
      <c r="AA15" s="433" t="str">
        <f>IFERROR(VLOOKUP($A15,#REF!,2,0),"0")</f>
        <v>0</v>
      </c>
      <c r="AB15" s="432">
        <f t="shared" si="11"/>
        <v>0</v>
      </c>
      <c r="AC15" s="163" t="e">
        <f>VLOOKUP($B:$B,#REF!,8,FALSE)</f>
        <v>#REF!</v>
      </c>
      <c r="AD15" s="432">
        <f t="shared" si="12"/>
        <v>0</v>
      </c>
      <c r="AE15" s="433" t="str">
        <f>IFERROR(VLOOKUP($A15,#REF!,2,0),"0")</f>
        <v>0</v>
      </c>
      <c r="AF15" s="432">
        <f t="shared" si="13"/>
        <v>0</v>
      </c>
      <c r="AG15" s="163" t="e">
        <f>VLOOKUP($B:$B,#REF!,9,FALSE)</f>
        <v>#REF!</v>
      </c>
      <c r="AH15" s="432">
        <f t="shared" si="14"/>
        <v>0</v>
      </c>
      <c r="AI15" s="433" t="str">
        <f>IFERROR(VLOOKUP($A15,#REF!,2,0),"0")</f>
        <v>0</v>
      </c>
      <c r="AJ15" s="432">
        <f t="shared" si="15"/>
        <v>0</v>
      </c>
      <c r="AK15" s="163" t="e">
        <f>VLOOKUP($B:$B,#REF!,10,FALSE)</f>
        <v>#REF!</v>
      </c>
      <c r="AL15" s="432">
        <f t="shared" si="16"/>
        <v>0</v>
      </c>
      <c r="AM15" s="433" t="str">
        <f>IFERROR(VLOOKUP($A15,#REF!,2,0),"0")</f>
        <v>0</v>
      </c>
      <c r="AN15" s="432">
        <f t="shared" si="17"/>
        <v>0</v>
      </c>
      <c r="AO15" s="163" t="e">
        <f>VLOOKUP($B:$B,#REF!,11,FALSE)</f>
        <v>#REF!</v>
      </c>
      <c r="AP15" s="432">
        <f t="shared" si="18"/>
        <v>0</v>
      </c>
      <c r="AQ15" s="433" t="str">
        <f>IFERROR(VLOOKUP($A15,#REF!,2,0),"0")</f>
        <v>0</v>
      </c>
      <c r="AR15" s="432">
        <f t="shared" si="19"/>
        <v>0</v>
      </c>
      <c r="AS15" s="163" t="e">
        <f>VLOOKUP($B:$B,#REF!,12,FALSE)</f>
        <v>#REF!</v>
      </c>
      <c r="AT15" s="432">
        <f t="shared" si="20"/>
        <v>0</v>
      </c>
      <c r="AU15" s="433" t="str">
        <f>IFERROR(VLOOKUP($A15,#REF!,2,0),"0")</f>
        <v>0</v>
      </c>
      <c r="AV15" s="432">
        <f t="shared" si="21"/>
        <v>0</v>
      </c>
      <c r="AW15" s="163" t="e">
        <f>VLOOKUP($B:$B,#REF!,13,FALSE)</f>
        <v>#REF!</v>
      </c>
      <c r="AX15" s="432">
        <f t="shared" si="22"/>
        <v>0</v>
      </c>
      <c r="AY15" s="433" t="str">
        <f>IFERROR(VLOOKUP($A15,#REF!,2,0),"0")</f>
        <v>0</v>
      </c>
      <c r="AZ15" s="432">
        <f t="shared" si="23"/>
        <v>0</v>
      </c>
      <c r="BA15" s="163" t="e">
        <f>VLOOKUP($B:$B,#REF!,14,FALSE)</f>
        <v>#REF!</v>
      </c>
      <c r="BB15" s="432">
        <f t="shared" si="24"/>
        <v>0</v>
      </c>
      <c r="BC15" s="433" t="str">
        <f>IFERROR(VLOOKUP($A15,#REF!,2,0),"0")</f>
        <v>0</v>
      </c>
      <c r="BD15" s="432">
        <f t="shared" si="25"/>
        <v>0</v>
      </c>
      <c r="BE15" s="163" t="e">
        <f>VLOOKUP($B:$B,#REF!,15,FALSE)</f>
        <v>#REF!</v>
      </c>
      <c r="BF15" s="432">
        <f t="shared" si="26"/>
        <v>0</v>
      </c>
      <c r="BG15" s="433" t="str">
        <f>IFERROR(VLOOKUP($A15,#REF!,2,0),"0")</f>
        <v>0</v>
      </c>
      <c r="BH15" s="432">
        <f t="shared" si="27"/>
        <v>0</v>
      </c>
      <c r="BI15" s="163" t="e">
        <f>VLOOKUP($B:$B,#REF!,16,FALSE)</f>
        <v>#REF!</v>
      </c>
      <c r="BJ15" s="432">
        <f t="shared" si="28"/>
        <v>0</v>
      </c>
      <c r="BK15" s="433" t="str">
        <f>IFERROR(VLOOKUP($A15,#REF!,2,0),"0")</f>
        <v>0</v>
      </c>
      <c r="BL15" s="432">
        <f t="shared" si="29"/>
        <v>0</v>
      </c>
      <c r="BM15" s="163" t="e">
        <f>VLOOKUP($B:$B,#REF!,17,FALSE)</f>
        <v>#REF!</v>
      </c>
      <c r="BN15" s="432">
        <f t="shared" si="30"/>
        <v>0</v>
      </c>
      <c r="BO15" s="433" t="str">
        <f>IFERROR(VLOOKUP($A15,#REF!,2,0),"0")</f>
        <v>0</v>
      </c>
      <c r="BP15" s="432">
        <f t="shared" si="31"/>
        <v>0</v>
      </c>
      <c r="BQ15" s="163" t="e">
        <f>VLOOKUP($B:$B,#REF!,18,FALSE)</f>
        <v>#REF!</v>
      </c>
      <c r="BR15" s="432">
        <f t="shared" si="32"/>
        <v>0</v>
      </c>
      <c r="BS15" s="433" t="str">
        <f>IFERROR(VLOOKUP($A15,#REF!,2,0),"0")</f>
        <v>0</v>
      </c>
      <c r="BT15" s="432">
        <f t="shared" si="33"/>
        <v>0</v>
      </c>
      <c r="BU15" s="163" t="e">
        <f>VLOOKUP($B:$B,#REF!,19,FALSE)</f>
        <v>#REF!</v>
      </c>
      <c r="BV15" s="432">
        <f t="shared" si="34"/>
        <v>0</v>
      </c>
      <c r="BW15" s="433" t="str">
        <f>IFERROR(VLOOKUP($A15,#REF!,2,0),"0")</f>
        <v>0</v>
      </c>
      <c r="BX15" s="432">
        <f t="shared" si="35"/>
        <v>0</v>
      </c>
      <c r="BY15" s="163" t="e">
        <f>VLOOKUP($B:$B,#REF!,20,FALSE)</f>
        <v>#REF!</v>
      </c>
      <c r="BZ15" s="432">
        <f t="shared" si="36"/>
        <v>0</v>
      </c>
      <c r="CA15" s="433" t="str">
        <f>IFERROR(VLOOKUP($A15,#REF!,2,0),"0")</f>
        <v>0</v>
      </c>
      <c r="CB15" s="432">
        <f t="shared" si="37"/>
        <v>0</v>
      </c>
      <c r="CC15" s="163" t="e">
        <f>VLOOKUP($B:$B,#REF!,21,FALSE)</f>
        <v>#REF!</v>
      </c>
      <c r="CD15" s="432">
        <f t="shared" si="38"/>
        <v>0</v>
      </c>
      <c r="CE15" s="433" t="str">
        <f>IFERROR(VLOOKUP($A15,#REF!,2,0),"0")</f>
        <v>0</v>
      </c>
      <c r="CF15" s="432">
        <f t="shared" si="39"/>
        <v>0</v>
      </c>
      <c r="CG15" s="163" t="e">
        <f>VLOOKUP($B:$B,#REF!,22,FALSE)</f>
        <v>#REF!</v>
      </c>
      <c r="CH15" s="432">
        <f t="shared" si="40"/>
        <v>0</v>
      </c>
      <c r="CI15" s="433" t="str">
        <f>IFERROR(VLOOKUP($A15,#REF!,2,0),"0")</f>
        <v>0</v>
      </c>
      <c r="CJ15" s="432">
        <f t="shared" si="41"/>
        <v>0</v>
      </c>
      <c r="CK15" s="163" t="e">
        <f>VLOOKUP($B:$B,#REF!,23,FALSE)</f>
        <v>#REF!</v>
      </c>
      <c r="CL15" s="432">
        <f t="shared" si="42"/>
        <v>0</v>
      </c>
      <c r="CM15" s="433" t="str">
        <f>IFERROR(VLOOKUP($A15,#REF!,2,0),"0")</f>
        <v>0</v>
      </c>
      <c r="CN15" s="432">
        <f t="shared" si="43"/>
        <v>0</v>
      </c>
      <c r="CO15" s="163" t="e">
        <f>VLOOKUP($B:$B,#REF!,24,FALSE)</f>
        <v>#REF!</v>
      </c>
      <c r="CP15" s="432">
        <f t="shared" si="44"/>
        <v>0</v>
      </c>
      <c r="CQ15" s="433" t="str">
        <f>IFERROR(VLOOKUP($A15,#REF!,2,0),"0")</f>
        <v>0</v>
      </c>
      <c r="CR15" s="432">
        <f t="shared" si="45"/>
        <v>0</v>
      </c>
      <c r="CS15" s="163" t="e">
        <f>VLOOKUP($B:$B,#REF!,25,FALSE)</f>
        <v>#REF!</v>
      </c>
      <c r="CT15" s="432">
        <f t="shared" si="46"/>
        <v>0</v>
      </c>
      <c r="CU15" s="433"/>
      <c r="CV15" s="432">
        <f t="shared" si="47"/>
        <v>0</v>
      </c>
      <c r="CW15" s="163" t="e">
        <f>VLOOKUP($B:$B,#REF!,26,FALSE)</f>
        <v>#REF!</v>
      </c>
      <c r="CX15" s="432">
        <f t="shared" si="48"/>
        <v>0</v>
      </c>
      <c r="CY15" s="433"/>
      <c r="CZ15" s="432">
        <f t="shared" si="49"/>
        <v>0</v>
      </c>
      <c r="DA15" s="163" t="e">
        <f>VLOOKUP($B:$B,#REF!,27,FALSE)</f>
        <v>#REF!</v>
      </c>
      <c r="DB15" s="432">
        <f t="shared" si="50"/>
        <v>0</v>
      </c>
      <c r="DC15" s="433" t="str">
        <f>IFERROR(VLOOKUP($A15,#REF!,2,0),"0")</f>
        <v>0</v>
      </c>
      <c r="DD15" s="432">
        <f t="shared" si="51"/>
        <v>0</v>
      </c>
      <c r="DE15" s="163" t="e">
        <f>VLOOKUP($B:$B,#REF!,28,FALSE)</f>
        <v>#REF!</v>
      </c>
      <c r="DF15" s="432">
        <f t="shared" si="52"/>
        <v>0</v>
      </c>
      <c r="DG15" s="433" t="str">
        <f>IFERROR(VLOOKUP($A15,#REF!,2,0),"0")</f>
        <v>0</v>
      </c>
      <c r="DH15" s="432">
        <f t="shared" si="53"/>
        <v>0</v>
      </c>
      <c r="DI15" s="163" t="e">
        <f>VLOOKUP($B:$B,#REF!,29,FALSE)</f>
        <v>#REF!</v>
      </c>
      <c r="DJ15" s="432">
        <f t="shared" si="54"/>
        <v>0</v>
      </c>
      <c r="DK15" s="433" t="str">
        <f>IFERROR(VLOOKUP($A15,#REF!,2,0),"0")</f>
        <v>0</v>
      </c>
      <c r="DL15" s="432">
        <f t="shared" si="55"/>
        <v>0</v>
      </c>
      <c r="DM15" s="163" t="e">
        <f>VLOOKUP($B:$B,#REF!,30,FALSE)</f>
        <v>#REF!</v>
      </c>
      <c r="DN15" s="432">
        <f t="shared" si="56"/>
        <v>0</v>
      </c>
      <c r="DO15" s="432"/>
      <c r="DP15" s="432">
        <f t="shared" si="57"/>
        <v>0</v>
      </c>
      <c r="DQ15" s="163" t="e">
        <f>VLOOKUP($B:$B,#REF!,31,FALSE)</f>
        <v>#REF!</v>
      </c>
      <c r="DR15" s="432">
        <f t="shared" si="58"/>
        <v>0</v>
      </c>
      <c r="DS15" s="434"/>
      <c r="DT15" s="432">
        <f t="shared" si="59"/>
        <v>0</v>
      </c>
      <c r="DU15" s="163" t="e">
        <f>VLOOKUP($B:$B,#REF!,32,FALSE)</f>
        <v>#REF!</v>
      </c>
      <c r="DV15" s="432">
        <f t="shared" si="60"/>
        <v>0</v>
      </c>
      <c r="DW15" s="434"/>
      <c r="DX15" s="432">
        <f t="shared" si="61"/>
        <v>0</v>
      </c>
      <c r="DY15" s="432">
        <f t="shared" si="62"/>
        <v>0</v>
      </c>
    </row>
    <row r="16" spans="1:129" ht="15.75">
      <c r="A16" s="166" t="s">
        <v>115</v>
      </c>
      <c r="B16" s="506" t="s">
        <v>116</v>
      </c>
      <c r="C16" s="166">
        <v>1725022402</v>
      </c>
      <c r="D16" s="431">
        <v>35566</v>
      </c>
      <c r="E16" s="163" t="e">
        <f>VLOOKUP($B:$B,#REF!,2,FALSE)</f>
        <v>#REF!</v>
      </c>
      <c r="F16" s="432">
        <f t="shared" si="0"/>
        <v>0</v>
      </c>
      <c r="G16" s="433" t="str">
        <f>IFERROR(VLOOKUP($A16,#REF!,2,0),"0")</f>
        <v>0</v>
      </c>
      <c r="H16" s="432">
        <f t="shared" si="1"/>
        <v>0</v>
      </c>
      <c r="I16" s="163" t="e">
        <f>VLOOKUP($B:$B,#REF!,3,FALSE)</f>
        <v>#REF!</v>
      </c>
      <c r="J16" s="432">
        <f t="shared" si="2"/>
        <v>0</v>
      </c>
      <c r="K16" s="433" t="str">
        <f>IFERROR(VLOOKUP($A16,#REF!,2,0),"0")</f>
        <v>0</v>
      </c>
      <c r="L16" s="432">
        <f t="shared" si="63"/>
        <v>0</v>
      </c>
      <c r="M16" s="163" t="e">
        <f>VLOOKUP($B:$B,#REF!,4,FALSE)</f>
        <v>#REF!</v>
      </c>
      <c r="N16" s="432">
        <f t="shared" si="4"/>
        <v>0</v>
      </c>
      <c r="O16" s="433" t="str">
        <f>IFERROR(VLOOKUP($A16,#REF!,2,0),"0")</f>
        <v>0</v>
      </c>
      <c r="P16" s="432">
        <f t="shared" si="5"/>
        <v>0</v>
      </c>
      <c r="Q16" s="163" t="e">
        <f>VLOOKUP($B:$B,#REF!,5,FALSE)</f>
        <v>#REF!</v>
      </c>
      <c r="R16" s="432">
        <f t="shared" si="6"/>
        <v>0</v>
      </c>
      <c r="S16" s="433" t="str">
        <f>IFERROR(VLOOKUP($A16,#REF!,2,0),"0")</f>
        <v>0</v>
      </c>
      <c r="T16" s="432">
        <f t="shared" si="7"/>
        <v>0</v>
      </c>
      <c r="U16" s="163" t="e">
        <f>VLOOKUP($B:$B,#REF!,6,FALSE)</f>
        <v>#REF!</v>
      </c>
      <c r="V16" s="432">
        <f t="shared" si="8"/>
        <v>0</v>
      </c>
      <c r="W16" s="433" t="str">
        <f>IFERROR(VLOOKUP($A16,#REF!,2,0),"0")</f>
        <v>0</v>
      </c>
      <c r="X16" s="432">
        <f t="shared" si="9"/>
        <v>0</v>
      </c>
      <c r="Y16" s="163" t="e">
        <f>VLOOKUP($B:$B,#REF!,7,FALSE)</f>
        <v>#REF!</v>
      </c>
      <c r="Z16" s="432">
        <f t="shared" si="10"/>
        <v>0</v>
      </c>
      <c r="AA16" s="433" t="str">
        <f>IFERROR(VLOOKUP($A16,#REF!,2,0),"0")</f>
        <v>0</v>
      </c>
      <c r="AB16" s="432">
        <f t="shared" si="11"/>
        <v>0</v>
      </c>
      <c r="AC16" s="163" t="e">
        <f>VLOOKUP($B:$B,#REF!,8,FALSE)</f>
        <v>#REF!</v>
      </c>
      <c r="AD16" s="432">
        <f t="shared" si="12"/>
        <v>0</v>
      </c>
      <c r="AE16" s="433" t="str">
        <f>IFERROR(VLOOKUP($A16,#REF!,2,0),"0")</f>
        <v>0</v>
      </c>
      <c r="AF16" s="432">
        <f t="shared" si="13"/>
        <v>0</v>
      </c>
      <c r="AG16" s="163" t="e">
        <f>VLOOKUP($B:$B,#REF!,9,FALSE)</f>
        <v>#REF!</v>
      </c>
      <c r="AH16" s="432">
        <f t="shared" si="14"/>
        <v>0</v>
      </c>
      <c r="AI16" s="433" t="str">
        <f>IFERROR(VLOOKUP($A16,#REF!,2,0),"0")</f>
        <v>0</v>
      </c>
      <c r="AJ16" s="432">
        <f t="shared" si="15"/>
        <v>0</v>
      </c>
      <c r="AK16" s="163" t="e">
        <f>VLOOKUP($B:$B,#REF!,10,FALSE)</f>
        <v>#REF!</v>
      </c>
      <c r="AL16" s="432">
        <f t="shared" si="16"/>
        <v>0</v>
      </c>
      <c r="AM16" s="433" t="str">
        <f>IFERROR(VLOOKUP($A16,#REF!,2,0),"0")</f>
        <v>0</v>
      </c>
      <c r="AN16" s="432">
        <f t="shared" si="17"/>
        <v>0</v>
      </c>
      <c r="AO16" s="163" t="e">
        <f>VLOOKUP($B:$B,#REF!,11,FALSE)</f>
        <v>#REF!</v>
      </c>
      <c r="AP16" s="432">
        <f t="shared" si="18"/>
        <v>0</v>
      </c>
      <c r="AQ16" s="433" t="str">
        <f>IFERROR(VLOOKUP($A16,#REF!,2,0),"0")</f>
        <v>0</v>
      </c>
      <c r="AR16" s="432">
        <f t="shared" si="19"/>
        <v>0</v>
      </c>
      <c r="AS16" s="163" t="e">
        <f>VLOOKUP($B:$B,#REF!,12,FALSE)</f>
        <v>#REF!</v>
      </c>
      <c r="AT16" s="432">
        <f t="shared" si="20"/>
        <v>0</v>
      </c>
      <c r="AU16" s="433" t="str">
        <f>IFERROR(VLOOKUP($A16,#REF!,2,0),"0")</f>
        <v>0</v>
      </c>
      <c r="AV16" s="432">
        <f t="shared" si="21"/>
        <v>0</v>
      </c>
      <c r="AW16" s="163" t="e">
        <f>VLOOKUP($B:$B,#REF!,13,FALSE)</f>
        <v>#REF!</v>
      </c>
      <c r="AX16" s="432">
        <f t="shared" si="22"/>
        <v>0</v>
      </c>
      <c r="AY16" s="433" t="str">
        <f>IFERROR(VLOOKUP($A16,#REF!,2,0),"0")</f>
        <v>0</v>
      </c>
      <c r="AZ16" s="432">
        <f t="shared" si="23"/>
        <v>0</v>
      </c>
      <c r="BA16" s="163" t="e">
        <f>VLOOKUP($B:$B,#REF!,14,FALSE)</f>
        <v>#REF!</v>
      </c>
      <c r="BB16" s="432">
        <f t="shared" si="24"/>
        <v>0</v>
      </c>
      <c r="BC16" s="433" t="str">
        <f>IFERROR(VLOOKUP($A16,#REF!,2,0),"0")</f>
        <v>0</v>
      </c>
      <c r="BD16" s="432">
        <f t="shared" si="25"/>
        <v>0</v>
      </c>
      <c r="BE16" s="163" t="e">
        <f>VLOOKUP($B:$B,#REF!,15,FALSE)</f>
        <v>#REF!</v>
      </c>
      <c r="BF16" s="432">
        <f t="shared" si="26"/>
        <v>0</v>
      </c>
      <c r="BG16" s="433" t="str">
        <f>IFERROR(VLOOKUP($A16,#REF!,2,0),"0")</f>
        <v>0</v>
      </c>
      <c r="BH16" s="432">
        <f t="shared" si="27"/>
        <v>0</v>
      </c>
      <c r="BI16" s="163" t="e">
        <f>VLOOKUP($B:$B,#REF!,16,FALSE)</f>
        <v>#REF!</v>
      </c>
      <c r="BJ16" s="432">
        <f t="shared" si="28"/>
        <v>0</v>
      </c>
      <c r="BK16" s="433" t="str">
        <f>IFERROR(VLOOKUP($A16,#REF!,2,0),"0")</f>
        <v>0</v>
      </c>
      <c r="BL16" s="432">
        <f t="shared" si="29"/>
        <v>0</v>
      </c>
      <c r="BM16" s="163" t="e">
        <f>VLOOKUP($B:$B,#REF!,17,FALSE)</f>
        <v>#REF!</v>
      </c>
      <c r="BN16" s="432">
        <f t="shared" si="30"/>
        <v>0</v>
      </c>
      <c r="BO16" s="433" t="str">
        <f>IFERROR(VLOOKUP($A16,#REF!,2,0),"0")</f>
        <v>0</v>
      </c>
      <c r="BP16" s="432">
        <f t="shared" si="31"/>
        <v>0</v>
      </c>
      <c r="BQ16" s="163" t="e">
        <f>VLOOKUP($B:$B,#REF!,18,FALSE)</f>
        <v>#REF!</v>
      </c>
      <c r="BR16" s="432">
        <f t="shared" si="32"/>
        <v>0</v>
      </c>
      <c r="BS16" s="433" t="str">
        <f>IFERROR(VLOOKUP($A16,#REF!,2,0),"0")</f>
        <v>0</v>
      </c>
      <c r="BT16" s="432">
        <f t="shared" si="33"/>
        <v>0</v>
      </c>
      <c r="BU16" s="163" t="e">
        <f>VLOOKUP($B:$B,#REF!,19,FALSE)</f>
        <v>#REF!</v>
      </c>
      <c r="BV16" s="432">
        <f t="shared" si="34"/>
        <v>0</v>
      </c>
      <c r="BW16" s="433" t="str">
        <f>IFERROR(VLOOKUP($A16,#REF!,2,0),"0")</f>
        <v>0</v>
      </c>
      <c r="BX16" s="432">
        <f t="shared" si="35"/>
        <v>0</v>
      </c>
      <c r="BY16" s="163" t="e">
        <f>VLOOKUP($B:$B,#REF!,20,FALSE)</f>
        <v>#REF!</v>
      </c>
      <c r="BZ16" s="432">
        <f t="shared" si="36"/>
        <v>0</v>
      </c>
      <c r="CA16" s="433" t="str">
        <f>IFERROR(VLOOKUP($A16,#REF!,2,0),"0")</f>
        <v>0</v>
      </c>
      <c r="CB16" s="432">
        <f t="shared" si="37"/>
        <v>0</v>
      </c>
      <c r="CC16" s="163" t="e">
        <f>VLOOKUP($B:$B,#REF!,21,FALSE)</f>
        <v>#REF!</v>
      </c>
      <c r="CD16" s="432">
        <f t="shared" si="38"/>
        <v>0</v>
      </c>
      <c r="CE16" s="433" t="str">
        <f>IFERROR(VLOOKUP($A16,#REF!,2,0),"0")</f>
        <v>0</v>
      </c>
      <c r="CF16" s="432">
        <f t="shared" si="39"/>
        <v>0</v>
      </c>
      <c r="CG16" s="163" t="e">
        <f>VLOOKUP($B:$B,#REF!,22,FALSE)</f>
        <v>#REF!</v>
      </c>
      <c r="CH16" s="432">
        <f t="shared" si="40"/>
        <v>0</v>
      </c>
      <c r="CI16" s="433" t="str">
        <f>IFERROR(VLOOKUP($A16,#REF!,2,0),"0")</f>
        <v>0</v>
      </c>
      <c r="CJ16" s="432">
        <f t="shared" si="41"/>
        <v>0</v>
      </c>
      <c r="CK16" s="163" t="e">
        <f>VLOOKUP($B:$B,#REF!,23,FALSE)</f>
        <v>#REF!</v>
      </c>
      <c r="CL16" s="432">
        <f t="shared" si="42"/>
        <v>0</v>
      </c>
      <c r="CM16" s="433" t="str">
        <f>IFERROR(VLOOKUP($A16,#REF!,2,0),"0")</f>
        <v>0</v>
      </c>
      <c r="CN16" s="432">
        <f t="shared" si="43"/>
        <v>0</v>
      </c>
      <c r="CO16" s="163" t="e">
        <f>VLOOKUP($B:$B,#REF!,24,FALSE)</f>
        <v>#REF!</v>
      </c>
      <c r="CP16" s="432">
        <f t="shared" si="44"/>
        <v>0</v>
      </c>
      <c r="CQ16" s="433" t="str">
        <f>IFERROR(VLOOKUP($A16,#REF!,2,0),"0")</f>
        <v>0</v>
      </c>
      <c r="CR16" s="432">
        <f t="shared" si="45"/>
        <v>0</v>
      </c>
      <c r="CS16" s="163" t="e">
        <f>VLOOKUP($B:$B,#REF!,25,FALSE)</f>
        <v>#REF!</v>
      </c>
      <c r="CT16" s="432">
        <f t="shared" si="46"/>
        <v>0</v>
      </c>
      <c r="CU16" s="433" t="str">
        <f>IFERROR(VLOOKUP($A16,#REF!,2,0),"0")</f>
        <v>0</v>
      </c>
      <c r="CV16" s="432">
        <f t="shared" si="47"/>
        <v>0</v>
      </c>
      <c r="CW16" s="163" t="e">
        <f>VLOOKUP($B:$B,#REF!,26,FALSE)</f>
        <v>#REF!</v>
      </c>
      <c r="CX16" s="432">
        <f t="shared" si="48"/>
        <v>0</v>
      </c>
      <c r="CY16" s="433" t="str">
        <f>IFERROR(VLOOKUP($A16,#REF!,2,0),"0")</f>
        <v>0</v>
      </c>
      <c r="CZ16" s="432">
        <f t="shared" si="49"/>
        <v>0</v>
      </c>
      <c r="DA16" s="163" t="e">
        <f>VLOOKUP($B:$B,#REF!,27,FALSE)</f>
        <v>#REF!</v>
      </c>
      <c r="DB16" s="432">
        <f t="shared" si="50"/>
        <v>0</v>
      </c>
      <c r="DC16" s="433" t="str">
        <f>IFERROR(VLOOKUP($A16,#REF!,2,0),"0")</f>
        <v>0</v>
      </c>
      <c r="DD16" s="432">
        <f t="shared" si="51"/>
        <v>0</v>
      </c>
      <c r="DE16" s="163" t="e">
        <f>VLOOKUP($B:$B,#REF!,28,FALSE)</f>
        <v>#REF!</v>
      </c>
      <c r="DF16" s="432">
        <f t="shared" si="52"/>
        <v>0</v>
      </c>
      <c r="DG16" s="433" t="str">
        <f>IFERROR(VLOOKUP($A16,#REF!,2,0),"0")</f>
        <v>0</v>
      </c>
      <c r="DH16" s="432">
        <f t="shared" si="53"/>
        <v>0</v>
      </c>
      <c r="DI16" s="163" t="e">
        <f>VLOOKUP($B:$B,#REF!,29,FALSE)</f>
        <v>#REF!</v>
      </c>
      <c r="DJ16" s="432">
        <f t="shared" si="54"/>
        <v>0</v>
      </c>
      <c r="DK16" s="433" t="str">
        <f>IFERROR(VLOOKUP($A16,#REF!,2,0),"0")</f>
        <v>0</v>
      </c>
      <c r="DL16" s="432">
        <f t="shared" si="55"/>
        <v>0</v>
      </c>
      <c r="DM16" s="163" t="e">
        <f>VLOOKUP($B:$B,#REF!,30,FALSE)</f>
        <v>#REF!</v>
      </c>
      <c r="DN16" s="432">
        <f t="shared" si="56"/>
        <v>0</v>
      </c>
      <c r="DO16" s="432"/>
      <c r="DP16" s="432">
        <f t="shared" si="57"/>
        <v>0</v>
      </c>
      <c r="DQ16" s="163" t="e">
        <f>VLOOKUP($B:$B,#REF!,31,FALSE)</f>
        <v>#REF!</v>
      </c>
      <c r="DR16" s="432">
        <f t="shared" si="58"/>
        <v>0</v>
      </c>
      <c r="DS16" s="434"/>
      <c r="DT16" s="432">
        <f t="shared" si="59"/>
        <v>0</v>
      </c>
      <c r="DU16" s="163" t="e">
        <f>VLOOKUP($B:$B,#REF!,32,FALSE)</f>
        <v>#REF!</v>
      </c>
      <c r="DV16" s="432">
        <f t="shared" si="60"/>
        <v>0</v>
      </c>
      <c r="DW16" s="434"/>
      <c r="DX16" s="432">
        <f t="shared" si="61"/>
        <v>0</v>
      </c>
      <c r="DY16" s="432">
        <f t="shared" si="62"/>
        <v>0</v>
      </c>
    </row>
    <row r="17" spans="1:129" ht="15.75">
      <c r="A17" s="166" t="s">
        <v>120</v>
      </c>
      <c r="B17" s="506" t="s">
        <v>121</v>
      </c>
      <c r="C17" s="166">
        <v>1719967661</v>
      </c>
      <c r="D17" s="431">
        <v>35531</v>
      </c>
      <c r="E17" s="163" t="e">
        <f>VLOOKUP($B:$B,#REF!,2,FALSE)</f>
        <v>#REF!</v>
      </c>
      <c r="F17" s="432">
        <f t="shared" si="0"/>
        <v>0</v>
      </c>
      <c r="G17" s="433" t="str">
        <f>IFERROR(VLOOKUP($A17,#REF!,2,0),"0")</f>
        <v>0</v>
      </c>
      <c r="H17" s="432">
        <f t="shared" si="1"/>
        <v>0</v>
      </c>
      <c r="I17" s="163" t="e">
        <f>VLOOKUP($B:$B,#REF!,3,FALSE)</f>
        <v>#REF!</v>
      </c>
      <c r="J17" s="432">
        <f t="shared" si="2"/>
        <v>0</v>
      </c>
      <c r="K17" s="433" t="str">
        <f>IFERROR(VLOOKUP($A17,#REF!,2,0),"0")</f>
        <v>0</v>
      </c>
      <c r="L17" s="432">
        <f t="shared" si="63"/>
        <v>0</v>
      </c>
      <c r="M17" s="163" t="e">
        <f>VLOOKUP($B:$B,#REF!,4,FALSE)</f>
        <v>#REF!</v>
      </c>
      <c r="N17" s="432">
        <f t="shared" si="4"/>
        <v>0</v>
      </c>
      <c r="O17" s="433" t="str">
        <f>IFERROR(VLOOKUP($A17,#REF!,2,0),"0")</f>
        <v>0</v>
      </c>
      <c r="P17" s="432">
        <f t="shared" si="5"/>
        <v>0</v>
      </c>
      <c r="Q17" s="163" t="e">
        <f>VLOOKUP($B:$B,#REF!,5,FALSE)</f>
        <v>#REF!</v>
      </c>
      <c r="R17" s="432">
        <f t="shared" si="6"/>
        <v>0</v>
      </c>
      <c r="S17" s="433" t="str">
        <f>IFERROR(VLOOKUP($A17,#REF!,2,0),"0")</f>
        <v>0</v>
      </c>
      <c r="T17" s="432">
        <f t="shared" si="7"/>
        <v>0</v>
      </c>
      <c r="U17" s="163" t="e">
        <f>VLOOKUP($B:$B,#REF!,6,FALSE)</f>
        <v>#REF!</v>
      </c>
      <c r="V17" s="432">
        <f t="shared" si="8"/>
        <v>0</v>
      </c>
      <c r="W17" s="433" t="str">
        <f>IFERROR(VLOOKUP($A17,#REF!,2,0),"0")</f>
        <v>0</v>
      </c>
      <c r="X17" s="432">
        <f t="shared" si="9"/>
        <v>0</v>
      </c>
      <c r="Y17" s="163" t="e">
        <f>VLOOKUP($B:$B,#REF!,7,FALSE)</f>
        <v>#REF!</v>
      </c>
      <c r="Z17" s="432">
        <f t="shared" si="10"/>
        <v>0</v>
      </c>
      <c r="AA17" s="433" t="str">
        <f>IFERROR(VLOOKUP($A17,#REF!,2,0),"0")</f>
        <v>0</v>
      </c>
      <c r="AB17" s="432">
        <f t="shared" si="11"/>
        <v>0</v>
      </c>
      <c r="AC17" s="163" t="e">
        <f>VLOOKUP($B:$B,#REF!,8,FALSE)</f>
        <v>#REF!</v>
      </c>
      <c r="AD17" s="432">
        <f t="shared" si="12"/>
        <v>0</v>
      </c>
      <c r="AE17" s="433" t="str">
        <f>IFERROR(VLOOKUP($A17,#REF!,2,0),"0")</f>
        <v>0</v>
      </c>
      <c r="AF17" s="432">
        <f t="shared" si="13"/>
        <v>0</v>
      </c>
      <c r="AG17" s="163" t="e">
        <f>VLOOKUP($B:$B,#REF!,9,FALSE)</f>
        <v>#REF!</v>
      </c>
      <c r="AH17" s="432">
        <f t="shared" si="14"/>
        <v>0</v>
      </c>
      <c r="AI17" s="433" t="str">
        <f>IFERROR(VLOOKUP($A17,#REF!,2,0),"0")</f>
        <v>0</v>
      </c>
      <c r="AJ17" s="432">
        <f t="shared" si="15"/>
        <v>0</v>
      </c>
      <c r="AK17" s="163" t="e">
        <f>VLOOKUP($B:$B,#REF!,10,FALSE)</f>
        <v>#REF!</v>
      </c>
      <c r="AL17" s="432">
        <f t="shared" si="16"/>
        <v>0</v>
      </c>
      <c r="AM17" s="433" t="str">
        <f>IFERROR(VLOOKUP($A17,#REF!,2,0),"0")</f>
        <v>0</v>
      </c>
      <c r="AN17" s="432">
        <f t="shared" si="17"/>
        <v>0</v>
      </c>
      <c r="AO17" s="163" t="e">
        <f>VLOOKUP($B:$B,#REF!,11,FALSE)</f>
        <v>#REF!</v>
      </c>
      <c r="AP17" s="432">
        <f t="shared" si="18"/>
        <v>0</v>
      </c>
      <c r="AQ17" s="433" t="str">
        <f>IFERROR(VLOOKUP($A17,#REF!,2,0),"0")</f>
        <v>0</v>
      </c>
      <c r="AR17" s="432">
        <f t="shared" si="19"/>
        <v>0</v>
      </c>
      <c r="AS17" s="163" t="e">
        <f>VLOOKUP($B:$B,#REF!,12,FALSE)</f>
        <v>#REF!</v>
      </c>
      <c r="AT17" s="432">
        <f t="shared" si="20"/>
        <v>0</v>
      </c>
      <c r="AU17" s="433" t="str">
        <f>IFERROR(VLOOKUP($A17,#REF!,2,0),"0")</f>
        <v>0</v>
      </c>
      <c r="AV17" s="432">
        <f t="shared" si="21"/>
        <v>0</v>
      </c>
      <c r="AW17" s="163" t="e">
        <f>VLOOKUP($B:$B,#REF!,13,FALSE)</f>
        <v>#REF!</v>
      </c>
      <c r="AX17" s="432">
        <f t="shared" si="22"/>
        <v>0</v>
      </c>
      <c r="AY17" s="433" t="str">
        <f>IFERROR(VLOOKUP($A17,#REF!,2,0),"0")</f>
        <v>0</v>
      </c>
      <c r="AZ17" s="432">
        <f t="shared" si="23"/>
        <v>0</v>
      </c>
      <c r="BA17" s="163" t="e">
        <f>VLOOKUP($B:$B,#REF!,14,FALSE)</f>
        <v>#REF!</v>
      </c>
      <c r="BB17" s="432">
        <f t="shared" si="24"/>
        <v>0</v>
      </c>
      <c r="BC17" s="433" t="str">
        <f>IFERROR(VLOOKUP($A17,#REF!,2,0),"0")</f>
        <v>0</v>
      </c>
      <c r="BD17" s="432">
        <f t="shared" si="25"/>
        <v>0</v>
      </c>
      <c r="BE17" s="163" t="e">
        <f>VLOOKUP($B:$B,#REF!,15,FALSE)</f>
        <v>#REF!</v>
      </c>
      <c r="BF17" s="432">
        <f t="shared" si="26"/>
        <v>0</v>
      </c>
      <c r="BG17" s="433" t="str">
        <f>IFERROR(VLOOKUP($A17,#REF!,2,0),"0")</f>
        <v>0</v>
      </c>
      <c r="BH17" s="432">
        <f t="shared" si="27"/>
        <v>0</v>
      </c>
      <c r="BI17" s="163" t="e">
        <f>VLOOKUP($B:$B,#REF!,16,FALSE)</f>
        <v>#REF!</v>
      </c>
      <c r="BJ17" s="432">
        <f t="shared" si="28"/>
        <v>0</v>
      </c>
      <c r="BK17" s="433" t="str">
        <f>IFERROR(VLOOKUP($A17,#REF!,2,0),"0")</f>
        <v>0</v>
      </c>
      <c r="BL17" s="432">
        <f t="shared" si="29"/>
        <v>0</v>
      </c>
      <c r="BM17" s="163" t="e">
        <f>VLOOKUP($B:$B,#REF!,17,FALSE)</f>
        <v>#REF!</v>
      </c>
      <c r="BN17" s="432">
        <f t="shared" si="30"/>
        <v>0</v>
      </c>
      <c r="BO17" s="433" t="str">
        <f>IFERROR(VLOOKUP($A17,#REF!,2,0),"0")</f>
        <v>0</v>
      </c>
      <c r="BP17" s="432">
        <f t="shared" si="31"/>
        <v>0</v>
      </c>
      <c r="BQ17" s="163" t="e">
        <f>VLOOKUP($B:$B,#REF!,18,FALSE)</f>
        <v>#REF!</v>
      </c>
      <c r="BR17" s="432">
        <f t="shared" si="32"/>
        <v>0</v>
      </c>
      <c r="BS17" s="433" t="str">
        <f>IFERROR(VLOOKUP($A17,#REF!,2,0),"0")</f>
        <v>0</v>
      </c>
      <c r="BT17" s="432">
        <f t="shared" si="33"/>
        <v>0</v>
      </c>
      <c r="BU17" s="163" t="e">
        <f>VLOOKUP($B:$B,#REF!,19,FALSE)</f>
        <v>#REF!</v>
      </c>
      <c r="BV17" s="432">
        <f t="shared" si="34"/>
        <v>0</v>
      </c>
      <c r="BW17" s="433" t="str">
        <f>IFERROR(VLOOKUP($A17,#REF!,2,0),"0")</f>
        <v>0</v>
      </c>
      <c r="BX17" s="432">
        <f t="shared" si="35"/>
        <v>0</v>
      </c>
      <c r="BY17" s="163" t="e">
        <f>VLOOKUP($B:$B,#REF!,20,FALSE)</f>
        <v>#REF!</v>
      </c>
      <c r="BZ17" s="432">
        <f t="shared" si="36"/>
        <v>0</v>
      </c>
      <c r="CA17" s="433" t="str">
        <f>IFERROR(VLOOKUP($A17,#REF!,2,0),"0")</f>
        <v>0</v>
      </c>
      <c r="CB17" s="432">
        <f t="shared" si="37"/>
        <v>0</v>
      </c>
      <c r="CC17" s="163" t="e">
        <f>VLOOKUP($B:$B,#REF!,21,FALSE)</f>
        <v>#REF!</v>
      </c>
      <c r="CD17" s="432">
        <f t="shared" si="38"/>
        <v>0</v>
      </c>
      <c r="CE17" s="433" t="str">
        <f>IFERROR(VLOOKUP($A17,#REF!,2,0),"0")</f>
        <v>0</v>
      </c>
      <c r="CF17" s="432">
        <f t="shared" si="39"/>
        <v>0</v>
      </c>
      <c r="CG17" s="163" t="e">
        <f>VLOOKUP($B:$B,#REF!,22,FALSE)</f>
        <v>#REF!</v>
      </c>
      <c r="CH17" s="432">
        <f t="shared" si="40"/>
        <v>0</v>
      </c>
      <c r="CI17" s="433" t="str">
        <f>IFERROR(VLOOKUP($A17,#REF!,2,0),"0")</f>
        <v>0</v>
      </c>
      <c r="CJ17" s="432">
        <f t="shared" si="41"/>
        <v>0</v>
      </c>
      <c r="CK17" s="163" t="e">
        <f>VLOOKUP($B:$B,#REF!,23,FALSE)</f>
        <v>#REF!</v>
      </c>
      <c r="CL17" s="432">
        <f t="shared" si="42"/>
        <v>0</v>
      </c>
      <c r="CM17" s="433" t="str">
        <f>IFERROR(VLOOKUP($A17,#REF!,2,0),"0")</f>
        <v>0</v>
      </c>
      <c r="CN17" s="432">
        <f t="shared" si="43"/>
        <v>0</v>
      </c>
      <c r="CO17" s="163" t="e">
        <f>VLOOKUP($B:$B,#REF!,24,FALSE)</f>
        <v>#REF!</v>
      </c>
      <c r="CP17" s="432">
        <f t="shared" si="44"/>
        <v>0</v>
      </c>
      <c r="CQ17" s="433" t="str">
        <f>IFERROR(VLOOKUP($A17,#REF!,2,0),"0")</f>
        <v>0</v>
      </c>
      <c r="CR17" s="432">
        <f t="shared" si="45"/>
        <v>0</v>
      </c>
      <c r="CS17" s="163" t="e">
        <f>VLOOKUP($B:$B,#REF!,25,FALSE)</f>
        <v>#REF!</v>
      </c>
      <c r="CT17" s="432">
        <f t="shared" si="46"/>
        <v>0</v>
      </c>
      <c r="CU17" s="433" t="str">
        <f>IFERROR(VLOOKUP($A17,#REF!,2,0),"0")</f>
        <v>0</v>
      </c>
      <c r="CV17" s="432">
        <f t="shared" si="47"/>
        <v>0</v>
      </c>
      <c r="CW17" s="163" t="e">
        <f>VLOOKUP($B:$B,#REF!,26,FALSE)</f>
        <v>#REF!</v>
      </c>
      <c r="CX17" s="432">
        <f t="shared" si="48"/>
        <v>0</v>
      </c>
      <c r="CY17" s="433" t="str">
        <f>IFERROR(VLOOKUP($A17,#REF!,2,0),"0")</f>
        <v>0</v>
      </c>
      <c r="CZ17" s="432">
        <f t="shared" si="49"/>
        <v>0</v>
      </c>
      <c r="DA17" s="163" t="e">
        <f>VLOOKUP($B:$B,#REF!,27,FALSE)</f>
        <v>#REF!</v>
      </c>
      <c r="DB17" s="432">
        <f t="shared" si="50"/>
        <v>0</v>
      </c>
      <c r="DC17" s="433" t="str">
        <f>IFERROR(VLOOKUP($A17,#REF!,2,0),"0")</f>
        <v>0</v>
      </c>
      <c r="DD17" s="432">
        <f t="shared" si="51"/>
        <v>0</v>
      </c>
      <c r="DE17" s="163" t="e">
        <f>VLOOKUP($B:$B,#REF!,28,FALSE)</f>
        <v>#REF!</v>
      </c>
      <c r="DF17" s="432">
        <f t="shared" si="52"/>
        <v>0</v>
      </c>
      <c r="DG17" s="433" t="str">
        <f>IFERROR(VLOOKUP($A17,#REF!,2,0),"0")</f>
        <v>0</v>
      </c>
      <c r="DH17" s="432">
        <f t="shared" si="53"/>
        <v>0</v>
      </c>
      <c r="DI17" s="163" t="e">
        <f>VLOOKUP($B:$B,#REF!,29,FALSE)</f>
        <v>#REF!</v>
      </c>
      <c r="DJ17" s="432">
        <f t="shared" si="54"/>
        <v>0</v>
      </c>
      <c r="DK17" s="433" t="str">
        <f>IFERROR(VLOOKUP($A17,#REF!,2,0),"0")</f>
        <v>0</v>
      </c>
      <c r="DL17" s="432">
        <f t="shared" si="55"/>
        <v>0</v>
      </c>
      <c r="DM17" s="163" t="e">
        <f>VLOOKUP($B:$B,#REF!,30,FALSE)</f>
        <v>#REF!</v>
      </c>
      <c r="DN17" s="432">
        <f t="shared" si="56"/>
        <v>0</v>
      </c>
      <c r="DO17" s="432"/>
      <c r="DP17" s="432">
        <f t="shared" si="57"/>
        <v>0</v>
      </c>
      <c r="DQ17" s="163" t="e">
        <f>VLOOKUP($B:$B,#REF!,31,FALSE)</f>
        <v>#REF!</v>
      </c>
      <c r="DR17" s="432">
        <f t="shared" si="58"/>
        <v>0</v>
      </c>
      <c r="DS17" s="434"/>
      <c r="DT17" s="432">
        <f t="shared" si="59"/>
        <v>0</v>
      </c>
      <c r="DU17" s="163" t="e">
        <f>VLOOKUP($B:$B,#REF!,32,FALSE)</f>
        <v>#REF!</v>
      </c>
      <c r="DV17" s="432">
        <f t="shared" si="60"/>
        <v>0</v>
      </c>
      <c r="DW17" s="434"/>
      <c r="DX17" s="432">
        <f t="shared" si="61"/>
        <v>0</v>
      </c>
      <c r="DY17" s="432">
        <f t="shared" si="62"/>
        <v>0</v>
      </c>
    </row>
    <row r="18" spans="1:129" ht="15.75">
      <c r="A18" s="166" t="s">
        <v>124</v>
      </c>
      <c r="B18" s="506" t="s">
        <v>125</v>
      </c>
      <c r="C18" s="166">
        <v>1720632049</v>
      </c>
      <c r="D18" s="431">
        <v>35216</v>
      </c>
      <c r="E18" s="163" t="e">
        <f>VLOOKUP($B:$B,#REF!,2,FALSE)</f>
        <v>#REF!</v>
      </c>
      <c r="F18" s="432">
        <f t="shared" si="0"/>
        <v>0</v>
      </c>
      <c r="G18" s="433" t="str">
        <f>IFERROR(VLOOKUP($A18,#REF!,2,0),"0")</f>
        <v>0</v>
      </c>
      <c r="H18" s="432">
        <v>0</v>
      </c>
      <c r="I18" s="163" t="e">
        <f>VLOOKUP($B:$B,#REF!,3,FALSE)</f>
        <v>#REF!</v>
      </c>
      <c r="J18" s="432">
        <f t="shared" si="2"/>
        <v>0</v>
      </c>
      <c r="K18" s="433"/>
      <c r="L18" s="432">
        <f t="shared" si="63"/>
        <v>0</v>
      </c>
      <c r="M18" s="163" t="e">
        <f>VLOOKUP($B:$B,#REF!,4,FALSE)</f>
        <v>#REF!</v>
      </c>
      <c r="N18" s="432">
        <f t="shared" si="4"/>
        <v>0</v>
      </c>
      <c r="O18" s="433"/>
      <c r="P18" s="432">
        <f t="shared" si="5"/>
        <v>0</v>
      </c>
      <c r="Q18" s="163" t="e">
        <f>VLOOKUP($B:$B,#REF!,5,FALSE)</f>
        <v>#REF!</v>
      </c>
      <c r="R18" s="432">
        <f t="shared" si="6"/>
        <v>0</v>
      </c>
      <c r="S18" s="433"/>
      <c r="T18" s="432">
        <f t="shared" si="7"/>
        <v>0</v>
      </c>
      <c r="U18" s="163" t="e">
        <f>VLOOKUP($B:$B,#REF!,6,FALSE)</f>
        <v>#REF!</v>
      </c>
      <c r="V18" s="432">
        <f t="shared" si="8"/>
        <v>0</v>
      </c>
      <c r="W18" s="433" t="str">
        <f>IFERROR(VLOOKUP($A18,#REF!,2,0),"0")</f>
        <v>0</v>
      </c>
      <c r="X18" s="432">
        <f t="shared" si="9"/>
        <v>0</v>
      </c>
      <c r="Y18" s="163" t="e">
        <f>VLOOKUP($B:$B,#REF!,7,FALSE)</f>
        <v>#REF!</v>
      </c>
      <c r="Z18" s="432">
        <f t="shared" si="10"/>
        <v>0</v>
      </c>
      <c r="AA18" s="433" t="str">
        <f>IFERROR(VLOOKUP($A18,#REF!,2,0),"0")</f>
        <v>0</v>
      </c>
      <c r="AB18" s="432">
        <f t="shared" si="11"/>
        <v>0</v>
      </c>
      <c r="AC18" s="163" t="e">
        <f>VLOOKUP($B:$B,#REF!,8,FALSE)</f>
        <v>#REF!</v>
      </c>
      <c r="AD18" s="432">
        <f t="shared" si="12"/>
        <v>0</v>
      </c>
      <c r="AE18" s="433" t="str">
        <f>IFERROR(VLOOKUP($A18,#REF!,2,0),"0")</f>
        <v>0</v>
      </c>
      <c r="AF18" s="432">
        <f t="shared" si="13"/>
        <v>0</v>
      </c>
      <c r="AG18" s="163" t="e">
        <f>VLOOKUP($B:$B,#REF!,9,FALSE)</f>
        <v>#REF!</v>
      </c>
      <c r="AH18" s="432">
        <f t="shared" si="14"/>
        <v>0</v>
      </c>
      <c r="AI18" s="433" t="str">
        <f>IFERROR(VLOOKUP($A18,#REF!,2,0),"0")</f>
        <v>0</v>
      </c>
      <c r="AJ18" s="432">
        <f t="shared" si="15"/>
        <v>0</v>
      </c>
      <c r="AK18" s="163" t="e">
        <f>VLOOKUP($B:$B,#REF!,10,FALSE)</f>
        <v>#REF!</v>
      </c>
      <c r="AL18" s="432">
        <f t="shared" si="16"/>
        <v>0</v>
      </c>
      <c r="AM18" s="433" t="str">
        <f>IFERROR(VLOOKUP($A18,#REF!,2,0),"0")</f>
        <v>0</v>
      </c>
      <c r="AN18" s="432">
        <f t="shared" si="17"/>
        <v>0</v>
      </c>
      <c r="AO18" s="163" t="e">
        <f>VLOOKUP($B:$B,#REF!,11,FALSE)</f>
        <v>#REF!</v>
      </c>
      <c r="AP18" s="432">
        <f t="shared" si="18"/>
        <v>0</v>
      </c>
      <c r="AQ18" s="433" t="str">
        <f>IFERROR(VLOOKUP($A18,#REF!,2,0),"0")</f>
        <v>0</v>
      </c>
      <c r="AR18" s="432">
        <f t="shared" si="19"/>
        <v>0</v>
      </c>
      <c r="AS18" s="163" t="e">
        <f>VLOOKUP($B:$B,#REF!,12,FALSE)</f>
        <v>#REF!</v>
      </c>
      <c r="AT18" s="432">
        <f t="shared" si="20"/>
        <v>0</v>
      </c>
      <c r="AU18" s="433" t="str">
        <f>IFERROR(VLOOKUP($A18,#REF!,2,0),"0")</f>
        <v>0</v>
      </c>
      <c r="AV18" s="432">
        <f t="shared" si="21"/>
        <v>0</v>
      </c>
      <c r="AW18" s="163" t="e">
        <f>VLOOKUP($B:$B,#REF!,13,FALSE)</f>
        <v>#REF!</v>
      </c>
      <c r="AX18" s="432">
        <f t="shared" si="22"/>
        <v>0</v>
      </c>
      <c r="AY18" s="433" t="str">
        <f>IFERROR(VLOOKUP($A18,#REF!,2,0),"0")</f>
        <v>0</v>
      </c>
      <c r="AZ18" s="432">
        <f t="shared" si="23"/>
        <v>0</v>
      </c>
      <c r="BA18" s="163" t="e">
        <f>VLOOKUP($B:$B,#REF!,14,FALSE)</f>
        <v>#REF!</v>
      </c>
      <c r="BB18" s="432">
        <f t="shared" si="24"/>
        <v>0</v>
      </c>
      <c r="BC18" s="433" t="str">
        <f>IFERROR(VLOOKUP($A18,#REF!,2,0),"0")</f>
        <v>0</v>
      </c>
      <c r="BD18" s="432">
        <f t="shared" si="25"/>
        <v>0</v>
      </c>
      <c r="BE18" s="163" t="e">
        <f>VLOOKUP($B:$B,#REF!,15,FALSE)</f>
        <v>#REF!</v>
      </c>
      <c r="BF18" s="432">
        <f t="shared" si="26"/>
        <v>0</v>
      </c>
      <c r="BG18" s="433" t="str">
        <f>IFERROR(VLOOKUP($A18,#REF!,2,0),"0")</f>
        <v>0</v>
      </c>
      <c r="BH18" s="432">
        <f t="shared" si="27"/>
        <v>0</v>
      </c>
      <c r="BI18" s="163" t="e">
        <f>VLOOKUP($B:$B,#REF!,16,FALSE)</f>
        <v>#REF!</v>
      </c>
      <c r="BJ18" s="432">
        <f t="shared" si="28"/>
        <v>0</v>
      </c>
      <c r="BK18" s="433" t="str">
        <f>IFERROR(VLOOKUP($A18,#REF!,2,0),"0")</f>
        <v>0</v>
      </c>
      <c r="BL18" s="432">
        <f t="shared" si="29"/>
        <v>0</v>
      </c>
      <c r="BM18" s="163" t="e">
        <f>VLOOKUP($B:$B,#REF!,17,FALSE)</f>
        <v>#REF!</v>
      </c>
      <c r="BN18" s="432">
        <f t="shared" si="30"/>
        <v>0</v>
      </c>
      <c r="BO18" s="433" t="str">
        <f>IFERROR(VLOOKUP($A18,#REF!,2,0),"0")</f>
        <v>0</v>
      </c>
      <c r="BP18" s="432">
        <f t="shared" si="31"/>
        <v>0</v>
      </c>
      <c r="BQ18" s="163" t="e">
        <f>VLOOKUP($B:$B,#REF!,18,FALSE)</f>
        <v>#REF!</v>
      </c>
      <c r="BR18" s="432">
        <f t="shared" si="32"/>
        <v>0</v>
      </c>
      <c r="BS18" s="433" t="str">
        <f>IFERROR(VLOOKUP($A18,#REF!,2,0),"0")</f>
        <v>0</v>
      </c>
      <c r="BT18" s="432">
        <f t="shared" si="33"/>
        <v>0</v>
      </c>
      <c r="BU18" s="163" t="e">
        <f>VLOOKUP($B:$B,#REF!,19,FALSE)</f>
        <v>#REF!</v>
      </c>
      <c r="BV18" s="432">
        <f t="shared" si="34"/>
        <v>0</v>
      </c>
      <c r="BW18" s="433" t="str">
        <f>IFERROR(VLOOKUP($A18,#REF!,2,0),"0")</f>
        <v>0</v>
      </c>
      <c r="BX18" s="432">
        <f t="shared" si="35"/>
        <v>0</v>
      </c>
      <c r="BY18" s="163" t="e">
        <f>VLOOKUP($B:$B,#REF!,20,FALSE)</f>
        <v>#REF!</v>
      </c>
      <c r="BZ18" s="432">
        <f t="shared" si="36"/>
        <v>0</v>
      </c>
      <c r="CA18" s="433" t="str">
        <f>IFERROR(VLOOKUP($A18,#REF!,2,0),"0")</f>
        <v>0</v>
      </c>
      <c r="CB18" s="432">
        <f t="shared" si="37"/>
        <v>0</v>
      </c>
      <c r="CC18" s="163" t="e">
        <f>VLOOKUP($B:$B,#REF!,21,FALSE)</f>
        <v>#REF!</v>
      </c>
      <c r="CD18" s="432">
        <f t="shared" si="38"/>
        <v>0</v>
      </c>
      <c r="CE18" s="433" t="str">
        <f>IFERROR(VLOOKUP($A18,#REF!,2,0),"0")</f>
        <v>0</v>
      </c>
      <c r="CF18" s="432">
        <f t="shared" si="39"/>
        <v>0</v>
      </c>
      <c r="CG18" s="163" t="e">
        <f>VLOOKUP($B:$B,#REF!,22,FALSE)</f>
        <v>#REF!</v>
      </c>
      <c r="CH18" s="432">
        <f t="shared" si="40"/>
        <v>0</v>
      </c>
      <c r="CI18" s="433" t="str">
        <f>IFERROR(VLOOKUP($A18,#REF!,2,0),"0")</f>
        <v>0</v>
      </c>
      <c r="CJ18" s="432">
        <f t="shared" si="41"/>
        <v>0</v>
      </c>
      <c r="CK18" s="163" t="e">
        <f>VLOOKUP($B:$B,#REF!,23,FALSE)</f>
        <v>#REF!</v>
      </c>
      <c r="CL18" s="432">
        <f t="shared" si="42"/>
        <v>0</v>
      </c>
      <c r="CM18" s="433" t="str">
        <f>IFERROR(VLOOKUP($A18,#REF!,2,0),"0")</f>
        <v>0</v>
      </c>
      <c r="CN18" s="432">
        <f t="shared" si="43"/>
        <v>0</v>
      </c>
      <c r="CO18" s="163" t="e">
        <f>VLOOKUP($B:$B,#REF!,24,FALSE)</f>
        <v>#REF!</v>
      </c>
      <c r="CP18" s="432">
        <f t="shared" si="44"/>
        <v>0</v>
      </c>
      <c r="CQ18" s="433" t="str">
        <f>IFERROR(VLOOKUP($A18,#REF!,2,0),"0")</f>
        <v>0</v>
      </c>
      <c r="CR18" s="432">
        <f t="shared" si="45"/>
        <v>0</v>
      </c>
      <c r="CS18" s="163" t="e">
        <f>VLOOKUP($B:$B,#REF!,25,FALSE)</f>
        <v>#REF!</v>
      </c>
      <c r="CT18" s="432">
        <f t="shared" si="46"/>
        <v>0</v>
      </c>
      <c r="CU18" s="433" t="str">
        <f>IFERROR(VLOOKUP($A18,#REF!,2,0),"0")</f>
        <v>0</v>
      </c>
      <c r="CV18" s="432">
        <f t="shared" si="47"/>
        <v>0</v>
      </c>
      <c r="CW18" s="163" t="e">
        <f>VLOOKUP($B:$B,#REF!,26,FALSE)</f>
        <v>#REF!</v>
      </c>
      <c r="CX18" s="432">
        <f t="shared" si="48"/>
        <v>0</v>
      </c>
      <c r="CY18" s="433" t="str">
        <f>IFERROR(VLOOKUP($A18,#REF!,2,0),"0")</f>
        <v>0</v>
      </c>
      <c r="CZ18" s="432">
        <f t="shared" si="49"/>
        <v>0</v>
      </c>
      <c r="DA18" s="163" t="e">
        <f>VLOOKUP($B:$B,#REF!,27,FALSE)</f>
        <v>#REF!</v>
      </c>
      <c r="DB18" s="432">
        <f t="shared" si="50"/>
        <v>0</v>
      </c>
      <c r="DC18" s="433" t="str">
        <f>IFERROR(VLOOKUP($A18,#REF!,2,0),"0")</f>
        <v>0</v>
      </c>
      <c r="DD18" s="432">
        <f t="shared" si="51"/>
        <v>0</v>
      </c>
      <c r="DE18" s="163" t="e">
        <f>VLOOKUP($B:$B,#REF!,28,FALSE)</f>
        <v>#REF!</v>
      </c>
      <c r="DF18" s="432">
        <f t="shared" si="52"/>
        <v>0</v>
      </c>
      <c r="DG18" s="433" t="str">
        <f>IFERROR(VLOOKUP($A18,#REF!,2,0),"0")</f>
        <v>0</v>
      </c>
      <c r="DH18" s="432">
        <f t="shared" si="53"/>
        <v>0</v>
      </c>
      <c r="DI18" s="163" t="e">
        <f>VLOOKUP($B:$B,#REF!,29,FALSE)</f>
        <v>#REF!</v>
      </c>
      <c r="DJ18" s="432">
        <f t="shared" si="54"/>
        <v>0</v>
      </c>
      <c r="DK18" s="433" t="str">
        <f>IFERROR(VLOOKUP($A18,#REF!,2,0),"0")</f>
        <v>0</v>
      </c>
      <c r="DL18" s="432">
        <f t="shared" si="55"/>
        <v>0</v>
      </c>
      <c r="DM18" s="163" t="e">
        <f>VLOOKUP($B:$B,#REF!,30,FALSE)</f>
        <v>#REF!</v>
      </c>
      <c r="DN18" s="432">
        <f t="shared" si="56"/>
        <v>0</v>
      </c>
      <c r="DO18" s="432"/>
      <c r="DP18" s="432">
        <f t="shared" si="57"/>
        <v>0</v>
      </c>
      <c r="DQ18" s="163" t="e">
        <f>VLOOKUP($B:$B,#REF!,31,FALSE)</f>
        <v>#REF!</v>
      </c>
      <c r="DR18" s="432">
        <f t="shared" si="58"/>
        <v>0</v>
      </c>
      <c r="DS18" s="434"/>
      <c r="DT18" s="432">
        <f t="shared" si="59"/>
        <v>0</v>
      </c>
      <c r="DU18" s="163" t="e">
        <f>VLOOKUP($B:$B,#REF!,32,FALSE)</f>
        <v>#REF!</v>
      </c>
      <c r="DV18" s="432">
        <f t="shared" si="60"/>
        <v>0</v>
      </c>
      <c r="DW18" s="434"/>
      <c r="DX18" s="432">
        <f t="shared" si="61"/>
        <v>0</v>
      </c>
      <c r="DY18" s="432">
        <f t="shared" si="62"/>
        <v>0</v>
      </c>
    </row>
    <row r="19" spans="1:129" ht="15.75">
      <c r="A19" s="166" t="s">
        <v>128</v>
      </c>
      <c r="B19" s="506" t="s">
        <v>129</v>
      </c>
      <c r="C19" s="166">
        <v>1725573081</v>
      </c>
      <c r="D19" s="431">
        <v>37311</v>
      </c>
      <c r="E19" s="163" t="e">
        <f>VLOOKUP($B:$B,#REF!,2,FALSE)</f>
        <v>#REF!</v>
      </c>
      <c r="F19" s="432">
        <f t="shared" si="0"/>
        <v>0</v>
      </c>
      <c r="G19" s="433" t="str">
        <f>IFERROR(VLOOKUP($A19,#REF!,2,0),"0")</f>
        <v>0</v>
      </c>
      <c r="H19" s="432">
        <f t="shared" ref="H19:H30" si="64">IF(G19-F19&lt;0,0,G19-F19)</f>
        <v>0</v>
      </c>
      <c r="I19" s="163" t="e">
        <f>VLOOKUP($B:$B,#REF!,3,FALSE)</f>
        <v>#REF!</v>
      </c>
      <c r="J19" s="432">
        <f t="shared" si="2"/>
        <v>0</v>
      </c>
      <c r="K19" s="433" t="str">
        <f>IFERROR(VLOOKUP($A19,#REF!,2,0),"0")</f>
        <v>0</v>
      </c>
      <c r="L19" s="432">
        <f t="shared" si="63"/>
        <v>0</v>
      </c>
      <c r="M19" s="163" t="e">
        <f>VLOOKUP($B:$B,#REF!,4,FALSE)</f>
        <v>#REF!</v>
      </c>
      <c r="N19" s="432">
        <f t="shared" si="4"/>
        <v>0</v>
      </c>
      <c r="O19" s="433" t="str">
        <f>IFERROR(VLOOKUP($A19,#REF!,2,0),"0")</f>
        <v>0</v>
      </c>
      <c r="P19" s="432">
        <f t="shared" si="5"/>
        <v>0</v>
      </c>
      <c r="Q19" s="163" t="e">
        <f>VLOOKUP($B:$B,#REF!,5,FALSE)</f>
        <v>#REF!</v>
      </c>
      <c r="R19" s="432">
        <f t="shared" si="6"/>
        <v>0</v>
      </c>
      <c r="S19" s="433" t="str">
        <f>IFERROR(VLOOKUP($A19,#REF!,2,0),"0")</f>
        <v>0</v>
      </c>
      <c r="T19" s="432">
        <f t="shared" si="7"/>
        <v>0</v>
      </c>
      <c r="U19" s="163" t="e">
        <f>VLOOKUP($B:$B,#REF!,6,FALSE)</f>
        <v>#REF!</v>
      </c>
      <c r="V19" s="432">
        <f t="shared" si="8"/>
        <v>0</v>
      </c>
      <c r="W19" s="433" t="str">
        <f>IFERROR(VLOOKUP($A19,#REF!,2,0),"0")</f>
        <v>0</v>
      </c>
      <c r="X19" s="432">
        <f t="shared" si="9"/>
        <v>0</v>
      </c>
      <c r="Y19" s="163" t="e">
        <f>VLOOKUP($B:$B,#REF!,7,FALSE)</f>
        <v>#REF!</v>
      </c>
      <c r="Z19" s="432">
        <f t="shared" si="10"/>
        <v>0</v>
      </c>
      <c r="AA19" s="433" t="str">
        <f>IFERROR(VLOOKUP($A19,#REF!,2,0),"0")</f>
        <v>0</v>
      </c>
      <c r="AB19" s="432">
        <f t="shared" si="11"/>
        <v>0</v>
      </c>
      <c r="AC19" s="163" t="e">
        <f>VLOOKUP($B:$B,#REF!,8,FALSE)</f>
        <v>#REF!</v>
      </c>
      <c r="AD19" s="432">
        <f t="shared" si="12"/>
        <v>0</v>
      </c>
      <c r="AE19" s="433" t="str">
        <f>IFERROR(VLOOKUP($A19,#REF!,2,0),"0")</f>
        <v>0</v>
      </c>
      <c r="AF19" s="432">
        <f t="shared" si="13"/>
        <v>0</v>
      </c>
      <c r="AG19" s="163" t="e">
        <f>VLOOKUP($B:$B,#REF!,9,FALSE)</f>
        <v>#REF!</v>
      </c>
      <c r="AH19" s="432">
        <f t="shared" si="14"/>
        <v>0</v>
      </c>
      <c r="AI19" s="433" t="str">
        <f>IFERROR(VLOOKUP($A19,#REF!,2,0),"0")</f>
        <v>0</v>
      </c>
      <c r="AJ19" s="432">
        <f t="shared" si="15"/>
        <v>0</v>
      </c>
      <c r="AK19" s="163" t="e">
        <f>VLOOKUP($B:$B,#REF!,10,FALSE)</f>
        <v>#REF!</v>
      </c>
      <c r="AL19" s="432">
        <f t="shared" si="16"/>
        <v>0</v>
      </c>
      <c r="AM19" s="433" t="str">
        <f>IFERROR(VLOOKUP($A19,#REF!,2,0),"0")</f>
        <v>0</v>
      </c>
      <c r="AN19" s="432">
        <f t="shared" si="17"/>
        <v>0</v>
      </c>
      <c r="AO19" s="163" t="e">
        <f>VLOOKUP($B:$B,#REF!,11,FALSE)</f>
        <v>#REF!</v>
      </c>
      <c r="AP19" s="432">
        <f t="shared" si="18"/>
        <v>0</v>
      </c>
      <c r="AQ19" s="433" t="str">
        <f>IFERROR(VLOOKUP($A19,#REF!,2,0),"0")</f>
        <v>0</v>
      </c>
      <c r="AR19" s="432">
        <f t="shared" si="19"/>
        <v>0</v>
      </c>
      <c r="AS19" s="163" t="e">
        <f>VLOOKUP($B:$B,#REF!,12,FALSE)</f>
        <v>#REF!</v>
      </c>
      <c r="AT19" s="432">
        <f t="shared" si="20"/>
        <v>0</v>
      </c>
      <c r="AU19" s="433" t="str">
        <f>IFERROR(VLOOKUP($A19,#REF!,2,0),"0")</f>
        <v>0</v>
      </c>
      <c r="AV19" s="432">
        <f t="shared" si="21"/>
        <v>0</v>
      </c>
      <c r="AW19" s="163" t="e">
        <f>VLOOKUP($B:$B,#REF!,13,FALSE)</f>
        <v>#REF!</v>
      </c>
      <c r="AX19" s="432">
        <f t="shared" si="22"/>
        <v>0</v>
      </c>
      <c r="AY19" s="433">
        <v>0</v>
      </c>
      <c r="AZ19" s="432">
        <f t="shared" si="23"/>
        <v>0</v>
      </c>
      <c r="BA19" s="163" t="e">
        <f>VLOOKUP($B:$B,#REF!,14,FALSE)</f>
        <v>#REF!</v>
      </c>
      <c r="BB19" s="432">
        <f t="shared" si="24"/>
        <v>0</v>
      </c>
      <c r="BC19" s="433" t="str">
        <f>IFERROR(VLOOKUP($A19,#REF!,2,0),"0")</f>
        <v>0</v>
      </c>
      <c r="BD19" s="432">
        <f t="shared" si="25"/>
        <v>0</v>
      </c>
      <c r="BE19" s="163" t="e">
        <f>VLOOKUP($B:$B,#REF!,15,FALSE)</f>
        <v>#REF!</v>
      </c>
      <c r="BF19" s="432">
        <f t="shared" si="26"/>
        <v>0</v>
      </c>
      <c r="BG19" s="433" t="str">
        <f>IFERROR(VLOOKUP($A19,#REF!,2,0),"0")</f>
        <v>0</v>
      </c>
      <c r="BH19" s="432">
        <f t="shared" si="27"/>
        <v>0</v>
      </c>
      <c r="BI19" s="163" t="e">
        <f>VLOOKUP($B:$B,#REF!,16,FALSE)</f>
        <v>#REF!</v>
      </c>
      <c r="BJ19" s="432">
        <f t="shared" si="28"/>
        <v>0</v>
      </c>
      <c r="BK19" s="433" t="str">
        <f>IFERROR(VLOOKUP($A19,#REF!,2,0),"0")</f>
        <v>0</v>
      </c>
      <c r="BL19" s="432">
        <f t="shared" si="29"/>
        <v>0</v>
      </c>
      <c r="BM19" s="163" t="e">
        <f>VLOOKUP($B:$B,#REF!,17,FALSE)</f>
        <v>#REF!</v>
      </c>
      <c r="BN19" s="432">
        <f t="shared" si="30"/>
        <v>0</v>
      </c>
      <c r="BO19" s="433" t="str">
        <f>IFERROR(VLOOKUP($A19,#REF!,2,0),"0")</f>
        <v>0</v>
      </c>
      <c r="BP19" s="432">
        <f t="shared" si="31"/>
        <v>0</v>
      </c>
      <c r="BQ19" s="163" t="e">
        <f>VLOOKUP($B:$B,#REF!,18,FALSE)</f>
        <v>#REF!</v>
      </c>
      <c r="BR19" s="432">
        <f t="shared" si="32"/>
        <v>0</v>
      </c>
      <c r="BS19" s="433" t="str">
        <f>IFERROR(VLOOKUP($A19,#REF!,2,0),"0")</f>
        <v>0</v>
      </c>
      <c r="BT19" s="432">
        <f t="shared" si="33"/>
        <v>0</v>
      </c>
      <c r="BU19" s="163" t="e">
        <f>VLOOKUP($B:$B,#REF!,19,FALSE)</f>
        <v>#REF!</v>
      </c>
      <c r="BV19" s="432">
        <f t="shared" si="34"/>
        <v>0</v>
      </c>
      <c r="BW19" s="433" t="str">
        <f>IFERROR(VLOOKUP($A19,#REF!,2,0),"0")</f>
        <v>0</v>
      </c>
      <c r="BX19" s="432">
        <f t="shared" si="35"/>
        <v>0</v>
      </c>
      <c r="BY19" s="163" t="e">
        <f>VLOOKUP($B:$B,#REF!,20,FALSE)</f>
        <v>#REF!</v>
      </c>
      <c r="BZ19" s="432">
        <f t="shared" si="36"/>
        <v>0</v>
      </c>
      <c r="CA19" s="433" t="str">
        <f>IFERROR(VLOOKUP($A19,#REF!,2,0),"0")</f>
        <v>0</v>
      </c>
      <c r="CB19" s="432">
        <f t="shared" si="37"/>
        <v>0</v>
      </c>
      <c r="CC19" s="163" t="e">
        <f>VLOOKUP($B:$B,#REF!,21,FALSE)</f>
        <v>#REF!</v>
      </c>
      <c r="CD19" s="432">
        <f t="shared" si="38"/>
        <v>0</v>
      </c>
      <c r="CE19" s="433" t="str">
        <f>IFERROR(VLOOKUP($A19,#REF!,2,0),"0")</f>
        <v>0</v>
      </c>
      <c r="CF19" s="432">
        <f t="shared" si="39"/>
        <v>0</v>
      </c>
      <c r="CG19" s="163" t="e">
        <f>VLOOKUP($B:$B,#REF!,22,FALSE)</f>
        <v>#REF!</v>
      </c>
      <c r="CH19" s="432">
        <f t="shared" si="40"/>
        <v>0</v>
      </c>
      <c r="CI19" s="433" t="str">
        <f>IFERROR(VLOOKUP($A19,#REF!,2,0),"0")</f>
        <v>0</v>
      </c>
      <c r="CJ19" s="432">
        <f t="shared" si="41"/>
        <v>0</v>
      </c>
      <c r="CK19" s="163" t="e">
        <f>VLOOKUP($B:$B,#REF!,23,FALSE)</f>
        <v>#REF!</v>
      </c>
      <c r="CL19" s="432">
        <f t="shared" si="42"/>
        <v>0</v>
      </c>
      <c r="CM19" s="433" t="str">
        <f>IFERROR(VLOOKUP($A19,#REF!,2,0),"0")</f>
        <v>0</v>
      </c>
      <c r="CN19" s="432">
        <f t="shared" si="43"/>
        <v>0</v>
      </c>
      <c r="CO19" s="163" t="e">
        <f>VLOOKUP($B:$B,#REF!,24,FALSE)</f>
        <v>#REF!</v>
      </c>
      <c r="CP19" s="432">
        <f t="shared" si="44"/>
        <v>0</v>
      </c>
      <c r="CQ19" s="433" t="str">
        <f>IFERROR(VLOOKUP($A19,#REF!,2,0),"0")</f>
        <v>0</v>
      </c>
      <c r="CR19" s="432">
        <f t="shared" si="45"/>
        <v>0</v>
      </c>
      <c r="CS19" s="163" t="e">
        <f>VLOOKUP($B:$B,#REF!,25,FALSE)</f>
        <v>#REF!</v>
      </c>
      <c r="CT19" s="432">
        <f t="shared" si="46"/>
        <v>0</v>
      </c>
      <c r="CU19" s="433" t="str">
        <f>IFERROR(VLOOKUP($A19,#REF!,2,0),"0")</f>
        <v>0</v>
      </c>
      <c r="CV19" s="432">
        <f t="shared" si="47"/>
        <v>0</v>
      </c>
      <c r="CW19" s="163" t="e">
        <f>VLOOKUP($B:$B,#REF!,26,FALSE)</f>
        <v>#REF!</v>
      </c>
      <c r="CX19" s="432">
        <f t="shared" si="48"/>
        <v>0</v>
      </c>
      <c r="CY19" s="433" t="str">
        <f>IFERROR(VLOOKUP($A19,#REF!,2,0),"0")</f>
        <v>0</v>
      </c>
      <c r="CZ19" s="432">
        <f t="shared" si="49"/>
        <v>0</v>
      </c>
      <c r="DA19" s="163" t="e">
        <f>VLOOKUP($B:$B,#REF!,27,FALSE)</f>
        <v>#REF!</v>
      </c>
      <c r="DB19" s="432">
        <f t="shared" si="50"/>
        <v>0</v>
      </c>
      <c r="DC19" s="433" t="str">
        <f>IFERROR(VLOOKUP($A19,#REF!,2,0),"0")</f>
        <v>0</v>
      </c>
      <c r="DD19" s="432">
        <f t="shared" si="51"/>
        <v>0</v>
      </c>
      <c r="DE19" s="163" t="e">
        <f>VLOOKUP($B:$B,#REF!,28,FALSE)</f>
        <v>#REF!</v>
      </c>
      <c r="DF19" s="432">
        <f t="shared" si="52"/>
        <v>0</v>
      </c>
      <c r="DG19" s="433" t="str">
        <f>IFERROR(VLOOKUP($A19,#REF!,2,0),"0")</f>
        <v>0</v>
      </c>
      <c r="DH19" s="432">
        <f t="shared" si="53"/>
        <v>0</v>
      </c>
      <c r="DI19" s="163" t="e">
        <f>VLOOKUP($B:$B,#REF!,29,FALSE)</f>
        <v>#REF!</v>
      </c>
      <c r="DJ19" s="432">
        <f t="shared" si="54"/>
        <v>0</v>
      </c>
      <c r="DK19" s="433" t="str">
        <f>IFERROR(VLOOKUP($A19,#REF!,2,0),"0")</f>
        <v>0</v>
      </c>
      <c r="DL19" s="432">
        <f t="shared" si="55"/>
        <v>0</v>
      </c>
      <c r="DM19" s="163" t="e">
        <f>VLOOKUP($B:$B,#REF!,30,FALSE)</f>
        <v>#REF!</v>
      </c>
      <c r="DN19" s="432">
        <f t="shared" si="56"/>
        <v>0</v>
      </c>
      <c r="DO19" s="432"/>
      <c r="DP19" s="432">
        <f t="shared" si="57"/>
        <v>0</v>
      </c>
      <c r="DQ19" s="163" t="e">
        <f>VLOOKUP($B:$B,#REF!,31,FALSE)</f>
        <v>#REF!</v>
      </c>
      <c r="DR19" s="432">
        <f t="shared" si="58"/>
        <v>0</v>
      </c>
      <c r="DS19" s="434"/>
      <c r="DT19" s="432">
        <f t="shared" si="59"/>
        <v>0</v>
      </c>
      <c r="DU19" s="163" t="e">
        <f>VLOOKUP($B:$B,#REF!,32,FALSE)</f>
        <v>#REF!</v>
      </c>
      <c r="DV19" s="432">
        <f t="shared" si="60"/>
        <v>0</v>
      </c>
      <c r="DW19" s="434"/>
      <c r="DX19" s="432">
        <f t="shared" si="61"/>
        <v>0</v>
      </c>
      <c r="DY19" s="432">
        <f t="shared" si="62"/>
        <v>0</v>
      </c>
    </row>
    <row r="20" spans="1:129" ht="15.75">
      <c r="A20" s="166" t="s">
        <v>122</v>
      </c>
      <c r="B20" s="506" t="s">
        <v>123</v>
      </c>
      <c r="C20" s="166">
        <v>1725480485</v>
      </c>
      <c r="D20" s="431">
        <v>34035</v>
      </c>
      <c r="E20" s="163" t="e">
        <f>VLOOKUP($B:$B,#REF!,2,FALSE)</f>
        <v>#REF!</v>
      </c>
      <c r="F20" s="432">
        <f t="shared" si="0"/>
        <v>0</v>
      </c>
      <c r="G20" s="433" t="str">
        <f>IFERROR(VLOOKUP($A20,#REF!,2,0),"0")</f>
        <v>0</v>
      </c>
      <c r="H20" s="432">
        <f t="shared" si="64"/>
        <v>0</v>
      </c>
      <c r="I20" s="163" t="e">
        <f>VLOOKUP($B:$B,#REF!,3,FALSE)</f>
        <v>#REF!</v>
      </c>
      <c r="J20" s="432">
        <f t="shared" si="2"/>
        <v>0</v>
      </c>
      <c r="K20" s="433" t="str">
        <f>IFERROR(VLOOKUP($A20,#REF!,2,0),"0")</f>
        <v>0</v>
      </c>
      <c r="L20" s="432">
        <f t="shared" si="63"/>
        <v>0</v>
      </c>
      <c r="M20" s="163" t="e">
        <f>VLOOKUP($B:$B,#REF!,4,FALSE)</f>
        <v>#REF!</v>
      </c>
      <c r="N20" s="432">
        <f t="shared" si="4"/>
        <v>0</v>
      </c>
      <c r="O20" s="433" t="str">
        <f>IFERROR(VLOOKUP($A20,#REF!,2,0),"0")</f>
        <v>0</v>
      </c>
      <c r="P20" s="432">
        <f t="shared" si="5"/>
        <v>0</v>
      </c>
      <c r="Q20" s="163" t="e">
        <f>VLOOKUP($B:$B,#REF!,5,FALSE)</f>
        <v>#REF!</v>
      </c>
      <c r="R20" s="432">
        <f t="shared" si="6"/>
        <v>0</v>
      </c>
      <c r="S20" s="433" t="str">
        <f>IFERROR(VLOOKUP($A20,#REF!,2,0),"0")</f>
        <v>0</v>
      </c>
      <c r="T20" s="432">
        <f t="shared" si="7"/>
        <v>0</v>
      </c>
      <c r="U20" s="163" t="e">
        <f>VLOOKUP($B:$B,#REF!,6,FALSE)</f>
        <v>#REF!</v>
      </c>
      <c r="V20" s="432">
        <f t="shared" si="8"/>
        <v>0</v>
      </c>
      <c r="W20" s="433" t="str">
        <f>IFERROR(VLOOKUP($A20,#REF!,2,0),"0")</f>
        <v>0</v>
      </c>
      <c r="X20" s="432">
        <f t="shared" si="9"/>
        <v>0</v>
      </c>
      <c r="Y20" s="163" t="e">
        <f>VLOOKUP($B:$B,#REF!,7,FALSE)</f>
        <v>#REF!</v>
      </c>
      <c r="Z20" s="432">
        <f t="shared" si="10"/>
        <v>0</v>
      </c>
      <c r="AA20" s="433" t="str">
        <f>IFERROR(VLOOKUP($A20,#REF!,2,0),"0")</f>
        <v>0</v>
      </c>
      <c r="AB20" s="432">
        <f t="shared" si="11"/>
        <v>0</v>
      </c>
      <c r="AC20" s="163" t="e">
        <f>VLOOKUP($B:$B,#REF!,8,FALSE)</f>
        <v>#REF!</v>
      </c>
      <c r="AD20" s="432">
        <f t="shared" si="12"/>
        <v>0</v>
      </c>
      <c r="AE20" s="433" t="str">
        <f>IFERROR(VLOOKUP($A20,#REF!,2,0),"0")</f>
        <v>0</v>
      </c>
      <c r="AF20" s="432">
        <f t="shared" si="13"/>
        <v>0</v>
      </c>
      <c r="AG20" s="163" t="e">
        <f>VLOOKUP($B:$B,#REF!,9,FALSE)</f>
        <v>#REF!</v>
      </c>
      <c r="AH20" s="432">
        <f t="shared" si="14"/>
        <v>0</v>
      </c>
      <c r="AI20" s="433" t="str">
        <f>IFERROR(VLOOKUP($A20,#REF!,2,0),"0")</f>
        <v>0</v>
      </c>
      <c r="AJ20" s="432">
        <f t="shared" si="15"/>
        <v>0</v>
      </c>
      <c r="AK20" s="163" t="e">
        <f>VLOOKUP($B:$B,#REF!,10,FALSE)</f>
        <v>#REF!</v>
      </c>
      <c r="AL20" s="432">
        <f t="shared" si="16"/>
        <v>0</v>
      </c>
      <c r="AM20" s="433" t="str">
        <f>IFERROR(VLOOKUP($A20,#REF!,2,0),"0")</f>
        <v>0</v>
      </c>
      <c r="AN20" s="432">
        <f t="shared" si="17"/>
        <v>0</v>
      </c>
      <c r="AO20" s="163" t="e">
        <f>VLOOKUP($B:$B,#REF!,11,FALSE)</f>
        <v>#REF!</v>
      </c>
      <c r="AP20" s="432">
        <f t="shared" si="18"/>
        <v>0</v>
      </c>
      <c r="AQ20" s="433" t="str">
        <f>IFERROR(VLOOKUP($A20,#REF!,2,0),"0")</f>
        <v>0</v>
      </c>
      <c r="AR20" s="432">
        <f t="shared" si="19"/>
        <v>0</v>
      </c>
      <c r="AS20" s="163" t="e">
        <f>VLOOKUP($B:$B,#REF!,12,FALSE)</f>
        <v>#REF!</v>
      </c>
      <c r="AT20" s="432">
        <f t="shared" si="20"/>
        <v>0</v>
      </c>
      <c r="AU20" s="432">
        <f t="shared" si="20"/>
        <v>0</v>
      </c>
      <c r="AV20" s="432">
        <f t="shared" si="21"/>
        <v>0</v>
      </c>
      <c r="AW20" s="163" t="e">
        <f>VLOOKUP($B:$B,#REF!,13,FALSE)</f>
        <v>#REF!</v>
      </c>
      <c r="AX20" s="432">
        <f t="shared" si="22"/>
        <v>0</v>
      </c>
      <c r="AY20" s="433" t="str">
        <f>IFERROR(VLOOKUP($A20,#REF!,2,0),"0")</f>
        <v>0</v>
      </c>
      <c r="AZ20" s="432">
        <f t="shared" si="23"/>
        <v>0</v>
      </c>
      <c r="BA20" s="163" t="e">
        <f>VLOOKUP($B:$B,#REF!,14,FALSE)</f>
        <v>#REF!</v>
      </c>
      <c r="BB20" s="432">
        <f t="shared" si="24"/>
        <v>0</v>
      </c>
      <c r="BC20" s="433" t="str">
        <f>IFERROR(VLOOKUP($A20,#REF!,2,0),"0")</f>
        <v>0</v>
      </c>
      <c r="BD20" s="432">
        <f t="shared" si="25"/>
        <v>0</v>
      </c>
      <c r="BE20" s="163" t="e">
        <f>VLOOKUP($B:$B,#REF!,15,FALSE)</f>
        <v>#REF!</v>
      </c>
      <c r="BF20" s="432">
        <f t="shared" si="26"/>
        <v>0</v>
      </c>
      <c r="BG20" s="433" t="str">
        <f>IFERROR(VLOOKUP($A20,#REF!,2,0),"0")</f>
        <v>0</v>
      </c>
      <c r="BH20" s="432">
        <f t="shared" si="27"/>
        <v>0</v>
      </c>
      <c r="BI20" s="163" t="e">
        <f>VLOOKUP($B:$B,#REF!,16,FALSE)</f>
        <v>#REF!</v>
      </c>
      <c r="BJ20" s="432">
        <f t="shared" si="28"/>
        <v>0</v>
      </c>
      <c r="BK20" s="433" t="str">
        <f>IFERROR(VLOOKUP($A20,#REF!,2,0),"0")</f>
        <v>0</v>
      </c>
      <c r="BL20" s="432">
        <f t="shared" si="29"/>
        <v>0</v>
      </c>
      <c r="BM20" s="163" t="e">
        <f>VLOOKUP($B:$B,#REF!,17,FALSE)</f>
        <v>#REF!</v>
      </c>
      <c r="BN20" s="432">
        <f t="shared" si="30"/>
        <v>0</v>
      </c>
      <c r="BO20" s="433" t="str">
        <f>IFERROR(VLOOKUP($A20,#REF!,2,0),"0")</f>
        <v>0</v>
      </c>
      <c r="BP20" s="432">
        <f t="shared" si="31"/>
        <v>0</v>
      </c>
      <c r="BQ20" s="163" t="e">
        <f>VLOOKUP($B:$B,#REF!,18,FALSE)</f>
        <v>#REF!</v>
      </c>
      <c r="BR20" s="432">
        <f t="shared" si="32"/>
        <v>0</v>
      </c>
      <c r="BS20" s="433" t="str">
        <f>IFERROR(VLOOKUP($A20,#REF!,2,0),"0")</f>
        <v>0</v>
      </c>
      <c r="BT20" s="432">
        <f t="shared" si="33"/>
        <v>0</v>
      </c>
      <c r="BU20" s="163" t="e">
        <f>VLOOKUP($B:$B,#REF!,19,FALSE)</f>
        <v>#REF!</v>
      </c>
      <c r="BV20" s="432">
        <f t="shared" si="34"/>
        <v>0</v>
      </c>
      <c r="BW20" s="433" t="str">
        <f>IFERROR(VLOOKUP($A20,#REF!,2,0),"0")</f>
        <v>0</v>
      </c>
      <c r="BX20" s="432">
        <f t="shared" si="35"/>
        <v>0</v>
      </c>
      <c r="BY20" s="163" t="e">
        <f>VLOOKUP($B:$B,#REF!,20,FALSE)</f>
        <v>#REF!</v>
      </c>
      <c r="BZ20" s="432">
        <f t="shared" si="36"/>
        <v>0</v>
      </c>
      <c r="CA20" s="433" t="str">
        <f>IFERROR(VLOOKUP($A20,#REF!,2,0),"0")</f>
        <v>0</v>
      </c>
      <c r="CB20" s="432">
        <f t="shared" si="37"/>
        <v>0</v>
      </c>
      <c r="CC20" s="163" t="e">
        <f>VLOOKUP($B:$B,#REF!,21,FALSE)</f>
        <v>#REF!</v>
      </c>
      <c r="CD20" s="432">
        <f t="shared" si="38"/>
        <v>0</v>
      </c>
      <c r="CE20" s="432">
        <f t="shared" si="38"/>
        <v>0</v>
      </c>
      <c r="CF20" s="432">
        <f t="shared" si="39"/>
        <v>0</v>
      </c>
      <c r="CG20" s="163" t="e">
        <f>VLOOKUP($B:$B,#REF!,22,FALSE)</f>
        <v>#REF!</v>
      </c>
      <c r="CH20" s="432">
        <f t="shared" si="40"/>
        <v>0</v>
      </c>
      <c r="CI20" s="433" t="str">
        <f>IFERROR(VLOOKUP($A20,#REF!,2,0),"0")</f>
        <v>0</v>
      </c>
      <c r="CJ20" s="432">
        <f t="shared" si="41"/>
        <v>0</v>
      </c>
      <c r="CK20" s="163" t="e">
        <f>VLOOKUP($B:$B,#REF!,23,FALSE)</f>
        <v>#REF!</v>
      </c>
      <c r="CL20" s="432">
        <f t="shared" si="42"/>
        <v>0</v>
      </c>
      <c r="CM20" s="433" t="str">
        <f>IFERROR(VLOOKUP($A20,#REF!,2,0),"0")</f>
        <v>0</v>
      </c>
      <c r="CN20" s="432">
        <f t="shared" si="43"/>
        <v>0</v>
      </c>
      <c r="CO20" s="163" t="e">
        <f>VLOOKUP($B:$B,#REF!,24,FALSE)</f>
        <v>#REF!</v>
      </c>
      <c r="CP20" s="432">
        <f t="shared" si="44"/>
        <v>0</v>
      </c>
      <c r="CQ20" s="433" t="str">
        <f>IFERROR(VLOOKUP($A20,#REF!,2,0),"0")</f>
        <v>0</v>
      </c>
      <c r="CR20" s="432">
        <f t="shared" si="45"/>
        <v>0</v>
      </c>
      <c r="CS20" s="163" t="e">
        <f>VLOOKUP($B:$B,#REF!,25,FALSE)</f>
        <v>#REF!</v>
      </c>
      <c r="CT20" s="432">
        <f t="shared" si="46"/>
        <v>0</v>
      </c>
      <c r="CU20" s="433" t="str">
        <f>IFERROR(VLOOKUP($A20,#REF!,2,0),"0")</f>
        <v>0</v>
      </c>
      <c r="CV20" s="432">
        <f t="shared" si="47"/>
        <v>0</v>
      </c>
      <c r="CW20" s="163" t="e">
        <f>VLOOKUP($B:$B,#REF!,26,FALSE)</f>
        <v>#REF!</v>
      </c>
      <c r="CX20" s="432">
        <f t="shared" si="48"/>
        <v>0</v>
      </c>
      <c r="CY20" s="433" t="str">
        <f>IFERROR(VLOOKUP($A20,#REF!,2,0),"0")</f>
        <v>0</v>
      </c>
      <c r="CZ20" s="432">
        <f t="shared" si="49"/>
        <v>0</v>
      </c>
      <c r="DA20" s="163" t="e">
        <f>VLOOKUP($B:$B,#REF!,27,FALSE)</f>
        <v>#REF!</v>
      </c>
      <c r="DB20" s="432">
        <f t="shared" si="50"/>
        <v>0</v>
      </c>
      <c r="DC20" s="433" t="str">
        <f>IFERROR(VLOOKUP($A20,#REF!,2,0),"0")</f>
        <v>0</v>
      </c>
      <c r="DD20" s="432">
        <f t="shared" si="51"/>
        <v>0</v>
      </c>
      <c r="DE20" s="163" t="e">
        <f>VLOOKUP($B:$B,#REF!,28,FALSE)</f>
        <v>#REF!</v>
      </c>
      <c r="DF20" s="432">
        <f t="shared" si="52"/>
        <v>0</v>
      </c>
      <c r="DG20" s="433" t="str">
        <f>IFERROR(VLOOKUP($A20,#REF!,2,0),"0")</f>
        <v>0</v>
      </c>
      <c r="DH20" s="432">
        <f t="shared" si="53"/>
        <v>0</v>
      </c>
      <c r="DI20" s="163" t="e">
        <f>VLOOKUP($B:$B,#REF!,29,FALSE)</f>
        <v>#REF!</v>
      </c>
      <c r="DJ20" s="432">
        <f t="shared" si="54"/>
        <v>0</v>
      </c>
      <c r="DK20" s="433" t="str">
        <f>IFERROR(VLOOKUP($A20,#REF!,2,0),"0")</f>
        <v>0</v>
      </c>
      <c r="DL20" s="432">
        <f t="shared" si="55"/>
        <v>0</v>
      </c>
      <c r="DM20" s="163" t="e">
        <f>VLOOKUP($B:$B,#REF!,30,FALSE)</f>
        <v>#REF!</v>
      </c>
      <c r="DN20" s="432">
        <f t="shared" si="56"/>
        <v>0</v>
      </c>
      <c r="DO20" s="432"/>
      <c r="DP20" s="432">
        <f t="shared" si="57"/>
        <v>0</v>
      </c>
      <c r="DQ20" s="163" t="e">
        <f>VLOOKUP($B:$B,#REF!,31,FALSE)</f>
        <v>#REF!</v>
      </c>
      <c r="DR20" s="432">
        <f t="shared" si="58"/>
        <v>0</v>
      </c>
      <c r="DS20" s="434"/>
      <c r="DT20" s="432">
        <f t="shared" si="59"/>
        <v>0</v>
      </c>
      <c r="DU20" s="163" t="e">
        <f>VLOOKUP($B:$B,#REF!,32,FALSE)</f>
        <v>#REF!</v>
      </c>
      <c r="DV20" s="432">
        <f t="shared" si="60"/>
        <v>0</v>
      </c>
      <c r="DW20" s="434"/>
      <c r="DX20" s="432">
        <f t="shared" si="61"/>
        <v>0</v>
      </c>
      <c r="DY20" s="432">
        <f t="shared" si="62"/>
        <v>0</v>
      </c>
    </row>
    <row r="21" spans="1:129" ht="15.75">
      <c r="A21" s="166" t="s">
        <v>134</v>
      </c>
      <c r="B21" s="506" t="s">
        <v>135</v>
      </c>
      <c r="C21" s="166">
        <v>1714444237</v>
      </c>
      <c r="D21" s="431">
        <v>29999</v>
      </c>
      <c r="E21" s="163" t="e">
        <f>VLOOKUP($B:$B,#REF!,2,FALSE)</f>
        <v>#REF!</v>
      </c>
      <c r="F21" s="432">
        <f t="shared" si="0"/>
        <v>0</v>
      </c>
      <c r="G21" s="433" t="str">
        <f>IFERROR(VLOOKUP($A21,#REF!,2,0),"0")</f>
        <v>0</v>
      </c>
      <c r="H21" s="432">
        <f t="shared" si="64"/>
        <v>0</v>
      </c>
      <c r="I21" s="163" t="e">
        <f>VLOOKUP($B:$B,#REF!,3,FALSE)</f>
        <v>#REF!</v>
      </c>
      <c r="J21" s="432">
        <f t="shared" si="2"/>
        <v>0</v>
      </c>
      <c r="K21" s="433" t="str">
        <f>IFERROR(VLOOKUP($A21,#REF!,2,0),"0")</f>
        <v>0</v>
      </c>
      <c r="L21" s="432">
        <f t="shared" si="63"/>
        <v>0</v>
      </c>
      <c r="M21" s="163" t="e">
        <f>VLOOKUP($B:$B,#REF!,4,FALSE)</f>
        <v>#REF!</v>
      </c>
      <c r="N21" s="432">
        <f t="shared" si="4"/>
        <v>0</v>
      </c>
      <c r="O21" s="433" t="str">
        <f>IFERROR(VLOOKUP($A21,#REF!,2,0),"0")</f>
        <v>0</v>
      </c>
      <c r="P21" s="432">
        <f t="shared" si="5"/>
        <v>0</v>
      </c>
      <c r="Q21" s="163" t="e">
        <f>VLOOKUP($B:$B,#REF!,5,FALSE)</f>
        <v>#REF!</v>
      </c>
      <c r="R21" s="432">
        <f t="shared" si="6"/>
        <v>0</v>
      </c>
      <c r="S21" s="433" t="str">
        <f>IFERROR(VLOOKUP($A21,#REF!,2,0),"0")</f>
        <v>0</v>
      </c>
      <c r="T21" s="432">
        <f t="shared" si="7"/>
        <v>0</v>
      </c>
      <c r="U21" s="163" t="e">
        <f>VLOOKUP($B:$B,#REF!,6,FALSE)</f>
        <v>#REF!</v>
      </c>
      <c r="V21" s="432">
        <f t="shared" si="8"/>
        <v>0</v>
      </c>
      <c r="W21" s="433" t="str">
        <f>IFERROR(VLOOKUP($A21,#REF!,2,0),"0")</f>
        <v>0</v>
      </c>
      <c r="X21" s="432">
        <f t="shared" si="9"/>
        <v>0</v>
      </c>
      <c r="Y21" s="163" t="e">
        <f>VLOOKUP($B:$B,#REF!,7,FALSE)</f>
        <v>#REF!</v>
      </c>
      <c r="Z21" s="432">
        <f t="shared" si="10"/>
        <v>0</v>
      </c>
      <c r="AA21" s="433" t="str">
        <f>IFERROR(VLOOKUP($A21,#REF!,2,0),"0")</f>
        <v>0</v>
      </c>
      <c r="AB21" s="432">
        <f t="shared" si="11"/>
        <v>0</v>
      </c>
      <c r="AC21" s="163" t="e">
        <f>VLOOKUP($B:$B,#REF!,8,FALSE)</f>
        <v>#REF!</v>
      </c>
      <c r="AD21" s="432">
        <f t="shared" si="12"/>
        <v>0</v>
      </c>
      <c r="AE21" s="433" t="str">
        <f>IFERROR(VLOOKUP($A21,#REF!,2,0),"0")</f>
        <v>0</v>
      </c>
      <c r="AF21" s="432">
        <f t="shared" si="13"/>
        <v>0</v>
      </c>
      <c r="AG21" s="163" t="e">
        <f>VLOOKUP($B:$B,#REF!,9,FALSE)</f>
        <v>#REF!</v>
      </c>
      <c r="AH21" s="432">
        <f t="shared" si="14"/>
        <v>0</v>
      </c>
      <c r="AI21" s="433" t="str">
        <f>IFERROR(VLOOKUP($A21,#REF!,2,0),"0")</f>
        <v>0</v>
      </c>
      <c r="AJ21" s="432">
        <f t="shared" si="15"/>
        <v>0</v>
      </c>
      <c r="AK21" s="163" t="e">
        <f>VLOOKUP($B:$B,#REF!,10,FALSE)</f>
        <v>#REF!</v>
      </c>
      <c r="AL21" s="432">
        <f t="shared" si="16"/>
        <v>0</v>
      </c>
      <c r="AM21" s="433" t="str">
        <f>IFERROR(VLOOKUP($A21,#REF!,2,0),"0")</f>
        <v>0</v>
      </c>
      <c r="AN21" s="432">
        <f t="shared" si="17"/>
        <v>0</v>
      </c>
      <c r="AO21" s="163" t="e">
        <f>VLOOKUP($B:$B,#REF!,11,FALSE)</f>
        <v>#REF!</v>
      </c>
      <c r="AP21" s="432">
        <f t="shared" si="18"/>
        <v>0</v>
      </c>
      <c r="AQ21" s="433" t="str">
        <f>IFERROR(VLOOKUP($A21,#REF!,2,0),"0")</f>
        <v>0</v>
      </c>
      <c r="AR21" s="432">
        <f t="shared" si="19"/>
        <v>0</v>
      </c>
      <c r="AS21" s="163" t="e">
        <f>VLOOKUP($B:$B,#REF!,12,FALSE)</f>
        <v>#REF!</v>
      </c>
      <c r="AT21" s="432">
        <f t="shared" si="20"/>
        <v>0</v>
      </c>
      <c r="AU21" s="433"/>
      <c r="AV21" s="432">
        <f t="shared" si="21"/>
        <v>0</v>
      </c>
      <c r="AW21" s="163" t="e">
        <f>VLOOKUP($B:$B,#REF!,13,FALSE)</f>
        <v>#REF!</v>
      </c>
      <c r="AX21" s="432">
        <f t="shared" si="22"/>
        <v>0</v>
      </c>
      <c r="AY21" s="433"/>
      <c r="AZ21" s="432">
        <f t="shared" si="23"/>
        <v>0</v>
      </c>
      <c r="BA21" s="163" t="e">
        <f>VLOOKUP($B:$B,#REF!,14,FALSE)</f>
        <v>#REF!</v>
      </c>
      <c r="BB21" s="432">
        <f t="shared" si="24"/>
        <v>0</v>
      </c>
      <c r="BC21" s="433" t="str">
        <f>IFERROR(VLOOKUP($A21,#REF!,2,0),"0")</f>
        <v>0</v>
      </c>
      <c r="BD21" s="432">
        <f t="shared" si="25"/>
        <v>0</v>
      </c>
      <c r="BE21" s="163" t="e">
        <f>VLOOKUP($B:$B,#REF!,15,FALSE)</f>
        <v>#REF!</v>
      </c>
      <c r="BF21" s="432">
        <f t="shared" si="26"/>
        <v>0</v>
      </c>
      <c r="BG21" s="433" t="str">
        <f>IFERROR(VLOOKUP($A21,#REF!,2,0),"0")</f>
        <v>0</v>
      </c>
      <c r="BH21" s="432">
        <f t="shared" si="27"/>
        <v>0</v>
      </c>
      <c r="BI21" s="163" t="e">
        <f>VLOOKUP($B:$B,#REF!,16,FALSE)</f>
        <v>#REF!</v>
      </c>
      <c r="BJ21" s="432">
        <f t="shared" si="28"/>
        <v>0</v>
      </c>
      <c r="BK21" s="433" t="str">
        <f>IFERROR(VLOOKUP($A21,#REF!,2,0),"0")</f>
        <v>0</v>
      </c>
      <c r="BL21" s="432">
        <f t="shared" si="29"/>
        <v>0</v>
      </c>
      <c r="BM21" s="163" t="e">
        <f>VLOOKUP($B:$B,#REF!,17,FALSE)</f>
        <v>#REF!</v>
      </c>
      <c r="BN21" s="432">
        <f t="shared" si="30"/>
        <v>0</v>
      </c>
      <c r="BO21" s="433" t="str">
        <f>IFERROR(VLOOKUP($A21,#REF!,2,0),"0")</f>
        <v>0</v>
      </c>
      <c r="BP21" s="432">
        <f t="shared" si="31"/>
        <v>0</v>
      </c>
      <c r="BQ21" s="163" t="e">
        <f>VLOOKUP($B:$B,#REF!,18,FALSE)</f>
        <v>#REF!</v>
      </c>
      <c r="BR21" s="432">
        <f t="shared" si="32"/>
        <v>0</v>
      </c>
      <c r="BS21" s="433" t="str">
        <f>IFERROR(VLOOKUP($A21,#REF!,2,0),"0")</f>
        <v>0</v>
      </c>
      <c r="BT21" s="432">
        <f t="shared" si="33"/>
        <v>0</v>
      </c>
      <c r="BU21" s="163" t="e">
        <f>VLOOKUP($B:$B,#REF!,19,FALSE)</f>
        <v>#REF!</v>
      </c>
      <c r="BV21" s="432">
        <f t="shared" si="34"/>
        <v>0</v>
      </c>
      <c r="BW21" s="433" t="str">
        <f>IFERROR(VLOOKUP($A21,#REF!,2,0),"0")</f>
        <v>0</v>
      </c>
      <c r="BX21" s="432">
        <f t="shared" si="35"/>
        <v>0</v>
      </c>
      <c r="BY21" s="163" t="e">
        <f>VLOOKUP($B:$B,#REF!,20,FALSE)</f>
        <v>#REF!</v>
      </c>
      <c r="BZ21" s="432">
        <f t="shared" si="36"/>
        <v>0</v>
      </c>
      <c r="CA21" s="433" t="str">
        <f>IFERROR(VLOOKUP($A21,#REF!,2,0),"0")</f>
        <v>0</v>
      </c>
      <c r="CB21" s="432">
        <f t="shared" si="37"/>
        <v>0</v>
      </c>
      <c r="CC21" s="163" t="e">
        <f>VLOOKUP($B:$B,#REF!,21,FALSE)</f>
        <v>#REF!</v>
      </c>
      <c r="CD21" s="432">
        <f t="shared" si="38"/>
        <v>0</v>
      </c>
      <c r="CE21" s="433" t="str">
        <f>IFERROR(VLOOKUP($A21,#REF!,2,0),"0")</f>
        <v>0</v>
      </c>
      <c r="CF21" s="432">
        <f t="shared" si="39"/>
        <v>0</v>
      </c>
      <c r="CG21" s="163" t="e">
        <f>VLOOKUP($B:$B,#REF!,22,FALSE)</f>
        <v>#REF!</v>
      </c>
      <c r="CH21" s="432">
        <f t="shared" si="40"/>
        <v>0</v>
      </c>
      <c r="CI21" s="433" t="str">
        <f>IFERROR(VLOOKUP($A21,#REF!,2,0),"0")</f>
        <v>0</v>
      </c>
      <c r="CJ21" s="432">
        <f t="shared" si="41"/>
        <v>0</v>
      </c>
      <c r="CK21" s="163" t="e">
        <f>VLOOKUP($B:$B,#REF!,23,FALSE)</f>
        <v>#REF!</v>
      </c>
      <c r="CL21" s="432">
        <f t="shared" si="42"/>
        <v>0</v>
      </c>
      <c r="CM21" s="433" t="str">
        <f>IFERROR(VLOOKUP($A21,#REF!,2,0),"0")</f>
        <v>0</v>
      </c>
      <c r="CN21" s="432">
        <f t="shared" si="43"/>
        <v>0</v>
      </c>
      <c r="CO21" s="163" t="e">
        <f>VLOOKUP($B:$B,#REF!,24,FALSE)</f>
        <v>#REF!</v>
      </c>
      <c r="CP21" s="432">
        <f t="shared" si="44"/>
        <v>0</v>
      </c>
      <c r="CQ21" s="433" t="str">
        <f>IFERROR(VLOOKUP($A21,#REF!,2,0),"0")</f>
        <v>0</v>
      </c>
      <c r="CR21" s="432">
        <f t="shared" si="45"/>
        <v>0</v>
      </c>
      <c r="CS21" s="163" t="e">
        <f>VLOOKUP($B:$B,#REF!,25,FALSE)</f>
        <v>#REF!</v>
      </c>
      <c r="CT21" s="432">
        <f t="shared" si="46"/>
        <v>0</v>
      </c>
      <c r="CU21" s="433" t="str">
        <f>IFERROR(VLOOKUP($A21,#REF!,2,0),"0")</f>
        <v>0</v>
      </c>
      <c r="CV21" s="432">
        <f t="shared" si="47"/>
        <v>0</v>
      </c>
      <c r="CW21" s="163" t="e">
        <f>VLOOKUP($B:$B,#REF!,26,FALSE)</f>
        <v>#REF!</v>
      </c>
      <c r="CX21" s="432">
        <f t="shared" si="48"/>
        <v>0</v>
      </c>
      <c r="CY21" s="433" t="str">
        <f>IFERROR(VLOOKUP($A21,#REF!,2,0),"0")</f>
        <v>0</v>
      </c>
      <c r="CZ21" s="432">
        <f t="shared" si="49"/>
        <v>0</v>
      </c>
      <c r="DA21" s="163" t="e">
        <f>VLOOKUP($B:$B,#REF!,27,FALSE)</f>
        <v>#REF!</v>
      </c>
      <c r="DB21" s="432">
        <f t="shared" si="50"/>
        <v>0</v>
      </c>
      <c r="DC21" s="433" t="str">
        <f>IFERROR(VLOOKUP($A21,#REF!,2,0),"0")</f>
        <v>0</v>
      </c>
      <c r="DD21" s="432">
        <f t="shared" si="51"/>
        <v>0</v>
      </c>
      <c r="DE21" s="163" t="e">
        <f>VLOOKUP($B:$B,#REF!,28,FALSE)</f>
        <v>#REF!</v>
      </c>
      <c r="DF21" s="432">
        <f t="shared" si="52"/>
        <v>0</v>
      </c>
      <c r="DG21" s="433" t="str">
        <f>IFERROR(VLOOKUP($A21,#REF!,2,0),"0")</f>
        <v>0</v>
      </c>
      <c r="DH21" s="432">
        <f t="shared" si="53"/>
        <v>0</v>
      </c>
      <c r="DI21" s="163" t="e">
        <f>VLOOKUP($B:$B,#REF!,29,FALSE)</f>
        <v>#REF!</v>
      </c>
      <c r="DJ21" s="432">
        <f t="shared" si="54"/>
        <v>0</v>
      </c>
      <c r="DK21" s="433" t="str">
        <f>IFERROR(VLOOKUP($A21,#REF!,2,0),"0")</f>
        <v>0</v>
      </c>
      <c r="DL21" s="432">
        <f t="shared" si="55"/>
        <v>0</v>
      </c>
      <c r="DM21" s="163" t="e">
        <f>VLOOKUP($B:$B,#REF!,30,FALSE)</f>
        <v>#REF!</v>
      </c>
      <c r="DN21" s="432">
        <f t="shared" si="56"/>
        <v>0</v>
      </c>
      <c r="DO21" s="432"/>
      <c r="DP21" s="432">
        <f t="shared" si="57"/>
        <v>0</v>
      </c>
      <c r="DQ21" s="163" t="e">
        <f>VLOOKUP($B:$B,#REF!,31,FALSE)</f>
        <v>#REF!</v>
      </c>
      <c r="DR21" s="432">
        <f t="shared" si="58"/>
        <v>0</v>
      </c>
      <c r="DS21" s="434"/>
      <c r="DT21" s="432">
        <f t="shared" si="59"/>
        <v>0</v>
      </c>
      <c r="DU21" s="163" t="e">
        <f>VLOOKUP($B:$B,#REF!,32,FALSE)</f>
        <v>#REF!</v>
      </c>
      <c r="DV21" s="432">
        <f t="shared" si="60"/>
        <v>0</v>
      </c>
      <c r="DW21" s="434"/>
      <c r="DX21" s="432">
        <f t="shared" si="61"/>
        <v>0</v>
      </c>
      <c r="DY21" s="432">
        <f t="shared" si="62"/>
        <v>0</v>
      </c>
    </row>
    <row r="22" spans="1:129" ht="15.75">
      <c r="A22" s="166" t="s">
        <v>139</v>
      </c>
      <c r="B22" s="506" t="s">
        <v>140</v>
      </c>
      <c r="C22" s="166">
        <v>1724308455</v>
      </c>
      <c r="D22" s="431">
        <v>34568</v>
      </c>
      <c r="E22" s="163" t="e">
        <f>VLOOKUP($B:$B,#REF!,2,FALSE)</f>
        <v>#REF!</v>
      </c>
      <c r="F22" s="432">
        <f t="shared" si="0"/>
        <v>0</v>
      </c>
      <c r="G22" s="433" t="str">
        <f>IFERROR(VLOOKUP($A22,#REF!,2,0),"0")</f>
        <v>0</v>
      </c>
      <c r="H22" s="432">
        <f t="shared" si="64"/>
        <v>0</v>
      </c>
      <c r="I22" s="163" t="e">
        <f>VLOOKUP($B:$B,#REF!,3,FALSE)</f>
        <v>#REF!</v>
      </c>
      <c r="J22" s="432">
        <f t="shared" si="2"/>
        <v>0</v>
      </c>
      <c r="K22" s="433" t="str">
        <f>IFERROR(VLOOKUP($A22,#REF!,2,0),"0")</f>
        <v>0</v>
      </c>
      <c r="L22" s="432">
        <f t="shared" si="63"/>
        <v>0</v>
      </c>
      <c r="M22" s="163" t="e">
        <f>VLOOKUP($B:$B,#REF!,4,FALSE)</f>
        <v>#REF!</v>
      </c>
      <c r="N22" s="432">
        <f t="shared" si="4"/>
        <v>0</v>
      </c>
      <c r="O22" s="433" t="str">
        <f>IFERROR(VLOOKUP($A22,#REF!,2,0),"0")</f>
        <v>0</v>
      </c>
      <c r="P22" s="432">
        <f t="shared" si="5"/>
        <v>0</v>
      </c>
      <c r="Q22" s="163" t="e">
        <f>VLOOKUP($B:$B,#REF!,5,FALSE)</f>
        <v>#REF!</v>
      </c>
      <c r="R22" s="432">
        <f t="shared" si="6"/>
        <v>0</v>
      </c>
      <c r="S22" s="433" t="str">
        <f>IFERROR(VLOOKUP($A22,#REF!,2,0),"0")</f>
        <v>0</v>
      </c>
      <c r="T22" s="432">
        <f t="shared" si="7"/>
        <v>0</v>
      </c>
      <c r="U22" s="163" t="e">
        <f>VLOOKUP($B:$B,#REF!,6,FALSE)</f>
        <v>#REF!</v>
      </c>
      <c r="V22" s="432">
        <f t="shared" si="8"/>
        <v>0</v>
      </c>
      <c r="W22" s="433" t="str">
        <f>IFERROR(VLOOKUP($A22,#REF!,2,0),"0")</f>
        <v>0</v>
      </c>
      <c r="X22" s="432">
        <f t="shared" si="9"/>
        <v>0</v>
      </c>
      <c r="Y22" s="163" t="e">
        <f>VLOOKUP($B:$B,#REF!,7,FALSE)</f>
        <v>#REF!</v>
      </c>
      <c r="Z22" s="432">
        <f t="shared" si="10"/>
        <v>0</v>
      </c>
      <c r="AA22" s="433" t="str">
        <f>IFERROR(VLOOKUP($A22,#REF!,2,0),"0")</f>
        <v>0</v>
      </c>
      <c r="AB22" s="432">
        <f t="shared" si="11"/>
        <v>0</v>
      </c>
      <c r="AC22" s="163" t="e">
        <f>VLOOKUP($B:$B,#REF!,8,FALSE)</f>
        <v>#REF!</v>
      </c>
      <c r="AD22" s="432">
        <f t="shared" si="12"/>
        <v>0</v>
      </c>
      <c r="AE22" s="433" t="str">
        <f>IFERROR(VLOOKUP($A22,#REF!,2,0),"0")</f>
        <v>0</v>
      </c>
      <c r="AF22" s="432">
        <f t="shared" si="13"/>
        <v>0</v>
      </c>
      <c r="AG22" s="163" t="e">
        <f>VLOOKUP($B:$B,#REF!,9,FALSE)</f>
        <v>#REF!</v>
      </c>
      <c r="AH22" s="432">
        <f t="shared" si="14"/>
        <v>0</v>
      </c>
      <c r="AI22" s="433" t="str">
        <f>IFERROR(VLOOKUP($A22,#REF!,2,0),"0")</f>
        <v>0</v>
      </c>
      <c r="AJ22" s="432">
        <f t="shared" si="15"/>
        <v>0</v>
      </c>
      <c r="AK22" s="163" t="e">
        <f>VLOOKUP($B:$B,#REF!,10,FALSE)</f>
        <v>#REF!</v>
      </c>
      <c r="AL22" s="432">
        <f t="shared" si="16"/>
        <v>0</v>
      </c>
      <c r="AM22" s="433" t="str">
        <f>IFERROR(VLOOKUP($A22,#REF!,2,0),"0")</f>
        <v>0</v>
      </c>
      <c r="AN22" s="432">
        <f t="shared" si="17"/>
        <v>0</v>
      </c>
      <c r="AO22" s="163" t="e">
        <f>VLOOKUP($B:$B,#REF!,11,FALSE)</f>
        <v>#REF!</v>
      </c>
      <c r="AP22" s="432">
        <f t="shared" si="18"/>
        <v>0</v>
      </c>
      <c r="AQ22" s="433" t="str">
        <f>IFERROR(VLOOKUP($A22,#REF!,2,0),"0")</f>
        <v>0</v>
      </c>
      <c r="AR22" s="432">
        <f t="shared" si="19"/>
        <v>0</v>
      </c>
      <c r="AS22" s="163" t="e">
        <f>VLOOKUP($B:$B,#REF!,12,FALSE)</f>
        <v>#REF!</v>
      </c>
      <c r="AT22" s="432">
        <f t="shared" si="20"/>
        <v>0</v>
      </c>
      <c r="AU22" s="433" t="str">
        <f>IFERROR(VLOOKUP($A22,#REF!,2,0),"0")</f>
        <v>0</v>
      </c>
      <c r="AV22" s="432">
        <f t="shared" si="21"/>
        <v>0</v>
      </c>
      <c r="AW22" s="163" t="e">
        <f>VLOOKUP($B:$B,#REF!,13,FALSE)</f>
        <v>#REF!</v>
      </c>
      <c r="AX22" s="432">
        <f t="shared" si="22"/>
        <v>0</v>
      </c>
      <c r="AY22" s="433" t="str">
        <f>IFERROR(VLOOKUP($A22,#REF!,2,0),"0")</f>
        <v>0</v>
      </c>
      <c r="AZ22" s="432">
        <f t="shared" si="23"/>
        <v>0</v>
      </c>
      <c r="BA22" s="163" t="e">
        <f>VLOOKUP($B:$B,#REF!,14,FALSE)</f>
        <v>#REF!</v>
      </c>
      <c r="BB22" s="432">
        <f t="shared" si="24"/>
        <v>0</v>
      </c>
      <c r="BC22" s="432">
        <f t="shared" si="24"/>
        <v>0</v>
      </c>
      <c r="BD22" s="432">
        <f t="shared" si="25"/>
        <v>0</v>
      </c>
      <c r="BE22" s="163" t="e">
        <f>VLOOKUP($B:$B,#REF!,15,FALSE)</f>
        <v>#REF!</v>
      </c>
      <c r="BF22" s="432">
        <f t="shared" si="26"/>
        <v>0</v>
      </c>
      <c r="BG22" s="433" t="str">
        <f>IFERROR(VLOOKUP($A22,#REF!,2,0),"0")</f>
        <v>0</v>
      </c>
      <c r="BH22" s="432">
        <f t="shared" si="27"/>
        <v>0</v>
      </c>
      <c r="BI22" s="163" t="e">
        <f>VLOOKUP($B:$B,#REF!,16,FALSE)</f>
        <v>#REF!</v>
      </c>
      <c r="BJ22" s="432">
        <f t="shared" si="28"/>
        <v>0</v>
      </c>
      <c r="BK22" s="432">
        <f t="shared" si="28"/>
        <v>0</v>
      </c>
      <c r="BL22" s="432">
        <f t="shared" si="29"/>
        <v>0</v>
      </c>
      <c r="BM22" s="163" t="e">
        <f>VLOOKUP($B:$B,#REF!,17,FALSE)</f>
        <v>#REF!</v>
      </c>
      <c r="BN22" s="432">
        <f t="shared" si="30"/>
        <v>0</v>
      </c>
      <c r="BO22" s="433" t="str">
        <f>IFERROR(VLOOKUP($A22,#REF!,2,0),"0")</f>
        <v>0</v>
      </c>
      <c r="BP22" s="432">
        <f t="shared" si="31"/>
        <v>0</v>
      </c>
      <c r="BQ22" s="163" t="e">
        <f>VLOOKUP($B:$B,#REF!,18,FALSE)</f>
        <v>#REF!</v>
      </c>
      <c r="BR22" s="432">
        <f t="shared" si="32"/>
        <v>0</v>
      </c>
      <c r="BS22" s="433" t="str">
        <f>IFERROR(VLOOKUP($A22,#REF!,2,0),"0")</f>
        <v>0</v>
      </c>
      <c r="BT22" s="432">
        <f t="shared" si="33"/>
        <v>0</v>
      </c>
      <c r="BU22" s="163" t="e">
        <f>VLOOKUP($B:$B,#REF!,19,FALSE)</f>
        <v>#REF!</v>
      </c>
      <c r="BV22" s="432">
        <f t="shared" si="34"/>
        <v>0</v>
      </c>
      <c r="BW22" s="433" t="str">
        <f>IFERROR(VLOOKUP($A22,#REF!,2,0),"0")</f>
        <v>0</v>
      </c>
      <c r="BX22" s="432">
        <f t="shared" si="35"/>
        <v>0</v>
      </c>
      <c r="BY22" s="163" t="e">
        <f>VLOOKUP($B:$B,#REF!,20,FALSE)</f>
        <v>#REF!</v>
      </c>
      <c r="BZ22" s="432">
        <f t="shared" si="36"/>
        <v>0</v>
      </c>
      <c r="CA22" s="433" t="str">
        <f>IFERROR(VLOOKUP($A22,#REF!,2,0),"0")</f>
        <v>0</v>
      </c>
      <c r="CB22" s="432">
        <f t="shared" si="37"/>
        <v>0</v>
      </c>
      <c r="CC22" s="163" t="e">
        <f>VLOOKUP($B:$B,#REF!,21,FALSE)</f>
        <v>#REF!</v>
      </c>
      <c r="CD22" s="432">
        <f t="shared" si="38"/>
        <v>0</v>
      </c>
      <c r="CE22" s="433" t="str">
        <f>IFERROR(VLOOKUP($A22,#REF!,2,0),"0")</f>
        <v>0</v>
      </c>
      <c r="CF22" s="432">
        <f t="shared" si="39"/>
        <v>0</v>
      </c>
      <c r="CG22" s="163" t="e">
        <f>VLOOKUP($B:$B,#REF!,22,FALSE)</f>
        <v>#REF!</v>
      </c>
      <c r="CH22" s="432">
        <f t="shared" si="40"/>
        <v>0</v>
      </c>
      <c r="CI22" s="433" t="str">
        <f>IFERROR(VLOOKUP($A22,#REF!,2,0),"0")</f>
        <v>0</v>
      </c>
      <c r="CJ22" s="432">
        <f t="shared" si="41"/>
        <v>0</v>
      </c>
      <c r="CK22" s="163" t="e">
        <f>VLOOKUP($B:$B,#REF!,23,FALSE)</f>
        <v>#REF!</v>
      </c>
      <c r="CL22" s="432">
        <f t="shared" si="42"/>
        <v>0</v>
      </c>
      <c r="CM22" s="433" t="str">
        <f>IFERROR(VLOOKUP($A22,#REF!,2,0),"0")</f>
        <v>0</v>
      </c>
      <c r="CN22" s="432">
        <f t="shared" si="43"/>
        <v>0</v>
      </c>
      <c r="CO22" s="163" t="e">
        <f>VLOOKUP($B:$B,#REF!,24,FALSE)</f>
        <v>#REF!</v>
      </c>
      <c r="CP22" s="432">
        <f t="shared" si="44"/>
        <v>0</v>
      </c>
      <c r="CQ22" s="433" t="str">
        <f>IFERROR(VLOOKUP($A22,#REF!,2,0),"0")</f>
        <v>0</v>
      </c>
      <c r="CR22" s="432">
        <f t="shared" si="45"/>
        <v>0</v>
      </c>
      <c r="CS22" s="163" t="e">
        <f>VLOOKUP($B:$B,#REF!,25,FALSE)</f>
        <v>#REF!</v>
      </c>
      <c r="CT22" s="432">
        <f t="shared" si="46"/>
        <v>0</v>
      </c>
      <c r="CU22" s="433" t="str">
        <f>IFERROR(VLOOKUP($A22,#REF!,2,0),"0")</f>
        <v>0</v>
      </c>
      <c r="CV22" s="432">
        <f t="shared" si="47"/>
        <v>0</v>
      </c>
      <c r="CW22" s="163" t="e">
        <f>VLOOKUP($B:$B,#REF!,26,FALSE)</f>
        <v>#REF!</v>
      </c>
      <c r="CX22" s="432">
        <f t="shared" si="48"/>
        <v>0</v>
      </c>
      <c r="CY22" s="433" t="str">
        <f>IFERROR(VLOOKUP($A22,#REF!,2,0),"0")</f>
        <v>0</v>
      </c>
      <c r="CZ22" s="432">
        <f t="shared" si="49"/>
        <v>0</v>
      </c>
      <c r="DA22" s="163" t="e">
        <f>VLOOKUP($B:$B,#REF!,27,FALSE)</f>
        <v>#REF!</v>
      </c>
      <c r="DB22" s="432">
        <f t="shared" si="50"/>
        <v>0</v>
      </c>
      <c r="DC22" s="433" t="str">
        <f>IFERROR(VLOOKUP($A22,#REF!,2,0),"0")</f>
        <v>0</v>
      </c>
      <c r="DD22" s="432">
        <f t="shared" si="51"/>
        <v>0</v>
      </c>
      <c r="DE22" s="163" t="e">
        <f>VLOOKUP($B:$B,#REF!,28,FALSE)</f>
        <v>#REF!</v>
      </c>
      <c r="DF22" s="432">
        <f t="shared" si="52"/>
        <v>0</v>
      </c>
      <c r="DG22" s="433" t="str">
        <f>IFERROR(VLOOKUP($A22,#REF!,2,0),"0")</f>
        <v>0</v>
      </c>
      <c r="DH22" s="432">
        <f t="shared" si="53"/>
        <v>0</v>
      </c>
      <c r="DI22" s="163" t="e">
        <f>VLOOKUP($B:$B,#REF!,29,FALSE)</f>
        <v>#REF!</v>
      </c>
      <c r="DJ22" s="432">
        <f t="shared" si="54"/>
        <v>0</v>
      </c>
      <c r="DK22" s="433" t="str">
        <f>IFERROR(VLOOKUP($A22,#REF!,2,0),"0")</f>
        <v>0</v>
      </c>
      <c r="DL22" s="432">
        <f t="shared" si="55"/>
        <v>0</v>
      </c>
      <c r="DM22" s="163" t="e">
        <f>VLOOKUP($B:$B,#REF!,30,FALSE)</f>
        <v>#REF!</v>
      </c>
      <c r="DN22" s="432">
        <f t="shared" si="56"/>
        <v>0</v>
      </c>
      <c r="DO22" s="432"/>
      <c r="DP22" s="432">
        <f t="shared" si="57"/>
        <v>0</v>
      </c>
      <c r="DQ22" s="163" t="e">
        <f>VLOOKUP($B:$B,#REF!,31,FALSE)</f>
        <v>#REF!</v>
      </c>
      <c r="DR22" s="432">
        <f t="shared" si="58"/>
        <v>0</v>
      </c>
      <c r="DS22" s="434"/>
      <c r="DT22" s="432">
        <f t="shared" si="59"/>
        <v>0</v>
      </c>
      <c r="DU22" s="163" t="e">
        <f>VLOOKUP($B:$B,#REF!,32,FALSE)</f>
        <v>#REF!</v>
      </c>
      <c r="DV22" s="432">
        <f t="shared" si="60"/>
        <v>0</v>
      </c>
      <c r="DW22" s="434"/>
      <c r="DX22" s="432">
        <f t="shared" si="61"/>
        <v>0</v>
      </c>
      <c r="DY22" s="432">
        <f t="shared" si="62"/>
        <v>0</v>
      </c>
    </row>
    <row r="23" spans="1:129" ht="15.75">
      <c r="A23" s="166" t="s">
        <v>117</v>
      </c>
      <c r="B23" s="506" t="s">
        <v>118</v>
      </c>
      <c r="C23" s="166">
        <v>1726506643</v>
      </c>
      <c r="D23" s="431">
        <v>35367</v>
      </c>
      <c r="E23" s="163" t="e">
        <f>VLOOKUP($B:$B,#REF!,2,FALSE)</f>
        <v>#REF!</v>
      </c>
      <c r="F23" s="432">
        <f t="shared" si="0"/>
        <v>0</v>
      </c>
      <c r="G23" s="433" t="str">
        <f>IFERROR(VLOOKUP($A23,#REF!,2,0),"0")</f>
        <v>0</v>
      </c>
      <c r="H23" s="432">
        <f t="shared" si="64"/>
        <v>0</v>
      </c>
      <c r="I23" s="163" t="e">
        <f>VLOOKUP($B:$B,#REF!,3,FALSE)</f>
        <v>#REF!</v>
      </c>
      <c r="J23" s="432">
        <f t="shared" si="2"/>
        <v>0</v>
      </c>
      <c r="K23" s="433" t="str">
        <f>IFERROR(VLOOKUP($A23,#REF!,2,0),"0")</f>
        <v>0</v>
      </c>
      <c r="L23" s="432">
        <f t="shared" si="63"/>
        <v>0</v>
      </c>
      <c r="M23" s="163" t="e">
        <f>VLOOKUP($B:$B,#REF!,4,FALSE)</f>
        <v>#REF!</v>
      </c>
      <c r="N23" s="432">
        <f t="shared" si="4"/>
        <v>0</v>
      </c>
      <c r="O23" s="433" t="str">
        <f>IFERROR(VLOOKUP($A23,#REF!,2,0),"0")</f>
        <v>0</v>
      </c>
      <c r="P23" s="432">
        <f t="shared" si="5"/>
        <v>0</v>
      </c>
      <c r="Q23" s="163" t="e">
        <f>VLOOKUP($B:$B,#REF!,5,FALSE)</f>
        <v>#REF!</v>
      </c>
      <c r="R23" s="432">
        <f t="shared" si="6"/>
        <v>0</v>
      </c>
      <c r="S23" s="433" t="str">
        <f>IFERROR(VLOOKUP($A23,#REF!,2,0),"0")</f>
        <v>0</v>
      </c>
      <c r="T23" s="432">
        <f t="shared" si="7"/>
        <v>0</v>
      </c>
      <c r="U23" s="163" t="e">
        <f>VLOOKUP($B:$B,#REF!,6,FALSE)</f>
        <v>#REF!</v>
      </c>
      <c r="V23" s="432">
        <f t="shared" si="8"/>
        <v>0</v>
      </c>
      <c r="W23" s="433" t="str">
        <f>IFERROR(VLOOKUP($A23,#REF!,2,0),"0")</f>
        <v>0</v>
      </c>
      <c r="X23" s="432">
        <f t="shared" si="9"/>
        <v>0</v>
      </c>
      <c r="Y23" s="163" t="e">
        <f>VLOOKUP($B:$B,#REF!,7,FALSE)</f>
        <v>#REF!</v>
      </c>
      <c r="Z23" s="432">
        <f t="shared" si="10"/>
        <v>0</v>
      </c>
      <c r="AA23" s="433" t="str">
        <f>IFERROR(VLOOKUP($A23,#REF!,2,0),"0")</f>
        <v>0</v>
      </c>
      <c r="AB23" s="432">
        <f t="shared" si="11"/>
        <v>0</v>
      </c>
      <c r="AC23" s="163" t="e">
        <f>VLOOKUP($B:$B,#REF!,8,FALSE)</f>
        <v>#REF!</v>
      </c>
      <c r="AD23" s="432">
        <f t="shared" si="12"/>
        <v>0</v>
      </c>
      <c r="AE23" s="433" t="str">
        <f>IFERROR(VLOOKUP($A23,#REF!,2,0),"0")</f>
        <v>0</v>
      </c>
      <c r="AF23" s="432">
        <f t="shared" si="13"/>
        <v>0</v>
      </c>
      <c r="AG23" s="163" t="e">
        <f>VLOOKUP($B:$B,#REF!,9,FALSE)</f>
        <v>#REF!</v>
      </c>
      <c r="AH23" s="432">
        <f t="shared" si="14"/>
        <v>0</v>
      </c>
      <c r="AI23" s="433" t="str">
        <f>IFERROR(VLOOKUP($A23,#REF!,2,0),"0")</f>
        <v>0</v>
      </c>
      <c r="AJ23" s="432">
        <f t="shared" si="15"/>
        <v>0</v>
      </c>
      <c r="AK23" s="163" t="e">
        <f>VLOOKUP($B:$B,#REF!,10,FALSE)</f>
        <v>#REF!</v>
      </c>
      <c r="AL23" s="432">
        <f t="shared" si="16"/>
        <v>0</v>
      </c>
      <c r="AM23" s="433" t="str">
        <f>IFERROR(VLOOKUP($A23,#REF!,2,0),"0")</f>
        <v>0</v>
      </c>
      <c r="AN23" s="432">
        <f t="shared" si="17"/>
        <v>0</v>
      </c>
      <c r="AO23" s="163" t="e">
        <f>VLOOKUP($B:$B,#REF!,11,FALSE)</f>
        <v>#REF!</v>
      </c>
      <c r="AP23" s="432">
        <f t="shared" si="18"/>
        <v>0</v>
      </c>
      <c r="AQ23" s="433" t="str">
        <f>IFERROR(VLOOKUP($A23,#REF!,2,0),"0")</f>
        <v>0</v>
      </c>
      <c r="AR23" s="432">
        <f t="shared" si="19"/>
        <v>0</v>
      </c>
      <c r="AS23" s="163" t="e">
        <f>VLOOKUP($B:$B,#REF!,12,FALSE)</f>
        <v>#REF!</v>
      </c>
      <c r="AT23" s="432">
        <f t="shared" si="20"/>
        <v>0</v>
      </c>
      <c r="AU23" s="433" t="str">
        <f>IFERROR(VLOOKUP($A23,#REF!,2,0),"0")</f>
        <v>0</v>
      </c>
      <c r="AV23" s="432">
        <f t="shared" si="21"/>
        <v>0</v>
      </c>
      <c r="AW23" s="163" t="e">
        <f>VLOOKUP($B:$B,#REF!,13,FALSE)</f>
        <v>#REF!</v>
      </c>
      <c r="AX23" s="432">
        <f t="shared" si="22"/>
        <v>0</v>
      </c>
      <c r="AY23" s="433" t="str">
        <f>IFERROR(VLOOKUP($A23,#REF!,2,0),"0")</f>
        <v>0</v>
      </c>
      <c r="AZ23" s="432">
        <f t="shared" si="23"/>
        <v>0</v>
      </c>
      <c r="BA23" s="163" t="e">
        <f>VLOOKUP($B:$B,#REF!,14,FALSE)</f>
        <v>#REF!</v>
      </c>
      <c r="BB23" s="432">
        <f t="shared" si="24"/>
        <v>0</v>
      </c>
      <c r="BC23" s="433" t="str">
        <f>IFERROR(VLOOKUP($A23,#REF!,2,0),"0")</f>
        <v>0</v>
      </c>
      <c r="BD23" s="432">
        <f t="shared" si="25"/>
        <v>0</v>
      </c>
      <c r="BE23" s="163" t="e">
        <f>VLOOKUP($B:$B,#REF!,15,FALSE)</f>
        <v>#REF!</v>
      </c>
      <c r="BF23" s="432">
        <f t="shared" si="26"/>
        <v>0</v>
      </c>
      <c r="BG23" s="433" t="str">
        <f>IFERROR(VLOOKUP($A23,#REF!,2,0),"0")</f>
        <v>0</v>
      </c>
      <c r="BH23" s="432">
        <f t="shared" si="27"/>
        <v>0</v>
      </c>
      <c r="BI23" s="163" t="e">
        <f>VLOOKUP($B:$B,#REF!,16,FALSE)</f>
        <v>#REF!</v>
      </c>
      <c r="BJ23" s="432">
        <f t="shared" si="28"/>
        <v>0</v>
      </c>
      <c r="BK23" s="433" t="str">
        <f>IFERROR(VLOOKUP($A23,#REF!,2,0),"0")</f>
        <v>0</v>
      </c>
      <c r="BL23" s="432">
        <f t="shared" si="29"/>
        <v>0</v>
      </c>
      <c r="BM23" s="163" t="e">
        <f>VLOOKUP($B:$B,#REF!,17,FALSE)</f>
        <v>#REF!</v>
      </c>
      <c r="BN23" s="432">
        <f t="shared" si="30"/>
        <v>0</v>
      </c>
      <c r="BO23" s="433" t="str">
        <f>IFERROR(VLOOKUP($A23,#REF!,2,0),"0")</f>
        <v>0</v>
      </c>
      <c r="BP23" s="432">
        <f t="shared" si="31"/>
        <v>0</v>
      </c>
      <c r="BQ23" s="163" t="e">
        <f>VLOOKUP($B:$B,#REF!,18,FALSE)</f>
        <v>#REF!</v>
      </c>
      <c r="BR23" s="432">
        <f t="shared" si="32"/>
        <v>0</v>
      </c>
      <c r="BS23" s="433" t="str">
        <f>IFERROR(VLOOKUP($A23,#REF!,2,0),"0")</f>
        <v>0</v>
      </c>
      <c r="BT23" s="432">
        <f t="shared" si="33"/>
        <v>0</v>
      </c>
      <c r="BU23" s="163" t="e">
        <f>VLOOKUP($B:$B,#REF!,19,FALSE)</f>
        <v>#REF!</v>
      </c>
      <c r="BV23" s="432">
        <f t="shared" si="34"/>
        <v>0</v>
      </c>
      <c r="BW23" s="433" t="str">
        <f>IFERROR(VLOOKUP($A23,#REF!,2,0),"0")</f>
        <v>0</v>
      </c>
      <c r="BX23" s="432">
        <f t="shared" si="35"/>
        <v>0</v>
      </c>
      <c r="BY23" s="163" t="e">
        <f>VLOOKUP($B:$B,#REF!,20,FALSE)</f>
        <v>#REF!</v>
      </c>
      <c r="BZ23" s="432">
        <f t="shared" si="36"/>
        <v>0</v>
      </c>
      <c r="CA23" s="433" t="str">
        <f>IFERROR(VLOOKUP($A23,#REF!,2,0),"0")</f>
        <v>0</v>
      </c>
      <c r="CB23" s="432">
        <f t="shared" si="37"/>
        <v>0</v>
      </c>
      <c r="CC23" s="163" t="e">
        <f>VLOOKUP($B:$B,#REF!,21,FALSE)</f>
        <v>#REF!</v>
      </c>
      <c r="CD23" s="432">
        <f t="shared" si="38"/>
        <v>0</v>
      </c>
      <c r="CE23" s="433" t="str">
        <f>IFERROR(VLOOKUP($A23,#REF!,2,0),"0")</f>
        <v>0</v>
      </c>
      <c r="CF23" s="432">
        <f t="shared" si="39"/>
        <v>0</v>
      </c>
      <c r="CG23" s="163" t="e">
        <f>VLOOKUP($B:$B,#REF!,22,FALSE)</f>
        <v>#REF!</v>
      </c>
      <c r="CH23" s="432">
        <f t="shared" si="40"/>
        <v>0</v>
      </c>
      <c r="CI23" s="433" t="str">
        <f>IFERROR(VLOOKUP($A23,#REF!,2,0),"0")</f>
        <v>0</v>
      </c>
      <c r="CJ23" s="432">
        <f t="shared" si="41"/>
        <v>0</v>
      </c>
      <c r="CK23" s="163" t="e">
        <f>VLOOKUP($B:$B,#REF!,23,FALSE)</f>
        <v>#REF!</v>
      </c>
      <c r="CL23" s="432">
        <f t="shared" si="42"/>
        <v>0</v>
      </c>
      <c r="CM23" s="433" t="str">
        <f>IFERROR(VLOOKUP($A23,#REF!,2,0),"0")</f>
        <v>0</v>
      </c>
      <c r="CN23" s="432">
        <f t="shared" si="43"/>
        <v>0</v>
      </c>
      <c r="CO23" s="163" t="e">
        <f>VLOOKUP($B:$B,#REF!,24,FALSE)</f>
        <v>#REF!</v>
      </c>
      <c r="CP23" s="432">
        <f t="shared" si="44"/>
        <v>0</v>
      </c>
      <c r="CQ23" s="433" t="str">
        <f>IFERROR(VLOOKUP($A23,#REF!,2,0),"0")</f>
        <v>0</v>
      </c>
      <c r="CR23" s="432">
        <f t="shared" si="45"/>
        <v>0</v>
      </c>
      <c r="CS23" s="163" t="e">
        <f>VLOOKUP($B:$B,#REF!,25,FALSE)</f>
        <v>#REF!</v>
      </c>
      <c r="CT23" s="432">
        <f t="shared" si="46"/>
        <v>0</v>
      </c>
      <c r="CU23" s="433" t="str">
        <f>IFERROR(VLOOKUP($A23,#REF!,2,0),"0")</f>
        <v>0</v>
      </c>
      <c r="CV23" s="432">
        <f t="shared" si="47"/>
        <v>0</v>
      </c>
      <c r="CW23" s="163" t="e">
        <f>VLOOKUP($B:$B,#REF!,26,FALSE)</f>
        <v>#REF!</v>
      </c>
      <c r="CX23" s="432">
        <f t="shared" si="48"/>
        <v>0</v>
      </c>
      <c r="CY23" s="433" t="str">
        <f>IFERROR(VLOOKUP($A23,#REF!,2,0),"0")</f>
        <v>0</v>
      </c>
      <c r="CZ23" s="432">
        <f t="shared" si="49"/>
        <v>0</v>
      </c>
      <c r="DA23" s="163" t="e">
        <f>VLOOKUP($B:$B,#REF!,27,FALSE)</f>
        <v>#REF!</v>
      </c>
      <c r="DB23" s="432">
        <f t="shared" si="50"/>
        <v>0</v>
      </c>
      <c r="DC23" s="433" t="str">
        <f>IFERROR(VLOOKUP($A23,#REF!,2,0),"0")</f>
        <v>0</v>
      </c>
      <c r="DD23" s="432">
        <f t="shared" si="51"/>
        <v>0</v>
      </c>
      <c r="DE23" s="163" t="e">
        <f>VLOOKUP($B:$B,#REF!,28,FALSE)</f>
        <v>#REF!</v>
      </c>
      <c r="DF23" s="432">
        <f t="shared" si="52"/>
        <v>0</v>
      </c>
      <c r="DG23" s="433" t="str">
        <f>IFERROR(VLOOKUP($A23,#REF!,2,0),"0")</f>
        <v>0</v>
      </c>
      <c r="DH23" s="432">
        <f t="shared" si="53"/>
        <v>0</v>
      </c>
      <c r="DI23" s="163" t="e">
        <f>VLOOKUP($B:$B,#REF!,29,FALSE)</f>
        <v>#REF!</v>
      </c>
      <c r="DJ23" s="432">
        <f t="shared" si="54"/>
        <v>0</v>
      </c>
      <c r="DK23" s="433" t="str">
        <f>IFERROR(VLOOKUP($A23,#REF!,2,0),"0")</f>
        <v>0</v>
      </c>
      <c r="DL23" s="432">
        <f t="shared" si="55"/>
        <v>0</v>
      </c>
      <c r="DM23" s="163" t="e">
        <f>VLOOKUP($B:$B,#REF!,30,FALSE)</f>
        <v>#REF!</v>
      </c>
      <c r="DN23" s="432">
        <f t="shared" si="56"/>
        <v>0</v>
      </c>
      <c r="DO23" s="432"/>
      <c r="DP23" s="432">
        <f t="shared" si="57"/>
        <v>0</v>
      </c>
      <c r="DQ23" s="163" t="e">
        <f>VLOOKUP($B:$B,#REF!,31,FALSE)</f>
        <v>#REF!</v>
      </c>
      <c r="DR23" s="432">
        <f t="shared" si="58"/>
        <v>0</v>
      </c>
      <c r="DS23" s="434"/>
      <c r="DT23" s="432">
        <f t="shared" si="59"/>
        <v>0</v>
      </c>
      <c r="DU23" s="163" t="e">
        <f>VLOOKUP($B:$B,#REF!,32,FALSE)</f>
        <v>#REF!</v>
      </c>
      <c r="DV23" s="432">
        <f t="shared" si="60"/>
        <v>0</v>
      </c>
      <c r="DW23" s="434"/>
      <c r="DX23" s="432">
        <f t="shared" si="61"/>
        <v>0</v>
      </c>
      <c r="DY23" s="432">
        <f t="shared" si="62"/>
        <v>0</v>
      </c>
    </row>
    <row r="24" spans="1:129" ht="15.75">
      <c r="A24" s="166" t="s">
        <v>142</v>
      </c>
      <c r="B24" s="506" t="s">
        <v>143</v>
      </c>
      <c r="C24" s="166">
        <v>1728911213</v>
      </c>
      <c r="D24" s="431">
        <v>35427</v>
      </c>
      <c r="E24" s="163" t="e">
        <f>VLOOKUP($B:$B,#REF!,2,FALSE)</f>
        <v>#REF!</v>
      </c>
      <c r="F24" s="432">
        <f t="shared" si="0"/>
        <v>0</v>
      </c>
      <c r="G24" s="433" t="str">
        <f>IFERROR(VLOOKUP($A24,#REF!,2,0),"0")</f>
        <v>0</v>
      </c>
      <c r="H24" s="432">
        <f t="shared" si="64"/>
        <v>0</v>
      </c>
      <c r="I24" s="163" t="e">
        <f>VLOOKUP($B:$B,#REF!,3,FALSE)</f>
        <v>#REF!</v>
      </c>
      <c r="J24" s="432">
        <f t="shared" si="2"/>
        <v>0</v>
      </c>
      <c r="K24" s="433"/>
      <c r="L24" s="432">
        <f t="shared" si="63"/>
        <v>0</v>
      </c>
      <c r="M24" s="163" t="e">
        <f>VLOOKUP($B:$B,#REF!,4,FALSE)</f>
        <v>#REF!</v>
      </c>
      <c r="N24" s="432">
        <f t="shared" si="4"/>
        <v>0</v>
      </c>
      <c r="O24" s="433" t="str">
        <f>IFERROR(VLOOKUP($A24,#REF!,2,0),"0")</f>
        <v>0</v>
      </c>
      <c r="P24" s="432">
        <f t="shared" si="5"/>
        <v>0</v>
      </c>
      <c r="Q24" s="163" t="e">
        <f>VLOOKUP($B:$B,#REF!,5,FALSE)</f>
        <v>#REF!</v>
      </c>
      <c r="R24" s="432">
        <f t="shared" si="6"/>
        <v>0</v>
      </c>
      <c r="S24" s="433" t="str">
        <f>IFERROR(VLOOKUP($A24,#REF!,2,0),"0")</f>
        <v>0</v>
      </c>
      <c r="T24" s="432">
        <f t="shared" si="7"/>
        <v>0</v>
      </c>
      <c r="U24" s="163" t="e">
        <f>VLOOKUP($B:$B,#REF!,6,FALSE)</f>
        <v>#REF!</v>
      </c>
      <c r="V24" s="432">
        <f t="shared" si="8"/>
        <v>0</v>
      </c>
      <c r="W24" s="433" t="str">
        <f>IFERROR(VLOOKUP($A24,#REF!,2,0),"0")</f>
        <v>0</v>
      </c>
      <c r="X24" s="432">
        <f t="shared" si="9"/>
        <v>0</v>
      </c>
      <c r="Y24" s="163" t="e">
        <f>VLOOKUP($B:$B,#REF!,7,FALSE)</f>
        <v>#REF!</v>
      </c>
      <c r="Z24" s="432">
        <f t="shared" si="10"/>
        <v>0</v>
      </c>
      <c r="AA24" s="433" t="str">
        <f>IFERROR(VLOOKUP($A24,#REF!,2,0),"0")</f>
        <v>0</v>
      </c>
      <c r="AB24" s="432">
        <f t="shared" si="11"/>
        <v>0</v>
      </c>
      <c r="AC24" s="163" t="e">
        <f>VLOOKUP($B:$B,#REF!,8,FALSE)</f>
        <v>#REF!</v>
      </c>
      <c r="AD24" s="432">
        <f t="shared" si="12"/>
        <v>0</v>
      </c>
      <c r="AE24" s="433" t="str">
        <f>IFERROR(VLOOKUP($A24,#REF!,2,0),"0")</f>
        <v>0</v>
      </c>
      <c r="AF24" s="432">
        <f t="shared" si="13"/>
        <v>0</v>
      </c>
      <c r="AG24" s="163" t="e">
        <f>VLOOKUP($B:$B,#REF!,9,FALSE)</f>
        <v>#REF!</v>
      </c>
      <c r="AH24" s="432">
        <f t="shared" si="14"/>
        <v>0</v>
      </c>
      <c r="AI24" s="433" t="str">
        <f>IFERROR(VLOOKUP($A24,#REF!,2,0),"0")</f>
        <v>0</v>
      </c>
      <c r="AJ24" s="432">
        <f t="shared" si="15"/>
        <v>0</v>
      </c>
      <c r="AK24" s="163" t="e">
        <f>VLOOKUP($B:$B,#REF!,10,FALSE)</f>
        <v>#REF!</v>
      </c>
      <c r="AL24" s="432">
        <f t="shared" si="16"/>
        <v>0</v>
      </c>
      <c r="AM24" s="433" t="str">
        <f>IFERROR(VLOOKUP($A24,#REF!,2,0),"0")</f>
        <v>0</v>
      </c>
      <c r="AN24" s="432">
        <f t="shared" si="17"/>
        <v>0</v>
      </c>
      <c r="AO24" s="163" t="e">
        <f>VLOOKUP($B:$B,#REF!,11,FALSE)</f>
        <v>#REF!</v>
      </c>
      <c r="AP24" s="432">
        <f t="shared" si="18"/>
        <v>0</v>
      </c>
      <c r="AQ24" s="432">
        <f t="shared" si="18"/>
        <v>0</v>
      </c>
      <c r="AR24" s="432">
        <f t="shared" si="19"/>
        <v>0</v>
      </c>
      <c r="AS24" s="163" t="e">
        <f>VLOOKUP($B:$B,#REF!,12,FALSE)</f>
        <v>#REF!</v>
      </c>
      <c r="AT24" s="432">
        <f t="shared" si="20"/>
        <v>0</v>
      </c>
      <c r="AU24" s="432">
        <f t="shared" si="20"/>
        <v>0</v>
      </c>
      <c r="AV24" s="432">
        <f t="shared" si="21"/>
        <v>0</v>
      </c>
      <c r="AW24" s="163" t="e">
        <f>VLOOKUP($B:$B,#REF!,13,FALSE)</f>
        <v>#REF!</v>
      </c>
      <c r="AX24" s="432">
        <f t="shared" si="22"/>
        <v>0</v>
      </c>
      <c r="AY24" s="433" t="str">
        <f>IFERROR(VLOOKUP($A24,#REF!,2,0),"0")</f>
        <v>0</v>
      </c>
      <c r="AZ24" s="432">
        <f t="shared" si="23"/>
        <v>0</v>
      </c>
      <c r="BA24" s="163" t="e">
        <f>VLOOKUP($B:$B,#REF!,14,FALSE)</f>
        <v>#REF!</v>
      </c>
      <c r="BB24" s="432">
        <f t="shared" si="24"/>
        <v>0</v>
      </c>
      <c r="BC24" s="433" t="str">
        <f>IFERROR(VLOOKUP($A24,#REF!,2,0),"0")</f>
        <v>0</v>
      </c>
      <c r="BD24" s="432">
        <f t="shared" si="25"/>
        <v>0</v>
      </c>
      <c r="BE24" s="163" t="e">
        <f>VLOOKUP($B:$B,#REF!,15,FALSE)</f>
        <v>#REF!</v>
      </c>
      <c r="BF24" s="432">
        <f t="shared" si="26"/>
        <v>0</v>
      </c>
      <c r="BG24" s="433" t="str">
        <f>IFERROR(VLOOKUP($A24,#REF!,2,0),"0")</f>
        <v>0</v>
      </c>
      <c r="BH24" s="432">
        <f t="shared" si="27"/>
        <v>0</v>
      </c>
      <c r="BI24" s="163" t="e">
        <f>VLOOKUP($B:$B,#REF!,16,FALSE)</f>
        <v>#REF!</v>
      </c>
      <c r="BJ24" s="432">
        <f t="shared" si="28"/>
        <v>0</v>
      </c>
      <c r="BK24" s="433" t="str">
        <f>IFERROR(VLOOKUP($A24,#REF!,2,0),"0")</f>
        <v>0</v>
      </c>
      <c r="BL24" s="432">
        <f t="shared" si="29"/>
        <v>0</v>
      </c>
      <c r="BM24" s="163" t="e">
        <f>VLOOKUP($B:$B,#REF!,17,FALSE)</f>
        <v>#REF!</v>
      </c>
      <c r="BN24" s="432">
        <f t="shared" si="30"/>
        <v>0</v>
      </c>
      <c r="BO24" s="433" t="str">
        <f>IFERROR(VLOOKUP($A24,#REF!,2,0),"0")</f>
        <v>0</v>
      </c>
      <c r="BP24" s="432">
        <f t="shared" si="31"/>
        <v>0</v>
      </c>
      <c r="BQ24" s="163" t="e">
        <f>VLOOKUP($B:$B,#REF!,18,FALSE)</f>
        <v>#REF!</v>
      </c>
      <c r="BR24" s="432">
        <f t="shared" si="32"/>
        <v>0</v>
      </c>
      <c r="BS24" s="433" t="str">
        <f>IFERROR(VLOOKUP($A24,#REF!,2,0),"0")</f>
        <v>0</v>
      </c>
      <c r="BT24" s="432">
        <f t="shared" si="33"/>
        <v>0</v>
      </c>
      <c r="BU24" s="163" t="e">
        <f>VLOOKUP($B:$B,#REF!,19,FALSE)</f>
        <v>#REF!</v>
      </c>
      <c r="BV24" s="432">
        <f t="shared" si="34"/>
        <v>0</v>
      </c>
      <c r="BW24" s="433" t="str">
        <f>IFERROR(VLOOKUP($A24,#REF!,2,0),"0")</f>
        <v>0</v>
      </c>
      <c r="BX24" s="432">
        <f t="shared" si="35"/>
        <v>0</v>
      </c>
      <c r="BY24" s="163" t="e">
        <f>VLOOKUP($B:$B,#REF!,20,FALSE)</f>
        <v>#REF!</v>
      </c>
      <c r="BZ24" s="432">
        <f t="shared" si="36"/>
        <v>0</v>
      </c>
      <c r="CA24" s="433" t="str">
        <f>IFERROR(VLOOKUP($A24,#REF!,2,0),"0")</f>
        <v>0</v>
      </c>
      <c r="CB24" s="432">
        <f t="shared" si="37"/>
        <v>0</v>
      </c>
      <c r="CC24" s="163" t="e">
        <f>VLOOKUP($B:$B,#REF!,21,FALSE)</f>
        <v>#REF!</v>
      </c>
      <c r="CD24" s="432">
        <f t="shared" si="38"/>
        <v>0</v>
      </c>
      <c r="CE24" s="433" t="str">
        <f>IFERROR(VLOOKUP($A24,#REF!,2,0),"0")</f>
        <v>0</v>
      </c>
      <c r="CF24" s="432">
        <f t="shared" si="39"/>
        <v>0</v>
      </c>
      <c r="CG24" s="163" t="e">
        <f>VLOOKUP($B:$B,#REF!,22,FALSE)</f>
        <v>#REF!</v>
      </c>
      <c r="CH24" s="432">
        <f t="shared" si="40"/>
        <v>0</v>
      </c>
      <c r="CI24" s="433" t="str">
        <f>IFERROR(VLOOKUP($A24,#REF!,2,0),"0")</f>
        <v>0</v>
      </c>
      <c r="CJ24" s="432">
        <f t="shared" si="41"/>
        <v>0</v>
      </c>
      <c r="CK24" s="163" t="e">
        <f>VLOOKUP($B:$B,#REF!,23,FALSE)</f>
        <v>#REF!</v>
      </c>
      <c r="CL24" s="432">
        <f t="shared" si="42"/>
        <v>0</v>
      </c>
      <c r="CM24" s="433" t="str">
        <f>IFERROR(VLOOKUP($A24,#REF!,2,0),"0")</f>
        <v>0</v>
      </c>
      <c r="CN24" s="432">
        <f t="shared" si="43"/>
        <v>0</v>
      </c>
      <c r="CO24" s="163" t="e">
        <f>VLOOKUP($B:$B,#REF!,24,FALSE)</f>
        <v>#REF!</v>
      </c>
      <c r="CP24" s="432">
        <f t="shared" si="44"/>
        <v>0</v>
      </c>
      <c r="CQ24" s="433" t="str">
        <f>IFERROR(VLOOKUP($A24,#REF!,2,0),"0")</f>
        <v>0</v>
      </c>
      <c r="CR24" s="432">
        <f t="shared" si="45"/>
        <v>0</v>
      </c>
      <c r="CS24" s="163" t="e">
        <f>VLOOKUP($B:$B,#REF!,25,FALSE)</f>
        <v>#REF!</v>
      </c>
      <c r="CT24" s="432">
        <f t="shared" si="46"/>
        <v>0</v>
      </c>
      <c r="CU24" s="433" t="str">
        <f>IFERROR(VLOOKUP($A24,#REF!,2,0),"0")</f>
        <v>0</v>
      </c>
      <c r="CV24" s="432">
        <f t="shared" si="47"/>
        <v>0</v>
      </c>
      <c r="CW24" s="163" t="e">
        <f>VLOOKUP($B:$B,#REF!,26,FALSE)</f>
        <v>#REF!</v>
      </c>
      <c r="CX24" s="432">
        <f t="shared" si="48"/>
        <v>0</v>
      </c>
      <c r="CY24" s="433" t="str">
        <f>IFERROR(VLOOKUP($A24,#REF!,2,0),"0")</f>
        <v>0</v>
      </c>
      <c r="CZ24" s="432">
        <f t="shared" si="49"/>
        <v>0</v>
      </c>
      <c r="DA24" s="163" t="e">
        <f>VLOOKUP($B:$B,#REF!,27,FALSE)</f>
        <v>#REF!</v>
      </c>
      <c r="DB24" s="432">
        <f t="shared" si="50"/>
        <v>0</v>
      </c>
      <c r="DC24" s="433" t="str">
        <f>IFERROR(VLOOKUP($A24,#REF!,2,0),"0")</f>
        <v>0</v>
      </c>
      <c r="DD24" s="432">
        <f t="shared" si="51"/>
        <v>0</v>
      </c>
      <c r="DE24" s="163" t="e">
        <f>VLOOKUP($B:$B,#REF!,28,FALSE)</f>
        <v>#REF!</v>
      </c>
      <c r="DF24" s="432">
        <f t="shared" si="52"/>
        <v>0</v>
      </c>
      <c r="DG24" s="433" t="str">
        <f>IFERROR(VLOOKUP($A24,#REF!,2,0),"0")</f>
        <v>0</v>
      </c>
      <c r="DH24" s="432">
        <f t="shared" si="53"/>
        <v>0</v>
      </c>
      <c r="DI24" s="163" t="e">
        <f>VLOOKUP($B:$B,#REF!,29,FALSE)</f>
        <v>#REF!</v>
      </c>
      <c r="DJ24" s="432">
        <f t="shared" si="54"/>
        <v>0</v>
      </c>
      <c r="DK24" s="433" t="str">
        <f>IFERROR(VLOOKUP($A24,#REF!,2,0),"0")</f>
        <v>0</v>
      </c>
      <c r="DL24" s="432">
        <f t="shared" si="55"/>
        <v>0</v>
      </c>
      <c r="DM24" s="163" t="e">
        <f>VLOOKUP($B:$B,#REF!,30,FALSE)</f>
        <v>#REF!</v>
      </c>
      <c r="DN24" s="432">
        <f t="shared" si="56"/>
        <v>0</v>
      </c>
      <c r="DO24" s="432"/>
      <c r="DP24" s="432">
        <f t="shared" si="57"/>
        <v>0</v>
      </c>
      <c r="DQ24" s="163" t="e">
        <f>VLOOKUP($B:$B,#REF!,31,FALSE)</f>
        <v>#REF!</v>
      </c>
      <c r="DR24" s="432">
        <f t="shared" si="58"/>
        <v>0</v>
      </c>
      <c r="DS24" s="434"/>
      <c r="DT24" s="432">
        <f t="shared" si="59"/>
        <v>0</v>
      </c>
      <c r="DU24" s="163" t="e">
        <f>VLOOKUP($B:$B,#REF!,32,FALSE)</f>
        <v>#REF!</v>
      </c>
      <c r="DV24" s="432">
        <f t="shared" si="60"/>
        <v>0</v>
      </c>
      <c r="DW24" s="434"/>
      <c r="DX24" s="432">
        <f t="shared" si="61"/>
        <v>0</v>
      </c>
      <c r="DY24" s="432">
        <f t="shared" si="62"/>
        <v>0</v>
      </c>
    </row>
    <row r="25" spans="1:129" ht="15.75">
      <c r="A25" s="166" t="s">
        <v>449</v>
      </c>
      <c r="B25" s="506" t="s">
        <v>455</v>
      </c>
      <c r="C25" s="166">
        <v>504246356</v>
      </c>
      <c r="D25" s="431">
        <v>37024</v>
      </c>
      <c r="E25" s="163" t="e">
        <f>VLOOKUP($B:$B,#REF!,2,FALSE)</f>
        <v>#REF!</v>
      </c>
      <c r="F25" s="432">
        <f t="shared" si="0"/>
        <v>0</v>
      </c>
      <c r="G25" s="433" t="str">
        <f>IFERROR(VLOOKUP($A25,#REF!,2,0),"0")</f>
        <v>0</v>
      </c>
      <c r="H25" s="432">
        <f t="shared" si="64"/>
        <v>0</v>
      </c>
      <c r="I25" s="163" t="e">
        <f>VLOOKUP($B:$B,#REF!,3,FALSE)</f>
        <v>#REF!</v>
      </c>
      <c r="J25" s="432">
        <f t="shared" si="2"/>
        <v>0</v>
      </c>
      <c r="K25" s="433" t="str">
        <f>IFERROR(VLOOKUP($A25,#REF!,2,0),"0")</f>
        <v>0</v>
      </c>
      <c r="L25" s="432">
        <f t="shared" si="63"/>
        <v>0</v>
      </c>
      <c r="M25" s="163" t="e">
        <f>VLOOKUP($B:$B,#REF!,4,FALSE)</f>
        <v>#REF!</v>
      </c>
      <c r="N25" s="432">
        <f t="shared" si="4"/>
        <v>0</v>
      </c>
      <c r="O25" s="432">
        <f>IFERROR(VLOOKUP(N25,$B$220:$E$236,2,FALSE),0)</f>
        <v>0</v>
      </c>
      <c r="P25" s="432">
        <f t="shared" si="5"/>
        <v>0</v>
      </c>
      <c r="Q25" s="163" t="e">
        <f>VLOOKUP($B:$B,#REF!,5,FALSE)</f>
        <v>#REF!</v>
      </c>
      <c r="R25" s="432">
        <f t="shared" si="6"/>
        <v>0</v>
      </c>
      <c r="S25" s="433" t="str">
        <f>IFERROR(VLOOKUP($A25,#REF!,2,0),"0")</f>
        <v>0</v>
      </c>
      <c r="T25" s="432">
        <f t="shared" si="7"/>
        <v>0</v>
      </c>
      <c r="U25" s="163" t="e">
        <f>VLOOKUP($B:$B,#REF!,6,FALSE)</f>
        <v>#REF!</v>
      </c>
      <c r="V25" s="432">
        <f t="shared" si="8"/>
        <v>0</v>
      </c>
      <c r="W25" s="432">
        <f>IFERROR(VLOOKUP(V25,$B$220:$E$236,2,FALSE),0)</f>
        <v>0</v>
      </c>
      <c r="X25" s="432">
        <f t="shared" si="9"/>
        <v>0</v>
      </c>
      <c r="Y25" s="163" t="e">
        <f>VLOOKUP($B:$B,#REF!,7,FALSE)</f>
        <v>#REF!</v>
      </c>
      <c r="Z25" s="432">
        <f t="shared" si="10"/>
        <v>0</v>
      </c>
      <c r="AA25" s="433" t="str">
        <f>IFERROR(VLOOKUP($A25,#REF!,2,0),"0")</f>
        <v>0</v>
      </c>
      <c r="AB25" s="432">
        <f t="shared" si="11"/>
        <v>0</v>
      </c>
      <c r="AC25" s="163" t="e">
        <f>VLOOKUP($B:$B,#REF!,8,FALSE)</f>
        <v>#REF!</v>
      </c>
      <c r="AD25" s="432">
        <f t="shared" si="12"/>
        <v>0</v>
      </c>
      <c r="AE25" s="433" t="str">
        <f>IFERROR(VLOOKUP($A25,#REF!,2,0),"0")</f>
        <v>0</v>
      </c>
      <c r="AF25" s="432">
        <f t="shared" si="13"/>
        <v>0</v>
      </c>
      <c r="AG25" s="163" t="e">
        <f>VLOOKUP($B:$B,#REF!,9,FALSE)</f>
        <v>#REF!</v>
      </c>
      <c r="AH25" s="432">
        <f t="shared" si="14"/>
        <v>0</v>
      </c>
      <c r="AI25" s="433" t="str">
        <f>IFERROR(VLOOKUP($A25,#REF!,2,0),"0")</f>
        <v>0</v>
      </c>
      <c r="AJ25" s="432">
        <f t="shared" si="15"/>
        <v>0</v>
      </c>
      <c r="AK25" s="163" t="e">
        <f>VLOOKUP($B:$B,#REF!,10,FALSE)</f>
        <v>#REF!</v>
      </c>
      <c r="AL25" s="432">
        <f t="shared" si="16"/>
        <v>0</v>
      </c>
      <c r="AM25" s="433" t="str">
        <f>IFERROR(VLOOKUP($A25,#REF!,2,0),"0")</f>
        <v>0</v>
      </c>
      <c r="AN25" s="432">
        <f t="shared" si="17"/>
        <v>0</v>
      </c>
      <c r="AO25" s="163" t="e">
        <f>VLOOKUP($B:$B,#REF!,11,FALSE)</f>
        <v>#REF!</v>
      </c>
      <c r="AP25" s="432">
        <f t="shared" si="18"/>
        <v>0</v>
      </c>
      <c r="AQ25" s="433" t="str">
        <f>IFERROR(VLOOKUP($A25,#REF!,2,0),"0")</f>
        <v>0</v>
      </c>
      <c r="AR25" s="432">
        <f t="shared" si="19"/>
        <v>0</v>
      </c>
      <c r="AS25" s="163" t="e">
        <f>VLOOKUP($B:$B,#REF!,12,FALSE)</f>
        <v>#REF!</v>
      </c>
      <c r="AT25" s="432">
        <f t="shared" si="20"/>
        <v>0</v>
      </c>
      <c r="AU25" s="433" t="str">
        <f>IFERROR(VLOOKUP($A25,#REF!,2,0),"0")</f>
        <v>0</v>
      </c>
      <c r="AV25" s="432">
        <f t="shared" si="21"/>
        <v>0</v>
      </c>
      <c r="AW25" s="163" t="e">
        <f>VLOOKUP($B:$B,#REF!,13,FALSE)</f>
        <v>#REF!</v>
      </c>
      <c r="AX25" s="432">
        <f t="shared" si="22"/>
        <v>0</v>
      </c>
      <c r="AY25" s="433" t="str">
        <f>IFERROR(VLOOKUP($A25,#REF!,2,0),"0")</f>
        <v>0</v>
      </c>
      <c r="AZ25" s="432">
        <f t="shared" si="23"/>
        <v>0</v>
      </c>
      <c r="BA25" s="163" t="e">
        <f>VLOOKUP($B:$B,#REF!,14,FALSE)</f>
        <v>#REF!</v>
      </c>
      <c r="BB25" s="432">
        <f t="shared" si="24"/>
        <v>0</v>
      </c>
      <c r="BC25" s="433" t="str">
        <f>IFERROR(VLOOKUP($A25,#REF!,2,0),"0")</f>
        <v>0</v>
      </c>
      <c r="BD25" s="432">
        <f t="shared" si="25"/>
        <v>0</v>
      </c>
      <c r="BE25" s="163" t="e">
        <f>VLOOKUP($B:$B,#REF!,15,FALSE)</f>
        <v>#REF!</v>
      </c>
      <c r="BF25" s="432">
        <f t="shared" si="26"/>
        <v>0</v>
      </c>
      <c r="BG25" s="433" t="str">
        <f>IFERROR(VLOOKUP($A25,#REF!,2,0),"0")</f>
        <v>0</v>
      </c>
      <c r="BH25" s="432">
        <f t="shared" si="27"/>
        <v>0</v>
      </c>
      <c r="BI25" s="163" t="e">
        <f>VLOOKUP($B:$B,#REF!,16,FALSE)</f>
        <v>#REF!</v>
      </c>
      <c r="BJ25" s="432">
        <f t="shared" si="28"/>
        <v>0</v>
      </c>
      <c r="BK25" s="433" t="str">
        <f>IFERROR(VLOOKUP($A25,#REF!,2,0),"0")</f>
        <v>0</v>
      </c>
      <c r="BL25" s="432">
        <f t="shared" si="29"/>
        <v>0</v>
      </c>
      <c r="BM25" s="163" t="e">
        <f>VLOOKUP($B:$B,#REF!,17,FALSE)</f>
        <v>#REF!</v>
      </c>
      <c r="BN25" s="432">
        <f t="shared" si="30"/>
        <v>0</v>
      </c>
      <c r="BO25" s="433" t="str">
        <f>IFERROR(VLOOKUP($A25,#REF!,2,0),"0")</f>
        <v>0</v>
      </c>
      <c r="BP25" s="432">
        <f t="shared" si="31"/>
        <v>0</v>
      </c>
      <c r="BQ25" s="163" t="e">
        <f>VLOOKUP($B:$B,#REF!,18,FALSE)</f>
        <v>#REF!</v>
      </c>
      <c r="BR25" s="432">
        <f t="shared" si="32"/>
        <v>0</v>
      </c>
      <c r="BS25" s="433" t="str">
        <f>IFERROR(VLOOKUP($A25,#REF!,2,0),"0")</f>
        <v>0</v>
      </c>
      <c r="BT25" s="432">
        <f t="shared" si="33"/>
        <v>0</v>
      </c>
      <c r="BU25" s="163" t="e">
        <f>VLOOKUP($B:$B,#REF!,19,FALSE)</f>
        <v>#REF!</v>
      </c>
      <c r="BV25" s="432">
        <f t="shared" si="34"/>
        <v>0</v>
      </c>
      <c r="BW25" s="433" t="str">
        <f>IFERROR(VLOOKUP($A25,#REF!,2,0),"0")</f>
        <v>0</v>
      </c>
      <c r="BX25" s="432">
        <f t="shared" si="35"/>
        <v>0</v>
      </c>
      <c r="BY25" s="163" t="e">
        <f>VLOOKUP($B:$B,#REF!,20,FALSE)</f>
        <v>#REF!</v>
      </c>
      <c r="BZ25" s="432">
        <f t="shared" si="36"/>
        <v>0</v>
      </c>
      <c r="CA25" s="433" t="str">
        <f>IFERROR(VLOOKUP($A25,#REF!,2,0),"0")</f>
        <v>0</v>
      </c>
      <c r="CB25" s="432">
        <f t="shared" si="37"/>
        <v>0</v>
      </c>
      <c r="CC25" s="163" t="e">
        <f>VLOOKUP($B:$B,#REF!,21,FALSE)</f>
        <v>#REF!</v>
      </c>
      <c r="CD25" s="432">
        <f t="shared" si="38"/>
        <v>0</v>
      </c>
      <c r="CE25" s="433" t="str">
        <f>IFERROR(VLOOKUP($A25,#REF!,2,0),"0")</f>
        <v>0</v>
      </c>
      <c r="CF25" s="432">
        <f t="shared" si="39"/>
        <v>0</v>
      </c>
      <c r="CG25" s="163" t="e">
        <f>VLOOKUP($B:$B,#REF!,22,FALSE)</f>
        <v>#REF!</v>
      </c>
      <c r="CH25" s="432">
        <f t="shared" si="40"/>
        <v>0</v>
      </c>
      <c r="CI25" s="433" t="str">
        <f>IFERROR(VLOOKUP($A25,#REF!,2,0),"0")</f>
        <v>0</v>
      </c>
      <c r="CJ25" s="432">
        <f t="shared" si="41"/>
        <v>0</v>
      </c>
      <c r="CK25" s="163" t="e">
        <f>VLOOKUP($B:$B,#REF!,23,FALSE)</f>
        <v>#REF!</v>
      </c>
      <c r="CL25" s="432">
        <f t="shared" si="42"/>
        <v>0</v>
      </c>
      <c r="CM25" s="433" t="str">
        <f>IFERROR(VLOOKUP($A25,#REF!,2,0),"0")</f>
        <v>0</v>
      </c>
      <c r="CN25" s="432">
        <f t="shared" si="43"/>
        <v>0</v>
      </c>
      <c r="CO25" s="163" t="e">
        <f>VLOOKUP($B:$B,#REF!,24,FALSE)</f>
        <v>#REF!</v>
      </c>
      <c r="CP25" s="432">
        <f t="shared" si="44"/>
        <v>0</v>
      </c>
      <c r="CQ25" s="433" t="str">
        <f>IFERROR(VLOOKUP($A25,#REF!,2,0),"0")</f>
        <v>0</v>
      </c>
      <c r="CR25" s="432">
        <f t="shared" si="45"/>
        <v>0</v>
      </c>
      <c r="CS25" s="163" t="e">
        <f>VLOOKUP($B:$B,#REF!,25,FALSE)</f>
        <v>#REF!</v>
      </c>
      <c r="CT25" s="432">
        <f t="shared" si="46"/>
        <v>0</v>
      </c>
      <c r="CU25" s="433" t="str">
        <f>IFERROR(VLOOKUP($A25,#REF!,2,0),"0")</f>
        <v>0</v>
      </c>
      <c r="CV25" s="432">
        <f t="shared" si="47"/>
        <v>0</v>
      </c>
      <c r="CW25" s="163" t="e">
        <f>VLOOKUP($B:$B,#REF!,26,FALSE)</f>
        <v>#REF!</v>
      </c>
      <c r="CX25" s="432">
        <f t="shared" si="48"/>
        <v>0</v>
      </c>
      <c r="CY25" s="433" t="str">
        <f>IFERROR(VLOOKUP($A25,#REF!,2,0),"0")</f>
        <v>0</v>
      </c>
      <c r="CZ25" s="432">
        <f t="shared" si="49"/>
        <v>0</v>
      </c>
      <c r="DA25" s="163" t="e">
        <f>VLOOKUP($B:$B,#REF!,27,FALSE)</f>
        <v>#REF!</v>
      </c>
      <c r="DB25" s="432">
        <f t="shared" si="50"/>
        <v>0</v>
      </c>
      <c r="DC25" s="433" t="str">
        <f>IFERROR(VLOOKUP($A25,#REF!,2,0),"0")</f>
        <v>0</v>
      </c>
      <c r="DD25" s="432">
        <f t="shared" si="51"/>
        <v>0</v>
      </c>
      <c r="DE25" s="163" t="e">
        <f>VLOOKUP($B:$B,#REF!,28,FALSE)</f>
        <v>#REF!</v>
      </c>
      <c r="DF25" s="432">
        <f t="shared" si="52"/>
        <v>0</v>
      </c>
      <c r="DG25" s="433" t="str">
        <f>IFERROR(VLOOKUP($A25,#REF!,2,0),"0")</f>
        <v>0</v>
      </c>
      <c r="DH25" s="432">
        <f t="shared" si="53"/>
        <v>0</v>
      </c>
      <c r="DI25" s="163" t="e">
        <f>VLOOKUP($B:$B,#REF!,29,FALSE)</f>
        <v>#REF!</v>
      </c>
      <c r="DJ25" s="432">
        <f t="shared" si="54"/>
        <v>0</v>
      </c>
      <c r="DK25" s="433" t="str">
        <f>IFERROR(VLOOKUP($A25,#REF!,2,0),"0")</f>
        <v>0</v>
      </c>
      <c r="DL25" s="432">
        <f t="shared" si="55"/>
        <v>0</v>
      </c>
      <c r="DM25" s="163" t="e">
        <f>VLOOKUP($B:$B,#REF!,30,FALSE)</f>
        <v>#REF!</v>
      </c>
      <c r="DN25" s="432">
        <f t="shared" si="56"/>
        <v>0</v>
      </c>
      <c r="DO25" s="432"/>
      <c r="DP25" s="432">
        <f t="shared" si="57"/>
        <v>0</v>
      </c>
      <c r="DQ25" s="163" t="e">
        <f>VLOOKUP($B:$B,#REF!,31,FALSE)</f>
        <v>#REF!</v>
      </c>
      <c r="DR25" s="432">
        <f t="shared" si="58"/>
        <v>0</v>
      </c>
      <c r="DS25" s="434"/>
      <c r="DT25" s="432">
        <f t="shared" si="59"/>
        <v>0</v>
      </c>
      <c r="DU25" s="163" t="e">
        <f>VLOOKUP($B:$B,#REF!,32,FALSE)</f>
        <v>#REF!</v>
      </c>
      <c r="DV25" s="432">
        <f t="shared" si="60"/>
        <v>0</v>
      </c>
      <c r="DW25" s="434"/>
      <c r="DX25" s="432">
        <f t="shared" si="61"/>
        <v>0</v>
      </c>
      <c r="DY25" s="432">
        <f t="shared" si="62"/>
        <v>0</v>
      </c>
    </row>
    <row r="26" spans="1:129" ht="15.75">
      <c r="A26" s="166" t="s">
        <v>456</v>
      </c>
      <c r="B26" s="506" t="s">
        <v>457</v>
      </c>
      <c r="C26" s="166">
        <v>851000695</v>
      </c>
      <c r="D26" s="431">
        <v>39043</v>
      </c>
      <c r="E26" s="163" t="e">
        <f>VLOOKUP($B:$B,#REF!,2,FALSE)</f>
        <v>#REF!</v>
      </c>
      <c r="F26" s="432">
        <f t="shared" si="0"/>
        <v>0</v>
      </c>
      <c r="G26" s="433" t="str">
        <f>IFERROR(VLOOKUP($A26,#REF!,2,0),"0")</f>
        <v>0</v>
      </c>
      <c r="H26" s="432">
        <f t="shared" si="64"/>
        <v>0</v>
      </c>
      <c r="I26" s="163" t="e">
        <f>VLOOKUP($B:$B,#REF!,3,FALSE)</f>
        <v>#REF!</v>
      </c>
      <c r="J26" s="432">
        <f t="shared" si="2"/>
        <v>0</v>
      </c>
      <c r="K26" s="433" t="str">
        <f>IFERROR(VLOOKUP($A26,#REF!,2,0),"0")</f>
        <v>0</v>
      </c>
      <c r="L26" s="432">
        <f t="shared" si="63"/>
        <v>0</v>
      </c>
      <c r="M26" s="163" t="e">
        <f>VLOOKUP($B:$B,#REF!,4,FALSE)</f>
        <v>#REF!</v>
      </c>
      <c r="N26" s="432">
        <f t="shared" si="4"/>
        <v>0</v>
      </c>
      <c r="O26" s="433" t="str">
        <f>IFERROR(VLOOKUP($A26,#REF!,2,0),"0")</f>
        <v>0</v>
      </c>
      <c r="P26" s="432">
        <f t="shared" si="5"/>
        <v>0</v>
      </c>
      <c r="Q26" s="163" t="e">
        <f>VLOOKUP($B:$B,#REF!,5,FALSE)</f>
        <v>#REF!</v>
      </c>
      <c r="R26" s="432">
        <f t="shared" si="6"/>
        <v>0</v>
      </c>
      <c r="S26" s="433" t="str">
        <f>IFERROR(VLOOKUP($A26,#REF!,2,0),"0")</f>
        <v>0</v>
      </c>
      <c r="T26" s="432">
        <f t="shared" si="7"/>
        <v>0</v>
      </c>
      <c r="U26" s="163" t="e">
        <f>VLOOKUP($B:$B,#REF!,6,FALSE)</f>
        <v>#REF!</v>
      </c>
      <c r="V26" s="432">
        <f t="shared" si="8"/>
        <v>0</v>
      </c>
      <c r="W26" s="433" t="str">
        <f>IFERROR(VLOOKUP($A26,#REF!,2,0),"0")</f>
        <v>0</v>
      </c>
      <c r="X26" s="432">
        <f t="shared" si="9"/>
        <v>0</v>
      </c>
      <c r="Y26" s="163" t="e">
        <f>VLOOKUP($B:$B,#REF!,7,FALSE)</f>
        <v>#REF!</v>
      </c>
      <c r="Z26" s="432">
        <f t="shared" si="10"/>
        <v>0</v>
      </c>
      <c r="AA26" s="433" t="str">
        <f>IFERROR(VLOOKUP($A26,#REF!,2,0),"0")</f>
        <v>0</v>
      </c>
      <c r="AB26" s="432">
        <f t="shared" si="11"/>
        <v>0</v>
      </c>
      <c r="AC26" s="163" t="e">
        <f>VLOOKUP($B:$B,#REF!,8,FALSE)</f>
        <v>#REF!</v>
      </c>
      <c r="AD26" s="432">
        <f t="shared" si="12"/>
        <v>0</v>
      </c>
      <c r="AE26" s="433" t="str">
        <f>IFERROR(VLOOKUP($A26,#REF!,2,0),"0")</f>
        <v>0</v>
      </c>
      <c r="AF26" s="432">
        <f t="shared" si="13"/>
        <v>0</v>
      </c>
      <c r="AG26" s="163" t="e">
        <f>VLOOKUP($B:$B,#REF!,9,FALSE)</f>
        <v>#REF!</v>
      </c>
      <c r="AH26" s="432">
        <f t="shared" si="14"/>
        <v>0</v>
      </c>
      <c r="AI26" s="433" t="str">
        <f>IFERROR(VLOOKUP($A26,#REF!,2,0),"0")</f>
        <v>0</v>
      </c>
      <c r="AJ26" s="432">
        <f t="shared" si="15"/>
        <v>0</v>
      </c>
      <c r="AK26" s="163" t="e">
        <f>VLOOKUP($B:$B,#REF!,10,FALSE)</f>
        <v>#REF!</v>
      </c>
      <c r="AL26" s="432">
        <f t="shared" si="16"/>
        <v>0</v>
      </c>
      <c r="AM26" s="433" t="str">
        <f>IFERROR(VLOOKUP($A26,#REF!,2,0),"0")</f>
        <v>0</v>
      </c>
      <c r="AN26" s="432">
        <f t="shared" si="17"/>
        <v>0</v>
      </c>
      <c r="AO26" s="163" t="e">
        <f>VLOOKUP($B:$B,#REF!,11,FALSE)</f>
        <v>#REF!</v>
      </c>
      <c r="AP26" s="432">
        <f t="shared" si="18"/>
        <v>0</v>
      </c>
      <c r="AQ26" s="433" t="str">
        <f>IFERROR(VLOOKUP($A26,#REF!,2,0),"0")</f>
        <v>0</v>
      </c>
      <c r="AR26" s="432">
        <f t="shared" si="19"/>
        <v>0</v>
      </c>
      <c r="AS26" s="163" t="e">
        <f>VLOOKUP($B:$B,#REF!,12,FALSE)</f>
        <v>#REF!</v>
      </c>
      <c r="AT26" s="432">
        <f t="shared" si="20"/>
        <v>0</v>
      </c>
      <c r="AU26" s="433"/>
      <c r="AV26" s="432">
        <f t="shared" si="21"/>
        <v>0</v>
      </c>
      <c r="AW26" s="163" t="e">
        <f>VLOOKUP($B:$B,#REF!,13,FALSE)</f>
        <v>#REF!</v>
      </c>
      <c r="AX26" s="432">
        <f t="shared" si="22"/>
        <v>0</v>
      </c>
      <c r="AY26" s="433"/>
      <c r="AZ26" s="432">
        <f t="shared" si="23"/>
        <v>0</v>
      </c>
      <c r="BA26" s="163" t="e">
        <f>VLOOKUP($B:$B,#REF!,14,FALSE)</f>
        <v>#REF!</v>
      </c>
      <c r="BB26" s="432">
        <f t="shared" si="24"/>
        <v>0</v>
      </c>
      <c r="BC26" s="433"/>
      <c r="BD26" s="432">
        <f t="shared" si="25"/>
        <v>0</v>
      </c>
      <c r="BE26" s="163" t="e">
        <f>VLOOKUP($B:$B,#REF!,15,FALSE)</f>
        <v>#REF!</v>
      </c>
      <c r="BF26" s="432">
        <f t="shared" si="26"/>
        <v>0</v>
      </c>
      <c r="BG26" s="433"/>
      <c r="BH26" s="432">
        <f t="shared" si="27"/>
        <v>0</v>
      </c>
      <c r="BI26" s="163" t="e">
        <f>VLOOKUP($B:$B,#REF!,16,FALSE)</f>
        <v>#REF!</v>
      </c>
      <c r="BJ26" s="432">
        <f t="shared" si="28"/>
        <v>0</v>
      </c>
      <c r="BK26" s="433" t="str">
        <f>IFERROR(VLOOKUP($A26,#REF!,2,0),"0")</f>
        <v>0</v>
      </c>
      <c r="BL26" s="432">
        <f t="shared" si="29"/>
        <v>0</v>
      </c>
      <c r="BM26" s="163" t="e">
        <f>VLOOKUP($B:$B,#REF!,17,FALSE)</f>
        <v>#REF!</v>
      </c>
      <c r="BN26" s="432">
        <f t="shared" si="30"/>
        <v>0</v>
      </c>
      <c r="BO26" s="433" t="str">
        <f>IFERROR(VLOOKUP($A26,#REF!,2,0),"0")</f>
        <v>0</v>
      </c>
      <c r="BP26" s="432">
        <f t="shared" si="31"/>
        <v>0</v>
      </c>
      <c r="BQ26" s="163" t="e">
        <f>VLOOKUP($B:$B,#REF!,18,FALSE)</f>
        <v>#REF!</v>
      </c>
      <c r="BR26" s="432">
        <f t="shared" si="32"/>
        <v>0</v>
      </c>
      <c r="BS26" s="433" t="str">
        <f>IFERROR(VLOOKUP($A26,#REF!,2,0),"0")</f>
        <v>0</v>
      </c>
      <c r="BT26" s="432">
        <f t="shared" si="33"/>
        <v>0</v>
      </c>
      <c r="BU26" s="163" t="e">
        <f>VLOOKUP($B:$B,#REF!,19,FALSE)</f>
        <v>#REF!</v>
      </c>
      <c r="BV26" s="432">
        <f t="shared" si="34"/>
        <v>0</v>
      </c>
      <c r="BW26" s="433"/>
      <c r="BX26" s="432">
        <f t="shared" si="35"/>
        <v>0</v>
      </c>
      <c r="BY26" s="163" t="e">
        <f>VLOOKUP($B:$B,#REF!,20,FALSE)</f>
        <v>#REF!</v>
      </c>
      <c r="BZ26" s="432">
        <f t="shared" si="36"/>
        <v>0</v>
      </c>
      <c r="CA26" s="433" t="str">
        <f>IFERROR(VLOOKUP($A26,#REF!,2,0),"0")</f>
        <v>0</v>
      </c>
      <c r="CB26" s="432">
        <f t="shared" si="37"/>
        <v>0</v>
      </c>
      <c r="CC26" s="163" t="e">
        <f>VLOOKUP($B:$B,#REF!,21,FALSE)</f>
        <v>#REF!</v>
      </c>
      <c r="CD26" s="432">
        <f t="shared" si="38"/>
        <v>0</v>
      </c>
      <c r="CE26" s="433" t="str">
        <f>IFERROR(VLOOKUP($A26,#REF!,2,0),"0")</f>
        <v>0</v>
      </c>
      <c r="CF26" s="432">
        <f t="shared" si="39"/>
        <v>0</v>
      </c>
      <c r="CG26" s="163" t="e">
        <f>VLOOKUP($B:$B,#REF!,22,FALSE)</f>
        <v>#REF!</v>
      </c>
      <c r="CH26" s="432">
        <f t="shared" si="40"/>
        <v>0</v>
      </c>
      <c r="CI26" s="433" t="str">
        <f>IFERROR(VLOOKUP($A26,#REF!,2,0),"0")</f>
        <v>0</v>
      </c>
      <c r="CJ26" s="432">
        <f t="shared" si="41"/>
        <v>0</v>
      </c>
      <c r="CK26" s="163" t="e">
        <f>VLOOKUP($B:$B,#REF!,23,FALSE)</f>
        <v>#REF!</v>
      </c>
      <c r="CL26" s="432">
        <f t="shared" si="42"/>
        <v>0</v>
      </c>
      <c r="CM26" s="433" t="str">
        <f>IFERROR(VLOOKUP($A26,#REF!,2,0),"0")</f>
        <v>0</v>
      </c>
      <c r="CN26" s="432">
        <f t="shared" si="43"/>
        <v>0</v>
      </c>
      <c r="CO26" s="163" t="e">
        <f>VLOOKUP($B:$B,#REF!,24,FALSE)</f>
        <v>#REF!</v>
      </c>
      <c r="CP26" s="432">
        <f t="shared" si="44"/>
        <v>0</v>
      </c>
      <c r="CQ26" s="433"/>
      <c r="CR26" s="432">
        <f t="shared" si="45"/>
        <v>0</v>
      </c>
      <c r="CS26" s="163" t="e">
        <f>VLOOKUP($B:$B,#REF!,25,FALSE)</f>
        <v>#REF!</v>
      </c>
      <c r="CT26" s="432">
        <f t="shared" si="46"/>
        <v>0</v>
      </c>
      <c r="CU26" s="433" t="str">
        <f>IFERROR(VLOOKUP($A26,#REF!,2,0),"0")</f>
        <v>0</v>
      </c>
      <c r="CV26" s="432">
        <f t="shared" si="47"/>
        <v>0</v>
      </c>
      <c r="CW26" s="163" t="e">
        <f>VLOOKUP($B:$B,#REF!,26,FALSE)</f>
        <v>#REF!</v>
      </c>
      <c r="CX26" s="432">
        <f t="shared" si="48"/>
        <v>0</v>
      </c>
      <c r="CY26" s="433" t="str">
        <f>IFERROR(VLOOKUP($A26,#REF!,2,0),"0")</f>
        <v>0</v>
      </c>
      <c r="CZ26" s="432">
        <f t="shared" si="49"/>
        <v>0</v>
      </c>
      <c r="DA26" s="163" t="e">
        <f>VLOOKUP($B:$B,#REF!,27,FALSE)</f>
        <v>#REF!</v>
      </c>
      <c r="DB26" s="432">
        <f t="shared" si="50"/>
        <v>0</v>
      </c>
      <c r="DC26" s="433" t="str">
        <f>IFERROR(VLOOKUP($A26,#REF!,2,0),"0")</f>
        <v>0</v>
      </c>
      <c r="DD26" s="432">
        <f t="shared" si="51"/>
        <v>0</v>
      </c>
      <c r="DE26" s="163" t="e">
        <f>VLOOKUP($B:$B,#REF!,28,FALSE)</f>
        <v>#REF!</v>
      </c>
      <c r="DF26" s="432">
        <f t="shared" si="52"/>
        <v>0</v>
      </c>
      <c r="DG26" s="433" t="str">
        <f>IFERROR(VLOOKUP($A26,#REF!,2,0),"0")</f>
        <v>0</v>
      </c>
      <c r="DH26" s="432">
        <f t="shared" si="53"/>
        <v>0</v>
      </c>
      <c r="DI26" s="163" t="e">
        <f>VLOOKUP($B:$B,#REF!,29,FALSE)</f>
        <v>#REF!</v>
      </c>
      <c r="DJ26" s="432">
        <f t="shared" si="54"/>
        <v>0</v>
      </c>
      <c r="DK26" s="433" t="str">
        <f>IFERROR(VLOOKUP($A26,#REF!,2,0),"0")</f>
        <v>0</v>
      </c>
      <c r="DL26" s="432">
        <f t="shared" si="55"/>
        <v>0</v>
      </c>
      <c r="DM26" s="163" t="e">
        <f>VLOOKUP($B:$B,#REF!,30,FALSE)</f>
        <v>#REF!</v>
      </c>
      <c r="DN26" s="432">
        <f t="shared" si="56"/>
        <v>0</v>
      </c>
      <c r="DO26" s="432"/>
      <c r="DP26" s="432">
        <f t="shared" si="57"/>
        <v>0</v>
      </c>
      <c r="DQ26" s="163" t="e">
        <f>VLOOKUP($B:$B,#REF!,31,FALSE)</f>
        <v>#REF!</v>
      </c>
      <c r="DR26" s="432">
        <f t="shared" si="58"/>
        <v>0</v>
      </c>
      <c r="DS26" s="434"/>
      <c r="DT26" s="432">
        <f t="shared" si="59"/>
        <v>0</v>
      </c>
      <c r="DU26" s="163" t="e">
        <f>VLOOKUP($B:$B,#REF!,32,FALSE)</f>
        <v>#REF!</v>
      </c>
      <c r="DV26" s="432">
        <f t="shared" si="60"/>
        <v>0</v>
      </c>
      <c r="DW26" s="434"/>
      <c r="DX26" s="432">
        <f t="shared" si="61"/>
        <v>0</v>
      </c>
      <c r="DY26" s="432">
        <f t="shared" si="62"/>
        <v>0</v>
      </c>
    </row>
    <row r="27" spans="1:129" ht="15.75">
      <c r="A27" s="166" t="s">
        <v>459</v>
      </c>
      <c r="B27" s="506" t="s">
        <v>460</v>
      </c>
      <c r="C27" s="166">
        <v>1715030931</v>
      </c>
      <c r="D27" s="431">
        <v>28451</v>
      </c>
      <c r="E27" s="163" t="e">
        <f>VLOOKUP($B:$B,#REF!,2,FALSE)</f>
        <v>#REF!</v>
      </c>
      <c r="F27" s="432">
        <f t="shared" si="0"/>
        <v>0</v>
      </c>
      <c r="G27" s="433" t="str">
        <f>IFERROR(VLOOKUP($A27,#REF!,2,0),"0")</f>
        <v>0</v>
      </c>
      <c r="H27" s="432">
        <f t="shared" si="64"/>
        <v>0</v>
      </c>
      <c r="I27" s="163" t="e">
        <f>VLOOKUP($B:$B,#REF!,3,FALSE)</f>
        <v>#REF!</v>
      </c>
      <c r="J27" s="432">
        <f t="shared" si="2"/>
        <v>0</v>
      </c>
      <c r="K27" s="433" t="str">
        <f>IFERROR(VLOOKUP($A27,#REF!,2,0),"0")</f>
        <v>0</v>
      </c>
      <c r="L27" s="432">
        <f t="shared" si="63"/>
        <v>0</v>
      </c>
      <c r="M27" s="163" t="e">
        <f>VLOOKUP($B:$B,#REF!,4,FALSE)</f>
        <v>#REF!</v>
      </c>
      <c r="N27" s="432">
        <f t="shared" si="4"/>
        <v>0</v>
      </c>
      <c r="O27" s="433" t="str">
        <f>IFERROR(VLOOKUP($A27,#REF!,2,0),"0")</f>
        <v>0</v>
      </c>
      <c r="P27" s="432">
        <f t="shared" si="5"/>
        <v>0</v>
      </c>
      <c r="Q27" s="163" t="e">
        <f>VLOOKUP($B:$B,#REF!,5,FALSE)</f>
        <v>#REF!</v>
      </c>
      <c r="R27" s="432">
        <f t="shared" si="6"/>
        <v>0</v>
      </c>
      <c r="S27" s="433" t="str">
        <f>IFERROR(VLOOKUP($A27,#REF!,2,0),"0")</f>
        <v>0</v>
      </c>
      <c r="T27" s="432">
        <f t="shared" si="7"/>
        <v>0</v>
      </c>
      <c r="U27" s="163" t="e">
        <f>VLOOKUP($B:$B,#REF!,6,FALSE)</f>
        <v>#REF!</v>
      </c>
      <c r="V27" s="432">
        <f t="shared" si="8"/>
        <v>0</v>
      </c>
      <c r="W27" s="433" t="str">
        <f>IFERROR(VLOOKUP($A27,#REF!,2,0),"0")</f>
        <v>0</v>
      </c>
      <c r="X27" s="432">
        <f t="shared" si="9"/>
        <v>0</v>
      </c>
      <c r="Y27" s="163" t="e">
        <f>VLOOKUP($B:$B,#REF!,7,FALSE)</f>
        <v>#REF!</v>
      </c>
      <c r="Z27" s="432">
        <f t="shared" si="10"/>
        <v>0</v>
      </c>
      <c r="AA27" s="433"/>
      <c r="AB27" s="432">
        <f t="shared" si="11"/>
        <v>0</v>
      </c>
      <c r="AC27" s="163" t="e">
        <f>VLOOKUP($B:$B,#REF!,8,FALSE)</f>
        <v>#REF!</v>
      </c>
      <c r="AD27" s="432">
        <f t="shared" si="12"/>
        <v>0</v>
      </c>
      <c r="AE27" s="433" t="str">
        <f>IFERROR(VLOOKUP($A27,#REF!,2,0),"0")</f>
        <v>0</v>
      </c>
      <c r="AF27" s="432">
        <f t="shared" si="13"/>
        <v>0</v>
      </c>
      <c r="AG27" s="163" t="e">
        <f>VLOOKUP($B:$B,#REF!,9,FALSE)</f>
        <v>#REF!</v>
      </c>
      <c r="AH27" s="432">
        <f t="shared" si="14"/>
        <v>0</v>
      </c>
      <c r="AI27" s="433" t="str">
        <f>IFERROR(VLOOKUP($A27,#REF!,2,0),"0")</f>
        <v>0</v>
      </c>
      <c r="AJ27" s="432">
        <f t="shared" si="15"/>
        <v>0</v>
      </c>
      <c r="AK27" s="163" t="e">
        <f>VLOOKUP($B:$B,#REF!,10,FALSE)</f>
        <v>#REF!</v>
      </c>
      <c r="AL27" s="432">
        <f t="shared" si="16"/>
        <v>0</v>
      </c>
      <c r="AM27" s="433" t="str">
        <f>IFERROR(VLOOKUP($A27,#REF!,2,0),"0")</f>
        <v>0</v>
      </c>
      <c r="AN27" s="432">
        <f t="shared" si="17"/>
        <v>0</v>
      </c>
      <c r="AO27" s="163" t="e">
        <f>VLOOKUP($B:$B,#REF!,11,FALSE)</f>
        <v>#REF!</v>
      </c>
      <c r="AP27" s="432">
        <f t="shared" si="18"/>
        <v>0</v>
      </c>
      <c r="AQ27" s="433" t="str">
        <f>IFERROR(VLOOKUP($A27,#REF!,2,0),"0")</f>
        <v>0</v>
      </c>
      <c r="AR27" s="432">
        <f t="shared" si="19"/>
        <v>0</v>
      </c>
      <c r="AS27" s="163" t="e">
        <f>VLOOKUP($B:$B,#REF!,12,FALSE)</f>
        <v>#REF!</v>
      </c>
      <c r="AT27" s="432">
        <f t="shared" si="20"/>
        <v>0</v>
      </c>
      <c r="AU27" s="433" t="str">
        <f>IFERROR(VLOOKUP($A27,#REF!,2,0),"0")</f>
        <v>0</v>
      </c>
      <c r="AV27" s="432">
        <f t="shared" si="21"/>
        <v>0</v>
      </c>
      <c r="AW27" s="163" t="e">
        <f>VLOOKUP($B:$B,#REF!,13,FALSE)</f>
        <v>#REF!</v>
      </c>
      <c r="AX27" s="432">
        <f t="shared" si="22"/>
        <v>0</v>
      </c>
      <c r="AY27" s="433" t="str">
        <f>IFERROR(VLOOKUP($A27,#REF!,2,0),"0")</f>
        <v>0</v>
      </c>
      <c r="AZ27" s="432">
        <f t="shared" si="23"/>
        <v>0</v>
      </c>
      <c r="BA27" s="163" t="e">
        <f>VLOOKUP($B:$B,#REF!,14,FALSE)</f>
        <v>#REF!</v>
      </c>
      <c r="BB27" s="432">
        <f t="shared" si="24"/>
        <v>0</v>
      </c>
      <c r="BC27" s="433" t="str">
        <f>IFERROR(VLOOKUP($A27,#REF!,2,0),"0")</f>
        <v>0</v>
      </c>
      <c r="BD27" s="432">
        <f t="shared" si="25"/>
        <v>0</v>
      </c>
      <c r="BE27" s="163" t="e">
        <f>VLOOKUP($B:$B,#REF!,15,FALSE)</f>
        <v>#REF!</v>
      </c>
      <c r="BF27" s="432">
        <f t="shared" si="26"/>
        <v>0</v>
      </c>
      <c r="BG27" s="433" t="str">
        <f>IFERROR(VLOOKUP($A27,#REF!,2,0),"0")</f>
        <v>0</v>
      </c>
      <c r="BH27" s="432">
        <f t="shared" si="27"/>
        <v>0</v>
      </c>
      <c r="BI27" s="163" t="e">
        <f>VLOOKUP($B:$B,#REF!,16,FALSE)</f>
        <v>#REF!</v>
      </c>
      <c r="BJ27" s="432">
        <f t="shared" si="28"/>
        <v>0</v>
      </c>
      <c r="BK27" s="433" t="str">
        <f>IFERROR(VLOOKUP($A27,#REF!,2,0),"0")</f>
        <v>0</v>
      </c>
      <c r="BL27" s="432">
        <f t="shared" si="29"/>
        <v>0</v>
      </c>
      <c r="BM27" s="163" t="e">
        <f>VLOOKUP($B:$B,#REF!,17,FALSE)</f>
        <v>#REF!</v>
      </c>
      <c r="BN27" s="432">
        <f t="shared" si="30"/>
        <v>0</v>
      </c>
      <c r="BO27" s="433" t="str">
        <f>IFERROR(VLOOKUP($A27,#REF!,2,0),"0")</f>
        <v>0</v>
      </c>
      <c r="BP27" s="432">
        <f t="shared" si="31"/>
        <v>0</v>
      </c>
      <c r="BQ27" s="163" t="e">
        <f>VLOOKUP($B:$B,#REF!,18,FALSE)</f>
        <v>#REF!</v>
      </c>
      <c r="BR27" s="432">
        <f t="shared" si="32"/>
        <v>0</v>
      </c>
      <c r="BS27" s="433" t="str">
        <f>IFERROR(VLOOKUP($A27,#REF!,2,0),"0")</f>
        <v>0</v>
      </c>
      <c r="BT27" s="432">
        <f t="shared" si="33"/>
        <v>0</v>
      </c>
      <c r="BU27" s="163" t="e">
        <f>VLOOKUP($B:$B,#REF!,19,FALSE)</f>
        <v>#REF!</v>
      </c>
      <c r="BV27" s="432">
        <f t="shared" si="34"/>
        <v>0</v>
      </c>
      <c r="BW27" s="433" t="str">
        <f>IFERROR(VLOOKUP($A27,#REF!,2,0),"0")</f>
        <v>0</v>
      </c>
      <c r="BX27" s="432">
        <f t="shared" si="35"/>
        <v>0</v>
      </c>
      <c r="BY27" s="163" t="e">
        <f>VLOOKUP($B:$B,#REF!,20,FALSE)</f>
        <v>#REF!</v>
      </c>
      <c r="BZ27" s="432">
        <f t="shared" si="36"/>
        <v>0</v>
      </c>
      <c r="CA27" s="433" t="str">
        <f>IFERROR(VLOOKUP($A27,#REF!,2,0),"0")</f>
        <v>0</v>
      </c>
      <c r="CB27" s="432">
        <f t="shared" si="37"/>
        <v>0</v>
      </c>
      <c r="CC27" s="163" t="e">
        <f>VLOOKUP($B:$B,#REF!,21,FALSE)</f>
        <v>#REF!</v>
      </c>
      <c r="CD27" s="432">
        <f t="shared" si="38"/>
        <v>0</v>
      </c>
      <c r="CE27" s="433" t="str">
        <f>IFERROR(VLOOKUP($A27,#REF!,2,0),"0")</f>
        <v>0</v>
      </c>
      <c r="CF27" s="432">
        <f t="shared" si="39"/>
        <v>0</v>
      </c>
      <c r="CG27" s="163" t="e">
        <f>VLOOKUP($B:$B,#REF!,22,FALSE)</f>
        <v>#REF!</v>
      </c>
      <c r="CH27" s="432">
        <f t="shared" si="40"/>
        <v>0</v>
      </c>
      <c r="CI27" s="433" t="str">
        <f>IFERROR(VLOOKUP($A27,#REF!,2,0),"0")</f>
        <v>0</v>
      </c>
      <c r="CJ27" s="432">
        <f t="shared" si="41"/>
        <v>0</v>
      </c>
      <c r="CK27" s="163" t="e">
        <f>VLOOKUP($B:$B,#REF!,23,FALSE)</f>
        <v>#REF!</v>
      </c>
      <c r="CL27" s="432">
        <f t="shared" si="42"/>
        <v>0</v>
      </c>
      <c r="CM27" s="433" t="str">
        <f>IFERROR(VLOOKUP($A27,#REF!,2,0),"0")</f>
        <v>0</v>
      </c>
      <c r="CN27" s="432">
        <f t="shared" si="43"/>
        <v>0</v>
      </c>
      <c r="CO27" s="163" t="e">
        <f>VLOOKUP($B:$B,#REF!,24,FALSE)</f>
        <v>#REF!</v>
      </c>
      <c r="CP27" s="432">
        <f t="shared" si="44"/>
        <v>0</v>
      </c>
      <c r="CQ27" s="433" t="str">
        <f>IFERROR(VLOOKUP($A27,#REF!,2,0),"0")</f>
        <v>0</v>
      </c>
      <c r="CR27" s="432">
        <f t="shared" si="45"/>
        <v>0</v>
      </c>
      <c r="CS27" s="163" t="e">
        <f>VLOOKUP($B:$B,#REF!,25,FALSE)</f>
        <v>#REF!</v>
      </c>
      <c r="CT27" s="432">
        <f t="shared" si="46"/>
        <v>0</v>
      </c>
      <c r="CU27" s="433" t="str">
        <f>IFERROR(VLOOKUP($A27,#REF!,2,0),"0")</f>
        <v>0</v>
      </c>
      <c r="CV27" s="432">
        <f t="shared" si="47"/>
        <v>0</v>
      </c>
      <c r="CW27" s="163" t="e">
        <f>VLOOKUP($B:$B,#REF!,26,FALSE)</f>
        <v>#REF!</v>
      </c>
      <c r="CX27" s="432">
        <f t="shared" si="48"/>
        <v>0</v>
      </c>
      <c r="CY27" s="433" t="str">
        <f>IFERROR(VLOOKUP($A27,#REF!,2,0),"0")</f>
        <v>0</v>
      </c>
      <c r="CZ27" s="432">
        <f t="shared" si="49"/>
        <v>0</v>
      </c>
      <c r="DA27" s="163" t="e">
        <f>VLOOKUP($B:$B,#REF!,27,FALSE)</f>
        <v>#REF!</v>
      </c>
      <c r="DB27" s="432">
        <f t="shared" si="50"/>
        <v>0</v>
      </c>
      <c r="DC27" s="433" t="str">
        <f>IFERROR(VLOOKUP($A27,#REF!,2,0),"0")</f>
        <v>0</v>
      </c>
      <c r="DD27" s="432">
        <f t="shared" si="51"/>
        <v>0</v>
      </c>
      <c r="DE27" s="163" t="e">
        <f>VLOOKUP($B:$B,#REF!,28,FALSE)</f>
        <v>#REF!</v>
      </c>
      <c r="DF27" s="432">
        <f t="shared" si="52"/>
        <v>0</v>
      </c>
      <c r="DG27" s="433" t="str">
        <f>IFERROR(VLOOKUP($A27,#REF!,2,0),"0")</f>
        <v>0</v>
      </c>
      <c r="DH27" s="432">
        <f t="shared" si="53"/>
        <v>0</v>
      </c>
      <c r="DI27" s="163" t="e">
        <f>VLOOKUP($B:$B,#REF!,29,FALSE)</f>
        <v>#REF!</v>
      </c>
      <c r="DJ27" s="432">
        <f t="shared" si="54"/>
        <v>0</v>
      </c>
      <c r="DK27" s="433"/>
      <c r="DL27" s="432">
        <f t="shared" si="55"/>
        <v>0</v>
      </c>
      <c r="DM27" s="163" t="e">
        <f>VLOOKUP($B:$B,#REF!,30,FALSE)</f>
        <v>#REF!</v>
      </c>
      <c r="DN27" s="432">
        <f t="shared" si="56"/>
        <v>0</v>
      </c>
      <c r="DO27" s="432"/>
      <c r="DP27" s="432">
        <f t="shared" si="57"/>
        <v>0</v>
      </c>
      <c r="DQ27" s="163" t="e">
        <f>VLOOKUP($B:$B,#REF!,31,FALSE)</f>
        <v>#REF!</v>
      </c>
      <c r="DR27" s="432">
        <f t="shared" si="58"/>
        <v>0</v>
      </c>
      <c r="DS27" s="434"/>
      <c r="DT27" s="432">
        <f t="shared" si="59"/>
        <v>0</v>
      </c>
      <c r="DU27" s="163" t="e">
        <f>VLOOKUP($B:$B,#REF!,32,FALSE)</f>
        <v>#REF!</v>
      </c>
      <c r="DV27" s="432">
        <f t="shared" si="60"/>
        <v>0</v>
      </c>
      <c r="DW27" s="434"/>
      <c r="DX27" s="432">
        <f t="shared" si="61"/>
        <v>0</v>
      </c>
      <c r="DY27" s="432">
        <f t="shared" si="62"/>
        <v>0</v>
      </c>
    </row>
    <row r="28" spans="1:129" ht="15.75">
      <c r="A28" s="166" t="s">
        <v>458</v>
      </c>
      <c r="B28" s="506" t="s">
        <v>461</v>
      </c>
      <c r="C28" s="166">
        <v>1729187003</v>
      </c>
      <c r="D28" s="431">
        <v>37551</v>
      </c>
      <c r="E28" s="163" t="e">
        <f>VLOOKUP($B:$B,#REF!,2,FALSE)</f>
        <v>#REF!</v>
      </c>
      <c r="F28" s="432">
        <f t="shared" si="0"/>
        <v>0</v>
      </c>
      <c r="G28" s="433" t="str">
        <f>IFERROR(VLOOKUP($A28,#REF!,2,0),"0")</f>
        <v>0</v>
      </c>
      <c r="H28" s="432">
        <f t="shared" si="64"/>
        <v>0</v>
      </c>
      <c r="I28" s="163" t="e">
        <f>VLOOKUP($B:$B,#REF!,3,FALSE)</f>
        <v>#REF!</v>
      </c>
      <c r="J28" s="432">
        <f t="shared" si="2"/>
        <v>0</v>
      </c>
      <c r="K28" s="433" t="str">
        <f>IFERROR(VLOOKUP($A28,#REF!,2,0),"0")</f>
        <v>0</v>
      </c>
      <c r="L28" s="432">
        <f t="shared" si="63"/>
        <v>0</v>
      </c>
      <c r="M28" s="163" t="e">
        <f>VLOOKUP($B:$B,#REF!,4,FALSE)</f>
        <v>#REF!</v>
      </c>
      <c r="N28" s="432">
        <f t="shared" si="4"/>
        <v>0</v>
      </c>
      <c r="O28" s="433" t="str">
        <f>IFERROR(VLOOKUP($A28,#REF!,2,0),"0")</f>
        <v>0</v>
      </c>
      <c r="P28" s="432">
        <f t="shared" si="5"/>
        <v>0</v>
      </c>
      <c r="Q28" s="163" t="e">
        <f>VLOOKUP($B:$B,#REF!,5,FALSE)</f>
        <v>#REF!</v>
      </c>
      <c r="R28" s="432">
        <f t="shared" si="6"/>
        <v>0</v>
      </c>
      <c r="S28" s="433" t="str">
        <f>IFERROR(VLOOKUP($A28,#REF!,2,0),"0")</f>
        <v>0</v>
      </c>
      <c r="T28" s="432">
        <f t="shared" si="7"/>
        <v>0</v>
      </c>
      <c r="U28" s="163" t="e">
        <f>VLOOKUP($B:$B,#REF!,6,FALSE)</f>
        <v>#REF!</v>
      </c>
      <c r="V28" s="432">
        <f t="shared" si="8"/>
        <v>0</v>
      </c>
      <c r="W28" s="433" t="str">
        <f>IFERROR(VLOOKUP($A28,#REF!,2,0),"0")</f>
        <v>0</v>
      </c>
      <c r="X28" s="432">
        <f t="shared" si="9"/>
        <v>0</v>
      </c>
      <c r="Y28" s="163" t="e">
        <f>VLOOKUP($B:$B,#REF!,7,FALSE)</f>
        <v>#REF!</v>
      </c>
      <c r="Z28" s="432">
        <f t="shared" si="10"/>
        <v>0</v>
      </c>
      <c r="AA28" s="433" t="str">
        <f>IFERROR(VLOOKUP($A28,#REF!,2,0),"0")</f>
        <v>0</v>
      </c>
      <c r="AB28" s="432">
        <f t="shared" si="11"/>
        <v>0</v>
      </c>
      <c r="AC28" s="163" t="e">
        <f>VLOOKUP($B:$B,#REF!,8,FALSE)</f>
        <v>#REF!</v>
      </c>
      <c r="AD28" s="432">
        <f t="shared" si="12"/>
        <v>0</v>
      </c>
      <c r="AE28" s="433" t="str">
        <f>IFERROR(VLOOKUP($A28,#REF!,2,0),"0")</f>
        <v>0</v>
      </c>
      <c r="AF28" s="432">
        <f t="shared" si="13"/>
        <v>0</v>
      </c>
      <c r="AG28" s="163" t="e">
        <f>VLOOKUP($B:$B,#REF!,9,FALSE)</f>
        <v>#REF!</v>
      </c>
      <c r="AH28" s="432">
        <f t="shared" si="14"/>
        <v>0</v>
      </c>
      <c r="AI28" s="433" t="str">
        <f>IFERROR(VLOOKUP($A28,#REF!,2,0),"0")</f>
        <v>0</v>
      </c>
      <c r="AJ28" s="432">
        <f t="shared" si="15"/>
        <v>0</v>
      </c>
      <c r="AK28" s="163" t="e">
        <f>VLOOKUP($B:$B,#REF!,10,FALSE)</f>
        <v>#REF!</v>
      </c>
      <c r="AL28" s="432">
        <f t="shared" si="16"/>
        <v>0</v>
      </c>
      <c r="AM28" s="433" t="str">
        <f>IFERROR(VLOOKUP($A28,#REF!,2,0),"0")</f>
        <v>0</v>
      </c>
      <c r="AN28" s="432">
        <f t="shared" si="17"/>
        <v>0</v>
      </c>
      <c r="AO28" s="163" t="e">
        <f>VLOOKUP($B:$B,#REF!,11,FALSE)</f>
        <v>#REF!</v>
      </c>
      <c r="AP28" s="432">
        <f t="shared" si="18"/>
        <v>0</v>
      </c>
      <c r="AQ28" s="433" t="str">
        <f>IFERROR(VLOOKUP($A28,#REF!,2,0),"0")</f>
        <v>0</v>
      </c>
      <c r="AR28" s="432">
        <f t="shared" si="19"/>
        <v>0</v>
      </c>
      <c r="AS28" s="163" t="e">
        <f>VLOOKUP($B:$B,#REF!,12,FALSE)</f>
        <v>#REF!</v>
      </c>
      <c r="AT28" s="432">
        <f t="shared" si="20"/>
        <v>0</v>
      </c>
      <c r="AU28" s="433" t="str">
        <f>IFERROR(VLOOKUP($A28,#REF!,2,0),"0")</f>
        <v>0</v>
      </c>
      <c r="AV28" s="432">
        <f t="shared" si="21"/>
        <v>0</v>
      </c>
      <c r="AW28" s="163" t="e">
        <f>VLOOKUP($B:$B,#REF!,13,FALSE)</f>
        <v>#REF!</v>
      </c>
      <c r="AX28" s="432">
        <f t="shared" si="22"/>
        <v>0</v>
      </c>
      <c r="AY28" s="433" t="str">
        <f>IFERROR(VLOOKUP($A28,#REF!,2,0),"0")</f>
        <v>0</v>
      </c>
      <c r="AZ28" s="432">
        <f t="shared" si="23"/>
        <v>0</v>
      </c>
      <c r="BA28" s="163" t="e">
        <f>VLOOKUP($B:$B,#REF!,14,FALSE)</f>
        <v>#REF!</v>
      </c>
      <c r="BB28" s="432">
        <f t="shared" si="24"/>
        <v>0</v>
      </c>
      <c r="BC28" s="433" t="str">
        <f>IFERROR(VLOOKUP($A28,#REF!,2,0),"0")</f>
        <v>0</v>
      </c>
      <c r="BD28" s="432">
        <f t="shared" si="25"/>
        <v>0</v>
      </c>
      <c r="BE28" s="163" t="e">
        <f>VLOOKUP($B:$B,#REF!,15,FALSE)</f>
        <v>#REF!</v>
      </c>
      <c r="BF28" s="432">
        <f t="shared" si="26"/>
        <v>0</v>
      </c>
      <c r="BG28" s="433" t="str">
        <f>IFERROR(VLOOKUP($A28,#REF!,2,0),"0")</f>
        <v>0</v>
      </c>
      <c r="BH28" s="432">
        <f t="shared" si="27"/>
        <v>0</v>
      </c>
      <c r="BI28" s="163" t="e">
        <f>VLOOKUP($B:$B,#REF!,16,FALSE)</f>
        <v>#REF!</v>
      </c>
      <c r="BJ28" s="432">
        <f t="shared" si="28"/>
        <v>0</v>
      </c>
      <c r="BK28" s="433" t="str">
        <f>IFERROR(VLOOKUP($A28,#REF!,2,0),"0")</f>
        <v>0</v>
      </c>
      <c r="BL28" s="432">
        <f t="shared" si="29"/>
        <v>0</v>
      </c>
      <c r="BM28" s="163" t="e">
        <f>VLOOKUP($B:$B,#REF!,17,FALSE)</f>
        <v>#REF!</v>
      </c>
      <c r="BN28" s="432">
        <f t="shared" si="30"/>
        <v>0</v>
      </c>
      <c r="BO28" s="433" t="str">
        <f>IFERROR(VLOOKUP($A28,#REF!,2,0),"0")</f>
        <v>0</v>
      </c>
      <c r="BP28" s="432">
        <f t="shared" si="31"/>
        <v>0</v>
      </c>
      <c r="BQ28" s="163" t="e">
        <f>VLOOKUP($B:$B,#REF!,18,FALSE)</f>
        <v>#REF!</v>
      </c>
      <c r="BR28" s="432">
        <f t="shared" si="32"/>
        <v>0</v>
      </c>
      <c r="BS28" s="433" t="str">
        <f>IFERROR(VLOOKUP($A28,#REF!,2,0),"0")</f>
        <v>0</v>
      </c>
      <c r="BT28" s="432">
        <f t="shared" si="33"/>
        <v>0</v>
      </c>
      <c r="BU28" s="163" t="e">
        <f>VLOOKUP($B:$B,#REF!,19,FALSE)</f>
        <v>#REF!</v>
      </c>
      <c r="BV28" s="432">
        <f t="shared" si="34"/>
        <v>0</v>
      </c>
      <c r="BW28" s="433" t="str">
        <f>IFERROR(VLOOKUP($A28,#REF!,2,0),"0")</f>
        <v>0</v>
      </c>
      <c r="BX28" s="432">
        <f t="shared" si="35"/>
        <v>0</v>
      </c>
      <c r="BY28" s="163" t="e">
        <f>VLOOKUP($B:$B,#REF!,20,FALSE)</f>
        <v>#REF!</v>
      </c>
      <c r="BZ28" s="432">
        <f t="shared" si="36"/>
        <v>0</v>
      </c>
      <c r="CA28" s="433" t="str">
        <f>IFERROR(VLOOKUP($A28,#REF!,2,0),"0")</f>
        <v>0</v>
      </c>
      <c r="CB28" s="432">
        <f t="shared" si="37"/>
        <v>0</v>
      </c>
      <c r="CC28" s="163" t="e">
        <f>VLOOKUP($B:$B,#REF!,21,FALSE)</f>
        <v>#REF!</v>
      </c>
      <c r="CD28" s="432">
        <f t="shared" si="38"/>
        <v>0</v>
      </c>
      <c r="CE28" s="433"/>
      <c r="CF28" s="432">
        <f t="shared" si="39"/>
        <v>0</v>
      </c>
      <c r="CG28" s="163" t="e">
        <f>VLOOKUP($B:$B,#REF!,22,FALSE)</f>
        <v>#REF!</v>
      </c>
      <c r="CH28" s="432">
        <f t="shared" si="40"/>
        <v>0</v>
      </c>
      <c r="CI28" s="433" t="str">
        <f>IFERROR(VLOOKUP($A28,#REF!,2,0),"0")</f>
        <v>0</v>
      </c>
      <c r="CJ28" s="432">
        <f t="shared" si="41"/>
        <v>0</v>
      </c>
      <c r="CK28" s="163" t="e">
        <f>VLOOKUP($B:$B,#REF!,23,FALSE)</f>
        <v>#REF!</v>
      </c>
      <c r="CL28" s="432">
        <f t="shared" si="42"/>
        <v>0</v>
      </c>
      <c r="CM28" s="433" t="str">
        <f>IFERROR(VLOOKUP($A28,#REF!,2,0),"0")</f>
        <v>0</v>
      </c>
      <c r="CN28" s="432">
        <f t="shared" si="43"/>
        <v>0</v>
      </c>
      <c r="CO28" s="163" t="e">
        <f>VLOOKUP($B:$B,#REF!,24,FALSE)</f>
        <v>#REF!</v>
      </c>
      <c r="CP28" s="432">
        <f t="shared" si="44"/>
        <v>0</v>
      </c>
      <c r="CQ28" s="433"/>
      <c r="CR28" s="432">
        <f t="shared" si="45"/>
        <v>0</v>
      </c>
      <c r="CS28" s="163" t="e">
        <f>VLOOKUP($B:$B,#REF!,25,FALSE)</f>
        <v>#REF!</v>
      </c>
      <c r="CT28" s="432">
        <f t="shared" si="46"/>
        <v>0</v>
      </c>
      <c r="CU28" s="433"/>
      <c r="CV28" s="432">
        <f t="shared" si="47"/>
        <v>0</v>
      </c>
      <c r="CW28" s="163" t="e">
        <f>VLOOKUP($B:$B,#REF!,26,FALSE)</f>
        <v>#REF!</v>
      </c>
      <c r="CX28" s="432">
        <f t="shared" si="48"/>
        <v>0</v>
      </c>
      <c r="CY28" s="433"/>
      <c r="CZ28" s="432">
        <f t="shared" si="49"/>
        <v>0</v>
      </c>
      <c r="DA28" s="163" t="e">
        <f>VLOOKUP($B:$B,#REF!,27,FALSE)</f>
        <v>#REF!</v>
      </c>
      <c r="DB28" s="432">
        <f t="shared" si="50"/>
        <v>0</v>
      </c>
      <c r="DC28" s="433"/>
      <c r="DD28" s="432">
        <f t="shared" si="51"/>
        <v>0</v>
      </c>
      <c r="DE28" s="163" t="e">
        <f>VLOOKUP($B:$B,#REF!,28,FALSE)</f>
        <v>#REF!</v>
      </c>
      <c r="DF28" s="432">
        <f t="shared" si="52"/>
        <v>0</v>
      </c>
      <c r="DG28" s="433"/>
      <c r="DH28" s="432">
        <f t="shared" si="53"/>
        <v>0</v>
      </c>
      <c r="DI28" s="163" t="e">
        <f>VLOOKUP($B:$B,#REF!,29,FALSE)</f>
        <v>#REF!</v>
      </c>
      <c r="DJ28" s="432">
        <f t="shared" si="54"/>
        <v>0</v>
      </c>
      <c r="DK28" s="433" t="str">
        <f>IFERROR(VLOOKUP($A28,#REF!,2,0),"0")</f>
        <v>0</v>
      </c>
      <c r="DL28" s="432">
        <f t="shared" si="55"/>
        <v>0</v>
      </c>
      <c r="DM28" s="163" t="e">
        <f>VLOOKUP($B:$B,#REF!,30,FALSE)</f>
        <v>#REF!</v>
      </c>
      <c r="DN28" s="432">
        <f t="shared" si="56"/>
        <v>0</v>
      </c>
      <c r="DO28" s="432"/>
      <c r="DP28" s="432">
        <f t="shared" si="57"/>
        <v>0</v>
      </c>
      <c r="DQ28" s="163" t="e">
        <f>VLOOKUP($B:$B,#REF!,31,FALSE)</f>
        <v>#REF!</v>
      </c>
      <c r="DR28" s="432">
        <f t="shared" si="58"/>
        <v>0</v>
      </c>
      <c r="DS28" s="434"/>
      <c r="DT28" s="432">
        <f t="shared" si="59"/>
        <v>0</v>
      </c>
      <c r="DU28" s="163" t="e">
        <f>VLOOKUP($B:$B,#REF!,32,FALSE)</f>
        <v>#REF!</v>
      </c>
      <c r="DV28" s="432">
        <f t="shared" si="60"/>
        <v>0</v>
      </c>
      <c r="DW28" s="434"/>
      <c r="DX28" s="432">
        <f t="shared" si="61"/>
        <v>0</v>
      </c>
      <c r="DY28" s="432">
        <f t="shared" si="62"/>
        <v>0</v>
      </c>
    </row>
    <row r="29" spans="1:129" ht="15.75">
      <c r="A29" s="166" t="s">
        <v>452</v>
      </c>
      <c r="B29" s="506" t="s">
        <v>463</v>
      </c>
      <c r="C29" s="166">
        <v>1727479642</v>
      </c>
      <c r="D29" s="431">
        <v>38134</v>
      </c>
      <c r="E29" s="163" t="e">
        <f>VLOOKUP($B:$B,#REF!,2,FALSE)</f>
        <v>#REF!</v>
      </c>
      <c r="F29" s="432">
        <f t="shared" si="0"/>
        <v>0</v>
      </c>
      <c r="G29" s="433" t="str">
        <f>IFERROR(VLOOKUP($A29,#REF!,2,0),"0")</f>
        <v>0</v>
      </c>
      <c r="H29" s="432">
        <f t="shared" si="64"/>
        <v>0</v>
      </c>
      <c r="I29" s="163" t="e">
        <f>VLOOKUP($B:$B,#REF!,3,FALSE)</f>
        <v>#REF!</v>
      </c>
      <c r="J29" s="432">
        <f t="shared" si="2"/>
        <v>0</v>
      </c>
      <c r="K29" s="433" t="str">
        <f>IFERROR(VLOOKUP($A29,#REF!,2,0),"0")</f>
        <v>0</v>
      </c>
      <c r="L29" s="432">
        <f t="shared" si="63"/>
        <v>0</v>
      </c>
      <c r="M29" s="163" t="e">
        <f>VLOOKUP($B:$B,#REF!,4,FALSE)</f>
        <v>#REF!</v>
      </c>
      <c r="N29" s="432">
        <f t="shared" si="4"/>
        <v>0</v>
      </c>
      <c r="O29" s="433">
        <v>3.125E-2</v>
      </c>
      <c r="P29" s="432">
        <f t="shared" si="5"/>
        <v>3.125E-2</v>
      </c>
      <c r="Q29" s="163" t="e">
        <f>VLOOKUP($B:$B,#REF!,5,FALSE)</f>
        <v>#REF!</v>
      </c>
      <c r="R29" s="432">
        <f t="shared" si="6"/>
        <v>0</v>
      </c>
      <c r="S29" s="433" t="str">
        <f>IFERROR(VLOOKUP($A29,#REF!,2,0),"0")</f>
        <v>0</v>
      </c>
      <c r="T29" s="432">
        <f t="shared" si="7"/>
        <v>0</v>
      </c>
      <c r="U29" s="163" t="e">
        <f>VLOOKUP($B:$B,#REF!,6,FALSE)</f>
        <v>#REF!</v>
      </c>
      <c r="V29" s="432">
        <f t="shared" si="8"/>
        <v>0</v>
      </c>
      <c r="W29" s="433" t="str">
        <f>IFERROR(VLOOKUP($A29,#REF!,2,0),"0")</f>
        <v>0</v>
      </c>
      <c r="X29" s="432">
        <f t="shared" si="9"/>
        <v>0</v>
      </c>
      <c r="Y29" s="163" t="e">
        <f>VLOOKUP($B:$B,#REF!,7,FALSE)</f>
        <v>#REF!</v>
      </c>
      <c r="Z29" s="432">
        <f t="shared" si="10"/>
        <v>0</v>
      </c>
      <c r="AA29" s="433" t="str">
        <f>IFERROR(VLOOKUP($A29,#REF!,2,0),"0")</f>
        <v>0</v>
      </c>
      <c r="AB29" s="432">
        <f t="shared" si="11"/>
        <v>0</v>
      </c>
      <c r="AC29" s="163" t="e">
        <f>VLOOKUP($B:$B,#REF!,8,FALSE)</f>
        <v>#REF!</v>
      </c>
      <c r="AD29" s="432">
        <f t="shared" si="12"/>
        <v>0</v>
      </c>
      <c r="AE29" s="433">
        <v>0</v>
      </c>
      <c r="AF29" s="432">
        <f t="shared" si="13"/>
        <v>0</v>
      </c>
      <c r="AG29" s="163" t="e">
        <f>VLOOKUP($B:$B,#REF!,9,FALSE)</f>
        <v>#REF!</v>
      </c>
      <c r="AH29" s="432">
        <f t="shared" si="14"/>
        <v>0</v>
      </c>
      <c r="AI29" s="433" t="str">
        <f>IFERROR(VLOOKUP($A29,#REF!,2,0),"0")</f>
        <v>0</v>
      </c>
      <c r="AJ29" s="432">
        <f t="shared" si="15"/>
        <v>0</v>
      </c>
      <c r="AK29" s="163" t="e">
        <f>VLOOKUP($B:$B,#REF!,10,FALSE)</f>
        <v>#REF!</v>
      </c>
      <c r="AL29" s="432">
        <f t="shared" si="16"/>
        <v>0</v>
      </c>
      <c r="AM29" s="433" t="str">
        <f>IFERROR(VLOOKUP($A29,#REF!,2,0),"0")</f>
        <v>0</v>
      </c>
      <c r="AN29" s="432">
        <f t="shared" si="17"/>
        <v>0</v>
      </c>
      <c r="AO29" s="163" t="e">
        <f>VLOOKUP($B:$B,#REF!,11,FALSE)</f>
        <v>#REF!</v>
      </c>
      <c r="AP29" s="432">
        <f t="shared" si="18"/>
        <v>0</v>
      </c>
      <c r="AQ29" s="433" t="str">
        <f>IFERROR(VLOOKUP($A29,#REF!,2,0),"0")</f>
        <v>0</v>
      </c>
      <c r="AR29" s="432">
        <f t="shared" si="19"/>
        <v>0</v>
      </c>
      <c r="AS29" s="163" t="e">
        <f>VLOOKUP($B:$B,#REF!,12,FALSE)</f>
        <v>#REF!</v>
      </c>
      <c r="AT29" s="432">
        <f t="shared" si="20"/>
        <v>0</v>
      </c>
      <c r="AU29" s="433" t="str">
        <f>IFERROR(VLOOKUP($A29,#REF!,2,0),"0")</f>
        <v>0</v>
      </c>
      <c r="AV29" s="432">
        <f t="shared" si="21"/>
        <v>0</v>
      </c>
      <c r="AW29" s="163" t="e">
        <f>VLOOKUP($B:$B,#REF!,13,FALSE)</f>
        <v>#REF!</v>
      </c>
      <c r="AX29" s="432">
        <f t="shared" si="22"/>
        <v>0</v>
      </c>
      <c r="AY29" s="433" t="str">
        <f>IFERROR(VLOOKUP($A29,#REF!,2,0),"0")</f>
        <v>0</v>
      </c>
      <c r="AZ29" s="432">
        <f t="shared" si="23"/>
        <v>0</v>
      </c>
      <c r="BA29" s="163" t="e">
        <f>VLOOKUP($B:$B,#REF!,14,FALSE)</f>
        <v>#REF!</v>
      </c>
      <c r="BB29" s="432">
        <f t="shared" si="24"/>
        <v>0</v>
      </c>
      <c r="BC29" s="433" t="str">
        <f>IFERROR(VLOOKUP($A29,#REF!,2,0),"0")</f>
        <v>0</v>
      </c>
      <c r="BD29" s="432">
        <f t="shared" si="25"/>
        <v>0</v>
      </c>
      <c r="BE29" s="163" t="e">
        <f>VLOOKUP($B:$B,#REF!,15,FALSE)</f>
        <v>#REF!</v>
      </c>
      <c r="BF29" s="432">
        <f t="shared" si="26"/>
        <v>0</v>
      </c>
      <c r="BG29" s="433" t="str">
        <f>IFERROR(VLOOKUP($A29,#REF!,2,0),"0")</f>
        <v>0</v>
      </c>
      <c r="BH29" s="432">
        <f t="shared" si="27"/>
        <v>0</v>
      </c>
      <c r="BI29" s="163" t="e">
        <f>VLOOKUP($B:$B,#REF!,16,FALSE)</f>
        <v>#REF!</v>
      </c>
      <c r="BJ29" s="432">
        <f t="shared" si="28"/>
        <v>0</v>
      </c>
      <c r="BK29" s="433" t="str">
        <f>IFERROR(VLOOKUP($A29,#REF!,2,0),"0")</f>
        <v>0</v>
      </c>
      <c r="BL29" s="432">
        <f t="shared" si="29"/>
        <v>0</v>
      </c>
      <c r="BM29" s="163" t="e">
        <f>VLOOKUP($B:$B,#REF!,17,FALSE)</f>
        <v>#REF!</v>
      </c>
      <c r="BN29" s="432">
        <f t="shared" si="30"/>
        <v>0</v>
      </c>
      <c r="BO29" s="433" t="str">
        <f>IFERROR(VLOOKUP($A29,#REF!,2,0),"0")</f>
        <v>0</v>
      </c>
      <c r="BP29" s="432">
        <f t="shared" si="31"/>
        <v>0</v>
      </c>
      <c r="BQ29" s="163" t="e">
        <f>VLOOKUP($B:$B,#REF!,18,FALSE)</f>
        <v>#REF!</v>
      </c>
      <c r="BR29" s="432">
        <f t="shared" si="32"/>
        <v>0</v>
      </c>
      <c r="BS29" s="433" t="str">
        <f>IFERROR(VLOOKUP($A29,#REF!,2,0),"0")</f>
        <v>0</v>
      </c>
      <c r="BT29" s="432">
        <f t="shared" si="33"/>
        <v>0</v>
      </c>
      <c r="BU29" s="163" t="e">
        <f>VLOOKUP($B:$B,#REF!,19,FALSE)</f>
        <v>#REF!</v>
      </c>
      <c r="BV29" s="432">
        <f t="shared" si="34"/>
        <v>0</v>
      </c>
      <c r="BW29" s="433">
        <v>2.7777777777777776E-2</v>
      </c>
      <c r="BX29" s="432">
        <f t="shared" si="35"/>
        <v>2.7777777777777776E-2</v>
      </c>
      <c r="BY29" s="163" t="e">
        <f>VLOOKUP($B:$B,#REF!,20,FALSE)</f>
        <v>#REF!</v>
      </c>
      <c r="BZ29" s="432">
        <f t="shared" si="36"/>
        <v>0</v>
      </c>
      <c r="CA29" s="433" t="str">
        <f>IFERROR(VLOOKUP($A29,#REF!,2,0),"0")</f>
        <v>0</v>
      </c>
      <c r="CB29" s="432">
        <f t="shared" si="37"/>
        <v>0</v>
      </c>
      <c r="CC29" s="163" t="e">
        <f>VLOOKUP($B:$B,#REF!,21,FALSE)</f>
        <v>#REF!</v>
      </c>
      <c r="CD29" s="432">
        <f t="shared" si="38"/>
        <v>0</v>
      </c>
      <c r="CE29" s="433">
        <v>2.7777777777777776E-2</v>
      </c>
      <c r="CF29" s="432">
        <f t="shared" si="39"/>
        <v>2.7777777777777776E-2</v>
      </c>
      <c r="CG29" s="163" t="e">
        <f>VLOOKUP($B:$B,#REF!,22,FALSE)</f>
        <v>#REF!</v>
      </c>
      <c r="CH29" s="432">
        <f t="shared" si="40"/>
        <v>0</v>
      </c>
      <c r="CI29" s="433" t="str">
        <f>IFERROR(VLOOKUP($A29,#REF!,2,0),"0")</f>
        <v>0</v>
      </c>
      <c r="CJ29" s="432">
        <f t="shared" si="41"/>
        <v>0</v>
      </c>
      <c r="CK29" s="163" t="e">
        <f>VLOOKUP($B:$B,#REF!,23,FALSE)</f>
        <v>#REF!</v>
      </c>
      <c r="CL29" s="432">
        <f t="shared" si="42"/>
        <v>0</v>
      </c>
      <c r="CM29" s="433" t="str">
        <f>IFERROR(VLOOKUP($A29,#REF!,2,0),"0")</f>
        <v>0</v>
      </c>
      <c r="CN29" s="432">
        <f t="shared" si="43"/>
        <v>0</v>
      </c>
      <c r="CO29" s="163" t="e">
        <f>VLOOKUP($B:$B,#REF!,24,FALSE)</f>
        <v>#REF!</v>
      </c>
      <c r="CP29" s="432">
        <f t="shared" si="44"/>
        <v>0</v>
      </c>
      <c r="CQ29" s="433" t="str">
        <f>IFERROR(VLOOKUP($A29,#REF!,2,0),"0")</f>
        <v>0</v>
      </c>
      <c r="CR29" s="432">
        <f t="shared" si="45"/>
        <v>0</v>
      </c>
      <c r="CS29" s="163" t="e">
        <f>VLOOKUP($B:$B,#REF!,25,FALSE)</f>
        <v>#REF!</v>
      </c>
      <c r="CT29" s="432">
        <f t="shared" si="46"/>
        <v>0</v>
      </c>
      <c r="CU29" s="433" t="str">
        <f>IFERROR(VLOOKUP($A29,#REF!,2,0),"0")</f>
        <v>0</v>
      </c>
      <c r="CV29" s="432">
        <f t="shared" si="47"/>
        <v>0</v>
      </c>
      <c r="CW29" s="163" t="e">
        <f>VLOOKUP($B:$B,#REF!,26,FALSE)</f>
        <v>#REF!</v>
      </c>
      <c r="CX29" s="432">
        <f t="shared" si="48"/>
        <v>0</v>
      </c>
      <c r="CY29" s="433" t="str">
        <f>IFERROR(VLOOKUP($A29,#REF!,2,0),"0")</f>
        <v>0</v>
      </c>
      <c r="CZ29" s="432">
        <f t="shared" si="49"/>
        <v>0</v>
      </c>
      <c r="DA29" s="163" t="e">
        <f>VLOOKUP($B:$B,#REF!,27,FALSE)</f>
        <v>#REF!</v>
      </c>
      <c r="DB29" s="432">
        <f t="shared" si="50"/>
        <v>0</v>
      </c>
      <c r="DC29" s="433" t="str">
        <f>IFERROR(VLOOKUP($A29,#REF!,2,0),"0")</f>
        <v>0</v>
      </c>
      <c r="DD29" s="432">
        <f t="shared" si="51"/>
        <v>0</v>
      </c>
      <c r="DE29" s="163" t="e">
        <f>VLOOKUP($B:$B,#REF!,28,FALSE)</f>
        <v>#REF!</v>
      </c>
      <c r="DF29" s="432">
        <f t="shared" si="52"/>
        <v>0</v>
      </c>
      <c r="DG29" s="433" t="str">
        <f>IFERROR(VLOOKUP($A29,#REF!,2,0),"0")</f>
        <v>0</v>
      </c>
      <c r="DH29" s="432">
        <f t="shared" si="53"/>
        <v>0</v>
      </c>
      <c r="DI29" s="163" t="e">
        <f>VLOOKUP($B:$B,#REF!,29,FALSE)</f>
        <v>#REF!</v>
      </c>
      <c r="DJ29" s="432">
        <f t="shared" si="54"/>
        <v>0</v>
      </c>
      <c r="DK29" s="433" t="str">
        <f>IFERROR(VLOOKUP($A29,#REF!,2,0),"0")</f>
        <v>0</v>
      </c>
      <c r="DL29" s="432">
        <f t="shared" si="55"/>
        <v>0</v>
      </c>
      <c r="DM29" s="163" t="e">
        <f>VLOOKUP($B:$B,#REF!,30,FALSE)</f>
        <v>#REF!</v>
      </c>
      <c r="DN29" s="432">
        <f t="shared" si="56"/>
        <v>0</v>
      </c>
      <c r="DO29" s="432"/>
      <c r="DP29" s="432">
        <f t="shared" si="57"/>
        <v>0</v>
      </c>
      <c r="DQ29" s="163" t="e">
        <f>VLOOKUP($B:$B,#REF!,31,FALSE)</f>
        <v>#REF!</v>
      </c>
      <c r="DR29" s="432">
        <f t="shared" si="58"/>
        <v>0</v>
      </c>
      <c r="DS29" s="434"/>
      <c r="DT29" s="432">
        <f t="shared" si="59"/>
        <v>0</v>
      </c>
      <c r="DU29" s="163" t="e">
        <f>VLOOKUP($B:$B,#REF!,32,FALSE)</f>
        <v>#REF!</v>
      </c>
      <c r="DV29" s="432">
        <f t="shared" si="60"/>
        <v>0</v>
      </c>
      <c r="DW29" s="434"/>
      <c r="DX29" s="432">
        <f t="shared" si="61"/>
        <v>0</v>
      </c>
      <c r="DY29" s="432">
        <f t="shared" si="62"/>
        <v>8.6805555555555552E-2</v>
      </c>
    </row>
    <row r="30" spans="1:129" ht="15.75">
      <c r="A30" s="166" t="s">
        <v>464</v>
      </c>
      <c r="B30" s="506" t="s">
        <v>465</v>
      </c>
      <c r="C30" s="166">
        <v>1722704887</v>
      </c>
      <c r="D30" s="431">
        <v>33719</v>
      </c>
      <c r="E30" s="163" t="e">
        <f>VLOOKUP($B:$B,#REF!,2,FALSE)</f>
        <v>#REF!</v>
      </c>
      <c r="F30" s="432">
        <f t="shared" si="0"/>
        <v>0</v>
      </c>
      <c r="G30" s="433" t="str">
        <f>IFERROR(VLOOKUP($A30,#REF!,2,0),"0")</f>
        <v>0</v>
      </c>
      <c r="H30" s="432">
        <f t="shared" si="64"/>
        <v>0</v>
      </c>
      <c r="I30" s="163" t="e">
        <f>VLOOKUP($B:$B,#REF!,3,FALSE)</f>
        <v>#REF!</v>
      </c>
      <c r="J30" s="432">
        <f t="shared" si="2"/>
        <v>0</v>
      </c>
      <c r="K30" s="433" t="str">
        <f>IFERROR(VLOOKUP($A30,#REF!,2,0),"0")</f>
        <v>0</v>
      </c>
      <c r="L30" s="432">
        <f t="shared" si="63"/>
        <v>0</v>
      </c>
      <c r="M30" s="163" t="e">
        <f>VLOOKUP($B:$B,#REF!,4,FALSE)</f>
        <v>#REF!</v>
      </c>
      <c r="N30" s="432">
        <f t="shared" si="4"/>
        <v>0</v>
      </c>
      <c r="O30" s="433" t="str">
        <f>IFERROR(VLOOKUP($A30,#REF!,2,0),"0")</f>
        <v>0</v>
      </c>
      <c r="P30" s="432">
        <f t="shared" si="5"/>
        <v>0</v>
      </c>
      <c r="Q30" s="163" t="e">
        <f>VLOOKUP($B:$B,#REF!,5,FALSE)</f>
        <v>#REF!</v>
      </c>
      <c r="R30" s="432">
        <f t="shared" si="6"/>
        <v>0</v>
      </c>
      <c r="S30" s="433" t="str">
        <f>IFERROR(VLOOKUP($A30,#REF!,2,0),"0")</f>
        <v>0</v>
      </c>
      <c r="T30" s="432">
        <f t="shared" si="7"/>
        <v>0</v>
      </c>
      <c r="U30" s="163" t="e">
        <f>VLOOKUP($B:$B,#REF!,6,FALSE)</f>
        <v>#REF!</v>
      </c>
      <c r="V30" s="432">
        <f t="shared" si="8"/>
        <v>0</v>
      </c>
      <c r="W30" s="433" t="str">
        <f>IFERROR(VLOOKUP($A30,#REF!,2,0),"0")</f>
        <v>0</v>
      </c>
      <c r="X30" s="432">
        <f t="shared" si="9"/>
        <v>0</v>
      </c>
      <c r="Y30" s="163" t="e">
        <f>VLOOKUP($B:$B,#REF!,7,FALSE)</f>
        <v>#REF!</v>
      </c>
      <c r="Z30" s="432">
        <f t="shared" si="10"/>
        <v>0</v>
      </c>
      <c r="AA30" s="433" t="str">
        <f>IFERROR(VLOOKUP($A30,#REF!,2,0),"0")</f>
        <v>0</v>
      </c>
      <c r="AB30" s="432">
        <f t="shared" si="11"/>
        <v>0</v>
      </c>
      <c r="AC30" s="163" t="e">
        <f>VLOOKUP($B:$B,#REF!,8,FALSE)</f>
        <v>#REF!</v>
      </c>
      <c r="AD30" s="432">
        <f t="shared" si="12"/>
        <v>0</v>
      </c>
      <c r="AE30" s="433" t="str">
        <f>IFERROR(VLOOKUP($A30,#REF!,2,0),"0")</f>
        <v>0</v>
      </c>
      <c r="AF30" s="432">
        <f t="shared" si="13"/>
        <v>0</v>
      </c>
      <c r="AG30" s="163" t="e">
        <f>VLOOKUP($B:$B,#REF!,9,FALSE)</f>
        <v>#REF!</v>
      </c>
      <c r="AH30" s="432">
        <f t="shared" si="14"/>
        <v>0</v>
      </c>
      <c r="AI30" s="433" t="str">
        <f>IFERROR(VLOOKUP($A30,#REF!,2,0),"0")</f>
        <v>0</v>
      </c>
      <c r="AJ30" s="432">
        <f t="shared" si="15"/>
        <v>0</v>
      </c>
      <c r="AK30" s="163" t="e">
        <f>VLOOKUP($B:$B,#REF!,10,FALSE)</f>
        <v>#REF!</v>
      </c>
      <c r="AL30" s="432">
        <f t="shared" si="16"/>
        <v>0</v>
      </c>
      <c r="AM30" s="433" t="str">
        <f>IFERROR(VLOOKUP($A30,#REF!,2,0),"0")</f>
        <v>0</v>
      </c>
      <c r="AN30" s="432">
        <f t="shared" si="17"/>
        <v>0</v>
      </c>
      <c r="AO30" s="163" t="e">
        <f>VLOOKUP($B:$B,#REF!,11,FALSE)</f>
        <v>#REF!</v>
      </c>
      <c r="AP30" s="432">
        <f t="shared" si="18"/>
        <v>0</v>
      </c>
      <c r="AQ30" s="433" t="str">
        <f>IFERROR(VLOOKUP($A30,#REF!,2,0),"0")</f>
        <v>0</v>
      </c>
      <c r="AR30" s="432">
        <f t="shared" si="19"/>
        <v>0</v>
      </c>
      <c r="AS30" s="163" t="e">
        <f>VLOOKUP($B:$B,#REF!,12,FALSE)</f>
        <v>#REF!</v>
      </c>
      <c r="AT30" s="432">
        <f t="shared" si="20"/>
        <v>0</v>
      </c>
      <c r="AU30" s="433" t="str">
        <f>IFERROR(VLOOKUP($A30,#REF!,2,0),"0")</f>
        <v>0</v>
      </c>
      <c r="AV30" s="432">
        <f t="shared" si="21"/>
        <v>0</v>
      </c>
      <c r="AW30" s="163" t="e">
        <f>VLOOKUP($B:$B,#REF!,13,FALSE)</f>
        <v>#REF!</v>
      </c>
      <c r="AX30" s="432">
        <f t="shared" si="22"/>
        <v>0</v>
      </c>
      <c r="AY30" s="433" t="str">
        <f>IFERROR(VLOOKUP($A30,#REF!,2,0),"0")</f>
        <v>0</v>
      </c>
      <c r="AZ30" s="432">
        <f t="shared" si="23"/>
        <v>0</v>
      </c>
      <c r="BA30" s="163" t="e">
        <f>VLOOKUP($B:$B,#REF!,14,FALSE)</f>
        <v>#REF!</v>
      </c>
      <c r="BB30" s="432">
        <f t="shared" si="24"/>
        <v>0</v>
      </c>
      <c r="BC30" s="433" t="str">
        <f>IFERROR(VLOOKUP($A30,#REF!,2,0),"0")</f>
        <v>0</v>
      </c>
      <c r="BD30" s="432">
        <f t="shared" si="25"/>
        <v>0</v>
      </c>
      <c r="BE30" s="163" t="e">
        <f>VLOOKUP($B:$B,#REF!,15,FALSE)</f>
        <v>#REF!</v>
      </c>
      <c r="BF30" s="432">
        <f t="shared" si="26"/>
        <v>0</v>
      </c>
      <c r="BG30" s="433" t="str">
        <f>IFERROR(VLOOKUP($A30,#REF!,2,0),"0")</f>
        <v>0</v>
      </c>
      <c r="BH30" s="432">
        <f t="shared" si="27"/>
        <v>0</v>
      </c>
      <c r="BI30" s="163" t="e">
        <f>VLOOKUP($B:$B,#REF!,16,FALSE)</f>
        <v>#REF!</v>
      </c>
      <c r="BJ30" s="432">
        <f t="shared" si="28"/>
        <v>0</v>
      </c>
      <c r="BK30" s="433" t="str">
        <f>IFERROR(VLOOKUP($A30,#REF!,2,0),"0")</f>
        <v>0</v>
      </c>
      <c r="BL30" s="432">
        <f t="shared" si="29"/>
        <v>0</v>
      </c>
      <c r="BM30" s="163" t="e">
        <f>VLOOKUP($B:$B,#REF!,17,FALSE)</f>
        <v>#REF!</v>
      </c>
      <c r="BN30" s="432">
        <f t="shared" si="30"/>
        <v>0</v>
      </c>
      <c r="BO30" s="433" t="str">
        <f>IFERROR(VLOOKUP($A30,#REF!,2,0),"0")</f>
        <v>0</v>
      </c>
      <c r="BP30" s="432">
        <f t="shared" si="31"/>
        <v>0</v>
      </c>
      <c r="BQ30" s="163" t="e">
        <f>VLOOKUP($B:$B,#REF!,18,FALSE)</f>
        <v>#REF!</v>
      </c>
      <c r="BR30" s="432">
        <f t="shared" si="32"/>
        <v>0</v>
      </c>
      <c r="BS30" s="433" t="str">
        <f>IFERROR(VLOOKUP($A30,#REF!,2,0),"0")</f>
        <v>0</v>
      </c>
      <c r="BT30" s="432">
        <f t="shared" si="33"/>
        <v>0</v>
      </c>
      <c r="BU30" s="163" t="e">
        <f>VLOOKUP($B:$B,#REF!,19,FALSE)</f>
        <v>#REF!</v>
      </c>
      <c r="BV30" s="432">
        <f t="shared" si="34"/>
        <v>0</v>
      </c>
      <c r="BW30" s="433" t="str">
        <f>IFERROR(VLOOKUP($A30,#REF!,2,0),"0")</f>
        <v>0</v>
      </c>
      <c r="BX30" s="432">
        <f t="shared" si="35"/>
        <v>0</v>
      </c>
      <c r="BY30" s="163" t="e">
        <f>VLOOKUP($B:$B,#REF!,20,FALSE)</f>
        <v>#REF!</v>
      </c>
      <c r="BZ30" s="432">
        <f t="shared" si="36"/>
        <v>0</v>
      </c>
      <c r="CA30" s="433" t="str">
        <f>IFERROR(VLOOKUP($A30,#REF!,2,0),"0")</f>
        <v>0</v>
      </c>
      <c r="CB30" s="432">
        <f t="shared" si="37"/>
        <v>0</v>
      </c>
      <c r="CC30" s="163" t="e">
        <f>VLOOKUP($B:$B,#REF!,21,FALSE)</f>
        <v>#REF!</v>
      </c>
      <c r="CD30" s="432">
        <f t="shared" si="38"/>
        <v>0</v>
      </c>
      <c r="CE30" s="433" t="str">
        <f>IFERROR(VLOOKUP($A30,#REF!,2,0),"0")</f>
        <v>0</v>
      </c>
      <c r="CF30" s="432">
        <f t="shared" si="39"/>
        <v>0</v>
      </c>
      <c r="CG30" s="163" t="e">
        <f>VLOOKUP($B:$B,#REF!,22,FALSE)</f>
        <v>#REF!</v>
      </c>
      <c r="CH30" s="432">
        <f t="shared" si="40"/>
        <v>0</v>
      </c>
      <c r="CI30" s="433" t="str">
        <f>IFERROR(VLOOKUP($A30,#REF!,2,0),"0")</f>
        <v>0</v>
      </c>
      <c r="CJ30" s="432">
        <f t="shared" si="41"/>
        <v>0</v>
      </c>
      <c r="CK30" s="163" t="e">
        <f>VLOOKUP($B:$B,#REF!,23,FALSE)</f>
        <v>#REF!</v>
      </c>
      <c r="CL30" s="432">
        <f t="shared" si="42"/>
        <v>0</v>
      </c>
      <c r="CM30" s="433" t="str">
        <f>IFERROR(VLOOKUP($A30,#REF!,2,0),"0")</f>
        <v>0</v>
      </c>
      <c r="CN30" s="432">
        <f t="shared" si="43"/>
        <v>0</v>
      </c>
      <c r="CO30" s="163" t="e">
        <f>VLOOKUP($B:$B,#REF!,24,FALSE)</f>
        <v>#REF!</v>
      </c>
      <c r="CP30" s="432">
        <f t="shared" si="44"/>
        <v>0</v>
      </c>
      <c r="CQ30" s="433" t="str">
        <f>IFERROR(VLOOKUP($A30,#REF!,2,0),"0")</f>
        <v>0</v>
      </c>
      <c r="CR30" s="432">
        <f t="shared" si="45"/>
        <v>0</v>
      </c>
      <c r="CS30" s="163" t="e">
        <f>VLOOKUP($B:$B,#REF!,25,FALSE)</f>
        <v>#REF!</v>
      </c>
      <c r="CT30" s="432">
        <f t="shared" si="46"/>
        <v>0</v>
      </c>
      <c r="CU30" s="433" t="str">
        <f>IFERROR(VLOOKUP($A30,#REF!,2,0),"0")</f>
        <v>0</v>
      </c>
      <c r="CV30" s="432">
        <f t="shared" si="47"/>
        <v>0</v>
      </c>
      <c r="CW30" s="163" t="e">
        <f>VLOOKUP($B:$B,#REF!,26,FALSE)</f>
        <v>#REF!</v>
      </c>
      <c r="CX30" s="432">
        <f t="shared" si="48"/>
        <v>0</v>
      </c>
      <c r="CY30" s="433" t="str">
        <f>IFERROR(VLOOKUP($A30,#REF!,2,0),"0")</f>
        <v>0</v>
      </c>
      <c r="CZ30" s="432">
        <f t="shared" si="49"/>
        <v>0</v>
      </c>
      <c r="DA30" s="163" t="e">
        <f>VLOOKUP($B:$B,#REF!,27,FALSE)</f>
        <v>#REF!</v>
      </c>
      <c r="DB30" s="432">
        <f t="shared" si="50"/>
        <v>0</v>
      </c>
      <c r="DC30" s="433" t="str">
        <f>IFERROR(VLOOKUP($A30,#REF!,2,0),"0")</f>
        <v>0</v>
      </c>
      <c r="DD30" s="432">
        <f t="shared" si="51"/>
        <v>0</v>
      </c>
      <c r="DE30" s="163" t="e">
        <f>VLOOKUP($B:$B,#REF!,28,FALSE)</f>
        <v>#REF!</v>
      </c>
      <c r="DF30" s="432">
        <f t="shared" si="52"/>
        <v>0</v>
      </c>
      <c r="DG30" s="433" t="str">
        <f>IFERROR(VLOOKUP($A30,#REF!,2,0),"0")</f>
        <v>0</v>
      </c>
      <c r="DH30" s="432">
        <f t="shared" si="53"/>
        <v>0</v>
      </c>
      <c r="DI30" s="163" t="e">
        <f>VLOOKUP($B:$B,#REF!,29,FALSE)</f>
        <v>#REF!</v>
      </c>
      <c r="DJ30" s="432">
        <f t="shared" si="54"/>
        <v>0</v>
      </c>
      <c r="DK30" s="433" t="str">
        <f>IFERROR(VLOOKUP($A30,#REF!,2,0),"0")</f>
        <v>0</v>
      </c>
      <c r="DL30" s="432">
        <f t="shared" si="55"/>
        <v>0</v>
      </c>
      <c r="DM30" s="163" t="e">
        <f>VLOOKUP($B:$B,#REF!,30,FALSE)</f>
        <v>#REF!</v>
      </c>
      <c r="DN30" s="432">
        <f t="shared" si="56"/>
        <v>0</v>
      </c>
      <c r="DO30" s="432"/>
      <c r="DP30" s="432">
        <f t="shared" si="57"/>
        <v>0</v>
      </c>
      <c r="DQ30" s="163" t="e">
        <f>VLOOKUP($B:$B,#REF!,31,FALSE)</f>
        <v>#REF!</v>
      </c>
      <c r="DR30" s="432">
        <f t="shared" si="58"/>
        <v>0</v>
      </c>
      <c r="DS30" s="434"/>
      <c r="DT30" s="432">
        <f t="shared" si="59"/>
        <v>0</v>
      </c>
      <c r="DU30" s="163" t="e">
        <f>VLOOKUP($B:$B,#REF!,32,FALSE)</f>
        <v>#REF!</v>
      </c>
      <c r="DV30" s="432">
        <f t="shared" si="60"/>
        <v>0</v>
      </c>
      <c r="DW30" s="434"/>
      <c r="DX30" s="432">
        <f t="shared" si="61"/>
        <v>0</v>
      </c>
      <c r="DY30" s="432">
        <f t="shared" si="62"/>
        <v>0</v>
      </c>
    </row>
    <row r="31" spans="1:129" ht="15.75">
      <c r="A31" s="166" t="s">
        <v>447</v>
      </c>
      <c r="B31" s="506" t="s">
        <v>466</v>
      </c>
      <c r="C31" s="166">
        <v>1751712363</v>
      </c>
      <c r="D31" s="431">
        <v>35649</v>
      </c>
      <c r="E31" s="163" t="e">
        <f>VLOOKUP($B:$B,#REF!,2,FALSE)</f>
        <v>#REF!</v>
      </c>
      <c r="F31" s="432">
        <f t="shared" si="0"/>
        <v>0</v>
      </c>
      <c r="G31" s="433" t="str">
        <f>IFERROR(VLOOKUP($A31,#REF!,2,0),"0")</f>
        <v>0</v>
      </c>
      <c r="H31" s="432">
        <v>0</v>
      </c>
      <c r="I31" s="163" t="e">
        <f>VLOOKUP($B:$B,#REF!,3,FALSE)</f>
        <v>#REF!</v>
      </c>
      <c r="J31" s="432">
        <f t="shared" si="2"/>
        <v>0</v>
      </c>
      <c r="K31" s="433" t="str">
        <f>IFERROR(VLOOKUP($A31,#REF!,2,0),"0")</f>
        <v>0</v>
      </c>
      <c r="L31" s="432">
        <f t="shared" si="63"/>
        <v>0</v>
      </c>
      <c r="M31" s="163" t="e">
        <f>VLOOKUP($B:$B,#REF!,4,FALSE)</f>
        <v>#REF!</v>
      </c>
      <c r="N31" s="432">
        <f t="shared" si="4"/>
        <v>0</v>
      </c>
      <c r="O31" s="433" t="str">
        <f>IFERROR(VLOOKUP($A31,#REF!,2,0),"0")</f>
        <v>0</v>
      </c>
      <c r="P31" s="432">
        <f t="shared" si="5"/>
        <v>0</v>
      </c>
      <c r="Q31" s="163" t="e">
        <f>VLOOKUP($B:$B,#REF!,5,FALSE)</f>
        <v>#REF!</v>
      </c>
      <c r="R31" s="432">
        <f t="shared" si="6"/>
        <v>0</v>
      </c>
      <c r="S31" s="433" t="str">
        <f>IFERROR(VLOOKUP($A31,#REF!,2,0),"0")</f>
        <v>0</v>
      </c>
      <c r="T31" s="432">
        <f t="shared" si="7"/>
        <v>0</v>
      </c>
      <c r="U31" s="163" t="e">
        <f>VLOOKUP($B:$B,#REF!,6,FALSE)</f>
        <v>#REF!</v>
      </c>
      <c r="V31" s="432">
        <f t="shared" si="8"/>
        <v>0</v>
      </c>
      <c r="W31" s="433" t="str">
        <f>IFERROR(VLOOKUP($A31,#REF!,2,0),"0")</f>
        <v>0</v>
      </c>
      <c r="X31" s="432">
        <f t="shared" si="9"/>
        <v>0</v>
      </c>
      <c r="Y31" s="163" t="e">
        <f>VLOOKUP($B:$B,#REF!,7,FALSE)</f>
        <v>#REF!</v>
      </c>
      <c r="Z31" s="432">
        <f t="shared" si="10"/>
        <v>0</v>
      </c>
      <c r="AA31" s="433" t="str">
        <f>IFERROR(VLOOKUP($A31,#REF!,2,0),"0")</f>
        <v>0</v>
      </c>
      <c r="AB31" s="432">
        <f t="shared" si="11"/>
        <v>0</v>
      </c>
      <c r="AC31" s="163" t="e">
        <f>VLOOKUP($B:$B,#REF!,8,FALSE)</f>
        <v>#REF!</v>
      </c>
      <c r="AD31" s="432">
        <f t="shared" si="12"/>
        <v>0</v>
      </c>
      <c r="AE31" s="433" t="str">
        <f>IFERROR(VLOOKUP($A31,#REF!,2,0),"0")</f>
        <v>0</v>
      </c>
      <c r="AF31" s="432">
        <f t="shared" si="13"/>
        <v>0</v>
      </c>
      <c r="AG31" s="163" t="e">
        <f>VLOOKUP($B:$B,#REF!,9,FALSE)</f>
        <v>#REF!</v>
      </c>
      <c r="AH31" s="432">
        <f t="shared" si="14"/>
        <v>0</v>
      </c>
      <c r="AI31" s="433" t="str">
        <f>IFERROR(VLOOKUP($A31,#REF!,2,0),"0")</f>
        <v>0</v>
      </c>
      <c r="AJ31" s="432">
        <f t="shared" si="15"/>
        <v>0</v>
      </c>
      <c r="AK31" s="163" t="e">
        <f>VLOOKUP($B:$B,#REF!,10,FALSE)</f>
        <v>#REF!</v>
      </c>
      <c r="AL31" s="432">
        <f t="shared" si="16"/>
        <v>0</v>
      </c>
      <c r="AM31" s="433" t="str">
        <f>IFERROR(VLOOKUP($A31,#REF!,2,0),"0")</f>
        <v>0</v>
      </c>
      <c r="AN31" s="432">
        <f t="shared" si="17"/>
        <v>0</v>
      </c>
      <c r="AO31" s="163" t="e">
        <f>VLOOKUP($B:$B,#REF!,11,FALSE)</f>
        <v>#REF!</v>
      </c>
      <c r="AP31" s="432">
        <f t="shared" si="18"/>
        <v>0</v>
      </c>
      <c r="AQ31" s="433" t="str">
        <f>IFERROR(VLOOKUP($A31,#REF!,2,0),"0")</f>
        <v>0</v>
      </c>
      <c r="AR31" s="432">
        <f t="shared" si="19"/>
        <v>0</v>
      </c>
      <c r="AS31" s="163" t="e">
        <f>VLOOKUP($B:$B,#REF!,12,FALSE)</f>
        <v>#REF!</v>
      </c>
      <c r="AT31" s="432">
        <f t="shared" si="20"/>
        <v>0</v>
      </c>
      <c r="AU31" s="433" t="str">
        <f>IFERROR(VLOOKUP($A31,#REF!,2,0),"0")</f>
        <v>0</v>
      </c>
      <c r="AV31" s="432">
        <f t="shared" si="21"/>
        <v>0</v>
      </c>
      <c r="AW31" s="163" t="e">
        <f>VLOOKUP($B:$B,#REF!,13,FALSE)</f>
        <v>#REF!</v>
      </c>
      <c r="AX31" s="432">
        <f t="shared" si="22"/>
        <v>0</v>
      </c>
      <c r="AY31" s="433" t="str">
        <f>IFERROR(VLOOKUP($A31,#REF!,2,0),"0")</f>
        <v>0</v>
      </c>
      <c r="AZ31" s="432">
        <f t="shared" si="23"/>
        <v>0</v>
      </c>
      <c r="BA31" s="163" t="e">
        <f>VLOOKUP($B:$B,#REF!,14,FALSE)</f>
        <v>#REF!</v>
      </c>
      <c r="BB31" s="432">
        <f t="shared" si="24"/>
        <v>0</v>
      </c>
      <c r="BC31" s="433"/>
      <c r="BD31" s="432">
        <f t="shared" si="25"/>
        <v>0</v>
      </c>
      <c r="BE31" s="163" t="e">
        <f>VLOOKUP($B:$B,#REF!,15,FALSE)</f>
        <v>#REF!</v>
      </c>
      <c r="BF31" s="432">
        <f t="shared" si="26"/>
        <v>0</v>
      </c>
      <c r="BG31" s="433" t="str">
        <f>IFERROR(VLOOKUP($A31,#REF!,2,0),"0")</f>
        <v>0</v>
      </c>
      <c r="BH31" s="432">
        <f t="shared" si="27"/>
        <v>0</v>
      </c>
      <c r="BI31" s="163" t="e">
        <f>VLOOKUP($B:$B,#REF!,16,FALSE)</f>
        <v>#REF!</v>
      </c>
      <c r="BJ31" s="432">
        <f t="shared" si="28"/>
        <v>0</v>
      </c>
      <c r="BK31" s="433" t="str">
        <f>IFERROR(VLOOKUP($A31,#REF!,2,0),"0")</f>
        <v>0</v>
      </c>
      <c r="BL31" s="432">
        <f t="shared" si="29"/>
        <v>0</v>
      </c>
      <c r="BM31" s="163" t="e">
        <f>VLOOKUP($B:$B,#REF!,17,FALSE)</f>
        <v>#REF!</v>
      </c>
      <c r="BN31" s="432">
        <f t="shared" si="30"/>
        <v>0</v>
      </c>
      <c r="BO31" s="433" t="str">
        <f>IFERROR(VLOOKUP($A31,#REF!,2,0),"0")</f>
        <v>0</v>
      </c>
      <c r="BP31" s="432">
        <f t="shared" si="31"/>
        <v>0</v>
      </c>
      <c r="BQ31" s="163" t="e">
        <f>VLOOKUP($B:$B,#REF!,18,FALSE)</f>
        <v>#REF!</v>
      </c>
      <c r="BR31" s="432">
        <f t="shared" si="32"/>
        <v>0</v>
      </c>
      <c r="BS31" s="433" t="str">
        <f>IFERROR(VLOOKUP($A31,#REF!,2,0),"0")</f>
        <v>0</v>
      </c>
      <c r="BT31" s="432">
        <f t="shared" si="33"/>
        <v>0</v>
      </c>
      <c r="BU31" s="163" t="e">
        <f>VLOOKUP($B:$B,#REF!,19,FALSE)</f>
        <v>#REF!</v>
      </c>
      <c r="BV31" s="432">
        <f t="shared" si="34"/>
        <v>0</v>
      </c>
      <c r="BW31" s="433" t="str">
        <f>IFERROR(VLOOKUP($A31,#REF!,2,0),"0")</f>
        <v>0</v>
      </c>
      <c r="BX31" s="432">
        <f t="shared" si="35"/>
        <v>0</v>
      </c>
      <c r="BY31" s="163" t="e">
        <f>VLOOKUP($B:$B,#REF!,20,FALSE)</f>
        <v>#REF!</v>
      </c>
      <c r="BZ31" s="432">
        <f t="shared" si="36"/>
        <v>0</v>
      </c>
      <c r="CA31" s="433" t="str">
        <f>IFERROR(VLOOKUP($A31,#REF!,2,0),"0")</f>
        <v>0</v>
      </c>
      <c r="CB31" s="432">
        <f t="shared" si="37"/>
        <v>0</v>
      </c>
      <c r="CC31" s="163" t="e">
        <f>VLOOKUP($B:$B,#REF!,21,FALSE)</f>
        <v>#REF!</v>
      </c>
      <c r="CD31" s="432">
        <f t="shared" si="38"/>
        <v>0</v>
      </c>
      <c r="CE31" s="433" t="str">
        <f>IFERROR(VLOOKUP($A31,#REF!,2,0),"0")</f>
        <v>0</v>
      </c>
      <c r="CF31" s="432">
        <f t="shared" si="39"/>
        <v>0</v>
      </c>
      <c r="CG31" s="163" t="e">
        <f>VLOOKUP($B:$B,#REF!,22,FALSE)</f>
        <v>#REF!</v>
      </c>
      <c r="CH31" s="432">
        <f t="shared" si="40"/>
        <v>0</v>
      </c>
      <c r="CI31" s="433" t="str">
        <f>IFERROR(VLOOKUP($A31,#REF!,2,0),"0")</f>
        <v>0</v>
      </c>
      <c r="CJ31" s="432">
        <f t="shared" si="41"/>
        <v>0</v>
      </c>
      <c r="CK31" s="163" t="e">
        <f>VLOOKUP($B:$B,#REF!,23,FALSE)</f>
        <v>#REF!</v>
      </c>
      <c r="CL31" s="432">
        <f t="shared" si="42"/>
        <v>0</v>
      </c>
      <c r="CM31" s="433" t="str">
        <f>IFERROR(VLOOKUP($A31,#REF!,2,0),"0")</f>
        <v>0</v>
      </c>
      <c r="CN31" s="432">
        <f t="shared" si="43"/>
        <v>0</v>
      </c>
      <c r="CO31" s="163" t="e">
        <f>VLOOKUP($B:$B,#REF!,24,FALSE)</f>
        <v>#REF!</v>
      </c>
      <c r="CP31" s="432">
        <f t="shared" si="44"/>
        <v>0</v>
      </c>
      <c r="CQ31" s="433" t="str">
        <f>IFERROR(VLOOKUP($A31,#REF!,2,0),"0")</f>
        <v>0</v>
      </c>
      <c r="CR31" s="432">
        <f t="shared" si="45"/>
        <v>0</v>
      </c>
      <c r="CS31" s="163" t="e">
        <f>VLOOKUP($B:$B,#REF!,25,FALSE)</f>
        <v>#REF!</v>
      </c>
      <c r="CT31" s="432">
        <f t="shared" si="46"/>
        <v>0</v>
      </c>
      <c r="CU31" s="433" t="str">
        <f>IFERROR(VLOOKUP($A31,#REF!,2,0),"0")</f>
        <v>0</v>
      </c>
      <c r="CV31" s="432">
        <f t="shared" si="47"/>
        <v>0</v>
      </c>
      <c r="CW31" s="163" t="e">
        <f>VLOOKUP($B:$B,#REF!,26,FALSE)</f>
        <v>#REF!</v>
      </c>
      <c r="CX31" s="432">
        <f t="shared" si="48"/>
        <v>0</v>
      </c>
      <c r="CY31" s="433" t="str">
        <f>IFERROR(VLOOKUP($A31,#REF!,2,0),"0")</f>
        <v>0</v>
      </c>
      <c r="CZ31" s="432">
        <f t="shared" si="49"/>
        <v>0</v>
      </c>
      <c r="DA31" s="163" t="e">
        <f>VLOOKUP($B:$B,#REF!,27,FALSE)</f>
        <v>#REF!</v>
      </c>
      <c r="DB31" s="432">
        <f t="shared" si="50"/>
        <v>0</v>
      </c>
      <c r="DC31" s="433" t="str">
        <f>IFERROR(VLOOKUP($A31,#REF!,2,0),"0")</f>
        <v>0</v>
      </c>
      <c r="DD31" s="432">
        <f t="shared" si="51"/>
        <v>0</v>
      </c>
      <c r="DE31" s="163" t="e">
        <f>VLOOKUP($B:$B,#REF!,28,FALSE)</f>
        <v>#REF!</v>
      </c>
      <c r="DF31" s="432">
        <f t="shared" si="52"/>
        <v>0</v>
      </c>
      <c r="DG31" s="433"/>
      <c r="DH31" s="432">
        <f t="shared" si="53"/>
        <v>0</v>
      </c>
      <c r="DI31" s="163" t="e">
        <f>VLOOKUP($B:$B,#REF!,29,FALSE)</f>
        <v>#REF!</v>
      </c>
      <c r="DJ31" s="432">
        <f t="shared" si="54"/>
        <v>0</v>
      </c>
      <c r="DK31" s="433"/>
      <c r="DL31" s="432">
        <f t="shared" si="55"/>
        <v>0</v>
      </c>
      <c r="DM31" s="163" t="e">
        <f>VLOOKUP($B:$B,#REF!,30,FALSE)</f>
        <v>#REF!</v>
      </c>
      <c r="DN31" s="432">
        <f t="shared" si="56"/>
        <v>0</v>
      </c>
      <c r="DO31" s="432"/>
      <c r="DP31" s="432">
        <f t="shared" si="57"/>
        <v>0</v>
      </c>
      <c r="DQ31" s="163" t="e">
        <f>VLOOKUP($B:$B,#REF!,31,FALSE)</f>
        <v>#REF!</v>
      </c>
      <c r="DR31" s="432">
        <f t="shared" si="58"/>
        <v>0</v>
      </c>
      <c r="DS31" s="434"/>
      <c r="DT31" s="432">
        <f t="shared" si="59"/>
        <v>0</v>
      </c>
      <c r="DU31" s="163" t="e">
        <f>VLOOKUP($B:$B,#REF!,32,FALSE)</f>
        <v>#REF!</v>
      </c>
      <c r="DV31" s="432">
        <f t="shared" si="60"/>
        <v>0</v>
      </c>
      <c r="DW31" s="434"/>
      <c r="DX31" s="432">
        <f t="shared" si="61"/>
        <v>0</v>
      </c>
      <c r="DY31" s="432">
        <f t="shared" si="62"/>
        <v>0</v>
      </c>
    </row>
    <row r="32" spans="1:129" ht="15.75">
      <c r="A32" s="166" t="s">
        <v>448</v>
      </c>
      <c r="B32" s="506" t="s">
        <v>467</v>
      </c>
      <c r="C32" s="166">
        <v>1718483959</v>
      </c>
      <c r="D32" s="431">
        <v>35686</v>
      </c>
      <c r="E32" s="163" t="e">
        <f>VLOOKUP($B:$B,#REF!,2,FALSE)</f>
        <v>#REF!</v>
      </c>
      <c r="F32" s="432">
        <f t="shared" si="0"/>
        <v>0</v>
      </c>
      <c r="G32" s="433"/>
      <c r="H32" s="432">
        <f t="shared" ref="H32:H34" si="65">IF(G32-F32&lt;0,0,G32-F32)</f>
        <v>0</v>
      </c>
      <c r="I32" s="163" t="e">
        <f>VLOOKUP($B:$B,#REF!,3,FALSE)</f>
        <v>#REF!</v>
      </c>
      <c r="J32" s="432">
        <f t="shared" si="2"/>
        <v>0</v>
      </c>
      <c r="K32" s="433" t="str">
        <f>IFERROR(VLOOKUP($A32,#REF!,2,0),"0")</f>
        <v>0</v>
      </c>
      <c r="L32" s="432">
        <f t="shared" si="63"/>
        <v>0</v>
      </c>
      <c r="M32" s="163" t="e">
        <f>VLOOKUP($B:$B,#REF!,4,FALSE)</f>
        <v>#REF!</v>
      </c>
      <c r="N32" s="432">
        <f t="shared" si="4"/>
        <v>0</v>
      </c>
      <c r="O32" s="433" t="str">
        <f>IFERROR(VLOOKUP($A32,#REF!,2,0),"0")</f>
        <v>0</v>
      </c>
      <c r="P32" s="432">
        <f t="shared" si="5"/>
        <v>0</v>
      </c>
      <c r="Q32" s="163" t="e">
        <f>VLOOKUP($B:$B,#REF!,5,FALSE)</f>
        <v>#REF!</v>
      </c>
      <c r="R32" s="432">
        <f t="shared" si="6"/>
        <v>0</v>
      </c>
      <c r="S32" s="433" t="str">
        <f>IFERROR(VLOOKUP($A32,#REF!,2,0),"0")</f>
        <v>0</v>
      </c>
      <c r="T32" s="432">
        <f t="shared" si="7"/>
        <v>0</v>
      </c>
      <c r="U32" s="163" t="e">
        <f>VLOOKUP($B:$B,#REF!,6,FALSE)</f>
        <v>#REF!</v>
      </c>
      <c r="V32" s="432">
        <f t="shared" si="8"/>
        <v>0</v>
      </c>
      <c r="W32" s="433" t="str">
        <f>IFERROR(VLOOKUP($A32,#REF!,2,0),"0")</f>
        <v>0</v>
      </c>
      <c r="X32" s="432">
        <f t="shared" si="9"/>
        <v>0</v>
      </c>
      <c r="Y32" s="163" t="e">
        <f>VLOOKUP($B:$B,#REF!,7,FALSE)</f>
        <v>#REF!</v>
      </c>
      <c r="Z32" s="432">
        <f t="shared" si="10"/>
        <v>0</v>
      </c>
      <c r="AA32" s="433" t="str">
        <f>IFERROR(VLOOKUP($A32,#REF!,2,0),"0")</f>
        <v>0</v>
      </c>
      <c r="AB32" s="432">
        <f t="shared" si="11"/>
        <v>0</v>
      </c>
      <c r="AC32" s="163" t="e">
        <f>VLOOKUP($B:$B,#REF!,8,FALSE)</f>
        <v>#REF!</v>
      </c>
      <c r="AD32" s="432">
        <f t="shared" si="12"/>
        <v>0</v>
      </c>
      <c r="AE32" s="433" t="str">
        <f>IFERROR(VLOOKUP($A32,#REF!,2,0),"0")</f>
        <v>0</v>
      </c>
      <c r="AF32" s="432">
        <f t="shared" si="13"/>
        <v>0</v>
      </c>
      <c r="AG32" s="163" t="e">
        <f>VLOOKUP($B:$B,#REF!,9,FALSE)</f>
        <v>#REF!</v>
      </c>
      <c r="AH32" s="432">
        <f t="shared" si="14"/>
        <v>0</v>
      </c>
      <c r="AI32" s="433" t="str">
        <f>IFERROR(VLOOKUP($A32,#REF!,2,0),"0")</f>
        <v>0</v>
      </c>
      <c r="AJ32" s="432">
        <f t="shared" si="15"/>
        <v>0</v>
      </c>
      <c r="AK32" s="163" t="e">
        <f>VLOOKUP($B:$B,#REF!,10,FALSE)</f>
        <v>#REF!</v>
      </c>
      <c r="AL32" s="432">
        <f t="shared" si="16"/>
        <v>0</v>
      </c>
      <c r="AM32" s="433" t="str">
        <f>IFERROR(VLOOKUP($A32,#REF!,2,0),"0")</f>
        <v>0</v>
      </c>
      <c r="AN32" s="432">
        <f t="shared" si="17"/>
        <v>0</v>
      </c>
      <c r="AO32" s="163" t="e">
        <f>VLOOKUP($B:$B,#REF!,11,FALSE)</f>
        <v>#REF!</v>
      </c>
      <c r="AP32" s="432">
        <f t="shared" si="18"/>
        <v>0</v>
      </c>
      <c r="AQ32" s="433" t="str">
        <f>IFERROR(VLOOKUP($A32,#REF!,2,0),"0")</f>
        <v>0</v>
      </c>
      <c r="AR32" s="432">
        <f t="shared" si="19"/>
        <v>0</v>
      </c>
      <c r="AS32" s="163" t="e">
        <f>VLOOKUP($B:$B,#REF!,12,FALSE)</f>
        <v>#REF!</v>
      </c>
      <c r="AT32" s="432">
        <f t="shared" si="20"/>
        <v>0</v>
      </c>
      <c r="AU32" s="433" t="str">
        <f>IFERROR(VLOOKUP($A32,#REF!,2,0),"0")</f>
        <v>0</v>
      </c>
      <c r="AV32" s="432">
        <f t="shared" si="21"/>
        <v>0</v>
      </c>
      <c r="AW32" s="163" t="e">
        <f>VLOOKUP($B:$B,#REF!,13,FALSE)</f>
        <v>#REF!</v>
      </c>
      <c r="AX32" s="432">
        <f t="shared" si="22"/>
        <v>0</v>
      </c>
      <c r="AY32" s="433" t="str">
        <f>IFERROR(VLOOKUP($A32,#REF!,2,0),"0")</f>
        <v>0</v>
      </c>
      <c r="AZ32" s="432">
        <f t="shared" si="23"/>
        <v>0</v>
      </c>
      <c r="BA32" s="163" t="e">
        <f>VLOOKUP($B:$B,#REF!,14,FALSE)</f>
        <v>#REF!</v>
      </c>
      <c r="BB32" s="432">
        <f t="shared" si="24"/>
        <v>0</v>
      </c>
      <c r="BC32" s="433" t="str">
        <f>IFERROR(VLOOKUP($A32,#REF!,2,0),"0")</f>
        <v>0</v>
      </c>
      <c r="BD32" s="432">
        <f t="shared" si="25"/>
        <v>0</v>
      </c>
      <c r="BE32" s="163" t="e">
        <f>VLOOKUP($B:$B,#REF!,15,FALSE)</f>
        <v>#REF!</v>
      </c>
      <c r="BF32" s="432">
        <f t="shared" si="26"/>
        <v>0</v>
      </c>
      <c r="BG32" s="433" t="str">
        <f>IFERROR(VLOOKUP($A32,#REF!,2,0),"0")</f>
        <v>0</v>
      </c>
      <c r="BH32" s="432">
        <f t="shared" si="27"/>
        <v>0</v>
      </c>
      <c r="BI32" s="163" t="e">
        <f>VLOOKUP($B:$B,#REF!,16,FALSE)</f>
        <v>#REF!</v>
      </c>
      <c r="BJ32" s="432">
        <f t="shared" si="28"/>
        <v>0</v>
      </c>
      <c r="BK32" s="433">
        <v>0</v>
      </c>
      <c r="BL32" s="432">
        <f t="shared" si="29"/>
        <v>0</v>
      </c>
      <c r="BM32" s="163" t="e">
        <f>VLOOKUP($B:$B,#REF!,17,FALSE)</f>
        <v>#REF!</v>
      </c>
      <c r="BN32" s="432">
        <f t="shared" si="30"/>
        <v>0</v>
      </c>
      <c r="BO32" s="433" t="str">
        <f>IFERROR(VLOOKUP($A32,#REF!,2,0),"0")</f>
        <v>0</v>
      </c>
      <c r="BP32" s="432">
        <f t="shared" si="31"/>
        <v>0</v>
      </c>
      <c r="BQ32" s="163" t="e">
        <f>VLOOKUP($B:$B,#REF!,18,FALSE)</f>
        <v>#REF!</v>
      </c>
      <c r="BR32" s="432">
        <f t="shared" si="32"/>
        <v>0</v>
      </c>
      <c r="BS32" s="433" t="str">
        <f>IFERROR(VLOOKUP($A32,#REF!,2,0),"0")</f>
        <v>0</v>
      </c>
      <c r="BT32" s="432">
        <f t="shared" si="33"/>
        <v>0</v>
      </c>
      <c r="BU32" s="163" t="e">
        <f>VLOOKUP($B:$B,#REF!,19,FALSE)</f>
        <v>#REF!</v>
      </c>
      <c r="BV32" s="432">
        <f t="shared" si="34"/>
        <v>0</v>
      </c>
      <c r="BW32" s="433" t="str">
        <f>IFERROR(VLOOKUP($A32,#REF!,2,0),"0")</f>
        <v>0</v>
      </c>
      <c r="BX32" s="432">
        <f t="shared" si="35"/>
        <v>0</v>
      </c>
      <c r="BY32" s="163" t="e">
        <f>VLOOKUP($B:$B,#REF!,20,FALSE)</f>
        <v>#REF!</v>
      </c>
      <c r="BZ32" s="432">
        <f t="shared" si="36"/>
        <v>0</v>
      </c>
      <c r="CA32" s="433" t="str">
        <f>IFERROR(VLOOKUP($A32,#REF!,2,0),"0")</f>
        <v>0</v>
      </c>
      <c r="CB32" s="432">
        <f t="shared" si="37"/>
        <v>0</v>
      </c>
      <c r="CC32" s="163" t="e">
        <f>VLOOKUP($B:$B,#REF!,21,FALSE)</f>
        <v>#REF!</v>
      </c>
      <c r="CD32" s="432">
        <f t="shared" si="38"/>
        <v>0</v>
      </c>
      <c r="CE32" s="433" t="str">
        <f>IFERROR(VLOOKUP($A32,#REF!,2,0),"0")</f>
        <v>0</v>
      </c>
      <c r="CF32" s="432">
        <f t="shared" si="39"/>
        <v>0</v>
      </c>
      <c r="CG32" s="163" t="e">
        <f>VLOOKUP($B:$B,#REF!,22,FALSE)</f>
        <v>#REF!</v>
      </c>
      <c r="CH32" s="432">
        <f t="shared" si="40"/>
        <v>0</v>
      </c>
      <c r="CI32" s="433" t="str">
        <f>IFERROR(VLOOKUP($A32,#REF!,2,0),"0")</f>
        <v>0</v>
      </c>
      <c r="CJ32" s="432">
        <f t="shared" si="41"/>
        <v>0</v>
      </c>
      <c r="CK32" s="163" t="e">
        <f>VLOOKUP($B:$B,#REF!,23,FALSE)</f>
        <v>#REF!</v>
      </c>
      <c r="CL32" s="432">
        <f t="shared" si="42"/>
        <v>0</v>
      </c>
      <c r="CM32" s="433" t="str">
        <f>IFERROR(VLOOKUP($A32,#REF!,2,0),"0")</f>
        <v>0</v>
      </c>
      <c r="CN32" s="432">
        <f t="shared" si="43"/>
        <v>0</v>
      </c>
      <c r="CO32" s="163" t="e">
        <f>VLOOKUP($B:$B,#REF!,24,FALSE)</f>
        <v>#REF!</v>
      </c>
      <c r="CP32" s="432">
        <f t="shared" si="44"/>
        <v>0</v>
      </c>
      <c r="CQ32" s="433" t="str">
        <f>IFERROR(VLOOKUP($A32,#REF!,2,0),"0")</f>
        <v>0</v>
      </c>
      <c r="CR32" s="432">
        <f t="shared" si="45"/>
        <v>0</v>
      </c>
      <c r="CS32" s="163" t="e">
        <f>VLOOKUP($B:$B,#REF!,25,FALSE)</f>
        <v>#REF!</v>
      </c>
      <c r="CT32" s="432">
        <f t="shared" si="46"/>
        <v>0</v>
      </c>
      <c r="CU32" s="433" t="str">
        <f>IFERROR(VLOOKUP($A32,#REF!,2,0),"0")</f>
        <v>0</v>
      </c>
      <c r="CV32" s="432">
        <f t="shared" si="47"/>
        <v>0</v>
      </c>
      <c r="CW32" s="163" t="e">
        <f>VLOOKUP($B:$B,#REF!,26,FALSE)</f>
        <v>#REF!</v>
      </c>
      <c r="CX32" s="432">
        <f t="shared" si="48"/>
        <v>0</v>
      </c>
      <c r="CY32" s="433" t="str">
        <f>IFERROR(VLOOKUP($A32,#REF!,2,0),"0")</f>
        <v>0</v>
      </c>
      <c r="CZ32" s="432">
        <f t="shared" si="49"/>
        <v>0</v>
      </c>
      <c r="DA32" s="163" t="e">
        <f>VLOOKUP($B:$B,#REF!,27,FALSE)</f>
        <v>#REF!</v>
      </c>
      <c r="DB32" s="432">
        <f t="shared" si="50"/>
        <v>0</v>
      </c>
      <c r="DC32" s="433" t="str">
        <f>IFERROR(VLOOKUP($A32,#REF!,2,0),"0")</f>
        <v>0</v>
      </c>
      <c r="DD32" s="432">
        <f t="shared" si="51"/>
        <v>0</v>
      </c>
      <c r="DE32" s="163" t="e">
        <f>VLOOKUP($B:$B,#REF!,28,FALSE)</f>
        <v>#REF!</v>
      </c>
      <c r="DF32" s="432">
        <f t="shared" si="52"/>
        <v>0</v>
      </c>
      <c r="DG32" s="433" t="str">
        <f>IFERROR(VLOOKUP($A32,#REF!,2,0),"0")</f>
        <v>0</v>
      </c>
      <c r="DH32" s="432">
        <f t="shared" si="53"/>
        <v>0</v>
      </c>
      <c r="DI32" s="163" t="e">
        <f>VLOOKUP($B:$B,#REF!,29,FALSE)</f>
        <v>#REF!</v>
      </c>
      <c r="DJ32" s="432">
        <f t="shared" si="54"/>
        <v>0</v>
      </c>
      <c r="DK32" s="433" t="str">
        <f>IFERROR(VLOOKUP($A32,#REF!,2,0),"0")</f>
        <v>0</v>
      </c>
      <c r="DL32" s="432">
        <f t="shared" si="55"/>
        <v>0</v>
      </c>
      <c r="DM32" s="163" t="e">
        <f>VLOOKUP($B:$B,#REF!,30,FALSE)</f>
        <v>#REF!</v>
      </c>
      <c r="DN32" s="432">
        <f t="shared" si="56"/>
        <v>0</v>
      </c>
      <c r="DO32" s="432"/>
      <c r="DP32" s="432">
        <f t="shared" si="57"/>
        <v>0</v>
      </c>
      <c r="DQ32" s="163" t="e">
        <f>VLOOKUP($B:$B,#REF!,31,FALSE)</f>
        <v>#REF!</v>
      </c>
      <c r="DR32" s="432">
        <f t="shared" si="58"/>
        <v>0</v>
      </c>
      <c r="DS32" s="434"/>
      <c r="DT32" s="432">
        <f t="shared" si="59"/>
        <v>0</v>
      </c>
      <c r="DU32" s="163" t="e">
        <f>VLOOKUP($B:$B,#REF!,32,FALSE)</f>
        <v>#REF!</v>
      </c>
      <c r="DV32" s="432">
        <f t="shared" si="60"/>
        <v>0</v>
      </c>
      <c r="DW32" s="434"/>
      <c r="DX32" s="432">
        <f t="shared" si="61"/>
        <v>0</v>
      </c>
      <c r="DY32" s="432">
        <f t="shared" si="62"/>
        <v>0</v>
      </c>
    </row>
    <row r="33" spans="1:129" ht="15.75">
      <c r="A33" s="166" t="s">
        <v>468</v>
      </c>
      <c r="B33" s="506" t="s">
        <v>469</v>
      </c>
      <c r="C33" s="166">
        <v>1724005879</v>
      </c>
      <c r="D33" s="431">
        <v>34895</v>
      </c>
      <c r="E33" s="163" t="e">
        <f>VLOOKUP($B:$B,#REF!,2,FALSE)</f>
        <v>#REF!</v>
      </c>
      <c r="F33" s="432">
        <f t="shared" si="0"/>
        <v>0</v>
      </c>
      <c r="G33" s="433" t="str">
        <f>IFERROR(VLOOKUP($A33,#REF!,2,0),"0")</f>
        <v>0</v>
      </c>
      <c r="H33" s="432">
        <f t="shared" si="65"/>
        <v>0</v>
      </c>
      <c r="I33" s="163" t="e">
        <f>VLOOKUP($B:$B,#REF!,3,FALSE)</f>
        <v>#REF!</v>
      </c>
      <c r="J33" s="432">
        <f t="shared" si="2"/>
        <v>0</v>
      </c>
      <c r="K33" s="433" t="str">
        <f>IFERROR(VLOOKUP($A33,#REF!,2,0),"0")</f>
        <v>0</v>
      </c>
      <c r="L33" s="432">
        <f t="shared" si="63"/>
        <v>0</v>
      </c>
      <c r="M33" s="163" t="e">
        <f>VLOOKUP($B:$B,#REF!,4,FALSE)</f>
        <v>#REF!</v>
      </c>
      <c r="N33" s="432">
        <f t="shared" si="4"/>
        <v>0</v>
      </c>
      <c r="O33" s="433" t="str">
        <f>IFERROR(VLOOKUP($A33,#REF!,2,0),"0")</f>
        <v>0</v>
      </c>
      <c r="P33" s="432">
        <f t="shared" si="5"/>
        <v>0</v>
      </c>
      <c r="Q33" s="163" t="e">
        <f>VLOOKUP($B:$B,#REF!,5,FALSE)</f>
        <v>#REF!</v>
      </c>
      <c r="R33" s="432">
        <f t="shared" si="6"/>
        <v>0</v>
      </c>
      <c r="S33" s="433" t="str">
        <f>IFERROR(VLOOKUP($A33,#REF!,2,0),"0")</f>
        <v>0</v>
      </c>
      <c r="T33" s="432">
        <f t="shared" si="7"/>
        <v>0</v>
      </c>
      <c r="U33" s="163" t="e">
        <f>VLOOKUP($B:$B,#REF!,6,FALSE)</f>
        <v>#REF!</v>
      </c>
      <c r="V33" s="432">
        <f t="shared" si="8"/>
        <v>0</v>
      </c>
      <c r="W33" s="433" t="str">
        <f>IFERROR(VLOOKUP($A33,#REF!,2,0),"0")</f>
        <v>0</v>
      </c>
      <c r="X33" s="432">
        <f t="shared" si="9"/>
        <v>0</v>
      </c>
      <c r="Y33" s="163" t="e">
        <f>VLOOKUP($B:$B,#REF!,7,FALSE)</f>
        <v>#REF!</v>
      </c>
      <c r="Z33" s="432">
        <f t="shared" si="10"/>
        <v>0</v>
      </c>
      <c r="AA33" s="433" t="str">
        <f>IFERROR(VLOOKUP($A33,#REF!,2,0),"0")</f>
        <v>0</v>
      </c>
      <c r="AB33" s="432">
        <f t="shared" si="11"/>
        <v>0</v>
      </c>
      <c r="AC33" s="163" t="e">
        <f>VLOOKUP($B:$B,#REF!,8,FALSE)</f>
        <v>#REF!</v>
      </c>
      <c r="AD33" s="432">
        <f t="shared" si="12"/>
        <v>0</v>
      </c>
      <c r="AE33" s="433" t="str">
        <f>IFERROR(VLOOKUP($A33,#REF!,2,0),"0")</f>
        <v>0</v>
      </c>
      <c r="AF33" s="432">
        <f t="shared" si="13"/>
        <v>0</v>
      </c>
      <c r="AG33" s="163" t="e">
        <f>VLOOKUP($B:$B,#REF!,9,FALSE)</f>
        <v>#REF!</v>
      </c>
      <c r="AH33" s="432">
        <f t="shared" si="14"/>
        <v>0</v>
      </c>
      <c r="AI33" s="433" t="str">
        <f>IFERROR(VLOOKUP($A33,#REF!,2,0),"0")</f>
        <v>0</v>
      </c>
      <c r="AJ33" s="432">
        <f t="shared" si="15"/>
        <v>0</v>
      </c>
      <c r="AK33" s="163" t="e">
        <f>VLOOKUP($B:$B,#REF!,10,FALSE)</f>
        <v>#REF!</v>
      </c>
      <c r="AL33" s="432">
        <f t="shared" si="16"/>
        <v>0</v>
      </c>
      <c r="AM33" s="433" t="str">
        <f>IFERROR(VLOOKUP($A33,#REF!,2,0),"0")</f>
        <v>0</v>
      </c>
      <c r="AN33" s="432">
        <f t="shared" si="17"/>
        <v>0</v>
      </c>
      <c r="AO33" s="163" t="e">
        <f>VLOOKUP($B:$B,#REF!,11,FALSE)</f>
        <v>#REF!</v>
      </c>
      <c r="AP33" s="432">
        <f t="shared" si="18"/>
        <v>0</v>
      </c>
      <c r="AQ33" s="433" t="str">
        <f>IFERROR(VLOOKUP($A33,#REF!,2,0),"0")</f>
        <v>0</v>
      </c>
      <c r="AR33" s="432">
        <f t="shared" si="19"/>
        <v>0</v>
      </c>
      <c r="AS33" s="163" t="e">
        <f>VLOOKUP($B:$B,#REF!,12,FALSE)</f>
        <v>#REF!</v>
      </c>
      <c r="AT33" s="432">
        <f t="shared" si="20"/>
        <v>0</v>
      </c>
      <c r="AU33" s="433" t="str">
        <f>IFERROR(VLOOKUP($A33,#REF!,2,0),"0")</f>
        <v>0</v>
      </c>
      <c r="AV33" s="432">
        <f t="shared" si="21"/>
        <v>0</v>
      </c>
      <c r="AW33" s="163" t="e">
        <f>VLOOKUP($B:$B,#REF!,13,FALSE)</f>
        <v>#REF!</v>
      </c>
      <c r="AX33" s="432">
        <f t="shared" si="22"/>
        <v>0</v>
      </c>
      <c r="AY33" s="433" t="str">
        <f>IFERROR(VLOOKUP($A33,#REF!,2,0),"0")</f>
        <v>0</v>
      </c>
      <c r="AZ33" s="432">
        <f t="shared" si="23"/>
        <v>0</v>
      </c>
      <c r="BA33" s="163" t="e">
        <f>VLOOKUP($B:$B,#REF!,14,FALSE)</f>
        <v>#REF!</v>
      </c>
      <c r="BB33" s="432">
        <f t="shared" si="24"/>
        <v>0</v>
      </c>
      <c r="BC33" s="433" t="str">
        <f>IFERROR(VLOOKUP($A33,#REF!,2,0),"0")</f>
        <v>0</v>
      </c>
      <c r="BD33" s="432">
        <f t="shared" si="25"/>
        <v>0</v>
      </c>
      <c r="BE33" s="163" t="e">
        <f>VLOOKUP($B:$B,#REF!,15,FALSE)</f>
        <v>#REF!</v>
      </c>
      <c r="BF33" s="432">
        <f t="shared" si="26"/>
        <v>0</v>
      </c>
      <c r="BG33" s="433" t="str">
        <f>IFERROR(VLOOKUP($A33,#REF!,2,0),"0")</f>
        <v>0</v>
      </c>
      <c r="BH33" s="432">
        <f t="shared" si="27"/>
        <v>0</v>
      </c>
      <c r="BI33" s="163" t="e">
        <f>VLOOKUP($B:$B,#REF!,16,FALSE)</f>
        <v>#REF!</v>
      </c>
      <c r="BJ33" s="432">
        <f t="shared" si="28"/>
        <v>0</v>
      </c>
      <c r="BK33" s="433" t="str">
        <f>IFERROR(VLOOKUP($A33,#REF!,2,0),"0")</f>
        <v>0</v>
      </c>
      <c r="BL33" s="432">
        <f t="shared" si="29"/>
        <v>0</v>
      </c>
      <c r="BM33" s="163" t="e">
        <f>VLOOKUP($B:$B,#REF!,17,FALSE)</f>
        <v>#REF!</v>
      </c>
      <c r="BN33" s="432">
        <f t="shared" si="30"/>
        <v>0</v>
      </c>
      <c r="BO33" s="433" t="str">
        <f>IFERROR(VLOOKUP($A33,#REF!,2,0),"0")</f>
        <v>0</v>
      </c>
      <c r="BP33" s="432">
        <f t="shared" si="31"/>
        <v>0</v>
      </c>
      <c r="BQ33" s="163" t="e">
        <f>VLOOKUP($B:$B,#REF!,18,FALSE)</f>
        <v>#REF!</v>
      </c>
      <c r="BR33" s="432">
        <f t="shared" si="32"/>
        <v>0</v>
      </c>
      <c r="BS33" s="433" t="str">
        <f>IFERROR(VLOOKUP($A33,#REF!,2,0),"0")</f>
        <v>0</v>
      </c>
      <c r="BT33" s="432">
        <f t="shared" si="33"/>
        <v>0</v>
      </c>
      <c r="BU33" s="163" t="e">
        <f>VLOOKUP($B:$B,#REF!,19,FALSE)</f>
        <v>#REF!</v>
      </c>
      <c r="BV33" s="432">
        <f t="shared" si="34"/>
        <v>0</v>
      </c>
      <c r="BW33" s="433" t="str">
        <f>IFERROR(VLOOKUP($A33,#REF!,2,0),"0")</f>
        <v>0</v>
      </c>
      <c r="BX33" s="432">
        <f t="shared" si="35"/>
        <v>0</v>
      </c>
      <c r="BY33" s="163" t="e">
        <f>VLOOKUP($B:$B,#REF!,20,FALSE)</f>
        <v>#REF!</v>
      </c>
      <c r="BZ33" s="432">
        <f t="shared" si="36"/>
        <v>0</v>
      </c>
      <c r="CA33" s="433" t="str">
        <f>IFERROR(VLOOKUP($A33,#REF!,2,0),"0")</f>
        <v>0</v>
      </c>
      <c r="CB33" s="432">
        <f t="shared" si="37"/>
        <v>0</v>
      </c>
      <c r="CC33" s="163" t="e">
        <f>VLOOKUP($B:$B,#REF!,21,FALSE)</f>
        <v>#REF!</v>
      </c>
      <c r="CD33" s="432">
        <f t="shared" si="38"/>
        <v>0</v>
      </c>
      <c r="CE33" s="433" t="str">
        <f>IFERROR(VLOOKUP($A33,#REF!,2,0),"0")</f>
        <v>0</v>
      </c>
      <c r="CF33" s="432">
        <f t="shared" si="39"/>
        <v>0</v>
      </c>
      <c r="CG33" s="163" t="e">
        <f>VLOOKUP($B:$B,#REF!,22,FALSE)</f>
        <v>#REF!</v>
      </c>
      <c r="CH33" s="432">
        <f t="shared" si="40"/>
        <v>0</v>
      </c>
      <c r="CI33" s="433" t="str">
        <f>IFERROR(VLOOKUP($A33,#REF!,2,0),"0")</f>
        <v>0</v>
      </c>
      <c r="CJ33" s="432">
        <f t="shared" si="41"/>
        <v>0</v>
      </c>
      <c r="CK33" s="163" t="e">
        <f>VLOOKUP($B:$B,#REF!,23,FALSE)</f>
        <v>#REF!</v>
      </c>
      <c r="CL33" s="432">
        <f t="shared" si="42"/>
        <v>0</v>
      </c>
      <c r="CM33" s="433" t="str">
        <f>IFERROR(VLOOKUP($A33,#REF!,2,0),"0")</f>
        <v>0</v>
      </c>
      <c r="CN33" s="432">
        <f t="shared" si="43"/>
        <v>0</v>
      </c>
      <c r="CO33" s="163" t="e">
        <f>VLOOKUP($B:$B,#REF!,24,FALSE)</f>
        <v>#REF!</v>
      </c>
      <c r="CP33" s="432">
        <f t="shared" si="44"/>
        <v>0</v>
      </c>
      <c r="CQ33" s="433" t="str">
        <f>IFERROR(VLOOKUP($A33,#REF!,2,0),"0")</f>
        <v>0</v>
      </c>
      <c r="CR33" s="432">
        <f t="shared" si="45"/>
        <v>0</v>
      </c>
      <c r="CS33" s="163" t="e">
        <f>VLOOKUP($B:$B,#REF!,25,FALSE)</f>
        <v>#REF!</v>
      </c>
      <c r="CT33" s="432">
        <f t="shared" si="46"/>
        <v>0</v>
      </c>
      <c r="CU33" s="433" t="str">
        <f>IFERROR(VLOOKUP($A33,#REF!,2,0),"0")</f>
        <v>0</v>
      </c>
      <c r="CV33" s="432">
        <f t="shared" si="47"/>
        <v>0</v>
      </c>
      <c r="CW33" s="163" t="e">
        <f>VLOOKUP($B:$B,#REF!,26,FALSE)</f>
        <v>#REF!</v>
      </c>
      <c r="CX33" s="432">
        <f t="shared" si="48"/>
        <v>0</v>
      </c>
      <c r="CY33" s="433" t="str">
        <f>IFERROR(VLOOKUP($A33,#REF!,2,0),"0")</f>
        <v>0</v>
      </c>
      <c r="CZ33" s="432">
        <f t="shared" si="49"/>
        <v>0</v>
      </c>
      <c r="DA33" s="163" t="e">
        <f>VLOOKUP($B:$B,#REF!,27,FALSE)</f>
        <v>#REF!</v>
      </c>
      <c r="DB33" s="432">
        <f t="shared" si="50"/>
        <v>0</v>
      </c>
      <c r="DC33" s="433" t="str">
        <f>IFERROR(VLOOKUP($A33,#REF!,2,0),"0")</f>
        <v>0</v>
      </c>
      <c r="DD33" s="432">
        <f t="shared" si="51"/>
        <v>0</v>
      </c>
      <c r="DE33" s="163" t="e">
        <f>VLOOKUP($B:$B,#REF!,28,FALSE)</f>
        <v>#REF!</v>
      </c>
      <c r="DF33" s="432">
        <f t="shared" si="52"/>
        <v>0</v>
      </c>
      <c r="DG33" s="433" t="str">
        <f>IFERROR(VLOOKUP($A33,#REF!,2,0),"0")</f>
        <v>0</v>
      </c>
      <c r="DH33" s="432">
        <f t="shared" si="53"/>
        <v>0</v>
      </c>
      <c r="DI33" s="163" t="e">
        <f>VLOOKUP($B:$B,#REF!,29,FALSE)</f>
        <v>#REF!</v>
      </c>
      <c r="DJ33" s="432">
        <f t="shared" si="54"/>
        <v>0</v>
      </c>
      <c r="DK33" s="433" t="str">
        <f>IFERROR(VLOOKUP($A33,#REF!,2,0),"0")</f>
        <v>0</v>
      </c>
      <c r="DL33" s="432">
        <f t="shared" si="55"/>
        <v>0</v>
      </c>
      <c r="DM33" s="163" t="e">
        <f>VLOOKUP($B:$B,#REF!,30,FALSE)</f>
        <v>#REF!</v>
      </c>
      <c r="DN33" s="432">
        <f t="shared" si="56"/>
        <v>0</v>
      </c>
      <c r="DO33" s="432"/>
      <c r="DP33" s="432">
        <f t="shared" si="57"/>
        <v>0</v>
      </c>
      <c r="DQ33" s="163" t="e">
        <f>VLOOKUP($B:$B,#REF!,31,FALSE)</f>
        <v>#REF!</v>
      </c>
      <c r="DR33" s="432">
        <f t="shared" si="58"/>
        <v>0</v>
      </c>
      <c r="DS33" s="434"/>
      <c r="DT33" s="432">
        <f t="shared" si="59"/>
        <v>0</v>
      </c>
      <c r="DU33" s="163" t="e">
        <f>VLOOKUP($B:$B,#REF!,32,FALSE)</f>
        <v>#REF!</v>
      </c>
      <c r="DV33" s="432">
        <f t="shared" si="60"/>
        <v>0</v>
      </c>
      <c r="DW33" s="434"/>
      <c r="DX33" s="432">
        <f t="shared" si="61"/>
        <v>0</v>
      </c>
      <c r="DY33" s="432">
        <f t="shared" si="62"/>
        <v>0</v>
      </c>
    </row>
    <row r="34" spans="1:129" ht="15.75">
      <c r="A34" s="166" t="s">
        <v>126</v>
      </c>
      <c r="B34" s="506" t="s">
        <v>127</v>
      </c>
      <c r="C34" s="166">
        <v>603039397</v>
      </c>
      <c r="D34" s="431">
        <v>27903</v>
      </c>
      <c r="E34" s="163" t="e">
        <f>VLOOKUP($B:$B,#REF!,2,FALSE)</f>
        <v>#REF!</v>
      </c>
      <c r="F34" s="432">
        <f t="shared" si="0"/>
        <v>0</v>
      </c>
      <c r="G34" s="433" t="str">
        <f>IFERROR(VLOOKUP($A34,#REF!,2,0),"0")</f>
        <v>0</v>
      </c>
      <c r="H34" s="432">
        <f t="shared" si="65"/>
        <v>0</v>
      </c>
      <c r="I34" s="163" t="e">
        <f>VLOOKUP($B:$B,#REF!,3,FALSE)</f>
        <v>#REF!</v>
      </c>
      <c r="J34" s="432">
        <f t="shared" si="2"/>
        <v>0</v>
      </c>
      <c r="K34" s="433" t="str">
        <f>IFERROR(VLOOKUP($A34,#REF!,2,0),"0")</f>
        <v>0</v>
      </c>
      <c r="L34" s="432">
        <f t="shared" si="63"/>
        <v>0</v>
      </c>
      <c r="M34" s="163" t="e">
        <f>VLOOKUP($B:$B,#REF!,4,FALSE)</f>
        <v>#REF!</v>
      </c>
      <c r="N34" s="432">
        <f t="shared" si="4"/>
        <v>0</v>
      </c>
      <c r="O34" s="433" t="str">
        <f>IFERROR(VLOOKUP($A34,#REF!,2,0),"0")</f>
        <v>0</v>
      </c>
      <c r="P34" s="432">
        <f t="shared" si="5"/>
        <v>0</v>
      </c>
      <c r="Q34" s="163" t="e">
        <f>VLOOKUP($B:$B,#REF!,5,FALSE)</f>
        <v>#REF!</v>
      </c>
      <c r="R34" s="432">
        <f t="shared" si="6"/>
        <v>0</v>
      </c>
      <c r="S34" s="433" t="str">
        <f>IFERROR(VLOOKUP($A34,#REF!,2,0),"0")</f>
        <v>0</v>
      </c>
      <c r="T34" s="432">
        <f t="shared" si="7"/>
        <v>0</v>
      </c>
      <c r="U34" s="163" t="e">
        <f>VLOOKUP($B:$B,#REF!,6,FALSE)</f>
        <v>#REF!</v>
      </c>
      <c r="V34" s="432">
        <f t="shared" si="8"/>
        <v>0</v>
      </c>
      <c r="W34" s="433" t="str">
        <f>IFERROR(VLOOKUP($A34,#REF!,2,0),"0")</f>
        <v>0</v>
      </c>
      <c r="X34" s="432">
        <f t="shared" si="9"/>
        <v>0</v>
      </c>
      <c r="Y34" s="163" t="e">
        <f>VLOOKUP($B:$B,#REF!,7,FALSE)</f>
        <v>#REF!</v>
      </c>
      <c r="Z34" s="432">
        <f t="shared" si="10"/>
        <v>0</v>
      </c>
      <c r="AA34" s="433" t="str">
        <f>IFERROR(VLOOKUP($A34,#REF!,2,0),"0")</f>
        <v>0</v>
      </c>
      <c r="AB34" s="432">
        <f t="shared" si="11"/>
        <v>0</v>
      </c>
      <c r="AC34" s="163" t="e">
        <f>VLOOKUP($B:$B,#REF!,8,FALSE)</f>
        <v>#REF!</v>
      </c>
      <c r="AD34" s="432">
        <f t="shared" si="12"/>
        <v>0</v>
      </c>
      <c r="AE34" s="432">
        <f t="shared" si="12"/>
        <v>0</v>
      </c>
      <c r="AF34" s="432">
        <f t="shared" si="13"/>
        <v>0</v>
      </c>
      <c r="AG34" s="163" t="e">
        <f>VLOOKUP($B:$B,#REF!,9,FALSE)</f>
        <v>#REF!</v>
      </c>
      <c r="AH34" s="432">
        <f t="shared" si="14"/>
        <v>0</v>
      </c>
      <c r="AI34" s="433" t="str">
        <f>IFERROR(VLOOKUP($A34,#REF!,2,0),"0")</f>
        <v>0</v>
      </c>
      <c r="AJ34" s="432">
        <f t="shared" si="15"/>
        <v>0</v>
      </c>
      <c r="AK34" s="163" t="e">
        <f>VLOOKUP($B:$B,#REF!,10,FALSE)</f>
        <v>#REF!</v>
      </c>
      <c r="AL34" s="432">
        <f t="shared" si="16"/>
        <v>0</v>
      </c>
      <c r="AM34" s="433" t="str">
        <f>IFERROR(VLOOKUP($A34,#REF!,2,0),"0")</f>
        <v>0</v>
      </c>
      <c r="AN34" s="432">
        <f t="shared" si="17"/>
        <v>0</v>
      </c>
      <c r="AO34" s="163" t="e">
        <f>VLOOKUP($B:$B,#REF!,11,FALSE)</f>
        <v>#REF!</v>
      </c>
      <c r="AP34" s="432">
        <f t="shared" si="18"/>
        <v>0</v>
      </c>
      <c r="AQ34" s="433" t="str">
        <f>IFERROR(VLOOKUP($A34,#REF!,2,0),"0")</f>
        <v>0</v>
      </c>
      <c r="AR34" s="432">
        <f t="shared" si="19"/>
        <v>0</v>
      </c>
      <c r="AS34" s="163" t="e">
        <f>VLOOKUP($B:$B,#REF!,12,FALSE)</f>
        <v>#REF!</v>
      </c>
      <c r="AT34" s="432">
        <f t="shared" si="20"/>
        <v>0</v>
      </c>
      <c r="AU34" s="433" t="str">
        <f>IFERROR(VLOOKUP($A34,#REF!,2,0),"0")</f>
        <v>0</v>
      </c>
      <c r="AV34" s="432">
        <f t="shared" si="21"/>
        <v>0</v>
      </c>
      <c r="AW34" s="163" t="e">
        <f>VLOOKUP($B:$B,#REF!,13,FALSE)</f>
        <v>#REF!</v>
      </c>
      <c r="AX34" s="432">
        <f t="shared" si="22"/>
        <v>0</v>
      </c>
      <c r="AY34" s="433" t="str">
        <f>IFERROR(VLOOKUP($A34,#REF!,2,0),"0")</f>
        <v>0</v>
      </c>
      <c r="AZ34" s="432">
        <f t="shared" si="23"/>
        <v>0</v>
      </c>
      <c r="BA34" s="163" t="e">
        <f>VLOOKUP($B:$B,#REF!,14,FALSE)</f>
        <v>#REF!</v>
      </c>
      <c r="BB34" s="432">
        <f t="shared" si="24"/>
        <v>0</v>
      </c>
      <c r="BC34" s="433" t="str">
        <f>IFERROR(VLOOKUP($A34,#REF!,2,0),"0")</f>
        <v>0</v>
      </c>
      <c r="BD34" s="432">
        <f t="shared" si="25"/>
        <v>0</v>
      </c>
      <c r="BE34" s="163" t="e">
        <f>VLOOKUP($B:$B,#REF!,15,FALSE)</f>
        <v>#REF!</v>
      </c>
      <c r="BF34" s="432">
        <f t="shared" si="26"/>
        <v>0</v>
      </c>
      <c r="BG34" s="433" t="str">
        <f>IFERROR(VLOOKUP($A34,#REF!,2,0),"0")</f>
        <v>0</v>
      </c>
      <c r="BH34" s="432">
        <f t="shared" si="27"/>
        <v>0</v>
      </c>
      <c r="BI34" s="163" t="e">
        <f>VLOOKUP($B:$B,#REF!,16,FALSE)</f>
        <v>#REF!</v>
      </c>
      <c r="BJ34" s="432">
        <f t="shared" si="28"/>
        <v>0</v>
      </c>
      <c r="BK34" s="433" t="str">
        <f>IFERROR(VLOOKUP($A34,#REF!,2,0),"0")</f>
        <v>0</v>
      </c>
      <c r="BL34" s="432">
        <f t="shared" si="29"/>
        <v>0</v>
      </c>
      <c r="BM34" s="163" t="e">
        <f>VLOOKUP($B:$B,#REF!,17,FALSE)</f>
        <v>#REF!</v>
      </c>
      <c r="BN34" s="432">
        <f t="shared" si="30"/>
        <v>0</v>
      </c>
      <c r="BO34" s="433" t="str">
        <f>IFERROR(VLOOKUP($A34,#REF!,2,0),"0")</f>
        <v>0</v>
      </c>
      <c r="BP34" s="432">
        <f t="shared" si="31"/>
        <v>0</v>
      </c>
      <c r="BQ34" s="163" t="e">
        <f>VLOOKUP($B:$B,#REF!,18,FALSE)</f>
        <v>#REF!</v>
      </c>
      <c r="BR34" s="432">
        <f t="shared" si="32"/>
        <v>0</v>
      </c>
      <c r="BS34" s="433" t="str">
        <f>IFERROR(VLOOKUP($A34,#REF!,2,0),"0")</f>
        <v>0</v>
      </c>
      <c r="BT34" s="432">
        <f t="shared" si="33"/>
        <v>0</v>
      </c>
      <c r="BU34" s="163" t="e">
        <f>VLOOKUP($B:$B,#REF!,19,FALSE)</f>
        <v>#REF!</v>
      </c>
      <c r="BV34" s="432">
        <f t="shared" si="34"/>
        <v>0</v>
      </c>
      <c r="BW34" s="433" t="str">
        <f>IFERROR(VLOOKUP($A34,#REF!,2,0),"0")</f>
        <v>0</v>
      </c>
      <c r="BX34" s="432">
        <f t="shared" si="35"/>
        <v>0</v>
      </c>
      <c r="BY34" s="163" t="e">
        <f>VLOOKUP($B:$B,#REF!,20,FALSE)</f>
        <v>#REF!</v>
      </c>
      <c r="BZ34" s="432">
        <f t="shared" si="36"/>
        <v>0</v>
      </c>
      <c r="CA34" s="433" t="str">
        <f>IFERROR(VLOOKUP($A34,#REF!,2,0),"0")</f>
        <v>0</v>
      </c>
      <c r="CB34" s="432">
        <f t="shared" si="37"/>
        <v>0</v>
      </c>
      <c r="CC34" s="163" t="e">
        <f>VLOOKUP($B:$B,#REF!,21,FALSE)</f>
        <v>#REF!</v>
      </c>
      <c r="CD34" s="432">
        <f t="shared" si="38"/>
        <v>0</v>
      </c>
      <c r="CE34" s="433" t="str">
        <f>IFERROR(VLOOKUP($A34,#REF!,2,0),"0")</f>
        <v>0</v>
      </c>
      <c r="CF34" s="432">
        <f t="shared" si="39"/>
        <v>0</v>
      </c>
      <c r="CG34" s="163" t="e">
        <f>VLOOKUP($B:$B,#REF!,22,FALSE)</f>
        <v>#REF!</v>
      </c>
      <c r="CH34" s="432">
        <f t="shared" si="40"/>
        <v>0</v>
      </c>
      <c r="CI34" s="433" t="str">
        <f>IFERROR(VLOOKUP($A34,#REF!,2,0),"0")</f>
        <v>0</v>
      </c>
      <c r="CJ34" s="432">
        <f t="shared" si="41"/>
        <v>0</v>
      </c>
      <c r="CK34" s="163" t="e">
        <f>VLOOKUP($B:$B,#REF!,23,FALSE)</f>
        <v>#REF!</v>
      </c>
      <c r="CL34" s="432">
        <f t="shared" si="42"/>
        <v>0</v>
      </c>
      <c r="CM34" s="433" t="str">
        <f>IFERROR(VLOOKUP($A34,#REF!,2,0),"0")</f>
        <v>0</v>
      </c>
      <c r="CN34" s="432">
        <f t="shared" si="43"/>
        <v>0</v>
      </c>
      <c r="CO34" s="163" t="e">
        <f>VLOOKUP($B:$B,#REF!,24,FALSE)</f>
        <v>#REF!</v>
      </c>
      <c r="CP34" s="432">
        <f t="shared" si="44"/>
        <v>0</v>
      </c>
      <c r="CQ34" s="433" t="str">
        <f>IFERROR(VLOOKUP($A34,#REF!,2,0),"0")</f>
        <v>0</v>
      </c>
      <c r="CR34" s="432">
        <f t="shared" si="45"/>
        <v>0</v>
      </c>
      <c r="CS34" s="163" t="e">
        <f>VLOOKUP($B:$B,#REF!,25,FALSE)</f>
        <v>#REF!</v>
      </c>
      <c r="CT34" s="432">
        <f t="shared" si="46"/>
        <v>0</v>
      </c>
      <c r="CU34" s="433" t="str">
        <f>IFERROR(VLOOKUP($A34,#REF!,2,0),"0")</f>
        <v>0</v>
      </c>
      <c r="CV34" s="432">
        <f t="shared" si="47"/>
        <v>0</v>
      </c>
      <c r="CW34" s="163" t="e">
        <f>VLOOKUP($B:$B,#REF!,26,FALSE)</f>
        <v>#REF!</v>
      </c>
      <c r="CX34" s="432">
        <f t="shared" si="48"/>
        <v>0</v>
      </c>
      <c r="CY34" s="433" t="str">
        <f>IFERROR(VLOOKUP($A34,#REF!,2,0),"0")</f>
        <v>0</v>
      </c>
      <c r="CZ34" s="432">
        <f t="shared" si="49"/>
        <v>0</v>
      </c>
      <c r="DA34" s="163" t="e">
        <f>VLOOKUP($B:$B,#REF!,27,FALSE)</f>
        <v>#REF!</v>
      </c>
      <c r="DB34" s="432">
        <f t="shared" si="50"/>
        <v>0</v>
      </c>
      <c r="DC34" s="433" t="str">
        <f>IFERROR(VLOOKUP($A34,#REF!,2,0),"0")</f>
        <v>0</v>
      </c>
      <c r="DD34" s="432">
        <f t="shared" si="51"/>
        <v>0</v>
      </c>
      <c r="DE34" s="163" t="e">
        <f>VLOOKUP($B:$B,#REF!,28,FALSE)</f>
        <v>#REF!</v>
      </c>
      <c r="DF34" s="432">
        <f t="shared" si="52"/>
        <v>0</v>
      </c>
      <c r="DG34" s="433" t="str">
        <f>IFERROR(VLOOKUP($A34,#REF!,2,0),"0")</f>
        <v>0</v>
      </c>
      <c r="DH34" s="432">
        <f t="shared" si="53"/>
        <v>0</v>
      </c>
      <c r="DI34" s="163" t="e">
        <f>VLOOKUP($B:$B,#REF!,29,FALSE)</f>
        <v>#REF!</v>
      </c>
      <c r="DJ34" s="432">
        <f t="shared" si="54"/>
        <v>0</v>
      </c>
      <c r="DK34" s="433" t="str">
        <f>IFERROR(VLOOKUP($A34,#REF!,2,0),"0")</f>
        <v>0</v>
      </c>
      <c r="DL34" s="432">
        <f t="shared" si="55"/>
        <v>0</v>
      </c>
      <c r="DM34" s="163" t="e">
        <f>VLOOKUP($B:$B,#REF!,30,FALSE)</f>
        <v>#REF!</v>
      </c>
      <c r="DN34" s="432">
        <f t="shared" si="56"/>
        <v>0</v>
      </c>
      <c r="DO34" s="432"/>
      <c r="DP34" s="432">
        <f t="shared" si="57"/>
        <v>0</v>
      </c>
      <c r="DQ34" s="163" t="e">
        <f>VLOOKUP($B:$B,#REF!,31,FALSE)</f>
        <v>#REF!</v>
      </c>
      <c r="DR34" s="432">
        <f t="shared" si="58"/>
        <v>0</v>
      </c>
      <c r="DS34" s="434"/>
      <c r="DT34" s="432">
        <f t="shared" si="59"/>
        <v>0</v>
      </c>
      <c r="DU34" s="163" t="e">
        <f>VLOOKUP($B:$B,#REF!,32,FALSE)</f>
        <v>#REF!</v>
      </c>
      <c r="DV34" s="432">
        <f t="shared" si="60"/>
        <v>0</v>
      </c>
      <c r="DW34" s="434"/>
      <c r="DX34" s="432">
        <f t="shared" si="61"/>
        <v>0</v>
      </c>
      <c r="DY34" s="432">
        <f t="shared" si="62"/>
        <v>0</v>
      </c>
    </row>
    <row r="35" spans="1:129" ht="15.75">
      <c r="A35" s="166" t="s">
        <v>88</v>
      </c>
      <c r="B35" s="506" t="s">
        <v>89</v>
      </c>
      <c r="C35" s="166">
        <v>1755383351</v>
      </c>
      <c r="D35" s="431">
        <v>39120</v>
      </c>
      <c r="E35" s="163" t="e">
        <f>VLOOKUP($B:$B,#REF!,2,FALSE)</f>
        <v>#REF!</v>
      </c>
      <c r="F35" s="432">
        <f t="shared" si="0"/>
        <v>0</v>
      </c>
      <c r="G35" s="433" t="str">
        <f>IFERROR(VLOOKUP($A35,#REF!,2,0),"0")</f>
        <v>0</v>
      </c>
      <c r="H35" s="432">
        <v>0</v>
      </c>
      <c r="I35" s="163" t="e">
        <f>VLOOKUP($B:$B,#REF!,3,FALSE)</f>
        <v>#REF!</v>
      </c>
      <c r="J35" s="432">
        <f t="shared" si="2"/>
        <v>0</v>
      </c>
      <c r="K35" s="433" t="str">
        <f>IFERROR(VLOOKUP($A35,#REF!,2,0),"0")</f>
        <v>0</v>
      </c>
      <c r="L35" s="432">
        <f t="shared" si="63"/>
        <v>0</v>
      </c>
      <c r="M35" s="163" t="e">
        <f>VLOOKUP($B:$B,#REF!,4,FALSE)</f>
        <v>#REF!</v>
      </c>
      <c r="N35" s="432">
        <f t="shared" si="4"/>
        <v>0</v>
      </c>
      <c r="O35" s="433" t="str">
        <f>IFERROR(VLOOKUP($A35,#REF!,2,0),"0")</f>
        <v>0</v>
      </c>
      <c r="P35" s="432">
        <f t="shared" si="5"/>
        <v>0</v>
      </c>
      <c r="Q35" s="163" t="e">
        <f>VLOOKUP($B:$B,#REF!,5,FALSE)</f>
        <v>#REF!</v>
      </c>
      <c r="R35" s="432">
        <f t="shared" si="6"/>
        <v>0</v>
      </c>
      <c r="S35" s="433" t="str">
        <f>IFERROR(VLOOKUP($A35,#REF!,2,0),"0")</f>
        <v>0</v>
      </c>
      <c r="T35" s="432">
        <f t="shared" si="7"/>
        <v>0</v>
      </c>
      <c r="U35" s="163" t="e">
        <f>VLOOKUP($B:$B,#REF!,6,FALSE)</f>
        <v>#REF!</v>
      </c>
      <c r="V35" s="432">
        <f t="shared" si="8"/>
        <v>0</v>
      </c>
      <c r="W35" s="433" t="str">
        <f>IFERROR(VLOOKUP($A35,#REF!,2,0),"0")</f>
        <v>0</v>
      </c>
      <c r="X35" s="432">
        <f t="shared" si="9"/>
        <v>0</v>
      </c>
      <c r="Y35" s="163" t="e">
        <f>VLOOKUP($B:$B,#REF!,7,FALSE)</f>
        <v>#REF!</v>
      </c>
      <c r="Z35" s="432">
        <f t="shared" si="10"/>
        <v>0</v>
      </c>
      <c r="AA35" s="433" t="str">
        <f>IFERROR(VLOOKUP($A35,#REF!,2,0),"0")</f>
        <v>0</v>
      </c>
      <c r="AB35" s="432">
        <f t="shared" si="11"/>
        <v>0</v>
      </c>
      <c r="AC35" s="163" t="e">
        <f>VLOOKUP($B:$B,#REF!,8,FALSE)</f>
        <v>#REF!</v>
      </c>
      <c r="AD35" s="432">
        <f t="shared" si="12"/>
        <v>0</v>
      </c>
      <c r="AE35" s="433" t="str">
        <f>IFERROR(VLOOKUP($A35,#REF!,2,0),"0")</f>
        <v>0</v>
      </c>
      <c r="AF35" s="432">
        <f t="shared" si="13"/>
        <v>0</v>
      </c>
      <c r="AG35" s="163" t="e">
        <f>VLOOKUP($B:$B,#REF!,9,FALSE)</f>
        <v>#REF!</v>
      </c>
      <c r="AH35" s="432">
        <f t="shared" si="14"/>
        <v>0</v>
      </c>
      <c r="AI35" s="433" t="str">
        <f>IFERROR(VLOOKUP($A35,#REF!,2,0),"0")</f>
        <v>0</v>
      </c>
      <c r="AJ35" s="432">
        <f t="shared" si="15"/>
        <v>0</v>
      </c>
      <c r="AK35" s="163" t="e">
        <f>VLOOKUP($B:$B,#REF!,10,FALSE)</f>
        <v>#REF!</v>
      </c>
      <c r="AL35" s="432">
        <f t="shared" si="16"/>
        <v>0</v>
      </c>
      <c r="AM35" s="433" t="str">
        <f>IFERROR(VLOOKUP($A35,#REF!,2,0),"0")</f>
        <v>0</v>
      </c>
      <c r="AN35" s="432">
        <f t="shared" si="17"/>
        <v>0</v>
      </c>
      <c r="AO35" s="163" t="e">
        <f>VLOOKUP($B:$B,#REF!,11,FALSE)</f>
        <v>#REF!</v>
      </c>
      <c r="AP35" s="432">
        <f t="shared" si="18"/>
        <v>0</v>
      </c>
      <c r="AQ35" s="433" t="str">
        <f>IFERROR(VLOOKUP($A35,#REF!,2,0),"0")</f>
        <v>0</v>
      </c>
      <c r="AR35" s="432">
        <f t="shared" si="19"/>
        <v>0</v>
      </c>
      <c r="AS35" s="163" t="e">
        <f>VLOOKUP($B:$B,#REF!,12,FALSE)</f>
        <v>#REF!</v>
      </c>
      <c r="AT35" s="432">
        <f t="shared" si="20"/>
        <v>0</v>
      </c>
      <c r="AU35" s="433" t="str">
        <f>IFERROR(VLOOKUP($A35,#REF!,2,0),"0")</f>
        <v>0</v>
      </c>
      <c r="AV35" s="432">
        <f t="shared" si="21"/>
        <v>0</v>
      </c>
      <c r="AW35" s="163" t="e">
        <f>VLOOKUP($B:$B,#REF!,13,FALSE)</f>
        <v>#REF!</v>
      </c>
      <c r="AX35" s="432">
        <f t="shared" si="22"/>
        <v>0</v>
      </c>
      <c r="AY35" s="433" t="str">
        <f>IFERROR(VLOOKUP($A35,#REF!,2,0),"0")</f>
        <v>0</v>
      </c>
      <c r="AZ35" s="432">
        <f t="shared" si="23"/>
        <v>0</v>
      </c>
      <c r="BA35" s="163" t="e">
        <f>VLOOKUP($B:$B,#REF!,14,FALSE)</f>
        <v>#REF!</v>
      </c>
      <c r="BB35" s="432">
        <f t="shared" si="24"/>
        <v>0</v>
      </c>
      <c r="BC35" s="433" t="str">
        <f>IFERROR(VLOOKUP($A35,#REF!,2,0),"0")</f>
        <v>0</v>
      </c>
      <c r="BD35" s="432">
        <f t="shared" si="25"/>
        <v>0</v>
      </c>
      <c r="BE35" s="163" t="e">
        <f>VLOOKUP($B:$B,#REF!,15,FALSE)</f>
        <v>#REF!</v>
      </c>
      <c r="BF35" s="432">
        <f t="shared" si="26"/>
        <v>0</v>
      </c>
      <c r="BG35" s="433" t="str">
        <f>IFERROR(VLOOKUP($A35,#REF!,2,0),"0")</f>
        <v>0</v>
      </c>
      <c r="BH35" s="432">
        <f t="shared" si="27"/>
        <v>0</v>
      </c>
      <c r="BI35" s="163" t="e">
        <f>VLOOKUP($B:$B,#REF!,16,FALSE)</f>
        <v>#REF!</v>
      </c>
      <c r="BJ35" s="432">
        <f t="shared" si="28"/>
        <v>0</v>
      </c>
      <c r="BK35" s="433">
        <v>0</v>
      </c>
      <c r="BL35" s="432">
        <f t="shared" si="29"/>
        <v>0</v>
      </c>
      <c r="BM35" s="163" t="e">
        <f>VLOOKUP($B:$B,#REF!,17,FALSE)</f>
        <v>#REF!</v>
      </c>
      <c r="BN35" s="432">
        <f t="shared" si="30"/>
        <v>0</v>
      </c>
      <c r="BO35" s="433" t="str">
        <f>IFERROR(VLOOKUP($A35,#REF!,2,0),"0")</f>
        <v>0</v>
      </c>
      <c r="BP35" s="432">
        <f t="shared" si="31"/>
        <v>0</v>
      </c>
      <c r="BQ35" s="163" t="e">
        <f>VLOOKUP($B:$B,#REF!,18,FALSE)</f>
        <v>#REF!</v>
      </c>
      <c r="BR35" s="432">
        <f t="shared" si="32"/>
        <v>0</v>
      </c>
      <c r="BS35" s="433" t="str">
        <f>IFERROR(VLOOKUP($A35,#REF!,2,0),"0")</f>
        <v>0</v>
      </c>
      <c r="BT35" s="432">
        <f t="shared" si="33"/>
        <v>0</v>
      </c>
      <c r="BU35" s="163" t="e">
        <f>VLOOKUP($B:$B,#REF!,19,FALSE)</f>
        <v>#REF!</v>
      </c>
      <c r="BV35" s="432">
        <f t="shared" si="34"/>
        <v>0</v>
      </c>
      <c r="BW35" s="433" t="str">
        <f>IFERROR(VLOOKUP($A35,#REF!,2,0),"0")</f>
        <v>0</v>
      </c>
      <c r="BX35" s="432">
        <f t="shared" si="35"/>
        <v>0</v>
      </c>
      <c r="BY35" s="163" t="e">
        <f>VLOOKUP($B:$B,#REF!,20,FALSE)</f>
        <v>#REF!</v>
      </c>
      <c r="BZ35" s="432">
        <f t="shared" si="36"/>
        <v>0</v>
      </c>
      <c r="CA35" s="433" t="str">
        <f>IFERROR(VLOOKUP($A35,#REF!,2,0),"0")</f>
        <v>0</v>
      </c>
      <c r="CB35" s="432">
        <f t="shared" si="37"/>
        <v>0</v>
      </c>
      <c r="CC35" s="163" t="e">
        <f>VLOOKUP($B:$B,#REF!,21,FALSE)</f>
        <v>#REF!</v>
      </c>
      <c r="CD35" s="432">
        <f t="shared" si="38"/>
        <v>0</v>
      </c>
      <c r="CE35" s="433" t="str">
        <f>IFERROR(VLOOKUP($A35,#REF!,2,0),"0")</f>
        <v>0</v>
      </c>
      <c r="CF35" s="432">
        <f t="shared" si="39"/>
        <v>0</v>
      </c>
      <c r="CG35" s="163" t="e">
        <f>VLOOKUP($B:$B,#REF!,22,FALSE)</f>
        <v>#REF!</v>
      </c>
      <c r="CH35" s="432">
        <f t="shared" si="40"/>
        <v>0</v>
      </c>
      <c r="CI35" s="433" t="str">
        <f>IFERROR(VLOOKUP($A35,#REF!,2,0),"0")</f>
        <v>0</v>
      </c>
      <c r="CJ35" s="432">
        <f t="shared" si="41"/>
        <v>0</v>
      </c>
      <c r="CK35" s="163" t="e">
        <f>VLOOKUP($B:$B,#REF!,23,FALSE)</f>
        <v>#REF!</v>
      </c>
      <c r="CL35" s="432">
        <f t="shared" si="42"/>
        <v>0</v>
      </c>
      <c r="CM35" s="433"/>
      <c r="CN35" s="432">
        <f t="shared" si="43"/>
        <v>0</v>
      </c>
      <c r="CO35" s="163" t="e">
        <f>VLOOKUP($B:$B,#REF!,24,FALSE)</f>
        <v>#REF!</v>
      </c>
      <c r="CP35" s="432">
        <f t="shared" si="44"/>
        <v>0</v>
      </c>
      <c r="CQ35" s="433" t="str">
        <f>IFERROR(VLOOKUP($A35,#REF!,2,0),"0")</f>
        <v>0</v>
      </c>
      <c r="CR35" s="432">
        <f t="shared" si="45"/>
        <v>0</v>
      </c>
      <c r="CS35" s="163" t="e">
        <f>VLOOKUP($B:$B,#REF!,25,FALSE)</f>
        <v>#REF!</v>
      </c>
      <c r="CT35" s="432">
        <f t="shared" si="46"/>
        <v>0</v>
      </c>
      <c r="CU35" s="433" t="str">
        <f>IFERROR(VLOOKUP($A35,#REF!,2,0),"0")</f>
        <v>0</v>
      </c>
      <c r="CV35" s="432">
        <f t="shared" si="47"/>
        <v>0</v>
      </c>
      <c r="CW35" s="163" t="e">
        <f>VLOOKUP($B:$B,#REF!,26,FALSE)</f>
        <v>#REF!</v>
      </c>
      <c r="CX35" s="432">
        <f t="shared" si="48"/>
        <v>0</v>
      </c>
      <c r="CY35" s="433" t="str">
        <f>IFERROR(VLOOKUP($A35,#REF!,2,0),"0")</f>
        <v>0</v>
      </c>
      <c r="CZ35" s="432">
        <f t="shared" si="49"/>
        <v>0</v>
      </c>
      <c r="DA35" s="163" t="e">
        <f>VLOOKUP($B:$B,#REF!,27,FALSE)</f>
        <v>#REF!</v>
      </c>
      <c r="DB35" s="432">
        <f t="shared" si="50"/>
        <v>0</v>
      </c>
      <c r="DC35" s="433" t="str">
        <f>IFERROR(VLOOKUP($A35,#REF!,2,0),"0")</f>
        <v>0</v>
      </c>
      <c r="DD35" s="432">
        <f t="shared" si="51"/>
        <v>0</v>
      </c>
      <c r="DE35" s="163" t="e">
        <f>VLOOKUP($B:$B,#REF!,28,FALSE)</f>
        <v>#REF!</v>
      </c>
      <c r="DF35" s="432">
        <f t="shared" si="52"/>
        <v>0</v>
      </c>
      <c r="DG35" s="433" t="str">
        <f>IFERROR(VLOOKUP($A35,#REF!,2,0),"0")</f>
        <v>0</v>
      </c>
      <c r="DH35" s="432">
        <f t="shared" si="53"/>
        <v>0</v>
      </c>
      <c r="DI35" s="163" t="e">
        <f>VLOOKUP($B:$B,#REF!,29,FALSE)</f>
        <v>#REF!</v>
      </c>
      <c r="DJ35" s="432">
        <f t="shared" si="54"/>
        <v>0</v>
      </c>
      <c r="DK35" s="433" t="str">
        <f>IFERROR(VLOOKUP($A35,#REF!,2,0),"0")</f>
        <v>0</v>
      </c>
      <c r="DL35" s="432">
        <f t="shared" si="55"/>
        <v>0</v>
      </c>
      <c r="DM35" s="163" t="e">
        <f>VLOOKUP($B:$B,#REF!,30,FALSE)</f>
        <v>#REF!</v>
      </c>
      <c r="DN35" s="432">
        <f t="shared" si="56"/>
        <v>0</v>
      </c>
      <c r="DO35" s="432"/>
      <c r="DP35" s="432">
        <f t="shared" si="57"/>
        <v>0</v>
      </c>
      <c r="DQ35" s="163" t="e">
        <f>VLOOKUP($B:$B,#REF!,31,FALSE)</f>
        <v>#REF!</v>
      </c>
      <c r="DR35" s="432">
        <f t="shared" si="58"/>
        <v>0</v>
      </c>
      <c r="DS35" s="434"/>
      <c r="DT35" s="432">
        <f t="shared" si="59"/>
        <v>0</v>
      </c>
      <c r="DU35" s="163" t="e">
        <f>VLOOKUP($B:$B,#REF!,32,FALSE)</f>
        <v>#REF!</v>
      </c>
      <c r="DV35" s="432">
        <f t="shared" si="60"/>
        <v>0</v>
      </c>
      <c r="DW35" s="434"/>
      <c r="DX35" s="432">
        <f t="shared" si="61"/>
        <v>0</v>
      </c>
      <c r="DY35" s="432">
        <f t="shared" si="62"/>
        <v>0</v>
      </c>
    </row>
    <row r="36" spans="1:129" ht="15.75">
      <c r="A36" s="166" t="s">
        <v>137</v>
      </c>
      <c r="B36" s="506" t="s">
        <v>138</v>
      </c>
      <c r="C36" s="166">
        <v>1712064383</v>
      </c>
      <c r="D36" s="431">
        <v>26772</v>
      </c>
      <c r="E36" s="163" t="e">
        <f>VLOOKUP($B:$B,#REF!,2,FALSE)</f>
        <v>#REF!</v>
      </c>
      <c r="F36" s="432">
        <f t="shared" si="0"/>
        <v>0</v>
      </c>
      <c r="G36" s="433" t="str">
        <f>IFERROR(VLOOKUP($A36,#REF!,2,0),"0")</f>
        <v>0</v>
      </c>
      <c r="H36" s="432">
        <f t="shared" ref="H36:H62" si="66">IF(G36-F36&lt;0,0,G36-F36)</f>
        <v>0</v>
      </c>
      <c r="I36" s="163" t="e">
        <f>VLOOKUP($B:$B,#REF!,3,FALSE)</f>
        <v>#REF!</v>
      </c>
      <c r="J36" s="432">
        <f t="shared" si="2"/>
        <v>0</v>
      </c>
      <c r="K36" s="433" t="str">
        <f>IFERROR(VLOOKUP($A36,#REF!,2,0),"0")</f>
        <v>0</v>
      </c>
      <c r="L36" s="432">
        <f t="shared" si="63"/>
        <v>0</v>
      </c>
      <c r="M36" s="163" t="e">
        <f>VLOOKUP($B:$B,#REF!,4,FALSE)</f>
        <v>#REF!</v>
      </c>
      <c r="N36" s="432">
        <f t="shared" si="4"/>
        <v>0</v>
      </c>
      <c r="O36" s="433"/>
      <c r="P36" s="432">
        <f t="shared" si="5"/>
        <v>0</v>
      </c>
      <c r="Q36" s="163" t="e">
        <f>VLOOKUP($B:$B,#REF!,5,FALSE)</f>
        <v>#REF!</v>
      </c>
      <c r="R36" s="432">
        <f t="shared" si="6"/>
        <v>0</v>
      </c>
      <c r="S36" s="433"/>
      <c r="T36" s="432">
        <f t="shared" si="7"/>
        <v>0</v>
      </c>
      <c r="U36" s="163" t="e">
        <f>VLOOKUP($B:$B,#REF!,6,FALSE)</f>
        <v>#REF!</v>
      </c>
      <c r="V36" s="432">
        <f t="shared" si="8"/>
        <v>0</v>
      </c>
      <c r="W36" s="433" t="str">
        <f>IFERROR(VLOOKUP($A36,#REF!,2,0),"0")</f>
        <v>0</v>
      </c>
      <c r="X36" s="432">
        <f t="shared" si="9"/>
        <v>0</v>
      </c>
      <c r="Y36" s="163" t="e">
        <f>VLOOKUP($B:$B,#REF!,7,FALSE)</f>
        <v>#REF!</v>
      </c>
      <c r="Z36" s="432">
        <f t="shared" si="10"/>
        <v>0</v>
      </c>
      <c r="AA36" s="433" t="str">
        <f>IFERROR(VLOOKUP($A36,#REF!,2,0),"0")</f>
        <v>0</v>
      </c>
      <c r="AB36" s="432">
        <f t="shared" si="11"/>
        <v>0</v>
      </c>
      <c r="AC36" s="163" t="e">
        <f>VLOOKUP($B:$B,#REF!,8,FALSE)</f>
        <v>#REF!</v>
      </c>
      <c r="AD36" s="432">
        <f t="shared" si="12"/>
        <v>0</v>
      </c>
      <c r="AE36" s="433"/>
      <c r="AF36" s="432">
        <f t="shared" si="13"/>
        <v>0</v>
      </c>
      <c r="AG36" s="163" t="e">
        <f>VLOOKUP($B:$B,#REF!,9,FALSE)</f>
        <v>#REF!</v>
      </c>
      <c r="AH36" s="432">
        <f t="shared" si="14"/>
        <v>0</v>
      </c>
      <c r="AI36" s="433" t="str">
        <f>IFERROR(VLOOKUP($A36,#REF!,2,0),"0")</f>
        <v>0</v>
      </c>
      <c r="AJ36" s="432">
        <f t="shared" si="15"/>
        <v>0</v>
      </c>
      <c r="AK36" s="163" t="e">
        <f>VLOOKUP($B:$B,#REF!,10,FALSE)</f>
        <v>#REF!</v>
      </c>
      <c r="AL36" s="432">
        <f t="shared" si="16"/>
        <v>0</v>
      </c>
      <c r="AM36" s="433" t="str">
        <f>IFERROR(VLOOKUP($A36,#REF!,2,0),"0")</f>
        <v>0</v>
      </c>
      <c r="AN36" s="432">
        <f t="shared" si="17"/>
        <v>0</v>
      </c>
      <c r="AO36" s="163" t="e">
        <f>VLOOKUP($B:$B,#REF!,11,FALSE)</f>
        <v>#REF!</v>
      </c>
      <c r="AP36" s="432">
        <f t="shared" si="18"/>
        <v>0</v>
      </c>
      <c r="AQ36" s="433" t="str">
        <f>IFERROR(VLOOKUP($A36,#REF!,2,0),"0")</f>
        <v>0</v>
      </c>
      <c r="AR36" s="432">
        <f t="shared" si="19"/>
        <v>0</v>
      </c>
      <c r="AS36" s="163" t="e">
        <f>VLOOKUP($B:$B,#REF!,12,FALSE)</f>
        <v>#REF!</v>
      </c>
      <c r="AT36" s="432">
        <f t="shared" si="20"/>
        <v>0</v>
      </c>
      <c r="AU36" s="433" t="str">
        <f>IFERROR(VLOOKUP($A36,#REF!,2,0),"0")</f>
        <v>0</v>
      </c>
      <c r="AV36" s="432">
        <f t="shared" si="21"/>
        <v>0</v>
      </c>
      <c r="AW36" s="163" t="e">
        <f>VLOOKUP($B:$B,#REF!,13,FALSE)</f>
        <v>#REF!</v>
      </c>
      <c r="AX36" s="432">
        <f t="shared" si="22"/>
        <v>0</v>
      </c>
      <c r="AY36" s="433" t="str">
        <f>IFERROR(VLOOKUP($A36,#REF!,2,0),"0")</f>
        <v>0</v>
      </c>
      <c r="AZ36" s="432">
        <f t="shared" si="23"/>
        <v>0</v>
      </c>
      <c r="BA36" s="163" t="e">
        <f>VLOOKUP($B:$B,#REF!,14,FALSE)</f>
        <v>#REF!</v>
      </c>
      <c r="BB36" s="432">
        <f t="shared" si="24"/>
        <v>0</v>
      </c>
      <c r="BC36" s="433" t="str">
        <f>IFERROR(VLOOKUP($A36,#REF!,2,0),"0")</f>
        <v>0</v>
      </c>
      <c r="BD36" s="432">
        <f t="shared" si="25"/>
        <v>0</v>
      </c>
      <c r="BE36" s="163" t="e">
        <f>VLOOKUP($B:$B,#REF!,15,FALSE)</f>
        <v>#REF!</v>
      </c>
      <c r="BF36" s="432">
        <f t="shared" si="26"/>
        <v>0</v>
      </c>
      <c r="BG36" s="433">
        <v>0</v>
      </c>
      <c r="BH36" s="432">
        <f t="shared" si="27"/>
        <v>0</v>
      </c>
      <c r="BI36" s="163" t="e">
        <f>VLOOKUP($B:$B,#REF!,16,FALSE)</f>
        <v>#REF!</v>
      </c>
      <c r="BJ36" s="432">
        <f t="shared" si="28"/>
        <v>0</v>
      </c>
      <c r="BK36" s="433" t="str">
        <f>IFERROR(VLOOKUP($A36,#REF!,2,0),"0")</f>
        <v>0</v>
      </c>
      <c r="BL36" s="432">
        <f t="shared" si="29"/>
        <v>0</v>
      </c>
      <c r="BM36" s="163" t="e">
        <f>VLOOKUP($B:$B,#REF!,17,FALSE)</f>
        <v>#REF!</v>
      </c>
      <c r="BN36" s="432">
        <f t="shared" si="30"/>
        <v>0</v>
      </c>
      <c r="BO36" s="433" t="str">
        <f>IFERROR(VLOOKUP($A36,#REF!,2,0),"0")</f>
        <v>0</v>
      </c>
      <c r="BP36" s="432">
        <f t="shared" si="31"/>
        <v>0</v>
      </c>
      <c r="BQ36" s="163" t="e">
        <f>VLOOKUP($B:$B,#REF!,18,FALSE)</f>
        <v>#REF!</v>
      </c>
      <c r="BR36" s="432">
        <f t="shared" si="32"/>
        <v>0</v>
      </c>
      <c r="BS36" s="433">
        <v>0</v>
      </c>
      <c r="BT36" s="432">
        <f t="shared" si="33"/>
        <v>0</v>
      </c>
      <c r="BU36" s="163" t="e">
        <f>VLOOKUP($B:$B,#REF!,19,FALSE)</f>
        <v>#REF!</v>
      </c>
      <c r="BV36" s="432">
        <f t="shared" si="34"/>
        <v>0</v>
      </c>
      <c r="BW36" s="433" t="str">
        <f>IFERROR(VLOOKUP($A36,#REF!,2,0),"0")</f>
        <v>0</v>
      </c>
      <c r="BX36" s="432">
        <f t="shared" si="35"/>
        <v>0</v>
      </c>
      <c r="BY36" s="163" t="e">
        <f>VLOOKUP($B:$B,#REF!,20,FALSE)</f>
        <v>#REF!</v>
      </c>
      <c r="BZ36" s="432">
        <f t="shared" si="36"/>
        <v>0</v>
      </c>
      <c r="CA36" s="433" t="str">
        <f>IFERROR(VLOOKUP($A36,#REF!,2,0),"0")</f>
        <v>0</v>
      </c>
      <c r="CB36" s="432">
        <f t="shared" si="37"/>
        <v>0</v>
      </c>
      <c r="CC36" s="163" t="e">
        <f>VLOOKUP($B:$B,#REF!,21,FALSE)</f>
        <v>#REF!</v>
      </c>
      <c r="CD36" s="432">
        <f t="shared" si="38"/>
        <v>0</v>
      </c>
      <c r="CE36" s="433" t="str">
        <f>IFERROR(VLOOKUP($A36,#REF!,2,0),"0")</f>
        <v>0</v>
      </c>
      <c r="CF36" s="432">
        <f t="shared" si="39"/>
        <v>0</v>
      </c>
      <c r="CG36" s="163" t="e">
        <f>VLOOKUP($B:$B,#REF!,22,FALSE)</f>
        <v>#REF!</v>
      </c>
      <c r="CH36" s="432">
        <f t="shared" si="40"/>
        <v>0</v>
      </c>
      <c r="CI36" s="433" t="str">
        <f>IFERROR(VLOOKUP($A36,#REF!,2,0),"0")</f>
        <v>0</v>
      </c>
      <c r="CJ36" s="432">
        <f t="shared" si="41"/>
        <v>0</v>
      </c>
      <c r="CK36" s="163" t="e">
        <f>VLOOKUP($B:$B,#REF!,23,FALSE)</f>
        <v>#REF!</v>
      </c>
      <c r="CL36" s="432">
        <f t="shared" si="42"/>
        <v>0</v>
      </c>
      <c r="CM36" s="433" t="str">
        <f>IFERROR(VLOOKUP($A36,#REF!,2,0),"0")</f>
        <v>0</v>
      </c>
      <c r="CN36" s="432">
        <f t="shared" si="43"/>
        <v>0</v>
      </c>
      <c r="CO36" s="163" t="e">
        <f>VLOOKUP($B:$B,#REF!,24,FALSE)</f>
        <v>#REF!</v>
      </c>
      <c r="CP36" s="432">
        <f t="shared" si="44"/>
        <v>0</v>
      </c>
      <c r="CQ36" s="433" t="str">
        <f>IFERROR(VLOOKUP($A36,#REF!,2,0),"0")</f>
        <v>0</v>
      </c>
      <c r="CR36" s="432">
        <f t="shared" si="45"/>
        <v>0</v>
      </c>
      <c r="CS36" s="163" t="e">
        <f>VLOOKUP($B:$B,#REF!,25,FALSE)</f>
        <v>#REF!</v>
      </c>
      <c r="CT36" s="432">
        <f t="shared" si="46"/>
        <v>0</v>
      </c>
      <c r="CU36" s="433"/>
      <c r="CV36" s="432">
        <f t="shared" si="47"/>
        <v>0</v>
      </c>
      <c r="CW36" s="163" t="e">
        <f>VLOOKUP($B:$B,#REF!,26,FALSE)</f>
        <v>#REF!</v>
      </c>
      <c r="CX36" s="432">
        <f t="shared" si="48"/>
        <v>0</v>
      </c>
      <c r="CY36" s="433"/>
      <c r="CZ36" s="432">
        <f t="shared" si="49"/>
        <v>0</v>
      </c>
      <c r="DA36" s="163" t="e">
        <f>VLOOKUP($B:$B,#REF!,27,FALSE)</f>
        <v>#REF!</v>
      </c>
      <c r="DB36" s="432">
        <f t="shared" si="50"/>
        <v>0</v>
      </c>
      <c r="DC36" s="433" t="str">
        <f>IFERROR(VLOOKUP($A36,#REF!,2,0),"0")</f>
        <v>0</v>
      </c>
      <c r="DD36" s="432">
        <f t="shared" si="51"/>
        <v>0</v>
      </c>
      <c r="DE36" s="163" t="e">
        <f>VLOOKUP($B:$B,#REF!,28,FALSE)</f>
        <v>#REF!</v>
      </c>
      <c r="DF36" s="432">
        <f t="shared" si="52"/>
        <v>0</v>
      </c>
      <c r="DG36" s="433" t="str">
        <f>IFERROR(VLOOKUP($A36,#REF!,2,0),"0")</f>
        <v>0</v>
      </c>
      <c r="DH36" s="432">
        <f t="shared" si="53"/>
        <v>0</v>
      </c>
      <c r="DI36" s="163" t="e">
        <f>VLOOKUP($B:$B,#REF!,29,FALSE)</f>
        <v>#REF!</v>
      </c>
      <c r="DJ36" s="432">
        <f t="shared" si="54"/>
        <v>0</v>
      </c>
      <c r="DK36" s="433" t="str">
        <f>IFERROR(VLOOKUP($A36,#REF!,2,0),"0")</f>
        <v>0</v>
      </c>
      <c r="DL36" s="432">
        <f t="shared" si="55"/>
        <v>0</v>
      </c>
      <c r="DM36" s="163" t="e">
        <f>VLOOKUP($B:$B,#REF!,30,FALSE)</f>
        <v>#REF!</v>
      </c>
      <c r="DN36" s="432">
        <f t="shared" si="56"/>
        <v>0</v>
      </c>
      <c r="DO36" s="432"/>
      <c r="DP36" s="432">
        <f t="shared" si="57"/>
        <v>0</v>
      </c>
      <c r="DQ36" s="163" t="e">
        <f>VLOOKUP($B:$B,#REF!,31,FALSE)</f>
        <v>#REF!</v>
      </c>
      <c r="DR36" s="432">
        <f t="shared" si="58"/>
        <v>0</v>
      </c>
      <c r="DS36" s="434"/>
      <c r="DT36" s="432">
        <f t="shared" si="59"/>
        <v>0</v>
      </c>
      <c r="DU36" s="163" t="e">
        <f>VLOOKUP($B:$B,#REF!,32,FALSE)</f>
        <v>#REF!</v>
      </c>
      <c r="DV36" s="432">
        <f t="shared" si="60"/>
        <v>0</v>
      </c>
      <c r="DW36" s="434"/>
      <c r="DX36" s="432">
        <f t="shared" si="61"/>
        <v>0</v>
      </c>
      <c r="DY36" s="432">
        <f t="shared" si="62"/>
        <v>0</v>
      </c>
    </row>
    <row r="37" spans="1:129" ht="15.75">
      <c r="A37" s="166" t="s">
        <v>190</v>
      </c>
      <c r="B37" s="506" t="s">
        <v>191</v>
      </c>
      <c r="C37" s="166">
        <v>1750193508</v>
      </c>
      <c r="D37" s="431">
        <v>36025</v>
      </c>
      <c r="E37" s="163" t="e">
        <f>VLOOKUP($B:$B,#REF!,2,FALSE)</f>
        <v>#REF!</v>
      </c>
      <c r="F37" s="432">
        <f t="shared" si="0"/>
        <v>0</v>
      </c>
      <c r="G37" s="433" t="str">
        <f>IFERROR(VLOOKUP($A37,#REF!,2,0),"0")</f>
        <v>0</v>
      </c>
      <c r="H37" s="432">
        <f t="shared" si="66"/>
        <v>0</v>
      </c>
      <c r="I37" s="163" t="e">
        <f>VLOOKUP($B:$B,#REF!,3,FALSE)</f>
        <v>#REF!</v>
      </c>
      <c r="J37" s="432">
        <f t="shared" si="2"/>
        <v>0</v>
      </c>
      <c r="K37" s="433" t="str">
        <f>IFERROR(VLOOKUP($A37,#REF!,2,0),"0")</f>
        <v>0</v>
      </c>
      <c r="L37" s="432">
        <f t="shared" si="63"/>
        <v>0</v>
      </c>
      <c r="M37" s="163" t="e">
        <f>VLOOKUP($B:$B,#REF!,4,FALSE)</f>
        <v>#REF!</v>
      </c>
      <c r="N37" s="432">
        <f t="shared" si="4"/>
        <v>0</v>
      </c>
      <c r="O37" s="433" t="str">
        <f>IFERROR(VLOOKUP($A37,#REF!,2,0),"0")</f>
        <v>0</v>
      </c>
      <c r="P37" s="432">
        <f t="shared" si="5"/>
        <v>0</v>
      </c>
      <c r="Q37" s="163" t="e">
        <f>VLOOKUP($B:$B,#REF!,5,FALSE)</f>
        <v>#REF!</v>
      </c>
      <c r="R37" s="432">
        <f t="shared" si="6"/>
        <v>0</v>
      </c>
      <c r="S37" s="433" t="str">
        <f>IFERROR(VLOOKUP($A37,#REF!,2,0),"0")</f>
        <v>0</v>
      </c>
      <c r="T37" s="432">
        <f t="shared" si="7"/>
        <v>0</v>
      </c>
      <c r="U37" s="163" t="e">
        <f>VLOOKUP($B:$B,#REF!,6,FALSE)</f>
        <v>#REF!</v>
      </c>
      <c r="V37" s="432">
        <f t="shared" si="8"/>
        <v>0</v>
      </c>
      <c r="W37" s="433" t="str">
        <f>IFERROR(VLOOKUP($A37,#REF!,2,0),"0")</f>
        <v>0</v>
      </c>
      <c r="X37" s="432">
        <f t="shared" si="9"/>
        <v>0</v>
      </c>
      <c r="Y37" s="163" t="e">
        <f>VLOOKUP($B:$B,#REF!,7,FALSE)</f>
        <v>#REF!</v>
      </c>
      <c r="Z37" s="432">
        <f t="shared" si="10"/>
        <v>0</v>
      </c>
      <c r="AA37" s="433" t="str">
        <f>IFERROR(VLOOKUP($A37,#REF!,2,0),"0")</f>
        <v>0</v>
      </c>
      <c r="AB37" s="432">
        <f t="shared" si="11"/>
        <v>0</v>
      </c>
      <c r="AC37" s="163" t="e">
        <f>VLOOKUP($B:$B,#REF!,8,FALSE)</f>
        <v>#REF!</v>
      </c>
      <c r="AD37" s="432">
        <f t="shared" si="12"/>
        <v>0</v>
      </c>
      <c r="AE37" s="433" t="str">
        <f>IFERROR(VLOOKUP($A37,#REF!,2,0),"0")</f>
        <v>0</v>
      </c>
      <c r="AF37" s="432">
        <f t="shared" si="13"/>
        <v>0</v>
      </c>
      <c r="AG37" s="163" t="e">
        <f>VLOOKUP($B:$B,#REF!,9,FALSE)</f>
        <v>#REF!</v>
      </c>
      <c r="AH37" s="432">
        <f t="shared" si="14"/>
        <v>0</v>
      </c>
      <c r="AI37" s="433" t="str">
        <f>IFERROR(VLOOKUP($A37,#REF!,2,0),"0")</f>
        <v>0</v>
      </c>
      <c r="AJ37" s="432">
        <f t="shared" si="15"/>
        <v>0</v>
      </c>
      <c r="AK37" s="163" t="e">
        <f>VLOOKUP($B:$B,#REF!,10,FALSE)</f>
        <v>#REF!</v>
      </c>
      <c r="AL37" s="432">
        <f t="shared" si="16"/>
        <v>0</v>
      </c>
      <c r="AM37" s="433" t="str">
        <f>IFERROR(VLOOKUP($A37,#REF!,2,0),"0")</f>
        <v>0</v>
      </c>
      <c r="AN37" s="432">
        <f t="shared" si="17"/>
        <v>0</v>
      </c>
      <c r="AO37" s="163" t="e">
        <f>VLOOKUP($B:$B,#REF!,11,FALSE)</f>
        <v>#REF!</v>
      </c>
      <c r="AP37" s="432">
        <f t="shared" si="18"/>
        <v>0</v>
      </c>
      <c r="AQ37" s="433" t="str">
        <f>IFERROR(VLOOKUP($A37,#REF!,2,0),"0")</f>
        <v>0</v>
      </c>
      <c r="AR37" s="432">
        <f t="shared" si="19"/>
        <v>0</v>
      </c>
      <c r="AS37" s="163" t="e">
        <f>VLOOKUP($B:$B,#REF!,12,FALSE)</f>
        <v>#REF!</v>
      </c>
      <c r="AT37" s="432">
        <f t="shared" si="20"/>
        <v>0</v>
      </c>
      <c r="AU37" s="433" t="str">
        <f>IFERROR(VLOOKUP($A37,#REF!,2,0),"0")</f>
        <v>0</v>
      </c>
      <c r="AV37" s="432">
        <f t="shared" si="21"/>
        <v>0</v>
      </c>
      <c r="AW37" s="163" t="e">
        <f>VLOOKUP($B:$B,#REF!,13,FALSE)</f>
        <v>#REF!</v>
      </c>
      <c r="AX37" s="432">
        <f t="shared" si="22"/>
        <v>0</v>
      </c>
      <c r="AY37" s="433" t="str">
        <f>IFERROR(VLOOKUP($A37,#REF!,2,0),"0")</f>
        <v>0</v>
      </c>
      <c r="AZ37" s="432">
        <f t="shared" si="23"/>
        <v>0</v>
      </c>
      <c r="BA37" s="163" t="e">
        <f>VLOOKUP($B:$B,#REF!,14,FALSE)</f>
        <v>#REF!</v>
      </c>
      <c r="BB37" s="432">
        <f t="shared" si="24"/>
        <v>0</v>
      </c>
      <c r="BC37" s="433" t="str">
        <f>IFERROR(VLOOKUP($A37,#REF!,2,0),"0")</f>
        <v>0</v>
      </c>
      <c r="BD37" s="432">
        <f t="shared" si="25"/>
        <v>0</v>
      </c>
      <c r="BE37" s="163" t="e">
        <f>VLOOKUP($B:$B,#REF!,15,FALSE)</f>
        <v>#REF!</v>
      </c>
      <c r="BF37" s="432">
        <f t="shared" si="26"/>
        <v>0</v>
      </c>
      <c r="BG37" s="433" t="str">
        <f>IFERROR(VLOOKUP($A37,#REF!,2,0),"0")</f>
        <v>0</v>
      </c>
      <c r="BH37" s="432">
        <f t="shared" si="27"/>
        <v>0</v>
      </c>
      <c r="BI37" s="163" t="e">
        <f>VLOOKUP($B:$B,#REF!,16,FALSE)</f>
        <v>#REF!</v>
      </c>
      <c r="BJ37" s="432">
        <f t="shared" si="28"/>
        <v>0</v>
      </c>
      <c r="BK37" s="433" t="str">
        <f>IFERROR(VLOOKUP($A37,#REF!,2,0),"0")</f>
        <v>0</v>
      </c>
      <c r="BL37" s="432">
        <f t="shared" si="29"/>
        <v>0</v>
      </c>
      <c r="BM37" s="163" t="e">
        <f>VLOOKUP($B:$B,#REF!,17,FALSE)</f>
        <v>#REF!</v>
      </c>
      <c r="BN37" s="432">
        <f t="shared" si="30"/>
        <v>0</v>
      </c>
      <c r="BO37" s="433" t="str">
        <f>IFERROR(VLOOKUP($A37,#REF!,2,0),"0")</f>
        <v>0</v>
      </c>
      <c r="BP37" s="432">
        <f t="shared" si="31"/>
        <v>0</v>
      </c>
      <c r="BQ37" s="163" t="e">
        <f>VLOOKUP($B:$B,#REF!,18,FALSE)</f>
        <v>#REF!</v>
      </c>
      <c r="BR37" s="432">
        <f t="shared" si="32"/>
        <v>0</v>
      </c>
      <c r="BS37" s="433" t="str">
        <f>IFERROR(VLOOKUP($A37,#REF!,2,0),"0")</f>
        <v>0</v>
      </c>
      <c r="BT37" s="432">
        <f t="shared" si="33"/>
        <v>0</v>
      </c>
      <c r="BU37" s="163" t="e">
        <f>VLOOKUP($B:$B,#REF!,19,FALSE)</f>
        <v>#REF!</v>
      </c>
      <c r="BV37" s="432">
        <f t="shared" si="34"/>
        <v>0</v>
      </c>
      <c r="BW37" s="433" t="str">
        <f>IFERROR(VLOOKUP($A37,#REF!,2,0),"0")</f>
        <v>0</v>
      </c>
      <c r="BX37" s="432">
        <f t="shared" si="35"/>
        <v>0</v>
      </c>
      <c r="BY37" s="163" t="e">
        <f>VLOOKUP($B:$B,#REF!,20,FALSE)</f>
        <v>#REF!</v>
      </c>
      <c r="BZ37" s="432">
        <f t="shared" si="36"/>
        <v>0</v>
      </c>
      <c r="CA37" s="433" t="str">
        <f>IFERROR(VLOOKUP($A37,#REF!,2,0),"0")</f>
        <v>0</v>
      </c>
      <c r="CB37" s="432">
        <f t="shared" si="37"/>
        <v>0</v>
      </c>
      <c r="CC37" s="163" t="e">
        <f>VLOOKUP($B:$B,#REF!,21,FALSE)</f>
        <v>#REF!</v>
      </c>
      <c r="CD37" s="432">
        <f t="shared" si="38"/>
        <v>0</v>
      </c>
      <c r="CE37" s="433" t="str">
        <f>IFERROR(VLOOKUP($A37,#REF!,2,0),"0")</f>
        <v>0</v>
      </c>
      <c r="CF37" s="432">
        <f t="shared" si="39"/>
        <v>0</v>
      </c>
      <c r="CG37" s="163" t="e">
        <f>VLOOKUP($B:$B,#REF!,22,FALSE)</f>
        <v>#REF!</v>
      </c>
      <c r="CH37" s="432">
        <f t="shared" si="40"/>
        <v>0</v>
      </c>
      <c r="CI37" s="433" t="str">
        <f>IFERROR(VLOOKUP($A37,#REF!,2,0),"0")</f>
        <v>0</v>
      </c>
      <c r="CJ37" s="432">
        <f t="shared" si="41"/>
        <v>0</v>
      </c>
      <c r="CK37" s="163" t="e">
        <f>VLOOKUP($B:$B,#REF!,23,FALSE)</f>
        <v>#REF!</v>
      </c>
      <c r="CL37" s="432">
        <f t="shared" si="42"/>
        <v>0</v>
      </c>
      <c r="CM37" s="433" t="str">
        <f>IFERROR(VLOOKUP($A37,#REF!,2,0),"0")</f>
        <v>0</v>
      </c>
      <c r="CN37" s="432">
        <f t="shared" si="43"/>
        <v>0</v>
      </c>
      <c r="CO37" s="163" t="e">
        <f>VLOOKUP($B:$B,#REF!,24,FALSE)</f>
        <v>#REF!</v>
      </c>
      <c r="CP37" s="432">
        <f t="shared" si="44"/>
        <v>0</v>
      </c>
      <c r="CQ37" s="433" t="str">
        <f>IFERROR(VLOOKUP($A37,#REF!,2,0),"0")</f>
        <v>0</v>
      </c>
      <c r="CR37" s="432">
        <f t="shared" si="45"/>
        <v>0</v>
      </c>
      <c r="CS37" s="163" t="e">
        <f>VLOOKUP($B:$B,#REF!,25,FALSE)</f>
        <v>#REF!</v>
      </c>
      <c r="CT37" s="432">
        <f t="shared" si="46"/>
        <v>0</v>
      </c>
      <c r="CU37" s="433" t="str">
        <f>IFERROR(VLOOKUP($A37,#REF!,2,0),"0")</f>
        <v>0</v>
      </c>
      <c r="CV37" s="432">
        <f t="shared" si="47"/>
        <v>0</v>
      </c>
      <c r="CW37" s="163" t="e">
        <f>VLOOKUP($B:$B,#REF!,26,FALSE)</f>
        <v>#REF!</v>
      </c>
      <c r="CX37" s="432">
        <f t="shared" si="48"/>
        <v>0</v>
      </c>
      <c r="CY37" s="433" t="str">
        <f>IFERROR(VLOOKUP($A37,#REF!,2,0),"0")</f>
        <v>0</v>
      </c>
      <c r="CZ37" s="432">
        <f t="shared" si="49"/>
        <v>0</v>
      </c>
      <c r="DA37" s="163" t="e">
        <f>VLOOKUP($B:$B,#REF!,27,FALSE)</f>
        <v>#REF!</v>
      </c>
      <c r="DB37" s="432">
        <f t="shared" si="50"/>
        <v>0</v>
      </c>
      <c r="DC37" s="433" t="str">
        <f>IFERROR(VLOOKUP($A37,#REF!,2,0),"0")</f>
        <v>0</v>
      </c>
      <c r="DD37" s="432">
        <f t="shared" si="51"/>
        <v>0</v>
      </c>
      <c r="DE37" s="163" t="e">
        <f>VLOOKUP($B:$B,#REF!,28,FALSE)</f>
        <v>#REF!</v>
      </c>
      <c r="DF37" s="432">
        <f t="shared" si="52"/>
        <v>0</v>
      </c>
      <c r="DG37" s="433" t="str">
        <f>IFERROR(VLOOKUP($A37,#REF!,2,0),"0")</f>
        <v>0</v>
      </c>
      <c r="DH37" s="432">
        <f t="shared" si="53"/>
        <v>0</v>
      </c>
      <c r="DI37" s="163" t="e">
        <f>VLOOKUP($B:$B,#REF!,29,FALSE)</f>
        <v>#REF!</v>
      </c>
      <c r="DJ37" s="432">
        <f t="shared" si="54"/>
        <v>0</v>
      </c>
      <c r="DK37" s="433" t="str">
        <f>IFERROR(VLOOKUP($A37,#REF!,2,0),"0")</f>
        <v>0</v>
      </c>
      <c r="DL37" s="432">
        <f t="shared" si="55"/>
        <v>0</v>
      </c>
      <c r="DM37" s="163" t="e">
        <f>VLOOKUP($B:$B,#REF!,30,FALSE)</f>
        <v>#REF!</v>
      </c>
      <c r="DN37" s="432">
        <f t="shared" si="56"/>
        <v>0</v>
      </c>
      <c r="DO37" s="432"/>
      <c r="DP37" s="432">
        <f t="shared" si="57"/>
        <v>0</v>
      </c>
      <c r="DQ37" s="163" t="e">
        <f>VLOOKUP($B:$B,#REF!,31,FALSE)</f>
        <v>#REF!</v>
      </c>
      <c r="DR37" s="432">
        <f t="shared" si="58"/>
        <v>0</v>
      </c>
      <c r="DS37" s="434"/>
      <c r="DT37" s="432">
        <f t="shared" si="59"/>
        <v>0</v>
      </c>
      <c r="DU37" s="163" t="e">
        <f>VLOOKUP($B:$B,#REF!,32,FALSE)</f>
        <v>#REF!</v>
      </c>
      <c r="DV37" s="432">
        <f t="shared" si="60"/>
        <v>0</v>
      </c>
      <c r="DW37" s="434"/>
      <c r="DX37" s="432">
        <f t="shared" si="61"/>
        <v>0</v>
      </c>
      <c r="DY37" s="432">
        <f t="shared" si="62"/>
        <v>0</v>
      </c>
    </row>
    <row r="38" spans="1:129" ht="15.75">
      <c r="A38" s="166" t="s">
        <v>758</v>
      </c>
      <c r="B38" s="506" t="s">
        <v>363</v>
      </c>
      <c r="C38" s="166">
        <v>1727050054</v>
      </c>
      <c r="D38" s="431">
        <v>38913</v>
      </c>
      <c r="E38" s="163" t="e">
        <f>VLOOKUP($B:$B,#REF!,2,FALSE)</f>
        <v>#REF!</v>
      </c>
      <c r="F38" s="432">
        <f t="shared" si="0"/>
        <v>0</v>
      </c>
      <c r="G38" s="433" t="str">
        <f>IFERROR(VLOOKUP($A38,#REF!,2,0),"0")</f>
        <v>0</v>
      </c>
      <c r="H38" s="432">
        <f t="shared" si="66"/>
        <v>0</v>
      </c>
      <c r="I38" s="163" t="e">
        <f>VLOOKUP($B:$B,#REF!,3,FALSE)</f>
        <v>#REF!</v>
      </c>
      <c r="J38" s="432">
        <f t="shared" si="2"/>
        <v>0</v>
      </c>
      <c r="K38" s="433" t="str">
        <f>IFERROR(VLOOKUP($A38,#REF!,2,0),"0")</f>
        <v>0</v>
      </c>
      <c r="L38" s="432">
        <f t="shared" si="63"/>
        <v>0</v>
      </c>
      <c r="M38" s="163" t="e">
        <f>VLOOKUP($B:$B,#REF!,4,FALSE)</f>
        <v>#REF!</v>
      </c>
      <c r="N38" s="432">
        <f t="shared" si="4"/>
        <v>0</v>
      </c>
      <c r="O38" s="433" t="str">
        <f>IFERROR(VLOOKUP($A38,#REF!,2,0),"0")</f>
        <v>0</v>
      </c>
      <c r="P38" s="432">
        <f t="shared" si="5"/>
        <v>0</v>
      </c>
      <c r="Q38" s="163" t="e">
        <f>VLOOKUP($B:$B,#REF!,5,FALSE)</f>
        <v>#REF!</v>
      </c>
      <c r="R38" s="432">
        <f t="shared" si="6"/>
        <v>0</v>
      </c>
      <c r="S38" s="433" t="str">
        <f>IFERROR(VLOOKUP($A38,#REF!,2,0),"0")</f>
        <v>0</v>
      </c>
      <c r="T38" s="432">
        <f t="shared" si="7"/>
        <v>0</v>
      </c>
      <c r="U38" s="163" t="e">
        <f>VLOOKUP($B:$B,#REF!,6,FALSE)</f>
        <v>#REF!</v>
      </c>
      <c r="V38" s="432">
        <f t="shared" si="8"/>
        <v>0</v>
      </c>
      <c r="W38" s="433" t="str">
        <f>IFERROR(VLOOKUP($A38,#REF!,2,0),"0")</f>
        <v>0</v>
      </c>
      <c r="X38" s="432">
        <f t="shared" si="9"/>
        <v>0</v>
      </c>
      <c r="Y38" s="163" t="e">
        <f>VLOOKUP($B:$B,#REF!,7,FALSE)</f>
        <v>#REF!</v>
      </c>
      <c r="Z38" s="432">
        <f t="shared" si="10"/>
        <v>0</v>
      </c>
      <c r="AA38" s="433" t="str">
        <f>IFERROR(VLOOKUP($A38,#REF!,2,0),"0")</f>
        <v>0</v>
      </c>
      <c r="AB38" s="432">
        <f t="shared" si="11"/>
        <v>0</v>
      </c>
      <c r="AC38" s="163" t="e">
        <f>VLOOKUP($B:$B,#REF!,8,FALSE)</f>
        <v>#REF!</v>
      </c>
      <c r="AD38" s="432">
        <f t="shared" si="12"/>
        <v>0</v>
      </c>
      <c r="AE38" s="433" t="str">
        <f>IFERROR(VLOOKUP($A38,#REF!,2,0),"0")</f>
        <v>0</v>
      </c>
      <c r="AF38" s="432">
        <f t="shared" si="13"/>
        <v>0</v>
      </c>
      <c r="AG38" s="163" t="e">
        <f>VLOOKUP($B:$B,#REF!,9,FALSE)</f>
        <v>#REF!</v>
      </c>
      <c r="AH38" s="432">
        <f t="shared" si="14"/>
        <v>0</v>
      </c>
      <c r="AI38" s="433" t="str">
        <f>IFERROR(VLOOKUP($A38,#REF!,2,0),"0")</f>
        <v>0</v>
      </c>
      <c r="AJ38" s="432">
        <f t="shared" si="15"/>
        <v>0</v>
      </c>
      <c r="AK38" s="163" t="e">
        <f>VLOOKUP($B:$B,#REF!,10,FALSE)</f>
        <v>#REF!</v>
      </c>
      <c r="AL38" s="432">
        <f t="shared" si="16"/>
        <v>0</v>
      </c>
      <c r="AM38" s="433" t="str">
        <f>IFERROR(VLOOKUP($A38,#REF!,2,0),"0")</f>
        <v>0</v>
      </c>
      <c r="AN38" s="432">
        <f t="shared" si="17"/>
        <v>0</v>
      </c>
      <c r="AO38" s="163" t="e">
        <f>VLOOKUP($B:$B,#REF!,11,FALSE)</f>
        <v>#REF!</v>
      </c>
      <c r="AP38" s="432">
        <f t="shared" si="18"/>
        <v>0</v>
      </c>
      <c r="AQ38" s="433" t="str">
        <f>IFERROR(VLOOKUP($A38,#REF!,2,0),"0")</f>
        <v>0</v>
      </c>
      <c r="AR38" s="432">
        <f t="shared" si="19"/>
        <v>0</v>
      </c>
      <c r="AS38" s="163" t="e">
        <f>VLOOKUP($B:$B,#REF!,12,FALSE)</f>
        <v>#REF!</v>
      </c>
      <c r="AT38" s="432">
        <f t="shared" si="20"/>
        <v>0</v>
      </c>
      <c r="AU38" s="433" t="str">
        <f>IFERROR(VLOOKUP($A38,#REF!,2,0),"0")</f>
        <v>0</v>
      </c>
      <c r="AV38" s="432">
        <f t="shared" si="21"/>
        <v>0</v>
      </c>
      <c r="AW38" s="163" t="e">
        <f>VLOOKUP($B:$B,#REF!,13,FALSE)</f>
        <v>#REF!</v>
      </c>
      <c r="AX38" s="432">
        <f t="shared" si="22"/>
        <v>0</v>
      </c>
      <c r="AY38" s="433" t="str">
        <f>IFERROR(VLOOKUP($A38,#REF!,2,0),"0")</f>
        <v>0</v>
      </c>
      <c r="AZ38" s="432">
        <f t="shared" si="23"/>
        <v>0</v>
      </c>
      <c r="BA38" s="163" t="e">
        <f>VLOOKUP($B:$B,#REF!,14,FALSE)</f>
        <v>#REF!</v>
      </c>
      <c r="BB38" s="432">
        <f t="shared" si="24"/>
        <v>0</v>
      </c>
      <c r="BC38" s="433" t="str">
        <f>IFERROR(VLOOKUP($A38,#REF!,2,0),"0")</f>
        <v>0</v>
      </c>
      <c r="BD38" s="432">
        <f t="shared" si="25"/>
        <v>0</v>
      </c>
      <c r="BE38" s="163" t="e">
        <f>VLOOKUP($B:$B,#REF!,15,FALSE)</f>
        <v>#REF!</v>
      </c>
      <c r="BF38" s="432">
        <f t="shared" si="26"/>
        <v>0</v>
      </c>
      <c r="BG38" s="433" t="str">
        <f>IFERROR(VLOOKUP($A38,#REF!,2,0),"0")</f>
        <v>0</v>
      </c>
      <c r="BH38" s="432">
        <f t="shared" si="27"/>
        <v>0</v>
      </c>
      <c r="BI38" s="163" t="e">
        <f>VLOOKUP($B:$B,#REF!,16,FALSE)</f>
        <v>#REF!</v>
      </c>
      <c r="BJ38" s="432">
        <f t="shared" si="28"/>
        <v>0</v>
      </c>
      <c r="BK38" s="433" t="str">
        <f>IFERROR(VLOOKUP($A38,#REF!,2,0),"0")</f>
        <v>0</v>
      </c>
      <c r="BL38" s="432">
        <f t="shared" si="29"/>
        <v>0</v>
      </c>
      <c r="BM38" s="163" t="e">
        <f>VLOOKUP($B:$B,#REF!,17,FALSE)</f>
        <v>#REF!</v>
      </c>
      <c r="BN38" s="432">
        <f t="shared" si="30"/>
        <v>0</v>
      </c>
      <c r="BO38" s="433" t="str">
        <f>IFERROR(VLOOKUP($A38,#REF!,2,0),"0")</f>
        <v>0</v>
      </c>
      <c r="BP38" s="432">
        <f t="shared" si="31"/>
        <v>0</v>
      </c>
      <c r="BQ38" s="163" t="e">
        <f>VLOOKUP($B:$B,#REF!,18,FALSE)</f>
        <v>#REF!</v>
      </c>
      <c r="BR38" s="432">
        <f t="shared" si="32"/>
        <v>0</v>
      </c>
      <c r="BS38" s="433" t="str">
        <f>IFERROR(VLOOKUP($A38,#REF!,2,0),"0")</f>
        <v>0</v>
      </c>
      <c r="BT38" s="432">
        <f t="shared" si="33"/>
        <v>0</v>
      </c>
      <c r="BU38" s="163" t="e">
        <f>VLOOKUP($B:$B,#REF!,19,FALSE)</f>
        <v>#REF!</v>
      </c>
      <c r="BV38" s="432">
        <f t="shared" si="34"/>
        <v>0</v>
      </c>
      <c r="BW38" s="433" t="str">
        <f>IFERROR(VLOOKUP($A38,#REF!,2,0),"0")</f>
        <v>0</v>
      </c>
      <c r="BX38" s="432">
        <f t="shared" si="35"/>
        <v>0</v>
      </c>
      <c r="BY38" s="163" t="e">
        <f>VLOOKUP($B:$B,#REF!,20,FALSE)</f>
        <v>#REF!</v>
      </c>
      <c r="BZ38" s="432">
        <f t="shared" si="36"/>
        <v>0</v>
      </c>
      <c r="CA38" s="433" t="str">
        <f>IFERROR(VLOOKUP($A38,#REF!,2,0),"0")</f>
        <v>0</v>
      </c>
      <c r="CB38" s="432">
        <f t="shared" si="37"/>
        <v>0</v>
      </c>
      <c r="CC38" s="163" t="e">
        <f>VLOOKUP($B:$B,#REF!,21,FALSE)</f>
        <v>#REF!</v>
      </c>
      <c r="CD38" s="432">
        <f t="shared" si="38"/>
        <v>0</v>
      </c>
      <c r="CE38" s="433" t="str">
        <f>IFERROR(VLOOKUP($A38,#REF!,2,0),"0")</f>
        <v>0</v>
      </c>
      <c r="CF38" s="432">
        <f t="shared" si="39"/>
        <v>0</v>
      </c>
      <c r="CG38" s="163" t="e">
        <f>VLOOKUP($B:$B,#REF!,22,FALSE)</f>
        <v>#REF!</v>
      </c>
      <c r="CH38" s="432">
        <f t="shared" si="40"/>
        <v>0</v>
      </c>
      <c r="CI38" s="433" t="str">
        <f>IFERROR(VLOOKUP($A38,#REF!,2,0),"0")</f>
        <v>0</v>
      </c>
      <c r="CJ38" s="432">
        <f t="shared" si="41"/>
        <v>0</v>
      </c>
      <c r="CK38" s="163" t="e">
        <f>VLOOKUP($B:$B,#REF!,23,FALSE)</f>
        <v>#REF!</v>
      </c>
      <c r="CL38" s="432">
        <f t="shared" si="42"/>
        <v>0</v>
      </c>
      <c r="CM38" s="433" t="str">
        <f>IFERROR(VLOOKUP($A38,#REF!,2,0),"0")</f>
        <v>0</v>
      </c>
      <c r="CN38" s="432">
        <f t="shared" si="43"/>
        <v>0</v>
      </c>
      <c r="CO38" s="163" t="e">
        <f>VLOOKUP($B:$B,#REF!,24,FALSE)</f>
        <v>#REF!</v>
      </c>
      <c r="CP38" s="432">
        <f t="shared" si="44"/>
        <v>0</v>
      </c>
      <c r="CQ38" s="433" t="str">
        <f>IFERROR(VLOOKUP($A38,#REF!,2,0),"0")</f>
        <v>0</v>
      </c>
      <c r="CR38" s="432">
        <f t="shared" si="45"/>
        <v>0</v>
      </c>
      <c r="CS38" s="163" t="e">
        <f>VLOOKUP($B:$B,#REF!,25,FALSE)</f>
        <v>#REF!</v>
      </c>
      <c r="CT38" s="432">
        <f t="shared" si="46"/>
        <v>0</v>
      </c>
      <c r="CU38" s="433" t="str">
        <f>IFERROR(VLOOKUP($A38,#REF!,2,0),"0")</f>
        <v>0</v>
      </c>
      <c r="CV38" s="432">
        <f t="shared" si="47"/>
        <v>0</v>
      </c>
      <c r="CW38" s="163" t="e">
        <f>VLOOKUP($B:$B,#REF!,26,FALSE)</f>
        <v>#REF!</v>
      </c>
      <c r="CX38" s="432">
        <f t="shared" si="48"/>
        <v>0</v>
      </c>
      <c r="CY38" s="433" t="str">
        <f>IFERROR(VLOOKUP($A38,#REF!,2,0),"0")</f>
        <v>0</v>
      </c>
      <c r="CZ38" s="432">
        <f t="shared" si="49"/>
        <v>0</v>
      </c>
      <c r="DA38" s="163" t="e">
        <f>VLOOKUP($B:$B,#REF!,27,FALSE)</f>
        <v>#REF!</v>
      </c>
      <c r="DB38" s="432">
        <f t="shared" si="50"/>
        <v>0</v>
      </c>
      <c r="DC38" s="433" t="str">
        <f>IFERROR(VLOOKUP($A38,#REF!,2,0),"0")</f>
        <v>0</v>
      </c>
      <c r="DD38" s="432">
        <f t="shared" si="51"/>
        <v>0</v>
      </c>
      <c r="DE38" s="163" t="e">
        <f>VLOOKUP($B:$B,#REF!,28,FALSE)</f>
        <v>#REF!</v>
      </c>
      <c r="DF38" s="432">
        <f t="shared" si="52"/>
        <v>0</v>
      </c>
      <c r="DG38" s="433" t="str">
        <f>IFERROR(VLOOKUP($A38,#REF!,2,0),"0")</f>
        <v>0</v>
      </c>
      <c r="DH38" s="432">
        <f t="shared" si="53"/>
        <v>0</v>
      </c>
      <c r="DI38" s="163" t="e">
        <f>VLOOKUP($B:$B,#REF!,29,FALSE)</f>
        <v>#REF!</v>
      </c>
      <c r="DJ38" s="432">
        <f t="shared" si="54"/>
        <v>0</v>
      </c>
      <c r="DK38" s="433" t="str">
        <f>IFERROR(VLOOKUP($A38,#REF!,2,0),"0")</f>
        <v>0</v>
      </c>
      <c r="DL38" s="432">
        <f t="shared" si="55"/>
        <v>0</v>
      </c>
      <c r="DM38" s="163" t="e">
        <f>VLOOKUP($B:$B,#REF!,30,FALSE)</f>
        <v>#REF!</v>
      </c>
      <c r="DN38" s="432">
        <f t="shared" si="56"/>
        <v>0</v>
      </c>
      <c r="DO38" s="432"/>
      <c r="DP38" s="432">
        <f t="shared" si="57"/>
        <v>0</v>
      </c>
      <c r="DQ38" s="163" t="e">
        <f>VLOOKUP($B:$B,#REF!,31,FALSE)</f>
        <v>#REF!</v>
      </c>
      <c r="DR38" s="432">
        <f t="shared" si="58"/>
        <v>0</v>
      </c>
      <c r="DS38" s="434"/>
      <c r="DT38" s="432">
        <f t="shared" si="59"/>
        <v>0</v>
      </c>
      <c r="DU38" s="163" t="e">
        <f>VLOOKUP($B:$B,#REF!,32,FALSE)</f>
        <v>#REF!</v>
      </c>
      <c r="DV38" s="432">
        <f t="shared" si="60"/>
        <v>0</v>
      </c>
      <c r="DW38" s="434"/>
      <c r="DX38" s="432">
        <f t="shared" si="61"/>
        <v>0</v>
      </c>
      <c r="DY38" s="432">
        <f t="shared" si="62"/>
        <v>0</v>
      </c>
    </row>
    <row r="39" spans="1:129" ht="15.75">
      <c r="A39" s="166" t="s">
        <v>45</v>
      </c>
      <c r="B39" s="506" t="s">
        <v>46</v>
      </c>
      <c r="C39" s="166">
        <v>1723536742</v>
      </c>
      <c r="D39" s="431">
        <v>32921</v>
      </c>
      <c r="E39" s="163" t="e">
        <f>VLOOKUP($B:$B,#REF!,2,FALSE)</f>
        <v>#REF!</v>
      </c>
      <c r="F39" s="432">
        <f t="shared" si="0"/>
        <v>0</v>
      </c>
      <c r="G39" s="433" t="str">
        <f>IFERROR(VLOOKUP($A39,#REF!,2,0),"0")</f>
        <v>0</v>
      </c>
      <c r="H39" s="432">
        <f t="shared" si="66"/>
        <v>0</v>
      </c>
      <c r="I39" s="163" t="e">
        <f>VLOOKUP($B:$B,#REF!,3,FALSE)</f>
        <v>#REF!</v>
      </c>
      <c r="J39" s="432">
        <f t="shared" si="2"/>
        <v>0</v>
      </c>
      <c r="K39" s="433" t="str">
        <f>IFERROR(VLOOKUP($A39,#REF!,2,0),"0")</f>
        <v>0</v>
      </c>
      <c r="L39" s="432">
        <f t="shared" si="63"/>
        <v>0</v>
      </c>
      <c r="M39" s="163" t="e">
        <f>VLOOKUP($B:$B,#REF!,4,FALSE)</f>
        <v>#REF!</v>
      </c>
      <c r="N39" s="432">
        <f t="shared" si="4"/>
        <v>0</v>
      </c>
      <c r="O39" s="433" t="str">
        <f>IFERROR(VLOOKUP($A39,#REF!,2,0),"0")</f>
        <v>0</v>
      </c>
      <c r="P39" s="432">
        <f t="shared" si="5"/>
        <v>0</v>
      </c>
      <c r="Q39" s="163" t="e">
        <f>VLOOKUP($B:$B,#REF!,5,FALSE)</f>
        <v>#REF!</v>
      </c>
      <c r="R39" s="432">
        <f t="shared" si="6"/>
        <v>0</v>
      </c>
      <c r="S39" s="433" t="str">
        <f>IFERROR(VLOOKUP($A39,#REF!,2,0),"0")</f>
        <v>0</v>
      </c>
      <c r="T39" s="432">
        <f t="shared" si="7"/>
        <v>0</v>
      </c>
      <c r="U39" s="163" t="e">
        <f>VLOOKUP($B:$B,#REF!,6,FALSE)</f>
        <v>#REF!</v>
      </c>
      <c r="V39" s="432">
        <f t="shared" si="8"/>
        <v>0</v>
      </c>
      <c r="W39" s="433" t="str">
        <f>IFERROR(VLOOKUP($A39,#REF!,2,0),"0")</f>
        <v>0</v>
      </c>
      <c r="X39" s="432">
        <f t="shared" si="9"/>
        <v>0</v>
      </c>
      <c r="Y39" s="163" t="e">
        <f>VLOOKUP($B:$B,#REF!,7,FALSE)</f>
        <v>#REF!</v>
      </c>
      <c r="Z39" s="432">
        <f t="shared" si="10"/>
        <v>0</v>
      </c>
      <c r="AA39" s="433" t="str">
        <f>IFERROR(VLOOKUP($A39,#REF!,2,0),"0")</f>
        <v>0</v>
      </c>
      <c r="AB39" s="432">
        <f t="shared" si="11"/>
        <v>0</v>
      </c>
      <c r="AC39" s="163" t="e">
        <f>VLOOKUP($B:$B,#REF!,8,FALSE)</f>
        <v>#REF!</v>
      </c>
      <c r="AD39" s="432">
        <f t="shared" si="12"/>
        <v>0</v>
      </c>
      <c r="AE39" s="433" t="str">
        <f>IFERROR(VLOOKUP($A39,#REF!,2,0),"0")</f>
        <v>0</v>
      </c>
      <c r="AF39" s="432">
        <f t="shared" si="13"/>
        <v>0</v>
      </c>
      <c r="AG39" s="163" t="e">
        <f>VLOOKUP($B:$B,#REF!,9,FALSE)</f>
        <v>#REF!</v>
      </c>
      <c r="AH39" s="432">
        <f t="shared" si="14"/>
        <v>0</v>
      </c>
      <c r="AI39" s="433" t="str">
        <f>IFERROR(VLOOKUP($A39,#REF!,2,0),"0")</f>
        <v>0</v>
      </c>
      <c r="AJ39" s="432">
        <f t="shared" si="15"/>
        <v>0</v>
      </c>
      <c r="AK39" s="163" t="e">
        <f>VLOOKUP($B:$B,#REF!,10,FALSE)</f>
        <v>#REF!</v>
      </c>
      <c r="AL39" s="432">
        <f t="shared" si="16"/>
        <v>0</v>
      </c>
      <c r="AM39" s="433" t="str">
        <f>IFERROR(VLOOKUP($A39,#REF!,2,0),"0")</f>
        <v>0</v>
      </c>
      <c r="AN39" s="432">
        <f t="shared" si="17"/>
        <v>0</v>
      </c>
      <c r="AO39" s="163" t="e">
        <f>VLOOKUP($B:$B,#REF!,11,FALSE)</f>
        <v>#REF!</v>
      </c>
      <c r="AP39" s="432">
        <f t="shared" si="18"/>
        <v>0</v>
      </c>
      <c r="AQ39" s="433" t="str">
        <f>IFERROR(VLOOKUP($A39,#REF!,2,0),"0")</f>
        <v>0</v>
      </c>
      <c r="AR39" s="432">
        <f t="shared" si="19"/>
        <v>0</v>
      </c>
      <c r="AS39" s="163" t="e">
        <f>VLOOKUP($B:$B,#REF!,12,FALSE)</f>
        <v>#REF!</v>
      </c>
      <c r="AT39" s="432">
        <f t="shared" si="20"/>
        <v>0</v>
      </c>
      <c r="AU39" s="433" t="str">
        <f>IFERROR(VLOOKUP($A39,#REF!,2,0),"0")</f>
        <v>0</v>
      </c>
      <c r="AV39" s="432">
        <f t="shared" si="21"/>
        <v>0</v>
      </c>
      <c r="AW39" s="163" t="e">
        <f>VLOOKUP($B:$B,#REF!,13,FALSE)</f>
        <v>#REF!</v>
      </c>
      <c r="AX39" s="432">
        <f t="shared" si="22"/>
        <v>0</v>
      </c>
      <c r="AY39" s="433" t="str">
        <f>IFERROR(VLOOKUP($A39,#REF!,2,0),"0")</f>
        <v>0</v>
      </c>
      <c r="AZ39" s="432">
        <f t="shared" si="23"/>
        <v>0</v>
      </c>
      <c r="BA39" s="163" t="e">
        <f>VLOOKUP($B:$B,#REF!,14,FALSE)</f>
        <v>#REF!</v>
      </c>
      <c r="BB39" s="432">
        <f t="shared" si="24"/>
        <v>0</v>
      </c>
      <c r="BC39" s="433" t="str">
        <f>IFERROR(VLOOKUP($A39,#REF!,2,0),"0")</f>
        <v>0</v>
      </c>
      <c r="BD39" s="432">
        <f t="shared" si="25"/>
        <v>0</v>
      </c>
      <c r="BE39" s="163" t="e">
        <f>VLOOKUP($B:$B,#REF!,15,FALSE)</f>
        <v>#REF!</v>
      </c>
      <c r="BF39" s="432">
        <f t="shared" si="26"/>
        <v>0</v>
      </c>
      <c r="BG39" s="433" t="str">
        <f>IFERROR(VLOOKUP($A39,#REF!,2,0),"0")</f>
        <v>0</v>
      </c>
      <c r="BH39" s="432">
        <f t="shared" si="27"/>
        <v>0</v>
      </c>
      <c r="BI39" s="163" t="e">
        <f>VLOOKUP($B:$B,#REF!,16,FALSE)</f>
        <v>#REF!</v>
      </c>
      <c r="BJ39" s="432">
        <f t="shared" si="28"/>
        <v>0</v>
      </c>
      <c r="BK39" s="433" t="str">
        <f>IFERROR(VLOOKUP($A39,#REF!,2,0),"0")</f>
        <v>0</v>
      </c>
      <c r="BL39" s="432">
        <f t="shared" si="29"/>
        <v>0</v>
      </c>
      <c r="BM39" s="163" t="e">
        <f>VLOOKUP($B:$B,#REF!,17,FALSE)</f>
        <v>#REF!</v>
      </c>
      <c r="BN39" s="432">
        <f t="shared" si="30"/>
        <v>0</v>
      </c>
      <c r="BO39" s="433" t="str">
        <f>IFERROR(VLOOKUP($A39,#REF!,2,0),"0")</f>
        <v>0</v>
      </c>
      <c r="BP39" s="432">
        <f t="shared" si="31"/>
        <v>0</v>
      </c>
      <c r="BQ39" s="163" t="e">
        <f>VLOOKUP($B:$B,#REF!,18,FALSE)</f>
        <v>#REF!</v>
      </c>
      <c r="BR39" s="432">
        <f t="shared" si="32"/>
        <v>0</v>
      </c>
      <c r="BS39" s="433">
        <v>4.1666666666666664E-2</v>
      </c>
      <c r="BT39" s="432">
        <f t="shared" si="33"/>
        <v>4.1666666666666664E-2</v>
      </c>
      <c r="BU39" s="163" t="e">
        <f>VLOOKUP($B:$B,#REF!,19,FALSE)</f>
        <v>#REF!</v>
      </c>
      <c r="BV39" s="432">
        <f t="shared" si="34"/>
        <v>0</v>
      </c>
      <c r="BW39" s="433"/>
      <c r="BX39" s="432">
        <f t="shared" si="35"/>
        <v>0</v>
      </c>
      <c r="BY39" s="163" t="e">
        <f>VLOOKUP($B:$B,#REF!,20,FALSE)</f>
        <v>#REF!</v>
      </c>
      <c r="BZ39" s="432">
        <f t="shared" si="36"/>
        <v>0</v>
      </c>
      <c r="CA39" s="433"/>
      <c r="CB39" s="432">
        <f t="shared" si="37"/>
        <v>0</v>
      </c>
      <c r="CC39" s="163" t="e">
        <f>VLOOKUP($B:$B,#REF!,21,FALSE)</f>
        <v>#REF!</v>
      </c>
      <c r="CD39" s="432">
        <f t="shared" si="38"/>
        <v>0</v>
      </c>
      <c r="CE39" s="433" t="str">
        <f>IFERROR(VLOOKUP($A39,#REF!,2,0),"0")</f>
        <v>0</v>
      </c>
      <c r="CF39" s="432">
        <f t="shared" si="39"/>
        <v>0</v>
      </c>
      <c r="CG39" s="163" t="e">
        <f>VLOOKUP($B:$B,#REF!,22,FALSE)</f>
        <v>#REF!</v>
      </c>
      <c r="CH39" s="432">
        <f t="shared" si="40"/>
        <v>0</v>
      </c>
      <c r="CI39" s="433" t="str">
        <f>IFERROR(VLOOKUP($A39,#REF!,2,0),"0")</f>
        <v>0</v>
      </c>
      <c r="CJ39" s="432">
        <f t="shared" si="41"/>
        <v>0</v>
      </c>
      <c r="CK39" s="163" t="e">
        <f>VLOOKUP($B:$B,#REF!,23,FALSE)</f>
        <v>#REF!</v>
      </c>
      <c r="CL39" s="432">
        <f t="shared" si="42"/>
        <v>0</v>
      </c>
      <c r="CM39" s="433" t="str">
        <f>IFERROR(VLOOKUP($A39,#REF!,2,0),"0")</f>
        <v>0</v>
      </c>
      <c r="CN39" s="432">
        <f t="shared" si="43"/>
        <v>0</v>
      </c>
      <c r="CO39" s="163" t="e">
        <f>VLOOKUP($B:$B,#REF!,24,FALSE)</f>
        <v>#REF!</v>
      </c>
      <c r="CP39" s="432">
        <f t="shared" si="44"/>
        <v>0</v>
      </c>
      <c r="CQ39" s="433" t="str">
        <f>IFERROR(VLOOKUP($A39,#REF!,2,0),"0")</f>
        <v>0</v>
      </c>
      <c r="CR39" s="432">
        <f t="shared" si="45"/>
        <v>0</v>
      </c>
      <c r="CS39" s="163" t="e">
        <f>VLOOKUP($B:$B,#REF!,25,FALSE)</f>
        <v>#REF!</v>
      </c>
      <c r="CT39" s="432">
        <f t="shared" si="46"/>
        <v>0</v>
      </c>
      <c r="CU39" s="433" t="str">
        <f>IFERROR(VLOOKUP($A39,#REF!,2,0),"0")</f>
        <v>0</v>
      </c>
      <c r="CV39" s="432">
        <f t="shared" si="47"/>
        <v>0</v>
      </c>
      <c r="CW39" s="163" t="e">
        <f>VLOOKUP($B:$B,#REF!,26,FALSE)</f>
        <v>#REF!</v>
      </c>
      <c r="CX39" s="432">
        <f t="shared" si="48"/>
        <v>0</v>
      </c>
      <c r="CY39" s="433" t="str">
        <f>IFERROR(VLOOKUP($A39,#REF!,2,0),"0")</f>
        <v>0</v>
      </c>
      <c r="CZ39" s="432">
        <f t="shared" si="49"/>
        <v>0</v>
      </c>
      <c r="DA39" s="163" t="e">
        <f>VLOOKUP($B:$B,#REF!,27,FALSE)</f>
        <v>#REF!</v>
      </c>
      <c r="DB39" s="432">
        <f t="shared" si="50"/>
        <v>0</v>
      </c>
      <c r="DC39" s="433" t="str">
        <f>IFERROR(VLOOKUP($A39,#REF!,2,0),"0")</f>
        <v>0</v>
      </c>
      <c r="DD39" s="432">
        <f t="shared" si="51"/>
        <v>0</v>
      </c>
      <c r="DE39" s="163" t="e">
        <f>VLOOKUP($B:$B,#REF!,28,FALSE)</f>
        <v>#REF!</v>
      </c>
      <c r="DF39" s="432">
        <f t="shared" si="52"/>
        <v>0</v>
      </c>
      <c r="DG39" s="433" t="str">
        <f>IFERROR(VLOOKUP($A39,#REF!,2,0),"0")</f>
        <v>0</v>
      </c>
      <c r="DH39" s="432">
        <f t="shared" si="53"/>
        <v>0</v>
      </c>
      <c r="DI39" s="163" t="e">
        <f>VLOOKUP($B:$B,#REF!,29,FALSE)</f>
        <v>#REF!</v>
      </c>
      <c r="DJ39" s="432">
        <f t="shared" si="54"/>
        <v>0</v>
      </c>
      <c r="DK39" s="433" t="str">
        <f>IFERROR(VLOOKUP($A39,#REF!,2,0),"0")</f>
        <v>0</v>
      </c>
      <c r="DL39" s="432">
        <f t="shared" si="55"/>
        <v>0</v>
      </c>
      <c r="DM39" s="163" t="e">
        <f>VLOOKUP($B:$B,#REF!,30,FALSE)</f>
        <v>#REF!</v>
      </c>
      <c r="DN39" s="432">
        <f t="shared" si="56"/>
        <v>0</v>
      </c>
      <c r="DO39" s="432"/>
      <c r="DP39" s="432">
        <f t="shared" si="57"/>
        <v>0</v>
      </c>
      <c r="DQ39" s="163" t="e">
        <f>VLOOKUP($B:$B,#REF!,31,FALSE)</f>
        <v>#REF!</v>
      </c>
      <c r="DR39" s="432">
        <f t="shared" si="58"/>
        <v>0</v>
      </c>
      <c r="DS39" s="434"/>
      <c r="DT39" s="432">
        <f t="shared" si="59"/>
        <v>0</v>
      </c>
      <c r="DU39" s="163" t="e">
        <f>VLOOKUP($B:$B,#REF!,32,FALSE)</f>
        <v>#REF!</v>
      </c>
      <c r="DV39" s="432">
        <f t="shared" si="60"/>
        <v>0</v>
      </c>
      <c r="DW39" s="434"/>
      <c r="DX39" s="432">
        <f t="shared" si="61"/>
        <v>0</v>
      </c>
      <c r="DY39" s="432">
        <f t="shared" si="62"/>
        <v>4.1666666666666664E-2</v>
      </c>
    </row>
    <row r="40" spans="1:129" ht="15.75">
      <c r="A40" s="166" t="s">
        <v>64</v>
      </c>
      <c r="B40" s="506" t="s">
        <v>65</v>
      </c>
      <c r="C40" s="166">
        <v>2350062937</v>
      </c>
      <c r="D40" s="431">
        <v>35311</v>
      </c>
      <c r="E40" s="163" t="e">
        <f>VLOOKUP($B:$B,#REF!,2,FALSE)</f>
        <v>#REF!</v>
      </c>
      <c r="F40" s="432">
        <f t="shared" si="0"/>
        <v>0</v>
      </c>
      <c r="G40" s="433" t="str">
        <f>IFERROR(VLOOKUP($A40,#REF!,2,0),"0")</f>
        <v>0</v>
      </c>
      <c r="H40" s="432">
        <f t="shared" si="66"/>
        <v>0</v>
      </c>
      <c r="I40" s="163" t="e">
        <f>VLOOKUP($B:$B,#REF!,3,FALSE)</f>
        <v>#REF!</v>
      </c>
      <c r="J40" s="432">
        <f t="shared" si="2"/>
        <v>0</v>
      </c>
      <c r="K40" s="433" t="str">
        <f>IFERROR(VLOOKUP($A40,#REF!,2,0),"0")</f>
        <v>0</v>
      </c>
      <c r="L40" s="432">
        <f t="shared" si="63"/>
        <v>0</v>
      </c>
      <c r="M40" s="163" t="e">
        <f>VLOOKUP($B:$B,#REF!,4,FALSE)</f>
        <v>#REF!</v>
      </c>
      <c r="N40" s="432">
        <f t="shared" si="4"/>
        <v>0</v>
      </c>
      <c r="O40" s="433" t="str">
        <f>IFERROR(VLOOKUP($A40,#REF!,2,0),"0")</f>
        <v>0</v>
      </c>
      <c r="P40" s="432">
        <f t="shared" si="5"/>
        <v>0</v>
      </c>
      <c r="Q40" s="163" t="e">
        <f>VLOOKUP($B:$B,#REF!,5,FALSE)</f>
        <v>#REF!</v>
      </c>
      <c r="R40" s="432">
        <f t="shared" si="6"/>
        <v>0</v>
      </c>
      <c r="S40" s="433" t="str">
        <f>IFERROR(VLOOKUP($A40,#REF!,2,0),"0")</f>
        <v>0</v>
      </c>
      <c r="T40" s="432">
        <f t="shared" si="7"/>
        <v>0</v>
      </c>
      <c r="U40" s="163" t="e">
        <f>VLOOKUP($B:$B,#REF!,6,FALSE)</f>
        <v>#REF!</v>
      </c>
      <c r="V40" s="432">
        <f t="shared" si="8"/>
        <v>0</v>
      </c>
      <c r="W40" s="433" t="str">
        <f>IFERROR(VLOOKUP($A40,#REF!,2,0),"0")</f>
        <v>0</v>
      </c>
      <c r="X40" s="432">
        <f t="shared" si="9"/>
        <v>0</v>
      </c>
      <c r="Y40" s="163" t="e">
        <f>VLOOKUP($B:$B,#REF!,7,FALSE)</f>
        <v>#REF!</v>
      </c>
      <c r="Z40" s="432">
        <f t="shared" si="10"/>
        <v>0</v>
      </c>
      <c r="AA40" s="433" t="str">
        <f>IFERROR(VLOOKUP($A40,#REF!,2,0),"0")</f>
        <v>0</v>
      </c>
      <c r="AB40" s="432">
        <f t="shared" si="11"/>
        <v>0</v>
      </c>
      <c r="AC40" s="163" t="e">
        <f>VLOOKUP($B:$B,#REF!,8,FALSE)</f>
        <v>#REF!</v>
      </c>
      <c r="AD40" s="432">
        <f t="shared" si="12"/>
        <v>0</v>
      </c>
      <c r="AE40" s="433" t="str">
        <f>IFERROR(VLOOKUP($A40,#REF!,2,0),"0")</f>
        <v>0</v>
      </c>
      <c r="AF40" s="432">
        <f t="shared" si="13"/>
        <v>0</v>
      </c>
      <c r="AG40" s="163" t="e">
        <f>VLOOKUP($B:$B,#REF!,9,FALSE)</f>
        <v>#REF!</v>
      </c>
      <c r="AH40" s="432">
        <f t="shared" si="14"/>
        <v>0</v>
      </c>
      <c r="AI40" s="433" t="str">
        <f>IFERROR(VLOOKUP($A40,#REF!,2,0),"0")</f>
        <v>0</v>
      </c>
      <c r="AJ40" s="432">
        <f t="shared" si="15"/>
        <v>0</v>
      </c>
      <c r="AK40" s="163" t="e">
        <f>VLOOKUP($B:$B,#REF!,10,FALSE)</f>
        <v>#REF!</v>
      </c>
      <c r="AL40" s="432">
        <f t="shared" si="16"/>
        <v>0</v>
      </c>
      <c r="AM40" s="433" t="str">
        <f>IFERROR(VLOOKUP($A40,#REF!,2,0),"0")</f>
        <v>0</v>
      </c>
      <c r="AN40" s="432">
        <f t="shared" si="17"/>
        <v>0</v>
      </c>
      <c r="AO40" s="163" t="e">
        <f>VLOOKUP($B:$B,#REF!,11,FALSE)</f>
        <v>#REF!</v>
      </c>
      <c r="AP40" s="432">
        <f t="shared" si="18"/>
        <v>0</v>
      </c>
      <c r="AQ40" s="433" t="str">
        <f>IFERROR(VLOOKUP($A40,#REF!,2,0),"0")</f>
        <v>0</v>
      </c>
      <c r="AR40" s="432">
        <f t="shared" si="19"/>
        <v>0</v>
      </c>
      <c r="AS40" s="163" t="e">
        <f>VLOOKUP($B:$B,#REF!,12,FALSE)</f>
        <v>#REF!</v>
      </c>
      <c r="AT40" s="432">
        <f t="shared" si="20"/>
        <v>0</v>
      </c>
      <c r="AU40" s="433" t="str">
        <f>IFERROR(VLOOKUP($A40,#REF!,2,0),"0")</f>
        <v>0</v>
      </c>
      <c r="AV40" s="432">
        <f t="shared" si="21"/>
        <v>0</v>
      </c>
      <c r="AW40" s="163" t="e">
        <f>VLOOKUP($B:$B,#REF!,13,FALSE)</f>
        <v>#REF!</v>
      </c>
      <c r="AX40" s="432">
        <f t="shared" si="22"/>
        <v>0</v>
      </c>
      <c r="AY40" s="433" t="str">
        <f>IFERROR(VLOOKUP($A40,#REF!,2,0),"0")</f>
        <v>0</v>
      </c>
      <c r="AZ40" s="432">
        <f t="shared" si="23"/>
        <v>0</v>
      </c>
      <c r="BA40" s="163" t="e">
        <f>VLOOKUP($B:$B,#REF!,14,FALSE)</f>
        <v>#REF!</v>
      </c>
      <c r="BB40" s="432">
        <f t="shared" si="24"/>
        <v>0</v>
      </c>
      <c r="BC40" s="433" t="str">
        <f>IFERROR(VLOOKUP($A40,#REF!,2,0),"0")</f>
        <v>0</v>
      </c>
      <c r="BD40" s="432">
        <f t="shared" si="25"/>
        <v>0</v>
      </c>
      <c r="BE40" s="163" t="e">
        <f>VLOOKUP($B:$B,#REF!,15,FALSE)</f>
        <v>#REF!</v>
      </c>
      <c r="BF40" s="432">
        <f t="shared" si="26"/>
        <v>0</v>
      </c>
      <c r="BG40" s="433" t="str">
        <f>IFERROR(VLOOKUP($A40,#REF!,2,0),"0")</f>
        <v>0</v>
      </c>
      <c r="BH40" s="432">
        <f t="shared" si="27"/>
        <v>0</v>
      </c>
      <c r="BI40" s="163" t="e">
        <f>VLOOKUP($B:$B,#REF!,16,FALSE)</f>
        <v>#REF!</v>
      </c>
      <c r="BJ40" s="432">
        <f t="shared" si="28"/>
        <v>0</v>
      </c>
      <c r="BK40" s="433" t="str">
        <f>IFERROR(VLOOKUP($A40,#REF!,2,0),"0")</f>
        <v>0</v>
      </c>
      <c r="BL40" s="432">
        <f t="shared" si="29"/>
        <v>0</v>
      </c>
      <c r="BM40" s="163" t="e">
        <f>VLOOKUP($B:$B,#REF!,17,FALSE)</f>
        <v>#REF!</v>
      </c>
      <c r="BN40" s="432">
        <f t="shared" si="30"/>
        <v>0</v>
      </c>
      <c r="BO40" s="433" t="str">
        <f>IFERROR(VLOOKUP($A40,#REF!,2,0),"0")</f>
        <v>0</v>
      </c>
      <c r="BP40" s="432">
        <f t="shared" si="31"/>
        <v>0</v>
      </c>
      <c r="BQ40" s="163" t="e">
        <f>VLOOKUP($B:$B,#REF!,18,FALSE)</f>
        <v>#REF!</v>
      </c>
      <c r="BR40" s="432">
        <f t="shared" si="32"/>
        <v>0</v>
      </c>
      <c r="BS40" s="433" t="str">
        <f>IFERROR(VLOOKUP($A40,#REF!,2,0),"0")</f>
        <v>0</v>
      </c>
      <c r="BT40" s="432">
        <f t="shared" si="33"/>
        <v>0</v>
      </c>
      <c r="BU40" s="163" t="e">
        <f>VLOOKUP($B:$B,#REF!,19,FALSE)</f>
        <v>#REF!</v>
      </c>
      <c r="BV40" s="432">
        <f t="shared" si="34"/>
        <v>0</v>
      </c>
      <c r="BW40" s="433" t="str">
        <f>IFERROR(VLOOKUP($A40,#REF!,2,0),"0")</f>
        <v>0</v>
      </c>
      <c r="BX40" s="432">
        <f t="shared" si="35"/>
        <v>0</v>
      </c>
      <c r="BY40" s="163" t="e">
        <f>VLOOKUP($B:$B,#REF!,20,FALSE)</f>
        <v>#REF!</v>
      </c>
      <c r="BZ40" s="432">
        <f t="shared" si="36"/>
        <v>0</v>
      </c>
      <c r="CA40" s="433" t="str">
        <f>IFERROR(VLOOKUP($A40,#REF!,2,0),"0")</f>
        <v>0</v>
      </c>
      <c r="CB40" s="432">
        <f t="shared" si="37"/>
        <v>0</v>
      </c>
      <c r="CC40" s="163" t="e">
        <f>VLOOKUP($B:$B,#REF!,21,FALSE)</f>
        <v>#REF!</v>
      </c>
      <c r="CD40" s="432">
        <f t="shared" si="38"/>
        <v>0</v>
      </c>
      <c r="CE40" s="433" t="str">
        <f>IFERROR(VLOOKUP($A40,#REF!,2,0),"0")</f>
        <v>0</v>
      </c>
      <c r="CF40" s="432">
        <f t="shared" si="39"/>
        <v>0</v>
      </c>
      <c r="CG40" s="163" t="e">
        <f>VLOOKUP($B:$B,#REF!,22,FALSE)</f>
        <v>#REF!</v>
      </c>
      <c r="CH40" s="432">
        <f t="shared" si="40"/>
        <v>0</v>
      </c>
      <c r="CI40" s="433" t="str">
        <f>IFERROR(VLOOKUP($A40,#REF!,2,0),"0")</f>
        <v>0</v>
      </c>
      <c r="CJ40" s="432">
        <f t="shared" si="41"/>
        <v>0</v>
      </c>
      <c r="CK40" s="163" t="e">
        <f>VLOOKUP($B:$B,#REF!,23,FALSE)</f>
        <v>#REF!</v>
      </c>
      <c r="CL40" s="432">
        <f t="shared" si="42"/>
        <v>0</v>
      </c>
      <c r="CM40" s="433" t="str">
        <f>IFERROR(VLOOKUP($A40,#REF!,2,0),"0")</f>
        <v>0</v>
      </c>
      <c r="CN40" s="432">
        <f t="shared" si="43"/>
        <v>0</v>
      </c>
      <c r="CO40" s="163" t="e">
        <f>VLOOKUP($B:$B,#REF!,24,FALSE)</f>
        <v>#REF!</v>
      </c>
      <c r="CP40" s="432">
        <f t="shared" si="44"/>
        <v>0</v>
      </c>
      <c r="CQ40" s="433" t="str">
        <f>IFERROR(VLOOKUP($A40,#REF!,2,0),"0")</f>
        <v>0</v>
      </c>
      <c r="CR40" s="432">
        <f t="shared" si="45"/>
        <v>0</v>
      </c>
      <c r="CS40" s="163" t="e">
        <f>VLOOKUP($B:$B,#REF!,25,FALSE)</f>
        <v>#REF!</v>
      </c>
      <c r="CT40" s="432">
        <f t="shared" si="46"/>
        <v>0</v>
      </c>
      <c r="CU40" s="433" t="str">
        <f>IFERROR(VLOOKUP($A40,#REF!,2,0),"0")</f>
        <v>0</v>
      </c>
      <c r="CV40" s="432">
        <f t="shared" si="47"/>
        <v>0</v>
      </c>
      <c r="CW40" s="163" t="e">
        <f>VLOOKUP($B:$B,#REF!,26,FALSE)</f>
        <v>#REF!</v>
      </c>
      <c r="CX40" s="432">
        <f t="shared" si="48"/>
        <v>0</v>
      </c>
      <c r="CY40" s="433" t="str">
        <f>IFERROR(VLOOKUP($A40,#REF!,2,0),"0")</f>
        <v>0</v>
      </c>
      <c r="CZ40" s="432">
        <f t="shared" si="49"/>
        <v>0</v>
      </c>
      <c r="DA40" s="163" t="e">
        <f>VLOOKUP($B:$B,#REF!,27,FALSE)</f>
        <v>#REF!</v>
      </c>
      <c r="DB40" s="432">
        <f t="shared" si="50"/>
        <v>0</v>
      </c>
      <c r="DC40" s="433" t="str">
        <f>IFERROR(VLOOKUP($A40,#REF!,2,0),"0")</f>
        <v>0</v>
      </c>
      <c r="DD40" s="432">
        <f t="shared" si="51"/>
        <v>0</v>
      </c>
      <c r="DE40" s="163" t="e">
        <f>VLOOKUP($B:$B,#REF!,28,FALSE)</f>
        <v>#REF!</v>
      </c>
      <c r="DF40" s="432">
        <f t="shared" si="52"/>
        <v>0</v>
      </c>
      <c r="DG40" s="433" t="str">
        <f>IFERROR(VLOOKUP($A40,#REF!,2,0),"0")</f>
        <v>0</v>
      </c>
      <c r="DH40" s="432">
        <f t="shared" si="53"/>
        <v>0</v>
      </c>
      <c r="DI40" s="163" t="e">
        <f>VLOOKUP($B:$B,#REF!,29,FALSE)</f>
        <v>#REF!</v>
      </c>
      <c r="DJ40" s="432">
        <f t="shared" si="54"/>
        <v>0</v>
      </c>
      <c r="DK40" s="433" t="str">
        <f>IFERROR(VLOOKUP($A40,#REF!,2,0),"0")</f>
        <v>0</v>
      </c>
      <c r="DL40" s="432">
        <f t="shared" si="55"/>
        <v>0</v>
      </c>
      <c r="DM40" s="163" t="e">
        <f>VLOOKUP($B:$B,#REF!,30,FALSE)</f>
        <v>#REF!</v>
      </c>
      <c r="DN40" s="432">
        <f t="shared" si="56"/>
        <v>0</v>
      </c>
      <c r="DO40" s="432"/>
      <c r="DP40" s="432">
        <f t="shared" si="57"/>
        <v>0</v>
      </c>
      <c r="DQ40" s="163" t="e">
        <f>VLOOKUP($B:$B,#REF!,31,FALSE)</f>
        <v>#REF!</v>
      </c>
      <c r="DR40" s="432">
        <f t="shared" si="58"/>
        <v>0</v>
      </c>
      <c r="DS40" s="434"/>
      <c r="DT40" s="432">
        <f t="shared" si="59"/>
        <v>0</v>
      </c>
      <c r="DU40" s="163" t="e">
        <f>VLOOKUP($B:$B,#REF!,32,FALSE)</f>
        <v>#REF!</v>
      </c>
      <c r="DV40" s="432">
        <f t="shared" si="60"/>
        <v>0</v>
      </c>
      <c r="DW40" s="434"/>
      <c r="DX40" s="432">
        <f t="shared" si="61"/>
        <v>0</v>
      </c>
      <c r="DY40" s="432">
        <f t="shared" si="62"/>
        <v>0</v>
      </c>
    </row>
    <row r="41" spans="1:129" ht="15.75">
      <c r="A41" s="166" t="s">
        <v>72</v>
      </c>
      <c r="B41" s="506" t="s">
        <v>73</v>
      </c>
      <c r="C41" s="166">
        <v>1715102529</v>
      </c>
      <c r="D41" s="431">
        <v>29867</v>
      </c>
      <c r="E41" s="163" t="e">
        <f>VLOOKUP($B:$B,#REF!,2,FALSE)</f>
        <v>#REF!</v>
      </c>
      <c r="F41" s="432">
        <f t="shared" si="0"/>
        <v>0</v>
      </c>
      <c r="G41" s="433" t="str">
        <f>IFERROR(VLOOKUP($A41,#REF!,2,0),"0")</f>
        <v>0</v>
      </c>
      <c r="H41" s="432">
        <f t="shared" si="66"/>
        <v>0</v>
      </c>
      <c r="I41" s="163" t="e">
        <f>VLOOKUP($B:$B,#REF!,3,FALSE)</f>
        <v>#REF!</v>
      </c>
      <c r="J41" s="432">
        <f t="shared" si="2"/>
        <v>0</v>
      </c>
      <c r="K41" s="433" t="str">
        <f>IFERROR(VLOOKUP($A41,#REF!,2,0),"0")</f>
        <v>0</v>
      </c>
      <c r="L41" s="432">
        <f t="shared" si="63"/>
        <v>0</v>
      </c>
      <c r="M41" s="163" t="e">
        <f>VLOOKUP($B:$B,#REF!,4,FALSE)</f>
        <v>#REF!</v>
      </c>
      <c r="N41" s="432">
        <f t="shared" si="4"/>
        <v>0</v>
      </c>
      <c r="O41" s="433" t="str">
        <f>IFERROR(VLOOKUP($A41,#REF!,2,0),"0")</f>
        <v>0</v>
      </c>
      <c r="P41" s="432">
        <f t="shared" si="5"/>
        <v>0</v>
      </c>
      <c r="Q41" s="163" t="e">
        <f>VLOOKUP($B:$B,#REF!,5,FALSE)</f>
        <v>#REF!</v>
      </c>
      <c r="R41" s="432">
        <f t="shared" si="6"/>
        <v>0</v>
      </c>
      <c r="S41" s="433" t="str">
        <f>IFERROR(VLOOKUP($A41,#REF!,2,0),"0")</f>
        <v>0</v>
      </c>
      <c r="T41" s="432">
        <v>0</v>
      </c>
      <c r="U41" s="163" t="e">
        <f>VLOOKUP($B:$B,#REF!,6,FALSE)</f>
        <v>#REF!</v>
      </c>
      <c r="V41" s="432">
        <f t="shared" si="8"/>
        <v>0</v>
      </c>
      <c r="W41" s="433" t="str">
        <f>IFERROR(VLOOKUP($A41,#REF!,2,0),"0")</f>
        <v>0</v>
      </c>
      <c r="X41" s="432">
        <f t="shared" si="9"/>
        <v>0</v>
      </c>
      <c r="Y41" s="163" t="e">
        <f>VLOOKUP($B:$B,#REF!,7,FALSE)</f>
        <v>#REF!</v>
      </c>
      <c r="Z41" s="432">
        <f t="shared" si="10"/>
        <v>0</v>
      </c>
      <c r="AA41" s="433" t="str">
        <f>IFERROR(VLOOKUP($A41,#REF!,2,0),"0")</f>
        <v>0</v>
      </c>
      <c r="AB41" s="432">
        <f t="shared" si="11"/>
        <v>0</v>
      </c>
      <c r="AC41" s="163" t="e">
        <f>VLOOKUP($B:$B,#REF!,8,FALSE)</f>
        <v>#REF!</v>
      </c>
      <c r="AD41" s="432">
        <f t="shared" si="12"/>
        <v>0</v>
      </c>
      <c r="AE41" s="433" t="str">
        <f>IFERROR(VLOOKUP($A41,#REF!,2,0),"0")</f>
        <v>0</v>
      </c>
      <c r="AF41" s="432">
        <f t="shared" si="13"/>
        <v>0</v>
      </c>
      <c r="AG41" s="163" t="e">
        <f>VLOOKUP($B:$B,#REF!,9,FALSE)</f>
        <v>#REF!</v>
      </c>
      <c r="AH41" s="432">
        <f t="shared" si="14"/>
        <v>0</v>
      </c>
      <c r="AI41" s="433" t="str">
        <f>IFERROR(VLOOKUP($A41,#REF!,2,0),"0")</f>
        <v>0</v>
      </c>
      <c r="AJ41" s="432">
        <f t="shared" si="15"/>
        <v>0</v>
      </c>
      <c r="AK41" s="163" t="e">
        <f>VLOOKUP($B:$B,#REF!,10,FALSE)</f>
        <v>#REF!</v>
      </c>
      <c r="AL41" s="432">
        <f t="shared" si="16"/>
        <v>0</v>
      </c>
      <c r="AM41" s="433" t="str">
        <f>IFERROR(VLOOKUP($A41,#REF!,2,0),"0")</f>
        <v>0</v>
      </c>
      <c r="AN41" s="432">
        <f t="shared" si="17"/>
        <v>0</v>
      </c>
      <c r="AO41" s="163" t="e">
        <f>VLOOKUP($B:$B,#REF!,11,FALSE)</f>
        <v>#REF!</v>
      </c>
      <c r="AP41" s="432">
        <f t="shared" si="18"/>
        <v>0</v>
      </c>
      <c r="AQ41" s="433" t="str">
        <f>IFERROR(VLOOKUP($A41,#REF!,2,0),"0")</f>
        <v>0</v>
      </c>
      <c r="AR41" s="432">
        <f t="shared" si="19"/>
        <v>0</v>
      </c>
      <c r="AS41" s="163" t="e">
        <f>VLOOKUP($B:$B,#REF!,12,FALSE)</f>
        <v>#REF!</v>
      </c>
      <c r="AT41" s="432">
        <f t="shared" si="20"/>
        <v>0</v>
      </c>
      <c r="AU41" s="433" t="str">
        <f>IFERROR(VLOOKUP($A41,#REF!,2,0),"0")</f>
        <v>0</v>
      </c>
      <c r="AV41" s="432">
        <f t="shared" si="21"/>
        <v>0</v>
      </c>
      <c r="AW41" s="163" t="e">
        <f>VLOOKUP($B:$B,#REF!,13,FALSE)</f>
        <v>#REF!</v>
      </c>
      <c r="AX41" s="432">
        <f t="shared" si="22"/>
        <v>0</v>
      </c>
      <c r="AY41" s="433" t="str">
        <f>IFERROR(VLOOKUP($A41,#REF!,2,0),"0")</f>
        <v>0</v>
      </c>
      <c r="AZ41" s="432">
        <f t="shared" si="23"/>
        <v>0</v>
      </c>
      <c r="BA41" s="163" t="e">
        <f>VLOOKUP($B:$B,#REF!,14,FALSE)</f>
        <v>#REF!</v>
      </c>
      <c r="BB41" s="432">
        <f t="shared" si="24"/>
        <v>0</v>
      </c>
      <c r="BC41" s="433" t="str">
        <f>IFERROR(VLOOKUP($A41,#REF!,2,0),"0")</f>
        <v>0</v>
      </c>
      <c r="BD41" s="432">
        <f t="shared" si="25"/>
        <v>0</v>
      </c>
      <c r="BE41" s="163" t="e">
        <f>VLOOKUP($B:$B,#REF!,15,FALSE)</f>
        <v>#REF!</v>
      </c>
      <c r="BF41" s="432">
        <f t="shared" si="26"/>
        <v>0</v>
      </c>
      <c r="BG41" s="433" t="str">
        <f>IFERROR(VLOOKUP($A41,#REF!,2,0),"0")</f>
        <v>0</v>
      </c>
      <c r="BH41" s="432">
        <f t="shared" si="27"/>
        <v>0</v>
      </c>
      <c r="BI41" s="163" t="e">
        <f>VLOOKUP($B:$B,#REF!,16,FALSE)</f>
        <v>#REF!</v>
      </c>
      <c r="BJ41" s="432">
        <f t="shared" si="28"/>
        <v>0</v>
      </c>
      <c r="BK41" s="433" t="str">
        <f>IFERROR(VLOOKUP($A41,#REF!,2,0),"0")</f>
        <v>0</v>
      </c>
      <c r="BL41" s="432">
        <f t="shared" si="29"/>
        <v>0</v>
      </c>
      <c r="BM41" s="163" t="e">
        <f>VLOOKUP($B:$B,#REF!,17,FALSE)</f>
        <v>#REF!</v>
      </c>
      <c r="BN41" s="432">
        <f t="shared" si="30"/>
        <v>0</v>
      </c>
      <c r="BO41" s="433" t="str">
        <f>IFERROR(VLOOKUP($A41,#REF!,2,0),"0")</f>
        <v>0</v>
      </c>
      <c r="BP41" s="432">
        <f t="shared" si="31"/>
        <v>0</v>
      </c>
      <c r="BQ41" s="163" t="e">
        <f>VLOOKUP($B:$B,#REF!,18,FALSE)</f>
        <v>#REF!</v>
      </c>
      <c r="BR41" s="432">
        <f t="shared" si="32"/>
        <v>0</v>
      </c>
      <c r="BS41" s="433" t="str">
        <f>IFERROR(VLOOKUP($A41,#REF!,2,0),"0")</f>
        <v>0</v>
      </c>
      <c r="BT41" s="432">
        <f t="shared" si="33"/>
        <v>0</v>
      </c>
      <c r="BU41" s="163" t="e">
        <f>VLOOKUP($B:$B,#REF!,19,FALSE)</f>
        <v>#REF!</v>
      </c>
      <c r="BV41" s="432">
        <f t="shared" si="34"/>
        <v>0</v>
      </c>
      <c r="BW41" s="433" t="str">
        <f>IFERROR(VLOOKUP($A41,#REF!,2,0),"0")</f>
        <v>0</v>
      </c>
      <c r="BX41" s="432">
        <f t="shared" si="35"/>
        <v>0</v>
      </c>
      <c r="BY41" s="163" t="e">
        <f>VLOOKUP($B:$B,#REF!,20,FALSE)</f>
        <v>#REF!</v>
      </c>
      <c r="BZ41" s="432">
        <f t="shared" si="36"/>
        <v>0</v>
      </c>
      <c r="CA41" s="433" t="str">
        <f>IFERROR(VLOOKUP($A41,#REF!,2,0),"0")</f>
        <v>0</v>
      </c>
      <c r="CB41" s="432">
        <f t="shared" si="37"/>
        <v>0</v>
      </c>
      <c r="CC41" s="163" t="e">
        <f>VLOOKUP($B:$B,#REF!,21,FALSE)</f>
        <v>#REF!</v>
      </c>
      <c r="CD41" s="432">
        <f t="shared" si="38"/>
        <v>0</v>
      </c>
      <c r="CE41" s="433" t="str">
        <f>IFERROR(VLOOKUP($A41,#REF!,2,0),"0")</f>
        <v>0</v>
      </c>
      <c r="CF41" s="432">
        <f t="shared" si="39"/>
        <v>0</v>
      </c>
      <c r="CG41" s="163" t="e">
        <f>VLOOKUP($B:$B,#REF!,22,FALSE)</f>
        <v>#REF!</v>
      </c>
      <c r="CH41" s="432">
        <f t="shared" si="40"/>
        <v>0</v>
      </c>
      <c r="CI41" s="433" t="str">
        <f>IFERROR(VLOOKUP($A41,#REF!,2,0),"0")</f>
        <v>0</v>
      </c>
      <c r="CJ41" s="432">
        <f t="shared" si="41"/>
        <v>0</v>
      </c>
      <c r="CK41" s="163" t="e">
        <f>VLOOKUP($B:$B,#REF!,23,FALSE)</f>
        <v>#REF!</v>
      </c>
      <c r="CL41" s="432">
        <f t="shared" si="42"/>
        <v>0</v>
      </c>
      <c r="CM41" s="433" t="str">
        <f>IFERROR(VLOOKUP($A41,#REF!,2,0),"0")</f>
        <v>0</v>
      </c>
      <c r="CN41" s="432">
        <f t="shared" si="43"/>
        <v>0</v>
      </c>
      <c r="CO41" s="163" t="e">
        <f>VLOOKUP($B:$B,#REF!,24,FALSE)</f>
        <v>#REF!</v>
      </c>
      <c r="CP41" s="432">
        <f t="shared" si="44"/>
        <v>0</v>
      </c>
      <c r="CQ41" s="433" t="str">
        <f>IFERROR(VLOOKUP($A41,#REF!,2,0),"0")</f>
        <v>0</v>
      </c>
      <c r="CR41" s="432">
        <f t="shared" si="45"/>
        <v>0</v>
      </c>
      <c r="CS41" s="163" t="e">
        <f>VLOOKUP($B:$B,#REF!,25,FALSE)</f>
        <v>#REF!</v>
      </c>
      <c r="CT41" s="432">
        <f t="shared" si="46"/>
        <v>0</v>
      </c>
      <c r="CU41" s="433" t="str">
        <f>IFERROR(VLOOKUP($A41,#REF!,2,0),"0")</f>
        <v>0</v>
      </c>
      <c r="CV41" s="432">
        <f t="shared" si="47"/>
        <v>0</v>
      </c>
      <c r="CW41" s="163" t="e">
        <f>VLOOKUP($B:$B,#REF!,26,FALSE)</f>
        <v>#REF!</v>
      </c>
      <c r="CX41" s="432">
        <f t="shared" si="48"/>
        <v>0</v>
      </c>
      <c r="CY41" s="433" t="str">
        <f>IFERROR(VLOOKUP($A41,#REF!,2,0),"0")</f>
        <v>0</v>
      </c>
      <c r="CZ41" s="432">
        <f t="shared" si="49"/>
        <v>0</v>
      </c>
      <c r="DA41" s="163" t="e">
        <f>VLOOKUP($B:$B,#REF!,27,FALSE)</f>
        <v>#REF!</v>
      </c>
      <c r="DB41" s="432">
        <f t="shared" si="50"/>
        <v>0</v>
      </c>
      <c r="DC41" s="433" t="str">
        <f>IFERROR(VLOOKUP($A41,#REF!,2,0),"0")</f>
        <v>0</v>
      </c>
      <c r="DD41" s="432">
        <f t="shared" si="51"/>
        <v>0</v>
      </c>
      <c r="DE41" s="163" t="e">
        <f>VLOOKUP($B:$B,#REF!,28,FALSE)</f>
        <v>#REF!</v>
      </c>
      <c r="DF41" s="432">
        <f t="shared" si="52"/>
        <v>0</v>
      </c>
      <c r="DG41" s="433" t="str">
        <f>IFERROR(VLOOKUP($A41,#REF!,2,0),"0")</f>
        <v>0</v>
      </c>
      <c r="DH41" s="432">
        <f t="shared" si="53"/>
        <v>0</v>
      </c>
      <c r="DI41" s="163" t="e">
        <f>VLOOKUP($B:$B,#REF!,29,FALSE)</f>
        <v>#REF!</v>
      </c>
      <c r="DJ41" s="432">
        <f t="shared" si="54"/>
        <v>0</v>
      </c>
      <c r="DK41" s="433" t="str">
        <f>IFERROR(VLOOKUP($A41,#REF!,2,0),"0")</f>
        <v>0</v>
      </c>
      <c r="DL41" s="432">
        <f t="shared" si="55"/>
        <v>0</v>
      </c>
      <c r="DM41" s="163" t="e">
        <f>VLOOKUP($B:$B,#REF!,30,FALSE)</f>
        <v>#REF!</v>
      </c>
      <c r="DN41" s="432">
        <f t="shared" si="56"/>
        <v>0</v>
      </c>
      <c r="DO41" s="432"/>
      <c r="DP41" s="432">
        <f t="shared" si="57"/>
        <v>0</v>
      </c>
      <c r="DQ41" s="163" t="e">
        <f>VLOOKUP($B:$B,#REF!,31,FALSE)</f>
        <v>#REF!</v>
      </c>
      <c r="DR41" s="432">
        <f t="shared" si="58"/>
        <v>0</v>
      </c>
      <c r="DS41" s="434"/>
      <c r="DT41" s="432">
        <f t="shared" si="59"/>
        <v>0</v>
      </c>
      <c r="DU41" s="163" t="e">
        <f>VLOOKUP($B:$B,#REF!,32,FALSE)</f>
        <v>#REF!</v>
      </c>
      <c r="DV41" s="432">
        <f t="shared" si="60"/>
        <v>0</v>
      </c>
      <c r="DW41" s="434"/>
      <c r="DX41" s="432">
        <f t="shared" si="61"/>
        <v>0</v>
      </c>
      <c r="DY41" s="432">
        <f t="shared" si="62"/>
        <v>0</v>
      </c>
    </row>
    <row r="42" spans="1:129" ht="15.75">
      <c r="A42" s="166" t="s">
        <v>92</v>
      </c>
      <c r="B42" s="506" t="s">
        <v>93</v>
      </c>
      <c r="C42" s="166">
        <v>1726971854</v>
      </c>
      <c r="D42" s="431">
        <v>37474</v>
      </c>
      <c r="E42" s="163" t="e">
        <f>VLOOKUP($B:$B,#REF!,2,FALSE)</f>
        <v>#REF!</v>
      </c>
      <c r="F42" s="432">
        <f t="shared" si="0"/>
        <v>0</v>
      </c>
      <c r="G42" s="433" t="str">
        <f>IFERROR(VLOOKUP($A42,#REF!,2,0),"0")</f>
        <v>0</v>
      </c>
      <c r="H42" s="432">
        <f t="shared" si="66"/>
        <v>0</v>
      </c>
      <c r="I42" s="163" t="e">
        <f>VLOOKUP($B:$B,#REF!,3,FALSE)</f>
        <v>#REF!</v>
      </c>
      <c r="J42" s="432">
        <f t="shared" si="2"/>
        <v>0</v>
      </c>
      <c r="K42" s="433" t="str">
        <f>IFERROR(VLOOKUP($A42,#REF!,2,0),"0")</f>
        <v>0</v>
      </c>
      <c r="L42" s="432">
        <f t="shared" si="63"/>
        <v>0</v>
      </c>
      <c r="M42" s="163" t="e">
        <f>VLOOKUP($B:$B,#REF!,4,FALSE)</f>
        <v>#REF!</v>
      </c>
      <c r="N42" s="432">
        <f t="shared" si="4"/>
        <v>0</v>
      </c>
      <c r="O42" s="433" t="str">
        <f>IFERROR(VLOOKUP($A42,#REF!,2,0),"0")</f>
        <v>0</v>
      </c>
      <c r="P42" s="432">
        <f t="shared" si="5"/>
        <v>0</v>
      </c>
      <c r="Q42" s="163" t="e">
        <f>VLOOKUP($B:$B,#REF!,5,FALSE)</f>
        <v>#REF!</v>
      </c>
      <c r="R42" s="432">
        <f t="shared" si="6"/>
        <v>0</v>
      </c>
      <c r="S42" s="433"/>
      <c r="T42" s="432">
        <f t="shared" ref="T42:T55" si="67">IF(S42-R42&lt;0,0,S42-R42)</f>
        <v>0</v>
      </c>
      <c r="U42" s="163" t="e">
        <f>VLOOKUP($B:$B,#REF!,6,FALSE)</f>
        <v>#REF!</v>
      </c>
      <c r="V42" s="432">
        <f t="shared" si="8"/>
        <v>0</v>
      </c>
      <c r="W42" s="433" t="str">
        <f>IFERROR(VLOOKUP($A42,#REF!,2,0),"0")</f>
        <v>0</v>
      </c>
      <c r="X42" s="432">
        <f t="shared" si="9"/>
        <v>0</v>
      </c>
      <c r="Y42" s="163" t="e">
        <f>VLOOKUP($B:$B,#REF!,7,FALSE)</f>
        <v>#REF!</v>
      </c>
      <c r="Z42" s="432">
        <f t="shared" si="10"/>
        <v>0</v>
      </c>
      <c r="AA42" s="433" t="str">
        <f>IFERROR(VLOOKUP($A42,#REF!,2,0),"0")</f>
        <v>0</v>
      </c>
      <c r="AB42" s="432">
        <f t="shared" si="11"/>
        <v>0</v>
      </c>
      <c r="AC42" s="163" t="e">
        <f>VLOOKUP($B:$B,#REF!,8,FALSE)</f>
        <v>#REF!</v>
      </c>
      <c r="AD42" s="432">
        <f t="shared" si="12"/>
        <v>0</v>
      </c>
      <c r="AE42" s="433" t="str">
        <f>IFERROR(VLOOKUP($A42,#REF!,2,0),"0")</f>
        <v>0</v>
      </c>
      <c r="AF42" s="432">
        <f t="shared" si="13"/>
        <v>0</v>
      </c>
      <c r="AG42" s="163" t="e">
        <f>VLOOKUP($B:$B,#REF!,9,FALSE)</f>
        <v>#REF!</v>
      </c>
      <c r="AH42" s="432">
        <f t="shared" si="14"/>
        <v>0</v>
      </c>
      <c r="AI42" s="433" t="str">
        <f>IFERROR(VLOOKUP($A42,#REF!,2,0),"0")</f>
        <v>0</v>
      </c>
      <c r="AJ42" s="432">
        <f t="shared" si="15"/>
        <v>0</v>
      </c>
      <c r="AK42" s="163" t="e">
        <f>VLOOKUP($B:$B,#REF!,10,FALSE)</f>
        <v>#REF!</v>
      </c>
      <c r="AL42" s="432">
        <f t="shared" si="16"/>
        <v>0</v>
      </c>
      <c r="AM42" s="433" t="str">
        <f>IFERROR(VLOOKUP($A42,#REF!,2,0),"0")</f>
        <v>0</v>
      </c>
      <c r="AN42" s="432">
        <f t="shared" si="17"/>
        <v>0</v>
      </c>
      <c r="AO42" s="163" t="e">
        <f>VLOOKUP($B:$B,#REF!,11,FALSE)</f>
        <v>#REF!</v>
      </c>
      <c r="AP42" s="432">
        <f t="shared" si="18"/>
        <v>0</v>
      </c>
      <c r="AQ42" s="433" t="str">
        <f>IFERROR(VLOOKUP($A42,#REF!,2,0),"0")</f>
        <v>0</v>
      </c>
      <c r="AR42" s="432">
        <f t="shared" si="19"/>
        <v>0</v>
      </c>
      <c r="AS42" s="163" t="e">
        <f>VLOOKUP($B:$B,#REF!,12,FALSE)</f>
        <v>#REF!</v>
      </c>
      <c r="AT42" s="432">
        <f t="shared" si="20"/>
        <v>0</v>
      </c>
      <c r="AU42" s="433" t="str">
        <f>IFERROR(VLOOKUP($A42,#REF!,2,0),"0")</f>
        <v>0</v>
      </c>
      <c r="AV42" s="432">
        <f t="shared" si="21"/>
        <v>0</v>
      </c>
      <c r="AW42" s="163" t="e">
        <f>VLOOKUP($B:$B,#REF!,13,FALSE)</f>
        <v>#REF!</v>
      </c>
      <c r="AX42" s="432">
        <f t="shared" si="22"/>
        <v>0</v>
      </c>
      <c r="AY42" s="433" t="str">
        <f>IFERROR(VLOOKUP($A42,#REF!,2,0),"0")</f>
        <v>0</v>
      </c>
      <c r="AZ42" s="432">
        <f t="shared" si="23"/>
        <v>0</v>
      </c>
      <c r="BA42" s="163" t="e">
        <f>VLOOKUP($B:$B,#REF!,14,FALSE)</f>
        <v>#REF!</v>
      </c>
      <c r="BB42" s="432">
        <f t="shared" si="24"/>
        <v>0</v>
      </c>
      <c r="BC42" s="433" t="str">
        <f>IFERROR(VLOOKUP($A42,#REF!,2,0),"0")</f>
        <v>0</v>
      </c>
      <c r="BD42" s="432">
        <f t="shared" si="25"/>
        <v>0</v>
      </c>
      <c r="BE42" s="163" t="e">
        <f>VLOOKUP($B:$B,#REF!,15,FALSE)</f>
        <v>#REF!</v>
      </c>
      <c r="BF42" s="432">
        <f t="shared" si="26"/>
        <v>0</v>
      </c>
      <c r="BG42" s="433"/>
      <c r="BH42" s="432">
        <f t="shared" si="27"/>
        <v>0</v>
      </c>
      <c r="BI42" s="163" t="e">
        <f>VLOOKUP($B:$B,#REF!,16,FALSE)</f>
        <v>#REF!</v>
      </c>
      <c r="BJ42" s="432">
        <f t="shared" si="28"/>
        <v>0</v>
      </c>
      <c r="BK42" s="433"/>
      <c r="BL42" s="432">
        <f t="shared" si="29"/>
        <v>0</v>
      </c>
      <c r="BM42" s="163" t="e">
        <f>VLOOKUP($B:$B,#REF!,17,FALSE)</f>
        <v>#REF!</v>
      </c>
      <c r="BN42" s="432">
        <f t="shared" si="30"/>
        <v>0</v>
      </c>
      <c r="BO42" s="433" t="str">
        <f>IFERROR(VLOOKUP($A42,#REF!,2,0),"0")</f>
        <v>0</v>
      </c>
      <c r="BP42" s="432">
        <f t="shared" si="31"/>
        <v>0</v>
      </c>
      <c r="BQ42" s="163" t="e">
        <f>VLOOKUP($B:$B,#REF!,18,FALSE)</f>
        <v>#REF!</v>
      </c>
      <c r="BR42" s="432">
        <f t="shared" si="32"/>
        <v>0</v>
      </c>
      <c r="BS42" s="433" t="str">
        <f>IFERROR(VLOOKUP($A42,#REF!,2,0),"0")</f>
        <v>0</v>
      </c>
      <c r="BT42" s="432">
        <f t="shared" si="33"/>
        <v>0</v>
      </c>
      <c r="BU42" s="163" t="e">
        <f>VLOOKUP($B:$B,#REF!,19,FALSE)</f>
        <v>#REF!</v>
      </c>
      <c r="BV42" s="432">
        <f t="shared" si="34"/>
        <v>0</v>
      </c>
      <c r="BW42" s="433" t="str">
        <f>IFERROR(VLOOKUP($A42,#REF!,2,0),"0")</f>
        <v>0</v>
      </c>
      <c r="BX42" s="432">
        <f t="shared" si="35"/>
        <v>0</v>
      </c>
      <c r="BY42" s="163" t="e">
        <f>VLOOKUP($B:$B,#REF!,20,FALSE)</f>
        <v>#REF!</v>
      </c>
      <c r="BZ42" s="432">
        <f t="shared" si="36"/>
        <v>0</v>
      </c>
      <c r="CA42" s="433" t="str">
        <f>IFERROR(VLOOKUP($A42,#REF!,2,0),"0")</f>
        <v>0</v>
      </c>
      <c r="CB42" s="432">
        <f t="shared" si="37"/>
        <v>0</v>
      </c>
      <c r="CC42" s="163" t="e">
        <f>VLOOKUP($B:$B,#REF!,21,FALSE)</f>
        <v>#REF!</v>
      </c>
      <c r="CD42" s="432">
        <f t="shared" si="38"/>
        <v>0</v>
      </c>
      <c r="CE42" s="433"/>
      <c r="CF42" s="432">
        <f t="shared" si="39"/>
        <v>0</v>
      </c>
      <c r="CG42" s="163" t="e">
        <f>VLOOKUP($B:$B,#REF!,22,FALSE)</f>
        <v>#REF!</v>
      </c>
      <c r="CH42" s="432">
        <f t="shared" si="40"/>
        <v>0</v>
      </c>
      <c r="CI42" s="433" t="str">
        <f>IFERROR(VLOOKUP($A42,#REF!,2,0),"0")</f>
        <v>0</v>
      </c>
      <c r="CJ42" s="432">
        <f t="shared" si="41"/>
        <v>0</v>
      </c>
      <c r="CK42" s="163" t="e">
        <f>VLOOKUP($B:$B,#REF!,23,FALSE)</f>
        <v>#REF!</v>
      </c>
      <c r="CL42" s="432">
        <f t="shared" si="42"/>
        <v>0</v>
      </c>
      <c r="CM42" s="433" t="str">
        <f>IFERROR(VLOOKUP($A42,#REF!,2,0),"0")</f>
        <v>0</v>
      </c>
      <c r="CN42" s="432">
        <f t="shared" si="43"/>
        <v>0</v>
      </c>
      <c r="CO42" s="163" t="e">
        <f>VLOOKUP($B:$B,#REF!,24,FALSE)</f>
        <v>#REF!</v>
      </c>
      <c r="CP42" s="432">
        <f t="shared" si="44"/>
        <v>0</v>
      </c>
      <c r="CQ42" s="433" t="str">
        <f>IFERROR(VLOOKUP($A42,#REF!,2,0),"0")</f>
        <v>0</v>
      </c>
      <c r="CR42" s="432">
        <f t="shared" si="45"/>
        <v>0</v>
      </c>
      <c r="CS42" s="163" t="e">
        <f>VLOOKUP($B:$B,#REF!,25,FALSE)</f>
        <v>#REF!</v>
      </c>
      <c r="CT42" s="432">
        <f t="shared" si="46"/>
        <v>0</v>
      </c>
      <c r="CU42" s="433" t="str">
        <f>IFERROR(VLOOKUP($A42,#REF!,2,0),"0")</f>
        <v>0</v>
      </c>
      <c r="CV42" s="432">
        <f t="shared" si="47"/>
        <v>0</v>
      </c>
      <c r="CW42" s="163" t="e">
        <f>VLOOKUP($B:$B,#REF!,26,FALSE)</f>
        <v>#REF!</v>
      </c>
      <c r="CX42" s="432">
        <f t="shared" si="48"/>
        <v>0</v>
      </c>
      <c r="CY42" s="433" t="str">
        <f>IFERROR(VLOOKUP($A42,#REF!,2,0),"0")</f>
        <v>0</v>
      </c>
      <c r="CZ42" s="432">
        <f t="shared" si="49"/>
        <v>0</v>
      </c>
      <c r="DA42" s="163" t="e">
        <f>VLOOKUP($B:$B,#REF!,27,FALSE)</f>
        <v>#REF!</v>
      </c>
      <c r="DB42" s="432">
        <f t="shared" si="50"/>
        <v>0</v>
      </c>
      <c r="DC42" s="433" t="str">
        <f>IFERROR(VLOOKUP($A42,#REF!,2,0),"0")</f>
        <v>0</v>
      </c>
      <c r="DD42" s="432">
        <f t="shared" si="51"/>
        <v>0</v>
      </c>
      <c r="DE42" s="163" t="e">
        <f>VLOOKUP($B:$B,#REF!,28,FALSE)</f>
        <v>#REF!</v>
      </c>
      <c r="DF42" s="432">
        <f t="shared" si="52"/>
        <v>0</v>
      </c>
      <c r="DG42" s="433" t="str">
        <f>IFERROR(VLOOKUP($A42,#REF!,2,0),"0")</f>
        <v>0</v>
      </c>
      <c r="DH42" s="432">
        <f t="shared" si="53"/>
        <v>0</v>
      </c>
      <c r="DI42" s="163" t="e">
        <f>VLOOKUP($B:$B,#REF!,29,FALSE)</f>
        <v>#REF!</v>
      </c>
      <c r="DJ42" s="432">
        <f t="shared" si="54"/>
        <v>0</v>
      </c>
      <c r="DK42" s="433" t="str">
        <f>IFERROR(VLOOKUP($A42,#REF!,2,0),"0")</f>
        <v>0</v>
      </c>
      <c r="DL42" s="432">
        <f t="shared" si="55"/>
        <v>0</v>
      </c>
      <c r="DM42" s="163" t="e">
        <f>VLOOKUP($B:$B,#REF!,30,FALSE)</f>
        <v>#REF!</v>
      </c>
      <c r="DN42" s="432">
        <f t="shared" si="56"/>
        <v>0</v>
      </c>
      <c r="DO42" s="432"/>
      <c r="DP42" s="432">
        <f t="shared" si="57"/>
        <v>0</v>
      </c>
      <c r="DQ42" s="163" t="e">
        <f>VLOOKUP($B:$B,#REF!,31,FALSE)</f>
        <v>#REF!</v>
      </c>
      <c r="DR42" s="432">
        <f t="shared" si="58"/>
        <v>0</v>
      </c>
      <c r="DS42" s="434"/>
      <c r="DT42" s="432">
        <f t="shared" si="59"/>
        <v>0</v>
      </c>
      <c r="DU42" s="163" t="e">
        <f>VLOOKUP($B:$B,#REF!,32,FALSE)</f>
        <v>#REF!</v>
      </c>
      <c r="DV42" s="432">
        <f t="shared" si="60"/>
        <v>0</v>
      </c>
      <c r="DW42" s="434"/>
      <c r="DX42" s="432">
        <f t="shared" si="61"/>
        <v>0</v>
      </c>
      <c r="DY42" s="432">
        <f t="shared" si="62"/>
        <v>0</v>
      </c>
    </row>
    <row r="43" spans="1:129" ht="15.75">
      <c r="A43" s="166" t="s">
        <v>94</v>
      </c>
      <c r="B43" s="506" t="s">
        <v>95</v>
      </c>
      <c r="C43" s="166">
        <v>1750411421</v>
      </c>
      <c r="D43" s="431">
        <v>34280</v>
      </c>
      <c r="E43" s="163" t="e">
        <f>VLOOKUP($B:$B,#REF!,2,FALSE)</f>
        <v>#REF!</v>
      </c>
      <c r="F43" s="432">
        <f t="shared" si="0"/>
        <v>0</v>
      </c>
      <c r="G43" s="433" t="str">
        <f>IFERROR(VLOOKUP($A43,#REF!,2,0),"0")</f>
        <v>0</v>
      </c>
      <c r="H43" s="432">
        <f t="shared" si="66"/>
        <v>0</v>
      </c>
      <c r="I43" s="163" t="e">
        <f>VLOOKUP($B:$B,#REF!,3,FALSE)</f>
        <v>#REF!</v>
      </c>
      <c r="J43" s="432">
        <f t="shared" si="2"/>
        <v>0</v>
      </c>
      <c r="K43" s="433" t="str">
        <f>IFERROR(VLOOKUP($A43,#REF!,2,0),"0")</f>
        <v>0</v>
      </c>
      <c r="L43" s="432">
        <f t="shared" si="63"/>
        <v>0</v>
      </c>
      <c r="M43" s="163" t="e">
        <f>VLOOKUP($B:$B,#REF!,4,FALSE)</f>
        <v>#REF!</v>
      </c>
      <c r="N43" s="432">
        <f t="shared" si="4"/>
        <v>0</v>
      </c>
      <c r="O43" s="433" t="str">
        <f>IFERROR(VLOOKUP($A43,#REF!,2,0),"0")</f>
        <v>0</v>
      </c>
      <c r="P43" s="432">
        <f t="shared" si="5"/>
        <v>0</v>
      </c>
      <c r="Q43" s="163" t="e">
        <f>VLOOKUP($B:$B,#REF!,5,FALSE)</f>
        <v>#REF!</v>
      </c>
      <c r="R43" s="432">
        <f t="shared" si="6"/>
        <v>0</v>
      </c>
      <c r="S43" s="433" t="str">
        <f>IFERROR(VLOOKUP($A43,#REF!,2,0),"0")</f>
        <v>0</v>
      </c>
      <c r="T43" s="432">
        <f t="shared" si="67"/>
        <v>0</v>
      </c>
      <c r="U43" s="163" t="e">
        <f>VLOOKUP($B:$B,#REF!,6,FALSE)</f>
        <v>#REF!</v>
      </c>
      <c r="V43" s="432">
        <f t="shared" si="8"/>
        <v>0</v>
      </c>
      <c r="W43" s="433" t="str">
        <f>IFERROR(VLOOKUP($A43,#REF!,2,0),"0")</f>
        <v>0</v>
      </c>
      <c r="X43" s="432">
        <f t="shared" si="9"/>
        <v>0</v>
      </c>
      <c r="Y43" s="163" t="e">
        <f>VLOOKUP($B:$B,#REF!,7,FALSE)</f>
        <v>#REF!</v>
      </c>
      <c r="Z43" s="432">
        <f t="shared" si="10"/>
        <v>0</v>
      </c>
      <c r="AA43" s="433" t="str">
        <f>IFERROR(VLOOKUP($A43,#REF!,2,0),"0")</f>
        <v>0</v>
      </c>
      <c r="AB43" s="432">
        <f t="shared" si="11"/>
        <v>0</v>
      </c>
      <c r="AC43" s="163" t="e">
        <f>VLOOKUP($B:$B,#REF!,8,FALSE)</f>
        <v>#REF!</v>
      </c>
      <c r="AD43" s="432">
        <f t="shared" si="12"/>
        <v>0</v>
      </c>
      <c r="AE43" s="433" t="str">
        <f>IFERROR(VLOOKUP($A43,#REF!,2,0),"0")</f>
        <v>0</v>
      </c>
      <c r="AF43" s="432">
        <f t="shared" si="13"/>
        <v>0</v>
      </c>
      <c r="AG43" s="163" t="e">
        <f>VLOOKUP($B:$B,#REF!,9,FALSE)</f>
        <v>#REF!</v>
      </c>
      <c r="AH43" s="432">
        <f t="shared" si="14"/>
        <v>0</v>
      </c>
      <c r="AI43" s="433" t="str">
        <f>IFERROR(VLOOKUP($A43,#REF!,2,0),"0")</f>
        <v>0</v>
      </c>
      <c r="AJ43" s="432">
        <f t="shared" si="15"/>
        <v>0</v>
      </c>
      <c r="AK43" s="163" t="e">
        <f>VLOOKUP($B:$B,#REF!,10,FALSE)</f>
        <v>#REF!</v>
      </c>
      <c r="AL43" s="432">
        <f t="shared" si="16"/>
        <v>0</v>
      </c>
      <c r="AM43" s="433" t="str">
        <f>IFERROR(VLOOKUP($A43,#REF!,2,0),"0")</f>
        <v>0</v>
      </c>
      <c r="AN43" s="432">
        <f t="shared" si="17"/>
        <v>0</v>
      </c>
      <c r="AO43" s="163" t="e">
        <f>VLOOKUP($B:$B,#REF!,11,FALSE)</f>
        <v>#REF!</v>
      </c>
      <c r="AP43" s="432">
        <f t="shared" si="18"/>
        <v>0</v>
      </c>
      <c r="AQ43" s="433" t="str">
        <f>IFERROR(VLOOKUP($A43,#REF!,2,0),"0")</f>
        <v>0</v>
      </c>
      <c r="AR43" s="432">
        <f t="shared" si="19"/>
        <v>0</v>
      </c>
      <c r="AS43" s="163" t="e">
        <f>VLOOKUP($B:$B,#REF!,12,FALSE)</f>
        <v>#REF!</v>
      </c>
      <c r="AT43" s="432">
        <f t="shared" si="20"/>
        <v>0</v>
      </c>
      <c r="AU43" s="433" t="str">
        <f>IFERROR(VLOOKUP($A43,#REF!,2,0),"0")</f>
        <v>0</v>
      </c>
      <c r="AV43" s="432">
        <f t="shared" si="21"/>
        <v>0</v>
      </c>
      <c r="AW43" s="163" t="e">
        <f>VLOOKUP($B:$B,#REF!,13,FALSE)</f>
        <v>#REF!</v>
      </c>
      <c r="AX43" s="432">
        <f t="shared" si="22"/>
        <v>0</v>
      </c>
      <c r="AY43" s="433" t="str">
        <f>IFERROR(VLOOKUP($A43,#REF!,2,0),"0")</f>
        <v>0</v>
      </c>
      <c r="AZ43" s="432">
        <f t="shared" si="23"/>
        <v>0</v>
      </c>
      <c r="BA43" s="163" t="e">
        <f>VLOOKUP($B:$B,#REF!,14,FALSE)</f>
        <v>#REF!</v>
      </c>
      <c r="BB43" s="432">
        <f t="shared" si="24"/>
        <v>0</v>
      </c>
      <c r="BC43" s="433" t="str">
        <f>IFERROR(VLOOKUP($A43,#REF!,2,0),"0")</f>
        <v>0</v>
      </c>
      <c r="BD43" s="432">
        <f t="shared" si="25"/>
        <v>0</v>
      </c>
      <c r="BE43" s="163" t="e">
        <f>VLOOKUP($B:$B,#REF!,15,FALSE)</f>
        <v>#REF!</v>
      </c>
      <c r="BF43" s="432">
        <f t="shared" si="26"/>
        <v>0</v>
      </c>
      <c r="BG43" s="433" t="str">
        <f>IFERROR(VLOOKUP($A43,#REF!,2,0),"0")</f>
        <v>0</v>
      </c>
      <c r="BH43" s="432">
        <f t="shared" si="27"/>
        <v>0</v>
      </c>
      <c r="BI43" s="163" t="e">
        <f>VLOOKUP($B:$B,#REF!,16,FALSE)</f>
        <v>#REF!</v>
      </c>
      <c r="BJ43" s="432">
        <f t="shared" si="28"/>
        <v>0</v>
      </c>
      <c r="BK43" s="433" t="str">
        <f>IFERROR(VLOOKUP($A43,#REF!,2,0),"0")</f>
        <v>0</v>
      </c>
      <c r="BL43" s="432">
        <f t="shared" si="29"/>
        <v>0</v>
      </c>
      <c r="BM43" s="163" t="e">
        <f>VLOOKUP($B:$B,#REF!,17,FALSE)</f>
        <v>#REF!</v>
      </c>
      <c r="BN43" s="432">
        <f t="shared" si="30"/>
        <v>0</v>
      </c>
      <c r="BO43" s="433" t="str">
        <f>IFERROR(VLOOKUP($A43,#REF!,2,0),"0")</f>
        <v>0</v>
      </c>
      <c r="BP43" s="432">
        <f t="shared" si="31"/>
        <v>0</v>
      </c>
      <c r="BQ43" s="163" t="e">
        <f>VLOOKUP($B:$B,#REF!,18,FALSE)</f>
        <v>#REF!</v>
      </c>
      <c r="BR43" s="432">
        <f t="shared" si="32"/>
        <v>0</v>
      </c>
      <c r="BS43" s="433" t="str">
        <f>IFERROR(VLOOKUP($A43,#REF!,2,0),"0")</f>
        <v>0</v>
      </c>
      <c r="BT43" s="432">
        <f t="shared" si="33"/>
        <v>0</v>
      </c>
      <c r="BU43" s="163" t="e">
        <f>VLOOKUP($B:$B,#REF!,19,FALSE)</f>
        <v>#REF!</v>
      </c>
      <c r="BV43" s="432">
        <f t="shared" si="34"/>
        <v>0</v>
      </c>
      <c r="BW43" s="433" t="str">
        <f>IFERROR(VLOOKUP($A43,#REF!,2,0),"0")</f>
        <v>0</v>
      </c>
      <c r="BX43" s="432">
        <f t="shared" si="35"/>
        <v>0</v>
      </c>
      <c r="BY43" s="163" t="e">
        <f>VLOOKUP($B:$B,#REF!,20,FALSE)</f>
        <v>#REF!</v>
      </c>
      <c r="BZ43" s="432">
        <f t="shared" si="36"/>
        <v>0</v>
      </c>
      <c r="CA43" s="433" t="str">
        <f>IFERROR(VLOOKUP($A43,#REF!,2,0),"0")</f>
        <v>0</v>
      </c>
      <c r="CB43" s="432">
        <f t="shared" si="37"/>
        <v>0</v>
      </c>
      <c r="CC43" s="163" t="e">
        <f>VLOOKUP($B:$B,#REF!,21,FALSE)</f>
        <v>#REF!</v>
      </c>
      <c r="CD43" s="432">
        <f t="shared" si="38"/>
        <v>0</v>
      </c>
      <c r="CE43" s="433" t="str">
        <f>IFERROR(VLOOKUP($A43,#REF!,2,0),"0")</f>
        <v>0</v>
      </c>
      <c r="CF43" s="432">
        <f t="shared" si="39"/>
        <v>0</v>
      </c>
      <c r="CG43" s="163" t="e">
        <f>VLOOKUP($B:$B,#REF!,22,FALSE)</f>
        <v>#REF!</v>
      </c>
      <c r="CH43" s="432">
        <f t="shared" si="40"/>
        <v>0</v>
      </c>
      <c r="CI43" s="433" t="str">
        <f>IFERROR(VLOOKUP($A43,#REF!,2,0),"0")</f>
        <v>0</v>
      </c>
      <c r="CJ43" s="432">
        <f t="shared" si="41"/>
        <v>0</v>
      </c>
      <c r="CK43" s="163" t="e">
        <f>VLOOKUP($B:$B,#REF!,23,FALSE)</f>
        <v>#REF!</v>
      </c>
      <c r="CL43" s="432">
        <f t="shared" si="42"/>
        <v>0</v>
      </c>
      <c r="CM43" s="433" t="str">
        <f>IFERROR(VLOOKUP($A43,#REF!,2,0),"0")</f>
        <v>0</v>
      </c>
      <c r="CN43" s="432">
        <f t="shared" si="43"/>
        <v>0</v>
      </c>
      <c r="CO43" s="163" t="e">
        <f>VLOOKUP($B:$B,#REF!,24,FALSE)</f>
        <v>#REF!</v>
      </c>
      <c r="CP43" s="432">
        <f t="shared" si="44"/>
        <v>0</v>
      </c>
      <c r="CQ43" s="433" t="str">
        <f>IFERROR(VLOOKUP($A43,#REF!,2,0),"0")</f>
        <v>0</v>
      </c>
      <c r="CR43" s="432">
        <f t="shared" si="45"/>
        <v>0</v>
      </c>
      <c r="CS43" s="163" t="e">
        <f>VLOOKUP($B:$B,#REF!,25,FALSE)</f>
        <v>#REF!</v>
      </c>
      <c r="CT43" s="432">
        <f t="shared" si="46"/>
        <v>0</v>
      </c>
      <c r="CU43" s="433" t="str">
        <f>IFERROR(VLOOKUP($A43,#REF!,2,0),"0")</f>
        <v>0</v>
      </c>
      <c r="CV43" s="432">
        <f t="shared" si="47"/>
        <v>0</v>
      </c>
      <c r="CW43" s="163" t="e">
        <f>VLOOKUP($B:$B,#REF!,26,FALSE)</f>
        <v>#REF!</v>
      </c>
      <c r="CX43" s="432">
        <f t="shared" si="48"/>
        <v>0</v>
      </c>
      <c r="CY43" s="433" t="str">
        <f>IFERROR(VLOOKUP($A43,#REF!,2,0),"0")</f>
        <v>0</v>
      </c>
      <c r="CZ43" s="432">
        <f t="shared" si="49"/>
        <v>0</v>
      </c>
      <c r="DA43" s="163" t="e">
        <f>VLOOKUP($B:$B,#REF!,27,FALSE)</f>
        <v>#REF!</v>
      </c>
      <c r="DB43" s="432">
        <f t="shared" si="50"/>
        <v>0</v>
      </c>
      <c r="DC43" s="433" t="str">
        <f>IFERROR(VLOOKUP($A43,#REF!,2,0),"0")</f>
        <v>0</v>
      </c>
      <c r="DD43" s="432">
        <f t="shared" si="51"/>
        <v>0</v>
      </c>
      <c r="DE43" s="163" t="e">
        <f>VLOOKUP($B:$B,#REF!,28,FALSE)</f>
        <v>#REF!</v>
      </c>
      <c r="DF43" s="432">
        <f t="shared" si="52"/>
        <v>0</v>
      </c>
      <c r="DG43" s="433" t="str">
        <f>IFERROR(VLOOKUP($A43,#REF!,2,0),"0")</f>
        <v>0</v>
      </c>
      <c r="DH43" s="432">
        <f t="shared" si="53"/>
        <v>0</v>
      </c>
      <c r="DI43" s="163" t="e">
        <f>VLOOKUP($B:$B,#REF!,29,FALSE)</f>
        <v>#REF!</v>
      </c>
      <c r="DJ43" s="432">
        <f t="shared" si="54"/>
        <v>0</v>
      </c>
      <c r="DK43" s="433" t="str">
        <f>IFERROR(VLOOKUP($A43,#REF!,2,0),"0")</f>
        <v>0</v>
      </c>
      <c r="DL43" s="432">
        <f t="shared" si="55"/>
        <v>0</v>
      </c>
      <c r="DM43" s="163" t="e">
        <f>VLOOKUP($B:$B,#REF!,30,FALSE)</f>
        <v>#REF!</v>
      </c>
      <c r="DN43" s="432">
        <f t="shared" si="56"/>
        <v>0</v>
      </c>
      <c r="DO43" s="432"/>
      <c r="DP43" s="432">
        <f t="shared" si="57"/>
        <v>0</v>
      </c>
      <c r="DQ43" s="163" t="e">
        <f>VLOOKUP($B:$B,#REF!,31,FALSE)</f>
        <v>#REF!</v>
      </c>
      <c r="DR43" s="432">
        <f t="shared" si="58"/>
        <v>0</v>
      </c>
      <c r="DS43" s="434"/>
      <c r="DT43" s="432">
        <f t="shared" si="59"/>
        <v>0</v>
      </c>
      <c r="DU43" s="163" t="e">
        <f>VLOOKUP($B:$B,#REF!,32,FALSE)</f>
        <v>#REF!</v>
      </c>
      <c r="DV43" s="432">
        <f t="shared" si="60"/>
        <v>0</v>
      </c>
      <c r="DW43" s="434"/>
      <c r="DX43" s="432">
        <f t="shared" si="61"/>
        <v>0</v>
      </c>
      <c r="DY43" s="432">
        <f t="shared" si="62"/>
        <v>0</v>
      </c>
    </row>
    <row r="44" spans="1:129" ht="15.75">
      <c r="A44" s="166" t="s">
        <v>130</v>
      </c>
      <c r="B44" s="506" t="s">
        <v>131</v>
      </c>
      <c r="C44" s="166">
        <v>1726561465</v>
      </c>
      <c r="D44" s="431">
        <v>38681</v>
      </c>
      <c r="E44" s="163" t="e">
        <f>VLOOKUP($B:$B,#REF!,2,FALSE)</f>
        <v>#REF!</v>
      </c>
      <c r="F44" s="432">
        <f t="shared" si="0"/>
        <v>0</v>
      </c>
      <c r="G44" s="433" t="str">
        <f>IFERROR(VLOOKUP($A44,#REF!,2,0),"0")</f>
        <v>0</v>
      </c>
      <c r="H44" s="432">
        <f t="shared" si="66"/>
        <v>0</v>
      </c>
      <c r="I44" s="163" t="e">
        <f>VLOOKUP($B:$B,#REF!,3,FALSE)</f>
        <v>#REF!</v>
      </c>
      <c r="J44" s="432">
        <f t="shared" si="2"/>
        <v>0</v>
      </c>
      <c r="K44" s="433" t="str">
        <f>IFERROR(VLOOKUP($A44,#REF!,2,0),"0")</f>
        <v>0</v>
      </c>
      <c r="L44" s="432">
        <f t="shared" si="63"/>
        <v>0</v>
      </c>
      <c r="M44" s="163" t="e">
        <f>VLOOKUP($B:$B,#REF!,4,FALSE)</f>
        <v>#REF!</v>
      </c>
      <c r="N44" s="432">
        <f t="shared" si="4"/>
        <v>0</v>
      </c>
      <c r="O44" s="433" t="str">
        <f>IFERROR(VLOOKUP($A44,#REF!,2,0),"0")</f>
        <v>0</v>
      </c>
      <c r="P44" s="432">
        <f t="shared" si="5"/>
        <v>0</v>
      </c>
      <c r="Q44" s="163" t="e">
        <f>VLOOKUP($B:$B,#REF!,5,FALSE)</f>
        <v>#REF!</v>
      </c>
      <c r="R44" s="432">
        <f t="shared" si="6"/>
        <v>0</v>
      </c>
      <c r="S44" s="433" t="str">
        <f>IFERROR(VLOOKUP($A44,#REF!,2,0),"0")</f>
        <v>0</v>
      </c>
      <c r="T44" s="432">
        <f t="shared" si="67"/>
        <v>0</v>
      </c>
      <c r="U44" s="163" t="e">
        <f>VLOOKUP($B:$B,#REF!,6,FALSE)</f>
        <v>#REF!</v>
      </c>
      <c r="V44" s="432">
        <f t="shared" si="8"/>
        <v>0</v>
      </c>
      <c r="W44" s="433" t="str">
        <f>IFERROR(VLOOKUP($A44,#REF!,2,0),"0")</f>
        <v>0</v>
      </c>
      <c r="X44" s="432">
        <f t="shared" si="9"/>
        <v>0</v>
      </c>
      <c r="Y44" s="163" t="e">
        <f>VLOOKUP($B:$B,#REF!,7,FALSE)</f>
        <v>#REF!</v>
      </c>
      <c r="Z44" s="432">
        <f t="shared" si="10"/>
        <v>0</v>
      </c>
      <c r="AA44" s="433" t="str">
        <f>IFERROR(VLOOKUP($A44,#REF!,2,0),"0")</f>
        <v>0</v>
      </c>
      <c r="AB44" s="432">
        <f t="shared" si="11"/>
        <v>0</v>
      </c>
      <c r="AC44" s="163" t="e">
        <f>VLOOKUP($B:$B,#REF!,8,FALSE)</f>
        <v>#REF!</v>
      </c>
      <c r="AD44" s="432">
        <f t="shared" si="12"/>
        <v>0</v>
      </c>
      <c r="AE44" s="433" t="str">
        <f>IFERROR(VLOOKUP($A44,#REF!,2,0),"0")</f>
        <v>0</v>
      </c>
      <c r="AF44" s="432">
        <f t="shared" si="13"/>
        <v>0</v>
      </c>
      <c r="AG44" s="163" t="e">
        <f>VLOOKUP($B:$B,#REF!,9,FALSE)</f>
        <v>#REF!</v>
      </c>
      <c r="AH44" s="432">
        <f t="shared" si="14"/>
        <v>0</v>
      </c>
      <c r="AI44" s="433" t="str">
        <f>IFERROR(VLOOKUP($A44,#REF!,2,0),"0")</f>
        <v>0</v>
      </c>
      <c r="AJ44" s="432">
        <f t="shared" si="15"/>
        <v>0</v>
      </c>
      <c r="AK44" s="163" t="e">
        <f>VLOOKUP($B:$B,#REF!,10,FALSE)</f>
        <v>#REF!</v>
      </c>
      <c r="AL44" s="432">
        <f t="shared" si="16"/>
        <v>0</v>
      </c>
      <c r="AM44" s="433" t="str">
        <f>IFERROR(VLOOKUP($A44,#REF!,2,0),"0")</f>
        <v>0</v>
      </c>
      <c r="AN44" s="432">
        <f t="shared" si="17"/>
        <v>0</v>
      </c>
      <c r="AO44" s="163" t="e">
        <f>VLOOKUP($B:$B,#REF!,11,FALSE)</f>
        <v>#REF!</v>
      </c>
      <c r="AP44" s="432">
        <f t="shared" si="18"/>
        <v>0</v>
      </c>
      <c r="AQ44" s="433" t="str">
        <f>IFERROR(VLOOKUP($A44,#REF!,2,0),"0")</f>
        <v>0</v>
      </c>
      <c r="AR44" s="432">
        <f t="shared" si="19"/>
        <v>0</v>
      </c>
      <c r="AS44" s="163" t="e">
        <f>VLOOKUP($B:$B,#REF!,12,FALSE)</f>
        <v>#REF!</v>
      </c>
      <c r="AT44" s="432">
        <f t="shared" si="20"/>
        <v>0</v>
      </c>
      <c r="AU44" s="433" t="str">
        <f>IFERROR(VLOOKUP($A44,#REF!,2,0),"0")</f>
        <v>0</v>
      </c>
      <c r="AV44" s="432">
        <f t="shared" si="21"/>
        <v>0</v>
      </c>
      <c r="AW44" s="163" t="e">
        <f>VLOOKUP($B:$B,#REF!,13,FALSE)</f>
        <v>#REF!</v>
      </c>
      <c r="AX44" s="432">
        <f t="shared" si="22"/>
        <v>0</v>
      </c>
      <c r="AY44" s="433" t="str">
        <f>IFERROR(VLOOKUP($A44,#REF!,2,0),"0")</f>
        <v>0</v>
      </c>
      <c r="AZ44" s="432">
        <f t="shared" si="23"/>
        <v>0</v>
      </c>
      <c r="BA44" s="163" t="e">
        <f>VLOOKUP($B:$B,#REF!,14,FALSE)</f>
        <v>#REF!</v>
      </c>
      <c r="BB44" s="432">
        <f t="shared" si="24"/>
        <v>0</v>
      </c>
      <c r="BC44" s="433" t="str">
        <f>IFERROR(VLOOKUP($A44,#REF!,2,0),"0")</f>
        <v>0</v>
      </c>
      <c r="BD44" s="432">
        <f t="shared" si="25"/>
        <v>0</v>
      </c>
      <c r="BE44" s="163" t="e">
        <f>VLOOKUP($B:$B,#REF!,15,FALSE)</f>
        <v>#REF!</v>
      </c>
      <c r="BF44" s="432">
        <f t="shared" si="26"/>
        <v>0</v>
      </c>
      <c r="BG44" s="433"/>
      <c r="BH44" s="432">
        <f t="shared" si="27"/>
        <v>0</v>
      </c>
      <c r="BI44" s="163" t="e">
        <f>VLOOKUP($B:$B,#REF!,16,FALSE)</f>
        <v>#REF!</v>
      </c>
      <c r="BJ44" s="432">
        <f t="shared" si="28"/>
        <v>0</v>
      </c>
      <c r="BK44" s="433" t="str">
        <f>IFERROR(VLOOKUP($A44,#REF!,2,0),"0")</f>
        <v>0</v>
      </c>
      <c r="BL44" s="432">
        <f t="shared" si="29"/>
        <v>0</v>
      </c>
      <c r="BM44" s="163" t="e">
        <f>VLOOKUP($B:$B,#REF!,17,FALSE)</f>
        <v>#REF!</v>
      </c>
      <c r="BN44" s="432">
        <f t="shared" si="30"/>
        <v>0</v>
      </c>
      <c r="BO44" s="433" t="str">
        <f>IFERROR(VLOOKUP($A44,#REF!,2,0),"0")</f>
        <v>0</v>
      </c>
      <c r="BP44" s="432">
        <f t="shared" si="31"/>
        <v>0</v>
      </c>
      <c r="BQ44" s="163" t="e">
        <f>VLOOKUP($B:$B,#REF!,18,FALSE)</f>
        <v>#REF!</v>
      </c>
      <c r="BR44" s="432">
        <f t="shared" si="32"/>
        <v>0</v>
      </c>
      <c r="BS44" s="433" t="str">
        <f>IFERROR(VLOOKUP($A44,#REF!,2,0),"0")</f>
        <v>0</v>
      </c>
      <c r="BT44" s="432">
        <f t="shared" si="33"/>
        <v>0</v>
      </c>
      <c r="BU44" s="163" t="e">
        <f>VLOOKUP($B:$B,#REF!,19,FALSE)</f>
        <v>#REF!</v>
      </c>
      <c r="BV44" s="432">
        <f t="shared" si="34"/>
        <v>0</v>
      </c>
      <c r="BW44" s="433" t="str">
        <f>IFERROR(VLOOKUP($A44,#REF!,2,0),"0")</f>
        <v>0</v>
      </c>
      <c r="BX44" s="432">
        <f t="shared" si="35"/>
        <v>0</v>
      </c>
      <c r="BY44" s="163" t="e">
        <f>VLOOKUP($B:$B,#REF!,20,FALSE)</f>
        <v>#REF!</v>
      </c>
      <c r="BZ44" s="432">
        <f t="shared" si="36"/>
        <v>0</v>
      </c>
      <c r="CA44" s="433" t="str">
        <f>IFERROR(VLOOKUP($A44,#REF!,2,0),"0")</f>
        <v>0</v>
      </c>
      <c r="CB44" s="432">
        <f t="shared" si="37"/>
        <v>0</v>
      </c>
      <c r="CC44" s="163" t="e">
        <f>VLOOKUP($B:$B,#REF!,21,FALSE)</f>
        <v>#REF!</v>
      </c>
      <c r="CD44" s="432">
        <f t="shared" si="38"/>
        <v>0</v>
      </c>
      <c r="CE44" s="433" t="str">
        <f>IFERROR(VLOOKUP($A44,#REF!,2,0),"0")</f>
        <v>0</v>
      </c>
      <c r="CF44" s="432">
        <f t="shared" si="39"/>
        <v>0</v>
      </c>
      <c r="CG44" s="163" t="e">
        <f>VLOOKUP($B:$B,#REF!,22,FALSE)</f>
        <v>#REF!</v>
      </c>
      <c r="CH44" s="432">
        <f t="shared" si="40"/>
        <v>0</v>
      </c>
      <c r="CI44" s="433" t="str">
        <f>IFERROR(VLOOKUP($A44,#REF!,2,0),"0")</f>
        <v>0</v>
      </c>
      <c r="CJ44" s="432">
        <f t="shared" si="41"/>
        <v>0</v>
      </c>
      <c r="CK44" s="163" t="e">
        <f>VLOOKUP($B:$B,#REF!,23,FALSE)</f>
        <v>#REF!</v>
      </c>
      <c r="CL44" s="432">
        <f t="shared" si="42"/>
        <v>0</v>
      </c>
      <c r="CM44" s="433" t="str">
        <f>IFERROR(VLOOKUP($A44,#REF!,2,0),"0")</f>
        <v>0</v>
      </c>
      <c r="CN44" s="432">
        <f t="shared" si="43"/>
        <v>0</v>
      </c>
      <c r="CO44" s="163" t="e">
        <f>VLOOKUP($B:$B,#REF!,24,FALSE)</f>
        <v>#REF!</v>
      </c>
      <c r="CP44" s="432">
        <f t="shared" si="44"/>
        <v>0</v>
      </c>
      <c r="CQ44" s="433" t="str">
        <f>IFERROR(VLOOKUP($A44,#REF!,2,0),"0")</f>
        <v>0</v>
      </c>
      <c r="CR44" s="432">
        <f t="shared" si="45"/>
        <v>0</v>
      </c>
      <c r="CS44" s="163" t="e">
        <f>VLOOKUP($B:$B,#REF!,25,FALSE)</f>
        <v>#REF!</v>
      </c>
      <c r="CT44" s="432">
        <f t="shared" si="46"/>
        <v>0</v>
      </c>
      <c r="CU44" s="433" t="str">
        <f>IFERROR(VLOOKUP($A44,#REF!,2,0),"0")</f>
        <v>0</v>
      </c>
      <c r="CV44" s="432">
        <f t="shared" si="47"/>
        <v>0</v>
      </c>
      <c r="CW44" s="163" t="e">
        <f>VLOOKUP($B:$B,#REF!,26,FALSE)</f>
        <v>#REF!</v>
      </c>
      <c r="CX44" s="432">
        <f t="shared" si="48"/>
        <v>0</v>
      </c>
      <c r="CY44" s="433" t="str">
        <f>IFERROR(VLOOKUP($A44,#REF!,2,0),"0")</f>
        <v>0</v>
      </c>
      <c r="CZ44" s="432">
        <f t="shared" si="49"/>
        <v>0</v>
      </c>
      <c r="DA44" s="163" t="e">
        <f>VLOOKUP($B:$B,#REF!,27,FALSE)</f>
        <v>#REF!</v>
      </c>
      <c r="DB44" s="432">
        <f t="shared" si="50"/>
        <v>0</v>
      </c>
      <c r="DC44" s="433" t="str">
        <f>IFERROR(VLOOKUP($A44,#REF!,2,0),"0")</f>
        <v>0</v>
      </c>
      <c r="DD44" s="432">
        <f t="shared" si="51"/>
        <v>0</v>
      </c>
      <c r="DE44" s="163" t="e">
        <f>VLOOKUP($B:$B,#REF!,28,FALSE)</f>
        <v>#REF!</v>
      </c>
      <c r="DF44" s="432">
        <f t="shared" si="52"/>
        <v>0</v>
      </c>
      <c r="DG44" s="433" t="str">
        <f>IFERROR(VLOOKUP($A44,#REF!,2,0),"0")</f>
        <v>0</v>
      </c>
      <c r="DH44" s="432">
        <f t="shared" si="53"/>
        <v>0</v>
      </c>
      <c r="DI44" s="163" t="e">
        <f>VLOOKUP($B:$B,#REF!,29,FALSE)</f>
        <v>#REF!</v>
      </c>
      <c r="DJ44" s="432">
        <f t="shared" si="54"/>
        <v>0</v>
      </c>
      <c r="DK44" s="433" t="str">
        <f>IFERROR(VLOOKUP($A44,#REF!,2,0),"0")</f>
        <v>0</v>
      </c>
      <c r="DL44" s="432">
        <f t="shared" si="55"/>
        <v>0</v>
      </c>
      <c r="DM44" s="163" t="e">
        <f>VLOOKUP($B:$B,#REF!,30,FALSE)</f>
        <v>#REF!</v>
      </c>
      <c r="DN44" s="432">
        <f t="shared" si="56"/>
        <v>0</v>
      </c>
      <c r="DO44" s="432"/>
      <c r="DP44" s="432">
        <f t="shared" si="57"/>
        <v>0</v>
      </c>
      <c r="DQ44" s="163" t="e">
        <f>VLOOKUP($B:$B,#REF!,31,FALSE)</f>
        <v>#REF!</v>
      </c>
      <c r="DR44" s="432">
        <f t="shared" si="58"/>
        <v>0</v>
      </c>
      <c r="DS44" s="434"/>
      <c r="DT44" s="432">
        <f t="shared" si="59"/>
        <v>0</v>
      </c>
      <c r="DU44" s="163" t="e">
        <f>VLOOKUP($B:$B,#REF!,32,FALSE)</f>
        <v>#REF!</v>
      </c>
      <c r="DV44" s="432">
        <f t="shared" si="60"/>
        <v>0</v>
      </c>
      <c r="DW44" s="434"/>
      <c r="DX44" s="432">
        <f t="shared" si="61"/>
        <v>0</v>
      </c>
      <c r="DY44" s="432">
        <f t="shared" si="62"/>
        <v>0</v>
      </c>
    </row>
    <row r="45" spans="1:129" ht="15.75">
      <c r="A45" s="166" t="s">
        <v>477</v>
      </c>
      <c r="B45" s="506" t="s">
        <v>478</v>
      </c>
      <c r="C45" s="166">
        <v>1311482168</v>
      </c>
      <c r="D45" s="431">
        <v>32931</v>
      </c>
      <c r="E45" s="163" t="e">
        <f>VLOOKUP($B:$B,#REF!,2,FALSE)</f>
        <v>#REF!</v>
      </c>
      <c r="F45" s="432">
        <f t="shared" si="0"/>
        <v>0</v>
      </c>
      <c r="G45" s="433" t="str">
        <f>IFERROR(VLOOKUP($A45,#REF!,2,0),"0")</f>
        <v>0</v>
      </c>
      <c r="H45" s="432">
        <f t="shared" si="66"/>
        <v>0</v>
      </c>
      <c r="I45" s="163" t="e">
        <f>VLOOKUP($B:$B,#REF!,3,FALSE)</f>
        <v>#REF!</v>
      </c>
      <c r="J45" s="432">
        <f t="shared" si="2"/>
        <v>0</v>
      </c>
      <c r="K45" s="433" t="str">
        <f>IFERROR(VLOOKUP($A45,#REF!,2,0),"0")</f>
        <v>0</v>
      </c>
      <c r="L45" s="432">
        <f t="shared" si="63"/>
        <v>0</v>
      </c>
      <c r="M45" s="163" t="e">
        <f>VLOOKUP($B:$B,#REF!,4,FALSE)</f>
        <v>#REF!</v>
      </c>
      <c r="N45" s="432">
        <f t="shared" si="4"/>
        <v>0</v>
      </c>
      <c r="O45" s="433" t="str">
        <f>IFERROR(VLOOKUP($A45,#REF!,2,0),"0")</f>
        <v>0</v>
      </c>
      <c r="P45" s="432">
        <f t="shared" si="5"/>
        <v>0</v>
      </c>
      <c r="Q45" s="163" t="e">
        <f>VLOOKUP($B:$B,#REF!,5,FALSE)</f>
        <v>#REF!</v>
      </c>
      <c r="R45" s="432">
        <f t="shared" si="6"/>
        <v>0</v>
      </c>
      <c r="S45" s="433" t="str">
        <f>IFERROR(VLOOKUP($A45,#REF!,2,0),"0")</f>
        <v>0</v>
      </c>
      <c r="T45" s="432">
        <f t="shared" si="67"/>
        <v>0</v>
      </c>
      <c r="U45" s="163" t="e">
        <f>VLOOKUP($B:$B,#REF!,6,FALSE)</f>
        <v>#REF!</v>
      </c>
      <c r="V45" s="432">
        <f t="shared" si="8"/>
        <v>0</v>
      </c>
      <c r="W45" s="433" t="str">
        <f>IFERROR(VLOOKUP($A45,#REF!,2,0),"0")</f>
        <v>0</v>
      </c>
      <c r="X45" s="432">
        <f t="shared" si="9"/>
        <v>0</v>
      </c>
      <c r="Y45" s="163" t="e">
        <f>VLOOKUP($B:$B,#REF!,7,FALSE)</f>
        <v>#REF!</v>
      </c>
      <c r="Z45" s="432">
        <f t="shared" si="10"/>
        <v>0</v>
      </c>
      <c r="AA45" s="433" t="str">
        <f>IFERROR(VLOOKUP($A45,#REF!,2,0),"0")</f>
        <v>0</v>
      </c>
      <c r="AB45" s="432">
        <f t="shared" si="11"/>
        <v>0</v>
      </c>
      <c r="AC45" s="163" t="e">
        <f>VLOOKUP($B:$B,#REF!,8,FALSE)</f>
        <v>#REF!</v>
      </c>
      <c r="AD45" s="432">
        <f t="shared" si="12"/>
        <v>0</v>
      </c>
      <c r="AE45" s="433" t="str">
        <f>IFERROR(VLOOKUP($A45,#REF!,2,0),"0")</f>
        <v>0</v>
      </c>
      <c r="AF45" s="432">
        <f t="shared" si="13"/>
        <v>0</v>
      </c>
      <c r="AG45" s="163" t="e">
        <f>VLOOKUP($B:$B,#REF!,9,FALSE)</f>
        <v>#REF!</v>
      </c>
      <c r="AH45" s="432">
        <f t="shared" si="14"/>
        <v>0</v>
      </c>
      <c r="AI45" s="433" t="str">
        <f>IFERROR(VLOOKUP($A45,#REF!,2,0),"0")</f>
        <v>0</v>
      </c>
      <c r="AJ45" s="432">
        <f t="shared" si="15"/>
        <v>0</v>
      </c>
      <c r="AK45" s="163" t="e">
        <f>VLOOKUP($B:$B,#REF!,10,FALSE)</f>
        <v>#REF!</v>
      </c>
      <c r="AL45" s="432">
        <f t="shared" si="16"/>
        <v>0</v>
      </c>
      <c r="AM45" s="433" t="str">
        <f>IFERROR(VLOOKUP($A45,#REF!,2,0),"0")</f>
        <v>0</v>
      </c>
      <c r="AN45" s="432">
        <f t="shared" si="17"/>
        <v>0</v>
      </c>
      <c r="AO45" s="163" t="e">
        <f>VLOOKUP($B:$B,#REF!,11,FALSE)</f>
        <v>#REF!</v>
      </c>
      <c r="AP45" s="432">
        <f t="shared" si="18"/>
        <v>0</v>
      </c>
      <c r="AQ45" s="433" t="str">
        <f>IFERROR(VLOOKUP($A45,#REF!,2,0),"0")</f>
        <v>0</v>
      </c>
      <c r="AR45" s="432">
        <f t="shared" si="19"/>
        <v>0</v>
      </c>
      <c r="AS45" s="163" t="e">
        <f>VLOOKUP($B:$B,#REF!,12,FALSE)</f>
        <v>#REF!</v>
      </c>
      <c r="AT45" s="432">
        <f t="shared" si="20"/>
        <v>0</v>
      </c>
      <c r="AU45" s="433" t="str">
        <f>IFERROR(VLOOKUP($A45,#REF!,2,0),"0")</f>
        <v>0</v>
      </c>
      <c r="AV45" s="432">
        <f t="shared" si="21"/>
        <v>0</v>
      </c>
      <c r="AW45" s="163" t="e">
        <f>VLOOKUP($B:$B,#REF!,13,FALSE)</f>
        <v>#REF!</v>
      </c>
      <c r="AX45" s="432">
        <f t="shared" si="22"/>
        <v>0</v>
      </c>
      <c r="AY45" s="433" t="str">
        <f>IFERROR(VLOOKUP($A45,#REF!,2,0),"0")</f>
        <v>0</v>
      </c>
      <c r="AZ45" s="432">
        <f t="shared" si="23"/>
        <v>0</v>
      </c>
      <c r="BA45" s="163" t="e">
        <f>VLOOKUP($B:$B,#REF!,14,FALSE)</f>
        <v>#REF!</v>
      </c>
      <c r="BB45" s="432">
        <f t="shared" si="24"/>
        <v>0</v>
      </c>
      <c r="BC45" s="433" t="str">
        <f>IFERROR(VLOOKUP($A45,#REF!,2,0),"0")</f>
        <v>0</v>
      </c>
      <c r="BD45" s="432">
        <f t="shared" si="25"/>
        <v>0</v>
      </c>
      <c r="BE45" s="163" t="e">
        <f>VLOOKUP($B:$B,#REF!,15,FALSE)</f>
        <v>#REF!</v>
      </c>
      <c r="BF45" s="432">
        <f t="shared" si="26"/>
        <v>0</v>
      </c>
      <c r="BG45" s="433" t="str">
        <f>IFERROR(VLOOKUP($A45,#REF!,2,0),"0")</f>
        <v>0</v>
      </c>
      <c r="BH45" s="432">
        <f t="shared" si="27"/>
        <v>0</v>
      </c>
      <c r="BI45" s="163" t="e">
        <f>VLOOKUP($B:$B,#REF!,16,FALSE)</f>
        <v>#REF!</v>
      </c>
      <c r="BJ45" s="432">
        <f t="shared" si="28"/>
        <v>0</v>
      </c>
      <c r="BK45" s="433">
        <v>0</v>
      </c>
      <c r="BL45" s="432">
        <f t="shared" si="29"/>
        <v>0</v>
      </c>
      <c r="BM45" s="163" t="e">
        <f>VLOOKUP($B:$B,#REF!,17,FALSE)</f>
        <v>#REF!</v>
      </c>
      <c r="BN45" s="432">
        <f t="shared" si="30"/>
        <v>0</v>
      </c>
      <c r="BO45" s="433" t="str">
        <f>IFERROR(VLOOKUP($A45,#REF!,2,0),"0")</f>
        <v>0</v>
      </c>
      <c r="BP45" s="432">
        <f t="shared" si="31"/>
        <v>0</v>
      </c>
      <c r="BQ45" s="163" t="e">
        <f>VLOOKUP($B:$B,#REF!,18,FALSE)</f>
        <v>#REF!</v>
      </c>
      <c r="BR45" s="432">
        <f t="shared" si="32"/>
        <v>0</v>
      </c>
      <c r="BS45" s="433" t="str">
        <f>IFERROR(VLOOKUP($A45,#REF!,2,0),"0")</f>
        <v>0</v>
      </c>
      <c r="BT45" s="432">
        <f t="shared" si="33"/>
        <v>0</v>
      </c>
      <c r="BU45" s="163" t="e">
        <f>VLOOKUP($B:$B,#REF!,19,FALSE)</f>
        <v>#REF!</v>
      </c>
      <c r="BV45" s="432">
        <f t="shared" si="34"/>
        <v>0</v>
      </c>
      <c r="BW45" s="433" t="str">
        <f>IFERROR(VLOOKUP($A45,#REF!,2,0),"0")</f>
        <v>0</v>
      </c>
      <c r="BX45" s="432">
        <f t="shared" si="35"/>
        <v>0</v>
      </c>
      <c r="BY45" s="163" t="e">
        <f>VLOOKUP($B:$B,#REF!,20,FALSE)</f>
        <v>#REF!</v>
      </c>
      <c r="BZ45" s="432">
        <f t="shared" si="36"/>
        <v>0</v>
      </c>
      <c r="CA45" s="433" t="str">
        <f>IFERROR(VLOOKUP($A45,#REF!,2,0),"0")</f>
        <v>0</v>
      </c>
      <c r="CB45" s="432">
        <f t="shared" si="37"/>
        <v>0</v>
      </c>
      <c r="CC45" s="163" t="e">
        <f>VLOOKUP($B:$B,#REF!,21,FALSE)</f>
        <v>#REF!</v>
      </c>
      <c r="CD45" s="432">
        <f t="shared" si="38"/>
        <v>0</v>
      </c>
      <c r="CE45" s="433" t="str">
        <f>IFERROR(VLOOKUP($A45,#REF!,2,0),"0")</f>
        <v>0</v>
      </c>
      <c r="CF45" s="432">
        <f t="shared" si="39"/>
        <v>0</v>
      </c>
      <c r="CG45" s="163" t="e">
        <f>VLOOKUP($B:$B,#REF!,22,FALSE)</f>
        <v>#REF!</v>
      </c>
      <c r="CH45" s="432">
        <f t="shared" si="40"/>
        <v>0</v>
      </c>
      <c r="CI45" s="433" t="str">
        <f>IFERROR(VLOOKUP($A45,#REF!,2,0),"0")</f>
        <v>0</v>
      </c>
      <c r="CJ45" s="432">
        <f t="shared" si="41"/>
        <v>0</v>
      </c>
      <c r="CK45" s="163" t="e">
        <f>VLOOKUP($B:$B,#REF!,23,FALSE)</f>
        <v>#REF!</v>
      </c>
      <c r="CL45" s="432">
        <f t="shared" si="42"/>
        <v>0</v>
      </c>
      <c r="CM45" s="433" t="str">
        <f>IFERROR(VLOOKUP($A45,#REF!,2,0),"0")</f>
        <v>0</v>
      </c>
      <c r="CN45" s="432">
        <f t="shared" si="43"/>
        <v>0</v>
      </c>
      <c r="CO45" s="163" t="e">
        <f>VLOOKUP($B:$B,#REF!,24,FALSE)</f>
        <v>#REF!</v>
      </c>
      <c r="CP45" s="432">
        <f t="shared" si="44"/>
        <v>0</v>
      </c>
      <c r="CQ45" s="433" t="str">
        <f>IFERROR(VLOOKUP($A45,#REF!,2,0),"0")</f>
        <v>0</v>
      </c>
      <c r="CR45" s="432">
        <f t="shared" si="45"/>
        <v>0</v>
      </c>
      <c r="CS45" s="163" t="e">
        <f>VLOOKUP($B:$B,#REF!,25,FALSE)</f>
        <v>#REF!</v>
      </c>
      <c r="CT45" s="432">
        <f t="shared" si="46"/>
        <v>0</v>
      </c>
      <c r="CU45" s="433" t="str">
        <f>IFERROR(VLOOKUP($A45,#REF!,2,0),"0")</f>
        <v>0</v>
      </c>
      <c r="CV45" s="432">
        <f t="shared" si="47"/>
        <v>0</v>
      </c>
      <c r="CW45" s="163" t="e">
        <f>VLOOKUP($B:$B,#REF!,26,FALSE)</f>
        <v>#REF!</v>
      </c>
      <c r="CX45" s="432">
        <f t="shared" si="48"/>
        <v>0</v>
      </c>
      <c r="CY45" s="433" t="str">
        <f>IFERROR(VLOOKUP($A45,#REF!,2,0),"0")</f>
        <v>0</v>
      </c>
      <c r="CZ45" s="432">
        <f t="shared" si="49"/>
        <v>0</v>
      </c>
      <c r="DA45" s="163" t="e">
        <f>VLOOKUP($B:$B,#REF!,27,FALSE)</f>
        <v>#REF!</v>
      </c>
      <c r="DB45" s="432">
        <f t="shared" si="50"/>
        <v>0</v>
      </c>
      <c r="DC45" s="433" t="str">
        <f>IFERROR(VLOOKUP($A45,#REF!,2,0),"0")</f>
        <v>0</v>
      </c>
      <c r="DD45" s="432">
        <f t="shared" si="51"/>
        <v>0</v>
      </c>
      <c r="DE45" s="163" t="e">
        <f>VLOOKUP($B:$B,#REF!,28,FALSE)</f>
        <v>#REF!</v>
      </c>
      <c r="DF45" s="432">
        <f t="shared" si="52"/>
        <v>0</v>
      </c>
      <c r="DG45" s="433" t="str">
        <f>IFERROR(VLOOKUP($A45,#REF!,2,0),"0")</f>
        <v>0</v>
      </c>
      <c r="DH45" s="432">
        <f t="shared" si="53"/>
        <v>0</v>
      </c>
      <c r="DI45" s="163" t="e">
        <f>VLOOKUP($B:$B,#REF!,29,FALSE)</f>
        <v>#REF!</v>
      </c>
      <c r="DJ45" s="432">
        <f t="shared" si="54"/>
        <v>0</v>
      </c>
      <c r="DK45" s="433" t="str">
        <f>IFERROR(VLOOKUP($A45,#REF!,2,0),"0")</f>
        <v>0</v>
      </c>
      <c r="DL45" s="432">
        <f t="shared" si="55"/>
        <v>0</v>
      </c>
      <c r="DM45" s="163" t="e">
        <f>VLOOKUP($B:$B,#REF!,30,FALSE)</f>
        <v>#REF!</v>
      </c>
      <c r="DN45" s="432">
        <f t="shared" si="56"/>
        <v>0</v>
      </c>
      <c r="DO45" s="432"/>
      <c r="DP45" s="432">
        <f t="shared" si="57"/>
        <v>0</v>
      </c>
      <c r="DQ45" s="163" t="e">
        <f>VLOOKUP($B:$B,#REF!,31,FALSE)</f>
        <v>#REF!</v>
      </c>
      <c r="DR45" s="432">
        <f t="shared" si="58"/>
        <v>0</v>
      </c>
      <c r="DS45" s="434"/>
      <c r="DT45" s="432">
        <f t="shared" si="59"/>
        <v>0</v>
      </c>
      <c r="DU45" s="163" t="e">
        <f>VLOOKUP($B:$B,#REF!,32,FALSE)</f>
        <v>#REF!</v>
      </c>
      <c r="DV45" s="432">
        <f t="shared" si="60"/>
        <v>0</v>
      </c>
      <c r="DW45" s="434"/>
      <c r="DX45" s="432">
        <f t="shared" si="61"/>
        <v>0</v>
      </c>
      <c r="DY45" s="432">
        <f t="shared" si="62"/>
        <v>0</v>
      </c>
    </row>
    <row r="46" spans="1:129" ht="15.75">
      <c r="A46" s="166" t="s">
        <v>171</v>
      </c>
      <c r="B46" s="506" t="s">
        <v>172</v>
      </c>
      <c r="C46" s="166">
        <v>1723872345</v>
      </c>
      <c r="D46" s="431">
        <v>34880</v>
      </c>
      <c r="E46" s="163" t="e">
        <f>VLOOKUP($B:$B,#REF!,2,FALSE)</f>
        <v>#REF!</v>
      </c>
      <c r="F46" s="432">
        <f t="shared" si="0"/>
        <v>0</v>
      </c>
      <c r="G46" s="433" t="str">
        <f>IFERROR(VLOOKUP($A46,#REF!,2,0),"0")</f>
        <v>0</v>
      </c>
      <c r="H46" s="432">
        <f t="shared" si="66"/>
        <v>0</v>
      </c>
      <c r="I46" s="163" t="e">
        <f>VLOOKUP($B:$B,#REF!,3,FALSE)</f>
        <v>#REF!</v>
      </c>
      <c r="J46" s="432">
        <f t="shared" si="2"/>
        <v>0</v>
      </c>
      <c r="K46" s="433" t="str">
        <f>IFERROR(VLOOKUP($A46,#REF!,2,0),"0")</f>
        <v>0</v>
      </c>
      <c r="L46" s="432">
        <f t="shared" si="63"/>
        <v>0</v>
      </c>
      <c r="M46" s="163" t="e">
        <f>VLOOKUP($B:$B,#REF!,4,FALSE)</f>
        <v>#REF!</v>
      </c>
      <c r="N46" s="432">
        <f t="shared" si="4"/>
        <v>0</v>
      </c>
      <c r="O46" s="433" t="str">
        <f>IFERROR(VLOOKUP($A46,#REF!,2,0),"0")</f>
        <v>0</v>
      </c>
      <c r="P46" s="432">
        <f t="shared" si="5"/>
        <v>0</v>
      </c>
      <c r="Q46" s="163" t="e">
        <f>VLOOKUP($B:$B,#REF!,5,FALSE)</f>
        <v>#REF!</v>
      </c>
      <c r="R46" s="432">
        <f t="shared" si="6"/>
        <v>0</v>
      </c>
      <c r="S46" s="433" t="str">
        <f>IFERROR(VLOOKUP($A46,#REF!,2,0),"0")</f>
        <v>0</v>
      </c>
      <c r="T46" s="432">
        <f t="shared" si="67"/>
        <v>0</v>
      </c>
      <c r="U46" s="163" t="e">
        <f>VLOOKUP($B:$B,#REF!,6,FALSE)</f>
        <v>#REF!</v>
      </c>
      <c r="V46" s="432">
        <f t="shared" si="8"/>
        <v>0</v>
      </c>
      <c r="W46" s="433"/>
      <c r="X46" s="432">
        <f t="shared" si="9"/>
        <v>0</v>
      </c>
      <c r="Y46" s="163" t="e">
        <f>VLOOKUP($B:$B,#REF!,7,FALSE)</f>
        <v>#REF!</v>
      </c>
      <c r="Z46" s="432">
        <f t="shared" si="10"/>
        <v>0</v>
      </c>
      <c r="AA46" s="433" t="str">
        <f>IFERROR(VLOOKUP($A46,#REF!,2,0),"0")</f>
        <v>0</v>
      </c>
      <c r="AB46" s="432">
        <f t="shared" si="11"/>
        <v>0</v>
      </c>
      <c r="AC46" s="163" t="e">
        <f>VLOOKUP($B:$B,#REF!,8,FALSE)</f>
        <v>#REF!</v>
      </c>
      <c r="AD46" s="432">
        <f t="shared" si="12"/>
        <v>0</v>
      </c>
      <c r="AE46" s="433" t="str">
        <f>IFERROR(VLOOKUP($A46,#REF!,2,0),"0")</f>
        <v>0</v>
      </c>
      <c r="AF46" s="432">
        <f t="shared" si="13"/>
        <v>0</v>
      </c>
      <c r="AG46" s="163" t="e">
        <f>VLOOKUP($B:$B,#REF!,9,FALSE)</f>
        <v>#REF!</v>
      </c>
      <c r="AH46" s="432">
        <f t="shared" si="14"/>
        <v>0</v>
      </c>
      <c r="AI46" s="433" t="str">
        <f>IFERROR(VLOOKUP($A46,#REF!,2,0),"0")</f>
        <v>0</v>
      </c>
      <c r="AJ46" s="432">
        <f t="shared" si="15"/>
        <v>0</v>
      </c>
      <c r="AK46" s="163" t="e">
        <f>VLOOKUP($B:$B,#REF!,10,FALSE)</f>
        <v>#REF!</v>
      </c>
      <c r="AL46" s="432">
        <f t="shared" si="16"/>
        <v>0</v>
      </c>
      <c r="AM46" s="433"/>
      <c r="AN46" s="432">
        <f t="shared" si="17"/>
        <v>0</v>
      </c>
      <c r="AO46" s="163" t="e">
        <f>VLOOKUP($B:$B,#REF!,11,FALSE)</f>
        <v>#REF!</v>
      </c>
      <c r="AP46" s="432">
        <f t="shared" si="18"/>
        <v>0</v>
      </c>
      <c r="AQ46" s="433"/>
      <c r="AR46" s="432">
        <f t="shared" si="19"/>
        <v>0</v>
      </c>
      <c r="AS46" s="163" t="e">
        <f>VLOOKUP($B:$B,#REF!,12,FALSE)</f>
        <v>#REF!</v>
      </c>
      <c r="AT46" s="432">
        <f t="shared" si="20"/>
        <v>0</v>
      </c>
      <c r="AU46" s="433"/>
      <c r="AV46" s="432">
        <f t="shared" si="21"/>
        <v>0</v>
      </c>
      <c r="AW46" s="163" t="e">
        <f>VLOOKUP($B:$B,#REF!,13,FALSE)</f>
        <v>#REF!</v>
      </c>
      <c r="AX46" s="432">
        <f t="shared" si="22"/>
        <v>0</v>
      </c>
      <c r="AY46" s="433"/>
      <c r="AZ46" s="432">
        <f t="shared" si="23"/>
        <v>0</v>
      </c>
      <c r="BA46" s="163" t="e">
        <f>VLOOKUP($B:$B,#REF!,14,FALSE)</f>
        <v>#REF!</v>
      </c>
      <c r="BB46" s="432">
        <f t="shared" si="24"/>
        <v>0</v>
      </c>
      <c r="BC46" s="433" t="str">
        <f>IFERROR(VLOOKUP($A46,#REF!,2,0),"0")</f>
        <v>0</v>
      </c>
      <c r="BD46" s="432">
        <f t="shared" si="25"/>
        <v>0</v>
      </c>
      <c r="BE46" s="163" t="e">
        <f>VLOOKUP($B:$B,#REF!,15,FALSE)</f>
        <v>#REF!</v>
      </c>
      <c r="BF46" s="432">
        <f t="shared" si="26"/>
        <v>0</v>
      </c>
      <c r="BG46" s="433" t="str">
        <f>IFERROR(VLOOKUP($A46,#REF!,2,0),"0")</f>
        <v>0</v>
      </c>
      <c r="BH46" s="432">
        <f t="shared" si="27"/>
        <v>0</v>
      </c>
      <c r="BI46" s="163" t="e">
        <f>VLOOKUP($B:$B,#REF!,16,FALSE)</f>
        <v>#REF!</v>
      </c>
      <c r="BJ46" s="432">
        <f t="shared" si="28"/>
        <v>0</v>
      </c>
      <c r="BK46" s="433" t="str">
        <f>IFERROR(VLOOKUP($A46,#REF!,2,0),"0")</f>
        <v>0</v>
      </c>
      <c r="BL46" s="432">
        <f t="shared" si="29"/>
        <v>0</v>
      </c>
      <c r="BM46" s="163" t="e">
        <f>VLOOKUP($B:$B,#REF!,17,FALSE)</f>
        <v>#REF!</v>
      </c>
      <c r="BN46" s="432">
        <f t="shared" si="30"/>
        <v>0</v>
      </c>
      <c r="BO46" s="433" t="str">
        <f>IFERROR(VLOOKUP($A46,#REF!,2,0),"0")</f>
        <v>0</v>
      </c>
      <c r="BP46" s="432">
        <f t="shared" si="31"/>
        <v>0</v>
      </c>
      <c r="BQ46" s="163" t="e">
        <f>VLOOKUP($B:$B,#REF!,18,FALSE)</f>
        <v>#REF!</v>
      </c>
      <c r="BR46" s="432">
        <f t="shared" si="32"/>
        <v>0</v>
      </c>
      <c r="BS46" s="433" t="str">
        <f>IFERROR(VLOOKUP($A46,#REF!,2,0),"0")</f>
        <v>0</v>
      </c>
      <c r="BT46" s="432">
        <f t="shared" si="33"/>
        <v>0</v>
      </c>
      <c r="BU46" s="163" t="e">
        <f>VLOOKUP($B:$B,#REF!,19,FALSE)</f>
        <v>#REF!</v>
      </c>
      <c r="BV46" s="432">
        <f t="shared" si="34"/>
        <v>0</v>
      </c>
      <c r="BW46" s="433" t="str">
        <f>IFERROR(VLOOKUP($A46,#REF!,2,0),"0")</f>
        <v>0</v>
      </c>
      <c r="BX46" s="432">
        <f t="shared" si="35"/>
        <v>0</v>
      </c>
      <c r="BY46" s="163" t="e">
        <f>VLOOKUP($B:$B,#REF!,20,FALSE)</f>
        <v>#REF!</v>
      </c>
      <c r="BZ46" s="432">
        <f t="shared" si="36"/>
        <v>0</v>
      </c>
      <c r="CA46" s="433"/>
      <c r="CB46" s="432">
        <f t="shared" si="37"/>
        <v>0</v>
      </c>
      <c r="CC46" s="163" t="e">
        <f>VLOOKUP($B:$B,#REF!,21,FALSE)</f>
        <v>#REF!</v>
      </c>
      <c r="CD46" s="432">
        <f t="shared" si="38"/>
        <v>0</v>
      </c>
      <c r="CE46" s="433"/>
      <c r="CF46" s="432">
        <f t="shared" si="39"/>
        <v>0</v>
      </c>
      <c r="CG46" s="163" t="e">
        <f>VLOOKUP($B:$B,#REF!,22,FALSE)</f>
        <v>#REF!</v>
      </c>
      <c r="CH46" s="432">
        <f t="shared" si="40"/>
        <v>0</v>
      </c>
      <c r="CI46" s="433" t="str">
        <f>IFERROR(VLOOKUP($A46,#REF!,2,0),"0")</f>
        <v>0</v>
      </c>
      <c r="CJ46" s="432">
        <f t="shared" si="41"/>
        <v>0</v>
      </c>
      <c r="CK46" s="163" t="e">
        <f>VLOOKUP($B:$B,#REF!,23,FALSE)</f>
        <v>#REF!</v>
      </c>
      <c r="CL46" s="432">
        <f t="shared" si="42"/>
        <v>0</v>
      </c>
      <c r="CM46" s="433" t="str">
        <f>IFERROR(VLOOKUP($A46,#REF!,2,0),"0")</f>
        <v>0</v>
      </c>
      <c r="CN46" s="432">
        <f t="shared" si="43"/>
        <v>0</v>
      </c>
      <c r="CO46" s="163" t="e">
        <f>VLOOKUP($B:$B,#REF!,24,FALSE)</f>
        <v>#REF!</v>
      </c>
      <c r="CP46" s="432">
        <f t="shared" si="44"/>
        <v>0</v>
      </c>
      <c r="CQ46" s="433" t="str">
        <f>IFERROR(VLOOKUP($A46,#REF!,2,0),"0")</f>
        <v>0</v>
      </c>
      <c r="CR46" s="432">
        <f t="shared" si="45"/>
        <v>0</v>
      </c>
      <c r="CS46" s="163" t="e">
        <f>VLOOKUP($B:$B,#REF!,25,FALSE)</f>
        <v>#REF!</v>
      </c>
      <c r="CT46" s="432">
        <f t="shared" si="46"/>
        <v>0</v>
      </c>
      <c r="CU46" s="433" t="str">
        <f>IFERROR(VLOOKUP($A46,#REF!,2,0),"0")</f>
        <v>0</v>
      </c>
      <c r="CV46" s="432">
        <f t="shared" si="47"/>
        <v>0</v>
      </c>
      <c r="CW46" s="163" t="e">
        <f>VLOOKUP($B:$B,#REF!,26,FALSE)</f>
        <v>#REF!</v>
      </c>
      <c r="CX46" s="432">
        <f t="shared" si="48"/>
        <v>0</v>
      </c>
      <c r="CY46" s="433" t="str">
        <f>IFERROR(VLOOKUP($A46,#REF!,2,0),"0")</f>
        <v>0</v>
      </c>
      <c r="CZ46" s="432">
        <f t="shared" si="49"/>
        <v>0</v>
      </c>
      <c r="DA46" s="163" t="e">
        <f>VLOOKUP($B:$B,#REF!,27,FALSE)</f>
        <v>#REF!</v>
      </c>
      <c r="DB46" s="432">
        <f t="shared" si="50"/>
        <v>0</v>
      </c>
      <c r="DC46" s="433" t="str">
        <f>IFERROR(VLOOKUP($A46,#REF!,2,0),"0")</f>
        <v>0</v>
      </c>
      <c r="DD46" s="432">
        <f t="shared" si="51"/>
        <v>0</v>
      </c>
      <c r="DE46" s="163" t="e">
        <f>VLOOKUP($B:$B,#REF!,28,FALSE)</f>
        <v>#REF!</v>
      </c>
      <c r="DF46" s="432">
        <f t="shared" si="52"/>
        <v>0</v>
      </c>
      <c r="DG46" s="433" t="str">
        <f>IFERROR(VLOOKUP($A46,#REF!,2,0),"0")</f>
        <v>0</v>
      </c>
      <c r="DH46" s="432">
        <f t="shared" si="53"/>
        <v>0</v>
      </c>
      <c r="DI46" s="163" t="e">
        <f>VLOOKUP($B:$B,#REF!,29,FALSE)</f>
        <v>#REF!</v>
      </c>
      <c r="DJ46" s="432">
        <f t="shared" si="54"/>
        <v>0</v>
      </c>
      <c r="DK46" s="433" t="str">
        <f>IFERROR(VLOOKUP($A46,#REF!,2,0),"0")</f>
        <v>0</v>
      </c>
      <c r="DL46" s="432">
        <f t="shared" si="55"/>
        <v>0</v>
      </c>
      <c r="DM46" s="163" t="e">
        <f>VLOOKUP($B:$B,#REF!,30,FALSE)</f>
        <v>#REF!</v>
      </c>
      <c r="DN46" s="432">
        <f t="shared" si="56"/>
        <v>0</v>
      </c>
      <c r="DO46" s="432"/>
      <c r="DP46" s="432">
        <f t="shared" si="57"/>
        <v>0</v>
      </c>
      <c r="DQ46" s="163" t="e">
        <f>VLOOKUP($B:$B,#REF!,31,FALSE)</f>
        <v>#REF!</v>
      </c>
      <c r="DR46" s="432">
        <f t="shared" si="58"/>
        <v>0</v>
      </c>
      <c r="DS46" s="434"/>
      <c r="DT46" s="432">
        <f t="shared" si="59"/>
        <v>0</v>
      </c>
      <c r="DU46" s="163" t="e">
        <f>VLOOKUP($B:$B,#REF!,32,FALSE)</f>
        <v>#REF!</v>
      </c>
      <c r="DV46" s="432">
        <f t="shared" si="60"/>
        <v>0</v>
      </c>
      <c r="DW46" s="434"/>
      <c r="DX46" s="432">
        <f t="shared" si="61"/>
        <v>0</v>
      </c>
      <c r="DY46" s="432">
        <f t="shared" si="62"/>
        <v>0</v>
      </c>
    </row>
    <row r="47" spans="1:129" ht="15.75">
      <c r="A47" s="166" t="s">
        <v>67</v>
      </c>
      <c r="B47" s="506" t="s">
        <v>68</v>
      </c>
      <c r="C47" s="166">
        <v>1724180144</v>
      </c>
      <c r="D47" s="431">
        <v>34136</v>
      </c>
      <c r="E47" s="163" t="e">
        <f>VLOOKUP($B:$B,#REF!,2,FALSE)</f>
        <v>#REF!</v>
      </c>
      <c r="F47" s="432">
        <f t="shared" si="0"/>
        <v>0</v>
      </c>
      <c r="G47" s="433" t="str">
        <f>IFERROR(VLOOKUP($A47,#REF!,2,0),"0")</f>
        <v>0</v>
      </c>
      <c r="H47" s="432">
        <f t="shared" si="66"/>
        <v>0</v>
      </c>
      <c r="I47" s="163" t="e">
        <f>VLOOKUP($B:$B,#REF!,3,FALSE)</f>
        <v>#REF!</v>
      </c>
      <c r="J47" s="432">
        <f t="shared" si="2"/>
        <v>0</v>
      </c>
      <c r="K47" s="433" t="str">
        <f>IFERROR(VLOOKUP($A47,#REF!,2,0),"0")</f>
        <v>0</v>
      </c>
      <c r="L47" s="432">
        <f t="shared" si="63"/>
        <v>0</v>
      </c>
      <c r="M47" s="163" t="e">
        <f>VLOOKUP($B:$B,#REF!,4,FALSE)</f>
        <v>#REF!</v>
      </c>
      <c r="N47" s="432">
        <f t="shared" si="4"/>
        <v>0</v>
      </c>
      <c r="O47" s="433" t="str">
        <f>IFERROR(VLOOKUP($A47,#REF!,2,0),"0")</f>
        <v>0</v>
      </c>
      <c r="P47" s="432">
        <f t="shared" si="5"/>
        <v>0</v>
      </c>
      <c r="Q47" s="163" t="e">
        <f>VLOOKUP($B:$B,#REF!,5,FALSE)</f>
        <v>#REF!</v>
      </c>
      <c r="R47" s="432">
        <f t="shared" si="6"/>
        <v>0</v>
      </c>
      <c r="S47" s="433" t="str">
        <f>IFERROR(VLOOKUP($A47,#REF!,2,0),"0")</f>
        <v>0</v>
      </c>
      <c r="T47" s="432">
        <f t="shared" si="67"/>
        <v>0</v>
      </c>
      <c r="U47" s="163" t="e">
        <f>VLOOKUP($B:$B,#REF!,6,FALSE)</f>
        <v>#REF!</v>
      </c>
      <c r="V47" s="432">
        <f t="shared" si="8"/>
        <v>0</v>
      </c>
      <c r="W47" s="433" t="str">
        <f>IFERROR(VLOOKUP($A47,#REF!,2,0),"0")</f>
        <v>0</v>
      </c>
      <c r="X47" s="432">
        <f t="shared" si="9"/>
        <v>0</v>
      </c>
      <c r="Y47" s="163" t="e">
        <f>VLOOKUP($B:$B,#REF!,7,FALSE)</f>
        <v>#REF!</v>
      </c>
      <c r="Z47" s="432">
        <f t="shared" si="10"/>
        <v>0</v>
      </c>
      <c r="AA47" s="433" t="str">
        <f>IFERROR(VLOOKUP($A47,#REF!,2,0),"0")</f>
        <v>0</v>
      </c>
      <c r="AB47" s="432">
        <f t="shared" si="11"/>
        <v>0</v>
      </c>
      <c r="AC47" s="163" t="e">
        <f>VLOOKUP($B:$B,#REF!,8,FALSE)</f>
        <v>#REF!</v>
      </c>
      <c r="AD47" s="432">
        <f t="shared" si="12"/>
        <v>0</v>
      </c>
      <c r="AE47" s="433" t="str">
        <f>IFERROR(VLOOKUP($A47,#REF!,2,0),"0")</f>
        <v>0</v>
      </c>
      <c r="AF47" s="432">
        <f t="shared" si="13"/>
        <v>0</v>
      </c>
      <c r="AG47" s="163" t="e">
        <f>VLOOKUP($B:$B,#REF!,9,FALSE)</f>
        <v>#REF!</v>
      </c>
      <c r="AH47" s="432">
        <f t="shared" si="14"/>
        <v>0</v>
      </c>
      <c r="AI47" s="433" t="str">
        <f>IFERROR(VLOOKUP($A47,#REF!,2,0),"0")</f>
        <v>0</v>
      </c>
      <c r="AJ47" s="432">
        <f t="shared" si="15"/>
        <v>0</v>
      </c>
      <c r="AK47" s="163" t="e">
        <f>VLOOKUP($B:$B,#REF!,10,FALSE)</f>
        <v>#REF!</v>
      </c>
      <c r="AL47" s="432">
        <f t="shared" si="16"/>
        <v>0</v>
      </c>
      <c r="AM47" s="433" t="str">
        <f>IFERROR(VLOOKUP($A47,#REF!,2,0),"0")</f>
        <v>0</v>
      </c>
      <c r="AN47" s="432">
        <f t="shared" si="17"/>
        <v>0</v>
      </c>
      <c r="AO47" s="163" t="e">
        <f>VLOOKUP($B:$B,#REF!,11,FALSE)</f>
        <v>#REF!</v>
      </c>
      <c r="AP47" s="432">
        <f t="shared" si="18"/>
        <v>0</v>
      </c>
      <c r="AQ47" s="433" t="str">
        <f>IFERROR(VLOOKUP($A47,#REF!,2,0),"0")</f>
        <v>0</v>
      </c>
      <c r="AR47" s="432">
        <f t="shared" si="19"/>
        <v>0</v>
      </c>
      <c r="AS47" s="163" t="e">
        <f>VLOOKUP($B:$B,#REF!,12,FALSE)</f>
        <v>#REF!</v>
      </c>
      <c r="AT47" s="432">
        <f t="shared" si="20"/>
        <v>0</v>
      </c>
      <c r="AU47" s="433" t="str">
        <f>IFERROR(VLOOKUP($A47,#REF!,2,0),"0")</f>
        <v>0</v>
      </c>
      <c r="AV47" s="432">
        <f t="shared" si="21"/>
        <v>0</v>
      </c>
      <c r="AW47" s="163" t="e">
        <f>VLOOKUP($B:$B,#REF!,13,FALSE)</f>
        <v>#REF!</v>
      </c>
      <c r="AX47" s="432">
        <f t="shared" si="22"/>
        <v>0</v>
      </c>
      <c r="AY47" s="433" t="str">
        <f>IFERROR(VLOOKUP($A47,#REF!,2,0),"0")</f>
        <v>0</v>
      </c>
      <c r="AZ47" s="432">
        <f t="shared" si="23"/>
        <v>0</v>
      </c>
      <c r="BA47" s="163" t="e">
        <f>VLOOKUP($B:$B,#REF!,14,FALSE)</f>
        <v>#REF!</v>
      </c>
      <c r="BB47" s="432">
        <f t="shared" si="24"/>
        <v>0</v>
      </c>
      <c r="BC47" s="433" t="str">
        <f>IFERROR(VLOOKUP($A47,#REF!,2,0),"0")</f>
        <v>0</v>
      </c>
      <c r="BD47" s="432">
        <f t="shared" si="25"/>
        <v>0</v>
      </c>
      <c r="BE47" s="163" t="e">
        <f>VLOOKUP($B:$B,#REF!,15,FALSE)</f>
        <v>#REF!</v>
      </c>
      <c r="BF47" s="432">
        <f t="shared" si="26"/>
        <v>0</v>
      </c>
      <c r="BG47" s="433" t="str">
        <f>IFERROR(VLOOKUP($A47,#REF!,2,0),"0")</f>
        <v>0</v>
      </c>
      <c r="BH47" s="432">
        <f t="shared" si="27"/>
        <v>0</v>
      </c>
      <c r="BI47" s="163" t="e">
        <f>VLOOKUP($B:$B,#REF!,16,FALSE)</f>
        <v>#REF!</v>
      </c>
      <c r="BJ47" s="432">
        <f t="shared" si="28"/>
        <v>0</v>
      </c>
      <c r="BK47" s="433" t="str">
        <f>IFERROR(VLOOKUP($A47,#REF!,2,0),"0")</f>
        <v>0</v>
      </c>
      <c r="BL47" s="432">
        <f t="shared" si="29"/>
        <v>0</v>
      </c>
      <c r="BM47" s="163" t="e">
        <f>VLOOKUP($B:$B,#REF!,17,FALSE)</f>
        <v>#REF!</v>
      </c>
      <c r="BN47" s="432">
        <f t="shared" si="30"/>
        <v>0</v>
      </c>
      <c r="BO47" s="433" t="str">
        <f>IFERROR(VLOOKUP($A47,#REF!,2,0),"0")</f>
        <v>0</v>
      </c>
      <c r="BP47" s="432">
        <f t="shared" si="31"/>
        <v>0</v>
      </c>
      <c r="BQ47" s="163" t="e">
        <f>VLOOKUP($B:$B,#REF!,18,FALSE)</f>
        <v>#REF!</v>
      </c>
      <c r="BR47" s="432">
        <f t="shared" si="32"/>
        <v>0</v>
      </c>
      <c r="BS47" s="433">
        <v>0</v>
      </c>
      <c r="BT47" s="432">
        <f t="shared" si="33"/>
        <v>0</v>
      </c>
      <c r="BU47" s="163" t="e">
        <f>VLOOKUP($B:$B,#REF!,19,FALSE)</f>
        <v>#REF!</v>
      </c>
      <c r="BV47" s="432">
        <f t="shared" si="34"/>
        <v>0</v>
      </c>
      <c r="BW47" s="433" t="str">
        <f>IFERROR(VLOOKUP($A47,#REF!,2,0),"0")</f>
        <v>0</v>
      </c>
      <c r="BX47" s="432">
        <f t="shared" si="35"/>
        <v>0</v>
      </c>
      <c r="BY47" s="163" t="e">
        <f>VLOOKUP($B:$B,#REF!,20,FALSE)</f>
        <v>#REF!</v>
      </c>
      <c r="BZ47" s="432">
        <f t="shared" si="36"/>
        <v>0</v>
      </c>
      <c r="CA47" s="433" t="str">
        <f>IFERROR(VLOOKUP($A47,#REF!,2,0),"0")</f>
        <v>0</v>
      </c>
      <c r="CB47" s="432">
        <f t="shared" si="37"/>
        <v>0</v>
      </c>
      <c r="CC47" s="163" t="e">
        <f>VLOOKUP($B:$B,#REF!,21,FALSE)</f>
        <v>#REF!</v>
      </c>
      <c r="CD47" s="432">
        <f t="shared" si="38"/>
        <v>0</v>
      </c>
      <c r="CE47" s="433" t="str">
        <f>IFERROR(VLOOKUP($A47,#REF!,2,0),"0")</f>
        <v>0</v>
      </c>
      <c r="CF47" s="432">
        <f t="shared" si="39"/>
        <v>0</v>
      </c>
      <c r="CG47" s="163" t="e">
        <f>VLOOKUP($B:$B,#REF!,22,FALSE)</f>
        <v>#REF!</v>
      </c>
      <c r="CH47" s="432">
        <f t="shared" si="40"/>
        <v>0</v>
      </c>
      <c r="CI47" s="433" t="str">
        <f>IFERROR(VLOOKUP($A47,#REF!,2,0),"0")</f>
        <v>0</v>
      </c>
      <c r="CJ47" s="432">
        <f t="shared" si="41"/>
        <v>0</v>
      </c>
      <c r="CK47" s="163" t="e">
        <f>VLOOKUP($B:$B,#REF!,23,FALSE)</f>
        <v>#REF!</v>
      </c>
      <c r="CL47" s="432">
        <f t="shared" si="42"/>
        <v>0</v>
      </c>
      <c r="CM47" s="433" t="str">
        <f>IFERROR(VLOOKUP($A47,#REF!,2,0),"0")</f>
        <v>0</v>
      </c>
      <c r="CN47" s="432">
        <f t="shared" si="43"/>
        <v>0</v>
      </c>
      <c r="CO47" s="163" t="e">
        <f>VLOOKUP($B:$B,#REF!,24,FALSE)</f>
        <v>#REF!</v>
      </c>
      <c r="CP47" s="432">
        <f t="shared" si="44"/>
        <v>0</v>
      </c>
      <c r="CQ47" s="433" t="str">
        <f>IFERROR(VLOOKUP($A47,#REF!,2,0),"0")</f>
        <v>0</v>
      </c>
      <c r="CR47" s="432">
        <f t="shared" si="45"/>
        <v>0</v>
      </c>
      <c r="CS47" s="163" t="e">
        <f>VLOOKUP($B:$B,#REF!,25,FALSE)</f>
        <v>#REF!</v>
      </c>
      <c r="CT47" s="432">
        <f t="shared" si="46"/>
        <v>0</v>
      </c>
      <c r="CU47" s="433" t="str">
        <f>IFERROR(VLOOKUP($A47,#REF!,2,0),"0")</f>
        <v>0</v>
      </c>
      <c r="CV47" s="432">
        <f t="shared" si="47"/>
        <v>0</v>
      </c>
      <c r="CW47" s="163" t="e">
        <f>VLOOKUP($B:$B,#REF!,26,FALSE)</f>
        <v>#REF!</v>
      </c>
      <c r="CX47" s="432">
        <f t="shared" si="48"/>
        <v>0</v>
      </c>
      <c r="CY47" s="433" t="str">
        <f>IFERROR(VLOOKUP($A47,#REF!,2,0),"0")</f>
        <v>0</v>
      </c>
      <c r="CZ47" s="432">
        <f t="shared" si="49"/>
        <v>0</v>
      </c>
      <c r="DA47" s="163" t="e">
        <f>VLOOKUP($B:$B,#REF!,27,FALSE)</f>
        <v>#REF!</v>
      </c>
      <c r="DB47" s="432">
        <f t="shared" si="50"/>
        <v>0</v>
      </c>
      <c r="DC47" s="433" t="str">
        <f>IFERROR(VLOOKUP($A47,#REF!,2,0),"0")</f>
        <v>0</v>
      </c>
      <c r="DD47" s="432">
        <f t="shared" si="51"/>
        <v>0</v>
      </c>
      <c r="DE47" s="163" t="e">
        <f>VLOOKUP($B:$B,#REF!,28,FALSE)</f>
        <v>#REF!</v>
      </c>
      <c r="DF47" s="432">
        <f t="shared" si="52"/>
        <v>0</v>
      </c>
      <c r="DG47" s="433" t="str">
        <f>IFERROR(VLOOKUP($A47,#REF!,2,0),"0")</f>
        <v>0</v>
      </c>
      <c r="DH47" s="432">
        <f t="shared" si="53"/>
        <v>0</v>
      </c>
      <c r="DI47" s="163" t="e">
        <f>VLOOKUP($B:$B,#REF!,29,FALSE)</f>
        <v>#REF!</v>
      </c>
      <c r="DJ47" s="432">
        <f t="shared" si="54"/>
        <v>0</v>
      </c>
      <c r="DK47" s="433" t="str">
        <f>IFERROR(VLOOKUP($A47,#REF!,2,0),"0")</f>
        <v>0</v>
      </c>
      <c r="DL47" s="432">
        <f t="shared" si="55"/>
        <v>0</v>
      </c>
      <c r="DM47" s="163" t="e">
        <f>VLOOKUP($B:$B,#REF!,30,FALSE)</f>
        <v>#REF!</v>
      </c>
      <c r="DN47" s="432">
        <f t="shared" si="56"/>
        <v>0</v>
      </c>
      <c r="DO47" s="432"/>
      <c r="DP47" s="432">
        <f t="shared" si="57"/>
        <v>0</v>
      </c>
      <c r="DQ47" s="163" t="e">
        <f>VLOOKUP($B:$B,#REF!,31,FALSE)</f>
        <v>#REF!</v>
      </c>
      <c r="DR47" s="432">
        <f t="shared" si="58"/>
        <v>0</v>
      </c>
      <c r="DS47" s="434"/>
      <c r="DT47" s="432">
        <f t="shared" si="59"/>
        <v>0</v>
      </c>
      <c r="DU47" s="163" t="e">
        <f>VLOOKUP($B:$B,#REF!,32,FALSE)</f>
        <v>#REF!</v>
      </c>
      <c r="DV47" s="432">
        <f t="shared" si="60"/>
        <v>0</v>
      </c>
      <c r="DW47" s="434"/>
      <c r="DX47" s="432">
        <f t="shared" si="61"/>
        <v>0</v>
      </c>
      <c r="DY47" s="432">
        <f t="shared" si="62"/>
        <v>0</v>
      </c>
    </row>
    <row r="48" spans="1:129" ht="15.75">
      <c r="A48" s="166" t="s">
        <v>149</v>
      </c>
      <c r="B48" s="506" t="s">
        <v>150</v>
      </c>
      <c r="C48" s="166">
        <v>1726633272</v>
      </c>
      <c r="D48" s="431">
        <v>35278</v>
      </c>
      <c r="E48" s="163" t="e">
        <f>VLOOKUP($B:$B,#REF!,2,FALSE)</f>
        <v>#REF!</v>
      </c>
      <c r="F48" s="432">
        <f t="shared" si="0"/>
        <v>0</v>
      </c>
      <c r="G48" s="433" t="str">
        <f>IFERROR(VLOOKUP($A48,#REF!,2,0),"0")</f>
        <v>0</v>
      </c>
      <c r="H48" s="432">
        <f t="shared" si="66"/>
        <v>0</v>
      </c>
      <c r="I48" s="163" t="e">
        <f>VLOOKUP($B:$B,#REF!,3,FALSE)</f>
        <v>#REF!</v>
      </c>
      <c r="J48" s="432">
        <f t="shared" si="2"/>
        <v>0</v>
      </c>
      <c r="K48" s="433" t="str">
        <f>IFERROR(VLOOKUP($A48,#REF!,2,0),"0")</f>
        <v>0</v>
      </c>
      <c r="L48" s="432">
        <f t="shared" si="63"/>
        <v>0</v>
      </c>
      <c r="M48" s="163" t="e">
        <f>VLOOKUP($B:$B,#REF!,4,FALSE)</f>
        <v>#REF!</v>
      </c>
      <c r="N48" s="432">
        <f t="shared" si="4"/>
        <v>0</v>
      </c>
      <c r="O48" s="433" t="str">
        <f>IFERROR(VLOOKUP($A48,#REF!,2,0),"0")</f>
        <v>0</v>
      </c>
      <c r="P48" s="432">
        <f t="shared" si="5"/>
        <v>0</v>
      </c>
      <c r="Q48" s="163" t="e">
        <f>VLOOKUP($B:$B,#REF!,5,FALSE)</f>
        <v>#REF!</v>
      </c>
      <c r="R48" s="432">
        <f t="shared" si="6"/>
        <v>0</v>
      </c>
      <c r="S48" s="433" t="str">
        <f>IFERROR(VLOOKUP($A48,#REF!,2,0),"0")</f>
        <v>0</v>
      </c>
      <c r="T48" s="432">
        <f t="shared" si="67"/>
        <v>0</v>
      </c>
      <c r="U48" s="163" t="e">
        <f>VLOOKUP($B:$B,#REF!,6,FALSE)</f>
        <v>#REF!</v>
      </c>
      <c r="V48" s="432">
        <f t="shared" si="8"/>
        <v>0</v>
      </c>
      <c r="W48" s="433" t="str">
        <f>IFERROR(VLOOKUP($A48,#REF!,2,0),"0")</f>
        <v>0</v>
      </c>
      <c r="X48" s="432">
        <f t="shared" si="9"/>
        <v>0</v>
      </c>
      <c r="Y48" s="163" t="e">
        <f>VLOOKUP($B:$B,#REF!,7,FALSE)</f>
        <v>#REF!</v>
      </c>
      <c r="Z48" s="432">
        <f t="shared" si="10"/>
        <v>0</v>
      </c>
      <c r="AA48" s="433" t="str">
        <f>IFERROR(VLOOKUP($A48,#REF!,2,0),"0")</f>
        <v>0</v>
      </c>
      <c r="AB48" s="432">
        <f t="shared" si="11"/>
        <v>0</v>
      </c>
      <c r="AC48" s="163" t="e">
        <f>VLOOKUP($B:$B,#REF!,8,FALSE)</f>
        <v>#REF!</v>
      </c>
      <c r="AD48" s="432">
        <f t="shared" si="12"/>
        <v>0</v>
      </c>
      <c r="AE48" s="433" t="str">
        <f>IFERROR(VLOOKUP($A48,#REF!,2,0),"0")</f>
        <v>0</v>
      </c>
      <c r="AF48" s="432">
        <f t="shared" si="13"/>
        <v>0</v>
      </c>
      <c r="AG48" s="163" t="e">
        <f>VLOOKUP($B:$B,#REF!,9,FALSE)</f>
        <v>#REF!</v>
      </c>
      <c r="AH48" s="432">
        <f t="shared" si="14"/>
        <v>0</v>
      </c>
      <c r="AI48" s="433" t="str">
        <f>IFERROR(VLOOKUP($A48,#REF!,2,0),"0")</f>
        <v>0</v>
      </c>
      <c r="AJ48" s="432">
        <f t="shared" si="15"/>
        <v>0</v>
      </c>
      <c r="AK48" s="163" t="e">
        <f>VLOOKUP($B:$B,#REF!,10,FALSE)</f>
        <v>#REF!</v>
      </c>
      <c r="AL48" s="432">
        <f t="shared" si="16"/>
        <v>0</v>
      </c>
      <c r="AM48" s="433" t="str">
        <f>IFERROR(VLOOKUP($A48,#REF!,2,0),"0")</f>
        <v>0</v>
      </c>
      <c r="AN48" s="432">
        <f t="shared" si="17"/>
        <v>0</v>
      </c>
      <c r="AO48" s="163" t="e">
        <f>VLOOKUP($B:$B,#REF!,11,FALSE)</f>
        <v>#REF!</v>
      </c>
      <c r="AP48" s="432">
        <f t="shared" si="18"/>
        <v>0</v>
      </c>
      <c r="AQ48" s="433" t="str">
        <f>IFERROR(VLOOKUP($A48,#REF!,2,0),"0")</f>
        <v>0</v>
      </c>
      <c r="AR48" s="432">
        <f t="shared" si="19"/>
        <v>0</v>
      </c>
      <c r="AS48" s="163" t="e">
        <f>VLOOKUP($B:$B,#REF!,12,FALSE)</f>
        <v>#REF!</v>
      </c>
      <c r="AT48" s="432">
        <f t="shared" si="20"/>
        <v>0</v>
      </c>
      <c r="AU48" s="433" t="str">
        <f>IFERROR(VLOOKUP($A48,#REF!,2,0),"0")</f>
        <v>0</v>
      </c>
      <c r="AV48" s="432">
        <f t="shared" si="21"/>
        <v>0</v>
      </c>
      <c r="AW48" s="163" t="e">
        <f>VLOOKUP($B:$B,#REF!,13,FALSE)</f>
        <v>#REF!</v>
      </c>
      <c r="AX48" s="432">
        <f t="shared" si="22"/>
        <v>0</v>
      </c>
      <c r="AY48" s="433" t="str">
        <f>IFERROR(VLOOKUP($A48,#REF!,2,0),"0")</f>
        <v>0</v>
      </c>
      <c r="AZ48" s="432">
        <f t="shared" si="23"/>
        <v>0</v>
      </c>
      <c r="BA48" s="163" t="e">
        <f>VLOOKUP($B:$B,#REF!,14,FALSE)</f>
        <v>#REF!</v>
      </c>
      <c r="BB48" s="432">
        <f t="shared" si="24"/>
        <v>0</v>
      </c>
      <c r="BC48" s="433" t="str">
        <f>IFERROR(VLOOKUP($A48,#REF!,2,0),"0")</f>
        <v>0</v>
      </c>
      <c r="BD48" s="432">
        <f t="shared" si="25"/>
        <v>0</v>
      </c>
      <c r="BE48" s="163" t="e">
        <f>VLOOKUP($B:$B,#REF!,15,FALSE)</f>
        <v>#REF!</v>
      </c>
      <c r="BF48" s="432">
        <f t="shared" si="26"/>
        <v>0</v>
      </c>
      <c r="BG48" s="433" t="str">
        <f>IFERROR(VLOOKUP($A48,#REF!,2,0),"0")</f>
        <v>0</v>
      </c>
      <c r="BH48" s="432">
        <f t="shared" si="27"/>
        <v>0</v>
      </c>
      <c r="BI48" s="163" t="e">
        <f>VLOOKUP($B:$B,#REF!,16,FALSE)</f>
        <v>#REF!</v>
      </c>
      <c r="BJ48" s="432">
        <f t="shared" si="28"/>
        <v>0</v>
      </c>
      <c r="BK48" s="433" t="str">
        <f>IFERROR(VLOOKUP($A48,#REF!,2,0),"0")</f>
        <v>0</v>
      </c>
      <c r="BL48" s="432">
        <f t="shared" si="29"/>
        <v>0</v>
      </c>
      <c r="BM48" s="163" t="e">
        <f>VLOOKUP($B:$B,#REF!,17,FALSE)</f>
        <v>#REF!</v>
      </c>
      <c r="BN48" s="432">
        <f t="shared" si="30"/>
        <v>0</v>
      </c>
      <c r="BO48" s="433" t="str">
        <f>IFERROR(VLOOKUP($A48,#REF!,2,0),"0")</f>
        <v>0</v>
      </c>
      <c r="BP48" s="432">
        <f t="shared" si="31"/>
        <v>0</v>
      </c>
      <c r="BQ48" s="163" t="e">
        <f>VLOOKUP($B:$B,#REF!,18,FALSE)</f>
        <v>#REF!</v>
      </c>
      <c r="BR48" s="432">
        <f t="shared" si="32"/>
        <v>0</v>
      </c>
      <c r="BS48" s="433" t="str">
        <f>IFERROR(VLOOKUP($A48,#REF!,2,0),"0")</f>
        <v>0</v>
      </c>
      <c r="BT48" s="432">
        <f t="shared" si="33"/>
        <v>0</v>
      </c>
      <c r="BU48" s="163" t="e">
        <f>VLOOKUP($B:$B,#REF!,19,FALSE)</f>
        <v>#REF!</v>
      </c>
      <c r="BV48" s="432">
        <f t="shared" si="34"/>
        <v>0</v>
      </c>
      <c r="BW48" s="433" t="str">
        <f>IFERROR(VLOOKUP($A48,#REF!,2,0),"0")</f>
        <v>0</v>
      </c>
      <c r="BX48" s="432">
        <f t="shared" si="35"/>
        <v>0</v>
      </c>
      <c r="BY48" s="163" t="e">
        <f>VLOOKUP($B:$B,#REF!,20,FALSE)</f>
        <v>#REF!</v>
      </c>
      <c r="BZ48" s="432">
        <f t="shared" si="36"/>
        <v>0</v>
      </c>
      <c r="CA48" s="433" t="str">
        <f>IFERROR(VLOOKUP($A48,#REF!,2,0),"0")</f>
        <v>0</v>
      </c>
      <c r="CB48" s="432">
        <f t="shared" si="37"/>
        <v>0</v>
      </c>
      <c r="CC48" s="163" t="e">
        <f>VLOOKUP($B:$B,#REF!,21,FALSE)</f>
        <v>#REF!</v>
      </c>
      <c r="CD48" s="432">
        <f t="shared" si="38"/>
        <v>0</v>
      </c>
      <c r="CE48" s="433" t="str">
        <f>IFERROR(VLOOKUP($A48,#REF!,2,0),"0")</f>
        <v>0</v>
      </c>
      <c r="CF48" s="432">
        <f t="shared" si="39"/>
        <v>0</v>
      </c>
      <c r="CG48" s="163" t="e">
        <f>VLOOKUP($B:$B,#REF!,22,FALSE)</f>
        <v>#REF!</v>
      </c>
      <c r="CH48" s="432">
        <f t="shared" si="40"/>
        <v>0</v>
      </c>
      <c r="CI48" s="433" t="str">
        <f>IFERROR(VLOOKUP($A48,#REF!,2,0),"0")</f>
        <v>0</v>
      </c>
      <c r="CJ48" s="432">
        <f t="shared" si="41"/>
        <v>0</v>
      </c>
      <c r="CK48" s="163" t="e">
        <f>VLOOKUP($B:$B,#REF!,23,FALSE)</f>
        <v>#REF!</v>
      </c>
      <c r="CL48" s="432">
        <f t="shared" si="42"/>
        <v>0</v>
      </c>
      <c r="CM48" s="433" t="str">
        <f>IFERROR(VLOOKUP($A48,#REF!,2,0),"0")</f>
        <v>0</v>
      </c>
      <c r="CN48" s="432">
        <f t="shared" si="43"/>
        <v>0</v>
      </c>
      <c r="CO48" s="163" t="e">
        <f>VLOOKUP($B:$B,#REF!,24,FALSE)</f>
        <v>#REF!</v>
      </c>
      <c r="CP48" s="432">
        <f t="shared" si="44"/>
        <v>0</v>
      </c>
      <c r="CQ48" s="433" t="str">
        <f>IFERROR(VLOOKUP($A48,#REF!,2,0),"0")</f>
        <v>0</v>
      </c>
      <c r="CR48" s="432">
        <f t="shared" si="45"/>
        <v>0</v>
      </c>
      <c r="CS48" s="163" t="e">
        <f>VLOOKUP($B:$B,#REF!,25,FALSE)</f>
        <v>#REF!</v>
      </c>
      <c r="CT48" s="432">
        <f t="shared" si="46"/>
        <v>0</v>
      </c>
      <c r="CU48" s="433" t="str">
        <f>IFERROR(VLOOKUP($A48,#REF!,2,0),"0")</f>
        <v>0</v>
      </c>
      <c r="CV48" s="432">
        <f t="shared" si="47"/>
        <v>0</v>
      </c>
      <c r="CW48" s="163" t="e">
        <f>VLOOKUP($B:$B,#REF!,26,FALSE)</f>
        <v>#REF!</v>
      </c>
      <c r="CX48" s="432">
        <f t="shared" si="48"/>
        <v>0</v>
      </c>
      <c r="CY48" s="433" t="str">
        <f>IFERROR(VLOOKUP($A48,#REF!,2,0),"0")</f>
        <v>0</v>
      </c>
      <c r="CZ48" s="432">
        <f t="shared" si="49"/>
        <v>0</v>
      </c>
      <c r="DA48" s="163" t="e">
        <f>VLOOKUP($B:$B,#REF!,27,FALSE)</f>
        <v>#REF!</v>
      </c>
      <c r="DB48" s="432">
        <f t="shared" si="50"/>
        <v>0</v>
      </c>
      <c r="DC48" s="433" t="str">
        <f>IFERROR(VLOOKUP($A48,#REF!,2,0),"0")</f>
        <v>0</v>
      </c>
      <c r="DD48" s="432">
        <f t="shared" si="51"/>
        <v>0</v>
      </c>
      <c r="DE48" s="163" t="e">
        <f>VLOOKUP($B:$B,#REF!,28,FALSE)</f>
        <v>#REF!</v>
      </c>
      <c r="DF48" s="432">
        <f t="shared" si="52"/>
        <v>0</v>
      </c>
      <c r="DG48" s="433" t="str">
        <f>IFERROR(VLOOKUP($A48,#REF!,2,0),"0")</f>
        <v>0</v>
      </c>
      <c r="DH48" s="432">
        <f t="shared" si="53"/>
        <v>0</v>
      </c>
      <c r="DI48" s="163" t="e">
        <f>VLOOKUP($B:$B,#REF!,29,FALSE)</f>
        <v>#REF!</v>
      </c>
      <c r="DJ48" s="432">
        <f t="shared" si="54"/>
        <v>0</v>
      </c>
      <c r="DK48" s="433" t="str">
        <f>IFERROR(VLOOKUP($A48,#REF!,2,0),"0")</f>
        <v>0</v>
      </c>
      <c r="DL48" s="432">
        <f t="shared" si="55"/>
        <v>0</v>
      </c>
      <c r="DM48" s="163" t="e">
        <f>VLOOKUP($B:$B,#REF!,30,FALSE)</f>
        <v>#REF!</v>
      </c>
      <c r="DN48" s="432">
        <f t="shared" si="56"/>
        <v>0</v>
      </c>
      <c r="DO48" s="432"/>
      <c r="DP48" s="432">
        <f t="shared" si="57"/>
        <v>0</v>
      </c>
      <c r="DQ48" s="163" t="e">
        <f>VLOOKUP($B:$B,#REF!,31,FALSE)</f>
        <v>#REF!</v>
      </c>
      <c r="DR48" s="432">
        <f t="shared" si="58"/>
        <v>0</v>
      </c>
      <c r="DS48" s="434"/>
      <c r="DT48" s="432">
        <f t="shared" si="59"/>
        <v>0</v>
      </c>
      <c r="DU48" s="163" t="e">
        <f>VLOOKUP($B:$B,#REF!,32,FALSE)</f>
        <v>#REF!</v>
      </c>
      <c r="DV48" s="432">
        <f t="shared" si="60"/>
        <v>0</v>
      </c>
      <c r="DW48" s="434"/>
      <c r="DX48" s="432">
        <f t="shared" si="61"/>
        <v>0</v>
      </c>
      <c r="DY48" s="432">
        <f t="shared" si="62"/>
        <v>0</v>
      </c>
    </row>
    <row r="49" spans="1:129" ht="15.75">
      <c r="A49" s="166" t="s">
        <v>76</v>
      </c>
      <c r="B49" s="506" t="s">
        <v>77</v>
      </c>
      <c r="C49" s="166">
        <v>1754351342</v>
      </c>
      <c r="D49" s="431">
        <v>35674</v>
      </c>
      <c r="E49" s="163" t="e">
        <f>VLOOKUP($B:$B,#REF!,2,FALSE)</f>
        <v>#REF!</v>
      </c>
      <c r="F49" s="432">
        <f t="shared" si="0"/>
        <v>0</v>
      </c>
      <c r="G49" s="433" t="str">
        <f>IFERROR(VLOOKUP($A49,#REF!,2,0),"0")</f>
        <v>0</v>
      </c>
      <c r="H49" s="432">
        <f t="shared" si="66"/>
        <v>0</v>
      </c>
      <c r="I49" s="163" t="e">
        <f>VLOOKUP($B:$B,#REF!,3,FALSE)</f>
        <v>#REF!</v>
      </c>
      <c r="J49" s="432">
        <f t="shared" si="2"/>
        <v>0</v>
      </c>
      <c r="K49" s="433" t="str">
        <f>IFERROR(VLOOKUP($A49,#REF!,2,0),"0")</f>
        <v>0</v>
      </c>
      <c r="L49" s="432">
        <f t="shared" si="63"/>
        <v>0</v>
      </c>
      <c r="M49" s="163" t="e">
        <f>VLOOKUP($B:$B,#REF!,4,FALSE)</f>
        <v>#REF!</v>
      </c>
      <c r="N49" s="432">
        <f t="shared" si="4"/>
        <v>0</v>
      </c>
      <c r="O49" s="433" t="str">
        <f>IFERROR(VLOOKUP($A49,#REF!,2,0),"0")</f>
        <v>0</v>
      </c>
      <c r="P49" s="432">
        <f t="shared" si="5"/>
        <v>0</v>
      </c>
      <c r="Q49" s="163" t="e">
        <f>VLOOKUP($B:$B,#REF!,5,FALSE)</f>
        <v>#REF!</v>
      </c>
      <c r="R49" s="432">
        <f t="shared" si="6"/>
        <v>0</v>
      </c>
      <c r="S49" s="433" t="str">
        <f>IFERROR(VLOOKUP($A49,#REF!,2,0),"0")</f>
        <v>0</v>
      </c>
      <c r="T49" s="432">
        <f t="shared" si="67"/>
        <v>0</v>
      </c>
      <c r="U49" s="163" t="e">
        <f>VLOOKUP($B:$B,#REF!,6,FALSE)</f>
        <v>#REF!</v>
      </c>
      <c r="V49" s="432">
        <f t="shared" si="8"/>
        <v>0</v>
      </c>
      <c r="W49" s="433" t="str">
        <f>IFERROR(VLOOKUP($A49,#REF!,2,0),"0")</f>
        <v>0</v>
      </c>
      <c r="X49" s="432">
        <f t="shared" si="9"/>
        <v>0</v>
      </c>
      <c r="Y49" s="163" t="e">
        <f>VLOOKUP($B:$B,#REF!,7,FALSE)</f>
        <v>#REF!</v>
      </c>
      <c r="Z49" s="432">
        <f t="shared" si="10"/>
        <v>0</v>
      </c>
      <c r="AA49" s="433" t="str">
        <f>IFERROR(VLOOKUP($A49,#REF!,2,0),"0")</f>
        <v>0</v>
      </c>
      <c r="AB49" s="432">
        <f t="shared" si="11"/>
        <v>0</v>
      </c>
      <c r="AC49" s="163" t="e">
        <f>VLOOKUP($B:$B,#REF!,8,FALSE)</f>
        <v>#REF!</v>
      </c>
      <c r="AD49" s="432">
        <f t="shared" si="12"/>
        <v>0</v>
      </c>
      <c r="AE49" s="433" t="str">
        <f>IFERROR(VLOOKUP($A49,#REF!,2,0),"0")</f>
        <v>0</v>
      </c>
      <c r="AF49" s="432">
        <f t="shared" si="13"/>
        <v>0</v>
      </c>
      <c r="AG49" s="163" t="e">
        <f>VLOOKUP($B:$B,#REF!,9,FALSE)</f>
        <v>#REF!</v>
      </c>
      <c r="AH49" s="432">
        <f t="shared" si="14"/>
        <v>0</v>
      </c>
      <c r="AI49" s="433" t="str">
        <f>IFERROR(VLOOKUP($A49,#REF!,2,0),"0")</f>
        <v>0</v>
      </c>
      <c r="AJ49" s="432">
        <f t="shared" si="15"/>
        <v>0</v>
      </c>
      <c r="AK49" s="163" t="e">
        <f>VLOOKUP($B:$B,#REF!,10,FALSE)</f>
        <v>#REF!</v>
      </c>
      <c r="AL49" s="432">
        <f t="shared" si="16"/>
        <v>0</v>
      </c>
      <c r="AM49" s="433" t="str">
        <f>IFERROR(VLOOKUP($A49,#REF!,2,0),"0")</f>
        <v>0</v>
      </c>
      <c r="AN49" s="432">
        <f t="shared" si="17"/>
        <v>0</v>
      </c>
      <c r="AO49" s="163" t="e">
        <f>VLOOKUP($B:$B,#REF!,11,FALSE)</f>
        <v>#REF!</v>
      </c>
      <c r="AP49" s="432">
        <f t="shared" si="18"/>
        <v>0</v>
      </c>
      <c r="AQ49" s="433" t="str">
        <f>IFERROR(VLOOKUP($A49,#REF!,2,0),"0")</f>
        <v>0</v>
      </c>
      <c r="AR49" s="432">
        <f t="shared" si="19"/>
        <v>0</v>
      </c>
      <c r="AS49" s="163" t="e">
        <f>VLOOKUP($B:$B,#REF!,12,FALSE)</f>
        <v>#REF!</v>
      </c>
      <c r="AT49" s="432">
        <f t="shared" si="20"/>
        <v>0</v>
      </c>
      <c r="AU49" s="433" t="str">
        <f>IFERROR(VLOOKUP($A49,#REF!,2,0),"0")</f>
        <v>0</v>
      </c>
      <c r="AV49" s="432">
        <f t="shared" si="21"/>
        <v>0</v>
      </c>
      <c r="AW49" s="163" t="e">
        <f>VLOOKUP($B:$B,#REF!,13,FALSE)</f>
        <v>#REF!</v>
      </c>
      <c r="AX49" s="432">
        <f t="shared" si="22"/>
        <v>0</v>
      </c>
      <c r="AY49" s="433" t="str">
        <f>IFERROR(VLOOKUP($A49,#REF!,2,0),"0")</f>
        <v>0</v>
      </c>
      <c r="AZ49" s="432">
        <f t="shared" si="23"/>
        <v>0</v>
      </c>
      <c r="BA49" s="163" t="e">
        <f>VLOOKUP($B:$B,#REF!,14,FALSE)</f>
        <v>#REF!</v>
      </c>
      <c r="BB49" s="432">
        <f t="shared" si="24"/>
        <v>0</v>
      </c>
      <c r="BC49" s="433" t="str">
        <f>IFERROR(VLOOKUP($A49,#REF!,2,0),"0")</f>
        <v>0</v>
      </c>
      <c r="BD49" s="432">
        <f t="shared" si="25"/>
        <v>0</v>
      </c>
      <c r="BE49" s="163" t="e">
        <f>VLOOKUP($B:$B,#REF!,15,FALSE)</f>
        <v>#REF!</v>
      </c>
      <c r="BF49" s="432">
        <f t="shared" si="26"/>
        <v>0</v>
      </c>
      <c r="BG49" s="433" t="str">
        <f>IFERROR(VLOOKUP($A49,#REF!,2,0),"0")</f>
        <v>0</v>
      </c>
      <c r="BH49" s="432">
        <f t="shared" si="27"/>
        <v>0</v>
      </c>
      <c r="BI49" s="163" t="e">
        <f>VLOOKUP($B:$B,#REF!,16,FALSE)</f>
        <v>#REF!</v>
      </c>
      <c r="BJ49" s="432">
        <f t="shared" si="28"/>
        <v>0</v>
      </c>
      <c r="BK49" s="433" t="str">
        <f>IFERROR(VLOOKUP($A49,#REF!,2,0),"0")</f>
        <v>0</v>
      </c>
      <c r="BL49" s="432">
        <f t="shared" si="29"/>
        <v>0</v>
      </c>
      <c r="BM49" s="163" t="e">
        <f>VLOOKUP($B:$B,#REF!,17,FALSE)</f>
        <v>#REF!</v>
      </c>
      <c r="BN49" s="432">
        <f t="shared" si="30"/>
        <v>0</v>
      </c>
      <c r="BO49" s="433">
        <v>0</v>
      </c>
      <c r="BP49" s="432">
        <f t="shared" si="31"/>
        <v>0</v>
      </c>
      <c r="BQ49" s="163" t="e">
        <f>VLOOKUP($B:$B,#REF!,18,FALSE)</f>
        <v>#REF!</v>
      </c>
      <c r="BR49" s="432">
        <f t="shared" si="32"/>
        <v>0</v>
      </c>
      <c r="BS49" s="433" t="str">
        <f>IFERROR(VLOOKUP($A49,#REF!,2,0),"0")</f>
        <v>0</v>
      </c>
      <c r="BT49" s="432">
        <f t="shared" si="33"/>
        <v>0</v>
      </c>
      <c r="BU49" s="163" t="e">
        <f>VLOOKUP($B:$B,#REF!,19,FALSE)</f>
        <v>#REF!</v>
      </c>
      <c r="BV49" s="432">
        <f t="shared" si="34"/>
        <v>0</v>
      </c>
      <c r="BW49" s="433" t="str">
        <f>IFERROR(VLOOKUP($A49,#REF!,2,0),"0")</f>
        <v>0</v>
      </c>
      <c r="BX49" s="432">
        <f t="shared" si="35"/>
        <v>0</v>
      </c>
      <c r="BY49" s="163" t="e">
        <f>VLOOKUP($B:$B,#REF!,20,FALSE)</f>
        <v>#REF!</v>
      </c>
      <c r="BZ49" s="432">
        <f t="shared" si="36"/>
        <v>0</v>
      </c>
      <c r="CA49" s="433" t="str">
        <f>IFERROR(VLOOKUP($A49,#REF!,2,0),"0")</f>
        <v>0</v>
      </c>
      <c r="CB49" s="432">
        <f t="shared" si="37"/>
        <v>0</v>
      </c>
      <c r="CC49" s="163" t="e">
        <f>VLOOKUP($B:$B,#REF!,21,FALSE)</f>
        <v>#REF!</v>
      </c>
      <c r="CD49" s="432">
        <f t="shared" si="38"/>
        <v>0</v>
      </c>
      <c r="CE49" s="432">
        <f t="shared" si="38"/>
        <v>0</v>
      </c>
      <c r="CF49" s="432">
        <f t="shared" si="39"/>
        <v>0</v>
      </c>
      <c r="CG49" s="163" t="e">
        <f>VLOOKUP($B:$B,#REF!,22,FALSE)</f>
        <v>#REF!</v>
      </c>
      <c r="CH49" s="432">
        <f t="shared" si="40"/>
        <v>0</v>
      </c>
      <c r="CI49" s="433" t="str">
        <f>IFERROR(VLOOKUP($A49,#REF!,2,0),"0")</f>
        <v>0</v>
      </c>
      <c r="CJ49" s="432">
        <f t="shared" si="41"/>
        <v>0</v>
      </c>
      <c r="CK49" s="163" t="e">
        <f>VLOOKUP($B:$B,#REF!,23,FALSE)</f>
        <v>#REF!</v>
      </c>
      <c r="CL49" s="432">
        <f t="shared" si="42"/>
        <v>0</v>
      </c>
      <c r="CM49" s="433" t="str">
        <f>IFERROR(VLOOKUP($A49,#REF!,2,0),"0")</f>
        <v>0</v>
      </c>
      <c r="CN49" s="432">
        <f t="shared" si="43"/>
        <v>0</v>
      </c>
      <c r="CO49" s="163" t="e">
        <f>VLOOKUP($B:$B,#REF!,24,FALSE)</f>
        <v>#REF!</v>
      </c>
      <c r="CP49" s="432">
        <f t="shared" si="44"/>
        <v>0</v>
      </c>
      <c r="CQ49" s="433" t="str">
        <f>IFERROR(VLOOKUP($A49,#REF!,2,0),"0")</f>
        <v>0</v>
      </c>
      <c r="CR49" s="432">
        <f t="shared" si="45"/>
        <v>0</v>
      </c>
      <c r="CS49" s="163" t="e">
        <f>VLOOKUP($B:$B,#REF!,25,FALSE)</f>
        <v>#REF!</v>
      </c>
      <c r="CT49" s="432">
        <f t="shared" si="46"/>
        <v>0</v>
      </c>
      <c r="CU49" s="433" t="str">
        <f>IFERROR(VLOOKUP($A49,#REF!,2,0),"0")</f>
        <v>0</v>
      </c>
      <c r="CV49" s="432">
        <f t="shared" si="47"/>
        <v>0</v>
      </c>
      <c r="CW49" s="163" t="e">
        <f>VLOOKUP($B:$B,#REF!,26,FALSE)</f>
        <v>#REF!</v>
      </c>
      <c r="CX49" s="432">
        <f t="shared" si="48"/>
        <v>0</v>
      </c>
      <c r="CY49" s="433" t="str">
        <f>IFERROR(VLOOKUP($A49,#REF!,2,0),"0")</f>
        <v>0</v>
      </c>
      <c r="CZ49" s="432">
        <f t="shared" si="49"/>
        <v>0</v>
      </c>
      <c r="DA49" s="163" t="e">
        <f>VLOOKUP($B:$B,#REF!,27,FALSE)</f>
        <v>#REF!</v>
      </c>
      <c r="DB49" s="432">
        <f t="shared" si="50"/>
        <v>0</v>
      </c>
      <c r="DC49" s="433" t="str">
        <f>IFERROR(VLOOKUP($A49,#REF!,2,0),"0")</f>
        <v>0</v>
      </c>
      <c r="DD49" s="432">
        <f t="shared" si="51"/>
        <v>0</v>
      </c>
      <c r="DE49" s="163" t="e">
        <f>VLOOKUP($B:$B,#REF!,28,FALSE)</f>
        <v>#REF!</v>
      </c>
      <c r="DF49" s="432">
        <f t="shared" si="52"/>
        <v>0</v>
      </c>
      <c r="DG49" s="433" t="str">
        <f>IFERROR(VLOOKUP($A49,#REF!,2,0),"0")</f>
        <v>0</v>
      </c>
      <c r="DH49" s="432">
        <f t="shared" si="53"/>
        <v>0</v>
      </c>
      <c r="DI49" s="163" t="e">
        <f>VLOOKUP($B:$B,#REF!,29,FALSE)</f>
        <v>#REF!</v>
      </c>
      <c r="DJ49" s="432">
        <f t="shared" si="54"/>
        <v>0</v>
      </c>
      <c r="DK49" s="433" t="str">
        <f>IFERROR(VLOOKUP($A49,#REF!,2,0),"0")</f>
        <v>0</v>
      </c>
      <c r="DL49" s="432">
        <f t="shared" si="55"/>
        <v>0</v>
      </c>
      <c r="DM49" s="163" t="e">
        <f>VLOOKUP($B:$B,#REF!,30,FALSE)</f>
        <v>#REF!</v>
      </c>
      <c r="DN49" s="432">
        <f t="shared" si="56"/>
        <v>0</v>
      </c>
      <c r="DO49" s="432"/>
      <c r="DP49" s="432">
        <f t="shared" si="57"/>
        <v>0</v>
      </c>
      <c r="DQ49" s="163" t="e">
        <f>VLOOKUP($B:$B,#REF!,31,FALSE)</f>
        <v>#REF!</v>
      </c>
      <c r="DR49" s="432">
        <f t="shared" si="58"/>
        <v>0</v>
      </c>
      <c r="DS49" s="434"/>
      <c r="DT49" s="432">
        <f t="shared" si="59"/>
        <v>0</v>
      </c>
      <c r="DU49" s="163" t="e">
        <f>VLOOKUP($B:$B,#REF!,32,FALSE)</f>
        <v>#REF!</v>
      </c>
      <c r="DV49" s="432">
        <f t="shared" si="60"/>
        <v>0</v>
      </c>
      <c r="DW49" s="434"/>
      <c r="DX49" s="432">
        <f t="shared" si="61"/>
        <v>0</v>
      </c>
      <c r="DY49" s="432">
        <f t="shared" si="62"/>
        <v>0</v>
      </c>
    </row>
    <row r="50" spans="1:129" ht="15.75">
      <c r="A50" s="166" t="s">
        <v>152</v>
      </c>
      <c r="B50" s="506" t="s">
        <v>153</v>
      </c>
      <c r="C50" s="166">
        <v>1762360749</v>
      </c>
      <c r="D50" s="431">
        <v>33519</v>
      </c>
      <c r="E50" s="163" t="e">
        <f>VLOOKUP($B:$B,#REF!,2,FALSE)</f>
        <v>#REF!</v>
      </c>
      <c r="F50" s="432">
        <f t="shared" si="0"/>
        <v>0</v>
      </c>
      <c r="G50" s="433" t="str">
        <f>IFERROR(VLOOKUP($A50,#REF!,2,0),"0")</f>
        <v>0</v>
      </c>
      <c r="H50" s="432">
        <f t="shared" si="66"/>
        <v>0</v>
      </c>
      <c r="I50" s="163" t="e">
        <f>VLOOKUP($B:$B,#REF!,3,FALSE)</f>
        <v>#REF!</v>
      </c>
      <c r="J50" s="432">
        <f t="shared" si="2"/>
        <v>0</v>
      </c>
      <c r="K50" s="433" t="str">
        <f>IFERROR(VLOOKUP($A50,#REF!,2,0),"0")</f>
        <v>0</v>
      </c>
      <c r="L50" s="432">
        <f t="shared" si="63"/>
        <v>0</v>
      </c>
      <c r="M50" s="163" t="e">
        <f>VLOOKUP($B:$B,#REF!,4,FALSE)</f>
        <v>#REF!</v>
      </c>
      <c r="N50" s="432">
        <f t="shared" si="4"/>
        <v>0</v>
      </c>
      <c r="O50" s="433" t="str">
        <f>IFERROR(VLOOKUP($A50,#REF!,2,0),"0")</f>
        <v>0</v>
      </c>
      <c r="P50" s="432">
        <f t="shared" si="5"/>
        <v>0</v>
      </c>
      <c r="Q50" s="163" t="e">
        <f>VLOOKUP($B:$B,#REF!,5,FALSE)</f>
        <v>#REF!</v>
      </c>
      <c r="R50" s="432">
        <f t="shared" si="6"/>
        <v>0</v>
      </c>
      <c r="S50" s="433" t="str">
        <f>IFERROR(VLOOKUP($A50,#REF!,2,0),"0")</f>
        <v>0</v>
      </c>
      <c r="T50" s="432">
        <f t="shared" si="67"/>
        <v>0</v>
      </c>
      <c r="U50" s="163" t="e">
        <f>VLOOKUP($B:$B,#REF!,6,FALSE)</f>
        <v>#REF!</v>
      </c>
      <c r="V50" s="432">
        <f t="shared" si="8"/>
        <v>0</v>
      </c>
      <c r="W50" s="433" t="str">
        <f>IFERROR(VLOOKUP($A50,#REF!,2,0),"0")</f>
        <v>0</v>
      </c>
      <c r="X50" s="432">
        <f t="shared" si="9"/>
        <v>0</v>
      </c>
      <c r="Y50" s="163" t="e">
        <f>VLOOKUP($B:$B,#REF!,7,FALSE)</f>
        <v>#REF!</v>
      </c>
      <c r="Z50" s="432">
        <f t="shared" si="10"/>
        <v>0</v>
      </c>
      <c r="AA50" s="433" t="str">
        <f>IFERROR(VLOOKUP($A50,#REF!,2,0),"0")</f>
        <v>0</v>
      </c>
      <c r="AB50" s="432">
        <f t="shared" si="11"/>
        <v>0</v>
      </c>
      <c r="AC50" s="163" t="e">
        <f>VLOOKUP($B:$B,#REF!,8,FALSE)</f>
        <v>#REF!</v>
      </c>
      <c r="AD50" s="432">
        <f t="shared" si="12"/>
        <v>0</v>
      </c>
      <c r="AE50" s="433" t="str">
        <f>IFERROR(VLOOKUP($A50,#REF!,2,0),"0")</f>
        <v>0</v>
      </c>
      <c r="AF50" s="432">
        <f t="shared" si="13"/>
        <v>0</v>
      </c>
      <c r="AG50" s="163" t="e">
        <f>VLOOKUP($B:$B,#REF!,9,FALSE)</f>
        <v>#REF!</v>
      </c>
      <c r="AH50" s="432">
        <f t="shared" si="14"/>
        <v>0</v>
      </c>
      <c r="AI50" s="433" t="str">
        <f>IFERROR(VLOOKUP($A50,#REF!,2,0),"0")</f>
        <v>0</v>
      </c>
      <c r="AJ50" s="432">
        <f t="shared" si="15"/>
        <v>0</v>
      </c>
      <c r="AK50" s="163" t="e">
        <f>VLOOKUP($B:$B,#REF!,10,FALSE)</f>
        <v>#REF!</v>
      </c>
      <c r="AL50" s="432">
        <f t="shared" si="16"/>
        <v>0</v>
      </c>
      <c r="AM50" s="433" t="str">
        <f>IFERROR(VLOOKUP($A50,#REF!,2,0),"0")</f>
        <v>0</v>
      </c>
      <c r="AN50" s="432">
        <f t="shared" si="17"/>
        <v>0</v>
      </c>
      <c r="AO50" s="163" t="e">
        <f>VLOOKUP($B:$B,#REF!,11,FALSE)</f>
        <v>#REF!</v>
      </c>
      <c r="AP50" s="432">
        <f t="shared" si="18"/>
        <v>0</v>
      </c>
      <c r="AQ50" s="433"/>
      <c r="AR50" s="432">
        <f t="shared" si="19"/>
        <v>0</v>
      </c>
      <c r="AS50" s="163" t="e">
        <f>VLOOKUP($B:$B,#REF!,12,FALSE)</f>
        <v>#REF!</v>
      </c>
      <c r="AT50" s="432">
        <f t="shared" si="20"/>
        <v>0</v>
      </c>
      <c r="AU50" s="433" t="str">
        <f>IFERROR(VLOOKUP($A50,#REF!,2,0),"0")</f>
        <v>0</v>
      </c>
      <c r="AV50" s="432">
        <f t="shared" si="21"/>
        <v>0</v>
      </c>
      <c r="AW50" s="163" t="e">
        <f>VLOOKUP($B:$B,#REF!,13,FALSE)</f>
        <v>#REF!</v>
      </c>
      <c r="AX50" s="432">
        <f t="shared" si="22"/>
        <v>0</v>
      </c>
      <c r="AY50" s="433" t="str">
        <f>IFERROR(VLOOKUP($A50,#REF!,2,0),"0")</f>
        <v>0</v>
      </c>
      <c r="AZ50" s="432">
        <f t="shared" si="23"/>
        <v>0</v>
      </c>
      <c r="BA50" s="163" t="e">
        <f>VLOOKUP($B:$B,#REF!,14,FALSE)</f>
        <v>#REF!</v>
      </c>
      <c r="BB50" s="432">
        <f t="shared" si="24"/>
        <v>0</v>
      </c>
      <c r="BC50" s="432">
        <f t="shared" si="24"/>
        <v>0</v>
      </c>
      <c r="BD50" s="432">
        <f t="shared" si="25"/>
        <v>0</v>
      </c>
      <c r="BE50" s="163" t="e">
        <f>VLOOKUP($B:$B,#REF!,15,FALSE)</f>
        <v>#REF!</v>
      </c>
      <c r="BF50" s="432">
        <f t="shared" si="26"/>
        <v>0</v>
      </c>
      <c r="BG50" s="433" t="str">
        <f>IFERROR(VLOOKUP($A50,#REF!,2,0),"0")</f>
        <v>0</v>
      </c>
      <c r="BH50" s="432">
        <f t="shared" si="27"/>
        <v>0</v>
      </c>
      <c r="BI50" s="163" t="e">
        <f>VLOOKUP($B:$B,#REF!,16,FALSE)</f>
        <v>#REF!</v>
      </c>
      <c r="BJ50" s="432">
        <f t="shared" si="28"/>
        <v>0</v>
      </c>
      <c r="BK50" s="433" t="str">
        <f>IFERROR(VLOOKUP($A50,#REF!,2,0),"0")</f>
        <v>0</v>
      </c>
      <c r="BL50" s="432">
        <f t="shared" si="29"/>
        <v>0</v>
      </c>
      <c r="BM50" s="163" t="e">
        <f>VLOOKUP($B:$B,#REF!,17,FALSE)</f>
        <v>#REF!</v>
      </c>
      <c r="BN50" s="432">
        <f t="shared" si="30"/>
        <v>0</v>
      </c>
      <c r="BO50" s="433" t="str">
        <f>IFERROR(VLOOKUP($A50,#REF!,2,0),"0")</f>
        <v>0</v>
      </c>
      <c r="BP50" s="432">
        <f t="shared" si="31"/>
        <v>0</v>
      </c>
      <c r="BQ50" s="163" t="e">
        <f>VLOOKUP($B:$B,#REF!,18,FALSE)</f>
        <v>#REF!</v>
      </c>
      <c r="BR50" s="432">
        <f t="shared" si="32"/>
        <v>0</v>
      </c>
      <c r="BS50" s="433" t="str">
        <f>IFERROR(VLOOKUP($A50,#REF!,2,0),"0")</f>
        <v>0</v>
      </c>
      <c r="BT50" s="432">
        <f t="shared" si="33"/>
        <v>0</v>
      </c>
      <c r="BU50" s="163" t="e">
        <f>VLOOKUP($B:$B,#REF!,19,FALSE)</f>
        <v>#REF!</v>
      </c>
      <c r="BV50" s="432">
        <f t="shared" si="34"/>
        <v>0</v>
      </c>
      <c r="BW50" s="433" t="str">
        <f>IFERROR(VLOOKUP($A50,#REF!,2,0),"0")</f>
        <v>0</v>
      </c>
      <c r="BX50" s="432">
        <f t="shared" si="35"/>
        <v>0</v>
      </c>
      <c r="BY50" s="163" t="e">
        <f>VLOOKUP($B:$B,#REF!,20,FALSE)</f>
        <v>#REF!</v>
      </c>
      <c r="BZ50" s="432">
        <f t="shared" si="36"/>
        <v>0</v>
      </c>
      <c r="CA50" s="433" t="str">
        <f>IFERROR(VLOOKUP($A50,#REF!,2,0),"0")</f>
        <v>0</v>
      </c>
      <c r="CB50" s="432">
        <f t="shared" si="37"/>
        <v>0</v>
      </c>
      <c r="CC50" s="163" t="e">
        <f>VLOOKUP($B:$B,#REF!,21,FALSE)</f>
        <v>#REF!</v>
      </c>
      <c r="CD50" s="432">
        <f t="shared" si="38"/>
        <v>0</v>
      </c>
      <c r="CE50" s="433" t="str">
        <f>IFERROR(VLOOKUP($A50,#REF!,2,0),"0")</f>
        <v>0</v>
      </c>
      <c r="CF50" s="432">
        <f t="shared" si="39"/>
        <v>0</v>
      </c>
      <c r="CG50" s="163" t="e">
        <f>VLOOKUP($B:$B,#REF!,22,FALSE)</f>
        <v>#REF!</v>
      </c>
      <c r="CH50" s="432">
        <f t="shared" si="40"/>
        <v>0</v>
      </c>
      <c r="CI50" s="433" t="str">
        <f>IFERROR(VLOOKUP($A50,#REF!,2,0),"0")</f>
        <v>0</v>
      </c>
      <c r="CJ50" s="432">
        <f t="shared" si="41"/>
        <v>0</v>
      </c>
      <c r="CK50" s="163" t="e">
        <f>VLOOKUP($B:$B,#REF!,23,FALSE)</f>
        <v>#REF!</v>
      </c>
      <c r="CL50" s="432">
        <f t="shared" si="42"/>
        <v>0</v>
      </c>
      <c r="CM50" s="433" t="str">
        <f>IFERROR(VLOOKUP($A50,#REF!,2,0),"0")</f>
        <v>0</v>
      </c>
      <c r="CN50" s="432">
        <f t="shared" si="43"/>
        <v>0</v>
      </c>
      <c r="CO50" s="163" t="e">
        <f>VLOOKUP($B:$B,#REF!,24,FALSE)</f>
        <v>#REF!</v>
      </c>
      <c r="CP50" s="432">
        <f t="shared" si="44"/>
        <v>0</v>
      </c>
      <c r="CQ50" s="433" t="str">
        <f>IFERROR(VLOOKUP($A50,#REF!,2,0),"0")</f>
        <v>0</v>
      </c>
      <c r="CR50" s="432">
        <f t="shared" si="45"/>
        <v>0</v>
      </c>
      <c r="CS50" s="163" t="e">
        <f>VLOOKUP($B:$B,#REF!,25,FALSE)</f>
        <v>#REF!</v>
      </c>
      <c r="CT50" s="432">
        <f t="shared" si="46"/>
        <v>0</v>
      </c>
      <c r="CU50" s="433" t="str">
        <f>IFERROR(VLOOKUP($A50,#REF!,2,0),"0")</f>
        <v>0</v>
      </c>
      <c r="CV50" s="432"/>
      <c r="CW50" s="163" t="e">
        <f>VLOOKUP($B:$B,#REF!,26,FALSE)</f>
        <v>#REF!</v>
      </c>
      <c r="CX50" s="432">
        <f t="shared" si="48"/>
        <v>0</v>
      </c>
      <c r="CY50" s="433"/>
      <c r="CZ50" s="432">
        <f t="shared" si="49"/>
        <v>0</v>
      </c>
      <c r="DA50" s="163" t="e">
        <f>VLOOKUP($B:$B,#REF!,27,FALSE)</f>
        <v>#REF!</v>
      </c>
      <c r="DB50" s="432">
        <f t="shared" si="50"/>
        <v>0</v>
      </c>
      <c r="DC50" s="433" t="str">
        <f>IFERROR(VLOOKUP($A50,#REF!,2,0),"0")</f>
        <v>0</v>
      </c>
      <c r="DD50" s="432">
        <f t="shared" si="51"/>
        <v>0</v>
      </c>
      <c r="DE50" s="163" t="e">
        <f>VLOOKUP($B:$B,#REF!,28,FALSE)</f>
        <v>#REF!</v>
      </c>
      <c r="DF50" s="432">
        <f t="shared" si="52"/>
        <v>0</v>
      </c>
      <c r="DG50" s="433" t="str">
        <f>IFERROR(VLOOKUP($A50,#REF!,2,0),"0")</f>
        <v>0</v>
      </c>
      <c r="DH50" s="432">
        <f t="shared" si="53"/>
        <v>0</v>
      </c>
      <c r="DI50" s="163" t="e">
        <f>VLOOKUP($B:$B,#REF!,29,FALSE)</f>
        <v>#REF!</v>
      </c>
      <c r="DJ50" s="432">
        <f t="shared" si="54"/>
        <v>0</v>
      </c>
      <c r="DK50" s="433" t="str">
        <f>IFERROR(VLOOKUP($A50,#REF!,2,0),"0")</f>
        <v>0</v>
      </c>
      <c r="DL50" s="432">
        <f t="shared" si="55"/>
        <v>0</v>
      </c>
      <c r="DM50" s="163" t="e">
        <f>VLOOKUP($B:$B,#REF!,30,FALSE)</f>
        <v>#REF!</v>
      </c>
      <c r="DN50" s="432">
        <f t="shared" si="56"/>
        <v>0</v>
      </c>
      <c r="DO50" s="432"/>
      <c r="DP50" s="432">
        <f t="shared" si="57"/>
        <v>0</v>
      </c>
      <c r="DQ50" s="163" t="e">
        <f>VLOOKUP($B:$B,#REF!,31,FALSE)</f>
        <v>#REF!</v>
      </c>
      <c r="DR50" s="432">
        <f t="shared" si="58"/>
        <v>0</v>
      </c>
      <c r="DS50" s="434"/>
      <c r="DT50" s="432">
        <f t="shared" si="59"/>
        <v>0</v>
      </c>
      <c r="DU50" s="163" t="e">
        <f>VLOOKUP($B:$B,#REF!,32,FALSE)</f>
        <v>#REF!</v>
      </c>
      <c r="DV50" s="432">
        <f t="shared" si="60"/>
        <v>0</v>
      </c>
      <c r="DW50" s="434"/>
      <c r="DX50" s="432">
        <f t="shared" si="61"/>
        <v>0</v>
      </c>
      <c r="DY50" s="432">
        <f t="shared" si="62"/>
        <v>0</v>
      </c>
    </row>
    <row r="51" spans="1:129" ht="15.75">
      <c r="A51" s="166" t="s">
        <v>85</v>
      </c>
      <c r="B51" s="506" t="s">
        <v>86</v>
      </c>
      <c r="C51" s="166">
        <v>1726392176</v>
      </c>
      <c r="D51" s="431">
        <v>37107</v>
      </c>
      <c r="E51" s="163" t="e">
        <f>VLOOKUP($B:$B,#REF!,2,FALSE)</f>
        <v>#REF!</v>
      </c>
      <c r="F51" s="432">
        <f t="shared" si="0"/>
        <v>0</v>
      </c>
      <c r="G51" s="433" t="str">
        <f>IFERROR(VLOOKUP($A51,#REF!,2,0),"0")</f>
        <v>0</v>
      </c>
      <c r="H51" s="432">
        <f t="shared" si="66"/>
        <v>0</v>
      </c>
      <c r="I51" s="163" t="e">
        <f>VLOOKUP($B:$B,#REF!,3,FALSE)</f>
        <v>#REF!</v>
      </c>
      <c r="J51" s="432">
        <f t="shared" si="2"/>
        <v>0</v>
      </c>
      <c r="K51" s="433" t="str">
        <f>IFERROR(VLOOKUP($A51,#REF!,2,0),"0")</f>
        <v>0</v>
      </c>
      <c r="L51" s="432">
        <f t="shared" si="63"/>
        <v>0</v>
      </c>
      <c r="M51" s="163" t="e">
        <f>VLOOKUP($B:$B,#REF!,4,FALSE)</f>
        <v>#REF!</v>
      </c>
      <c r="N51" s="432">
        <f t="shared" si="4"/>
        <v>0</v>
      </c>
      <c r="O51" s="433" t="str">
        <f>IFERROR(VLOOKUP($A51,#REF!,2,0),"0")</f>
        <v>0</v>
      </c>
      <c r="P51" s="432">
        <f t="shared" si="5"/>
        <v>0</v>
      </c>
      <c r="Q51" s="163" t="e">
        <f>VLOOKUP($B:$B,#REF!,5,FALSE)</f>
        <v>#REF!</v>
      </c>
      <c r="R51" s="432">
        <f t="shared" si="6"/>
        <v>0</v>
      </c>
      <c r="S51" s="433" t="str">
        <f>IFERROR(VLOOKUP($A51,#REF!,2,0),"0")</f>
        <v>0</v>
      </c>
      <c r="T51" s="432">
        <f t="shared" si="67"/>
        <v>0</v>
      </c>
      <c r="U51" s="163" t="e">
        <f>VLOOKUP($B:$B,#REF!,6,FALSE)</f>
        <v>#REF!</v>
      </c>
      <c r="V51" s="432">
        <f t="shared" si="8"/>
        <v>0</v>
      </c>
      <c r="W51" s="433" t="str">
        <f>IFERROR(VLOOKUP($A51,#REF!,2,0),"0")</f>
        <v>0</v>
      </c>
      <c r="X51" s="432">
        <f t="shared" si="9"/>
        <v>0</v>
      </c>
      <c r="Y51" s="163" t="e">
        <f>VLOOKUP($B:$B,#REF!,7,FALSE)</f>
        <v>#REF!</v>
      </c>
      <c r="Z51" s="432">
        <f t="shared" si="10"/>
        <v>0</v>
      </c>
      <c r="AA51" s="433" t="str">
        <f>IFERROR(VLOOKUP($A51,#REF!,2,0),"0")</f>
        <v>0</v>
      </c>
      <c r="AB51" s="432">
        <f t="shared" si="11"/>
        <v>0</v>
      </c>
      <c r="AC51" s="163" t="e">
        <f>VLOOKUP($B:$B,#REF!,8,FALSE)</f>
        <v>#REF!</v>
      </c>
      <c r="AD51" s="432">
        <f t="shared" si="12"/>
        <v>0</v>
      </c>
      <c r="AE51" s="433" t="str">
        <f>IFERROR(VLOOKUP($A51,#REF!,2,0),"0")</f>
        <v>0</v>
      </c>
      <c r="AF51" s="432">
        <f t="shared" si="13"/>
        <v>0</v>
      </c>
      <c r="AG51" s="163" t="e">
        <f>VLOOKUP($B:$B,#REF!,9,FALSE)</f>
        <v>#REF!</v>
      </c>
      <c r="AH51" s="432">
        <f t="shared" si="14"/>
        <v>0</v>
      </c>
      <c r="AI51" s="433" t="str">
        <f>IFERROR(VLOOKUP($A51,#REF!,2,0),"0")</f>
        <v>0</v>
      </c>
      <c r="AJ51" s="432">
        <f t="shared" si="15"/>
        <v>0</v>
      </c>
      <c r="AK51" s="163" t="e">
        <f>VLOOKUP($B:$B,#REF!,10,FALSE)</f>
        <v>#REF!</v>
      </c>
      <c r="AL51" s="432">
        <f t="shared" si="16"/>
        <v>0</v>
      </c>
      <c r="AM51" s="433" t="str">
        <f>IFERROR(VLOOKUP($A51,#REF!,2,0),"0")</f>
        <v>0</v>
      </c>
      <c r="AN51" s="432">
        <f t="shared" si="17"/>
        <v>0</v>
      </c>
      <c r="AO51" s="163" t="e">
        <f>VLOOKUP($B:$B,#REF!,11,FALSE)</f>
        <v>#REF!</v>
      </c>
      <c r="AP51" s="432">
        <f t="shared" si="18"/>
        <v>0</v>
      </c>
      <c r="AQ51" s="433" t="str">
        <f>IFERROR(VLOOKUP($A51,#REF!,2,0),"0")</f>
        <v>0</v>
      </c>
      <c r="AR51" s="432">
        <f t="shared" si="19"/>
        <v>0</v>
      </c>
      <c r="AS51" s="163" t="e">
        <f>VLOOKUP($B:$B,#REF!,12,FALSE)</f>
        <v>#REF!</v>
      </c>
      <c r="AT51" s="432">
        <f t="shared" si="20"/>
        <v>0</v>
      </c>
      <c r="AU51" s="433" t="str">
        <f>IFERROR(VLOOKUP($A51,#REF!,2,0),"0")</f>
        <v>0</v>
      </c>
      <c r="AV51" s="432">
        <f t="shared" si="21"/>
        <v>0</v>
      </c>
      <c r="AW51" s="163" t="e">
        <f>VLOOKUP($B:$B,#REF!,13,FALSE)</f>
        <v>#REF!</v>
      </c>
      <c r="AX51" s="432">
        <f t="shared" si="22"/>
        <v>0</v>
      </c>
      <c r="AY51" s="433" t="str">
        <f>IFERROR(VLOOKUP($A51,#REF!,2,0),"0")</f>
        <v>0</v>
      </c>
      <c r="AZ51" s="432">
        <f t="shared" si="23"/>
        <v>0</v>
      </c>
      <c r="BA51" s="163" t="e">
        <f>VLOOKUP($B:$B,#REF!,14,FALSE)</f>
        <v>#REF!</v>
      </c>
      <c r="BB51" s="432">
        <f t="shared" si="24"/>
        <v>0</v>
      </c>
      <c r="BC51" s="433" t="str">
        <f>IFERROR(VLOOKUP($A51,#REF!,2,0),"0")</f>
        <v>0</v>
      </c>
      <c r="BD51" s="432">
        <f t="shared" si="25"/>
        <v>0</v>
      </c>
      <c r="BE51" s="163" t="e">
        <f>VLOOKUP($B:$B,#REF!,15,FALSE)</f>
        <v>#REF!</v>
      </c>
      <c r="BF51" s="432">
        <f t="shared" si="26"/>
        <v>0</v>
      </c>
      <c r="BG51" s="433" t="str">
        <f>IFERROR(VLOOKUP($A51,#REF!,2,0),"0")</f>
        <v>0</v>
      </c>
      <c r="BH51" s="432">
        <f t="shared" si="27"/>
        <v>0</v>
      </c>
      <c r="BI51" s="163" t="e">
        <f>VLOOKUP($B:$B,#REF!,16,FALSE)</f>
        <v>#REF!</v>
      </c>
      <c r="BJ51" s="432">
        <f t="shared" si="28"/>
        <v>0</v>
      </c>
      <c r="BK51" s="433" t="str">
        <f>IFERROR(VLOOKUP($A51,#REF!,2,0),"0")</f>
        <v>0</v>
      </c>
      <c r="BL51" s="432">
        <f t="shared" si="29"/>
        <v>0</v>
      </c>
      <c r="BM51" s="163" t="e">
        <f>VLOOKUP($B:$B,#REF!,17,FALSE)</f>
        <v>#REF!</v>
      </c>
      <c r="BN51" s="432">
        <f t="shared" si="30"/>
        <v>0</v>
      </c>
      <c r="BO51" s="433" t="str">
        <f>IFERROR(VLOOKUP($A51,#REF!,2,0),"0")</f>
        <v>0</v>
      </c>
      <c r="BP51" s="432">
        <f t="shared" si="31"/>
        <v>0</v>
      </c>
      <c r="BQ51" s="163" t="e">
        <f>VLOOKUP($B:$B,#REF!,18,FALSE)</f>
        <v>#REF!</v>
      </c>
      <c r="BR51" s="432">
        <f t="shared" si="32"/>
        <v>0</v>
      </c>
      <c r="BS51" s="433" t="str">
        <f>IFERROR(VLOOKUP($A51,#REF!,2,0),"0")</f>
        <v>0</v>
      </c>
      <c r="BT51" s="432">
        <f t="shared" si="33"/>
        <v>0</v>
      </c>
      <c r="BU51" s="163" t="e">
        <f>VLOOKUP($B:$B,#REF!,19,FALSE)</f>
        <v>#REF!</v>
      </c>
      <c r="BV51" s="432">
        <f t="shared" si="34"/>
        <v>0</v>
      </c>
      <c r="BW51" s="433" t="str">
        <f>IFERROR(VLOOKUP($A51,#REF!,2,0),"0")</f>
        <v>0</v>
      </c>
      <c r="BX51" s="432">
        <f t="shared" si="35"/>
        <v>0</v>
      </c>
      <c r="BY51" s="163" t="e">
        <f>VLOOKUP($B:$B,#REF!,20,FALSE)</f>
        <v>#REF!</v>
      </c>
      <c r="BZ51" s="432">
        <f t="shared" si="36"/>
        <v>0</v>
      </c>
      <c r="CA51" s="433" t="str">
        <f>IFERROR(VLOOKUP($A51,#REF!,2,0),"0")</f>
        <v>0</v>
      </c>
      <c r="CB51" s="432">
        <f t="shared" si="37"/>
        <v>0</v>
      </c>
      <c r="CC51" s="163" t="e">
        <f>VLOOKUP($B:$B,#REF!,21,FALSE)</f>
        <v>#REF!</v>
      </c>
      <c r="CD51" s="432">
        <f t="shared" si="38"/>
        <v>0</v>
      </c>
      <c r="CE51" s="433" t="str">
        <f>IFERROR(VLOOKUP($A51,#REF!,2,0),"0")</f>
        <v>0</v>
      </c>
      <c r="CF51" s="432">
        <f t="shared" si="39"/>
        <v>0</v>
      </c>
      <c r="CG51" s="163" t="e">
        <f>VLOOKUP($B:$B,#REF!,22,FALSE)</f>
        <v>#REF!</v>
      </c>
      <c r="CH51" s="432">
        <f t="shared" si="40"/>
        <v>0</v>
      </c>
      <c r="CI51" s="433" t="str">
        <f>IFERROR(VLOOKUP($A51,#REF!,2,0),"0")</f>
        <v>0</v>
      </c>
      <c r="CJ51" s="432">
        <f t="shared" si="41"/>
        <v>0</v>
      </c>
      <c r="CK51" s="163" t="e">
        <f>VLOOKUP($B:$B,#REF!,23,FALSE)</f>
        <v>#REF!</v>
      </c>
      <c r="CL51" s="432">
        <f t="shared" si="42"/>
        <v>0</v>
      </c>
      <c r="CM51" s="433" t="str">
        <f>IFERROR(VLOOKUP($A51,#REF!,2,0),"0")</f>
        <v>0</v>
      </c>
      <c r="CN51" s="432">
        <f t="shared" si="43"/>
        <v>0</v>
      </c>
      <c r="CO51" s="163" t="e">
        <f>VLOOKUP($B:$B,#REF!,24,FALSE)</f>
        <v>#REF!</v>
      </c>
      <c r="CP51" s="432">
        <f t="shared" si="44"/>
        <v>0</v>
      </c>
      <c r="CQ51" s="433" t="str">
        <f>IFERROR(VLOOKUP($A51,#REF!,2,0),"0")</f>
        <v>0</v>
      </c>
      <c r="CR51" s="432">
        <f t="shared" si="45"/>
        <v>0</v>
      </c>
      <c r="CS51" s="163" t="e">
        <f>VLOOKUP($B:$B,#REF!,25,FALSE)</f>
        <v>#REF!</v>
      </c>
      <c r="CT51" s="432">
        <f t="shared" si="46"/>
        <v>0</v>
      </c>
      <c r="CU51" s="433" t="str">
        <f>IFERROR(VLOOKUP($A51,#REF!,2,0),"0")</f>
        <v>0</v>
      </c>
      <c r="CV51" s="432">
        <f t="shared" si="47"/>
        <v>0</v>
      </c>
      <c r="CW51" s="163" t="e">
        <f>VLOOKUP($B:$B,#REF!,26,FALSE)</f>
        <v>#REF!</v>
      </c>
      <c r="CX51" s="432">
        <f t="shared" si="48"/>
        <v>0</v>
      </c>
      <c r="CY51" s="433" t="str">
        <f>IFERROR(VLOOKUP($A51,#REF!,2,0),"0")</f>
        <v>0</v>
      </c>
      <c r="CZ51" s="432">
        <f t="shared" si="49"/>
        <v>0</v>
      </c>
      <c r="DA51" s="163" t="e">
        <f>VLOOKUP($B:$B,#REF!,27,FALSE)</f>
        <v>#REF!</v>
      </c>
      <c r="DB51" s="432">
        <f t="shared" si="50"/>
        <v>0</v>
      </c>
      <c r="DC51" s="433" t="str">
        <f>IFERROR(VLOOKUP($A51,#REF!,2,0),"0")</f>
        <v>0</v>
      </c>
      <c r="DD51" s="432">
        <f t="shared" si="51"/>
        <v>0</v>
      </c>
      <c r="DE51" s="163" t="e">
        <f>VLOOKUP($B:$B,#REF!,28,FALSE)</f>
        <v>#REF!</v>
      </c>
      <c r="DF51" s="432">
        <f t="shared" si="52"/>
        <v>0</v>
      </c>
      <c r="DG51" s="433" t="str">
        <f>IFERROR(VLOOKUP($A51,#REF!,2,0),"0")</f>
        <v>0</v>
      </c>
      <c r="DH51" s="432">
        <f t="shared" si="53"/>
        <v>0</v>
      </c>
      <c r="DI51" s="163" t="e">
        <f>VLOOKUP($B:$B,#REF!,29,FALSE)</f>
        <v>#REF!</v>
      </c>
      <c r="DJ51" s="432">
        <f t="shared" si="54"/>
        <v>0</v>
      </c>
      <c r="DK51" s="433" t="str">
        <f>IFERROR(VLOOKUP($A51,#REF!,2,0),"0")</f>
        <v>0</v>
      </c>
      <c r="DL51" s="432">
        <f t="shared" si="55"/>
        <v>0</v>
      </c>
      <c r="DM51" s="163" t="e">
        <f>VLOOKUP($B:$B,#REF!,30,FALSE)</f>
        <v>#REF!</v>
      </c>
      <c r="DN51" s="432">
        <f t="shared" si="56"/>
        <v>0</v>
      </c>
      <c r="DO51" s="432"/>
      <c r="DP51" s="432">
        <f t="shared" si="57"/>
        <v>0</v>
      </c>
      <c r="DQ51" s="163" t="e">
        <f>VLOOKUP($B:$B,#REF!,31,FALSE)</f>
        <v>#REF!</v>
      </c>
      <c r="DR51" s="432">
        <f t="shared" si="58"/>
        <v>0</v>
      </c>
      <c r="DS51" s="434"/>
      <c r="DT51" s="432">
        <f t="shared" si="59"/>
        <v>0</v>
      </c>
      <c r="DU51" s="163" t="e">
        <f>VLOOKUP($B:$B,#REF!,32,FALSE)</f>
        <v>#REF!</v>
      </c>
      <c r="DV51" s="432">
        <f t="shared" si="60"/>
        <v>0</v>
      </c>
      <c r="DW51" s="434"/>
      <c r="DX51" s="432">
        <f t="shared" si="61"/>
        <v>0</v>
      </c>
      <c r="DY51" s="432">
        <f t="shared" si="62"/>
        <v>0</v>
      </c>
    </row>
    <row r="52" spans="1:129" ht="15.75">
      <c r="A52" s="166" t="s">
        <v>157</v>
      </c>
      <c r="B52" s="506" t="s">
        <v>158</v>
      </c>
      <c r="C52" s="166">
        <v>1725564106</v>
      </c>
      <c r="D52" s="431">
        <v>35775</v>
      </c>
      <c r="E52" s="163" t="e">
        <f>VLOOKUP($B:$B,#REF!,2,FALSE)</f>
        <v>#REF!</v>
      </c>
      <c r="F52" s="432">
        <f t="shared" si="0"/>
        <v>0</v>
      </c>
      <c r="G52" s="433" t="str">
        <f>IFERROR(VLOOKUP($A52,#REF!,2,0),"0")</f>
        <v>0</v>
      </c>
      <c r="H52" s="432">
        <f t="shared" si="66"/>
        <v>0</v>
      </c>
      <c r="I52" s="163" t="e">
        <f>VLOOKUP($B:$B,#REF!,3,FALSE)</f>
        <v>#REF!</v>
      </c>
      <c r="J52" s="432">
        <f t="shared" si="2"/>
        <v>0</v>
      </c>
      <c r="K52" s="433" t="str">
        <f>IFERROR(VLOOKUP($A52,#REF!,2,0),"0")</f>
        <v>0</v>
      </c>
      <c r="L52" s="432">
        <f t="shared" si="63"/>
        <v>0</v>
      </c>
      <c r="M52" s="163" t="e">
        <f>VLOOKUP($B:$B,#REF!,4,FALSE)</f>
        <v>#REF!</v>
      </c>
      <c r="N52" s="432">
        <f t="shared" si="4"/>
        <v>0</v>
      </c>
      <c r="O52" s="433" t="str">
        <f>IFERROR(VLOOKUP($A52,#REF!,2,0),"0")</f>
        <v>0</v>
      </c>
      <c r="P52" s="432">
        <f t="shared" si="5"/>
        <v>0</v>
      </c>
      <c r="Q52" s="163" t="e">
        <f>VLOOKUP($B:$B,#REF!,5,FALSE)</f>
        <v>#REF!</v>
      </c>
      <c r="R52" s="432">
        <f t="shared" si="6"/>
        <v>0</v>
      </c>
      <c r="S52" s="433" t="str">
        <f>IFERROR(VLOOKUP($A52,#REF!,2,0),"0")</f>
        <v>0</v>
      </c>
      <c r="T52" s="432">
        <f t="shared" si="67"/>
        <v>0</v>
      </c>
      <c r="U52" s="163" t="e">
        <f>VLOOKUP($B:$B,#REF!,6,FALSE)</f>
        <v>#REF!</v>
      </c>
      <c r="V52" s="432">
        <f t="shared" si="8"/>
        <v>0</v>
      </c>
      <c r="W52" s="433" t="str">
        <f>IFERROR(VLOOKUP($A52,#REF!,2,0),"0")</f>
        <v>0</v>
      </c>
      <c r="X52" s="432">
        <f t="shared" si="9"/>
        <v>0</v>
      </c>
      <c r="Y52" s="163" t="e">
        <f>VLOOKUP($B:$B,#REF!,7,FALSE)</f>
        <v>#REF!</v>
      </c>
      <c r="Z52" s="432">
        <f t="shared" si="10"/>
        <v>0</v>
      </c>
      <c r="AA52" s="433" t="str">
        <f>IFERROR(VLOOKUP($A52,#REF!,2,0),"0")</f>
        <v>0</v>
      </c>
      <c r="AB52" s="432">
        <f t="shared" si="11"/>
        <v>0</v>
      </c>
      <c r="AC52" s="163" t="e">
        <f>VLOOKUP($B:$B,#REF!,8,FALSE)</f>
        <v>#REF!</v>
      </c>
      <c r="AD52" s="432">
        <f t="shared" si="12"/>
        <v>0</v>
      </c>
      <c r="AE52" s="432">
        <f t="shared" si="12"/>
        <v>0</v>
      </c>
      <c r="AF52" s="432">
        <f t="shared" si="13"/>
        <v>0</v>
      </c>
      <c r="AG52" s="163" t="e">
        <f>VLOOKUP($B:$B,#REF!,9,FALSE)</f>
        <v>#REF!</v>
      </c>
      <c r="AH52" s="432">
        <f t="shared" si="14"/>
        <v>0</v>
      </c>
      <c r="AI52" s="433" t="str">
        <f>IFERROR(VLOOKUP($A52,#REF!,2,0),"0")</f>
        <v>0</v>
      </c>
      <c r="AJ52" s="432">
        <f t="shared" si="15"/>
        <v>0</v>
      </c>
      <c r="AK52" s="163" t="e">
        <f>VLOOKUP($B:$B,#REF!,10,FALSE)</f>
        <v>#REF!</v>
      </c>
      <c r="AL52" s="432">
        <f t="shared" si="16"/>
        <v>0</v>
      </c>
      <c r="AM52" s="433" t="str">
        <f>IFERROR(VLOOKUP($A52,#REF!,2,0),"0")</f>
        <v>0</v>
      </c>
      <c r="AN52" s="432">
        <f t="shared" si="17"/>
        <v>0</v>
      </c>
      <c r="AO52" s="163" t="e">
        <f>VLOOKUP($B:$B,#REF!,11,FALSE)</f>
        <v>#REF!</v>
      </c>
      <c r="AP52" s="432">
        <f t="shared" si="18"/>
        <v>0</v>
      </c>
      <c r="AQ52" s="432">
        <f t="shared" si="18"/>
        <v>0</v>
      </c>
      <c r="AR52" s="432">
        <f t="shared" si="19"/>
        <v>0</v>
      </c>
      <c r="AS52" s="163" t="e">
        <f>VLOOKUP($B:$B,#REF!,12,FALSE)</f>
        <v>#REF!</v>
      </c>
      <c r="AT52" s="432">
        <f t="shared" si="20"/>
        <v>0</v>
      </c>
      <c r="AU52" s="433" t="str">
        <f>IFERROR(VLOOKUP($A52,#REF!,2,0),"0")</f>
        <v>0</v>
      </c>
      <c r="AV52" s="432">
        <f t="shared" si="21"/>
        <v>0</v>
      </c>
      <c r="AW52" s="163" t="e">
        <f>VLOOKUP($B:$B,#REF!,13,FALSE)</f>
        <v>#REF!</v>
      </c>
      <c r="AX52" s="432">
        <f t="shared" si="22"/>
        <v>0</v>
      </c>
      <c r="AY52" s="433" t="str">
        <f>IFERROR(VLOOKUP($A52,#REF!,2,0),"0")</f>
        <v>0</v>
      </c>
      <c r="AZ52" s="432">
        <f t="shared" si="23"/>
        <v>0</v>
      </c>
      <c r="BA52" s="163" t="e">
        <f>VLOOKUP($B:$B,#REF!,14,FALSE)</f>
        <v>#REF!</v>
      </c>
      <c r="BB52" s="432">
        <f t="shared" si="24"/>
        <v>0</v>
      </c>
      <c r="BC52" s="433" t="str">
        <f>IFERROR(VLOOKUP($A52,#REF!,2,0),"0")</f>
        <v>0</v>
      </c>
      <c r="BD52" s="432">
        <f t="shared" si="25"/>
        <v>0</v>
      </c>
      <c r="BE52" s="163" t="e">
        <f>VLOOKUP($B:$B,#REF!,15,FALSE)</f>
        <v>#REF!</v>
      </c>
      <c r="BF52" s="432">
        <f t="shared" si="26"/>
        <v>0</v>
      </c>
      <c r="BG52" s="433" t="str">
        <f>IFERROR(VLOOKUP($A52,#REF!,2,0),"0")</f>
        <v>0</v>
      </c>
      <c r="BH52" s="432">
        <f t="shared" si="27"/>
        <v>0</v>
      </c>
      <c r="BI52" s="163" t="e">
        <f>VLOOKUP($B:$B,#REF!,16,FALSE)</f>
        <v>#REF!</v>
      </c>
      <c r="BJ52" s="432">
        <f t="shared" si="28"/>
        <v>0</v>
      </c>
      <c r="BK52" s="433">
        <v>3.125E-2</v>
      </c>
      <c r="BL52" s="432">
        <f t="shared" si="29"/>
        <v>3.125E-2</v>
      </c>
      <c r="BM52" s="163" t="e">
        <f>VLOOKUP($B:$B,#REF!,17,FALSE)</f>
        <v>#REF!</v>
      </c>
      <c r="BN52" s="432">
        <f t="shared" si="30"/>
        <v>0</v>
      </c>
      <c r="BO52" s="433" t="str">
        <f>IFERROR(VLOOKUP($A52,#REF!,2,0),"0")</f>
        <v>0</v>
      </c>
      <c r="BP52" s="432">
        <f t="shared" si="31"/>
        <v>0</v>
      </c>
      <c r="BQ52" s="163" t="e">
        <f>VLOOKUP($B:$B,#REF!,18,FALSE)</f>
        <v>#REF!</v>
      </c>
      <c r="BR52" s="432">
        <f t="shared" si="32"/>
        <v>0</v>
      </c>
      <c r="BS52" s="433" t="str">
        <f>IFERROR(VLOOKUP($A52,#REF!,2,0),"0")</f>
        <v>0</v>
      </c>
      <c r="BT52" s="432">
        <f t="shared" si="33"/>
        <v>0</v>
      </c>
      <c r="BU52" s="163" t="e">
        <f>VLOOKUP($B:$B,#REF!,19,FALSE)</f>
        <v>#REF!</v>
      </c>
      <c r="BV52" s="432">
        <f t="shared" si="34"/>
        <v>0</v>
      </c>
      <c r="BW52" s="433" t="str">
        <f>IFERROR(VLOOKUP($A52,#REF!,2,0),"0")</f>
        <v>0</v>
      </c>
      <c r="BX52" s="432">
        <f t="shared" si="35"/>
        <v>0</v>
      </c>
      <c r="BY52" s="163" t="e">
        <f>VLOOKUP($B:$B,#REF!,20,FALSE)</f>
        <v>#REF!</v>
      </c>
      <c r="BZ52" s="432">
        <f t="shared" si="36"/>
        <v>0</v>
      </c>
      <c r="CA52" s="433" t="str">
        <f>IFERROR(VLOOKUP($A52,#REF!,2,0),"0")</f>
        <v>0</v>
      </c>
      <c r="CB52" s="432">
        <f t="shared" si="37"/>
        <v>0</v>
      </c>
      <c r="CC52" s="163" t="e">
        <f>VLOOKUP($B:$B,#REF!,21,FALSE)</f>
        <v>#REF!</v>
      </c>
      <c r="CD52" s="432">
        <f t="shared" si="38"/>
        <v>0</v>
      </c>
      <c r="CE52" s="433" t="str">
        <f>IFERROR(VLOOKUP($A52,#REF!,2,0),"0")</f>
        <v>0</v>
      </c>
      <c r="CF52" s="432">
        <f t="shared" si="39"/>
        <v>0</v>
      </c>
      <c r="CG52" s="163" t="e">
        <f>VLOOKUP($B:$B,#REF!,22,FALSE)</f>
        <v>#REF!</v>
      </c>
      <c r="CH52" s="432">
        <f t="shared" si="40"/>
        <v>0</v>
      </c>
      <c r="CI52" s="433" t="str">
        <f>IFERROR(VLOOKUP($A52,#REF!,2,0),"0")</f>
        <v>0</v>
      </c>
      <c r="CJ52" s="432">
        <f t="shared" si="41"/>
        <v>0</v>
      </c>
      <c r="CK52" s="163" t="e">
        <f>VLOOKUP($B:$B,#REF!,23,FALSE)</f>
        <v>#REF!</v>
      </c>
      <c r="CL52" s="432">
        <f t="shared" si="42"/>
        <v>0</v>
      </c>
      <c r="CM52" s="433" t="str">
        <f>IFERROR(VLOOKUP($A52,#REF!,2,0),"0")</f>
        <v>0</v>
      </c>
      <c r="CN52" s="432">
        <f t="shared" si="43"/>
        <v>0</v>
      </c>
      <c r="CO52" s="163" t="e">
        <f>VLOOKUP($B:$B,#REF!,24,FALSE)</f>
        <v>#REF!</v>
      </c>
      <c r="CP52" s="432">
        <f t="shared" si="44"/>
        <v>0</v>
      </c>
      <c r="CQ52" s="433" t="str">
        <f>IFERROR(VLOOKUP($A52,#REF!,2,0),"0")</f>
        <v>0</v>
      </c>
      <c r="CR52" s="432">
        <f t="shared" si="45"/>
        <v>0</v>
      </c>
      <c r="CS52" s="163" t="e">
        <f>VLOOKUP($B:$B,#REF!,25,FALSE)</f>
        <v>#REF!</v>
      </c>
      <c r="CT52" s="432">
        <f t="shared" si="46"/>
        <v>0</v>
      </c>
      <c r="CU52" s="433" t="str">
        <f>IFERROR(VLOOKUP($A52,#REF!,2,0),"0")</f>
        <v>0</v>
      </c>
      <c r="CV52" s="432">
        <f t="shared" si="47"/>
        <v>0</v>
      </c>
      <c r="CW52" s="163" t="e">
        <f>VLOOKUP($B:$B,#REF!,26,FALSE)</f>
        <v>#REF!</v>
      </c>
      <c r="CX52" s="432">
        <f t="shared" si="48"/>
        <v>0</v>
      </c>
      <c r="CY52" s="433" t="str">
        <f>IFERROR(VLOOKUP($A52,#REF!,2,0),"0")</f>
        <v>0</v>
      </c>
      <c r="CZ52" s="432">
        <f t="shared" si="49"/>
        <v>0</v>
      </c>
      <c r="DA52" s="163" t="e">
        <f>VLOOKUP($B:$B,#REF!,27,FALSE)</f>
        <v>#REF!</v>
      </c>
      <c r="DB52" s="432">
        <f t="shared" si="50"/>
        <v>0</v>
      </c>
      <c r="DC52" s="433" t="str">
        <f>IFERROR(VLOOKUP($A52,#REF!,2,0),"0")</f>
        <v>0</v>
      </c>
      <c r="DD52" s="432">
        <f t="shared" si="51"/>
        <v>0</v>
      </c>
      <c r="DE52" s="163" t="e">
        <f>VLOOKUP($B:$B,#REF!,28,FALSE)</f>
        <v>#REF!</v>
      </c>
      <c r="DF52" s="432">
        <f t="shared" si="52"/>
        <v>0</v>
      </c>
      <c r="DG52" s="433" t="str">
        <f>IFERROR(VLOOKUP($A52,#REF!,2,0),"0")</f>
        <v>0</v>
      </c>
      <c r="DH52" s="432">
        <f t="shared" si="53"/>
        <v>0</v>
      </c>
      <c r="DI52" s="163" t="e">
        <f>VLOOKUP($B:$B,#REF!,29,FALSE)</f>
        <v>#REF!</v>
      </c>
      <c r="DJ52" s="432">
        <f t="shared" si="54"/>
        <v>0</v>
      </c>
      <c r="DK52" s="433" t="str">
        <f>IFERROR(VLOOKUP($A52,#REF!,2,0),"0")</f>
        <v>0</v>
      </c>
      <c r="DL52" s="432">
        <f t="shared" si="55"/>
        <v>0</v>
      </c>
      <c r="DM52" s="163" t="e">
        <f>VLOOKUP($B:$B,#REF!,30,FALSE)</f>
        <v>#REF!</v>
      </c>
      <c r="DN52" s="432">
        <f t="shared" si="56"/>
        <v>0</v>
      </c>
      <c r="DO52" s="432"/>
      <c r="DP52" s="432">
        <f t="shared" si="57"/>
        <v>0</v>
      </c>
      <c r="DQ52" s="163" t="e">
        <f>VLOOKUP($B:$B,#REF!,31,FALSE)</f>
        <v>#REF!</v>
      </c>
      <c r="DR52" s="432">
        <f t="shared" si="58"/>
        <v>0</v>
      </c>
      <c r="DS52" s="434"/>
      <c r="DT52" s="432">
        <f t="shared" si="59"/>
        <v>0</v>
      </c>
      <c r="DU52" s="163" t="e">
        <f>VLOOKUP($B:$B,#REF!,32,FALSE)</f>
        <v>#REF!</v>
      </c>
      <c r="DV52" s="432">
        <f t="shared" si="60"/>
        <v>0</v>
      </c>
      <c r="DW52" s="434"/>
      <c r="DX52" s="432">
        <f t="shared" si="61"/>
        <v>0</v>
      </c>
      <c r="DY52" s="432">
        <f t="shared" si="62"/>
        <v>3.125E-2</v>
      </c>
    </row>
    <row r="53" spans="1:129" ht="15.75">
      <c r="A53" s="166" t="s">
        <v>160</v>
      </c>
      <c r="B53" s="506" t="s">
        <v>161</v>
      </c>
      <c r="C53" s="166">
        <v>1722585781</v>
      </c>
      <c r="D53" s="435">
        <v>34950</v>
      </c>
      <c r="E53" s="163" t="e">
        <f>VLOOKUP($B:$B,#REF!,2,FALSE)</f>
        <v>#REF!</v>
      </c>
      <c r="F53" s="432">
        <f t="shared" si="0"/>
        <v>0</v>
      </c>
      <c r="G53" s="433" t="str">
        <f>IFERROR(VLOOKUP($A53,#REF!,2,0),"0")</f>
        <v>0</v>
      </c>
      <c r="H53" s="432">
        <f t="shared" si="66"/>
        <v>0</v>
      </c>
      <c r="I53" s="163" t="e">
        <f>VLOOKUP($B:$B,#REF!,3,FALSE)</f>
        <v>#REF!</v>
      </c>
      <c r="J53" s="432">
        <f t="shared" si="2"/>
        <v>0</v>
      </c>
      <c r="K53" s="433" t="str">
        <f>IFERROR(VLOOKUP($A53,#REF!,2,0),"0")</f>
        <v>0</v>
      </c>
      <c r="L53" s="432">
        <f t="shared" si="63"/>
        <v>0</v>
      </c>
      <c r="M53" s="163" t="e">
        <f>VLOOKUP($B:$B,#REF!,4,FALSE)</f>
        <v>#REF!</v>
      </c>
      <c r="N53" s="432">
        <f t="shared" si="4"/>
        <v>0</v>
      </c>
      <c r="O53" s="433" t="str">
        <f>IFERROR(VLOOKUP($A53,#REF!,2,0),"0")</f>
        <v>0</v>
      </c>
      <c r="P53" s="432">
        <f t="shared" si="5"/>
        <v>0</v>
      </c>
      <c r="Q53" s="163" t="e">
        <f>VLOOKUP($B:$B,#REF!,5,FALSE)</f>
        <v>#REF!</v>
      </c>
      <c r="R53" s="432">
        <f t="shared" si="6"/>
        <v>0</v>
      </c>
      <c r="S53" s="433" t="str">
        <f>IFERROR(VLOOKUP($A53,#REF!,2,0),"0")</f>
        <v>0</v>
      </c>
      <c r="T53" s="432">
        <f t="shared" si="67"/>
        <v>0</v>
      </c>
      <c r="U53" s="163" t="e">
        <f>VLOOKUP($B:$B,#REF!,6,FALSE)</f>
        <v>#REF!</v>
      </c>
      <c r="V53" s="432">
        <f t="shared" si="8"/>
        <v>0</v>
      </c>
      <c r="W53" s="433" t="str">
        <f>IFERROR(VLOOKUP($A53,#REF!,2,0),"0")</f>
        <v>0</v>
      </c>
      <c r="X53" s="432">
        <f t="shared" si="9"/>
        <v>0</v>
      </c>
      <c r="Y53" s="163" t="e">
        <f>VLOOKUP($B:$B,#REF!,7,FALSE)</f>
        <v>#REF!</v>
      </c>
      <c r="Z53" s="432">
        <f t="shared" si="10"/>
        <v>0</v>
      </c>
      <c r="AA53" s="433" t="str">
        <f>IFERROR(VLOOKUP($A53,#REF!,2,0),"0")</f>
        <v>0</v>
      </c>
      <c r="AB53" s="432">
        <f t="shared" si="11"/>
        <v>0</v>
      </c>
      <c r="AC53" s="163" t="e">
        <f>VLOOKUP($B:$B,#REF!,8,FALSE)</f>
        <v>#REF!</v>
      </c>
      <c r="AD53" s="432">
        <f t="shared" si="12"/>
        <v>0</v>
      </c>
      <c r="AE53" s="433" t="str">
        <f>IFERROR(VLOOKUP($A53,#REF!,2,0),"0")</f>
        <v>0</v>
      </c>
      <c r="AF53" s="432">
        <f t="shared" si="13"/>
        <v>0</v>
      </c>
      <c r="AG53" s="163" t="e">
        <f>VLOOKUP($B:$B,#REF!,9,FALSE)</f>
        <v>#REF!</v>
      </c>
      <c r="AH53" s="432">
        <f t="shared" si="14"/>
        <v>0</v>
      </c>
      <c r="AI53" s="433" t="str">
        <f>IFERROR(VLOOKUP($A53,#REF!,2,0),"0")</f>
        <v>0</v>
      </c>
      <c r="AJ53" s="432">
        <f t="shared" si="15"/>
        <v>0</v>
      </c>
      <c r="AK53" s="163" t="e">
        <f>VLOOKUP($B:$B,#REF!,10,FALSE)</f>
        <v>#REF!</v>
      </c>
      <c r="AL53" s="432">
        <f t="shared" si="16"/>
        <v>0</v>
      </c>
      <c r="AM53" s="433" t="str">
        <f>IFERROR(VLOOKUP($A53,#REF!,2,0),"0")</f>
        <v>0</v>
      </c>
      <c r="AN53" s="432">
        <f t="shared" si="17"/>
        <v>0</v>
      </c>
      <c r="AO53" s="163" t="e">
        <f>VLOOKUP($B:$B,#REF!,11,FALSE)</f>
        <v>#REF!</v>
      </c>
      <c r="AP53" s="432">
        <f t="shared" si="18"/>
        <v>0</v>
      </c>
      <c r="AQ53" s="433"/>
      <c r="AR53" s="432">
        <f t="shared" si="19"/>
        <v>0</v>
      </c>
      <c r="AS53" s="163" t="e">
        <f>VLOOKUP($B:$B,#REF!,12,FALSE)</f>
        <v>#REF!</v>
      </c>
      <c r="AT53" s="432">
        <f t="shared" si="20"/>
        <v>0</v>
      </c>
      <c r="AU53" s="433"/>
      <c r="AV53" s="432">
        <f t="shared" si="21"/>
        <v>0</v>
      </c>
      <c r="AW53" s="163" t="e">
        <f>VLOOKUP($B:$B,#REF!,13,FALSE)</f>
        <v>#REF!</v>
      </c>
      <c r="AX53" s="432">
        <f t="shared" si="22"/>
        <v>0</v>
      </c>
      <c r="AY53" s="433"/>
      <c r="AZ53" s="432">
        <f t="shared" si="23"/>
        <v>0</v>
      </c>
      <c r="BA53" s="163" t="e">
        <f>VLOOKUP($B:$B,#REF!,14,FALSE)</f>
        <v>#REF!</v>
      </c>
      <c r="BB53" s="432">
        <f t="shared" si="24"/>
        <v>0</v>
      </c>
      <c r="BC53" s="433" t="str">
        <f>IFERROR(VLOOKUP($A53,#REF!,2,0),"0")</f>
        <v>0</v>
      </c>
      <c r="BD53" s="432">
        <f t="shared" si="25"/>
        <v>0</v>
      </c>
      <c r="BE53" s="163" t="e">
        <f>VLOOKUP($B:$B,#REF!,15,FALSE)</f>
        <v>#REF!</v>
      </c>
      <c r="BF53" s="432">
        <f t="shared" si="26"/>
        <v>0</v>
      </c>
      <c r="BG53" s="433"/>
      <c r="BH53" s="432">
        <f t="shared" si="27"/>
        <v>0</v>
      </c>
      <c r="BI53" s="163" t="e">
        <f>VLOOKUP($B:$B,#REF!,16,FALSE)</f>
        <v>#REF!</v>
      </c>
      <c r="BJ53" s="432">
        <f t="shared" si="28"/>
        <v>0</v>
      </c>
      <c r="BK53" s="433" t="str">
        <f>IFERROR(VLOOKUP($A53,#REF!,2,0),"0")</f>
        <v>0</v>
      </c>
      <c r="BL53" s="432">
        <f t="shared" si="29"/>
        <v>0</v>
      </c>
      <c r="BM53" s="163" t="e">
        <f>VLOOKUP($B:$B,#REF!,17,FALSE)</f>
        <v>#REF!</v>
      </c>
      <c r="BN53" s="432">
        <f t="shared" si="30"/>
        <v>0</v>
      </c>
      <c r="BO53" s="433" t="str">
        <f>IFERROR(VLOOKUP($A53,#REF!,2,0),"0")</f>
        <v>0</v>
      </c>
      <c r="BP53" s="432">
        <f t="shared" si="31"/>
        <v>0</v>
      </c>
      <c r="BQ53" s="163" t="e">
        <f>VLOOKUP($B:$B,#REF!,18,FALSE)</f>
        <v>#REF!</v>
      </c>
      <c r="BR53" s="432">
        <f t="shared" si="32"/>
        <v>0</v>
      </c>
      <c r="BS53" s="433" t="str">
        <f>IFERROR(VLOOKUP($A53,#REF!,2,0),"0")</f>
        <v>0</v>
      </c>
      <c r="BT53" s="432">
        <f t="shared" si="33"/>
        <v>0</v>
      </c>
      <c r="BU53" s="163" t="e">
        <f>VLOOKUP($B:$B,#REF!,19,FALSE)</f>
        <v>#REF!</v>
      </c>
      <c r="BV53" s="432">
        <f t="shared" si="34"/>
        <v>0</v>
      </c>
      <c r="BW53" s="433" t="str">
        <f>IFERROR(VLOOKUP($A53,#REF!,2,0),"0")</f>
        <v>0</v>
      </c>
      <c r="BX53" s="432">
        <f t="shared" si="35"/>
        <v>0</v>
      </c>
      <c r="BY53" s="163" t="e">
        <f>VLOOKUP($B:$B,#REF!,20,FALSE)</f>
        <v>#REF!</v>
      </c>
      <c r="BZ53" s="432">
        <f t="shared" si="36"/>
        <v>0</v>
      </c>
      <c r="CA53" s="433" t="str">
        <f>IFERROR(VLOOKUP($A53,#REF!,2,0),"0")</f>
        <v>0</v>
      </c>
      <c r="CB53" s="432">
        <f t="shared" si="37"/>
        <v>0</v>
      </c>
      <c r="CC53" s="163" t="e">
        <f>VLOOKUP($B:$B,#REF!,21,FALSE)</f>
        <v>#REF!</v>
      </c>
      <c r="CD53" s="432">
        <f t="shared" si="38"/>
        <v>0</v>
      </c>
      <c r="CE53" s="433" t="str">
        <f>IFERROR(VLOOKUP($A53,#REF!,2,0),"0")</f>
        <v>0</v>
      </c>
      <c r="CF53" s="432">
        <f t="shared" si="39"/>
        <v>0</v>
      </c>
      <c r="CG53" s="163" t="e">
        <f>VLOOKUP($B:$B,#REF!,22,FALSE)</f>
        <v>#REF!</v>
      </c>
      <c r="CH53" s="432">
        <f t="shared" si="40"/>
        <v>0</v>
      </c>
      <c r="CI53" s="433" t="str">
        <f>IFERROR(VLOOKUP($A53,#REF!,2,0),"0")</f>
        <v>0</v>
      </c>
      <c r="CJ53" s="432">
        <f t="shared" si="41"/>
        <v>0</v>
      </c>
      <c r="CK53" s="163" t="e">
        <f>VLOOKUP($B:$B,#REF!,23,FALSE)</f>
        <v>#REF!</v>
      </c>
      <c r="CL53" s="432">
        <f t="shared" si="42"/>
        <v>0</v>
      </c>
      <c r="CM53" s="433" t="str">
        <f>IFERROR(VLOOKUP($A53,#REF!,2,0),"0")</f>
        <v>0</v>
      </c>
      <c r="CN53" s="432">
        <f t="shared" si="43"/>
        <v>0</v>
      </c>
      <c r="CO53" s="163" t="e">
        <f>VLOOKUP($B:$B,#REF!,24,FALSE)</f>
        <v>#REF!</v>
      </c>
      <c r="CP53" s="432">
        <f t="shared" si="44"/>
        <v>0</v>
      </c>
      <c r="CQ53" s="433" t="str">
        <f>IFERROR(VLOOKUP($A53,#REF!,2,0),"0")</f>
        <v>0</v>
      </c>
      <c r="CR53" s="432">
        <f t="shared" si="45"/>
        <v>0</v>
      </c>
      <c r="CS53" s="163" t="e">
        <f>VLOOKUP($B:$B,#REF!,25,FALSE)</f>
        <v>#REF!</v>
      </c>
      <c r="CT53" s="432">
        <f t="shared" si="46"/>
        <v>0</v>
      </c>
      <c r="CU53" s="433" t="str">
        <f>IFERROR(VLOOKUP($A53,#REF!,2,0),"0")</f>
        <v>0</v>
      </c>
      <c r="CV53" s="432">
        <f t="shared" si="47"/>
        <v>0</v>
      </c>
      <c r="CW53" s="163" t="e">
        <f>VLOOKUP($B:$B,#REF!,26,FALSE)</f>
        <v>#REF!</v>
      </c>
      <c r="CX53" s="432">
        <f t="shared" si="48"/>
        <v>0</v>
      </c>
      <c r="CY53" s="433" t="str">
        <f>IFERROR(VLOOKUP($A53,#REF!,2,0),"0")</f>
        <v>0</v>
      </c>
      <c r="CZ53" s="432">
        <f t="shared" si="49"/>
        <v>0</v>
      </c>
      <c r="DA53" s="163" t="e">
        <f>VLOOKUP($B:$B,#REF!,27,FALSE)</f>
        <v>#REF!</v>
      </c>
      <c r="DB53" s="432">
        <f t="shared" si="50"/>
        <v>0</v>
      </c>
      <c r="DC53" s="433" t="str">
        <f>IFERROR(VLOOKUP($A53,#REF!,2,0),"0")</f>
        <v>0</v>
      </c>
      <c r="DD53" s="432">
        <f t="shared" si="51"/>
        <v>0</v>
      </c>
      <c r="DE53" s="163" t="e">
        <f>VLOOKUP($B:$B,#REF!,28,FALSE)</f>
        <v>#REF!</v>
      </c>
      <c r="DF53" s="432">
        <f t="shared" si="52"/>
        <v>0</v>
      </c>
      <c r="DG53" s="433" t="str">
        <f>IFERROR(VLOOKUP($A53,#REF!,2,0),"0")</f>
        <v>0</v>
      </c>
      <c r="DH53" s="432">
        <f t="shared" si="53"/>
        <v>0</v>
      </c>
      <c r="DI53" s="163" t="e">
        <f>VLOOKUP($B:$B,#REF!,29,FALSE)</f>
        <v>#REF!</v>
      </c>
      <c r="DJ53" s="432">
        <f t="shared" si="54"/>
        <v>0</v>
      </c>
      <c r="DK53" s="433" t="str">
        <f>IFERROR(VLOOKUP($A53,#REF!,2,0),"0")</f>
        <v>0</v>
      </c>
      <c r="DL53" s="432">
        <f t="shared" si="55"/>
        <v>0</v>
      </c>
      <c r="DM53" s="163" t="e">
        <f>VLOOKUP($B:$B,#REF!,30,FALSE)</f>
        <v>#REF!</v>
      </c>
      <c r="DN53" s="432">
        <f t="shared" si="56"/>
        <v>0</v>
      </c>
      <c r="DO53" s="432"/>
      <c r="DP53" s="432">
        <f t="shared" si="57"/>
        <v>0</v>
      </c>
      <c r="DQ53" s="163" t="e">
        <f>VLOOKUP($B:$B,#REF!,31,FALSE)</f>
        <v>#REF!</v>
      </c>
      <c r="DR53" s="432">
        <f t="shared" si="58"/>
        <v>0</v>
      </c>
      <c r="DS53" s="434"/>
      <c r="DT53" s="432">
        <f t="shared" si="59"/>
        <v>0</v>
      </c>
      <c r="DU53" s="163" t="e">
        <f>VLOOKUP($B:$B,#REF!,32,FALSE)</f>
        <v>#REF!</v>
      </c>
      <c r="DV53" s="432">
        <f t="shared" si="60"/>
        <v>0</v>
      </c>
      <c r="DW53" s="434"/>
      <c r="DX53" s="432">
        <f t="shared" si="61"/>
        <v>0</v>
      </c>
      <c r="DY53" s="432">
        <f t="shared" si="62"/>
        <v>0</v>
      </c>
    </row>
    <row r="54" spans="1:129" ht="15.75">
      <c r="A54" s="166" t="s">
        <v>165</v>
      </c>
      <c r="B54" s="506" t="s">
        <v>166</v>
      </c>
      <c r="C54" s="166">
        <v>1714075296</v>
      </c>
      <c r="D54" s="431">
        <v>28971</v>
      </c>
      <c r="E54" s="163" t="e">
        <f>VLOOKUP($B:$B,#REF!,2,FALSE)</f>
        <v>#REF!</v>
      </c>
      <c r="F54" s="432">
        <f t="shared" si="0"/>
        <v>0</v>
      </c>
      <c r="G54" s="433" t="str">
        <f>IFERROR(VLOOKUP($A54,#REF!,2,0),"0")</f>
        <v>0</v>
      </c>
      <c r="H54" s="432">
        <f t="shared" si="66"/>
        <v>0</v>
      </c>
      <c r="I54" s="163" t="e">
        <f>VLOOKUP($B:$B,#REF!,3,FALSE)</f>
        <v>#REF!</v>
      </c>
      <c r="J54" s="432">
        <f t="shared" si="2"/>
        <v>0</v>
      </c>
      <c r="K54" s="433" t="str">
        <f>IFERROR(VLOOKUP($A54,#REF!,2,0),"0")</f>
        <v>0</v>
      </c>
      <c r="L54" s="432">
        <f t="shared" si="63"/>
        <v>0</v>
      </c>
      <c r="M54" s="163" t="e">
        <f>VLOOKUP($B:$B,#REF!,4,FALSE)</f>
        <v>#REF!</v>
      </c>
      <c r="N54" s="432">
        <f t="shared" si="4"/>
        <v>0</v>
      </c>
      <c r="O54" s="433" t="str">
        <f>IFERROR(VLOOKUP($A54,#REF!,2,0),"0")</f>
        <v>0</v>
      </c>
      <c r="P54" s="432">
        <f t="shared" si="5"/>
        <v>0</v>
      </c>
      <c r="Q54" s="163" t="e">
        <f>VLOOKUP($B:$B,#REF!,5,FALSE)</f>
        <v>#REF!</v>
      </c>
      <c r="R54" s="432">
        <f t="shared" si="6"/>
        <v>0</v>
      </c>
      <c r="S54" s="433" t="str">
        <f>IFERROR(VLOOKUP($A54,#REF!,2,0),"0")</f>
        <v>0</v>
      </c>
      <c r="T54" s="432">
        <f t="shared" si="67"/>
        <v>0</v>
      </c>
      <c r="U54" s="163" t="e">
        <f>VLOOKUP($B:$B,#REF!,6,FALSE)</f>
        <v>#REF!</v>
      </c>
      <c r="V54" s="432">
        <f t="shared" si="8"/>
        <v>0</v>
      </c>
      <c r="W54" s="433" t="str">
        <f>IFERROR(VLOOKUP($A54,#REF!,2,0),"0")</f>
        <v>0</v>
      </c>
      <c r="X54" s="432">
        <f t="shared" si="9"/>
        <v>0</v>
      </c>
      <c r="Y54" s="163" t="e">
        <f>VLOOKUP($B:$B,#REF!,7,FALSE)</f>
        <v>#REF!</v>
      </c>
      <c r="Z54" s="432">
        <f t="shared" si="10"/>
        <v>0</v>
      </c>
      <c r="AA54" s="433" t="str">
        <f>IFERROR(VLOOKUP($A54,#REF!,2,0),"0")</f>
        <v>0</v>
      </c>
      <c r="AB54" s="432">
        <f t="shared" si="11"/>
        <v>0</v>
      </c>
      <c r="AC54" s="163" t="e">
        <f>VLOOKUP($B:$B,#REF!,8,FALSE)</f>
        <v>#REF!</v>
      </c>
      <c r="AD54" s="432">
        <f t="shared" si="12"/>
        <v>0</v>
      </c>
      <c r="AE54" s="433" t="str">
        <f>IFERROR(VLOOKUP($A54,#REF!,2,0),"0")</f>
        <v>0</v>
      </c>
      <c r="AF54" s="432">
        <f t="shared" si="13"/>
        <v>0</v>
      </c>
      <c r="AG54" s="163" t="e">
        <f>VLOOKUP($B:$B,#REF!,9,FALSE)</f>
        <v>#REF!</v>
      </c>
      <c r="AH54" s="432">
        <f t="shared" si="14"/>
        <v>0</v>
      </c>
      <c r="AI54" s="433" t="str">
        <f>IFERROR(VLOOKUP($A54,#REF!,2,0),"0")</f>
        <v>0</v>
      </c>
      <c r="AJ54" s="432">
        <f t="shared" si="15"/>
        <v>0</v>
      </c>
      <c r="AK54" s="163" t="e">
        <f>VLOOKUP($B:$B,#REF!,10,FALSE)</f>
        <v>#REF!</v>
      </c>
      <c r="AL54" s="432">
        <f t="shared" si="16"/>
        <v>0</v>
      </c>
      <c r="AM54" s="433" t="str">
        <f>IFERROR(VLOOKUP($A54,#REF!,2,0),"0")</f>
        <v>0</v>
      </c>
      <c r="AN54" s="432">
        <f t="shared" si="17"/>
        <v>0</v>
      </c>
      <c r="AO54" s="163" t="e">
        <f>VLOOKUP($B:$B,#REF!,11,FALSE)</f>
        <v>#REF!</v>
      </c>
      <c r="AP54" s="432">
        <f t="shared" si="18"/>
        <v>0</v>
      </c>
      <c r="AQ54" s="433" t="str">
        <f>IFERROR(VLOOKUP($A54,#REF!,2,0),"0")</f>
        <v>0</v>
      </c>
      <c r="AR54" s="432">
        <f t="shared" si="19"/>
        <v>0</v>
      </c>
      <c r="AS54" s="163" t="e">
        <f>VLOOKUP($B:$B,#REF!,12,FALSE)</f>
        <v>#REF!</v>
      </c>
      <c r="AT54" s="432">
        <f t="shared" si="20"/>
        <v>0</v>
      </c>
      <c r="AU54" s="433" t="str">
        <f>IFERROR(VLOOKUP($A54,#REF!,2,0),"0")</f>
        <v>0</v>
      </c>
      <c r="AV54" s="432">
        <f t="shared" si="21"/>
        <v>0</v>
      </c>
      <c r="AW54" s="163" t="e">
        <f>VLOOKUP($B:$B,#REF!,13,FALSE)</f>
        <v>#REF!</v>
      </c>
      <c r="AX54" s="432">
        <f t="shared" si="22"/>
        <v>0</v>
      </c>
      <c r="AY54" s="433" t="str">
        <f>IFERROR(VLOOKUP($A54,#REF!,2,0),"0")</f>
        <v>0</v>
      </c>
      <c r="AZ54" s="432">
        <f t="shared" si="23"/>
        <v>0</v>
      </c>
      <c r="BA54" s="163" t="e">
        <f>VLOOKUP($B:$B,#REF!,14,FALSE)</f>
        <v>#REF!</v>
      </c>
      <c r="BB54" s="432">
        <f t="shared" si="24"/>
        <v>0</v>
      </c>
      <c r="BC54" s="433" t="str">
        <f>IFERROR(VLOOKUP($A54,#REF!,2,0),"0")</f>
        <v>0</v>
      </c>
      <c r="BD54" s="432">
        <f t="shared" si="25"/>
        <v>0</v>
      </c>
      <c r="BE54" s="163" t="e">
        <f>VLOOKUP($B:$B,#REF!,15,FALSE)</f>
        <v>#REF!</v>
      </c>
      <c r="BF54" s="432">
        <f t="shared" si="26"/>
        <v>0</v>
      </c>
      <c r="BG54" s="433" t="str">
        <f>IFERROR(VLOOKUP($A54,#REF!,2,0),"0")</f>
        <v>0</v>
      </c>
      <c r="BH54" s="432">
        <f t="shared" si="27"/>
        <v>0</v>
      </c>
      <c r="BI54" s="163" t="e">
        <f>VLOOKUP($B:$B,#REF!,16,FALSE)</f>
        <v>#REF!</v>
      </c>
      <c r="BJ54" s="432">
        <f t="shared" si="28"/>
        <v>0</v>
      </c>
      <c r="BK54" s="433" t="str">
        <f>IFERROR(VLOOKUP($A54,#REF!,2,0),"0")</f>
        <v>0</v>
      </c>
      <c r="BL54" s="432">
        <f t="shared" si="29"/>
        <v>0</v>
      </c>
      <c r="BM54" s="163" t="e">
        <f>VLOOKUP($B:$B,#REF!,17,FALSE)</f>
        <v>#REF!</v>
      </c>
      <c r="BN54" s="432">
        <f t="shared" si="30"/>
        <v>0</v>
      </c>
      <c r="BO54" s="433">
        <v>0</v>
      </c>
      <c r="BP54" s="432">
        <f t="shared" si="31"/>
        <v>0</v>
      </c>
      <c r="BQ54" s="163" t="e">
        <f>VLOOKUP($B:$B,#REF!,18,FALSE)</f>
        <v>#REF!</v>
      </c>
      <c r="BR54" s="432">
        <f t="shared" si="32"/>
        <v>0</v>
      </c>
      <c r="BS54" s="433" t="str">
        <f>IFERROR(VLOOKUP($A54,#REF!,2,0),"0")</f>
        <v>0</v>
      </c>
      <c r="BT54" s="432">
        <f t="shared" si="33"/>
        <v>0</v>
      </c>
      <c r="BU54" s="163" t="e">
        <f>VLOOKUP($B:$B,#REF!,19,FALSE)</f>
        <v>#REF!</v>
      </c>
      <c r="BV54" s="432">
        <f t="shared" si="34"/>
        <v>0</v>
      </c>
      <c r="BW54" s="433" t="str">
        <f>IFERROR(VLOOKUP($A54,#REF!,2,0),"0")</f>
        <v>0</v>
      </c>
      <c r="BX54" s="432">
        <f t="shared" si="35"/>
        <v>0</v>
      </c>
      <c r="BY54" s="163" t="e">
        <f>VLOOKUP($B:$B,#REF!,20,FALSE)</f>
        <v>#REF!</v>
      </c>
      <c r="BZ54" s="432">
        <f t="shared" si="36"/>
        <v>0</v>
      </c>
      <c r="CA54" s="433" t="str">
        <f>IFERROR(VLOOKUP($A54,#REF!,2,0),"0")</f>
        <v>0</v>
      </c>
      <c r="CB54" s="432">
        <f t="shared" si="37"/>
        <v>0</v>
      </c>
      <c r="CC54" s="163" t="e">
        <f>VLOOKUP($B:$B,#REF!,21,FALSE)</f>
        <v>#REF!</v>
      </c>
      <c r="CD54" s="432">
        <f t="shared" si="38"/>
        <v>0</v>
      </c>
      <c r="CE54" s="433" t="str">
        <f>IFERROR(VLOOKUP($A54,#REF!,2,0),"0")</f>
        <v>0</v>
      </c>
      <c r="CF54" s="432">
        <f t="shared" si="39"/>
        <v>0</v>
      </c>
      <c r="CG54" s="163" t="e">
        <f>VLOOKUP($B:$B,#REF!,22,FALSE)</f>
        <v>#REF!</v>
      </c>
      <c r="CH54" s="432">
        <f t="shared" si="40"/>
        <v>0</v>
      </c>
      <c r="CI54" s="433" t="str">
        <f>IFERROR(VLOOKUP($A54,#REF!,2,0),"0")</f>
        <v>0</v>
      </c>
      <c r="CJ54" s="432">
        <f t="shared" si="41"/>
        <v>0</v>
      </c>
      <c r="CK54" s="163" t="e">
        <f>VLOOKUP($B:$B,#REF!,23,FALSE)</f>
        <v>#REF!</v>
      </c>
      <c r="CL54" s="432">
        <f t="shared" si="42"/>
        <v>0</v>
      </c>
      <c r="CM54" s="433" t="str">
        <f>IFERROR(VLOOKUP($A54,#REF!,2,0),"0")</f>
        <v>0</v>
      </c>
      <c r="CN54" s="432">
        <f t="shared" si="43"/>
        <v>0</v>
      </c>
      <c r="CO54" s="163" t="e">
        <f>VLOOKUP($B:$B,#REF!,24,FALSE)</f>
        <v>#REF!</v>
      </c>
      <c r="CP54" s="432">
        <f t="shared" si="44"/>
        <v>0</v>
      </c>
      <c r="CQ54" s="433" t="str">
        <f>IFERROR(VLOOKUP($A54,#REF!,2,0),"0")</f>
        <v>0</v>
      </c>
      <c r="CR54" s="432">
        <f t="shared" si="45"/>
        <v>0</v>
      </c>
      <c r="CS54" s="163" t="e">
        <f>VLOOKUP($B:$B,#REF!,25,FALSE)</f>
        <v>#REF!</v>
      </c>
      <c r="CT54" s="432">
        <f t="shared" si="46"/>
        <v>0</v>
      </c>
      <c r="CU54" s="433" t="str">
        <f>IFERROR(VLOOKUP($A54,#REF!,2,0),"0")</f>
        <v>0</v>
      </c>
      <c r="CV54" s="432">
        <f t="shared" si="47"/>
        <v>0</v>
      </c>
      <c r="CW54" s="163" t="e">
        <f>VLOOKUP($B:$B,#REF!,26,FALSE)</f>
        <v>#REF!</v>
      </c>
      <c r="CX54" s="432">
        <f t="shared" si="48"/>
        <v>0</v>
      </c>
      <c r="CY54" s="433" t="str">
        <f>IFERROR(VLOOKUP($A54,#REF!,2,0),"0")</f>
        <v>0</v>
      </c>
      <c r="CZ54" s="432">
        <f t="shared" si="49"/>
        <v>0</v>
      </c>
      <c r="DA54" s="163" t="e">
        <f>VLOOKUP($B:$B,#REF!,27,FALSE)</f>
        <v>#REF!</v>
      </c>
      <c r="DB54" s="432">
        <f t="shared" si="50"/>
        <v>0</v>
      </c>
      <c r="DC54" s="433" t="str">
        <f>IFERROR(VLOOKUP($A54,#REF!,2,0),"0")</f>
        <v>0</v>
      </c>
      <c r="DD54" s="432">
        <f t="shared" si="51"/>
        <v>0</v>
      </c>
      <c r="DE54" s="163" t="e">
        <f>VLOOKUP($B:$B,#REF!,28,FALSE)</f>
        <v>#REF!</v>
      </c>
      <c r="DF54" s="432">
        <f t="shared" si="52"/>
        <v>0</v>
      </c>
      <c r="DG54" s="433" t="str">
        <f>IFERROR(VLOOKUP($A54,#REF!,2,0),"0")</f>
        <v>0</v>
      </c>
      <c r="DH54" s="432">
        <f t="shared" si="53"/>
        <v>0</v>
      </c>
      <c r="DI54" s="163" t="e">
        <f>VLOOKUP($B:$B,#REF!,29,FALSE)</f>
        <v>#REF!</v>
      </c>
      <c r="DJ54" s="432">
        <f t="shared" si="54"/>
        <v>0</v>
      </c>
      <c r="DK54" s="433" t="str">
        <f>IFERROR(VLOOKUP($A54,#REF!,2,0),"0")</f>
        <v>0</v>
      </c>
      <c r="DL54" s="432">
        <f t="shared" si="55"/>
        <v>0</v>
      </c>
      <c r="DM54" s="163" t="e">
        <f>VLOOKUP($B:$B,#REF!,30,FALSE)</f>
        <v>#REF!</v>
      </c>
      <c r="DN54" s="432">
        <f t="shared" si="56"/>
        <v>0</v>
      </c>
      <c r="DO54" s="432"/>
      <c r="DP54" s="432">
        <f t="shared" si="57"/>
        <v>0</v>
      </c>
      <c r="DQ54" s="163" t="e">
        <f>VLOOKUP($B:$B,#REF!,31,FALSE)</f>
        <v>#REF!</v>
      </c>
      <c r="DR54" s="432">
        <f t="shared" si="58"/>
        <v>0</v>
      </c>
      <c r="DS54" s="434"/>
      <c r="DT54" s="432">
        <f t="shared" si="59"/>
        <v>0</v>
      </c>
      <c r="DU54" s="163" t="e">
        <f>VLOOKUP($B:$B,#REF!,32,FALSE)</f>
        <v>#REF!</v>
      </c>
      <c r="DV54" s="432">
        <f t="shared" si="60"/>
        <v>0</v>
      </c>
      <c r="DW54" s="434"/>
      <c r="DX54" s="432">
        <f t="shared" si="61"/>
        <v>0</v>
      </c>
      <c r="DY54" s="432">
        <f t="shared" si="62"/>
        <v>0</v>
      </c>
    </row>
    <row r="55" spans="1:129" ht="15.75">
      <c r="A55" s="166" t="s">
        <v>168</v>
      </c>
      <c r="B55" s="506" t="s">
        <v>169</v>
      </c>
      <c r="C55" s="166">
        <v>1726305194</v>
      </c>
      <c r="D55" s="431">
        <v>36217</v>
      </c>
      <c r="E55" s="163" t="e">
        <f>VLOOKUP($B:$B,#REF!,2,FALSE)</f>
        <v>#REF!</v>
      </c>
      <c r="F55" s="432">
        <f t="shared" si="0"/>
        <v>0</v>
      </c>
      <c r="G55" s="433" t="str">
        <f>IFERROR(VLOOKUP($A55,#REF!,2,0),"0")</f>
        <v>0</v>
      </c>
      <c r="H55" s="432">
        <f t="shared" si="66"/>
        <v>0</v>
      </c>
      <c r="I55" s="163" t="e">
        <f>VLOOKUP($B:$B,#REF!,3,FALSE)</f>
        <v>#REF!</v>
      </c>
      <c r="J55" s="432">
        <f t="shared" si="2"/>
        <v>0</v>
      </c>
      <c r="K55" s="433" t="str">
        <f>IFERROR(VLOOKUP($A55,#REF!,2,0),"0")</f>
        <v>0</v>
      </c>
      <c r="L55" s="432">
        <f t="shared" si="63"/>
        <v>0</v>
      </c>
      <c r="M55" s="163" t="e">
        <f>VLOOKUP($B:$B,#REF!,4,FALSE)</f>
        <v>#REF!</v>
      </c>
      <c r="N55" s="432">
        <f t="shared" si="4"/>
        <v>0</v>
      </c>
      <c r="O55" s="433" t="str">
        <f>IFERROR(VLOOKUP($A55,#REF!,2,0),"0")</f>
        <v>0</v>
      </c>
      <c r="P55" s="432">
        <f t="shared" si="5"/>
        <v>0</v>
      </c>
      <c r="Q55" s="163" t="e">
        <f>VLOOKUP($B:$B,#REF!,5,FALSE)</f>
        <v>#REF!</v>
      </c>
      <c r="R55" s="432">
        <f t="shared" si="6"/>
        <v>0</v>
      </c>
      <c r="S55" s="433" t="str">
        <f>IFERROR(VLOOKUP($A55,#REF!,2,0),"0")</f>
        <v>0</v>
      </c>
      <c r="T55" s="432">
        <f t="shared" si="67"/>
        <v>0</v>
      </c>
      <c r="U55" s="163" t="e">
        <f>VLOOKUP($B:$B,#REF!,6,FALSE)</f>
        <v>#REF!</v>
      </c>
      <c r="V55" s="432">
        <f t="shared" si="8"/>
        <v>0</v>
      </c>
      <c r="W55" s="433" t="str">
        <f>IFERROR(VLOOKUP($A55,#REF!,2,0),"0")</f>
        <v>0</v>
      </c>
      <c r="X55" s="432">
        <f t="shared" si="9"/>
        <v>0</v>
      </c>
      <c r="Y55" s="163" t="e">
        <f>VLOOKUP($B:$B,#REF!,7,FALSE)</f>
        <v>#REF!</v>
      </c>
      <c r="Z55" s="432">
        <f t="shared" si="10"/>
        <v>0</v>
      </c>
      <c r="AA55" s="433" t="str">
        <f>IFERROR(VLOOKUP($A55,#REF!,2,0),"0")</f>
        <v>0</v>
      </c>
      <c r="AB55" s="432">
        <f t="shared" si="11"/>
        <v>0</v>
      </c>
      <c r="AC55" s="163" t="e">
        <f>VLOOKUP($B:$B,#REF!,8,FALSE)</f>
        <v>#REF!</v>
      </c>
      <c r="AD55" s="432">
        <f t="shared" si="12"/>
        <v>0</v>
      </c>
      <c r="AE55" s="433" t="str">
        <f>IFERROR(VLOOKUP($A55,#REF!,2,0),"0")</f>
        <v>0</v>
      </c>
      <c r="AF55" s="432">
        <f t="shared" si="13"/>
        <v>0</v>
      </c>
      <c r="AG55" s="163" t="e">
        <f>VLOOKUP($B:$B,#REF!,9,FALSE)</f>
        <v>#REF!</v>
      </c>
      <c r="AH55" s="432">
        <f t="shared" si="14"/>
        <v>0</v>
      </c>
      <c r="AI55" s="433" t="str">
        <f>IFERROR(VLOOKUP($A55,#REF!,2,0),"0")</f>
        <v>0</v>
      </c>
      <c r="AJ55" s="432">
        <f t="shared" si="15"/>
        <v>0</v>
      </c>
      <c r="AK55" s="163" t="e">
        <f>VLOOKUP($B:$B,#REF!,10,FALSE)</f>
        <v>#REF!</v>
      </c>
      <c r="AL55" s="432">
        <f t="shared" si="16"/>
        <v>0</v>
      </c>
      <c r="AM55" s="433" t="str">
        <f>IFERROR(VLOOKUP($A55,#REF!,2,0),"0")</f>
        <v>0</v>
      </c>
      <c r="AN55" s="432">
        <f t="shared" si="17"/>
        <v>0</v>
      </c>
      <c r="AO55" s="163" t="e">
        <f>VLOOKUP($B:$B,#REF!,11,FALSE)</f>
        <v>#REF!</v>
      </c>
      <c r="AP55" s="432">
        <f t="shared" si="18"/>
        <v>0</v>
      </c>
      <c r="AQ55" s="433" t="str">
        <f>IFERROR(VLOOKUP($A55,#REF!,2,0),"0")</f>
        <v>0</v>
      </c>
      <c r="AR55" s="432">
        <f t="shared" si="19"/>
        <v>0</v>
      </c>
      <c r="AS55" s="163" t="e">
        <f>VLOOKUP($B:$B,#REF!,12,FALSE)</f>
        <v>#REF!</v>
      </c>
      <c r="AT55" s="432">
        <f t="shared" si="20"/>
        <v>0</v>
      </c>
      <c r="AU55" s="433" t="str">
        <f>IFERROR(VLOOKUP($A55,#REF!,2,0),"0")</f>
        <v>0</v>
      </c>
      <c r="AV55" s="432">
        <f t="shared" si="21"/>
        <v>0</v>
      </c>
      <c r="AW55" s="163" t="e">
        <f>VLOOKUP($B:$B,#REF!,13,FALSE)</f>
        <v>#REF!</v>
      </c>
      <c r="AX55" s="432">
        <f t="shared" si="22"/>
        <v>0</v>
      </c>
      <c r="AY55" s="433" t="str">
        <f>IFERROR(VLOOKUP($A55,#REF!,2,0),"0")</f>
        <v>0</v>
      </c>
      <c r="AZ55" s="432">
        <f t="shared" si="23"/>
        <v>0</v>
      </c>
      <c r="BA55" s="163" t="e">
        <f>VLOOKUP($B:$B,#REF!,14,FALSE)</f>
        <v>#REF!</v>
      </c>
      <c r="BB55" s="432">
        <f t="shared" si="24"/>
        <v>0</v>
      </c>
      <c r="BC55" s="433" t="str">
        <f>IFERROR(VLOOKUP($A55,#REF!,2,0),"0")</f>
        <v>0</v>
      </c>
      <c r="BD55" s="432">
        <f t="shared" si="25"/>
        <v>0</v>
      </c>
      <c r="BE55" s="163" t="e">
        <f>VLOOKUP($B:$B,#REF!,15,FALSE)</f>
        <v>#REF!</v>
      </c>
      <c r="BF55" s="432">
        <f t="shared" si="26"/>
        <v>0</v>
      </c>
      <c r="BG55" s="433" t="str">
        <f>IFERROR(VLOOKUP($A55,#REF!,2,0),"0")</f>
        <v>0</v>
      </c>
      <c r="BH55" s="432">
        <f t="shared" si="27"/>
        <v>0</v>
      </c>
      <c r="BI55" s="163" t="e">
        <f>VLOOKUP($B:$B,#REF!,16,FALSE)</f>
        <v>#REF!</v>
      </c>
      <c r="BJ55" s="432">
        <f t="shared" si="28"/>
        <v>0</v>
      </c>
      <c r="BK55" s="433" t="str">
        <f>IFERROR(VLOOKUP($A55,#REF!,2,0),"0")</f>
        <v>0</v>
      </c>
      <c r="BL55" s="432">
        <f t="shared" si="29"/>
        <v>0</v>
      </c>
      <c r="BM55" s="163" t="e">
        <f>VLOOKUP($B:$B,#REF!,17,FALSE)</f>
        <v>#REF!</v>
      </c>
      <c r="BN55" s="432">
        <f t="shared" si="30"/>
        <v>0</v>
      </c>
      <c r="BO55" s="433" t="str">
        <f>IFERROR(VLOOKUP($A55,#REF!,2,0),"0")</f>
        <v>0</v>
      </c>
      <c r="BP55" s="432">
        <f t="shared" si="31"/>
        <v>0</v>
      </c>
      <c r="BQ55" s="163" t="e">
        <f>VLOOKUP($B:$B,#REF!,18,FALSE)</f>
        <v>#REF!</v>
      </c>
      <c r="BR55" s="432">
        <f t="shared" si="32"/>
        <v>0</v>
      </c>
      <c r="BS55" s="433" t="str">
        <f>IFERROR(VLOOKUP($A55,#REF!,2,0),"0")</f>
        <v>0</v>
      </c>
      <c r="BT55" s="432">
        <f t="shared" si="33"/>
        <v>0</v>
      </c>
      <c r="BU55" s="163" t="e">
        <f>VLOOKUP($B:$B,#REF!,19,FALSE)</f>
        <v>#REF!</v>
      </c>
      <c r="BV55" s="432">
        <f t="shared" si="34"/>
        <v>0</v>
      </c>
      <c r="BW55" s="433" t="str">
        <f>IFERROR(VLOOKUP($A55,#REF!,2,0),"0")</f>
        <v>0</v>
      </c>
      <c r="BX55" s="432">
        <f t="shared" si="35"/>
        <v>0</v>
      </c>
      <c r="BY55" s="163" t="e">
        <f>VLOOKUP($B:$B,#REF!,20,FALSE)</f>
        <v>#REF!</v>
      </c>
      <c r="BZ55" s="432">
        <f t="shared" si="36"/>
        <v>0</v>
      </c>
      <c r="CA55" s="433" t="str">
        <f>IFERROR(VLOOKUP($A55,#REF!,2,0),"0")</f>
        <v>0</v>
      </c>
      <c r="CB55" s="432">
        <f t="shared" si="37"/>
        <v>0</v>
      </c>
      <c r="CC55" s="163" t="e">
        <f>VLOOKUP($B:$B,#REF!,21,FALSE)</f>
        <v>#REF!</v>
      </c>
      <c r="CD55" s="432">
        <f t="shared" si="38"/>
        <v>0</v>
      </c>
      <c r="CE55" s="433" t="str">
        <f>IFERROR(VLOOKUP($A55,#REF!,2,0),"0")</f>
        <v>0</v>
      </c>
      <c r="CF55" s="432">
        <f t="shared" si="39"/>
        <v>0</v>
      </c>
      <c r="CG55" s="163" t="e">
        <f>VLOOKUP($B:$B,#REF!,22,FALSE)</f>
        <v>#REF!</v>
      </c>
      <c r="CH55" s="432">
        <f t="shared" si="40"/>
        <v>0</v>
      </c>
      <c r="CI55" s="433" t="str">
        <f>IFERROR(VLOOKUP($A55,#REF!,2,0),"0")</f>
        <v>0</v>
      </c>
      <c r="CJ55" s="432">
        <f t="shared" si="41"/>
        <v>0</v>
      </c>
      <c r="CK55" s="163" t="e">
        <f>VLOOKUP($B:$B,#REF!,23,FALSE)</f>
        <v>#REF!</v>
      </c>
      <c r="CL55" s="432">
        <f t="shared" si="42"/>
        <v>0</v>
      </c>
      <c r="CM55" s="433" t="str">
        <f>IFERROR(VLOOKUP($A55,#REF!,2,0),"0")</f>
        <v>0</v>
      </c>
      <c r="CN55" s="432">
        <f t="shared" si="43"/>
        <v>0</v>
      </c>
      <c r="CO55" s="163" t="e">
        <f>VLOOKUP($B:$B,#REF!,24,FALSE)</f>
        <v>#REF!</v>
      </c>
      <c r="CP55" s="432">
        <f t="shared" si="44"/>
        <v>0</v>
      </c>
      <c r="CQ55" s="433" t="str">
        <f>IFERROR(VLOOKUP($A55,#REF!,2,0),"0")</f>
        <v>0</v>
      </c>
      <c r="CR55" s="432">
        <f t="shared" si="45"/>
        <v>0</v>
      </c>
      <c r="CS55" s="163" t="e">
        <f>VLOOKUP($B:$B,#REF!,25,FALSE)</f>
        <v>#REF!</v>
      </c>
      <c r="CT55" s="432">
        <f t="shared" si="46"/>
        <v>0</v>
      </c>
      <c r="CU55" s="433" t="str">
        <f>IFERROR(VLOOKUP($A55,#REF!,2,0),"0")</f>
        <v>0</v>
      </c>
      <c r="CV55" s="432">
        <f t="shared" si="47"/>
        <v>0</v>
      </c>
      <c r="CW55" s="163" t="e">
        <f>VLOOKUP($B:$B,#REF!,26,FALSE)</f>
        <v>#REF!</v>
      </c>
      <c r="CX55" s="432">
        <f t="shared" si="48"/>
        <v>0</v>
      </c>
      <c r="CY55" s="433" t="str">
        <f>IFERROR(VLOOKUP($A55,#REF!,2,0),"0")</f>
        <v>0</v>
      </c>
      <c r="CZ55" s="432">
        <f t="shared" si="49"/>
        <v>0</v>
      </c>
      <c r="DA55" s="163" t="e">
        <f>VLOOKUP($B:$B,#REF!,27,FALSE)</f>
        <v>#REF!</v>
      </c>
      <c r="DB55" s="432">
        <f t="shared" si="50"/>
        <v>0</v>
      </c>
      <c r="DC55" s="433" t="str">
        <f>IFERROR(VLOOKUP($A55,#REF!,2,0),"0")</f>
        <v>0</v>
      </c>
      <c r="DD55" s="432">
        <f t="shared" si="51"/>
        <v>0</v>
      </c>
      <c r="DE55" s="163" t="e">
        <f>VLOOKUP($B:$B,#REF!,28,FALSE)</f>
        <v>#REF!</v>
      </c>
      <c r="DF55" s="432">
        <f t="shared" si="52"/>
        <v>0</v>
      </c>
      <c r="DG55" s="433" t="str">
        <f>IFERROR(VLOOKUP($A55,#REF!,2,0),"0")</f>
        <v>0</v>
      </c>
      <c r="DH55" s="432">
        <f t="shared" si="53"/>
        <v>0</v>
      </c>
      <c r="DI55" s="163" t="e">
        <f>VLOOKUP($B:$B,#REF!,29,FALSE)</f>
        <v>#REF!</v>
      </c>
      <c r="DJ55" s="432">
        <f t="shared" si="54"/>
        <v>0</v>
      </c>
      <c r="DK55" s="433" t="str">
        <f>IFERROR(VLOOKUP($A55,#REF!,2,0),"0")</f>
        <v>0</v>
      </c>
      <c r="DL55" s="432">
        <f t="shared" si="55"/>
        <v>0</v>
      </c>
      <c r="DM55" s="163" t="e">
        <f>VLOOKUP($B:$B,#REF!,30,FALSE)</f>
        <v>#REF!</v>
      </c>
      <c r="DN55" s="432">
        <f t="shared" si="56"/>
        <v>0</v>
      </c>
      <c r="DO55" s="432"/>
      <c r="DP55" s="432">
        <f t="shared" si="57"/>
        <v>0</v>
      </c>
      <c r="DQ55" s="163" t="e">
        <f>VLOOKUP($B:$B,#REF!,31,FALSE)</f>
        <v>#REF!</v>
      </c>
      <c r="DR55" s="432">
        <f t="shared" si="58"/>
        <v>0</v>
      </c>
      <c r="DS55" s="434"/>
      <c r="DT55" s="432">
        <f t="shared" si="59"/>
        <v>0</v>
      </c>
      <c r="DU55" s="163" t="e">
        <f>VLOOKUP($B:$B,#REF!,32,FALSE)</f>
        <v>#REF!</v>
      </c>
      <c r="DV55" s="432">
        <f t="shared" si="60"/>
        <v>0</v>
      </c>
      <c r="DW55" s="434"/>
      <c r="DX55" s="432">
        <f t="shared" si="61"/>
        <v>0</v>
      </c>
      <c r="DY55" s="432">
        <f t="shared" si="62"/>
        <v>0</v>
      </c>
    </row>
    <row r="56" spans="1:129" ht="15.75">
      <c r="A56" s="166" t="s">
        <v>451</v>
      </c>
      <c r="B56" s="506" t="s">
        <v>177</v>
      </c>
      <c r="C56" s="166">
        <v>1725494676</v>
      </c>
      <c r="D56" s="431">
        <v>37049</v>
      </c>
      <c r="E56" s="163" t="e">
        <f>VLOOKUP($B:$B,#REF!,2,FALSE)</f>
        <v>#REF!</v>
      </c>
      <c r="F56" s="432">
        <f t="shared" si="0"/>
        <v>0</v>
      </c>
      <c r="G56" s="433" t="str">
        <f>IFERROR(VLOOKUP($A56,#REF!,2,0),"0")</f>
        <v>0</v>
      </c>
      <c r="H56" s="432">
        <f t="shared" si="66"/>
        <v>0</v>
      </c>
      <c r="I56" s="163" t="e">
        <f>VLOOKUP($B:$B,#REF!,3,FALSE)</f>
        <v>#REF!</v>
      </c>
      <c r="J56" s="432">
        <f t="shared" si="2"/>
        <v>0</v>
      </c>
      <c r="K56" s="433" t="str">
        <f>IFERROR(VLOOKUP($A56,#REF!,2,0),"0")</f>
        <v>0</v>
      </c>
      <c r="L56" s="432">
        <f t="shared" si="63"/>
        <v>0</v>
      </c>
      <c r="M56" s="163" t="e">
        <f>VLOOKUP($B:$B,#REF!,4,FALSE)</f>
        <v>#REF!</v>
      </c>
      <c r="N56" s="432">
        <f t="shared" si="4"/>
        <v>0</v>
      </c>
      <c r="O56" s="433" t="str">
        <f>IFERROR(VLOOKUP($A56,#REF!,2,0),"0")</f>
        <v>0</v>
      </c>
      <c r="P56" s="432">
        <f t="shared" si="5"/>
        <v>0</v>
      </c>
      <c r="Q56" s="163" t="e">
        <f>VLOOKUP($B:$B,#REF!,5,FALSE)</f>
        <v>#REF!</v>
      </c>
      <c r="R56" s="432">
        <f t="shared" si="6"/>
        <v>0</v>
      </c>
      <c r="S56" s="433" t="str">
        <f>IFERROR(VLOOKUP($A56,#REF!,2,0),"0")</f>
        <v>0</v>
      </c>
      <c r="T56" s="432">
        <v>0</v>
      </c>
      <c r="U56" s="163" t="e">
        <f>VLOOKUP($B:$B,#REF!,6,FALSE)</f>
        <v>#REF!</v>
      </c>
      <c r="V56" s="432">
        <f t="shared" si="8"/>
        <v>0</v>
      </c>
      <c r="W56" s="433" t="str">
        <f>IFERROR(VLOOKUP($A56,#REF!,2,0),"0")</f>
        <v>0</v>
      </c>
      <c r="X56" s="432">
        <f t="shared" si="9"/>
        <v>0</v>
      </c>
      <c r="Y56" s="163" t="e">
        <f>VLOOKUP($B:$B,#REF!,7,FALSE)</f>
        <v>#REF!</v>
      </c>
      <c r="Z56" s="432">
        <f t="shared" si="10"/>
        <v>0</v>
      </c>
      <c r="AA56" s="433" t="str">
        <f>IFERROR(VLOOKUP($A56,#REF!,2,0),"0")</f>
        <v>0</v>
      </c>
      <c r="AB56" s="432">
        <f t="shared" si="11"/>
        <v>0</v>
      </c>
      <c r="AC56" s="163" t="e">
        <f>VLOOKUP($B:$B,#REF!,8,FALSE)</f>
        <v>#REF!</v>
      </c>
      <c r="AD56" s="432">
        <f t="shared" si="12"/>
        <v>0</v>
      </c>
      <c r="AE56" s="433" t="str">
        <f>IFERROR(VLOOKUP($A56,#REF!,2,0),"0")</f>
        <v>0</v>
      </c>
      <c r="AF56" s="432">
        <f t="shared" si="13"/>
        <v>0</v>
      </c>
      <c r="AG56" s="163" t="e">
        <f>VLOOKUP($B:$B,#REF!,9,FALSE)</f>
        <v>#REF!</v>
      </c>
      <c r="AH56" s="432">
        <f t="shared" si="14"/>
        <v>0</v>
      </c>
      <c r="AI56" s="433" t="str">
        <f>IFERROR(VLOOKUP($A56,#REF!,2,0),"0")</f>
        <v>0</v>
      </c>
      <c r="AJ56" s="432">
        <f t="shared" si="15"/>
        <v>0</v>
      </c>
      <c r="AK56" s="163" t="e">
        <f>VLOOKUP($B:$B,#REF!,10,FALSE)</f>
        <v>#REF!</v>
      </c>
      <c r="AL56" s="432">
        <f t="shared" si="16"/>
        <v>0</v>
      </c>
      <c r="AM56" s="433" t="str">
        <f>IFERROR(VLOOKUP($A56,#REF!,2,0),"0")</f>
        <v>0</v>
      </c>
      <c r="AN56" s="432">
        <f t="shared" si="17"/>
        <v>0</v>
      </c>
      <c r="AO56" s="163" t="e">
        <f>VLOOKUP($B:$B,#REF!,11,FALSE)</f>
        <v>#REF!</v>
      </c>
      <c r="AP56" s="432">
        <f t="shared" si="18"/>
        <v>0</v>
      </c>
      <c r="AQ56" s="433" t="str">
        <f>IFERROR(VLOOKUP($A56,#REF!,2,0),"0")</f>
        <v>0</v>
      </c>
      <c r="AR56" s="432">
        <f t="shared" si="19"/>
        <v>0</v>
      </c>
      <c r="AS56" s="163" t="e">
        <f>VLOOKUP($B:$B,#REF!,12,FALSE)</f>
        <v>#REF!</v>
      </c>
      <c r="AT56" s="432">
        <f t="shared" si="20"/>
        <v>0</v>
      </c>
      <c r="AU56" s="433" t="str">
        <f>IFERROR(VLOOKUP($A56,#REF!,2,0),"0")</f>
        <v>0</v>
      </c>
      <c r="AV56" s="432">
        <f t="shared" si="21"/>
        <v>0</v>
      </c>
      <c r="AW56" s="163" t="e">
        <f>VLOOKUP($B:$B,#REF!,13,FALSE)</f>
        <v>#REF!</v>
      </c>
      <c r="AX56" s="432">
        <f t="shared" si="22"/>
        <v>0</v>
      </c>
      <c r="AY56" s="433" t="str">
        <f>IFERROR(VLOOKUP($A56,#REF!,2,0),"0")</f>
        <v>0</v>
      </c>
      <c r="AZ56" s="432">
        <f t="shared" si="23"/>
        <v>0</v>
      </c>
      <c r="BA56" s="163" t="e">
        <f>VLOOKUP($B:$B,#REF!,14,FALSE)</f>
        <v>#REF!</v>
      </c>
      <c r="BB56" s="432">
        <f t="shared" si="24"/>
        <v>0</v>
      </c>
      <c r="BC56" s="433" t="str">
        <f>IFERROR(VLOOKUP($A56,#REF!,2,0),"0")</f>
        <v>0</v>
      </c>
      <c r="BD56" s="432">
        <f t="shared" si="25"/>
        <v>0</v>
      </c>
      <c r="BE56" s="163" t="e">
        <f>VLOOKUP($B:$B,#REF!,15,FALSE)</f>
        <v>#REF!</v>
      </c>
      <c r="BF56" s="432">
        <f t="shared" si="26"/>
        <v>0</v>
      </c>
      <c r="BG56" s="433" t="str">
        <f>IFERROR(VLOOKUP($A56,#REF!,2,0),"0")</f>
        <v>0</v>
      </c>
      <c r="BH56" s="432">
        <f t="shared" si="27"/>
        <v>0</v>
      </c>
      <c r="BI56" s="163" t="e">
        <f>VLOOKUP($B:$B,#REF!,16,FALSE)</f>
        <v>#REF!</v>
      </c>
      <c r="BJ56" s="432">
        <f t="shared" si="28"/>
        <v>0</v>
      </c>
      <c r="BK56" s="433" t="str">
        <f>IFERROR(VLOOKUP($A56,#REF!,2,0),"0")</f>
        <v>0</v>
      </c>
      <c r="BL56" s="432">
        <f t="shared" si="29"/>
        <v>0</v>
      </c>
      <c r="BM56" s="163" t="e">
        <f>VLOOKUP($B:$B,#REF!,17,FALSE)</f>
        <v>#REF!</v>
      </c>
      <c r="BN56" s="432">
        <f t="shared" si="30"/>
        <v>0</v>
      </c>
      <c r="BO56" s="433" t="str">
        <f>IFERROR(VLOOKUP($A56,#REF!,2,0),"0")</f>
        <v>0</v>
      </c>
      <c r="BP56" s="432">
        <f t="shared" si="31"/>
        <v>0</v>
      </c>
      <c r="BQ56" s="163" t="e">
        <f>VLOOKUP($B:$B,#REF!,18,FALSE)</f>
        <v>#REF!</v>
      </c>
      <c r="BR56" s="432">
        <f t="shared" si="32"/>
        <v>0</v>
      </c>
      <c r="BS56" s="433" t="str">
        <f>IFERROR(VLOOKUP($A56,#REF!,2,0),"0")</f>
        <v>0</v>
      </c>
      <c r="BT56" s="432">
        <f t="shared" si="33"/>
        <v>0</v>
      </c>
      <c r="BU56" s="163" t="e">
        <f>VLOOKUP($B:$B,#REF!,19,FALSE)</f>
        <v>#REF!</v>
      </c>
      <c r="BV56" s="432">
        <f t="shared" si="34"/>
        <v>0</v>
      </c>
      <c r="BW56" s="433" t="str">
        <f>IFERROR(VLOOKUP($A56,#REF!,2,0),"0")</f>
        <v>0</v>
      </c>
      <c r="BX56" s="432">
        <f t="shared" si="35"/>
        <v>0</v>
      </c>
      <c r="BY56" s="163" t="e">
        <f>VLOOKUP($B:$B,#REF!,20,FALSE)</f>
        <v>#REF!</v>
      </c>
      <c r="BZ56" s="432">
        <f t="shared" si="36"/>
        <v>0</v>
      </c>
      <c r="CA56" s="433" t="str">
        <f>IFERROR(VLOOKUP($A56,#REF!,2,0),"0")</f>
        <v>0</v>
      </c>
      <c r="CB56" s="432">
        <f t="shared" si="37"/>
        <v>0</v>
      </c>
      <c r="CC56" s="163" t="e">
        <f>VLOOKUP($B:$B,#REF!,21,FALSE)</f>
        <v>#REF!</v>
      </c>
      <c r="CD56" s="432">
        <f t="shared" si="38"/>
        <v>0</v>
      </c>
      <c r="CE56" s="433" t="str">
        <f>IFERROR(VLOOKUP($A56,#REF!,2,0),"0")</f>
        <v>0</v>
      </c>
      <c r="CF56" s="432">
        <f t="shared" si="39"/>
        <v>0</v>
      </c>
      <c r="CG56" s="163" t="e">
        <f>VLOOKUP($B:$B,#REF!,22,FALSE)</f>
        <v>#REF!</v>
      </c>
      <c r="CH56" s="432">
        <f t="shared" si="40"/>
        <v>0</v>
      </c>
      <c r="CI56" s="433" t="str">
        <f>IFERROR(VLOOKUP($A56,#REF!,2,0),"0")</f>
        <v>0</v>
      </c>
      <c r="CJ56" s="432">
        <f t="shared" si="41"/>
        <v>0</v>
      </c>
      <c r="CK56" s="163" t="e">
        <f>VLOOKUP($B:$B,#REF!,23,FALSE)</f>
        <v>#REF!</v>
      </c>
      <c r="CL56" s="432">
        <f t="shared" si="42"/>
        <v>0</v>
      </c>
      <c r="CM56" s="433" t="str">
        <f>IFERROR(VLOOKUP($A56,#REF!,2,0),"0")</f>
        <v>0</v>
      </c>
      <c r="CN56" s="432">
        <f t="shared" si="43"/>
        <v>0</v>
      </c>
      <c r="CO56" s="163" t="e">
        <f>VLOOKUP($B:$B,#REF!,24,FALSE)</f>
        <v>#REF!</v>
      </c>
      <c r="CP56" s="432">
        <f t="shared" si="44"/>
        <v>0</v>
      </c>
      <c r="CQ56" s="433" t="str">
        <f>IFERROR(VLOOKUP($A56,#REF!,2,0),"0")</f>
        <v>0</v>
      </c>
      <c r="CR56" s="432">
        <f t="shared" si="45"/>
        <v>0</v>
      </c>
      <c r="CS56" s="163" t="e">
        <f>VLOOKUP($B:$B,#REF!,25,FALSE)</f>
        <v>#REF!</v>
      </c>
      <c r="CT56" s="432">
        <f t="shared" si="46"/>
        <v>0</v>
      </c>
      <c r="CU56" s="433" t="str">
        <f>IFERROR(VLOOKUP($A56,#REF!,2,0),"0")</f>
        <v>0</v>
      </c>
      <c r="CV56" s="432">
        <f t="shared" si="47"/>
        <v>0</v>
      </c>
      <c r="CW56" s="163" t="e">
        <f>VLOOKUP($B:$B,#REF!,26,FALSE)</f>
        <v>#REF!</v>
      </c>
      <c r="CX56" s="432">
        <f t="shared" si="48"/>
        <v>0</v>
      </c>
      <c r="CY56" s="433" t="str">
        <f>IFERROR(VLOOKUP($A56,#REF!,2,0),"0")</f>
        <v>0</v>
      </c>
      <c r="CZ56" s="432">
        <f t="shared" si="49"/>
        <v>0</v>
      </c>
      <c r="DA56" s="163" t="e">
        <f>VLOOKUP($B:$B,#REF!,27,FALSE)</f>
        <v>#REF!</v>
      </c>
      <c r="DB56" s="432">
        <f t="shared" si="50"/>
        <v>0</v>
      </c>
      <c r="DC56" s="433" t="str">
        <f>IFERROR(VLOOKUP($A56,#REF!,2,0),"0")</f>
        <v>0</v>
      </c>
      <c r="DD56" s="432">
        <f t="shared" si="51"/>
        <v>0</v>
      </c>
      <c r="DE56" s="163" t="e">
        <f>VLOOKUP($B:$B,#REF!,28,FALSE)</f>
        <v>#REF!</v>
      </c>
      <c r="DF56" s="432">
        <f t="shared" si="52"/>
        <v>0</v>
      </c>
      <c r="DG56" s="433" t="str">
        <f>IFERROR(VLOOKUP($A56,#REF!,2,0),"0")</f>
        <v>0</v>
      </c>
      <c r="DH56" s="432">
        <f t="shared" si="53"/>
        <v>0</v>
      </c>
      <c r="DI56" s="163" t="e">
        <f>VLOOKUP($B:$B,#REF!,29,FALSE)</f>
        <v>#REF!</v>
      </c>
      <c r="DJ56" s="432">
        <f t="shared" si="54"/>
        <v>0</v>
      </c>
      <c r="DK56" s="433" t="str">
        <f>IFERROR(VLOOKUP($A56,#REF!,2,0),"0")</f>
        <v>0</v>
      </c>
      <c r="DL56" s="432">
        <f t="shared" si="55"/>
        <v>0</v>
      </c>
      <c r="DM56" s="163" t="e">
        <f>VLOOKUP($B:$B,#REF!,30,FALSE)</f>
        <v>#REF!</v>
      </c>
      <c r="DN56" s="432">
        <f t="shared" si="56"/>
        <v>0</v>
      </c>
      <c r="DO56" s="432"/>
      <c r="DP56" s="432">
        <f t="shared" si="57"/>
        <v>0</v>
      </c>
      <c r="DQ56" s="163" t="e">
        <f>VLOOKUP($B:$B,#REF!,31,FALSE)</f>
        <v>#REF!</v>
      </c>
      <c r="DR56" s="432">
        <f t="shared" si="58"/>
        <v>0</v>
      </c>
      <c r="DS56" s="434"/>
      <c r="DT56" s="432">
        <f t="shared" si="59"/>
        <v>0</v>
      </c>
      <c r="DU56" s="163" t="e">
        <f>VLOOKUP($B:$B,#REF!,32,FALSE)</f>
        <v>#REF!</v>
      </c>
      <c r="DV56" s="432">
        <f t="shared" si="60"/>
        <v>0</v>
      </c>
      <c r="DW56" s="434"/>
      <c r="DX56" s="432">
        <f t="shared" si="61"/>
        <v>0</v>
      </c>
      <c r="DY56" s="432">
        <f t="shared" si="62"/>
        <v>0</v>
      </c>
    </row>
    <row r="57" spans="1:129" ht="15.75">
      <c r="A57" s="166" t="s">
        <v>178</v>
      </c>
      <c r="B57" s="506" t="s">
        <v>179</v>
      </c>
      <c r="C57" s="166">
        <v>501844476</v>
      </c>
      <c r="D57" s="431">
        <v>26226</v>
      </c>
      <c r="E57" s="163" t="e">
        <f>VLOOKUP($B:$B,#REF!,2,FALSE)</f>
        <v>#REF!</v>
      </c>
      <c r="F57" s="432">
        <f t="shared" si="0"/>
        <v>0</v>
      </c>
      <c r="G57" s="433" t="str">
        <f>IFERROR(VLOOKUP($A57,#REF!,2,0),"0")</f>
        <v>0</v>
      </c>
      <c r="H57" s="432">
        <f t="shared" si="66"/>
        <v>0</v>
      </c>
      <c r="I57" s="163" t="e">
        <f>VLOOKUP($B:$B,#REF!,3,FALSE)</f>
        <v>#REF!</v>
      </c>
      <c r="J57" s="432">
        <f t="shared" si="2"/>
        <v>0</v>
      </c>
      <c r="K57" s="433" t="str">
        <f>IFERROR(VLOOKUP($A57,#REF!,2,0),"0")</f>
        <v>0</v>
      </c>
      <c r="L57" s="432">
        <f t="shared" si="63"/>
        <v>0</v>
      </c>
      <c r="M57" s="163" t="e">
        <f>VLOOKUP($B:$B,#REF!,4,FALSE)</f>
        <v>#REF!</v>
      </c>
      <c r="N57" s="432">
        <f t="shared" si="4"/>
        <v>0</v>
      </c>
      <c r="O57" s="433">
        <v>3.8194444444444441E-2</v>
      </c>
      <c r="P57" s="432">
        <f t="shared" si="5"/>
        <v>3.8194444444444441E-2</v>
      </c>
      <c r="Q57" s="163" t="e">
        <f>VLOOKUP($B:$B,#REF!,5,FALSE)</f>
        <v>#REF!</v>
      </c>
      <c r="R57" s="432">
        <f t="shared" si="6"/>
        <v>0</v>
      </c>
      <c r="S57" s="433" t="str">
        <f>IFERROR(VLOOKUP($A57,#REF!,2,0),"0")</f>
        <v>0</v>
      </c>
      <c r="T57" s="432">
        <f>IF(S57-R57&lt;0,0,S57-R57)</f>
        <v>0</v>
      </c>
      <c r="U57" s="163" t="e">
        <f>VLOOKUP($B:$B,#REF!,6,FALSE)</f>
        <v>#REF!</v>
      </c>
      <c r="V57" s="432">
        <f t="shared" si="8"/>
        <v>0</v>
      </c>
      <c r="W57" s="433" t="str">
        <f>IFERROR(VLOOKUP($A57,#REF!,2,0),"0")</f>
        <v>0</v>
      </c>
      <c r="X57" s="432">
        <f t="shared" si="9"/>
        <v>0</v>
      </c>
      <c r="Y57" s="163" t="e">
        <f>VLOOKUP($B:$B,#REF!,7,FALSE)</f>
        <v>#REF!</v>
      </c>
      <c r="Z57" s="432">
        <f t="shared" si="10"/>
        <v>0</v>
      </c>
      <c r="AA57" s="433" t="str">
        <f>IFERROR(VLOOKUP($A57,#REF!,2,0),"0")</f>
        <v>0</v>
      </c>
      <c r="AB57" s="432">
        <f t="shared" si="11"/>
        <v>0</v>
      </c>
      <c r="AC57" s="163" t="e">
        <f>VLOOKUP($B:$B,#REF!,8,FALSE)</f>
        <v>#REF!</v>
      </c>
      <c r="AD57" s="432">
        <f t="shared" si="12"/>
        <v>0</v>
      </c>
      <c r="AE57" s="433" t="str">
        <f>IFERROR(VLOOKUP($A57,#REF!,2,0),"0")</f>
        <v>0</v>
      </c>
      <c r="AF57" s="432">
        <f t="shared" si="13"/>
        <v>0</v>
      </c>
      <c r="AG57" s="163" t="e">
        <f>VLOOKUP($B:$B,#REF!,9,FALSE)</f>
        <v>#REF!</v>
      </c>
      <c r="AH57" s="432">
        <f t="shared" si="14"/>
        <v>0</v>
      </c>
      <c r="AI57" s="433" t="str">
        <f>IFERROR(VLOOKUP($A57,#REF!,2,0),"0")</f>
        <v>0</v>
      </c>
      <c r="AJ57" s="432">
        <f t="shared" si="15"/>
        <v>0</v>
      </c>
      <c r="AK57" s="163" t="e">
        <f>VLOOKUP($B:$B,#REF!,10,FALSE)</f>
        <v>#REF!</v>
      </c>
      <c r="AL57" s="432">
        <f t="shared" si="16"/>
        <v>0</v>
      </c>
      <c r="AM57" s="433" t="str">
        <f>IFERROR(VLOOKUP($A57,#REF!,2,0),"0")</f>
        <v>0</v>
      </c>
      <c r="AN57" s="432">
        <f t="shared" si="17"/>
        <v>0</v>
      </c>
      <c r="AO57" s="163" t="e">
        <f>VLOOKUP($B:$B,#REF!,11,FALSE)</f>
        <v>#REF!</v>
      </c>
      <c r="AP57" s="432">
        <f t="shared" si="18"/>
        <v>0</v>
      </c>
      <c r="AQ57" s="433">
        <v>3.8194444444444441E-2</v>
      </c>
      <c r="AR57" s="432">
        <f t="shared" si="19"/>
        <v>3.8194444444444441E-2</v>
      </c>
      <c r="AS57" s="163" t="e">
        <f>VLOOKUP($B:$B,#REF!,12,FALSE)</f>
        <v>#REF!</v>
      </c>
      <c r="AT57" s="432">
        <f t="shared" si="20"/>
        <v>0</v>
      </c>
      <c r="AU57" s="433">
        <v>3.8194444444444441E-2</v>
      </c>
      <c r="AV57" s="432">
        <f t="shared" si="21"/>
        <v>3.8194444444444441E-2</v>
      </c>
      <c r="AW57" s="163" t="e">
        <f>VLOOKUP($B:$B,#REF!,13,FALSE)</f>
        <v>#REF!</v>
      </c>
      <c r="AX57" s="432">
        <f t="shared" si="22"/>
        <v>0</v>
      </c>
      <c r="AY57" s="433">
        <v>3.8194444444444441E-2</v>
      </c>
      <c r="AZ57" s="432">
        <f t="shared" si="23"/>
        <v>3.8194444444444441E-2</v>
      </c>
      <c r="BA57" s="163" t="e">
        <f>VLOOKUP($B:$B,#REF!,14,FALSE)</f>
        <v>#REF!</v>
      </c>
      <c r="BB57" s="432">
        <f t="shared" si="24"/>
        <v>0</v>
      </c>
      <c r="BC57" s="433">
        <v>3.125E-2</v>
      </c>
      <c r="BD57" s="432">
        <f t="shared" si="25"/>
        <v>3.125E-2</v>
      </c>
      <c r="BE57" s="163" t="e">
        <f>VLOOKUP($B:$B,#REF!,15,FALSE)</f>
        <v>#REF!</v>
      </c>
      <c r="BF57" s="432">
        <f t="shared" si="26"/>
        <v>0</v>
      </c>
      <c r="BG57" s="433" t="str">
        <f>IFERROR(VLOOKUP($A57,#REF!,2,0),"0")</f>
        <v>0</v>
      </c>
      <c r="BH57" s="432">
        <f t="shared" si="27"/>
        <v>0</v>
      </c>
      <c r="BI57" s="163" t="e">
        <f>VLOOKUP($B:$B,#REF!,16,FALSE)</f>
        <v>#REF!</v>
      </c>
      <c r="BJ57" s="432">
        <f t="shared" si="28"/>
        <v>0</v>
      </c>
      <c r="BK57" s="433" t="str">
        <f>IFERROR(VLOOKUP($A57,#REF!,2,0),"0")</f>
        <v>0</v>
      </c>
      <c r="BL57" s="432">
        <f t="shared" si="29"/>
        <v>0</v>
      </c>
      <c r="BM57" s="163" t="e">
        <f>VLOOKUP($B:$B,#REF!,17,FALSE)</f>
        <v>#REF!</v>
      </c>
      <c r="BN57" s="432">
        <f t="shared" si="30"/>
        <v>0</v>
      </c>
      <c r="BO57" s="433" t="str">
        <f>IFERROR(VLOOKUP($A57,#REF!,2,0),"0")</f>
        <v>0</v>
      </c>
      <c r="BP57" s="432">
        <f t="shared" si="31"/>
        <v>0</v>
      </c>
      <c r="BQ57" s="163" t="e">
        <f>VLOOKUP($B:$B,#REF!,18,FALSE)</f>
        <v>#REF!</v>
      </c>
      <c r="BR57" s="432">
        <f t="shared" si="32"/>
        <v>0</v>
      </c>
      <c r="BS57" s="433" t="str">
        <f>IFERROR(VLOOKUP($A57,#REF!,2,0),"0")</f>
        <v>0</v>
      </c>
      <c r="BT57" s="432">
        <f t="shared" si="33"/>
        <v>0</v>
      </c>
      <c r="BU57" s="163" t="e">
        <f>VLOOKUP($B:$B,#REF!,19,FALSE)</f>
        <v>#REF!</v>
      </c>
      <c r="BV57" s="432">
        <f t="shared" si="34"/>
        <v>0</v>
      </c>
      <c r="BW57" s="433" t="str">
        <f>IFERROR(VLOOKUP($A57,#REF!,2,0),"0")</f>
        <v>0</v>
      </c>
      <c r="BX57" s="432">
        <f t="shared" si="35"/>
        <v>0</v>
      </c>
      <c r="BY57" s="163" t="e">
        <f>VLOOKUP($B:$B,#REF!,20,FALSE)</f>
        <v>#REF!</v>
      </c>
      <c r="BZ57" s="432">
        <f t="shared" si="36"/>
        <v>0</v>
      </c>
      <c r="CA57" s="433" t="str">
        <f>IFERROR(VLOOKUP($A57,#REF!,2,0),"0")</f>
        <v>0</v>
      </c>
      <c r="CB57" s="432">
        <f t="shared" si="37"/>
        <v>0</v>
      </c>
      <c r="CC57" s="163" t="e">
        <f>VLOOKUP($B:$B,#REF!,21,FALSE)</f>
        <v>#REF!</v>
      </c>
      <c r="CD57" s="432">
        <f t="shared" si="38"/>
        <v>0</v>
      </c>
      <c r="CE57" s="433" t="str">
        <f>IFERROR(VLOOKUP($A57,#REF!,2,0),"0")</f>
        <v>0</v>
      </c>
      <c r="CF57" s="432">
        <f t="shared" si="39"/>
        <v>0</v>
      </c>
      <c r="CG57" s="163" t="e">
        <f>VLOOKUP($B:$B,#REF!,22,FALSE)</f>
        <v>#REF!</v>
      </c>
      <c r="CH57" s="432">
        <f t="shared" si="40"/>
        <v>0</v>
      </c>
      <c r="CI57" s="433" t="str">
        <f>IFERROR(VLOOKUP($A57,#REF!,2,0),"0")</f>
        <v>0</v>
      </c>
      <c r="CJ57" s="432">
        <f t="shared" si="41"/>
        <v>0</v>
      </c>
      <c r="CK57" s="163" t="e">
        <f>VLOOKUP($B:$B,#REF!,23,FALSE)</f>
        <v>#REF!</v>
      </c>
      <c r="CL57" s="432">
        <f t="shared" si="42"/>
        <v>0</v>
      </c>
      <c r="CM57" s="433" t="str">
        <f>IFERROR(VLOOKUP($A57,#REF!,2,0),"0")</f>
        <v>0</v>
      </c>
      <c r="CN57" s="432">
        <f t="shared" si="43"/>
        <v>0</v>
      </c>
      <c r="CO57" s="163" t="e">
        <f>VLOOKUP($B:$B,#REF!,24,FALSE)</f>
        <v>#REF!</v>
      </c>
      <c r="CP57" s="432">
        <f t="shared" si="44"/>
        <v>0</v>
      </c>
      <c r="CQ57" s="433" t="str">
        <f>IFERROR(VLOOKUP($A57,#REF!,2,0),"0")</f>
        <v>0</v>
      </c>
      <c r="CR57" s="432">
        <f t="shared" si="45"/>
        <v>0</v>
      </c>
      <c r="CS57" s="163" t="e">
        <f>VLOOKUP($B:$B,#REF!,25,FALSE)</f>
        <v>#REF!</v>
      </c>
      <c r="CT57" s="432">
        <f t="shared" si="46"/>
        <v>0</v>
      </c>
      <c r="CU57" s="433" t="str">
        <f>IFERROR(VLOOKUP($A57,#REF!,2,0),"0")</f>
        <v>0</v>
      </c>
      <c r="CV57" s="432">
        <f t="shared" si="47"/>
        <v>0</v>
      </c>
      <c r="CW57" s="163" t="e">
        <f>VLOOKUP($B:$B,#REF!,26,FALSE)</f>
        <v>#REF!</v>
      </c>
      <c r="CX57" s="432">
        <f t="shared" si="48"/>
        <v>0</v>
      </c>
      <c r="CY57" s="433" t="str">
        <f>IFERROR(VLOOKUP($A57,#REF!,2,0),"0")</f>
        <v>0</v>
      </c>
      <c r="CZ57" s="432">
        <f t="shared" si="49"/>
        <v>0</v>
      </c>
      <c r="DA57" s="163" t="e">
        <f>VLOOKUP($B:$B,#REF!,27,FALSE)</f>
        <v>#REF!</v>
      </c>
      <c r="DB57" s="432">
        <f t="shared" si="50"/>
        <v>0</v>
      </c>
      <c r="DC57" s="433" t="str">
        <f>IFERROR(VLOOKUP($A57,#REF!,2,0),"0")</f>
        <v>0</v>
      </c>
      <c r="DD57" s="432">
        <f t="shared" si="51"/>
        <v>0</v>
      </c>
      <c r="DE57" s="163" t="e">
        <f>VLOOKUP($B:$B,#REF!,28,FALSE)</f>
        <v>#REF!</v>
      </c>
      <c r="DF57" s="432">
        <f t="shared" si="52"/>
        <v>0</v>
      </c>
      <c r="DG57" s="433" t="str">
        <f>IFERROR(VLOOKUP($A57,#REF!,2,0),"0")</f>
        <v>0</v>
      </c>
      <c r="DH57" s="432">
        <f t="shared" si="53"/>
        <v>0</v>
      </c>
      <c r="DI57" s="163" t="e">
        <f>VLOOKUP($B:$B,#REF!,29,FALSE)</f>
        <v>#REF!</v>
      </c>
      <c r="DJ57" s="432">
        <f t="shared" si="54"/>
        <v>0</v>
      </c>
      <c r="DK57" s="433" t="str">
        <f>IFERROR(VLOOKUP($A57,#REF!,2,0),"0")</f>
        <v>0</v>
      </c>
      <c r="DL57" s="432">
        <f t="shared" si="55"/>
        <v>0</v>
      </c>
      <c r="DM57" s="163" t="e">
        <f>VLOOKUP($B:$B,#REF!,30,FALSE)</f>
        <v>#REF!</v>
      </c>
      <c r="DN57" s="432">
        <f t="shared" si="56"/>
        <v>0</v>
      </c>
      <c r="DO57" s="432"/>
      <c r="DP57" s="432">
        <f t="shared" si="57"/>
        <v>0</v>
      </c>
      <c r="DQ57" s="163" t="e">
        <f>VLOOKUP($B:$B,#REF!,31,FALSE)</f>
        <v>#REF!</v>
      </c>
      <c r="DR57" s="432">
        <f t="shared" si="58"/>
        <v>0</v>
      </c>
      <c r="DS57" s="434"/>
      <c r="DT57" s="432">
        <f t="shared" si="59"/>
        <v>0</v>
      </c>
      <c r="DU57" s="163" t="e">
        <f>VLOOKUP($B:$B,#REF!,32,FALSE)</f>
        <v>#REF!</v>
      </c>
      <c r="DV57" s="432">
        <f t="shared" si="60"/>
        <v>0</v>
      </c>
      <c r="DW57" s="434"/>
      <c r="DX57" s="432">
        <f t="shared" si="61"/>
        <v>0</v>
      </c>
      <c r="DY57" s="432">
        <f t="shared" si="62"/>
        <v>0.18402777777777779</v>
      </c>
    </row>
    <row r="58" spans="1:129" ht="15.75">
      <c r="A58" s="166" t="s">
        <v>181</v>
      </c>
      <c r="B58" s="506" t="s">
        <v>182</v>
      </c>
      <c r="C58" s="166">
        <v>1756030597</v>
      </c>
      <c r="D58" s="431">
        <v>36901</v>
      </c>
      <c r="E58" s="163" t="e">
        <f>VLOOKUP($B:$B,#REF!,2,FALSE)</f>
        <v>#REF!</v>
      </c>
      <c r="F58" s="432">
        <f t="shared" si="0"/>
        <v>0</v>
      </c>
      <c r="G58" s="433" t="str">
        <f>IFERROR(VLOOKUP($A58,#REF!,2,0),"0")</f>
        <v>0</v>
      </c>
      <c r="H58" s="432">
        <f t="shared" si="66"/>
        <v>0</v>
      </c>
      <c r="I58" s="163" t="e">
        <f>VLOOKUP($B:$B,#REF!,3,FALSE)</f>
        <v>#REF!</v>
      </c>
      <c r="J58" s="432">
        <f t="shared" si="2"/>
        <v>0</v>
      </c>
      <c r="K58" s="433" t="str">
        <f>IFERROR(VLOOKUP($A58,#REF!,2,0),"0")</f>
        <v>0</v>
      </c>
      <c r="L58" s="432">
        <v>0</v>
      </c>
      <c r="M58" s="163" t="e">
        <f>VLOOKUP($B:$B,#REF!,4,FALSE)</f>
        <v>#REF!</v>
      </c>
      <c r="N58" s="432">
        <f t="shared" si="4"/>
        <v>0</v>
      </c>
      <c r="O58" s="433" t="str">
        <f>IFERROR(VLOOKUP($A58,#REF!,2,0),"0")</f>
        <v>0</v>
      </c>
      <c r="P58" s="432">
        <f t="shared" si="5"/>
        <v>0</v>
      </c>
      <c r="Q58" s="163" t="e">
        <f>VLOOKUP($B:$B,#REF!,5,FALSE)</f>
        <v>#REF!</v>
      </c>
      <c r="R58" s="432">
        <f t="shared" si="6"/>
        <v>0</v>
      </c>
      <c r="S58" s="433" t="str">
        <f>IFERROR(VLOOKUP($A58,#REF!,2,0),"0")</f>
        <v>0</v>
      </c>
      <c r="T58" s="432">
        <v>0</v>
      </c>
      <c r="U58" s="163" t="e">
        <f>VLOOKUP($B:$B,#REF!,6,FALSE)</f>
        <v>#REF!</v>
      </c>
      <c r="V58" s="432">
        <f t="shared" si="8"/>
        <v>0</v>
      </c>
      <c r="W58" s="433" t="str">
        <f>IFERROR(VLOOKUP($A58,#REF!,2,0),"0")</f>
        <v>0</v>
      </c>
      <c r="X58" s="432">
        <f t="shared" si="9"/>
        <v>0</v>
      </c>
      <c r="Y58" s="163" t="e">
        <f>VLOOKUP($B:$B,#REF!,7,FALSE)</f>
        <v>#REF!</v>
      </c>
      <c r="Z58" s="432">
        <f t="shared" si="10"/>
        <v>0</v>
      </c>
      <c r="AA58" s="433" t="str">
        <f>IFERROR(VLOOKUP($A58,#REF!,2,0),"0")</f>
        <v>0</v>
      </c>
      <c r="AB58" s="432">
        <f t="shared" si="11"/>
        <v>0</v>
      </c>
      <c r="AC58" s="163" t="e">
        <f>VLOOKUP($B:$B,#REF!,7,FALSE)</f>
        <v>#REF!</v>
      </c>
      <c r="AD58" s="432">
        <f t="shared" si="12"/>
        <v>0</v>
      </c>
      <c r="AE58" s="433" t="str">
        <f>IFERROR(VLOOKUP($A58,#REF!,2,0),"0")</f>
        <v>0</v>
      </c>
      <c r="AF58" s="432">
        <f t="shared" si="13"/>
        <v>0</v>
      </c>
      <c r="AG58" s="163" t="e">
        <f>VLOOKUP($B:$B,#REF!,9,FALSE)</f>
        <v>#REF!</v>
      </c>
      <c r="AH58" s="432">
        <f t="shared" si="14"/>
        <v>0</v>
      </c>
      <c r="AI58" s="433" t="str">
        <f>IFERROR(VLOOKUP($A58,#REF!,2,0),"0")</f>
        <v>0</v>
      </c>
      <c r="AJ58" s="432">
        <f t="shared" si="15"/>
        <v>0</v>
      </c>
      <c r="AK58" s="163" t="e">
        <f>VLOOKUP($B:$B,#REF!,10,FALSE)</f>
        <v>#REF!</v>
      </c>
      <c r="AL58" s="432">
        <f t="shared" si="16"/>
        <v>0</v>
      </c>
      <c r="AM58" s="433" t="str">
        <f>IFERROR(VLOOKUP($A58,#REF!,2,0),"0")</f>
        <v>0</v>
      </c>
      <c r="AN58" s="432">
        <f t="shared" si="17"/>
        <v>0</v>
      </c>
      <c r="AO58" s="163" t="e">
        <f>VLOOKUP($B:$B,#REF!,11,FALSE)</f>
        <v>#REF!</v>
      </c>
      <c r="AP58" s="432">
        <f t="shared" si="18"/>
        <v>0</v>
      </c>
      <c r="AQ58" s="433" t="str">
        <f>IFERROR(VLOOKUP($A58,#REF!,2,0),"0")</f>
        <v>0</v>
      </c>
      <c r="AR58" s="432">
        <f t="shared" si="19"/>
        <v>0</v>
      </c>
      <c r="AS58" s="163" t="e">
        <f>VLOOKUP($B:$B,#REF!,12,FALSE)</f>
        <v>#REF!</v>
      </c>
      <c r="AT58" s="432">
        <f t="shared" si="20"/>
        <v>0</v>
      </c>
      <c r="AU58" s="433" t="str">
        <f>IFERROR(VLOOKUP($A58,#REF!,2,0),"0")</f>
        <v>0</v>
      </c>
      <c r="AV58" s="432">
        <f t="shared" si="21"/>
        <v>0</v>
      </c>
      <c r="AW58" s="163" t="e">
        <f>VLOOKUP($B:$B,#REF!,13,FALSE)</f>
        <v>#REF!</v>
      </c>
      <c r="AX58" s="432">
        <f t="shared" si="22"/>
        <v>0</v>
      </c>
      <c r="AY58" s="433" t="str">
        <f>IFERROR(VLOOKUP($A58,#REF!,2,0),"0")</f>
        <v>0</v>
      </c>
      <c r="AZ58" s="432">
        <f t="shared" si="23"/>
        <v>0</v>
      </c>
      <c r="BA58" s="163" t="e">
        <f>VLOOKUP($B:$B,#REF!,14,FALSE)</f>
        <v>#REF!</v>
      </c>
      <c r="BB58" s="432">
        <f t="shared" si="24"/>
        <v>0</v>
      </c>
      <c r="BC58" s="433" t="str">
        <f>IFERROR(VLOOKUP($A58,#REF!,2,0),"0")</f>
        <v>0</v>
      </c>
      <c r="BD58" s="432">
        <f t="shared" si="25"/>
        <v>0</v>
      </c>
      <c r="BE58" s="163" t="e">
        <f>VLOOKUP($B:$B,#REF!,15,FALSE)</f>
        <v>#REF!</v>
      </c>
      <c r="BF58" s="432">
        <f t="shared" si="26"/>
        <v>0</v>
      </c>
      <c r="BG58" s="433" t="str">
        <f>IFERROR(VLOOKUP($A58,#REF!,2,0),"0")</f>
        <v>0</v>
      </c>
      <c r="BH58" s="432">
        <f t="shared" si="27"/>
        <v>0</v>
      </c>
      <c r="BI58" s="163" t="e">
        <f>VLOOKUP($B:$B,#REF!,16,FALSE)</f>
        <v>#REF!</v>
      </c>
      <c r="BJ58" s="432">
        <f t="shared" si="28"/>
        <v>0</v>
      </c>
      <c r="BK58" s="433" t="str">
        <f>IFERROR(VLOOKUP($A58,#REF!,2,0),"0")</f>
        <v>0</v>
      </c>
      <c r="BL58" s="432">
        <f t="shared" si="29"/>
        <v>0</v>
      </c>
      <c r="BM58" s="163" t="e">
        <f>VLOOKUP($B:$B,#REF!,17,FALSE)</f>
        <v>#REF!</v>
      </c>
      <c r="BN58" s="432">
        <f t="shared" si="30"/>
        <v>0</v>
      </c>
      <c r="BO58" s="432">
        <f t="shared" si="30"/>
        <v>0</v>
      </c>
      <c r="BP58" s="432">
        <f t="shared" si="31"/>
        <v>0</v>
      </c>
      <c r="BQ58" s="163" t="e">
        <f>VLOOKUP($B:$B,#REF!,18,FALSE)</f>
        <v>#REF!</v>
      </c>
      <c r="BR58" s="432">
        <f t="shared" si="32"/>
        <v>0</v>
      </c>
      <c r="BS58" s="433" t="str">
        <f>IFERROR(VLOOKUP($A58,#REF!,2,0),"0")</f>
        <v>0</v>
      </c>
      <c r="BT58" s="432">
        <f t="shared" si="33"/>
        <v>0</v>
      </c>
      <c r="BU58" s="163" t="e">
        <f>VLOOKUP($B:$B,#REF!,19,FALSE)</f>
        <v>#REF!</v>
      </c>
      <c r="BV58" s="432">
        <f t="shared" si="34"/>
        <v>0</v>
      </c>
      <c r="BW58" s="433" t="str">
        <f>IFERROR(VLOOKUP($A58,#REF!,2,0),"0")</f>
        <v>0</v>
      </c>
      <c r="BX58" s="432">
        <f t="shared" si="35"/>
        <v>0</v>
      </c>
      <c r="BY58" s="163" t="e">
        <f>VLOOKUP($B:$B,#REF!,20,FALSE)</f>
        <v>#REF!</v>
      </c>
      <c r="BZ58" s="432">
        <f t="shared" si="36"/>
        <v>0</v>
      </c>
      <c r="CA58" s="433" t="str">
        <f>IFERROR(VLOOKUP($A58,#REF!,2,0),"0")</f>
        <v>0</v>
      </c>
      <c r="CB58" s="432">
        <f t="shared" si="37"/>
        <v>0</v>
      </c>
      <c r="CC58" s="163" t="e">
        <f>VLOOKUP($B:$B,#REF!,21,FALSE)</f>
        <v>#REF!</v>
      </c>
      <c r="CD58" s="432">
        <f t="shared" si="38"/>
        <v>0</v>
      </c>
      <c r="CE58" s="433" t="str">
        <f>IFERROR(VLOOKUP($A58,#REF!,2,0),"0")</f>
        <v>0</v>
      </c>
      <c r="CF58" s="432">
        <f t="shared" si="39"/>
        <v>0</v>
      </c>
      <c r="CG58" s="163" t="e">
        <f>VLOOKUP($B:$B,#REF!,22,FALSE)</f>
        <v>#REF!</v>
      </c>
      <c r="CH58" s="432">
        <f t="shared" si="40"/>
        <v>0</v>
      </c>
      <c r="CI58" s="433" t="str">
        <f>IFERROR(VLOOKUP($A58,#REF!,2,0),"0")</f>
        <v>0</v>
      </c>
      <c r="CJ58" s="432">
        <f t="shared" si="41"/>
        <v>0</v>
      </c>
      <c r="CK58" s="163" t="e">
        <f>VLOOKUP($B:$B,#REF!,23,FALSE)</f>
        <v>#REF!</v>
      </c>
      <c r="CL58" s="432">
        <f t="shared" si="42"/>
        <v>0</v>
      </c>
      <c r="CM58" s="433" t="str">
        <f>IFERROR(VLOOKUP($A58,#REF!,2,0),"0")</f>
        <v>0</v>
      </c>
      <c r="CN58" s="432">
        <f t="shared" si="43"/>
        <v>0</v>
      </c>
      <c r="CO58" s="163" t="e">
        <f>VLOOKUP($B:$B,#REF!,24,FALSE)</f>
        <v>#REF!</v>
      </c>
      <c r="CP58" s="432">
        <f t="shared" si="44"/>
        <v>0</v>
      </c>
      <c r="CQ58" s="433" t="str">
        <f>IFERROR(VLOOKUP($A58,#REF!,2,0),"0")</f>
        <v>0</v>
      </c>
      <c r="CR58" s="432">
        <f t="shared" si="45"/>
        <v>0</v>
      </c>
      <c r="CS58" s="163" t="e">
        <f>VLOOKUP($B:$B,#REF!,25,FALSE)</f>
        <v>#REF!</v>
      </c>
      <c r="CT58" s="432">
        <f t="shared" si="46"/>
        <v>0</v>
      </c>
      <c r="CU58" s="433" t="str">
        <f>IFERROR(VLOOKUP($A58,#REF!,2,0),"0")</f>
        <v>0</v>
      </c>
      <c r="CV58" s="432">
        <f t="shared" si="47"/>
        <v>0</v>
      </c>
      <c r="CW58" s="163" t="e">
        <f>VLOOKUP($B:$B,#REF!,26,FALSE)</f>
        <v>#REF!</v>
      </c>
      <c r="CX58" s="432">
        <f t="shared" si="48"/>
        <v>0</v>
      </c>
      <c r="CY58" s="433" t="str">
        <f>IFERROR(VLOOKUP($A58,#REF!,2,0),"0")</f>
        <v>0</v>
      </c>
      <c r="CZ58" s="432">
        <f t="shared" si="49"/>
        <v>0</v>
      </c>
      <c r="DA58" s="163" t="e">
        <f>VLOOKUP($B:$B,#REF!,27,FALSE)</f>
        <v>#REF!</v>
      </c>
      <c r="DB58" s="432">
        <f t="shared" si="50"/>
        <v>0</v>
      </c>
      <c r="DC58" s="433" t="str">
        <f>IFERROR(VLOOKUP($A58,#REF!,2,0),"0")</f>
        <v>0</v>
      </c>
      <c r="DD58" s="432">
        <f t="shared" si="51"/>
        <v>0</v>
      </c>
      <c r="DE58" s="163" t="e">
        <f>VLOOKUP($B:$B,#REF!,28,FALSE)</f>
        <v>#REF!</v>
      </c>
      <c r="DF58" s="432">
        <f t="shared" si="52"/>
        <v>0</v>
      </c>
      <c r="DG58" s="433" t="str">
        <f>IFERROR(VLOOKUP($A58,#REF!,2,0),"0")</f>
        <v>0</v>
      </c>
      <c r="DH58" s="432">
        <f t="shared" si="53"/>
        <v>0</v>
      </c>
      <c r="DI58" s="163" t="e">
        <f>VLOOKUP($B:$B,#REF!,29,FALSE)</f>
        <v>#REF!</v>
      </c>
      <c r="DJ58" s="432">
        <f t="shared" si="54"/>
        <v>0</v>
      </c>
      <c r="DK58" s="433" t="str">
        <f>IFERROR(VLOOKUP($A58,#REF!,2,0),"0")</f>
        <v>0</v>
      </c>
      <c r="DL58" s="432">
        <f t="shared" si="55"/>
        <v>0</v>
      </c>
      <c r="DM58" s="163" t="e">
        <f>VLOOKUP($B:$B,#REF!,30,FALSE)</f>
        <v>#REF!</v>
      </c>
      <c r="DN58" s="432">
        <f t="shared" si="56"/>
        <v>0</v>
      </c>
      <c r="DO58" s="432"/>
      <c r="DP58" s="432">
        <f t="shared" si="57"/>
        <v>0</v>
      </c>
      <c r="DQ58" s="163" t="e">
        <f>VLOOKUP($B:$B,#REF!,31,FALSE)</f>
        <v>#REF!</v>
      </c>
      <c r="DR58" s="432">
        <f t="shared" si="58"/>
        <v>0</v>
      </c>
      <c r="DS58" s="434"/>
      <c r="DT58" s="432">
        <f t="shared" si="59"/>
        <v>0</v>
      </c>
      <c r="DU58" s="163" t="e">
        <f>VLOOKUP($B:$B,#REF!,32,FALSE)</f>
        <v>#REF!</v>
      </c>
      <c r="DV58" s="432">
        <f t="shared" si="60"/>
        <v>0</v>
      </c>
      <c r="DW58" s="434"/>
      <c r="DX58" s="432">
        <f t="shared" si="61"/>
        <v>0</v>
      </c>
      <c r="DY58" s="432">
        <f t="shared" si="62"/>
        <v>0</v>
      </c>
    </row>
    <row r="59" spans="1:129" ht="15.75">
      <c r="A59" s="166" t="s">
        <v>107</v>
      </c>
      <c r="B59" s="506" t="s">
        <v>108</v>
      </c>
      <c r="C59" s="166">
        <v>1725405540</v>
      </c>
      <c r="D59" s="431">
        <v>37035</v>
      </c>
      <c r="E59" s="163" t="e">
        <f>VLOOKUP($B:$B,#REF!,2,FALSE)</f>
        <v>#REF!</v>
      </c>
      <c r="F59" s="432">
        <f t="shared" si="0"/>
        <v>0</v>
      </c>
      <c r="G59" s="433" t="str">
        <f>IFERROR(VLOOKUP($A59,#REF!,2,0),"0")</f>
        <v>0</v>
      </c>
      <c r="H59" s="432">
        <f t="shared" si="66"/>
        <v>0</v>
      </c>
      <c r="I59" s="163" t="e">
        <f>VLOOKUP($B:$B,#REF!,3,FALSE)</f>
        <v>#REF!</v>
      </c>
      <c r="J59" s="432">
        <f t="shared" si="2"/>
        <v>0</v>
      </c>
      <c r="K59" s="433" t="str">
        <f>IFERROR(VLOOKUP($A59,#REF!,2,0),"0")</f>
        <v>0</v>
      </c>
      <c r="L59" s="432">
        <f t="shared" ref="L59:L62" si="68">IF(K59-J59&lt;0,0,K59-J59)</f>
        <v>0</v>
      </c>
      <c r="M59" s="163" t="e">
        <f>VLOOKUP($B:$B,#REF!,4,FALSE)</f>
        <v>#REF!</v>
      </c>
      <c r="N59" s="432">
        <f t="shared" si="4"/>
        <v>0</v>
      </c>
      <c r="O59" s="433" t="str">
        <f>IFERROR(VLOOKUP($A59,#REF!,2,0),"0")</f>
        <v>0</v>
      </c>
      <c r="P59" s="432">
        <f t="shared" si="5"/>
        <v>0</v>
      </c>
      <c r="Q59" s="163" t="e">
        <f>VLOOKUP($B:$B,#REF!,5,FALSE)</f>
        <v>#REF!</v>
      </c>
      <c r="R59" s="432">
        <f t="shared" si="6"/>
        <v>0</v>
      </c>
      <c r="S59" s="433" t="str">
        <f>IFERROR(VLOOKUP($A59,#REF!,2,0),"0")</f>
        <v>0</v>
      </c>
      <c r="T59" s="432">
        <f t="shared" ref="T59:T62" si="69">IF(S59-R59&lt;0,0,S59-R59)</f>
        <v>0</v>
      </c>
      <c r="U59" s="163" t="e">
        <f>VLOOKUP($B:$B,#REF!,6,FALSE)</f>
        <v>#REF!</v>
      </c>
      <c r="V59" s="432">
        <f t="shared" si="8"/>
        <v>0</v>
      </c>
      <c r="W59" s="433" t="str">
        <f>IFERROR(VLOOKUP($A59,#REF!,2,0),"0")</f>
        <v>0</v>
      </c>
      <c r="X59" s="432">
        <f t="shared" si="9"/>
        <v>0</v>
      </c>
      <c r="Y59" s="163" t="e">
        <f>VLOOKUP($B:$B,#REF!,7,FALSE)</f>
        <v>#REF!</v>
      </c>
      <c r="Z59" s="432">
        <f t="shared" si="10"/>
        <v>0</v>
      </c>
      <c r="AA59" s="433" t="str">
        <f>IFERROR(VLOOKUP($A59,#REF!,2,0),"0")</f>
        <v>0</v>
      </c>
      <c r="AB59" s="432">
        <f t="shared" si="11"/>
        <v>0</v>
      </c>
      <c r="AC59" s="163" t="e">
        <f>VLOOKUP($B:$B,#REF!,8,FALSE)</f>
        <v>#REF!</v>
      </c>
      <c r="AD59" s="432">
        <f t="shared" si="12"/>
        <v>0</v>
      </c>
      <c r="AE59" s="433" t="str">
        <f>IFERROR(VLOOKUP($A59,#REF!,2,0),"0")</f>
        <v>0</v>
      </c>
      <c r="AF59" s="432">
        <f t="shared" si="13"/>
        <v>0</v>
      </c>
      <c r="AG59" s="163" t="e">
        <f>VLOOKUP($B:$B,#REF!,9,FALSE)</f>
        <v>#REF!</v>
      </c>
      <c r="AH59" s="432">
        <f t="shared" si="14"/>
        <v>0</v>
      </c>
      <c r="AI59" s="433" t="str">
        <f>IFERROR(VLOOKUP($A59,#REF!,2,0),"0")</f>
        <v>0</v>
      </c>
      <c r="AJ59" s="432">
        <f t="shared" si="15"/>
        <v>0</v>
      </c>
      <c r="AK59" s="163" t="e">
        <f>VLOOKUP($B:$B,#REF!,10,FALSE)</f>
        <v>#REF!</v>
      </c>
      <c r="AL59" s="432">
        <f t="shared" si="16"/>
        <v>0</v>
      </c>
      <c r="AM59" s="433" t="str">
        <f>IFERROR(VLOOKUP($A59,#REF!,2,0),"0")</f>
        <v>0</v>
      </c>
      <c r="AN59" s="432">
        <f t="shared" si="17"/>
        <v>0</v>
      </c>
      <c r="AO59" s="163" t="e">
        <f>VLOOKUP($B:$B,#REF!,11,FALSE)</f>
        <v>#REF!</v>
      </c>
      <c r="AP59" s="432">
        <f t="shared" si="18"/>
        <v>0</v>
      </c>
      <c r="AQ59" s="433" t="str">
        <f>IFERROR(VLOOKUP($A59,#REF!,2,0),"0")</f>
        <v>0</v>
      </c>
      <c r="AR59" s="432">
        <f t="shared" si="19"/>
        <v>0</v>
      </c>
      <c r="AS59" s="163" t="e">
        <f>VLOOKUP($B:$B,#REF!,12,FALSE)</f>
        <v>#REF!</v>
      </c>
      <c r="AT59" s="432">
        <f t="shared" si="20"/>
        <v>0</v>
      </c>
      <c r="AU59" s="433" t="str">
        <f>IFERROR(VLOOKUP($A59,#REF!,2,0),"0")</f>
        <v>0</v>
      </c>
      <c r="AV59" s="432">
        <f t="shared" si="21"/>
        <v>0</v>
      </c>
      <c r="AW59" s="163" t="e">
        <f>VLOOKUP($B:$B,#REF!,13,FALSE)</f>
        <v>#REF!</v>
      </c>
      <c r="AX59" s="432">
        <f t="shared" si="22"/>
        <v>0</v>
      </c>
      <c r="AY59" s="433" t="str">
        <f>IFERROR(VLOOKUP($A59,#REF!,2,0),"0")</f>
        <v>0</v>
      </c>
      <c r="AZ59" s="432">
        <f t="shared" si="23"/>
        <v>0</v>
      </c>
      <c r="BA59" s="163" t="e">
        <f>VLOOKUP($B:$B,#REF!,14,FALSE)</f>
        <v>#REF!</v>
      </c>
      <c r="BB59" s="432">
        <f t="shared" si="24"/>
        <v>0</v>
      </c>
      <c r="BC59" s="433" t="str">
        <f>IFERROR(VLOOKUP($A59,#REF!,2,0),"0")</f>
        <v>0</v>
      </c>
      <c r="BD59" s="432">
        <f t="shared" si="25"/>
        <v>0</v>
      </c>
      <c r="BE59" s="163" t="e">
        <f>VLOOKUP($B:$B,#REF!,15,FALSE)</f>
        <v>#REF!</v>
      </c>
      <c r="BF59" s="432">
        <f t="shared" si="26"/>
        <v>0</v>
      </c>
      <c r="BG59" s="433" t="str">
        <f>IFERROR(VLOOKUP($A59,#REF!,2,0),"0")</f>
        <v>0</v>
      </c>
      <c r="BH59" s="432">
        <f t="shared" si="27"/>
        <v>0</v>
      </c>
      <c r="BI59" s="163" t="e">
        <f>VLOOKUP($B:$B,#REF!,16,FALSE)</f>
        <v>#REF!</v>
      </c>
      <c r="BJ59" s="432">
        <f t="shared" si="28"/>
        <v>0</v>
      </c>
      <c r="BK59" s="433" t="str">
        <f>IFERROR(VLOOKUP($A59,#REF!,2,0),"0")</f>
        <v>0</v>
      </c>
      <c r="BL59" s="432">
        <f t="shared" si="29"/>
        <v>0</v>
      </c>
      <c r="BM59" s="163" t="e">
        <f>VLOOKUP($B:$B,#REF!,17,FALSE)</f>
        <v>#REF!</v>
      </c>
      <c r="BN59" s="432">
        <f t="shared" si="30"/>
        <v>0</v>
      </c>
      <c r="BO59" s="433">
        <v>0</v>
      </c>
      <c r="BP59" s="432">
        <f t="shared" si="31"/>
        <v>0</v>
      </c>
      <c r="BQ59" s="163" t="e">
        <f>VLOOKUP($B:$B,#REF!,18,FALSE)</f>
        <v>#REF!</v>
      </c>
      <c r="BR59" s="432">
        <f t="shared" si="32"/>
        <v>0</v>
      </c>
      <c r="BS59" s="433" t="str">
        <f>IFERROR(VLOOKUP($A59,#REF!,2,0),"0")</f>
        <v>0</v>
      </c>
      <c r="BT59" s="432">
        <f t="shared" si="33"/>
        <v>0</v>
      </c>
      <c r="BU59" s="163" t="e">
        <f>VLOOKUP($B:$B,#REF!,19,FALSE)</f>
        <v>#REF!</v>
      </c>
      <c r="BV59" s="432">
        <f t="shared" si="34"/>
        <v>0</v>
      </c>
      <c r="BW59" s="433">
        <v>3.125E-2</v>
      </c>
      <c r="BX59" s="432">
        <f t="shared" si="35"/>
        <v>3.125E-2</v>
      </c>
      <c r="BY59" s="163" t="e">
        <f>VLOOKUP($B:$B,#REF!,20,FALSE)</f>
        <v>#REF!</v>
      </c>
      <c r="BZ59" s="432">
        <f t="shared" si="36"/>
        <v>0</v>
      </c>
      <c r="CA59" s="433" t="str">
        <f>IFERROR(VLOOKUP($A59,#REF!,2,0),"0")</f>
        <v>0</v>
      </c>
      <c r="CB59" s="432">
        <f t="shared" si="37"/>
        <v>0</v>
      </c>
      <c r="CC59" s="163" t="e">
        <f>VLOOKUP($B:$B,#REF!,21,FALSE)</f>
        <v>#REF!</v>
      </c>
      <c r="CD59" s="432">
        <f t="shared" si="38"/>
        <v>0</v>
      </c>
      <c r="CE59" s="433" t="str">
        <f>IFERROR(VLOOKUP($A59,#REF!,2,0),"0")</f>
        <v>0</v>
      </c>
      <c r="CF59" s="432">
        <f t="shared" si="39"/>
        <v>0</v>
      </c>
      <c r="CG59" s="163" t="e">
        <f>VLOOKUP($B:$B,#REF!,22,FALSE)</f>
        <v>#REF!</v>
      </c>
      <c r="CH59" s="432">
        <f t="shared" si="40"/>
        <v>0</v>
      </c>
      <c r="CI59" s="433" t="str">
        <f>IFERROR(VLOOKUP($A59,#REF!,2,0),"0")</f>
        <v>0</v>
      </c>
      <c r="CJ59" s="432">
        <f t="shared" si="41"/>
        <v>0</v>
      </c>
      <c r="CK59" s="163" t="e">
        <f>VLOOKUP($B:$B,#REF!,23,FALSE)</f>
        <v>#REF!</v>
      </c>
      <c r="CL59" s="432">
        <f t="shared" si="42"/>
        <v>0</v>
      </c>
      <c r="CM59" s="433" t="str">
        <f>IFERROR(VLOOKUP($A59,#REF!,2,0),"0")</f>
        <v>0</v>
      </c>
      <c r="CN59" s="432">
        <f t="shared" si="43"/>
        <v>0</v>
      </c>
      <c r="CO59" s="163" t="e">
        <f>VLOOKUP($B:$B,#REF!,24,FALSE)</f>
        <v>#REF!</v>
      </c>
      <c r="CP59" s="432">
        <f t="shared" si="44"/>
        <v>0</v>
      </c>
      <c r="CQ59" s="433" t="str">
        <f>IFERROR(VLOOKUP($A59,#REF!,2,0),"0")</f>
        <v>0</v>
      </c>
      <c r="CR59" s="432">
        <f t="shared" si="45"/>
        <v>0</v>
      </c>
      <c r="CS59" s="163" t="e">
        <f>VLOOKUP($B:$B,#REF!,25,FALSE)</f>
        <v>#REF!</v>
      </c>
      <c r="CT59" s="432">
        <f t="shared" si="46"/>
        <v>0</v>
      </c>
      <c r="CU59" s="433" t="str">
        <f>IFERROR(VLOOKUP($A59,#REF!,2,0),"0")</f>
        <v>0</v>
      </c>
      <c r="CV59" s="432">
        <f t="shared" si="47"/>
        <v>0</v>
      </c>
      <c r="CW59" s="163" t="e">
        <f>VLOOKUP($B:$B,#REF!,26,FALSE)</f>
        <v>#REF!</v>
      </c>
      <c r="CX59" s="432">
        <f t="shared" si="48"/>
        <v>0</v>
      </c>
      <c r="CY59" s="433" t="str">
        <f>IFERROR(VLOOKUP($A59,#REF!,2,0),"0")</f>
        <v>0</v>
      </c>
      <c r="CZ59" s="432">
        <f t="shared" si="49"/>
        <v>0</v>
      </c>
      <c r="DA59" s="163" t="e">
        <f>VLOOKUP($B:$B,#REF!,27,FALSE)</f>
        <v>#REF!</v>
      </c>
      <c r="DB59" s="432">
        <f t="shared" si="50"/>
        <v>0</v>
      </c>
      <c r="DC59" s="433" t="str">
        <f>IFERROR(VLOOKUP($A59,#REF!,2,0),"0")</f>
        <v>0</v>
      </c>
      <c r="DD59" s="432">
        <f t="shared" si="51"/>
        <v>0</v>
      </c>
      <c r="DE59" s="163" t="e">
        <f>VLOOKUP($B:$B,#REF!,28,FALSE)</f>
        <v>#REF!</v>
      </c>
      <c r="DF59" s="432">
        <f t="shared" si="52"/>
        <v>0</v>
      </c>
      <c r="DG59" s="433" t="str">
        <f>IFERROR(VLOOKUP($A59,#REF!,2,0),"0")</f>
        <v>0</v>
      </c>
      <c r="DH59" s="432">
        <f t="shared" si="53"/>
        <v>0</v>
      </c>
      <c r="DI59" s="163" t="e">
        <f>VLOOKUP($B:$B,#REF!,29,FALSE)</f>
        <v>#REF!</v>
      </c>
      <c r="DJ59" s="432">
        <f t="shared" si="54"/>
        <v>0</v>
      </c>
      <c r="DK59" s="433" t="str">
        <f>IFERROR(VLOOKUP($A59,#REF!,2,0),"0")</f>
        <v>0</v>
      </c>
      <c r="DL59" s="432">
        <f t="shared" si="55"/>
        <v>0</v>
      </c>
      <c r="DM59" s="163" t="e">
        <f>VLOOKUP($B:$B,#REF!,30,FALSE)</f>
        <v>#REF!</v>
      </c>
      <c r="DN59" s="432">
        <f t="shared" si="56"/>
        <v>0</v>
      </c>
      <c r="DO59" s="432"/>
      <c r="DP59" s="432">
        <f t="shared" si="57"/>
        <v>0</v>
      </c>
      <c r="DQ59" s="163" t="e">
        <f>VLOOKUP($B:$B,#REF!,31,FALSE)</f>
        <v>#REF!</v>
      </c>
      <c r="DR59" s="432">
        <f t="shared" si="58"/>
        <v>0</v>
      </c>
      <c r="DS59" s="434"/>
      <c r="DT59" s="432">
        <f t="shared" si="59"/>
        <v>0</v>
      </c>
      <c r="DU59" s="163" t="e">
        <f>VLOOKUP($B:$B,#REF!,32,FALSE)</f>
        <v>#REF!</v>
      </c>
      <c r="DV59" s="432">
        <f t="shared" si="60"/>
        <v>0</v>
      </c>
      <c r="DW59" s="434"/>
      <c r="DX59" s="432">
        <f t="shared" si="61"/>
        <v>0</v>
      </c>
      <c r="DY59" s="432">
        <f t="shared" si="62"/>
        <v>3.125E-2</v>
      </c>
    </row>
    <row r="60" spans="1:129" ht="15.75">
      <c r="A60" s="166" t="s">
        <v>167</v>
      </c>
      <c r="B60" s="506" t="s">
        <v>144</v>
      </c>
      <c r="C60" s="166">
        <v>1729371052</v>
      </c>
      <c r="D60" s="431">
        <v>38299</v>
      </c>
      <c r="E60" s="163" t="e">
        <f>VLOOKUP($B:$B,#REF!,2,FALSE)</f>
        <v>#REF!</v>
      </c>
      <c r="F60" s="432">
        <f t="shared" si="0"/>
        <v>0</v>
      </c>
      <c r="G60" s="433"/>
      <c r="H60" s="432">
        <f t="shared" si="66"/>
        <v>0</v>
      </c>
      <c r="I60" s="163" t="e">
        <f>VLOOKUP($B:$B,#REF!,3,FALSE)</f>
        <v>#REF!</v>
      </c>
      <c r="J60" s="432">
        <f t="shared" si="2"/>
        <v>0</v>
      </c>
      <c r="K60" s="433" t="str">
        <f>IFERROR(VLOOKUP($A60,#REF!,2,0),"0")</f>
        <v>0</v>
      </c>
      <c r="L60" s="432">
        <f t="shared" si="68"/>
        <v>0</v>
      </c>
      <c r="M60" s="163" t="e">
        <f>VLOOKUP($B:$B,#REF!,4,FALSE)</f>
        <v>#REF!</v>
      </c>
      <c r="N60" s="432">
        <f t="shared" si="4"/>
        <v>0</v>
      </c>
      <c r="O60" s="433" t="str">
        <f>IFERROR(VLOOKUP($A60,#REF!,2,0),"0")</f>
        <v>0</v>
      </c>
      <c r="P60" s="432">
        <f t="shared" si="5"/>
        <v>0</v>
      </c>
      <c r="Q60" s="163" t="e">
        <f>VLOOKUP($B:$B,#REF!,5,FALSE)</f>
        <v>#REF!</v>
      </c>
      <c r="R60" s="432">
        <f t="shared" si="6"/>
        <v>0</v>
      </c>
      <c r="S60" s="433" t="str">
        <f>IFERROR(VLOOKUP($A60,#REF!,2,0),"0")</f>
        <v>0</v>
      </c>
      <c r="T60" s="432">
        <f t="shared" si="69"/>
        <v>0</v>
      </c>
      <c r="U60" s="163" t="e">
        <f>VLOOKUP($B:$B,#REF!,6,FALSE)</f>
        <v>#REF!</v>
      </c>
      <c r="V60" s="432">
        <f t="shared" si="8"/>
        <v>0</v>
      </c>
      <c r="W60" s="433" t="str">
        <f>IFERROR(VLOOKUP($A60,#REF!,2,0),"0")</f>
        <v>0</v>
      </c>
      <c r="X60" s="432">
        <f t="shared" si="9"/>
        <v>0</v>
      </c>
      <c r="Y60" s="163" t="e">
        <f>VLOOKUP($B:$B,#REF!,7,FALSE)</f>
        <v>#REF!</v>
      </c>
      <c r="Z60" s="432">
        <f t="shared" si="10"/>
        <v>0</v>
      </c>
      <c r="AA60" s="433" t="str">
        <f>IFERROR(VLOOKUP($A60,#REF!,2,0),"0")</f>
        <v>0</v>
      </c>
      <c r="AB60" s="432">
        <f t="shared" si="11"/>
        <v>0</v>
      </c>
      <c r="AC60" s="163" t="e">
        <f>VLOOKUP($B:$B,#REF!,8,FALSE)</f>
        <v>#REF!</v>
      </c>
      <c r="AD60" s="432">
        <f t="shared" si="12"/>
        <v>0</v>
      </c>
      <c r="AE60" s="433" t="str">
        <f>IFERROR(VLOOKUP($A60,#REF!,2,0),"0")</f>
        <v>0</v>
      </c>
      <c r="AF60" s="432">
        <f t="shared" si="13"/>
        <v>0</v>
      </c>
      <c r="AG60" s="163" t="e">
        <f>VLOOKUP($B:$B,#REF!,9,FALSE)</f>
        <v>#REF!</v>
      </c>
      <c r="AH60" s="432">
        <f t="shared" si="14"/>
        <v>0</v>
      </c>
      <c r="AI60" s="433" t="str">
        <f>IFERROR(VLOOKUP($A60,#REF!,2,0),"0")</f>
        <v>0</v>
      </c>
      <c r="AJ60" s="432">
        <f t="shared" si="15"/>
        <v>0</v>
      </c>
      <c r="AK60" s="163" t="e">
        <f>VLOOKUP($B:$B,#REF!,10,FALSE)</f>
        <v>#REF!</v>
      </c>
      <c r="AL60" s="432">
        <f t="shared" si="16"/>
        <v>0</v>
      </c>
      <c r="AM60" s="433" t="str">
        <f>IFERROR(VLOOKUP($A60,#REF!,2,0),"0")</f>
        <v>0</v>
      </c>
      <c r="AN60" s="432">
        <f t="shared" si="17"/>
        <v>0</v>
      </c>
      <c r="AO60" s="163" t="e">
        <f>VLOOKUP($B:$B,#REF!,11,FALSE)</f>
        <v>#REF!</v>
      </c>
      <c r="AP60" s="432">
        <f t="shared" si="18"/>
        <v>0</v>
      </c>
      <c r="AQ60" s="433" t="str">
        <f>IFERROR(VLOOKUP($A60,#REF!,2,0),"0")</f>
        <v>0</v>
      </c>
      <c r="AR60" s="432">
        <f t="shared" si="19"/>
        <v>0</v>
      </c>
      <c r="AS60" s="163" t="e">
        <f>VLOOKUP($B:$B,#REF!,12,FALSE)</f>
        <v>#REF!</v>
      </c>
      <c r="AT60" s="432">
        <f t="shared" si="20"/>
        <v>0</v>
      </c>
      <c r="AU60" s="433" t="str">
        <f>IFERROR(VLOOKUP($A60,#REF!,2,0),"0")</f>
        <v>0</v>
      </c>
      <c r="AV60" s="432">
        <f t="shared" si="21"/>
        <v>0</v>
      </c>
      <c r="AW60" s="163" t="e">
        <f>VLOOKUP($B:$B,#REF!,13,FALSE)</f>
        <v>#REF!</v>
      </c>
      <c r="AX60" s="432">
        <f t="shared" si="22"/>
        <v>0</v>
      </c>
      <c r="AY60" s="433" t="str">
        <f>IFERROR(VLOOKUP($A60,#REF!,2,0),"0")</f>
        <v>0</v>
      </c>
      <c r="AZ60" s="432">
        <f t="shared" si="23"/>
        <v>0</v>
      </c>
      <c r="BA60" s="163" t="e">
        <f>VLOOKUP($B:$B,#REF!,14,FALSE)</f>
        <v>#REF!</v>
      </c>
      <c r="BB60" s="432">
        <f t="shared" si="24"/>
        <v>0</v>
      </c>
      <c r="BC60" s="433" t="str">
        <f>IFERROR(VLOOKUP($A60,#REF!,2,0),"0")</f>
        <v>0</v>
      </c>
      <c r="BD60" s="432">
        <f t="shared" si="25"/>
        <v>0</v>
      </c>
      <c r="BE60" s="163" t="e">
        <f>VLOOKUP($B:$B,#REF!,15,FALSE)</f>
        <v>#REF!</v>
      </c>
      <c r="BF60" s="432">
        <f t="shared" si="26"/>
        <v>0</v>
      </c>
      <c r="BG60" s="433" t="str">
        <f>IFERROR(VLOOKUP($A60,#REF!,2,0),"0")</f>
        <v>0</v>
      </c>
      <c r="BH60" s="432">
        <f t="shared" si="27"/>
        <v>0</v>
      </c>
      <c r="BI60" s="163" t="e">
        <f>VLOOKUP($B:$B,#REF!,16,FALSE)</f>
        <v>#REF!</v>
      </c>
      <c r="BJ60" s="432">
        <f t="shared" si="28"/>
        <v>0</v>
      </c>
      <c r="BK60" s="433" t="str">
        <f>IFERROR(VLOOKUP($A60,#REF!,2,0),"0")</f>
        <v>0</v>
      </c>
      <c r="BL60" s="432">
        <f t="shared" si="29"/>
        <v>0</v>
      </c>
      <c r="BM60" s="163" t="e">
        <f>VLOOKUP($B:$B,#REF!,17,FALSE)</f>
        <v>#REF!</v>
      </c>
      <c r="BN60" s="432">
        <f t="shared" si="30"/>
        <v>0</v>
      </c>
      <c r="BO60" s="433" t="str">
        <f>IFERROR(VLOOKUP($A60,#REF!,2,0),"0")</f>
        <v>0</v>
      </c>
      <c r="BP60" s="432">
        <f t="shared" si="31"/>
        <v>0</v>
      </c>
      <c r="BQ60" s="163" t="e">
        <f>VLOOKUP($B:$B,#REF!,18,FALSE)</f>
        <v>#REF!</v>
      </c>
      <c r="BR60" s="432">
        <f t="shared" si="32"/>
        <v>0</v>
      </c>
      <c r="BS60" s="433" t="str">
        <f>IFERROR(VLOOKUP($A60,#REF!,2,0),"0")</f>
        <v>0</v>
      </c>
      <c r="BT60" s="432">
        <f t="shared" si="33"/>
        <v>0</v>
      </c>
      <c r="BU60" s="163" t="e">
        <f>VLOOKUP($B:$B,#REF!,19,FALSE)</f>
        <v>#REF!</v>
      </c>
      <c r="BV60" s="432">
        <f t="shared" si="34"/>
        <v>0</v>
      </c>
      <c r="BW60" s="433"/>
      <c r="BX60" s="432">
        <f t="shared" si="35"/>
        <v>0</v>
      </c>
      <c r="BY60" s="163" t="e">
        <f>VLOOKUP($B:$B,#REF!,20,FALSE)</f>
        <v>#REF!</v>
      </c>
      <c r="BZ60" s="432">
        <f t="shared" si="36"/>
        <v>0</v>
      </c>
      <c r="CA60" s="433" t="str">
        <f>IFERROR(VLOOKUP($A60,#REF!,2,0),"0")</f>
        <v>0</v>
      </c>
      <c r="CB60" s="432">
        <f t="shared" si="37"/>
        <v>0</v>
      </c>
      <c r="CC60" s="163" t="e">
        <f>VLOOKUP($B:$B,#REF!,21,FALSE)</f>
        <v>#REF!</v>
      </c>
      <c r="CD60" s="432">
        <f t="shared" si="38"/>
        <v>0</v>
      </c>
      <c r="CE60" s="433" t="str">
        <f>IFERROR(VLOOKUP($A60,#REF!,2,0),"0")</f>
        <v>0</v>
      </c>
      <c r="CF60" s="432">
        <f t="shared" si="39"/>
        <v>0</v>
      </c>
      <c r="CG60" s="163" t="e">
        <f>VLOOKUP($B:$B,#REF!,22,FALSE)</f>
        <v>#REF!</v>
      </c>
      <c r="CH60" s="432">
        <f t="shared" si="40"/>
        <v>0</v>
      </c>
      <c r="CI60" s="433" t="str">
        <f>IFERROR(VLOOKUP($A60,#REF!,2,0),"0")</f>
        <v>0</v>
      </c>
      <c r="CJ60" s="432">
        <f t="shared" si="41"/>
        <v>0</v>
      </c>
      <c r="CK60" s="163" t="e">
        <f>VLOOKUP($B:$B,#REF!,23,FALSE)</f>
        <v>#REF!</v>
      </c>
      <c r="CL60" s="432">
        <f t="shared" si="42"/>
        <v>0</v>
      </c>
      <c r="CM60" s="433" t="str">
        <f>IFERROR(VLOOKUP($A60,#REF!,2,0),"0")</f>
        <v>0</v>
      </c>
      <c r="CN60" s="432">
        <f t="shared" si="43"/>
        <v>0</v>
      </c>
      <c r="CO60" s="163" t="e">
        <f>VLOOKUP($B:$B,#REF!,24,FALSE)</f>
        <v>#REF!</v>
      </c>
      <c r="CP60" s="432">
        <f t="shared" si="44"/>
        <v>0</v>
      </c>
      <c r="CQ60" s="433" t="str">
        <f>IFERROR(VLOOKUP($A60,#REF!,2,0),"0")</f>
        <v>0</v>
      </c>
      <c r="CR60" s="432">
        <f t="shared" si="45"/>
        <v>0</v>
      </c>
      <c r="CS60" s="163" t="e">
        <f>VLOOKUP($B:$B,#REF!,25,FALSE)</f>
        <v>#REF!</v>
      </c>
      <c r="CT60" s="432">
        <f t="shared" si="46"/>
        <v>0</v>
      </c>
      <c r="CU60" s="433" t="str">
        <f>IFERROR(VLOOKUP($A60,#REF!,2,0),"0")</f>
        <v>0</v>
      </c>
      <c r="CV60" s="432">
        <f t="shared" si="47"/>
        <v>0</v>
      </c>
      <c r="CW60" s="163" t="e">
        <f>VLOOKUP($B:$B,#REF!,26,FALSE)</f>
        <v>#REF!</v>
      </c>
      <c r="CX60" s="432">
        <f t="shared" si="48"/>
        <v>0</v>
      </c>
      <c r="CY60" s="433" t="str">
        <f>IFERROR(VLOOKUP($A60,#REF!,2,0),"0")</f>
        <v>0</v>
      </c>
      <c r="CZ60" s="432">
        <f t="shared" si="49"/>
        <v>0</v>
      </c>
      <c r="DA60" s="163" t="e">
        <f>VLOOKUP($B:$B,#REF!,27,FALSE)</f>
        <v>#REF!</v>
      </c>
      <c r="DB60" s="432">
        <f t="shared" si="50"/>
        <v>0</v>
      </c>
      <c r="DC60" s="433" t="str">
        <f>IFERROR(VLOOKUP($A60,#REF!,2,0),"0")</f>
        <v>0</v>
      </c>
      <c r="DD60" s="432">
        <f t="shared" si="51"/>
        <v>0</v>
      </c>
      <c r="DE60" s="163" t="e">
        <f>VLOOKUP($B:$B,#REF!,28,FALSE)</f>
        <v>#REF!</v>
      </c>
      <c r="DF60" s="432">
        <f t="shared" si="52"/>
        <v>0</v>
      </c>
      <c r="DG60" s="433" t="str">
        <f>IFERROR(VLOOKUP($A60,#REF!,2,0),"0")</f>
        <v>0</v>
      </c>
      <c r="DH60" s="432">
        <f t="shared" si="53"/>
        <v>0</v>
      </c>
      <c r="DI60" s="163" t="e">
        <f>VLOOKUP($B:$B,#REF!,29,FALSE)</f>
        <v>#REF!</v>
      </c>
      <c r="DJ60" s="432">
        <f t="shared" si="54"/>
        <v>0</v>
      </c>
      <c r="DK60" s="433" t="str">
        <f>IFERROR(VLOOKUP($A60,#REF!,2,0),"0")</f>
        <v>0</v>
      </c>
      <c r="DL60" s="432">
        <f t="shared" si="55"/>
        <v>0</v>
      </c>
      <c r="DM60" s="163" t="e">
        <f>VLOOKUP($B:$B,#REF!,30,FALSE)</f>
        <v>#REF!</v>
      </c>
      <c r="DN60" s="432">
        <f t="shared" si="56"/>
        <v>0</v>
      </c>
      <c r="DO60" s="432"/>
      <c r="DP60" s="432">
        <f t="shared" si="57"/>
        <v>0</v>
      </c>
      <c r="DQ60" s="163" t="e">
        <f>VLOOKUP($B:$B,#REF!,31,FALSE)</f>
        <v>#REF!</v>
      </c>
      <c r="DR60" s="432">
        <f t="shared" si="58"/>
        <v>0</v>
      </c>
      <c r="DS60" s="434"/>
      <c r="DT60" s="432">
        <f t="shared" si="59"/>
        <v>0</v>
      </c>
      <c r="DU60" s="163" t="e">
        <f>VLOOKUP($B:$B,#REF!,32,FALSE)</f>
        <v>#REF!</v>
      </c>
      <c r="DV60" s="432">
        <f t="shared" si="60"/>
        <v>0</v>
      </c>
      <c r="DW60" s="434"/>
      <c r="DX60" s="432">
        <f t="shared" si="61"/>
        <v>0</v>
      </c>
      <c r="DY60" s="432">
        <f t="shared" si="62"/>
        <v>0</v>
      </c>
    </row>
    <row r="61" spans="1:129" ht="15.75">
      <c r="A61" s="166" t="s">
        <v>173</v>
      </c>
      <c r="B61" s="506" t="s">
        <v>174</v>
      </c>
      <c r="C61" s="166">
        <v>1753788270</v>
      </c>
      <c r="D61" s="431">
        <v>38079</v>
      </c>
      <c r="E61" s="163" t="e">
        <f>VLOOKUP($B:$B,#REF!,2,FALSE)</f>
        <v>#REF!</v>
      </c>
      <c r="F61" s="432">
        <f t="shared" si="0"/>
        <v>0</v>
      </c>
      <c r="G61" s="433"/>
      <c r="H61" s="432">
        <f t="shared" si="66"/>
        <v>0</v>
      </c>
      <c r="I61" s="163" t="e">
        <f>VLOOKUP($B:$B,#REF!,3,FALSE)</f>
        <v>#REF!</v>
      </c>
      <c r="J61" s="432">
        <f t="shared" si="2"/>
        <v>0</v>
      </c>
      <c r="K61" s="433"/>
      <c r="L61" s="432">
        <f t="shared" si="68"/>
        <v>0</v>
      </c>
      <c r="M61" s="163" t="e">
        <f>VLOOKUP($B:$B,#REF!,4,FALSE)</f>
        <v>#REF!</v>
      </c>
      <c r="N61" s="432">
        <f t="shared" si="4"/>
        <v>0</v>
      </c>
      <c r="O61" s="433" t="str">
        <f>IFERROR(VLOOKUP($A61,#REF!,2,0),"0")</f>
        <v>0</v>
      </c>
      <c r="P61" s="432">
        <f t="shared" si="5"/>
        <v>0</v>
      </c>
      <c r="Q61" s="163" t="e">
        <f>VLOOKUP($B:$B,#REF!,5,FALSE)</f>
        <v>#REF!</v>
      </c>
      <c r="R61" s="432">
        <f t="shared" si="6"/>
        <v>0</v>
      </c>
      <c r="S61" s="433" t="str">
        <f>IFERROR(VLOOKUP($A61,#REF!,2,0),"0")</f>
        <v>0</v>
      </c>
      <c r="T61" s="432">
        <f t="shared" si="69"/>
        <v>0</v>
      </c>
      <c r="U61" s="163" t="e">
        <f>VLOOKUP($B:$B,#REF!,6,FALSE)</f>
        <v>#REF!</v>
      </c>
      <c r="V61" s="432">
        <f t="shared" si="8"/>
        <v>0</v>
      </c>
      <c r="W61" s="433" t="str">
        <f>IFERROR(VLOOKUP($A61,#REF!,2,0),"0")</f>
        <v>0</v>
      </c>
      <c r="X61" s="432">
        <f t="shared" si="9"/>
        <v>0</v>
      </c>
      <c r="Y61" s="163" t="e">
        <f>VLOOKUP($B:$B,#REF!,7,FALSE)</f>
        <v>#REF!</v>
      </c>
      <c r="Z61" s="432">
        <f t="shared" si="10"/>
        <v>0</v>
      </c>
      <c r="AA61" s="433" t="str">
        <f>IFERROR(VLOOKUP($A61,#REF!,2,0),"0")</f>
        <v>0</v>
      </c>
      <c r="AB61" s="432">
        <f t="shared" si="11"/>
        <v>0</v>
      </c>
      <c r="AC61" s="163" t="e">
        <f>VLOOKUP($B:$B,#REF!,8,FALSE)</f>
        <v>#REF!</v>
      </c>
      <c r="AD61" s="432">
        <f t="shared" si="12"/>
        <v>0</v>
      </c>
      <c r="AE61" s="433" t="str">
        <f>IFERROR(VLOOKUP($A61,#REF!,2,0),"0")</f>
        <v>0</v>
      </c>
      <c r="AF61" s="432">
        <f t="shared" si="13"/>
        <v>0</v>
      </c>
      <c r="AG61" s="163" t="e">
        <f>VLOOKUP($B:$B,#REF!,9,FALSE)</f>
        <v>#REF!</v>
      </c>
      <c r="AH61" s="432">
        <f t="shared" si="14"/>
        <v>0</v>
      </c>
      <c r="AI61" s="433" t="str">
        <f>IFERROR(VLOOKUP($A61,#REF!,2,0),"0")</f>
        <v>0</v>
      </c>
      <c r="AJ61" s="432">
        <f t="shared" si="15"/>
        <v>0</v>
      </c>
      <c r="AK61" s="163" t="e">
        <f>VLOOKUP($B:$B,#REF!,10,FALSE)</f>
        <v>#REF!</v>
      </c>
      <c r="AL61" s="432">
        <f t="shared" si="16"/>
        <v>0</v>
      </c>
      <c r="AM61" s="433" t="str">
        <f>IFERROR(VLOOKUP($A61,#REF!,2,0),"0")</f>
        <v>0</v>
      </c>
      <c r="AN61" s="432">
        <f t="shared" si="17"/>
        <v>0</v>
      </c>
      <c r="AO61" s="163" t="e">
        <f>VLOOKUP($B:$B,#REF!,11,FALSE)</f>
        <v>#REF!</v>
      </c>
      <c r="AP61" s="432">
        <f t="shared" si="18"/>
        <v>0</v>
      </c>
      <c r="AQ61" s="433" t="str">
        <f>IFERROR(VLOOKUP($A61,#REF!,2,0),"0")</f>
        <v>0</v>
      </c>
      <c r="AR61" s="432">
        <f t="shared" si="19"/>
        <v>0</v>
      </c>
      <c r="AS61" s="163" t="e">
        <f>VLOOKUP($B:$B,#REF!,12,FALSE)</f>
        <v>#REF!</v>
      </c>
      <c r="AT61" s="432">
        <f t="shared" si="20"/>
        <v>0</v>
      </c>
      <c r="AU61" s="433"/>
      <c r="AV61" s="432">
        <f t="shared" si="21"/>
        <v>0</v>
      </c>
      <c r="AW61" s="163" t="e">
        <f>VLOOKUP($B:$B,#REF!,13,FALSE)</f>
        <v>#REF!</v>
      </c>
      <c r="AX61" s="432">
        <f t="shared" si="22"/>
        <v>0</v>
      </c>
      <c r="AY61" s="433"/>
      <c r="AZ61" s="432">
        <f t="shared" si="23"/>
        <v>0</v>
      </c>
      <c r="BA61" s="163" t="e">
        <f>VLOOKUP($B:$B,#REF!,14,FALSE)</f>
        <v>#REF!</v>
      </c>
      <c r="BB61" s="432">
        <f t="shared" si="24"/>
        <v>0</v>
      </c>
      <c r="BC61" s="433" t="str">
        <f>IFERROR(VLOOKUP($A61,#REF!,2,0),"0")</f>
        <v>0</v>
      </c>
      <c r="BD61" s="432">
        <f t="shared" si="25"/>
        <v>0</v>
      </c>
      <c r="BE61" s="163" t="e">
        <f>VLOOKUP($B:$B,#REF!,15,FALSE)</f>
        <v>#REF!</v>
      </c>
      <c r="BF61" s="432">
        <f t="shared" si="26"/>
        <v>0</v>
      </c>
      <c r="BG61" s="433"/>
      <c r="BH61" s="432">
        <f t="shared" si="27"/>
        <v>0</v>
      </c>
      <c r="BI61" s="163" t="e">
        <f>VLOOKUP($B:$B,#REF!,16,FALSE)</f>
        <v>#REF!</v>
      </c>
      <c r="BJ61" s="432">
        <f t="shared" si="28"/>
        <v>0</v>
      </c>
      <c r="BK61" s="433" t="str">
        <f>IFERROR(VLOOKUP($A61,#REF!,2,0),"0")</f>
        <v>0</v>
      </c>
      <c r="BL61" s="432">
        <f t="shared" si="29"/>
        <v>0</v>
      </c>
      <c r="BM61" s="163" t="e">
        <f>VLOOKUP($B:$B,#REF!,17,FALSE)</f>
        <v>#REF!</v>
      </c>
      <c r="BN61" s="432">
        <f t="shared" si="30"/>
        <v>0</v>
      </c>
      <c r="BO61" s="433" t="str">
        <f>IFERROR(VLOOKUP($A61,#REF!,2,0),"0")</f>
        <v>0</v>
      </c>
      <c r="BP61" s="432">
        <f t="shared" si="31"/>
        <v>0</v>
      </c>
      <c r="BQ61" s="163" t="e">
        <f>VLOOKUP($B:$B,#REF!,18,FALSE)</f>
        <v>#REF!</v>
      </c>
      <c r="BR61" s="432">
        <f t="shared" si="32"/>
        <v>0</v>
      </c>
      <c r="BS61" s="433" t="str">
        <f>IFERROR(VLOOKUP($A61,#REF!,2,0),"0")</f>
        <v>0</v>
      </c>
      <c r="BT61" s="432">
        <f t="shared" si="33"/>
        <v>0</v>
      </c>
      <c r="BU61" s="163" t="e">
        <f>VLOOKUP($B:$B,#REF!,19,FALSE)</f>
        <v>#REF!</v>
      </c>
      <c r="BV61" s="432">
        <f t="shared" si="34"/>
        <v>0</v>
      </c>
      <c r="BW61" s="433" t="str">
        <f>IFERROR(VLOOKUP($A61,#REF!,2,0),"0")</f>
        <v>0</v>
      </c>
      <c r="BX61" s="432">
        <f t="shared" si="35"/>
        <v>0</v>
      </c>
      <c r="BY61" s="163" t="e">
        <f>VLOOKUP($B:$B,#REF!,20,FALSE)</f>
        <v>#REF!</v>
      </c>
      <c r="BZ61" s="432">
        <f t="shared" si="36"/>
        <v>0</v>
      </c>
      <c r="CA61" s="433"/>
      <c r="CB61" s="432">
        <f t="shared" si="37"/>
        <v>0</v>
      </c>
      <c r="CC61" s="163" t="e">
        <f>VLOOKUP($B:$B,#REF!,21,FALSE)</f>
        <v>#REF!</v>
      </c>
      <c r="CD61" s="432">
        <f t="shared" si="38"/>
        <v>0</v>
      </c>
      <c r="CE61" s="433"/>
      <c r="CF61" s="432">
        <f t="shared" si="39"/>
        <v>0</v>
      </c>
      <c r="CG61" s="163" t="e">
        <f>VLOOKUP($B:$B,#REF!,22,FALSE)</f>
        <v>#REF!</v>
      </c>
      <c r="CH61" s="432">
        <f t="shared" si="40"/>
        <v>0</v>
      </c>
      <c r="CI61" s="433" t="str">
        <f>IFERROR(VLOOKUP($A61,#REF!,2,0),"0")</f>
        <v>0</v>
      </c>
      <c r="CJ61" s="432">
        <f t="shared" si="41"/>
        <v>0</v>
      </c>
      <c r="CK61" s="163" t="e">
        <f>VLOOKUP($B:$B,#REF!,23,FALSE)</f>
        <v>#REF!</v>
      </c>
      <c r="CL61" s="432">
        <f t="shared" si="42"/>
        <v>0</v>
      </c>
      <c r="CM61" s="433" t="str">
        <f>IFERROR(VLOOKUP($A61,#REF!,2,0),"0")</f>
        <v>0</v>
      </c>
      <c r="CN61" s="432">
        <f t="shared" si="43"/>
        <v>0</v>
      </c>
      <c r="CO61" s="163" t="e">
        <f>VLOOKUP($B:$B,#REF!,24,FALSE)</f>
        <v>#REF!</v>
      </c>
      <c r="CP61" s="432">
        <f t="shared" si="44"/>
        <v>0</v>
      </c>
      <c r="CQ61" s="433" t="str">
        <f>IFERROR(VLOOKUP($A61,#REF!,2,0),"0")</f>
        <v>0</v>
      </c>
      <c r="CR61" s="432">
        <f t="shared" si="45"/>
        <v>0</v>
      </c>
      <c r="CS61" s="163" t="e">
        <f>VLOOKUP($B:$B,#REF!,25,FALSE)</f>
        <v>#REF!</v>
      </c>
      <c r="CT61" s="432">
        <f t="shared" si="46"/>
        <v>0</v>
      </c>
      <c r="CU61" s="433" t="str">
        <f>IFERROR(VLOOKUP($A61,#REF!,2,0),"0")</f>
        <v>0</v>
      </c>
      <c r="CV61" s="432">
        <f t="shared" si="47"/>
        <v>0</v>
      </c>
      <c r="CW61" s="163" t="e">
        <f>VLOOKUP($B:$B,#REF!,26,FALSE)</f>
        <v>#REF!</v>
      </c>
      <c r="CX61" s="432">
        <f t="shared" si="48"/>
        <v>0</v>
      </c>
      <c r="CY61" s="433" t="str">
        <f>IFERROR(VLOOKUP($A61,#REF!,2,0),"0")</f>
        <v>0</v>
      </c>
      <c r="CZ61" s="432">
        <f t="shared" si="49"/>
        <v>0</v>
      </c>
      <c r="DA61" s="163" t="e">
        <f>VLOOKUP($B:$B,#REF!,27,FALSE)</f>
        <v>#REF!</v>
      </c>
      <c r="DB61" s="432">
        <f t="shared" si="50"/>
        <v>0</v>
      </c>
      <c r="DC61" s="433" t="str">
        <f>IFERROR(VLOOKUP($A61,#REF!,2,0),"0")</f>
        <v>0</v>
      </c>
      <c r="DD61" s="432">
        <f t="shared" si="51"/>
        <v>0</v>
      </c>
      <c r="DE61" s="163" t="e">
        <f>VLOOKUP($B:$B,#REF!,28,FALSE)</f>
        <v>#REF!</v>
      </c>
      <c r="DF61" s="432">
        <f t="shared" si="52"/>
        <v>0</v>
      </c>
      <c r="DG61" s="433" t="str">
        <f>IFERROR(VLOOKUP($A61,#REF!,2,0),"0")</f>
        <v>0</v>
      </c>
      <c r="DH61" s="432">
        <f t="shared" si="53"/>
        <v>0</v>
      </c>
      <c r="DI61" s="163" t="e">
        <f>VLOOKUP($B:$B,#REF!,29,FALSE)</f>
        <v>#REF!</v>
      </c>
      <c r="DJ61" s="432">
        <f t="shared" si="54"/>
        <v>0</v>
      </c>
      <c r="DK61" s="433" t="str">
        <f>IFERROR(VLOOKUP($A61,#REF!,2,0),"0")</f>
        <v>0</v>
      </c>
      <c r="DL61" s="432">
        <f t="shared" si="55"/>
        <v>0</v>
      </c>
      <c r="DM61" s="163" t="e">
        <f>VLOOKUP($B:$B,#REF!,30,FALSE)</f>
        <v>#REF!</v>
      </c>
      <c r="DN61" s="432">
        <f t="shared" si="56"/>
        <v>0</v>
      </c>
      <c r="DO61" s="432"/>
      <c r="DP61" s="432">
        <f t="shared" si="57"/>
        <v>0</v>
      </c>
      <c r="DQ61" s="163" t="e">
        <f>VLOOKUP($B:$B,#REF!,31,FALSE)</f>
        <v>#REF!</v>
      </c>
      <c r="DR61" s="432">
        <f t="shared" si="58"/>
        <v>0</v>
      </c>
      <c r="DS61" s="434"/>
      <c r="DT61" s="432">
        <f t="shared" si="59"/>
        <v>0</v>
      </c>
      <c r="DU61" s="163" t="e">
        <f>VLOOKUP($B:$B,#REF!,32,FALSE)</f>
        <v>#REF!</v>
      </c>
      <c r="DV61" s="432">
        <f t="shared" si="60"/>
        <v>0</v>
      </c>
      <c r="DW61" s="434"/>
      <c r="DX61" s="432">
        <f t="shared" si="61"/>
        <v>0</v>
      </c>
      <c r="DY61" s="432">
        <f t="shared" si="62"/>
        <v>0</v>
      </c>
    </row>
    <row r="62" spans="1:129" ht="15.75">
      <c r="A62" s="166" t="s">
        <v>472</v>
      </c>
      <c r="B62" s="506" t="s">
        <v>184</v>
      </c>
      <c r="C62" s="166">
        <v>1717358517</v>
      </c>
      <c r="D62" s="431">
        <v>31261</v>
      </c>
      <c r="E62" s="163" t="e">
        <f>VLOOKUP($B:$B,#REF!,2,FALSE)</f>
        <v>#REF!</v>
      </c>
      <c r="F62" s="432">
        <f t="shared" si="0"/>
        <v>0</v>
      </c>
      <c r="G62" s="433" t="str">
        <f>IFERROR(VLOOKUP($A62,#REF!,2,0),"0")</f>
        <v>0</v>
      </c>
      <c r="H62" s="432">
        <f t="shared" si="66"/>
        <v>0</v>
      </c>
      <c r="I62" s="163" t="e">
        <f>VLOOKUP($B:$B,#REF!,3,FALSE)</f>
        <v>#REF!</v>
      </c>
      <c r="J62" s="432">
        <f t="shared" si="2"/>
        <v>0</v>
      </c>
      <c r="K62" s="433" t="str">
        <f>IFERROR(VLOOKUP($A62,#REF!,2,0),"0")</f>
        <v>0</v>
      </c>
      <c r="L62" s="432">
        <f t="shared" si="68"/>
        <v>0</v>
      </c>
      <c r="M62" s="163" t="e">
        <f>VLOOKUP($B:$B,#REF!,4,FALSE)</f>
        <v>#REF!</v>
      </c>
      <c r="N62" s="432">
        <f t="shared" si="4"/>
        <v>0</v>
      </c>
      <c r="O62" s="433" t="str">
        <f>IFERROR(VLOOKUP($A62,#REF!,2,0),"0")</f>
        <v>0</v>
      </c>
      <c r="P62" s="432">
        <f t="shared" si="5"/>
        <v>0</v>
      </c>
      <c r="Q62" s="163" t="e">
        <f>VLOOKUP($B:$B,#REF!,5,FALSE)</f>
        <v>#REF!</v>
      </c>
      <c r="R62" s="432">
        <f t="shared" si="6"/>
        <v>0</v>
      </c>
      <c r="S62" s="433" t="str">
        <f>IFERROR(VLOOKUP($A62,#REF!,2,0),"0")</f>
        <v>0</v>
      </c>
      <c r="T62" s="432">
        <f t="shared" si="69"/>
        <v>0</v>
      </c>
      <c r="U62" s="163" t="e">
        <f>VLOOKUP($B:$B,#REF!,6,FALSE)</f>
        <v>#REF!</v>
      </c>
      <c r="V62" s="432">
        <f t="shared" si="8"/>
        <v>0</v>
      </c>
      <c r="W62" s="433" t="str">
        <f>IFERROR(VLOOKUP($A62,#REF!,2,0),"0")</f>
        <v>0</v>
      </c>
      <c r="X62" s="432">
        <f t="shared" si="9"/>
        <v>0</v>
      </c>
      <c r="Y62" s="163" t="e">
        <f>VLOOKUP($B:$B,#REF!,7,FALSE)</f>
        <v>#REF!</v>
      </c>
      <c r="Z62" s="432">
        <f t="shared" si="10"/>
        <v>0</v>
      </c>
      <c r="AA62" s="433" t="str">
        <f>IFERROR(VLOOKUP($A62,#REF!,2,0),"0")</f>
        <v>0</v>
      </c>
      <c r="AB62" s="432">
        <f t="shared" si="11"/>
        <v>0</v>
      </c>
      <c r="AC62" s="163" t="e">
        <f>VLOOKUP($B:$B,#REF!,8,FALSE)</f>
        <v>#REF!</v>
      </c>
      <c r="AD62" s="432">
        <f t="shared" si="12"/>
        <v>0</v>
      </c>
      <c r="AE62" s="433" t="str">
        <f>IFERROR(VLOOKUP($A62,#REF!,2,0),"0")</f>
        <v>0</v>
      </c>
      <c r="AF62" s="432">
        <f t="shared" si="13"/>
        <v>0</v>
      </c>
      <c r="AG62" s="163" t="e">
        <f>VLOOKUP($B:$B,#REF!,9,FALSE)</f>
        <v>#REF!</v>
      </c>
      <c r="AH62" s="432">
        <f t="shared" si="14"/>
        <v>0</v>
      </c>
      <c r="AI62" s="433" t="str">
        <f>IFERROR(VLOOKUP($A62,#REF!,2,0),"0")</f>
        <v>0</v>
      </c>
      <c r="AJ62" s="432">
        <f t="shared" si="15"/>
        <v>0</v>
      </c>
      <c r="AK62" s="163" t="e">
        <f>VLOOKUP($B:$B,#REF!,10,FALSE)</f>
        <v>#REF!</v>
      </c>
      <c r="AL62" s="432">
        <f t="shared" si="16"/>
        <v>0</v>
      </c>
      <c r="AM62" s="433" t="str">
        <f>IFERROR(VLOOKUP($A62,#REF!,2,0),"0")</f>
        <v>0</v>
      </c>
      <c r="AN62" s="432">
        <f t="shared" si="17"/>
        <v>0</v>
      </c>
      <c r="AO62" s="163" t="e">
        <f>VLOOKUP($B:$B,#REF!,11,FALSE)</f>
        <v>#REF!</v>
      </c>
      <c r="AP62" s="432">
        <f t="shared" si="18"/>
        <v>0</v>
      </c>
      <c r="AQ62" s="433" t="str">
        <f>IFERROR(VLOOKUP($A62,#REF!,2,0),"0")</f>
        <v>0</v>
      </c>
      <c r="AR62" s="432">
        <f t="shared" si="19"/>
        <v>0</v>
      </c>
      <c r="AS62" s="163" t="e">
        <f>VLOOKUP($B:$B,#REF!,12,FALSE)</f>
        <v>#REF!</v>
      </c>
      <c r="AT62" s="432">
        <f t="shared" si="20"/>
        <v>0</v>
      </c>
      <c r="AU62" s="433" t="str">
        <f>IFERROR(VLOOKUP($A62,#REF!,2,0),"0")</f>
        <v>0</v>
      </c>
      <c r="AV62" s="432">
        <f t="shared" si="21"/>
        <v>0</v>
      </c>
      <c r="AW62" s="163" t="e">
        <f>VLOOKUP($B:$B,#REF!,13,FALSE)</f>
        <v>#REF!</v>
      </c>
      <c r="AX62" s="432">
        <f t="shared" si="22"/>
        <v>0</v>
      </c>
      <c r="AY62" s="433" t="str">
        <f>IFERROR(VLOOKUP($A62,#REF!,2,0),"0")</f>
        <v>0</v>
      </c>
      <c r="AZ62" s="432">
        <f t="shared" si="23"/>
        <v>0</v>
      </c>
      <c r="BA62" s="163" t="e">
        <f>VLOOKUP($B:$B,#REF!,14,FALSE)</f>
        <v>#REF!</v>
      </c>
      <c r="BB62" s="432">
        <f t="shared" si="24"/>
        <v>0</v>
      </c>
      <c r="BC62" s="433" t="str">
        <f>IFERROR(VLOOKUP($A62,#REF!,2,0),"0")</f>
        <v>0</v>
      </c>
      <c r="BD62" s="432">
        <f t="shared" si="25"/>
        <v>0</v>
      </c>
      <c r="BE62" s="163" t="e">
        <f>VLOOKUP($B:$B,#REF!,15,FALSE)</f>
        <v>#REF!</v>
      </c>
      <c r="BF62" s="432">
        <f t="shared" si="26"/>
        <v>0</v>
      </c>
      <c r="BG62" s="433" t="str">
        <f>IFERROR(VLOOKUP($A62,#REF!,2,0),"0")</f>
        <v>0</v>
      </c>
      <c r="BH62" s="432">
        <f t="shared" si="27"/>
        <v>0</v>
      </c>
      <c r="BI62" s="163" t="e">
        <f>VLOOKUP($B:$B,#REF!,16,FALSE)</f>
        <v>#REF!</v>
      </c>
      <c r="BJ62" s="432">
        <f t="shared" si="28"/>
        <v>0</v>
      </c>
      <c r="BK62" s="433" t="str">
        <f>IFERROR(VLOOKUP($A62,#REF!,2,0),"0")</f>
        <v>0</v>
      </c>
      <c r="BL62" s="432">
        <f t="shared" si="29"/>
        <v>0</v>
      </c>
      <c r="BM62" s="163" t="e">
        <f>VLOOKUP($B:$B,#REF!,17,FALSE)</f>
        <v>#REF!</v>
      </c>
      <c r="BN62" s="432">
        <f t="shared" si="30"/>
        <v>0</v>
      </c>
      <c r="BO62" s="433" t="str">
        <f>IFERROR(VLOOKUP($A62,#REF!,2,0),"0")</f>
        <v>0</v>
      </c>
      <c r="BP62" s="432">
        <f t="shared" si="31"/>
        <v>0</v>
      </c>
      <c r="BQ62" s="163" t="e">
        <f>VLOOKUP($B:$B,#REF!,18,FALSE)</f>
        <v>#REF!</v>
      </c>
      <c r="BR62" s="432">
        <f t="shared" si="32"/>
        <v>0</v>
      </c>
      <c r="BS62" s="433" t="str">
        <f>IFERROR(VLOOKUP($A62,#REF!,2,0),"0")</f>
        <v>0</v>
      </c>
      <c r="BT62" s="432">
        <f t="shared" si="33"/>
        <v>0</v>
      </c>
      <c r="BU62" s="163" t="e">
        <f>VLOOKUP($B:$B,#REF!,19,FALSE)</f>
        <v>#REF!</v>
      </c>
      <c r="BV62" s="432">
        <f t="shared" si="34"/>
        <v>0</v>
      </c>
      <c r="BW62" s="433" t="str">
        <f>IFERROR(VLOOKUP($A62,#REF!,2,0),"0")</f>
        <v>0</v>
      </c>
      <c r="BX62" s="432">
        <f t="shared" si="35"/>
        <v>0</v>
      </c>
      <c r="BY62" s="163" t="e">
        <f>VLOOKUP($B:$B,#REF!,20,FALSE)</f>
        <v>#REF!</v>
      </c>
      <c r="BZ62" s="432">
        <f t="shared" si="36"/>
        <v>0</v>
      </c>
      <c r="CA62" s="433" t="str">
        <f>IFERROR(VLOOKUP($A62,#REF!,2,0),"0")</f>
        <v>0</v>
      </c>
      <c r="CB62" s="432">
        <f t="shared" si="37"/>
        <v>0</v>
      </c>
      <c r="CC62" s="163" t="e">
        <f>VLOOKUP($B:$B,#REF!,21,FALSE)</f>
        <v>#REF!</v>
      </c>
      <c r="CD62" s="432">
        <f t="shared" si="38"/>
        <v>0</v>
      </c>
      <c r="CE62" s="433" t="str">
        <f>IFERROR(VLOOKUP($A62,#REF!,2,0),"0")</f>
        <v>0</v>
      </c>
      <c r="CF62" s="432">
        <f t="shared" si="39"/>
        <v>0</v>
      </c>
      <c r="CG62" s="163" t="e">
        <f>VLOOKUP($B:$B,#REF!,22,FALSE)</f>
        <v>#REF!</v>
      </c>
      <c r="CH62" s="432">
        <f t="shared" si="40"/>
        <v>0</v>
      </c>
      <c r="CI62" s="433" t="str">
        <f>IFERROR(VLOOKUP($A62,#REF!,2,0),"0")</f>
        <v>0</v>
      </c>
      <c r="CJ62" s="432">
        <f t="shared" si="41"/>
        <v>0</v>
      </c>
      <c r="CK62" s="163" t="e">
        <f>VLOOKUP($B:$B,#REF!,23,FALSE)</f>
        <v>#REF!</v>
      </c>
      <c r="CL62" s="432">
        <f t="shared" si="42"/>
        <v>0</v>
      </c>
      <c r="CM62" s="433" t="str">
        <f>IFERROR(VLOOKUP($A62,#REF!,2,0),"0")</f>
        <v>0</v>
      </c>
      <c r="CN62" s="432">
        <f t="shared" si="43"/>
        <v>0</v>
      </c>
      <c r="CO62" s="163" t="e">
        <f>VLOOKUP($B:$B,#REF!,24,FALSE)</f>
        <v>#REF!</v>
      </c>
      <c r="CP62" s="432">
        <f t="shared" si="44"/>
        <v>0</v>
      </c>
      <c r="CQ62" s="433" t="str">
        <f>IFERROR(VLOOKUP($A62,#REF!,2,0),"0")</f>
        <v>0</v>
      </c>
      <c r="CR62" s="432">
        <f t="shared" si="45"/>
        <v>0</v>
      </c>
      <c r="CS62" s="163" t="e">
        <f>VLOOKUP($B:$B,#REF!,25,FALSE)</f>
        <v>#REF!</v>
      </c>
      <c r="CT62" s="432">
        <f t="shared" si="46"/>
        <v>0</v>
      </c>
      <c r="CU62" s="433" t="str">
        <f>IFERROR(VLOOKUP($A62,#REF!,2,0),"0")</f>
        <v>0</v>
      </c>
      <c r="CV62" s="432">
        <f t="shared" si="47"/>
        <v>0</v>
      </c>
      <c r="CW62" s="163" t="e">
        <f>VLOOKUP($B:$B,#REF!,26,FALSE)</f>
        <v>#REF!</v>
      </c>
      <c r="CX62" s="432">
        <f t="shared" si="48"/>
        <v>0</v>
      </c>
      <c r="CY62" s="433" t="str">
        <f>IFERROR(VLOOKUP($A62,#REF!,2,0),"0")</f>
        <v>0</v>
      </c>
      <c r="CZ62" s="432">
        <f t="shared" si="49"/>
        <v>0</v>
      </c>
      <c r="DA62" s="163" t="e">
        <f>VLOOKUP($B:$B,#REF!,27,FALSE)</f>
        <v>#REF!</v>
      </c>
      <c r="DB62" s="432">
        <f t="shared" si="50"/>
        <v>0</v>
      </c>
      <c r="DC62" s="433" t="str">
        <f>IFERROR(VLOOKUP($A62,#REF!,2,0),"0")</f>
        <v>0</v>
      </c>
      <c r="DD62" s="432">
        <f t="shared" si="51"/>
        <v>0</v>
      </c>
      <c r="DE62" s="163" t="e">
        <f>VLOOKUP($B:$B,#REF!,28,FALSE)</f>
        <v>#REF!</v>
      </c>
      <c r="DF62" s="432">
        <f t="shared" si="52"/>
        <v>0</v>
      </c>
      <c r="DG62" s="433" t="str">
        <f>IFERROR(VLOOKUP($A62,#REF!,2,0),"0")</f>
        <v>0</v>
      </c>
      <c r="DH62" s="432">
        <f t="shared" si="53"/>
        <v>0</v>
      </c>
      <c r="DI62" s="163" t="e">
        <f>VLOOKUP($B:$B,#REF!,29,FALSE)</f>
        <v>#REF!</v>
      </c>
      <c r="DJ62" s="432">
        <f t="shared" si="54"/>
        <v>0</v>
      </c>
      <c r="DK62" s="433" t="str">
        <f>IFERROR(VLOOKUP($A62,#REF!,2,0),"0")</f>
        <v>0</v>
      </c>
      <c r="DL62" s="432">
        <f t="shared" si="55"/>
        <v>0</v>
      </c>
      <c r="DM62" s="163" t="e">
        <f>VLOOKUP($B:$B,#REF!,30,FALSE)</f>
        <v>#REF!</v>
      </c>
      <c r="DN62" s="432">
        <f t="shared" si="56"/>
        <v>0</v>
      </c>
      <c r="DO62" s="432"/>
      <c r="DP62" s="432">
        <f t="shared" si="57"/>
        <v>0</v>
      </c>
      <c r="DQ62" s="163" t="e">
        <f>VLOOKUP($B:$B,#REF!,31,FALSE)</f>
        <v>#REF!</v>
      </c>
      <c r="DR62" s="432">
        <f t="shared" si="58"/>
        <v>0</v>
      </c>
      <c r="DS62" s="434"/>
      <c r="DT62" s="432">
        <f t="shared" si="59"/>
        <v>0</v>
      </c>
      <c r="DU62" s="163" t="e">
        <f>VLOOKUP($B:$B,#REF!,32,FALSE)</f>
        <v>#REF!</v>
      </c>
      <c r="DV62" s="432">
        <f t="shared" si="60"/>
        <v>0</v>
      </c>
      <c r="DW62" s="434"/>
      <c r="DX62" s="432">
        <f t="shared" si="61"/>
        <v>0</v>
      </c>
      <c r="DY62" s="432">
        <f t="shared" si="62"/>
        <v>0</v>
      </c>
    </row>
    <row r="63" spans="1:129">
      <c r="A63" s="166"/>
      <c r="B63" s="166"/>
      <c r="C63" s="166"/>
      <c r="D63" s="431"/>
      <c r="E63" s="163"/>
      <c r="F63" s="432"/>
      <c r="G63" s="434"/>
      <c r="H63" s="432"/>
      <c r="I63" s="163"/>
      <c r="J63" s="432"/>
      <c r="K63" s="434"/>
      <c r="L63" s="432"/>
      <c r="M63" s="163"/>
      <c r="N63" s="432"/>
      <c r="O63" s="432"/>
      <c r="P63" s="432"/>
      <c r="Q63" s="163"/>
      <c r="R63" s="432"/>
      <c r="S63" s="432"/>
      <c r="T63" s="432"/>
      <c r="U63" s="163"/>
      <c r="V63" s="432"/>
      <c r="W63" s="434"/>
      <c r="X63" s="432"/>
      <c r="Y63" s="163"/>
      <c r="Z63" s="432"/>
      <c r="AA63" s="434"/>
      <c r="AB63" s="432"/>
      <c r="AC63" s="163"/>
      <c r="AD63" s="432"/>
      <c r="AE63" s="434"/>
      <c r="AF63" s="432"/>
      <c r="AG63" s="163"/>
      <c r="AH63" s="432"/>
      <c r="AI63" s="434"/>
      <c r="AJ63" s="432"/>
      <c r="AK63" s="163"/>
      <c r="AL63" s="432"/>
      <c r="AM63" s="434"/>
      <c r="AN63" s="432"/>
      <c r="AO63" s="163"/>
      <c r="AP63" s="432"/>
      <c r="AQ63" s="434"/>
      <c r="AR63" s="432"/>
      <c r="AS63" s="163"/>
      <c r="AT63" s="432"/>
      <c r="AU63" s="434"/>
      <c r="AV63" s="432"/>
      <c r="AW63" s="163"/>
      <c r="AX63" s="432"/>
      <c r="AY63" s="434"/>
      <c r="AZ63" s="432"/>
      <c r="BA63" s="163"/>
      <c r="BB63" s="432"/>
      <c r="BC63" s="434"/>
      <c r="BD63" s="432"/>
      <c r="BE63" s="163"/>
      <c r="BF63" s="432"/>
      <c r="BG63" s="434"/>
      <c r="BH63" s="432"/>
      <c r="BI63" s="163"/>
      <c r="BJ63" s="432"/>
      <c r="BK63" s="434"/>
      <c r="BL63" s="432"/>
      <c r="BM63" s="163"/>
      <c r="BN63" s="432"/>
      <c r="BO63" s="434"/>
      <c r="BP63" s="432"/>
      <c r="BQ63" s="163"/>
      <c r="BR63" s="432"/>
      <c r="BS63" s="434"/>
      <c r="BT63" s="432"/>
      <c r="BU63" s="163"/>
      <c r="BV63" s="432"/>
      <c r="BW63" s="434"/>
      <c r="BX63" s="432"/>
      <c r="BY63" s="163"/>
      <c r="BZ63" s="432"/>
      <c r="CA63" s="434"/>
      <c r="CB63" s="432"/>
      <c r="CC63" s="163"/>
      <c r="CD63" s="432"/>
      <c r="CE63" s="434"/>
      <c r="CF63" s="432"/>
      <c r="CG63" s="163"/>
      <c r="CH63" s="432"/>
      <c r="CI63" s="434"/>
      <c r="CJ63" s="432"/>
      <c r="CK63" s="163"/>
      <c r="CL63" s="432"/>
      <c r="CM63" s="434"/>
      <c r="CN63" s="432"/>
      <c r="CO63" s="163"/>
      <c r="CP63" s="432"/>
      <c r="CQ63" s="434"/>
      <c r="CR63" s="432"/>
      <c r="CS63" s="163"/>
      <c r="CT63" s="432"/>
      <c r="CU63" s="434"/>
      <c r="CV63" s="432"/>
      <c r="CW63" s="163"/>
      <c r="CX63" s="432"/>
      <c r="CY63" s="434"/>
      <c r="CZ63" s="432"/>
      <c r="DA63" s="163"/>
      <c r="DB63" s="432"/>
      <c r="DC63" s="434"/>
      <c r="DD63" s="432"/>
      <c r="DE63" s="163"/>
      <c r="DF63" s="432"/>
      <c r="DG63" s="434"/>
      <c r="DH63" s="432"/>
      <c r="DI63" s="163"/>
      <c r="DJ63" s="432"/>
      <c r="DK63" s="434"/>
      <c r="DL63" s="432"/>
      <c r="DM63" s="163"/>
      <c r="DN63" s="432"/>
      <c r="DO63" s="434"/>
      <c r="DP63" s="432"/>
      <c r="DQ63" s="163"/>
      <c r="DR63" s="432"/>
      <c r="DS63" s="434"/>
      <c r="DT63" s="432"/>
      <c r="DU63" s="163"/>
      <c r="DV63" s="432"/>
      <c r="DW63" s="434"/>
      <c r="DX63" s="432"/>
      <c r="DY63" s="432"/>
    </row>
    <row r="64" spans="1:129">
      <c r="A64" s="166"/>
      <c r="B64" s="166"/>
      <c r="C64" s="166"/>
      <c r="D64" s="431"/>
      <c r="E64" s="163"/>
      <c r="F64" s="432"/>
      <c r="G64" s="434"/>
      <c r="H64" s="432"/>
      <c r="I64" s="163"/>
      <c r="J64" s="432"/>
      <c r="K64" s="434"/>
      <c r="L64" s="432"/>
      <c r="M64" s="163"/>
      <c r="N64" s="432"/>
      <c r="O64" s="432"/>
      <c r="P64" s="432"/>
      <c r="Q64" s="163"/>
      <c r="R64" s="432"/>
      <c r="S64" s="432"/>
      <c r="T64" s="432"/>
      <c r="U64" s="163"/>
      <c r="V64" s="432"/>
      <c r="W64" s="434"/>
      <c r="X64" s="432"/>
      <c r="Y64" s="163"/>
      <c r="Z64" s="432"/>
      <c r="AA64" s="434"/>
      <c r="AB64" s="432"/>
      <c r="AC64" s="163"/>
      <c r="AD64" s="432"/>
      <c r="AE64" s="434"/>
      <c r="AF64" s="432"/>
      <c r="AG64" s="163"/>
      <c r="AH64" s="432"/>
      <c r="AI64" s="434"/>
      <c r="AJ64" s="432"/>
      <c r="AK64" s="163"/>
      <c r="AL64" s="432"/>
      <c r="AM64" s="434"/>
      <c r="AN64" s="432"/>
      <c r="AO64" s="163"/>
      <c r="AP64" s="432"/>
      <c r="AQ64" s="434"/>
      <c r="AR64" s="432"/>
      <c r="AS64" s="163"/>
      <c r="AT64" s="432"/>
      <c r="AU64" s="434"/>
      <c r="AV64" s="432"/>
      <c r="AW64" s="163"/>
      <c r="AX64" s="432"/>
      <c r="AY64" s="434"/>
      <c r="AZ64" s="432"/>
      <c r="BA64" s="163"/>
      <c r="BB64" s="432"/>
      <c r="BC64" s="434"/>
      <c r="BD64" s="432"/>
      <c r="BE64" s="163"/>
      <c r="BF64" s="432"/>
      <c r="BG64" s="434"/>
      <c r="BH64" s="432"/>
      <c r="BI64" s="163"/>
      <c r="BJ64" s="432"/>
      <c r="BK64" s="434"/>
      <c r="BL64" s="432"/>
      <c r="BM64" s="163"/>
      <c r="BN64" s="432"/>
      <c r="BO64" s="434"/>
      <c r="BP64" s="432"/>
      <c r="BQ64" s="163"/>
      <c r="BR64" s="432"/>
      <c r="BS64" s="434"/>
      <c r="BT64" s="432"/>
      <c r="BU64" s="163"/>
      <c r="BV64" s="432"/>
      <c r="BW64" s="434"/>
      <c r="BX64" s="432"/>
      <c r="BY64" s="163"/>
      <c r="BZ64" s="432"/>
      <c r="CA64" s="434"/>
      <c r="CB64" s="432"/>
      <c r="CC64" s="163"/>
      <c r="CD64" s="432"/>
      <c r="CE64" s="434"/>
      <c r="CF64" s="432"/>
      <c r="CG64" s="163"/>
      <c r="CH64" s="432"/>
      <c r="CI64" s="434"/>
      <c r="CJ64" s="432"/>
      <c r="CK64" s="163"/>
      <c r="CL64" s="432"/>
      <c r="CM64" s="434"/>
      <c r="CN64" s="432"/>
      <c r="CO64" s="163"/>
      <c r="CP64" s="432"/>
      <c r="CQ64" s="434"/>
      <c r="CR64" s="432"/>
      <c r="CS64" s="163"/>
      <c r="CT64" s="432"/>
      <c r="CU64" s="434"/>
      <c r="CV64" s="432"/>
      <c r="CW64" s="163"/>
      <c r="CX64" s="432"/>
      <c r="CY64" s="434"/>
      <c r="CZ64" s="432"/>
      <c r="DA64" s="163"/>
      <c r="DB64" s="432"/>
      <c r="DC64" s="434"/>
      <c r="DD64" s="432"/>
      <c r="DE64" s="163"/>
      <c r="DF64" s="432"/>
      <c r="DG64" s="434"/>
      <c r="DH64" s="432"/>
      <c r="DI64" s="163"/>
      <c r="DJ64" s="432"/>
      <c r="DK64" s="434"/>
      <c r="DL64" s="432"/>
      <c r="DM64" s="163"/>
      <c r="DN64" s="432"/>
      <c r="DO64" s="434"/>
      <c r="DP64" s="432"/>
      <c r="DQ64" s="163"/>
      <c r="DR64" s="432"/>
      <c r="DS64" s="434"/>
      <c r="DT64" s="432"/>
      <c r="DU64" s="163"/>
      <c r="DV64" s="432"/>
      <c r="DW64" s="434"/>
      <c r="DX64" s="432"/>
      <c r="DY64" s="432"/>
    </row>
    <row r="65" spans="1:129">
      <c r="A65" s="166"/>
      <c r="B65" s="166"/>
      <c r="C65" s="166"/>
      <c r="D65" s="431"/>
      <c r="E65" s="163"/>
      <c r="F65" s="432"/>
      <c r="G65" s="434"/>
      <c r="H65" s="432"/>
      <c r="I65" s="163"/>
      <c r="J65" s="432"/>
      <c r="K65" s="434"/>
      <c r="L65" s="432"/>
      <c r="M65" s="163"/>
      <c r="N65" s="432"/>
      <c r="O65" s="432"/>
      <c r="P65" s="432"/>
      <c r="Q65" s="163"/>
      <c r="R65" s="432"/>
      <c r="S65" s="432"/>
      <c r="T65" s="432"/>
      <c r="U65" s="163"/>
      <c r="V65" s="432"/>
      <c r="W65" s="434"/>
      <c r="X65" s="432"/>
      <c r="Y65" s="163"/>
      <c r="Z65" s="432"/>
      <c r="AA65" s="434"/>
      <c r="AB65" s="432"/>
      <c r="AC65" s="163"/>
      <c r="AD65" s="432"/>
      <c r="AE65" s="434"/>
      <c r="AF65" s="432"/>
      <c r="AG65" s="163"/>
      <c r="AH65" s="432"/>
      <c r="AI65" s="434"/>
      <c r="AJ65" s="432"/>
      <c r="AK65" s="163"/>
      <c r="AL65" s="432"/>
      <c r="AM65" s="434"/>
      <c r="AN65" s="432"/>
      <c r="AO65" s="163"/>
      <c r="AP65" s="432"/>
      <c r="AQ65" s="434"/>
      <c r="AR65" s="432"/>
      <c r="AS65" s="163"/>
      <c r="AT65" s="432"/>
      <c r="AU65" s="434"/>
      <c r="AV65" s="432"/>
      <c r="AW65" s="163"/>
      <c r="AX65" s="432"/>
      <c r="AY65" s="434"/>
      <c r="AZ65" s="432"/>
      <c r="BA65" s="163"/>
      <c r="BB65" s="432"/>
      <c r="BC65" s="434"/>
      <c r="BD65" s="432"/>
      <c r="BE65" s="163"/>
      <c r="BF65" s="432"/>
      <c r="BG65" s="434"/>
      <c r="BH65" s="432"/>
      <c r="BI65" s="163"/>
      <c r="BJ65" s="432"/>
      <c r="BK65" s="434"/>
      <c r="BL65" s="432"/>
      <c r="BM65" s="163"/>
      <c r="BN65" s="432"/>
      <c r="BO65" s="434"/>
      <c r="BP65" s="432"/>
      <c r="BQ65" s="163"/>
      <c r="BR65" s="432"/>
      <c r="BS65" s="434"/>
      <c r="BT65" s="432"/>
      <c r="BU65" s="163"/>
      <c r="BV65" s="432"/>
      <c r="BW65" s="434"/>
      <c r="BX65" s="432"/>
      <c r="BY65" s="163"/>
      <c r="BZ65" s="432"/>
      <c r="CA65" s="434"/>
      <c r="CB65" s="432"/>
      <c r="CC65" s="163"/>
      <c r="CD65" s="432"/>
      <c r="CE65" s="434"/>
      <c r="CF65" s="432"/>
      <c r="CG65" s="163"/>
      <c r="CH65" s="432"/>
      <c r="CI65" s="434"/>
      <c r="CJ65" s="432"/>
      <c r="CK65" s="163"/>
      <c r="CL65" s="432"/>
      <c r="CM65" s="434"/>
      <c r="CN65" s="432"/>
      <c r="CO65" s="163"/>
      <c r="CP65" s="432"/>
      <c r="CQ65" s="434"/>
      <c r="CR65" s="432"/>
      <c r="CS65" s="163"/>
      <c r="CT65" s="432"/>
      <c r="CU65" s="434"/>
      <c r="CV65" s="432"/>
      <c r="CW65" s="163"/>
      <c r="CX65" s="432"/>
      <c r="CY65" s="434"/>
      <c r="CZ65" s="432"/>
      <c r="DA65" s="163"/>
      <c r="DB65" s="432"/>
      <c r="DC65" s="434"/>
      <c r="DD65" s="432"/>
      <c r="DE65" s="163"/>
      <c r="DF65" s="432"/>
      <c r="DG65" s="434"/>
      <c r="DH65" s="432"/>
      <c r="DI65" s="163"/>
      <c r="DJ65" s="432"/>
      <c r="DK65" s="434"/>
      <c r="DL65" s="432"/>
      <c r="DM65" s="163"/>
      <c r="DN65" s="432"/>
      <c r="DO65" s="434"/>
      <c r="DP65" s="432"/>
      <c r="DQ65" s="163"/>
      <c r="DR65" s="432"/>
      <c r="DS65" s="434"/>
      <c r="DT65" s="432"/>
      <c r="DU65" s="163"/>
      <c r="DV65" s="432"/>
      <c r="DW65" s="434"/>
      <c r="DX65" s="432"/>
      <c r="DY65" s="432"/>
    </row>
    <row r="66" spans="1:129">
      <c r="A66" s="166"/>
      <c r="B66" s="166"/>
      <c r="C66" s="166"/>
      <c r="D66" s="431"/>
      <c r="E66" s="163"/>
      <c r="F66" s="432"/>
      <c r="G66" s="434"/>
      <c r="H66" s="432"/>
      <c r="I66" s="163"/>
      <c r="J66" s="432"/>
      <c r="K66" s="434"/>
      <c r="L66" s="432"/>
      <c r="M66" s="163"/>
      <c r="N66" s="432"/>
      <c r="O66" s="432"/>
      <c r="P66" s="432"/>
      <c r="Q66" s="163"/>
      <c r="R66" s="432"/>
      <c r="S66" s="432"/>
      <c r="T66" s="432"/>
      <c r="U66" s="163"/>
      <c r="V66" s="432"/>
      <c r="W66" s="434"/>
      <c r="X66" s="432"/>
      <c r="Y66" s="163"/>
      <c r="Z66" s="432"/>
      <c r="AA66" s="434"/>
      <c r="AB66" s="432"/>
      <c r="AC66" s="163"/>
      <c r="AD66" s="432"/>
      <c r="AE66" s="434"/>
      <c r="AF66" s="432"/>
      <c r="AG66" s="163"/>
      <c r="AH66" s="432"/>
      <c r="AI66" s="434"/>
      <c r="AJ66" s="432"/>
      <c r="AK66" s="163"/>
      <c r="AL66" s="432"/>
      <c r="AM66" s="434"/>
      <c r="AN66" s="432"/>
      <c r="AO66" s="163"/>
      <c r="AP66" s="432"/>
      <c r="AQ66" s="434"/>
      <c r="AR66" s="432"/>
      <c r="AS66" s="163"/>
      <c r="AT66" s="432"/>
      <c r="AU66" s="434"/>
      <c r="AV66" s="432"/>
      <c r="AW66" s="163"/>
      <c r="AX66" s="432"/>
      <c r="AY66" s="434"/>
      <c r="AZ66" s="432"/>
      <c r="BA66" s="163"/>
      <c r="BB66" s="432"/>
      <c r="BC66" s="434"/>
      <c r="BD66" s="432"/>
      <c r="BE66" s="163"/>
      <c r="BF66" s="432"/>
      <c r="BG66" s="434"/>
      <c r="BH66" s="432"/>
      <c r="BI66" s="163"/>
      <c r="BJ66" s="432"/>
      <c r="BK66" s="434"/>
      <c r="BL66" s="432"/>
      <c r="BM66" s="163"/>
      <c r="BN66" s="432"/>
      <c r="BO66" s="434"/>
      <c r="BP66" s="432"/>
      <c r="BQ66" s="163"/>
      <c r="BR66" s="432"/>
      <c r="BS66" s="434"/>
      <c r="BT66" s="432"/>
      <c r="BU66" s="163"/>
      <c r="BV66" s="432"/>
      <c r="BW66" s="434"/>
      <c r="BX66" s="432"/>
      <c r="BY66" s="163"/>
      <c r="BZ66" s="432"/>
      <c r="CA66" s="434"/>
      <c r="CB66" s="432"/>
      <c r="CC66" s="163"/>
      <c r="CD66" s="432"/>
      <c r="CE66" s="434"/>
      <c r="CF66" s="432"/>
      <c r="CG66" s="163"/>
      <c r="CH66" s="432"/>
      <c r="CI66" s="434"/>
      <c r="CJ66" s="432"/>
      <c r="CK66" s="163"/>
      <c r="CL66" s="432"/>
      <c r="CM66" s="434"/>
      <c r="CN66" s="432"/>
      <c r="CO66" s="163"/>
      <c r="CP66" s="432"/>
      <c r="CQ66" s="434"/>
      <c r="CR66" s="432"/>
      <c r="CS66" s="163"/>
      <c r="CT66" s="432"/>
      <c r="CU66" s="434"/>
      <c r="CV66" s="432"/>
      <c r="CW66" s="163"/>
      <c r="CX66" s="432"/>
      <c r="CY66" s="434"/>
      <c r="CZ66" s="432"/>
      <c r="DA66" s="163"/>
      <c r="DB66" s="432"/>
      <c r="DC66" s="434"/>
      <c r="DD66" s="432"/>
      <c r="DE66" s="163"/>
      <c r="DF66" s="432"/>
      <c r="DG66" s="434"/>
      <c r="DH66" s="432"/>
      <c r="DI66" s="163"/>
      <c r="DJ66" s="432"/>
      <c r="DK66" s="434"/>
      <c r="DL66" s="432"/>
      <c r="DM66" s="163"/>
      <c r="DN66" s="432"/>
      <c r="DO66" s="434"/>
      <c r="DP66" s="432"/>
      <c r="DQ66" s="163"/>
      <c r="DR66" s="432"/>
      <c r="DS66" s="434"/>
      <c r="DT66" s="432"/>
      <c r="DU66" s="163"/>
      <c r="DV66" s="432"/>
      <c r="DW66" s="434"/>
      <c r="DX66" s="432"/>
      <c r="DY66" s="432"/>
    </row>
    <row r="67" spans="1:129">
      <c r="A67" s="166"/>
      <c r="B67" s="166"/>
      <c r="C67" s="166"/>
      <c r="D67" s="431"/>
      <c r="E67" s="163"/>
      <c r="F67" s="432"/>
      <c r="G67" s="434"/>
      <c r="H67" s="432"/>
      <c r="I67" s="163"/>
      <c r="J67" s="432"/>
      <c r="K67" s="434"/>
      <c r="L67" s="432"/>
      <c r="M67" s="163"/>
      <c r="N67" s="432"/>
      <c r="O67" s="432"/>
      <c r="P67" s="432"/>
      <c r="Q67" s="163"/>
      <c r="R67" s="432"/>
      <c r="S67" s="432"/>
      <c r="T67" s="432"/>
      <c r="U67" s="163"/>
      <c r="V67" s="432"/>
      <c r="W67" s="434"/>
      <c r="X67" s="432"/>
      <c r="Y67" s="163"/>
      <c r="Z67" s="432"/>
      <c r="AA67" s="434"/>
      <c r="AB67" s="432"/>
      <c r="AC67" s="163"/>
      <c r="AD67" s="432"/>
      <c r="AE67" s="434"/>
      <c r="AF67" s="432"/>
      <c r="AG67" s="163"/>
      <c r="AH67" s="432"/>
      <c r="AI67" s="434"/>
      <c r="AJ67" s="432"/>
      <c r="AK67" s="163"/>
      <c r="AL67" s="432"/>
      <c r="AM67" s="434"/>
      <c r="AN67" s="432"/>
      <c r="AO67" s="163"/>
      <c r="AP67" s="432"/>
      <c r="AQ67" s="434"/>
      <c r="AR67" s="432"/>
      <c r="AS67" s="163"/>
      <c r="AT67" s="432"/>
      <c r="AU67" s="434"/>
      <c r="AV67" s="432"/>
      <c r="AW67" s="163"/>
      <c r="AX67" s="432"/>
      <c r="AY67" s="434"/>
      <c r="AZ67" s="432"/>
      <c r="BA67" s="163"/>
      <c r="BB67" s="432"/>
      <c r="BC67" s="434"/>
      <c r="BD67" s="432"/>
      <c r="BE67" s="163"/>
      <c r="BF67" s="432"/>
      <c r="BG67" s="434"/>
      <c r="BH67" s="432"/>
      <c r="BI67" s="163"/>
      <c r="BJ67" s="432"/>
      <c r="BK67" s="434"/>
      <c r="BL67" s="432"/>
      <c r="BM67" s="163"/>
      <c r="BN67" s="432"/>
      <c r="BO67" s="434"/>
      <c r="BP67" s="432"/>
      <c r="BQ67" s="163"/>
      <c r="BR67" s="432"/>
      <c r="BS67" s="434"/>
      <c r="BT67" s="432"/>
      <c r="BU67" s="163"/>
      <c r="BV67" s="432"/>
      <c r="BW67" s="434"/>
      <c r="BX67" s="432"/>
      <c r="BY67" s="163"/>
      <c r="BZ67" s="432"/>
      <c r="CA67" s="434"/>
      <c r="CB67" s="432"/>
      <c r="CC67" s="163"/>
      <c r="CD67" s="432"/>
      <c r="CE67" s="434"/>
      <c r="CF67" s="432"/>
      <c r="CG67" s="163"/>
      <c r="CH67" s="432"/>
      <c r="CI67" s="434"/>
      <c r="CJ67" s="432"/>
      <c r="CK67" s="163"/>
      <c r="CL67" s="432"/>
      <c r="CM67" s="434"/>
      <c r="CN67" s="432"/>
      <c r="CO67" s="163"/>
      <c r="CP67" s="432"/>
      <c r="CQ67" s="434"/>
      <c r="CR67" s="432"/>
      <c r="CS67" s="163"/>
      <c r="CT67" s="432"/>
      <c r="CU67" s="434"/>
      <c r="CV67" s="432"/>
      <c r="CW67" s="163"/>
      <c r="CX67" s="432"/>
      <c r="CY67" s="434"/>
      <c r="CZ67" s="432"/>
      <c r="DA67" s="163"/>
      <c r="DB67" s="432"/>
      <c r="DC67" s="434"/>
      <c r="DD67" s="432"/>
      <c r="DE67" s="163"/>
      <c r="DF67" s="432"/>
      <c r="DG67" s="434"/>
      <c r="DH67" s="432"/>
      <c r="DI67" s="163"/>
      <c r="DJ67" s="432"/>
      <c r="DK67" s="434"/>
      <c r="DL67" s="432"/>
      <c r="DM67" s="163"/>
      <c r="DN67" s="432"/>
      <c r="DO67" s="434"/>
      <c r="DP67" s="432"/>
      <c r="DQ67" s="163"/>
      <c r="DR67" s="432"/>
      <c r="DS67" s="434"/>
      <c r="DT67" s="432"/>
      <c r="DU67" s="163"/>
      <c r="DV67" s="432"/>
      <c r="DW67" s="434"/>
      <c r="DX67" s="432"/>
      <c r="DY67" s="432"/>
    </row>
    <row r="68" spans="1:129">
      <c r="A68" s="166"/>
      <c r="B68" s="166"/>
      <c r="C68" s="435"/>
      <c r="D68" s="435"/>
      <c r="E68" s="163"/>
      <c r="F68" s="432"/>
      <c r="G68" s="434"/>
      <c r="H68" s="432"/>
      <c r="I68" s="163"/>
      <c r="J68" s="432"/>
      <c r="K68" s="434"/>
      <c r="L68" s="432"/>
      <c r="M68" s="163"/>
      <c r="N68" s="432"/>
      <c r="O68" s="432"/>
      <c r="P68" s="432"/>
      <c r="Q68" s="163"/>
      <c r="R68" s="432"/>
      <c r="S68" s="432"/>
      <c r="T68" s="432"/>
      <c r="U68" s="163"/>
      <c r="V68" s="432"/>
      <c r="W68" s="434"/>
      <c r="X68" s="432"/>
      <c r="Y68" s="163"/>
      <c r="Z68" s="432"/>
      <c r="AA68" s="434"/>
      <c r="AB68" s="432"/>
      <c r="AC68" s="163"/>
      <c r="AD68" s="432"/>
      <c r="AE68" s="434"/>
      <c r="AF68" s="432"/>
      <c r="AG68" s="163"/>
      <c r="AH68" s="432"/>
      <c r="AI68" s="434"/>
      <c r="AJ68" s="432"/>
      <c r="AK68" s="163"/>
      <c r="AL68" s="432"/>
      <c r="AM68" s="434"/>
      <c r="AN68" s="432"/>
      <c r="AO68" s="163"/>
      <c r="AP68" s="432"/>
      <c r="AQ68" s="434"/>
      <c r="AR68" s="432"/>
      <c r="AS68" s="163"/>
      <c r="AT68" s="432"/>
      <c r="AU68" s="434"/>
      <c r="AV68" s="432"/>
      <c r="AW68" s="163"/>
      <c r="AX68" s="432"/>
      <c r="AY68" s="434"/>
      <c r="AZ68" s="432"/>
      <c r="BA68" s="163"/>
      <c r="BB68" s="432"/>
      <c r="BC68" s="434"/>
      <c r="BD68" s="432"/>
      <c r="BE68" s="163"/>
      <c r="BF68" s="432"/>
      <c r="BG68" s="434"/>
      <c r="BH68" s="432"/>
      <c r="BI68" s="163"/>
      <c r="BJ68" s="432"/>
      <c r="BK68" s="434"/>
      <c r="BL68" s="432"/>
      <c r="BM68" s="163"/>
      <c r="BN68" s="432"/>
      <c r="BO68" s="434"/>
      <c r="BP68" s="432"/>
      <c r="BQ68" s="163"/>
      <c r="BR68" s="432"/>
      <c r="BS68" s="434"/>
      <c r="BT68" s="432"/>
      <c r="BU68" s="163"/>
      <c r="BV68" s="432"/>
      <c r="BW68" s="434"/>
      <c r="BX68" s="432"/>
      <c r="BY68" s="163"/>
      <c r="BZ68" s="432"/>
      <c r="CA68" s="434"/>
      <c r="CB68" s="432"/>
      <c r="CC68" s="163"/>
      <c r="CD68" s="432"/>
      <c r="CE68" s="434"/>
      <c r="CF68" s="432"/>
      <c r="CG68" s="163"/>
      <c r="CH68" s="432"/>
      <c r="CI68" s="434"/>
      <c r="CJ68" s="432"/>
      <c r="CK68" s="163"/>
      <c r="CL68" s="432"/>
      <c r="CM68" s="434"/>
      <c r="CN68" s="432"/>
      <c r="CO68" s="163"/>
      <c r="CP68" s="432"/>
      <c r="CQ68" s="434"/>
      <c r="CR68" s="432"/>
      <c r="CS68" s="163"/>
      <c r="CT68" s="432"/>
      <c r="CU68" s="434"/>
      <c r="CV68" s="432"/>
      <c r="CW68" s="163"/>
      <c r="CX68" s="432"/>
      <c r="CY68" s="434"/>
      <c r="CZ68" s="432"/>
      <c r="DA68" s="163"/>
      <c r="DB68" s="432"/>
      <c r="DC68" s="434"/>
      <c r="DD68" s="432"/>
      <c r="DE68" s="163"/>
      <c r="DF68" s="432"/>
      <c r="DG68" s="434"/>
      <c r="DH68" s="432"/>
      <c r="DI68" s="163"/>
      <c r="DJ68" s="432"/>
      <c r="DK68" s="434"/>
      <c r="DL68" s="432"/>
      <c r="DM68" s="163"/>
      <c r="DN68" s="432"/>
      <c r="DO68" s="434"/>
      <c r="DP68" s="432"/>
      <c r="DQ68" s="163"/>
      <c r="DR68" s="432"/>
      <c r="DS68" s="434"/>
      <c r="DT68" s="432"/>
      <c r="DU68" s="163"/>
      <c r="DV68" s="432"/>
      <c r="DW68" s="434"/>
      <c r="DX68" s="432"/>
      <c r="DY68" s="432"/>
    </row>
    <row r="69" spans="1:129">
      <c r="A69" s="166"/>
      <c r="B69" s="166"/>
      <c r="C69" s="166"/>
      <c r="D69" s="435"/>
      <c r="E69" s="163"/>
      <c r="F69" s="432"/>
      <c r="G69" s="434"/>
      <c r="H69" s="432"/>
      <c r="I69" s="163"/>
      <c r="J69" s="432"/>
      <c r="K69" s="434"/>
      <c r="L69" s="432"/>
      <c r="M69" s="163"/>
      <c r="N69" s="432"/>
      <c r="O69" s="432"/>
      <c r="P69" s="432"/>
      <c r="Q69" s="163"/>
      <c r="R69" s="432"/>
      <c r="S69" s="432"/>
      <c r="T69" s="432"/>
      <c r="U69" s="163"/>
      <c r="V69" s="432"/>
      <c r="W69" s="434"/>
      <c r="X69" s="432"/>
      <c r="Y69" s="163"/>
      <c r="Z69" s="432"/>
      <c r="AA69" s="434"/>
      <c r="AB69" s="432"/>
      <c r="AC69" s="163"/>
      <c r="AD69" s="432"/>
      <c r="AE69" s="434"/>
      <c r="AF69" s="432"/>
      <c r="AG69" s="163"/>
      <c r="AH69" s="432"/>
      <c r="AI69" s="434"/>
      <c r="AJ69" s="432"/>
      <c r="AK69" s="163"/>
      <c r="AL69" s="432"/>
      <c r="AM69" s="434"/>
      <c r="AN69" s="432"/>
      <c r="AO69" s="163"/>
      <c r="AP69" s="432"/>
      <c r="AQ69" s="434"/>
      <c r="AR69" s="432"/>
      <c r="AS69" s="163"/>
      <c r="AT69" s="432"/>
      <c r="AU69" s="434"/>
      <c r="AV69" s="432"/>
      <c r="AW69" s="163"/>
      <c r="AX69" s="432"/>
      <c r="AY69" s="434"/>
      <c r="AZ69" s="432"/>
      <c r="BA69" s="163"/>
      <c r="BB69" s="432"/>
      <c r="BC69" s="434"/>
      <c r="BD69" s="432"/>
      <c r="BE69" s="163"/>
      <c r="BF69" s="432"/>
      <c r="BG69" s="434"/>
      <c r="BH69" s="432"/>
      <c r="BI69" s="163"/>
      <c r="BJ69" s="432"/>
      <c r="BK69" s="434"/>
      <c r="BL69" s="432"/>
      <c r="BM69" s="163"/>
      <c r="BN69" s="432"/>
      <c r="BO69" s="434"/>
      <c r="BP69" s="432"/>
      <c r="BQ69" s="163"/>
      <c r="BR69" s="432"/>
      <c r="BS69" s="434"/>
      <c r="BT69" s="432"/>
      <c r="BU69" s="163"/>
      <c r="BV69" s="432"/>
      <c r="BW69" s="434"/>
      <c r="BX69" s="432"/>
      <c r="BY69" s="163"/>
      <c r="BZ69" s="432"/>
      <c r="CA69" s="434"/>
      <c r="CB69" s="432"/>
      <c r="CC69" s="163"/>
      <c r="CD69" s="432"/>
      <c r="CE69" s="434"/>
      <c r="CF69" s="432"/>
      <c r="CG69" s="163"/>
      <c r="CH69" s="432"/>
      <c r="CI69" s="434"/>
      <c r="CJ69" s="432"/>
      <c r="CK69" s="163"/>
      <c r="CL69" s="432"/>
      <c r="CM69" s="434"/>
      <c r="CN69" s="432"/>
      <c r="CO69" s="163"/>
      <c r="CP69" s="432"/>
      <c r="CQ69" s="434"/>
      <c r="CR69" s="432"/>
      <c r="CS69" s="163"/>
      <c r="CT69" s="432"/>
      <c r="CU69" s="434"/>
      <c r="CV69" s="432"/>
      <c r="CW69" s="163"/>
      <c r="CX69" s="432"/>
      <c r="CY69" s="434"/>
      <c r="CZ69" s="432"/>
      <c r="DA69" s="163"/>
      <c r="DB69" s="432"/>
      <c r="DC69" s="434"/>
      <c r="DD69" s="432"/>
      <c r="DE69" s="163"/>
      <c r="DF69" s="432"/>
      <c r="DG69" s="434"/>
      <c r="DH69" s="432"/>
      <c r="DI69" s="163"/>
      <c r="DJ69" s="432"/>
      <c r="DK69" s="434"/>
      <c r="DL69" s="432"/>
      <c r="DM69" s="163"/>
      <c r="DN69" s="432"/>
      <c r="DO69" s="434"/>
      <c r="DP69" s="432"/>
      <c r="DQ69" s="163"/>
      <c r="DR69" s="432"/>
      <c r="DS69" s="434"/>
      <c r="DT69" s="432"/>
      <c r="DU69" s="163"/>
      <c r="DV69" s="432"/>
      <c r="DW69" s="434"/>
      <c r="DX69" s="432"/>
      <c r="DY69" s="432"/>
    </row>
    <row r="70" spans="1:129">
      <c r="A70" s="166"/>
      <c r="B70" s="166"/>
      <c r="C70" s="166"/>
      <c r="D70" s="435"/>
      <c r="E70" s="163"/>
      <c r="F70" s="432"/>
      <c r="G70" s="434"/>
      <c r="H70" s="432"/>
      <c r="I70" s="163"/>
      <c r="J70" s="432"/>
      <c r="K70" s="434"/>
      <c r="L70" s="432"/>
      <c r="M70" s="163"/>
      <c r="N70" s="432"/>
      <c r="O70" s="432"/>
      <c r="P70" s="432"/>
      <c r="Q70" s="163"/>
      <c r="R70" s="432"/>
      <c r="S70" s="432"/>
      <c r="T70" s="432"/>
      <c r="U70" s="163"/>
      <c r="V70" s="432"/>
      <c r="W70" s="434"/>
      <c r="X70" s="432"/>
      <c r="Y70" s="163"/>
      <c r="Z70" s="432"/>
      <c r="AA70" s="434"/>
      <c r="AB70" s="432"/>
      <c r="AC70" s="163"/>
      <c r="AD70" s="432"/>
      <c r="AE70" s="434"/>
      <c r="AF70" s="432"/>
      <c r="AG70" s="163"/>
      <c r="AH70" s="432"/>
      <c r="AI70" s="434"/>
      <c r="AJ70" s="432"/>
      <c r="AK70" s="163"/>
      <c r="AL70" s="432"/>
      <c r="AM70" s="434"/>
      <c r="AN70" s="432"/>
      <c r="AO70" s="163"/>
      <c r="AP70" s="432"/>
      <c r="AQ70" s="434"/>
      <c r="AR70" s="432"/>
      <c r="AS70" s="163"/>
      <c r="AT70" s="432"/>
      <c r="AU70" s="434"/>
      <c r="AV70" s="432"/>
      <c r="AW70" s="163"/>
      <c r="AX70" s="432"/>
      <c r="AY70" s="434"/>
      <c r="AZ70" s="432"/>
      <c r="BA70" s="163"/>
      <c r="BB70" s="432"/>
      <c r="BC70" s="434"/>
      <c r="BD70" s="432"/>
      <c r="BE70" s="163"/>
      <c r="BF70" s="432"/>
      <c r="BG70" s="434"/>
      <c r="BH70" s="432"/>
      <c r="BI70" s="163"/>
      <c r="BJ70" s="432"/>
      <c r="BK70" s="434"/>
      <c r="BL70" s="432"/>
      <c r="BM70" s="163"/>
      <c r="BN70" s="432"/>
      <c r="BO70" s="434"/>
      <c r="BP70" s="432"/>
      <c r="BQ70" s="163"/>
      <c r="BR70" s="432"/>
      <c r="BS70" s="434"/>
      <c r="BT70" s="432"/>
      <c r="BU70" s="163"/>
      <c r="BV70" s="432"/>
      <c r="BW70" s="434"/>
      <c r="BX70" s="432"/>
      <c r="BY70" s="163"/>
      <c r="BZ70" s="432"/>
      <c r="CA70" s="434"/>
      <c r="CB70" s="432"/>
      <c r="CC70" s="163"/>
      <c r="CD70" s="432"/>
      <c r="CE70" s="434"/>
      <c r="CF70" s="432"/>
      <c r="CG70" s="163"/>
      <c r="CH70" s="432"/>
      <c r="CI70" s="434"/>
      <c r="CJ70" s="432"/>
      <c r="CK70" s="163"/>
      <c r="CL70" s="432"/>
      <c r="CM70" s="434"/>
      <c r="CN70" s="432"/>
      <c r="CO70" s="163"/>
      <c r="CP70" s="432"/>
      <c r="CQ70" s="434"/>
      <c r="CR70" s="432"/>
      <c r="CS70" s="163"/>
      <c r="CT70" s="432"/>
      <c r="CU70" s="434"/>
      <c r="CV70" s="432"/>
      <c r="CW70" s="163"/>
      <c r="CX70" s="432"/>
      <c r="CY70" s="434"/>
      <c r="CZ70" s="432"/>
      <c r="DA70" s="163"/>
      <c r="DB70" s="432"/>
      <c r="DC70" s="434"/>
      <c r="DD70" s="432"/>
      <c r="DE70" s="163"/>
      <c r="DF70" s="432"/>
      <c r="DG70" s="434"/>
      <c r="DH70" s="432"/>
      <c r="DI70" s="163"/>
      <c r="DJ70" s="432"/>
      <c r="DK70" s="434"/>
      <c r="DL70" s="432"/>
      <c r="DM70" s="163"/>
      <c r="DN70" s="432"/>
      <c r="DO70" s="434"/>
      <c r="DP70" s="432"/>
      <c r="DQ70" s="163"/>
      <c r="DR70" s="432"/>
      <c r="DS70" s="434"/>
      <c r="DT70" s="432"/>
      <c r="DU70" s="163"/>
      <c r="DV70" s="432"/>
      <c r="DW70" s="434"/>
      <c r="DX70" s="432"/>
      <c r="DY70" s="432"/>
    </row>
    <row r="71" spans="1:129">
      <c r="A71" s="166"/>
      <c r="B71" s="166"/>
      <c r="C71" s="166"/>
      <c r="D71" s="435"/>
      <c r="E71" s="163"/>
      <c r="F71" s="432"/>
      <c r="G71" s="434"/>
      <c r="H71" s="432"/>
      <c r="I71" s="163"/>
      <c r="J71" s="432"/>
      <c r="K71" s="434"/>
      <c r="L71" s="432"/>
      <c r="M71" s="163"/>
      <c r="N71" s="432"/>
      <c r="O71" s="432"/>
      <c r="P71" s="432"/>
      <c r="Q71" s="163"/>
      <c r="R71" s="432"/>
      <c r="S71" s="432"/>
      <c r="T71" s="432"/>
      <c r="U71" s="163"/>
      <c r="V71" s="432"/>
      <c r="W71" s="434"/>
      <c r="X71" s="432"/>
      <c r="Y71" s="163"/>
      <c r="Z71" s="432"/>
      <c r="AA71" s="434"/>
      <c r="AB71" s="432"/>
      <c r="AC71" s="163"/>
      <c r="AD71" s="432"/>
      <c r="AE71" s="434"/>
      <c r="AF71" s="432"/>
      <c r="AG71" s="163"/>
      <c r="AH71" s="432"/>
      <c r="AI71" s="434"/>
      <c r="AJ71" s="432"/>
      <c r="AK71" s="163"/>
      <c r="AL71" s="432"/>
      <c r="AM71" s="434"/>
      <c r="AN71" s="432"/>
      <c r="AO71" s="163"/>
      <c r="AP71" s="432"/>
      <c r="AQ71" s="434"/>
      <c r="AR71" s="432"/>
      <c r="AS71" s="163"/>
      <c r="AT71" s="432"/>
      <c r="AU71" s="434"/>
      <c r="AV71" s="432"/>
      <c r="AW71" s="163"/>
      <c r="AX71" s="432"/>
      <c r="AY71" s="434"/>
      <c r="AZ71" s="432"/>
      <c r="BA71" s="163"/>
      <c r="BB71" s="432"/>
      <c r="BC71" s="434"/>
      <c r="BD71" s="432"/>
      <c r="BE71" s="163"/>
      <c r="BF71" s="432"/>
      <c r="BG71" s="434"/>
      <c r="BH71" s="432"/>
      <c r="BI71" s="163"/>
      <c r="BJ71" s="432"/>
      <c r="BK71" s="434"/>
      <c r="BL71" s="432"/>
      <c r="BM71" s="163"/>
      <c r="BN71" s="432"/>
      <c r="BO71" s="434"/>
      <c r="BP71" s="432"/>
      <c r="BQ71" s="163"/>
      <c r="BR71" s="432"/>
      <c r="BS71" s="434"/>
      <c r="BT71" s="432"/>
      <c r="BU71" s="163"/>
      <c r="BV71" s="432"/>
      <c r="BW71" s="434"/>
      <c r="BX71" s="432"/>
      <c r="BY71" s="163"/>
      <c r="BZ71" s="432"/>
      <c r="CA71" s="434"/>
      <c r="CB71" s="432"/>
      <c r="CC71" s="163"/>
      <c r="CD71" s="432"/>
      <c r="CE71" s="434"/>
      <c r="CF71" s="432"/>
      <c r="CG71" s="163"/>
      <c r="CH71" s="432"/>
      <c r="CI71" s="434"/>
      <c r="CJ71" s="432"/>
      <c r="CK71" s="163"/>
      <c r="CL71" s="432"/>
      <c r="CM71" s="434"/>
      <c r="CN71" s="432"/>
      <c r="CO71" s="163"/>
      <c r="CP71" s="432"/>
      <c r="CQ71" s="434"/>
      <c r="CR71" s="432"/>
      <c r="CS71" s="163"/>
      <c r="CT71" s="432"/>
      <c r="CU71" s="434"/>
      <c r="CV71" s="432"/>
      <c r="CW71" s="163"/>
      <c r="CX71" s="432"/>
      <c r="CY71" s="434"/>
      <c r="CZ71" s="432"/>
      <c r="DA71" s="163"/>
      <c r="DB71" s="432"/>
      <c r="DC71" s="434"/>
      <c r="DD71" s="432"/>
      <c r="DE71" s="163"/>
      <c r="DF71" s="432"/>
      <c r="DG71" s="434"/>
      <c r="DH71" s="432"/>
      <c r="DI71" s="163"/>
      <c r="DJ71" s="432"/>
      <c r="DK71" s="434"/>
      <c r="DL71" s="432"/>
      <c r="DM71" s="163"/>
      <c r="DN71" s="432"/>
      <c r="DO71" s="434"/>
      <c r="DP71" s="432"/>
      <c r="DQ71" s="163"/>
      <c r="DR71" s="432"/>
      <c r="DS71" s="434"/>
      <c r="DT71" s="432"/>
      <c r="DU71" s="163"/>
      <c r="DV71" s="432"/>
      <c r="DW71" s="434"/>
      <c r="DX71" s="432"/>
      <c r="DY71" s="432"/>
    </row>
    <row r="72" spans="1:129">
      <c r="A72" s="166"/>
      <c r="B72" s="166"/>
      <c r="C72" s="166"/>
      <c r="D72" s="435"/>
      <c r="E72" s="163"/>
      <c r="F72" s="432"/>
      <c r="G72" s="163"/>
      <c r="H72" s="432"/>
      <c r="I72" s="163"/>
      <c r="J72" s="432"/>
      <c r="K72" s="434"/>
      <c r="L72" s="432"/>
      <c r="M72" s="163"/>
      <c r="N72" s="432"/>
      <c r="O72" s="432"/>
      <c r="P72" s="432"/>
      <c r="Q72" s="163"/>
      <c r="R72" s="432"/>
      <c r="S72" s="432"/>
      <c r="T72" s="432"/>
      <c r="U72" s="163"/>
      <c r="V72" s="432"/>
      <c r="W72" s="434"/>
      <c r="X72" s="432"/>
      <c r="Y72" s="163"/>
      <c r="Z72" s="432"/>
      <c r="AA72" s="434"/>
      <c r="AB72" s="432"/>
      <c r="AC72" s="163"/>
      <c r="AD72" s="432"/>
      <c r="AE72" s="434"/>
      <c r="AF72" s="432"/>
      <c r="AG72" s="163"/>
      <c r="AH72" s="432"/>
      <c r="AI72" s="434"/>
      <c r="AJ72" s="432"/>
      <c r="AK72" s="163"/>
      <c r="AL72" s="432"/>
      <c r="AM72" s="434"/>
      <c r="AN72" s="432"/>
      <c r="AO72" s="163"/>
      <c r="AP72" s="432"/>
      <c r="AQ72" s="434"/>
      <c r="AR72" s="432"/>
      <c r="AS72" s="163"/>
      <c r="AT72" s="432"/>
      <c r="AU72" s="434"/>
      <c r="AV72" s="432"/>
      <c r="AW72" s="163"/>
      <c r="AX72" s="432"/>
      <c r="AY72" s="434"/>
      <c r="AZ72" s="432"/>
      <c r="BA72" s="163"/>
      <c r="BB72" s="432"/>
      <c r="BC72" s="434"/>
      <c r="BD72" s="432"/>
      <c r="BE72" s="163"/>
      <c r="BF72" s="432"/>
      <c r="BG72" s="434"/>
      <c r="BH72" s="432"/>
      <c r="BI72" s="163"/>
      <c r="BJ72" s="432"/>
      <c r="BK72" s="434"/>
      <c r="BL72" s="432"/>
      <c r="BM72" s="163"/>
      <c r="BN72" s="432"/>
      <c r="BO72" s="434"/>
      <c r="BP72" s="432"/>
      <c r="BQ72" s="163"/>
      <c r="BR72" s="432"/>
      <c r="BS72" s="434"/>
      <c r="BT72" s="432"/>
      <c r="BU72" s="163"/>
      <c r="BV72" s="432"/>
      <c r="BW72" s="434"/>
      <c r="BX72" s="432"/>
      <c r="BY72" s="163"/>
      <c r="BZ72" s="432"/>
      <c r="CA72" s="434"/>
      <c r="CB72" s="432"/>
      <c r="CC72" s="163"/>
      <c r="CD72" s="432"/>
      <c r="CE72" s="434"/>
      <c r="CF72" s="432"/>
      <c r="CG72" s="163"/>
      <c r="CH72" s="432"/>
      <c r="CI72" s="434"/>
      <c r="CJ72" s="432"/>
      <c r="CK72" s="163"/>
      <c r="CL72" s="432"/>
      <c r="CM72" s="434"/>
      <c r="CN72" s="432"/>
      <c r="CO72" s="163"/>
      <c r="CP72" s="432"/>
      <c r="CQ72" s="434"/>
      <c r="CR72" s="432"/>
      <c r="CS72" s="163"/>
      <c r="CT72" s="432"/>
      <c r="CU72" s="434"/>
      <c r="CV72" s="432"/>
      <c r="CW72" s="163"/>
      <c r="CX72" s="432"/>
      <c r="CY72" s="434"/>
      <c r="CZ72" s="432"/>
      <c r="DA72" s="163"/>
      <c r="DB72" s="432"/>
      <c r="DC72" s="434"/>
      <c r="DD72" s="432"/>
      <c r="DE72" s="163"/>
      <c r="DF72" s="432"/>
      <c r="DG72" s="434"/>
      <c r="DH72" s="432"/>
      <c r="DI72" s="163"/>
      <c r="DJ72" s="432"/>
      <c r="DK72" s="434"/>
      <c r="DL72" s="432"/>
      <c r="DM72" s="163"/>
      <c r="DN72" s="432"/>
      <c r="DO72" s="434"/>
      <c r="DP72" s="432"/>
      <c r="DQ72" s="163"/>
      <c r="DR72" s="432"/>
      <c r="DS72" s="434"/>
      <c r="DT72" s="432"/>
      <c r="DU72" s="163"/>
      <c r="DV72" s="432"/>
      <c r="DW72" s="434"/>
      <c r="DX72" s="432"/>
      <c r="DY72" s="432"/>
    </row>
    <row r="73" spans="1:129">
      <c r="A73" s="166"/>
      <c r="B73" s="166"/>
      <c r="C73" s="435"/>
      <c r="D73" s="435"/>
      <c r="F73" s="432"/>
      <c r="G73" s="434"/>
      <c r="H73" s="432"/>
      <c r="I73" s="163"/>
      <c r="J73" s="432"/>
      <c r="K73" s="434"/>
      <c r="L73" s="432"/>
      <c r="M73" s="163"/>
      <c r="N73" s="432"/>
      <c r="O73" s="432"/>
      <c r="P73" s="432"/>
      <c r="Q73" s="163"/>
      <c r="R73" s="432"/>
      <c r="S73" s="432"/>
      <c r="T73" s="432"/>
      <c r="U73" s="163"/>
      <c r="V73" s="432"/>
      <c r="W73" s="434"/>
      <c r="X73" s="432"/>
      <c r="Y73" s="163"/>
      <c r="Z73" s="432"/>
      <c r="AA73" s="434"/>
      <c r="AB73" s="432"/>
      <c r="AC73" s="163"/>
      <c r="AD73" s="432"/>
      <c r="AE73" s="434"/>
      <c r="AF73" s="432"/>
      <c r="AG73" s="163"/>
      <c r="AH73" s="432"/>
      <c r="AI73" s="434"/>
      <c r="AJ73" s="432"/>
      <c r="AK73" s="163"/>
      <c r="AL73" s="432"/>
      <c r="AM73" s="434"/>
      <c r="AN73" s="432"/>
      <c r="AO73" s="163"/>
      <c r="AP73" s="432"/>
      <c r="AQ73" s="434"/>
      <c r="AR73" s="432"/>
      <c r="AS73" s="163"/>
      <c r="AT73" s="432"/>
      <c r="AU73" s="434"/>
      <c r="AV73" s="432"/>
      <c r="AW73" s="163"/>
      <c r="AX73" s="432"/>
      <c r="AY73" s="434"/>
      <c r="AZ73" s="432"/>
      <c r="BA73" s="163"/>
      <c r="BB73" s="432"/>
      <c r="BC73" s="434"/>
      <c r="BD73" s="432"/>
      <c r="BE73" s="163"/>
      <c r="BF73" s="432"/>
      <c r="BG73" s="434"/>
      <c r="BH73" s="432"/>
      <c r="BI73" s="163"/>
      <c r="BJ73" s="432"/>
      <c r="BK73" s="434"/>
      <c r="BL73" s="432"/>
      <c r="BM73" s="163"/>
      <c r="BN73" s="432"/>
      <c r="BO73" s="434"/>
      <c r="BP73" s="432"/>
      <c r="BQ73" s="163"/>
      <c r="BR73" s="432"/>
      <c r="BS73" s="434"/>
      <c r="BT73" s="432"/>
      <c r="BU73" s="163"/>
      <c r="BV73" s="432"/>
      <c r="BW73" s="434"/>
      <c r="BX73" s="432"/>
      <c r="BY73" s="163"/>
      <c r="BZ73" s="432"/>
      <c r="CA73" s="434"/>
      <c r="CB73" s="432"/>
      <c r="CC73" s="163"/>
      <c r="CD73" s="432"/>
      <c r="CE73" s="434"/>
      <c r="CF73" s="432"/>
      <c r="CG73" s="163"/>
      <c r="CH73" s="432"/>
      <c r="CI73" s="434"/>
      <c r="CJ73" s="432"/>
      <c r="CK73" s="163"/>
      <c r="CL73" s="432"/>
      <c r="CM73" s="434"/>
      <c r="CN73" s="432"/>
      <c r="CO73" s="163"/>
      <c r="CP73" s="432"/>
      <c r="CQ73" s="434"/>
      <c r="CR73" s="432"/>
      <c r="CS73" s="163"/>
      <c r="CT73" s="432"/>
      <c r="CU73" s="434"/>
      <c r="CV73" s="432"/>
      <c r="CW73" s="163"/>
      <c r="CX73" s="432"/>
      <c r="CY73" s="434"/>
      <c r="CZ73" s="432"/>
      <c r="DA73" s="163"/>
      <c r="DB73" s="432"/>
      <c r="DC73" s="434"/>
      <c r="DD73" s="432"/>
      <c r="DE73" s="163"/>
      <c r="DF73" s="432"/>
      <c r="DG73" s="434"/>
      <c r="DH73" s="432"/>
      <c r="DI73" s="163"/>
      <c r="DJ73" s="432"/>
      <c r="DK73" s="434"/>
      <c r="DL73" s="432"/>
      <c r="DM73" s="163"/>
      <c r="DN73" s="432"/>
      <c r="DO73" s="434"/>
      <c r="DP73" s="432"/>
      <c r="DQ73" s="163"/>
      <c r="DR73" s="432"/>
      <c r="DS73" s="434"/>
      <c r="DT73" s="432"/>
      <c r="DU73" s="163"/>
      <c r="DV73" s="432"/>
      <c r="DW73" s="434"/>
      <c r="DX73" s="432"/>
      <c r="DY73" s="432"/>
    </row>
    <row r="75" spans="1:129">
      <c r="H75" s="436">
        <f>SUM(H3:H74)</f>
        <v>0</v>
      </c>
      <c r="L75" s="436">
        <f>SUM(L3:L74)</f>
        <v>0</v>
      </c>
      <c r="P75" s="436">
        <f>SUM(P3:P74)</f>
        <v>6.9444444444444448E-2</v>
      </c>
      <c r="T75" s="436">
        <f>SUM(T3:T74)</f>
        <v>0</v>
      </c>
      <c r="X75" s="436">
        <f>SUM(X3:X74)</f>
        <v>0</v>
      </c>
      <c r="AB75" s="436">
        <f>SUM(AB3:AB74)</f>
        <v>0</v>
      </c>
      <c r="AF75" s="436">
        <f>SUM(AF3:AF74)</f>
        <v>0</v>
      </c>
      <c r="AJ75" s="436">
        <f>SUM(AJ3:AJ74)</f>
        <v>0</v>
      </c>
      <c r="AN75" s="436">
        <f>SUM(AN3:AN74)</f>
        <v>0</v>
      </c>
      <c r="AR75" s="436">
        <f>SUM(AR3:AR74)</f>
        <v>3.8194444444444441E-2</v>
      </c>
      <c r="AV75" s="436">
        <f>SUM(AV3:AV74)</f>
        <v>3.8194444444444441E-2</v>
      </c>
      <c r="AZ75" s="436">
        <f>SUM(AZ3:AZ74)</f>
        <v>3.8194444444444441E-2</v>
      </c>
      <c r="BD75" s="436">
        <f>SUM(BD3:BD74)</f>
        <v>3.125E-2</v>
      </c>
      <c r="BH75" s="436">
        <f>SUM(BH3:BH74)</f>
        <v>0</v>
      </c>
      <c r="BL75" s="436">
        <f>SUM(BL3:BL74)</f>
        <v>3.125E-2</v>
      </c>
      <c r="BP75" s="436">
        <f>SUM(BP3:BP74)</f>
        <v>0</v>
      </c>
      <c r="BT75" s="436">
        <f>SUM(BT3:BT74)</f>
        <v>4.1666666666666664E-2</v>
      </c>
      <c r="BX75" s="436">
        <f>SUM(BX3:BX74)</f>
        <v>5.9027777777777776E-2</v>
      </c>
      <c r="CB75" s="436">
        <f>SUM(CB3:CB74)</f>
        <v>0</v>
      </c>
      <c r="CF75" s="436">
        <f>SUM(CF3:CF74)</f>
        <v>2.7777777777777776E-2</v>
      </c>
      <c r="CJ75" s="436">
        <f>SUM(CJ3:CJ74)</f>
        <v>0</v>
      </c>
      <c r="CN75" s="436">
        <f>SUM(CN3:CN74)</f>
        <v>0</v>
      </c>
      <c r="CR75" s="436">
        <f>SUM(CR3:CR74)</f>
        <v>0</v>
      </c>
      <c r="CV75" s="436">
        <f>SUM(CV3:CV74)</f>
        <v>0</v>
      </c>
      <c r="CZ75" s="436">
        <f>SUM(CZ3:CZ74)</f>
        <v>0</v>
      </c>
      <c r="DD75" s="436">
        <f>SUM(DD3:DD74)</f>
        <v>0</v>
      </c>
      <c r="DH75" s="436">
        <f>SUM(DH3:DH74)</f>
        <v>0</v>
      </c>
      <c r="DL75" s="436">
        <f>SUM(DL3:DL74)</f>
        <v>0</v>
      </c>
      <c r="DP75" s="436">
        <f>SUM(DP3:DP74)</f>
        <v>0</v>
      </c>
      <c r="DT75" s="436">
        <f>SUM(DT3:DT74)</f>
        <v>0</v>
      </c>
      <c r="DX75" s="436">
        <f t="shared" ref="DX75:DY75" si="70">SUM(DX3:DX74)</f>
        <v>0</v>
      </c>
      <c r="DY75" s="436">
        <f t="shared" si="70"/>
        <v>0.375</v>
      </c>
    </row>
    <row r="220" spans="1:3">
      <c r="A220" s="437"/>
      <c r="B220" s="438" t="s">
        <v>38</v>
      </c>
      <c r="C220" s="439" t="s">
        <v>796</v>
      </c>
    </row>
    <row r="221" spans="1:3">
      <c r="A221" s="440"/>
      <c r="B221" s="441">
        <v>4</v>
      </c>
      <c r="C221" s="442">
        <v>1.0416666666666666E-2</v>
      </c>
    </row>
    <row r="222" spans="1:3">
      <c r="A222" s="440"/>
      <c r="B222" s="441">
        <v>5</v>
      </c>
      <c r="C222" s="442">
        <v>1.3888888888888888E-2</v>
      </c>
    </row>
    <row r="223" spans="1:3">
      <c r="A223" s="440"/>
      <c r="B223" s="441">
        <v>6</v>
      </c>
      <c r="C223" s="442">
        <v>1.7361111111111112E-2</v>
      </c>
    </row>
    <row r="224" spans="1:3">
      <c r="A224" s="440"/>
      <c r="B224" s="441">
        <v>7</v>
      </c>
      <c r="C224" s="442">
        <v>2.0833333333333332E-2</v>
      </c>
    </row>
    <row r="225" spans="1:3">
      <c r="A225" s="440"/>
      <c r="B225" s="441">
        <v>8</v>
      </c>
      <c r="C225" s="442">
        <v>2.4305555555555556E-2</v>
      </c>
    </row>
    <row r="226" spans="1:3">
      <c r="A226" s="440"/>
      <c r="B226" s="441">
        <v>9</v>
      </c>
      <c r="C226" s="442">
        <v>2.7777777777777776E-2</v>
      </c>
    </row>
    <row r="227" spans="1:3">
      <c r="A227" s="440"/>
      <c r="B227" s="441">
        <v>10</v>
      </c>
      <c r="C227" s="442">
        <v>3.125E-2</v>
      </c>
    </row>
    <row r="228" spans="1:3">
      <c r="A228" s="440"/>
      <c r="B228" s="441">
        <v>11</v>
      </c>
      <c r="C228" s="442">
        <v>3.4722222222222224E-2</v>
      </c>
    </row>
    <row r="229" spans="1:3">
      <c r="A229" s="440"/>
      <c r="B229" s="441">
        <v>12</v>
      </c>
      <c r="C229" s="442">
        <v>3.8194444444444448E-2</v>
      </c>
    </row>
    <row r="230" spans="1:3">
      <c r="A230" s="440"/>
      <c r="B230" s="441">
        <v>13</v>
      </c>
      <c r="C230" s="443">
        <v>4.1666666666666664E-2</v>
      </c>
    </row>
    <row r="231" spans="1:3">
      <c r="A231" s="440"/>
      <c r="B231" s="441">
        <v>14</v>
      </c>
      <c r="C231" s="443">
        <v>4.5138888888888888E-2</v>
      </c>
    </row>
    <row r="232" spans="1:3">
      <c r="A232" s="440"/>
      <c r="B232" s="441">
        <v>15</v>
      </c>
      <c r="C232" s="443">
        <v>4.8611111111111112E-2</v>
      </c>
    </row>
    <row r="233" spans="1:3">
      <c r="A233" s="440"/>
      <c r="B233" s="441" t="s">
        <v>797</v>
      </c>
      <c r="C233" s="442">
        <v>2.4305555555555556E-2</v>
      </c>
    </row>
    <row r="234" spans="1:3">
      <c r="A234" s="440"/>
      <c r="B234" s="441">
        <v>3</v>
      </c>
      <c r="C234" s="442">
        <v>6.9444444444444441E-3</v>
      </c>
    </row>
  </sheetData>
  <mergeCells count="31">
    <mergeCell ref="CG1:CJ1"/>
    <mergeCell ref="DM1:DP1"/>
    <mergeCell ref="DQ1:DT1"/>
    <mergeCell ref="DU1:DX1"/>
    <mergeCell ref="CK1:CN1"/>
    <mergeCell ref="CO1:CR1"/>
    <mergeCell ref="CS1:CV1"/>
    <mergeCell ref="CW1:CZ1"/>
    <mergeCell ref="DA1:DD1"/>
    <mergeCell ref="DE1:DH1"/>
    <mergeCell ref="DI1:DL1"/>
    <mergeCell ref="BM1:BP1"/>
    <mergeCell ref="BQ1:BT1"/>
    <mergeCell ref="BU1:BX1"/>
    <mergeCell ref="BY1:CB1"/>
    <mergeCell ref="CC1:CF1"/>
    <mergeCell ref="AS1:AV1"/>
    <mergeCell ref="AW1:AZ1"/>
    <mergeCell ref="BA1:BD1"/>
    <mergeCell ref="BE1:BH1"/>
    <mergeCell ref="BI1:BL1"/>
    <mergeCell ref="Y1:AB1"/>
    <mergeCell ref="AC1:AF1"/>
    <mergeCell ref="AG1:AJ1"/>
    <mergeCell ref="AK1:AN1"/>
    <mergeCell ref="AO1:AR1"/>
    <mergeCell ref="E1:H1"/>
    <mergeCell ref="I1:L1"/>
    <mergeCell ref="M1:P1"/>
    <mergeCell ref="Q1:T1"/>
    <mergeCell ref="U1:X1"/>
  </mergeCells>
  <conditionalFormatting sqref="D1:D236">
    <cfRule type="expression" dxfId="8" priority="2">
      <formula>MONTH(D1)=MONTH(TODAY())</formula>
    </cfRule>
  </conditionalFormatting>
  <conditionalFormatting sqref="H3:H73 L3:L73 P3:P73 T3:T73 X3:X73 AB3:AB73 AF3:AF73 AJ3:AJ73 AN3:AN73 AR3:AR73 AV3:AV73 AZ3:AZ73 BD3:BD73 BH3:BH73 BL3:BL73 BP3:BP73 BT3:BT73 BX3:BX73 CB3:CB73 CF3:CF73 CJ3:CJ73 CN3:CN73 CR3:CR73 CV3:CV73 CZ3:CZ73 DD3:DD73 DH3:DH73 DL3:DL73 DP3:DP73 DT3:DT73 DX3:DY73">
    <cfRule type="cellIs" dxfId="7" priority="1" operator="greaterThan">
      <formula>0</formula>
    </cfRule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filterMode="1"/>
  <dimension ref="A1:AM96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/>
  <cols>
    <col min="1" max="1" width="45.7109375" customWidth="1"/>
    <col min="2" max="17" width="5.7109375" customWidth="1"/>
    <col min="18" max="31" width="5.28515625" customWidth="1"/>
    <col min="32" max="32" width="4.28515625" customWidth="1"/>
    <col min="33" max="33" width="5.28515625" customWidth="1"/>
    <col min="34" max="34" width="5.5703125" customWidth="1"/>
    <col min="35" max="35" width="10.7109375" customWidth="1"/>
    <col min="36" max="36" width="15.42578125" customWidth="1"/>
    <col min="37" max="37" width="9.140625" customWidth="1"/>
    <col min="38" max="38" width="5" customWidth="1"/>
    <col min="39" max="39" width="12" customWidth="1"/>
  </cols>
  <sheetData>
    <row r="1" spans="1:39" ht="14.25" customHeight="1">
      <c r="B1" s="598"/>
      <c r="C1" s="566"/>
      <c r="D1" s="598"/>
      <c r="E1" s="566"/>
      <c r="F1" s="566"/>
      <c r="G1" s="566"/>
      <c r="H1" s="566"/>
      <c r="I1" s="566"/>
      <c r="J1" s="566"/>
      <c r="K1" s="598"/>
      <c r="L1" s="566"/>
      <c r="M1" s="566"/>
      <c r="N1" s="566"/>
      <c r="O1" s="566"/>
      <c r="P1" s="566"/>
      <c r="Q1" s="566"/>
      <c r="R1" s="413"/>
      <c r="S1" s="413"/>
      <c r="T1" s="413"/>
      <c r="U1" s="413"/>
      <c r="V1" s="413"/>
      <c r="W1" s="413"/>
      <c r="X1" s="413"/>
      <c r="Y1" s="598"/>
      <c r="Z1" s="566"/>
      <c r="AA1" s="566"/>
      <c r="AB1" s="566"/>
      <c r="AC1" s="566"/>
      <c r="AD1" s="566"/>
      <c r="AE1" s="566"/>
      <c r="AF1" s="413"/>
    </row>
    <row r="2" spans="1:39" ht="69.75" customHeight="1">
      <c r="A2" s="414" t="s">
        <v>784</v>
      </c>
      <c r="B2" s="415">
        <v>45992</v>
      </c>
      <c r="C2" s="415">
        <v>45993</v>
      </c>
      <c r="D2" s="415">
        <v>45994</v>
      </c>
      <c r="E2" s="415">
        <v>45995</v>
      </c>
      <c r="F2" s="415">
        <v>45996</v>
      </c>
      <c r="G2" s="415">
        <v>45997</v>
      </c>
      <c r="H2" s="415">
        <v>45998</v>
      </c>
      <c r="I2" s="415">
        <v>45999</v>
      </c>
      <c r="J2" s="415">
        <v>46000</v>
      </c>
      <c r="K2" s="415">
        <v>46001</v>
      </c>
      <c r="L2" s="415">
        <v>46002</v>
      </c>
      <c r="M2" s="415">
        <v>46003</v>
      </c>
      <c r="N2" s="415">
        <v>46004</v>
      </c>
      <c r="O2" s="415">
        <v>46005</v>
      </c>
      <c r="P2" s="415">
        <v>46006</v>
      </c>
      <c r="Q2" s="415">
        <v>46007</v>
      </c>
      <c r="R2" s="415">
        <v>46008</v>
      </c>
      <c r="S2" s="415">
        <v>46009</v>
      </c>
      <c r="T2" s="415">
        <v>46010</v>
      </c>
      <c r="U2" s="415">
        <v>46011</v>
      </c>
      <c r="V2" s="415">
        <v>46012</v>
      </c>
      <c r="W2" s="415">
        <v>46013</v>
      </c>
      <c r="X2" s="415">
        <v>46014</v>
      </c>
      <c r="Y2" s="415">
        <v>46015</v>
      </c>
      <c r="Z2" s="415">
        <v>46016</v>
      </c>
      <c r="AA2" s="415">
        <v>46017</v>
      </c>
      <c r="AB2" s="415">
        <v>46018</v>
      </c>
      <c r="AC2" s="415">
        <v>46019</v>
      </c>
      <c r="AD2" s="415">
        <v>46020</v>
      </c>
      <c r="AE2" s="415">
        <v>46021</v>
      </c>
      <c r="AF2" s="416" t="s">
        <v>771</v>
      </c>
      <c r="AG2" s="417" t="s">
        <v>785</v>
      </c>
      <c r="AH2" s="417" t="s">
        <v>786</v>
      </c>
      <c r="AI2" s="417" t="s">
        <v>787</v>
      </c>
      <c r="AJ2" s="418" t="s">
        <v>788</v>
      </c>
      <c r="AK2" s="1" t="s">
        <v>6</v>
      </c>
      <c r="AL2" s="417"/>
      <c r="AM2" s="417"/>
    </row>
    <row r="3" spans="1:39" ht="14.25" hidden="1" customHeight="1">
      <c r="A3" s="40" t="s">
        <v>43</v>
      </c>
      <c r="B3" s="419" t="e">
        <f>VLOOKUP(A3,#REF!,2,0)</f>
        <v>#REF!</v>
      </c>
      <c r="C3" s="444" t="e">
        <f>VLOOKUP(A3,#REF!, 2, FALSE)</f>
        <v>#REF!</v>
      </c>
      <c r="D3" s="444" t="e">
        <f>VLOOKUP(A3,#REF!, 2, FALSE)</f>
        <v>#REF!</v>
      </c>
      <c r="E3" s="444" t="e">
        <f>VLOOKUP(A3,#REF!, 2, FALSE)</f>
        <v>#REF!</v>
      </c>
      <c r="F3" s="444" t="e">
        <f>VLOOKUP(A3,#REF!, 2, FALSE)</f>
        <v>#REF!</v>
      </c>
      <c r="G3" s="444" t="e">
        <f>VLOOKUP(A3,#REF!, 2, FALSE)</f>
        <v>#REF!</v>
      </c>
      <c r="H3" s="444" t="e">
        <f>VLOOKUP(A3,#REF!, 2, FALSE)</f>
        <v>#REF!</v>
      </c>
      <c r="I3" s="445" t="e">
        <f>VLOOKUP(A3,#REF!, 2, FALSE)</f>
        <v>#REF!</v>
      </c>
      <c r="J3" s="38" t="e">
        <f>VLOOKUP(A3,#REF!, 2, FALSE)</f>
        <v>#REF!</v>
      </c>
      <c r="K3" s="38" t="e">
        <f>VLOOKUP(A3,#REF!, 2, FALSE)</f>
        <v>#REF!</v>
      </c>
      <c r="L3" s="38" t="e">
        <f>VLOOKUP(A3,#REF!, 2, FALSE)</f>
        <v>#REF!</v>
      </c>
      <c r="M3" s="38" t="e">
        <f>VLOOKUP(A3,#REF!, 2, FALSE)</f>
        <v>#REF!</v>
      </c>
      <c r="N3" s="38" t="e">
        <f>VLOOKUP(A3,#REF!, 2, FALSE)</f>
        <v>#REF!</v>
      </c>
      <c r="O3" s="38" t="e">
        <f>VLOOKUP(A3,#REF!, 2, FALSE)</f>
        <v>#REF!</v>
      </c>
      <c r="P3" s="419" t="e">
        <f>VLOOKUP(A3,#REF!, 2, FALSE)</f>
        <v>#REF!</v>
      </c>
      <c r="Q3" s="444" t="s">
        <v>352</v>
      </c>
      <c r="R3" s="444" t="s">
        <v>352</v>
      </c>
      <c r="S3" s="444" t="s">
        <v>352</v>
      </c>
      <c r="T3" s="444" t="s">
        <v>352</v>
      </c>
      <c r="U3" s="444" t="s">
        <v>352</v>
      </c>
      <c r="V3" s="444" t="s">
        <v>352</v>
      </c>
      <c r="W3" s="445">
        <f>VLOOKUP(A3, '22'!$E$7:$F$109, 2, FALSE)</f>
        <v>4</v>
      </c>
      <c r="X3" s="38" t="e">
        <f>VLOOKUP(A3,#REF!, 2, FALSE)</f>
        <v>#REF!</v>
      </c>
      <c r="Y3" s="38" t="e">
        <f>VLOOKUP(A3,#REF!, 2, FALSE)</f>
        <v>#REF!</v>
      </c>
      <c r="Z3" s="38" t="e">
        <f>VLOOKUP(A3,#REF!, 2, FALSE)</f>
        <v>#REF!</v>
      </c>
      <c r="AA3" s="38">
        <f>VLOOKUP(A3, '26'!$E$7:$F$112, 2, FALSE)</f>
        <v>4</v>
      </c>
      <c r="AB3" s="38">
        <f>VLOOKUP(A3, '27'!$E$7:$F$112, 2, FALSE)</f>
        <v>0</v>
      </c>
      <c r="AC3" s="38">
        <f>VLOOKUP(A3, '28'!$E$7:$F$112, 2, FALSE)</f>
        <v>0</v>
      </c>
      <c r="AD3" s="38">
        <f>VLOOKUP(A3, '29'!$E$7:$F$112, 2, FALSE)</f>
        <v>4</v>
      </c>
      <c r="AE3" s="38">
        <f>VLOOKUP(A3, '30'!$E$7:$F$112, 2, FALSE)</f>
        <v>4</v>
      </c>
      <c r="AF3" s="410" t="e">
        <f t="shared" ref="AF3:AF60" si="0">+SUM(B3:AE3)</f>
        <v>#REF!</v>
      </c>
      <c r="AG3" s="410">
        <v>171</v>
      </c>
      <c r="AH3" s="420" t="e">
        <f t="shared" ref="AH3:AH60" si="1">(AF3/AG3)+AL3</f>
        <v>#REF!</v>
      </c>
      <c r="AI3" s="421">
        <f t="shared" ref="AI3:AI60" si="2">+COUNTIFS(W3:AC3,"0")</f>
        <v>2</v>
      </c>
      <c r="AJ3" s="421">
        <f t="shared" ref="AJ3:AJ60" si="3">COUNTIF(B3:AE3,"FI")</f>
        <v>0</v>
      </c>
      <c r="AK3" s="421">
        <f t="shared" ref="AK3:AK60" si="4">COUNTIF(B3:AE3,"V")</f>
        <v>6</v>
      </c>
      <c r="AL3" s="422">
        <f t="shared" ref="AL3:AL60" si="5">AK3/30</f>
        <v>0.2</v>
      </c>
      <c r="AM3" s="422" t="e">
        <f t="shared" ref="AM3:AM60" si="6">AF3/177</f>
        <v>#REF!</v>
      </c>
    </row>
    <row r="4" spans="1:39" ht="14.25" hidden="1" customHeight="1">
      <c r="A4" s="40" t="s">
        <v>46</v>
      </c>
      <c r="B4" s="419" t="e">
        <f>VLOOKUP(A4,#REF!,2,0)</f>
        <v>#REF!</v>
      </c>
      <c r="C4" s="444" t="e">
        <f>VLOOKUP(A4,#REF!, 2, FALSE)</f>
        <v>#REF!</v>
      </c>
      <c r="D4" s="444" t="e">
        <f>VLOOKUP(A4,#REF!, 2, FALSE)</f>
        <v>#REF!</v>
      </c>
      <c r="E4" s="444" t="e">
        <f>VLOOKUP(A4,#REF!, 2, FALSE)</f>
        <v>#REF!</v>
      </c>
      <c r="F4" s="444" t="e">
        <f>VLOOKUP(A4,#REF!, 2, FALSE)</f>
        <v>#REF!</v>
      </c>
      <c r="G4" s="444" t="e">
        <f>VLOOKUP(A4,#REF!, 2, FALSE)</f>
        <v>#REF!</v>
      </c>
      <c r="H4" s="444" t="e">
        <f>VLOOKUP(A4,#REF!, 2, FALSE)</f>
        <v>#REF!</v>
      </c>
      <c r="I4" s="445" t="e">
        <f>VLOOKUP(A4,#REF!, 2, FALSE)</f>
        <v>#REF!</v>
      </c>
      <c r="J4" s="38" t="e">
        <f>VLOOKUP(A4,#REF!, 2, FALSE)</f>
        <v>#REF!</v>
      </c>
      <c r="K4" s="38" t="e">
        <f>VLOOKUP(A4,#REF!, 2, FALSE)</f>
        <v>#REF!</v>
      </c>
      <c r="L4" s="38" t="e">
        <f>VLOOKUP(A4,#REF!, 2, FALSE)</f>
        <v>#REF!</v>
      </c>
      <c r="M4" s="38" t="e">
        <f>VLOOKUP(A4,#REF!, 2, FALSE)</f>
        <v>#REF!</v>
      </c>
      <c r="N4" s="38" t="e">
        <f>VLOOKUP(A4,#REF!, 2, FALSE)</f>
        <v>#REF!</v>
      </c>
      <c r="O4" s="38" t="e">
        <f>VLOOKUP(A4,#REF!, 2, FALSE)</f>
        <v>#REF!</v>
      </c>
      <c r="P4" s="419" t="e">
        <f>VLOOKUP(A4,#REF!, 2, FALSE)</f>
        <v>#REF!</v>
      </c>
      <c r="Q4" s="444" t="e">
        <f>VLOOKUP(A4,#REF!, 2, FALSE)</f>
        <v>#REF!</v>
      </c>
      <c r="R4" s="444" t="e">
        <f>VLOOKUP(A4,#REF!, 2, FALSE)</f>
        <v>#REF!</v>
      </c>
      <c r="S4" s="444" t="e">
        <f>VLOOKUP(A4,#REF!, 2, FALSE)</f>
        <v>#REF!</v>
      </c>
      <c r="T4" s="444" t="e">
        <f>VLOOKUP(A4,#REF!, 2, FALSE)</f>
        <v>#REF!</v>
      </c>
      <c r="U4" s="444" t="e">
        <f>VLOOKUP(A4,#REF!, 2, FALSE)</f>
        <v>#REF!</v>
      </c>
      <c r="V4" s="444" t="s">
        <v>231</v>
      </c>
      <c r="W4" s="445">
        <f>VLOOKUP(A4, '22'!$E$7:$F$109, 2, FALSE)</f>
        <v>13</v>
      </c>
      <c r="X4" s="38" t="e">
        <f>VLOOKUP(A4,#REF!, 2, FALSE)</f>
        <v>#REF!</v>
      </c>
      <c r="Y4" s="38" t="e">
        <f>VLOOKUP(A4,#REF!, 2, FALSE)</f>
        <v>#REF!</v>
      </c>
      <c r="Z4" s="38" t="e">
        <f>VLOOKUP(A4,#REF!, 2, FALSE)</f>
        <v>#REF!</v>
      </c>
      <c r="AA4" s="38">
        <f>VLOOKUP(A4, '26'!$E$7:$F$112, 2, FALSE)</f>
        <v>11</v>
      </c>
      <c r="AB4" s="38">
        <f>VLOOKUP(A4, '27'!$E$7:$F$112, 2, FALSE)</f>
        <v>12</v>
      </c>
      <c r="AC4" s="38">
        <f>VLOOKUP(A4, '28'!$E$7:$F$112, 2, FALSE)</f>
        <v>6</v>
      </c>
      <c r="AD4" s="38">
        <f>VLOOKUP(A4, '29'!$E$7:$F$112, 2, FALSE)</f>
        <v>12</v>
      </c>
      <c r="AE4" s="38">
        <f>VLOOKUP(A4, '30'!$E$7:$F$112, 2, FALSE)</f>
        <v>12</v>
      </c>
      <c r="AF4" s="410" t="e">
        <f t="shared" si="0"/>
        <v>#REF!</v>
      </c>
      <c r="AG4" s="410">
        <v>171</v>
      </c>
      <c r="AH4" s="420" t="e">
        <f t="shared" si="1"/>
        <v>#REF!</v>
      </c>
      <c r="AI4" s="421">
        <f t="shared" si="2"/>
        <v>0</v>
      </c>
      <c r="AJ4" s="421">
        <f t="shared" si="3"/>
        <v>1</v>
      </c>
      <c r="AK4" s="421">
        <f t="shared" si="4"/>
        <v>0</v>
      </c>
      <c r="AL4" s="422">
        <f t="shared" si="5"/>
        <v>0</v>
      </c>
      <c r="AM4" s="422" t="e">
        <f t="shared" si="6"/>
        <v>#REF!</v>
      </c>
    </row>
    <row r="5" spans="1:39" ht="14.25" hidden="1" customHeight="1">
      <c r="A5" s="40" t="s">
        <v>53</v>
      </c>
      <c r="B5" s="419" t="e">
        <f>VLOOKUP(A5,#REF!,2,0)</f>
        <v>#REF!</v>
      </c>
      <c r="C5" s="444" t="e">
        <f>VLOOKUP(A5,#REF!, 2, FALSE)</f>
        <v>#REF!</v>
      </c>
      <c r="D5" s="444" t="e">
        <f>VLOOKUP(A5,#REF!, 2, FALSE)</f>
        <v>#REF!</v>
      </c>
      <c r="E5" s="444" t="e">
        <f>VLOOKUP(A5,#REF!, 2, FALSE)</f>
        <v>#REF!</v>
      </c>
      <c r="F5" s="444" t="e">
        <f>VLOOKUP(A5,#REF!, 2, FALSE)</f>
        <v>#REF!</v>
      </c>
      <c r="G5" s="444" t="e">
        <f>VLOOKUP(A5,#REF!, 2, FALSE)</f>
        <v>#REF!</v>
      </c>
      <c r="H5" s="444" t="e">
        <f>VLOOKUP(A5,#REF!, 2, FALSE)</f>
        <v>#REF!</v>
      </c>
      <c r="I5" s="445" t="e">
        <f>VLOOKUP(A5,#REF!, 2, FALSE)</f>
        <v>#REF!</v>
      </c>
      <c r="J5" s="38" t="e">
        <f>VLOOKUP(A5,#REF!, 2, FALSE)</f>
        <v>#REF!</v>
      </c>
      <c r="K5" s="38" t="e">
        <f>VLOOKUP(A5,#REF!, 2, FALSE)</f>
        <v>#REF!</v>
      </c>
      <c r="L5" s="38" t="e">
        <f>VLOOKUP(A5,#REF!, 2, FALSE)</f>
        <v>#REF!</v>
      </c>
      <c r="M5" s="38" t="e">
        <f>VLOOKUP(A5,#REF!, 2, FALSE)</f>
        <v>#REF!</v>
      </c>
      <c r="N5" s="38" t="e">
        <f>VLOOKUP(A5,#REF!, 2, FALSE)</f>
        <v>#REF!</v>
      </c>
      <c r="O5" s="38" t="s">
        <v>352</v>
      </c>
      <c r="P5" s="419" t="s">
        <v>352</v>
      </c>
      <c r="Q5" s="444" t="s">
        <v>352</v>
      </c>
      <c r="R5" s="444" t="s">
        <v>352</v>
      </c>
      <c r="S5" s="444" t="s">
        <v>352</v>
      </c>
      <c r="T5" s="444" t="s">
        <v>352</v>
      </c>
      <c r="U5" s="444" t="s">
        <v>352</v>
      </c>
      <c r="V5" s="444" t="e">
        <f>VLOOKUP(A5,#REF!, 2, FALSE)</f>
        <v>#REF!</v>
      </c>
      <c r="W5" s="445">
        <f>VLOOKUP(A5, '22'!$E$7:$F$109, 2, FALSE)</f>
        <v>11</v>
      </c>
      <c r="X5" s="38" t="e">
        <f>VLOOKUP(A5,#REF!, 2, FALSE)</f>
        <v>#REF!</v>
      </c>
      <c r="Y5" s="38" t="e">
        <f>VLOOKUP(A5,#REF!, 2, FALSE)</f>
        <v>#REF!</v>
      </c>
      <c r="Z5" s="38" t="e">
        <f>VLOOKUP(A5,#REF!, 2, FALSE)</f>
        <v>#REF!</v>
      </c>
      <c r="AA5" s="38">
        <f>VLOOKUP(A5, '26'!$E$7:$F$112, 2, FALSE)</f>
        <v>13</v>
      </c>
      <c r="AB5" s="38">
        <f>VLOOKUP(A5, '27'!$E$7:$F$112, 2, FALSE)</f>
        <v>7</v>
      </c>
      <c r="AC5" s="38">
        <f>VLOOKUP(A5, '28'!$E$7:$F$112, 2, FALSE)</f>
        <v>7</v>
      </c>
      <c r="AD5" s="38">
        <f>VLOOKUP(A5, '29'!$E$7:$F$112, 2, FALSE)</f>
        <v>13</v>
      </c>
      <c r="AE5" s="38">
        <f>VLOOKUP(A5, '30'!$E$7:$F$112, 2, FALSE)</f>
        <v>12</v>
      </c>
      <c r="AF5" s="410" t="e">
        <f t="shared" si="0"/>
        <v>#REF!</v>
      </c>
      <c r="AG5" s="410">
        <v>171</v>
      </c>
      <c r="AH5" s="420" t="e">
        <f t="shared" si="1"/>
        <v>#REF!</v>
      </c>
      <c r="AI5" s="421">
        <f t="shared" si="2"/>
        <v>0</v>
      </c>
      <c r="AJ5" s="421">
        <f t="shared" si="3"/>
        <v>0</v>
      </c>
      <c r="AK5" s="421">
        <f t="shared" si="4"/>
        <v>7</v>
      </c>
      <c r="AL5" s="422">
        <f t="shared" si="5"/>
        <v>0.23333333333333334</v>
      </c>
      <c r="AM5" s="422" t="e">
        <f t="shared" si="6"/>
        <v>#REF!</v>
      </c>
    </row>
    <row r="6" spans="1:39" ht="14.25" hidden="1" customHeight="1">
      <c r="A6" s="40" t="s">
        <v>56</v>
      </c>
      <c r="B6" s="419" t="e">
        <f>VLOOKUP(A6,#REF!,2,0)</f>
        <v>#REF!</v>
      </c>
      <c r="C6" s="444" t="e">
        <f>VLOOKUP(A6,#REF!, 2, FALSE)</f>
        <v>#REF!</v>
      </c>
      <c r="D6" s="444" t="e">
        <f>VLOOKUP(A6,#REF!, 2, FALSE)</f>
        <v>#REF!</v>
      </c>
      <c r="E6" s="444" t="e">
        <f>VLOOKUP(A6,#REF!, 2, FALSE)</f>
        <v>#REF!</v>
      </c>
      <c r="F6" s="444" t="e">
        <f>VLOOKUP(A6,#REF!, 2, FALSE)</f>
        <v>#REF!</v>
      </c>
      <c r="G6" s="444" t="e">
        <f>VLOOKUP(A6,#REF!, 2, FALSE)</f>
        <v>#REF!</v>
      </c>
      <c r="H6" s="444" t="e">
        <f>VLOOKUP(A6,#REF!, 2, FALSE)</f>
        <v>#REF!</v>
      </c>
      <c r="I6" s="445" t="e">
        <f>VLOOKUP(A6,#REF!, 2, FALSE)</f>
        <v>#REF!</v>
      </c>
      <c r="J6" s="38" t="e">
        <f>VLOOKUP(A6,#REF!, 2, FALSE)</f>
        <v>#REF!</v>
      </c>
      <c r="K6" s="38" t="e">
        <f>VLOOKUP(A6,#REF!, 2, FALSE)</f>
        <v>#REF!</v>
      </c>
      <c r="L6" s="38" t="e">
        <f>VLOOKUP(A6,#REF!, 2, FALSE)</f>
        <v>#REF!</v>
      </c>
      <c r="M6" s="38" t="e">
        <f>VLOOKUP(A6,#REF!, 2, FALSE)</f>
        <v>#REF!</v>
      </c>
      <c r="N6" s="38" t="e">
        <f>VLOOKUP(A6,#REF!, 2, FALSE)</f>
        <v>#REF!</v>
      </c>
      <c r="O6" s="38" t="e">
        <f>VLOOKUP(A6,#REF!, 2, FALSE)</f>
        <v>#REF!</v>
      </c>
      <c r="P6" s="419" t="e">
        <f>VLOOKUP(A6,#REF!, 2, FALSE)</f>
        <v>#REF!</v>
      </c>
      <c r="Q6" s="444" t="e">
        <f>VLOOKUP(A6,#REF!, 2, FALSE)</f>
        <v>#REF!</v>
      </c>
      <c r="R6" s="444" t="e">
        <f>VLOOKUP(A6,#REF!, 2, FALSE)</f>
        <v>#REF!</v>
      </c>
      <c r="S6" s="444" t="e">
        <f>VLOOKUP(A6,#REF!, 2, FALSE)</f>
        <v>#REF!</v>
      </c>
      <c r="T6" s="444" t="e">
        <f>VLOOKUP(A6,#REF!, 2, FALSE)</f>
        <v>#REF!</v>
      </c>
      <c r="U6" s="444" t="e">
        <f>VLOOKUP(A6,#REF!, 2, FALSE)</f>
        <v>#REF!</v>
      </c>
      <c r="V6" s="444" t="e">
        <f>VLOOKUP(A6,#REF!, 2, FALSE)</f>
        <v>#REF!</v>
      </c>
      <c r="W6" s="445">
        <f>VLOOKUP(A6, '22'!$E$7:$F$109, 2, FALSE)</f>
        <v>11</v>
      </c>
      <c r="X6" s="38" t="e">
        <f>VLOOKUP(A6,#REF!, 2, FALSE)</f>
        <v>#REF!</v>
      </c>
      <c r="Y6" s="38" t="e">
        <f>VLOOKUP(A6,#REF!, 2, FALSE)</f>
        <v>#REF!</v>
      </c>
      <c r="Z6" s="38" t="e">
        <f>VLOOKUP(A6,#REF!, 2, FALSE)</f>
        <v>#REF!</v>
      </c>
      <c r="AA6" s="38">
        <f>VLOOKUP(A6, '26'!$E$7:$F$112, 2, FALSE)</f>
        <v>12</v>
      </c>
      <c r="AB6" s="38">
        <f>VLOOKUP(A6, '27'!$E$7:$F$112, 2, FALSE)</f>
        <v>11</v>
      </c>
      <c r="AC6" s="38">
        <f>VLOOKUP(A6, '28'!$E$7:$F$112, 2, FALSE)</f>
        <v>12</v>
      </c>
      <c r="AD6" s="38">
        <f>VLOOKUP(A6, '29'!$E$7:$F$112, 2, FALSE)</f>
        <v>11</v>
      </c>
      <c r="AE6" s="38">
        <f>VLOOKUP(A6, '30'!$E$7:$F$112, 2, FALSE)</f>
        <v>11</v>
      </c>
      <c r="AF6" s="410" t="e">
        <f t="shared" si="0"/>
        <v>#REF!</v>
      </c>
      <c r="AG6" s="410">
        <v>171</v>
      </c>
      <c r="AH6" s="420" t="e">
        <f t="shared" si="1"/>
        <v>#REF!</v>
      </c>
      <c r="AI6" s="421">
        <f t="shared" si="2"/>
        <v>0</v>
      </c>
      <c r="AJ6" s="421">
        <f t="shared" si="3"/>
        <v>0</v>
      </c>
      <c r="AK6" s="421">
        <f t="shared" si="4"/>
        <v>0</v>
      </c>
      <c r="AL6" s="422">
        <f t="shared" si="5"/>
        <v>0</v>
      </c>
      <c r="AM6" s="422" t="e">
        <f t="shared" si="6"/>
        <v>#REF!</v>
      </c>
    </row>
    <row r="7" spans="1:39" ht="14.25" hidden="1" customHeight="1">
      <c r="A7" s="40" t="s">
        <v>58</v>
      </c>
      <c r="B7" s="419" t="e">
        <f>VLOOKUP(A7,#REF!,2,0)</f>
        <v>#REF!</v>
      </c>
      <c r="C7" s="444" t="e">
        <f>VLOOKUP(A7,#REF!, 2, FALSE)</f>
        <v>#REF!</v>
      </c>
      <c r="D7" s="444" t="e">
        <f>VLOOKUP(A7,#REF!, 2, FALSE)</f>
        <v>#REF!</v>
      </c>
      <c r="E7" s="444" t="e">
        <f>VLOOKUP(A7,#REF!, 2, FALSE)</f>
        <v>#REF!</v>
      </c>
      <c r="F7" s="444" t="e">
        <f>VLOOKUP(A7,#REF!, 2, FALSE)</f>
        <v>#REF!</v>
      </c>
      <c r="G7" s="444" t="e">
        <f>VLOOKUP(A7,#REF!, 2, FALSE)</f>
        <v>#REF!</v>
      </c>
      <c r="H7" s="444" t="e">
        <f>VLOOKUP(A7,#REF!, 2, FALSE)</f>
        <v>#REF!</v>
      </c>
      <c r="I7" s="445" t="e">
        <f>VLOOKUP(A7,#REF!, 2, FALSE)</f>
        <v>#REF!</v>
      </c>
      <c r="J7" s="38" t="e">
        <f>VLOOKUP(A7,#REF!, 2, FALSE)</f>
        <v>#REF!</v>
      </c>
      <c r="K7" s="38" t="e">
        <f>VLOOKUP(A7,#REF!, 2, FALSE)</f>
        <v>#REF!</v>
      </c>
      <c r="L7" s="38" t="e">
        <f>VLOOKUP(A7,#REF!, 2, FALSE)</f>
        <v>#REF!</v>
      </c>
      <c r="M7" s="38" t="e">
        <f>VLOOKUP(A7,#REF!, 2, FALSE)</f>
        <v>#REF!</v>
      </c>
      <c r="N7" s="38" t="e">
        <f>VLOOKUP(A7,#REF!, 2, FALSE)</f>
        <v>#REF!</v>
      </c>
      <c r="O7" s="38" t="e">
        <f>VLOOKUP(A7,#REF!, 2, FALSE)</f>
        <v>#REF!</v>
      </c>
      <c r="P7" s="419" t="e">
        <f>VLOOKUP(A7,#REF!, 2, FALSE)</f>
        <v>#REF!</v>
      </c>
      <c r="Q7" s="444" t="e">
        <f>VLOOKUP(A7,#REF!, 2, FALSE)</f>
        <v>#REF!</v>
      </c>
      <c r="R7" s="444" t="e">
        <f>VLOOKUP(A7,#REF!, 2, FALSE)</f>
        <v>#REF!</v>
      </c>
      <c r="S7" s="444" t="e">
        <f>VLOOKUP(A7,#REF!, 2, FALSE)</f>
        <v>#REF!</v>
      </c>
      <c r="T7" s="444" t="e">
        <f>VLOOKUP(A7,#REF!, 2, FALSE)</f>
        <v>#REF!</v>
      </c>
      <c r="U7" s="444" t="e">
        <f>VLOOKUP(A7,#REF!, 2, FALSE)</f>
        <v>#REF!</v>
      </c>
      <c r="V7" s="444" t="e">
        <f>VLOOKUP(A7,#REF!, 2, FALSE)</f>
        <v>#REF!</v>
      </c>
      <c r="W7" s="445">
        <f>VLOOKUP(A7, '22'!$E$7:$F$109, 2, FALSE)</f>
        <v>10</v>
      </c>
      <c r="X7" s="38" t="e">
        <f>VLOOKUP(A7,#REF!, 2, FALSE)</f>
        <v>#REF!</v>
      </c>
      <c r="Y7" s="38" t="e">
        <f>VLOOKUP(A7,#REF!, 2, FALSE)</f>
        <v>#REF!</v>
      </c>
      <c r="Z7" s="38" t="e">
        <f>VLOOKUP(A7,#REF!, 2, FALSE)</f>
        <v>#REF!</v>
      </c>
      <c r="AA7" s="38">
        <f>VLOOKUP(A7, '26'!$E$7:$F$112, 2, FALSE)</f>
        <v>12</v>
      </c>
      <c r="AB7" s="38">
        <f>VLOOKUP(A7, '27'!$E$7:$F$112, 2, FALSE)</f>
        <v>13</v>
      </c>
      <c r="AC7" s="38">
        <f>VLOOKUP(A7, '28'!$E$7:$F$112, 2, FALSE)</f>
        <v>0</v>
      </c>
      <c r="AD7" s="38">
        <f>VLOOKUP(A7, '29'!$E$7:$F$112, 2, FALSE)</f>
        <v>12</v>
      </c>
      <c r="AE7" s="38">
        <f>VLOOKUP(A7, '30'!$E$7:$F$112, 2, FALSE)</f>
        <v>11</v>
      </c>
      <c r="AF7" s="410" t="e">
        <f t="shared" si="0"/>
        <v>#REF!</v>
      </c>
      <c r="AG7" s="410">
        <v>171</v>
      </c>
      <c r="AH7" s="420" t="e">
        <f t="shared" si="1"/>
        <v>#REF!</v>
      </c>
      <c r="AI7" s="421">
        <f t="shared" si="2"/>
        <v>1</v>
      </c>
      <c r="AJ7" s="421">
        <f t="shared" si="3"/>
        <v>0</v>
      </c>
      <c r="AK7" s="421">
        <f t="shared" si="4"/>
        <v>0</v>
      </c>
      <c r="AL7" s="422">
        <f t="shared" si="5"/>
        <v>0</v>
      </c>
      <c r="AM7" s="422" t="e">
        <f t="shared" si="6"/>
        <v>#REF!</v>
      </c>
    </row>
    <row r="8" spans="1:39" ht="14.25" hidden="1" customHeight="1">
      <c r="A8" s="40" t="s">
        <v>147</v>
      </c>
      <c r="B8" s="419" t="e">
        <f>VLOOKUP(A8,#REF!,2,0)</f>
        <v>#REF!</v>
      </c>
      <c r="C8" s="444" t="e">
        <f>VLOOKUP(A8,#REF!, 2, FALSE)</f>
        <v>#REF!</v>
      </c>
      <c r="D8" s="444" t="e">
        <f>VLOOKUP(A8,#REF!, 2, FALSE)</f>
        <v>#REF!</v>
      </c>
      <c r="E8" s="444" t="e">
        <f>VLOOKUP(A8,#REF!, 2, FALSE)</f>
        <v>#REF!</v>
      </c>
      <c r="F8" s="444" t="e">
        <f>VLOOKUP(A8,#REF!, 2, FALSE)</f>
        <v>#REF!</v>
      </c>
      <c r="G8" s="444" t="e">
        <f>VLOOKUP(A8,#REF!, 2, FALSE)</f>
        <v>#REF!</v>
      </c>
      <c r="H8" s="444" t="e">
        <f>VLOOKUP(A8,#REF!, 2, FALSE)</f>
        <v>#REF!</v>
      </c>
      <c r="I8" s="445" t="e">
        <f>VLOOKUP(A8,#REF!, 2, FALSE)</f>
        <v>#REF!</v>
      </c>
      <c r="J8" s="38" t="e">
        <f>VLOOKUP(A8,#REF!, 2, FALSE)</f>
        <v>#REF!</v>
      </c>
      <c r="K8" s="38" t="e">
        <f>VLOOKUP(A8,#REF!, 2, FALSE)</f>
        <v>#REF!</v>
      </c>
      <c r="L8" s="38" t="e">
        <f>VLOOKUP(A8,#REF!, 2, FALSE)</f>
        <v>#REF!</v>
      </c>
      <c r="M8" s="38" t="e">
        <f>VLOOKUP(A8,#REF!, 2, FALSE)</f>
        <v>#REF!</v>
      </c>
      <c r="N8" s="38" t="e">
        <f>VLOOKUP(A8,#REF!, 2, FALSE)</f>
        <v>#REF!</v>
      </c>
      <c r="O8" s="38" t="e">
        <f>VLOOKUP(A8,#REF!, 2, FALSE)</f>
        <v>#REF!</v>
      </c>
      <c r="P8" s="419" t="e">
        <f>VLOOKUP(A8,#REF!, 2, FALSE)</f>
        <v>#REF!</v>
      </c>
      <c r="Q8" s="444" t="e">
        <f>VLOOKUP(A8,#REF!, 2, FALSE)</f>
        <v>#REF!</v>
      </c>
      <c r="R8" s="444" t="e">
        <f>VLOOKUP(A8,#REF!, 2, FALSE)</f>
        <v>#REF!</v>
      </c>
      <c r="S8" s="444" t="e">
        <f>VLOOKUP(A8,#REF!, 2, FALSE)</f>
        <v>#REF!</v>
      </c>
      <c r="T8" s="444" t="e">
        <f>VLOOKUP(A8,#REF!, 2, FALSE)</f>
        <v>#REF!</v>
      </c>
      <c r="U8" s="444" t="e">
        <f>VLOOKUP(A8,#REF!, 2, FALSE)</f>
        <v>#REF!</v>
      </c>
      <c r="V8" s="444" t="e">
        <f>VLOOKUP(A8,#REF!, 2, FALSE)</f>
        <v>#REF!</v>
      </c>
      <c r="W8" s="445">
        <f>VLOOKUP(A8, '22'!$E$7:$F$109, 2, FALSE)</f>
        <v>11</v>
      </c>
      <c r="X8" s="38" t="e">
        <f>VLOOKUP(A8,#REF!, 2, FALSE)</f>
        <v>#REF!</v>
      </c>
      <c r="Y8" s="38" t="e">
        <f>VLOOKUP(A8,#REF!, 2, FALSE)</f>
        <v>#REF!</v>
      </c>
      <c r="Z8" s="38" t="e">
        <f>VLOOKUP(A8,#REF!, 2, FALSE)</f>
        <v>#REF!</v>
      </c>
      <c r="AA8" s="38">
        <f>VLOOKUP(A8, '26'!$E$7:$F$112, 2, FALSE)</f>
        <v>12</v>
      </c>
      <c r="AB8" s="38">
        <f>VLOOKUP(A8, '27'!$E$7:$F$112, 2, FALSE)</f>
        <v>11</v>
      </c>
      <c r="AC8" s="38">
        <f>VLOOKUP(A8, '28'!$E$7:$F$112, 2, FALSE)</f>
        <v>8</v>
      </c>
      <c r="AD8" s="38">
        <f>VLOOKUP(A8, '29'!$E$7:$F$112, 2, FALSE)</f>
        <v>10</v>
      </c>
      <c r="AE8" s="38">
        <f>VLOOKUP(A8, '30'!$E$7:$F$112, 2, FALSE)</f>
        <v>11</v>
      </c>
      <c r="AF8" s="410" t="e">
        <f t="shared" si="0"/>
        <v>#REF!</v>
      </c>
      <c r="AG8" s="410">
        <v>171</v>
      </c>
      <c r="AH8" s="420" t="e">
        <f t="shared" si="1"/>
        <v>#REF!</v>
      </c>
      <c r="AI8" s="421">
        <f t="shared" si="2"/>
        <v>0</v>
      </c>
      <c r="AJ8" s="421">
        <f t="shared" si="3"/>
        <v>0</v>
      </c>
      <c r="AK8" s="421">
        <f t="shared" si="4"/>
        <v>0</v>
      </c>
      <c r="AL8" s="422">
        <f t="shared" si="5"/>
        <v>0</v>
      </c>
      <c r="AM8" s="422" t="e">
        <f t="shared" si="6"/>
        <v>#REF!</v>
      </c>
    </row>
    <row r="9" spans="1:39" ht="14.25" hidden="1" customHeight="1">
      <c r="A9" s="40" t="s">
        <v>60</v>
      </c>
      <c r="B9" s="419" t="e">
        <f>VLOOKUP(A9,#REF!,2,0)</f>
        <v>#REF!</v>
      </c>
      <c r="C9" s="444" t="e">
        <f>VLOOKUP(A9,#REF!, 2, FALSE)</f>
        <v>#REF!</v>
      </c>
      <c r="D9" s="444" t="e">
        <f>VLOOKUP(A9,#REF!, 2, FALSE)</f>
        <v>#REF!</v>
      </c>
      <c r="E9" s="444" t="e">
        <f>VLOOKUP(A9,#REF!, 2, FALSE)</f>
        <v>#REF!</v>
      </c>
      <c r="F9" s="444" t="e">
        <f>VLOOKUP(A9,#REF!, 2, FALSE)</f>
        <v>#REF!</v>
      </c>
      <c r="G9" s="444" t="e">
        <f>VLOOKUP(A9,#REF!, 2, FALSE)</f>
        <v>#REF!</v>
      </c>
      <c r="H9" s="444" t="e">
        <f>VLOOKUP(A9,#REF!, 2, FALSE)</f>
        <v>#REF!</v>
      </c>
      <c r="I9" s="445" t="e">
        <f>VLOOKUP(A9,#REF!, 2, FALSE)</f>
        <v>#REF!</v>
      </c>
      <c r="J9" s="38" t="e">
        <f>VLOOKUP(A9,#REF!, 2, FALSE)</f>
        <v>#REF!</v>
      </c>
      <c r="K9" s="38" t="e">
        <f>VLOOKUP(A9,#REF!, 2, FALSE)</f>
        <v>#REF!</v>
      </c>
      <c r="L9" s="38" t="e">
        <f>VLOOKUP(A9,#REF!, 2, FALSE)</f>
        <v>#REF!</v>
      </c>
      <c r="M9" s="38" t="e">
        <f>VLOOKUP(A9,#REF!, 2, FALSE)</f>
        <v>#REF!</v>
      </c>
      <c r="N9" s="38" t="e">
        <f>VLOOKUP(A9,#REF!, 2, FALSE)</f>
        <v>#REF!</v>
      </c>
      <c r="O9" s="38" t="e">
        <f>VLOOKUP(A9,#REF!, 2, FALSE)</f>
        <v>#REF!</v>
      </c>
      <c r="P9" s="419" t="e">
        <f>VLOOKUP(A9,#REF!, 2, FALSE)</f>
        <v>#REF!</v>
      </c>
      <c r="Q9" s="444" t="e">
        <f>VLOOKUP(A9,#REF!, 2, FALSE)</f>
        <v>#REF!</v>
      </c>
      <c r="R9" s="444" t="e">
        <f>VLOOKUP(A9,#REF!, 2, FALSE)</f>
        <v>#REF!</v>
      </c>
      <c r="S9" s="444" t="e">
        <f>VLOOKUP(A9,#REF!, 2, FALSE)</f>
        <v>#REF!</v>
      </c>
      <c r="T9" s="444" t="e">
        <f>VLOOKUP(A9,#REF!, 2, FALSE)</f>
        <v>#REF!</v>
      </c>
      <c r="U9" s="444" t="e">
        <f>VLOOKUP(A9,#REF!, 2, FALSE)</f>
        <v>#REF!</v>
      </c>
      <c r="V9" s="444" t="e">
        <f>VLOOKUP(A9,#REF!, 2, FALSE)</f>
        <v>#REF!</v>
      </c>
      <c r="W9" s="445">
        <f>VLOOKUP(A9, '22'!$E$7:$F$109, 2, FALSE)</f>
        <v>10</v>
      </c>
      <c r="X9" s="38" t="e">
        <f>VLOOKUP(A9,#REF!, 2, FALSE)</f>
        <v>#REF!</v>
      </c>
      <c r="Y9" s="38" t="e">
        <f>VLOOKUP(A9,#REF!, 2, FALSE)</f>
        <v>#REF!</v>
      </c>
      <c r="Z9" s="38" t="e">
        <f>VLOOKUP(A9,#REF!, 2, FALSE)</f>
        <v>#REF!</v>
      </c>
      <c r="AA9" s="38">
        <f>VLOOKUP(A9, '26'!$E$7:$F$112, 2, FALSE)</f>
        <v>12</v>
      </c>
      <c r="AB9" s="38">
        <f>VLOOKUP(A9, '27'!$E$7:$F$112, 2, FALSE)</f>
        <v>0</v>
      </c>
      <c r="AC9" s="38">
        <f>VLOOKUP(A9, '28'!$E$7:$F$112, 2, FALSE)</f>
        <v>11</v>
      </c>
      <c r="AD9" s="38">
        <f>VLOOKUP(A9, '29'!$E$7:$F$112, 2, FALSE)</f>
        <v>11</v>
      </c>
      <c r="AE9" s="38">
        <f>VLOOKUP(A9, '30'!$E$7:$F$112, 2, FALSE)</f>
        <v>12</v>
      </c>
      <c r="AF9" s="410" t="e">
        <f t="shared" si="0"/>
        <v>#REF!</v>
      </c>
      <c r="AG9" s="410">
        <v>171</v>
      </c>
      <c r="AH9" s="420" t="e">
        <f t="shared" si="1"/>
        <v>#REF!</v>
      </c>
      <c r="AI9" s="421">
        <f t="shared" si="2"/>
        <v>1</v>
      </c>
      <c r="AJ9" s="421">
        <f t="shared" si="3"/>
        <v>0</v>
      </c>
      <c r="AK9" s="421">
        <f t="shared" si="4"/>
        <v>0</v>
      </c>
      <c r="AL9" s="422">
        <f t="shared" si="5"/>
        <v>0</v>
      </c>
      <c r="AM9" s="422" t="e">
        <f t="shared" si="6"/>
        <v>#REF!</v>
      </c>
    </row>
    <row r="10" spans="1:39" ht="14.25" hidden="1" customHeight="1">
      <c r="A10" s="40" t="s">
        <v>63</v>
      </c>
      <c r="B10" s="419" t="e">
        <f>VLOOKUP(A10,#REF!,2,0)</f>
        <v>#REF!</v>
      </c>
      <c r="C10" s="444" t="e">
        <f>VLOOKUP(A10,#REF!, 2, FALSE)</f>
        <v>#REF!</v>
      </c>
      <c r="D10" s="444" t="e">
        <f>VLOOKUP(A10,#REF!, 2, FALSE)</f>
        <v>#REF!</v>
      </c>
      <c r="E10" s="444" t="e">
        <f>VLOOKUP(A10,#REF!, 2, FALSE)</f>
        <v>#REF!</v>
      </c>
      <c r="F10" s="444" t="e">
        <f>VLOOKUP(A10,#REF!, 2, FALSE)</f>
        <v>#REF!</v>
      </c>
      <c r="G10" s="444" t="e">
        <f>VLOOKUP(A10,#REF!, 2, FALSE)</f>
        <v>#REF!</v>
      </c>
      <c r="H10" s="444" t="e">
        <f>VLOOKUP(A10,#REF!, 2, FALSE)</f>
        <v>#REF!</v>
      </c>
      <c r="I10" s="445" t="e">
        <f>VLOOKUP(A10,#REF!, 2, FALSE)</f>
        <v>#REF!</v>
      </c>
      <c r="J10" s="38" t="e">
        <f>VLOOKUP(A10,#REF!, 2, FALSE)</f>
        <v>#REF!</v>
      </c>
      <c r="K10" s="38" t="e">
        <f>VLOOKUP(A10,#REF!, 2, FALSE)</f>
        <v>#REF!</v>
      </c>
      <c r="L10" s="38" t="e">
        <f>VLOOKUP(A10,#REF!, 2, FALSE)</f>
        <v>#REF!</v>
      </c>
      <c r="M10" s="38" t="e">
        <f>VLOOKUP(A10,#REF!, 2, FALSE)</f>
        <v>#REF!</v>
      </c>
      <c r="N10" s="38" t="e">
        <f>VLOOKUP(A10,#REF!, 2, FALSE)</f>
        <v>#REF!</v>
      </c>
      <c r="O10" s="38" t="e">
        <f>VLOOKUP(A10,#REF!, 2, FALSE)</f>
        <v>#REF!</v>
      </c>
      <c r="P10" s="419" t="e">
        <f>VLOOKUP(A10,#REF!, 2, FALSE)</f>
        <v>#REF!</v>
      </c>
      <c r="Q10" s="444" t="e">
        <f>VLOOKUP(A10,#REF!, 2, FALSE)</f>
        <v>#REF!</v>
      </c>
      <c r="R10" s="444" t="e">
        <f>VLOOKUP(A10,#REF!, 2, FALSE)</f>
        <v>#REF!</v>
      </c>
      <c r="S10" s="444" t="e">
        <f>VLOOKUP(A10,#REF!, 2, FALSE)</f>
        <v>#REF!</v>
      </c>
      <c r="T10" s="444" t="e">
        <f>VLOOKUP(A10,#REF!, 2, FALSE)</f>
        <v>#REF!</v>
      </c>
      <c r="U10" s="444" t="e">
        <f>VLOOKUP(A10,#REF!, 2, FALSE)</f>
        <v>#REF!</v>
      </c>
      <c r="V10" s="444" t="s">
        <v>231</v>
      </c>
      <c r="W10" s="445">
        <f>VLOOKUP(A10, '22'!$E$7:$F$109, 2, FALSE)</f>
        <v>10</v>
      </c>
      <c r="X10" s="38" t="e">
        <f>VLOOKUP(A10,#REF!, 2, FALSE)</f>
        <v>#REF!</v>
      </c>
      <c r="Y10" s="38" t="e">
        <f>VLOOKUP(A10,#REF!, 2, FALSE)</f>
        <v>#REF!</v>
      </c>
      <c r="Z10" s="38" t="e">
        <f>VLOOKUP(A10,#REF!, 2, FALSE)</f>
        <v>#REF!</v>
      </c>
      <c r="AA10" s="38">
        <f>VLOOKUP(A10, '26'!$E$7:$F$112, 2, FALSE)</f>
        <v>12</v>
      </c>
      <c r="AB10" s="38">
        <f>VLOOKUP(A10, '27'!$E$7:$F$112, 2, FALSE)</f>
        <v>0</v>
      </c>
      <c r="AC10" s="38">
        <f>VLOOKUP(A10, '28'!$E$7:$F$112, 2, FALSE)</f>
        <v>10</v>
      </c>
      <c r="AD10" s="38">
        <f>VLOOKUP(A10, '29'!$E$7:$F$112, 2, FALSE)</f>
        <v>10</v>
      </c>
      <c r="AE10" s="38">
        <f>VLOOKUP(A10, '30'!$E$7:$F$112, 2, FALSE)</f>
        <v>11</v>
      </c>
      <c r="AF10" s="410" t="e">
        <f t="shared" si="0"/>
        <v>#REF!</v>
      </c>
      <c r="AG10" s="410">
        <v>171</v>
      </c>
      <c r="AH10" s="420" t="e">
        <f t="shared" si="1"/>
        <v>#REF!</v>
      </c>
      <c r="AI10" s="421">
        <f t="shared" si="2"/>
        <v>1</v>
      </c>
      <c r="AJ10" s="421">
        <f t="shared" si="3"/>
        <v>1</v>
      </c>
      <c r="AK10" s="421">
        <f t="shared" si="4"/>
        <v>0</v>
      </c>
      <c r="AL10" s="422">
        <f t="shared" si="5"/>
        <v>0</v>
      </c>
      <c r="AM10" s="422" t="e">
        <f t="shared" si="6"/>
        <v>#REF!</v>
      </c>
    </row>
    <row r="11" spans="1:39" ht="14.25" customHeight="1">
      <c r="A11" s="40" t="s">
        <v>65</v>
      </c>
      <c r="B11" s="419" t="e">
        <f>VLOOKUP(A11,#REF!,2,0)</f>
        <v>#REF!</v>
      </c>
      <c r="C11" s="444" t="e">
        <f>VLOOKUP(A11,#REF!, 2, FALSE)</f>
        <v>#REF!</v>
      </c>
      <c r="D11" s="444" t="e">
        <f>VLOOKUP(A11,#REF!, 2, FALSE)</f>
        <v>#REF!</v>
      </c>
      <c r="E11" s="444" t="e">
        <f>VLOOKUP(A11,#REF!, 2, FALSE)</f>
        <v>#REF!</v>
      </c>
      <c r="F11" s="444" t="e">
        <f>VLOOKUP(A11,#REF!, 2, FALSE)</f>
        <v>#REF!</v>
      </c>
      <c r="G11" s="444" t="e">
        <f>VLOOKUP(A11,#REF!, 2, FALSE)</f>
        <v>#REF!</v>
      </c>
      <c r="H11" s="444" t="e">
        <f>VLOOKUP(A11,#REF!, 2, FALSE)</f>
        <v>#REF!</v>
      </c>
      <c r="I11" s="445" t="e">
        <f>VLOOKUP(A11,#REF!, 2, FALSE)</f>
        <v>#REF!</v>
      </c>
      <c r="J11" s="38" t="e">
        <f>VLOOKUP(A11,#REF!, 2, FALSE)</f>
        <v>#REF!</v>
      </c>
      <c r="K11" s="38" t="e">
        <f>VLOOKUP(A11,#REF!, 2, FALSE)</f>
        <v>#REF!</v>
      </c>
      <c r="L11" s="38" t="e">
        <f>VLOOKUP(A11,#REF!, 2, FALSE)</f>
        <v>#REF!</v>
      </c>
      <c r="M11" s="38" t="e">
        <f>VLOOKUP(A11,#REF!, 2, FALSE)</f>
        <v>#REF!</v>
      </c>
      <c r="N11" s="38" t="e">
        <f>VLOOKUP(A11,#REF!, 2, FALSE)</f>
        <v>#REF!</v>
      </c>
      <c r="O11" s="38" t="e">
        <f>VLOOKUP(A11,#REF!, 2, FALSE)</f>
        <v>#REF!</v>
      </c>
      <c r="P11" s="419" t="e">
        <f>VLOOKUP(A11,#REF!, 2, FALSE)</f>
        <v>#REF!</v>
      </c>
      <c r="Q11" s="444" t="e">
        <f>VLOOKUP(A11,#REF!, 2, FALSE)</f>
        <v>#REF!</v>
      </c>
      <c r="R11" s="444" t="e">
        <f>VLOOKUP(A11,#REF!, 2, FALSE)</f>
        <v>#REF!</v>
      </c>
      <c r="S11" s="444" t="e">
        <f>VLOOKUP(A11,#REF!, 2, FALSE)</f>
        <v>#REF!</v>
      </c>
      <c r="T11" s="444" t="e">
        <f>VLOOKUP(A11,#REF!, 2, FALSE)</f>
        <v>#REF!</v>
      </c>
      <c r="U11" s="444" t="e">
        <f>VLOOKUP(A11,#REF!, 2, FALSE)</f>
        <v>#REF!</v>
      </c>
      <c r="V11" s="444" t="e">
        <f>VLOOKUP(A11,#REF!, 2, FALSE)</f>
        <v>#REF!</v>
      </c>
      <c r="W11" s="445">
        <f>VLOOKUP(A11, '22'!$E$7:$F$109, 2, FALSE)</f>
        <v>8</v>
      </c>
      <c r="X11" s="38" t="e">
        <f>VLOOKUP(A11,#REF!, 2, FALSE)</f>
        <v>#REF!</v>
      </c>
      <c r="Y11" s="38" t="e">
        <f>VLOOKUP(A11,#REF!, 2, FALSE)</f>
        <v>#REF!</v>
      </c>
      <c r="Z11" s="38" t="e">
        <f>VLOOKUP(A11,#REF!, 2, FALSE)</f>
        <v>#REF!</v>
      </c>
      <c r="AA11" s="38">
        <f>VLOOKUP(A11, '26'!$E$7:$F$112, 2, FALSE)</f>
        <v>11</v>
      </c>
      <c r="AB11" s="38">
        <f>VLOOKUP(A11, '27'!$E$7:$F$112, 2, FALSE)</f>
        <v>11</v>
      </c>
      <c r="AC11" s="38">
        <f>VLOOKUP(A11, '28'!$E$7:$F$112, 2, FALSE)</f>
        <v>0</v>
      </c>
      <c r="AD11" s="38">
        <f>VLOOKUP(A11, '29'!$E$7:$F$112, 2, FALSE)</f>
        <v>11</v>
      </c>
      <c r="AE11" s="38">
        <f>VLOOKUP(A11, '30'!$E$7:$F$112, 2, FALSE)</f>
        <v>11</v>
      </c>
      <c r="AF11" s="410" t="e">
        <f t="shared" si="0"/>
        <v>#REF!</v>
      </c>
      <c r="AG11" s="410">
        <v>171</v>
      </c>
      <c r="AH11" s="420" t="e">
        <f t="shared" si="1"/>
        <v>#REF!</v>
      </c>
      <c r="AI11" s="421">
        <f t="shared" si="2"/>
        <v>1</v>
      </c>
      <c r="AJ11" s="421">
        <f t="shared" si="3"/>
        <v>0</v>
      </c>
      <c r="AK11" s="421">
        <f t="shared" si="4"/>
        <v>0</v>
      </c>
      <c r="AL11" s="422">
        <f t="shared" si="5"/>
        <v>0</v>
      </c>
      <c r="AM11" s="422" t="e">
        <f t="shared" si="6"/>
        <v>#REF!</v>
      </c>
    </row>
    <row r="12" spans="1:39" ht="14.25" hidden="1" customHeight="1">
      <c r="A12" s="40" t="s">
        <v>68</v>
      </c>
      <c r="B12" s="419" t="e">
        <f>VLOOKUP(A12,#REF!,2,0)</f>
        <v>#REF!</v>
      </c>
      <c r="C12" s="444" t="e">
        <f>VLOOKUP(A12,#REF!, 2, FALSE)</f>
        <v>#REF!</v>
      </c>
      <c r="D12" s="444" t="e">
        <f>VLOOKUP(A12,#REF!, 2, FALSE)</f>
        <v>#REF!</v>
      </c>
      <c r="E12" s="444" t="e">
        <f>VLOOKUP(A12,#REF!, 2, FALSE)</f>
        <v>#REF!</v>
      </c>
      <c r="F12" s="444" t="e">
        <f>VLOOKUP(A12,#REF!, 2, FALSE)</f>
        <v>#REF!</v>
      </c>
      <c r="G12" s="444" t="e">
        <f>VLOOKUP(A12,#REF!, 2, FALSE)</f>
        <v>#REF!</v>
      </c>
      <c r="H12" s="444" t="e">
        <f>VLOOKUP(A12,#REF!, 2, FALSE)</f>
        <v>#REF!</v>
      </c>
      <c r="I12" s="445" t="e">
        <f>VLOOKUP(A12,#REF!, 2, FALSE)</f>
        <v>#REF!</v>
      </c>
      <c r="J12" s="38" t="e">
        <f>VLOOKUP(A12,#REF!, 2, FALSE)</f>
        <v>#REF!</v>
      </c>
      <c r="K12" s="38" t="e">
        <f>VLOOKUP(A12,#REF!, 2, FALSE)</f>
        <v>#REF!</v>
      </c>
      <c r="L12" s="38" t="s">
        <v>231</v>
      </c>
      <c r="M12" s="38" t="e">
        <f>VLOOKUP(A12,#REF!, 2, FALSE)</f>
        <v>#REF!</v>
      </c>
      <c r="N12" s="38" t="e">
        <f>VLOOKUP(A12,#REF!, 2, FALSE)</f>
        <v>#REF!</v>
      </c>
      <c r="O12" s="38" t="e">
        <f>VLOOKUP(A12,#REF!, 2, FALSE)</f>
        <v>#REF!</v>
      </c>
      <c r="P12" s="419" t="e">
        <f>VLOOKUP(A12,#REF!, 2, FALSE)</f>
        <v>#REF!</v>
      </c>
      <c r="Q12" s="444" t="e">
        <f>VLOOKUP(A12,#REF!, 2, FALSE)</f>
        <v>#REF!</v>
      </c>
      <c r="R12" s="444" t="e">
        <f>VLOOKUP(A12,#REF!, 2, FALSE)</f>
        <v>#REF!</v>
      </c>
      <c r="S12" s="444" t="e">
        <f>VLOOKUP(A12,#REF!, 2, FALSE)</f>
        <v>#REF!</v>
      </c>
      <c r="T12" s="444" t="e">
        <f>VLOOKUP(A12,#REF!, 2, FALSE)</f>
        <v>#REF!</v>
      </c>
      <c r="U12" s="444" t="e">
        <f>VLOOKUP(A12,#REF!, 2, FALSE)</f>
        <v>#REF!</v>
      </c>
      <c r="V12" s="444" t="e">
        <f>VLOOKUP(A12,#REF!, 2, FALSE)</f>
        <v>#REF!</v>
      </c>
      <c r="W12" s="445" t="s">
        <v>231</v>
      </c>
      <c r="X12" s="38" t="e">
        <f>VLOOKUP(A12,#REF!, 2, FALSE)</f>
        <v>#REF!</v>
      </c>
      <c r="Y12" s="38" t="e">
        <f>VLOOKUP(A12,#REF!, 2, FALSE)</f>
        <v>#REF!</v>
      </c>
      <c r="Z12" s="38" t="e">
        <f>VLOOKUP(A12,#REF!, 2, FALSE)</f>
        <v>#REF!</v>
      </c>
      <c r="AA12" s="38">
        <f>VLOOKUP(A12, '26'!$E$7:$F$112, 2, FALSE)</f>
        <v>12</v>
      </c>
      <c r="AB12" s="38">
        <f>VLOOKUP(A12, '27'!$E$7:$F$112, 2, FALSE)</f>
        <v>13</v>
      </c>
      <c r="AC12" s="38">
        <f>VLOOKUP(A12, '28'!$E$7:$F$112, 2, FALSE)</f>
        <v>12</v>
      </c>
      <c r="AD12" s="38">
        <f>VLOOKUP(A12, '29'!$E$7:$F$112, 2, FALSE)</f>
        <v>11</v>
      </c>
      <c r="AE12" s="38">
        <f>VLOOKUP(A12, '30'!$E$7:$F$112, 2, FALSE)</f>
        <v>12</v>
      </c>
      <c r="AF12" s="410" t="e">
        <f t="shared" si="0"/>
        <v>#REF!</v>
      </c>
      <c r="AG12" s="410">
        <v>171</v>
      </c>
      <c r="AH12" s="420" t="e">
        <f t="shared" si="1"/>
        <v>#REF!</v>
      </c>
      <c r="AI12" s="421">
        <f t="shared" si="2"/>
        <v>0</v>
      </c>
      <c r="AJ12" s="421">
        <f t="shared" si="3"/>
        <v>2</v>
      </c>
      <c r="AK12" s="421">
        <f t="shared" si="4"/>
        <v>0</v>
      </c>
      <c r="AL12" s="422">
        <f t="shared" si="5"/>
        <v>0</v>
      </c>
      <c r="AM12" s="422" t="e">
        <f t="shared" si="6"/>
        <v>#REF!</v>
      </c>
    </row>
    <row r="13" spans="1:39" ht="14.25" hidden="1" customHeight="1">
      <c r="A13" s="40" t="s">
        <v>71</v>
      </c>
      <c r="B13" s="419" t="e">
        <f>VLOOKUP(A13,#REF!,2,0)</f>
        <v>#REF!</v>
      </c>
      <c r="C13" s="444" t="e">
        <f>VLOOKUP(A13,#REF!, 2, FALSE)</f>
        <v>#REF!</v>
      </c>
      <c r="D13" s="444" t="e">
        <f>VLOOKUP(A13,#REF!, 2, FALSE)</f>
        <v>#REF!</v>
      </c>
      <c r="E13" s="444" t="e">
        <f>VLOOKUP(A13,#REF!, 2, FALSE)</f>
        <v>#REF!</v>
      </c>
      <c r="F13" s="444" t="e">
        <f>VLOOKUP(A13,#REF!, 2, FALSE)</f>
        <v>#REF!</v>
      </c>
      <c r="G13" s="444" t="e">
        <f>VLOOKUP(A13,#REF!, 2, FALSE)</f>
        <v>#REF!</v>
      </c>
      <c r="H13" s="444" t="e">
        <f>VLOOKUP(A13,#REF!, 2, FALSE)</f>
        <v>#REF!</v>
      </c>
      <c r="I13" s="445" t="e">
        <f>VLOOKUP(A13,#REF!, 2, FALSE)</f>
        <v>#REF!</v>
      </c>
      <c r="J13" s="38" t="e">
        <f>VLOOKUP(A13,#REF!, 2, FALSE)</f>
        <v>#REF!</v>
      </c>
      <c r="K13" s="38" t="e">
        <f>VLOOKUP(A13,#REF!, 2, FALSE)</f>
        <v>#REF!</v>
      </c>
      <c r="L13" s="38" t="e">
        <f>VLOOKUP(A13,#REF!, 2, FALSE)</f>
        <v>#REF!</v>
      </c>
      <c r="M13" s="38" t="e">
        <f>VLOOKUP(A13,#REF!, 2, FALSE)</f>
        <v>#REF!</v>
      </c>
      <c r="N13" s="38" t="e">
        <f>VLOOKUP(A13,#REF!, 2, FALSE)</f>
        <v>#REF!</v>
      </c>
      <c r="O13" s="38" t="e">
        <f>VLOOKUP(A13,#REF!, 2, FALSE)</f>
        <v>#REF!</v>
      </c>
      <c r="P13" s="419" t="e">
        <f>VLOOKUP(A13,#REF!, 2, FALSE)</f>
        <v>#REF!</v>
      </c>
      <c r="Q13" s="444" t="e">
        <f>VLOOKUP(A13,#REF!, 2, FALSE)</f>
        <v>#REF!</v>
      </c>
      <c r="R13" s="444" t="e">
        <f>VLOOKUP(A13,#REF!, 2, FALSE)</f>
        <v>#REF!</v>
      </c>
      <c r="S13" s="444" t="e">
        <f>VLOOKUP(A13,#REF!, 2, FALSE)</f>
        <v>#REF!</v>
      </c>
      <c r="T13" s="444" t="e">
        <f>VLOOKUP(A13,#REF!, 2, FALSE)</f>
        <v>#REF!</v>
      </c>
      <c r="U13" s="444" t="e">
        <f>VLOOKUP(A13,#REF!, 2, FALSE)</f>
        <v>#REF!</v>
      </c>
      <c r="V13" s="444" t="e">
        <f>VLOOKUP(A13,#REF!, 2, FALSE)</f>
        <v>#REF!</v>
      </c>
      <c r="W13" s="445">
        <f>VLOOKUP(A13, '22'!$E$7:$F$109, 2, FALSE)</f>
        <v>10</v>
      </c>
      <c r="X13" s="38" t="e">
        <f>VLOOKUP(A13,#REF!, 2, FALSE)</f>
        <v>#REF!</v>
      </c>
      <c r="Y13" s="38" t="e">
        <f>VLOOKUP(A13,#REF!, 2, FALSE)</f>
        <v>#REF!</v>
      </c>
      <c r="Z13" s="38" t="e">
        <f>VLOOKUP(A13,#REF!, 2, FALSE)</f>
        <v>#REF!</v>
      </c>
      <c r="AA13" s="38">
        <f>VLOOKUP(A13, '26'!$E$7:$F$112, 2, FALSE)</f>
        <v>11</v>
      </c>
      <c r="AB13" s="38">
        <f>VLOOKUP(A13, '27'!$E$7:$F$112, 2, FALSE)</f>
        <v>0</v>
      </c>
      <c r="AC13" s="38">
        <f>VLOOKUP(A13, '28'!$E$7:$F$112, 2, FALSE)</f>
        <v>11</v>
      </c>
      <c r="AD13" s="38">
        <f>VLOOKUP(A13, '29'!$E$7:$F$112, 2, FALSE)</f>
        <v>10</v>
      </c>
      <c r="AE13" s="38">
        <f>VLOOKUP(A13, '30'!$E$7:$F$112, 2, FALSE)</f>
        <v>11</v>
      </c>
      <c r="AF13" s="410" t="e">
        <f t="shared" si="0"/>
        <v>#REF!</v>
      </c>
      <c r="AG13" s="410">
        <v>171</v>
      </c>
      <c r="AH13" s="420" t="e">
        <f t="shared" si="1"/>
        <v>#REF!</v>
      </c>
      <c r="AI13" s="421">
        <f t="shared" si="2"/>
        <v>1</v>
      </c>
      <c r="AJ13" s="421">
        <f t="shared" si="3"/>
        <v>0</v>
      </c>
      <c r="AK13" s="421">
        <f t="shared" si="4"/>
        <v>0</v>
      </c>
      <c r="AL13" s="422">
        <f t="shared" si="5"/>
        <v>0</v>
      </c>
      <c r="AM13" s="422" t="e">
        <f t="shared" si="6"/>
        <v>#REF!</v>
      </c>
    </row>
    <row r="14" spans="1:39" ht="14.25" hidden="1" customHeight="1">
      <c r="A14" s="40" t="s">
        <v>73</v>
      </c>
      <c r="B14" s="419" t="e">
        <f>VLOOKUP(A14,#REF!,2,0)</f>
        <v>#REF!</v>
      </c>
      <c r="C14" s="444" t="e">
        <f>VLOOKUP(A14,#REF!, 2, FALSE)</f>
        <v>#REF!</v>
      </c>
      <c r="D14" s="444" t="e">
        <f>VLOOKUP(A14,#REF!, 2, FALSE)</f>
        <v>#REF!</v>
      </c>
      <c r="E14" s="444" t="e">
        <f>VLOOKUP(A14,#REF!, 2, FALSE)</f>
        <v>#REF!</v>
      </c>
      <c r="F14" s="444" t="e">
        <f>VLOOKUP(A14,#REF!, 2, FALSE)</f>
        <v>#REF!</v>
      </c>
      <c r="G14" s="444" t="e">
        <f>VLOOKUP(A14,#REF!, 2, FALSE)</f>
        <v>#REF!</v>
      </c>
      <c r="H14" s="444" t="e">
        <f>VLOOKUP(A14,#REF!, 2, FALSE)</f>
        <v>#REF!</v>
      </c>
      <c r="I14" s="445" t="e">
        <f>VLOOKUP(A14,#REF!, 2, FALSE)</f>
        <v>#REF!</v>
      </c>
      <c r="J14" s="38" t="e">
        <f>VLOOKUP(A14,#REF!, 2, FALSE)</f>
        <v>#REF!</v>
      </c>
      <c r="K14" s="38" t="e">
        <f>VLOOKUP(A14,#REF!, 2, FALSE)</f>
        <v>#REF!</v>
      </c>
      <c r="L14" s="38" t="e">
        <f>VLOOKUP(A14,#REF!, 2, FALSE)</f>
        <v>#REF!</v>
      </c>
      <c r="M14" s="38" t="e">
        <f>VLOOKUP(A14,#REF!, 2, FALSE)</f>
        <v>#REF!</v>
      </c>
      <c r="N14" s="38" t="e">
        <f>VLOOKUP(A14,#REF!, 2, FALSE)</f>
        <v>#REF!</v>
      </c>
      <c r="O14" s="38" t="e">
        <f>VLOOKUP(A14,#REF!, 2, FALSE)</f>
        <v>#REF!</v>
      </c>
      <c r="P14" s="419" t="e">
        <f>VLOOKUP(A14,#REF!, 2, FALSE)</f>
        <v>#REF!</v>
      </c>
      <c r="Q14" s="444" t="e">
        <f>VLOOKUP(A14,#REF!, 2, FALSE)</f>
        <v>#REF!</v>
      </c>
      <c r="R14" s="444" t="e">
        <f>VLOOKUP(A14,#REF!, 2, FALSE)</f>
        <v>#REF!</v>
      </c>
      <c r="S14" s="444" t="e">
        <f>VLOOKUP(A14,#REF!, 2, FALSE)</f>
        <v>#REF!</v>
      </c>
      <c r="T14" s="444" t="e">
        <f>VLOOKUP(A14,#REF!, 2, FALSE)</f>
        <v>#REF!</v>
      </c>
      <c r="U14" s="444" t="e">
        <f>VLOOKUP(A14,#REF!, 2, FALSE)</f>
        <v>#REF!</v>
      </c>
      <c r="V14" s="444" t="e">
        <f>VLOOKUP(A14,#REF!, 2, FALSE)</f>
        <v>#REF!</v>
      </c>
      <c r="W14" s="445" t="s">
        <v>231</v>
      </c>
      <c r="X14" s="38" t="s">
        <v>231</v>
      </c>
      <c r="Y14" s="38" t="s">
        <v>352</v>
      </c>
      <c r="Z14" s="38" t="s">
        <v>352</v>
      </c>
      <c r="AA14" s="38" t="s">
        <v>352</v>
      </c>
      <c r="AB14" s="38" t="s">
        <v>352</v>
      </c>
      <c r="AC14" s="38" t="s">
        <v>352</v>
      </c>
      <c r="AD14" s="38" t="s">
        <v>352</v>
      </c>
      <c r="AE14" s="38" t="s">
        <v>352</v>
      </c>
      <c r="AF14" s="410" t="e">
        <f t="shared" si="0"/>
        <v>#REF!</v>
      </c>
      <c r="AG14" s="410">
        <v>171</v>
      </c>
      <c r="AH14" s="420" t="e">
        <f t="shared" si="1"/>
        <v>#REF!</v>
      </c>
      <c r="AI14" s="421">
        <f t="shared" si="2"/>
        <v>0</v>
      </c>
      <c r="AJ14" s="421">
        <f t="shared" si="3"/>
        <v>2</v>
      </c>
      <c r="AK14" s="421">
        <f t="shared" si="4"/>
        <v>7</v>
      </c>
      <c r="AL14" s="422">
        <f t="shared" si="5"/>
        <v>0.23333333333333334</v>
      </c>
      <c r="AM14" s="422" t="e">
        <f t="shared" si="6"/>
        <v>#REF!</v>
      </c>
    </row>
    <row r="15" spans="1:39" ht="14.25" hidden="1" customHeight="1">
      <c r="A15" s="40" t="s">
        <v>77</v>
      </c>
      <c r="B15" s="419" t="e">
        <f>VLOOKUP(A15,#REF!,2,0)</f>
        <v>#REF!</v>
      </c>
      <c r="C15" s="444" t="e">
        <f>VLOOKUP(A15,#REF!, 2, FALSE)</f>
        <v>#REF!</v>
      </c>
      <c r="D15" s="444" t="e">
        <f>VLOOKUP(A15,#REF!, 2, FALSE)</f>
        <v>#REF!</v>
      </c>
      <c r="E15" s="444" t="e">
        <f>VLOOKUP(A15,#REF!, 2, FALSE)</f>
        <v>#REF!</v>
      </c>
      <c r="F15" s="444" t="e">
        <f>VLOOKUP(A15,#REF!, 2, FALSE)</f>
        <v>#REF!</v>
      </c>
      <c r="G15" s="444" t="s">
        <v>231</v>
      </c>
      <c r="H15" s="444" t="e">
        <f>VLOOKUP(A15,#REF!, 2, FALSE)</f>
        <v>#REF!</v>
      </c>
      <c r="I15" s="445" t="e">
        <f>VLOOKUP(A15,#REF!, 2, FALSE)</f>
        <v>#REF!</v>
      </c>
      <c r="J15" s="38" t="e">
        <f>VLOOKUP(A15,#REF!, 2, FALSE)</f>
        <v>#REF!</v>
      </c>
      <c r="K15" s="38" t="e">
        <f>VLOOKUP(A15,#REF!, 2, FALSE)</f>
        <v>#REF!</v>
      </c>
      <c r="L15" s="38" t="e">
        <f>VLOOKUP(A15,#REF!, 2, FALSE)</f>
        <v>#REF!</v>
      </c>
      <c r="M15" s="38" t="e">
        <f>VLOOKUP(A15,#REF!, 2, FALSE)</f>
        <v>#REF!</v>
      </c>
      <c r="N15" s="38" t="e">
        <f>VLOOKUP(A15,#REF!, 2, FALSE)</f>
        <v>#REF!</v>
      </c>
      <c r="O15" s="38" t="e">
        <f>VLOOKUP(A15,#REF!, 2, FALSE)</f>
        <v>#REF!</v>
      </c>
      <c r="P15" s="419" t="e">
        <f>VLOOKUP(A15,#REF!, 2, FALSE)</f>
        <v>#REF!</v>
      </c>
      <c r="Q15" s="444" t="e">
        <f>VLOOKUP(A15,#REF!, 2, FALSE)</f>
        <v>#REF!</v>
      </c>
      <c r="R15" s="444" t="e">
        <f>VLOOKUP(A15,#REF!, 2, FALSE)</f>
        <v>#REF!</v>
      </c>
      <c r="S15" s="444" t="e">
        <f>VLOOKUP(A15,#REF!, 2, FALSE)</f>
        <v>#REF!</v>
      </c>
      <c r="T15" s="444" t="e">
        <f>VLOOKUP(A15,#REF!, 2, FALSE)</f>
        <v>#REF!</v>
      </c>
      <c r="U15" s="444" t="e">
        <f>VLOOKUP(A15,#REF!, 2, FALSE)</f>
        <v>#REF!</v>
      </c>
      <c r="V15" s="444" t="e">
        <f>VLOOKUP(A15,#REF!, 2, FALSE)</f>
        <v>#REF!</v>
      </c>
      <c r="W15" s="445">
        <f>VLOOKUP(A15, '22'!$E$7:$F$109, 2, FALSE)</f>
        <v>8</v>
      </c>
      <c r="X15" s="38" t="e">
        <f>VLOOKUP(A15,#REF!, 2, FALSE)</f>
        <v>#REF!</v>
      </c>
      <c r="Y15" s="38" t="e">
        <f>VLOOKUP(A15,#REF!, 2, FALSE)</f>
        <v>#REF!</v>
      </c>
      <c r="Z15" s="38" t="e">
        <f>VLOOKUP(A15,#REF!, 2, FALSE)</f>
        <v>#REF!</v>
      </c>
      <c r="AA15" s="38">
        <f>VLOOKUP(A15, '26'!$E$7:$F$112, 2, FALSE)</f>
        <v>12</v>
      </c>
      <c r="AB15" s="38">
        <f>VLOOKUP(A15, '27'!$E$7:$F$112, 2, FALSE)</f>
        <v>0</v>
      </c>
      <c r="AC15" s="38">
        <f>VLOOKUP(A15, '28'!$E$7:$F$112, 2, FALSE)</f>
        <v>12</v>
      </c>
      <c r="AD15" s="38">
        <f>VLOOKUP(A15, '29'!$E$7:$F$112, 2, FALSE)</f>
        <v>10</v>
      </c>
      <c r="AE15" s="38">
        <f>VLOOKUP(A15, '30'!$E$7:$F$112, 2, FALSE)</f>
        <v>11</v>
      </c>
      <c r="AF15" s="410" t="e">
        <f t="shared" si="0"/>
        <v>#REF!</v>
      </c>
      <c r="AG15" s="410">
        <v>171</v>
      </c>
      <c r="AH15" s="420" t="e">
        <f t="shared" si="1"/>
        <v>#REF!</v>
      </c>
      <c r="AI15" s="421">
        <f t="shared" si="2"/>
        <v>1</v>
      </c>
      <c r="AJ15" s="421">
        <f t="shared" si="3"/>
        <v>1</v>
      </c>
      <c r="AK15" s="421">
        <f t="shared" si="4"/>
        <v>0</v>
      </c>
      <c r="AL15" s="422">
        <f t="shared" si="5"/>
        <v>0</v>
      </c>
      <c r="AM15" s="422" t="e">
        <f t="shared" si="6"/>
        <v>#REF!</v>
      </c>
    </row>
    <row r="16" spans="1:39" ht="14.25" hidden="1" customHeight="1">
      <c r="A16" s="40" t="s">
        <v>80</v>
      </c>
      <c r="B16" s="419" t="e">
        <f>VLOOKUP(A16,#REF!,2,0)</f>
        <v>#REF!</v>
      </c>
      <c r="C16" s="444" t="e">
        <f>VLOOKUP(A16,#REF!, 2, FALSE)</f>
        <v>#REF!</v>
      </c>
      <c r="D16" s="444" t="e">
        <f>VLOOKUP(A16,#REF!, 2, FALSE)</f>
        <v>#REF!</v>
      </c>
      <c r="E16" s="444" t="e">
        <f>VLOOKUP(A16,#REF!, 2, FALSE)</f>
        <v>#REF!</v>
      </c>
      <c r="F16" s="444" t="e">
        <f>VLOOKUP(A16,#REF!, 2, FALSE)</f>
        <v>#REF!</v>
      </c>
      <c r="G16" s="444" t="e">
        <f>VLOOKUP(A16,#REF!, 2, FALSE)</f>
        <v>#REF!</v>
      </c>
      <c r="H16" s="444" t="s">
        <v>231</v>
      </c>
      <c r="I16" s="445" t="e">
        <f>VLOOKUP(A16,#REF!, 2, FALSE)</f>
        <v>#REF!</v>
      </c>
      <c r="J16" s="38" t="e">
        <f>VLOOKUP(A16,#REF!, 2, FALSE)</f>
        <v>#REF!</v>
      </c>
      <c r="K16" s="38" t="e">
        <f>VLOOKUP(A16,#REF!, 2, FALSE)</f>
        <v>#REF!</v>
      </c>
      <c r="L16" s="38" t="e">
        <f>VLOOKUP(A16,#REF!, 2, FALSE)</f>
        <v>#REF!</v>
      </c>
      <c r="M16" s="38" t="e">
        <f>VLOOKUP(A16,#REF!, 2, FALSE)</f>
        <v>#REF!</v>
      </c>
      <c r="N16" s="38" t="e">
        <f>VLOOKUP(A16,#REF!, 2, FALSE)</f>
        <v>#REF!</v>
      </c>
      <c r="O16" s="38" t="e">
        <f>VLOOKUP(A16,#REF!, 2, FALSE)</f>
        <v>#REF!</v>
      </c>
      <c r="P16" s="419" t="e">
        <f>VLOOKUP(A16,#REF!, 2, FALSE)</f>
        <v>#REF!</v>
      </c>
      <c r="Q16" s="444" t="e">
        <f>VLOOKUP(A16,#REF!, 2, FALSE)</f>
        <v>#REF!</v>
      </c>
      <c r="R16" s="444" t="e">
        <f>VLOOKUP(A16,#REF!, 2, FALSE)</f>
        <v>#REF!</v>
      </c>
      <c r="S16" s="444" t="e">
        <f>VLOOKUP(A16,#REF!, 2, FALSE)</f>
        <v>#REF!</v>
      </c>
      <c r="T16" s="444" t="e">
        <f>VLOOKUP(A16,#REF!, 2, FALSE)</f>
        <v>#REF!</v>
      </c>
      <c r="U16" s="444" t="e">
        <f>VLOOKUP(A16,#REF!, 2, FALSE)</f>
        <v>#REF!</v>
      </c>
      <c r="V16" s="444" t="e">
        <f>VLOOKUP(A16,#REF!, 2, FALSE)</f>
        <v>#REF!</v>
      </c>
      <c r="W16" s="445">
        <f>VLOOKUP(A16, '22'!$E$7:$F$109, 2, FALSE)</f>
        <v>10</v>
      </c>
      <c r="X16" s="38" t="e">
        <f>VLOOKUP(A16,#REF!, 2, FALSE)</f>
        <v>#REF!</v>
      </c>
      <c r="Y16" s="38" t="e">
        <f>VLOOKUP(A16,#REF!, 2, FALSE)</f>
        <v>#REF!</v>
      </c>
      <c r="Z16" s="38" t="e">
        <f>VLOOKUP(A16,#REF!, 2, FALSE)</f>
        <v>#REF!</v>
      </c>
      <c r="AA16" s="38">
        <f>VLOOKUP(A16, '26'!$E$7:$F$112, 2, FALSE)</f>
        <v>7</v>
      </c>
      <c r="AB16" s="38">
        <f>VLOOKUP(A16, '27'!$E$7:$F$112, 2, FALSE)</f>
        <v>9</v>
      </c>
      <c r="AC16" s="38">
        <f>VLOOKUP(A16, '28'!$E$7:$F$112, 2, FALSE)</f>
        <v>0</v>
      </c>
      <c r="AD16" s="38">
        <f>VLOOKUP(A16, '29'!$E$7:$F$112, 2, FALSE)</f>
        <v>10</v>
      </c>
      <c r="AE16" s="38">
        <f>VLOOKUP(A16, '30'!$E$7:$F$112, 2, FALSE)</f>
        <v>12</v>
      </c>
      <c r="AF16" s="410" t="e">
        <f t="shared" si="0"/>
        <v>#REF!</v>
      </c>
      <c r="AG16" s="410">
        <v>171</v>
      </c>
      <c r="AH16" s="420" t="e">
        <f t="shared" si="1"/>
        <v>#REF!</v>
      </c>
      <c r="AI16" s="421">
        <f t="shared" si="2"/>
        <v>1</v>
      </c>
      <c r="AJ16" s="421">
        <f t="shared" si="3"/>
        <v>1</v>
      </c>
      <c r="AK16" s="421">
        <f t="shared" si="4"/>
        <v>0</v>
      </c>
      <c r="AL16" s="422">
        <f t="shared" si="5"/>
        <v>0</v>
      </c>
      <c r="AM16" s="422" t="e">
        <f t="shared" si="6"/>
        <v>#REF!</v>
      </c>
    </row>
    <row r="17" spans="1:39" ht="14.25" hidden="1" customHeight="1">
      <c r="A17" s="40" t="s">
        <v>83</v>
      </c>
      <c r="B17" s="419" t="e">
        <f>VLOOKUP(A17,#REF!,2,0)</f>
        <v>#REF!</v>
      </c>
      <c r="C17" s="444" t="e">
        <f>VLOOKUP(A17,#REF!, 2, FALSE)</f>
        <v>#REF!</v>
      </c>
      <c r="D17" s="444" t="e">
        <f>VLOOKUP(A17,#REF!, 2, FALSE)</f>
        <v>#REF!</v>
      </c>
      <c r="E17" s="444" t="e">
        <f>VLOOKUP(A17,#REF!, 2, FALSE)</f>
        <v>#REF!</v>
      </c>
      <c r="F17" s="444" t="e">
        <f>VLOOKUP(A17,#REF!, 2, FALSE)</f>
        <v>#REF!</v>
      </c>
      <c r="G17" s="444" t="e">
        <f>VLOOKUP(A17,#REF!, 2, FALSE)</f>
        <v>#REF!</v>
      </c>
      <c r="H17" s="444" t="e">
        <f>VLOOKUP(A17,#REF!, 2, FALSE)</f>
        <v>#REF!</v>
      </c>
      <c r="I17" s="445" t="e">
        <f>VLOOKUP(A17,#REF!, 2, FALSE)</f>
        <v>#REF!</v>
      </c>
      <c r="J17" s="38" t="e">
        <f>VLOOKUP(A17,#REF!, 2, FALSE)</f>
        <v>#REF!</v>
      </c>
      <c r="K17" s="38" t="e">
        <f>VLOOKUP(A17,#REF!, 2, FALSE)</f>
        <v>#REF!</v>
      </c>
      <c r="L17" s="38" t="e">
        <f>VLOOKUP(A17,#REF!, 2, FALSE)</f>
        <v>#REF!</v>
      </c>
      <c r="M17" s="38" t="e">
        <f>VLOOKUP(A17,#REF!, 2, FALSE)</f>
        <v>#REF!</v>
      </c>
      <c r="N17" s="38" t="e">
        <f>VLOOKUP(A17,#REF!, 2, FALSE)</f>
        <v>#REF!</v>
      </c>
      <c r="O17" s="38" t="e">
        <f>VLOOKUP(A17,#REF!, 2, FALSE)</f>
        <v>#REF!</v>
      </c>
      <c r="P17" s="419" t="e">
        <f>VLOOKUP(A17,#REF!, 2, FALSE)</f>
        <v>#REF!</v>
      </c>
      <c r="Q17" s="444" t="e">
        <f>VLOOKUP(A17,#REF!, 2, FALSE)</f>
        <v>#REF!</v>
      </c>
      <c r="R17" s="444" t="e">
        <f>VLOOKUP(A17,#REF!, 2, FALSE)</f>
        <v>#REF!</v>
      </c>
      <c r="S17" s="444" t="e">
        <f>VLOOKUP(A17,#REF!, 2, FALSE)</f>
        <v>#REF!</v>
      </c>
      <c r="T17" s="444" t="e">
        <f>VLOOKUP(A17,#REF!, 2, FALSE)</f>
        <v>#REF!</v>
      </c>
      <c r="U17" s="444" t="e">
        <f>VLOOKUP(A17,#REF!, 2, FALSE)</f>
        <v>#REF!</v>
      </c>
      <c r="V17" s="444" t="e">
        <f>VLOOKUP(A17,#REF!, 2, FALSE)</f>
        <v>#REF!</v>
      </c>
      <c r="W17" s="445">
        <f>VLOOKUP(A17, '22'!$E$7:$F$109, 2, FALSE)</f>
        <v>10</v>
      </c>
      <c r="X17" s="38" t="e">
        <f>VLOOKUP(A17,#REF!, 2, FALSE)</f>
        <v>#REF!</v>
      </c>
      <c r="Y17" s="38" t="e">
        <f>VLOOKUP(A17,#REF!, 2, FALSE)</f>
        <v>#REF!</v>
      </c>
      <c r="Z17" s="38" t="e">
        <f>VLOOKUP(A17,#REF!, 2, FALSE)</f>
        <v>#REF!</v>
      </c>
      <c r="AA17" s="38">
        <f>VLOOKUP(A17, '26'!$E$7:$F$112, 2, FALSE)</f>
        <v>11</v>
      </c>
      <c r="AB17" s="38">
        <f>VLOOKUP(A17, '27'!$E$7:$F$112, 2, FALSE)</f>
        <v>11</v>
      </c>
      <c r="AC17" s="38">
        <f>VLOOKUP(A17, '28'!$E$7:$F$112, 2, FALSE)</f>
        <v>0</v>
      </c>
      <c r="AD17" s="38">
        <f>VLOOKUP(A17, '29'!$E$7:$F$112, 2, FALSE)</f>
        <v>12</v>
      </c>
      <c r="AE17" s="38">
        <f>VLOOKUP(A17, '30'!$E$7:$F$112, 2, FALSE)</f>
        <v>12</v>
      </c>
      <c r="AF17" s="410" t="e">
        <f t="shared" si="0"/>
        <v>#REF!</v>
      </c>
      <c r="AG17" s="410">
        <v>171</v>
      </c>
      <c r="AH17" s="420" t="e">
        <f t="shared" si="1"/>
        <v>#REF!</v>
      </c>
      <c r="AI17" s="421">
        <f t="shared" si="2"/>
        <v>1</v>
      </c>
      <c r="AJ17" s="421">
        <f t="shared" si="3"/>
        <v>0</v>
      </c>
      <c r="AK17" s="421">
        <f t="shared" si="4"/>
        <v>0</v>
      </c>
      <c r="AL17" s="422">
        <f t="shared" si="5"/>
        <v>0</v>
      </c>
      <c r="AM17" s="422" t="e">
        <f t="shared" si="6"/>
        <v>#REF!</v>
      </c>
    </row>
    <row r="18" spans="1:39" ht="14.25" hidden="1" customHeight="1">
      <c r="A18" s="40" t="s">
        <v>86</v>
      </c>
      <c r="B18" s="419" t="e">
        <f>VLOOKUP(A18,#REF!,2,0)</f>
        <v>#REF!</v>
      </c>
      <c r="C18" s="444" t="e">
        <f>VLOOKUP(A18,#REF!, 2, FALSE)</f>
        <v>#REF!</v>
      </c>
      <c r="D18" s="444" t="e">
        <f>VLOOKUP(A18,#REF!, 2, FALSE)</f>
        <v>#REF!</v>
      </c>
      <c r="E18" s="444" t="e">
        <f>VLOOKUP(A18,#REF!, 2, FALSE)</f>
        <v>#REF!</v>
      </c>
      <c r="F18" s="444" t="e">
        <f>VLOOKUP(A18,#REF!, 2, FALSE)</f>
        <v>#REF!</v>
      </c>
      <c r="G18" s="444" t="e">
        <f>VLOOKUP(A18,#REF!, 2, FALSE)</f>
        <v>#REF!</v>
      </c>
      <c r="H18" s="444" t="e">
        <f>VLOOKUP(A18,#REF!, 2, FALSE)</f>
        <v>#REF!</v>
      </c>
      <c r="I18" s="445" t="e">
        <f>VLOOKUP(A18,#REF!, 2, FALSE)</f>
        <v>#REF!</v>
      </c>
      <c r="J18" s="38" t="e">
        <f>VLOOKUP(A18,#REF!, 2, FALSE)</f>
        <v>#REF!</v>
      </c>
      <c r="K18" s="38" t="e">
        <f>VLOOKUP(A18,#REF!, 2, FALSE)</f>
        <v>#REF!</v>
      </c>
      <c r="L18" s="38" t="e">
        <f>VLOOKUP(A18,#REF!, 2, FALSE)</f>
        <v>#REF!</v>
      </c>
      <c r="M18" s="38" t="e">
        <f>VLOOKUP(A18,#REF!, 2, FALSE)</f>
        <v>#REF!</v>
      </c>
      <c r="N18" s="38" t="e">
        <f>VLOOKUP(A18,#REF!, 2, FALSE)</f>
        <v>#REF!</v>
      </c>
      <c r="O18" s="38" t="e">
        <f>VLOOKUP(A18,#REF!, 2, FALSE)</f>
        <v>#REF!</v>
      </c>
      <c r="P18" s="419" t="e">
        <f>VLOOKUP(A18,#REF!, 2, FALSE)</f>
        <v>#REF!</v>
      </c>
      <c r="Q18" s="444" t="e">
        <f>VLOOKUP(A18,#REF!, 2, FALSE)</f>
        <v>#REF!</v>
      </c>
      <c r="R18" s="444" t="e">
        <f>VLOOKUP(A18,#REF!, 2, FALSE)</f>
        <v>#REF!</v>
      </c>
      <c r="S18" s="444" t="e">
        <f>VLOOKUP(A18,#REF!, 2, FALSE)</f>
        <v>#REF!</v>
      </c>
      <c r="T18" s="444" t="e">
        <f>VLOOKUP(A18,#REF!, 2, FALSE)</f>
        <v>#REF!</v>
      </c>
      <c r="U18" s="444" t="e">
        <f>VLOOKUP(A18,#REF!, 2, FALSE)</f>
        <v>#REF!</v>
      </c>
      <c r="V18" s="444" t="e">
        <f>VLOOKUP(A18,#REF!, 2, FALSE)</f>
        <v>#REF!</v>
      </c>
      <c r="W18" s="445">
        <f>VLOOKUP(A18, '22'!$E$7:$F$109, 2, FALSE)</f>
        <v>6</v>
      </c>
      <c r="X18" s="38" t="e">
        <f>VLOOKUP(A18,#REF!, 2, FALSE)</f>
        <v>#REF!</v>
      </c>
      <c r="Y18" s="38" t="e">
        <f>VLOOKUP(A18,#REF!, 2, FALSE)</f>
        <v>#REF!</v>
      </c>
      <c r="Z18" s="38" t="e">
        <f>VLOOKUP(A18,#REF!, 2, FALSE)</f>
        <v>#REF!</v>
      </c>
      <c r="AA18" s="38">
        <f>VLOOKUP(A18, '26'!$E$7:$F$112, 2, FALSE)</f>
        <v>6</v>
      </c>
      <c r="AB18" s="38">
        <f>VLOOKUP(A18, '27'!$E$7:$F$112, 2, FALSE)</f>
        <v>0</v>
      </c>
      <c r="AC18" s="38">
        <f>VLOOKUP(A18, '28'!$E$7:$F$112, 2, FALSE)</f>
        <v>0</v>
      </c>
      <c r="AD18" s="38">
        <f>VLOOKUP(A18, '29'!$E$7:$F$112, 2, FALSE)</f>
        <v>6</v>
      </c>
      <c r="AE18" s="38">
        <f>VLOOKUP(A18, '30'!$E$7:$F$112, 2, FALSE)</f>
        <v>6</v>
      </c>
      <c r="AF18" s="410" t="e">
        <f t="shared" si="0"/>
        <v>#REF!</v>
      </c>
      <c r="AG18" s="410">
        <v>171</v>
      </c>
      <c r="AH18" s="420" t="e">
        <f t="shared" si="1"/>
        <v>#REF!</v>
      </c>
      <c r="AI18" s="421">
        <f t="shared" si="2"/>
        <v>2</v>
      </c>
      <c r="AJ18" s="421">
        <f t="shared" si="3"/>
        <v>0</v>
      </c>
      <c r="AK18" s="421">
        <f t="shared" si="4"/>
        <v>0</v>
      </c>
      <c r="AL18" s="422">
        <f t="shared" si="5"/>
        <v>0</v>
      </c>
      <c r="AM18" s="422" t="e">
        <f t="shared" si="6"/>
        <v>#REF!</v>
      </c>
    </row>
    <row r="19" spans="1:39" ht="14.25" hidden="1" customHeight="1">
      <c r="A19" s="40" t="s">
        <v>89</v>
      </c>
      <c r="B19" s="419" t="e">
        <f>VLOOKUP(A19,#REF!,2,0)</f>
        <v>#REF!</v>
      </c>
      <c r="C19" s="444" t="e">
        <f>VLOOKUP(A19,#REF!, 2, FALSE)</f>
        <v>#REF!</v>
      </c>
      <c r="D19" s="444" t="e">
        <f>VLOOKUP(A19,#REF!, 2, FALSE)</f>
        <v>#REF!</v>
      </c>
      <c r="E19" s="444" t="e">
        <f>VLOOKUP(A19,#REF!, 2, FALSE)</f>
        <v>#REF!</v>
      </c>
      <c r="F19" s="444" t="e">
        <f>VLOOKUP(A19,#REF!, 2, FALSE)</f>
        <v>#REF!</v>
      </c>
      <c r="G19" s="444" t="e">
        <f>VLOOKUP(A19,#REF!, 2, FALSE)</f>
        <v>#REF!</v>
      </c>
      <c r="H19" s="444" t="e">
        <f>VLOOKUP(A19,#REF!, 2, FALSE)</f>
        <v>#REF!</v>
      </c>
      <c r="I19" s="445" t="e">
        <f>VLOOKUP(A19,#REF!, 2, FALSE)</f>
        <v>#REF!</v>
      </c>
      <c r="J19" s="38" t="e">
        <f>VLOOKUP(A19,#REF!, 2, FALSE)</f>
        <v>#REF!</v>
      </c>
      <c r="K19" s="38" t="e">
        <f>VLOOKUP(A19,#REF!, 2, FALSE)</f>
        <v>#REF!</v>
      </c>
      <c r="L19" s="38" t="e">
        <f>VLOOKUP(A19,#REF!, 2, FALSE)</f>
        <v>#REF!</v>
      </c>
      <c r="M19" s="38" t="e">
        <f>VLOOKUP(A19,#REF!, 2, FALSE)</f>
        <v>#REF!</v>
      </c>
      <c r="N19" s="38" t="e">
        <f>VLOOKUP(A19,#REF!, 2, FALSE)</f>
        <v>#REF!</v>
      </c>
      <c r="O19" s="38" t="e">
        <f>VLOOKUP(A19,#REF!, 2, FALSE)</f>
        <v>#REF!</v>
      </c>
      <c r="P19" s="419" t="e">
        <f>VLOOKUP(A19,#REF!, 2, FALSE)</f>
        <v>#REF!</v>
      </c>
      <c r="Q19" s="444" t="e">
        <f>VLOOKUP(A19,#REF!, 2, FALSE)</f>
        <v>#REF!</v>
      </c>
      <c r="R19" s="444" t="e">
        <f>VLOOKUP(A19,#REF!, 2, FALSE)</f>
        <v>#REF!</v>
      </c>
      <c r="S19" s="444" t="e">
        <f>VLOOKUP(A19,#REF!, 2, FALSE)</f>
        <v>#REF!</v>
      </c>
      <c r="T19" s="444" t="e">
        <f>VLOOKUP(A19,#REF!, 2, FALSE)</f>
        <v>#REF!</v>
      </c>
      <c r="U19" s="444" t="e">
        <f>VLOOKUP(A19,#REF!, 2, FALSE)</f>
        <v>#REF!</v>
      </c>
      <c r="V19" s="444" t="e">
        <f>VLOOKUP(A19,#REF!, 2, FALSE)</f>
        <v>#REF!</v>
      </c>
      <c r="W19" s="445">
        <f>VLOOKUP(A19, '22'!$E$7:$F$109, 2, FALSE)</f>
        <v>11</v>
      </c>
      <c r="X19" s="38" t="e">
        <f>VLOOKUP(A19,#REF!, 2, FALSE)</f>
        <v>#REF!</v>
      </c>
      <c r="Y19" s="38" t="e">
        <f>VLOOKUP(A19,#REF!, 2, FALSE)</f>
        <v>#REF!</v>
      </c>
      <c r="Z19" s="38" t="e">
        <f>VLOOKUP(A19,#REF!, 2, FALSE)</f>
        <v>#REF!</v>
      </c>
      <c r="AA19" s="38">
        <f>VLOOKUP(A19, '26'!$E$7:$F$112, 2, FALSE)</f>
        <v>11</v>
      </c>
      <c r="AB19" s="38">
        <f>VLOOKUP(A19, '27'!$E$7:$F$112, 2, FALSE)</f>
        <v>0</v>
      </c>
      <c r="AC19" s="38">
        <f>VLOOKUP(A19, '28'!$E$7:$F$112, 2, FALSE)</f>
        <v>11</v>
      </c>
      <c r="AD19" s="38">
        <f>VLOOKUP(A19, '29'!$E$7:$F$112, 2, FALSE)</f>
        <v>11</v>
      </c>
      <c r="AE19" s="38">
        <f>VLOOKUP(A19, '30'!$E$7:$F$112, 2, FALSE)</f>
        <v>12</v>
      </c>
      <c r="AF19" s="410" t="e">
        <f t="shared" si="0"/>
        <v>#REF!</v>
      </c>
      <c r="AG19" s="410">
        <v>171</v>
      </c>
      <c r="AH19" s="420" t="e">
        <f t="shared" si="1"/>
        <v>#REF!</v>
      </c>
      <c r="AI19" s="421">
        <f t="shared" si="2"/>
        <v>1</v>
      </c>
      <c r="AJ19" s="421">
        <f t="shared" si="3"/>
        <v>0</v>
      </c>
      <c r="AK19" s="421">
        <f t="shared" si="4"/>
        <v>0</v>
      </c>
      <c r="AL19" s="422">
        <f t="shared" si="5"/>
        <v>0</v>
      </c>
      <c r="AM19" s="422" t="e">
        <f t="shared" si="6"/>
        <v>#REF!</v>
      </c>
    </row>
    <row r="20" spans="1:39" ht="14.25" hidden="1" customHeight="1">
      <c r="A20" s="40" t="s">
        <v>91</v>
      </c>
      <c r="B20" s="419" t="e">
        <f>VLOOKUP(A20,#REF!,2,0)</f>
        <v>#REF!</v>
      </c>
      <c r="C20" s="444" t="e">
        <f>VLOOKUP(A20,#REF!, 2, FALSE)</f>
        <v>#REF!</v>
      </c>
      <c r="D20" s="444" t="e">
        <f>VLOOKUP(A20,#REF!, 2, FALSE)</f>
        <v>#REF!</v>
      </c>
      <c r="E20" s="444" t="e">
        <f>VLOOKUP(A20,#REF!, 2, FALSE)</f>
        <v>#REF!</v>
      </c>
      <c r="F20" s="444" t="e">
        <f>VLOOKUP(A20,#REF!, 2, FALSE)</f>
        <v>#REF!</v>
      </c>
      <c r="G20" s="444" t="e">
        <f>VLOOKUP(A20,#REF!, 2, FALSE)</f>
        <v>#REF!</v>
      </c>
      <c r="H20" s="444" t="e">
        <f>VLOOKUP(A20,#REF!, 2, FALSE)</f>
        <v>#REF!</v>
      </c>
      <c r="I20" s="445" t="e">
        <f>VLOOKUP(A20,#REF!, 2, FALSE)</f>
        <v>#REF!</v>
      </c>
      <c r="J20" s="38" t="e">
        <f>VLOOKUP(A20,#REF!, 2, FALSE)</f>
        <v>#REF!</v>
      </c>
      <c r="K20" s="38" t="e">
        <f>VLOOKUP(A20,#REF!, 2, FALSE)</f>
        <v>#REF!</v>
      </c>
      <c r="L20" s="38" t="e">
        <f>VLOOKUP(A20,#REF!, 2, FALSE)</f>
        <v>#REF!</v>
      </c>
      <c r="M20" s="38" t="e">
        <f>VLOOKUP(A20,#REF!, 2, FALSE)</f>
        <v>#REF!</v>
      </c>
      <c r="N20" s="38" t="e">
        <f>VLOOKUP(A20,#REF!, 2, FALSE)</f>
        <v>#REF!</v>
      </c>
      <c r="O20" s="38" t="e">
        <f>VLOOKUP(A20,#REF!, 2, FALSE)</f>
        <v>#REF!</v>
      </c>
      <c r="P20" s="419" t="e">
        <f>VLOOKUP(A20,#REF!, 2, FALSE)</f>
        <v>#REF!</v>
      </c>
      <c r="Q20" s="444" t="e">
        <f>VLOOKUP(A20,#REF!, 2, FALSE)</f>
        <v>#REF!</v>
      </c>
      <c r="R20" s="444" t="e">
        <f>VLOOKUP(A20,#REF!, 2, FALSE)</f>
        <v>#REF!</v>
      </c>
      <c r="S20" s="444" t="e">
        <f>VLOOKUP(A20,#REF!, 2, FALSE)</f>
        <v>#REF!</v>
      </c>
      <c r="T20" s="444" t="e">
        <f>VLOOKUP(A20,#REF!, 2, FALSE)</f>
        <v>#REF!</v>
      </c>
      <c r="U20" s="444" t="e">
        <f>VLOOKUP(A20,#REF!, 2, FALSE)</f>
        <v>#REF!</v>
      </c>
      <c r="V20" s="444" t="e">
        <f>VLOOKUP(A20,#REF!, 2, FALSE)</f>
        <v>#REF!</v>
      </c>
      <c r="W20" s="445">
        <f>VLOOKUP(A20, '22'!$E$7:$F$109, 2, FALSE)</f>
        <v>10</v>
      </c>
      <c r="X20" s="38" t="e">
        <f>VLOOKUP(A20,#REF!, 2, FALSE)</f>
        <v>#REF!</v>
      </c>
      <c r="Y20" s="38" t="e">
        <f>VLOOKUP(A20,#REF!, 2, FALSE)</f>
        <v>#REF!</v>
      </c>
      <c r="Z20" s="38" t="e">
        <f>VLOOKUP(A20,#REF!, 2, FALSE)</f>
        <v>#REF!</v>
      </c>
      <c r="AA20" s="38">
        <f>VLOOKUP(A20, '26'!$E$7:$F$112, 2, FALSE)</f>
        <v>11</v>
      </c>
      <c r="AB20" s="38">
        <f>VLOOKUP(A20, '27'!$E$7:$F$112, 2, FALSE)</f>
        <v>11</v>
      </c>
      <c r="AC20" s="38">
        <f>VLOOKUP(A20, '28'!$E$7:$F$112, 2, FALSE)</f>
        <v>10</v>
      </c>
      <c r="AD20" s="38">
        <f>VLOOKUP(A20, '29'!$E$7:$F$112, 2, FALSE)</f>
        <v>11</v>
      </c>
      <c r="AE20" s="38">
        <f>VLOOKUP(A20, '30'!$E$7:$F$112, 2, FALSE)</f>
        <v>12</v>
      </c>
      <c r="AF20" s="410" t="e">
        <f t="shared" si="0"/>
        <v>#REF!</v>
      </c>
      <c r="AG20" s="410">
        <v>171</v>
      </c>
      <c r="AH20" s="420" t="e">
        <f t="shared" si="1"/>
        <v>#REF!</v>
      </c>
      <c r="AI20" s="421">
        <f t="shared" si="2"/>
        <v>0</v>
      </c>
      <c r="AJ20" s="421">
        <f t="shared" si="3"/>
        <v>0</v>
      </c>
      <c r="AK20" s="421">
        <f t="shared" si="4"/>
        <v>0</v>
      </c>
      <c r="AL20" s="422">
        <f t="shared" si="5"/>
        <v>0</v>
      </c>
      <c r="AM20" s="422" t="e">
        <f t="shared" si="6"/>
        <v>#REF!</v>
      </c>
    </row>
    <row r="21" spans="1:39" ht="14.25" hidden="1" customHeight="1">
      <c r="A21" s="40" t="s">
        <v>93</v>
      </c>
      <c r="B21" s="419" t="e">
        <f>VLOOKUP(A21,#REF!,2,0)</f>
        <v>#REF!</v>
      </c>
      <c r="C21" s="444" t="e">
        <f>VLOOKUP(A21,#REF!, 2, FALSE)</f>
        <v>#REF!</v>
      </c>
      <c r="D21" s="444" t="e">
        <f>VLOOKUP(A21,#REF!, 2, FALSE)</f>
        <v>#REF!</v>
      </c>
      <c r="E21" s="444" t="e">
        <f>VLOOKUP(A21,#REF!, 2, FALSE)</f>
        <v>#REF!</v>
      </c>
      <c r="F21" s="444" t="e">
        <f>VLOOKUP(A21,#REF!, 2, FALSE)</f>
        <v>#REF!</v>
      </c>
      <c r="G21" s="444" t="e">
        <f>VLOOKUP(A21,#REF!, 2, FALSE)</f>
        <v>#REF!</v>
      </c>
      <c r="H21" s="444" t="e">
        <f>VLOOKUP(A21,#REF!, 2, FALSE)</f>
        <v>#REF!</v>
      </c>
      <c r="I21" s="445" t="e">
        <f>VLOOKUP(A21,#REF!, 2, FALSE)</f>
        <v>#REF!</v>
      </c>
      <c r="J21" s="38" t="e">
        <f>VLOOKUP(A21,#REF!, 2, FALSE)</f>
        <v>#REF!</v>
      </c>
      <c r="K21" s="38" t="e">
        <f>VLOOKUP(A21,#REF!, 2, FALSE)</f>
        <v>#REF!</v>
      </c>
      <c r="L21" s="38" t="s">
        <v>231</v>
      </c>
      <c r="M21" s="38" t="e">
        <f>VLOOKUP(A21,#REF!, 2, FALSE)</f>
        <v>#REF!</v>
      </c>
      <c r="N21" s="38" t="e">
        <f>VLOOKUP(A21,#REF!, 2, FALSE)</f>
        <v>#REF!</v>
      </c>
      <c r="O21" s="38" t="e">
        <f>VLOOKUP(A21,#REF!, 2, FALSE)</f>
        <v>#REF!</v>
      </c>
      <c r="P21" s="419" t="e">
        <f>VLOOKUP(A21,#REF!, 2, FALSE)</f>
        <v>#REF!</v>
      </c>
      <c r="Q21" s="444" t="e">
        <f>VLOOKUP(A21,#REF!, 2, FALSE)</f>
        <v>#REF!</v>
      </c>
      <c r="R21" s="444" t="e">
        <f>VLOOKUP(A21,#REF!, 2, FALSE)</f>
        <v>#REF!</v>
      </c>
      <c r="S21" s="444" t="e">
        <f>VLOOKUP(A21,#REF!, 2, FALSE)</f>
        <v>#REF!</v>
      </c>
      <c r="T21" s="444" t="e">
        <f>VLOOKUP(A21,#REF!, 2, FALSE)</f>
        <v>#REF!</v>
      </c>
      <c r="U21" s="444" t="e">
        <f>VLOOKUP(A21,#REF!, 2, FALSE)</f>
        <v>#REF!</v>
      </c>
      <c r="V21" s="444" t="e">
        <f>VLOOKUP(A21,#REF!, 2, FALSE)</f>
        <v>#REF!</v>
      </c>
      <c r="W21" s="445" t="s">
        <v>231</v>
      </c>
      <c r="X21" s="38" t="e">
        <f>VLOOKUP(A21,#REF!, 2, FALSE)</f>
        <v>#REF!</v>
      </c>
      <c r="Y21" s="38" t="e">
        <f>VLOOKUP(A21,#REF!, 2, FALSE)</f>
        <v>#REF!</v>
      </c>
      <c r="Z21" s="38" t="e">
        <f>VLOOKUP(A21,#REF!, 2, FALSE)</f>
        <v>#REF!</v>
      </c>
      <c r="AA21" s="38">
        <f>VLOOKUP(A21, '26'!$E$7:$F$112, 2, FALSE)</f>
        <v>11</v>
      </c>
      <c r="AB21" s="38">
        <f>VLOOKUP(A21, '27'!$E$7:$F$112, 2, FALSE)</f>
        <v>4</v>
      </c>
      <c r="AC21" s="38">
        <f>VLOOKUP(A21, '28'!$E$7:$F$112, 2, FALSE)</f>
        <v>14</v>
      </c>
      <c r="AD21" s="38">
        <f>VLOOKUP(A21, '29'!$E$7:$F$112, 2, FALSE)</f>
        <v>12</v>
      </c>
      <c r="AE21" s="38">
        <f>VLOOKUP(A21, '30'!$E$7:$F$112, 2, FALSE)</f>
        <v>13</v>
      </c>
      <c r="AF21" s="410" t="e">
        <f t="shared" si="0"/>
        <v>#REF!</v>
      </c>
      <c r="AG21" s="410">
        <v>171</v>
      </c>
      <c r="AH21" s="420" t="e">
        <f t="shared" si="1"/>
        <v>#REF!</v>
      </c>
      <c r="AI21" s="421">
        <f t="shared" si="2"/>
        <v>0</v>
      </c>
      <c r="AJ21" s="421">
        <f t="shared" si="3"/>
        <v>2</v>
      </c>
      <c r="AK21" s="421">
        <f t="shared" si="4"/>
        <v>0</v>
      </c>
      <c r="AL21" s="422">
        <f t="shared" si="5"/>
        <v>0</v>
      </c>
      <c r="AM21" s="422" t="e">
        <f t="shared" si="6"/>
        <v>#REF!</v>
      </c>
    </row>
    <row r="22" spans="1:39" ht="14.25" hidden="1" customHeight="1">
      <c r="A22" s="40" t="s">
        <v>95</v>
      </c>
      <c r="B22" s="419" t="e">
        <f>VLOOKUP(A22,#REF!,2,0)</f>
        <v>#REF!</v>
      </c>
      <c r="C22" s="444" t="e">
        <f>VLOOKUP(A22,#REF!, 2, FALSE)</f>
        <v>#REF!</v>
      </c>
      <c r="D22" s="444" t="e">
        <f>VLOOKUP(A22,#REF!, 2, FALSE)</f>
        <v>#REF!</v>
      </c>
      <c r="E22" s="444" t="e">
        <f>VLOOKUP(A22,#REF!, 2, FALSE)</f>
        <v>#REF!</v>
      </c>
      <c r="F22" s="444" t="e">
        <f>VLOOKUP(A22,#REF!, 2, FALSE)</f>
        <v>#REF!</v>
      </c>
      <c r="G22" s="444" t="e">
        <f>VLOOKUP(A22,#REF!, 2, FALSE)</f>
        <v>#REF!</v>
      </c>
      <c r="H22" s="444" t="e">
        <f>VLOOKUP(A22,#REF!, 2, FALSE)</f>
        <v>#REF!</v>
      </c>
      <c r="I22" s="445" t="e">
        <f>VLOOKUP(A22,#REF!, 2, FALSE)</f>
        <v>#REF!</v>
      </c>
      <c r="J22" s="38" t="e">
        <f>VLOOKUP(A22,#REF!, 2, FALSE)</f>
        <v>#REF!</v>
      </c>
      <c r="K22" s="38" t="e">
        <f>VLOOKUP(A22,#REF!, 2, FALSE)</f>
        <v>#REF!</v>
      </c>
      <c r="L22" s="38" t="e">
        <f>VLOOKUP(A22,#REF!, 2, FALSE)</f>
        <v>#REF!</v>
      </c>
      <c r="M22" s="38" t="e">
        <f>VLOOKUP(A22,#REF!, 2, FALSE)</f>
        <v>#REF!</v>
      </c>
      <c r="N22" s="38" t="e">
        <f>VLOOKUP(A22,#REF!, 2, FALSE)</f>
        <v>#REF!</v>
      </c>
      <c r="O22" s="38" t="e">
        <f>VLOOKUP(A22,#REF!, 2, FALSE)</f>
        <v>#REF!</v>
      </c>
      <c r="P22" s="419" t="e">
        <f>VLOOKUP(A22,#REF!, 2, FALSE)</f>
        <v>#REF!</v>
      </c>
      <c r="Q22" s="444" t="e">
        <f>VLOOKUP(A22,#REF!, 2, FALSE)</f>
        <v>#REF!</v>
      </c>
      <c r="R22" s="444" t="e">
        <f>VLOOKUP(A22,#REF!, 2, FALSE)</f>
        <v>#REF!</v>
      </c>
      <c r="S22" s="444" t="e">
        <f>VLOOKUP(A22,#REF!, 2, FALSE)</f>
        <v>#REF!</v>
      </c>
      <c r="T22" s="444" t="e">
        <f>VLOOKUP(A22,#REF!, 2, FALSE)</f>
        <v>#REF!</v>
      </c>
      <c r="U22" s="444" t="e">
        <f>VLOOKUP(A22,#REF!, 2, FALSE)</f>
        <v>#REF!</v>
      </c>
      <c r="V22" s="444" t="e">
        <f>VLOOKUP(A22,#REF!, 2, FALSE)</f>
        <v>#REF!</v>
      </c>
      <c r="W22" s="445">
        <f>VLOOKUP(A22, '22'!$E$7:$F$109, 2, FALSE)</f>
        <v>11</v>
      </c>
      <c r="X22" s="38" t="e">
        <f>VLOOKUP(A22,#REF!, 2, FALSE)</f>
        <v>#REF!</v>
      </c>
      <c r="Y22" s="38" t="e">
        <f>VLOOKUP(A22,#REF!, 2, FALSE)</f>
        <v>#REF!</v>
      </c>
      <c r="Z22" s="38" t="e">
        <f>VLOOKUP(A22,#REF!, 2, FALSE)</f>
        <v>#REF!</v>
      </c>
      <c r="AA22" s="38">
        <f>VLOOKUP(A22, '26'!$E$7:$F$112, 2, FALSE)</f>
        <v>11</v>
      </c>
      <c r="AB22" s="38">
        <f>VLOOKUP(A22, '27'!$E$7:$F$112, 2, FALSE)</f>
        <v>13</v>
      </c>
      <c r="AC22" s="38">
        <f>VLOOKUP(A22, '28'!$E$7:$F$112, 2, FALSE)</f>
        <v>0</v>
      </c>
      <c r="AD22" s="38">
        <f>VLOOKUP(A22, '29'!$E$7:$F$112, 2, FALSE)</f>
        <v>12</v>
      </c>
      <c r="AE22" s="38">
        <f>VLOOKUP(A22, '30'!$E$7:$F$112, 2, FALSE)</f>
        <v>11</v>
      </c>
      <c r="AF22" s="410" t="e">
        <f t="shared" si="0"/>
        <v>#REF!</v>
      </c>
      <c r="AG22" s="410">
        <v>171</v>
      </c>
      <c r="AH22" s="420" t="e">
        <f t="shared" si="1"/>
        <v>#REF!</v>
      </c>
      <c r="AI22" s="421">
        <f t="shared" si="2"/>
        <v>1</v>
      </c>
      <c r="AJ22" s="421">
        <f t="shared" si="3"/>
        <v>0</v>
      </c>
      <c r="AK22" s="421">
        <f t="shared" si="4"/>
        <v>0</v>
      </c>
      <c r="AL22" s="422">
        <f t="shared" si="5"/>
        <v>0</v>
      </c>
      <c r="AM22" s="422" t="e">
        <f t="shared" si="6"/>
        <v>#REF!</v>
      </c>
    </row>
    <row r="23" spans="1:39" ht="14.25" hidden="1" customHeight="1">
      <c r="A23" s="40" t="s">
        <v>98</v>
      </c>
      <c r="B23" s="419" t="e">
        <f>VLOOKUP(A23,#REF!,2,0)</f>
        <v>#REF!</v>
      </c>
      <c r="C23" s="444" t="e">
        <f>VLOOKUP(A23,#REF!, 2, FALSE)</f>
        <v>#REF!</v>
      </c>
      <c r="D23" s="444" t="e">
        <f>VLOOKUP(A23,#REF!, 2, FALSE)</f>
        <v>#REF!</v>
      </c>
      <c r="E23" s="444" t="e">
        <f>VLOOKUP(A23,#REF!, 2, FALSE)</f>
        <v>#REF!</v>
      </c>
      <c r="F23" s="444" t="e">
        <f>VLOOKUP(A23,#REF!, 2, FALSE)</f>
        <v>#REF!</v>
      </c>
      <c r="G23" s="444" t="e">
        <f>VLOOKUP(A23,#REF!, 2, FALSE)</f>
        <v>#REF!</v>
      </c>
      <c r="H23" s="444" t="e">
        <f>VLOOKUP(A23,#REF!, 2, FALSE)</f>
        <v>#REF!</v>
      </c>
      <c r="I23" s="445" t="e">
        <f>VLOOKUP(A23,#REF!, 2, FALSE)</f>
        <v>#REF!</v>
      </c>
      <c r="J23" s="38" t="e">
        <f>VLOOKUP(A23,#REF!, 2, FALSE)</f>
        <v>#REF!</v>
      </c>
      <c r="K23" s="38" t="e">
        <f>VLOOKUP(A23,#REF!, 2, FALSE)</f>
        <v>#REF!</v>
      </c>
      <c r="L23" s="38" t="e">
        <f>VLOOKUP(A23,#REF!, 2, FALSE)</f>
        <v>#REF!</v>
      </c>
      <c r="M23" s="38" t="e">
        <f>VLOOKUP(A23,#REF!, 2, FALSE)</f>
        <v>#REF!</v>
      </c>
      <c r="N23" s="38" t="e">
        <f>VLOOKUP(A23,#REF!, 2, FALSE)</f>
        <v>#REF!</v>
      </c>
      <c r="O23" s="38" t="e">
        <f>VLOOKUP(A23,#REF!, 2, FALSE)</f>
        <v>#REF!</v>
      </c>
      <c r="P23" s="419" t="e">
        <f>VLOOKUP(A23,#REF!, 2, FALSE)</f>
        <v>#REF!</v>
      </c>
      <c r="Q23" s="444" t="e">
        <f>VLOOKUP(A23,#REF!, 2, FALSE)</f>
        <v>#REF!</v>
      </c>
      <c r="R23" s="444" t="e">
        <f>VLOOKUP(A23,#REF!, 2, FALSE)</f>
        <v>#REF!</v>
      </c>
      <c r="S23" s="444" t="e">
        <f>VLOOKUP(A23,#REF!, 2, FALSE)</f>
        <v>#REF!</v>
      </c>
      <c r="T23" s="444" t="e">
        <f>VLOOKUP(A23,#REF!, 2, FALSE)</f>
        <v>#REF!</v>
      </c>
      <c r="U23" s="444" t="e">
        <f>VLOOKUP(A23,#REF!, 2, FALSE)</f>
        <v>#REF!</v>
      </c>
      <c r="V23" s="444" t="e">
        <f>VLOOKUP(A23,#REF!, 2, FALSE)</f>
        <v>#REF!</v>
      </c>
      <c r="W23" s="445">
        <f>VLOOKUP(A23, '22'!$E$7:$F$109, 2, FALSE)</f>
        <v>11</v>
      </c>
      <c r="X23" s="38" t="e">
        <f>VLOOKUP(A23,#REF!, 2, FALSE)</f>
        <v>#REF!</v>
      </c>
      <c r="Y23" s="38" t="e">
        <f>VLOOKUP(A23,#REF!, 2, FALSE)</f>
        <v>#REF!</v>
      </c>
      <c r="Z23" s="38" t="e">
        <f>VLOOKUP(A23,#REF!, 2, FALSE)</f>
        <v>#REF!</v>
      </c>
      <c r="AA23" s="38">
        <f>VLOOKUP(A23, '26'!$E$7:$F$112, 2, FALSE)</f>
        <v>11</v>
      </c>
      <c r="AB23" s="38">
        <f>VLOOKUP(A23, '27'!$E$7:$F$112, 2, FALSE)</f>
        <v>11</v>
      </c>
      <c r="AC23" s="38">
        <f>VLOOKUP(A23, '28'!$E$7:$F$112, 2, FALSE)</f>
        <v>12</v>
      </c>
      <c r="AD23" s="38">
        <f>VLOOKUP(A23, '29'!$E$7:$F$112, 2, FALSE)</f>
        <v>11</v>
      </c>
      <c r="AE23" s="38">
        <f>VLOOKUP(A23, '30'!$E$7:$F$112, 2, FALSE)</f>
        <v>11</v>
      </c>
      <c r="AF23" s="410" t="e">
        <f t="shared" si="0"/>
        <v>#REF!</v>
      </c>
      <c r="AG23" s="410">
        <v>171</v>
      </c>
      <c r="AH23" s="420" t="e">
        <f t="shared" si="1"/>
        <v>#REF!</v>
      </c>
      <c r="AI23" s="421">
        <f t="shared" si="2"/>
        <v>0</v>
      </c>
      <c r="AJ23" s="421">
        <f t="shared" si="3"/>
        <v>0</v>
      </c>
      <c r="AK23" s="421">
        <f t="shared" si="4"/>
        <v>0</v>
      </c>
      <c r="AL23" s="422">
        <f t="shared" si="5"/>
        <v>0</v>
      </c>
      <c r="AM23" s="422" t="e">
        <f t="shared" si="6"/>
        <v>#REF!</v>
      </c>
    </row>
    <row r="24" spans="1:39" ht="14.25" hidden="1" customHeight="1">
      <c r="A24" s="40" t="s">
        <v>99</v>
      </c>
      <c r="B24" s="419" t="e">
        <f>VLOOKUP(A24,#REF!,2,0)</f>
        <v>#REF!</v>
      </c>
      <c r="C24" s="444" t="e">
        <f>VLOOKUP(A24,#REF!, 2, FALSE)</f>
        <v>#REF!</v>
      </c>
      <c r="D24" s="444" t="e">
        <f>VLOOKUP(A24,#REF!, 2, FALSE)</f>
        <v>#REF!</v>
      </c>
      <c r="E24" s="444" t="e">
        <f>VLOOKUP(A24,#REF!, 2, FALSE)</f>
        <v>#REF!</v>
      </c>
      <c r="F24" s="444" t="e">
        <f>VLOOKUP(A24,#REF!, 2, FALSE)</f>
        <v>#REF!</v>
      </c>
      <c r="G24" s="444" t="e">
        <f>VLOOKUP(A24,#REF!, 2, FALSE)</f>
        <v>#REF!</v>
      </c>
      <c r="H24" s="444" t="e">
        <f>VLOOKUP(A24,#REF!, 2, FALSE)</f>
        <v>#REF!</v>
      </c>
      <c r="I24" s="445" t="e">
        <f>VLOOKUP(A24,#REF!, 2, FALSE)</f>
        <v>#REF!</v>
      </c>
      <c r="J24" s="38" t="e">
        <f>VLOOKUP(A24,#REF!, 2, FALSE)</f>
        <v>#REF!</v>
      </c>
      <c r="K24" s="38" t="e">
        <f>VLOOKUP(A24,#REF!, 2, FALSE)</f>
        <v>#REF!</v>
      </c>
      <c r="L24" s="38" t="e">
        <f>VLOOKUP(A24,#REF!, 2, FALSE)</f>
        <v>#REF!</v>
      </c>
      <c r="M24" s="38" t="e">
        <f>VLOOKUP(A24,#REF!, 2, FALSE)</f>
        <v>#REF!</v>
      </c>
      <c r="N24" s="38" t="e">
        <f>VLOOKUP(A24,#REF!, 2, FALSE)</f>
        <v>#REF!</v>
      </c>
      <c r="O24" s="38" t="s">
        <v>231</v>
      </c>
      <c r="P24" s="419" t="e">
        <f>VLOOKUP(A24,#REF!, 2, FALSE)</f>
        <v>#REF!</v>
      </c>
      <c r="Q24" s="444" t="e">
        <f>VLOOKUP(A24,#REF!, 2, FALSE)</f>
        <v>#REF!</v>
      </c>
      <c r="R24" s="444" t="e">
        <f>VLOOKUP(A24,#REF!, 2, FALSE)</f>
        <v>#REF!</v>
      </c>
      <c r="S24" s="444" t="e">
        <f>VLOOKUP(A24,#REF!, 2, FALSE)</f>
        <v>#REF!</v>
      </c>
      <c r="T24" s="444" t="e">
        <f>VLOOKUP(A24,#REF!, 2, FALSE)</f>
        <v>#REF!</v>
      </c>
      <c r="U24" s="444" t="e">
        <f>VLOOKUP(A24,#REF!, 2, FALSE)</f>
        <v>#REF!</v>
      </c>
      <c r="V24" s="444" t="e">
        <f>VLOOKUP(A24,#REF!, 2, FALSE)</f>
        <v>#REF!</v>
      </c>
      <c r="W24" s="445">
        <f>VLOOKUP(A24, '22'!$E$7:$F$109, 2, FALSE)</f>
        <v>6</v>
      </c>
      <c r="X24" s="38" t="e">
        <f>VLOOKUP(A24,#REF!, 2, FALSE)</f>
        <v>#REF!</v>
      </c>
      <c r="Y24" s="38" t="e">
        <f>VLOOKUP(A24,#REF!, 2, FALSE)</f>
        <v>#REF!</v>
      </c>
      <c r="Z24" s="38" t="e">
        <f>VLOOKUP(A24,#REF!, 2, FALSE)</f>
        <v>#REF!</v>
      </c>
      <c r="AA24" s="38">
        <f>VLOOKUP(A24, '26'!$E$7:$F$112, 2, FALSE)</f>
        <v>8</v>
      </c>
      <c r="AB24" s="38">
        <f>VLOOKUP(A24, '27'!$E$7:$F$112, 2, FALSE)</f>
        <v>10</v>
      </c>
      <c r="AC24" s="38">
        <f>VLOOKUP(A24, '28'!$E$7:$F$112, 2, FALSE)</f>
        <v>16</v>
      </c>
      <c r="AD24" s="38">
        <f>VLOOKUP(A24, '29'!$E$7:$F$112, 2, FALSE)</f>
        <v>7</v>
      </c>
      <c r="AE24" s="38">
        <f>VLOOKUP(A24, '30'!$E$7:$F$112, 2, FALSE)</f>
        <v>6</v>
      </c>
      <c r="AF24" s="410" t="e">
        <f t="shared" si="0"/>
        <v>#REF!</v>
      </c>
      <c r="AG24" s="410">
        <v>171</v>
      </c>
      <c r="AH24" s="420" t="e">
        <f t="shared" si="1"/>
        <v>#REF!</v>
      </c>
      <c r="AI24" s="421">
        <f t="shared" si="2"/>
        <v>0</v>
      </c>
      <c r="AJ24" s="421">
        <f t="shared" si="3"/>
        <v>1</v>
      </c>
      <c r="AK24" s="421">
        <f t="shared" si="4"/>
        <v>0</v>
      </c>
      <c r="AL24" s="422">
        <f t="shared" si="5"/>
        <v>0</v>
      </c>
      <c r="AM24" s="422" t="e">
        <f t="shared" si="6"/>
        <v>#REF!</v>
      </c>
    </row>
    <row r="25" spans="1:39" ht="14.25" hidden="1" customHeight="1">
      <c r="A25" s="40" t="s">
        <v>102</v>
      </c>
      <c r="B25" s="419" t="e">
        <f>VLOOKUP(A25,#REF!,2,0)</f>
        <v>#REF!</v>
      </c>
      <c r="C25" s="444" t="s">
        <v>231</v>
      </c>
      <c r="D25" s="444" t="e">
        <f>VLOOKUP(A25,#REF!, 2, FALSE)</f>
        <v>#REF!</v>
      </c>
      <c r="E25" s="444" t="e">
        <f>VLOOKUP(A25,#REF!, 2, FALSE)</f>
        <v>#REF!</v>
      </c>
      <c r="F25" s="444" t="e">
        <f>VLOOKUP(A25,#REF!, 2, FALSE)</f>
        <v>#REF!</v>
      </c>
      <c r="G25" s="444" t="e">
        <f>VLOOKUP(A25,#REF!, 2, FALSE)</f>
        <v>#REF!</v>
      </c>
      <c r="H25" s="444" t="e">
        <f>VLOOKUP(A25,#REF!, 2, FALSE)</f>
        <v>#REF!</v>
      </c>
      <c r="I25" s="445" t="e">
        <f>VLOOKUP(A25,#REF!, 2, FALSE)</f>
        <v>#REF!</v>
      </c>
      <c r="J25" s="38" t="e">
        <f>VLOOKUP(A25,#REF!, 2, FALSE)</f>
        <v>#REF!</v>
      </c>
      <c r="K25" s="38" t="e">
        <f>VLOOKUP(A25,#REF!, 2, FALSE)</f>
        <v>#REF!</v>
      </c>
      <c r="L25" s="38" t="e">
        <f>VLOOKUP(A25,#REF!, 2, FALSE)</f>
        <v>#REF!</v>
      </c>
      <c r="M25" s="38" t="e">
        <f>VLOOKUP(A25,#REF!, 2, FALSE)</f>
        <v>#REF!</v>
      </c>
      <c r="N25" s="38" t="e">
        <f>VLOOKUP(A25,#REF!, 2, FALSE)</f>
        <v>#REF!</v>
      </c>
      <c r="O25" s="38" t="e">
        <f>VLOOKUP(A25,#REF!, 2, FALSE)</f>
        <v>#REF!</v>
      </c>
      <c r="P25" s="419" t="e">
        <f>VLOOKUP(A25,#REF!, 2, FALSE)</f>
        <v>#REF!</v>
      </c>
      <c r="Q25" s="444" t="e">
        <f>VLOOKUP(A25,#REF!, 2, FALSE)</f>
        <v>#REF!</v>
      </c>
      <c r="R25" s="444" t="e">
        <f>VLOOKUP(A25,#REF!, 2, FALSE)</f>
        <v>#REF!</v>
      </c>
      <c r="S25" s="444" t="e">
        <f>VLOOKUP(A25,#REF!, 2, FALSE)</f>
        <v>#REF!</v>
      </c>
      <c r="T25" s="444" t="e">
        <f>VLOOKUP(A25,#REF!, 2, FALSE)</f>
        <v>#REF!</v>
      </c>
      <c r="U25" s="444" t="e">
        <f>VLOOKUP(A25,#REF!, 2, FALSE)</f>
        <v>#REF!</v>
      </c>
      <c r="V25" s="444" t="e">
        <f>VLOOKUP(A25,#REF!, 2, FALSE)</f>
        <v>#REF!</v>
      </c>
      <c r="W25" s="445">
        <f>VLOOKUP(A25, '22'!$E$7:$F$109, 2, FALSE)</f>
        <v>10</v>
      </c>
      <c r="X25" s="38" t="e">
        <f>VLOOKUP(A25,#REF!, 2, FALSE)</f>
        <v>#REF!</v>
      </c>
      <c r="Y25" s="38" t="e">
        <f>VLOOKUP(A25,#REF!, 2, FALSE)</f>
        <v>#REF!</v>
      </c>
      <c r="Z25" s="38" t="e">
        <f>VLOOKUP(A25,#REF!, 2, FALSE)</f>
        <v>#REF!</v>
      </c>
      <c r="AA25" s="38">
        <f>VLOOKUP(A25, '26'!$E$7:$F$112, 2, FALSE)</f>
        <v>12</v>
      </c>
      <c r="AB25" s="38">
        <f>VLOOKUP(A25, '27'!$E$7:$F$112, 2, FALSE)</f>
        <v>13</v>
      </c>
      <c r="AC25" s="38">
        <f>VLOOKUP(A25, '28'!$E$7:$F$112, 2, FALSE)</f>
        <v>0</v>
      </c>
      <c r="AD25" s="38">
        <f>VLOOKUP(A25, '29'!$E$7:$F$112, 2, FALSE)</f>
        <v>11</v>
      </c>
      <c r="AE25" s="38">
        <f>VLOOKUP(A25, '30'!$E$7:$F$112, 2, FALSE)</f>
        <v>11</v>
      </c>
      <c r="AF25" s="410" t="e">
        <f t="shared" si="0"/>
        <v>#REF!</v>
      </c>
      <c r="AG25" s="410">
        <v>171</v>
      </c>
      <c r="AH25" s="420" t="e">
        <f t="shared" si="1"/>
        <v>#REF!</v>
      </c>
      <c r="AI25" s="421">
        <f t="shared" si="2"/>
        <v>1</v>
      </c>
      <c r="AJ25" s="421">
        <f t="shared" si="3"/>
        <v>1</v>
      </c>
      <c r="AK25" s="421">
        <f t="shared" si="4"/>
        <v>0</v>
      </c>
      <c r="AL25" s="422">
        <f t="shared" si="5"/>
        <v>0</v>
      </c>
      <c r="AM25" s="422" t="e">
        <f t="shared" si="6"/>
        <v>#REF!</v>
      </c>
    </row>
    <row r="26" spans="1:39" ht="14.25" hidden="1" customHeight="1">
      <c r="A26" s="40" t="s">
        <v>104</v>
      </c>
      <c r="B26" s="419" t="e">
        <f>VLOOKUP(A26,#REF!,2,0)</f>
        <v>#REF!</v>
      </c>
      <c r="C26" s="444" t="e">
        <f>VLOOKUP(A26,#REF!, 2, FALSE)</f>
        <v>#REF!</v>
      </c>
      <c r="D26" s="444" t="e">
        <f>VLOOKUP(A26,#REF!, 2, FALSE)</f>
        <v>#REF!</v>
      </c>
      <c r="E26" s="444" t="e">
        <f>VLOOKUP(A26,#REF!, 2, FALSE)</f>
        <v>#REF!</v>
      </c>
      <c r="F26" s="444" t="e">
        <f>VLOOKUP(A26,#REF!, 2, FALSE)</f>
        <v>#REF!</v>
      </c>
      <c r="G26" s="444" t="e">
        <f>VLOOKUP(A26,#REF!, 2, FALSE)</f>
        <v>#REF!</v>
      </c>
      <c r="H26" s="444" t="e">
        <f>VLOOKUP(A26,#REF!, 2, FALSE)</f>
        <v>#REF!</v>
      </c>
      <c r="I26" s="445" t="e">
        <f>VLOOKUP(A26,#REF!, 2, FALSE)</f>
        <v>#REF!</v>
      </c>
      <c r="J26" s="38" t="e">
        <f>VLOOKUP(A26,#REF!, 2, FALSE)</f>
        <v>#REF!</v>
      </c>
      <c r="K26" s="38" t="e">
        <f>VLOOKUP(A26,#REF!, 2, FALSE)</f>
        <v>#REF!</v>
      </c>
      <c r="L26" s="38" t="e">
        <f>VLOOKUP(A26,#REF!, 2, FALSE)</f>
        <v>#REF!</v>
      </c>
      <c r="M26" s="38" t="e">
        <f>VLOOKUP(A26,#REF!, 2, FALSE)</f>
        <v>#REF!</v>
      </c>
      <c r="N26" s="38" t="e">
        <f>VLOOKUP(A26,#REF!, 2, FALSE)</f>
        <v>#REF!</v>
      </c>
      <c r="O26" s="38" t="e">
        <f>VLOOKUP(A26,#REF!, 2, FALSE)</f>
        <v>#REF!</v>
      </c>
      <c r="P26" s="419" t="e">
        <f>VLOOKUP(A26,#REF!, 2, FALSE)</f>
        <v>#REF!</v>
      </c>
      <c r="Q26" s="444" t="e">
        <f>VLOOKUP(A26,#REF!, 2, FALSE)</f>
        <v>#REF!</v>
      </c>
      <c r="R26" s="444" t="e">
        <f>VLOOKUP(A26,#REF!, 2, FALSE)</f>
        <v>#REF!</v>
      </c>
      <c r="S26" s="444" t="e">
        <f>VLOOKUP(A26,#REF!, 2, FALSE)</f>
        <v>#REF!</v>
      </c>
      <c r="T26" s="444" t="e">
        <f>VLOOKUP(A26,#REF!, 2, FALSE)</f>
        <v>#REF!</v>
      </c>
      <c r="U26" s="444" t="e">
        <f>VLOOKUP(A26,#REF!, 2, FALSE)</f>
        <v>#REF!</v>
      </c>
      <c r="V26" s="444" t="e">
        <f>VLOOKUP(A26,#REF!, 2, FALSE)</f>
        <v>#REF!</v>
      </c>
      <c r="W26" s="445">
        <f>VLOOKUP(A26, '22'!$E$7:$F$109, 2, FALSE)</f>
        <v>11</v>
      </c>
      <c r="X26" s="38" t="e">
        <f>VLOOKUP(A26,#REF!, 2, FALSE)</f>
        <v>#REF!</v>
      </c>
      <c r="Y26" s="38" t="e">
        <f>VLOOKUP(A26,#REF!, 2, FALSE)</f>
        <v>#REF!</v>
      </c>
      <c r="Z26" s="38" t="e">
        <f>VLOOKUP(A26,#REF!, 2, FALSE)</f>
        <v>#REF!</v>
      </c>
      <c r="AA26" s="38">
        <f>VLOOKUP(A26, '26'!$E$7:$F$112, 2, FALSE)</f>
        <v>11</v>
      </c>
      <c r="AB26" s="38">
        <f>VLOOKUP(A26, '27'!$E$7:$F$112, 2, FALSE)</f>
        <v>0</v>
      </c>
      <c r="AC26" s="38">
        <f>VLOOKUP(A26, '28'!$E$7:$F$112, 2, FALSE)</f>
        <v>11</v>
      </c>
      <c r="AD26" s="38">
        <f>VLOOKUP(A26, '29'!$E$7:$F$112, 2, FALSE)</f>
        <v>11</v>
      </c>
      <c r="AE26" s="38">
        <f>VLOOKUP(A26, '30'!$E$7:$F$112, 2, FALSE)</f>
        <v>12</v>
      </c>
      <c r="AF26" s="410" t="e">
        <f t="shared" si="0"/>
        <v>#REF!</v>
      </c>
      <c r="AG26" s="410">
        <v>171</v>
      </c>
      <c r="AH26" s="420" t="e">
        <f t="shared" si="1"/>
        <v>#REF!</v>
      </c>
      <c r="AI26" s="421">
        <f t="shared" si="2"/>
        <v>1</v>
      </c>
      <c r="AJ26" s="421">
        <f t="shared" si="3"/>
        <v>0</v>
      </c>
      <c r="AK26" s="421">
        <f t="shared" si="4"/>
        <v>0</v>
      </c>
      <c r="AL26" s="422">
        <f t="shared" si="5"/>
        <v>0</v>
      </c>
      <c r="AM26" s="422" t="e">
        <f t="shared" si="6"/>
        <v>#REF!</v>
      </c>
    </row>
    <row r="27" spans="1:39" ht="14.25" hidden="1" customHeight="1">
      <c r="A27" s="40" t="s">
        <v>144</v>
      </c>
      <c r="B27" s="419" t="e">
        <f>VLOOKUP(A27,#REF!,2,0)</f>
        <v>#REF!</v>
      </c>
      <c r="C27" s="444" t="e">
        <f>VLOOKUP(A27,#REF!, 2, FALSE)</f>
        <v>#REF!</v>
      </c>
      <c r="D27" s="444" t="e">
        <f>VLOOKUP(A27,#REF!, 2, FALSE)</f>
        <v>#REF!</v>
      </c>
      <c r="E27" s="444" t="e">
        <f>VLOOKUP(A27,#REF!, 2, FALSE)</f>
        <v>#REF!</v>
      </c>
      <c r="F27" s="444" t="e">
        <f>VLOOKUP(A27,#REF!, 2, FALSE)</f>
        <v>#REF!</v>
      </c>
      <c r="G27" s="444" t="e">
        <f>VLOOKUP(A27,#REF!, 2, FALSE)</f>
        <v>#REF!</v>
      </c>
      <c r="H27" s="444" t="e">
        <f>VLOOKUP(A27,#REF!, 2, FALSE)</f>
        <v>#REF!</v>
      </c>
      <c r="I27" s="445" t="e">
        <f>VLOOKUP(A27,#REF!, 2, FALSE)</f>
        <v>#REF!</v>
      </c>
      <c r="J27" s="38" t="e">
        <f>VLOOKUP(A27,#REF!, 2, FALSE)</f>
        <v>#REF!</v>
      </c>
      <c r="K27" s="38" t="e">
        <f>VLOOKUP(A27,#REF!, 2, FALSE)</f>
        <v>#REF!</v>
      </c>
      <c r="L27" s="38" t="e">
        <f>VLOOKUP(A27,#REF!, 2, FALSE)</f>
        <v>#REF!</v>
      </c>
      <c r="M27" s="38" t="e">
        <f>VLOOKUP(A27,#REF!, 2, FALSE)</f>
        <v>#REF!</v>
      </c>
      <c r="N27" s="38" t="e">
        <f>VLOOKUP(A27,#REF!, 2, FALSE)</f>
        <v>#REF!</v>
      </c>
      <c r="O27" s="38" t="e">
        <f>VLOOKUP(A27,#REF!, 2, FALSE)</f>
        <v>#REF!</v>
      </c>
      <c r="P27" s="419" t="e">
        <f>VLOOKUP(A27,#REF!, 2, FALSE)</f>
        <v>#REF!</v>
      </c>
      <c r="Q27" s="444" t="e">
        <f>VLOOKUP(A27,#REF!, 2, FALSE)</f>
        <v>#REF!</v>
      </c>
      <c r="R27" s="444" t="e">
        <f>VLOOKUP(A27,#REF!, 2, FALSE)</f>
        <v>#REF!</v>
      </c>
      <c r="S27" s="444" t="e">
        <f>VLOOKUP(A27,#REF!, 2, FALSE)</f>
        <v>#REF!</v>
      </c>
      <c r="T27" s="444" t="e">
        <f>VLOOKUP(A27,#REF!, 2, FALSE)</f>
        <v>#REF!</v>
      </c>
      <c r="U27" s="444" t="e">
        <f>VLOOKUP(A27,#REF!, 2, FALSE)</f>
        <v>#REF!</v>
      </c>
      <c r="V27" s="444" t="e">
        <f>VLOOKUP(A27,#REF!, 2, FALSE)</f>
        <v>#REF!</v>
      </c>
      <c r="W27" s="445">
        <f>VLOOKUP(A27, '22'!$E$7:$F$109, 2, FALSE)</f>
        <v>11</v>
      </c>
      <c r="X27" s="38" t="e">
        <f>VLOOKUP(A27,#REF!, 2, FALSE)</f>
        <v>#REF!</v>
      </c>
      <c r="Y27" s="38" t="e">
        <f>VLOOKUP(A27,#REF!, 2, FALSE)</f>
        <v>#REF!</v>
      </c>
      <c r="Z27" s="38" t="e">
        <f>VLOOKUP(A27,#REF!, 2, FALSE)</f>
        <v>#REF!</v>
      </c>
      <c r="AA27" s="38">
        <f>VLOOKUP(A27, '26'!$E$7:$F$112, 2, FALSE)</f>
        <v>12</v>
      </c>
      <c r="AB27" s="38">
        <f>VLOOKUP(A27, '27'!$E$7:$F$112, 2, FALSE)</f>
        <v>10</v>
      </c>
      <c r="AC27" s="38">
        <f>VLOOKUP(A27, '28'!$E$7:$F$112, 2, FALSE)</f>
        <v>10</v>
      </c>
      <c r="AD27" s="38">
        <f>VLOOKUP(A27, '29'!$E$7:$F$112, 2, FALSE)</f>
        <v>11</v>
      </c>
      <c r="AE27" s="38">
        <f>VLOOKUP(A27, '30'!$E$7:$F$112, 2, FALSE)</f>
        <v>11</v>
      </c>
      <c r="AF27" s="410" t="e">
        <f t="shared" si="0"/>
        <v>#REF!</v>
      </c>
      <c r="AG27" s="410">
        <v>171</v>
      </c>
      <c r="AH27" s="420" t="e">
        <f t="shared" si="1"/>
        <v>#REF!</v>
      </c>
      <c r="AI27" s="421">
        <f t="shared" si="2"/>
        <v>0</v>
      </c>
      <c r="AJ27" s="421">
        <f t="shared" si="3"/>
        <v>0</v>
      </c>
      <c r="AK27" s="421">
        <f t="shared" si="4"/>
        <v>0</v>
      </c>
      <c r="AL27" s="422">
        <f t="shared" si="5"/>
        <v>0</v>
      </c>
      <c r="AM27" s="422" t="e">
        <f t="shared" si="6"/>
        <v>#REF!</v>
      </c>
    </row>
    <row r="28" spans="1:39" ht="14.25" hidden="1" customHeight="1">
      <c r="A28" s="40" t="s">
        <v>333</v>
      </c>
      <c r="B28" s="419" t="s">
        <v>798</v>
      </c>
      <c r="C28" s="444" t="s">
        <v>798</v>
      </c>
      <c r="D28" s="444" t="s">
        <v>798</v>
      </c>
      <c r="E28" s="444" t="s">
        <v>798</v>
      </c>
      <c r="F28" s="444" t="s">
        <v>798</v>
      </c>
      <c r="G28" s="444" t="s">
        <v>798</v>
      </c>
      <c r="H28" s="444" t="s">
        <v>798</v>
      </c>
      <c r="I28" s="445" t="s">
        <v>798</v>
      </c>
      <c r="J28" s="38" t="s">
        <v>798</v>
      </c>
      <c r="K28" s="38" t="s">
        <v>798</v>
      </c>
      <c r="L28" s="38" t="s">
        <v>798</v>
      </c>
      <c r="M28" s="38" t="e">
        <f>VLOOKUP(A28,#REF!, 2, FALSE)</f>
        <v>#REF!</v>
      </c>
      <c r="N28" s="38" t="e">
        <f>VLOOKUP(A28,#REF!, 2, FALSE)</f>
        <v>#REF!</v>
      </c>
      <c r="O28" s="38" t="e">
        <f>VLOOKUP(A28,#REF!, 2, FALSE)</f>
        <v>#REF!</v>
      </c>
      <c r="P28" s="419" t="e">
        <f>VLOOKUP(A28,#REF!, 2, FALSE)</f>
        <v>#REF!</v>
      </c>
      <c r="Q28" s="444" t="e">
        <f>VLOOKUP(A28,#REF!, 2, FALSE)</f>
        <v>#REF!</v>
      </c>
      <c r="R28" s="444" t="e">
        <f>VLOOKUP(A28,#REF!, 2, FALSE)</f>
        <v>#REF!</v>
      </c>
      <c r="S28" s="444" t="e">
        <f>VLOOKUP(A28,#REF!, 2, FALSE)</f>
        <v>#REF!</v>
      </c>
      <c r="T28" s="444" t="e">
        <f>VLOOKUP(A28,#REF!, 2, FALSE)</f>
        <v>#REF!</v>
      </c>
      <c r="U28" s="444" t="e">
        <f>VLOOKUP(A28,#REF!, 2, FALSE)</f>
        <v>#REF!</v>
      </c>
      <c r="V28" s="444" t="e">
        <f>VLOOKUP(A28,#REF!, 2, FALSE)</f>
        <v>#REF!</v>
      </c>
      <c r="W28" s="445">
        <f>VLOOKUP(A28, '22'!$E$7:$F$109, 2, FALSE)</f>
        <v>6</v>
      </c>
      <c r="X28" s="38" t="e">
        <f>VLOOKUP(A28,#REF!, 2, FALSE)</f>
        <v>#REF!</v>
      </c>
      <c r="Y28" s="38" t="e">
        <f>VLOOKUP(A28,#REF!, 2, FALSE)</f>
        <v>#REF!</v>
      </c>
      <c r="Z28" s="38" t="e">
        <f>VLOOKUP(A28,#REF!, 2, FALSE)</f>
        <v>#REF!</v>
      </c>
      <c r="AA28" s="38">
        <f>VLOOKUP(A28, '26'!$E$7:$F$112, 2, FALSE)</f>
        <v>6</v>
      </c>
      <c r="AB28" s="38">
        <f>VLOOKUP(A28, '27'!$E$7:$F$112, 2, FALSE)</f>
        <v>0</v>
      </c>
      <c r="AC28" s="38">
        <f>VLOOKUP(A28, '28'!$E$7:$F$112, 2, FALSE)</f>
        <v>0</v>
      </c>
      <c r="AD28" s="38">
        <f>VLOOKUP(A28, '29'!$E$7:$F$112, 2, FALSE)</f>
        <v>6</v>
      </c>
      <c r="AE28" s="38">
        <f>VLOOKUP(A28, '30'!$E$7:$F$112, 2, FALSE)</f>
        <v>6</v>
      </c>
      <c r="AF28" s="410" t="e">
        <f t="shared" si="0"/>
        <v>#REF!</v>
      </c>
      <c r="AG28" s="410">
        <v>171</v>
      </c>
      <c r="AH28" s="420" t="e">
        <f t="shared" si="1"/>
        <v>#REF!</v>
      </c>
      <c r="AI28" s="421">
        <f t="shared" si="2"/>
        <v>2</v>
      </c>
      <c r="AJ28" s="421">
        <f t="shared" si="3"/>
        <v>0</v>
      </c>
      <c r="AK28" s="421">
        <f t="shared" si="4"/>
        <v>0</v>
      </c>
      <c r="AL28" s="422">
        <f t="shared" si="5"/>
        <v>0</v>
      </c>
      <c r="AM28" s="422" t="e">
        <f t="shared" si="6"/>
        <v>#REF!</v>
      </c>
    </row>
    <row r="29" spans="1:39" ht="14.25" hidden="1" customHeight="1">
      <c r="A29" s="40" t="s">
        <v>172</v>
      </c>
      <c r="B29" s="419" t="e">
        <f>VLOOKUP(A29,#REF!,2,0)</f>
        <v>#REF!</v>
      </c>
      <c r="C29" s="444" t="e">
        <f>VLOOKUP(A29,#REF!, 2, FALSE)</f>
        <v>#REF!</v>
      </c>
      <c r="D29" s="444" t="e">
        <f>VLOOKUP(A29,#REF!, 2, FALSE)</f>
        <v>#REF!</v>
      </c>
      <c r="E29" s="444" t="e">
        <f>VLOOKUP(A29,#REF!, 2, FALSE)</f>
        <v>#REF!</v>
      </c>
      <c r="F29" s="444" t="e">
        <f>VLOOKUP(A29,#REF!, 2, FALSE)</f>
        <v>#REF!</v>
      </c>
      <c r="G29" s="444" t="e">
        <f>VLOOKUP(A29,#REF!, 2, FALSE)</f>
        <v>#REF!</v>
      </c>
      <c r="H29" s="444" t="e">
        <f>VLOOKUP(A29,#REF!, 2, FALSE)</f>
        <v>#REF!</v>
      </c>
      <c r="I29" s="445" t="e">
        <f>VLOOKUP(A29,#REF!, 2, FALSE)</f>
        <v>#REF!</v>
      </c>
      <c r="J29" s="38" t="e">
        <f>VLOOKUP(A29,#REF!, 2, FALSE)</f>
        <v>#REF!</v>
      </c>
      <c r="K29" s="38" t="e">
        <f>VLOOKUP(A29,#REF!, 2, FALSE)</f>
        <v>#REF!</v>
      </c>
      <c r="L29" s="38" t="e">
        <f>VLOOKUP(A29,#REF!, 2, FALSE)</f>
        <v>#REF!</v>
      </c>
      <c r="M29" s="38" t="e">
        <f>VLOOKUP(A29,#REF!, 2, FALSE)</f>
        <v>#REF!</v>
      </c>
      <c r="N29" s="38" t="e">
        <f>VLOOKUP(A29,#REF!, 2, FALSE)</f>
        <v>#REF!</v>
      </c>
      <c r="O29" s="38" t="e">
        <f>VLOOKUP(A29,#REF!, 2, FALSE)</f>
        <v>#REF!</v>
      </c>
      <c r="P29" s="419" t="e">
        <f>VLOOKUP(A29,#REF!, 2, FALSE)</f>
        <v>#REF!</v>
      </c>
      <c r="Q29" s="444" t="e">
        <f>VLOOKUP(A29,#REF!, 2, FALSE)</f>
        <v>#REF!</v>
      </c>
      <c r="R29" s="444" t="e">
        <f>VLOOKUP(A29,#REF!, 2, FALSE)</f>
        <v>#REF!</v>
      </c>
      <c r="S29" s="444" t="e">
        <f>VLOOKUP(A29,#REF!, 2, FALSE)</f>
        <v>#REF!</v>
      </c>
      <c r="T29" s="444" t="e">
        <f>VLOOKUP(A29,#REF!, 2, FALSE)</f>
        <v>#REF!</v>
      </c>
      <c r="U29" s="444" t="e">
        <f>VLOOKUP(A29,#REF!, 2, FALSE)</f>
        <v>#REF!</v>
      </c>
      <c r="V29" s="444" t="e">
        <f>VLOOKUP(A29,#REF!, 2, FALSE)</f>
        <v>#REF!</v>
      </c>
      <c r="W29" s="445">
        <f>VLOOKUP(A29, '22'!$E$7:$F$109, 2, FALSE)</f>
        <v>11</v>
      </c>
      <c r="X29" s="38" t="e">
        <f>VLOOKUP(A29,#REF!, 2, FALSE)</f>
        <v>#REF!</v>
      </c>
      <c r="Y29" s="38" t="e">
        <f>VLOOKUP(A29,#REF!, 2, FALSE)</f>
        <v>#REF!</v>
      </c>
      <c r="Z29" s="38" t="e">
        <f>VLOOKUP(A29,#REF!, 2, FALSE)</f>
        <v>#REF!</v>
      </c>
      <c r="AA29" s="38">
        <f>VLOOKUP(A29, '26'!$E$7:$F$112, 2, FALSE)</f>
        <v>12</v>
      </c>
      <c r="AB29" s="38">
        <f>VLOOKUP(A29, '27'!$E$7:$F$112, 2, FALSE)</f>
        <v>0</v>
      </c>
      <c r="AC29" s="38">
        <f>VLOOKUP(A29, '28'!$E$7:$F$112, 2, FALSE)</f>
        <v>6</v>
      </c>
      <c r="AD29" s="38">
        <f>VLOOKUP(A29, '29'!$E$7:$F$112, 2, FALSE)</f>
        <v>12</v>
      </c>
      <c r="AE29" s="38">
        <f>VLOOKUP(A29, '30'!$E$7:$F$112, 2, FALSE)</f>
        <v>11</v>
      </c>
      <c r="AF29" s="410" t="e">
        <f t="shared" si="0"/>
        <v>#REF!</v>
      </c>
      <c r="AG29" s="410">
        <v>171</v>
      </c>
      <c r="AH29" s="420" t="e">
        <f t="shared" si="1"/>
        <v>#REF!</v>
      </c>
      <c r="AI29" s="421">
        <f t="shared" si="2"/>
        <v>1</v>
      </c>
      <c r="AJ29" s="421">
        <f t="shared" si="3"/>
        <v>0</v>
      </c>
      <c r="AK29" s="421">
        <f t="shared" si="4"/>
        <v>0</v>
      </c>
      <c r="AL29" s="422">
        <f t="shared" si="5"/>
        <v>0</v>
      </c>
      <c r="AM29" s="422" t="e">
        <f t="shared" si="6"/>
        <v>#REF!</v>
      </c>
    </row>
    <row r="30" spans="1:39" ht="14.25" hidden="1" customHeight="1">
      <c r="A30" s="40" t="s">
        <v>106</v>
      </c>
      <c r="B30" s="419" t="e">
        <f>VLOOKUP(A30,#REF!,2,0)</f>
        <v>#REF!</v>
      </c>
      <c r="C30" s="444" t="e">
        <f>VLOOKUP(A30,#REF!, 2, FALSE)</f>
        <v>#REF!</v>
      </c>
      <c r="D30" s="444" t="e">
        <f>VLOOKUP(A30,#REF!, 2, FALSE)</f>
        <v>#REF!</v>
      </c>
      <c r="E30" s="444" t="e">
        <f>VLOOKUP(A30,#REF!, 2, FALSE)</f>
        <v>#REF!</v>
      </c>
      <c r="F30" s="444" t="e">
        <f>VLOOKUP(A30,#REF!, 2, FALSE)</f>
        <v>#REF!</v>
      </c>
      <c r="G30" s="444" t="e">
        <f>VLOOKUP(A30,#REF!, 2, FALSE)</f>
        <v>#REF!</v>
      </c>
      <c r="H30" s="444" t="e">
        <f>VLOOKUP(A30,#REF!, 2, FALSE)</f>
        <v>#REF!</v>
      </c>
      <c r="I30" s="445" t="e">
        <f>VLOOKUP(A30,#REF!, 2, FALSE)</f>
        <v>#REF!</v>
      </c>
      <c r="J30" s="38" t="e">
        <f>VLOOKUP(A30,#REF!, 2, FALSE)</f>
        <v>#REF!</v>
      </c>
      <c r="K30" s="38" t="e">
        <f>VLOOKUP(A30,#REF!, 2, FALSE)</f>
        <v>#REF!</v>
      </c>
      <c r="L30" s="38" t="e">
        <f>VLOOKUP(A30,#REF!, 2, FALSE)</f>
        <v>#REF!</v>
      </c>
      <c r="M30" s="38" t="e">
        <f>VLOOKUP(A30,#REF!, 2, FALSE)</f>
        <v>#REF!</v>
      </c>
      <c r="N30" s="38" t="e">
        <f>VLOOKUP(A30,#REF!, 2, FALSE)</f>
        <v>#REF!</v>
      </c>
      <c r="O30" s="38" t="e">
        <f>VLOOKUP(A30,#REF!, 2, FALSE)</f>
        <v>#REF!</v>
      </c>
      <c r="P30" s="419" t="e">
        <f>VLOOKUP(A30,#REF!, 2, FALSE)</f>
        <v>#REF!</v>
      </c>
      <c r="Q30" s="444" t="e">
        <f>VLOOKUP(A30,#REF!, 2, FALSE)</f>
        <v>#REF!</v>
      </c>
      <c r="R30" s="444" t="e">
        <f>VLOOKUP(A30,#REF!, 2, FALSE)</f>
        <v>#REF!</v>
      </c>
      <c r="S30" s="444" t="e">
        <f>VLOOKUP(A30,#REF!, 2, FALSE)</f>
        <v>#REF!</v>
      </c>
      <c r="T30" s="444" t="e">
        <f>VLOOKUP(A30,#REF!, 2, FALSE)</f>
        <v>#REF!</v>
      </c>
      <c r="U30" s="444" t="e">
        <f>VLOOKUP(A30,#REF!, 2, FALSE)</f>
        <v>#REF!</v>
      </c>
      <c r="V30" s="444" t="e">
        <f>VLOOKUP(A30,#REF!, 2, FALSE)</f>
        <v>#REF!</v>
      </c>
      <c r="W30" s="445">
        <f>VLOOKUP(A30, '22'!$E$7:$F$109, 2, FALSE)</f>
        <v>11</v>
      </c>
      <c r="X30" s="38" t="e">
        <f>VLOOKUP(A30,#REF!, 2, FALSE)</f>
        <v>#REF!</v>
      </c>
      <c r="Y30" s="38" t="e">
        <f>VLOOKUP(A30,#REF!, 2, FALSE)</f>
        <v>#REF!</v>
      </c>
      <c r="Z30" s="38" t="e">
        <f>VLOOKUP(A30,#REF!, 2, FALSE)</f>
        <v>#REF!</v>
      </c>
      <c r="AA30" s="38">
        <f>VLOOKUP(A30, '26'!$E$7:$F$112, 2, FALSE)</f>
        <v>8</v>
      </c>
      <c r="AB30" s="38">
        <f>VLOOKUP(A30, '27'!$E$7:$F$112, 2, FALSE)</f>
        <v>13</v>
      </c>
      <c r="AC30" s="38">
        <f>VLOOKUP(A30, '28'!$E$7:$F$112, 2, FALSE)</f>
        <v>6</v>
      </c>
      <c r="AD30" s="38">
        <f>VLOOKUP(A30, '29'!$E$7:$F$112, 2, FALSE)</f>
        <v>12</v>
      </c>
      <c r="AE30" s="38">
        <f>VLOOKUP(A30, '30'!$E$7:$F$112, 2, FALSE)</f>
        <v>11</v>
      </c>
      <c r="AF30" s="410" t="e">
        <f t="shared" si="0"/>
        <v>#REF!</v>
      </c>
      <c r="AG30" s="410">
        <v>171</v>
      </c>
      <c r="AH30" s="420" t="e">
        <f t="shared" si="1"/>
        <v>#REF!</v>
      </c>
      <c r="AI30" s="421">
        <f t="shared" si="2"/>
        <v>0</v>
      </c>
      <c r="AJ30" s="421">
        <f t="shared" si="3"/>
        <v>0</v>
      </c>
      <c r="AK30" s="421">
        <f t="shared" si="4"/>
        <v>0</v>
      </c>
      <c r="AL30" s="422">
        <f t="shared" si="5"/>
        <v>0</v>
      </c>
      <c r="AM30" s="422" t="e">
        <f t="shared" si="6"/>
        <v>#REF!</v>
      </c>
    </row>
    <row r="31" spans="1:39" ht="14.25" hidden="1" customHeight="1">
      <c r="A31" s="40" t="s">
        <v>108</v>
      </c>
      <c r="B31" s="419" t="e">
        <f>VLOOKUP(A31,#REF!,2,0)</f>
        <v>#REF!</v>
      </c>
      <c r="C31" s="444" t="e">
        <f>VLOOKUP(A31,#REF!, 2, FALSE)</f>
        <v>#REF!</v>
      </c>
      <c r="D31" s="444" t="e">
        <f>VLOOKUP(A31,#REF!, 2, FALSE)</f>
        <v>#REF!</v>
      </c>
      <c r="E31" s="444" t="e">
        <f>VLOOKUP(A31,#REF!, 2, FALSE)</f>
        <v>#REF!</v>
      </c>
      <c r="F31" s="444" t="e">
        <f>VLOOKUP(A31,#REF!, 2, FALSE)</f>
        <v>#REF!</v>
      </c>
      <c r="G31" s="444" t="e">
        <f>VLOOKUP(A31,#REF!, 2, FALSE)</f>
        <v>#REF!</v>
      </c>
      <c r="H31" s="444" t="e">
        <f>VLOOKUP(A31,#REF!, 2, FALSE)</f>
        <v>#REF!</v>
      </c>
      <c r="I31" s="445" t="e">
        <f>VLOOKUP(A31,#REF!, 2, FALSE)</f>
        <v>#REF!</v>
      </c>
      <c r="J31" s="38" t="e">
        <f>VLOOKUP(A31,#REF!, 2, FALSE)</f>
        <v>#REF!</v>
      </c>
      <c r="K31" s="38" t="e">
        <f>VLOOKUP(A31,#REF!, 2, FALSE)</f>
        <v>#REF!</v>
      </c>
      <c r="L31" s="38" t="e">
        <f>VLOOKUP(A31,#REF!, 2, FALSE)</f>
        <v>#REF!</v>
      </c>
      <c r="M31" s="38" t="e">
        <f>VLOOKUP(A31,#REF!, 2, FALSE)</f>
        <v>#REF!</v>
      </c>
      <c r="N31" s="38" t="e">
        <f>VLOOKUP(A31,#REF!, 2, FALSE)</f>
        <v>#REF!</v>
      </c>
      <c r="O31" s="38" t="e">
        <f>VLOOKUP(A31,#REF!, 2, FALSE)</f>
        <v>#REF!</v>
      </c>
      <c r="P31" s="419" t="e">
        <f>VLOOKUP(A31,#REF!, 2, FALSE)</f>
        <v>#REF!</v>
      </c>
      <c r="Q31" s="444" t="e">
        <f>VLOOKUP(A31,#REF!, 2, FALSE)</f>
        <v>#REF!</v>
      </c>
      <c r="R31" s="444" t="e">
        <f>VLOOKUP(A31,#REF!, 2, FALSE)</f>
        <v>#REF!</v>
      </c>
      <c r="S31" s="444" t="e">
        <f>VLOOKUP(A31,#REF!, 2, FALSE)</f>
        <v>#REF!</v>
      </c>
      <c r="T31" s="444" t="e">
        <f>VLOOKUP(A31,#REF!, 2, FALSE)</f>
        <v>#REF!</v>
      </c>
      <c r="U31" s="444" t="e">
        <f>VLOOKUP(A31,#REF!, 2, FALSE)</f>
        <v>#REF!</v>
      </c>
      <c r="V31" s="444" t="e">
        <f>VLOOKUP(A31,#REF!, 2, FALSE)</f>
        <v>#REF!</v>
      </c>
      <c r="W31" s="445">
        <f>VLOOKUP(A31, '22'!$E$7:$F$109, 2, FALSE)</f>
        <v>10</v>
      </c>
      <c r="X31" s="38" t="e">
        <f>VLOOKUP(A31,#REF!, 2, FALSE)</f>
        <v>#REF!</v>
      </c>
      <c r="Y31" s="38" t="e">
        <f>VLOOKUP(A31,#REF!, 2, FALSE)</f>
        <v>#REF!</v>
      </c>
      <c r="Z31" s="38" t="e">
        <f>VLOOKUP(A31,#REF!, 2, FALSE)</f>
        <v>#REF!</v>
      </c>
      <c r="AA31" s="38">
        <f>VLOOKUP(A31, '26'!$E$7:$F$112, 2, FALSE)</f>
        <v>11</v>
      </c>
      <c r="AB31" s="38">
        <f>VLOOKUP(A31, '27'!$E$7:$F$112, 2, FALSE)</f>
        <v>12</v>
      </c>
      <c r="AC31" s="38">
        <f>VLOOKUP(A31, '28'!$E$7:$F$112, 2, FALSE)</f>
        <v>10</v>
      </c>
      <c r="AD31" s="38">
        <f>VLOOKUP(A31, '29'!$E$7:$F$112, 2, FALSE)</f>
        <v>11</v>
      </c>
      <c r="AE31" s="38">
        <f>VLOOKUP(A31, '30'!$E$7:$F$112, 2, FALSE)</f>
        <v>11</v>
      </c>
      <c r="AF31" s="410" t="e">
        <f t="shared" si="0"/>
        <v>#REF!</v>
      </c>
      <c r="AG31" s="410">
        <v>171</v>
      </c>
      <c r="AH31" s="420" t="e">
        <f t="shared" si="1"/>
        <v>#REF!</v>
      </c>
      <c r="AI31" s="421">
        <f t="shared" si="2"/>
        <v>0</v>
      </c>
      <c r="AJ31" s="421">
        <f t="shared" si="3"/>
        <v>0</v>
      </c>
      <c r="AK31" s="421">
        <f t="shared" si="4"/>
        <v>0</v>
      </c>
      <c r="AL31" s="422">
        <f t="shared" si="5"/>
        <v>0</v>
      </c>
      <c r="AM31" s="422" t="e">
        <f t="shared" si="6"/>
        <v>#REF!</v>
      </c>
    </row>
    <row r="32" spans="1:39" ht="14.25" hidden="1" customHeight="1">
      <c r="A32" s="40" t="s">
        <v>112</v>
      </c>
      <c r="B32" s="419" t="e">
        <f>VLOOKUP(A32,#REF!,2,0)</f>
        <v>#REF!</v>
      </c>
      <c r="C32" s="444" t="e">
        <f>VLOOKUP(A32,#REF!, 2, FALSE)</f>
        <v>#REF!</v>
      </c>
      <c r="D32" s="444" t="e">
        <f>VLOOKUP(A32,#REF!, 2, FALSE)</f>
        <v>#REF!</v>
      </c>
      <c r="E32" s="444" t="e">
        <f>VLOOKUP(A32,#REF!, 2, FALSE)</f>
        <v>#REF!</v>
      </c>
      <c r="F32" s="444" t="e">
        <f>VLOOKUP(A32,#REF!, 2, FALSE)</f>
        <v>#REF!</v>
      </c>
      <c r="G32" s="444" t="e">
        <f>VLOOKUP(A32,#REF!, 2, FALSE)</f>
        <v>#REF!</v>
      </c>
      <c r="H32" s="444" t="e">
        <f>VLOOKUP(A32,#REF!, 2, FALSE)</f>
        <v>#REF!</v>
      </c>
      <c r="I32" s="445" t="e">
        <f>VLOOKUP(A32,#REF!, 2, FALSE)</f>
        <v>#REF!</v>
      </c>
      <c r="J32" s="38" t="e">
        <f>VLOOKUP(A32,#REF!, 2, FALSE)</f>
        <v>#REF!</v>
      </c>
      <c r="K32" s="38" t="e">
        <f>VLOOKUP(A32,#REF!, 2, FALSE)</f>
        <v>#REF!</v>
      </c>
      <c r="L32" s="38" t="e">
        <f>VLOOKUP(A32,#REF!, 2, FALSE)</f>
        <v>#REF!</v>
      </c>
      <c r="M32" s="38" t="e">
        <f>VLOOKUP(A32,#REF!, 2, FALSE)</f>
        <v>#REF!</v>
      </c>
      <c r="N32" s="38" t="e">
        <f>VLOOKUP(A32,#REF!, 2, FALSE)</f>
        <v>#REF!</v>
      </c>
      <c r="O32" s="38" t="e">
        <f>VLOOKUP(A32,#REF!, 2, FALSE)</f>
        <v>#REF!</v>
      </c>
      <c r="P32" s="419" t="e">
        <f>VLOOKUP(A32,#REF!, 2, FALSE)</f>
        <v>#REF!</v>
      </c>
      <c r="Q32" s="444" t="e">
        <f>VLOOKUP(A32,#REF!, 2, FALSE)</f>
        <v>#REF!</v>
      </c>
      <c r="R32" s="444" t="e">
        <f>VLOOKUP(A32,#REF!, 2, FALSE)</f>
        <v>#REF!</v>
      </c>
      <c r="S32" s="444" t="e">
        <f>VLOOKUP(A32,#REF!, 2, FALSE)</f>
        <v>#REF!</v>
      </c>
      <c r="T32" s="444" t="e">
        <f>VLOOKUP(A32,#REF!, 2, FALSE)</f>
        <v>#REF!</v>
      </c>
      <c r="U32" s="444" t="s">
        <v>231</v>
      </c>
      <c r="V32" s="444" t="e">
        <f>VLOOKUP(A32,#REF!, 2, FALSE)</f>
        <v>#REF!</v>
      </c>
      <c r="W32" s="445">
        <f>VLOOKUP(A32, '22'!$E$7:$F$109, 2, FALSE)</f>
        <v>11</v>
      </c>
      <c r="X32" s="38" t="e">
        <f>VLOOKUP(A32,#REF!, 2, FALSE)</f>
        <v>#REF!</v>
      </c>
      <c r="Y32" s="38" t="e">
        <f>VLOOKUP(A32,#REF!, 2, FALSE)</f>
        <v>#REF!</v>
      </c>
      <c r="Z32" s="38" t="e">
        <f>VLOOKUP(A32,#REF!, 2, FALSE)</f>
        <v>#REF!</v>
      </c>
      <c r="AA32" s="38">
        <f>VLOOKUP(A32, '26'!$E$7:$F$112, 2, FALSE)</f>
        <v>11</v>
      </c>
      <c r="AB32" s="38">
        <f>VLOOKUP(A32, '27'!$E$7:$F$112, 2, FALSE)</f>
        <v>11</v>
      </c>
      <c r="AC32" s="38">
        <f>VLOOKUP(A32, '28'!$E$7:$F$112, 2, FALSE)</f>
        <v>10</v>
      </c>
      <c r="AD32" s="38">
        <f>VLOOKUP(A32, '29'!$E$7:$F$112, 2, FALSE)</f>
        <v>11</v>
      </c>
      <c r="AE32" s="38">
        <f>VLOOKUP(A32, '30'!$E$7:$F$112, 2, FALSE)</f>
        <v>11</v>
      </c>
      <c r="AF32" s="410" t="e">
        <f t="shared" si="0"/>
        <v>#REF!</v>
      </c>
      <c r="AG32" s="410">
        <v>171</v>
      </c>
      <c r="AH32" s="420" t="e">
        <f t="shared" si="1"/>
        <v>#REF!</v>
      </c>
      <c r="AI32" s="421">
        <f t="shared" si="2"/>
        <v>0</v>
      </c>
      <c r="AJ32" s="421">
        <f t="shared" si="3"/>
        <v>1</v>
      </c>
      <c r="AK32" s="421">
        <f t="shared" si="4"/>
        <v>0</v>
      </c>
      <c r="AL32" s="422">
        <f t="shared" si="5"/>
        <v>0</v>
      </c>
      <c r="AM32" s="422" t="e">
        <f t="shared" si="6"/>
        <v>#REF!</v>
      </c>
    </row>
    <row r="33" spans="1:39" ht="14.25" hidden="1" customHeight="1">
      <c r="A33" s="40" t="s">
        <v>114</v>
      </c>
      <c r="B33" s="419" t="e">
        <f>VLOOKUP(A33,#REF!,2,0)</f>
        <v>#REF!</v>
      </c>
      <c r="C33" s="444" t="e">
        <f>VLOOKUP(A33,#REF!, 2, FALSE)</f>
        <v>#REF!</v>
      </c>
      <c r="D33" s="444" t="e">
        <f>VLOOKUP(A33,#REF!, 2, FALSE)</f>
        <v>#REF!</v>
      </c>
      <c r="E33" s="444" t="e">
        <f>VLOOKUP(A33,#REF!, 2, FALSE)</f>
        <v>#REF!</v>
      </c>
      <c r="F33" s="444" t="e">
        <f>VLOOKUP(A33,#REF!, 2, FALSE)</f>
        <v>#REF!</v>
      </c>
      <c r="G33" s="444" t="e">
        <f>VLOOKUP(A33,#REF!, 2, FALSE)</f>
        <v>#REF!</v>
      </c>
      <c r="H33" s="444" t="e">
        <f>VLOOKUP(A33,#REF!, 2, FALSE)</f>
        <v>#REF!</v>
      </c>
      <c r="I33" s="445" t="e">
        <f>VLOOKUP(A33,#REF!, 2, FALSE)</f>
        <v>#REF!</v>
      </c>
      <c r="J33" s="38" t="e">
        <f>VLOOKUP(A33,#REF!, 2, FALSE)</f>
        <v>#REF!</v>
      </c>
      <c r="K33" s="38" t="e">
        <f>VLOOKUP(A33,#REF!, 2, FALSE)</f>
        <v>#REF!</v>
      </c>
      <c r="L33" s="38" t="e">
        <f>VLOOKUP(A33,#REF!, 2, FALSE)</f>
        <v>#REF!</v>
      </c>
      <c r="M33" s="38" t="e">
        <f>VLOOKUP(A33,#REF!, 2, FALSE)</f>
        <v>#REF!</v>
      </c>
      <c r="N33" s="38" t="e">
        <f>VLOOKUP(A33,#REF!, 2, FALSE)</f>
        <v>#REF!</v>
      </c>
      <c r="O33" s="38" t="e">
        <f>VLOOKUP(A33,#REF!, 2, FALSE)</f>
        <v>#REF!</v>
      </c>
      <c r="P33" s="419" t="e">
        <f>VLOOKUP(A33,#REF!, 2, FALSE)</f>
        <v>#REF!</v>
      </c>
      <c r="Q33" s="444" t="e">
        <f>VLOOKUP(A33,#REF!, 2, FALSE)</f>
        <v>#REF!</v>
      </c>
      <c r="R33" s="444" t="e">
        <f>VLOOKUP(A33,#REF!, 2, FALSE)</f>
        <v>#REF!</v>
      </c>
      <c r="S33" s="444" t="e">
        <f>VLOOKUP(A33,#REF!, 2, FALSE)</f>
        <v>#REF!</v>
      </c>
      <c r="T33" s="444" t="e">
        <f>VLOOKUP(A33,#REF!, 2, FALSE)</f>
        <v>#REF!</v>
      </c>
      <c r="U33" s="444" t="s">
        <v>231</v>
      </c>
      <c r="V33" s="444" t="e">
        <f>VLOOKUP(A33,#REF!, 2, FALSE)</f>
        <v>#REF!</v>
      </c>
      <c r="W33" s="445">
        <f>VLOOKUP(A33, '22'!$E$7:$F$109, 2, FALSE)</f>
        <v>11</v>
      </c>
      <c r="X33" s="38" t="e">
        <f>VLOOKUP(A33,#REF!, 2, FALSE)</f>
        <v>#REF!</v>
      </c>
      <c r="Y33" s="38" t="e">
        <f>VLOOKUP(A33,#REF!, 2, FALSE)</f>
        <v>#REF!</v>
      </c>
      <c r="Z33" s="38" t="e">
        <f>VLOOKUP(A33,#REF!, 2, FALSE)</f>
        <v>#REF!</v>
      </c>
      <c r="AA33" s="38">
        <f>VLOOKUP(A33, '26'!$E$7:$F$112, 2, FALSE)</f>
        <v>10</v>
      </c>
      <c r="AB33" s="38">
        <f>VLOOKUP(A33, '27'!$E$7:$F$112, 2, FALSE)</f>
        <v>11</v>
      </c>
      <c r="AC33" s="38">
        <f>VLOOKUP(A33, '28'!$E$7:$F$112, 2, FALSE)</f>
        <v>0</v>
      </c>
      <c r="AD33" s="38">
        <f>VLOOKUP(A33, '29'!$E$7:$F$112, 2, FALSE)</f>
        <v>11</v>
      </c>
      <c r="AE33" s="38">
        <f>VLOOKUP(A33, '30'!$E$7:$F$112, 2, FALSE)</f>
        <v>0</v>
      </c>
      <c r="AF33" s="410" t="e">
        <f t="shared" si="0"/>
        <v>#REF!</v>
      </c>
      <c r="AG33" s="410">
        <v>171</v>
      </c>
      <c r="AH33" s="420" t="e">
        <f t="shared" si="1"/>
        <v>#REF!</v>
      </c>
      <c r="AI33" s="421">
        <f t="shared" si="2"/>
        <v>1</v>
      </c>
      <c r="AJ33" s="421">
        <f t="shared" si="3"/>
        <v>1</v>
      </c>
      <c r="AK33" s="421">
        <f t="shared" si="4"/>
        <v>0</v>
      </c>
      <c r="AL33" s="422">
        <f t="shared" si="5"/>
        <v>0</v>
      </c>
      <c r="AM33" s="422" t="e">
        <f t="shared" si="6"/>
        <v>#REF!</v>
      </c>
    </row>
    <row r="34" spans="1:39" ht="14.25" hidden="1" customHeight="1">
      <c r="A34" s="40" t="s">
        <v>116</v>
      </c>
      <c r="B34" s="419" t="e">
        <f>VLOOKUP(A34,#REF!,2,0)</f>
        <v>#REF!</v>
      </c>
      <c r="C34" s="444" t="e">
        <f>VLOOKUP(A34,#REF!, 2, FALSE)</f>
        <v>#REF!</v>
      </c>
      <c r="D34" s="444" t="e">
        <f>VLOOKUP(A34,#REF!, 2, FALSE)</f>
        <v>#REF!</v>
      </c>
      <c r="E34" s="444" t="e">
        <f>VLOOKUP(A34,#REF!, 2, FALSE)</f>
        <v>#REF!</v>
      </c>
      <c r="F34" s="444" t="e">
        <f>VLOOKUP(A34,#REF!, 2, FALSE)</f>
        <v>#REF!</v>
      </c>
      <c r="G34" s="444" t="e">
        <f>VLOOKUP(A34,#REF!, 2, FALSE)</f>
        <v>#REF!</v>
      </c>
      <c r="H34" s="444" t="e">
        <f>VLOOKUP(A34,#REF!, 2, FALSE)</f>
        <v>#REF!</v>
      </c>
      <c r="I34" s="445" t="e">
        <f>VLOOKUP(A34,#REF!, 2, FALSE)</f>
        <v>#REF!</v>
      </c>
      <c r="J34" s="38" t="e">
        <f>VLOOKUP(A34,#REF!, 2, FALSE)</f>
        <v>#REF!</v>
      </c>
      <c r="K34" s="38" t="e">
        <f>VLOOKUP(A34,#REF!, 2, FALSE)</f>
        <v>#REF!</v>
      </c>
      <c r="L34" s="38" t="e">
        <f>VLOOKUP(A34,#REF!, 2, FALSE)</f>
        <v>#REF!</v>
      </c>
      <c r="M34" s="38" t="e">
        <f>VLOOKUP(A34,#REF!, 2, FALSE)</f>
        <v>#REF!</v>
      </c>
      <c r="N34" s="38" t="e">
        <f>VLOOKUP(A34,#REF!, 2, FALSE)</f>
        <v>#REF!</v>
      </c>
      <c r="O34" s="38" t="e">
        <f>VLOOKUP(A34,#REF!, 2, FALSE)</f>
        <v>#REF!</v>
      </c>
      <c r="P34" s="419" t="e">
        <f>VLOOKUP(A34,#REF!, 2, FALSE)</f>
        <v>#REF!</v>
      </c>
      <c r="Q34" s="444" t="e">
        <f>VLOOKUP(A34,#REF!, 2, FALSE)</f>
        <v>#REF!</v>
      </c>
      <c r="R34" s="444" t="e">
        <f>VLOOKUP(A34,#REF!, 2, FALSE)</f>
        <v>#REF!</v>
      </c>
      <c r="S34" s="444" t="e">
        <f>VLOOKUP(A34,#REF!, 2, FALSE)</f>
        <v>#REF!</v>
      </c>
      <c r="T34" s="444" t="e">
        <f>VLOOKUP(A34,#REF!, 2, FALSE)</f>
        <v>#REF!</v>
      </c>
      <c r="U34" s="444" t="e">
        <f>VLOOKUP(A34,#REF!, 2, FALSE)</f>
        <v>#REF!</v>
      </c>
      <c r="V34" s="444" t="e">
        <f>VLOOKUP(A34,#REF!, 2, FALSE)</f>
        <v>#REF!</v>
      </c>
      <c r="W34" s="445">
        <f>VLOOKUP(A34, '22'!$E$7:$F$109, 2, FALSE)</f>
        <v>13</v>
      </c>
      <c r="X34" s="38" t="e">
        <f>VLOOKUP(A34,#REF!, 2, FALSE)</f>
        <v>#REF!</v>
      </c>
      <c r="Y34" s="38" t="e">
        <f>VLOOKUP(A34,#REF!, 2, FALSE)</f>
        <v>#REF!</v>
      </c>
      <c r="Z34" s="38" t="e">
        <f>VLOOKUP(A34,#REF!, 2, FALSE)</f>
        <v>#REF!</v>
      </c>
      <c r="AA34" s="38">
        <f>VLOOKUP(A34, '26'!$E$7:$F$112, 2, FALSE)</f>
        <v>6</v>
      </c>
      <c r="AB34" s="38">
        <f>VLOOKUP(A34, '27'!$E$7:$F$112, 2, FALSE)</f>
        <v>6</v>
      </c>
      <c r="AC34" s="38">
        <f>VLOOKUP(A34, '28'!$E$7:$F$112, 2, FALSE)</f>
        <v>11</v>
      </c>
      <c r="AD34" s="38">
        <f>VLOOKUP(A34, '29'!$E$7:$F$112, 2, FALSE)</f>
        <v>13</v>
      </c>
      <c r="AE34" s="38">
        <f>VLOOKUP(A34, '30'!$E$7:$F$112, 2, FALSE)</f>
        <v>12</v>
      </c>
      <c r="AF34" s="410" t="e">
        <f t="shared" si="0"/>
        <v>#REF!</v>
      </c>
      <c r="AG34" s="410">
        <v>171</v>
      </c>
      <c r="AH34" s="420" t="e">
        <f t="shared" si="1"/>
        <v>#REF!</v>
      </c>
      <c r="AI34" s="421">
        <f t="shared" si="2"/>
        <v>0</v>
      </c>
      <c r="AJ34" s="421">
        <f t="shared" si="3"/>
        <v>0</v>
      </c>
      <c r="AK34" s="421">
        <f t="shared" si="4"/>
        <v>0</v>
      </c>
      <c r="AL34" s="422">
        <f t="shared" si="5"/>
        <v>0</v>
      </c>
      <c r="AM34" s="422" t="e">
        <f t="shared" si="6"/>
        <v>#REF!</v>
      </c>
    </row>
    <row r="35" spans="1:39" ht="14.25" hidden="1" customHeight="1">
      <c r="A35" s="40" t="s">
        <v>118</v>
      </c>
      <c r="B35" s="419" t="e">
        <f>VLOOKUP(A35,#REF!,2,0)</f>
        <v>#REF!</v>
      </c>
      <c r="C35" s="444" t="e">
        <f>VLOOKUP(A35,#REF!, 2, FALSE)</f>
        <v>#REF!</v>
      </c>
      <c r="D35" s="444" t="e">
        <f>VLOOKUP(A35,#REF!, 2, FALSE)</f>
        <v>#REF!</v>
      </c>
      <c r="E35" s="444" t="e">
        <f>VLOOKUP(A35,#REF!, 2, FALSE)</f>
        <v>#REF!</v>
      </c>
      <c r="F35" s="444" t="e">
        <f>VLOOKUP(A35,#REF!, 2, FALSE)</f>
        <v>#REF!</v>
      </c>
      <c r="G35" s="444" t="e">
        <f>VLOOKUP(A35,#REF!, 2, FALSE)</f>
        <v>#REF!</v>
      </c>
      <c r="H35" s="444" t="e">
        <f>VLOOKUP(A35,#REF!, 2, FALSE)</f>
        <v>#REF!</v>
      </c>
      <c r="I35" s="445" t="e">
        <f>VLOOKUP(A35,#REF!, 2, FALSE)</f>
        <v>#REF!</v>
      </c>
      <c r="J35" s="38" t="e">
        <f>VLOOKUP(A35,#REF!, 2, FALSE)</f>
        <v>#REF!</v>
      </c>
      <c r="K35" s="38" t="e">
        <f>VLOOKUP(A35,#REF!, 2, FALSE)</f>
        <v>#REF!</v>
      </c>
      <c r="L35" s="38" t="e">
        <f>VLOOKUP(A35,#REF!, 2, FALSE)</f>
        <v>#REF!</v>
      </c>
      <c r="M35" s="38" t="e">
        <f>VLOOKUP(A35,#REF!, 2, FALSE)</f>
        <v>#REF!</v>
      </c>
      <c r="N35" s="38" t="e">
        <f>VLOOKUP(A35,#REF!, 2, FALSE)</f>
        <v>#REF!</v>
      </c>
      <c r="O35" s="38" t="e">
        <f>VLOOKUP(A35,#REF!, 2, FALSE)</f>
        <v>#REF!</v>
      </c>
      <c r="P35" s="419" t="e">
        <f>VLOOKUP(A35,#REF!, 2, FALSE)</f>
        <v>#REF!</v>
      </c>
      <c r="Q35" s="444" t="e">
        <f>VLOOKUP(A35,#REF!, 2, FALSE)</f>
        <v>#REF!</v>
      </c>
      <c r="R35" s="444" t="e">
        <f>VLOOKUP(A35,#REF!, 2, FALSE)</f>
        <v>#REF!</v>
      </c>
      <c r="S35" s="444" t="e">
        <f>VLOOKUP(A35,#REF!, 2, FALSE)</f>
        <v>#REF!</v>
      </c>
      <c r="T35" s="444" t="e">
        <f>VLOOKUP(A35,#REF!, 2, FALSE)</f>
        <v>#REF!</v>
      </c>
      <c r="U35" s="444" t="e">
        <f>VLOOKUP(A35,#REF!, 2, FALSE)</f>
        <v>#REF!</v>
      </c>
      <c r="V35" s="444" t="e">
        <f>VLOOKUP(A35,#REF!, 2, FALSE)</f>
        <v>#REF!</v>
      </c>
      <c r="W35" s="445">
        <f>VLOOKUP(A35, '22'!$E$7:$F$109, 2, FALSE)</f>
        <v>10</v>
      </c>
      <c r="X35" s="38" t="e">
        <f>VLOOKUP(A35,#REF!, 2, FALSE)</f>
        <v>#REF!</v>
      </c>
      <c r="Y35" s="38" t="e">
        <f>VLOOKUP(A35,#REF!, 2, FALSE)</f>
        <v>#REF!</v>
      </c>
      <c r="Z35" s="38" t="e">
        <f>VLOOKUP(A35,#REF!, 2, FALSE)</f>
        <v>#REF!</v>
      </c>
      <c r="AA35" s="38">
        <f>VLOOKUP(A35, '26'!$E$7:$F$112, 2, FALSE)</f>
        <v>8</v>
      </c>
      <c r="AB35" s="38">
        <f>VLOOKUP(A35, '27'!$E$7:$F$112, 2, FALSE)</f>
        <v>5</v>
      </c>
      <c r="AC35" s="38">
        <f>VLOOKUP(A35, '28'!$E$7:$F$112, 2, FALSE)</f>
        <v>0</v>
      </c>
      <c r="AD35" s="38">
        <f>VLOOKUP(A35, '29'!$E$7:$F$112, 2, FALSE)</f>
        <v>10</v>
      </c>
      <c r="AE35" s="38">
        <f>VLOOKUP(A35, '30'!$E$7:$F$112, 2, FALSE)</f>
        <v>10</v>
      </c>
      <c r="AF35" s="410" t="e">
        <f t="shared" si="0"/>
        <v>#REF!</v>
      </c>
      <c r="AG35" s="410">
        <v>171</v>
      </c>
      <c r="AH35" s="420" t="e">
        <f t="shared" si="1"/>
        <v>#REF!</v>
      </c>
      <c r="AI35" s="421">
        <f t="shared" si="2"/>
        <v>1</v>
      </c>
      <c r="AJ35" s="421">
        <f t="shared" si="3"/>
        <v>0</v>
      </c>
      <c r="AK35" s="421">
        <f t="shared" si="4"/>
        <v>0</v>
      </c>
      <c r="AL35" s="422">
        <f t="shared" si="5"/>
        <v>0</v>
      </c>
      <c r="AM35" s="422" t="e">
        <f t="shared" si="6"/>
        <v>#REF!</v>
      </c>
    </row>
    <row r="36" spans="1:39" ht="14.25" hidden="1" customHeight="1">
      <c r="A36" s="40" t="s">
        <v>121</v>
      </c>
      <c r="B36" s="419" t="e">
        <f>VLOOKUP(A36,#REF!,2,0)</f>
        <v>#REF!</v>
      </c>
      <c r="C36" s="444" t="e">
        <f>VLOOKUP(A36,#REF!, 2, FALSE)</f>
        <v>#REF!</v>
      </c>
      <c r="D36" s="444" t="e">
        <f>VLOOKUP(A36,#REF!, 2, FALSE)</f>
        <v>#REF!</v>
      </c>
      <c r="E36" s="444" t="e">
        <f>VLOOKUP(A36,#REF!, 2, FALSE)</f>
        <v>#REF!</v>
      </c>
      <c r="F36" s="444" t="e">
        <f>VLOOKUP(A36,#REF!, 2, FALSE)</f>
        <v>#REF!</v>
      </c>
      <c r="G36" s="444" t="e">
        <f>VLOOKUP(A36,#REF!, 2, FALSE)</f>
        <v>#REF!</v>
      </c>
      <c r="H36" s="444" t="e">
        <f>VLOOKUP(A36,#REF!, 2, FALSE)</f>
        <v>#REF!</v>
      </c>
      <c r="I36" s="445" t="e">
        <f>VLOOKUP(A36,#REF!, 2, FALSE)</f>
        <v>#REF!</v>
      </c>
      <c r="J36" s="38" t="e">
        <f>VLOOKUP(A36,#REF!, 2, FALSE)</f>
        <v>#REF!</v>
      </c>
      <c r="K36" s="38" t="e">
        <f>VLOOKUP(A36,#REF!, 2, FALSE)</f>
        <v>#REF!</v>
      </c>
      <c r="L36" s="38" t="e">
        <f>VLOOKUP(A36,#REF!, 2, FALSE)</f>
        <v>#REF!</v>
      </c>
      <c r="M36" s="38" t="e">
        <f>VLOOKUP(A36,#REF!, 2, FALSE)</f>
        <v>#REF!</v>
      </c>
      <c r="N36" s="38" t="e">
        <f>VLOOKUP(A36,#REF!, 2, FALSE)</f>
        <v>#REF!</v>
      </c>
      <c r="O36" s="38" t="e">
        <f>VLOOKUP(A36,#REF!, 2, FALSE)</f>
        <v>#REF!</v>
      </c>
      <c r="P36" s="419" t="e">
        <f>VLOOKUP(A36,#REF!, 2, FALSE)</f>
        <v>#REF!</v>
      </c>
      <c r="Q36" s="444" t="e">
        <f>VLOOKUP(A36,#REF!, 2, FALSE)</f>
        <v>#REF!</v>
      </c>
      <c r="R36" s="444" t="e">
        <f>VLOOKUP(A36,#REF!, 2, FALSE)</f>
        <v>#REF!</v>
      </c>
      <c r="S36" s="444" t="e">
        <f>VLOOKUP(A36,#REF!, 2, FALSE)</f>
        <v>#REF!</v>
      </c>
      <c r="T36" s="444" t="e">
        <f>VLOOKUP(A36,#REF!, 2, FALSE)</f>
        <v>#REF!</v>
      </c>
      <c r="U36" s="444" t="e">
        <f>VLOOKUP(A36,#REF!, 2, FALSE)</f>
        <v>#REF!</v>
      </c>
      <c r="V36" s="444" t="e">
        <f>VLOOKUP(A36,#REF!, 2, FALSE)</f>
        <v>#REF!</v>
      </c>
      <c r="W36" s="445">
        <f>VLOOKUP(A36, '22'!$E$7:$F$109, 2, FALSE)</f>
        <v>11</v>
      </c>
      <c r="X36" s="38" t="e">
        <f>VLOOKUP(A36,#REF!, 2, FALSE)</f>
        <v>#REF!</v>
      </c>
      <c r="Y36" s="38" t="e">
        <f>VLOOKUP(A36,#REF!, 2, FALSE)</f>
        <v>#REF!</v>
      </c>
      <c r="Z36" s="38" t="e">
        <f>VLOOKUP(A36,#REF!, 2, FALSE)</f>
        <v>#REF!</v>
      </c>
      <c r="AA36" s="38">
        <f>VLOOKUP(A36, '26'!$E$7:$F$112, 2, FALSE)</f>
        <v>10</v>
      </c>
      <c r="AB36" s="38">
        <f>VLOOKUP(A36, '27'!$E$7:$F$112, 2, FALSE)</f>
        <v>0</v>
      </c>
      <c r="AC36" s="38">
        <f>VLOOKUP(A36, '28'!$E$7:$F$112, 2, FALSE)</f>
        <v>11</v>
      </c>
      <c r="AD36" s="38">
        <f>VLOOKUP(A36, '29'!$E$7:$F$112, 2, FALSE)</f>
        <v>11</v>
      </c>
      <c r="AE36" s="38">
        <f>VLOOKUP(A36, '30'!$E$7:$F$112, 2, FALSE)</f>
        <v>11</v>
      </c>
      <c r="AF36" s="410" t="e">
        <f t="shared" si="0"/>
        <v>#REF!</v>
      </c>
      <c r="AG36" s="410">
        <v>171</v>
      </c>
      <c r="AH36" s="420" t="e">
        <f t="shared" si="1"/>
        <v>#REF!</v>
      </c>
      <c r="AI36" s="421">
        <f t="shared" si="2"/>
        <v>1</v>
      </c>
      <c r="AJ36" s="421">
        <f t="shared" si="3"/>
        <v>0</v>
      </c>
      <c r="AK36" s="421">
        <f t="shared" si="4"/>
        <v>0</v>
      </c>
      <c r="AL36" s="422">
        <f t="shared" si="5"/>
        <v>0</v>
      </c>
      <c r="AM36" s="422" t="e">
        <f t="shared" si="6"/>
        <v>#REF!</v>
      </c>
    </row>
    <row r="37" spans="1:39" ht="14.25" hidden="1" customHeight="1">
      <c r="A37" s="40" t="s">
        <v>123</v>
      </c>
      <c r="B37" s="419" t="e">
        <f>VLOOKUP(A37,#REF!,2,0)</f>
        <v>#REF!</v>
      </c>
      <c r="C37" s="444" t="e">
        <f>VLOOKUP(A37,#REF!, 2, FALSE)</f>
        <v>#REF!</v>
      </c>
      <c r="D37" s="444" t="e">
        <f>VLOOKUP(A37,#REF!, 2, FALSE)</f>
        <v>#REF!</v>
      </c>
      <c r="E37" s="444" t="e">
        <f>VLOOKUP(A37,#REF!, 2, FALSE)</f>
        <v>#REF!</v>
      </c>
      <c r="F37" s="444" t="e">
        <f>VLOOKUP(A37,#REF!, 2, FALSE)</f>
        <v>#REF!</v>
      </c>
      <c r="G37" s="444" t="e">
        <f>VLOOKUP(A37,#REF!, 2, FALSE)</f>
        <v>#REF!</v>
      </c>
      <c r="H37" s="444" t="e">
        <f>VLOOKUP(A37,#REF!, 2, FALSE)</f>
        <v>#REF!</v>
      </c>
      <c r="I37" s="445" t="e">
        <f>VLOOKUP(A37,#REF!, 2, FALSE)</f>
        <v>#REF!</v>
      </c>
      <c r="J37" s="38" t="e">
        <f>VLOOKUP(A37,#REF!, 2, FALSE)</f>
        <v>#REF!</v>
      </c>
      <c r="K37" s="38" t="e">
        <f>VLOOKUP(A37,#REF!, 2, FALSE)</f>
        <v>#REF!</v>
      </c>
      <c r="L37" s="38" t="e">
        <f>VLOOKUP(A37,#REF!, 2, FALSE)</f>
        <v>#REF!</v>
      </c>
      <c r="M37" s="38" t="e">
        <f>VLOOKUP(A37,#REF!, 2, FALSE)</f>
        <v>#REF!</v>
      </c>
      <c r="N37" s="38" t="e">
        <f>VLOOKUP(A37,#REF!, 2, FALSE)</f>
        <v>#REF!</v>
      </c>
      <c r="O37" s="38" t="e">
        <f>VLOOKUP(A37,#REF!, 2, FALSE)</f>
        <v>#REF!</v>
      </c>
      <c r="P37" s="419" t="e">
        <f>VLOOKUP(A37,#REF!, 2, FALSE)</f>
        <v>#REF!</v>
      </c>
      <c r="Q37" s="444" t="e">
        <f>VLOOKUP(A37,#REF!, 2, FALSE)</f>
        <v>#REF!</v>
      </c>
      <c r="R37" s="444" t="e">
        <f>VLOOKUP(A37,#REF!, 2, FALSE)</f>
        <v>#REF!</v>
      </c>
      <c r="S37" s="444" t="e">
        <f>VLOOKUP(A37,#REF!, 2, FALSE)</f>
        <v>#REF!</v>
      </c>
      <c r="T37" s="444" t="e">
        <f>VLOOKUP(A37,#REF!, 2, FALSE)</f>
        <v>#REF!</v>
      </c>
      <c r="U37" s="444" t="e">
        <f>VLOOKUP(A37,#REF!, 2, FALSE)</f>
        <v>#REF!</v>
      </c>
      <c r="V37" s="444" t="e">
        <f>VLOOKUP(A37,#REF!, 2, FALSE)</f>
        <v>#REF!</v>
      </c>
      <c r="W37" s="445">
        <f>VLOOKUP(A37, '22'!$E$7:$F$109, 2, FALSE)</f>
        <v>11</v>
      </c>
      <c r="X37" s="38" t="e">
        <f>VLOOKUP(A37,#REF!, 2, FALSE)</f>
        <v>#REF!</v>
      </c>
      <c r="Y37" s="38" t="e">
        <f>VLOOKUP(A37,#REF!, 2, FALSE)</f>
        <v>#REF!</v>
      </c>
      <c r="Z37" s="38" t="e">
        <f>VLOOKUP(A37,#REF!, 2, FALSE)</f>
        <v>#REF!</v>
      </c>
      <c r="AA37" s="38">
        <f>VLOOKUP(A37, '26'!$E$7:$F$112, 2, FALSE)</f>
        <v>11</v>
      </c>
      <c r="AB37" s="38">
        <f>VLOOKUP(A37, '27'!$E$7:$F$112, 2, FALSE)</f>
        <v>13</v>
      </c>
      <c r="AC37" s="38">
        <f>VLOOKUP(A37, '28'!$E$7:$F$112, 2, FALSE)</f>
        <v>12</v>
      </c>
      <c r="AD37" s="38">
        <f>VLOOKUP(A37, '29'!$E$7:$F$112, 2, FALSE)</f>
        <v>0</v>
      </c>
      <c r="AE37" s="38">
        <f>VLOOKUP(A37, '30'!$E$7:$F$112, 2, FALSE)</f>
        <v>11</v>
      </c>
      <c r="AF37" s="410" t="e">
        <f t="shared" si="0"/>
        <v>#REF!</v>
      </c>
      <c r="AG37" s="410">
        <v>171</v>
      </c>
      <c r="AH37" s="420" t="e">
        <f t="shared" si="1"/>
        <v>#REF!</v>
      </c>
      <c r="AI37" s="421">
        <f t="shared" si="2"/>
        <v>0</v>
      </c>
      <c r="AJ37" s="421">
        <f t="shared" si="3"/>
        <v>0</v>
      </c>
      <c r="AK37" s="421">
        <f t="shared" si="4"/>
        <v>0</v>
      </c>
      <c r="AL37" s="422">
        <f t="shared" si="5"/>
        <v>0</v>
      </c>
      <c r="AM37" s="422" t="e">
        <f t="shared" si="6"/>
        <v>#REF!</v>
      </c>
    </row>
    <row r="38" spans="1:39" ht="14.25" hidden="1" customHeight="1">
      <c r="A38" s="40" t="s">
        <v>125</v>
      </c>
      <c r="B38" s="419" t="e">
        <f>VLOOKUP(A38,#REF!,2,0)</f>
        <v>#REF!</v>
      </c>
      <c r="C38" s="444" t="e">
        <f>VLOOKUP(A38,#REF!, 2, FALSE)</f>
        <v>#REF!</v>
      </c>
      <c r="D38" s="444" t="e">
        <f>VLOOKUP(A38,#REF!, 2, FALSE)</f>
        <v>#REF!</v>
      </c>
      <c r="E38" s="444" t="e">
        <f>VLOOKUP(A38,#REF!, 2, FALSE)</f>
        <v>#REF!</v>
      </c>
      <c r="F38" s="444" t="e">
        <f>VLOOKUP(A38,#REF!, 2, FALSE)</f>
        <v>#REF!</v>
      </c>
      <c r="G38" s="444" t="e">
        <f>VLOOKUP(A38,#REF!, 2, FALSE)</f>
        <v>#REF!</v>
      </c>
      <c r="H38" s="444" t="e">
        <f>VLOOKUP(A38,#REF!, 2, FALSE)</f>
        <v>#REF!</v>
      </c>
      <c r="I38" s="445" t="e">
        <f>VLOOKUP(A38,#REF!, 2, FALSE)</f>
        <v>#REF!</v>
      </c>
      <c r="J38" s="38" t="e">
        <f>VLOOKUP(A38,#REF!, 2, FALSE)</f>
        <v>#REF!</v>
      </c>
      <c r="K38" s="38" t="e">
        <f>VLOOKUP(A38,#REF!, 2, FALSE)</f>
        <v>#REF!</v>
      </c>
      <c r="L38" s="38" t="e">
        <f>VLOOKUP(A38,#REF!, 2, FALSE)</f>
        <v>#REF!</v>
      </c>
      <c r="M38" s="38" t="e">
        <f>VLOOKUP(A38,#REF!, 2, FALSE)</f>
        <v>#REF!</v>
      </c>
      <c r="N38" s="38" t="e">
        <f>VLOOKUP(A38,#REF!, 2, FALSE)</f>
        <v>#REF!</v>
      </c>
      <c r="O38" s="38" t="e">
        <f>VLOOKUP(A38,#REF!, 2, FALSE)</f>
        <v>#REF!</v>
      </c>
      <c r="P38" s="419" t="e">
        <f>VLOOKUP(A38,#REF!, 2, FALSE)</f>
        <v>#REF!</v>
      </c>
      <c r="Q38" s="444" t="e">
        <f>VLOOKUP(A38,#REF!, 2, FALSE)</f>
        <v>#REF!</v>
      </c>
      <c r="R38" s="444" t="e">
        <f>VLOOKUP(A38,#REF!, 2, FALSE)</f>
        <v>#REF!</v>
      </c>
      <c r="S38" s="444" t="e">
        <f>VLOOKUP(A38,#REF!, 2, FALSE)</f>
        <v>#REF!</v>
      </c>
      <c r="T38" s="444" t="e">
        <f>VLOOKUP(A38,#REF!, 2, FALSE)</f>
        <v>#REF!</v>
      </c>
      <c r="U38" s="444" t="e">
        <f>VLOOKUP(A38,#REF!, 2, FALSE)</f>
        <v>#REF!</v>
      </c>
      <c r="V38" s="444" t="e">
        <f>VLOOKUP(A38,#REF!, 2, FALSE)</f>
        <v>#REF!</v>
      </c>
      <c r="W38" s="445">
        <f>VLOOKUP(A38, '22'!$E$7:$F$109, 2, FALSE)</f>
        <v>6</v>
      </c>
      <c r="X38" s="38" t="e">
        <f>VLOOKUP(A38,#REF!, 2, FALSE)</f>
        <v>#REF!</v>
      </c>
      <c r="Y38" s="38" t="e">
        <f>VLOOKUP(A38,#REF!, 2, FALSE)</f>
        <v>#REF!</v>
      </c>
      <c r="Z38" s="38" t="e">
        <f>VLOOKUP(A38,#REF!, 2, FALSE)</f>
        <v>#REF!</v>
      </c>
      <c r="AA38" s="38">
        <f>VLOOKUP(A38, '26'!$E$7:$F$112, 2, FALSE)</f>
        <v>11</v>
      </c>
      <c r="AB38" s="38">
        <f>VLOOKUP(A38, '27'!$E$7:$F$112, 2, FALSE)</f>
        <v>0</v>
      </c>
      <c r="AC38" s="38">
        <f>VLOOKUP(A38, '28'!$E$7:$F$112, 2, FALSE)</f>
        <v>11</v>
      </c>
      <c r="AD38" s="38">
        <f>VLOOKUP(A38, '29'!$E$7:$F$112, 2, FALSE)</f>
        <v>11</v>
      </c>
      <c r="AE38" s="38">
        <f>VLOOKUP(A38, '30'!$E$7:$F$112, 2, FALSE)</f>
        <v>12</v>
      </c>
      <c r="AF38" s="410" t="e">
        <f t="shared" si="0"/>
        <v>#REF!</v>
      </c>
      <c r="AG38" s="410">
        <v>171</v>
      </c>
      <c r="AH38" s="420" t="e">
        <f t="shared" si="1"/>
        <v>#REF!</v>
      </c>
      <c r="AI38" s="421">
        <f t="shared" si="2"/>
        <v>1</v>
      </c>
      <c r="AJ38" s="421">
        <f t="shared" si="3"/>
        <v>0</v>
      </c>
      <c r="AK38" s="421">
        <f t="shared" si="4"/>
        <v>0</v>
      </c>
      <c r="AL38" s="422">
        <f t="shared" si="5"/>
        <v>0</v>
      </c>
      <c r="AM38" s="422" t="e">
        <f t="shared" si="6"/>
        <v>#REF!</v>
      </c>
    </row>
    <row r="39" spans="1:39" ht="14.25" hidden="1" customHeight="1">
      <c r="A39" s="40" t="s">
        <v>129</v>
      </c>
      <c r="B39" s="419" t="e">
        <f>VLOOKUP(A39,#REF!,2,0)</f>
        <v>#REF!</v>
      </c>
      <c r="C39" s="444" t="e">
        <f>VLOOKUP(A39,#REF!, 2, FALSE)</f>
        <v>#REF!</v>
      </c>
      <c r="D39" s="444" t="e">
        <f>VLOOKUP(A39,#REF!, 2, FALSE)</f>
        <v>#REF!</v>
      </c>
      <c r="E39" s="444" t="e">
        <f>VLOOKUP(A39,#REF!, 2, FALSE)</f>
        <v>#REF!</v>
      </c>
      <c r="F39" s="444" t="e">
        <f>VLOOKUP(A39,#REF!, 2, FALSE)</f>
        <v>#REF!</v>
      </c>
      <c r="G39" s="444" t="e">
        <f>VLOOKUP(A39,#REF!, 2, FALSE)</f>
        <v>#REF!</v>
      </c>
      <c r="H39" s="444" t="e">
        <f>VLOOKUP(A39,#REF!, 2, FALSE)</f>
        <v>#REF!</v>
      </c>
      <c r="I39" s="445" t="e">
        <f>VLOOKUP(A39,#REF!, 2, FALSE)</f>
        <v>#REF!</v>
      </c>
      <c r="J39" s="38" t="e">
        <f>VLOOKUP(A39,#REF!, 2, FALSE)</f>
        <v>#REF!</v>
      </c>
      <c r="K39" s="38" t="e">
        <f>VLOOKUP(A39,#REF!, 2, FALSE)</f>
        <v>#REF!</v>
      </c>
      <c r="L39" s="38" t="e">
        <f>VLOOKUP(A39,#REF!, 2, FALSE)</f>
        <v>#REF!</v>
      </c>
      <c r="M39" s="38" t="e">
        <f>VLOOKUP(A39,#REF!, 2, FALSE)</f>
        <v>#REF!</v>
      </c>
      <c r="N39" s="38" t="e">
        <f>VLOOKUP(A39,#REF!, 2, FALSE)</f>
        <v>#REF!</v>
      </c>
      <c r="O39" s="38" t="e">
        <f>VLOOKUP(A39,#REF!, 2, FALSE)</f>
        <v>#REF!</v>
      </c>
      <c r="P39" s="419" t="e">
        <f>VLOOKUP(A39,#REF!, 2, FALSE)</f>
        <v>#REF!</v>
      </c>
      <c r="Q39" s="444" t="e">
        <f>VLOOKUP(A39,#REF!, 2, FALSE)</f>
        <v>#REF!</v>
      </c>
      <c r="R39" s="444" t="e">
        <f>VLOOKUP(A39,#REF!, 2, FALSE)</f>
        <v>#REF!</v>
      </c>
      <c r="S39" s="444" t="e">
        <f>VLOOKUP(A39,#REF!, 2, FALSE)</f>
        <v>#REF!</v>
      </c>
      <c r="T39" s="444" t="e">
        <f>VLOOKUP(A39,#REF!, 2, FALSE)</f>
        <v>#REF!</v>
      </c>
      <c r="U39" s="444" t="e">
        <f>VLOOKUP(A39,#REF!, 2, FALSE)</f>
        <v>#REF!</v>
      </c>
      <c r="V39" s="444" t="e">
        <f>VLOOKUP(A39,#REF!, 2, FALSE)</f>
        <v>#REF!</v>
      </c>
      <c r="W39" s="445">
        <f>VLOOKUP(A39, '22'!$E$7:$F$109, 2, FALSE)</f>
        <v>11</v>
      </c>
      <c r="X39" s="38" t="e">
        <f>VLOOKUP(A39,#REF!, 2, FALSE)</f>
        <v>#REF!</v>
      </c>
      <c r="Y39" s="38" t="e">
        <f>VLOOKUP(A39,#REF!, 2, FALSE)</f>
        <v>#REF!</v>
      </c>
      <c r="Z39" s="38" t="e">
        <f>VLOOKUP(A39,#REF!, 2, FALSE)</f>
        <v>#REF!</v>
      </c>
      <c r="AA39" s="38">
        <f>VLOOKUP(A39, '26'!$E$7:$F$112, 2, FALSE)</f>
        <v>10</v>
      </c>
      <c r="AB39" s="38">
        <f>VLOOKUP(A39, '27'!$E$7:$F$112, 2, FALSE)</f>
        <v>0</v>
      </c>
      <c r="AC39" s="38">
        <f>VLOOKUP(A39, '28'!$E$7:$F$112, 2, FALSE)</f>
        <v>0</v>
      </c>
      <c r="AD39" s="38">
        <f>VLOOKUP(A39, '29'!$E$7:$F$112, 2, FALSE)</f>
        <v>11</v>
      </c>
      <c r="AE39" s="38">
        <f>VLOOKUP(A39, '30'!$E$7:$F$112, 2, FALSE)</f>
        <v>9</v>
      </c>
      <c r="AF39" s="410" t="e">
        <f t="shared" si="0"/>
        <v>#REF!</v>
      </c>
      <c r="AG39" s="410">
        <v>171</v>
      </c>
      <c r="AH39" s="420" t="e">
        <f t="shared" si="1"/>
        <v>#REF!</v>
      </c>
      <c r="AI39" s="421">
        <f t="shared" si="2"/>
        <v>2</v>
      </c>
      <c r="AJ39" s="421">
        <f t="shared" si="3"/>
        <v>0</v>
      </c>
      <c r="AK39" s="421">
        <f t="shared" si="4"/>
        <v>0</v>
      </c>
      <c r="AL39" s="422">
        <f t="shared" si="5"/>
        <v>0</v>
      </c>
      <c r="AM39" s="422" t="e">
        <f t="shared" si="6"/>
        <v>#REF!</v>
      </c>
    </row>
    <row r="40" spans="1:39" ht="14.25" hidden="1" customHeight="1">
      <c r="A40" s="40" t="s">
        <v>131</v>
      </c>
      <c r="B40" s="419" t="e">
        <f>VLOOKUP(A40,#REF!,2,0)</f>
        <v>#REF!</v>
      </c>
      <c r="C40" s="444" t="e">
        <f>VLOOKUP(A40,#REF!, 2, FALSE)</f>
        <v>#REF!</v>
      </c>
      <c r="D40" s="444" t="e">
        <f>VLOOKUP(A40,#REF!, 2, FALSE)</f>
        <v>#REF!</v>
      </c>
      <c r="E40" s="444" t="e">
        <f>VLOOKUP(A40,#REF!, 2, FALSE)</f>
        <v>#REF!</v>
      </c>
      <c r="F40" s="444" t="e">
        <f>VLOOKUP(A40,#REF!, 2, FALSE)</f>
        <v>#REF!</v>
      </c>
      <c r="G40" s="444" t="e">
        <f>VLOOKUP(A40,#REF!, 2, FALSE)</f>
        <v>#REF!</v>
      </c>
      <c r="H40" s="444" t="e">
        <f>VLOOKUP(A40,#REF!, 2, FALSE)</f>
        <v>#REF!</v>
      </c>
      <c r="I40" s="445" t="e">
        <f>VLOOKUP(A40,#REF!, 2, FALSE)</f>
        <v>#REF!</v>
      </c>
      <c r="J40" s="38" t="e">
        <f>VLOOKUP(A40,#REF!, 2, FALSE)</f>
        <v>#REF!</v>
      </c>
      <c r="K40" s="38" t="e">
        <f>VLOOKUP(A40,#REF!, 2, FALSE)</f>
        <v>#REF!</v>
      </c>
      <c r="L40" s="38" t="e">
        <f>VLOOKUP(A40,#REF!, 2, FALSE)</f>
        <v>#REF!</v>
      </c>
      <c r="M40" s="38" t="e">
        <f>VLOOKUP(A40,#REF!, 2, FALSE)</f>
        <v>#REF!</v>
      </c>
      <c r="N40" s="38" t="e">
        <f>VLOOKUP(A40,#REF!, 2, FALSE)</f>
        <v>#REF!</v>
      </c>
      <c r="O40" s="38" t="e">
        <f>VLOOKUP(A40,#REF!, 2, FALSE)</f>
        <v>#REF!</v>
      </c>
      <c r="P40" s="419" t="e">
        <f>VLOOKUP(A40,#REF!, 2, FALSE)</f>
        <v>#REF!</v>
      </c>
      <c r="Q40" s="444" t="e">
        <f>VLOOKUP(A40,#REF!, 2, FALSE)</f>
        <v>#REF!</v>
      </c>
      <c r="R40" s="444" t="e">
        <f>VLOOKUP(A40,#REF!, 2, FALSE)</f>
        <v>#REF!</v>
      </c>
      <c r="S40" s="444" t="e">
        <f>VLOOKUP(A40,#REF!, 2, FALSE)</f>
        <v>#REF!</v>
      </c>
      <c r="T40" s="444" t="e">
        <f>VLOOKUP(A40,#REF!, 2, FALSE)</f>
        <v>#REF!</v>
      </c>
      <c r="U40" s="444" t="e">
        <f>VLOOKUP(A40,#REF!, 2, FALSE)</f>
        <v>#REF!</v>
      </c>
      <c r="V40" s="444" t="e">
        <f>VLOOKUP(A40,#REF!, 2, FALSE)</f>
        <v>#REF!</v>
      </c>
      <c r="W40" s="445">
        <f>VLOOKUP(A40, '22'!$E$7:$F$109, 2, FALSE)</f>
        <v>10</v>
      </c>
      <c r="X40" s="38" t="e">
        <f>VLOOKUP(A40,#REF!, 2, FALSE)</f>
        <v>#REF!</v>
      </c>
      <c r="Y40" s="38" t="e">
        <f>VLOOKUP(A40,#REF!, 2, FALSE)</f>
        <v>#REF!</v>
      </c>
      <c r="Z40" s="38" t="e">
        <f>VLOOKUP(A40,#REF!, 2, FALSE)</f>
        <v>#REF!</v>
      </c>
      <c r="AA40" s="38">
        <f>VLOOKUP(A40, '26'!$E$7:$F$112, 2, FALSE)</f>
        <v>12</v>
      </c>
      <c r="AB40" s="38">
        <f>VLOOKUP(A40, '27'!$E$7:$F$112, 2, FALSE)</f>
        <v>1</v>
      </c>
      <c r="AC40" s="38">
        <f>VLOOKUP(A40, '28'!$E$7:$F$112, 2, FALSE)</f>
        <v>13</v>
      </c>
      <c r="AD40" s="38">
        <f>VLOOKUP(A40, '29'!$E$7:$F$112, 2, FALSE)</f>
        <v>10</v>
      </c>
      <c r="AE40" s="38">
        <f>VLOOKUP(A40, '30'!$E$7:$F$112, 2, FALSE)</f>
        <v>12</v>
      </c>
      <c r="AF40" s="410" t="e">
        <f t="shared" si="0"/>
        <v>#REF!</v>
      </c>
      <c r="AG40" s="410">
        <v>171</v>
      </c>
      <c r="AH40" s="420" t="e">
        <f t="shared" si="1"/>
        <v>#REF!</v>
      </c>
      <c r="AI40" s="421">
        <f t="shared" si="2"/>
        <v>0</v>
      </c>
      <c r="AJ40" s="421">
        <f t="shared" si="3"/>
        <v>0</v>
      </c>
      <c r="AK40" s="421">
        <f t="shared" si="4"/>
        <v>0</v>
      </c>
      <c r="AL40" s="422">
        <f t="shared" si="5"/>
        <v>0</v>
      </c>
      <c r="AM40" s="422" t="e">
        <f t="shared" si="6"/>
        <v>#REF!</v>
      </c>
    </row>
    <row r="41" spans="1:39" ht="14.25" hidden="1" customHeight="1">
      <c r="A41" s="40" t="s">
        <v>50</v>
      </c>
      <c r="B41" s="419" t="e">
        <f>VLOOKUP(A41,#REF!,2,0)</f>
        <v>#REF!</v>
      </c>
      <c r="C41" s="444" t="e">
        <f>VLOOKUP(A41,#REF!, 2, FALSE)</f>
        <v>#REF!</v>
      </c>
      <c r="D41" s="444" t="e">
        <f>VLOOKUP(A41,#REF!, 2, FALSE)</f>
        <v>#REF!</v>
      </c>
      <c r="E41" s="444" t="e">
        <f>VLOOKUP(A41,#REF!, 2, FALSE)</f>
        <v>#REF!</v>
      </c>
      <c r="F41" s="444" t="e">
        <f>VLOOKUP(A41,#REF!, 2, FALSE)</f>
        <v>#REF!</v>
      </c>
      <c r="G41" s="444" t="e">
        <f>VLOOKUP(A41,#REF!, 2, FALSE)</f>
        <v>#REF!</v>
      </c>
      <c r="H41" s="444" t="e">
        <f>VLOOKUP(A41,#REF!, 2, FALSE)</f>
        <v>#REF!</v>
      </c>
      <c r="I41" s="445" t="e">
        <f>VLOOKUP(A41,#REF!, 2, FALSE)</f>
        <v>#REF!</v>
      </c>
      <c r="J41" s="38" t="e">
        <f>VLOOKUP(A41,#REF!, 2, FALSE)</f>
        <v>#REF!</v>
      </c>
      <c r="K41" s="38" t="e">
        <f>VLOOKUP(A41,#REF!, 2, FALSE)</f>
        <v>#REF!</v>
      </c>
      <c r="L41" s="38" t="e">
        <f>VLOOKUP(A41,#REF!, 2, FALSE)</f>
        <v>#REF!</v>
      </c>
      <c r="M41" s="38" t="e">
        <f>VLOOKUP(A41,#REF!, 2, FALSE)</f>
        <v>#REF!</v>
      </c>
      <c r="N41" s="38" t="e">
        <f>VLOOKUP(A41,#REF!, 2, FALSE)</f>
        <v>#REF!</v>
      </c>
      <c r="O41" s="38" t="e">
        <f>VLOOKUP(A41,#REF!, 2, FALSE)</f>
        <v>#REF!</v>
      </c>
      <c r="P41" s="419" t="e">
        <f>VLOOKUP(A41,#REF!, 2, FALSE)</f>
        <v>#REF!</v>
      </c>
      <c r="Q41" s="444" t="s">
        <v>231</v>
      </c>
      <c r="R41" s="444" t="e">
        <f>VLOOKUP(A41,#REF!, 2, FALSE)</f>
        <v>#REF!</v>
      </c>
      <c r="S41" s="444" t="e">
        <f>VLOOKUP(A41,#REF!, 2, FALSE)</f>
        <v>#REF!</v>
      </c>
      <c r="T41" s="444" t="e">
        <f>VLOOKUP(A41,#REF!, 2, FALSE)</f>
        <v>#REF!</v>
      </c>
      <c r="U41" s="444" t="s">
        <v>231</v>
      </c>
      <c r="V41" s="444" t="e">
        <f>VLOOKUP(A41,#REF!, 2, FALSE)</f>
        <v>#REF!</v>
      </c>
      <c r="W41" s="445">
        <f>VLOOKUP(A41, '22'!$E$7:$F$109, 2, FALSE)</f>
        <v>10</v>
      </c>
      <c r="X41" s="38" t="e">
        <f>VLOOKUP(A41,#REF!, 2, FALSE)</f>
        <v>#REF!</v>
      </c>
      <c r="Y41" s="38" t="e">
        <f>VLOOKUP(A41,#REF!, 2, FALSE)</f>
        <v>#REF!</v>
      </c>
      <c r="Z41" s="38" t="e">
        <f>VLOOKUP(A41,#REF!, 2, FALSE)</f>
        <v>#REF!</v>
      </c>
      <c r="AA41" s="38">
        <f>VLOOKUP(A41, '26'!$E$7:$F$112, 2, FALSE)</f>
        <v>8</v>
      </c>
      <c r="AB41" s="38">
        <f>VLOOKUP(A41, '27'!$E$7:$F$112, 2, FALSE)</f>
        <v>12</v>
      </c>
      <c r="AC41" s="38">
        <f>VLOOKUP(A41, '28'!$E$7:$F$112, 2, FALSE)</f>
        <v>0</v>
      </c>
      <c r="AD41" s="38">
        <f>VLOOKUP(A41, '29'!$E$7:$F$112, 2, FALSE)</f>
        <v>10</v>
      </c>
      <c r="AE41" s="38">
        <f>VLOOKUP(A41, '30'!$E$7:$F$112, 2, FALSE)</f>
        <v>8</v>
      </c>
      <c r="AF41" s="410" t="e">
        <f t="shared" si="0"/>
        <v>#REF!</v>
      </c>
      <c r="AG41" s="410">
        <v>171</v>
      </c>
      <c r="AH41" s="420" t="e">
        <f t="shared" si="1"/>
        <v>#REF!</v>
      </c>
      <c r="AI41" s="421">
        <f t="shared" si="2"/>
        <v>1</v>
      </c>
      <c r="AJ41" s="421">
        <f t="shared" si="3"/>
        <v>2</v>
      </c>
      <c r="AK41" s="421">
        <f t="shared" si="4"/>
        <v>0</v>
      </c>
      <c r="AL41" s="422">
        <f t="shared" si="5"/>
        <v>0</v>
      </c>
      <c r="AM41" s="422" t="e">
        <f t="shared" si="6"/>
        <v>#REF!</v>
      </c>
    </row>
    <row r="42" spans="1:39" ht="14.25" hidden="1" customHeight="1">
      <c r="A42" s="40" t="s">
        <v>135</v>
      </c>
      <c r="B42" s="419" t="e">
        <f>VLOOKUP(A42,#REF!,2,0)</f>
        <v>#REF!</v>
      </c>
      <c r="C42" s="444" t="e">
        <f>VLOOKUP(A42,#REF!, 2, FALSE)</f>
        <v>#REF!</v>
      </c>
      <c r="D42" s="444" t="e">
        <f>VLOOKUP(A42,#REF!, 2, FALSE)</f>
        <v>#REF!</v>
      </c>
      <c r="E42" s="444" t="e">
        <f>VLOOKUP(A42,#REF!, 2, FALSE)</f>
        <v>#REF!</v>
      </c>
      <c r="F42" s="444" t="e">
        <f>VLOOKUP(A42,#REF!, 2, FALSE)</f>
        <v>#REF!</v>
      </c>
      <c r="G42" s="444" t="e">
        <f>VLOOKUP(A42,#REF!, 2, FALSE)</f>
        <v>#REF!</v>
      </c>
      <c r="H42" s="444" t="e">
        <f>VLOOKUP(A42,#REF!, 2, FALSE)</f>
        <v>#REF!</v>
      </c>
      <c r="I42" s="445" t="e">
        <f>VLOOKUP(A42,#REF!, 2, FALSE)</f>
        <v>#REF!</v>
      </c>
      <c r="J42" s="38" t="e">
        <f>VLOOKUP(A42,#REF!, 2, FALSE)</f>
        <v>#REF!</v>
      </c>
      <c r="K42" s="38" t="e">
        <f>VLOOKUP(A42,#REF!, 2, FALSE)</f>
        <v>#REF!</v>
      </c>
      <c r="L42" s="38" t="e">
        <f>VLOOKUP(A42,#REF!, 2, FALSE)</f>
        <v>#REF!</v>
      </c>
      <c r="M42" s="38" t="e">
        <f>VLOOKUP(A42,#REF!, 2, FALSE)</f>
        <v>#REF!</v>
      </c>
      <c r="N42" s="38" t="e">
        <f>VLOOKUP(A42,#REF!, 2, FALSE)</f>
        <v>#REF!</v>
      </c>
      <c r="O42" s="38" t="e">
        <f>VLOOKUP(A42,#REF!, 2, FALSE)</f>
        <v>#REF!</v>
      </c>
      <c r="P42" s="419" t="e">
        <f>VLOOKUP(A42,#REF!, 2, FALSE)</f>
        <v>#REF!</v>
      </c>
      <c r="Q42" s="444" t="e">
        <f>VLOOKUP(A42,#REF!, 2, FALSE)</f>
        <v>#REF!</v>
      </c>
      <c r="R42" s="444" t="e">
        <f>VLOOKUP(A42,#REF!, 2, FALSE)</f>
        <v>#REF!</v>
      </c>
      <c r="S42" s="444" t="e">
        <f>VLOOKUP(A42,#REF!, 2, FALSE)</f>
        <v>#REF!</v>
      </c>
      <c r="T42" s="444" t="e">
        <f>VLOOKUP(A42,#REF!, 2, FALSE)</f>
        <v>#REF!</v>
      </c>
      <c r="U42" s="444" t="e">
        <f>VLOOKUP(A42,#REF!, 2, FALSE)</f>
        <v>#REF!</v>
      </c>
      <c r="V42" s="444" t="e">
        <f>VLOOKUP(A42,#REF!, 2, FALSE)</f>
        <v>#REF!</v>
      </c>
      <c r="W42" s="445">
        <f>VLOOKUP(A42, '22'!$E$7:$F$109, 2, FALSE)</f>
        <v>10</v>
      </c>
      <c r="X42" s="38" t="e">
        <f>VLOOKUP(A42,#REF!, 2, FALSE)</f>
        <v>#REF!</v>
      </c>
      <c r="Y42" s="38" t="e">
        <f>VLOOKUP(A42,#REF!, 2, FALSE)</f>
        <v>#REF!</v>
      </c>
      <c r="Z42" s="38" t="e">
        <f>VLOOKUP(A42,#REF!, 2, FALSE)</f>
        <v>#REF!</v>
      </c>
      <c r="AA42" s="38">
        <f>VLOOKUP(A42, '26'!$E$7:$F$112, 2, FALSE)</f>
        <v>11</v>
      </c>
      <c r="AB42" s="38">
        <f>VLOOKUP(A42, '27'!$E$7:$F$112, 2, FALSE)</f>
        <v>12</v>
      </c>
      <c r="AC42" s="38">
        <f>VLOOKUP(A42, '28'!$E$7:$F$112, 2, FALSE)</f>
        <v>0</v>
      </c>
      <c r="AD42" s="38">
        <f>VLOOKUP(A42, '29'!$E$7:$F$112, 2, FALSE)</f>
        <v>11</v>
      </c>
      <c r="AE42" s="38">
        <f>VLOOKUP(A42, '30'!$E$7:$F$112, 2, FALSE)</f>
        <v>8</v>
      </c>
      <c r="AF42" s="410" t="e">
        <f t="shared" si="0"/>
        <v>#REF!</v>
      </c>
      <c r="AG42" s="410">
        <v>171</v>
      </c>
      <c r="AH42" s="420" t="e">
        <f t="shared" si="1"/>
        <v>#REF!</v>
      </c>
      <c r="AI42" s="421">
        <f t="shared" si="2"/>
        <v>1</v>
      </c>
      <c r="AJ42" s="421">
        <f t="shared" si="3"/>
        <v>0</v>
      </c>
      <c r="AK42" s="421">
        <f t="shared" si="4"/>
        <v>0</v>
      </c>
      <c r="AL42" s="422">
        <f t="shared" si="5"/>
        <v>0</v>
      </c>
      <c r="AM42" s="422" t="e">
        <f t="shared" si="6"/>
        <v>#REF!</v>
      </c>
    </row>
    <row r="43" spans="1:39" ht="14.25" hidden="1" customHeight="1">
      <c r="A43" s="40" t="s">
        <v>140</v>
      </c>
      <c r="B43" s="419" t="e">
        <f>VLOOKUP(A43,#REF!,2,0)</f>
        <v>#REF!</v>
      </c>
      <c r="C43" s="444" t="e">
        <f>VLOOKUP(A43,#REF!, 2, FALSE)</f>
        <v>#REF!</v>
      </c>
      <c r="D43" s="444" t="e">
        <f>VLOOKUP(A43,#REF!, 2, FALSE)</f>
        <v>#REF!</v>
      </c>
      <c r="E43" s="444" t="e">
        <f>VLOOKUP(A43,#REF!, 2, FALSE)</f>
        <v>#REF!</v>
      </c>
      <c r="F43" s="444" t="e">
        <f>VLOOKUP(A43,#REF!, 2, FALSE)</f>
        <v>#REF!</v>
      </c>
      <c r="G43" s="444" t="e">
        <f>VLOOKUP(A43,#REF!, 2, FALSE)</f>
        <v>#REF!</v>
      </c>
      <c r="H43" s="444" t="e">
        <f>VLOOKUP(A43,#REF!, 2, FALSE)</f>
        <v>#REF!</v>
      </c>
      <c r="I43" s="445" t="e">
        <f>VLOOKUP(A43,#REF!, 2, FALSE)</f>
        <v>#REF!</v>
      </c>
      <c r="J43" s="38" t="e">
        <f>VLOOKUP(A43,#REF!, 2, FALSE)</f>
        <v>#REF!</v>
      </c>
      <c r="K43" s="38" t="e">
        <f>VLOOKUP(A43,#REF!, 2, FALSE)</f>
        <v>#REF!</v>
      </c>
      <c r="L43" s="38" t="e">
        <f>VLOOKUP(A43,#REF!, 2, FALSE)</f>
        <v>#REF!</v>
      </c>
      <c r="M43" s="38" t="e">
        <f>VLOOKUP(A43,#REF!, 2, FALSE)</f>
        <v>#REF!</v>
      </c>
      <c r="N43" s="38" t="e">
        <f>VLOOKUP(A43,#REF!, 2, FALSE)</f>
        <v>#REF!</v>
      </c>
      <c r="O43" s="38" t="e">
        <f>VLOOKUP(A43,#REF!, 2, FALSE)</f>
        <v>#REF!</v>
      </c>
      <c r="P43" s="419" t="e">
        <f>VLOOKUP(A43,#REF!, 2, FALSE)</f>
        <v>#REF!</v>
      </c>
      <c r="Q43" s="444" t="e">
        <f>VLOOKUP(A43,#REF!, 2, FALSE)</f>
        <v>#REF!</v>
      </c>
      <c r="R43" s="444" t="e">
        <f>VLOOKUP(A43,#REF!, 2, FALSE)</f>
        <v>#REF!</v>
      </c>
      <c r="S43" s="444" t="e">
        <f>VLOOKUP(A43,#REF!, 2, FALSE)</f>
        <v>#REF!</v>
      </c>
      <c r="T43" s="444" t="e">
        <f>VLOOKUP(A43,#REF!, 2, FALSE)</f>
        <v>#REF!</v>
      </c>
      <c r="U43" s="444" t="e">
        <f>VLOOKUP(A43,#REF!, 2, FALSE)</f>
        <v>#REF!</v>
      </c>
      <c r="V43" s="444" t="e">
        <f>VLOOKUP(A43,#REF!, 2, FALSE)</f>
        <v>#REF!</v>
      </c>
      <c r="W43" s="445">
        <f>VLOOKUP(A43, '22'!$E$7:$F$109, 2, FALSE)</f>
        <v>10</v>
      </c>
      <c r="X43" s="38" t="e">
        <f>VLOOKUP(A43,#REF!, 2, FALSE)</f>
        <v>#REF!</v>
      </c>
      <c r="Y43" s="38" t="e">
        <f>VLOOKUP(A43,#REF!, 2, FALSE)</f>
        <v>#REF!</v>
      </c>
      <c r="Z43" s="38" t="e">
        <f>VLOOKUP(A43,#REF!, 2, FALSE)</f>
        <v>#REF!</v>
      </c>
      <c r="AA43" s="38">
        <f>VLOOKUP(A43, '26'!$E$7:$F$112, 2, FALSE)</f>
        <v>8</v>
      </c>
      <c r="AB43" s="38">
        <f>VLOOKUP(A43, '27'!$E$7:$F$112, 2, FALSE)</f>
        <v>12</v>
      </c>
      <c r="AC43" s="38">
        <f>VLOOKUP(A43, '28'!$E$7:$F$112, 2, FALSE)</f>
        <v>0</v>
      </c>
      <c r="AD43" s="38">
        <f>VLOOKUP(A43, '29'!$E$7:$F$112, 2, FALSE)</f>
        <v>10</v>
      </c>
      <c r="AE43" s="38">
        <f>VLOOKUP(A43, '30'!$E$7:$F$112, 2, FALSE)</f>
        <v>8</v>
      </c>
      <c r="AF43" s="410" t="e">
        <f t="shared" si="0"/>
        <v>#REF!</v>
      </c>
      <c r="AG43" s="410">
        <v>171</v>
      </c>
      <c r="AH43" s="420" t="e">
        <f t="shared" si="1"/>
        <v>#REF!</v>
      </c>
      <c r="AI43" s="421">
        <f t="shared" si="2"/>
        <v>1</v>
      </c>
      <c r="AJ43" s="421">
        <f t="shared" si="3"/>
        <v>0</v>
      </c>
      <c r="AK43" s="421">
        <f t="shared" si="4"/>
        <v>0</v>
      </c>
      <c r="AL43" s="422">
        <f t="shared" si="5"/>
        <v>0</v>
      </c>
      <c r="AM43" s="422" t="e">
        <f t="shared" si="6"/>
        <v>#REF!</v>
      </c>
    </row>
    <row r="44" spans="1:39" ht="14.25" hidden="1" customHeight="1">
      <c r="A44" s="40" t="s">
        <v>174</v>
      </c>
      <c r="B44" s="419" t="e">
        <f>VLOOKUP(A44,#REF!,2,0)</f>
        <v>#REF!</v>
      </c>
      <c r="C44" s="444" t="e">
        <f>VLOOKUP(A44,#REF!, 2, FALSE)</f>
        <v>#REF!</v>
      </c>
      <c r="D44" s="444" t="e">
        <f>VLOOKUP(A44,#REF!, 2, FALSE)</f>
        <v>#REF!</v>
      </c>
      <c r="E44" s="444" t="e">
        <f>VLOOKUP(A44,#REF!, 2, FALSE)</f>
        <v>#REF!</v>
      </c>
      <c r="F44" s="444" t="e">
        <f>VLOOKUP(A44,#REF!, 2, FALSE)</f>
        <v>#REF!</v>
      </c>
      <c r="G44" s="444" t="e">
        <f>VLOOKUP(A44,#REF!, 2, FALSE)</f>
        <v>#REF!</v>
      </c>
      <c r="H44" s="444" t="e">
        <f>VLOOKUP(A44,#REF!, 2, FALSE)</f>
        <v>#REF!</v>
      </c>
      <c r="I44" s="445" t="e">
        <f>VLOOKUP(A44,#REF!, 2, FALSE)</f>
        <v>#REF!</v>
      </c>
      <c r="J44" s="38" t="e">
        <f>VLOOKUP(A44,#REF!, 2, FALSE)</f>
        <v>#REF!</v>
      </c>
      <c r="K44" s="38" t="e">
        <f>VLOOKUP(A44,#REF!, 2, FALSE)</f>
        <v>#REF!</v>
      </c>
      <c r="L44" s="38" t="e">
        <f>VLOOKUP(A44,#REF!, 2, FALSE)</f>
        <v>#REF!</v>
      </c>
      <c r="M44" s="38" t="e">
        <f>VLOOKUP(A44,#REF!, 2, FALSE)</f>
        <v>#REF!</v>
      </c>
      <c r="N44" s="38" t="e">
        <f>VLOOKUP(A44,#REF!, 2, FALSE)</f>
        <v>#REF!</v>
      </c>
      <c r="O44" s="38" t="e">
        <f>VLOOKUP(A44,#REF!, 2, FALSE)</f>
        <v>#REF!</v>
      </c>
      <c r="P44" s="419" t="e">
        <f>VLOOKUP(A44,#REF!, 2, FALSE)</f>
        <v>#REF!</v>
      </c>
      <c r="Q44" s="444" t="e">
        <f>VLOOKUP(A44,#REF!, 2, FALSE)</f>
        <v>#REF!</v>
      </c>
      <c r="R44" s="444" t="e">
        <f>VLOOKUP(A44,#REF!, 2, FALSE)</f>
        <v>#REF!</v>
      </c>
      <c r="S44" s="444" t="e">
        <f>VLOOKUP(A44,#REF!, 2, FALSE)</f>
        <v>#REF!</v>
      </c>
      <c r="T44" s="444" t="e">
        <f>VLOOKUP(A44,#REF!, 2, FALSE)</f>
        <v>#REF!</v>
      </c>
      <c r="U44" s="444" t="e">
        <f>VLOOKUP(A44,#REF!, 2, FALSE)</f>
        <v>#REF!</v>
      </c>
      <c r="V44" s="444" t="e">
        <f>VLOOKUP(A44,#REF!, 2, FALSE)</f>
        <v>#REF!</v>
      </c>
      <c r="W44" s="445">
        <f>VLOOKUP(A44, '22'!$E$7:$F$109, 2, FALSE)</f>
        <v>10</v>
      </c>
      <c r="X44" s="38" t="e">
        <f>VLOOKUP(A44,#REF!, 2, FALSE)</f>
        <v>#REF!</v>
      </c>
      <c r="Y44" s="38" t="e">
        <f>VLOOKUP(A44,#REF!, 2, FALSE)</f>
        <v>#REF!</v>
      </c>
      <c r="Z44" s="38" t="e">
        <f>VLOOKUP(A44,#REF!, 2, FALSE)</f>
        <v>#REF!</v>
      </c>
      <c r="AA44" s="38">
        <f>VLOOKUP(A44, '26'!$E$7:$F$112, 2, FALSE)</f>
        <v>8</v>
      </c>
      <c r="AB44" s="38">
        <f>VLOOKUP(A44, '27'!$E$7:$F$112, 2, FALSE)</f>
        <v>13</v>
      </c>
      <c r="AC44" s="38">
        <f>VLOOKUP(A44, '28'!$E$7:$F$112, 2, FALSE)</f>
        <v>0</v>
      </c>
      <c r="AD44" s="38">
        <f>VLOOKUP(A44, '29'!$E$7:$F$112, 2, FALSE)</f>
        <v>10</v>
      </c>
      <c r="AE44" s="38">
        <f>VLOOKUP(A44, '30'!$E$7:$F$112, 2, FALSE)</f>
        <v>8</v>
      </c>
      <c r="AF44" s="410" t="e">
        <f t="shared" si="0"/>
        <v>#REF!</v>
      </c>
      <c r="AG44" s="410">
        <v>171</v>
      </c>
      <c r="AH44" s="420" t="e">
        <f t="shared" si="1"/>
        <v>#REF!</v>
      </c>
      <c r="AI44" s="421">
        <f t="shared" si="2"/>
        <v>1</v>
      </c>
      <c r="AJ44" s="421">
        <f t="shared" si="3"/>
        <v>0</v>
      </c>
      <c r="AK44" s="421">
        <f t="shared" si="4"/>
        <v>0</v>
      </c>
      <c r="AL44" s="422">
        <f t="shared" si="5"/>
        <v>0</v>
      </c>
      <c r="AM44" s="422" t="e">
        <f t="shared" si="6"/>
        <v>#REF!</v>
      </c>
    </row>
    <row r="45" spans="1:39" ht="14.25" hidden="1" customHeight="1">
      <c r="A45" s="133" t="s">
        <v>143</v>
      </c>
      <c r="B45" s="419" t="e">
        <f>VLOOKUP(A45,#REF!,2,0)</f>
        <v>#REF!</v>
      </c>
      <c r="C45" s="444" t="e">
        <f>VLOOKUP(A45,#REF!, 2, FALSE)</f>
        <v>#REF!</v>
      </c>
      <c r="D45" s="444" t="e">
        <f>VLOOKUP(A45,#REF!, 2, FALSE)</f>
        <v>#REF!</v>
      </c>
      <c r="E45" s="444" t="e">
        <f>VLOOKUP(A45,#REF!, 2, FALSE)</f>
        <v>#REF!</v>
      </c>
      <c r="F45" s="444" t="e">
        <f>VLOOKUP(A45,#REF!, 2, FALSE)</f>
        <v>#REF!</v>
      </c>
      <c r="G45" s="444" t="e">
        <f>VLOOKUP(A45,#REF!, 2, FALSE)</f>
        <v>#REF!</v>
      </c>
      <c r="H45" s="444" t="e">
        <f>VLOOKUP(A45,#REF!, 2, FALSE)</f>
        <v>#REF!</v>
      </c>
      <c r="I45" s="445" t="e">
        <f>VLOOKUP(A45,#REF!, 2, FALSE)</f>
        <v>#REF!</v>
      </c>
      <c r="J45" s="38" t="e">
        <f>VLOOKUP(A45,#REF!, 2, FALSE)</f>
        <v>#REF!</v>
      </c>
      <c r="K45" s="38" t="e">
        <f>VLOOKUP(A45,#REF!, 2, FALSE)</f>
        <v>#REF!</v>
      </c>
      <c r="L45" s="38" t="e">
        <f>VLOOKUP(A45,#REF!, 2, FALSE)</f>
        <v>#REF!</v>
      </c>
      <c r="M45" s="38" t="e">
        <f>VLOOKUP(A45,#REF!, 2, FALSE)</f>
        <v>#REF!</v>
      </c>
      <c r="N45" s="38" t="e">
        <f>VLOOKUP(A45,#REF!, 2, FALSE)</f>
        <v>#REF!</v>
      </c>
      <c r="O45" s="38" t="e">
        <f>VLOOKUP(A45,#REF!, 2, FALSE)</f>
        <v>#REF!</v>
      </c>
      <c r="P45" s="419" t="e">
        <f>VLOOKUP(A45,#REF!, 2, FALSE)</f>
        <v>#REF!</v>
      </c>
      <c r="Q45" s="444" t="e">
        <f>VLOOKUP(A45,#REF!, 2, FALSE)</f>
        <v>#REF!</v>
      </c>
      <c r="R45" s="444" t="e">
        <f>VLOOKUP(A45,#REF!, 2, FALSE)</f>
        <v>#REF!</v>
      </c>
      <c r="S45" s="444" t="e">
        <f>VLOOKUP(A45,#REF!, 2, FALSE)</f>
        <v>#REF!</v>
      </c>
      <c r="T45" s="444" t="e">
        <f>VLOOKUP(A45,#REF!, 2, FALSE)</f>
        <v>#REF!</v>
      </c>
      <c r="U45" s="444" t="e">
        <f>VLOOKUP(A45,#REF!, 2, FALSE)</f>
        <v>#REF!</v>
      </c>
      <c r="V45" s="444" t="e">
        <f>VLOOKUP(A45,#REF!, 2, FALSE)</f>
        <v>#REF!</v>
      </c>
      <c r="W45" s="445">
        <f>VLOOKUP(A45, '22'!$E$7:$F$109, 2, FALSE)</f>
        <v>10</v>
      </c>
      <c r="X45" s="38" t="e">
        <f>VLOOKUP(A45,#REF!, 2, FALSE)</f>
        <v>#REF!</v>
      </c>
      <c r="Y45" s="38" t="e">
        <f>VLOOKUP(A45,#REF!, 2, FALSE)</f>
        <v>#REF!</v>
      </c>
      <c r="Z45" s="38" t="e">
        <f>VLOOKUP(A45,#REF!, 2, FALSE)</f>
        <v>#REF!</v>
      </c>
      <c r="AA45" s="38">
        <f>VLOOKUP(A45, '26'!$E$7:$F$112, 2, FALSE)</f>
        <v>8</v>
      </c>
      <c r="AB45" s="38">
        <f>VLOOKUP(A45, '27'!$E$7:$F$112, 2, FALSE)</f>
        <v>13</v>
      </c>
      <c r="AC45" s="38">
        <f>VLOOKUP(A45, '28'!$E$7:$F$112, 2, FALSE)</f>
        <v>0</v>
      </c>
      <c r="AD45" s="38">
        <f>VLOOKUP(A45, '29'!$E$7:$F$112, 2, FALSE)</f>
        <v>10</v>
      </c>
      <c r="AE45" s="38">
        <f>VLOOKUP(A45, '30'!$E$7:$F$112, 2, FALSE)</f>
        <v>10</v>
      </c>
      <c r="AF45" s="410" t="e">
        <f t="shared" si="0"/>
        <v>#REF!</v>
      </c>
      <c r="AG45" s="410">
        <v>171</v>
      </c>
      <c r="AH45" s="420" t="e">
        <f t="shared" si="1"/>
        <v>#REF!</v>
      </c>
      <c r="AI45" s="421">
        <f t="shared" si="2"/>
        <v>1</v>
      </c>
      <c r="AJ45" s="421">
        <f t="shared" si="3"/>
        <v>0</v>
      </c>
      <c r="AK45" s="421">
        <f t="shared" si="4"/>
        <v>0</v>
      </c>
      <c r="AL45" s="422">
        <f t="shared" si="5"/>
        <v>0</v>
      </c>
      <c r="AM45" s="422" t="e">
        <f t="shared" si="6"/>
        <v>#REF!</v>
      </c>
    </row>
    <row r="46" spans="1:39" ht="14.25" hidden="1" customHeight="1">
      <c r="A46" s="40" t="s">
        <v>138</v>
      </c>
      <c r="B46" s="419" t="e">
        <f>VLOOKUP(A46,#REF!,2,0)</f>
        <v>#REF!</v>
      </c>
      <c r="C46" s="444" t="e">
        <f>VLOOKUP(A46,#REF!, 2, FALSE)</f>
        <v>#REF!</v>
      </c>
      <c r="D46" s="444" t="e">
        <f>VLOOKUP(A46,#REF!, 2, FALSE)</f>
        <v>#REF!</v>
      </c>
      <c r="E46" s="444" t="e">
        <f>VLOOKUP(A46,#REF!, 2, FALSE)</f>
        <v>#REF!</v>
      </c>
      <c r="F46" s="444" t="e">
        <f>VLOOKUP(A46,#REF!, 2, FALSE)</f>
        <v>#REF!</v>
      </c>
      <c r="G46" s="444" t="e">
        <f>VLOOKUP(A46,#REF!, 2, FALSE)</f>
        <v>#REF!</v>
      </c>
      <c r="H46" s="444" t="e">
        <f>VLOOKUP(A46,#REF!, 2, FALSE)</f>
        <v>#REF!</v>
      </c>
      <c r="I46" s="445" t="e">
        <f>VLOOKUP(A46,#REF!, 2, FALSE)</f>
        <v>#REF!</v>
      </c>
      <c r="J46" s="38" t="e">
        <f>VLOOKUP(A46,#REF!, 2, FALSE)</f>
        <v>#REF!</v>
      </c>
      <c r="K46" s="38" t="e">
        <f>VLOOKUP(A46,#REF!, 2, FALSE)</f>
        <v>#REF!</v>
      </c>
      <c r="L46" s="38" t="e">
        <f>VLOOKUP(A46,#REF!, 2, FALSE)</f>
        <v>#REF!</v>
      </c>
      <c r="M46" s="38" t="e">
        <f>VLOOKUP(A46,#REF!, 2, FALSE)</f>
        <v>#REF!</v>
      </c>
      <c r="N46" s="38" t="e">
        <f>VLOOKUP(A46,#REF!, 2, FALSE)</f>
        <v>#REF!</v>
      </c>
      <c r="O46" s="38" t="e">
        <f>VLOOKUP(A46,#REF!, 2, FALSE)</f>
        <v>#REF!</v>
      </c>
      <c r="P46" s="419" t="e">
        <f>VLOOKUP(A46,#REF!, 2, FALSE)</f>
        <v>#REF!</v>
      </c>
      <c r="Q46" s="444" t="e">
        <f>VLOOKUP(A46,#REF!, 2, FALSE)</f>
        <v>#REF!</v>
      </c>
      <c r="R46" s="444" t="e">
        <f>VLOOKUP(A46,#REF!, 2, FALSE)</f>
        <v>#REF!</v>
      </c>
      <c r="S46" s="444" t="e">
        <f>VLOOKUP(A46,#REF!, 2, FALSE)</f>
        <v>#REF!</v>
      </c>
      <c r="T46" s="444" t="e">
        <f>VLOOKUP(A46,#REF!, 2, FALSE)</f>
        <v>#REF!</v>
      </c>
      <c r="U46" s="444" t="e">
        <f>VLOOKUP(A46,#REF!, 2, FALSE)</f>
        <v>#REF!</v>
      </c>
      <c r="V46" s="444" t="e">
        <f>VLOOKUP(A46,#REF!, 2, FALSE)</f>
        <v>#REF!</v>
      </c>
      <c r="W46" s="445">
        <f>VLOOKUP(A46, '22'!$E$7:$F$109, 2, FALSE)</f>
        <v>10</v>
      </c>
      <c r="X46" s="38" t="e">
        <f>VLOOKUP(A46,#REF!, 2, FALSE)</f>
        <v>#REF!</v>
      </c>
      <c r="Y46" s="38" t="e">
        <f>VLOOKUP(A46,#REF!, 2, FALSE)</f>
        <v>#REF!</v>
      </c>
      <c r="Z46" s="38" t="e">
        <f>VLOOKUP(A46,#REF!, 2, FALSE)</f>
        <v>#REF!</v>
      </c>
      <c r="AA46" s="38">
        <f>VLOOKUP(A46, '26'!$E$7:$F$112, 2, FALSE)</f>
        <v>11</v>
      </c>
      <c r="AB46" s="38">
        <f>VLOOKUP(A46, '27'!$E$7:$F$112, 2, FALSE)</f>
        <v>0</v>
      </c>
      <c r="AC46" s="38">
        <f>VLOOKUP(A46, '28'!$E$7:$F$112, 2, FALSE)</f>
        <v>12</v>
      </c>
      <c r="AD46" s="38">
        <f>VLOOKUP(A46, '29'!$E$7:$F$112, 2, FALSE)</f>
        <v>11</v>
      </c>
      <c r="AE46" s="38">
        <f>VLOOKUP(A46, '30'!$E$7:$F$112, 2, FALSE)</f>
        <v>9</v>
      </c>
      <c r="AF46" s="410" t="e">
        <f t="shared" si="0"/>
        <v>#REF!</v>
      </c>
      <c r="AG46" s="410">
        <v>171</v>
      </c>
      <c r="AH46" s="420" t="e">
        <f t="shared" si="1"/>
        <v>#REF!</v>
      </c>
      <c r="AI46" s="421">
        <f t="shared" si="2"/>
        <v>1</v>
      </c>
      <c r="AJ46" s="421">
        <f t="shared" si="3"/>
        <v>0</v>
      </c>
      <c r="AK46" s="421">
        <f t="shared" si="4"/>
        <v>0</v>
      </c>
      <c r="AL46" s="422">
        <f t="shared" si="5"/>
        <v>0</v>
      </c>
      <c r="AM46" s="422" t="e">
        <f t="shared" si="6"/>
        <v>#REF!</v>
      </c>
    </row>
    <row r="47" spans="1:39" ht="14.25" hidden="1" customHeight="1">
      <c r="A47" s="40" t="s">
        <v>191</v>
      </c>
      <c r="B47" s="419" t="e">
        <f>VLOOKUP(A47,#REF!,2,0)</f>
        <v>#REF!</v>
      </c>
      <c r="C47" s="444" t="e">
        <f>VLOOKUP(A47,#REF!, 2, FALSE)</f>
        <v>#REF!</v>
      </c>
      <c r="D47" s="444" t="e">
        <f>VLOOKUP(A47,#REF!, 2, FALSE)</f>
        <v>#REF!</v>
      </c>
      <c r="E47" s="444" t="e">
        <f>VLOOKUP(A47,#REF!, 2, FALSE)</f>
        <v>#REF!</v>
      </c>
      <c r="F47" s="444" t="e">
        <f>VLOOKUP(A47,#REF!, 2, FALSE)</f>
        <v>#REF!</v>
      </c>
      <c r="G47" s="444" t="e">
        <f>VLOOKUP(A47,#REF!, 2, FALSE)</f>
        <v>#REF!</v>
      </c>
      <c r="H47" s="444" t="e">
        <f>VLOOKUP(A47,#REF!, 2, FALSE)</f>
        <v>#REF!</v>
      </c>
      <c r="I47" s="445" t="e">
        <f>VLOOKUP(A47,#REF!, 2, FALSE)</f>
        <v>#REF!</v>
      </c>
      <c r="J47" s="38" t="e">
        <f>VLOOKUP(A47,#REF!, 2, FALSE)</f>
        <v>#REF!</v>
      </c>
      <c r="K47" s="38" t="e">
        <f>VLOOKUP(A47,#REF!, 2, FALSE)</f>
        <v>#REF!</v>
      </c>
      <c r="L47" s="38" t="e">
        <f>VLOOKUP(A47,#REF!, 2, FALSE)</f>
        <v>#REF!</v>
      </c>
      <c r="M47" s="38" t="e">
        <f>VLOOKUP(A47,#REF!, 2, FALSE)</f>
        <v>#REF!</v>
      </c>
      <c r="N47" s="38" t="e">
        <f>VLOOKUP(A47,#REF!, 2, FALSE)</f>
        <v>#REF!</v>
      </c>
      <c r="O47" s="38" t="e">
        <f>VLOOKUP(A47,#REF!, 2, FALSE)</f>
        <v>#REF!</v>
      </c>
      <c r="P47" s="419" t="e">
        <f>VLOOKUP(A47,#REF!, 2, FALSE)</f>
        <v>#REF!</v>
      </c>
      <c r="Q47" s="444" t="e">
        <f>VLOOKUP(A47,#REF!, 2, FALSE)</f>
        <v>#REF!</v>
      </c>
      <c r="R47" s="444" t="e">
        <f>VLOOKUP(A47,#REF!, 2, FALSE)</f>
        <v>#REF!</v>
      </c>
      <c r="S47" s="444" t="e">
        <f>VLOOKUP(A47,#REF!, 2, FALSE)</f>
        <v>#REF!</v>
      </c>
      <c r="T47" s="444" t="e">
        <f>VLOOKUP(A47,#REF!, 2, FALSE)</f>
        <v>#REF!</v>
      </c>
      <c r="U47" s="444" t="e">
        <f>VLOOKUP(A47,#REF!, 2, FALSE)</f>
        <v>#REF!</v>
      </c>
      <c r="V47" s="444" t="e">
        <f>VLOOKUP(A47,#REF!, 2, FALSE)</f>
        <v>#REF!</v>
      </c>
      <c r="W47" s="445">
        <f>VLOOKUP(A47, '22'!$E$7:$F$109, 2, FALSE)</f>
        <v>10</v>
      </c>
      <c r="X47" s="38" t="e">
        <f>VLOOKUP(A47,#REF!, 2, FALSE)</f>
        <v>#REF!</v>
      </c>
      <c r="Y47" s="38" t="e">
        <f>VLOOKUP(A47,#REF!, 2, FALSE)</f>
        <v>#REF!</v>
      </c>
      <c r="Z47" s="38" t="e">
        <f>VLOOKUP(A47,#REF!, 2, FALSE)</f>
        <v>#REF!</v>
      </c>
      <c r="AA47" s="38">
        <f>VLOOKUP(A47, '26'!$E$7:$F$112, 2, FALSE)</f>
        <v>11</v>
      </c>
      <c r="AB47" s="38">
        <f>VLOOKUP(A47, '27'!$E$7:$F$112, 2, FALSE)</f>
        <v>11</v>
      </c>
      <c r="AC47" s="38">
        <f>VLOOKUP(A47, '28'!$E$7:$F$112, 2, FALSE)</f>
        <v>10</v>
      </c>
      <c r="AD47" s="38">
        <f>VLOOKUP(A47, '29'!$E$7:$F$112, 2, FALSE)</f>
        <v>10</v>
      </c>
      <c r="AE47" s="38">
        <f>VLOOKUP(A47, '30'!$E$7:$F$112, 2, FALSE)</f>
        <v>9</v>
      </c>
      <c r="AF47" s="410" t="e">
        <f t="shared" si="0"/>
        <v>#REF!</v>
      </c>
      <c r="AG47" s="410">
        <v>171</v>
      </c>
      <c r="AH47" s="420" t="e">
        <f t="shared" si="1"/>
        <v>#REF!</v>
      </c>
      <c r="AI47" s="421">
        <f t="shared" si="2"/>
        <v>0</v>
      </c>
      <c r="AJ47" s="421">
        <f t="shared" si="3"/>
        <v>0</v>
      </c>
      <c r="AK47" s="421">
        <f t="shared" si="4"/>
        <v>0</v>
      </c>
      <c r="AL47" s="422">
        <f t="shared" si="5"/>
        <v>0</v>
      </c>
      <c r="AM47" s="422" t="e">
        <f t="shared" si="6"/>
        <v>#REF!</v>
      </c>
    </row>
    <row r="48" spans="1:39" ht="14.25" hidden="1" customHeight="1">
      <c r="A48" s="40" t="s">
        <v>189</v>
      </c>
      <c r="B48" s="419" t="e">
        <f>VLOOKUP(A48,#REF!,2,0)</f>
        <v>#REF!</v>
      </c>
      <c r="C48" s="444" t="e">
        <f>VLOOKUP(A48,#REF!, 2, FALSE)</f>
        <v>#REF!</v>
      </c>
      <c r="D48" s="444" t="e">
        <f>VLOOKUP(A48,#REF!, 2, FALSE)</f>
        <v>#REF!</v>
      </c>
      <c r="E48" s="444" t="e">
        <f>VLOOKUP(A48,#REF!, 2, FALSE)</f>
        <v>#REF!</v>
      </c>
      <c r="F48" s="444" t="e">
        <f>VLOOKUP(A48,#REF!, 2, FALSE)</f>
        <v>#REF!</v>
      </c>
      <c r="G48" s="444" t="e">
        <f>VLOOKUP(A48,#REF!, 2, FALSE)</f>
        <v>#REF!</v>
      </c>
      <c r="H48" s="444" t="e">
        <f>VLOOKUP(A48,#REF!, 2, FALSE)</f>
        <v>#REF!</v>
      </c>
      <c r="I48" s="445" t="e">
        <f>VLOOKUP(A48,#REF!, 2, FALSE)</f>
        <v>#REF!</v>
      </c>
      <c r="J48" s="38" t="e">
        <f>VLOOKUP(A48,#REF!, 2, FALSE)</f>
        <v>#REF!</v>
      </c>
      <c r="K48" s="38" t="e">
        <f>VLOOKUP(A48,#REF!, 2, FALSE)</f>
        <v>#REF!</v>
      </c>
      <c r="L48" s="38" t="e">
        <f>VLOOKUP(A48,#REF!, 2, FALSE)</f>
        <v>#REF!</v>
      </c>
      <c r="M48" s="38" t="e">
        <f>VLOOKUP(A48,#REF!, 2, FALSE)</f>
        <v>#REF!</v>
      </c>
      <c r="N48" s="38" t="e">
        <f>VLOOKUP(A48,#REF!, 2, FALSE)</f>
        <v>#REF!</v>
      </c>
      <c r="O48" s="38" t="e">
        <f>VLOOKUP(A48,#REF!, 2, FALSE)</f>
        <v>#REF!</v>
      </c>
      <c r="P48" s="419" t="e">
        <f>VLOOKUP(A48,#REF!, 2, FALSE)</f>
        <v>#REF!</v>
      </c>
      <c r="Q48" s="444" t="e">
        <f>VLOOKUP(A48,#REF!, 2, FALSE)</f>
        <v>#REF!</v>
      </c>
      <c r="R48" s="444" t="e">
        <f>VLOOKUP(A48,#REF!, 2, FALSE)</f>
        <v>#REF!</v>
      </c>
      <c r="S48" s="444" t="e">
        <f>VLOOKUP(A48,#REF!, 2, FALSE)</f>
        <v>#REF!</v>
      </c>
      <c r="T48" s="444" t="e">
        <f>VLOOKUP(A48,#REF!, 2, FALSE)</f>
        <v>#REF!</v>
      </c>
      <c r="U48" s="444" t="e">
        <f>VLOOKUP(A48,#REF!, 2, FALSE)</f>
        <v>#REF!</v>
      </c>
      <c r="V48" s="444" t="e">
        <f>VLOOKUP(A48,#REF!, 2, FALSE)</f>
        <v>#REF!</v>
      </c>
      <c r="W48" s="445">
        <f>VLOOKUP(A48, '22'!$E$7:$F$109, 2, FALSE)</f>
        <v>11</v>
      </c>
      <c r="X48" s="38" t="e">
        <f>VLOOKUP(A48,#REF!, 2, FALSE)</f>
        <v>#REF!</v>
      </c>
      <c r="Y48" s="38" t="e">
        <f>VLOOKUP(A48,#REF!, 2, FALSE)</f>
        <v>#REF!</v>
      </c>
      <c r="Z48" s="38" t="e">
        <f>VLOOKUP(A48,#REF!, 2, FALSE)</f>
        <v>#REF!</v>
      </c>
      <c r="AA48" s="38">
        <f>VLOOKUP(A48, '26'!$E$7:$F$112, 2, FALSE)</f>
        <v>11</v>
      </c>
      <c r="AB48" s="38">
        <f>VLOOKUP(A48, '27'!$E$7:$F$112, 2, FALSE)</f>
        <v>11</v>
      </c>
      <c r="AC48" s="38">
        <f>VLOOKUP(A48, '28'!$E$7:$F$112, 2, FALSE)</f>
        <v>11</v>
      </c>
      <c r="AD48" s="38">
        <f>VLOOKUP(A48, '29'!$E$7:$F$112, 2, FALSE)</f>
        <v>11</v>
      </c>
      <c r="AE48" s="38">
        <f>VLOOKUP(A48, '30'!$E$7:$F$112, 2, FALSE)</f>
        <v>11</v>
      </c>
      <c r="AF48" s="410" t="e">
        <f t="shared" si="0"/>
        <v>#REF!</v>
      </c>
      <c r="AG48" s="410">
        <v>171</v>
      </c>
      <c r="AH48" s="420" t="e">
        <f t="shared" si="1"/>
        <v>#REF!</v>
      </c>
      <c r="AI48" s="421">
        <f t="shared" si="2"/>
        <v>0</v>
      </c>
      <c r="AJ48" s="421">
        <f t="shared" si="3"/>
        <v>0</v>
      </c>
      <c r="AK48" s="421">
        <f t="shared" si="4"/>
        <v>0</v>
      </c>
      <c r="AL48" s="422">
        <f t="shared" si="5"/>
        <v>0</v>
      </c>
      <c r="AM48" s="422" t="e">
        <f t="shared" si="6"/>
        <v>#REF!</v>
      </c>
    </row>
    <row r="49" spans="1:39" ht="14.25" hidden="1" customHeight="1">
      <c r="A49" s="40" t="s">
        <v>127</v>
      </c>
      <c r="B49" s="419" t="e">
        <f>VLOOKUP(A49,#REF!,2,0)</f>
        <v>#REF!</v>
      </c>
      <c r="C49" s="444" t="e">
        <f>VLOOKUP(A49,#REF!, 2, FALSE)</f>
        <v>#REF!</v>
      </c>
      <c r="D49" s="444" t="e">
        <f>VLOOKUP(A49,#REF!, 2, FALSE)</f>
        <v>#REF!</v>
      </c>
      <c r="E49" s="444" t="e">
        <f>VLOOKUP(A49,#REF!, 2, FALSE)</f>
        <v>#REF!</v>
      </c>
      <c r="F49" s="444" t="e">
        <f>VLOOKUP(A49,#REF!, 2, FALSE)</f>
        <v>#REF!</v>
      </c>
      <c r="G49" s="444" t="e">
        <f>VLOOKUP(A49,#REF!, 2, FALSE)</f>
        <v>#REF!</v>
      </c>
      <c r="H49" s="444" t="e">
        <f>VLOOKUP(A49,#REF!, 2, FALSE)</f>
        <v>#REF!</v>
      </c>
      <c r="I49" s="445" t="e">
        <f>VLOOKUP(A49,#REF!, 2, FALSE)</f>
        <v>#REF!</v>
      </c>
      <c r="J49" s="38" t="e">
        <f>VLOOKUP(A49,#REF!, 2, FALSE)</f>
        <v>#REF!</v>
      </c>
      <c r="K49" s="38" t="e">
        <f>VLOOKUP(A49,#REF!, 2, FALSE)</f>
        <v>#REF!</v>
      </c>
      <c r="L49" s="38" t="e">
        <f>VLOOKUP(A49,#REF!, 2, FALSE)</f>
        <v>#REF!</v>
      </c>
      <c r="M49" s="38" t="e">
        <f>VLOOKUP(A49,#REF!, 2, FALSE)</f>
        <v>#REF!</v>
      </c>
      <c r="N49" s="38" t="e">
        <f>VLOOKUP(A49,#REF!, 2, FALSE)</f>
        <v>#REF!</v>
      </c>
      <c r="O49" s="38" t="e">
        <f>VLOOKUP(A49,#REF!, 2, FALSE)</f>
        <v>#REF!</v>
      </c>
      <c r="P49" s="419" t="e">
        <f>VLOOKUP(A49,#REF!, 2, FALSE)</f>
        <v>#REF!</v>
      </c>
      <c r="Q49" s="444" t="e">
        <f>VLOOKUP(A49,#REF!, 2, FALSE)</f>
        <v>#REF!</v>
      </c>
      <c r="R49" s="444" t="e">
        <f>VLOOKUP(A49,#REF!, 2, FALSE)</f>
        <v>#REF!</v>
      </c>
      <c r="S49" s="444" t="e">
        <f>VLOOKUP(A49,#REF!, 2, FALSE)</f>
        <v>#REF!</v>
      </c>
      <c r="T49" s="444" t="e">
        <f>VLOOKUP(A49,#REF!, 2, FALSE)</f>
        <v>#REF!</v>
      </c>
      <c r="U49" s="444" t="e">
        <f>VLOOKUP(A49,#REF!, 2, FALSE)</f>
        <v>#REF!</v>
      </c>
      <c r="V49" s="444" t="e">
        <f>VLOOKUP(A49,#REF!, 2, FALSE)</f>
        <v>#REF!</v>
      </c>
      <c r="W49" s="445">
        <f>VLOOKUP(A49, '22'!$E$7:$F$109, 2, FALSE)</f>
        <v>11</v>
      </c>
      <c r="X49" s="38" t="e">
        <f>VLOOKUP(A49,#REF!, 2, FALSE)</f>
        <v>#REF!</v>
      </c>
      <c r="Y49" s="38" t="e">
        <f>VLOOKUP(A49,#REF!, 2, FALSE)</f>
        <v>#REF!</v>
      </c>
      <c r="Z49" s="38" t="e">
        <f>VLOOKUP(A49,#REF!, 2, FALSE)</f>
        <v>#REF!</v>
      </c>
      <c r="AA49" s="38">
        <f>VLOOKUP(A49, '26'!$E$7:$F$112, 2, FALSE)</f>
        <v>11</v>
      </c>
      <c r="AB49" s="38">
        <f>VLOOKUP(A49, '27'!$E$7:$F$112, 2, FALSE)</f>
        <v>13</v>
      </c>
      <c r="AC49" s="38">
        <f>VLOOKUP(A49, '28'!$E$7:$F$112, 2, FALSE)</f>
        <v>11</v>
      </c>
      <c r="AD49" s="38">
        <f>VLOOKUP(A49, '29'!$E$7:$F$112, 2, FALSE)</f>
        <v>11</v>
      </c>
      <c r="AE49" s="38">
        <f>VLOOKUP(A49, '30'!$E$7:$F$112, 2, FALSE)</f>
        <v>12</v>
      </c>
      <c r="AF49" s="410" t="e">
        <f t="shared" si="0"/>
        <v>#REF!</v>
      </c>
      <c r="AG49" s="410">
        <v>171</v>
      </c>
      <c r="AH49" s="420" t="e">
        <f t="shared" si="1"/>
        <v>#REF!</v>
      </c>
      <c r="AI49" s="421">
        <f t="shared" si="2"/>
        <v>0</v>
      </c>
      <c r="AJ49" s="421">
        <f t="shared" si="3"/>
        <v>0</v>
      </c>
      <c r="AK49" s="421">
        <f t="shared" si="4"/>
        <v>0</v>
      </c>
      <c r="AL49" s="422">
        <f t="shared" si="5"/>
        <v>0</v>
      </c>
      <c r="AM49" s="422" t="e">
        <f t="shared" si="6"/>
        <v>#REF!</v>
      </c>
    </row>
    <row r="50" spans="1:39" ht="14.25" hidden="1" customHeight="1">
      <c r="A50" s="133" t="s">
        <v>150</v>
      </c>
      <c r="B50" s="419" t="e">
        <f>VLOOKUP(A50,#REF!,2,0)</f>
        <v>#REF!</v>
      </c>
      <c r="C50" s="444" t="e">
        <f>VLOOKUP(A50,#REF!, 2, FALSE)</f>
        <v>#REF!</v>
      </c>
      <c r="D50" s="444" t="e">
        <f>VLOOKUP(A50,#REF!, 2, FALSE)</f>
        <v>#REF!</v>
      </c>
      <c r="E50" s="444" t="e">
        <f>VLOOKUP(A50,#REF!, 2, FALSE)</f>
        <v>#REF!</v>
      </c>
      <c r="F50" s="444" t="e">
        <f>VLOOKUP(A50,#REF!, 2, FALSE)</f>
        <v>#REF!</v>
      </c>
      <c r="G50" s="444" t="e">
        <f>VLOOKUP(A50,#REF!, 2, FALSE)</f>
        <v>#REF!</v>
      </c>
      <c r="H50" s="444" t="e">
        <f>VLOOKUP(A50,#REF!, 2, FALSE)</f>
        <v>#REF!</v>
      </c>
      <c r="I50" s="445" t="e">
        <f>VLOOKUP(A50,#REF!, 2, FALSE)</f>
        <v>#REF!</v>
      </c>
      <c r="J50" s="38" t="e">
        <f>VLOOKUP(A50,#REF!, 2, FALSE)</f>
        <v>#REF!</v>
      </c>
      <c r="K50" s="38" t="e">
        <f>VLOOKUP(A50,#REF!, 2, FALSE)</f>
        <v>#REF!</v>
      </c>
      <c r="L50" s="38" t="e">
        <f>VLOOKUP(A50,#REF!, 2, FALSE)</f>
        <v>#REF!</v>
      </c>
      <c r="M50" s="38" t="e">
        <f>VLOOKUP(A50,#REF!, 2, FALSE)</f>
        <v>#REF!</v>
      </c>
      <c r="N50" s="38" t="e">
        <f>VLOOKUP(A50,#REF!, 2, FALSE)</f>
        <v>#REF!</v>
      </c>
      <c r="O50" s="38" t="e">
        <f>VLOOKUP(A50,#REF!, 2, FALSE)</f>
        <v>#REF!</v>
      </c>
      <c r="P50" s="419" t="e">
        <f>VLOOKUP(A50,#REF!, 2, FALSE)</f>
        <v>#REF!</v>
      </c>
      <c r="Q50" s="444" t="e">
        <f>VLOOKUP(A50,#REF!, 2, FALSE)</f>
        <v>#REF!</v>
      </c>
      <c r="R50" s="444" t="e">
        <f>VLOOKUP(A50,#REF!, 2, FALSE)</f>
        <v>#REF!</v>
      </c>
      <c r="S50" s="444" t="e">
        <f>VLOOKUP(A50,#REF!, 2, FALSE)</f>
        <v>#REF!</v>
      </c>
      <c r="T50" s="444" t="e">
        <f>VLOOKUP(A50,#REF!, 2, FALSE)</f>
        <v>#REF!</v>
      </c>
      <c r="U50" s="444" t="e">
        <f>VLOOKUP(A50,#REF!, 2, FALSE)</f>
        <v>#REF!</v>
      </c>
      <c r="V50" s="444" t="e">
        <f>VLOOKUP(A50,#REF!, 2, FALSE)</f>
        <v>#REF!</v>
      </c>
      <c r="W50" s="445">
        <f>VLOOKUP(A50, '22'!$E$7:$F$109, 2, FALSE)</f>
        <v>11</v>
      </c>
      <c r="X50" s="38" t="e">
        <f>VLOOKUP(A50,#REF!, 2, FALSE)</f>
        <v>#REF!</v>
      </c>
      <c r="Y50" s="38" t="e">
        <f>VLOOKUP(A50,#REF!, 2, FALSE)</f>
        <v>#REF!</v>
      </c>
      <c r="Z50" s="38" t="e">
        <f>VLOOKUP(A50,#REF!, 2, FALSE)</f>
        <v>#REF!</v>
      </c>
      <c r="AA50" s="38">
        <f>VLOOKUP(A50, '26'!$E$7:$F$112, 2, FALSE)</f>
        <v>12</v>
      </c>
      <c r="AB50" s="38">
        <f>VLOOKUP(A50, '27'!$E$7:$F$112, 2, FALSE)</f>
        <v>12</v>
      </c>
      <c r="AC50" s="38">
        <f>VLOOKUP(A50, '28'!$E$7:$F$112, 2, FALSE)</f>
        <v>10</v>
      </c>
      <c r="AD50" s="38">
        <f>VLOOKUP(A50, '29'!$E$7:$F$112, 2, FALSE)</f>
        <v>9</v>
      </c>
      <c r="AE50" s="38">
        <f>VLOOKUP(A50, '30'!$E$7:$F$112, 2, FALSE)</f>
        <v>10</v>
      </c>
      <c r="AF50" s="410" t="e">
        <f t="shared" si="0"/>
        <v>#REF!</v>
      </c>
      <c r="AG50" s="410">
        <v>171</v>
      </c>
      <c r="AH50" s="420" t="e">
        <f t="shared" si="1"/>
        <v>#REF!</v>
      </c>
      <c r="AI50" s="421">
        <f t="shared" si="2"/>
        <v>0</v>
      </c>
      <c r="AJ50" s="421">
        <f t="shared" si="3"/>
        <v>0</v>
      </c>
      <c r="AK50" s="421">
        <f t="shared" si="4"/>
        <v>0</v>
      </c>
      <c r="AL50" s="422">
        <f t="shared" si="5"/>
        <v>0</v>
      </c>
      <c r="AM50" s="422" t="e">
        <f t="shared" si="6"/>
        <v>#REF!</v>
      </c>
    </row>
    <row r="51" spans="1:39" ht="14.25" hidden="1" customHeight="1">
      <c r="A51" s="133" t="s">
        <v>153</v>
      </c>
      <c r="B51" s="419" t="e">
        <f>VLOOKUP(A51,#REF!,2,0)</f>
        <v>#REF!</v>
      </c>
      <c r="C51" s="444" t="e">
        <f>VLOOKUP(A51,#REF!, 2, FALSE)</f>
        <v>#REF!</v>
      </c>
      <c r="D51" s="444" t="e">
        <f>VLOOKUP(A51,#REF!, 2, FALSE)</f>
        <v>#REF!</v>
      </c>
      <c r="E51" s="444" t="e">
        <f>VLOOKUP(A51,#REF!, 2, FALSE)</f>
        <v>#REF!</v>
      </c>
      <c r="F51" s="444" t="e">
        <f>VLOOKUP(A51,#REF!, 2, FALSE)</f>
        <v>#REF!</v>
      </c>
      <c r="G51" s="444" t="e">
        <f>VLOOKUP(A51,#REF!, 2, FALSE)</f>
        <v>#REF!</v>
      </c>
      <c r="H51" s="444" t="e">
        <f>VLOOKUP(A51,#REF!, 2, FALSE)</f>
        <v>#REF!</v>
      </c>
      <c r="I51" s="445" t="e">
        <f>VLOOKUP(A51,#REF!, 2, FALSE)</f>
        <v>#REF!</v>
      </c>
      <c r="J51" s="38" t="e">
        <f>VLOOKUP(A51,#REF!, 2, FALSE)</f>
        <v>#REF!</v>
      </c>
      <c r="K51" s="38" t="e">
        <f>VLOOKUP(A51,#REF!, 2, FALSE)</f>
        <v>#REF!</v>
      </c>
      <c r="L51" s="38" t="e">
        <f>VLOOKUP(A51,#REF!, 2, FALSE)</f>
        <v>#REF!</v>
      </c>
      <c r="M51" s="38" t="e">
        <f>VLOOKUP(A51,#REF!, 2, FALSE)</f>
        <v>#REF!</v>
      </c>
      <c r="N51" s="38" t="e">
        <f>VLOOKUP(A51,#REF!, 2, FALSE)</f>
        <v>#REF!</v>
      </c>
      <c r="O51" s="38" t="e">
        <f>VLOOKUP(A51,#REF!, 2, FALSE)</f>
        <v>#REF!</v>
      </c>
      <c r="P51" s="419" t="e">
        <f>VLOOKUP(A51,#REF!, 2, FALSE)</f>
        <v>#REF!</v>
      </c>
      <c r="Q51" s="444" t="e">
        <f>VLOOKUP(A51,#REF!, 2, FALSE)</f>
        <v>#REF!</v>
      </c>
      <c r="R51" s="444" t="e">
        <f>VLOOKUP(A51,#REF!, 2, FALSE)</f>
        <v>#REF!</v>
      </c>
      <c r="S51" s="444" t="e">
        <f>VLOOKUP(A51,#REF!, 2, FALSE)</f>
        <v>#REF!</v>
      </c>
      <c r="T51" s="444" t="e">
        <f>VLOOKUP(A51,#REF!, 2, FALSE)</f>
        <v>#REF!</v>
      </c>
      <c r="U51" s="444" t="e">
        <f>VLOOKUP(A51,#REF!, 2, FALSE)</f>
        <v>#REF!</v>
      </c>
      <c r="V51" s="444" t="e">
        <f>VLOOKUP(A51,#REF!, 2, FALSE)</f>
        <v>#REF!</v>
      </c>
      <c r="W51" s="445">
        <f>VLOOKUP(A51, '22'!$E$7:$F$109, 2, FALSE)</f>
        <v>10</v>
      </c>
      <c r="X51" s="38" t="e">
        <f>VLOOKUP(A51,#REF!, 2, FALSE)</f>
        <v>#REF!</v>
      </c>
      <c r="Y51" s="38" t="e">
        <f>VLOOKUP(A51,#REF!, 2, FALSE)</f>
        <v>#REF!</v>
      </c>
      <c r="Z51" s="38" t="e">
        <f>VLOOKUP(A51,#REF!, 2, FALSE)</f>
        <v>#REF!</v>
      </c>
      <c r="AA51" s="38">
        <f>VLOOKUP(A51, '26'!$E$7:$F$112, 2, FALSE)</f>
        <v>11</v>
      </c>
      <c r="AB51" s="38">
        <f>VLOOKUP(A51, '27'!$E$7:$F$112, 2, FALSE)</f>
        <v>10</v>
      </c>
      <c r="AC51" s="38">
        <f>VLOOKUP(A51, '28'!$E$7:$F$112, 2, FALSE)</f>
        <v>0</v>
      </c>
      <c r="AD51" s="38">
        <f>VLOOKUP(A51, '29'!$E$7:$F$112, 2, FALSE)</f>
        <v>10</v>
      </c>
      <c r="AE51" s="38">
        <f>VLOOKUP(A51, '30'!$E$7:$F$112, 2, FALSE)</f>
        <v>10</v>
      </c>
      <c r="AF51" s="410" t="e">
        <f t="shared" si="0"/>
        <v>#REF!</v>
      </c>
      <c r="AG51" s="410">
        <v>171</v>
      </c>
      <c r="AH51" s="420" t="e">
        <f t="shared" si="1"/>
        <v>#REF!</v>
      </c>
      <c r="AI51" s="421">
        <f t="shared" si="2"/>
        <v>1</v>
      </c>
      <c r="AJ51" s="421">
        <f t="shared" si="3"/>
        <v>0</v>
      </c>
      <c r="AK51" s="421">
        <f t="shared" si="4"/>
        <v>0</v>
      </c>
      <c r="AL51" s="422">
        <f t="shared" si="5"/>
        <v>0</v>
      </c>
      <c r="AM51" s="422" t="e">
        <f t="shared" si="6"/>
        <v>#REF!</v>
      </c>
    </row>
    <row r="52" spans="1:39" ht="14.25" hidden="1" customHeight="1">
      <c r="A52" s="133" t="s">
        <v>156</v>
      </c>
      <c r="B52" s="419" t="e">
        <f>VLOOKUP(A52,#REF!,2,0)</f>
        <v>#REF!</v>
      </c>
      <c r="C52" s="444" t="e">
        <f>VLOOKUP(A52,#REF!, 2, FALSE)</f>
        <v>#REF!</v>
      </c>
      <c r="D52" s="444" t="e">
        <f>VLOOKUP(A52,#REF!, 2, FALSE)</f>
        <v>#REF!</v>
      </c>
      <c r="E52" s="444" t="e">
        <f>VLOOKUP(A52,#REF!, 2, FALSE)</f>
        <v>#REF!</v>
      </c>
      <c r="F52" s="444" t="e">
        <f>VLOOKUP(A52,#REF!, 2, FALSE)</f>
        <v>#REF!</v>
      </c>
      <c r="G52" s="444" t="e">
        <f>VLOOKUP(A52,#REF!, 2, FALSE)</f>
        <v>#REF!</v>
      </c>
      <c r="H52" s="444" t="e">
        <f>VLOOKUP(A52,#REF!, 2, FALSE)</f>
        <v>#REF!</v>
      </c>
      <c r="I52" s="445" t="e">
        <f>VLOOKUP(A52,#REF!, 2, FALSE)</f>
        <v>#REF!</v>
      </c>
      <c r="J52" s="38" t="e">
        <f>VLOOKUP(A52,#REF!, 2, FALSE)</f>
        <v>#REF!</v>
      </c>
      <c r="K52" s="38" t="e">
        <f>VLOOKUP(A52,#REF!, 2, FALSE)</f>
        <v>#REF!</v>
      </c>
      <c r="L52" s="38" t="e">
        <f>VLOOKUP(A52,#REF!, 2, FALSE)</f>
        <v>#REF!</v>
      </c>
      <c r="M52" s="38" t="e">
        <f>VLOOKUP(A52,#REF!, 2, FALSE)</f>
        <v>#REF!</v>
      </c>
      <c r="N52" s="38" t="e">
        <f>VLOOKUP(A52,#REF!, 2, FALSE)</f>
        <v>#REF!</v>
      </c>
      <c r="O52" s="38" t="e">
        <f>VLOOKUP(A52,#REF!, 2, FALSE)</f>
        <v>#REF!</v>
      </c>
      <c r="P52" s="419" t="e">
        <f>VLOOKUP(A52,#REF!, 2, FALSE)</f>
        <v>#REF!</v>
      </c>
      <c r="Q52" s="444" t="e">
        <f>VLOOKUP(A52,#REF!, 2, FALSE)</f>
        <v>#REF!</v>
      </c>
      <c r="R52" s="444" t="e">
        <f>VLOOKUP(A52,#REF!, 2, FALSE)</f>
        <v>#REF!</v>
      </c>
      <c r="S52" s="444" t="e">
        <f>VLOOKUP(A52,#REF!, 2, FALSE)</f>
        <v>#REF!</v>
      </c>
      <c r="T52" s="444" t="e">
        <f>VLOOKUP(A52,#REF!, 2, FALSE)</f>
        <v>#REF!</v>
      </c>
      <c r="U52" s="444" t="e">
        <f>VLOOKUP(A52,#REF!, 2, FALSE)</f>
        <v>#REF!</v>
      </c>
      <c r="V52" s="444" t="e">
        <f>VLOOKUP(A52,#REF!, 2, FALSE)</f>
        <v>#REF!</v>
      </c>
      <c r="W52" s="445">
        <f>VLOOKUP(A52, '22'!$E$7:$F$109, 2, FALSE)</f>
        <v>11</v>
      </c>
      <c r="X52" s="38" t="e">
        <f>VLOOKUP(A52,#REF!, 2, FALSE)</f>
        <v>#REF!</v>
      </c>
      <c r="Y52" s="38" t="e">
        <f>VLOOKUP(A52,#REF!, 2, FALSE)</f>
        <v>#REF!</v>
      </c>
      <c r="Z52" s="38" t="e">
        <f>VLOOKUP(A52,#REF!, 2, FALSE)</f>
        <v>#REF!</v>
      </c>
      <c r="AA52" s="38">
        <f>VLOOKUP(A52, '26'!$E$7:$F$112, 2, FALSE)</f>
        <v>11</v>
      </c>
      <c r="AB52" s="38">
        <f>VLOOKUP(A52, '27'!$E$7:$F$112, 2, FALSE)</f>
        <v>0</v>
      </c>
      <c r="AC52" s="38">
        <f>VLOOKUP(A52, '28'!$E$7:$F$112, 2, FALSE)</f>
        <v>0</v>
      </c>
      <c r="AD52" s="38">
        <f>VLOOKUP(A52, '29'!$E$7:$F$112, 2, FALSE)</f>
        <v>11</v>
      </c>
      <c r="AE52" s="38">
        <f>VLOOKUP(A52, '30'!$E$7:$F$112, 2, FALSE)</f>
        <v>9</v>
      </c>
      <c r="AF52" s="410" t="e">
        <f t="shared" si="0"/>
        <v>#REF!</v>
      </c>
      <c r="AG52" s="410">
        <v>171</v>
      </c>
      <c r="AH52" s="420" t="e">
        <f t="shared" si="1"/>
        <v>#REF!</v>
      </c>
      <c r="AI52" s="421">
        <f t="shared" si="2"/>
        <v>2</v>
      </c>
      <c r="AJ52" s="421">
        <f t="shared" si="3"/>
        <v>0</v>
      </c>
      <c r="AK52" s="421">
        <f t="shared" si="4"/>
        <v>0</v>
      </c>
      <c r="AL52" s="422">
        <f t="shared" si="5"/>
        <v>0</v>
      </c>
      <c r="AM52" s="422" t="e">
        <f t="shared" si="6"/>
        <v>#REF!</v>
      </c>
    </row>
    <row r="53" spans="1:39" ht="14.25" hidden="1" customHeight="1">
      <c r="A53" s="133" t="s">
        <v>158</v>
      </c>
      <c r="B53" s="419" t="e">
        <f>VLOOKUP(A53,#REF!,2,0)</f>
        <v>#REF!</v>
      </c>
      <c r="C53" s="444" t="e">
        <f>VLOOKUP(A53,#REF!, 2, FALSE)</f>
        <v>#REF!</v>
      </c>
      <c r="D53" s="444" t="e">
        <f>VLOOKUP(A53,#REF!, 2, FALSE)</f>
        <v>#REF!</v>
      </c>
      <c r="E53" s="444" t="e">
        <f>VLOOKUP(A53,#REF!, 2, FALSE)</f>
        <v>#REF!</v>
      </c>
      <c r="F53" s="444" t="e">
        <f>VLOOKUP(A53,#REF!, 2, FALSE)</f>
        <v>#REF!</v>
      </c>
      <c r="G53" s="444" t="e">
        <f>VLOOKUP(A53,#REF!, 2, FALSE)</f>
        <v>#REF!</v>
      </c>
      <c r="H53" s="444" t="e">
        <f>VLOOKUP(A53,#REF!, 2, FALSE)</f>
        <v>#REF!</v>
      </c>
      <c r="I53" s="445" t="e">
        <f>VLOOKUP(A53,#REF!, 2, FALSE)</f>
        <v>#REF!</v>
      </c>
      <c r="J53" s="38" t="e">
        <f>VLOOKUP(A53,#REF!, 2, FALSE)</f>
        <v>#REF!</v>
      </c>
      <c r="K53" s="38" t="e">
        <f>VLOOKUP(A53,#REF!, 2, FALSE)</f>
        <v>#REF!</v>
      </c>
      <c r="L53" s="38" t="e">
        <f>VLOOKUP(A53,#REF!, 2, FALSE)</f>
        <v>#REF!</v>
      </c>
      <c r="M53" s="38" t="e">
        <f>VLOOKUP(A53,#REF!, 2, FALSE)</f>
        <v>#REF!</v>
      </c>
      <c r="N53" s="38" t="e">
        <f>VLOOKUP(A53,#REF!, 2, FALSE)</f>
        <v>#REF!</v>
      </c>
      <c r="O53" s="38" t="e">
        <f>VLOOKUP(A53,#REF!, 2, FALSE)</f>
        <v>#REF!</v>
      </c>
      <c r="P53" s="419" t="e">
        <f>VLOOKUP(A53,#REF!, 2, FALSE)</f>
        <v>#REF!</v>
      </c>
      <c r="Q53" s="444" t="e">
        <f>VLOOKUP(A53,#REF!, 2, FALSE)</f>
        <v>#REF!</v>
      </c>
      <c r="R53" s="444" t="e">
        <f>VLOOKUP(A53,#REF!, 2, FALSE)</f>
        <v>#REF!</v>
      </c>
      <c r="S53" s="444" t="e">
        <f>VLOOKUP(A53,#REF!, 2, FALSE)</f>
        <v>#REF!</v>
      </c>
      <c r="T53" s="444" t="e">
        <f>VLOOKUP(A53,#REF!, 2, FALSE)</f>
        <v>#REF!</v>
      </c>
      <c r="U53" s="444" t="e">
        <f>VLOOKUP(A53,#REF!, 2, FALSE)</f>
        <v>#REF!</v>
      </c>
      <c r="V53" s="444" t="e">
        <f>VLOOKUP(A53,#REF!, 2, FALSE)</f>
        <v>#REF!</v>
      </c>
      <c r="W53" s="445">
        <f>VLOOKUP(A53, '22'!$E$7:$F$109, 2, FALSE)</f>
        <v>11</v>
      </c>
      <c r="X53" s="38" t="e">
        <f>VLOOKUP(A53,#REF!, 2, FALSE)</f>
        <v>#REF!</v>
      </c>
      <c r="Y53" s="38" t="e">
        <f>VLOOKUP(A53,#REF!, 2, FALSE)</f>
        <v>#REF!</v>
      </c>
      <c r="Z53" s="38" t="e">
        <f>VLOOKUP(A53,#REF!, 2, FALSE)</f>
        <v>#REF!</v>
      </c>
      <c r="AA53" s="38">
        <f>VLOOKUP(A53, '26'!$E$7:$F$112, 2, FALSE)</f>
        <v>11</v>
      </c>
      <c r="AB53" s="38">
        <f>VLOOKUP(A53, '27'!$E$7:$F$112, 2, FALSE)</f>
        <v>11</v>
      </c>
      <c r="AC53" s="38">
        <f>VLOOKUP(A53, '28'!$E$7:$F$112, 2, FALSE)</f>
        <v>0</v>
      </c>
      <c r="AD53" s="38">
        <f>VLOOKUP(A53, '29'!$E$7:$F$112, 2, FALSE)</f>
        <v>12</v>
      </c>
      <c r="AE53" s="38">
        <f>VLOOKUP(A53, '30'!$E$7:$F$112, 2, FALSE)</f>
        <v>9</v>
      </c>
      <c r="AF53" s="410" t="e">
        <f t="shared" si="0"/>
        <v>#REF!</v>
      </c>
      <c r="AG53" s="410">
        <v>171</v>
      </c>
      <c r="AH53" s="420" t="e">
        <f t="shared" si="1"/>
        <v>#REF!</v>
      </c>
      <c r="AI53" s="421">
        <f t="shared" si="2"/>
        <v>1</v>
      </c>
      <c r="AJ53" s="421">
        <f t="shared" si="3"/>
        <v>0</v>
      </c>
      <c r="AK53" s="421">
        <f t="shared" si="4"/>
        <v>0</v>
      </c>
      <c r="AL53" s="422">
        <f t="shared" si="5"/>
        <v>0</v>
      </c>
      <c r="AM53" s="422" t="e">
        <f t="shared" si="6"/>
        <v>#REF!</v>
      </c>
    </row>
    <row r="54" spans="1:39" ht="14.25" hidden="1" customHeight="1">
      <c r="A54" s="133" t="s">
        <v>161</v>
      </c>
      <c r="B54" s="419" t="e">
        <f>VLOOKUP(A54,#REF!,2,0)</f>
        <v>#REF!</v>
      </c>
      <c r="C54" s="444" t="e">
        <f>VLOOKUP(A54,#REF!, 2, FALSE)</f>
        <v>#REF!</v>
      </c>
      <c r="D54" s="444" t="e">
        <f>VLOOKUP(A54,#REF!, 2, FALSE)</f>
        <v>#REF!</v>
      </c>
      <c r="E54" s="444" t="e">
        <f>VLOOKUP(A54,#REF!, 2, FALSE)</f>
        <v>#REF!</v>
      </c>
      <c r="F54" s="444" t="e">
        <f>VLOOKUP(A54,#REF!, 2, FALSE)</f>
        <v>#REF!</v>
      </c>
      <c r="G54" s="444" t="e">
        <f>VLOOKUP(A54,#REF!, 2, FALSE)</f>
        <v>#REF!</v>
      </c>
      <c r="H54" s="444" t="e">
        <f>VLOOKUP(A54,#REF!, 2, FALSE)</f>
        <v>#REF!</v>
      </c>
      <c r="I54" s="445" t="e">
        <f>VLOOKUP(A54,#REF!, 2, FALSE)</f>
        <v>#REF!</v>
      </c>
      <c r="J54" s="38" t="e">
        <f>VLOOKUP(A54,#REF!, 2, FALSE)</f>
        <v>#REF!</v>
      </c>
      <c r="K54" s="38" t="e">
        <f>VLOOKUP(A54,#REF!, 2, FALSE)</f>
        <v>#REF!</v>
      </c>
      <c r="L54" s="38" t="e">
        <f>VLOOKUP(A54,#REF!, 2, FALSE)</f>
        <v>#REF!</v>
      </c>
      <c r="M54" s="38" t="e">
        <f>VLOOKUP(A54,#REF!, 2, FALSE)</f>
        <v>#REF!</v>
      </c>
      <c r="N54" s="38" t="e">
        <f>VLOOKUP(A54,#REF!, 2, FALSE)</f>
        <v>#REF!</v>
      </c>
      <c r="O54" s="38" t="e">
        <f>VLOOKUP(A54,#REF!, 2, FALSE)</f>
        <v>#REF!</v>
      </c>
      <c r="P54" s="419" t="e">
        <f>VLOOKUP(A54,#REF!, 2, FALSE)</f>
        <v>#REF!</v>
      </c>
      <c r="Q54" s="444" t="e">
        <f>VLOOKUP(A54,#REF!, 2, FALSE)</f>
        <v>#REF!</v>
      </c>
      <c r="R54" s="444" t="e">
        <f>VLOOKUP(A54,#REF!, 2, FALSE)</f>
        <v>#REF!</v>
      </c>
      <c r="S54" s="444" t="e">
        <f>VLOOKUP(A54,#REF!, 2, FALSE)</f>
        <v>#REF!</v>
      </c>
      <c r="T54" s="444" t="e">
        <f>VLOOKUP(A54,#REF!, 2, FALSE)</f>
        <v>#REF!</v>
      </c>
      <c r="U54" s="444" t="e">
        <f>VLOOKUP(A54,#REF!, 2, FALSE)</f>
        <v>#REF!</v>
      </c>
      <c r="V54" s="444" t="e">
        <f>VLOOKUP(A54,#REF!, 2, FALSE)</f>
        <v>#REF!</v>
      </c>
      <c r="W54" s="445">
        <f>VLOOKUP(A54, '22'!$E$7:$F$109, 2, FALSE)</f>
        <v>12</v>
      </c>
      <c r="X54" s="38" t="e">
        <f>VLOOKUP(A54,#REF!, 2, FALSE)</f>
        <v>#REF!</v>
      </c>
      <c r="Y54" s="38" t="e">
        <f>VLOOKUP(A54,#REF!, 2, FALSE)</f>
        <v>#REF!</v>
      </c>
      <c r="Z54" s="38" t="e">
        <f>VLOOKUP(A54,#REF!, 2, FALSE)</f>
        <v>#REF!</v>
      </c>
      <c r="AA54" s="38">
        <f>VLOOKUP(A54, '26'!$E$7:$F$112, 2, FALSE)</f>
        <v>14</v>
      </c>
      <c r="AB54" s="38">
        <f>VLOOKUP(A54, '27'!$E$7:$F$112, 2, FALSE)</f>
        <v>7</v>
      </c>
      <c r="AC54" s="38">
        <f>VLOOKUP(A54, '28'!$E$7:$F$112, 2, FALSE)</f>
        <v>7</v>
      </c>
      <c r="AD54" s="38">
        <f>VLOOKUP(A54, '29'!$E$7:$F$112, 2, FALSE)</f>
        <v>12</v>
      </c>
      <c r="AE54" s="38">
        <f>VLOOKUP(A54, '30'!$E$7:$F$112, 2, FALSE)</f>
        <v>12</v>
      </c>
      <c r="AF54" s="410" t="e">
        <f t="shared" si="0"/>
        <v>#REF!</v>
      </c>
      <c r="AG54" s="410">
        <v>171</v>
      </c>
      <c r="AH54" s="420" t="e">
        <f t="shared" si="1"/>
        <v>#REF!</v>
      </c>
      <c r="AI54" s="421">
        <f t="shared" si="2"/>
        <v>0</v>
      </c>
      <c r="AJ54" s="421">
        <f t="shared" si="3"/>
        <v>0</v>
      </c>
      <c r="AK54" s="421">
        <f t="shared" si="4"/>
        <v>0</v>
      </c>
      <c r="AL54" s="422">
        <f t="shared" si="5"/>
        <v>0</v>
      </c>
      <c r="AM54" s="422" t="e">
        <f t="shared" si="6"/>
        <v>#REF!</v>
      </c>
    </row>
    <row r="55" spans="1:39" ht="14.25" hidden="1" customHeight="1">
      <c r="A55" s="133" t="s">
        <v>166</v>
      </c>
      <c r="B55" s="419" t="e">
        <f>VLOOKUP(A55,#REF!,2,0)</f>
        <v>#REF!</v>
      </c>
      <c r="C55" s="444" t="e">
        <f>VLOOKUP(A55,#REF!, 2, FALSE)</f>
        <v>#REF!</v>
      </c>
      <c r="D55" s="444" t="e">
        <f>VLOOKUP(A55,#REF!, 2, FALSE)</f>
        <v>#REF!</v>
      </c>
      <c r="E55" s="444" t="e">
        <f>VLOOKUP(A55,#REF!, 2, FALSE)</f>
        <v>#REF!</v>
      </c>
      <c r="F55" s="444" t="e">
        <f>VLOOKUP(A55,#REF!, 2, FALSE)</f>
        <v>#REF!</v>
      </c>
      <c r="G55" s="444" t="e">
        <f>VLOOKUP(A55,#REF!, 2, FALSE)</f>
        <v>#REF!</v>
      </c>
      <c r="H55" s="444" t="e">
        <f>VLOOKUP(A55,#REF!, 2, FALSE)</f>
        <v>#REF!</v>
      </c>
      <c r="I55" s="445" t="e">
        <f>VLOOKUP(A55,#REF!, 2, FALSE)</f>
        <v>#REF!</v>
      </c>
      <c r="J55" s="38" t="e">
        <f>VLOOKUP(A55,#REF!, 2, FALSE)</f>
        <v>#REF!</v>
      </c>
      <c r="K55" s="38" t="e">
        <f>VLOOKUP(A55,#REF!, 2, FALSE)</f>
        <v>#REF!</v>
      </c>
      <c r="L55" s="38" t="e">
        <f>VLOOKUP(A55,#REF!, 2, FALSE)</f>
        <v>#REF!</v>
      </c>
      <c r="M55" s="38" t="e">
        <f>VLOOKUP(A55,#REF!, 2, FALSE)</f>
        <v>#REF!</v>
      </c>
      <c r="N55" s="38" t="e">
        <f>VLOOKUP(A55,#REF!, 2, FALSE)</f>
        <v>#REF!</v>
      </c>
      <c r="O55" s="38" t="e">
        <f>VLOOKUP(A55,#REF!, 2, FALSE)</f>
        <v>#REF!</v>
      </c>
      <c r="P55" s="419" t="e">
        <f>VLOOKUP(A55,#REF!, 2, FALSE)</f>
        <v>#REF!</v>
      </c>
      <c r="Q55" s="444" t="e">
        <f>VLOOKUP(A55,#REF!, 2, FALSE)</f>
        <v>#REF!</v>
      </c>
      <c r="R55" s="444" t="e">
        <f>VLOOKUP(A55,#REF!, 2, FALSE)</f>
        <v>#REF!</v>
      </c>
      <c r="S55" s="444" t="e">
        <f>VLOOKUP(A55,#REF!, 2, FALSE)</f>
        <v>#REF!</v>
      </c>
      <c r="T55" s="444" t="e">
        <f>VLOOKUP(A55,#REF!, 2, FALSE)</f>
        <v>#REF!</v>
      </c>
      <c r="U55" s="444" t="e">
        <f>VLOOKUP(A55,#REF!, 2, FALSE)</f>
        <v>#REF!</v>
      </c>
      <c r="V55" s="444" t="e">
        <f>VLOOKUP(A55,#REF!, 2, FALSE)</f>
        <v>#REF!</v>
      </c>
      <c r="W55" s="445">
        <f>VLOOKUP(A55, '22'!$E$7:$F$109, 2, FALSE)</f>
        <v>12</v>
      </c>
      <c r="X55" s="38" t="e">
        <f>VLOOKUP(A55,#REF!, 2, FALSE)</f>
        <v>#REF!</v>
      </c>
      <c r="Y55" s="38" t="e">
        <f>VLOOKUP(A55,#REF!, 2, FALSE)</f>
        <v>#REF!</v>
      </c>
      <c r="Z55" s="38" t="e">
        <f>VLOOKUP(A55,#REF!, 2, FALSE)</f>
        <v>#REF!</v>
      </c>
      <c r="AA55" s="38">
        <f>VLOOKUP(A55, '26'!$E$7:$F$112, 2, FALSE)</f>
        <v>7</v>
      </c>
      <c r="AB55" s="38">
        <f>VLOOKUP(A55, '27'!$E$7:$F$112, 2, FALSE)</f>
        <v>12</v>
      </c>
      <c r="AC55" s="38">
        <f>VLOOKUP(A55, '28'!$E$7:$F$112, 2, FALSE)</f>
        <v>7</v>
      </c>
      <c r="AD55" s="38">
        <f>VLOOKUP(A55, '29'!$E$7:$F$112, 2, FALSE)</f>
        <v>11</v>
      </c>
      <c r="AE55" s="38">
        <f>VLOOKUP(A55, '30'!$E$7:$F$112, 2, FALSE)</f>
        <v>9</v>
      </c>
      <c r="AF55" s="410" t="e">
        <f t="shared" si="0"/>
        <v>#REF!</v>
      </c>
      <c r="AG55" s="410">
        <v>171</v>
      </c>
      <c r="AH55" s="420" t="e">
        <f t="shared" si="1"/>
        <v>#REF!</v>
      </c>
      <c r="AI55" s="421">
        <f t="shared" si="2"/>
        <v>0</v>
      </c>
      <c r="AJ55" s="421">
        <f t="shared" si="3"/>
        <v>0</v>
      </c>
      <c r="AK55" s="421">
        <f t="shared" si="4"/>
        <v>0</v>
      </c>
      <c r="AL55" s="422">
        <f t="shared" si="5"/>
        <v>0</v>
      </c>
      <c r="AM55" s="422" t="e">
        <f t="shared" si="6"/>
        <v>#REF!</v>
      </c>
    </row>
    <row r="56" spans="1:39" ht="14.25" hidden="1" customHeight="1">
      <c r="A56" s="133" t="s">
        <v>169</v>
      </c>
      <c r="B56" s="419" t="e">
        <f>VLOOKUP(A56,#REF!,2,0)</f>
        <v>#REF!</v>
      </c>
      <c r="C56" s="444" t="e">
        <f>VLOOKUP(A56,#REF!, 2, FALSE)</f>
        <v>#REF!</v>
      </c>
      <c r="D56" s="444" t="e">
        <f>VLOOKUP(A56,#REF!, 2, FALSE)</f>
        <v>#REF!</v>
      </c>
      <c r="E56" s="444" t="e">
        <f>VLOOKUP(A56,#REF!, 2, FALSE)</f>
        <v>#REF!</v>
      </c>
      <c r="F56" s="444" t="e">
        <f>VLOOKUP(A56,#REF!, 2, FALSE)</f>
        <v>#REF!</v>
      </c>
      <c r="G56" s="444" t="e">
        <f>VLOOKUP(A56,#REF!, 2, FALSE)</f>
        <v>#REF!</v>
      </c>
      <c r="H56" s="444" t="e">
        <f>VLOOKUP(A56,#REF!, 2, FALSE)</f>
        <v>#REF!</v>
      </c>
      <c r="I56" s="445" t="e">
        <f>VLOOKUP(A56,#REF!, 2, FALSE)</f>
        <v>#REF!</v>
      </c>
      <c r="J56" s="38" t="e">
        <f>VLOOKUP(A56,#REF!, 2, FALSE)</f>
        <v>#REF!</v>
      </c>
      <c r="K56" s="38" t="e">
        <f>VLOOKUP(A56,#REF!, 2, FALSE)</f>
        <v>#REF!</v>
      </c>
      <c r="L56" s="38" t="e">
        <f>VLOOKUP(A56,#REF!, 2, FALSE)</f>
        <v>#REF!</v>
      </c>
      <c r="M56" s="38" t="e">
        <f>VLOOKUP(A56,#REF!, 2, FALSE)</f>
        <v>#REF!</v>
      </c>
      <c r="N56" s="38" t="e">
        <f>VLOOKUP(A56,#REF!, 2, FALSE)</f>
        <v>#REF!</v>
      </c>
      <c r="O56" s="38" t="e">
        <f>VLOOKUP(A56,#REF!, 2, FALSE)</f>
        <v>#REF!</v>
      </c>
      <c r="P56" s="419" t="e">
        <f>VLOOKUP(A56,#REF!, 2, FALSE)</f>
        <v>#REF!</v>
      </c>
      <c r="Q56" s="444" t="e">
        <f>VLOOKUP(A56,#REF!, 2, FALSE)</f>
        <v>#REF!</v>
      </c>
      <c r="R56" s="444" t="e">
        <f>VLOOKUP(A56,#REF!, 2, FALSE)</f>
        <v>#REF!</v>
      </c>
      <c r="S56" s="444" t="e">
        <f>VLOOKUP(A56,#REF!, 2, FALSE)</f>
        <v>#REF!</v>
      </c>
      <c r="T56" s="444" t="e">
        <f>VLOOKUP(A56,#REF!, 2, FALSE)</f>
        <v>#REF!</v>
      </c>
      <c r="U56" s="444" t="e">
        <f>VLOOKUP(A56,#REF!, 2, FALSE)</f>
        <v>#REF!</v>
      </c>
      <c r="V56" s="444" t="e">
        <f>VLOOKUP(A56,#REF!, 2, FALSE)</f>
        <v>#REF!</v>
      </c>
      <c r="W56" s="445">
        <f>VLOOKUP(A56, '22'!$E$7:$F$109, 2, FALSE)</f>
        <v>12</v>
      </c>
      <c r="X56" s="38" t="e">
        <f>VLOOKUP(A56,#REF!, 2, FALSE)</f>
        <v>#REF!</v>
      </c>
      <c r="Y56" s="38" t="e">
        <f>VLOOKUP(A56,#REF!, 2, FALSE)</f>
        <v>#REF!</v>
      </c>
      <c r="Z56" s="38" t="e">
        <f>VLOOKUP(A56,#REF!, 2, FALSE)</f>
        <v>#REF!</v>
      </c>
      <c r="AA56" s="38">
        <f>VLOOKUP(A56, '26'!$E$7:$F$112, 2, FALSE)</f>
        <v>6</v>
      </c>
      <c r="AB56" s="38">
        <f>VLOOKUP(A56, '27'!$E$7:$F$112, 2, FALSE)</f>
        <v>6</v>
      </c>
      <c r="AC56" s="38">
        <f>VLOOKUP(A56, '28'!$E$7:$F$112, 2, FALSE)</f>
        <v>12</v>
      </c>
      <c r="AD56" s="38">
        <f>VLOOKUP(A56, '29'!$E$7:$F$112, 2, FALSE)</f>
        <v>12</v>
      </c>
      <c r="AE56" s="38">
        <f>VLOOKUP(A56, '30'!$E$7:$F$112, 2, FALSE)</f>
        <v>12</v>
      </c>
      <c r="AF56" s="410" t="e">
        <f t="shared" si="0"/>
        <v>#REF!</v>
      </c>
      <c r="AG56" s="410">
        <v>171</v>
      </c>
      <c r="AH56" s="420" t="e">
        <f t="shared" si="1"/>
        <v>#REF!</v>
      </c>
      <c r="AI56" s="421">
        <f t="shared" si="2"/>
        <v>0</v>
      </c>
      <c r="AJ56" s="421">
        <f t="shared" si="3"/>
        <v>0</v>
      </c>
      <c r="AK56" s="421">
        <f t="shared" si="4"/>
        <v>0</v>
      </c>
      <c r="AL56" s="422">
        <f t="shared" si="5"/>
        <v>0</v>
      </c>
      <c r="AM56" s="422" t="e">
        <f t="shared" si="6"/>
        <v>#REF!</v>
      </c>
    </row>
    <row r="57" spans="1:39" ht="14.25" hidden="1" customHeight="1">
      <c r="A57" s="133" t="s">
        <v>177</v>
      </c>
      <c r="B57" s="419" t="e">
        <f>VLOOKUP(A57,#REF!,2,0)</f>
        <v>#REF!</v>
      </c>
      <c r="C57" s="444" t="e">
        <f>VLOOKUP(A57,#REF!, 2, FALSE)</f>
        <v>#REF!</v>
      </c>
      <c r="D57" s="444" t="e">
        <f>VLOOKUP(A57,#REF!, 2, FALSE)</f>
        <v>#REF!</v>
      </c>
      <c r="E57" s="444" t="e">
        <f>VLOOKUP(A57,#REF!, 2, FALSE)</f>
        <v>#REF!</v>
      </c>
      <c r="F57" s="444" t="e">
        <f>VLOOKUP(A57,#REF!, 2, FALSE)</f>
        <v>#REF!</v>
      </c>
      <c r="G57" s="444" t="e">
        <f>VLOOKUP(A57,#REF!, 2, FALSE)</f>
        <v>#REF!</v>
      </c>
      <c r="H57" s="444" t="e">
        <f>VLOOKUP(A57,#REF!, 2, FALSE)</f>
        <v>#REF!</v>
      </c>
      <c r="I57" s="445" t="e">
        <f>VLOOKUP(A57,#REF!, 2, FALSE)</f>
        <v>#REF!</v>
      </c>
      <c r="J57" s="38" t="e">
        <f>VLOOKUP(A57,#REF!, 2, FALSE)</f>
        <v>#REF!</v>
      </c>
      <c r="K57" s="38" t="e">
        <f>VLOOKUP(A57,#REF!, 2, FALSE)</f>
        <v>#REF!</v>
      </c>
      <c r="L57" s="38" t="e">
        <f>VLOOKUP(A57,#REF!, 2, FALSE)</f>
        <v>#REF!</v>
      </c>
      <c r="M57" s="38" t="e">
        <f>VLOOKUP(A57,#REF!, 2, FALSE)</f>
        <v>#REF!</v>
      </c>
      <c r="N57" s="38" t="e">
        <f>VLOOKUP(A57,#REF!, 2, FALSE)</f>
        <v>#REF!</v>
      </c>
      <c r="O57" s="38" t="e">
        <f>VLOOKUP(A57,#REF!, 2, FALSE)</f>
        <v>#REF!</v>
      </c>
      <c r="P57" s="419" t="e">
        <f>VLOOKUP(A57,#REF!, 2, FALSE)</f>
        <v>#REF!</v>
      </c>
      <c r="Q57" s="444" t="e">
        <f>VLOOKUP(A57,#REF!, 2, FALSE)</f>
        <v>#REF!</v>
      </c>
      <c r="R57" s="444" t="e">
        <f>VLOOKUP(A57,#REF!, 2, FALSE)</f>
        <v>#REF!</v>
      </c>
      <c r="S57" s="444" t="e">
        <f>VLOOKUP(A57,#REF!, 2, FALSE)</f>
        <v>#REF!</v>
      </c>
      <c r="T57" s="444" t="e">
        <f>VLOOKUP(A57,#REF!, 2, FALSE)</f>
        <v>#REF!</v>
      </c>
      <c r="U57" s="444" t="e">
        <f>VLOOKUP(A57,#REF!, 2, FALSE)</f>
        <v>#REF!</v>
      </c>
      <c r="V57" s="444" t="s">
        <v>231</v>
      </c>
      <c r="W57" s="445">
        <f>VLOOKUP(A57, '22'!$E$7:$F$109, 2, FALSE)</f>
        <v>5</v>
      </c>
      <c r="X57" s="38" t="e">
        <f>VLOOKUP(A57,#REF!, 2, FALSE)</f>
        <v>#REF!</v>
      </c>
      <c r="Y57" s="38" t="e">
        <f>VLOOKUP(A57,#REF!, 2, FALSE)</f>
        <v>#REF!</v>
      </c>
      <c r="Z57" s="38" t="e">
        <f>VLOOKUP(A57,#REF!, 2, FALSE)</f>
        <v>#REF!</v>
      </c>
      <c r="AA57" s="38">
        <f>VLOOKUP(A57, '26'!$E$7:$F$112, 2, FALSE)</f>
        <v>12</v>
      </c>
      <c r="AB57" s="38">
        <f>VLOOKUP(A57, '27'!$E$7:$F$112, 2, FALSE)</f>
        <v>11</v>
      </c>
      <c r="AC57" s="38">
        <f>VLOOKUP(A57, '28'!$E$7:$F$112, 2, FALSE)</f>
        <v>0</v>
      </c>
      <c r="AD57" s="38">
        <f>VLOOKUP(A57, '29'!$E$7:$F$112, 2, FALSE)</f>
        <v>11</v>
      </c>
      <c r="AE57" s="38">
        <f>VLOOKUP(A57, '30'!$E$7:$F$112, 2, FALSE)</f>
        <v>10</v>
      </c>
      <c r="AF57" s="410" t="e">
        <f t="shared" si="0"/>
        <v>#REF!</v>
      </c>
      <c r="AG57" s="410">
        <v>171</v>
      </c>
      <c r="AH57" s="420" t="e">
        <f t="shared" si="1"/>
        <v>#REF!</v>
      </c>
      <c r="AI57" s="421">
        <f t="shared" si="2"/>
        <v>1</v>
      </c>
      <c r="AJ57" s="421">
        <f t="shared" si="3"/>
        <v>1</v>
      </c>
      <c r="AK57" s="421">
        <f t="shared" si="4"/>
        <v>0</v>
      </c>
      <c r="AL57" s="422">
        <f t="shared" si="5"/>
        <v>0</v>
      </c>
      <c r="AM57" s="422" t="e">
        <f t="shared" si="6"/>
        <v>#REF!</v>
      </c>
    </row>
    <row r="58" spans="1:39" ht="14.25" hidden="1" customHeight="1">
      <c r="A58" s="133" t="s">
        <v>179</v>
      </c>
      <c r="B58" s="419" t="e">
        <f>VLOOKUP(A58,#REF!,2,0)</f>
        <v>#REF!</v>
      </c>
      <c r="C58" s="444" t="e">
        <f>VLOOKUP(A58,#REF!, 2, FALSE)</f>
        <v>#REF!</v>
      </c>
      <c r="D58" s="444" t="e">
        <f>VLOOKUP(A58,#REF!, 2, FALSE)</f>
        <v>#REF!</v>
      </c>
      <c r="E58" s="444" t="e">
        <f>VLOOKUP(A58,#REF!, 2, FALSE)</f>
        <v>#REF!</v>
      </c>
      <c r="F58" s="444" t="e">
        <f>VLOOKUP(A58,#REF!, 2, FALSE)</f>
        <v>#REF!</v>
      </c>
      <c r="G58" s="444" t="e">
        <f>VLOOKUP(A58,#REF!, 2, FALSE)</f>
        <v>#REF!</v>
      </c>
      <c r="H58" s="444" t="e">
        <f>VLOOKUP(A58,#REF!, 2, FALSE)</f>
        <v>#REF!</v>
      </c>
      <c r="I58" s="445" t="e">
        <f>VLOOKUP(A58,#REF!, 2, FALSE)</f>
        <v>#REF!</v>
      </c>
      <c r="J58" s="38" t="e">
        <f>VLOOKUP(A58,#REF!, 2, FALSE)</f>
        <v>#REF!</v>
      </c>
      <c r="K58" s="38" t="e">
        <f>VLOOKUP(A58,#REF!, 2, FALSE)</f>
        <v>#REF!</v>
      </c>
      <c r="L58" s="38" t="e">
        <f>VLOOKUP(A58,#REF!, 2, FALSE)</f>
        <v>#REF!</v>
      </c>
      <c r="M58" s="38" t="e">
        <f>VLOOKUP(A58,#REF!, 2, FALSE)</f>
        <v>#REF!</v>
      </c>
      <c r="N58" s="38" t="e">
        <f>VLOOKUP(A58,#REF!, 2, FALSE)</f>
        <v>#REF!</v>
      </c>
      <c r="O58" s="38" t="e">
        <f>VLOOKUP(A58,#REF!, 2, FALSE)</f>
        <v>#REF!</v>
      </c>
      <c r="P58" s="419" t="e">
        <f>VLOOKUP(A58,#REF!, 2, FALSE)</f>
        <v>#REF!</v>
      </c>
      <c r="Q58" s="444" t="e">
        <f>VLOOKUP(A58,#REF!, 2, FALSE)</f>
        <v>#REF!</v>
      </c>
      <c r="R58" s="444" t="e">
        <f>VLOOKUP(A58,#REF!, 2, FALSE)</f>
        <v>#REF!</v>
      </c>
      <c r="S58" s="444" t="e">
        <f>VLOOKUP(A58,#REF!, 2, FALSE)</f>
        <v>#REF!</v>
      </c>
      <c r="T58" s="444" t="e">
        <f>VLOOKUP(A58,#REF!, 2, FALSE)</f>
        <v>#REF!</v>
      </c>
      <c r="U58" s="444" t="e">
        <f>VLOOKUP(A58,#REF!, 2, FALSE)</f>
        <v>#REF!</v>
      </c>
      <c r="V58" s="444" t="e">
        <f>VLOOKUP(A58,#REF!, 2, FALSE)</f>
        <v>#REF!</v>
      </c>
      <c r="W58" s="445">
        <f>VLOOKUP(A58, '22'!$E$7:$F$109, 2, FALSE)</f>
        <v>10</v>
      </c>
      <c r="X58" s="38" t="e">
        <f>VLOOKUP(A58,#REF!, 2, FALSE)</f>
        <v>#REF!</v>
      </c>
      <c r="Y58" s="38" t="e">
        <f>VLOOKUP(A58,#REF!, 2, FALSE)</f>
        <v>#REF!</v>
      </c>
      <c r="Z58" s="38" t="e">
        <f>VLOOKUP(A58,#REF!, 2, FALSE)</f>
        <v>#REF!</v>
      </c>
      <c r="AA58" s="38">
        <f>VLOOKUP(A58, '26'!$E$7:$F$112, 2, FALSE)</f>
        <v>13</v>
      </c>
      <c r="AB58" s="38">
        <f>VLOOKUP(A58, '27'!$E$7:$F$112, 2, FALSE)</f>
        <v>12</v>
      </c>
      <c r="AC58" s="38">
        <f>VLOOKUP(A58, '28'!$E$7:$F$112, 2, FALSE)</f>
        <v>10</v>
      </c>
      <c r="AD58" s="38">
        <f>VLOOKUP(A58, '29'!$E$7:$F$112, 2, FALSE)</f>
        <v>12</v>
      </c>
      <c r="AE58" s="38">
        <f>VLOOKUP(A58, '30'!$E$7:$F$112, 2, FALSE)</f>
        <v>10</v>
      </c>
      <c r="AF58" s="410" t="e">
        <f t="shared" si="0"/>
        <v>#REF!</v>
      </c>
      <c r="AG58" s="410">
        <v>171</v>
      </c>
      <c r="AH58" s="420" t="e">
        <f t="shared" si="1"/>
        <v>#REF!</v>
      </c>
      <c r="AI58" s="421">
        <f t="shared" si="2"/>
        <v>0</v>
      </c>
      <c r="AJ58" s="421">
        <f t="shared" si="3"/>
        <v>0</v>
      </c>
      <c r="AK58" s="421">
        <f t="shared" si="4"/>
        <v>0</v>
      </c>
      <c r="AL58" s="422">
        <f t="shared" si="5"/>
        <v>0</v>
      </c>
      <c r="AM58" s="422" t="e">
        <f t="shared" si="6"/>
        <v>#REF!</v>
      </c>
    </row>
    <row r="59" spans="1:39" ht="14.25" hidden="1" customHeight="1">
      <c r="A59" s="133" t="s">
        <v>182</v>
      </c>
      <c r="B59" s="419" t="e">
        <f>VLOOKUP(A59,#REF!,2,0)</f>
        <v>#REF!</v>
      </c>
      <c r="C59" s="444" t="e">
        <f>VLOOKUP(A59,#REF!, 2, FALSE)</f>
        <v>#REF!</v>
      </c>
      <c r="D59" s="444" t="e">
        <f>VLOOKUP(A59,#REF!, 2, FALSE)</f>
        <v>#REF!</v>
      </c>
      <c r="E59" s="444" t="e">
        <f>VLOOKUP(A59,#REF!, 2, FALSE)</f>
        <v>#REF!</v>
      </c>
      <c r="F59" s="444" t="e">
        <f>VLOOKUP(A59,#REF!, 2, FALSE)</f>
        <v>#REF!</v>
      </c>
      <c r="G59" s="444" t="e">
        <f>VLOOKUP(A59,#REF!, 2, FALSE)</f>
        <v>#REF!</v>
      </c>
      <c r="H59" s="444" t="e">
        <f>VLOOKUP(A59,#REF!, 2, FALSE)</f>
        <v>#REF!</v>
      </c>
      <c r="I59" s="445" t="e">
        <f>VLOOKUP(A59,#REF!, 2, FALSE)</f>
        <v>#REF!</v>
      </c>
      <c r="J59" s="38" t="e">
        <f>VLOOKUP(A59,#REF!, 2, FALSE)</f>
        <v>#REF!</v>
      </c>
      <c r="K59" s="38" t="e">
        <f>VLOOKUP(A59,#REF!, 2, FALSE)</f>
        <v>#REF!</v>
      </c>
      <c r="L59" s="38" t="e">
        <f>VLOOKUP(A59,#REF!, 2, FALSE)</f>
        <v>#REF!</v>
      </c>
      <c r="M59" s="38" t="e">
        <f>VLOOKUP(A59,#REF!, 2, FALSE)</f>
        <v>#REF!</v>
      </c>
      <c r="N59" s="38" t="e">
        <f>VLOOKUP(A59,#REF!, 2, FALSE)</f>
        <v>#REF!</v>
      </c>
      <c r="O59" s="38" t="e">
        <f>VLOOKUP(A59,#REF!, 2, FALSE)</f>
        <v>#REF!</v>
      </c>
      <c r="P59" s="419" t="e">
        <f>VLOOKUP(A59,#REF!, 2, FALSE)</f>
        <v>#REF!</v>
      </c>
      <c r="Q59" s="444" t="e">
        <f>VLOOKUP(A59,#REF!, 2, FALSE)</f>
        <v>#REF!</v>
      </c>
      <c r="R59" s="444" t="e">
        <f>VLOOKUP(A59,#REF!, 2, FALSE)</f>
        <v>#REF!</v>
      </c>
      <c r="S59" s="444" t="e">
        <f>VLOOKUP(A59,#REF!, 2, FALSE)</f>
        <v>#REF!</v>
      </c>
      <c r="T59" s="444" t="e">
        <f>VLOOKUP(A59,#REF!, 2, FALSE)</f>
        <v>#REF!</v>
      </c>
      <c r="U59" s="444" t="e">
        <f>VLOOKUP(A59,#REF!, 2, FALSE)</f>
        <v>#REF!</v>
      </c>
      <c r="V59" s="444" t="e">
        <f>VLOOKUP(A59,#REF!, 2, FALSE)</f>
        <v>#REF!</v>
      </c>
      <c r="W59" s="445">
        <f>VLOOKUP(A59, '22'!$E$7:$F$109, 2, FALSE)</f>
        <v>11</v>
      </c>
      <c r="X59" s="38" t="e">
        <f>VLOOKUP(A59,#REF!, 2, FALSE)</f>
        <v>#REF!</v>
      </c>
      <c r="Y59" s="38" t="e">
        <f>VLOOKUP(A59,#REF!, 2, FALSE)</f>
        <v>#REF!</v>
      </c>
      <c r="Z59" s="38" t="e">
        <f>VLOOKUP(A59,#REF!, 2, FALSE)</f>
        <v>#REF!</v>
      </c>
      <c r="AA59" s="38">
        <f>VLOOKUP(A59, '26'!$E$7:$F$112, 2, FALSE)</f>
        <v>12</v>
      </c>
      <c r="AB59" s="38">
        <f>VLOOKUP(A59, '27'!$E$7:$F$112, 2, FALSE)</f>
        <v>12</v>
      </c>
      <c r="AC59" s="38">
        <f>VLOOKUP(A59, '28'!$E$7:$F$112, 2, FALSE)</f>
        <v>11</v>
      </c>
      <c r="AD59" s="38">
        <f>VLOOKUP(A59, '29'!$E$7:$F$112, 2, FALSE)</f>
        <v>12</v>
      </c>
      <c r="AE59" s="38">
        <f>VLOOKUP(A59, '30'!$E$7:$F$112, 2, FALSE)</f>
        <v>11</v>
      </c>
      <c r="AF59" s="410" t="e">
        <f t="shared" si="0"/>
        <v>#REF!</v>
      </c>
      <c r="AG59" s="410">
        <v>171</v>
      </c>
      <c r="AH59" s="420" t="e">
        <f t="shared" si="1"/>
        <v>#REF!</v>
      </c>
      <c r="AI59" s="421">
        <f t="shared" si="2"/>
        <v>0</v>
      </c>
      <c r="AJ59" s="421">
        <f t="shared" si="3"/>
        <v>0</v>
      </c>
      <c r="AK59" s="421">
        <f t="shared" si="4"/>
        <v>0</v>
      </c>
      <c r="AL59" s="422">
        <f t="shared" si="5"/>
        <v>0</v>
      </c>
      <c r="AM59" s="422" t="e">
        <f t="shared" si="6"/>
        <v>#REF!</v>
      </c>
    </row>
    <row r="60" spans="1:39" ht="14.25" hidden="1" customHeight="1">
      <c r="A60" s="133" t="s">
        <v>184</v>
      </c>
      <c r="B60" s="419" t="e">
        <f>VLOOKUP(A60,#REF!,2,0)</f>
        <v>#REF!</v>
      </c>
      <c r="C60" s="444" t="e">
        <f>VLOOKUP(A60,#REF!, 2, FALSE)</f>
        <v>#REF!</v>
      </c>
      <c r="D60" s="444" t="e">
        <f>VLOOKUP(A60,#REF!, 2, FALSE)</f>
        <v>#REF!</v>
      </c>
      <c r="E60" s="444" t="e">
        <f>VLOOKUP(A60,#REF!, 2, FALSE)</f>
        <v>#REF!</v>
      </c>
      <c r="F60" s="444" t="e">
        <f>VLOOKUP(A60,#REF!, 2, FALSE)</f>
        <v>#REF!</v>
      </c>
      <c r="G60" s="444" t="s">
        <v>231</v>
      </c>
      <c r="H60" s="444" t="e">
        <f>VLOOKUP(A60,#REF!, 2, FALSE)</f>
        <v>#REF!</v>
      </c>
      <c r="I60" s="445" t="e">
        <f>VLOOKUP(A60,#REF!, 2, FALSE)</f>
        <v>#REF!</v>
      </c>
      <c r="J60" s="38" t="e">
        <f>VLOOKUP(A60,#REF!, 2, FALSE)</f>
        <v>#REF!</v>
      </c>
      <c r="K60" s="38" t="e">
        <f>VLOOKUP(A60,#REF!, 2, FALSE)</f>
        <v>#REF!</v>
      </c>
      <c r="L60" s="38" t="e">
        <f>VLOOKUP(A60,#REF!, 2, FALSE)</f>
        <v>#REF!</v>
      </c>
      <c r="M60" s="38" t="e">
        <f>VLOOKUP(A60,#REF!, 2, FALSE)</f>
        <v>#REF!</v>
      </c>
      <c r="N60" s="38" t="e">
        <f>VLOOKUP(A60,#REF!, 2, FALSE)</f>
        <v>#REF!</v>
      </c>
      <c r="O60" s="38" t="e">
        <f>VLOOKUP(A60,#REF!, 2, FALSE)</f>
        <v>#REF!</v>
      </c>
      <c r="P60" s="419" t="e">
        <f>VLOOKUP(A60,#REF!, 2, FALSE)</f>
        <v>#REF!</v>
      </c>
      <c r="Q60" s="444" t="e">
        <f>VLOOKUP(A60,#REF!, 2, FALSE)</f>
        <v>#REF!</v>
      </c>
      <c r="R60" s="444" t="e">
        <f>VLOOKUP(A60,#REF!, 2, FALSE)</f>
        <v>#REF!</v>
      </c>
      <c r="S60" s="444" t="e">
        <f>VLOOKUP(A60,#REF!, 2, FALSE)</f>
        <v>#REF!</v>
      </c>
      <c r="T60" s="444" t="e">
        <f>VLOOKUP(A60,#REF!, 2, FALSE)</f>
        <v>#REF!</v>
      </c>
      <c r="U60" s="444" t="e">
        <f>VLOOKUP(A60,#REF!, 2, FALSE)</f>
        <v>#REF!</v>
      </c>
      <c r="V60" s="444" t="e">
        <f>VLOOKUP(A60,#REF!, 2, FALSE)</f>
        <v>#REF!</v>
      </c>
      <c r="W60" s="445">
        <f>VLOOKUP(A60, '22'!$E$7:$F$109, 2, FALSE)</f>
        <v>10</v>
      </c>
      <c r="X60" s="38" t="e">
        <f>VLOOKUP(A60,#REF!, 2, FALSE)</f>
        <v>#REF!</v>
      </c>
      <c r="Y60" s="38" t="e">
        <f>VLOOKUP(A60,#REF!, 2, FALSE)</f>
        <v>#REF!</v>
      </c>
      <c r="Z60" s="38" t="e">
        <f>VLOOKUP(A60,#REF!, 2, FALSE)</f>
        <v>#REF!</v>
      </c>
      <c r="AA60" s="38">
        <f>VLOOKUP(A60, '26'!$E$7:$F$112, 2, FALSE)</f>
        <v>7</v>
      </c>
      <c r="AB60" s="38">
        <f>VLOOKUP(A60, '27'!$E$7:$F$112, 2, FALSE)</f>
        <v>11</v>
      </c>
      <c r="AC60" s="38">
        <f>VLOOKUP(A60, '28'!$E$7:$F$112, 2, FALSE)</f>
        <v>0</v>
      </c>
      <c r="AD60" s="38">
        <f>VLOOKUP(A60, '29'!$E$7:$F$112, 2, FALSE)</f>
        <v>10</v>
      </c>
      <c r="AE60" s="38">
        <f>VLOOKUP(A60, '30'!$E$7:$F$112, 2, FALSE)</f>
        <v>7</v>
      </c>
      <c r="AF60" s="410" t="e">
        <f t="shared" si="0"/>
        <v>#REF!</v>
      </c>
      <c r="AG60" s="410">
        <v>171</v>
      </c>
      <c r="AH60" s="420" t="e">
        <f t="shared" si="1"/>
        <v>#REF!</v>
      </c>
      <c r="AI60" s="421">
        <f t="shared" si="2"/>
        <v>1</v>
      </c>
      <c r="AJ60" s="421">
        <f t="shared" si="3"/>
        <v>1</v>
      </c>
      <c r="AK60" s="421">
        <f t="shared" si="4"/>
        <v>0</v>
      </c>
      <c r="AL60" s="422">
        <f t="shared" si="5"/>
        <v>0</v>
      </c>
      <c r="AM60" s="422" t="e">
        <f t="shared" si="6"/>
        <v>#REF!</v>
      </c>
    </row>
    <row r="61" spans="1:39" ht="14.25" customHeight="1">
      <c r="A61" s="40"/>
      <c r="B61" s="419"/>
      <c r="C61" s="444"/>
      <c r="D61" s="444"/>
      <c r="E61" s="444"/>
      <c r="F61" s="444"/>
      <c r="G61" s="444"/>
      <c r="H61" s="444"/>
      <c r="I61" s="445"/>
      <c r="J61" s="38"/>
      <c r="K61" s="38"/>
      <c r="L61" s="38"/>
      <c r="M61" s="38"/>
      <c r="N61" s="38"/>
      <c r="O61" s="38"/>
      <c r="P61" s="419"/>
      <c r="Q61" s="444"/>
      <c r="R61" s="444"/>
      <c r="S61" s="444"/>
      <c r="T61" s="444"/>
      <c r="U61" s="444"/>
      <c r="V61" s="444"/>
      <c r="W61" s="445"/>
      <c r="X61" s="38"/>
      <c r="Y61" s="38"/>
      <c r="Z61" s="38"/>
      <c r="AA61" s="38"/>
      <c r="AB61" s="38"/>
      <c r="AC61" s="38"/>
      <c r="AD61" s="38"/>
      <c r="AE61" s="38"/>
      <c r="AH61" s="420"/>
      <c r="AI61" s="421"/>
      <c r="AJ61" s="421"/>
      <c r="AK61" s="421"/>
      <c r="AL61" s="422"/>
      <c r="AM61" s="422"/>
    </row>
    <row r="62" spans="1:39" ht="14.25" customHeight="1">
      <c r="A62" s="40"/>
      <c r="B62" s="419"/>
      <c r="C62" s="444"/>
      <c r="D62" s="444"/>
      <c r="E62" s="444"/>
      <c r="F62" s="444"/>
      <c r="G62" s="444"/>
      <c r="H62" s="444"/>
      <c r="I62" s="445"/>
      <c r="J62" s="38"/>
      <c r="K62" s="38"/>
      <c r="L62" s="38"/>
      <c r="M62" s="38"/>
      <c r="N62" s="38"/>
      <c r="O62" s="38"/>
      <c r="P62" s="419"/>
      <c r="Q62" s="444"/>
      <c r="R62" s="444"/>
      <c r="S62" s="444"/>
      <c r="T62" s="444"/>
      <c r="U62" s="444"/>
      <c r="V62" s="444"/>
      <c r="W62" s="445"/>
      <c r="X62" s="38"/>
      <c r="Y62" s="38"/>
      <c r="Z62" s="38"/>
      <c r="AA62" s="38"/>
      <c r="AB62" s="38"/>
      <c r="AC62" s="38"/>
      <c r="AD62" s="38"/>
      <c r="AE62" s="38"/>
      <c r="AH62" s="420"/>
      <c r="AI62" s="421"/>
      <c r="AJ62" s="421"/>
      <c r="AK62" s="421"/>
      <c r="AL62" s="422"/>
      <c r="AM62" s="422"/>
    </row>
    <row r="63" spans="1:39" ht="14.25" customHeight="1"/>
    <row r="64" spans="1:39" ht="14.25" customHeight="1">
      <c r="A64" s="40" t="s">
        <v>141</v>
      </c>
      <c r="B64" s="419" t="e">
        <f>VLOOKUP(A64,#REF!,2,0)</f>
        <v>#REF!</v>
      </c>
      <c r="C64" s="444" t="e">
        <f>VLOOKUP(A64,#REF!, 2, FALSE)</f>
        <v>#REF!</v>
      </c>
      <c r="D64" s="444" t="e">
        <f>VLOOKUP(A64,#REF!, 2, FALSE)</f>
        <v>#REF!</v>
      </c>
      <c r="E64" s="444" t="e">
        <f>VLOOKUP(A64,#REF!, 2, FALSE)</f>
        <v>#REF!</v>
      </c>
      <c r="F64" s="444" t="e">
        <f>VLOOKUP(A64,#REF!, 2, FALSE)</f>
        <v>#REF!</v>
      </c>
      <c r="G64" s="444" t="e">
        <f>VLOOKUP(A64,#REF!, 2, FALSE)</f>
        <v>#REF!</v>
      </c>
      <c r="H64" s="444" t="e">
        <f>VLOOKUP(A64,#REF!, 2, FALSE)</f>
        <v>#REF!</v>
      </c>
      <c r="I64" s="445"/>
      <c r="J64" s="38"/>
      <c r="K64" s="38"/>
      <c r="L64" s="38"/>
      <c r="M64" s="38"/>
      <c r="N64" s="38"/>
      <c r="O64" s="38"/>
      <c r="P64" s="419"/>
      <c r="Q64" s="444"/>
      <c r="R64" s="444"/>
      <c r="S64" s="444"/>
      <c r="T64" s="444"/>
      <c r="U64" s="444"/>
      <c r="V64" s="444"/>
      <c r="W64" s="445"/>
      <c r="X64" s="38"/>
      <c r="Y64" s="38"/>
      <c r="Z64" s="38"/>
      <c r="AA64" s="38"/>
      <c r="AB64" s="38"/>
      <c r="AC64" s="38"/>
      <c r="AD64" s="38"/>
      <c r="AE64" s="38"/>
      <c r="AF64" s="410" t="e">
        <f t="shared" ref="AF64:AF68" si="7">+SUM(B64:AE64)</f>
        <v>#REF!</v>
      </c>
      <c r="AG64" s="410">
        <v>171</v>
      </c>
      <c r="AH64" s="420" t="e">
        <f t="shared" ref="AH64:AH68" si="8">(AF64/AG64)+AL64</f>
        <v>#REF!</v>
      </c>
      <c r="AI64" s="421">
        <f>+COUNTIFS(I64:O64,"0")</f>
        <v>0</v>
      </c>
      <c r="AJ64" s="421">
        <f t="shared" ref="AJ64:AJ68" si="9">COUNTIF(B64:AE64,"FI")</f>
        <v>0</v>
      </c>
      <c r="AK64" s="421">
        <f t="shared" ref="AK64:AK68" si="10">COUNTIF(B64:AE64,"V")</f>
        <v>0</v>
      </c>
      <c r="AL64" s="422">
        <f t="shared" ref="AL64:AL68" si="11">AK64/30</f>
        <v>0</v>
      </c>
      <c r="AM64" s="422" t="e">
        <f t="shared" ref="AM64:AM68" si="12">AF64/177</f>
        <v>#REF!</v>
      </c>
    </row>
    <row r="65" spans="1:39" ht="14.25" customHeight="1">
      <c r="A65" s="40" t="s">
        <v>208</v>
      </c>
      <c r="B65" s="419" t="e">
        <f>VLOOKUP(A65,#REF!,2,0)</f>
        <v>#REF!</v>
      </c>
      <c r="C65" s="444" t="e">
        <f>VLOOKUP(A65,#REF!, 2, FALSE)</f>
        <v>#REF!</v>
      </c>
      <c r="D65" s="444" t="e">
        <f>VLOOKUP(A65,#REF!, 2, FALSE)</f>
        <v>#REF!</v>
      </c>
      <c r="E65" s="444" t="e">
        <f>VLOOKUP(A65,#REF!, 2, FALSE)</f>
        <v>#REF!</v>
      </c>
      <c r="F65" s="444" t="s">
        <v>799</v>
      </c>
      <c r="G65" s="444" t="s">
        <v>799</v>
      </c>
      <c r="H65" s="444" t="s">
        <v>799</v>
      </c>
      <c r="I65" s="445" t="s">
        <v>799</v>
      </c>
      <c r="J65" s="38" t="s">
        <v>799</v>
      </c>
      <c r="K65" s="38" t="s">
        <v>799</v>
      </c>
      <c r="L65" s="38" t="s">
        <v>799</v>
      </c>
      <c r="M65" s="38" t="s">
        <v>799</v>
      </c>
      <c r="N65" s="38" t="s">
        <v>799</v>
      </c>
      <c r="O65" s="38" t="s">
        <v>799</v>
      </c>
      <c r="P65" s="419" t="s">
        <v>799</v>
      </c>
      <c r="Q65" s="444" t="s">
        <v>799</v>
      </c>
      <c r="R65" s="444" t="s">
        <v>799</v>
      </c>
      <c r="S65" s="444" t="s">
        <v>799</v>
      </c>
      <c r="T65" s="444" t="s">
        <v>799</v>
      </c>
      <c r="U65" s="444" t="s">
        <v>799</v>
      </c>
      <c r="V65" s="444" t="s">
        <v>799</v>
      </c>
      <c r="W65" s="445" t="s">
        <v>799</v>
      </c>
      <c r="X65" s="38" t="s">
        <v>799</v>
      </c>
      <c r="Y65" s="38" t="s">
        <v>799</v>
      </c>
      <c r="Z65" s="38" t="s">
        <v>799</v>
      </c>
      <c r="AA65" s="38" t="s">
        <v>799</v>
      </c>
      <c r="AB65" s="38" t="s">
        <v>799</v>
      </c>
      <c r="AC65" s="38" t="s">
        <v>799</v>
      </c>
      <c r="AD65" s="38" t="s">
        <v>799</v>
      </c>
      <c r="AE65" s="38" t="s">
        <v>799</v>
      </c>
      <c r="AF65" s="410" t="e">
        <f t="shared" si="7"/>
        <v>#REF!</v>
      </c>
      <c r="AG65" s="410">
        <v>171</v>
      </c>
      <c r="AH65" s="420" t="e">
        <f t="shared" si="8"/>
        <v>#REF!</v>
      </c>
      <c r="AI65" s="421">
        <f>+COUNTIFS(Y65:AE65,"0")</f>
        <v>0</v>
      </c>
      <c r="AJ65" s="421">
        <f t="shared" si="9"/>
        <v>0</v>
      </c>
      <c r="AK65" s="421">
        <f t="shared" si="10"/>
        <v>0</v>
      </c>
      <c r="AL65" s="422">
        <f t="shared" si="11"/>
        <v>0</v>
      </c>
      <c r="AM65" s="422" t="e">
        <f t="shared" si="12"/>
        <v>#REF!</v>
      </c>
    </row>
    <row r="66" spans="1:39" ht="14.25" customHeight="1">
      <c r="A66" s="40" t="s">
        <v>110</v>
      </c>
      <c r="B66" s="419" t="e">
        <f>VLOOKUP(A66,#REF!,2,0)</f>
        <v>#REF!</v>
      </c>
      <c r="C66" s="444" t="e">
        <f>VLOOKUP(A66,#REF!, 2, FALSE)</f>
        <v>#REF!</v>
      </c>
      <c r="D66" s="444" t="e">
        <f>VLOOKUP(A66,#REF!, 2, FALSE)</f>
        <v>#REF!</v>
      </c>
      <c r="E66" s="444" t="e">
        <f>VLOOKUP(A66,#REF!, 2, FALSE)</f>
        <v>#REF!</v>
      </c>
      <c r="F66" s="444" t="e">
        <f>VLOOKUP(A66,#REF!, 2, FALSE)</f>
        <v>#REF!</v>
      </c>
      <c r="G66" s="444" t="s">
        <v>231</v>
      </c>
      <c r="H66" s="444" t="e">
        <f>VLOOKUP(A66,#REF!, 2, FALSE)</f>
        <v>#REF!</v>
      </c>
      <c r="I66" s="445" t="e">
        <f>VLOOKUP(A66,#REF!, 2, FALSE)</f>
        <v>#REF!</v>
      </c>
      <c r="J66" s="38" t="e">
        <f>VLOOKUP(A66,#REF!, 2, FALSE)</f>
        <v>#REF!</v>
      </c>
      <c r="K66" s="38" t="e">
        <f>VLOOKUP(A66,#REF!, 2, FALSE)</f>
        <v>#REF!</v>
      </c>
      <c r="L66" s="38" t="e">
        <f>VLOOKUP(A66,#REF!, 2, FALSE)</f>
        <v>#REF!</v>
      </c>
      <c r="M66" s="38" t="e">
        <f>VLOOKUP(A66,#REF!, 2, FALSE)</f>
        <v>#REF!</v>
      </c>
      <c r="N66" s="38" t="e">
        <f>VLOOKUP(A66,#REF!, 2, FALSE)</f>
        <v>#REF!</v>
      </c>
      <c r="O66" s="38" t="e">
        <f>VLOOKUP(A66,#REF!, 2, FALSE)</f>
        <v>#REF!</v>
      </c>
      <c r="P66" s="419" t="e">
        <f>VLOOKUP(A66,#REF!, 2, FALSE)</f>
        <v>#REF!</v>
      </c>
      <c r="Q66" s="444" t="e">
        <f>VLOOKUP(A66,#REF!, 2, FALSE)</f>
        <v>#REF!</v>
      </c>
      <c r="R66" s="444" t="e">
        <f>VLOOKUP(A66,#REF!, 2, FALSE)</f>
        <v>#REF!</v>
      </c>
      <c r="S66" s="444" t="e">
        <f>VLOOKUP(A66,#REF!, 2, FALSE)</f>
        <v>#REF!</v>
      </c>
      <c r="T66" s="444" t="s">
        <v>199</v>
      </c>
      <c r="U66" s="444" t="s">
        <v>199</v>
      </c>
      <c r="V66" s="444" t="s">
        <v>199</v>
      </c>
      <c r="W66" s="445" t="s">
        <v>199</v>
      </c>
      <c r="X66" s="38" t="s">
        <v>199</v>
      </c>
      <c r="Y66" s="38" t="s">
        <v>199</v>
      </c>
      <c r="Z66" s="38" t="s">
        <v>199</v>
      </c>
      <c r="AA66" s="38" t="s">
        <v>199</v>
      </c>
      <c r="AB66" s="38" t="s">
        <v>199</v>
      </c>
      <c r="AC66" s="38" t="s">
        <v>199</v>
      </c>
      <c r="AD66" s="38" t="s">
        <v>199</v>
      </c>
      <c r="AE66" s="38" t="s">
        <v>199</v>
      </c>
      <c r="AF66" s="410" t="e">
        <f t="shared" si="7"/>
        <v>#REF!</v>
      </c>
      <c r="AG66" s="410">
        <v>171</v>
      </c>
      <c r="AH66" s="420" t="e">
        <f t="shared" si="8"/>
        <v>#REF!</v>
      </c>
      <c r="AI66" s="421">
        <f t="shared" ref="AI66:AI68" si="13">+COUNTIFS(P66:V66,"0")</f>
        <v>0</v>
      </c>
      <c r="AJ66" s="421">
        <f t="shared" si="9"/>
        <v>1</v>
      </c>
      <c r="AK66" s="421">
        <f t="shared" si="10"/>
        <v>0</v>
      </c>
      <c r="AL66" s="422">
        <f t="shared" si="11"/>
        <v>0</v>
      </c>
      <c r="AM66" s="422" t="e">
        <f t="shared" si="12"/>
        <v>#REF!</v>
      </c>
    </row>
    <row r="67" spans="1:39" ht="14.25" customHeight="1">
      <c r="A67" s="133" t="s">
        <v>163</v>
      </c>
      <c r="B67" s="419" t="e">
        <f>VLOOKUP(A67,#REF!,2,0)</f>
        <v>#REF!</v>
      </c>
      <c r="C67" s="444" t="e">
        <f>VLOOKUP(A67,#REF!, 2, FALSE)</f>
        <v>#REF!</v>
      </c>
      <c r="D67" s="444" t="e">
        <f>VLOOKUP(A67,#REF!, 2, FALSE)</f>
        <v>#REF!</v>
      </c>
      <c r="E67" s="444" t="e">
        <f>VLOOKUP(A67,#REF!, 2, FALSE)</f>
        <v>#REF!</v>
      </c>
      <c r="F67" s="444" t="e">
        <f>VLOOKUP(A67,#REF!, 2, FALSE)</f>
        <v>#REF!</v>
      </c>
      <c r="G67" s="444" t="e">
        <f>VLOOKUP(A67,#REF!, 2, FALSE)</f>
        <v>#REF!</v>
      </c>
      <c r="H67" s="444" t="s">
        <v>231</v>
      </c>
      <c r="I67" s="445" t="e">
        <f>VLOOKUP(A67,#REF!, 2, FALSE)</f>
        <v>#REF!</v>
      </c>
      <c r="J67" s="38" t="e">
        <f>VLOOKUP(A67,#REF!, 2, FALSE)</f>
        <v>#REF!</v>
      </c>
      <c r="K67" s="38" t="e">
        <f>VLOOKUP(A67,#REF!, 2, FALSE)</f>
        <v>#REF!</v>
      </c>
      <c r="L67" s="38" t="e">
        <f>VLOOKUP(A67,#REF!, 2, FALSE)</f>
        <v>#REF!</v>
      </c>
      <c r="M67" s="38" t="e">
        <f>VLOOKUP(A67,#REF!, 2, FALSE)</f>
        <v>#REF!</v>
      </c>
      <c r="N67" s="38" t="e">
        <f>VLOOKUP(A67,#REF!, 2, FALSE)</f>
        <v>#REF!</v>
      </c>
      <c r="O67" s="38" t="e">
        <f>VLOOKUP(A67,#REF!, 2, FALSE)</f>
        <v>#REF!</v>
      </c>
      <c r="P67" s="419" t="e">
        <f>VLOOKUP(A67,#REF!, 2, FALSE)</f>
        <v>#REF!</v>
      </c>
      <c r="Q67" s="444" t="e">
        <f>VLOOKUP(A67,#REF!, 2, FALSE)</f>
        <v>#REF!</v>
      </c>
      <c r="R67" s="444" t="e">
        <f>VLOOKUP(A67,#REF!, 2, FALSE)</f>
        <v>#REF!</v>
      </c>
      <c r="S67" s="444" t="e">
        <f>VLOOKUP(A67,#REF!, 2, FALSE)</f>
        <v>#REF!</v>
      </c>
      <c r="T67" s="444" t="s">
        <v>231</v>
      </c>
      <c r="U67" s="444" t="s">
        <v>231</v>
      </c>
      <c r="V67" s="444" t="s">
        <v>231</v>
      </c>
      <c r="W67" s="445" t="s">
        <v>199</v>
      </c>
      <c r="X67" s="38" t="s">
        <v>199</v>
      </c>
      <c r="Y67" s="38" t="s">
        <v>199</v>
      </c>
      <c r="Z67" s="38" t="s">
        <v>199</v>
      </c>
      <c r="AA67" s="38" t="s">
        <v>199</v>
      </c>
      <c r="AB67" s="38" t="s">
        <v>199</v>
      </c>
      <c r="AC67" s="38" t="s">
        <v>199</v>
      </c>
      <c r="AD67" s="38" t="s">
        <v>199</v>
      </c>
      <c r="AE67" s="38" t="s">
        <v>199</v>
      </c>
      <c r="AF67" s="410" t="e">
        <f t="shared" si="7"/>
        <v>#REF!</v>
      </c>
      <c r="AG67" s="410">
        <v>171</v>
      </c>
      <c r="AH67" s="420" t="e">
        <f t="shared" si="8"/>
        <v>#REF!</v>
      </c>
      <c r="AI67" s="421">
        <f t="shared" si="13"/>
        <v>0</v>
      </c>
      <c r="AJ67" s="421">
        <f t="shared" si="9"/>
        <v>4</v>
      </c>
      <c r="AK67" s="421">
        <f t="shared" si="10"/>
        <v>0</v>
      </c>
      <c r="AL67" s="422">
        <f t="shared" si="11"/>
        <v>0</v>
      </c>
      <c r="AM67" s="422" t="e">
        <f t="shared" si="12"/>
        <v>#REF!</v>
      </c>
    </row>
    <row r="68" spans="1:39" ht="14.25" customHeight="1">
      <c r="A68" s="133" t="s">
        <v>186</v>
      </c>
      <c r="B68" s="419" t="e">
        <f>VLOOKUP(A68,#REF!,2,0)</f>
        <v>#REF!</v>
      </c>
      <c r="C68" s="444" t="e">
        <f>VLOOKUP(A68,#REF!, 2, FALSE)</f>
        <v>#REF!</v>
      </c>
      <c r="D68" s="444" t="e">
        <f>VLOOKUP(A68,#REF!, 2, FALSE)</f>
        <v>#REF!</v>
      </c>
      <c r="E68" s="444" t="e">
        <f>VLOOKUP(A68,#REF!, 2, FALSE)</f>
        <v>#REF!</v>
      </c>
      <c r="F68" s="444" t="e">
        <f>VLOOKUP(A68,#REF!, 2, FALSE)</f>
        <v>#REF!</v>
      </c>
      <c r="G68" s="444" t="e">
        <f>VLOOKUP(A68,#REF!, 2, FALSE)</f>
        <v>#REF!</v>
      </c>
      <c r="H68" s="444" t="s">
        <v>231</v>
      </c>
      <c r="I68" s="445" t="e">
        <f>VLOOKUP(A68,#REF!, 2, FALSE)</f>
        <v>#REF!</v>
      </c>
      <c r="J68" s="38" t="e">
        <f>VLOOKUP(A68,#REF!, 2, FALSE)</f>
        <v>#REF!</v>
      </c>
      <c r="K68" s="38" t="e">
        <f>VLOOKUP(A68,#REF!, 2, FALSE)</f>
        <v>#REF!</v>
      </c>
      <c r="L68" s="38" t="e">
        <f>VLOOKUP(A68,#REF!, 2, FALSE)</f>
        <v>#REF!</v>
      </c>
      <c r="M68" s="38" t="e">
        <f>VLOOKUP(A68,#REF!, 2, FALSE)</f>
        <v>#REF!</v>
      </c>
      <c r="N68" s="38" t="e">
        <f>VLOOKUP(A68,#REF!, 2, FALSE)</f>
        <v>#REF!</v>
      </c>
      <c r="O68" s="38" t="e">
        <f>VLOOKUP(A68,#REF!, 2, FALSE)</f>
        <v>#REF!</v>
      </c>
      <c r="P68" s="419" t="e">
        <f>VLOOKUP(A68,#REF!, 2, FALSE)</f>
        <v>#REF!</v>
      </c>
      <c r="Q68" s="444" t="e">
        <f>VLOOKUP(A68,#REF!, 2, FALSE)</f>
        <v>#REF!</v>
      </c>
      <c r="R68" s="444" t="e">
        <f>VLOOKUP(A68,#REF!, 2, FALSE)</f>
        <v>#REF!</v>
      </c>
      <c r="S68" s="444" t="e">
        <f>VLOOKUP(A68,#REF!, 2, FALSE)</f>
        <v>#REF!</v>
      </c>
      <c r="T68" s="444" t="e">
        <f>VLOOKUP(A68,#REF!, 2, FALSE)</f>
        <v>#REF!</v>
      </c>
      <c r="U68" s="444" t="e">
        <f>VLOOKUP(A68,#REF!, 2, FALSE)</f>
        <v>#REF!</v>
      </c>
      <c r="V68" s="444" t="s">
        <v>231</v>
      </c>
      <c r="W68" s="445" t="s">
        <v>199</v>
      </c>
      <c r="X68" s="38" t="s">
        <v>199</v>
      </c>
      <c r="Y68" s="38" t="s">
        <v>199</v>
      </c>
      <c r="Z68" s="38" t="s">
        <v>199</v>
      </c>
      <c r="AA68" s="38" t="s">
        <v>199</v>
      </c>
      <c r="AB68" s="38" t="s">
        <v>199</v>
      </c>
      <c r="AC68" s="38" t="s">
        <v>199</v>
      </c>
      <c r="AD68" s="38" t="s">
        <v>199</v>
      </c>
      <c r="AE68" s="38" t="s">
        <v>199</v>
      </c>
      <c r="AF68" s="410" t="e">
        <f t="shared" si="7"/>
        <v>#REF!</v>
      </c>
      <c r="AG68" s="410">
        <v>171</v>
      </c>
      <c r="AH68" s="420" t="e">
        <f t="shared" si="8"/>
        <v>#REF!</v>
      </c>
      <c r="AI68" s="421">
        <f t="shared" si="13"/>
        <v>0</v>
      </c>
      <c r="AJ68" s="421">
        <f t="shared" si="9"/>
        <v>2</v>
      </c>
      <c r="AK68" s="421">
        <f t="shared" si="10"/>
        <v>0</v>
      </c>
      <c r="AL68" s="422">
        <f t="shared" si="11"/>
        <v>0</v>
      </c>
      <c r="AM68" s="422" t="e">
        <f t="shared" si="12"/>
        <v>#REF!</v>
      </c>
    </row>
    <row r="69" spans="1:39" ht="14.25" customHeight="1"/>
    <row r="70" spans="1:39" ht="14.25" customHeight="1"/>
    <row r="71" spans="1:39" ht="14.25" customHeight="1"/>
    <row r="72" spans="1:39" ht="14.25" customHeight="1"/>
    <row r="73" spans="1:39" ht="14.25" customHeight="1"/>
    <row r="74" spans="1:39" ht="14.25" customHeight="1"/>
    <row r="75" spans="1:39" ht="14.25" customHeight="1"/>
    <row r="76" spans="1:39" ht="14.25" customHeight="1"/>
    <row r="77" spans="1:39" ht="14.25" customHeight="1"/>
    <row r="78" spans="1:39" ht="14.25" customHeight="1"/>
    <row r="79" spans="1:39" ht="14.25" customHeight="1"/>
    <row r="80" spans="1:3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</sheetData>
  <autoFilter ref="A2:AM60" xr:uid="{00000000-0009-0000-0000-00005F000000}">
    <filterColumn colId="0">
      <filters>
        <filter val="BENALCAZAR DUARTE JEANNETH GISSELA"/>
      </filters>
    </filterColumn>
  </autoFilter>
  <customSheetViews>
    <customSheetView guid="{D6F95600-F5D2-44BC-80B6-0F2773D5BD92}" filter="1" showAutoFilter="1">
      <pageMargins left="0.7" right="0.7" top="0.75" bottom="0.75" header="0.3" footer="0.3"/>
      <autoFilter ref="A1:W15" xr:uid="{D0CB5570-117C-4EA3-80AC-F0C2DE62B515}"/>
    </customSheetView>
  </customSheetViews>
  <mergeCells count="4">
    <mergeCell ref="B1:C1"/>
    <mergeCell ref="D1:J1"/>
    <mergeCell ref="K1:Q1"/>
    <mergeCell ref="Y1:AE1"/>
  </mergeCells>
  <conditionalFormatting sqref="B3:AE62 B64:AE68">
    <cfRule type="cellIs" dxfId="6" priority="1" operator="equal">
      <formula>0</formula>
    </cfRule>
    <cfRule type="containsText" dxfId="5" priority="2" operator="containsText" text="FI">
      <formula>NOT(ISERROR(SEARCH(("FI"),(B3))))</formula>
    </cfRule>
    <cfRule type="containsText" dxfId="4" priority="3" operator="containsText" text="V">
      <formula>NOT(ISERROR(SEARCH(("V"),(B3))))</formula>
    </cfRule>
    <cfRule type="containsText" dxfId="3" priority="4" operator="containsText" text="RM">
      <formula>NOT(ISERROR(SEARCH(("RM"),(B3))))</formula>
    </cfRule>
  </conditionalFormatting>
  <pageMargins left="0.7" right="0.7" top="0.75" bottom="0.75" header="0" footer="0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00FF00"/>
    <outlinePr summaryBelow="0" summaryRight="0"/>
  </sheetPr>
  <dimension ref="A1:DY24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4.42578125" defaultRowHeight="15" customHeight="1"/>
  <cols>
    <col min="1" max="1" width="13.42578125" customWidth="1"/>
    <col min="2" max="2" width="42" customWidth="1"/>
    <col min="3" max="3" width="11.7109375" hidden="1" customWidth="1"/>
    <col min="4" max="4" width="19" hidden="1" customWidth="1"/>
    <col min="5" max="5" width="8.140625" customWidth="1"/>
    <col min="6" max="6" width="14.7109375" customWidth="1"/>
    <col min="7" max="7" width="14.85546875" customWidth="1"/>
    <col min="8" max="8" width="10.5703125" customWidth="1"/>
    <col min="9" max="9" width="9.42578125" customWidth="1"/>
    <col min="10" max="10" width="14.7109375" customWidth="1"/>
    <col min="11" max="11" width="14.85546875" customWidth="1"/>
    <col min="12" max="12" width="10.5703125" customWidth="1"/>
    <col min="13" max="13" width="11.7109375" customWidth="1"/>
    <col min="14" max="14" width="14.7109375" customWidth="1"/>
    <col min="15" max="15" width="14.85546875" customWidth="1"/>
    <col min="16" max="16" width="10.5703125" customWidth="1"/>
    <col min="17" max="17" width="8.85546875" customWidth="1"/>
    <col min="18" max="18" width="14.7109375" customWidth="1"/>
    <col min="19" max="19" width="14.85546875" customWidth="1"/>
    <col min="20" max="20" width="10.5703125" customWidth="1"/>
    <col min="21" max="21" width="9.5703125" customWidth="1"/>
    <col min="22" max="22" width="14.7109375" customWidth="1"/>
    <col min="23" max="23" width="14.85546875" customWidth="1"/>
    <col min="24" max="24" width="10.5703125" customWidth="1"/>
    <col min="25" max="25" width="9.5703125" customWidth="1"/>
    <col min="26" max="26" width="14.7109375" customWidth="1"/>
    <col min="27" max="27" width="14.85546875" customWidth="1"/>
    <col min="28" max="28" width="10.5703125" customWidth="1"/>
    <col min="29" max="29" width="11" customWidth="1"/>
    <col min="30" max="30" width="14.7109375" customWidth="1"/>
    <col min="31" max="31" width="14.85546875" customWidth="1"/>
    <col min="32" max="32" width="10.5703125" customWidth="1"/>
    <col min="33" max="33" width="8" customWidth="1"/>
    <col min="34" max="34" width="14.7109375" customWidth="1"/>
    <col min="35" max="35" width="14.85546875" customWidth="1"/>
    <col min="36" max="36" width="10.5703125" customWidth="1"/>
    <col min="37" max="37" width="9.42578125" customWidth="1"/>
    <col min="38" max="38" width="14.7109375" customWidth="1"/>
    <col min="39" max="39" width="14.85546875" customWidth="1"/>
    <col min="40" max="40" width="10.5703125" customWidth="1"/>
    <col min="41" max="41" width="12.7109375" customWidth="1"/>
    <col min="42" max="42" width="14.7109375" customWidth="1"/>
    <col min="43" max="43" width="14.85546875" customWidth="1"/>
    <col min="44" max="44" width="10.5703125" customWidth="1"/>
    <col min="45" max="45" width="10" customWidth="1"/>
    <col min="46" max="46" width="14.7109375" customWidth="1"/>
    <col min="47" max="47" width="14.85546875" customWidth="1"/>
    <col min="48" max="48" width="10.5703125" customWidth="1"/>
    <col min="49" max="49" width="10.7109375" customWidth="1"/>
    <col min="50" max="50" width="14.7109375" customWidth="1"/>
    <col min="51" max="51" width="14.85546875" customWidth="1"/>
    <col min="52" max="52" width="10.5703125" customWidth="1"/>
    <col min="53" max="53" width="10.7109375" customWidth="1"/>
    <col min="54" max="54" width="14.7109375" customWidth="1"/>
    <col min="55" max="55" width="14.85546875" customWidth="1"/>
    <col min="56" max="56" width="10.5703125" customWidth="1"/>
    <col min="57" max="57" width="12" customWidth="1"/>
    <col min="58" max="58" width="14.7109375" customWidth="1"/>
    <col min="59" max="59" width="14.85546875" customWidth="1"/>
    <col min="60" max="60" width="10.5703125" customWidth="1"/>
    <col min="61" max="61" width="9" customWidth="1"/>
    <col min="62" max="62" width="14.7109375" customWidth="1"/>
    <col min="63" max="63" width="14.85546875" customWidth="1"/>
    <col min="64" max="64" width="10.5703125" customWidth="1"/>
    <col min="65" max="65" width="10.42578125" customWidth="1"/>
    <col min="66" max="66" width="14.7109375" customWidth="1"/>
    <col min="67" max="67" width="14.85546875" customWidth="1"/>
    <col min="68" max="68" width="10.5703125" customWidth="1"/>
    <col min="69" max="69" width="12.7109375" customWidth="1"/>
    <col min="70" max="70" width="14.7109375" customWidth="1"/>
    <col min="71" max="71" width="14.85546875" customWidth="1"/>
    <col min="72" max="72" width="10.5703125" customWidth="1"/>
    <col min="73" max="73" width="10" customWidth="1"/>
    <col min="74" max="74" width="14.7109375" customWidth="1"/>
    <col min="75" max="75" width="14.85546875" customWidth="1"/>
    <col min="76" max="76" width="10.5703125" customWidth="1"/>
    <col min="77" max="77" width="10.7109375" customWidth="1"/>
    <col min="78" max="78" width="14.7109375" customWidth="1"/>
    <col min="79" max="79" width="14.85546875" customWidth="1"/>
    <col min="80" max="80" width="10.5703125" customWidth="1"/>
    <col min="81" max="81" width="10.7109375" customWidth="1"/>
    <col min="82" max="82" width="14.7109375" customWidth="1"/>
    <col min="83" max="83" width="14.85546875" customWidth="1"/>
    <col min="84" max="84" width="10.5703125" customWidth="1"/>
    <col min="85" max="85" width="12" customWidth="1"/>
    <col min="86" max="86" width="14.7109375" customWidth="1"/>
    <col min="87" max="87" width="14.85546875" customWidth="1"/>
    <col min="88" max="88" width="10.5703125" customWidth="1"/>
    <col min="89" max="89" width="9" customWidth="1"/>
    <col min="90" max="90" width="14.7109375" customWidth="1"/>
    <col min="91" max="91" width="14.85546875" customWidth="1"/>
    <col min="92" max="92" width="10.5703125" customWidth="1"/>
    <col min="93" max="93" width="10.42578125" customWidth="1"/>
    <col min="94" max="94" width="14.7109375" customWidth="1"/>
    <col min="95" max="95" width="14.85546875" customWidth="1"/>
    <col min="96" max="96" width="10.5703125" customWidth="1"/>
    <col min="97" max="97" width="12.7109375" customWidth="1"/>
    <col min="98" max="98" width="14.7109375" customWidth="1"/>
    <col min="99" max="99" width="14.85546875" customWidth="1"/>
    <col min="100" max="100" width="10.5703125" customWidth="1"/>
    <col min="101" max="101" width="10" customWidth="1"/>
    <col min="102" max="102" width="14.7109375" customWidth="1"/>
    <col min="103" max="103" width="14.85546875" customWidth="1"/>
    <col min="104" max="104" width="10.5703125" customWidth="1"/>
    <col min="105" max="105" width="10.7109375" customWidth="1"/>
    <col min="106" max="106" width="14.7109375" customWidth="1"/>
    <col min="107" max="107" width="14.85546875" customWidth="1"/>
    <col min="108" max="108" width="10.5703125" customWidth="1"/>
    <col min="109" max="109" width="10.7109375" customWidth="1"/>
    <col min="110" max="110" width="14.7109375" customWidth="1"/>
    <col min="111" max="111" width="14.85546875" customWidth="1"/>
    <col min="112" max="112" width="10.5703125" customWidth="1"/>
    <col min="113" max="113" width="12" customWidth="1"/>
    <col min="114" max="114" width="14.7109375" customWidth="1"/>
    <col min="115" max="115" width="14.85546875" customWidth="1"/>
    <col min="116" max="116" width="10.5703125" customWidth="1"/>
    <col min="117" max="117" width="9" customWidth="1"/>
    <col min="118" max="118" width="14.7109375" customWidth="1"/>
    <col min="119" max="119" width="14.85546875" customWidth="1"/>
    <col min="120" max="120" width="10.5703125" customWidth="1"/>
    <col min="121" max="121" width="10.42578125" customWidth="1"/>
    <col min="122" max="122" width="14.7109375" customWidth="1"/>
    <col min="123" max="123" width="14.85546875" customWidth="1"/>
    <col min="124" max="124" width="10.5703125" customWidth="1"/>
    <col min="125" max="125" width="12.7109375" customWidth="1"/>
    <col min="126" max="126" width="14.7109375" customWidth="1"/>
    <col min="127" max="127" width="14.85546875" customWidth="1"/>
    <col min="128" max="128" width="10.5703125" customWidth="1"/>
    <col min="129" max="129" width="17.42578125" customWidth="1"/>
  </cols>
  <sheetData>
    <row r="1" spans="1:129">
      <c r="E1" s="599">
        <v>46023</v>
      </c>
      <c r="F1" s="593"/>
      <c r="G1" s="593"/>
      <c r="H1" s="594"/>
      <c r="I1" s="599">
        <v>46024</v>
      </c>
      <c r="J1" s="593"/>
      <c r="K1" s="593"/>
      <c r="L1" s="594"/>
      <c r="M1" s="599">
        <v>46025</v>
      </c>
      <c r="N1" s="593"/>
      <c r="O1" s="593"/>
      <c r="P1" s="594"/>
      <c r="Q1" s="599">
        <v>46026</v>
      </c>
      <c r="R1" s="593"/>
      <c r="S1" s="593"/>
      <c r="T1" s="594"/>
      <c r="U1" s="599">
        <v>46027</v>
      </c>
      <c r="V1" s="593"/>
      <c r="W1" s="593"/>
      <c r="X1" s="594"/>
      <c r="Y1" s="599">
        <v>46028</v>
      </c>
      <c r="Z1" s="593"/>
      <c r="AA1" s="593"/>
      <c r="AB1" s="594"/>
      <c r="AC1" s="599">
        <v>46029</v>
      </c>
      <c r="AD1" s="593"/>
      <c r="AE1" s="593"/>
      <c r="AF1" s="594"/>
      <c r="AG1" s="599">
        <v>46030</v>
      </c>
      <c r="AH1" s="593"/>
      <c r="AI1" s="593"/>
      <c r="AJ1" s="594"/>
      <c r="AK1" s="599">
        <v>46031</v>
      </c>
      <c r="AL1" s="593"/>
      <c r="AM1" s="593"/>
      <c r="AN1" s="594"/>
      <c r="AO1" s="599">
        <v>46032</v>
      </c>
      <c r="AP1" s="593"/>
      <c r="AQ1" s="593"/>
      <c r="AR1" s="594"/>
      <c r="AS1" s="599">
        <v>46033</v>
      </c>
      <c r="AT1" s="593"/>
      <c r="AU1" s="593"/>
      <c r="AV1" s="594"/>
      <c r="AW1" s="599">
        <v>46034</v>
      </c>
      <c r="AX1" s="593"/>
      <c r="AY1" s="593"/>
      <c r="AZ1" s="594"/>
      <c r="BA1" s="599">
        <v>46035</v>
      </c>
      <c r="BB1" s="593"/>
      <c r="BC1" s="593"/>
      <c r="BD1" s="594"/>
      <c r="BE1" s="599">
        <v>46036</v>
      </c>
      <c r="BF1" s="593"/>
      <c r="BG1" s="593"/>
      <c r="BH1" s="594"/>
      <c r="BI1" s="599">
        <v>46037</v>
      </c>
      <c r="BJ1" s="593"/>
      <c r="BK1" s="593"/>
      <c r="BL1" s="594"/>
      <c r="BM1" s="599">
        <v>46038</v>
      </c>
      <c r="BN1" s="593"/>
      <c r="BO1" s="593"/>
      <c r="BP1" s="594"/>
      <c r="BQ1" s="599">
        <v>46039</v>
      </c>
      <c r="BR1" s="593"/>
      <c r="BS1" s="593"/>
      <c r="BT1" s="594"/>
      <c r="BU1" s="599">
        <v>46040</v>
      </c>
      <c r="BV1" s="593"/>
      <c r="BW1" s="593"/>
      <c r="BX1" s="594"/>
      <c r="BY1" s="599">
        <v>46041</v>
      </c>
      <c r="BZ1" s="593"/>
      <c r="CA1" s="593"/>
      <c r="CB1" s="594"/>
      <c r="CC1" s="599">
        <v>46042</v>
      </c>
      <c r="CD1" s="593"/>
      <c r="CE1" s="593"/>
      <c r="CF1" s="594"/>
      <c r="CG1" s="599">
        <v>46043</v>
      </c>
      <c r="CH1" s="593"/>
      <c r="CI1" s="593"/>
      <c r="CJ1" s="594"/>
      <c r="CK1" s="599">
        <v>46044</v>
      </c>
      <c r="CL1" s="593"/>
      <c r="CM1" s="593"/>
      <c r="CN1" s="594"/>
      <c r="CO1" s="599">
        <v>46045</v>
      </c>
      <c r="CP1" s="593"/>
      <c r="CQ1" s="593"/>
      <c r="CR1" s="594"/>
      <c r="CS1" s="599">
        <v>46046</v>
      </c>
      <c r="CT1" s="593"/>
      <c r="CU1" s="593"/>
      <c r="CV1" s="594"/>
      <c r="CW1" s="599">
        <v>46047</v>
      </c>
      <c r="CX1" s="593"/>
      <c r="CY1" s="593"/>
      <c r="CZ1" s="594"/>
      <c r="DA1" s="599">
        <v>46048</v>
      </c>
      <c r="DB1" s="593"/>
      <c r="DC1" s="593"/>
      <c r="DD1" s="594"/>
      <c r="DE1" s="599">
        <v>46049</v>
      </c>
      <c r="DF1" s="593"/>
      <c r="DG1" s="593"/>
      <c r="DH1" s="594"/>
      <c r="DI1" s="599">
        <v>46050</v>
      </c>
      <c r="DJ1" s="593"/>
      <c r="DK1" s="593"/>
      <c r="DL1" s="594"/>
      <c r="DM1" s="599">
        <v>46051</v>
      </c>
      <c r="DN1" s="593"/>
      <c r="DO1" s="593"/>
      <c r="DP1" s="594"/>
      <c r="DQ1" s="599">
        <v>46052</v>
      </c>
      <c r="DR1" s="593"/>
      <c r="DS1" s="593"/>
      <c r="DT1" s="594"/>
      <c r="DU1" s="599">
        <v>46053</v>
      </c>
      <c r="DV1" s="593"/>
      <c r="DW1" s="593"/>
      <c r="DX1" s="594"/>
    </row>
    <row r="2" spans="1:129" ht="15" customHeight="1">
      <c r="A2" s="424" t="s">
        <v>789</v>
      </c>
      <c r="B2" s="425" t="s">
        <v>37</v>
      </c>
      <c r="C2" s="424" t="s">
        <v>790</v>
      </c>
      <c r="D2" s="424" t="s">
        <v>791</v>
      </c>
      <c r="E2" s="426" t="s">
        <v>38</v>
      </c>
      <c r="F2" s="427" t="s">
        <v>792</v>
      </c>
      <c r="G2" s="428" t="s">
        <v>793</v>
      </c>
      <c r="H2" s="429" t="s">
        <v>794</v>
      </c>
      <c r="I2" s="426" t="s">
        <v>38</v>
      </c>
      <c r="J2" s="427" t="s">
        <v>792</v>
      </c>
      <c r="K2" s="428" t="s">
        <v>793</v>
      </c>
      <c r="L2" s="429" t="s">
        <v>794</v>
      </c>
      <c r="M2" s="426" t="s">
        <v>38</v>
      </c>
      <c r="N2" s="427" t="s">
        <v>792</v>
      </c>
      <c r="O2" s="428" t="s">
        <v>793</v>
      </c>
      <c r="P2" s="429" t="s">
        <v>794</v>
      </c>
      <c r="Q2" s="426" t="s">
        <v>38</v>
      </c>
      <c r="R2" s="427" t="s">
        <v>792</v>
      </c>
      <c r="S2" s="428" t="s">
        <v>793</v>
      </c>
      <c r="T2" s="429" t="s">
        <v>794</v>
      </c>
      <c r="U2" s="426" t="s">
        <v>38</v>
      </c>
      <c r="V2" s="427" t="s">
        <v>792</v>
      </c>
      <c r="W2" s="428" t="s">
        <v>793</v>
      </c>
      <c r="X2" s="429" t="s">
        <v>794</v>
      </c>
      <c r="Y2" s="426" t="s">
        <v>38</v>
      </c>
      <c r="Z2" s="427" t="s">
        <v>792</v>
      </c>
      <c r="AA2" s="428" t="s">
        <v>793</v>
      </c>
      <c r="AB2" s="429" t="s">
        <v>794</v>
      </c>
      <c r="AC2" s="426" t="s">
        <v>38</v>
      </c>
      <c r="AD2" s="427" t="s">
        <v>792</v>
      </c>
      <c r="AE2" s="428" t="s">
        <v>793</v>
      </c>
      <c r="AF2" s="429" t="s">
        <v>794</v>
      </c>
      <c r="AG2" s="426" t="s">
        <v>38</v>
      </c>
      <c r="AH2" s="427" t="s">
        <v>792</v>
      </c>
      <c r="AI2" s="428" t="s">
        <v>793</v>
      </c>
      <c r="AJ2" s="429" t="s">
        <v>794</v>
      </c>
      <c r="AK2" s="426" t="s">
        <v>38</v>
      </c>
      <c r="AL2" s="427" t="s">
        <v>792</v>
      </c>
      <c r="AM2" s="428" t="s">
        <v>793</v>
      </c>
      <c r="AN2" s="429" t="s">
        <v>794</v>
      </c>
      <c r="AO2" s="426" t="s">
        <v>38</v>
      </c>
      <c r="AP2" s="427" t="s">
        <v>792</v>
      </c>
      <c r="AQ2" s="428" t="s">
        <v>793</v>
      </c>
      <c r="AR2" s="429" t="s">
        <v>794</v>
      </c>
      <c r="AS2" s="426" t="s">
        <v>38</v>
      </c>
      <c r="AT2" s="427" t="s">
        <v>792</v>
      </c>
      <c r="AU2" s="428" t="s">
        <v>793</v>
      </c>
      <c r="AV2" s="429" t="s">
        <v>794</v>
      </c>
      <c r="AW2" s="426" t="s">
        <v>38</v>
      </c>
      <c r="AX2" s="427" t="s">
        <v>792</v>
      </c>
      <c r="AY2" s="428" t="s">
        <v>793</v>
      </c>
      <c r="AZ2" s="429" t="s">
        <v>794</v>
      </c>
      <c r="BA2" s="426" t="s">
        <v>38</v>
      </c>
      <c r="BB2" s="427" t="s">
        <v>792</v>
      </c>
      <c r="BC2" s="428" t="s">
        <v>793</v>
      </c>
      <c r="BD2" s="429" t="s">
        <v>794</v>
      </c>
      <c r="BE2" s="426" t="s">
        <v>38</v>
      </c>
      <c r="BF2" s="427" t="s">
        <v>792</v>
      </c>
      <c r="BG2" s="428" t="s">
        <v>793</v>
      </c>
      <c r="BH2" s="429" t="s">
        <v>794</v>
      </c>
      <c r="BI2" s="426" t="s">
        <v>38</v>
      </c>
      <c r="BJ2" s="427" t="s">
        <v>792</v>
      </c>
      <c r="BK2" s="428" t="s">
        <v>793</v>
      </c>
      <c r="BL2" s="429" t="s">
        <v>794</v>
      </c>
      <c r="BM2" s="426" t="s">
        <v>38</v>
      </c>
      <c r="BN2" s="427" t="s">
        <v>792</v>
      </c>
      <c r="BO2" s="428" t="s">
        <v>793</v>
      </c>
      <c r="BP2" s="429" t="s">
        <v>794</v>
      </c>
      <c r="BQ2" s="426" t="s">
        <v>38</v>
      </c>
      <c r="BR2" s="427" t="s">
        <v>792</v>
      </c>
      <c r="BS2" s="428" t="s">
        <v>793</v>
      </c>
      <c r="BT2" s="429" t="s">
        <v>794</v>
      </c>
      <c r="BU2" s="426" t="s">
        <v>38</v>
      </c>
      <c r="BV2" s="427" t="s">
        <v>792</v>
      </c>
      <c r="BW2" s="428" t="s">
        <v>793</v>
      </c>
      <c r="BX2" s="429" t="s">
        <v>794</v>
      </c>
      <c r="BY2" s="426" t="s">
        <v>38</v>
      </c>
      <c r="BZ2" s="427" t="s">
        <v>792</v>
      </c>
      <c r="CA2" s="428" t="s">
        <v>793</v>
      </c>
      <c r="CB2" s="429" t="s">
        <v>794</v>
      </c>
      <c r="CC2" s="426" t="s">
        <v>38</v>
      </c>
      <c r="CD2" s="427" t="s">
        <v>792</v>
      </c>
      <c r="CE2" s="428" t="s">
        <v>793</v>
      </c>
      <c r="CF2" s="429" t="s">
        <v>794</v>
      </c>
      <c r="CG2" s="426" t="s">
        <v>38</v>
      </c>
      <c r="CH2" s="427" t="s">
        <v>792</v>
      </c>
      <c r="CI2" s="428" t="s">
        <v>793</v>
      </c>
      <c r="CJ2" s="429" t="s">
        <v>794</v>
      </c>
      <c r="CK2" s="426" t="s">
        <v>38</v>
      </c>
      <c r="CL2" s="427" t="s">
        <v>792</v>
      </c>
      <c r="CM2" s="428" t="s">
        <v>793</v>
      </c>
      <c r="CN2" s="429" t="s">
        <v>794</v>
      </c>
      <c r="CO2" s="426" t="s">
        <v>38</v>
      </c>
      <c r="CP2" s="427" t="s">
        <v>792</v>
      </c>
      <c r="CQ2" s="428" t="s">
        <v>793</v>
      </c>
      <c r="CR2" s="429" t="s">
        <v>794</v>
      </c>
      <c r="CS2" s="426" t="s">
        <v>38</v>
      </c>
      <c r="CT2" s="427" t="s">
        <v>792</v>
      </c>
      <c r="CU2" s="428" t="s">
        <v>793</v>
      </c>
      <c r="CV2" s="429" t="s">
        <v>794</v>
      </c>
      <c r="CW2" s="426" t="s">
        <v>38</v>
      </c>
      <c r="CX2" s="427" t="s">
        <v>792</v>
      </c>
      <c r="CY2" s="428" t="s">
        <v>793</v>
      </c>
      <c r="CZ2" s="429" t="s">
        <v>794</v>
      </c>
      <c r="DA2" s="426" t="s">
        <v>38</v>
      </c>
      <c r="DB2" s="427" t="s">
        <v>792</v>
      </c>
      <c r="DC2" s="428" t="s">
        <v>793</v>
      </c>
      <c r="DD2" s="429" t="s">
        <v>794</v>
      </c>
      <c r="DE2" s="426" t="s">
        <v>38</v>
      </c>
      <c r="DF2" s="427" t="s">
        <v>792</v>
      </c>
      <c r="DG2" s="428" t="s">
        <v>793</v>
      </c>
      <c r="DH2" s="429" t="s">
        <v>794</v>
      </c>
      <c r="DI2" s="426" t="s">
        <v>38</v>
      </c>
      <c r="DJ2" s="427" t="s">
        <v>792</v>
      </c>
      <c r="DK2" s="428" t="s">
        <v>793</v>
      </c>
      <c r="DL2" s="429" t="s">
        <v>794</v>
      </c>
      <c r="DM2" s="426" t="s">
        <v>38</v>
      </c>
      <c r="DN2" s="427" t="s">
        <v>792</v>
      </c>
      <c r="DO2" s="428" t="s">
        <v>793</v>
      </c>
      <c r="DP2" s="429" t="s">
        <v>794</v>
      </c>
      <c r="DQ2" s="426" t="s">
        <v>38</v>
      </c>
      <c r="DR2" s="427" t="s">
        <v>792</v>
      </c>
      <c r="DS2" s="428" t="s">
        <v>793</v>
      </c>
      <c r="DT2" s="429" t="s">
        <v>794</v>
      </c>
      <c r="DU2" s="426" t="s">
        <v>38</v>
      </c>
      <c r="DV2" s="427" t="s">
        <v>792</v>
      </c>
      <c r="DW2" s="428" t="s">
        <v>793</v>
      </c>
      <c r="DX2" s="429" t="s">
        <v>794</v>
      </c>
      <c r="DY2" s="430" t="s">
        <v>795</v>
      </c>
    </row>
    <row r="3" spans="1:129">
      <c r="A3" s="166" t="s">
        <v>45</v>
      </c>
      <c r="B3" s="166" t="s">
        <v>46</v>
      </c>
      <c r="C3" s="166">
        <v>502873573</v>
      </c>
      <c r="D3" s="431">
        <v>32880</v>
      </c>
      <c r="E3" s="163" t="e">
        <f>VLOOKUP($B:$B,#REF!,2,FALSE)</f>
        <v>#REF!</v>
      </c>
      <c r="F3" s="432">
        <f t="shared" ref="F3:F26" si="0">IFERROR(VLOOKUP(E3,$B$229:$E$245,2,FALSE),0)</f>
        <v>0</v>
      </c>
      <c r="G3" s="434">
        <v>2.8668981481481483E-2</v>
      </c>
      <c r="H3" s="432">
        <f t="shared" ref="H3:H26" si="1">IF(G3-F3&lt;0,0,G3-F3)</f>
        <v>2.8668981481481483E-2</v>
      </c>
      <c r="I3" s="163" t="e">
        <f>VLOOKUP($B:$B,'HT DIC'!$A:$AE,3,FALSE)</f>
        <v>#REF!</v>
      </c>
      <c r="J3" s="432">
        <f t="shared" ref="J3:J26" si="2">IFERROR(VLOOKUP(I3,$B$229:$E$245,2,FALSE),0)</f>
        <v>0</v>
      </c>
      <c r="K3" s="434">
        <v>3.1238425925925926E-2</v>
      </c>
      <c r="L3" s="432">
        <f t="shared" ref="L3:L26" si="3">IF(K3-J3&lt;0,0,K3-J3)</f>
        <v>3.1238425925925926E-2</v>
      </c>
      <c r="M3" s="163" t="e">
        <f>VLOOKUP($B:$B,'HT DIC'!$A:$AE,4,FALSE)</f>
        <v>#REF!</v>
      </c>
      <c r="N3" s="432">
        <f t="shared" ref="N3:N26" si="4">IFERROR(VLOOKUP(M3,$B$229:$E$245,2,FALSE),0)</f>
        <v>0</v>
      </c>
      <c r="O3" s="432">
        <v>3.0925925925925926E-2</v>
      </c>
      <c r="P3" s="432">
        <f t="shared" ref="P3:P15" si="5">IF(O3-N3&lt;0,0,O3-N3)</f>
        <v>3.0925925925925926E-2</v>
      </c>
      <c r="Q3" s="163" t="e">
        <f>VLOOKUP($B:$B,'HT DIC'!$A:$AE,5,FALSE)</f>
        <v>#REF!</v>
      </c>
      <c r="R3" s="432">
        <f t="shared" ref="R3:R26" si="6">IFERROR(VLOOKUP(Q3,$B$229:$E$245,2,FALSE),0)</f>
        <v>0</v>
      </c>
      <c r="S3" s="432">
        <v>2.8923611111111112E-2</v>
      </c>
      <c r="T3" s="432">
        <f t="shared" ref="T3:T26" si="7">IF(S3-R3&lt;0,0,S3-R3)</f>
        <v>2.8923611111111112E-2</v>
      </c>
      <c r="U3" s="163" t="e">
        <f>VLOOKUP($B:$B,'HT DIC'!$A:$AE,6,FALSE)</f>
        <v>#REF!</v>
      </c>
      <c r="V3" s="432">
        <f t="shared" ref="V3:V26" si="8">IFERROR(VLOOKUP(U3,$B$229:$E$245,2,FALSE),0)</f>
        <v>0</v>
      </c>
      <c r="W3" s="434">
        <v>1.4375000000000001E-2</v>
      </c>
      <c r="X3" s="432">
        <f t="shared" ref="X3:X15" si="9">IF(W3-V3&lt;0,0,W3-V3)</f>
        <v>1.4375000000000001E-2</v>
      </c>
      <c r="Y3" s="163" t="e">
        <f>VLOOKUP($B:$B,'HT DIC'!$A:$AE,7,FALSE)</f>
        <v>#REF!</v>
      </c>
      <c r="Z3" s="432">
        <f t="shared" ref="Z3:Z26" si="10">IFERROR(VLOOKUP(Y3,$B$229:$E$245,2,FALSE),0)</f>
        <v>0</v>
      </c>
      <c r="AA3" s="434">
        <v>1.863425925925926E-2</v>
      </c>
      <c r="AB3" s="432">
        <f t="shared" ref="AB3:AB26" si="11">IF(AA3-Z3&lt;0,0,AA3-Z3)</f>
        <v>1.863425925925926E-2</v>
      </c>
      <c r="AC3" s="163" t="e">
        <f>VLOOKUP($B:$B,'HT DIC'!$A:$AE,8,FALSE)</f>
        <v>#REF!</v>
      </c>
      <c r="AD3" s="432">
        <f t="shared" ref="AD3:AD26" si="12">IFERROR(VLOOKUP(AC3,$B$229:$E$245,2,FALSE),0)</f>
        <v>0</v>
      </c>
      <c r="AE3" s="434"/>
      <c r="AF3" s="432">
        <f t="shared" ref="AF3:AF26" si="13">IF(AE3-AD3&lt;0,0,AE3-AD3)</f>
        <v>0</v>
      </c>
      <c r="AG3" s="163" t="e">
        <f>VLOOKUP($B:$B,'HT DIC'!$A:$AE,9,FALSE)</f>
        <v>#REF!</v>
      </c>
      <c r="AH3" s="432">
        <f t="shared" ref="AH3:AH26" si="14">IFERROR(VLOOKUP(AG3,$B$229:$E$245,2,FALSE),0)</f>
        <v>0</v>
      </c>
      <c r="AI3" s="434">
        <v>3.4618055555555555E-2</v>
      </c>
      <c r="AJ3" s="432">
        <f t="shared" ref="AJ3:AJ26" si="15">IF(AI3-AH3&lt;0,0,AI3-AH3)</f>
        <v>3.4618055555555555E-2</v>
      </c>
      <c r="AK3" s="163" t="e">
        <f>VLOOKUP($B:$B,'HT DIC'!$A:$AE,10,FALSE)</f>
        <v>#REF!</v>
      </c>
      <c r="AL3" s="432">
        <f t="shared" ref="AL3:AL26" si="16">IFERROR(VLOOKUP(AK3,$B$229:$E$245,2,FALSE),0)</f>
        <v>0</v>
      </c>
      <c r="AM3" s="434">
        <v>2.8784722222222222E-2</v>
      </c>
      <c r="AN3" s="432">
        <f t="shared" ref="AN3:AN26" si="17">IF(AM3-AL3&lt;0,0,AM3-AL3)</f>
        <v>2.8784722222222222E-2</v>
      </c>
      <c r="AO3" s="163" t="e">
        <f>VLOOKUP($B:$B,'HT DIC'!$A:$AE,11,FALSE)</f>
        <v>#REF!</v>
      </c>
      <c r="AP3" s="432">
        <f t="shared" ref="AP3:AP26" si="18">IFERROR(VLOOKUP(AO3,$B$229:$E$245,2,FALSE),0)</f>
        <v>0</v>
      </c>
      <c r="AQ3" s="432">
        <v>2.7523148148148147E-2</v>
      </c>
      <c r="AR3" s="432">
        <f t="shared" ref="AR3:AR26" si="19">IF(AQ3-AP3&lt;0,0,AQ3-AP3)</f>
        <v>2.7523148148148147E-2</v>
      </c>
      <c r="AS3" s="163" t="e">
        <f>VLOOKUP($B:$B,'HT DIC'!$A:$AE,12,FALSE)</f>
        <v>#REF!</v>
      </c>
      <c r="AT3" s="432">
        <f t="shared" ref="AT3:AT26" si="20">IFERROR(VLOOKUP(AS3,$B$229:$E$245,2,FALSE),0)</f>
        <v>0</v>
      </c>
      <c r="AU3" s="434">
        <v>3.5208333333333335E-2</v>
      </c>
      <c r="AV3" s="432">
        <f t="shared" ref="AV3:AV26" si="21">IF(AU3-AT3&lt;0,0,AU3-AT3)</f>
        <v>3.5208333333333335E-2</v>
      </c>
      <c r="AW3" s="163" t="e">
        <f>VLOOKUP($B:$B,'HT DIC'!$A:$AE,13,FALSE)</f>
        <v>#REF!</v>
      </c>
      <c r="AX3" s="432">
        <f t="shared" ref="AX3:AX59" si="22">IFERROR(VLOOKUP(AW3,$B$229:$E$245,2,FALSE),0)</f>
        <v>0</v>
      </c>
      <c r="AY3" s="434">
        <v>1.7719907407407406E-2</v>
      </c>
      <c r="AZ3" s="432">
        <f t="shared" ref="AZ3:AZ59" si="23">IF(AY3-AX3&lt;0,0,AY3-AX3)</f>
        <v>1.7719907407407406E-2</v>
      </c>
      <c r="BA3" s="163" t="e">
        <f>VLOOKUP($B:$B,'HT DIC'!$A:$AE,14,FALSE)</f>
        <v>#REF!</v>
      </c>
      <c r="BB3" s="432">
        <f t="shared" ref="BB3:BB59" si="24">IFERROR(VLOOKUP(BA3,$B$229:$E$245,2,FALSE),0)</f>
        <v>0</v>
      </c>
      <c r="BC3" s="434">
        <v>1.3784722222222223E-2</v>
      </c>
      <c r="BD3" s="432">
        <f t="shared" ref="BD3:BD59" si="25">IF(BC3-BB3&lt;0,0,BC3-BB3)</f>
        <v>1.3784722222222223E-2</v>
      </c>
      <c r="BE3" s="163" t="e">
        <f>VLOOKUP($B:$B,'HT DIC'!$A:$AE,15,FALSE)</f>
        <v>#REF!</v>
      </c>
      <c r="BF3" s="432">
        <f t="shared" ref="BF3:BF59" si="26">IFERROR(VLOOKUP(BE3,$B$229:$E$245,2,FALSE),0)</f>
        <v>0</v>
      </c>
      <c r="BG3" s="434"/>
      <c r="BH3" s="432">
        <f t="shared" ref="BH3:BH59" si="27">IF(BG3-BF3&lt;0,0,BG3-BF3)</f>
        <v>0</v>
      </c>
      <c r="BI3" s="163" t="e">
        <f>VLOOKUP($B:$B,'HT DIC'!$A:$AE,16,FALSE)</f>
        <v>#REF!</v>
      </c>
      <c r="BJ3" s="432">
        <f t="shared" ref="BJ3:BK3" si="28">IFERROR(VLOOKUP(BI3,$B$229:$E$245,2,FALSE),0)</f>
        <v>0</v>
      </c>
      <c r="BK3" s="432">
        <f t="shared" si="28"/>
        <v>0</v>
      </c>
      <c r="BL3" s="432">
        <f t="shared" ref="BL3:BL59" si="29">IF(BK3-BJ3&lt;0,0,BK3-BJ3)</f>
        <v>0</v>
      </c>
      <c r="BM3" s="163" t="e">
        <f>VLOOKUP($B:$B,'HT DIC'!$A:$AE,17,FALSE)</f>
        <v>#REF!</v>
      </c>
      <c r="BN3" s="432">
        <f t="shared" ref="BN3:BN59" si="30">IFERROR(VLOOKUP(BM3,$B$229:$E$245,2,FALSE),0)</f>
        <v>0</v>
      </c>
      <c r="BO3" s="434">
        <v>3.4074074074074076E-2</v>
      </c>
      <c r="BP3" s="432">
        <f t="shared" ref="BP3:BP59" si="31">IF(BO3-BN3&lt;0,0,BO3-BN3)</f>
        <v>3.4074074074074076E-2</v>
      </c>
      <c r="BQ3" s="163" t="e">
        <f>VLOOKUP($B:$B,'HT DIC'!$A:$AE,18,FALSE)</f>
        <v>#REF!</v>
      </c>
      <c r="BR3" s="432">
        <f t="shared" ref="BR3:BS3" si="32">IFERROR(VLOOKUP(BQ3,$B$229:$E$245,2,FALSE),0)</f>
        <v>0</v>
      </c>
      <c r="BS3" s="432">
        <f t="shared" si="32"/>
        <v>0</v>
      </c>
      <c r="BT3" s="432">
        <f t="shared" ref="BT3:BT59" si="33">IF(BS3-BR3&lt;0,0,BS3-BR3)</f>
        <v>0</v>
      </c>
      <c r="BU3" s="163" t="e">
        <f>VLOOKUP($B:$B,'HT DIC'!$A:$AE,19,FALSE)</f>
        <v>#REF!</v>
      </c>
      <c r="BV3" s="432">
        <f t="shared" ref="BV3:BV59" si="34">IFERROR(VLOOKUP(BU3,$B$229:$E$245,2,FALSE),0)</f>
        <v>0</v>
      </c>
      <c r="BW3" s="434">
        <v>2.6342592592592591E-2</v>
      </c>
      <c r="BX3" s="432">
        <f t="shared" ref="BX3:BX59" si="35">IF(BW3-BV3&lt;0,0,BW3-BV3)</f>
        <v>2.6342592592592591E-2</v>
      </c>
      <c r="BY3" s="163" t="e">
        <f>VLOOKUP($B:$B,'HT DIC'!$A:$AE,20,FALSE)</f>
        <v>#REF!</v>
      </c>
      <c r="BZ3" s="432">
        <f t="shared" ref="BZ3:CA3" si="36">IFERROR(VLOOKUP(BY3,$B$229:$E$245,2,FALSE),0)</f>
        <v>0</v>
      </c>
      <c r="CA3" s="432">
        <f t="shared" si="36"/>
        <v>0</v>
      </c>
      <c r="CB3" s="432">
        <f t="shared" ref="CB3:CB59" si="37">IF(CA3-BZ3&lt;0,0,CA3-BZ3)</f>
        <v>0</v>
      </c>
      <c r="CC3" s="163" t="e">
        <f>VLOOKUP($B:$B,'HT DIC'!$A:$AE,21,FALSE)</f>
        <v>#REF!</v>
      </c>
      <c r="CD3" s="432">
        <f t="shared" ref="CD3:CD59" si="38">IFERROR(VLOOKUP(CC3,$B$229:$E$245,2,FALSE),0)</f>
        <v>0</v>
      </c>
      <c r="CE3" s="432">
        <v>2.0833333333333332E-2</v>
      </c>
      <c r="CF3" s="432">
        <f t="shared" ref="CF3:CF59" si="39">IF(CE3-CD3&lt;0,0,CE3-CD3)</f>
        <v>2.0833333333333332E-2</v>
      </c>
      <c r="CG3" s="163" t="str">
        <f>VLOOKUP($B:$B,'HT DIC'!$A:$AE,22,FALSE)</f>
        <v>FI</v>
      </c>
      <c r="CH3" s="432">
        <f t="shared" ref="CH3:CH59" si="40">IFERROR(VLOOKUP(CG3,$B$229:$E$245,2,FALSE),0)</f>
        <v>0</v>
      </c>
      <c r="CI3" s="434"/>
      <c r="CJ3" s="432">
        <f t="shared" ref="CJ3:CJ15" si="41">IF(CI3-CH3&lt;0,0,CI3-CH3)</f>
        <v>0</v>
      </c>
      <c r="CK3" s="163">
        <f>VLOOKUP($B:$B,'HT DIC'!$A:$AE,23,FALSE)</f>
        <v>13</v>
      </c>
      <c r="CL3" s="432">
        <f t="shared" ref="CL3:CL59" si="42">IFERROR(VLOOKUP(CK3,$B$229:$E$245,2,FALSE),0)</f>
        <v>4.1666666666666664E-2</v>
      </c>
      <c r="CM3" s="432">
        <v>3.681712962962963E-2</v>
      </c>
      <c r="CN3" s="432">
        <f t="shared" ref="CN3:CN59" si="43">IF(CM3-CL3&lt;0,0,CM3-CL3)</f>
        <v>0</v>
      </c>
      <c r="CO3" s="163" t="e">
        <f>VLOOKUP($B:$B,'HT DIC'!$A:$AE,24,FALSE)</f>
        <v>#REF!</v>
      </c>
      <c r="CP3" s="432">
        <f t="shared" ref="CP3:CP59" si="44">IFERROR(VLOOKUP(CO3,$B$229:$E$245,2,FALSE),0)</f>
        <v>0</v>
      </c>
      <c r="CQ3" s="434">
        <v>4.010416666666667E-2</v>
      </c>
      <c r="CR3" s="432">
        <f t="shared" ref="CR3:CR59" si="45">IF(CQ3-CP3&lt;0,0,CQ3-CP3)</f>
        <v>4.010416666666667E-2</v>
      </c>
      <c r="CS3" s="163" t="e">
        <f>VLOOKUP($B:$B,'HT DIC'!$A:$AE,25,FALSE)</f>
        <v>#REF!</v>
      </c>
      <c r="CT3" s="432">
        <f t="shared" ref="CT3:CT59" si="46">IFERROR(VLOOKUP(CS3,$B$229:$E$245,2,FALSE),0)</f>
        <v>0</v>
      </c>
      <c r="CU3" s="432">
        <v>4.1666666666666664E-2</v>
      </c>
      <c r="CV3" s="432">
        <f t="shared" ref="CV3:CV59" si="47">IF(CU3-CT3&lt;0,0,CU3-CT3)</f>
        <v>4.1666666666666664E-2</v>
      </c>
      <c r="CW3" s="163" t="e">
        <f>VLOOKUP($B:$B,'HT DIC'!$A:$AE,26,FALSE)</f>
        <v>#REF!</v>
      </c>
      <c r="CX3" s="432">
        <f t="shared" ref="CX3:CX59" si="48">IFERROR(VLOOKUP(CW3,$B$229:$E$245,2,FALSE),0)</f>
        <v>0</v>
      </c>
      <c r="CY3" s="434">
        <v>3.6354166666666667E-2</v>
      </c>
      <c r="CZ3" s="432">
        <f t="shared" ref="CZ3:CZ59" si="49">IF(CY3-CX3&lt;0,0,CY3-CX3)</f>
        <v>3.6354166666666667E-2</v>
      </c>
      <c r="DA3" s="163">
        <f>VLOOKUP($B:$B,'HT DIC'!$A:$AE,27,FALSE)</f>
        <v>11</v>
      </c>
      <c r="DB3" s="432">
        <f t="shared" ref="DB3:DC3" si="50">IFERROR(VLOOKUP(DA3,$B$229:$E$245,2,FALSE),0)</f>
        <v>3.4722222222222224E-2</v>
      </c>
      <c r="DC3" s="432">
        <f t="shared" si="50"/>
        <v>0</v>
      </c>
      <c r="DD3" s="432">
        <f t="shared" ref="DD3:DD59" si="51">IF(DC3-DB3&lt;0,0,DC3-DB3)</f>
        <v>0</v>
      </c>
      <c r="DE3" s="163">
        <f>VLOOKUP($B:$B,'HT DIC'!$A:$AE,28,FALSE)</f>
        <v>12</v>
      </c>
      <c r="DF3" s="432">
        <f t="shared" ref="DF3:DF59" si="52">IFERROR(VLOOKUP(DE3,$B$229:$E$245,2,FALSE),0)</f>
        <v>3.8194444444444448E-2</v>
      </c>
      <c r="DG3" s="434">
        <v>1.9849537037037037E-2</v>
      </c>
      <c r="DH3" s="432">
        <f t="shared" ref="DH3:DH59" si="53">IF(DG3-DF3&lt;0,0,DG3-DF3)</f>
        <v>0</v>
      </c>
      <c r="DI3" s="163">
        <f>VLOOKUP($B:$B,'HT DIC'!$A:$AE,29,FALSE)</f>
        <v>6</v>
      </c>
      <c r="DJ3" s="432">
        <f t="shared" ref="DJ3:DK3" si="54">IFERROR(VLOOKUP(DI3,$B$229:$E$245,2,FALSE),0)</f>
        <v>1.7361111111111112E-2</v>
      </c>
      <c r="DK3" s="432">
        <f t="shared" si="54"/>
        <v>0</v>
      </c>
      <c r="DL3" s="432">
        <f t="shared" ref="DL3:DL59" si="55">IF(DK3-DJ3&lt;0,0,DK3-DJ3)</f>
        <v>0</v>
      </c>
      <c r="DM3" s="163">
        <f>VLOOKUP($B:$B,'HT DIC'!$A:$AE,30,FALSE)</f>
        <v>12</v>
      </c>
      <c r="DN3" s="432">
        <f t="shared" ref="DN3:DO3" si="56">IFERROR(VLOOKUP(DM3,$B$229:$E$245,2,FALSE),0)</f>
        <v>3.8194444444444448E-2</v>
      </c>
      <c r="DO3" s="432">
        <f t="shared" si="56"/>
        <v>0</v>
      </c>
      <c r="DP3" s="432">
        <f t="shared" ref="DP3:DP59" si="57">IF(DO3-DN3&lt;0,0,DO3-DN3)</f>
        <v>0</v>
      </c>
      <c r="DQ3" s="163">
        <f>VLOOKUP($B:$B,'HT DIC'!$A:$AE,31,FALSE)</f>
        <v>12</v>
      </c>
      <c r="DR3" s="432">
        <f t="shared" ref="DR3:DR59" si="58">IFERROR(VLOOKUP(DQ3,$B$229:$E$245,2,FALSE),0)</f>
        <v>3.8194444444444448E-2</v>
      </c>
      <c r="DS3" s="434">
        <v>2.7372685185185184E-2</v>
      </c>
      <c r="DT3" s="432">
        <f t="shared" ref="DT3:DT59" si="59">IF(DS3-DR3&lt;0,0,DS3-DR3)</f>
        <v>0</v>
      </c>
      <c r="DU3" s="163" t="e">
        <f>VLOOKUP($B:$B,'HT DIC'!$A:$AE,32,FALSE)</f>
        <v>#REF!</v>
      </c>
      <c r="DV3" s="432">
        <f t="shared" ref="DV3:DV59" si="60">IFERROR(VLOOKUP(DU3,$B$229:$E$245,2,FALSE),0)</f>
        <v>0</v>
      </c>
      <c r="DW3" s="434"/>
      <c r="DX3" s="432">
        <f t="shared" ref="DX3:DX59" si="61">IF(DW3-DV3&lt;0,0,DW3-DV3)</f>
        <v>0</v>
      </c>
      <c r="DY3" s="432">
        <f t="shared" ref="DY3:DY6" si="62">DX3+DT3+DP3+DL3+DH3+DD3+CZ3+CV3+CR3+CN3+CJ3+CF3+CB3+BX3+BT3+BP3+BL3+BH3+BD3+AZ3+AV3+AR3+AN3+AJ3+AF3+AB3+X3+T3+P3+L3+H3</f>
        <v>0.50978009259259272</v>
      </c>
    </row>
    <row r="4" spans="1:129">
      <c r="A4" s="166" t="s">
        <v>52</v>
      </c>
      <c r="B4" s="166" t="s">
        <v>53</v>
      </c>
      <c r="C4" s="166">
        <v>1728990050</v>
      </c>
      <c r="D4" s="431">
        <v>38165</v>
      </c>
      <c r="E4" s="163" t="e">
        <f>VLOOKUP($B:$B,#REF!,2,FALSE)</f>
        <v>#REF!</v>
      </c>
      <c r="F4" s="432">
        <f t="shared" si="0"/>
        <v>0</v>
      </c>
      <c r="G4" s="434">
        <v>3.3993055555555554E-2</v>
      </c>
      <c r="H4" s="432">
        <f t="shared" si="1"/>
        <v>3.3993055555555554E-2</v>
      </c>
      <c r="I4" s="163" t="e">
        <f>VLOOKUP($B:$B,'HT DIC'!$A:$AE,3,FALSE)</f>
        <v>#REF!</v>
      </c>
      <c r="J4" s="432">
        <f t="shared" si="2"/>
        <v>0</v>
      </c>
      <c r="K4" s="434">
        <v>3.7071759259259263E-2</v>
      </c>
      <c r="L4" s="432">
        <f t="shared" si="3"/>
        <v>3.7071759259259263E-2</v>
      </c>
      <c r="M4" s="163" t="e">
        <f>VLOOKUP($B:$B,'HT DIC'!$A:$AE,4,FALSE)</f>
        <v>#REF!</v>
      </c>
      <c r="N4" s="432">
        <f t="shared" si="4"/>
        <v>0</v>
      </c>
      <c r="O4" s="432">
        <v>3.7696759259259256E-2</v>
      </c>
      <c r="P4" s="432">
        <f t="shared" si="5"/>
        <v>3.7696759259259256E-2</v>
      </c>
      <c r="Q4" s="163" t="e">
        <f>VLOOKUP($B:$B,'HT DIC'!$A:$AE,5,FALSE)</f>
        <v>#REF!</v>
      </c>
      <c r="R4" s="432">
        <f t="shared" si="6"/>
        <v>0</v>
      </c>
      <c r="S4" s="432">
        <v>3.2986111111111112E-2</v>
      </c>
      <c r="T4" s="432">
        <f t="shared" si="7"/>
        <v>3.2986111111111112E-2</v>
      </c>
      <c r="U4" s="163" t="e">
        <f>VLOOKUP($B:$B,'HT DIC'!$A:$AE,6,FALSE)</f>
        <v>#REF!</v>
      </c>
      <c r="V4" s="432">
        <f t="shared" si="8"/>
        <v>0</v>
      </c>
      <c r="W4" s="434">
        <v>4.431712962962963E-2</v>
      </c>
      <c r="X4" s="432">
        <f t="shared" si="9"/>
        <v>4.431712962962963E-2</v>
      </c>
      <c r="Y4" s="163" t="e">
        <f>VLOOKUP($B:$B,'HT DIC'!$A:$AE,7,FALSE)</f>
        <v>#REF!</v>
      </c>
      <c r="Z4" s="432">
        <f t="shared" si="10"/>
        <v>0</v>
      </c>
      <c r="AA4" s="434">
        <v>1.238425925925926E-2</v>
      </c>
      <c r="AB4" s="432">
        <f t="shared" si="11"/>
        <v>1.238425925925926E-2</v>
      </c>
      <c r="AC4" s="163" t="e">
        <f>VLOOKUP($B:$B,'HT DIC'!$A:$AE,8,FALSE)</f>
        <v>#REF!</v>
      </c>
      <c r="AD4" s="432">
        <f t="shared" si="12"/>
        <v>0</v>
      </c>
      <c r="AE4" s="434">
        <v>6.9097222222222225E-3</v>
      </c>
      <c r="AF4" s="432">
        <f t="shared" si="13"/>
        <v>6.9097222222222225E-3</v>
      </c>
      <c r="AG4" s="163" t="e">
        <f>VLOOKUP($B:$B,'HT DIC'!$A:$AE,9,FALSE)</f>
        <v>#REF!</v>
      </c>
      <c r="AH4" s="432">
        <f t="shared" si="14"/>
        <v>0</v>
      </c>
      <c r="AI4" s="434">
        <v>4.4189814814814814E-2</v>
      </c>
      <c r="AJ4" s="432">
        <f t="shared" si="15"/>
        <v>4.4189814814814814E-2</v>
      </c>
      <c r="AK4" s="163" t="e">
        <f>VLOOKUP($B:$B,'HT DIC'!$A:$AE,10,FALSE)</f>
        <v>#REF!</v>
      </c>
      <c r="AL4" s="432">
        <f t="shared" si="16"/>
        <v>0</v>
      </c>
      <c r="AM4" s="434">
        <v>3.6423611111111108E-2</v>
      </c>
      <c r="AN4" s="432">
        <f t="shared" si="17"/>
        <v>3.6423611111111108E-2</v>
      </c>
      <c r="AO4" s="163" t="e">
        <f>VLOOKUP($B:$B,'HT DIC'!$A:$AE,11,FALSE)</f>
        <v>#REF!</v>
      </c>
      <c r="AP4" s="432">
        <f t="shared" si="18"/>
        <v>0</v>
      </c>
      <c r="AQ4" s="432">
        <v>5.0208333333333334E-2</v>
      </c>
      <c r="AR4" s="432">
        <f t="shared" si="19"/>
        <v>5.0208333333333334E-2</v>
      </c>
      <c r="AS4" s="163" t="e">
        <f>VLOOKUP($B:$B,'HT DIC'!$A:$AE,12,FALSE)</f>
        <v>#REF!</v>
      </c>
      <c r="AT4" s="432">
        <f t="shared" si="20"/>
        <v>0</v>
      </c>
      <c r="AU4" s="434">
        <v>4.3645833333333335E-2</v>
      </c>
      <c r="AV4" s="432">
        <f t="shared" si="21"/>
        <v>4.3645833333333335E-2</v>
      </c>
      <c r="AW4" s="163" t="e">
        <f>VLOOKUP($B:$B,'HT DIC'!$A:$AE,13,FALSE)</f>
        <v>#REF!</v>
      </c>
      <c r="AX4" s="432">
        <f t="shared" si="22"/>
        <v>0</v>
      </c>
      <c r="AY4" s="434">
        <v>3.4861111111111114E-2</v>
      </c>
      <c r="AZ4" s="432">
        <f t="shared" si="23"/>
        <v>3.4861111111111114E-2</v>
      </c>
      <c r="BA4" s="163" t="e">
        <f>VLOOKUP($B:$B,'HT DIC'!$A:$AE,14,FALSE)</f>
        <v>#REF!</v>
      </c>
      <c r="BB4" s="432">
        <f t="shared" si="24"/>
        <v>0</v>
      </c>
      <c r="BC4" s="434">
        <v>1.6493055555555556E-2</v>
      </c>
      <c r="BD4" s="432">
        <f t="shared" si="25"/>
        <v>1.6493055555555556E-2</v>
      </c>
      <c r="BE4" s="163" t="str">
        <f>VLOOKUP($B:$B,'HT DIC'!$A:$AE,15,FALSE)</f>
        <v>V</v>
      </c>
      <c r="BF4" s="432">
        <f t="shared" si="26"/>
        <v>0</v>
      </c>
      <c r="BG4" s="434"/>
      <c r="BH4" s="432">
        <f t="shared" si="27"/>
        <v>0</v>
      </c>
      <c r="BI4" s="163" t="str">
        <f>VLOOKUP($B:$B,'HT DIC'!$A:$AE,16,FALSE)</f>
        <v>V</v>
      </c>
      <c r="BJ4" s="432">
        <f t="shared" ref="BJ4:BJ59" si="63">IFERROR(VLOOKUP(BI4,$B$229:$E$245,2,FALSE),0)</f>
        <v>0</v>
      </c>
      <c r="BK4" s="434"/>
      <c r="BL4" s="432">
        <f t="shared" si="29"/>
        <v>0</v>
      </c>
      <c r="BM4" s="163" t="str">
        <f>VLOOKUP($B:$B,'HT DIC'!$A:$AE,17,FALSE)</f>
        <v>V</v>
      </c>
      <c r="BN4" s="432">
        <f t="shared" si="30"/>
        <v>0</v>
      </c>
      <c r="BO4" s="434"/>
      <c r="BP4" s="432">
        <f t="shared" si="31"/>
        <v>0</v>
      </c>
      <c r="BQ4" s="163" t="str">
        <f>VLOOKUP($B:$B,'HT DIC'!$A:$AE,18,FALSE)</f>
        <v>V</v>
      </c>
      <c r="BR4" s="432">
        <f t="shared" ref="BR4:BR59" si="64">IFERROR(VLOOKUP(BQ4,$B$229:$E$245,2,FALSE),0)</f>
        <v>0</v>
      </c>
      <c r="BS4" s="434"/>
      <c r="BT4" s="432">
        <f t="shared" si="33"/>
        <v>0</v>
      </c>
      <c r="BU4" s="163" t="str">
        <f>VLOOKUP($B:$B,'HT DIC'!$A:$AE,19,FALSE)</f>
        <v>V</v>
      </c>
      <c r="BV4" s="432">
        <f t="shared" si="34"/>
        <v>0</v>
      </c>
      <c r="BW4" s="434"/>
      <c r="BX4" s="432">
        <f t="shared" si="35"/>
        <v>0</v>
      </c>
      <c r="BY4" s="163" t="str">
        <f>VLOOKUP($B:$B,'HT DIC'!$A:$AE,20,FALSE)</f>
        <v>V</v>
      </c>
      <c r="BZ4" s="432">
        <f t="shared" ref="BZ4:BZ59" si="65">IFERROR(VLOOKUP(BY4,$B$229:$E$245,2,FALSE),0)</f>
        <v>0</v>
      </c>
      <c r="CA4" s="434"/>
      <c r="CB4" s="432">
        <f t="shared" si="37"/>
        <v>0</v>
      </c>
      <c r="CC4" s="163" t="str">
        <f>VLOOKUP($B:$B,'HT DIC'!$A:$AE,21,FALSE)</f>
        <v>V</v>
      </c>
      <c r="CD4" s="432">
        <f t="shared" si="38"/>
        <v>0</v>
      </c>
      <c r="CE4" s="432"/>
      <c r="CF4" s="432">
        <f t="shared" si="39"/>
        <v>0</v>
      </c>
      <c r="CG4" s="163" t="e">
        <f>VLOOKUP($B:$B,'HT DIC'!$A:$AE,22,FALSE)</f>
        <v>#REF!</v>
      </c>
      <c r="CH4" s="432">
        <f t="shared" si="40"/>
        <v>0</v>
      </c>
      <c r="CI4" s="434">
        <v>1.4699074074074074E-2</v>
      </c>
      <c r="CJ4" s="432">
        <f t="shared" si="41"/>
        <v>1.4699074074074074E-2</v>
      </c>
      <c r="CK4" s="163">
        <f>VLOOKUP($B:$B,'HT DIC'!$A:$AE,23,FALSE)</f>
        <v>11</v>
      </c>
      <c r="CL4" s="432">
        <f t="shared" si="42"/>
        <v>3.4722222222222224E-2</v>
      </c>
      <c r="CM4" s="432">
        <v>3.6134259259259262E-2</v>
      </c>
      <c r="CN4" s="432">
        <f t="shared" si="43"/>
        <v>1.412037037037038E-3</v>
      </c>
      <c r="CO4" s="163" t="e">
        <f>VLOOKUP($B:$B,'HT DIC'!$A:$AE,24,FALSE)</f>
        <v>#REF!</v>
      </c>
      <c r="CP4" s="432">
        <f t="shared" si="44"/>
        <v>0</v>
      </c>
      <c r="CQ4" s="434">
        <v>3.6967592592592594E-2</v>
      </c>
      <c r="CR4" s="432">
        <f t="shared" si="45"/>
        <v>3.6967592592592594E-2</v>
      </c>
      <c r="CS4" s="163" t="e">
        <f>VLOOKUP($B:$B,'HT DIC'!$A:$AE,25,FALSE)</f>
        <v>#REF!</v>
      </c>
      <c r="CT4" s="432">
        <f t="shared" si="46"/>
        <v>0</v>
      </c>
      <c r="CU4" s="432">
        <v>4.2893518518518518E-2</v>
      </c>
      <c r="CV4" s="432">
        <f t="shared" si="47"/>
        <v>4.2893518518518518E-2</v>
      </c>
      <c r="CW4" s="163" t="e">
        <f>VLOOKUP($B:$B,'HT DIC'!$A:$AE,26,FALSE)</f>
        <v>#REF!</v>
      </c>
      <c r="CX4" s="432">
        <f t="shared" si="48"/>
        <v>0</v>
      </c>
      <c r="CY4" s="434">
        <v>5.7152777777777775E-2</v>
      </c>
      <c r="CZ4" s="432">
        <f t="shared" si="49"/>
        <v>5.7152777777777775E-2</v>
      </c>
      <c r="DA4" s="163">
        <f>VLOOKUP($B:$B,'HT DIC'!$A:$AE,27,FALSE)</f>
        <v>13</v>
      </c>
      <c r="DB4" s="432">
        <f t="shared" ref="DB4:DB59" si="66">IFERROR(VLOOKUP(DA4,$B$229:$E$245,2,FALSE),0)</f>
        <v>4.1666666666666664E-2</v>
      </c>
      <c r="DC4" s="434">
        <v>4.2939814814814813E-2</v>
      </c>
      <c r="DD4" s="432">
        <f t="shared" si="51"/>
        <v>1.2731481481481483E-3</v>
      </c>
      <c r="DE4" s="163">
        <f>VLOOKUP($B:$B,'HT DIC'!$A:$AE,28,FALSE)</f>
        <v>7</v>
      </c>
      <c r="DF4" s="432">
        <f t="shared" si="52"/>
        <v>2.0833333333333332E-2</v>
      </c>
      <c r="DG4" s="434">
        <v>2.5127314814814814E-2</v>
      </c>
      <c r="DH4" s="432">
        <f t="shared" si="53"/>
        <v>4.293981481481482E-3</v>
      </c>
      <c r="DI4" s="163">
        <f>VLOOKUP($B:$B,'HT DIC'!$A:$AE,29,FALSE)</f>
        <v>7</v>
      </c>
      <c r="DJ4" s="432">
        <f t="shared" ref="DJ4:DJ22" si="67">IFERROR(VLOOKUP(DI4,$B$229:$E$245,2,FALSE),0)</f>
        <v>2.0833333333333332E-2</v>
      </c>
      <c r="DK4" s="434">
        <v>2.4340277777777777E-2</v>
      </c>
      <c r="DL4" s="432">
        <f t="shared" si="55"/>
        <v>3.5069444444444445E-3</v>
      </c>
      <c r="DM4" s="163">
        <f>VLOOKUP($B:$B,'HT DIC'!$A:$AE,30,FALSE)</f>
        <v>13</v>
      </c>
      <c r="DN4" s="432">
        <f t="shared" ref="DN4:DN59" si="68">IFERROR(VLOOKUP(DM4,$B$229:$E$245,2,FALSE),0)</f>
        <v>4.1666666666666664E-2</v>
      </c>
      <c r="DO4" s="434">
        <v>4.3958333333333335E-2</v>
      </c>
      <c r="DP4" s="432">
        <f t="shared" si="57"/>
        <v>2.291666666666671E-3</v>
      </c>
      <c r="DQ4" s="163">
        <f>VLOOKUP($B:$B,'HT DIC'!$A:$AE,31,FALSE)</f>
        <v>12</v>
      </c>
      <c r="DR4" s="432">
        <f t="shared" si="58"/>
        <v>3.8194444444444448E-2</v>
      </c>
      <c r="DS4" s="434">
        <v>5.392361111111111E-2</v>
      </c>
      <c r="DT4" s="432">
        <f t="shared" si="59"/>
        <v>1.5729166666666662E-2</v>
      </c>
      <c r="DU4" s="163" t="e">
        <f>VLOOKUP($B:$B,'HT DIC'!$A:$AE,32,FALSE)</f>
        <v>#REF!</v>
      </c>
      <c r="DV4" s="432">
        <f t="shared" si="60"/>
        <v>0</v>
      </c>
      <c r="DW4" s="434"/>
      <c r="DX4" s="432">
        <f t="shared" si="61"/>
        <v>0</v>
      </c>
      <c r="DY4" s="432">
        <f t="shared" si="62"/>
        <v>0.61140046296296313</v>
      </c>
    </row>
    <row r="5" spans="1:129">
      <c r="A5" s="166" t="s">
        <v>55</v>
      </c>
      <c r="B5" s="166" t="s">
        <v>56</v>
      </c>
      <c r="C5" s="166">
        <v>1753735560</v>
      </c>
      <c r="D5" s="431">
        <v>39088</v>
      </c>
      <c r="E5" s="163" t="e">
        <f>VLOOKUP($B:$B,#REF!,2,FALSE)</f>
        <v>#REF!</v>
      </c>
      <c r="F5" s="432">
        <f t="shared" si="0"/>
        <v>0</v>
      </c>
      <c r="G5" s="434">
        <v>3.1747685185185184E-2</v>
      </c>
      <c r="H5" s="432">
        <f t="shared" si="1"/>
        <v>3.1747685185185184E-2</v>
      </c>
      <c r="I5" s="163" t="e">
        <f>VLOOKUP($B:$B,'HT DIC'!$A:$AE,3,FALSE)</f>
        <v>#REF!</v>
      </c>
      <c r="J5" s="432">
        <f t="shared" si="2"/>
        <v>0</v>
      </c>
      <c r="K5" s="434">
        <v>5.9479166666666666E-2</v>
      </c>
      <c r="L5" s="432">
        <f t="shared" si="3"/>
        <v>5.9479166666666666E-2</v>
      </c>
      <c r="M5" s="163" t="e">
        <f>VLOOKUP($B:$B,'HT DIC'!$A:$AE,4,FALSE)</f>
        <v>#REF!</v>
      </c>
      <c r="N5" s="432">
        <f t="shared" si="4"/>
        <v>0</v>
      </c>
      <c r="O5" s="432">
        <v>2.1898148148148149E-2</v>
      </c>
      <c r="P5" s="432">
        <f t="shared" si="5"/>
        <v>2.1898148148148149E-2</v>
      </c>
      <c r="Q5" s="163" t="e">
        <f>VLOOKUP($B:$B,'HT DIC'!$A:$AE,5,FALSE)</f>
        <v>#REF!</v>
      </c>
      <c r="R5" s="432">
        <f t="shared" si="6"/>
        <v>0</v>
      </c>
      <c r="S5" s="432">
        <v>3.695601851851852E-2</v>
      </c>
      <c r="T5" s="432">
        <f t="shared" si="7"/>
        <v>3.695601851851852E-2</v>
      </c>
      <c r="U5" s="163" t="e">
        <f>VLOOKUP($B:$B,'HT DIC'!$A:$AE,6,FALSE)</f>
        <v>#REF!</v>
      </c>
      <c r="V5" s="432">
        <f t="shared" si="8"/>
        <v>0</v>
      </c>
      <c r="W5" s="434">
        <v>2.8923611111111112E-2</v>
      </c>
      <c r="X5" s="432">
        <f t="shared" si="9"/>
        <v>2.8923611111111112E-2</v>
      </c>
      <c r="Y5" s="163" t="e">
        <f>VLOOKUP($B:$B,'HT DIC'!$A:$AE,7,FALSE)</f>
        <v>#REF!</v>
      </c>
      <c r="Z5" s="432">
        <f t="shared" si="10"/>
        <v>0</v>
      </c>
      <c r="AA5" s="434">
        <v>3.2546296296296295E-2</v>
      </c>
      <c r="AB5" s="432">
        <f t="shared" si="11"/>
        <v>3.2546296296296295E-2</v>
      </c>
      <c r="AC5" s="163" t="e">
        <f>VLOOKUP($B:$B,'HT DIC'!$A:$AE,8,FALSE)</f>
        <v>#REF!</v>
      </c>
      <c r="AD5" s="432">
        <f t="shared" si="12"/>
        <v>0</v>
      </c>
      <c r="AE5" s="434"/>
      <c r="AF5" s="432">
        <f t="shared" si="13"/>
        <v>0</v>
      </c>
      <c r="AG5" s="163" t="e">
        <f>VLOOKUP($B:$B,'HT DIC'!$A:$AE,9,FALSE)</f>
        <v>#REF!</v>
      </c>
      <c r="AH5" s="432">
        <f t="shared" si="14"/>
        <v>0</v>
      </c>
      <c r="AI5" s="434">
        <v>3.125E-2</v>
      </c>
      <c r="AJ5" s="432">
        <f t="shared" si="15"/>
        <v>3.125E-2</v>
      </c>
      <c r="AK5" s="163" t="e">
        <f>VLOOKUP($B:$B,'HT DIC'!$A:$AE,10,FALSE)</f>
        <v>#REF!</v>
      </c>
      <c r="AL5" s="432">
        <f t="shared" si="16"/>
        <v>0</v>
      </c>
      <c r="AM5" s="434">
        <v>4.1458333333333333E-2</v>
      </c>
      <c r="AN5" s="432">
        <f t="shared" si="17"/>
        <v>4.1458333333333333E-2</v>
      </c>
      <c r="AO5" s="163" t="e">
        <f>VLOOKUP($B:$B,'HT DIC'!$A:$AE,11,FALSE)</f>
        <v>#REF!</v>
      </c>
      <c r="AP5" s="432">
        <f t="shared" si="18"/>
        <v>0</v>
      </c>
      <c r="AQ5" s="432">
        <v>4.2395833333333334E-2</v>
      </c>
      <c r="AR5" s="432">
        <f t="shared" si="19"/>
        <v>4.2395833333333334E-2</v>
      </c>
      <c r="AS5" s="163" t="e">
        <f>VLOOKUP($B:$B,'HT DIC'!$A:$AE,12,FALSE)</f>
        <v>#REF!</v>
      </c>
      <c r="AT5" s="432">
        <f t="shared" si="20"/>
        <v>0</v>
      </c>
      <c r="AU5" s="434">
        <v>8.4675925925925932E-2</v>
      </c>
      <c r="AV5" s="432">
        <f t="shared" si="21"/>
        <v>8.4675925925925932E-2</v>
      </c>
      <c r="AW5" s="163" t="e">
        <f>VLOOKUP($B:$B,'HT DIC'!$A:$AE,13,FALSE)</f>
        <v>#REF!</v>
      </c>
      <c r="AX5" s="432">
        <f t="shared" si="22"/>
        <v>0</v>
      </c>
      <c r="AY5" s="434">
        <v>4.7233796296296295E-2</v>
      </c>
      <c r="AZ5" s="432">
        <f t="shared" si="23"/>
        <v>4.7233796296296295E-2</v>
      </c>
      <c r="BA5" s="163" t="e">
        <f>VLOOKUP($B:$B,'HT DIC'!$A:$AE,14,FALSE)</f>
        <v>#REF!</v>
      </c>
      <c r="BB5" s="432">
        <f t="shared" si="24"/>
        <v>0</v>
      </c>
      <c r="BC5" s="434">
        <v>3.8321759259259257E-2</v>
      </c>
      <c r="BD5" s="432">
        <f t="shared" si="25"/>
        <v>3.8321759259259257E-2</v>
      </c>
      <c r="BE5" s="163" t="e">
        <f>VLOOKUP($B:$B,'HT DIC'!$A:$AE,15,FALSE)</f>
        <v>#REF!</v>
      </c>
      <c r="BF5" s="432">
        <f t="shared" si="26"/>
        <v>0</v>
      </c>
      <c r="BG5" s="434">
        <v>4.1666666666666664E-2</v>
      </c>
      <c r="BH5" s="432">
        <f t="shared" si="27"/>
        <v>4.1666666666666664E-2</v>
      </c>
      <c r="BI5" s="163" t="e">
        <f>VLOOKUP($B:$B,'HT DIC'!$A:$AE,16,FALSE)</f>
        <v>#REF!</v>
      </c>
      <c r="BJ5" s="432">
        <f t="shared" si="63"/>
        <v>0</v>
      </c>
      <c r="BK5" s="434">
        <v>2.7777777777777776E-2</v>
      </c>
      <c r="BL5" s="432">
        <f t="shared" si="29"/>
        <v>2.7777777777777776E-2</v>
      </c>
      <c r="BM5" s="163" t="e">
        <f>VLOOKUP($B:$B,'HT DIC'!$A:$AE,17,FALSE)</f>
        <v>#REF!</v>
      </c>
      <c r="BN5" s="432">
        <f t="shared" si="30"/>
        <v>0</v>
      </c>
      <c r="BO5" s="434">
        <v>3.7164351851851851E-2</v>
      </c>
      <c r="BP5" s="432">
        <f t="shared" si="31"/>
        <v>3.7164351851851851E-2</v>
      </c>
      <c r="BQ5" s="163" t="e">
        <f>VLOOKUP($B:$B,'HT DIC'!$A:$AE,18,FALSE)</f>
        <v>#REF!</v>
      </c>
      <c r="BR5" s="432">
        <f t="shared" si="64"/>
        <v>0</v>
      </c>
      <c r="BS5" s="434">
        <v>3.7025462962962961E-2</v>
      </c>
      <c r="BT5" s="432">
        <f t="shared" si="33"/>
        <v>3.7025462962962961E-2</v>
      </c>
      <c r="BU5" s="163" t="e">
        <f>VLOOKUP($B:$B,'HT DIC'!$A:$AE,19,FALSE)</f>
        <v>#REF!</v>
      </c>
      <c r="BV5" s="432">
        <f t="shared" si="34"/>
        <v>0</v>
      </c>
      <c r="BW5" s="434">
        <v>3.6111111111111108E-2</v>
      </c>
      <c r="BX5" s="432">
        <f t="shared" si="35"/>
        <v>3.6111111111111108E-2</v>
      </c>
      <c r="BY5" s="163" t="e">
        <f>VLOOKUP($B:$B,'HT DIC'!$A:$AE,20,FALSE)</f>
        <v>#REF!</v>
      </c>
      <c r="BZ5" s="432">
        <f t="shared" si="65"/>
        <v>0</v>
      </c>
      <c r="CA5" s="432">
        <f>IFERROR(VLOOKUP(BZ5,$B$229:$E$245,2,FALSE),0)</f>
        <v>0</v>
      </c>
      <c r="CB5" s="432">
        <f t="shared" si="37"/>
        <v>0</v>
      </c>
      <c r="CC5" s="163" t="e">
        <f>VLOOKUP($B:$B,'HT DIC'!$A:$AE,21,FALSE)</f>
        <v>#REF!</v>
      </c>
      <c r="CD5" s="432">
        <f t="shared" si="38"/>
        <v>0</v>
      </c>
      <c r="CE5" s="432"/>
      <c r="CF5" s="432">
        <f t="shared" si="39"/>
        <v>0</v>
      </c>
      <c r="CG5" s="163" t="e">
        <f>VLOOKUP($B:$B,'HT DIC'!$A:$AE,22,FALSE)</f>
        <v>#REF!</v>
      </c>
      <c r="CH5" s="432">
        <f t="shared" si="40"/>
        <v>0</v>
      </c>
      <c r="CI5" s="434"/>
      <c r="CJ5" s="432">
        <f t="shared" si="41"/>
        <v>0</v>
      </c>
      <c r="CK5" s="163">
        <f>VLOOKUP($B:$B,'HT DIC'!$A:$AE,23,FALSE)</f>
        <v>11</v>
      </c>
      <c r="CL5" s="432">
        <f t="shared" si="42"/>
        <v>3.4722222222222224E-2</v>
      </c>
      <c r="CM5" s="432">
        <v>3.453703703703704E-2</v>
      </c>
      <c r="CN5" s="432">
        <f t="shared" si="43"/>
        <v>0</v>
      </c>
      <c r="CO5" s="163" t="e">
        <f>VLOOKUP($B:$B,'HT DIC'!$A:$AE,24,FALSE)</f>
        <v>#REF!</v>
      </c>
      <c r="CP5" s="432">
        <f t="shared" si="44"/>
        <v>0</v>
      </c>
      <c r="CQ5" s="434">
        <v>3.8194444444444448E-2</v>
      </c>
      <c r="CR5" s="432">
        <f t="shared" si="45"/>
        <v>3.8194444444444448E-2</v>
      </c>
      <c r="CS5" s="163" t="e">
        <f>VLOOKUP($B:$B,'HT DIC'!$A:$AE,25,FALSE)</f>
        <v>#REF!</v>
      </c>
      <c r="CT5" s="432">
        <f t="shared" si="46"/>
        <v>0</v>
      </c>
      <c r="CU5" s="432">
        <v>3.1284722222222221E-2</v>
      </c>
      <c r="CV5" s="432">
        <f t="shared" si="47"/>
        <v>3.1284722222222221E-2</v>
      </c>
      <c r="CW5" s="163" t="e">
        <f>VLOOKUP($B:$B,'HT DIC'!$A:$AE,26,FALSE)</f>
        <v>#REF!</v>
      </c>
      <c r="CX5" s="432">
        <f t="shared" si="48"/>
        <v>0</v>
      </c>
      <c r="CY5" s="434">
        <v>7.0798611111111118E-2</v>
      </c>
      <c r="CZ5" s="432">
        <f t="shared" si="49"/>
        <v>7.0798611111111118E-2</v>
      </c>
      <c r="DA5" s="163">
        <f>VLOOKUP($B:$B,'HT DIC'!$A:$AE,27,FALSE)</f>
        <v>12</v>
      </c>
      <c r="DB5" s="432">
        <f t="shared" si="66"/>
        <v>3.8194444444444448E-2</v>
      </c>
      <c r="DC5" s="434">
        <v>4.221064814814815E-2</v>
      </c>
      <c r="DD5" s="432">
        <f t="shared" si="51"/>
        <v>4.0162037037037024E-3</v>
      </c>
      <c r="DE5" s="163">
        <f>VLOOKUP($B:$B,'HT DIC'!$A:$AE,28,FALSE)</f>
        <v>11</v>
      </c>
      <c r="DF5" s="432">
        <f t="shared" si="52"/>
        <v>3.4722222222222224E-2</v>
      </c>
      <c r="DG5" s="432">
        <f>IFERROR(VLOOKUP(DF5,$B$229:$E$245,2,FALSE),0)</f>
        <v>0</v>
      </c>
      <c r="DH5" s="432">
        <f t="shared" si="53"/>
        <v>0</v>
      </c>
      <c r="DI5" s="163">
        <f>VLOOKUP($B:$B,'HT DIC'!$A:$AE,29,FALSE)</f>
        <v>12</v>
      </c>
      <c r="DJ5" s="432">
        <f t="shared" si="67"/>
        <v>3.8194444444444448E-2</v>
      </c>
      <c r="DK5" s="434">
        <v>4.0787037037037038E-2</v>
      </c>
      <c r="DL5" s="432">
        <f t="shared" si="55"/>
        <v>2.5925925925925908E-3</v>
      </c>
      <c r="DM5" s="163">
        <f>VLOOKUP($B:$B,'HT DIC'!$A:$AE,30,FALSE)</f>
        <v>11</v>
      </c>
      <c r="DN5" s="432">
        <f t="shared" si="68"/>
        <v>3.4722222222222224E-2</v>
      </c>
      <c r="DO5" s="434">
        <v>2.0266203703703703E-2</v>
      </c>
      <c r="DP5" s="432">
        <f t="shared" si="57"/>
        <v>0</v>
      </c>
      <c r="DQ5" s="163">
        <f>VLOOKUP($B:$B,'HT DIC'!$A:$AE,31,FALSE)</f>
        <v>11</v>
      </c>
      <c r="DR5" s="432">
        <f t="shared" si="58"/>
        <v>3.4722222222222224E-2</v>
      </c>
      <c r="DS5" s="434">
        <v>3.8321759259259257E-2</v>
      </c>
      <c r="DT5" s="432">
        <f t="shared" si="59"/>
        <v>3.599537037037033E-3</v>
      </c>
      <c r="DU5" s="163" t="e">
        <f>VLOOKUP($B:$B,'HT DIC'!$A:$AE,32,FALSE)</f>
        <v>#REF!</v>
      </c>
      <c r="DV5" s="432">
        <f t="shared" si="60"/>
        <v>0</v>
      </c>
      <c r="DW5" s="434"/>
      <c r="DX5" s="432">
        <f t="shared" si="61"/>
        <v>0</v>
      </c>
      <c r="DY5" s="432">
        <f t="shared" si="62"/>
        <v>0.82711805555555562</v>
      </c>
    </row>
    <row r="6" spans="1:129">
      <c r="A6" s="166" t="s">
        <v>57</v>
      </c>
      <c r="B6" s="166" t="s">
        <v>58</v>
      </c>
      <c r="C6" s="166">
        <v>703534875</v>
      </c>
      <c r="D6" s="431">
        <v>27774</v>
      </c>
      <c r="E6" s="163" t="e">
        <f>VLOOKUP($B:$B,#REF!,2,FALSE)</f>
        <v>#REF!</v>
      </c>
      <c r="F6" s="432">
        <f t="shared" si="0"/>
        <v>0</v>
      </c>
      <c r="G6" s="434">
        <v>2.2465277777777778E-2</v>
      </c>
      <c r="H6" s="432">
        <f t="shared" si="1"/>
        <v>2.2465277777777778E-2</v>
      </c>
      <c r="I6" s="163" t="e">
        <f>VLOOKUP($B:$B,'HT DIC'!$A:$AE,3,FALSE)</f>
        <v>#REF!</v>
      </c>
      <c r="J6" s="432">
        <f t="shared" si="2"/>
        <v>0</v>
      </c>
      <c r="K6" s="434">
        <v>4.4027777777777777E-2</v>
      </c>
      <c r="L6" s="432">
        <f t="shared" si="3"/>
        <v>4.4027777777777777E-2</v>
      </c>
      <c r="M6" s="163" t="e">
        <f>VLOOKUP($B:$B,'HT DIC'!$A:$AE,4,FALSE)</f>
        <v>#REF!</v>
      </c>
      <c r="N6" s="432">
        <f t="shared" si="4"/>
        <v>0</v>
      </c>
      <c r="O6" s="432">
        <v>2.8483796296296295E-2</v>
      </c>
      <c r="P6" s="432">
        <f t="shared" si="5"/>
        <v>2.8483796296296295E-2</v>
      </c>
      <c r="Q6" s="163" t="e">
        <f>VLOOKUP($B:$B,'HT DIC'!$A:$AE,5,FALSE)</f>
        <v>#REF!</v>
      </c>
      <c r="R6" s="432">
        <f t="shared" si="6"/>
        <v>0</v>
      </c>
      <c r="S6" s="432">
        <v>3.3414351851851855E-2</v>
      </c>
      <c r="T6" s="432">
        <f t="shared" si="7"/>
        <v>3.3414351851851855E-2</v>
      </c>
      <c r="U6" s="163" t="e">
        <f>VLOOKUP($B:$B,'HT DIC'!$A:$AE,6,FALSE)</f>
        <v>#REF!</v>
      </c>
      <c r="V6" s="432">
        <f t="shared" si="8"/>
        <v>0</v>
      </c>
      <c r="W6" s="434">
        <v>2.8483796296296295E-2</v>
      </c>
      <c r="X6" s="432">
        <f t="shared" si="9"/>
        <v>2.8483796296296295E-2</v>
      </c>
      <c r="Y6" s="163" t="e">
        <f>VLOOKUP($B:$B,'HT DIC'!$A:$AE,7,FALSE)</f>
        <v>#REF!</v>
      </c>
      <c r="Z6" s="432">
        <f t="shared" si="10"/>
        <v>0</v>
      </c>
      <c r="AA6" s="434">
        <v>5.0578703703703702E-2</v>
      </c>
      <c r="AB6" s="432">
        <f t="shared" si="11"/>
        <v>5.0578703703703702E-2</v>
      </c>
      <c r="AC6" s="163" t="e">
        <f>VLOOKUP($B:$B,'HT DIC'!$A:$AE,8,FALSE)</f>
        <v>#REF!</v>
      </c>
      <c r="AD6" s="432">
        <f t="shared" si="12"/>
        <v>0</v>
      </c>
      <c r="AE6" s="434"/>
      <c r="AF6" s="432">
        <f t="shared" si="13"/>
        <v>0</v>
      </c>
      <c r="AG6" s="163" t="e">
        <f>VLOOKUP($B:$B,'HT DIC'!$A:$AE,9,FALSE)</f>
        <v>#REF!</v>
      </c>
      <c r="AH6" s="432">
        <f t="shared" si="14"/>
        <v>0</v>
      </c>
      <c r="AI6" s="434">
        <v>3.8379629629629632E-2</v>
      </c>
      <c r="AJ6" s="432">
        <f t="shared" si="15"/>
        <v>3.8379629629629632E-2</v>
      </c>
      <c r="AK6" s="163" t="e">
        <f>VLOOKUP($B:$B,'HT DIC'!$A:$AE,10,FALSE)</f>
        <v>#REF!</v>
      </c>
      <c r="AL6" s="432">
        <f t="shared" si="16"/>
        <v>0</v>
      </c>
      <c r="AM6" s="434">
        <v>2.326388888888889E-2</v>
      </c>
      <c r="AN6" s="432">
        <f t="shared" si="17"/>
        <v>2.326388888888889E-2</v>
      </c>
      <c r="AO6" s="163" t="e">
        <f>VLOOKUP($B:$B,'HT DIC'!$A:$AE,11,FALSE)</f>
        <v>#REF!</v>
      </c>
      <c r="AP6" s="432">
        <f t="shared" si="18"/>
        <v>0</v>
      </c>
      <c r="AQ6" s="432">
        <v>3.0034722222222223E-2</v>
      </c>
      <c r="AR6" s="432">
        <f t="shared" si="19"/>
        <v>3.0034722222222223E-2</v>
      </c>
      <c r="AS6" s="163" t="e">
        <f>VLOOKUP($B:$B,'HT DIC'!$A:$AE,12,FALSE)</f>
        <v>#REF!</v>
      </c>
      <c r="AT6" s="432">
        <f t="shared" si="20"/>
        <v>0</v>
      </c>
      <c r="AU6" s="434">
        <v>3.2847222222222222E-2</v>
      </c>
      <c r="AV6" s="432">
        <f t="shared" si="21"/>
        <v>3.2847222222222222E-2</v>
      </c>
      <c r="AW6" s="163" t="e">
        <f>VLOOKUP($B:$B,'HT DIC'!$A:$AE,13,FALSE)</f>
        <v>#REF!</v>
      </c>
      <c r="AX6" s="432">
        <f t="shared" si="22"/>
        <v>0</v>
      </c>
      <c r="AY6" s="434">
        <v>2.5104166666666667E-2</v>
      </c>
      <c r="AZ6" s="432">
        <f t="shared" si="23"/>
        <v>2.5104166666666667E-2</v>
      </c>
      <c r="BA6" s="163" t="e">
        <f>VLOOKUP($B:$B,'HT DIC'!$A:$AE,14,FALSE)</f>
        <v>#REF!</v>
      </c>
      <c r="BB6" s="432">
        <f t="shared" si="24"/>
        <v>0</v>
      </c>
      <c r="BC6" s="434">
        <v>3.1400462962962963E-2</v>
      </c>
      <c r="BD6" s="432">
        <f t="shared" si="25"/>
        <v>3.1400462962962963E-2</v>
      </c>
      <c r="BE6" s="163" t="e">
        <f>VLOOKUP($B:$B,'HT DIC'!$A:$AE,15,FALSE)</f>
        <v>#REF!</v>
      </c>
      <c r="BF6" s="432">
        <f t="shared" si="26"/>
        <v>0</v>
      </c>
      <c r="BG6" s="434"/>
      <c r="BH6" s="432">
        <f t="shared" si="27"/>
        <v>0</v>
      </c>
      <c r="BI6" s="163" t="e">
        <f>VLOOKUP($B:$B,'HT DIC'!$A:$AE,16,FALSE)</f>
        <v>#REF!</v>
      </c>
      <c r="BJ6" s="432">
        <f t="shared" si="63"/>
        <v>0</v>
      </c>
      <c r="BK6" s="434">
        <v>3.875E-2</v>
      </c>
      <c r="BL6" s="432">
        <f t="shared" si="29"/>
        <v>3.875E-2</v>
      </c>
      <c r="BM6" s="163" t="e">
        <f>VLOOKUP($B:$B,'HT DIC'!$A:$AE,17,FALSE)</f>
        <v>#REF!</v>
      </c>
      <c r="BN6" s="432">
        <f t="shared" si="30"/>
        <v>0</v>
      </c>
      <c r="BO6" s="434">
        <v>2.5462962962962962E-2</v>
      </c>
      <c r="BP6" s="432">
        <f t="shared" si="31"/>
        <v>2.5462962962962962E-2</v>
      </c>
      <c r="BQ6" s="163" t="e">
        <f>VLOOKUP($B:$B,'HT DIC'!$A:$AE,18,FALSE)</f>
        <v>#REF!</v>
      </c>
      <c r="BR6" s="432">
        <f t="shared" si="64"/>
        <v>0</v>
      </c>
      <c r="BS6" s="434"/>
      <c r="BT6" s="432">
        <f t="shared" si="33"/>
        <v>0</v>
      </c>
      <c r="BU6" s="163" t="e">
        <f>VLOOKUP($B:$B,'HT DIC'!$A:$AE,19,FALSE)</f>
        <v>#REF!</v>
      </c>
      <c r="BV6" s="432">
        <f t="shared" si="34"/>
        <v>0</v>
      </c>
      <c r="BW6" s="434">
        <v>5.710648148148148E-2</v>
      </c>
      <c r="BX6" s="432">
        <f t="shared" si="35"/>
        <v>5.710648148148148E-2</v>
      </c>
      <c r="BY6" s="163" t="e">
        <f>VLOOKUP($B:$B,'HT DIC'!$A:$AE,20,FALSE)</f>
        <v>#REF!</v>
      </c>
      <c r="BZ6" s="432">
        <f t="shared" si="65"/>
        <v>0</v>
      </c>
      <c r="CA6" s="434">
        <v>4.6365740740740742E-2</v>
      </c>
      <c r="CB6" s="432">
        <f t="shared" si="37"/>
        <v>4.6365740740740742E-2</v>
      </c>
      <c r="CC6" s="163" t="e">
        <f>VLOOKUP($B:$B,'HT DIC'!$A:$AE,21,FALSE)</f>
        <v>#REF!</v>
      </c>
      <c r="CD6" s="432">
        <f t="shared" si="38"/>
        <v>0</v>
      </c>
      <c r="CE6" s="432">
        <v>4.5891203703703705E-2</v>
      </c>
      <c r="CF6" s="432">
        <f t="shared" si="39"/>
        <v>4.5891203703703705E-2</v>
      </c>
      <c r="CG6" s="163" t="e">
        <f>VLOOKUP($B:$B,'HT DIC'!$A:$AE,22,FALSE)</f>
        <v>#REF!</v>
      </c>
      <c r="CH6" s="432">
        <f t="shared" si="40"/>
        <v>0</v>
      </c>
      <c r="CI6" s="434">
        <v>3.9837962962962964E-2</v>
      </c>
      <c r="CJ6" s="432">
        <f t="shared" si="41"/>
        <v>3.9837962962962964E-2</v>
      </c>
      <c r="CK6" s="163">
        <f>VLOOKUP($B:$B,'HT DIC'!$A:$AE,23,FALSE)</f>
        <v>10</v>
      </c>
      <c r="CL6" s="432">
        <f t="shared" si="42"/>
        <v>3.125E-2</v>
      </c>
      <c r="CM6" s="432">
        <v>3.259259259259259E-2</v>
      </c>
      <c r="CN6" s="432">
        <f t="shared" si="43"/>
        <v>1.3425925925925897E-3</v>
      </c>
      <c r="CO6" s="163" t="e">
        <f>VLOOKUP($B:$B,'HT DIC'!$A:$AE,24,FALSE)</f>
        <v>#REF!</v>
      </c>
      <c r="CP6" s="432">
        <f t="shared" si="44"/>
        <v>0</v>
      </c>
      <c r="CQ6" s="434">
        <v>2.7442129629629629E-2</v>
      </c>
      <c r="CR6" s="432">
        <f t="shared" si="45"/>
        <v>2.7442129629629629E-2</v>
      </c>
      <c r="CS6" s="163" t="e">
        <f>VLOOKUP($B:$B,'HT DIC'!$A:$AE,25,FALSE)</f>
        <v>#REF!</v>
      </c>
      <c r="CT6" s="432">
        <f t="shared" si="46"/>
        <v>0</v>
      </c>
      <c r="CU6" s="432">
        <v>3.7743055555555557E-2</v>
      </c>
      <c r="CV6" s="432">
        <f t="shared" si="47"/>
        <v>3.7743055555555557E-2</v>
      </c>
      <c r="CW6" s="163" t="e">
        <f>VLOOKUP($B:$B,'HT DIC'!$A:$AE,26,FALSE)</f>
        <v>#REF!</v>
      </c>
      <c r="CX6" s="432">
        <f t="shared" si="48"/>
        <v>0</v>
      </c>
      <c r="CY6" s="434">
        <v>2.627314814814815E-2</v>
      </c>
      <c r="CZ6" s="432">
        <f t="shared" si="49"/>
        <v>2.627314814814815E-2</v>
      </c>
      <c r="DA6" s="163">
        <f>VLOOKUP($B:$B,'HT DIC'!$A:$AE,27,FALSE)</f>
        <v>12</v>
      </c>
      <c r="DB6" s="432">
        <f t="shared" si="66"/>
        <v>3.8194444444444448E-2</v>
      </c>
      <c r="DC6" s="434">
        <v>3.0682870370370371E-2</v>
      </c>
      <c r="DD6" s="432">
        <f t="shared" si="51"/>
        <v>0</v>
      </c>
      <c r="DE6" s="163">
        <f>VLOOKUP($B:$B,'HT DIC'!$A:$AE,28,FALSE)</f>
        <v>13</v>
      </c>
      <c r="DF6" s="432">
        <f t="shared" si="52"/>
        <v>4.1666666666666664E-2</v>
      </c>
      <c r="DG6" s="434">
        <v>4.6655092592592595E-2</v>
      </c>
      <c r="DH6" s="432">
        <f t="shared" si="53"/>
        <v>4.9884259259259309E-3</v>
      </c>
      <c r="DI6" s="163">
        <f>VLOOKUP($B:$B,'HT DIC'!$A:$AE,29,FALSE)</f>
        <v>0</v>
      </c>
      <c r="DJ6" s="432">
        <f t="shared" si="67"/>
        <v>0</v>
      </c>
      <c r="DK6" s="434"/>
      <c r="DL6" s="432">
        <f t="shared" si="55"/>
        <v>0</v>
      </c>
      <c r="DM6" s="163">
        <f>VLOOKUP($B:$B,'HT DIC'!$A:$AE,30,FALSE)</f>
        <v>12</v>
      </c>
      <c r="DN6" s="432">
        <f t="shared" si="68"/>
        <v>3.8194444444444448E-2</v>
      </c>
      <c r="DO6" s="434">
        <v>2.2928240740740742E-2</v>
      </c>
      <c r="DP6" s="432">
        <f t="shared" si="57"/>
        <v>0</v>
      </c>
      <c r="DQ6" s="163">
        <f>VLOOKUP($B:$B,'HT DIC'!$A:$AE,31,FALSE)</f>
        <v>11</v>
      </c>
      <c r="DR6" s="432">
        <f t="shared" si="58"/>
        <v>3.4722222222222224E-2</v>
      </c>
      <c r="DS6" s="434">
        <v>4.7928240740740743E-2</v>
      </c>
      <c r="DT6" s="432">
        <f t="shared" si="59"/>
        <v>1.320601851851852E-2</v>
      </c>
      <c r="DU6" s="163" t="e">
        <f>VLOOKUP($B:$B,'HT DIC'!$A:$AE,32,FALSE)</f>
        <v>#REF!</v>
      </c>
      <c r="DV6" s="432">
        <f t="shared" si="60"/>
        <v>0</v>
      </c>
      <c r="DW6" s="434"/>
      <c r="DX6" s="432">
        <f t="shared" si="61"/>
        <v>0</v>
      </c>
      <c r="DY6" s="432">
        <f t="shared" si="62"/>
        <v>0.75289351851851827</v>
      </c>
    </row>
    <row r="7" spans="1:129">
      <c r="A7" s="166" t="s">
        <v>146</v>
      </c>
      <c r="B7" s="166" t="s">
        <v>147</v>
      </c>
      <c r="C7" s="166">
        <v>1751542109</v>
      </c>
      <c r="D7" s="431">
        <v>35489</v>
      </c>
      <c r="E7" s="163" t="e">
        <f>VLOOKUP($B:$B,#REF!,2,FALSE)</f>
        <v>#REF!</v>
      </c>
      <c r="F7" s="432">
        <f t="shared" si="0"/>
        <v>0</v>
      </c>
      <c r="G7" s="434">
        <v>4.358796296296296E-2</v>
      </c>
      <c r="H7" s="432">
        <f t="shared" si="1"/>
        <v>4.358796296296296E-2</v>
      </c>
      <c r="I7" s="163" t="e">
        <f>VLOOKUP($B:$B,'HT DIC'!$A:$AE,3,FALSE)</f>
        <v>#REF!</v>
      </c>
      <c r="J7" s="432">
        <f t="shared" si="2"/>
        <v>0</v>
      </c>
      <c r="K7" s="434">
        <v>3.8194444444444446E-4</v>
      </c>
      <c r="L7" s="432">
        <f t="shared" si="3"/>
        <v>3.8194444444444446E-4</v>
      </c>
      <c r="M7" s="163" t="e">
        <f>VLOOKUP($B:$B,'HT DIC'!$A:$AE,4,FALSE)</f>
        <v>#REF!</v>
      </c>
      <c r="N7" s="432">
        <f t="shared" si="4"/>
        <v>0</v>
      </c>
      <c r="O7" s="432">
        <v>1.2997685185185185E-2</v>
      </c>
      <c r="P7" s="432">
        <f t="shared" si="5"/>
        <v>1.2997685185185185E-2</v>
      </c>
      <c r="Q7" s="163" t="e">
        <f>VLOOKUP($B:$B,'HT DIC'!$A:$AE,5,FALSE)</f>
        <v>#REF!</v>
      </c>
      <c r="R7" s="432">
        <f t="shared" si="6"/>
        <v>0</v>
      </c>
      <c r="S7" s="432">
        <f>IFERROR(VLOOKUP(R7,$B$229:$E$245,2,FALSE),0)</f>
        <v>0</v>
      </c>
      <c r="T7" s="432">
        <f t="shared" si="7"/>
        <v>0</v>
      </c>
      <c r="U7" s="163" t="e">
        <f>VLOOKUP($B:$B,'HT DIC'!$A:$AE,6,FALSE)</f>
        <v>#REF!</v>
      </c>
      <c r="V7" s="432">
        <f t="shared" si="8"/>
        <v>0</v>
      </c>
      <c r="W7" s="434">
        <v>2.5462962962962962E-2</v>
      </c>
      <c r="X7" s="432">
        <f t="shared" si="9"/>
        <v>2.5462962962962962E-2</v>
      </c>
      <c r="Y7" s="163" t="e">
        <f>VLOOKUP($B:$B,'HT DIC'!$A:$AE,7,FALSE)</f>
        <v>#REF!</v>
      </c>
      <c r="Z7" s="432">
        <f t="shared" si="10"/>
        <v>0</v>
      </c>
      <c r="AA7" s="434">
        <v>3.5879629629629629E-3</v>
      </c>
      <c r="AB7" s="432">
        <f t="shared" si="11"/>
        <v>3.5879629629629629E-3</v>
      </c>
      <c r="AC7" s="163" t="e">
        <f>VLOOKUP($B:$B,'HT DIC'!$A:$AE,8,FALSE)</f>
        <v>#REF!</v>
      </c>
      <c r="AD7" s="432">
        <f t="shared" si="12"/>
        <v>0</v>
      </c>
      <c r="AE7" s="434"/>
      <c r="AF7" s="432">
        <f t="shared" si="13"/>
        <v>0</v>
      </c>
      <c r="AG7" s="163" t="e">
        <f>VLOOKUP($B:$B,'HT DIC'!$A:$AE,9,FALSE)</f>
        <v>#REF!</v>
      </c>
      <c r="AH7" s="432">
        <f t="shared" si="14"/>
        <v>0</v>
      </c>
      <c r="AI7" s="434">
        <v>6.0879629629629626E-3</v>
      </c>
      <c r="AJ7" s="432">
        <f t="shared" si="15"/>
        <v>6.0879629629629626E-3</v>
      </c>
      <c r="AK7" s="163" t="e">
        <f>VLOOKUP($B:$B,'HT DIC'!$A:$AE,10,FALSE)</f>
        <v>#REF!</v>
      </c>
      <c r="AL7" s="432">
        <f t="shared" si="16"/>
        <v>0</v>
      </c>
      <c r="AM7" s="434">
        <v>2.5497685185185186E-2</v>
      </c>
      <c r="AN7" s="432">
        <f t="shared" si="17"/>
        <v>2.5497685185185186E-2</v>
      </c>
      <c r="AO7" s="163" t="e">
        <f>VLOOKUP($B:$B,'HT DIC'!$A:$AE,11,FALSE)</f>
        <v>#REF!</v>
      </c>
      <c r="AP7" s="432">
        <f t="shared" si="18"/>
        <v>0</v>
      </c>
      <c r="AQ7" s="432">
        <f>IFERROR(VLOOKUP(AP7,$B$229:$E$245,2,FALSE),0)</f>
        <v>0</v>
      </c>
      <c r="AR7" s="432">
        <f t="shared" si="19"/>
        <v>0</v>
      </c>
      <c r="AS7" s="163" t="e">
        <f>VLOOKUP($B:$B,'HT DIC'!$A:$AE,12,FALSE)</f>
        <v>#REF!</v>
      </c>
      <c r="AT7" s="432">
        <f t="shared" si="20"/>
        <v>0</v>
      </c>
      <c r="AU7" s="434">
        <v>6.9525462962962969E-2</v>
      </c>
      <c r="AV7" s="432">
        <f t="shared" si="21"/>
        <v>6.9525462962962969E-2</v>
      </c>
      <c r="AW7" s="163" t="e">
        <f>VLOOKUP($B:$B,'HT DIC'!$A:$AE,13,FALSE)</f>
        <v>#REF!</v>
      </c>
      <c r="AX7" s="432">
        <f t="shared" si="22"/>
        <v>0</v>
      </c>
      <c r="AY7" s="434">
        <v>6.8194444444444446E-2</v>
      </c>
      <c r="AZ7" s="432">
        <f t="shared" si="23"/>
        <v>6.8194444444444446E-2</v>
      </c>
      <c r="BA7" s="163" t="e">
        <f>VLOOKUP($B:$B,'HT DIC'!$A:$AE,14,FALSE)</f>
        <v>#REF!</v>
      </c>
      <c r="BB7" s="432">
        <f t="shared" si="24"/>
        <v>0</v>
      </c>
      <c r="BC7" s="432">
        <f>IFERROR(VLOOKUP(BB7,$B$229:$E$245,2,FALSE),0)</f>
        <v>0</v>
      </c>
      <c r="BD7" s="432">
        <f t="shared" si="25"/>
        <v>0</v>
      </c>
      <c r="BE7" s="163" t="e">
        <f>VLOOKUP($B:$B,'HT DIC'!$A:$AE,15,FALSE)</f>
        <v>#REF!</v>
      </c>
      <c r="BF7" s="432">
        <f t="shared" si="26"/>
        <v>0</v>
      </c>
      <c r="BG7" s="434"/>
      <c r="BH7" s="432">
        <f t="shared" si="27"/>
        <v>0</v>
      </c>
      <c r="BI7" s="163" t="e">
        <f>VLOOKUP($B:$B,'HT DIC'!$A:$AE,16,FALSE)</f>
        <v>#REF!</v>
      </c>
      <c r="BJ7" s="432">
        <f t="shared" si="63"/>
        <v>0</v>
      </c>
      <c r="BK7" s="434">
        <v>4.5347222222222219E-2</v>
      </c>
      <c r="BL7" s="432">
        <f t="shared" si="29"/>
        <v>4.5347222222222219E-2</v>
      </c>
      <c r="BM7" s="163" t="e">
        <f>VLOOKUP($B:$B,'HT DIC'!$A:$AE,17,FALSE)</f>
        <v>#REF!</v>
      </c>
      <c r="BN7" s="432">
        <f t="shared" si="30"/>
        <v>0</v>
      </c>
      <c r="BO7" s="434">
        <v>6.7511574074074071E-2</v>
      </c>
      <c r="BP7" s="432">
        <f t="shared" si="31"/>
        <v>6.7511574074074071E-2</v>
      </c>
      <c r="BQ7" s="163" t="e">
        <f>VLOOKUP($B:$B,'HT DIC'!$A:$AE,18,FALSE)</f>
        <v>#REF!</v>
      </c>
      <c r="BR7" s="432">
        <f t="shared" si="64"/>
        <v>0</v>
      </c>
      <c r="BS7" s="434">
        <v>6.682870370370371E-2</v>
      </c>
      <c r="BT7" s="432">
        <f t="shared" si="33"/>
        <v>6.682870370370371E-2</v>
      </c>
      <c r="BU7" s="163" t="e">
        <f>VLOOKUP($B:$B,'HT DIC'!$A:$AE,19,FALSE)</f>
        <v>#REF!</v>
      </c>
      <c r="BV7" s="432">
        <f t="shared" si="34"/>
        <v>0</v>
      </c>
      <c r="BW7" s="434">
        <v>0.11335648148148147</v>
      </c>
      <c r="BX7" s="432">
        <f t="shared" si="35"/>
        <v>0.11335648148148147</v>
      </c>
      <c r="BY7" s="163" t="e">
        <f>VLOOKUP($B:$B,'HT DIC'!$A:$AE,20,FALSE)</f>
        <v>#REF!</v>
      </c>
      <c r="BZ7" s="432">
        <f t="shared" si="65"/>
        <v>0</v>
      </c>
      <c r="CA7" s="434">
        <v>7.2083333333333333E-2</v>
      </c>
      <c r="CB7" s="432">
        <f t="shared" si="37"/>
        <v>7.2083333333333333E-2</v>
      </c>
      <c r="CC7" s="163" t="e">
        <f>VLOOKUP($B:$B,'HT DIC'!$A:$AE,21,FALSE)</f>
        <v>#REF!</v>
      </c>
      <c r="CD7" s="432">
        <f t="shared" si="38"/>
        <v>0</v>
      </c>
      <c r="CE7" s="432"/>
      <c r="CF7" s="432">
        <f t="shared" si="39"/>
        <v>0</v>
      </c>
      <c r="CG7" s="163" t="e">
        <f>VLOOKUP($B:$B,'HT DIC'!$A:$AE,22,FALSE)</f>
        <v>#REF!</v>
      </c>
      <c r="CH7" s="432">
        <f t="shared" si="40"/>
        <v>0</v>
      </c>
      <c r="CI7" s="432">
        <f>IFERROR(VLOOKUP(CH7,$B$229:$E$245,2,FALSE),0)</f>
        <v>0</v>
      </c>
      <c r="CJ7" s="432">
        <f t="shared" si="41"/>
        <v>0</v>
      </c>
      <c r="CK7" s="163">
        <f>VLOOKUP($B:$B,'HT DIC'!$A:$AE,23,FALSE)</f>
        <v>11</v>
      </c>
      <c r="CL7" s="432">
        <f t="shared" si="42"/>
        <v>3.4722222222222224E-2</v>
      </c>
      <c r="CM7" s="432">
        <f>IFERROR(VLOOKUP(CL7,$B$229:$E$245,2,FALSE),0)</f>
        <v>0</v>
      </c>
      <c r="CN7" s="432">
        <f t="shared" si="43"/>
        <v>0</v>
      </c>
      <c r="CO7" s="163" t="e">
        <f>VLOOKUP($B:$B,'HT DIC'!$A:$AE,24,FALSE)</f>
        <v>#REF!</v>
      </c>
      <c r="CP7" s="432">
        <f t="shared" si="44"/>
        <v>0</v>
      </c>
      <c r="CQ7" s="432">
        <f>IFERROR(VLOOKUP(CP7,$B$229:$E$245,2,FALSE),0)</f>
        <v>0</v>
      </c>
      <c r="CR7" s="432">
        <f t="shared" si="45"/>
        <v>0</v>
      </c>
      <c r="CS7" s="163" t="e">
        <f>VLOOKUP($B:$B,'HT DIC'!$A:$AE,25,FALSE)</f>
        <v>#REF!</v>
      </c>
      <c r="CT7" s="432">
        <f t="shared" si="46"/>
        <v>0</v>
      </c>
      <c r="CU7" s="432">
        <v>8.324074074074074E-2</v>
      </c>
      <c r="CV7" s="432">
        <f t="shared" si="47"/>
        <v>8.324074074074074E-2</v>
      </c>
      <c r="CW7" s="163" t="e">
        <f>VLOOKUP($B:$B,'HT DIC'!$A:$AE,26,FALSE)</f>
        <v>#REF!</v>
      </c>
      <c r="CX7" s="432">
        <f t="shared" si="48"/>
        <v>0</v>
      </c>
      <c r="CY7" s="434">
        <v>6.8043981481481483E-2</v>
      </c>
      <c r="CZ7" s="432">
        <f t="shared" si="49"/>
        <v>6.8043981481481483E-2</v>
      </c>
      <c r="DA7" s="163">
        <f>VLOOKUP($B:$B,'HT DIC'!$A:$AE,27,FALSE)</f>
        <v>12</v>
      </c>
      <c r="DB7" s="432">
        <f t="shared" si="66"/>
        <v>3.8194444444444448E-2</v>
      </c>
      <c r="DC7" s="434">
        <v>9.660879629629629E-2</v>
      </c>
      <c r="DD7" s="432">
        <f t="shared" si="51"/>
        <v>5.8414351851851842E-2</v>
      </c>
      <c r="DE7" s="163">
        <f>VLOOKUP($B:$B,'HT DIC'!$A:$AE,28,FALSE)</f>
        <v>11</v>
      </c>
      <c r="DF7" s="432">
        <f t="shared" si="52"/>
        <v>3.4722222222222224E-2</v>
      </c>
      <c r="DG7" s="432">
        <f>IFERROR(VLOOKUP(DF7,$B$229:$E$245,2,FALSE),0)</f>
        <v>0</v>
      </c>
      <c r="DH7" s="432">
        <f t="shared" si="53"/>
        <v>0</v>
      </c>
      <c r="DI7" s="163">
        <f>VLOOKUP($B:$B,'HT DIC'!$A:$AE,29,FALSE)</f>
        <v>8</v>
      </c>
      <c r="DJ7" s="432">
        <f t="shared" si="67"/>
        <v>2.4305555555555556E-2</v>
      </c>
      <c r="DK7" s="434">
        <v>7.5370370370370365E-2</v>
      </c>
      <c r="DL7" s="432">
        <f t="shared" si="55"/>
        <v>5.1064814814814813E-2</v>
      </c>
      <c r="DM7" s="163">
        <f>VLOOKUP($B:$B,'HT DIC'!$A:$AE,30,FALSE)</f>
        <v>10</v>
      </c>
      <c r="DN7" s="432">
        <f t="shared" si="68"/>
        <v>3.125E-2</v>
      </c>
      <c r="DO7" s="434">
        <v>0.19670138888888888</v>
      </c>
      <c r="DP7" s="432">
        <f t="shared" si="57"/>
        <v>0.16545138888888888</v>
      </c>
      <c r="DQ7" s="163">
        <f>VLOOKUP($B:$B,'HT DIC'!$A:$AE,31,FALSE)</f>
        <v>11</v>
      </c>
      <c r="DR7" s="432">
        <f t="shared" si="58"/>
        <v>3.4722222222222224E-2</v>
      </c>
      <c r="DS7" s="434">
        <v>0.10184027777777778</v>
      </c>
      <c r="DT7" s="432">
        <f t="shared" si="59"/>
        <v>6.7118055555555556E-2</v>
      </c>
      <c r="DU7" s="163" t="e">
        <f>VLOOKUP($B:$B,'HT DIC'!$A:$AE,32,FALSE)</f>
        <v>#REF!</v>
      </c>
      <c r="DV7" s="432">
        <f t="shared" si="60"/>
        <v>0</v>
      </c>
      <c r="DW7" s="434"/>
      <c r="DX7" s="432">
        <f t="shared" si="61"/>
        <v>0</v>
      </c>
      <c r="DY7" s="432">
        <f>IF(DX7-DW7&lt;0,0,DX7-DW7)</f>
        <v>0</v>
      </c>
    </row>
    <row r="8" spans="1:129">
      <c r="A8" s="166" t="s">
        <v>59</v>
      </c>
      <c r="B8" s="166" t="s">
        <v>60</v>
      </c>
      <c r="C8" s="166">
        <v>402109086</v>
      </c>
      <c r="D8" s="431">
        <v>39034</v>
      </c>
      <c r="E8" s="163" t="e">
        <f>VLOOKUP($B:$B,#REF!,2,FALSE)</f>
        <v>#REF!</v>
      </c>
      <c r="F8" s="432">
        <f t="shared" si="0"/>
        <v>0</v>
      </c>
      <c r="G8" s="434">
        <v>3.0219907407407407E-2</v>
      </c>
      <c r="H8" s="432">
        <f t="shared" si="1"/>
        <v>3.0219907407407407E-2</v>
      </c>
      <c r="I8" s="163" t="e">
        <f>VLOOKUP($B:$B,'HT DIC'!$A:$AE,3,FALSE)</f>
        <v>#REF!</v>
      </c>
      <c r="J8" s="432">
        <f t="shared" si="2"/>
        <v>0</v>
      </c>
      <c r="K8" s="434">
        <v>2.2905092592592591E-2</v>
      </c>
      <c r="L8" s="432">
        <f t="shared" si="3"/>
        <v>2.2905092592592591E-2</v>
      </c>
      <c r="M8" s="163" t="e">
        <f>VLOOKUP($B:$B,'HT DIC'!$A:$AE,4,FALSE)</f>
        <v>#REF!</v>
      </c>
      <c r="N8" s="432">
        <f t="shared" si="4"/>
        <v>0</v>
      </c>
      <c r="O8" s="432">
        <v>4.3078703703703702E-2</v>
      </c>
      <c r="P8" s="432">
        <f t="shared" si="5"/>
        <v>4.3078703703703702E-2</v>
      </c>
      <c r="Q8" s="163" t="e">
        <f>VLOOKUP($B:$B,'HT DIC'!$A:$AE,5,FALSE)</f>
        <v>#REF!</v>
      </c>
      <c r="R8" s="432">
        <f t="shared" si="6"/>
        <v>0</v>
      </c>
      <c r="S8" s="432">
        <v>2.9502314814814815E-2</v>
      </c>
      <c r="T8" s="432">
        <f t="shared" si="7"/>
        <v>2.9502314814814815E-2</v>
      </c>
      <c r="U8" s="163" t="e">
        <f>VLOOKUP($B:$B,'HT DIC'!$A:$AE,6,FALSE)</f>
        <v>#REF!</v>
      </c>
      <c r="V8" s="432">
        <f t="shared" si="8"/>
        <v>0</v>
      </c>
      <c r="W8" s="434"/>
      <c r="X8" s="432">
        <f t="shared" si="9"/>
        <v>0</v>
      </c>
      <c r="Y8" s="163" t="e">
        <f>VLOOKUP($B:$B,'HT DIC'!$A:$AE,7,FALSE)</f>
        <v>#REF!</v>
      </c>
      <c r="Z8" s="432">
        <f t="shared" si="10"/>
        <v>0</v>
      </c>
      <c r="AA8" s="434">
        <v>3.0046296296296297E-2</v>
      </c>
      <c r="AB8" s="432">
        <f t="shared" si="11"/>
        <v>3.0046296296296297E-2</v>
      </c>
      <c r="AC8" s="163" t="e">
        <f>VLOOKUP($B:$B,'HT DIC'!$A:$AE,8,FALSE)</f>
        <v>#REF!</v>
      </c>
      <c r="AD8" s="432">
        <f t="shared" si="12"/>
        <v>0</v>
      </c>
      <c r="AE8" s="434">
        <v>2.4131944444444445E-2</v>
      </c>
      <c r="AF8" s="432">
        <f t="shared" si="13"/>
        <v>2.4131944444444445E-2</v>
      </c>
      <c r="AG8" s="163" t="e">
        <f>VLOOKUP($B:$B,'HT DIC'!$A:$AE,9,FALSE)</f>
        <v>#REF!</v>
      </c>
      <c r="AH8" s="432">
        <f t="shared" si="14"/>
        <v>0</v>
      </c>
      <c r="AI8" s="434">
        <v>2.1423611111111112E-2</v>
      </c>
      <c r="AJ8" s="432">
        <f t="shared" si="15"/>
        <v>2.1423611111111112E-2</v>
      </c>
      <c r="AK8" s="163" t="e">
        <f>VLOOKUP($B:$B,'HT DIC'!$A:$AE,10,FALSE)</f>
        <v>#REF!</v>
      </c>
      <c r="AL8" s="432">
        <f t="shared" si="16"/>
        <v>0</v>
      </c>
      <c r="AM8" s="434">
        <v>2.7777777777777776E-2</v>
      </c>
      <c r="AN8" s="432">
        <f t="shared" si="17"/>
        <v>2.7777777777777776E-2</v>
      </c>
      <c r="AO8" s="163" t="e">
        <f>VLOOKUP($B:$B,'HT DIC'!$A:$AE,11,FALSE)</f>
        <v>#REF!</v>
      </c>
      <c r="AP8" s="432">
        <f t="shared" si="18"/>
        <v>0</v>
      </c>
      <c r="AQ8" s="432"/>
      <c r="AR8" s="432">
        <f t="shared" si="19"/>
        <v>0</v>
      </c>
      <c r="AS8" s="163" t="e">
        <f>VLOOKUP($B:$B,'HT DIC'!$A:$AE,12,FALSE)</f>
        <v>#REF!</v>
      </c>
      <c r="AT8" s="432">
        <f t="shared" si="20"/>
        <v>0</v>
      </c>
      <c r="AU8" s="434">
        <v>2.9178240740740741E-2</v>
      </c>
      <c r="AV8" s="432">
        <f t="shared" si="21"/>
        <v>2.9178240740740741E-2</v>
      </c>
      <c r="AW8" s="163" t="e">
        <f>VLOOKUP($B:$B,'HT DIC'!$A:$AE,13,FALSE)</f>
        <v>#REF!</v>
      </c>
      <c r="AX8" s="432">
        <f t="shared" si="22"/>
        <v>0</v>
      </c>
      <c r="AY8" s="434">
        <v>3.5439814814814813E-2</v>
      </c>
      <c r="AZ8" s="432">
        <f t="shared" si="23"/>
        <v>3.5439814814814813E-2</v>
      </c>
      <c r="BA8" s="163" t="e">
        <f>VLOOKUP($B:$B,'HT DIC'!$A:$AE,14,FALSE)</f>
        <v>#REF!</v>
      </c>
      <c r="BB8" s="432">
        <f t="shared" si="24"/>
        <v>0</v>
      </c>
      <c r="BC8" s="434">
        <v>3.9004629629629632E-2</v>
      </c>
      <c r="BD8" s="432">
        <f t="shared" si="25"/>
        <v>3.9004629629629632E-2</v>
      </c>
      <c r="BE8" s="163" t="e">
        <f>VLOOKUP($B:$B,'HT DIC'!$A:$AE,15,FALSE)</f>
        <v>#REF!</v>
      </c>
      <c r="BF8" s="432">
        <f t="shared" si="26"/>
        <v>0</v>
      </c>
      <c r="BG8" s="434">
        <v>4.1967592592592591E-2</v>
      </c>
      <c r="BH8" s="432">
        <f t="shared" si="27"/>
        <v>4.1967592592592591E-2</v>
      </c>
      <c r="BI8" s="163" t="e">
        <f>VLOOKUP($B:$B,'HT DIC'!$A:$AE,16,FALSE)</f>
        <v>#REF!</v>
      </c>
      <c r="BJ8" s="432">
        <f t="shared" si="63"/>
        <v>0</v>
      </c>
      <c r="BK8" s="434">
        <v>3.2708333333333332E-2</v>
      </c>
      <c r="BL8" s="432">
        <f t="shared" si="29"/>
        <v>3.2708333333333332E-2</v>
      </c>
      <c r="BM8" s="163" t="e">
        <f>VLOOKUP($B:$B,'HT DIC'!$A:$AE,17,FALSE)</f>
        <v>#REF!</v>
      </c>
      <c r="BN8" s="432">
        <f t="shared" si="30"/>
        <v>0</v>
      </c>
      <c r="BO8" s="434">
        <v>3.1643518518518515E-2</v>
      </c>
      <c r="BP8" s="432">
        <f t="shared" si="31"/>
        <v>3.1643518518518515E-2</v>
      </c>
      <c r="BQ8" s="163" t="e">
        <f>VLOOKUP($B:$B,'HT DIC'!$A:$AE,18,FALSE)</f>
        <v>#REF!</v>
      </c>
      <c r="BR8" s="432">
        <f t="shared" si="64"/>
        <v>0</v>
      </c>
      <c r="BS8" s="434">
        <v>3.111111111111111E-2</v>
      </c>
      <c r="BT8" s="432">
        <f t="shared" si="33"/>
        <v>3.111111111111111E-2</v>
      </c>
      <c r="BU8" s="163" t="e">
        <f>VLOOKUP($B:$B,'HT DIC'!$A:$AE,19,FALSE)</f>
        <v>#REF!</v>
      </c>
      <c r="BV8" s="432">
        <f t="shared" si="34"/>
        <v>0</v>
      </c>
      <c r="BW8" s="434">
        <v>2.7604166666666666E-2</v>
      </c>
      <c r="BX8" s="432">
        <f t="shared" si="35"/>
        <v>2.7604166666666666E-2</v>
      </c>
      <c r="BY8" s="163" t="e">
        <f>VLOOKUP($B:$B,'HT DIC'!$A:$AE,20,FALSE)</f>
        <v>#REF!</v>
      </c>
      <c r="BZ8" s="432">
        <f t="shared" si="65"/>
        <v>0</v>
      </c>
      <c r="CA8" s="434">
        <v>3.1157407407407408E-2</v>
      </c>
      <c r="CB8" s="432">
        <f t="shared" si="37"/>
        <v>3.1157407407407408E-2</v>
      </c>
      <c r="CC8" s="163" t="e">
        <f>VLOOKUP($B:$B,'HT DIC'!$A:$AE,21,FALSE)</f>
        <v>#REF!</v>
      </c>
      <c r="CD8" s="432">
        <f t="shared" si="38"/>
        <v>0</v>
      </c>
      <c r="CE8" s="432">
        <v>5.3761574074074073E-2</v>
      </c>
      <c r="CF8" s="432">
        <f t="shared" si="39"/>
        <v>5.3761574074074073E-2</v>
      </c>
      <c r="CG8" s="163" t="e">
        <f>VLOOKUP($B:$B,'HT DIC'!$A:$AE,22,FALSE)</f>
        <v>#REF!</v>
      </c>
      <c r="CH8" s="432">
        <f t="shared" si="40"/>
        <v>0</v>
      </c>
      <c r="CI8" s="434"/>
      <c r="CJ8" s="432">
        <f t="shared" si="41"/>
        <v>0</v>
      </c>
      <c r="CK8" s="163">
        <f>VLOOKUP($B:$B,'HT DIC'!$A:$AE,23,FALSE)</f>
        <v>10</v>
      </c>
      <c r="CL8" s="432">
        <f t="shared" si="42"/>
        <v>3.125E-2</v>
      </c>
      <c r="CM8" s="432">
        <v>3.079861111111111E-2</v>
      </c>
      <c r="CN8" s="432">
        <f t="shared" si="43"/>
        <v>0</v>
      </c>
      <c r="CO8" s="163" t="e">
        <f>VLOOKUP($B:$B,'HT DIC'!$A:$AE,24,FALSE)</f>
        <v>#REF!</v>
      </c>
      <c r="CP8" s="432">
        <f t="shared" si="44"/>
        <v>0</v>
      </c>
      <c r="CQ8" s="434">
        <v>3.4722222222222224E-2</v>
      </c>
      <c r="CR8" s="432">
        <f t="shared" si="45"/>
        <v>3.4722222222222224E-2</v>
      </c>
      <c r="CS8" s="163" t="e">
        <f>VLOOKUP($B:$B,'HT DIC'!$A:$AE,25,FALSE)</f>
        <v>#REF!</v>
      </c>
      <c r="CT8" s="432">
        <f t="shared" si="46"/>
        <v>0</v>
      </c>
      <c r="CU8" s="432">
        <v>3.0150462962962962E-2</v>
      </c>
      <c r="CV8" s="432">
        <f t="shared" si="47"/>
        <v>3.0150462962962962E-2</v>
      </c>
      <c r="CW8" s="163" t="e">
        <f>VLOOKUP($B:$B,'HT DIC'!$A:$AE,26,FALSE)</f>
        <v>#REF!</v>
      </c>
      <c r="CX8" s="432">
        <f t="shared" si="48"/>
        <v>0</v>
      </c>
      <c r="CY8" s="434">
        <v>2.8958333333333332E-2</v>
      </c>
      <c r="CZ8" s="432">
        <f t="shared" si="49"/>
        <v>2.8958333333333332E-2</v>
      </c>
      <c r="DA8" s="163">
        <f>VLOOKUP($B:$B,'HT DIC'!$A:$AE,27,FALSE)</f>
        <v>12</v>
      </c>
      <c r="DB8" s="432">
        <f t="shared" si="66"/>
        <v>3.8194444444444448E-2</v>
      </c>
      <c r="DC8" s="434">
        <v>5.226851851851852E-2</v>
      </c>
      <c r="DD8" s="432">
        <f t="shared" si="51"/>
        <v>1.4074074074074072E-2</v>
      </c>
      <c r="DE8" s="163">
        <f>VLOOKUP($B:$B,'HT DIC'!$A:$AE,28,FALSE)</f>
        <v>0</v>
      </c>
      <c r="DF8" s="432">
        <f t="shared" si="52"/>
        <v>0</v>
      </c>
      <c r="DG8" s="434"/>
      <c r="DH8" s="432">
        <f t="shared" si="53"/>
        <v>0</v>
      </c>
      <c r="DI8" s="163">
        <f>VLOOKUP($B:$B,'HT DIC'!$A:$AE,29,FALSE)</f>
        <v>11</v>
      </c>
      <c r="DJ8" s="432">
        <f t="shared" si="67"/>
        <v>3.4722222222222224E-2</v>
      </c>
      <c r="DK8" s="434">
        <v>4.2152777777777775E-2</v>
      </c>
      <c r="DL8" s="432">
        <f t="shared" si="55"/>
        <v>7.4305555555555514E-3</v>
      </c>
      <c r="DM8" s="163">
        <f>VLOOKUP($B:$B,'HT DIC'!$A:$AE,30,FALSE)</f>
        <v>11</v>
      </c>
      <c r="DN8" s="432">
        <f t="shared" si="68"/>
        <v>3.4722222222222224E-2</v>
      </c>
      <c r="DO8" s="434">
        <v>3.0775462962962963E-2</v>
      </c>
      <c r="DP8" s="432">
        <f t="shared" si="57"/>
        <v>0</v>
      </c>
      <c r="DQ8" s="163">
        <f>VLOOKUP($B:$B,'HT DIC'!$A:$AE,31,FALSE)</f>
        <v>12</v>
      </c>
      <c r="DR8" s="432">
        <f t="shared" si="58"/>
        <v>3.8194444444444448E-2</v>
      </c>
      <c r="DS8" s="434">
        <v>3.8194444444444448E-2</v>
      </c>
      <c r="DT8" s="432">
        <f t="shared" si="59"/>
        <v>0</v>
      </c>
      <c r="DU8" s="163" t="e">
        <f>VLOOKUP($B:$B,'HT DIC'!$A:$AE,32,FALSE)</f>
        <v>#REF!</v>
      </c>
      <c r="DV8" s="432">
        <f t="shared" si="60"/>
        <v>0</v>
      </c>
      <c r="DW8" s="434"/>
      <c r="DX8" s="432">
        <f t="shared" si="61"/>
        <v>0</v>
      </c>
      <c r="DY8" s="432">
        <f t="shared" ref="DY8:DY59" si="69">DX8+DT8+DP8+DL8+DH8+DD8+CZ8+CV8+CR8+CN8+CJ8+CF8+CB8+BX8+BT8+BP8+BL8+BH8+BD8+AZ8+AV8+AR8+AN8+AJ8+AF8+AB8+X8+T8+P8+L8+H8</f>
        <v>0.69799768518518512</v>
      </c>
    </row>
    <row r="9" spans="1:129">
      <c r="A9" s="166" t="s">
        <v>62</v>
      </c>
      <c r="B9" s="166" t="s">
        <v>63</v>
      </c>
      <c r="C9" s="166">
        <v>1722491303</v>
      </c>
      <c r="D9" s="431">
        <v>32561</v>
      </c>
      <c r="E9" s="163" t="e">
        <f>VLOOKUP($B:$B,#REF!,2,FALSE)</f>
        <v>#REF!</v>
      </c>
      <c r="F9" s="432">
        <f t="shared" si="0"/>
        <v>0</v>
      </c>
      <c r="G9" s="434">
        <v>4.0601851851851854E-2</v>
      </c>
      <c r="H9" s="432">
        <f t="shared" si="1"/>
        <v>4.0601851851851854E-2</v>
      </c>
      <c r="I9" s="163" t="e">
        <f>VLOOKUP($B:$B,'HT DIC'!$A:$AE,3,FALSE)</f>
        <v>#REF!</v>
      </c>
      <c r="J9" s="432">
        <f t="shared" si="2"/>
        <v>0</v>
      </c>
      <c r="K9" s="432">
        <f>IFERROR(VLOOKUP(J9,$B$229:$E$245,2,FALSE),0)</f>
        <v>0</v>
      </c>
      <c r="L9" s="432">
        <f t="shared" si="3"/>
        <v>0</v>
      </c>
      <c r="M9" s="163" t="e">
        <f>VLOOKUP($B:$B,'HT DIC'!$A:$AE,4,FALSE)</f>
        <v>#REF!</v>
      </c>
      <c r="N9" s="432">
        <f t="shared" si="4"/>
        <v>0</v>
      </c>
      <c r="O9" s="432">
        <v>3.2280092592592589E-2</v>
      </c>
      <c r="P9" s="432">
        <f t="shared" si="5"/>
        <v>3.2280092592592589E-2</v>
      </c>
      <c r="Q9" s="163" t="e">
        <f>VLOOKUP($B:$B,'HT DIC'!$A:$AE,5,FALSE)</f>
        <v>#REF!</v>
      </c>
      <c r="R9" s="432">
        <f t="shared" si="6"/>
        <v>0</v>
      </c>
      <c r="S9" s="432">
        <v>3.4722222222222224E-2</v>
      </c>
      <c r="T9" s="432">
        <f t="shared" si="7"/>
        <v>3.4722222222222224E-2</v>
      </c>
      <c r="U9" s="163" t="e">
        <f>VLOOKUP($B:$B,'HT DIC'!$A:$AE,6,FALSE)</f>
        <v>#REF!</v>
      </c>
      <c r="V9" s="432">
        <f t="shared" si="8"/>
        <v>0</v>
      </c>
      <c r="W9" s="432">
        <f>IFERROR(VLOOKUP(V9,$B$229:$E$245,2,FALSE),0)</f>
        <v>0</v>
      </c>
      <c r="X9" s="432">
        <f t="shared" si="9"/>
        <v>0</v>
      </c>
      <c r="Y9" s="163" t="e">
        <f>VLOOKUP($B:$B,'HT DIC'!$A:$AE,7,FALSE)</f>
        <v>#REF!</v>
      </c>
      <c r="Z9" s="432">
        <f t="shared" si="10"/>
        <v>0</v>
      </c>
      <c r="AA9" s="434"/>
      <c r="AB9" s="432">
        <f t="shared" si="11"/>
        <v>0</v>
      </c>
      <c r="AC9" s="163" t="e">
        <f>VLOOKUP($B:$B,'HT DIC'!$A:$AE,8,FALSE)</f>
        <v>#REF!</v>
      </c>
      <c r="AD9" s="432">
        <f t="shared" si="12"/>
        <v>0</v>
      </c>
      <c r="AE9" s="434">
        <v>1.6203703703703703E-4</v>
      </c>
      <c r="AF9" s="432">
        <f t="shared" si="13"/>
        <v>1.6203703703703703E-4</v>
      </c>
      <c r="AG9" s="163" t="e">
        <f>VLOOKUP($B:$B,'HT DIC'!$A:$AE,9,FALSE)</f>
        <v>#REF!</v>
      </c>
      <c r="AH9" s="432">
        <f t="shared" si="14"/>
        <v>0</v>
      </c>
      <c r="AI9" s="434">
        <v>4.5497685185185183E-2</v>
      </c>
      <c r="AJ9" s="432">
        <f t="shared" si="15"/>
        <v>4.5497685185185183E-2</v>
      </c>
      <c r="AK9" s="163" t="e">
        <f>VLOOKUP($B:$B,'HT DIC'!$A:$AE,10,FALSE)</f>
        <v>#REF!</v>
      </c>
      <c r="AL9" s="432">
        <f t="shared" si="16"/>
        <v>0</v>
      </c>
      <c r="AM9" s="434">
        <v>4.5011574074074072E-2</v>
      </c>
      <c r="AN9" s="432">
        <f t="shared" si="17"/>
        <v>4.5011574074074072E-2</v>
      </c>
      <c r="AO9" s="163" t="e">
        <f>VLOOKUP($B:$B,'HT DIC'!$A:$AE,11,FALSE)</f>
        <v>#REF!</v>
      </c>
      <c r="AP9" s="432">
        <f t="shared" si="18"/>
        <v>0</v>
      </c>
      <c r="AQ9" s="432">
        <v>3.318287037037037E-2</v>
      </c>
      <c r="AR9" s="432">
        <f t="shared" si="19"/>
        <v>3.318287037037037E-2</v>
      </c>
      <c r="AS9" s="163" t="e">
        <f>VLOOKUP($B:$B,'HT DIC'!$A:$AE,12,FALSE)</f>
        <v>#REF!</v>
      </c>
      <c r="AT9" s="432">
        <f t="shared" si="20"/>
        <v>0</v>
      </c>
      <c r="AU9" s="434">
        <v>3.4722222222222224E-2</v>
      </c>
      <c r="AV9" s="432">
        <f t="shared" si="21"/>
        <v>3.4722222222222224E-2</v>
      </c>
      <c r="AW9" s="163" t="e">
        <f>VLOOKUP($B:$B,'HT DIC'!$A:$AE,13,FALSE)</f>
        <v>#REF!</v>
      </c>
      <c r="AX9" s="432">
        <f t="shared" si="22"/>
        <v>0</v>
      </c>
      <c r="AY9" s="434"/>
      <c r="AZ9" s="432">
        <f t="shared" si="23"/>
        <v>0</v>
      </c>
      <c r="BA9" s="163" t="e">
        <f>VLOOKUP($B:$B,'HT DIC'!$A:$AE,14,FALSE)</f>
        <v>#REF!</v>
      </c>
      <c r="BB9" s="432">
        <f t="shared" si="24"/>
        <v>0</v>
      </c>
      <c r="BC9" s="434">
        <v>3.8715277777777779E-2</v>
      </c>
      <c r="BD9" s="432">
        <f t="shared" si="25"/>
        <v>3.8715277777777779E-2</v>
      </c>
      <c r="BE9" s="163" t="e">
        <f>VLOOKUP($B:$B,'HT DIC'!$A:$AE,15,FALSE)</f>
        <v>#REF!</v>
      </c>
      <c r="BF9" s="432">
        <f t="shared" si="26"/>
        <v>0</v>
      </c>
      <c r="BG9" s="432">
        <f>IFERROR(VLOOKUP(BF9,$B$229:$E$245,2,FALSE),0)</f>
        <v>0</v>
      </c>
      <c r="BH9" s="432">
        <f t="shared" si="27"/>
        <v>0</v>
      </c>
      <c r="BI9" s="163" t="e">
        <f>VLOOKUP($B:$B,'HT DIC'!$A:$AE,16,FALSE)</f>
        <v>#REF!</v>
      </c>
      <c r="BJ9" s="432">
        <f t="shared" si="63"/>
        <v>0</v>
      </c>
      <c r="BK9" s="434">
        <v>3.4687500000000003E-2</v>
      </c>
      <c r="BL9" s="432">
        <f t="shared" si="29"/>
        <v>3.4687500000000003E-2</v>
      </c>
      <c r="BM9" s="163" t="e">
        <f>VLOOKUP($B:$B,'HT DIC'!$A:$AE,17,FALSE)</f>
        <v>#REF!</v>
      </c>
      <c r="BN9" s="432">
        <f t="shared" si="30"/>
        <v>0</v>
      </c>
      <c r="BO9" s="434">
        <v>3.4722222222222224E-2</v>
      </c>
      <c r="BP9" s="432">
        <f t="shared" si="31"/>
        <v>3.4722222222222224E-2</v>
      </c>
      <c r="BQ9" s="163" t="e">
        <f>VLOOKUP($B:$B,'HT DIC'!$A:$AE,18,FALSE)</f>
        <v>#REF!</v>
      </c>
      <c r="BR9" s="432">
        <f t="shared" si="64"/>
        <v>0</v>
      </c>
      <c r="BS9" s="434">
        <v>2.8321759259259258E-2</v>
      </c>
      <c r="BT9" s="432">
        <f t="shared" si="33"/>
        <v>2.8321759259259258E-2</v>
      </c>
      <c r="BU9" s="163" t="e">
        <f>VLOOKUP($B:$B,'HT DIC'!$A:$AE,19,FALSE)</f>
        <v>#REF!</v>
      </c>
      <c r="BV9" s="432">
        <f t="shared" si="34"/>
        <v>0</v>
      </c>
      <c r="BW9" s="434">
        <v>3.125E-2</v>
      </c>
      <c r="BX9" s="432">
        <f t="shared" si="35"/>
        <v>3.125E-2</v>
      </c>
      <c r="BY9" s="163" t="e">
        <f>VLOOKUP($B:$B,'HT DIC'!$A:$AE,20,FALSE)</f>
        <v>#REF!</v>
      </c>
      <c r="BZ9" s="432">
        <f t="shared" si="65"/>
        <v>0</v>
      </c>
      <c r="CA9" s="434"/>
      <c r="CB9" s="432">
        <f t="shared" si="37"/>
        <v>0</v>
      </c>
      <c r="CC9" s="163" t="e">
        <f>VLOOKUP($B:$B,'HT DIC'!$A:$AE,21,FALSE)</f>
        <v>#REF!</v>
      </c>
      <c r="CD9" s="432">
        <f t="shared" si="38"/>
        <v>0</v>
      </c>
      <c r="CE9" s="432">
        <f>IFERROR(VLOOKUP(CD9,$B$229:$E$245,2,FALSE),0)</f>
        <v>0</v>
      </c>
      <c r="CF9" s="432">
        <f t="shared" si="39"/>
        <v>0</v>
      </c>
      <c r="CG9" s="163" t="str">
        <f>VLOOKUP($B:$B,'HT DIC'!$A:$AE,22,FALSE)</f>
        <v>FI</v>
      </c>
      <c r="CH9" s="432">
        <f t="shared" si="40"/>
        <v>0</v>
      </c>
      <c r="CI9" s="434"/>
      <c r="CJ9" s="432">
        <f t="shared" si="41"/>
        <v>0</v>
      </c>
      <c r="CK9" s="163">
        <f>VLOOKUP($B:$B,'HT DIC'!$A:$AE,23,FALSE)</f>
        <v>10</v>
      </c>
      <c r="CL9" s="432">
        <f t="shared" si="42"/>
        <v>3.125E-2</v>
      </c>
      <c r="CM9" s="432">
        <v>3.1180555555555555E-2</v>
      </c>
      <c r="CN9" s="432">
        <f t="shared" si="43"/>
        <v>0</v>
      </c>
      <c r="CO9" s="163" t="e">
        <f>VLOOKUP($B:$B,'HT DIC'!$A:$AE,24,FALSE)</f>
        <v>#REF!</v>
      </c>
      <c r="CP9" s="432">
        <f t="shared" si="44"/>
        <v>0</v>
      </c>
      <c r="CQ9" s="434">
        <v>3.125E-2</v>
      </c>
      <c r="CR9" s="432">
        <f t="shared" si="45"/>
        <v>3.125E-2</v>
      </c>
      <c r="CS9" s="163" t="e">
        <f>VLOOKUP($B:$B,'HT DIC'!$A:$AE,25,FALSE)</f>
        <v>#REF!</v>
      </c>
      <c r="CT9" s="432">
        <f t="shared" si="46"/>
        <v>0</v>
      </c>
      <c r="CU9" s="432">
        <v>3.888888888888889E-2</v>
      </c>
      <c r="CV9" s="432">
        <f t="shared" si="47"/>
        <v>3.888888888888889E-2</v>
      </c>
      <c r="CW9" s="163" t="e">
        <f>VLOOKUP($B:$B,'HT DIC'!$A:$AE,26,FALSE)</f>
        <v>#REF!</v>
      </c>
      <c r="CX9" s="432">
        <f t="shared" si="48"/>
        <v>0</v>
      </c>
      <c r="CY9" s="434">
        <v>3.8437499999999999E-2</v>
      </c>
      <c r="CZ9" s="432">
        <f t="shared" si="49"/>
        <v>3.8437499999999999E-2</v>
      </c>
      <c r="DA9" s="163">
        <f>VLOOKUP($B:$B,'HT DIC'!$A:$AE,27,FALSE)</f>
        <v>12</v>
      </c>
      <c r="DB9" s="432">
        <f t="shared" si="66"/>
        <v>3.8194444444444448E-2</v>
      </c>
      <c r="DC9" s="434">
        <v>3.8194444444444448E-2</v>
      </c>
      <c r="DD9" s="432">
        <f t="shared" si="51"/>
        <v>0</v>
      </c>
      <c r="DE9" s="163">
        <f>VLOOKUP($B:$B,'HT DIC'!$A:$AE,28,FALSE)</f>
        <v>0</v>
      </c>
      <c r="DF9" s="432">
        <f t="shared" si="52"/>
        <v>0</v>
      </c>
      <c r="DG9" s="434"/>
      <c r="DH9" s="432">
        <f t="shared" si="53"/>
        <v>0</v>
      </c>
      <c r="DI9" s="163">
        <f>VLOOKUP($B:$B,'HT DIC'!$A:$AE,29,FALSE)</f>
        <v>10</v>
      </c>
      <c r="DJ9" s="432">
        <f t="shared" si="67"/>
        <v>3.125E-2</v>
      </c>
      <c r="DK9" s="434">
        <v>3.2094907407407405E-2</v>
      </c>
      <c r="DL9" s="432">
        <f t="shared" si="55"/>
        <v>8.4490740740740533E-4</v>
      </c>
      <c r="DM9" s="163">
        <f>VLOOKUP($B:$B,'HT DIC'!$A:$AE,30,FALSE)</f>
        <v>10</v>
      </c>
      <c r="DN9" s="432">
        <f t="shared" si="68"/>
        <v>3.125E-2</v>
      </c>
      <c r="DO9" s="434">
        <v>3.6296296296296299E-2</v>
      </c>
      <c r="DP9" s="432">
        <f t="shared" si="57"/>
        <v>5.0462962962962987E-3</v>
      </c>
      <c r="DQ9" s="163">
        <f>VLOOKUP($B:$B,'HT DIC'!$A:$AE,31,FALSE)</f>
        <v>11</v>
      </c>
      <c r="DR9" s="432">
        <f t="shared" si="58"/>
        <v>3.4722222222222224E-2</v>
      </c>
      <c r="DS9" s="434">
        <v>3.5752314814814813E-2</v>
      </c>
      <c r="DT9" s="432">
        <f t="shared" si="59"/>
        <v>1.0300925925925894E-3</v>
      </c>
      <c r="DU9" s="163" t="e">
        <f>VLOOKUP($B:$B,'HT DIC'!$A:$AE,32,FALSE)</f>
        <v>#REF!</v>
      </c>
      <c r="DV9" s="432">
        <f t="shared" si="60"/>
        <v>0</v>
      </c>
      <c r="DW9" s="434"/>
      <c r="DX9" s="432">
        <f t="shared" si="61"/>
        <v>0</v>
      </c>
      <c r="DY9" s="432">
        <f t="shared" si="69"/>
        <v>0.54937499999999995</v>
      </c>
    </row>
    <row r="10" spans="1:129">
      <c r="A10" s="166" t="s">
        <v>64</v>
      </c>
      <c r="B10" s="166" t="s">
        <v>65</v>
      </c>
      <c r="C10" s="166">
        <v>1714423439</v>
      </c>
      <c r="D10" s="431">
        <v>28323</v>
      </c>
      <c r="E10" s="163" t="e">
        <f>VLOOKUP($B:$B,#REF!,2,FALSE)</f>
        <v>#REF!</v>
      </c>
      <c r="F10" s="432">
        <f t="shared" si="0"/>
        <v>0</v>
      </c>
      <c r="G10" s="434">
        <v>2.5439814814814814E-2</v>
      </c>
      <c r="H10" s="432">
        <f t="shared" si="1"/>
        <v>2.5439814814814814E-2</v>
      </c>
      <c r="I10" s="163" t="e">
        <f>VLOOKUP($B:$B,'HT DIC'!$A:$AE,3,FALSE)</f>
        <v>#REF!</v>
      </c>
      <c r="J10" s="432">
        <f t="shared" si="2"/>
        <v>0</v>
      </c>
      <c r="K10" s="434">
        <v>2.2743055555555555E-2</v>
      </c>
      <c r="L10" s="432">
        <f t="shared" si="3"/>
        <v>2.2743055555555555E-2</v>
      </c>
      <c r="M10" s="163" t="e">
        <f>VLOOKUP($B:$B,'HT DIC'!$A:$AE,4,FALSE)</f>
        <v>#REF!</v>
      </c>
      <c r="N10" s="432">
        <f t="shared" si="4"/>
        <v>0</v>
      </c>
      <c r="O10" s="432">
        <v>1.7002314814814814E-2</v>
      </c>
      <c r="P10" s="432">
        <f t="shared" si="5"/>
        <v>1.7002314814814814E-2</v>
      </c>
      <c r="Q10" s="163" t="e">
        <f>VLOOKUP($B:$B,'HT DIC'!$A:$AE,5,FALSE)</f>
        <v>#REF!</v>
      </c>
      <c r="R10" s="432">
        <f t="shared" si="6"/>
        <v>0</v>
      </c>
      <c r="S10" s="432">
        <v>2.3425925925925926E-2</v>
      </c>
      <c r="T10" s="432">
        <f t="shared" si="7"/>
        <v>2.3425925925925926E-2</v>
      </c>
      <c r="U10" s="163" t="e">
        <f>VLOOKUP($B:$B,'HT DIC'!$A:$AE,6,FALSE)</f>
        <v>#REF!</v>
      </c>
      <c r="V10" s="432">
        <f t="shared" si="8"/>
        <v>0</v>
      </c>
      <c r="W10" s="434">
        <v>1.3506944444444445E-2</v>
      </c>
      <c r="X10" s="432">
        <f t="shared" si="9"/>
        <v>1.3506944444444445E-2</v>
      </c>
      <c r="Y10" s="163" t="e">
        <f>VLOOKUP($B:$B,'HT DIC'!$A:$AE,7,FALSE)</f>
        <v>#REF!</v>
      </c>
      <c r="Z10" s="432">
        <f t="shared" si="10"/>
        <v>0</v>
      </c>
      <c r="AA10" s="434">
        <v>1.5844907407407408E-2</v>
      </c>
      <c r="AB10" s="432">
        <f t="shared" si="11"/>
        <v>1.5844907407407408E-2</v>
      </c>
      <c r="AC10" s="163" t="e">
        <f>VLOOKUP($B:$B,'HT DIC'!$A:$AE,8,FALSE)</f>
        <v>#REF!</v>
      </c>
      <c r="AD10" s="432">
        <f t="shared" si="12"/>
        <v>0</v>
      </c>
      <c r="AE10" s="434"/>
      <c r="AF10" s="432">
        <f t="shared" si="13"/>
        <v>0</v>
      </c>
      <c r="AG10" s="163" t="e">
        <f>VLOOKUP($B:$B,'HT DIC'!$A:$AE,9,FALSE)</f>
        <v>#REF!</v>
      </c>
      <c r="AH10" s="432">
        <f t="shared" si="14"/>
        <v>0</v>
      </c>
      <c r="AI10" s="434">
        <v>2.5208333333333333E-2</v>
      </c>
      <c r="AJ10" s="432">
        <f t="shared" si="15"/>
        <v>2.5208333333333333E-2</v>
      </c>
      <c r="AK10" s="163" t="e">
        <f>VLOOKUP($B:$B,'HT DIC'!$A:$AE,10,FALSE)</f>
        <v>#REF!</v>
      </c>
      <c r="AL10" s="432">
        <f t="shared" si="16"/>
        <v>0</v>
      </c>
      <c r="AM10" s="434">
        <v>2.7534722222222221E-2</v>
      </c>
      <c r="AN10" s="432">
        <f t="shared" si="17"/>
        <v>2.7534722222222221E-2</v>
      </c>
      <c r="AO10" s="163" t="e">
        <f>VLOOKUP($B:$B,'HT DIC'!$A:$AE,11,FALSE)</f>
        <v>#REF!</v>
      </c>
      <c r="AP10" s="432">
        <f t="shared" si="18"/>
        <v>0</v>
      </c>
      <c r="AQ10" s="432">
        <v>3.0150462962962962E-2</v>
      </c>
      <c r="AR10" s="432">
        <f t="shared" si="19"/>
        <v>3.0150462962962962E-2</v>
      </c>
      <c r="AS10" s="163" t="e">
        <f>VLOOKUP($B:$B,'HT DIC'!$A:$AE,12,FALSE)</f>
        <v>#REF!</v>
      </c>
      <c r="AT10" s="432">
        <f t="shared" si="20"/>
        <v>0</v>
      </c>
      <c r="AU10" s="434">
        <v>2.0960648148148148E-2</v>
      </c>
      <c r="AV10" s="432">
        <f t="shared" si="21"/>
        <v>2.0960648148148148E-2</v>
      </c>
      <c r="AW10" s="163" t="e">
        <f>VLOOKUP($B:$B,'HT DIC'!$A:$AE,13,FALSE)</f>
        <v>#REF!</v>
      </c>
      <c r="AX10" s="432">
        <f t="shared" si="22"/>
        <v>0</v>
      </c>
      <c r="AY10" s="434">
        <v>3.4722222222222224E-2</v>
      </c>
      <c r="AZ10" s="432">
        <f t="shared" si="23"/>
        <v>3.4722222222222224E-2</v>
      </c>
      <c r="BA10" s="163" t="e">
        <f>VLOOKUP($B:$B,'HT DIC'!$A:$AE,14,FALSE)</f>
        <v>#REF!</v>
      </c>
      <c r="BB10" s="432">
        <f t="shared" si="24"/>
        <v>0</v>
      </c>
      <c r="BC10" s="434">
        <v>3.7974537037037036E-2</v>
      </c>
      <c r="BD10" s="432">
        <f t="shared" si="25"/>
        <v>3.7974537037037036E-2</v>
      </c>
      <c r="BE10" s="163" t="e">
        <f>VLOOKUP($B:$B,'HT DIC'!$A:$AE,15,FALSE)</f>
        <v>#REF!</v>
      </c>
      <c r="BF10" s="432">
        <f t="shared" si="26"/>
        <v>0</v>
      </c>
      <c r="BG10" s="434"/>
      <c r="BH10" s="432">
        <f t="shared" si="27"/>
        <v>0</v>
      </c>
      <c r="BI10" s="163" t="e">
        <f>VLOOKUP($B:$B,'HT DIC'!$A:$AE,16,FALSE)</f>
        <v>#REF!</v>
      </c>
      <c r="BJ10" s="432">
        <f t="shared" si="63"/>
        <v>0</v>
      </c>
      <c r="BK10" s="434">
        <v>2.1597222222222223E-2</v>
      </c>
      <c r="BL10" s="432">
        <f t="shared" si="29"/>
        <v>2.1597222222222223E-2</v>
      </c>
      <c r="BM10" s="163" t="e">
        <f>VLOOKUP($B:$B,'HT DIC'!$A:$AE,17,FALSE)</f>
        <v>#REF!</v>
      </c>
      <c r="BN10" s="432">
        <f t="shared" si="30"/>
        <v>0</v>
      </c>
      <c r="BO10" s="434">
        <v>3.6458333333333334E-3</v>
      </c>
      <c r="BP10" s="432">
        <f t="shared" si="31"/>
        <v>3.6458333333333334E-3</v>
      </c>
      <c r="BQ10" s="163" t="e">
        <f>VLOOKUP($B:$B,'HT DIC'!$A:$AE,18,FALSE)</f>
        <v>#REF!</v>
      </c>
      <c r="BR10" s="432">
        <f t="shared" si="64"/>
        <v>0</v>
      </c>
      <c r="BS10" s="434">
        <v>3.125E-2</v>
      </c>
      <c r="BT10" s="432">
        <f t="shared" si="33"/>
        <v>3.125E-2</v>
      </c>
      <c r="BU10" s="163" t="e">
        <f>VLOOKUP($B:$B,'HT DIC'!$A:$AE,19,FALSE)</f>
        <v>#REF!</v>
      </c>
      <c r="BV10" s="432">
        <f t="shared" si="34"/>
        <v>0</v>
      </c>
      <c r="BW10" s="434">
        <v>3.2916666666666664E-2</v>
      </c>
      <c r="BX10" s="432">
        <f t="shared" si="35"/>
        <v>3.2916666666666664E-2</v>
      </c>
      <c r="BY10" s="163" t="e">
        <f>VLOOKUP($B:$B,'HT DIC'!$A:$AE,20,FALSE)</f>
        <v>#REF!</v>
      </c>
      <c r="BZ10" s="432">
        <f t="shared" si="65"/>
        <v>0</v>
      </c>
      <c r="CA10" s="434">
        <v>2.7777777777777776E-2</v>
      </c>
      <c r="CB10" s="432">
        <f t="shared" si="37"/>
        <v>2.7777777777777776E-2</v>
      </c>
      <c r="CC10" s="163" t="e">
        <f>VLOOKUP($B:$B,'HT DIC'!$A:$AE,21,FALSE)</f>
        <v>#REF!</v>
      </c>
      <c r="CD10" s="432">
        <f t="shared" si="38"/>
        <v>0</v>
      </c>
      <c r="CE10" s="432">
        <v>8.4548611111111116E-2</v>
      </c>
      <c r="CF10" s="432">
        <f t="shared" si="39"/>
        <v>8.4548611111111116E-2</v>
      </c>
      <c r="CG10" s="163" t="e">
        <f>VLOOKUP($B:$B,'HT DIC'!$A:$AE,22,FALSE)</f>
        <v>#REF!</v>
      </c>
      <c r="CH10" s="432">
        <f t="shared" si="40"/>
        <v>0</v>
      </c>
      <c r="CI10" s="434"/>
      <c r="CJ10" s="432">
        <f t="shared" si="41"/>
        <v>0</v>
      </c>
      <c r="CK10" s="163">
        <f>VLOOKUP($B:$B,'HT DIC'!$A:$AE,23,FALSE)</f>
        <v>8</v>
      </c>
      <c r="CL10" s="432">
        <f t="shared" si="42"/>
        <v>2.4305555555555556E-2</v>
      </c>
      <c r="CM10" s="432">
        <v>2.4305555555555556E-2</v>
      </c>
      <c r="CN10" s="432">
        <f t="shared" si="43"/>
        <v>0</v>
      </c>
      <c r="CO10" s="163" t="e">
        <f>VLOOKUP($B:$B,'HT DIC'!$A:$AE,24,FALSE)</f>
        <v>#REF!</v>
      </c>
      <c r="CP10" s="432">
        <f t="shared" si="44"/>
        <v>0</v>
      </c>
      <c r="CQ10" s="432">
        <f>IFERROR(VLOOKUP(CP10,$B$229:$E$245,2,FALSE),0)</f>
        <v>0</v>
      </c>
      <c r="CR10" s="432">
        <f t="shared" si="45"/>
        <v>0</v>
      </c>
      <c r="CS10" s="163" t="e">
        <f>VLOOKUP($B:$B,'HT DIC'!$A:$AE,25,FALSE)</f>
        <v>#REF!</v>
      </c>
      <c r="CT10" s="432">
        <f t="shared" si="46"/>
        <v>0</v>
      </c>
      <c r="CU10" s="432">
        <f>IFERROR(VLOOKUP(CT10,$B$229:$E$245,2,FALSE),0)</f>
        <v>0</v>
      </c>
      <c r="CV10" s="432">
        <f t="shared" si="47"/>
        <v>0</v>
      </c>
      <c r="CW10" s="163" t="e">
        <f>VLOOKUP($B:$B,'HT DIC'!$A:$AE,26,FALSE)</f>
        <v>#REF!</v>
      </c>
      <c r="CX10" s="432">
        <f t="shared" si="48"/>
        <v>0</v>
      </c>
      <c r="CY10" s="434">
        <v>2.4826388888888887E-2</v>
      </c>
      <c r="CZ10" s="432">
        <f t="shared" si="49"/>
        <v>2.4826388888888887E-2</v>
      </c>
      <c r="DA10" s="163">
        <f>VLOOKUP($B:$B,'HT DIC'!$A:$AE,27,FALSE)</f>
        <v>11</v>
      </c>
      <c r="DB10" s="432">
        <f t="shared" si="66"/>
        <v>3.4722222222222224E-2</v>
      </c>
      <c r="DC10" s="434">
        <v>2.5266203703703704E-2</v>
      </c>
      <c r="DD10" s="432">
        <f t="shared" si="51"/>
        <v>0</v>
      </c>
      <c r="DE10" s="163">
        <f>VLOOKUP($B:$B,'HT DIC'!$A:$AE,28,FALSE)</f>
        <v>11</v>
      </c>
      <c r="DF10" s="432">
        <f t="shared" si="52"/>
        <v>3.4722222222222224E-2</v>
      </c>
      <c r="DG10" s="434">
        <v>2.0393518518518519E-2</v>
      </c>
      <c r="DH10" s="432">
        <f t="shared" si="53"/>
        <v>0</v>
      </c>
      <c r="DI10" s="163">
        <f>VLOOKUP($B:$B,'HT DIC'!$A:$AE,29,FALSE)</f>
        <v>0</v>
      </c>
      <c r="DJ10" s="432">
        <f t="shared" si="67"/>
        <v>0</v>
      </c>
      <c r="DK10" s="434"/>
      <c r="DL10" s="432">
        <f t="shared" si="55"/>
        <v>0</v>
      </c>
      <c r="DM10" s="163">
        <f>VLOOKUP($B:$B,'HT DIC'!$A:$AE,30,FALSE)</f>
        <v>11</v>
      </c>
      <c r="DN10" s="432">
        <f t="shared" si="68"/>
        <v>3.4722222222222224E-2</v>
      </c>
      <c r="DO10" s="434">
        <v>2.6851851851851852E-2</v>
      </c>
      <c r="DP10" s="432">
        <f t="shared" si="57"/>
        <v>0</v>
      </c>
      <c r="DQ10" s="163">
        <f>VLOOKUP($B:$B,'HT DIC'!$A:$AE,31,FALSE)</f>
        <v>11</v>
      </c>
      <c r="DR10" s="432">
        <f t="shared" si="58"/>
        <v>3.4722222222222224E-2</v>
      </c>
      <c r="DS10" s="434">
        <v>4.5254629629629629E-3</v>
      </c>
      <c r="DT10" s="432">
        <f t="shared" si="59"/>
        <v>0</v>
      </c>
      <c r="DU10" s="163" t="e">
        <f>VLOOKUP($B:$B,'HT DIC'!$A:$AE,32,FALSE)</f>
        <v>#REF!</v>
      </c>
      <c r="DV10" s="432">
        <f t="shared" si="60"/>
        <v>0</v>
      </c>
      <c r="DW10" s="434"/>
      <c r="DX10" s="432">
        <f t="shared" si="61"/>
        <v>0</v>
      </c>
      <c r="DY10" s="432">
        <f t="shared" si="69"/>
        <v>0.52107638888888874</v>
      </c>
    </row>
    <row r="11" spans="1:129">
      <c r="A11" s="166" t="s">
        <v>67</v>
      </c>
      <c r="B11" s="166" t="s">
        <v>71</v>
      </c>
      <c r="C11" s="166">
        <v>1724180144</v>
      </c>
      <c r="D11" s="431">
        <v>34136</v>
      </c>
      <c r="E11" s="163" t="e">
        <f>VLOOKUP($B:$B,#REF!,2,FALSE)</f>
        <v>#REF!</v>
      </c>
      <c r="F11" s="432">
        <f t="shared" si="0"/>
        <v>0</v>
      </c>
      <c r="G11" s="434">
        <v>2.7777777777777776E-2</v>
      </c>
      <c r="H11" s="432">
        <f t="shared" si="1"/>
        <v>2.7777777777777776E-2</v>
      </c>
      <c r="I11" s="163" t="e">
        <f>VLOOKUP($B:$B,'HT DIC'!$A:$AE,3,FALSE)</f>
        <v>#REF!</v>
      </c>
      <c r="J11" s="432">
        <f t="shared" si="2"/>
        <v>0</v>
      </c>
      <c r="K11" s="434">
        <v>2.9988425925925925E-2</v>
      </c>
      <c r="L11" s="432">
        <f t="shared" si="3"/>
        <v>2.9988425925925925E-2</v>
      </c>
      <c r="M11" s="163" t="e">
        <f>VLOOKUP($B:$B,'HT DIC'!$A:$AE,4,FALSE)</f>
        <v>#REF!</v>
      </c>
      <c r="N11" s="432">
        <f t="shared" si="4"/>
        <v>0</v>
      </c>
      <c r="O11" s="432">
        <v>3.1793981481481479E-2</v>
      </c>
      <c r="P11" s="432">
        <f t="shared" si="5"/>
        <v>3.1793981481481479E-2</v>
      </c>
      <c r="Q11" s="163" t="e">
        <f>VLOOKUP($B:$B,'HT DIC'!$A:$AE,5,FALSE)</f>
        <v>#REF!</v>
      </c>
      <c r="R11" s="432">
        <f t="shared" si="6"/>
        <v>0</v>
      </c>
      <c r="S11" s="432">
        <v>2.9548611111111112E-2</v>
      </c>
      <c r="T11" s="432">
        <f t="shared" si="7"/>
        <v>2.9548611111111112E-2</v>
      </c>
      <c r="U11" s="163" t="e">
        <f>VLOOKUP($B:$B,'HT DIC'!$A:$AE,6,FALSE)</f>
        <v>#REF!</v>
      </c>
      <c r="V11" s="432">
        <f t="shared" si="8"/>
        <v>0</v>
      </c>
      <c r="W11" s="434">
        <v>3.125E-2</v>
      </c>
      <c r="X11" s="432">
        <f t="shared" si="9"/>
        <v>3.125E-2</v>
      </c>
      <c r="Y11" s="163" t="e">
        <f>VLOOKUP($B:$B,'HT DIC'!$A:$AE,7,FALSE)</f>
        <v>#REF!</v>
      </c>
      <c r="Z11" s="432">
        <f t="shared" si="10"/>
        <v>0</v>
      </c>
      <c r="AA11" s="434">
        <v>2.8298611111111111E-2</v>
      </c>
      <c r="AB11" s="432">
        <f t="shared" si="11"/>
        <v>2.8298611111111111E-2</v>
      </c>
      <c r="AC11" s="163" t="e">
        <f>VLOOKUP($B:$B,'HT DIC'!$A:$AE,8,FALSE)</f>
        <v>#REF!</v>
      </c>
      <c r="AD11" s="432">
        <f t="shared" si="12"/>
        <v>0</v>
      </c>
      <c r="AE11" s="434"/>
      <c r="AF11" s="432">
        <f t="shared" si="13"/>
        <v>0</v>
      </c>
      <c r="AG11" s="163" t="e">
        <f>VLOOKUP($B:$B,'HT DIC'!$A:$AE,9,FALSE)</f>
        <v>#REF!</v>
      </c>
      <c r="AH11" s="432">
        <f t="shared" si="14"/>
        <v>0</v>
      </c>
      <c r="AI11" s="434">
        <v>3.3240740740740737E-2</v>
      </c>
      <c r="AJ11" s="432">
        <f t="shared" si="15"/>
        <v>3.3240740740740737E-2</v>
      </c>
      <c r="AK11" s="163" t="e">
        <f>VLOOKUP($B:$B,'HT DIC'!$A:$AE,10,FALSE)</f>
        <v>#REF!</v>
      </c>
      <c r="AL11" s="432">
        <f t="shared" si="16"/>
        <v>0</v>
      </c>
      <c r="AM11" s="434">
        <v>3.005787037037037E-2</v>
      </c>
      <c r="AN11" s="432">
        <f t="shared" si="17"/>
        <v>3.005787037037037E-2</v>
      </c>
      <c r="AO11" s="163" t="e">
        <f>VLOOKUP($B:$B,'HT DIC'!$A:$AE,11,FALSE)</f>
        <v>#REF!</v>
      </c>
      <c r="AP11" s="432">
        <f t="shared" si="18"/>
        <v>0</v>
      </c>
      <c r="AQ11" s="432">
        <v>3.7615740740740741E-2</v>
      </c>
      <c r="AR11" s="432">
        <f t="shared" si="19"/>
        <v>3.7615740740740741E-2</v>
      </c>
      <c r="AS11" s="163" t="e">
        <f>VLOOKUP($B:$B,'HT DIC'!$A:$AE,12,FALSE)</f>
        <v>#REF!</v>
      </c>
      <c r="AT11" s="432">
        <f t="shared" si="20"/>
        <v>0</v>
      </c>
      <c r="AU11" s="434"/>
      <c r="AV11" s="432">
        <f t="shared" si="21"/>
        <v>0</v>
      </c>
      <c r="AW11" s="163" t="e">
        <f>VLOOKUP($B:$B,'HT DIC'!$A:$AE,13,FALSE)</f>
        <v>#REF!</v>
      </c>
      <c r="AX11" s="432">
        <f t="shared" si="22"/>
        <v>0</v>
      </c>
      <c r="AY11" s="434">
        <v>4.2314814814814812E-2</v>
      </c>
      <c r="AZ11" s="432">
        <f t="shared" si="23"/>
        <v>4.2314814814814812E-2</v>
      </c>
      <c r="BA11" s="163" t="e">
        <f>VLOOKUP($B:$B,'HT DIC'!$A:$AE,14,FALSE)</f>
        <v>#REF!</v>
      </c>
      <c r="BB11" s="432">
        <f t="shared" si="24"/>
        <v>0</v>
      </c>
      <c r="BC11" s="434">
        <v>4.1458333333333333E-2</v>
      </c>
      <c r="BD11" s="432">
        <f t="shared" si="25"/>
        <v>4.1458333333333333E-2</v>
      </c>
      <c r="BE11" s="163" t="e">
        <f>VLOOKUP($B:$B,'HT DIC'!$A:$AE,15,FALSE)</f>
        <v>#REF!</v>
      </c>
      <c r="BF11" s="432">
        <f t="shared" si="26"/>
        <v>0</v>
      </c>
      <c r="BG11" s="434"/>
      <c r="BH11" s="432">
        <f t="shared" si="27"/>
        <v>0</v>
      </c>
      <c r="BI11" s="163" t="e">
        <f>VLOOKUP($B:$B,'HT DIC'!$A:$AE,16,FALSE)</f>
        <v>#REF!</v>
      </c>
      <c r="BJ11" s="432">
        <f t="shared" si="63"/>
        <v>0</v>
      </c>
      <c r="BK11" s="434">
        <v>4.1018518518518517E-2</v>
      </c>
      <c r="BL11" s="432">
        <f t="shared" si="29"/>
        <v>4.1018518518518517E-2</v>
      </c>
      <c r="BM11" s="163" t="e">
        <f>VLOOKUP($B:$B,'HT DIC'!$A:$AE,17,FALSE)</f>
        <v>#REF!</v>
      </c>
      <c r="BN11" s="432">
        <f t="shared" si="30"/>
        <v>0</v>
      </c>
      <c r="BO11" s="434">
        <v>3.125E-2</v>
      </c>
      <c r="BP11" s="432">
        <f t="shared" si="31"/>
        <v>3.125E-2</v>
      </c>
      <c r="BQ11" s="163" t="e">
        <f>VLOOKUP($B:$B,'HT DIC'!$A:$AE,18,FALSE)</f>
        <v>#REF!</v>
      </c>
      <c r="BR11" s="432">
        <f t="shared" si="64"/>
        <v>0</v>
      </c>
      <c r="BS11" s="434">
        <v>2.9780092592592594E-2</v>
      </c>
      <c r="BT11" s="432">
        <f t="shared" si="33"/>
        <v>2.9780092592592594E-2</v>
      </c>
      <c r="BU11" s="163" t="e">
        <f>VLOOKUP($B:$B,'HT DIC'!$A:$AE,19,FALSE)</f>
        <v>#REF!</v>
      </c>
      <c r="BV11" s="432">
        <f t="shared" si="34"/>
        <v>0</v>
      </c>
      <c r="BW11" s="434">
        <v>1.3935185185185186E-2</v>
      </c>
      <c r="BX11" s="432">
        <f t="shared" si="35"/>
        <v>1.3935185185185186E-2</v>
      </c>
      <c r="BY11" s="163" t="e">
        <f>VLOOKUP($B:$B,'HT DIC'!$A:$AE,20,FALSE)</f>
        <v>#REF!</v>
      </c>
      <c r="BZ11" s="432">
        <f t="shared" si="65"/>
        <v>0</v>
      </c>
      <c r="CA11" s="434">
        <v>4.310185185185185E-2</v>
      </c>
      <c r="CB11" s="432">
        <f t="shared" si="37"/>
        <v>4.310185185185185E-2</v>
      </c>
      <c r="CC11" s="163" t="e">
        <f>VLOOKUP($B:$B,'HT DIC'!$A:$AE,21,FALSE)</f>
        <v>#REF!</v>
      </c>
      <c r="CD11" s="432">
        <f t="shared" si="38"/>
        <v>0</v>
      </c>
      <c r="CE11" s="432"/>
      <c r="CF11" s="432">
        <f t="shared" si="39"/>
        <v>0</v>
      </c>
      <c r="CG11" s="163" t="e">
        <f>VLOOKUP($B:$B,'HT DIC'!$A:$AE,22,FALSE)</f>
        <v>#REF!</v>
      </c>
      <c r="CH11" s="432">
        <f t="shared" si="40"/>
        <v>0</v>
      </c>
      <c r="CI11" s="434">
        <v>4.085648148148148E-2</v>
      </c>
      <c r="CJ11" s="432">
        <f t="shared" si="41"/>
        <v>4.085648148148148E-2</v>
      </c>
      <c r="CK11" s="163">
        <f>VLOOKUP($B:$B,'HT DIC'!$A:$AE,23,FALSE)</f>
        <v>10</v>
      </c>
      <c r="CL11" s="432">
        <f t="shared" si="42"/>
        <v>3.125E-2</v>
      </c>
      <c r="CM11" s="432">
        <v>0</v>
      </c>
      <c r="CN11" s="432">
        <f t="shared" si="43"/>
        <v>0</v>
      </c>
      <c r="CO11" s="163" t="e">
        <f>VLOOKUP($B:$B,'HT DIC'!$A:$AE,24,FALSE)</f>
        <v>#REF!</v>
      </c>
      <c r="CP11" s="432">
        <f t="shared" si="44"/>
        <v>0</v>
      </c>
      <c r="CQ11" s="434"/>
      <c r="CR11" s="432">
        <f t="shared" si="45"/>
        <v>0</v>
      </c>
      <c r="CS11" s="163" t="e">
        <f>VLOOKUP($B:$B,'HT DIC'!$A:$AE,25,FALSE)</f>
        <v>#REF!</v>
      </c>
      <c r="CT11" s="432">
        <f t="shared" si="46"/>
        <v>0</v>
      </c>
      <c r="CU11" s="432">
        <v>2.6921296296296297E-2</v>
      </c>
      <c r="CV11" s="432">
        <f t="shared" si="47"/>
        <v>2.6921296296296297E-2</v>
      </c>
      <c r="CW11" s="163" t="e">
        <f>VLOOKUP($B:$B,'HT DIC'!$A:$AE,26,FALSE)</f>
        <v>#REF!</v>
      </c>
      <c r="CX11" s="432">
        <f t="shared" si="48"/>
        <v>0</v>
      </c>
      <c r="CY11" s="434">
        <v>2.5127314814814814E-2</v>
      </c>
      <c r="CZ11" s="432">
        <f t="shared" si="49"/>
        <v>2.5127314814814814E-2</v>
      </c>
      <c r="DA11" s="163">
        <f>VLOOKUP($B:$B,'HT DIC'!$A:$AE,27,FALSE)</f>
        <v>11</v>
      </c>
      <c r="DB11" s="432">
        <f t="shared" si="66"/>
        <v>3.4722222222222224E-2</v>
      </c>
      <c r="DC11" s="434">
        <v>3.622685185185185E-2</v>
      </c>
      <c r="DD11" s="432">
        <f t="shared" si="51"/>
        <v>1.5046296296296266E-3</v>
      </c>
      <c r="DE11" s="163">
        <f>VLOOKUP($B:$B,'HT DIC'!$A:$AE,28,FALSE)</f>
        <v>0</v>
      </c>
      <c r="DF11" s="432">
        <f t="shared" si="52"/>
        <v>0</v>
      </c>
      <c r="DG11" s="434">
        <v>3.4872685185185187E-2</v>
      </c>
      <c r="DH11" s="432">
        <f t="shared" si="53"/>
        <v>3.4872685185185187E-2</v>
      </c>
      <c r="DI11" s="163">
        <f>VLOOKUP($B:$B,'HT DIC'!$A:$AE,29,FALSE)</f>
        <v>11</v>
      </c>
      <c r="DJ11" s="432">
        <f t="shared" si="67"/>
        <v>3.4722222222222224E-2</v>
      </c>
      <c r="DK11" s="434">
        <v>3.8194444444444448E-2</v>
      </c>
      <c r="DL11" s="432">
        <f t="shared" si="55"/>
        <v>3.4722222222222238E-3</v>
      </c>
      <c r="DM11" s="163">
        <f>VLOOKUP($B:$B,'HT DIC'!$A:$AE,30,FALSE)</f>
        <v>10</v>
      </c>
      <c r="DN11" s="432">
        <f t="shared" si="68"/>
        <v>3.125E-2</v>
      </c>
      <c r="DO11" s="434">
        <v>3.0856481481481481E-2</v>
      </c>
      <c r="DP11" s="432">
        <f t="shared" si="57"/>
        <v>0</v>
      </c>
      <c r="DQ11" s="163">
        <f>VLOOKUP($B:$B,'HT DIC'!$A:$AE,31,FALSE)</f>
        <v>11</v>
      </c>
      <c r="DR11" s="432">
        <f t="shared" si="58"/>
        <v>3.4722222222222224E-2</v>
      </c>
      <c r="DS11" s="434">
        <v>3.4108796296296297E-2</v>
      </c>
      <c r="DT11" s="432">
        <f t="shared" si="59"/>
        <v>0</v>
      </c>
      <c r="DU11" s="163" t="e">
        <f>VLOOKUP($B:$B,'HT DIC'!$A:$AE,32,FALSE)</f>
        <v>#REF!</v>
      </c>
      <c r="DV11" s="432">
        <f t="shared" si="60"/>
        <v>0</v>
      </c>
      <c r="DW11" s="434"/>
      <c r="DX11" s="432">
        <f t="shared" si="61"/>
        <v>0</v>
      </c>
      <c r="DY11" s="432">
        <f t="shared" si="69"/>
        <v>0.65518518518518509</v>
      </c>
    </row>
    <row r="12" spans="1:129">
      <c r="A12" s="166" t="s">
        <v>70</v>
      </c>
      <c r="B12" s="166" t="s">
        <v>73</v>
      </c>
      <c r="C12" s="166">
        <v>1717547200</v>
      </c>
      <c r="D12" s="431">
        <v>31439</v>
      </c>
      <c r="E12" s="163" t="e">
        <f>VLOOKUP($B:$B,#REF!,2,FALSE)</f>
        <v>#REF!</v>
      </c>
      <c r="F12" s="432">
        <f t="shared" si="0"/>
        <v>0</v>
      </c>
      <c r="G12" s="434">
        <v>3.5092592592592592E-2</v>
      </c>
      <c r="H12" s="432">
        <f t="shared" si="1"/>
        <v>3.5092592592592592E-2</v>
      </c>
      <c r="I12" s="163" t="e">
        <f>VLOOKUP($B:$B,'HT DIC'!$A:$AE,3,FALSE)</f>
        <v>#REF!</v>
      </c>
      <c r="J12" s="432">
        <f t="shared" si="2"/>
        <v>0</v>
      </c>
      <c r="K12" s="434"/>
      <c r="L12" s="432">
        <f t="shared" si="3"/>
        <v>0</v>
      </c>
      <c r="M12" s="163" t="e">
        <f>VLOOKUP($B:$B,'HT DIC'!$A:$AE,4,FALSE)</f>
        <v>#REF!</v>
      </c>
      <c r="N12" s="432">
        <f t="shared" si="4"/>
        <v>0</v>
      </c>
      <c r="O12" s="432">
        <v>2.9224537037037038E-2</v>
      </c>
      <c r="P12" s="432">
        <f t="shared" si="5"/>
        <v>2.9224537037037038E-2</v>
      </c>
      <c r="Q12" s="163" t="e">
        <f>VLOOKUP($B:$B,'HT DIC'!$A:$AE,5,FALSE)</f>
        <v>#REF!</v>
      </c>
      <c r="R12" s="432">
        <f t="shared" si="6"/>
        <v>0</v>
      </c>
      <c r="S12" s="432">
        <v>2.6261574074074073E-2</v>
      </c>
      <c r="T12" s="432">
        <f t="shared" si="7"/>
        <v>2.6261574074074073E-2</v>
      </c>
      <c r="U12" s="163" t="e">
        <f>VLOOKUP($B:$B,'HT DIC'!$A:$AE,6,FALSE)</f>
        <v>#REF!</v>
      </c>
      <c r="V12" s="432">
        <f t="shared" si="8"/>
        <v>0</v>
      </c>
      <c r="W12" s="434">
        <v>4.2951388888888886E-2</v>
      </c>
      <c r="X12" s="432">
        <f t="shared" si="9"/>
        <v>4.2951388888888886E-2</v>
      </c>
      <c r="Y12" s="163" t="e">
        <f>VLOOKUP($B:$B,'HT DIC'!$A:$AE,7,FALSE)</f>
        <v>#REF!</v>
      </c>
      <c r="Z12" s="432">
        <f t="shared" si="10"/>
        <v>0</v>
      </c>
      <c r="AA12" s="434">
        <v>2.7118055555555555E-2</v>
      </c>
      <c r="AB12" s="432">
        <f t="shared" si="11"/>
        <v>2.7118055555555555E-2</v>
      </c>
      <c r="AC12" s="163" t="e">
        <f>VLOOKUP($B:$B,'HT DIC'!$A:$AE,8,FALSE)</f>
        <v>#REF!</v>
      </c>
      <c r="AD12" s="432">
        <f t="shared" si="12"/>
        <v>0</v>
      </c>
      <c r="AE12" s="434">
        <v>3.2627314814814817E-2</v>
      </c>
      <c r="AF12" s="432">
        <f t="shared" si="13"/>
        <v>3.2627314814814817E-2</v>
      </c>
      <c r="AG12" s="163" t="e">
        <f>VLOOKUP($B:$B,'HT DIC'!$A:$AE,9,FALSE)</f>
        <v>#REF!</v>
      </c>
      <c r="AH12" s="432">
        <f t="shared" si="14"/>
        <v>0</v>
      </c>
      <c r="AI12" s="434">
        <v>2.8333333333333332E-2</v>
      </c>
      <c r="AJ12" s="432">
        <f t="shared" si="15"/>
        <v>2.8333333333333332E-2</v>
      </c>
      <c r="AK12" s="163" t="e">
        <f>VLOOKUP($B:$B,'HT DIC'!$A:$AE,10,FALSE)</f>
        <v>#REF!</v>
      </c>
      <c r="AL12" s="432">
        <f t="shared" si="16"/>
        <v>0</v>
      </c>
      <c r="AM12" s="434">
        <v>2.8310185185185185E-2</v>
      </c>
      <c r="AN12" s="432">
        <f t="shared" si="17"/>
        <v>2.8310185185185185E-2</v>
      </c>
      <c r="AO12" s="163" t="e">
        <f>VLOOKUP($B:$B,'HT DIC'!$A:$AE,11,FALSE)</f>
        <v>#REF!</v>
      </c>
      <c r="AP12" s="432">
        <f t="shared" si="18"/>
        <v>0</v>
      </c>
      <c r="AQ12" s="432">
        <v>2.7905092592592592E-2</v>
      </c>
      <c r="AR12" s="432">
        <f t="shared" si="19"/>
        <v>2.7905092592592592E-2</v>
      </c>
      <c r="AS12" s="163" t="e">
        <f>VLOOKUP($B:$B,'HT DIC'!$A:$AE,12,FALSE)</f>
        <v>#REF!</v>
      </c>
      <c r="AT12" s="432">
        <f t="shared" si="20"/>
        <v>0</v>
      </c>
      <c r="AU12" s="434">
        <v>2.7222222222222221E-2</v>
      </c>
      <c r="AV12" s="432">
        <f t="shared" si="21"/>
        <v>2.7222222222222221E-2</v>
      </c>
      <c r="AW12" s="163" t="e">
        <f>VLOOKUP($B:$B,'HT DIC'!$A:$AE,13,FALSE)</f>
        <v>#REF!</v>
      </c>
      <c r="AX12" s="432">
        <f t="shared" si="22"/>
        <v>0</v>
      </c>
      <c r="AY12" s="434">
        <v>3.2418981481481479E-2</v>
      </c>
      <c r="AZ12" s="432">
        <f t="shared" si="23"/>
        <v>3.2418981481481479E-2</v>
      </c>
      <c r="BA12" s="163" t="e">
        <f>VLOOKUP($B:$B,'HT DIC'!$A:$AE,14,FALSE)</f>
        <v>#REF!</v>
      </c>
      <c r="BB12" s="432">
        <f t="shared" si="24"/>
        <v>0</v>
      </c>
      <c r="BC12" s="434"/>
      <c r="BD12" s="432">
        <f t="shared" si="25"/>
        <v>0</v>
      </c>
      <c r="BE12" s="163" t="e">
        <f>VLOOKUP($B:$B,'HT DIC'!$A:$AE,15,FALSE)</f>
        <v>#REF!</v>
      </c>
      <c r="BF12" s="432">
        <f t="shared" si="26"/>
        <v>0</v>
      </c>
      <c r="BG12" s="434">
        <v>3.8587962962962963E-2</v>
      </c>
      <c r="BH12" s="432">
        <f t="shared" si="27"/>
        <v>3.8587962962962963E-2</v>
      </c>
      <c r="BI12" s="163" t="e">
        <f>VLOOKUP($B:$B,'HT DIC'!$A:$AE,16,FALSE)</f>
        <v>#REF!</v>
      </c>
      <c r="BJ12" s="432">
        <f t="shared" si="63"/>
        <v>0</v>
      </c>
      <c r="BK12" s="434">
        <v>3.1736111111111111E-2</v>
      </c>
      <c r="BL12" s="432">
        <f t="shared" si="29"/>
        <v>3.1736111111111111E-2</v>
      </c>
      <c r="BM12" s="163" t="e">
        <f>VLOOKUP($B:$B,'HT DIC'!$A:$AE,17,FALSE)</f>
        <v>#REF!</v>
      </c>
      <c r="BN12" s="432">
        <f t="shared" si="30"/>
        <v>0</v>
      </c>
      <c r="BO12" s="434">
        <v>3.1805555555555552E-2</v>
      </c>
      <c r="BP12" s="432">
        <f t="shared" si="31"/>
        <v>3.1805555555555552E-2</v>
      </c>
      <c r="BQ12" s="163" t="e">
        <f>VLOOKUP($B:$B,'HT DIC'!$A:$AE,18,FALSE)</f>
        <v>#REF!</v>
      </c>
      <c r="BR12" s="432">
        <f t="shared" si="64"/>
        <v>0</v>
      </c>
      <c r="BS12" s="434">
        <v>3.8622685185185184E-2</v>
      </c>
      <c r="BT12" s="432">
        <f t="shared" si="33"/>
        <v>3.8622685185185184E-2</v>
      </c>
      <c r="BU12" s="163" t="e">
        <f>VLOOKUP($B:$B,'HT DIC'!$A:$AE,19,FALSE)</f>
        <v>#REF!</v>
      </c>
      <c r="BV12" s="432">
        <f t="shared" si="34"/>
        <v>0</v>
      </c>
      <c r="BW12" s="434">
        <v>2.7777777777777776E-2</v>
      </c>
      <c r="BX12" s="432">
        <f t="shared" si="35"/>
        <v>2.7777777777777776E-2</v>
      </c>
      <c r="BY12" s="163" t="e">
        <f>VLOOKUP($B:$B,'HT DIC'!$A:$AE,20,FALSE)</f>
        <v>#REF!</v>
      </c>
      <c r="BZ12" s="432">
        <f t="shared" si="65"/>
        <v>0</v>
      </c>
      <c r="CA12" s="434">
        <v>2.7777777777777776E-2</v>
      </c>
      <c r="CB12" s="432">
        <f t="shared" si="37"/>
        <v>2.7777777777777776E-2</v>
      </c>
      <c r="CC12" s="163" t="e">
        <f>VLOOKUP($B:$B,'HT DIC'!$A:$AE,21,FALSE)</f>
        <v>#REF!</v>
      </c>
      <c r="CD12" s="432">
        <f t="shared" si="38"/>
        <v>0</v>
      </c>
      <c r="CE12" s="432">
        <v>4.0127314814814817E-2</v>
      </c>
      <c r="CF12" s="432">
        <f t="shared" si="39"/>
        <v>4.0127314814814817E-2</v>
      </c>
      <c r="CG12" s="163" t="e">
        <f>VLOOKUP($B:$B,'HT DIC'!$A:$AE,22,FALSE)</f>
        <v>#REF!</v>
      </c>
      <c r="CH12" s="432">
        <f t="shared" si="40"/>
        <v>0</v>
      </c>
      <c r="CI12" s="434"/>
      <c r="CJ12" s="432">
        <f t="shared" si="41"/>
        <v>0</v>
      </c>
      <c r="CK12" s="163" t="str">
        <f>VLOOKUP($B:$B,'HT DIC'!$A:$AE,23,FALSE)</f>
        <v>FI</v>
      </c>
      <c r="CL12" s="432">
        <f t="shared" si="42"/>
        <v>0</v>
      </c>
      <c r="CM12" s="432">
        <v>3.125E-2</v>
      </c>
      <c r="CN12" s="432">
        <f t="shared" si="43"/>
        <v>3.125E-2</v>
      </c>
      <c r="CO12" s="163" t="str">
        <f>VLOOKUP($B:$B,'HT DIC'!$A:$AE,24,FALSE)</f>
        <v>FI</v>
      </c>
      <c r="CP12" s="432">
        <f t="shared" si="44"/>
        <v>0</v>
      </c>
      <c r="CQ12" s="434">
        <v>3.4722222222222224E-2</v>
      </c>
      <c r="CR12" s="432">
        <f t="shared" si="45"/>
        <v>3.4722222222222224E-2</v>
      </c>
      <c r="CS12" s="163" t="str">
        <f>VLOOKUP($B:$B,'HT DIC'!$A:$AE,25,FALSE)</f>
        <v>V</v>
      </c>
      <c r="CT12" s="432">
        <f t="shared" si="46"/>
        <v>0</v>
      </c>
      <c r="CU12" s="432">
        <v>3.412037037037037E-2</v>
      </c>
      <c r="CV12" s="432">
        <f t="shared" si="47"/>
        <v>3.412037037037037E-2</v>
      </c>
      <c r="CW12" s="163" t="str">
        <f>VLOOKUP($B:$B,'HT DIC'!$A:$AE,26,FALSE)</f>
        <v>V</v>
      </c>
      <c r="CX12" s="432">
        <f t="shared" si="48"/>
        <v>0</v>
      </c>
      <c r="CY12" s="434">
        <v>3.0810185185185184E-2</v>
      </c>
      <c r="CZ12" s="432">
        <f t="shared" si="49"/>
        <v>3.0810185185185184E-2</v>
      </c>
      <c r="DA12" s="163" t="str">
        <f>VLOOKUP($B:$B,'HT DIC'!$A:$AE,27,FALSE)</f>
        <v>V</v>
      </c>
      <c r="DB12" s="432">
        <f t="shared" si="66"/>
        <v>0</v>
      </c>
      <c r="DC12" s="434">
        <v>3.5115740740740739E-2</v>
      </c>
      <c r="DD12" s="432">
        <f t="shared" si="51"/>
        <v>3.5115740740740739E-2</v>
      </c>
      <c r="DE12" s="163" t="str">
        <f>VLOOKUP($B:$B,'HT DIC'!$A:$AE,28,FALSE)</f>
        <v>V</v>
      </c>
      <c r="DF12" s="432">
        <f t="shared" si="52"/>
        <v>0</v>
      </c>
      <c r="DG12" s="434"/>
      <c r="DH12" s="432">
        <f t="shared" si="53"/>
        <v>0</v>
      </c>
      <c r="DI12" s="163" t="str">
        <f>VLOOKUP($B:$B,'HT DIC'!$A:$AE,29,FALSE)</f>
        <v>V</v>
      </c>
      <c r="DJ12" s="432">
        <f t="shared" si="67"/>
        <v>0</v>
      </c>
      <c r="DK12" s="434">
        <v>3.8206018518518521E-2</v>
      </c>
      <c r="DL12" s="432">
        <f t="shared" si="55"/>
        <v>3.8206018518518521E-2</v>
      </c>
      <c r="DM12" s="163" t="str">
        <f>VLOOKUP($B:$B,'HT DIC'!$A:$AE,30,FALSE)</f>
        <v>V</v>
      </c>
      <c r="DN12" s="432">
        <f t="shared" si="68"/>
        <v>0</v>
      </c>
      <c r="DO12" s="434">
        <v>2.5486111111111112E-2</v>
      </c>
      <c r="DP12" s="432">
        <f t="shared" si="57"/>
        <v>2.5486111111111112E-2</v>
      </c>
      <c r="DQ12" s="163" t="str">
        <f>VLOOKUP($B:$B,'HT DIC'!$A:$AE,31,FALSE)</f>
        <v>V</v>
      </c>
      <c r="DR12" s="432">
        <f t="shared" si="58"/>
        <v>0</v>
      </c>
      <c r="DS12" s="434">
        <v>2.9189814814814814E-2</v>
      </c>
      <c r="DT12" s="432">
        <f t="shared" si="59"/>
        <v>2.9189814814814814E-2</v>
      </c>
      <c r="DU12" s="163" t="e">
        <f>VLOOKUP($B:$B,'HT DIC'!$A:$AE,32,FALSE)</f>
        <v>#REF!</v>
      </c>
      <c r="DV12" s="432">
        <f t="shared" si="60"/>
        <v>0</v>
      </c>
      <c r="DW12" s="434"/>
      <c r="DX12" s="432">
        <f t="shared" si="61"/>
        <v>0</v>
      </c>
      <c r="DY12" s="432">
        <f t="shared" si="69"/>
        <v>0.83280092592592581</v>
      </c>
    </row>
    <row r="13" spans="1:129">
      <c r="A13" s="166" t="s">
        <v>72</v>
      </c>
      <c r="B13" s="166" t="s">
        <v>80</v>
      </c>
      <c r="C13" s="166">
        <v>1713706412</v>
      </c>
      <c r="D13" s="431">
        <v>27598</v>
      </c>
      <c r="E13" s="163" t="e">
        <f>VLOOKUP($B:$B,#REF!,2,FALSE)</f>
        <v>#REF!</v>
      </c>
      <c r="F13" s="432">
        <f t="shared" si="0"/>
        <v>0</v>
      </c>
      <c r="G13" s="434">
        <v>1.7361111111111112E-2</v>
      </c>
      <c r="H13" s="432">
        <f t="shared" si="1"/>
        <v>1.7361111111111112E-2</v>
      </c>
      <c r="I13" s="163" t="e">
        <f>VLOOKUP($B:$B,'HT DIC'!$A:$AE,3,FALSE)</f>
        <v>#REF!</v>
      </c>
      <c r="J13" s="432">
        <f t="shared" si="2"/>
        <v>0</v>
      </c>
      <c r="K13" s="434">
        <v>3.5648148148148151E-2</v>
      </c>
      <c r="L13" s="432">
        <f t="shared" si="3"/>
        <v>3.5648148148148151E-2</v>
      </c>
      <c r="M13" s="163" t="e">
        <f>VLOOKUP($B:$B,'HT DIC'!$A:$AE,4,FALSE)</f>
        <v>#REF!</v>
      </c>
      <c r="N13" s="432">
        <f t="shared" si="4"/>
        <v>0</v>
      </c>
      <c r="O13" s="432">
        <v>2.4131944444444445E-2</v>
      </c>
      <c r="P13" s="432">
        <f t="shared" si="5"/>
        <v>2.4131944444444445E-2</v>
      </c>
      <c r="Q13" s="163" t="e">
        <f>VLOOKUP($B:$B,'HT DIC'!$A:$AE,5,FALSE)</f>
        <v>#REF!</v>
      </c>
      <c r="R13" s="432">
        <f t="shared" si="6"/>
        <v>0</v>
      </c>
      <c r="S13" s="432">
        <v>3.8194444444444448E-2</v>
      </c>
      <c r="T13" s="432">
        <f t="shared" si="7"/>
        <v>3.8194444444444448E-2</v>
      </c>
      <c r="U13" s="163" t="e">
        <f>VLOOKUP($B:$B,'HT DIC'!$A:$AE,6,FALSE)</f>
        <v>#REF!</v>
      </c>
      <c r="V13" s="432">
        <f t="shared" si="8"/>
        <v>0</v>
      </c>
      <c r="W13" s="434">
        <v>3.8194444444444448E-2</v>
      </c>
      <c r="X13" s="432">
        <f t="shared" si="9"/>
        <v>3.8194444444444448E-2</v>
      </c>
      <c r="Y13" s="163" t="e">
        <f>VLOOKUP($B:$B,'HT DIC'!$A:$AE,7,FALSE)</f>
        <v>#REF!</v>
      </c>
      <c r="Z13" s="432">
        <f t="shared" si="10"/>
        <v>0</v>
      </c>
      <c r="AA13" s="434">
        <v>3.829861111111111E-2</v>
      </c>
      <c r="AB13" s="432">
        <f t="shared" si="11"/>
        <v>3.829861111111111E-2</v>
      </c>
      <c r="AC13" s="163" t="str">
        <f>VLOOKUP($B:$B,'HT DIC'!$A:$AE,8,FALSE)</f>
        <v>FI</v>
      </c>
      <c r="AD13" s="432">
        <f t="shared" si="12"/>
        <v>0</v>
      </c>
      <c r="AE13" s="434">
        <v>1.0405092592592593E-2</v>
      </c>
      <c r="AF13" s="432">
        <f t="shared" si="13"/>
        <v>1.0405092592592593E-2</v>
      </c>
      <c r="AG13" s="163" t="e">
        <f>VLOOKUP($B:$B,'HT DIC'!$A:$AE,9,FALSE)</f>
        <v>#REF!</v>
      </c>
      <c r="AH13" s="432">
        <f t="shared" si="14"/>
        <v>0</v>
      </c>
      <c r="AI13" s="434">
        <v>1.7361111111111112E-2</v>
      </c>
      <c r="AJ13" s="432">
        <f t="shared" si="15"/>
        <v>1.7361111111111112E-2</v>
      </c>
      <c r="AK13" s="163" t="e">
        <f>VLOOKUP($B:$B,'HT DIC'!$A:$AE,10,FALSE)</f>
        <v>#REF!</v>
      </c>
      <c r="AL13" s="432">
        <f t="shared" si="16"/>
        <v>0</v>
      </c>
      <c r="AM13" s="434">
        <v>3.8194444444444448E-2</v>
      </c>
      <c r="AN13" s="432">
        <f t="shared" si="17"/>
        <v>3.8194444444444448E-2</v>
      </c>
      <c r="AO13" s="163" t="e">
        <f>VLOOKUP($B:$B,'HT DIC'!$A:$AE,11,FALSE)</f>
        <v>#REF!</v>
      </c>
      <c r="AP13" s="432">
        <f t="shared" si="18"/>
        <v>0</v>
      </c>
      <c r="AQ13" s="432">
        <v>3.005787037037037E-2</v>
      </c>
      <c r="AR13" s="432">
        <f t="shared" si="19"/>
        <v>3.005787037037037E-2</v>
      </c>
      <c r="AS13" s="163" t="e">
        <f>VLOOKUP($B:$B,'HT DIC'!$A:$AE,12,FALSE)</f>
        <v>#REF!</v>
      </c>
      <c r="AT13" s="432">
        <f t="shared" si="20"/>
        <v>0</v>
      </c>
      <c r="AU13" s="434">
        <v>4.0671296296296296E-2</v>
      </c>
      <c r="AV13" s="432">
        <f t="shared" si="21"/>
        <v>4.0671296296296296E-2</v>
      </c>
      <c r="AW13" s="163" t="e">
        <f>VLOOKUP($B:$B,'HT DIC'!$A:$AE,13,FALSE)</f>
        <v>#REF!</v>
      </c>
      <c r="AX13" s="432">
        <f t="shared" si="22"/>
        <v>0</v>
      </c>
      <c r="AY13" s="434">
        <v>3.4317129629629628E-2</v>
      </c>
      <c r="AZ13" s="432">
        <f t="shared" si="23"/>
        <v>3.4317129629629628E-2</v>
      </c>
      <c r="BA13" s="163" t="e">
        <f>VLOOKUP($B:$B,'HT DIC'!$A:$AE,14,FALSE)</f>
        <v>#REF!</v>
      </c>
      <c r="BB13" s="432">
        <f t="shared" si="24"/>
        <v>0</v>
      </c>
      <c r="BC13" s="434">
        <v>2.0532407407407409E-2</v>
      </c>
      <c r="BD13" s="432">
        <f t="shared" si="25"/>
        <v>2.0532407407407409E-2</v>
      </c>
      <c r="BE13" s="163" t="e">
        <f>VLOOKUP($B:$B,'HT DIC'!$A:$AE,15,FALSE)</f>
        <v>#REF!</v>
      </c>
      <c r="BF13" s="432">
        <f t="shared" si="26"/>
        <v>0</v>
      </c>
      <c r="BG13" s="434">
        <v>1.2407407407407407E-2</v>
      </c>
      <c r="BH13" s="432">
        <f t="shared" si="27"/>
        <v>1.2407407407407407E-2</v>
      </c>
      <c r="BI13" s="163" t="e">
        <f>VLOOKUP($B:$B,'HT DIC'!$A:$AE,16,FALSE)</f>
        <v>#REF!</v>
      </c>
      <c r="BJ13" s="432">
        <f t="shared" si="63"/>
        <v>0</v>
      </c>
      <c r="BK13" s="432">
        <f>IFERROR(VLOOKUP(BJ13,$B$229:$E$245,2,FALSE),0)</f>
        <v>0</v>
      </c>
      <c r="BL13" s="432">
        <f t="shared" si="29"/>
        <v>0</v>
      </c>
      <c r="BM13" s="163" t="e">
        <f>VLOOKUP($B:$B,'HT DIC'!$A:$AE,17,FALSE)</f>
        <v>#REF!</v>
      </c>
      <c r="BN13" s="432">
        <f t="shared" si="30"/>
        <v>0</v>
      </c>
      <c r="BO13" s="432">
        <f>IFERROR(VLOOKUP(BN13,$B$229:$E$245,2,FALSE),0)</f>
        <v>0</v>
      </c>
      <c r="BP13" s="432">
        <f t="shared" si="31"/>
        <v>0</v>
      </c>
      <c r="BQ13" s="163" t="e">
        <f>VLOOKUP($B:$B,'HT DIC'!$A:$AE,18,FALSE)</f>
        <v>#REF!</v>
      </c>
      <c r="BR13" s="432">
        <f t="shared" si="64"/>
        <v>0</v>
      </c>
      <c r="BS13" s="434">
        <v>3.8194444444444448E-2</v>
      </c>
      <c r="BT13" s="432">
        <f t="shared" si="33"/>
        <v>3.8194444444444448E-2</v>
      </c>
      <c r="BU13" s="163" t="e">
        <f>VLOOKUP($B:$B,'HT DIC'!$A:$AE,19,FALSE)</f>
        <v>#REF!</v>
      </c>
      <c r="BV13" s="432">
        <f t="shared" si="34"/>
        <v>0</v>
      </c>
      <c r="BW13" s="434">
        <v>3.5243055555555555E-2</v>
      </c>
      <c r="BX13" s="432">
        <f t="shared" si="35"/>
        <v>3.5243055555555555E-2</v>
      </c>
      <c r="BY13" s="163" t="e">
        <f>VLOOKUP($B:$B,'HT DIC'!$A:$AE,20,FALSE)</f>
        <v>#REF!</v>
      </c>
      <c r="BZ13" s="432">
        <f t="shared" si="65"/>
        <v>0</v>
      </c>
      <c r="CA13" s="434">
        <v>4.1666666666666664E-2</v>
      </c>
      <c r="CB13" s="432">
        <f t="shared" si="37"/>
        <v>4.1666666666666664E-2</v>
      </c>
      <c r="CC13" s="163" t="e">
        <f>VLOOKUP($B:$B,'HT DIC'!$A:$AE,21,FALSE)</f>
        <v>#REF!</v>
      </c>
      <c r="CD13" s="432">
        <f t="shared" si="38"/>
        <v>0</v>
      </c>
      <c r="CE13" s="432">
        <v>4.1666666666666664E-2</v>
      </c>
      <c r="CF13" s="432">
        <f t="shared" si="39"/>
        <v>4.1666666666666664E-2</v>
      </c>
      <c r="CG13" s="163" t="e">
        <f>VLOOKUP($B:$B,'HT DIC'!$A:$AE,22,FALSE)</f>
        <v>#REF!</v>
      </c>
      <c r="CH13" s="432">
        <f t="shared" si="40"/>
        <v>0</v>
      </c>
      <c r="CI13" s="434">
        <v>2.0833333333333332E-2</v>
      </c>
      <c r="CJ13" s="432">
        <f t="shared" si="41"/>
        <v>2.0833333333333332E-2</v>
      </c>
      <c r="CK13" s="163">
        <f>VLOOKUP($B:$B,'HT DIC'!$A:$AE,23,FALSE)</f>
        <v>10</v>
      </c>
      <c r="CL13" s="432">
        <f t="shared" si="42"/>
        <v>3.125E-2</v>
      </c>
      <c r="CM13" s="432"/>
      <c r="CN13" s="432">
        <f t="shared" si="43"/>
        <v>0</v>
      </c>
      <c r="CO13" s="163" t="e">
        <f>VLOOKUP($B:$B,'HT DIC'!$A:$AE,24,FALSE)</f>
        <v>#REF!</v>
      </c>
      <c r="CP13" s="432">
        <f t="shared" si="44"/>
        <v>0</v>
      </c>
      <c r="CQ13" s="434"/>
      <c r="CR13" s="432">
        <f t="shared" si="45"/>
        <v>0</v>
      </c>
      <c r="CS13" s="163" t="e">
        <f>VLOOKUP($B:$B,'HT DIC'!$A:$AE,25,FALSE)</f>
        <v>#REF!</v>
      </c>
      <c r="CT13" s="432">
        <f t="shared" si="46"/>
        <v>0</v>
      </c>
      <c r="CU13" s="432"/>
      <c r="CV13" s="432">
        <f t="shared" si="47"/>
        <v>0</v>
      </c>
      <c r="CW13" s="163" t="e">
        <f>VLOOKUP($B:$B,'HT DIC'!$A:$AE,26,FALSE)</f>
        <v>#REF!</v>
      </c>
      <c r="CX13" s="432">
        <f t="shared" si="48"/>
        <v>0</v>
      </c>
      <c r="CY13" s="434"/>
      <c r="CZ13" s="432">
        <f t="shared" si="49"/>
        <v>0</v>
      </c>
      <c r="DA13" s="163">
        <f>VLOOKUP($B:$B,'HT DIC'!$A:$AE,27,FALSE)</f>
        <v>7</v>
      </c>
      <c r="DB13" s="432">
        <f t="shared" si="66"/>
        <v>2.0833333333333332E-2</v>
      </c>
      <c r="DC13" s="434"/>
      <c r="DD13" s="432">
        <f t="shared" si="51"/>
        <v>0</v>
      </c>
      <c r="DE13" s="163">
        <f>VLOOKUP($B:$B,'HT DIC'!$A:$AE,28,FALSE)</f>
        <v>9</v>
      </c>
      <c r="DF13" s="432">
        <f t="shared" si="52"/>
        <v>2.7777777777777776E-2</v>
      </c>
      <c r="DG13" s="434"/>
      <c r="DH13" s="432">
        <f t="shared" si="53"/>
        <v>0</v>
      </c>
      <c r="DI13" s="163">
        <f>VLOOKUP($B:$B,'HT DIC'!$A:$AE,29,FALSE)</f>
        <v>0</v>
      </c>
      <c r="DJ13" s="432">
        <f t="shared" si="67"/>
        <v>0</v>
      </c>
      <c r="DK13" s="434"/>
      <c r="DL13" s="432">
        <f t="shared" si="55"/>
        <v>0</v>
      </c>
      <c r="DM13" s="163">
        <f>VLOOKUP($B:$B,'HT DIC'!$A:$AE,30,FALSE)</f>
        <v>10</v>
      </c>
      <c r="DN13" s="432">
        <f t="shared" si="68"/>
        <v>3.125E-2</v>
      </c>
      <c r="DO13" s="434"/>
      <c r="DP13" s="432">
        <f t="shared" si="57"/>
        <v>0</v>
      </c>
      <c r="DQ13" s="163">
        <f>VLOOKUP($B:$B,'HT DIC'!$A:$AE,31,FALSE)</f>
        <v>12</v>
      </c>
      <c r="DR13" s="432">
        <f t="shared" si="58"/>
        <v>3.8194444444444448E-2</v>
      </c>
      <c r="DS13" s="434"/>
      <c r="DT13" s="432">
        <f t="shared" si="59"/>
        <v>0</v>
      </c>
      <c r="DU13" s="163" t="e">
        <f>VLOOKUP($B:$B,'HT DIC'!$A:$AE,32,FALSE)</f>
        <v>#REF!</v>
      </c>
      <c r="DV13" s="432">
        <f t="shared" si="60"/>
        <v>0</v>
      </c>
      <c r="DW13" s="434"/>
      <c r="DX13" s="432">
        <f t="shared" si="61"/>
        <v>0</v>
      </c>
      <c r="DY13" s="432">
        <f t="shared" si="69"/>
        <v>0.57337962962962963</v>
      </c>
    </row>
    <row r="14" spans="1:129">
      <c r="A14" s="166" t="s">
        <v>76</v>
      </c>
      <c r="B14" s="166" t="s">
        <v>83</v>
      </c>
      <c r="C14" s="166">
        <v>1754351342</v>
      </c>
      <c r="D14" s="431">
        <v>35674</v>
      </c>
      <c r="E14" s="163" t="e">
        <f>VLOOKUP($B:$B,#REF!,2,FALSE)</f>
        <v>#REF!</v>
      </c>
      <c r="F14" s="432">
        <f t="shared" si="0"/>
        <v>0</v>
      </c>
      <c r="G14" s="434">
        <v>1.8090277777777778E-2</v>
      </c>
      <c r="H14" s="432">
        <f t="shared" si="1"/>
        <v>1.8090277777777778E-2</v>
      </c>
      <c r="I14" s="163" t="e">
        <f>VLOOKUP($B:$B,'HT DIC'!$A:$AE,3,FALSE)</f>
        <v>#REF!</v>
      </c>
      <c r="J14" s="432">
        <f t="shared" si="2"/>
        <v>0</v>
      </c>
      <c r="K14" s="434">
        <v>1.9629629629629629E-2</v>
      </c>
      <c r="L14" s="432">
        <f t="shared" si="3"/>
        <v>1.9629629629629629E-2</v>
      </c>
      <c r="M14" s="163" t="e">
        <f>VLOOKUP($B:$B,'HT DIC'!$A:$AE,4,FALSE)</f>
        <v>#REF!</v>
      </c>
      <c r="N14" s="432">
        <f t="shared" si="4"/>
        <v>0</v>
      </c>
      <c r="O14" s="432">
        <v>2.7777777777777776E-2</v>
      </c>
      <c r="P14" s="432">
        <f t="shared" si="5"/>
        <v>2.7777777777777776E-2</v>
      </c>
      <c r="Q14" s="163" t="e">
        <f>VLOOKUP($B:$B,'HT DIC'!$A:$AE,5,FALSE)</f>
        <v>#REF!</v>
      </c>
      <c r="R14" s="432">
        <f t="shared" si="6"/>
        <v>0</v>
      </c>
      <c r="S14" s="432">
        <v>1.7361111111111112E-2</v>
      </c>
      <c r="T14" s="432">
        <f t="shared" si="7"/>
        <v>1.7361111111111112E-2</v>
      </c>
      <c r="U14" s="163" t="e">
        <f>VLOOKUP($B:$B,'HT DIC'!$A:$AE,6,FALSE)</f>
        <v>#REF!</v>
      </c>
      <c r="V14" s="432">
        <f t="shared" si="8"/>
        <v>0</v>
      </c>
      <c r="W14" s="434">
        <v>3.1261574074074074E-2</v>
      </c>
      <c r="X14" s="432">
        <f t="shared" si="9"/>
        <v>3.1261574074074074E-2</v>
      </c>
      <c r="Y14" s="163" t="e">
        <f>VLOOKUP($B:$B,'HT DIC'!$A:$AE,7,FALSE)</f>
        <v>#REF!</v>
      </c>
      <c r="Z14" s="432">
        <f t="shared" si="10"/>
        <v>0</v>
      </c>
      <c r="AA14" s="434"/>
      <c r="AB14" s="432">
        <f t="shared" si="11"/>
        <v>0</v>
      </c>
      <c r="AC14" s="163" t="e">
        <f>VLOOKUP($B:$B,'HT DIC'!$A:$AE,8,FALSE)</f>
        <v>#REF!</v>
      </c>
      <c r="AD14" s="432">
        <f t="shared" si="12"/>
        <v>0</v>
      </c>
      <c r="AE14" s="434"/>
      <c r="AF14" s="432">
        <f t="shared" si="13"/>
        <v>0</v>
      </c>
      <c r="AG14" s="163" t="e">
        <f>VLOOKUP($B:$B,'HT DIC'!$A:$AE,9,FALSE)</f>
        <v>#REF!</v>
      </c>
      <c r="AH14" s="432">
        <f t="shared" si="14"/>
        <v>0</v>
      </c>
      <c r="AI14" s="434">
        <v>2.0833333333333332E-2</v>
      </c>
      <c r="AJ14" s="432">
        <f t="shared" si="15"/>
        <v>2.0833333333333332E-2</v>
      </c>
      <c r="AK14" s="163" t="e">
        <f>VLOOKUP($B:$B,'HT DIC'!$A:$AE,10,FALSE)</f>
        <v>#REF!</v>
      </c>
      <c r="AL14" s="432">
        <f t="shared" si="16"/>
        <v>0</v>
      </c>
      <c r="AM14" s="434">
        <v>1.5532407407407408E-2</v>
      </c>
      <c r="AN14" s="432">
        <f t="shared" si="17"/>
        <v>1.5532407407407408E-2</v>
      </c>
      <c r="AO14" s="163" t="e">
        <f>VLOOKUP($B:$B,'HT DIC'!$A:$AE,11,FALSE)</f>
        <v>#REF!</v>
      </c>
      <c r="AP14" s="432">
        <f t="shared" si="18"/>
        <v>0</v>
      </c>
      <c r="AQ14" s="432">
        <v>2.3067129629629628E-2</v>
      </c>
      <c r="AR14" s="432">
        <f t="shared" si="19"/>
        <v>2.3067129629629628E-2</v>
      </c>
      <c r="AS14" s="163" t="e">
        <f>VLOOKUP($B:$B,'HT DIC'!$A:$AE,12,FALSE)</f>
        <v>#REF!</v>
      </c>
      <c r="AT14" s="432">
        <f t="shared" si="20"/>
        <v>0</v>
      </c>
      <c r="AU14" s="434">
        <v>1.2650462962962962E-2</v>
      </c>
      <c r="AV14" s="432">
        <f t="shared" si="21"/>
        <v>1.2650462962962962E-2</v>
      </c>
      <c r="AW14" s="163" t="e">
        <f>VLOOKUP($B:$B,'HT DIC'!$A:$AE,13,FALSE)</f>
        <v>#REF!</v>
      </c>
      <c r="AX14" s="432">
        <f t="shared" si="22"/>
        <v>0</v>
      </c>
      <c r="AY14" s="434"/>
      <c r="AZ14" s="432">
        <f t="shared" si="23"/>
        <v>0</v>
      </c>
      <c r="BA14" s="163" t="e">
        <f>VLOOKUP($B:$B,'HT DIC'!$A:$AE,14,FALSE)</f>
        <v>#REF!</v>
      </c>
      <c r="BB14" s="432">
        <f t="shared" si="24"/>
        <v>0</v>
      </c>
      <c r="BC14" s="434">
        <v>3.4722222222222224E-2</v>
      </c>
      <c r="BD14" s="432">
        <f t="shared" si="25"/>
        <v>3.4722222222222224E-2</v>
      </c>
      <c r="BE14" s="163" t="e">
        <f>VLOOKUP($B:$B,'HT DIC'!$A:$AE,15,FALSE)</f>
        <v>#REF!</v>
      </c>
      <c r="BF14" s="432">
        <f t="shared" si="26"/>
        <v>0</v>
      </c>
      <c r="BG14" s="434"/>
      <c r="BH14" s="432">
        <f t="shared" si="27"/>
        <v>0</v>
      </c>
      <c r="BI14" s="163" t="e">
        <f>VLOOKUP($B:$B,'HT DIC'!$A:$AE,16,FALSE)</f>
        <v>#REF!</v>
      </c>
      <c r="BJ14" s="432">
        <f t="shared" si="63"/>
        <v>0</v>
      </c>
      <c r="BK14" s="434">
        <v>2.2083333333333333E-2</v>
      </c>
      <c r="BL14" s="432">
        <f t="shared" si="29"/>
        <v>2.2083333333333333E-2</v>
      </c>
      <c r="BM14" s="163" t="e">
        <f>VLOOKUP($B:$B,'HT DIC'!$A:$AE,17,FALSE)</f>
        <v>#REF!</v>
      </c>
      <c r="BN14" s="432">
        <f t="shared" si="30"/>
        <v>0</v>
      </c>
      <c r="BO14" s="434">
        <v>2.3761574074074074E-2</v>
      </c>
      <c r="BP14" s="432">
        <f t="shared" si="31"/>
        <v>2.3761574074074074E-2</v>
      </c>
      <c r="BQ14" s="163" t="e">
        <f>VLOOKUP($B:$B,'HT DIC'!$A:$AE,18,FALSE)</f>
        <v>#REF!</v>
      </c>
      <c r="BR14" s="432">
        <f t="shared" si="64"/>
        <v>0</v>
      </c>
      <c r="BS14" s="434">
        <v>3.3194444444444443E-2</v>
      </c>
      <c r="BT14" s="432">
        <f t="shared" si="33"/>
        <v>3.3194444444444443E-2</v>
      </c>
      <c r="BU14" s="163" t="e">
        <f>VLOOKUP($B:$B,'HT DIC'!$A:$AE,19,FALSE)</f>
        <v>#REF!</v>
      </c>
      <c r="BV14" s="432">
        <f t="shared" si="34"/>
        <v>0</v>
      </c>
      <c r="BW14" s="434">
        <v>1.3495370370370371E-2</v>
      </c>
      <c r="BX14" s="432">
        <f t="shared" si="35"/>
        <v>1.3495370370370371E-2</v>
      </c>
      <c r="BY14" s="163" t="e">
        <f>VLOOKUP($B:$B,'HT DIC'!$A:$AE,20,FALSE)</f>
        <v>#REF!</v>
      </c>
      <c r="BZ14" s="432">
        <f t="shared" si="65"/>
        <v>0</v>
      </c>
      <c r="CA14" s="434">
        <v>1.667824074074074E-2</v>
      </c>
      <c r="CB14" s="432">
        <f t="shared" si="37"/>
        <v>1.667824074074074E-2</v>
      </c>
      <c r="CC14" s="163" t="e">
        <f>VLOOKUP($B:$B,'HT DIC'!$A:$AE,21,FALSE)</f>
        <v>#REF!</v>
      </c>
      <c r="CD14" s="432">
        <f t="shared" si="38"/>
        <v>0</v>
      </c>
      <c r="CE14" s="432"/>
      <c r="CF14" s="432">
        <f t="shared" si="39"/>
        <v>0</v>
      </c>
      <c r="CG14" s="163" t="e">
        <f>VLOOKUP($B:$B,'HT DIC'!$A:$AE,22,FALSE)</f>
        <v>#REF!</v>
      </c>
      <c r="CH14" s="432">
        <f t="shared" si="40"/>
        <v>0</v>
      </c>
      <c r="CI14" s="434">
        <v>3.4722222222222224E-2</v>
      </c>
      <c r="CJ14" s="432">
        <f t="shared" si="41"/>
        <v>3.4722222222222224E-2</v>
      </c>
      <c r="CK14" s="163">
        <f>VLOOKUP($B:$B,'HT DIC'!$A:$AE,23,FALSE)</f>
        <v>10</v>
      </c>
      <c r="CL14" s="432">
        <f t="shared" si="42"/>
        <v>3.125E-2</v>
      </c>
      <c r="CM14" s="432">
        <v>2.4305555555555556E-2</v>
      </c>
      <c r="CN14" s="432">
        <f t="shared" si="43"/>
        <v>0</v>
      </c>
      <c r="CO14" s="163" t="e">
        <f>VLOOKUP($B:$B,'HT DIC'!$A:$AE,24,FALSE)</f>
        <v>#REF!</v>
      </c>
      <c r="CP14" s="432">
        <f t="shared" si="44"/>
        <v>0</v>
      </c>
      <c r="CQ14" s="434">
        <v>1.3888888888888888E-2</v>
      </c>
      <c r="CR14" s="432">
        <f t="shared" si="45"/>
        <v>1.3888888888888888E-2</v>
      </c>
      <c r="CS14" s="163" t="e">
        <f>VLOOKUP($B:$B,'HT DIC'!$A:$AE,25,FALSE)</f>
        <v>#REF!</v>
      </c>
      <c r="CT14" s="432">
        <f t="shared" si="46"/>
        <v>0</v>
      </c>
      <c r="CU14" s="432">
        <v>1.8171296296296297E-2</v>
      </c>
      <c r="CV14" s="432">
        <f t="shared" si="47"/>
        <v>1.8171296296296297E-2</v>
      </c>
      <c r="CW14" s="163" t="e">
        <f>VLOOKUP($B:$B,'HT DIC'!$A:$AE,26,FALSE)</f>
        <v>#REF!</v>
      </c>
      <c r="CX14" s="432">
        <f t="shared" si="48"/>
        <v>0</v>
      </c>
      <c r="CY14" s="434">
        <v>2.9513888888888888E-2</v>
      </c>
      <c r="CZ14" s="432">
        <f t="shared" si="49"/>
        <v>2.9513888888888888E-2</v>
      </c>
      <c r="DA14" s="163">
        <f>VLOOKUP($B:$B,'HT DIC'!$A:$AE,27,FALSE)</f>
        <v>11</v>
      </c>
      <c r="DB14" s="432">
        <f t="shared" si="66"/>
        <v>3.4722222222222224E-2</v>
      </c>
      <c r="DC14" s="434">
        <v>4.2766203703703702E-2</v>
      </c>
      <c r="DD14" s="432">
        <f t="shared" si="51"/>
        <v>8.0439814814814783E-3</v>
      </c>
      <c r="DE14" s="163">
        <f>VLOOKUP($B:$B,'HT DIC'!$A:$AE,28,FALSE)</f>
        <v>11</v>
      </c>
      <c r="DF14" s="432">
        <f t="shared" si="52"/>
        <v>3.4722222222222224E-2</v>
      </c>
      <c r="DG14" s="434"/>
      <c r="DH14" s="432">
        <f t="shared" si="53"/>
        <v>0</v>
      </c>
      <c r="DI14" s="163">
        <f>VLOOKUP($B:$B,'HT DIC'!$A:$AE,29,FALSE)</f>
        <v>0</v>
      </c>
      <c r="DJ14" s="432">
        <f t="shared" si="67"/>
        <v>0</v>
      </c>
      <c r="DK14" s="434"/>
      <c r="DL14" s="432">
        <f t="shared" si="55"/>
        <v>0</v>
      </c>
      <c r="DM14" s="163">
        <f>VLOOKUP($B:$B,'HT DIC'!$A:$AE,30,FALSE)</f>
        <v>12</v>
      </c>
      <c r="DN14" s="432">
        <f t="shared" si="68"/>
        <v>3.8194444444444448E-2</v>
      </c>
      <c r="DO14" s="434">
        <v>2.2650462962962963E-2</v>
      </c>
      <c r="DP14" s="432">
        <f t="shared" si="57"/>
        <v>0</v>
      </c>
      <c r="DQ14" s="163">
        <f>VLOOKUP($B:$B,'HT DIC'!$A:$AE,31,FALSE)</f>
        <v>12</v>
      </c>
      <c r="DR14" s="432">
        <f t="shared" si="58"/>
        <v>3.8194444444444448E-2</v>
      </c>
      <c r="DS14" s="434">
        <v>3.6469907407407409E-2</v>
      </c>
      <c r="DT14" s="432">
        <f t="shared" si="59"/>
        <v>0</v>
      </c>
      <c r="DU14" s="163" t="e">
        <f>VLOOKUP($B:$B,'HT DIC'!$A:$AE,32,FALSE)</f>
        <v>#REF!</v>
      </c>
      <c r="DV14" s="432">
        <f t="shared" si="60"/>
        <v>0</v>
      </c>
      <c r="DW14" s="434"/>
      <c r="DX14" s="432">
        <f t="shared" si="61"/>
        <v>0</v>
      </c>
      <c r="DY14" s="432">
        <f t="shared" si="69"/>
        <v>0.43447916666666669</v>
      </c>
    </row>
    <row r="15" spans="1:129">
      <c r="A15" s="166" t="s">
        <v>79</v>
      </c>
      <c r="B15" s="166" t="s">
        <v>89</v>
      </c>
      <c r="C15" s="166">
        <v>1750030973</v>
      </c>
      <c r="D15" s="431">
        <v>38024</v>
      </c>
      <c r="E15" s="163" t="e">
        <f>VLOOKUP($B:$B,#REF!,2,FALSE)</f>
        <v>#REF!</v>
      </c>
      <c r="F15" s="432">
        <f t="shared" si="0"/>
        <v>0</v>
      </c>
      <c r="G15" s="434">
        <v>2.7777777777777776E-2</v>
      </c>
      <c r="H15" s="432">
        <f t="shared" si="1"/>
        <v>2.7777777777777776E-2</v>
      </c>
      <c r="I15" s="163" t="e">
        <f>VLOOKUP($B:$B,'HT DIC'!$A:$AE,3,FALSE)</f>
        <v>#REF!</v>
      </c>
      <c r="J15" s="432">
        <f t="shared" si="2"/>
        <v>0</v>
      </c>
      <c r="K15" s="434">
        <v>1.7905092592592594E-2</v>
      </c>
      <c r="L15" s="432">
        <f t="shared" si="3"/>
        <v>1.7905092592592594E-2</v>
      </c>
      <c r="M15" s="163" t="e">
        <f>VLOOKUP($B:$B,'HT DIC'!$A:$AE,4,FALSE)</f>
        <v>#REF!</v>
      </c>
      <c r="N15" s="432">
        <f t="shared" si="4"/>
        <v>0</v>
      </c>
      <c r="O15" s="432">
        <v>2.7777777777777776E-2</v>
      </c>
      <c r="P15" s="432">
        <f t="shared" si="5"/>
        <v>2.7777777777777776E-2</v>
      </c>
      <c r="Q15" s="163" t="e">
        <f>VLOOKUP($B:$B,'HT DIC'!$A:$AE,5,FALSE)</f>
        <v>#REF!</v>
      </c>
      <c r="R15" s="432">
        <f t="shared" si="6"/>
        <v>0</v>
      </c>
      <c r="S15" s="432">
        <v>2.4305555555555556E-2</v>
      </c>
      <c r="T15" s="432">
        <f t="shared" si="7"/>
        <v>2.4305555555555556E-2</v>
      </c>
      <c r="U15" s="163" t="e">
        <f>VLOOKUP($B:$B,'HT DIC'!$A:$AE,6,FALSE)</f>
        <v>#REF!</v>
      </c>
      <c r="V15" s="432">
        <f t="shared" si="8"/>
        <v>0</v>
      </c>
      <c r="W15" s="434">
        <v>2.0833333333333332E-2</v>
      </c>
      <c r="X15" s="432">
        <f t="shared" si="9"/>
        <v>2.0833333333333332E-2</v>
      </c>
      <c r="Y15" s="163" t="e">
        <f>VLOOKUP($B:$B,'HT DIC'!$A:$AE,7,FALSE)</f>
        <v>#REF!</v>
      </c>
      <c r="Z15" s="432">
        <f t="shared" si="10"/>
        <v>0</v>
      </c>
      <c r="AA15" s="434"/>
      <c r="AB15" s="432">
        <f t="shared" si="11"/>
        <v>0</v>
      </c>
      <c r="AC15" s="163" t="e">
        <f>VLOOKUP($B:$B,'HT DIC'!$A:$AE,8,FALSE)</f>
        <v>#REF!</v>
      </c>
      <c r="AD15" s="432">
        <f t="shared" si="12"/>
        <v>0</v>
      </c>
      <c r="AE15" s="434"/>
      <c r="AF15" s="432">
        <f t="shared" si="13"/>
        <v>0</v>
      </c>
      <c r="AG15" s="163" t="e">
        <f>VLOOKUP($B:$B,'HT DIC'!$A:$AE,9,FALSE)</f>
        <v>#REF!</v>
      </c>
      <c r="AH15" s="432">
        <f t="shared" si="14"/>
        <v>0</v>
      </c>
      <c r="AI15" s="432">
        <f>IFERROR(VLOOKUP(AH15,$B$229:$E$245,2,FALSE),0)</f>
        <v>0</v>
      </c>
      <c r="AJ15" s="432">
        <f t="shared" si="15"/>
        <v>0</v>
      </c>
      <c r="AK15" s="163" t="e">
        <f>VLOOKUP($B:$B,'HT DIC'!$A:$AE,10,FALSE)</f>
        <v>#REF!</v>
      </c>
      <c r="AL15" s="432">
        <f t="shared" si="16"/>
        <v>0</v>
      </c>
      <c r="AM15" s="432">
        <f>IFERROR(VLOOKUP(AL15,$B$229:$E$245,2,FALSE),0)</f>
        <v>0</v>
      </c>
      <c r="AN15" s="432">
        <f t="shared" si="17"/>
        <v>0</v>
      </c>
      <c r="AO15" s="163" t="e">
        <f>VLOOKUP($B:$B,'HT DIC'!$A:$AE,11,FALSE)</f>
        <v>#REF!</v>
      </c>
      <c r="AP15" s="432">
        <f t="shared" si="18"/>
        <v>0</v>
      </c>
      <c r="AQ15" s="432">
        <v>0.30493055555555554</v>
      </c>
      <c r="AR15" s="432">
        <f t="shared" si="19"/>
        <v>0.30493055555555554</v>
      </c>
      <c r="AS15" s="163" t="e">
        <f>VLOOKUP($B:$B,'HT DIC'!$A:$AE,12,FALSE)</f>
        <v>#REF!</v>
      </c>
      <c r="AT15" s="432">
        <f t="shared" si="20"/>
        <v>0</v>
      </c>
      <c r="AU15" s="434">
        <v>2.4305555555555556E-2</v>
      </c>
      <c r="AV15" s="432">
        <f t="shared" si="21"/>
        <v>2.4305555555555556E-2</v>
      </c>
      <c r="AW15" s="163" t="e">
        <f>VLOOKUP($B:$B,'HT DIC'!$A:$AE,13,FALSE)</f>
        <v>#REF!</v>
      </c>
      <c r="AX15" s="432">
        <f t="shared" si="22"/>
        <v>0</v>
      </c>
      <c r="AY15" s="434">
        <v>1.7361111111111112E-2</v>
      </c>
      <c r="AZ15" s="432">
        <f t="shared" si="23"/>
        <v>1.7361111111111112E-2</v>
      </c>
      <c r="BA15" s="163" t="e">
        <f>VLOOKUP($B:$B,'HT DIC'!$A:$AE,14,FALSE)</f>
        <v>#REF!</v>
      </c>
      <c r="BB15" s="432">
        <f t="shared" si="24"/>
        <v>0</v>
      </c>
      <c r="BC15" s="434"/>
      <c r="BD15" s="432">
        <f t="shared" si="25"/>
        <v>0</v>
      </c>
      <c r="BE15" s="163" t="e">
        <f>VLOOKUP($B:$B,'HT DIC'!$A:$AE,15,FALSE)</f>
        <v>#REF!</v>
      </c>
      <c r="BF15" s="432">
        <f t="shared" si="26"/>
        <v>0</v>
      </c>
      <c r="BG15" s="434"/>
      <c r="BH15" s="432">
        <f t="shared" si="27"/>
        <v>0</v>
      </c>
      <c r="BI15" s="163" t="e">
        <f>VLOOKUP($B:$B,'HT DIC'!$A:$AE,16,FALSE)</f>
        <v>#REF!</v>
      </c>
      <c r="BJ15" s="432">
        <f t="shared" si="63"/>
        <v>0</v>
      </c>
      <c r="BK15" s="432">
        <f>IFERROR(VLOOKUP(BJ15,$B$229:$E$245,2,FALSE),0)</f>
        <v>0</v>
      </c>
      <c r="BL15" s="432">
        <f t="shared" si="29"/>
        <v>0</v>
      </c>
      <c r="BM15" s="163" t="e">
        <f>VLOOKUP($B:$B,'HT DIC'!$A:$AE,17,FALSE)</f>
        <v>#REF!</v>
      </c>
      <c r="BN15" s="432">
        <f t="shared" si="30"/>
        <v>0</v>
      </c>
      <c r="BO15" s="432">
        <f>IFERROR(VLOOKUP(BN15,$B$229:$E$245,2,FALSE),0)</f>
        <v>0</v>
      </c>
      <c r="BP15" s="432">
        <f t="shared" si="31"/>
        <v>0</v>
      </c>
      <c r="BQ15" s="163" t="e">
        <f>VLOOKUP($B:$B,'HT DIC'!$A:$AE,18,FALSE)</f>
        <v>#REF!</v>
      </c>
      <c r="BR15" s="432">
        <f t="shared" si="64"/>
        <v>0</v>
      </c>
      <c r="BS15" s="434">
        <v>2.0833333333333332E-2</v>
      </c>
      <c r="BT15" s="432">
        <f t="shared" si="33"/>
        <v>2.0833333333333332E-2</v>
      </c>
      <c r="BU15" s="163" t="e">
        <f>VLOOKUP($B:$B,'HT DIC'!$A:$AE,19,FALSE)</f>
        <v>#REF!</v>
      </c>
      <c r="BV15" s="432">
        <f t="shared" si="34"/>
        <v>0</v>
      </c>
      <c r="BW15" s="434">
        <v>2.4305555555555556E-2</v>
      </c>
      <c r="BX15" s="432">
        <f t="shared" si="35"/>
        <v>2.4305555555555556E-2</v>
      </c>
      <c r="BY15" s="163" t="e">
        <f>VLOOKUP($B:$B,'HT DIC'!$A:$AE,20,FALSE)</f>
        <v>#REF!</v>
      </c>
      <c r="BZ15" s="432">
        <f t="shared" si="65"/>
        <v>0</v>
      </c>
      <c r="CA15" s="434">
        <v>1.7361111111111112E-2</v>
      </c>
      <c r="CB15" s="432">
        <f t="shared" si="37"/>
        <v>1.7361111111111112E-2</v>
      </c>
      <c r="CC15" s="163" t="e">
        <f>VLOOKUP($B:$B,'HT DIC'!$A:$AE,21,FALSE)</f>
        <v>#REF!</v>
      </c>
      <c r="CD15" s="432">
        <f t="shared" si="38"/>
        <v>0</v>
      </c>
      <c r="CE15" s="432">
        <f>IFERROR(VLOOKUP(CD15,$B$229:$E$245,2,FALSE),0)</f>
        <v>0</v>
      </c>
      <c r="CF15" s="432">
        <f t="shared" si="39"/>
        <v>0</v>
      </c>
      <c r="CG15" s="163" t="e">
        <f>VLOOKUP($B:$B,'HT DIC'!$A:$AE,22,FALSE)</f>
        <v>#REF!</v>
      </c>
      <c r="CH15" s="432">
        <f t="shared" si="40"/>
        <v>0</v>
      </c>
      <c r="CI15" s="432">
        <f>IFERROR(VLOOKUP(CH15,$B$229:$E$245,2,FALSE),0)</f>
        <v>0</v>
      </c>
      <c r="CJ15" s="432">
        <f t="shared" si="41"/>
        <v>0</v>
      </c>
      <c r="CK15" s="163">
        <f>VLOOKUP($B:$B,'HT DIC'!$A:$AE,23,FALSE)</f>
        <v>11</v>
      </c>
      <c r="CL15" s="432">
        <f t="shared" si="42"/>
        <v>3.4722222222222224E-2</v>
      </c>
      <c r="CM15" s="432">
        <v>3.125E-2</v>
      </c>
      <c r="CN15" s="432">
        <f t="shared" si="43"/>
        <v>0</v>
      </c>
      <c r="CO15" s="163" t="e">
        <f>VLOOKUP($B:$B,'HT DIC'!$A:$AE,24,FALSE)</f>
        <v>#REF!</v>
      </c>
      <c r="CP15" s="432">
        <f t="shared" si="44"/>
        <v>0</v>
      </c>
      <c r="CQ15" s="434">
        <v>1.7361111111111112E-2</v>
      </c>
      <c r="CR15" s="432">
        <f t="shared" si="45"/>
        <v>1.7361111111111112E-2</v>
      </c>
      <c r="CS15" s="163" t="e">
        <f>VLOOKUP($B:$B,'HT DIC'!$A:$AE,25,FALSE)</f>
        <v>#REF!</v>
      </c>
      <c r="CT15" s="432">
        <f t="shared" si="46"/>
        <v>0</v>
      </c>
      <c r="CU15" s="432">
        <v>1.0914351851851852E-2</v>
      </c>
      <c r="CV15" s="432">
        <f t="shared" si="47"/>
        <v>1.0914351851851852E-2</v>
      </c>
      <c r="CW15" s="163" t="e">
        <f>VLOOKUP($B:$B,'HT DIC'!$A:$AE,26,FALSE)</f>
        <v>#REF!</v>
      </c>
      <c r="CX15" s="432">
        <f t="shared" si="48"/>
        <v>0</v>
      </c>
      <c r="CY15" s="432">
        <f>IFERROR(VLOOKUP(CX15,$B$229:$E$245,2,FALSE),0)</f>
        <v>0</v>
      </c>
      <c r="CZ15" s="432">
        <f t="shared" si="49"/>
        <v>0</v>
      </c>
      <c r="DA15" s="163">
        <f>VLOOKUP($B:$B,'HT DIC'!$A:$AE,27,FALSE)</f>
        <v>11</v>
      </c>
      <c r="DB15" s="432">
        <f t="shared" si="66"/>
        <v>3.4722222222222224E-2</v>
      </c>
      <c r="DC15" s="432">
        <f>IFERROR(VLOOKUP(DB15,$B$229:$E$245,2,FALSE),0)</f>
        <v>0</v>
      </c>
      <c r="DD15" s="432">
        <f t="shared" si="51"/>
        <v>0</v>
      </c>
      <c r="DE15" s="163">
        <f>VLOOKUP($B:$B,'HT DIC'!$A:$AE,28,FALSE)</f>
        <v>0</v>
      </c>
      <c r="DF15" s="432">
        <f t="shared" si="52"/>
        <v>0</v>
      </c>
      <c r="DG15" s="434">
        <v>2.7777777777777776E-2</v>
      </c>
      <c r="DH15" s="432">
        <f t="shared" si="53"/>
        <v>2.7777777777777776E-2</v>
      </c>
      <c r="DI15" s="163">
        <f>VLOOKUP($B:$B,'HT DIC'!$A:$AE,29,FALSE)</f>
        <v>11</v>
      </c>
      <c r="DJ15" s="432">
        <f t="shared" si="67"/>
        <v>3.4722222222222224E-2</v>
      </c>
      <c r="DK15" s="434"/>
      <c r="DL15" s="432">
        <f t="shared" si="55"/>
        <v>0</v>
      </c>
      <c r="DM15" s="163">
        <f>VLOOKUP($B:$B,'HT DIC'!$A:$AE,30,FALSE)</f>
        <v>11</v>
      </c>
      <c r="DN15" s="432">
        <f t="shared" si="68"/>
        <v>3.4722222222222224E-2</v>
      </c>
      <c r="DO15" s="434">
        <v>2.826388888888889E-2</v>
      </c>
      <c r="DP15" s="432">
        <f t="shared" si="57"/>
        <v>0</v>
      </c>
      <c r="DQ15" s="163">
        <f>VLOOKUP($B:$B,'HT DIC'!$A:$AE,31,FALSE)</f>
        <v>12</v>
      </c>
      <c r="DR15" s="432">
        <f t="shared" si="58"/>
        <v>3.8194444444444448E-2</v>
      </c>
      <c r="DS15" s="434">
        <v>3.8194444444444448E-2</v>
      </c>
      <c r="DT15" s="432">
        <f t="shared" si="59"/>
        <v>0</v>
      </c>
      <c r="DU15" s="163" t="e">
        <f>VLOOKUP($B:$B,'HT DIC'!$A:$AE,32,FALSE)</f>
        <v>#REF!</v>
      </c>
      <c r="DV15" s="432">
        <f t="shared" si="60"/>
        <v>0</v>
      </c>
      <c r="DW15" s="434"/>
      <c r="DX15" s="432">
        <f t="shared" si="61"/>
        <v>0</v>
      </c>
      <c r="DY15" s="432">
        <f t="shared" si="69"/>
        <v>0.58374999999999988</v>
      </c>
    </row>
    <row r="16" spans="1:129">
      <c r="A16" s="166" t="s">
        <v>82</v>
      </c>
      <c r="B16" s="166" t="s">
        <v>91</v>
      </c>
      <c r="C16" s="166">
        <v>1719808956</v>
      </c>
      <c r="D16" s="431">
        <v>30857</v>
      </c>
      <c r="E16" s="163" t="e">
        <f>VLOOKUP($B:$B,#REF!,2,FALSE)</f>
        <v>#REF!</v>
      </c>
      <c r="F16" s="432">
        <f t="shared" si="0"/>
        <v>0</v>
      </c>
      <c r="G16" s="434">
        <v>3.6481481481481483E-2</v>
      </c>
      <c r="H16" s="432">
        <f t="shared" si="1"/>
        <v>3.6481481481481483E-2</v>
      </c>
      <c r="I16" s="163" t="e">
        <f>VLOOKUP($B:$B,'HT DIC'!$A:$AE,3,FALSE)</f>
        <v>#REF!</v>
      </c>
      <c r="J16" s="432">
        <f t="shared" si="2"/>
        <v>0</v>
      </c>
      <c r="K16" s="434">
        <v>2.6620370370370371E-2</v>
      </c>
      <c r="L16" s="432">
        <f t="shared" si="3"/>
        <v>2.6620370370370371E-2</v>
      </c>
      <c r="M16" s="163" t="e">
        <f>VLOOKUP($B:$B,'HT DIC'!$A:$AE,4,FALSE)</f>
        <v>#REF!</v>
      </c>
      <c r="N16" s="432">
        <f t="shared" si="4"/>
        <v>0</v>
      </c>
      <c r="O16" s="432">
        <v>4.628472222222222E-2</v>
      </c>
      <c r="P16" s="432"/>
      <c r="Q16" s="163" t="e">
        <f>VLOOKUP($B:$B,'HT DIC'!$A:$AE,5,FALSE)</f>
        <v>#REF!</v>
      </c>
      <c r="R16" s="432">
        <f t="shared" si="6"/>
        <v>0</v>
      </c>
      <c r="S16" s="432">
        <v>3.6990740740740741E-2</v>
      </c>
      <c r="T16" s="432">
        <f t="shared" si="7"/>
        <v>3.6990740740740741E-2</v>
      </c>
      <c r="U16" s="163" t="e">
        <f>VLOOKUP($B:$B,'HT DIC'!$A:$AE,6,FALSE)</f>
        <v>#REF!</v>
      </c>
      <c r="V16" s="432">
        <f t="shared" si="8"/>
        <v>0</v>
      </c>
      <c r="W16" s="434">
        <v>8.4050925925925932E-2</v>
      </c>
      <c r="X16" s="432"/>
      <c r="Y16" s="163" t="e">
        <f>VLOOKUP($B:$B,'HT DIC'!$A:$AE,7,FALSE)</f>
        <v>#REF!</v>
      </c>
      <c r="Z16" s="432">
        <f t="shared" si="10"/>
        <v>0</v>
      </c>
      <c r="AA16" s="434"/>
      <c r="AB16" s="432">
        <f t="shared" si="11"/>
        <v>0</v>
      </c>
      <c r="AC16" s="163" t="e">
        <f>VLOOKUP($B:$B,'HT DIC'!$A:$AE,8,FALSE)</f>
        <v>#REF!</v>
      </c>
      <c r="AD16" s="432">
        <f t="shared" si="12"/>
        <v>0</v>
      </c>
      <c r="AE16" s="434">
        <v>2.011574074074074E-2</v>
      </c>
      <c r="AF16" s="432">
        <f t="shared" si="13"/>
        <v>2.011574074074074E-2</v>
      </c>
      <c r="AG16" s="163" t="e">
        <f>VLOOKUP($B:$B,'HT DIC'!$A:$AE,9,FALSE)</f>
        <v>#REF!</v>
      </c>
      <c r="AH16" s="432">
        <f t="shared" si="14"/>
        <v>0</v>
      </c>
      <c r="AI16" s="434">
        <v>2.7777777777777776E-2</v>
      </c>
      <c r="AJ16" s="432">
        <f t="shared" si="15"/>
        <v>2.7777777777777776E-2</v>
      </c>
      <c r="AK16" s="163" t="e">
        <f>VLOOKUP($B:$B,'HT DIC'!$A:$AE,10,FALSE)</f>
        <v>#REF!</v>
      </c>
      <c r="AL16" s="432">
        <f t="shared" si="16"/>
        <v>0</v>
      </c>
      <c r="AM16" s="434">
        <v>3.3888888888888892E-2</v>
      </c>
      <c r="AN16" s="432">
        <f t="shared" si="17"/>
        <v>3.3888888888888892E-2</v>
      </c>
      <c r="AO16" s="163" t="e">
        <f>VLOOKUP($B:$B,'HT DIC'!$A:$AE,11,FALSE)</f>
        <v>#REF!</v>
      </c>
      <c r="AP16" s="432">
        <f t="shared" si="18"/>
        <v>0</v>
      </c>
      <c r="AQ16" s="432">
        <v>3.8657407407407404E-2</v>
      </c>
      <c r="AR16" s="432">
        <f t="shared" si="19"/>
        <v>3.8657407407407404E-2</v>
      </c>
      <c r="AS16" s="163" t="e">
        <f>VLOOKUP($B:$B,'HT DIC'!$A:$AE,12,FALSE)</f>
        <v>#REF!</v>
      </c>
      <c r="AT16" s="432">
        <f t="shared" si="20"/>
        <v>0</v>
      </c>
      <c r="AU16" s="434">
        <v>3.0243055555555554E-2</v>
      </c>
      <c r="AV16" s="432">
        <f t="shared" si="21"/>
        <v>3.0243055555555554E-2</v>
      </c>
      <c r="AW16" s="163" t="e">
        <f>VLOOKUP($B:$B,'HT DIC'!$A:$AE,13,FALSE)</f>
        <v>#REF!</v>
      </c>
      <c r="AX16" s="432">
        <f t="shared" si="22"/>
        <v>0</v>
      </c>
      <c r="AY16" s="434">
        <v>2.8217592592592593E-2</v>
      </c>
      <c r="AZ16" s="432">
        <f t="shared" si="23"/>
        <v>2.8217592592592593E-2</v>
      </c>
      <c r="BA16" s="163" t="e">
        <f>VLOOKUP($B:$B,'HT DIC'!$A:$AE,14,FALSE)</f>
        <v>#REF!</v>
      </c>
      <c r="BB16" s="432">
        <f t="shared" si="24"/>
        <v>0</v>
      </c>
      <c r="BC16" s="434">
        <v>1.6145833333333335E-2</v>
      </c>
      <c r="BD16" s="432">
        <f t="shared" si="25"/>
        <v>1.6145833333333335E-2</v>
      </c>
      <c r="BE16" s="163" t="e">
        <f>VLOOKUP($B:$B,'HT DIC'!$A:$AE,15,FALSE)</f>
        <v>#REF!</v>
      </c>
      <c r="BF16" s="432">
        <f t="shared" si="26"/>
        <v>0</v>
      </c>
      <c r="BG16" s="434"/>
      <c r="BH16" s="432">
        <f t="shared" si="27"/>
        <v>0</v>
      </c>
      <c r="BI16" s="163" t="e">
        <f>VLOOKUP($B:$B,'HT DIC'!$A:$AE,16,FALSE)</f>
        <v>#REF!</v>
      </c>
      <c r="BJ16" s="432">
        <f t="shared" si="63"/>
        <v>0</v>
      </c>
      <c r="BK16" s="434">
        <v>2.9768518518518517E-2</v>
      </c>
      <c r="BL16" s="432">
        <f t="shared" si="29"/>
        <v>2.9768518518518517E-2</v>
      </c>
      <c r="BM16" s="163" t="e">
        <f>VLOOKUP($B:$B,'HT DIC'!$A:$AE,17,FALSE)</f>
        <v>#REF!</v>
      </c>
      <c r="BN16" s="432">
        <f t="shared" si="30"/>
        <v>0</v>
      </c>
      <c r="BO16" s="434">
        <v>4.1064814814814818E-2</v>
      </c>
      <c r="BP16" s="432">
        <f t="shared" si="31"/>
        <v>4.1064814814814818E-2</v>
      </c>
      <c r="BQ16" s="163" t="e">
        <f>VLOOKUP($B:$B,'HT DIC'!$A:$AE,18,FALSE)</f>
        <v>#REF!</v>
      </c>
      <c r="BR16" s="432">
        <f t="shared" si="64"/>
        <v>0</v>
      </c>
      <c r="BS16" s="432">
        <f>IFERROR(VLOOKUP(BR16,$B$229:$E$245,2,FALSE),0)</f>
        <v>0</v>
      </c>
      <c r="BT16" s="432">
        <f t="shared" si="33"/>
        <v>0</v>
      </c>
      <c r="BU16" s="163" t="e">
        <f>VLOOKUP($B:$B,'HT DIC'!$A:$AE,19,FALSE)</f>
        <v>#REF!</v>
      </c>
      <c r="BV16" s="432">
        <f t="shared" si="34"/>
        <v>0</v>
      </c>
      <c r="BW16" s="434">
        <v>2.6898148148148147E-2</v>
      </c>
      <c r="BX16" s="432">
        <f t="shared" si="35"/>
        <v>2.6898148148148147E-2</v>
      </c>
      <c r="BY16" s="163" t="e">
        <f>VLOOKUP($B:$B,'HT DIC'!$A:$AE,20,FALSE)</f>
        <v>#REF!</v>
      </c>
      <c r="BZ16" s="432">
        <f t="shared" si="65"/>
        <v>0</v>
      </c>
      <c r="CA16" s="434">
        <v>3.3703703703703701E-2</v>
      </c>
      <c r="CB16" s="432">
        <f t="shared" si="37"/>
        <v>3.3703703703703701E-2</v>
      </c>
      <c r="CC16" s="163" t="e">
        <f>VLOOKUP($B:$B,'HT DIC'!$A:$AE,21,FALSE)</f>
        <v>#REF!</v>
      </c>
      <c r="CD16" s="432">
        <f t="shared" si="38"/>
        <v>0</v>
      </c>
      <c r="CE16" s="432"/>
      <c r="CF16" s="432">
        <f t="shared" si="39"/>
        <v>0</v>
      </c>
      <c r="CG16" s="163" t="e">
        <f>VLOOKUP($B:$B,'HT DIC'!$A:$AE,22,FALSE)</f>
        <v>#REF!</v>
      </c>
      <c r="CH16" s="432">
        <f t="shared" si="40"/>
        <v>0</v>
      </c>
      <c r="CI16" s="434">
        <v>0.11357638888888889</v>
      </c>
      <c r="CJ16" s="432"/>
      <c r="CK16" s="163">
        <f>VLOOKUP($B:$B,'HT DIC'!$A:$AE,23,FALSE)</f>
        <v>10</v>
      </c>
      <c r="CL16" s="432">
        <f t="shared" si="42"/>
        <v>3.125E-2</v>
      </c>
      <c r="CM16" s="432">
        <v>0.28694444444444445</v>
      </c>
      <c r="CN16" s="432">
        <f t="shared" si="43"/>
        <v>0.25569444444444445</v>
      </c>
      <c r="CO16" s="163" t="e">
        <f>VLOOKUP($B:$B,'HT DIC'!$A:$AE,24,FALSE)</f>
        <v>#REF!</v>
      </c>
      <c r="CP16" s="432">
        <f t="shared" si="44"/>
        <v>0</v>
      </c>
      <c r="CQ16" s="434">
        <v>3.125E-2</v>
      </c>
      <c r="CR16" s="432">
        <f t="shared" si="45"/>
        <v>3.125E-2</v>
      </c>
      <c r="CS16" s="163" t="e">
        <f>VLOOKUP($B:$B,'HT DIC'!$A:$AE,25,FALSE)</f>
        <v>#REF!</v>
      </c>
      <c r="CT16" s="432">
        <f t="shared" si="46"/>
        <v>0</v>
      </c>
      <c r="CU16" s="432">
        <v>3.4722222222222224E-2</v>
      </c>
      <c r="CV16" s="432">
        <f t="shared" si="47"/>
        <v>3.4722222222222224E-2</v>
      </c>
      <c r="CW16" s="163" t="e">
        <f>VLOOKUP($B:$B,'HT DIC'!$A:$AE,26,FALSE)</f>
        <v>#REF!</v>
      </c>
      <c r="CX16" s="432">
        <f t="shared" si="48"/>
        <v>0</v>
      </c>
      <c r="CY16" s="434">
        <v>2.4340277777777777E-2</v>
      </c>
      <c r="CZ16" s="432">
        <f t="shared" si="49"/>
        <v>2.4340277777777777E-2</v>
      </c>
      <c r="DA16" s="163">
        <f>VLOOKUP($B:$B,'HT DIC'!$A:$AE,27,FALSE)</f>
        <v>11</v>
      </c>
      <c r="DB16" s="432">
        <f t="shared" si="66"/>
        <v>3.4722222222222224E-2</v>
      </c>
      <c r="DC16" s="434">
        <v>2.5891203703703704E-2</v>
      </c>
      <c r="DD16" s="432">
        <f t="shared" si="51"/>
        <v>0</v>
      </c>
      <c r="DE16" s="163">
        <f>VLOOKUP($B:$B,'HT DIC'!$A:$AE,28,FALSE)</f>
        <v>11</v>
      </c>
      <c r="DF16" s="432">
        <f t="shared" si="52"/>
        <v>3.4722222222222224E-2</v>
      </c>
      <c r="DG16" s="434">
        <v>3.050925925925926E-2</v>
      </c>
      <c r="DH16" s="432">
        <f t="shared" si="53"/>
        <v>0</v>
      </c>
      <c r="DI16" s="163">
        <f>VLOOKUP($B:$B,'HT DIC'!$A:$AE,29,FALSE)</f>
        <v>10</v>
      </c>
      <c r="DJ16" s="432">
        <f t="shared" si="67"/>
        <v>3.125E-2</v>
      </c>
      <c r="DK16" s="434"/>
      <c r="DL16" s="432">
        <f t="shared" si="55"/>
        <v>0</v>
      </c>
      <c r="DM16" s="163">
        <f>VLOOKUP($B:$B,'HT DIC'!$A:$AE,30,FALSE)</f>
        <v>11</v>
      </c>
      <c r="DN16" s="432">
        <f t="shared" si="68"/>
        <v>3.4722222222222224E-2</v>
      </c>
      <c r="DO16" s="434">
        <v>3.1921296296296295E-2</v>
      </c>
      <c r="DP16" s="432">
        <f t="shared" si="57"/>
        <v>0</v>
      </c>
      <c r="DQ16" s="163">
        <f>VLOOKUP($B:$B,'HT DIC'!$A:$AE,31,FALSE)</f>
        <v>12</v>
      </c>
      <c r="DR16" s="432">
        <f t="shared" si="58"/>
        <v>3.8194444444444448E-2</v>
      </c>
      <c r="DS16" s="434">
        <v>2.056712962962963E-2</v>
      </c>
      <c r="DT16" s="432">
        <f t="shared" si="59"/>
        <v>0</v>
      </c>
      <c r="DU16" s="163" t="e">
        <f>VLOOKUP($B:$B,'HT DIC'!$A:$AE,32,FALSE)</f>
        <v>#REF!</v>
      </c>
      <c r="DV16" s="432">
        <f t="shared" si="60"/>
        <v>0</v>
      </c>
      <c r="DW16" s="434"/>
      <c r="DX16" s="432">
        <f t="shared" si="61"/>
        <v>0</v>
      </c>
      <c r="DY16" s="432">
        <f t="shared" si="69"/>
        <v>0.77258101851851846</v>
      </c>
    </row>
    <row r="17" spans="1:129">
      <c r="A17" s="166" t="s">
        <v>85</v>
      </c>
      <c r="B17" s="166" t="s">
        <v>93</v>
      </c>
      <c r="C17" s="166">
        <v>1726392176</v>
      </c>
      <c r="D17" s="431">
        <v>37107</v>
      </c>
      <c r="E17" s="163" t="e">
        <f>VLOOKUP($B:$B,#REF!,2,FALSE)</f>
        <v>#REF!</v>
      </c>
      <c r="F17" s="432">
        <f t="shared" si="0"/>
        <v>0</v>
      </c>
      <c r="G17" s="434">
        <v>1.5601851851851851E-2</v>
      </c>
      <c r="H17" s="432">
        <f t="shared" si="1"/>
        <v>1.5601851851851851E-2</v>
      </c>
      <c r="I17" s="163" t="e">
        <f>VLOOKUP($B:$B,'HT DIC'!$A:$AE,3,FALSE)</f>
        <v>#REF!</v>
      </c>
      <c r="J17" s="432">
        <f t="shared" si="2"/>
        <v>0</v>
      </c>
      <c r="K17" s="434">
        <v>1.7361111111111112E-2</v>
      </c>
      <c r="L17" s="432">
        <f t="shared" si="3"/>
        <v>1.7361111111111112E-2</v>
      </c>
      <c r="M17" s="163" t="e">
        <f>VLOOKUP($B:$B,'HT DIC'!$A:$AE,4,FALSE)</f>
        <v>#REF!</v>
      </c>
      <c r="N17" s="432">
        <f t="shared" si="4"/>
        <v>0</v>
      </c>
      <c r="O17" s="432">
        <v>1.9328703703703702E-2</v>
      </c>
      <c r="P17" s="432">
        <f t="shared" ref="P17:P26" si="70">IF(O17-N17&lt;0,0,O17-N17)</f>
        <v>1.9328703703703702E-2</v>
      </c>
      <c r="Q17" s="163" t="e">
        <f>VLOOKUP($B:$B,'HT DIC'!$A:$AE,5,FALSE)</f>
        <v>#REF!</v>
      </c>
      <c r="R17" s="432">
        <f t="shared" si="6"/>
        <v>0</v>
      </c>
      <c r="S17" s="432">
        <v>1.9074074074074073E-2</v>
      </c>
      <c r="T17" s="432">
        <f t="shared" si="7"/>
        <v>1.9074074074074073E-2</v>
      </c>
      <c r="U17" s="163" t="e">
        <f>VLOOKUP($B:$B,'HT DIC'!$A:$AE,6,FALSE)</f>
        <v>#REF!</v>
      </c>
      <c r="V17" s="432">
        <f t="shared" si="8"/>
        <v>0</v>
      </c>
      <c r="W17" s="434">
        <v>1.6631944444444446E-2</v>
      </c>
      <c r="X17" s="432">
        <f t="shared" ref="X17:X26" si="71">IF(W17-V17&lt;0,0,W17-V17)</f>
        <v>1.6631944444444446E-2</v>
      </c>
      <c r="Y17" s="163" t="e">
        <f>VLOOKUP($B:$B,'HT DIC'!$A:$AE,7,FALSE)</f>
        <v>#REF!</v>
      </c>
      <c r="Z17" s="432">
        <f t="shared" si="10"/>
        <v>0</v>
      </c>
      <c r="AA17" s="434"/>
      <c r="AB17" s="432">
        <f t="shared" si="11"/>
        <v>0</v>
      </c>
      <c r="AC17" s="163" t="e">
        <f>VLOOKUP($B:$B,'HT DIC'!$A:$AE,8,FALSE)</f>
        <v>#REF!</v>
      </c>
      <c r="AD17" s="432">
        <f t="shared" si="12"/>
        <v>0</v>
      </c>
      <c r="AE17" s="434"/>
      <c r="AF17" s="432">
        <f t="shared" si="13"/>
        <v>0</v>
      </c>
      <c r="AG17" s="163" t="e">
        <f>VLOOKUP($B:$B,'HT DIC'!$A:$AE,9,FALSE)</f>
        <v>#REF!</v>
      </c>
      <c r="AH17" s="432">
        <f t="shared" si="14"/>
        <v>0</v>
      </c>
      <c r="AI17" s="432">
        <f>IFERROR(VLOOKUP(AH17,$B$229:$E$245,2,FALSE),0)</f>
        <v>0</v>
      </c>
      <c r="AJ17" s="432">
        <f t="shared" si="15"/>
        <v>0</v>
      </c>
      <c r="AK17" s="163" t="e">
        <f>VLOOKUP($B:$B,'HT DIC'!$A:$AE,10,FALSE)</f>
        <v>#REF!</v>
      </c>
      <c r="AL17" s="432">
        <f t="shared" si="16"/>
        <v>0</v>
      </c>
      <c r="AM17" s="432">
        <f>IFERROR(VLOOKUP(AL17,$B$229:$E$245,2,FALSE),0)</f>
        <v>0</v>
      </c>
      <c r="AN17" s="432">
        <f t="shared" si="17"/>
        <v>0</v>
      </c>
      <c r="AO17" s="163" t="e">
        <f>VLOOKUP($B:$B,'HT DIC'!$A:$AE,11,FALSE)</f>
        <v>#REF!</v>
      </c>
      <c r="AP17" s="432">
        <f t="shared" si="18"/>
        <v>0</v>
      </c>
      <c r="AQ17" s="432">
        <v>1.804398148148148E-2</v>
      </c>
      <c r="AR17" s="432">
        <f t="shared" si="19"/>
        <v>1.804398148148148E-2</v>
      </c>
      <c r="AS17" s="163" t="str">
        <f>VLOOKUP($B:$B,'HT DIC'!$A:$AE,12,FALSE)</f>
        <v>FI</v>
      </c>
      <c r="AT17" s="432">
        <f t="shared" si="20"/>
        <v>0</v>
      </c>
      <c r="AU17" s="434"/>
      <c r="AV17" s="432">
        <f t="shared" si="21"/>
        <v>0</v>
      </c>
      <c r="AW17" s="163" t="e">
        <f>VLOOKUP($B:$B,'HT DIC'!$A:$AE,13,FALSE)</f>
        <v>#REF!</v>
      </c>
      <c r="AX17" s="432">
        <f t="shared" si="22"/>
        <v>0</v>
      </c>
      <c r="AY17" s="434">
        <v>1.3993055555555555E-2</v>
      </c>
      <c r="AZ17" s="432">
        <f t="shared" si="23"/>
        <v>1.3993055555555555E-2</v>
      </c>
      <c r="BA17" s="163" t="e">
        <f>VLOOKUP($B:$B,'HT DIC'!$A:$AE,14,FALSE)</f>
        <v>#REF!</v>
      </c>
      <c r="BB17" s="432">
        <f t="shared" si="24"/>
        <v>0</v>
      </c>
      <c r="BC17" s="432">
        <f>IFERROR(VLOOKUP(BB17,$B$229:$E$245,2,FALSE),0)</f>
        <v>0</v>
      </c>
      <c r="BD17" s="432">
        <f t="shared" si="25"/>
        <v>0</v>
      </c>
      <c r="BE17" s="163" t="e">
        <f>VLOOKUP($B:$B,'HT DIC'!$A:$AE,15,FALSE)</f>
        <v>#REF!</v>
      </c>
      <c r="BF17" s="432">
        <f t="shared" si="26"/>
        <v>0</v>
      </c>
      <c r="BG17" s="434"/>
      <c r="BH17" s="432">
        <f t="shared" si="27"/>
        <v>0</v>
      </c>
      <c r="BI17" s="163" t="e">
        <f>VLOOKUP($B:$B,'HT DIC'!$A:$AE,16,FALSE)</f>
        <v>#REF!</v>
      </c>
      <c r="BJ17" s="432">
        <f t="shared" si="63"/>
        <v>0</v>
      </c>
      <c r="BK17" s="432">
        <f>IFERROR(VLOOKUP(BJ17,$B$229:$E$245,2,FALSE),0)</f>
        <v>0</v>
      </c>
      <c r="BL17" s="432">
        <f t="shared" si="29"/>
        <v>0</v>
      </c>
      <c r="BM17" s="163" t="e">
        <f>VLOOKUP($B:$B,'HT DIC'!$A:$AE,17,FALSE)</f>
        <v>#REF!</v>
      </c>
      <c r="BN17" s="432">
        <f t="shared" si="30"/>
        <v>0</v>
      </c>
      <c r="BO17" s="432">
        <f>IFERROR(VLOOKUP(BN17,$B$229:$E$245,2,FALSE),0)</f>
        <v>0</v>
      </c>
      <c r="BP17" s="432">
        <f t="shared" si="31"/>
        <v>0</v>
      </c>
      <c r="BQ17" s="163" t="e">
        <f>VLOOKUP($B:$B,'HT DIC'!$A:$AE,18,FALSE)</f>
        <v>#REF!</v>
      </c>
      <c r="BR17" s="432">
        <f t="shared" si="64"/>
        <v>0</v>
      </c>
      <c r="BS17" s="434">
        <v>1.7361111111111112E-2</v>
      </c>
      <c r="BT17" s="432">
        <f t="shared" si="33"/>
        <v>1.7361111111111112E-2</v>
      </c>
      <c r="BU17" s="163" t="e">
        <f>VLOOKUP($B:$B,'HT DIC'!$A:$AE,19,FALSE)</f>
        <v>#REF!</v>
      </c>
      <c r="BV17" s="432">
        <f t="shared" si="34"/>
        <v>0</v>
      </c>
      <c r="BW17" s="434">
        <v>1.7361111111111112E-2</v>
      </c>
      <c r="BX17" s="432">
        <f t="shared" si="35"/>
        <v>1.7361111111111112E-2</v>
      </c>
      <c r="BY17" s="163" t="e">
        <f>VLOOKUP($B:$B,'HT DIC'!$A:$AE,20,FALSE)</f>
        <v>#REF!</v>
      </c>
      <c r="BZ17" s="432">
        <f t="shared" si="65"/>
        <v>0</v>
      </c>
      <c r="CA17" s="434">
        <v>5.2546296296296299E-3</v>
      </c>
      <c r="CB17" s="432">
        <f t="shared" si="37"/>
        <v>5.2546296296296299E-3</v>
      </c>
      <c r="CC17" s="163" t="e">
        <f>VLOOKUP($B:$B,'HT DIC'!$A:$AE,21,FALSE)</f>
        <v>#REF!</v>
      </c>
      <c r="CD17" s="432">
        <f t="shared" si="38"/>
        <v>0</v>
      </c>
      <c r="CE17" s="432"/>
      <c r="CF17" s="432">
        <f t="shared" si="39"/>
        <v>0</v>
      </c>
      <c r="CG17" s="163" t="e">
        <f>VLOOKUP($B:$B,'HT DIC'!$A:$AE,22,FALSE)</f>
        <v>#REF!</v>
      </c>
      <c r="CH17" s="432">
        <f t="shared" si="40"/>
        <v>0</v>
      </c>
      <c r="CI17" s="434"/>
      <c r="CJ17" s="432">
        <f t="shared" ref="CJ17:CJ48" si="72">IF(CI17-CH17&lt;0,0,CI17-CH17)</f>
        <v>0</v>
      </c>
      <c r="CK17" s="163" t="str">
        <f>VLOOKUP($B:$B,'HT DIC'!$A:$AE,23,FALSE)</f>
        <v>FI</v>
      </c>
      <c r="CL17" s="432">
        <f t="shared" si="42"/>
        <v>0</v>
      </c>
      <c r="CM17" s="432">
        <f>IFERROR(VLOOKUP(CL17,$B$229:$E$245,2,FALSE),0)</f>
        <v>0</v>
      </c>
      <c r="CN17" s="432">
        <f t="shared" si="43"/>
        <v>0</v>
      </c>
      <c r="CO17" s="163" t="e">
        <f>VLOOKUP($B:$B,'HT DIC'!$A:$AE,24,FALSE)</f>
        <v>#REF!</v>
      </c>
      <c r="CP17" s="432">
        <f t="shared" si="44"/>
        <v>0</v>
      </c>
      <c r="CQ17" s="434"/>
      <c r="CR17" s="432">
        <f t="shared" si="45"/>
        <v>0</v>
      </c>
      <c r="CS17" s="163" t="e">
        <f>VLOOKUP($B:$B,'HT DIC'!$A:$AE,25,FALSE)</f>
        <v>#REF!</v>
      </c>
      <c r="CT17" s="432">
        <f t="shared" si="46"/>
        <v>0</v>
      </c>
      <c r="CU17" s="432">
        <v>1.1828703703703704E-2</v>
      </c>
      <c r="CV17" s="432">
        <f t="shared" si="47"/>
        <v>1.1828703703703704E-2</v>
      </c>
      <c r="CW17" s="163" t="e">
        <f>VLOOKUP($B:$B,'HT DIC'!$A:$AE,26,FALSE)</f>
        <v>#REF!</v>
      </c>
      <c r="CX17" s="432">
        <f t="shared" si="48"/>
        <v>0</v>
      </c>
      <c r="CY17" s="434">
        <v>1.6689814814814814E-2</v>
      </c>
      <c r="CZ17" s="432">
        <f t="shared" si="49"/>
        <v>1.6689814814814814E-2</v>
      </c>
      <c r="DA17" s="163">
        <f>VLOOKUP($B:$B,'HT DIC'!$A:$AE,27,FALSE)</f>
        <v>11</v>
      </c>
      <c r="DB17" s="432">
        <f t="shared" si="66"/>
        <v>3.4722222222222224E-2</v>
      </c>
      <c r="DC17" s="434">
        <v>1.7361111111111112E-2</v>
      </c>
      <c r="DD17" s="432">
        <f t="shared" si="51"/>
        <v>0</v>
      </c>
      <c r="DE17" s="163">
        <f>VLOOKUP($B:$B,'HT DIC'!$A:$AE,28,FALSE)</f>
        <v>4</v>
      </c>
      <c r="DF17" s="432">
        <f t="shared" si="52"/>
        <v>1.0416666666666666E-2</v>
      </c>
      <c r="DG17" s="434"/>
      <c r="DH17" s="432">
        <f t="shared" si="53"/>
        <v>0</v>
      </c>
      <c r="DI17" s="163">
        <f>VLOOKUP($B:$B,'HT DIC'!$A:$AE,29,FALSE)</f>
        <v>14</v>
      </c>
      <c r="DJ17" s="432">
        <f t="shared" si="67"/>
        <v>4.5138888888888888E-2</v>
      </c>
      <c r="DK17" s="434"/>
      <c r="DL17" s="432">
        <f t="shared" si="55"/>
        <v>0</v>
      </c>
      <c r="DM17" s="163">
        <f>VLOOKUP($B:$B,'HT DIC'!$A:$AE,30,FALSE)</f>
        <v>12</v>
      </c>
      <c r="DN17" s="432">
        <f t="shared" si="68"/>
        <v>3.8194444444444448E-2</v>
      </c>
      <c r="DO17" s="434">
        <v>1.7708333333333333E-2</v>
      </c>
      <c r="DP17" s="432">
        <f t="shared" si="57"/>
        <v>0</v>
      </c>
      <c r="DQ17" s="163">
        <f>VLOOKUP($B:$B,'HT DIC'!$A:$AE,31,FALSE)</f>
        <v>13</v>
      </c>
      <c r="DR17" s="432">
        <f t="shared" si="58"/>
        <v>4.1666666666666664E-2</v>
      </c>
      <c r="DS17" s="434">
        <v>1.7361111111111112E-2</v>
      </c>
      <c r="DT17" s="432">
        <f t="shared" si="59"/>
        <v>0</v>
      </c>
      <c r="DU17" s="163" t="e">
        <f>VLOOKUP($B:$B,'HT DIC'!$A:$AE,32,FALSE)</f>
        <v>#REF!</v>
      </c>
      <c r="DV17" s="432">
        <f t="shared" si="60"/>
        <v>0</v>
      </c>
      <c r="DW17" s="434"/>
      <c r="DX17" s="432">
        <f t="shared" si="61"/>
        <v>0</v>
      </c>
      <c r="DY17" s="432">
        <f t="shared" si="69"/>
        <v>0.18853009259259257</v>
      </c>
    </row>
    <row r="18" spans="1:129">
      <c r="A18" s="166" t="s">
        <v>88</v>
      </c>
      <c r="B18" s="166" t="s">
        <v>95</v>
      </c>
      <c r="C18" s="166">
        <v>1724384258</v>
      </c>
      <c r="D18" s="431">
        <v>35090</v>
      </c>
      <c r="E18" s="163" t="e">
        <f>VLOOKUP($B:$B,#REF!,2,FALSE)</f>
        <v>#REF!</v>
      </c>
      <c r="F18" s="432">
        <f t="shared" si="0"/>
        <v>0</v>
      </c>
      <c r="G18" s="434">
        <v>2.5798611111111112E-2</v>
      </c>
      <c r="H18" s="432">
        <f t="shared" si="1"/>
        <v>2.5798611111111112E-2</v>
      </c>
      <c r="I18" s="163" t="e">
        <f>VLOOKUP($B:$B,'HT DIC'!$A:$AE,3,FALSE)</f>
        <v>#REF!</v>
      </c>
      <c r="J18" s="432">
        <f t="shared" si="2"/>
        <v>0</v>
      </c>
      <c r="K18" s="434">
        <v>2.5497685185185186E-2</v>
      </c>
      <c r="L18" s="432">
        <f t="shared" si="3"/>
        <v>2.5497685185185186E-2</v>
      </c>
      <c r="M18" s="163" t="e">
        <f>VLOOKUP($B:$B,'HT DIC'!$A:$AE,4,FALSE)</f>
        <v>#REF!</v>
      </c>
      <c r="N18" s="432">
        <f t="shared" si="4"/>
        <v>0</v>
      </c>
      <c r="O18" s="432">
        <v>2.6840277777777779E-2</v>
      </c>
      <c r="P18" s="432">
        <f t="shared" si="70"/>
        <v>2.6840277777777779E-2</v>
      </c>
      <c r="Q18" s="163" t="e">
        <f>VLOOKUP($B:$B,'HT DIC'!$A:$AE,5,FALSE)</f>
        <v>#REF!</v>
      </c>
      <c r="R18" s="432">
        <f t="shared" si="6"/>
        <v>0</v>
      </c>
      <c r="S18" s="432">
        <v>4.3819444444444446E-2</v>
      </c>
      <c r="T18" s="432">
        <f t="shared" si="7"/>
        <v>4.3819444444444446E-2</v>
      </c>
      <c r="U18" s="163" t="e">
        <f>VLOOKUP($B:$B,'HT DIC'!$A:$AE,6,FALSE)</f>
        <v>#REF!</v>
      </c>
      <c r="V18" s="432">
        <f t="shared" si="8"/>
        <v>0</v>
      </c>
      <c r="W18" s="434">
        <v>1.5046296296296296E-3</v>
      </c>
      <c r="X18" s="432">
        <f t="shared" si="71"/>
        <v>1.5046296296296296E-3</v>
      </c>
      <c r="Y18" s="163" t="e">
        <f>VLOOKUP($B:$B,'HT DIC'!$A:$AE,7,FALSE)</f>
        <v>#REF!</v>
      </c>
      <c r="Z18" s="432">
        <f t="shared" si="10"/>
        <v>0</v>
      </c>
      <c r="AA18" s="434"/>
      <c r="AB18" s="432">
        <f t="shared" si="11"/>
        <v>0</v>
      </c>
      <c r="AC18" s="163" t="e">
        <f>VLOOKUP($B:$B,'HT DIC'!$A:$AE,8,FALSE)</f>
        <v>#REF!</v>
      </c>
      <c r="AD18" s="432">
        <f t="shared" si="12"/>
        <v>0</v>
      </c>
      <c r="AE18" s="434"/>
      <c r="AF18" s="432">
        <f t="shared" si="13"/>
        <v>0</v>
      </c>
      <c r="AG18" s="163" t="e">
        <f>VLOOKUP($B:$B,'HT DIC'!$A:$AE,9,FALSE)</f>
        <v>#REF!</v>
      </c>
      <c r="AH18" s="432">
        <f t="shared" si="14"/>
        <v>0</v>
      </c>
      <c r="AI18" s="434">
        <v>2.5914351851851852E-2</v>
      </c>
      <c r="AJ18" s="432">
        <f t="shared" si="15"/>
        <v>2.5914351851851852E-2</v>
      </c>
      <c r="AK18" s="163" t="e">
        <f>VLOOKUP($B:$B,'HT DIC'!$A:$AE,10,FALSE)</f>
        <v>#REF!</v>
      </c>
      <c r="AL18" s="432">
        <f t="shared" si="16"/>
        <v>0</v>
      </c>
      <c r="AM18" s="434">
        <v>3.005787037037037E-2</v>
      </c>
      <c r="AN18" s="432">
        <f t="shared" si="17"/>
        <v>3.005787037037037E-2</v>
      </c>
      <c r="AO18" s="163" t="e">
        <f>VLOOKUP($B:$B,'HT DIC'!$A:$AE,11,FALSE)</f>
        <v>#REF!</v>
      </c>
      <c r="AP18" s="432">
        <f t="shared" si="18"/>
        <v>0</v>
      </c>
      <c r="AQ18" s="432">
        <v>2.7199074074074073E-2</v>
      </c>
      <c r="AR18" s="432">
        <f t="shared" si="19"/>
        <v>2.7199074074074073E-2</v>
      </c>
      <c r="AS18" s="163" t="e">
        <f>VLOOKUP($B:$B,'HT DIC'!$A:$AE,12,FALSE)</f>
        <v>#REF!</v>
      </c>
      <c r="AT18" s="432">
        <f t="shared" si="20"/>
        <v>0</v>
      </c>
      <c r="AU18" s="434">
        <v>3.1550925925925927E-2</v>
      </c>
      <c r="AV18" s="432">
        <f t="shared" si="21"/>
        <v>3.1550925925925927E-2</v>
      </c>
      <c r="AW18" s="163" t="e">
        <f>VLOOKUP($B:$B,'HT DIC'!$A:$AE,13,FALSE)</f>
        <v>#REF!</v>
      </c>
      <c r="AX18" s="432">
        <f t="shared" si="22"/>
        <v>0</v>
      </c>
      <c r="AY18" s="434"/>
      <c r="AZ18" s="432">
        <f t="shared" si="23"/>
        <v>0</v>
      </c>
      <c r="BA18" s="163" t="e">
        <f>VLOOKUP($B:$B,'HT DIC'!$A:$AE,14,FALSE)</f>
        <v>#REF!</v>
      </c>
      <c r="BB18" s="432">
        <f t="shared" si="24"/>
        <v>0</v>
      </c>
      <c r="BC18" s="434">
        <v>3.3391203703703701E-2</v>
      </c>
      <c r="BD18" s="432">
        <f t="shared" si="25"/>
        <v>3.3391203703703701E-2</v>
      </c>
      <c r="BE18" s="163" t="e">
        <f>VLOOKUP($B:$B,'HT DIC'!$A:$AE,15,FALSE)</f>
        <v>#REF!</v>
      </c>
      <c r="BF18" s="432">
        <f t="shared" si="26"/>
        <v>0</v>
      </c>
      <c r="BG18" s="434"/>
      <c r="BH18" s="432">
        <f t="shared" si="27"/>
        <v>0</v>
      </c>
      <c r="BI18" s="163" t="e">
        <f>VLOOKUP($B:$B,'HT DIC'!$A:$AE,16,FALSE)</f>
        <v>#REF!</v>
      </c>
      <c r="BJ18" s="432">
        <f t="shared" si="63"/>
        <v>0</v>
      </c>
      <c r="BK18" s="434">
        <v>2.3032407407407408E-2</v>
      </c>
      <c r="BL18" s="432">
        <f t="shared" si="29"/>
        <v>2.3032407407407408E-2</v>
      </c>
      <c r="BM18" s="163" t="e">
        <f>VLOOKUP($B:$B,'HT DIC'!$A:$AE,17,FALSE)</f>
        <v>#REF!</v>
      </c>
      <c r="BN18" s="432">
        <f t="shared" si="30"/>
        <v>0</v>
      </c>
      <c r="BO18" s="434">
        <v>2.8877314814814814E-2</v>
      </c>
      <c r="BP18" s="432">
        <f t="shared" si="31"/>
        <v>2.8877314814814814E-2</v>
      </c>
      <c r="BQ18" s="163" t="e">
        <f>VLOOKUP($B:$B,'HT DIC'!$A:$AE,18,FALSE)</f>
        <v>#REF!</v>
      </c>
      <c r="BR18" s="432">
        <f t="shared" si="64"/>
        <v>0</v>
      </c>
      <c r="BS18" s="434">
        <v>4.3078703703703702E-2</v>
      </c>
      <c r="BT18" s="432">
        <f t="shared" si="33"/>
        <v>4.3078703703703702E-2</v>
      </c>
      <c r="BU18" s="163" t="e">
        <f>VLOOKUP($B:$B,'HT DIC'!$A:$AE,19,FALSE)</f>
        <v>#REF!</v>
      </c>
      <c r="BV18" s="432">
        <f t="shared" si="34"/>
        <v>0</v>
      </c>
      <c r="BW18" s="434">
        <v>3.9467592592592596E-2</v>
      </c>
      <c r="BX18" s="432">
        <f t="shared" si="35"/>
        <v>3.9467592592592596E-2</v>
      </c>
      <c r="BY18" s="163" t="e">
        <f>VLOOKUP($B:$B,'HT DIC'!$A:$AE,20,FALSE)</f>
        <v>#REF!</v>
      </c>
      <c r="BZ18" s="432">
        <f t="shared" si="65"/>
        <v>0</v>
      </c>
      <c r="CA18" s="434">
        <v>2.7986111111111111E-2</v>
      </c>
      <c r="CB18" s="432">
        <f t="shared" si="37"/>
        <v>2.7986111111111111E-2</v>
      </c>
      <c r="CC18" s="163" t="e">
        <f>VLOOKUP($B:$B,'HT DIC'!$A:$AE,21,FALSE)</f>
        <v>#REF!</v>
      </c>
      <c r="CD18" s="432">
        <f t="shared" si="38"/>
        <v>0</v>
      </c>
      <c r="CE18" s="432"/>
      <c r="CF18" s="432">
        <f t="shared" si="39"/>
        <v>0</v>
      </c>
      <c r="CG18" s="163" t="e">
        <f>VLOOKUP($B:$B,'HT DIC'!$A:$AE,22,FALSE)</f>
        <v>#REF!</v>
      </c>
      <c r="CH18" s="432">
        <f t="shared" si="40"/>
        <v>0</v>
      </c>
      <c r="CI18" s="434"/>
      <c r="CJ18" s="432">
        <f t="shared" si="72"/>
        <v>0</v>
      </c>
      <c r="CK18" s="163">
        <f>VLOOKUP($B:$B,'HT DIC'!$A:$AE,23,FALSE)</f>
        <v>11</v>
      </c>
      <c r="CL18" s="432">
        <f t="shared" si="42"/>
        <v>3.4722222222222224E-2</v>
      </c>
      <c r="CM18" s="432">
        <v>3.4722222222222224E-2</v>
      </c>
      <c r="CN18" s="432">
        <f t="shared" si="43"/>
        <v>0</v>
      </c>
      <c r="CO18" s="163" t="e">
        <f>VLOOKUP($B:$B,'HT DIC'!$A:$AE,24,FALSE)</f>
        <v>#REF!</v>
      </c>
      <c r="CP18" s="432">
        <f t="shared" si="44"/>
        <v>0</v>
      </c>
      <c r="CQ18" s="434">
        <v>3.4722222222222224E-2</v>
      </c>
      <c r="CR18" s="432">
        <f t="shared" si="45"/>
        <v>3.4722222222222224E-2</v>
      </c>
      <c r="CS18" s="163" t="e">
        <f>VLOOKUP($B:$B,'HT DIC'!$A:$AE,25,FALSE)</f>
        <v>#REF!</v>
      </c>
      <c r="CT18" s="432">
        <f t="shared" si="46"/>
        <v>0</v>
      </c>
      <c r="CU18" s="432">
        <v>3.1550925925925927E-2</v>
      </c>
      <c r="CV18" s="432">
        <f t="shared" si="47"/>
        <v>3.1550925925925927E-2</v>
      </c>
      <c r="CW18" s="163" t="e">
        <f>VLOOKUP($B:$B,'HT DIC'!$A:$AE,26,FALSE)</f>
        <v>#REF!</v>
      </c>
      <c r="CX18" s="432">
        <f t="shared" si="48"/>
        <v>0</v>
      </c>
      <c r="CY18" s="434"/>
      <c r="CZ18" s="432">
        <f t="shared" si="49"/>
        <v>0</v>
      </c>
      <c r="DA18" s="163">
        <f>VLOOKUP($B:$B,'HT DIC'!$A:$AE,27,FALSE)</f>
        <v>11</v>
      </c>
      <c r="DB18" s="432">
        <f t="shared" si="66"/>
        <v>3.4722222222222224E-2</v>
      </c>
      <c r="DC18" s="434">
        <v>3.605324074074074E-2</v>
      </c>
      <c r="DD18" s="432">
        <f t="shared" si="51"/>
        <v>1.3310185185185161E-3</v>
      </c>
      <c r="DE18" s="163">
        <f>VLOOKUP($B:$B,'HT DIC'!$A:$AE,28,FALSE)</f>
        <v>13</v>
      </c>
      <c r="DF18" s="432">
        <f t="shared" si="52"/>
        <v>4.1666666666666664E-2</v>
      </c>
      <c r="DG18" s="434"/>
      <c r="DH18" s="432">
        <f t="shared" si="53"/>
        <v>0</v>
      </c>
      <c r="DI18" s="163">
        <f>VLOOKUP($B:$B,'HT DIC'!$A:$AE,29,FALSE)</f>
        <v>0</v>
      </c>
      <c r="DJ18" s="432">
        <f t="shared" si="67"/>
        <v>0</v>
      </c>
      <c r="DK18" s="434">
        <v>2.9050925925925924E-2</v>
      </c>
      <c r="DL18" s="432">
        <f t="shared" si="55"/>
        <v>2.9050925925925924E-2</v>
      </c>
      <c r="DM18" s="163">
        <f>VLOOKUP($B:$B,'HT DIC'!$A:$AE,30,FALSE)</f>
        <v>12</v>
      </c>
      <c r="DN18" s="432">
        <f t="shared" si="68"/>
        <v>3.8194444444444448E-2</v>
      </c>
      <c r="DO18" s="434">
        <v>3.4722222222222224E-2</v>
      </c>
      <c r="DP18" s="432">
        <f t="shared" si="57"/>
        <v>0</v>
      </c>
      <c r="DQ18" s="163">
        <f>VLOOKUP($B:$B,'HT DIC'!$A:$AE,31,FALSE)</f>
        <v>11</v>
      </c>
      <c r="DR18" s="432">
        <f t="shared" si="58"/>
        <v>3.4722222222222224E-2</v>
      </c>
      <c r="DS18" s="432">
        <f>IFERROR(VLOOKUP(DR18,$B$229:$E$245,2,FALSE),0)</f>
        <v>0</v>
      </c>
      <c r="DT18" s="432">
        <f t="shared" si="59"/>
        <v>0</v>
      </c>
      <c r="DU18" s="163" t="e">
        <f>VLOOKUP($B:$B,'HT DIC'!$A:$AE,32,FALSE)</f>
        <v>#REF!</v>
      </c>
      <c r="DV18" s="432">
        <f t="shared" si="60"/>
        <v>0</v>
      </c>
      <c r="DW18" s="434"/>
      <c r="DX18" s="432">
        <f t="shared" si="61"/>
        <v>0</v>
      </c>
      <c r="DY18" s="432">
        <f t="shared" si="69"/>
        <v>0.53067129629629628</v>
      </c>
    </row>
    <row r="19" spans="1:129">
      <c r="A19" s="166" t="s">
        <v>90</v>
      </c>
      <c r="B19" s="166" t="s">
        <v>99</v>
      </c>
      <c r="C19" s="166">
        <v>1713299442</v>
      </c>
      <c r="D19" s="431">
        <v>28104</v>
      </c>
      <c r="E19" s="163" t="e">
        <f>VLOOKUP($B:$B,#REF!,2,FALSE)</f>
        <v>#REF!</v>
      </c>
      <c r="F19" s="432">
        <f t="shared" si="0"/>
        <v>0</v>
      </c>
      <c r="G19" s="434">
        <v>3.3310185185185186E-2</v>
      </c>
      <c r="H19" s="432">
        <f t="shared" si="1"/>
        <v>3.3310185185185186E-2</v>
      </c>
      <c r="I19" s="163" t="e">
        <f>VLOOKUP($B:$B,'HT DIC'!$A:$AE,3,FALSE)</f>
        <v>#REF!</v>
      </c>
      <c r="J19" s="432">
        <f t="shared" si="2"/>
        <v>0</v>
      </c>
      <c r="K19" s="434">
        <v>3.125E-2</v>
      </c>
      <c r="L19" s="432">
        <f t="shared" si="3"/>
        <v>3.125E-2</v>
      </c>
      <c r="M19" s="163" t="e">
        <f>VLOOKUP($B:$B,'HT DIC'!$A:$AE,4,FALSE)</f>
        <v>#REF!</v>
      </c>
      <c r="N19" s="432">
        <f t="shared" si="4"/>
        <v>0</v>
      </c>
      <c r="O19" s="432">
        <v>4.8391203703703707E-2</v>
      </c>
      <c r="P19" s="432">
        <f t="shared" si="70"/>
        <v>4.8391203703703707E-2</v>
      </c>
      <c r="Q19" s="163" t="e">
        <f>VLOOKUP($B:$B,'HT DIC'!$A:$AE,5,FALSE)</f>
        <v>#REF!</v>
      </c>
      <c r="R19" s="432">
        <f t="shared" si="6"/>
        <v>0</v>
      </c>
      <c r="S19" s="432">
        <v>3.6423611111111108E-2</v>
      </c>
      <c r="T19" s="432">
        <f t="shared" si="7"/>
        <v>3.6423611111111108E-2</v>
      </c>
      <c r="U19" s="163" t="e">
        <f>VLOOKUP($B:$B,'HT DIC'!$A:$AE,6,FALSE)</f>
        <v>#REF!</v>
      </c>
      <c r="V19" s="432">
        <f t="shared" si="8"/>
        <v>0</v>
      </c>
      <c r="W19" s="434"/>
      <c r="X19" s="432">
        <f t="shared" si="71"/>
        <v>0</v>
      </c>
      <c r="Y19" s="163" t="e">
        <f>VLOOKUP($B:$B,'HT DIC'!$A:$AE,7,FALSE)</f>
        <v>#REF!</v>
      </c>
      <c r="Z19" s="432">
        <f t="shared" si="10"/>
        <v>0</v>
      </c>
      <c r="AA19" s="434">
        <v>3.8194444444444448E-2</v>
      </c>
      <c r="AB19" s="432">
        <f t="shared" si="11"/>
        <v>3.8194444444444448E-2</v>
      </c>
      <c r="AC19" s="163" t="e">
        <f>VLOOKUP($B:$B,'HT DIC'!$A:$AE,8,FALSE)</f>
        <v>#REF!</v>
      </c>
      <c r="AD19" s="432">
        <f t="shared" si="12"/>
        <v>0</v>
      </c>
      <c r="AE19" s="434">
        <v>2.2777777777777779E-2</v>
      </c>
      <c r="AF19" s="432">
        <f t="shared" si="13"/>
        <v>2.2777777777777779E-2</v>
      </c>
      <c r="AG19" s="163" t="e">
        <f>VLOOKUP($B:$B,'HT DIC'!$A:$AE,9,FALSE)</f>
        <v>#REF!</v>
      </c>
      <c r="AH19" s="432">
        <f t="shared" si="14"/>
        <v>0</v>
      </c>
      <c r="AI19" s="434">
        <v>7.5115740740740742E-3</v>
      </c>
      <c r="AJ19" s="432">
        <f t="shared" si="15"/>
        <v>7.5115740740740742E-3</v>
      </c>
      <c r="AK19" s="163" t="e">
        <f>VLOOKUP($B:$B,'HT DIC'!$A:$AE,10,FALSE)</f>
        <v>#REF!</v>
      </c>
      <c r="AL19" s="432">
        <f t="shared" si="16"/>
        <v>0</v>
      </c>
      <c r="AM19" s="434">
        <v>3.5729166666666666E-2</v>
      </c>
      <c r="AN19" s="432">
        <f t="shared" si="17"/>
        <v>3.5729166666666666E-2</v>
      </c>
      <c r="AO19" s="163" t="e">
        <f>VLOOKUP($B:$B,'HT DIC'!$A:$AE,11,FALSE)</f>
        <v>#REF!</v>
      </c>
      <c r="AP19" s="432">
        <f t="shared" si="18"/>
        <v>0</v>
      </c>
      <c r="AQ19" s="432"/>
      <c r="AR19" s="432">
        <f t="shared" si="19"/>
        <v>0</v>
      </c>
      <c r="AS19" s="163" t="e">
        <f>VLOOKUP($B:$B,'HT DIC'!$A:$AE,12,FALSE)</f>
        <v>#REF!</v>
      </c>
      <c r="AT19" s="432">
        <f t="shared" si="20"/>
        <v>0</v>
      </c>
      <c r="AU19" s="434"/>
      <c r="AV19" s="432">
        <f t="shared" si="21"/>
        <v>0</v>
      </c>
      <c r="AW19" s="163" t="e">
        <f>VLOOKUP($B:$B,'HT DIC'!$A:$AE,13,FALSE)</f>
        <v>#REF!</v>
      </c>
      <c r="AX19" s="432">
        <f t="shared" si="22"/>
        <v>0</v>
      </c>
      <c r="AY19" s="434">
        <v>3.8194444444444448E-2</v>
      </c>
      <c r="AZ19" s="432">
        <f t="shared" si="23"/>
        <v>3.8194444444444448E-2</v>
      </c>
      <c r="BA19" s="163" t="e">
        <f>VLOOKUP($B:$B,'HT DIC'!$A:$AE,14,FALSE)</f>
        <v>#REF!</v>
      </c>
      <c r="BB19" s="432">
        <f t="shared" si="24"/>
        <v>0</v>
      </c>
      <c r="BC19" s="434">
        <v>3.0659722222222224E-2</v>
      </c>
      <c r="BD19" s="432">
        <f t="shared" si="25"/>
        <v>3.0659722222222224E-2</v>
      </c>
      <c r="BE19" s="163" t="str">
        <f>VLOOKUP($B:$B,'HT DIC'!$A:$AE,15,FALSE)</f>
        <v>FI</v>
      </c>
      <c r="BF19" s="432">
        <f t="shared" si="26"/>
        <v>0</v>
      </c>
      <c r="BG19" s="432">
        <f>IFERROR(VLOOKUP(BF19,$B$229:$E$245,2,FALSE),0)</f>
        <v>0</v>
      </c>
      <c r="BH19" s="432">
        <f t="shared" si="27"/>
        <v>0</v>
      </c>
      <c r="BI19" s="163" t="e">
        <f>VLOOKUP($B:$B,'HT DIC'!$A:$AE,16,FALSE)</f>
        <v>#REF!</v>
      </c>
      <c r="BJ19" s="432">
        <f t="shared" si="63"/>
        <v>0</v>
      </c>
      <c r="BK19" s="434">
        <v>3.1909722222222221E-2</v>
      </c>
      <c r="BL19" s="432">
        <f t="shared" si="29"/>
        <v>3.1909722222222221E-2</v>
      </c>
      <c r="BM19" s="163" t="e">
        <f>VLOOKUP($B:$B,'HT DIC'!$A:$AE,17,FALSE)</f>
        <v>#REF!</v>
      </c>
      <c r="BN19" s="432">
        <f t="shared" si="30"/>
        <v>0</v>
      </c>
      <c r="BO19" s="434">
        <v>4.449074074074074E-2</v>
      </c>
      <c r="BP19" s="432">
        <f t="shared" si="31"/>
        <v>4.449074074074074E-2</v>
      </c>
      <c r="BQ19" s="163" t="e">
        <f>VLOOKUP($B:$B,'HT DIC'!$A:$AE,18,FALSE)</f>
        <v>#REF!</v>
      </c>
      <c r="BR19" s="432">
        <f t="shared" si="64"/>
        <v>0</v>
      </c>
      <c r="BS19" s="434">
        <v>3.8194444444444448E-2</v>
      </c>
      <c r="BT19" s="432">
        <f t="shared" si="33"/>
        <v>3.8194444444444448E-2</v>
      </c>
      <c r="BU19" s="163" t="e">
        <f>VLOOKUP($B:$B,'HT DIC'!$A:$AE,19,FALSE)</f>
        <v>#REF!</v>
      </c>
      <c r="BV19" s="432">
        <f t="shared" si="34"/>
        <v>0</v>
      </c>
      <c r="BW19" s="434">
        <v>3.8194444444444448E-2</v>
      </c>
      <c r="BX19" s="432">
        <f t="shared" si="35"/>
        <v>3.8194444444444448E-2</v>
      </c>
      <c r="BY19" s="163" t="e">
        <f>VLOOKUP($B:$B,'HT DIC'!$A:$AE,20,FALSE)</f>
        <v>#REF!</v>
      </c>
      <c r="BZ19" s="432">
        <f t="shared" si="65"/>
        <v>0</v>
      </c>
      <c r="CA19" s="434">
        <v>4.704861111111111E-2</v>
      </c>
      <c r="CB19" s="432">
        <f t="shared" si="37"/>
        <v>4.704861111111111E-2</v>
      </c>
      <c r="CC19" s="163" t="e">
        <f>VLOOKUP($B:$B,'HT DIC'!$A:$AE,21,FALSE)</f>
        <v>#REF!</v>
      </c>
      <c r="CD19" s="432">
        <f t="shared" si="38"/>
        <v>0</v>
      </c>
      <c r="CE19" s="432">
        <v>4.8611111111111112E-2</v>
      </c>
      <c r="CF19" s="432">
        <f t="shared" si="39"/>
        <v>4.8611111111111112E-2</v>
      </c>
      <c r="CG19" s="163" t="e">
        <f>VLOOKUP($B:$B,'HT DIC'!$A:$AE,22,FALSE)</f>
        <v>#REF!</v>
      </c>
      <c r="CH19" s="432">
        <f t="shared" si="40"/>
        <v>0</v>
      </c>
      <c r="CI19" s="434"/>
      <c r="CJ19" s="432">
        <f t="shared" si="72"/>
        <v>0</v>
      </c>
      <c r="CK19" s="163">
        <f>VLOOKUP($B:$B,'HT DIC'!$A:$AE,23,FALSE)</f>
        <v>6</v>
      </c>
      <c r="CL19" s="432">
        <f t="shared" si="42"/>
        <v>1.7361111111111112E-2</v>
      </c>
      <c r="CM19" s="432">
        <v>3.4548611111111113E-2</v>
      </c>
      <c r="CN19" s="432">
        <f t="shared" si="43"/>
        <v>1.7187500000000001E-2</v>
      </c>
      <c r="CO19" s="163" t="e">
        <f>VLOOKUP($B:$B,'HT DIC'!$A:$AE,24,FALSE)</f>
        <v>#REF!</v>
      </c>
      <c r="CP19" s="432">
        <f t="shared" si="44"/>
        <v>0</v>
      </c>
      <c r="CQ19" s="434">
        <v>3.4722222222222224E-2</v>
      </c>
      <c r="CR19" s="432">
        <f t="shared" si="45"/>
        <v>3.4722222222222224E-2</v>
      </c>
      <c r="CS19" s="163" t="e">
        <f>VLOOKUP($B:$B,'HT DIC'!$A:$AE,25,FALSE)</f>
        <v>#REF!</v>
      </c>
      <c r="CT19" s="432">
        <f t="shared" si="46"/>
        <v>0</v>
      </c>
      <c r="CU19" s="432">
        <v>3.3275462962962965E-2</v>
      </c>
      <c r="CV19" s="432">
        <f t="shared" si="47"/>
        <v>3.3275462962962965E-2</v>
      </c>
      <c r="CW19" s="163" t="e">
        <f>VLOOKUP($B:$B,'HT DIC'!$A:$AE,26,FALSE)</f>
        <v>#REF!</v>
      </c>
      <c r="CX19" s="432">
        <f t="shared" si="48"/>
        <v>0</v>
      </c>
      <c r="CY19" s="434">
        <v>3.125E-2</v>
      </c>
      <c r="CZ19" s="432">
        <f t="shared" si="49"/>
        <v>3.125E-2</v>
      </c>
      <c r="DA19" s="163">
        <f>VLOOKUP($B:$B,'HT DIC'!$A:$AE,27,FALSE)</f>
        <v>8</v>
      </c>
      <c r="DB19" s="432">
        <f t="shared" si="66"/>
        <v>2.4305555555555556E-2</v>
      </c>
      <c r="DC19" s="434">
        <v>3.4722222222222224E-2</v>
      </c>
      <c r="DD19" s="432">
        <f t="shared" si="51"/>
        <v>1.0416666666666668E-2</v>
      </c>
      <c r="DE19" s="163">
        <f>VLOOKUP($B:$B,'HT DIC'!$A:$AE,28,FALSE)</f>
        <v>10</v>
      </c>
      <c r="DF19" s="432">
        <f t="shared" si="52"/>
        <v>3.125E-2</v>
      </c>
      <c r="DG19" s="434">
        <v>3.4722222222222224E-2</v>
      </c>
      <c r="DH19" s="432">
        <f t="shared" si="53"/>
        <v>3.4722222222222238E-3</v>
      </c>
      <c r="DI19" s="163">
        <f>VLOOKUP($B:$B,'HT DIC'!$A:$AE,29,FALSE)</f>
        <v>16</v>
      </c>
      <c r="DJ19" s="432">
        <f t="shared" si="67"/>
        <v>0</v>
      </c>
      <c r="DK19" s="434">
        <v>2.8472222222222222E-2</v>
      </c>
      <c r="DL19" s="432">
        <f t="shared" si="55"/>
        <v>2.8472222222222222E-2</v>
      </c>
      <c r="DM19" s="163">
        <f>VLOOKUP($B:$B,'HT DIC'!$A:$AE,30,FALSE)</f>
        <v>7</v>
      </c>
      <c r="DN19" s="432">
        <f t="shared" si="68"/>
        <v>2.0833333333333332E-2</v>
      </c>
      <c r="DO19" s="434">
        <v>3.6747685185185182E-2</v>
      </c>
      <c r="DP19" s="432">
        <f t="shared" si="57"/>
        <v>1.591435185185185E-2</v>
      </c>
      <c r="DQ19" s="163">
        <f>VLOOKUP($B:$B,'HT DIC'!$A:$AE,31,FALSE)</f>
        <v>6</v>
      </c>
      <c r="DR19" s="432">
        <f t="shared" si="58"/>
        <v>1.7361111111111112E-2</v>
      </c>
      <c r="DS19" s="434">
        <v>4.0266203703703707E-2</v>
      </c>
      <c r="DT19" s="432">
        <f t="shared" si="59"/>
        <v>2.2905092592592595E-2</v>
      </c>
      <c r="DU19" s="163" t="e">
        <f>VLOOKUP($B:$B,'HT DIC'!$A:$AE,32,FALSE)</f>
        <v>#REF!</v>
      </c>
      <c r="DV19" s="432">
        <f t="shared" si="60"/>
        <v>0</v>
      </c>
      <c r="DW19" s="434"/>
      <c r="DX19" s="432">
        <f t="shared" si="61"/>
        <v>0</v>
      </c>
      <c r="DY19" s="432">
        <f t="shared" si="69"/>
        <v>0.76850694444444456</v>
      </c>
    </row>
    <row r="20" spans="1:129">
      <c r="A20" s="166" t="s">
        <v>92</v>
      </c>
      <c r="B20" s="166" t="s">
        <v>102</v>
      </c>
      <c r="C20" s="166">
        <v>1721161105</v>
      </c>
      <c r="D20" s="431">
        <v>34024</v>
      </c>
      <c r="E20" s="163" t="e">
        <f>VLOOKUP($B:$B,#REF!,2,FALSE)</f>
        <v>#REF!</v>
      </c>
      <c r="F20" s="432">
        <f t="shared" si="0"/>
        <v>0</v>
      </c>
      <c r="G20" s="434">
        <v>3.125E-2</v>
      </c>
      <c r="H20" s="432">
        <f t="shared" si="1"/>
        <v>3.125E-2</v>
      </c>
      <c r="I20" s="163" t="str">
        <f>VLOOKUP($B:$B,'HT DIC'!$A:$AE,3,FALSE)</f>
        <v>FI</v>
      </c>
      <c r="J20" s="432">
        <f t="shared" si="2"/>
        <v>0</v>
      </c>
      <c r="K20" s="434">
        <v>3.4722222222222224E-2</v>
      </c>
      <c r="L20" s="432">
        <f t="shared" si="3"/>
        <v>3.4722222222222224E-2</v>
      </c>
      <c r="M20" s="163" t="e">
        <f>VLOOKUP($B:$B,'HT DIC'!$A:$AE,4,FALSE)</f>
        <v>#REF!</v>
      </c>
      <c r="N20" s="432">
        <f t="shared" si="4"/>
        <v>0</v>
      </c>
      <c r="O20" s="432">
        <v>3.1759259259259258E-2</v>
      </c>
      <c r="P20" s="432">
        <f t="shared" si="70"/>
        <v>3.1759259259259258E-2</v>
      </c>
      <c r="Q20" s="163" t="e">
        <f>VLOOKUP($B:$B,'HT DIC'!$A:$AE,5,FALSE)</f>
        <v>#REF!</v>
      </c>
      <c r="R20" s="432">
        <f t="shared" si="6"/>
        <v>0</v>
      </c>
      <c r="S20" s="432">
        <v>3.6550925925925924E-2</v>
      </c>
      <c r="T20" s="432">
        <f t="shared" si="7"/>
        <v>3.6550925925925924E-2</v>
      </c>
      <c r="U20" s="163" t="e">
        <f>VLOOKUP($B:$B,'HT DIC'!$A:$AE,6,FALSE)</f>
        <v>#REF!</v>
      </c>
      <c r="V20" s="432">
        <f t="shared" si="8"/>
        <v>0</v>
      </c>
      <c r="W20" s="434">
        <v>4.7719907407407405E-2</v>
      </c>
      <c r="X20" s="432">
        <f t="shared" si="71"/>
        <v>4.7719907407407405E-2</v>
      </c>
      <c r="Y20" s="163" t="e">
        <f>VLOOKUP($B:$B,'HT DIC'!$A:$AE,7,FALSE)</f>
        <v>#REF!</v>
      </c>
      <c r="Z20" s="432">
        <f t="shared" si="10"/>
        <v>0</v>
      </c>
      <c r="AA20" s="434">
        <v>3.5416666666666666E-2</v>
      </c>
      <c r="AB20" s="432">
        <f t="shared" si="11"/>
        <v>3.5416666666666666E-2</v>
      </c>
      <c r="AC20" s="163" t="e">
        <f>VLOOKUP($B:$B,'HT DIC'!$A:$AE,8,FALSE)</f>
        <v>#REF!</v>
      </c>
      <c r="AD20" s="432">
        <f t="shared" si="12"/>
        <v>0</v>
      </c>
      <c r="AE20" s="434"/>
      <c r="AF20" s="432">
        <f t="shared" si="13"/>
        <v>0</v>
      </c>
      <c r="AG20" s="163" t="e">
        <f>VLOOKUP($B:$B,'HT DIC'!$A:$AE,9,FALSE)</f>
        <v>#REF!</v>
      </c>
      <c r="AH20" s="432">
        <f t="shared" si="14"/>
        <v>0</v>
      </c>
      <c r="AI20" s="434">
        <v>1.9490740740740739E-2</v>
      </c>
      <c r="AJ20" s="432">
        <f t="shared" si="15"/>
        <v>1.9490740740740739E-2</v>
      </c>
      <c r="AK20" s="163" t="e">
        <f>VLOOKUP($B:$B,'HT DIC'!$A:$AE,10,FALSE)</f>
        <v>#REF!</v>
      </c>
      <c r="AL20" s="432">
        <f t="shared" si="16"/>
        <v>0</v>
      </c>
      <c r="AM20" s="434">
        <v>2.7569444444444445E-2</v>
      </c>
      <c r="AN20" s="432">
        <f t="shared" si="17"/>
        <v>2.7569444444444445E-2</v>
      </c>
      <c r="AO20" s="163" t="e">
        <f>VLOOKUP($B:$B,'HT DIC'!$A:$AE,11,FALSE)</f>
        <v>#REF!</v>
      </c>
      <c r="AP20" s="432">
        <f t="shared" si="18"/>
        <v>0</v>
      </c>
      <c r="AQ20" s="432">
        <v>3.125E-2</v>
      </c>
      <c r="AR20" s="432">
        <f t="shared" si="19"/>
        <v>3.125E-2</v>
      </c>
      <c r="AS20" s="163" t="e">
        <f>VLOOKUP($B:$B,'HT DIC'!$A:$AE,12,FALSE)</f>
        <v>#REF!</v>
      </c>
      <c r="AT20" s="432">
        <f t="shared" si="20"/>
        <v>0</v>
      </c>
      <c r="AU20" s="434"/>
      <c r="AV20" s="432">
        <f t="shared" si="21"/>
        <v>0</v>
      </c>
      <c r="AW20" s="163" t="e">
        <f>VLOOKUP($B:$B,'HT DIC'!$A:$AE,13,FALSE)</f>
        <v>#REF!</v>
      </c>
      <c r="AX20" s="432">
        <f t="shared" si="22"/>
        <v>0</v>
      </c>
      <c r="AY20" s="432">
        <f>IFERROR(VLOOKUP(AX20,$B$229:$E$245,2,FALSE),0)</f>
        <v>0</v>
      </c>
      <c r="AZ20" s="432">
        <f t="shared" si="23"/>
        <v>0</v>
      </c>
      <c r="BA20" s="163" t="e">
        <f>VLOOKUP($B:$B,'HT DIC'!$A:$AE,14,FALSE)</f>
        <v>#REF!</v>
      </c>
      <c r="BB20" s="432">
        <f t="shared" si="24"/>
        <v>0</v>
      </c>
      <c r="BC20" s="432">
        <f>IFERROR(VLOOKUP(BB20,$B$229:$E$245,2,FALSE),0)</f>
        <v>0</v>
      </c>
      <c r="BD20" s="432">
        <f t="shared" si="25"/>
        <v>0</v>
      </c>
      <c r="BE20" s="163" t="e">
        <f>VLOOKUP($B:$B,'HT DIC'!$A:$AE,15,FALSE)</f>
        <v>#REF!</v>
      </c>
      <c r="BF20" s="432">
        <f t="shared" si="26"/>
        <v>0</v>
      </c>
      <c r="BG20" s="434"/>
      <c r="BH20" s="432">
        <f t="shared" si="27"/>
        <v>0</v>
      </c>
      <c r="BI20" s="163" t="e">
        <f>VLOOKUP($B:$B,'HT DIC'!$A:$AE,16,FALSE)</f>
        <v>#REF!</v>
      </c>
      <c r="BJ20" s="432">
        <f t="shared" si="63"/>
        <v>0</v>
      </c>
      <c r="BK20" s="434">
        <v>3.4143518518518517E-2</v>
      </c>
      <c r="BL20" s="432">
        <f t="shared" si="29"/>
        <v>3.4143518518518517E-2</v>
      </c>
      <c r="BM20" s="163" t="e">
        <f>VLOOKUP($B:$B,'HT DIC'!$A:$AE,17,FALSE)</f>
        <v>#REF!</v>
      </c>
      <c r="BN20" s="432">
        <f t="shared" si="30"/>
        <v>0</v>
      </c>
      <c r="BO20" s="434">
        <v>3.1655092592592596E-2</v>
      </c>
      <c r="BP20" s="432">
        <f t="shared" si="31"/>
        <v>3.1655092592592596E-2</v>
      </c>
      <c r="BQ20" s="163" t="e">
        <f>VLOOKUP($B:$B,'HT DIC'!$A:$AE,18,FALSE)</f>
        <v>#REF!</v>
      </c>
      <c r="BR20" s="432">
        <f t="shared" si="64"/>
        <v>0</v>
      </c>
      <c r="BS20" s="434">
        <v>4.8854166666666664E-2</v>
      </c>
      <c r="BT20" s="432">
        <f t="shared" si="33"/>
        <v>4.8854166666666664E-2</v>
      </c>
      <c r="BU20" s="163" t="e">
        <f>VLOOKUP($B:$B,'HT DIC'!$A:$AE,19,FALSE)</f>
        <v>#REF!</v>
      </c>
      <c r="BV20" s="432">
        <f t="shared" si="34"/>
        <v>0</v>
      </c>
      <c r="BW20" s="434">
        <v>2.3842592592592592E-2</v>
      </c>
      <c r="BX20" s="432">
        <f t="shared" si="35"/>
        <v>2.3842592592592592E-2</v>
      </c>
      <c r="BY20" s="163" t="e">
        <f>VLOOKUP($B:$B,'HT DIC'!$A:$AE,20,FALSE)</f>
        <v>#REF!</v>
      </c>
      <c r="BZ20" s="432">
        <f t="shared" si="65"/>
        <v>0</v>
      </c>
      <c r="CA20" s="434">
        <v>4.1666666666666664E-2</v>
      </c>
      <c r="CB20" s="432">
        <f t="shared" si="37"/>
        <v>4.1666666666666664E-2</v>
      </c>
      <c r="CC20" s="163" t="e">
        <f>VLOOKUP($B:$B,'HT DIC'!$A:$AE,21,FALSE)</f>
        <v>#REF!</v>
      </c>
      <c r="CD20" s="432">
        <f t="shared" si="38"/>
        <v>0</v>
      </c>
      <c r="CE20" s="432">
        <v>5.3159722222222219E-2</v>
      </c>
      <c r="CF20" s="432">
        <f t="shared" si="39"/>
        <v>5.3159722222222219E-2</v>
      </c>
      <c r="CG20" s="163" t="e">
        <f>VLOOKUP($B:$B,'HT DIC'!$A:$AE,22,FALSE)</f>
        <v>#REF!</v>
      </c>
      <c r="CH20" s="432">
        <f t="shared" si="40"/>
        <v>0</v>
      </c>
      <c r="CI20" s="434">
        <v>2.6620370370370371E-2</v>
      </c>
      <c r="CJ20" s="432">
        <f t="shared" si="72"/>
        <v>2.6620370370370371E-2</v>
      </c>
      <c r="CK20" s="163">
        <f>VLOOKUP($B:$B,'HT DIC'!$A:$AE,23,FALSE)</f>
        <v>10</v>
      </c>
      <c r="CL20" s="432">
        <f t="shared" si="42"/>
        <v>3.125E-2</v>
      </c>
      <c r="CM20" s="432">
        <v>0</v>
      </c>
      <c r="CN20" s="432">
        <f t="shared" si="43"/>
        <v>0</v>
      </c>
      <c r="CO20" s="163" t="e">
        <f>VLOOKUP($B:$B,'HT DIC'!$A:$AE,24,FALSE)</f>
        <v>#REF!</v>
      </c>
      <c r="CP20" s="432">
        <f t="shared" si="44"/>
        <v>0</v>
      </c>
      <c r="CQ20" s="432">
        <f>IFERROR(VLOOKUP(CP20,$B$229:$E$245,2,FALSE),0)</f>
        <v>0</v>
      </c>
      <c r="CR20" s="432">
        <f t="shared" si="45"/>
        <v>0</v>
      </c>
      <c r="CS20" s="163" t="e">
        <f>VLOOKUP($B:$B,'HT DIC'!$A:$AE,25,FALSE)</f>
        <v>#REF!</v>
      </c>
      <c r="CT20" s="432">
        <f t="shared" si="46"/>
        <v>0</v>
      </c>
      <c r="CU20" s="432">
        <v>3.8506944444444448E-2</v>
      </c>
      <c r="CV20" s="432">
        <f t="shared" si="47"/>
        <v>3.8506944444444448E-2</v>
      </c>
      <c r="CW20" s="163" t="e">
        <f>VLOOKUP($B:$B,'HT DIC'!$A:$AE,26,FALSE)</f>
        <v>#REF!</v>
      </c>
      <c r="CX20" s="432">
        <f t="shared" si="48"/>
        <v>0</v>
      </c>
      <c r="CY20" s="434">
        <v>2.1030092592592593E-2</v>
      </c>
      <c r="CZ20" s="432">
        <f t="shared" si="49"/>
        <v>2.1030092592592593E-2</v>
      </c>
      <c r="DA20" s="163">
        <f>VLOOKUP($B:$B,'HT DIC'!$A:$AE,27,FALSE)</f>
        <v>12</v>
      </c>
      <c r="DB20" s="432">
        <f t="shared" si="66"/>
        <v>3.8194444444444448E-2</v>
      </c>
      <c r="DC20" s="434">
        <v>3.4722222222222224E-2</v>
      </c>
      <c r="DD20" s="432">
        <f t="shared" si="51"/>
        <v>0</v>
      </c>
      <c r="DE20" s="163">
        <f>VLOOKUP($B:$B,'HT DIC'!$A:$AE,28,FALSE)</f>
        <v>13</v>
      </c>
      <c r="DF20" s="432">
        <f t="shared" si="52"/>
        <v>4.1666666666666664E-2</v>
      </c>
      <c r="DG20" s="432">
        <f>IFERROR(VLOOKUP(DF20,$B$229:$E$245,2,FALSE),0)</f>
        <v>0</v>
      </c>
      <c r="DH20" s="432">
        <f t="shared" si="53"/>
        <v>0</v>
      </c>
      <c r="DI20" s="163">
        <f>VLOOKUP($B:$B,'HT DIC'!$A:$AE,29,FALSE)</f>
        <v>0</v>
      </c>
      <c r="DJ20" s="432">
        <f t="shared" si="67"/>
        <v>0</v>
      </c>
      <c r="DK20" s="434">
        <v>4.5138888888888888E-2</v>
      </c>
      <c r="DL20" s="432">
        <f t="shared" si="55"/>
        <v>4.5138888888888888E-2</v>
      </c>
      <c r="DM20" s="163">
        <f>VLOOKUP($B:$B,'HT DIC'!$A:$AE,30,FALSE)</f>
        <v>11</v>
      </c>
      <c r="DN20" s="432">
        <f t="shared" si="68"/>
        <v>3.4722222222222224E-2</v>
      </c>
      <c r="DO20" s="434">
        <v>4.2222222222222223E-2</v>
      </c>
      <c r="DP20" s="432">
        <f t="shared" si="57"/>
        <v>7.4999999999999997E-3</v>
      </c>
      <c r="DQ20" s="163">
        <f>VLOOKUP($B:$B,'HT DIC'!$A:$AE,31,FALSE)</f>
        <v>11</v>
      </c>
      <c r="DR20" s="432">
        <f t="shared" si="58"/>
        <v>3.4722222222222224E-2</v>
      </c>
      <c r="DS20" s="432">
        <f>IFERROR(VLOOKUP(DR20,$B$229:$E$245,2,FALSE),0)</f>
        <v>0</v>
      </c>
      <c r="DT20" s="432">
        <f t="shared" si="59"/>
        <v>0</v>
      </c>
      <c r="DU20" s="163" t="e">
        <f>VLOOKUP($B:$B,'HT DIC'!$A:$AE,32,FALSE)</f>
        <v>#REF!</v>
      </c>
      <c r="DV20" s="432">
        <f t="shared" si="60"/>
        <v>0</v>
      </c>
      <c r="DW20" s="434"/>
      <c r="DX20" s="432">
        <f t="shared" si="61"/>
        <v>0</v>
      </c>
      <c r="DY20" s="432">
        <f t="shared" si="69"/>
        <v>0.66784722222222215</v>
      </c>
    </row>
    <row r="21" spans="1:129">
      <c r="A21" s="166" t="s">
        <v>94</v>
      </c>
      <c r="B21" s="166" t="s">
        <v>104</v>
      </c>
      <c r="C21" s="166">
        <v>1725022402</v>
      </c>
      <c r="D21" s="431">
        <v>35566</v>
      </c>
      <c r="E21" s="163" t="e">
        <f>VLOOKUP($B:$B,#REF!,2,FALSE)</f>
        <v>#REF!</v>
      </c>
      <c r="F21" s="432">
        <f t="shared" si="0"/>
        <v>0</v>
      </c>
      <c r="G21" s="434">
        <v>2.3506944444444445E-2</v>
      </c>
      <c r="H21" s="432">
        <f t="shared" si="1"/>
        <v>2.3506944444444445E-2</v>
      </c>
      <c r="I21" s="163" t="e">
        <f>VLOOKUP($B:$B,'HT DIC'!$A:$AE,3,FALSE)</f>
        <v>#REF!</v>
      </c>
      <c r="J21" s="432">
        <f t="shared" si="2"/>
        <v>0</v>
      </c>
      <c r="K21" s="434">
        <v>1.7835648148148149E-2</v>
      </c>
      <c r="L21" s="432">
        <f t="shared" si="3"/>
        <v>1.7835648148148149E-2</v>
      </c>
      <c r="M21" s="163" t="e">
        <f>VLOOKUP($B:$B,'HT DIC'!$A:$AE,4,FALSE)</f>
        <v>#REF!</v>
      </c>
      <c r="N21" s="432">
        <f t="shared" si="4"/>
        <v>0</v>
      </c>
      <c r="O21" s="432">
        <v>2.7569444444444445E-2</v>
      </c>
      <c r="P21" s="432">
        <f t="shared" si="70"/>
        <v>2.7569444444444445E-2</v>
      </c>
      <c r="Q21" s="163" t="e">
        <f>VLOOKUP($B:$B,'HT DIC'!$A:$AE,5,FALSE)</f>
        <v>#REF!</v>
      </c>
      <c r="R21" s="432">
        <f t="shared" si="6"/>
        <v>0</v>
      </c>
      <c r="S21" s="432">
        <v>5.5937500000000001E-2</v>
      </c>
      <c r="T21" s="432">
        <f t="shared" si="7"/>
        <v>5.5937500000000001E-2</v>
      </c>
      <c r="U21" s="163" t="e">
        <f>VLOOKUP($B:$B,'HT DIC'!$A:$AE,6,FALSE)</f>
        <v>#REF!</v>
      </c>
      <c r="V21" s="432">
        <f t="shared" si="8"/>
        <v>0</v>
      </c>
      <c r="W21" s="434">
        <v>1.832175925925926E-2</v>
      </c>
      <c r="X21" s="432">
        <f t="shared" si="71"/>
        <v>1.832175925925926E-2</v>
      </c>
      <c r="Y21" s="163" t="e">
        <f>VLOOKUP($B:$B,'HT DIC'!$A:$AE,7,FALSE)</f>
        <v>#REF!</v>
      </c>
      <c r="Z21" s="432">
        <f t="shared" si="10"/>
        <v>0</v>
      </c>
      <c r="AA21" s="434"/>
      <c r="AB21" s="432">
        <f t="shared" si="11"/>
        <v>0</v>
      </c>
      <c r="AC21" s="163" t="e">
        <f>VLOOKUP($B:$B,'HT DIC'!$A:$AE,8,FALSE)</f>
        <v>#REF!</v>
      </c>
      <c r="AD21" s="432">
        <f t="shared" si="12"/>
        <v>0</v>
      </c>
      <c r="AE21" s="434">
        <v>3.412037037037037E-2</v>
      </c>
      <c r="AF21" s="432">
        <f t="shared" si="13"/>
        <v>3.412037037037037E-2</v>
      </c>
      <c r="AG21" s="163" t="e">
        <f>VLOOKUP($B:$B,'HT DIC'!$A:$AE,9,FALSE)</f>
        <v>#REF!</v>
      </c>
      <c r="AH21" s="432">
        <f t="shared" si="14"/>
        <v>0</v>
      </c>
      <c r="AI21" s="434">
        <v>3.9733796296296295E-2</v>
      </c>
      <c r="AJ21" s="432">
        <f t="shared" si="15"/>
        <v>3.9733796296296295E-2</v>
      </c>
      <c r="AK21" s="163" t="e">
        <f>VLOOKUP($B:$B,'HT DIC'!$A:$AE,10,FALSE)</f>
        <v>#REF!</v>
      </c>
      <c r="AL21" s="432">
        <f t="shared" si="16"/>
        <v>0</v>
      </c>
      <c r="AM21" s="434">
        <v>3.4513888888888886E-2</v>
      </c>
      <c r="AN21" s="432">
        <f t="shared" si="17"/>
        <v>3.4513888888888886E-2</v>
      </c>
      <c r="AO21" s="163" t="e">
        <f>VLOOKUP($B:$B,'HT DIC'!$A:$AE,11,FALSE)</f>
        <v>#REF!</v>
      </c>
      <c r="AP21" s="432">
        <f t="shared" si="18"/>
        <v>0</v>
      </c>
      <c r="AQ21" s="432">
        <v>4.1863425925925929E-2</v>
      </c>
      <c r="AR21" s="432">
        <f t="shared" si="19"/>
        <v>4.1863425925925929E-2</v>
      </c>
      <c r="AS21" s="163" t="e">
        <f>VLOOKUP($B:$B,'HT DIC'!$A:$AE,12,FALSE)</f>
        <v>#REF!</v>
      </c>
      <c r="AT21" s="432">
        <f t="shared" si="20"/>
        <v>0</v>
      </c>
      <c r="AU21" s="434">
        <v>3.8194444444444448E-2</v>
      </c>
      <c r="AV21" s="432">
        <f t="shared" si="21"/>
        <v>3.8194444444444448E-2</v>
      </c>
      <c r="AW21" s="163" t="e">
        <f>VLOOKUP($B:$B,'HT DIC'!$A:$AE,13,FALSE)</f>
        <v>#REF!</v>
      </c>
      <c r="AX21" s="432">
        <f t="shared" si="22"/>
        <v>0</v>
      </c>
      <c r="AY21" s="434">
        <v>4.0914351851851855E-2</v>
      </c>
      <c r="AZ21" s="432">
        <f t="shared" si="23"/>
        <v>4.0914351851851855E-2</v>
      </c>
      <c r="BA21" s="163" t="e">
        <f>VLOOKUP($B:$B,'HT DIC'!$A:$AE,14,FALSE)</f>
        <v>#REF!</v>
      </c>
      <c r="BB21" s="432">
        <f t="shared" si="24"/>
        <v>0</v>
      </c>
      <c r="BC21" s="434">
        <v>4.2407407407407408E-2</v>
      </c>
      <c r="BD21" s="432">
        <f t="shared" si="25"/>
        <v>4.2407407407407408E-2</v>
      </c>
      <c r="BE21" s="163" t="e">
        <f>VLOOKUP($B:$B,'HT DIC'!$A:$AE,15,FALSE)</f>
        <v>#REF!</v>
      </c>
      <c r="BF21" s="432">
        <f t="shared" si="26"/>
        <v>0</v>
      </c>
      <c r="BG21" s="434"/>
      <c r="BH21" s="432">
        <f t="shared" si="27"/>
        <v>0</v>
      </c>
      <c r="BI21" s="163" t="e">
        <f>VLOOKUP($B:$B,'HT DIC'!$A:$AE,16,FALSE)</f>
        <v>#REF!</v>
      </c>
      <c r="BJ21" s="432">
        <f t="shared" si="63"/>
        <v>0</v>
      </c>
      <c r="BK21" s="434">
        <v>3.0405092592592591E-2</v>
      </c>
      <c r="BL21" s="432">
        <f t="shared" si="29"/>
        <v>3.0405092592592591E-2</v>
      </c>
      <c r="BM21" s="163" t="e">
        <f>VLOOKUP($B:$B,'HT DIC'!$A:$AE,17,FALSE)</f>
        <v>#REF!</v>
      </c>
      <c r="BN21" s="432">
        <f t="shared" si="30"/>
        <v>0</v>
      </c>
      <c r="BO21" s="434">
        <v>2.2835648148148147E-2</v>
      </c>
      <c r="BP21" s="432">
        <f t="shared" si="31"/>
        <v>2.2835648148148147E-2</v>
      </c>
      <c r="BQ21" s="163" t="e">
        <f>VLOOKUP($B:$B,'HT DIC'!$A:$AE,18,FALSE)</f>
        <v>#REF!</v>
      </c>
      <c r="BR21" s="432">
        <f t="shared" si="64"/>
        <v>0</v>
      </c>
      <c r="BS21" s="434">
        <v>2.1747685185185186E-2</v>
      </c>
      <c r="BT21" s="432">
        <f t="shared" si="33"/>
        <v>2.1747685185185186E-2</v>
      </c>
      <c r="BU21" s="163" t="e">
        <f>VLOOKUP($B:$B,'HT DIC'!$A:$AE,19,FALSE)</f>
        <v>#REF!</v>
      </c>
      <c r="BV21" s="432">
        <f t="shared" si="34"/>
        <v>0</v>
      </c>
      <c r="BW21" s="434">
        <v>3.3310185185185186E-2</v>
      </c>
      <c r="BX21" s="432">
        <f t="shared" si="35"/>
        <v>3.3310185185185186E-2</v>
      </c>
      <c r="BY21" s="163" t="e">
        <f>VLOOKUP($B:$B,'HT DIC'!$A:$AE,20,FALSE)</f>
        <v>#REF!</v>
      </c>
      <c r="BZ21" s="432">
        <f t="shared" si="65"/>
        <v>0</v>
      </c>
      <c r="CA21" s="434">
        <v>4.5995370370370367E-2</v>
      </c>
      <c r="CB21" s="432">
        <f t="shared" si="37"/>
        <v>4.5995370370370367E-2</v>
      </c>
      <c r="CC21" s="163" t="e">
        <f>VLOOKUP($B:$B,'HT DIC'!$A:$AE,21,FALSE)</f>
        <v>#REF!</v>
      </c>
      <c r="CD21" s="432">
        <f t="shared" si="38"/>
        <v>0</v>
      </c>
      <c r="CE21" s="432"/>
      <c r="CF21" s="432">
        <f t="shared" si="39"/>
        <v>0</v>
      </c>
      <c r="CG21" s="163" t="e">
        <f>VLOOKUP($B:$B,'HT DIC'!$A:$AE,22,FALSE)</f>
        <v>#REF!</v>
      </c>
      <c r="CH21" s="432">
        <f t="shared" si="40"/>
        <v>0</v>
      </c>
      <c r="CI21" s="434">
        <v>2.5347222222222222E-2</v>
      </c>
      <c r="CJ21" s="432">
        <f t="shared" si="72"/>
        <v>2.5347222222222222E-2</v>
      </c>
      <c r="CK21" s="163">
        <f>VLOOKUP($B:$B,'HT DIC'!$A:$AE,23,FALSE)</f>
        <v>11</v>
      </c>
      <c r="CL21" s="432">
        <f t="shared" si="42"/>
        <v>3.4722222222222224E-2</v>
      </c>
      <c r="CM21" s="432">
        <f>IFERROR(VLOOKUP(CL21,$B$229:$E$245,2,FALSE),0)</f>
        <v>0</v>
      </c>
      <c r="CN21" s="432">
        <f t="shared" si="43"/>
        <v>0</v>
      </c>
      <c r="CO21" s="163" t="e">
        <f>VLOOKUP($B:$B,'HT DIC'!$A:$AE,24,FALSE)</f>
        <v>#REF!</v>
      </c>
      <c r="CP21" s="432">
        <f t="shared" si="44"/>
        <v>0</v>
      </c>
      <c r="CQ21" s="434">
        <v>4.6469907407407404E-2</v>
      </c>
      <c r="CR21" s="432">
        <f t="shared" si="45"/>
        <v>4.6469907407407404E-2</v>
      </c>
      <c r="CS21" s="163" t="e">
        <f>VLOOKUP($B:$B,'HT DIC'!$A:$AE,25,FALSE)</f>
        <v>#REF!</v>
      </c>
      <c r="CT21" s="432">
        <f t="shared" si="46"/>
        <v>0</v>
      </c>
      <c r="CU21" s="432">
        <v>3.4409722222222223E-2</v>
      </c>
      <c r="CV21" s="432">
        <f t="shared" si="47"/>
        <v>3.4409722222222223E-2</v>
      </c>
      <c r="CW21" s="163" t="e">
        <f>VLOOKUP($B:$B,'HT DIC'!$A:$AE,26,FALSE)</f>
        <v>#REF!</v>
      </c>
      <c r="CX21" s="432">
        <f t="shared" si="48"/>
        <v>0</v>
      </c>
      <c r="CY21" s="434">
        <v>4.2928240740740739E-2</v>
      </c>
      <c r="CZ21" s="432">
        <f t="shared" si="49"/>
        <v>4.2928240740740739E-2</v>
      </c>
      <c r="DA21" s="163">
        <f>VLOOKUP($B:$B,'HT DIC'!$A:$AE,27,FALSE)</f>
        <v>11</v>
      </c>
      <c r="DB21" s="432">
        <f t="shared" si="66"/>
        <v>3.4722222222222224E-2</v>
      </c>
      <c r="DC21" s="434">
        <v>3.7337962962962962E-2</v>
      </c>
      <c r="DD21" s="432">
        <f t="shared" si="51"/>
        <v>2.6157407407407379E-3</v>
      </c>
      <c r="DE21" s="163">
        <f>VLOOKUP($B:$B,'HT DIC'!$A:$AE,28,FALSE)</f>
        <v>0</v>
      </c>
      <c r="DF21" s="432">
        <f t="shared" si="52"/>
        <v>0</v>
      </c>
      <c r="DG21" s="434">
        <v>3.7430555555555557E-2</v>
      </c>
      <c r="DH21" s="432">
        <f t="shared" si="53"/>
        <v>3.7430555555555557E-2</v>
      </c>
      <c r="DI21" s="163">
        <f>VLOOKUP($B:$B,'HT DIC'!$A:$AE,29,FALSE)</f>
        <v>11</v>
      </c>
      <c r="DJ21" s="432">
        <f t="shared" si="67"/>
        <v>3.4722222222222224E-2</v>
      </c>
      <c r="DK21" s="434"/>
      <c r="DL21" s="432">
        <f t="shared" si="55"/>
        <v>0</v>
      </c>
      <c r="DM21" s="163">
        <f>VLOOKUP($B:$B,'HT DIC'!$A:$AE,30,FALSE)</f>
        <v>11</v>
      </c>
      <c r="DN21" s="432">
        <f t="shared" si="68"/>
        <v>3.4722222222222224E-2</v>
      </c>
      <c r="DO21" s="434">
        <v>3.8912037037037037E-2</v>
      </c>
      <c r="DP21" s="432">
        <f t="shared" si="57"/>
        <v>4.1898148148148129E-3</v>
      </c>
      <c r="DQ21" s="163">
        <f>VLOOKUP($B:$B,'HT DIC'!$A:$AE,31,FALSE)</f>
        <v>12</v>
      </c>
      <c r="DR21" s="432">
        <f t="shared" si="58"/>
        <v>3.8194444444444448E-2</v>
      </c>
      <c r="DS21" s="434">
        <v>3.2280092592592589E-2</v>
      </c>
      <c r="DT21" s="432">
        <f t="shared" si="59"/>
        <v>0</v>
      </c>
      <c r="DU21" s="163" t="e">
        <f>VLOOKUP($B:$B,'HT DIC'!$A:$AE,32,FALSE)</f>
        <v>#REF!</v>
      </c>
      <c r="DV21" s="432">
        <f t="shared" si="60"/>
        <v>0</v>
      </c>
      <c r="DW21" s="434"/>
      <c r="DX21" s="432">
        <f t="shared" si="61"/>
        <v>0</v>
      </c>
      <c r="DY21" s="432">
        <f t="shared" si="69"/>
        <v>0.76260416666666664</v>
      </c>
    </row>
    <row r="22" spans="1:129">
      <c r="A22" s="166" t="s">
        <v>97</v>
      </c>
      <c r="B22" s="166" t="s">
        <v>333</v>
      </c>
      <c r="C22" s="166">
        <v>2300476690</v>
      </c>
      <c r="D22" s="431">
        <v>36832</v>
      </c>
      <c r="E22" s="163" t="e">
        <f>VLOOKUP($B:$B,#REF!,2,FALSE)</f>
        <v>#REF!</v>
      </c>
      <c r="F22" s="432">
        <f t="shared" si="0"/>
        <v>0</v>
      </c>
      <c r="G22" s="434">
        <v>4.3958333333333335E-2</v>
      </c>
      <c r="H22" s="432">
        <f t="shared" si="1"/>
        <v>4.3958333333333335E-2</v>
      </c>
      <c r="I22" s="163" t="str">
        <f>VLOOKUP($B:$B,'HT DIC'!$A:$AE,3,FALSE)</f>
        <v>LM</v>
      </c>
      <c r="J22" s="432">
        <f t="shared" si="2"/>
        <v>0</v>
      </c>
      <c r="K22" s="434">
        <v>3.8865740740740742E-2</v>
      </c>
      <c r="L22" s="432">
        <f t="shared" si="3"/>
        <v>3.8865740740740742E-2</v>
      </c>
      <c r="M22" s="163" t="str">
        <f>VLOOKUP($B:$B,'HT DIC'!$A:$AE,4,FALSE)</f>
        <v>LM</v>
      </c>
      <c r="N22" s="432">
        <f t="shared" si="4"/>
        <v>0</v>
      </c>
      <c r="O22" s="432">
        <v>3.4722222222222224E-2</v>
      </c>
      <c r="P22" s="432">
        <f t="shared" si="70"/>
        <v>3.4722222222222224E-2</v>
      </c>
      <c r="Q22" s="163" t="str">
        <f>VLOOKUP($B:$B,'HT DIC'!$A:$AE,5,FALSE)</f>
        <v>LM</v>
      </c>
      <c r="R22" s="432">
        <f t="shared" si="6"/>
        <v>0</v>
      </c>
      <c r="S22" s="432">
        <v>2.6701388888888889E-2</v>
      </c>
      <c r="T22" s="432">
        <f t="shared" si="7"/>
        <v>2.6701388888888889E-2</v>
      </c>
      <c r="U22" s="163" t="str">
        <f>VLOOKUP($B:$B,'HT DIC'!$A:$AE,6,FALSE)</f>
        <v>LM</v>
      </c>
      <c r="V22" s="432">
        <f t="shared" si="8"/>
        <v>0</v>
      </c>
      <c r="W22" s="434"/>
      <c r="X22" s="432">
        <f t="shared" si="71"/>
        <v>0</v>
      </c>
      <c r="Y22" s="163" t="str">
        <f>VLOOKUP($B:$B,'HT DIC'!$A:$AE,7,FALSE)</f>
        <v>LM</v>
      </c>
      <c r="Z22" s="432">
        <f t="shared" si="10"/>
        <v>0</v>
      </c>
      <c r="AA22" s="434">
        <v>3.9212962962962963E-2</v>
      </c>
      <c r="AB22" s="432">
        <f t="shared" si="11"/>
        <v>3.9212962962962963E-2</v>
      </c>
      <c r="AC22" s="163" t="str">
        <f>VLOOKUP($B:$B,'HT DIC'!$A:$AE,8,FALSE)</f>
        <v>LM</v>
      </c>
      <c r="AD22" s="432">
        <f t="shared" si="12"/>
        <v>0</v>
      </c>
      <c r="AE22" s="434">
        <v>3.6423611111111108E-2</v>
      </c>
      <c r="AF22" s="432">
        <f t="shared" si="13"/>
        <v>3.6423611111111108E-2</v>
      </c>
      <c r="AG22" s="163" t="str">
        <f>VLOOKUP($B:$B,'HT DIC'!$A:$AE,9,FALSE)</f>
        <v>LM</v>
      </c>
      <c r="AH22" s="432">
        <f t="shared" si="14"/>
        <v>0</v>
      </c>
      <c r="AI22" s="434">
        <v>3.8402777777777779E-2</v>
      </c>
      <c r="AJ22" s="432">
        <f t="shared" si="15"/>
        <v>3.8402777777777779E-2</v>
      </c>
      <c r="AK22" s="163" t="str">
        <f>VLOOKUP($B:$B,'HT DIC'!$A:$AE,10,FALSE)</f>
        <v>LM</v>
      </c>
      <c r="AL22" s="432">
        <f t="shared" si="16"/>
        <v>0</v>
      </c>
      <c r="AM22" s="434">
        <v>1.6493055555555556E-2</v>
      </c>
      <c r="AN22" s="432">
        <f t="shared" si="17"/>
        <v>1.6493055555555556E-2</v>
      </c>
      <c r="AO22" s="163" t="str">
        <f>VLOOKUP($B:$B,'HT DIC'!$A:$AE,11,FALSE)</f>
        <v>LM</v>
      </c>
      <c r="AP22" s="432">
        <f t="shared" si="18"/>
        <v>0</v>
      </c>
      <c r="AQ22" s="432">
        <v>2.7083333333333334E-2</v>
      </c>
      <c r="AR22" s="432">
        <f t="shared" si="19"/>
        <v>2.7083333333333334E-2</v>
      </c>
      <c r="AS22" s="163" t="str">
        <f>VLOOKUP($B:$B,'HT DIC'!$A:$AE,12,FALSE)</f>
        <v>LM</v>
      </c>
      <c r="AT22" s="432">
        <f t="shared" si="20"/>
        <v>0</v>
      </c>
      <c r="AU22" s="434">
        <v>3.9571759259259258E-2</v>
      </c>
      <c r="AV22" s="432">
        <f t="shared" si="21"/>
        <v>3.9571759259259258E-2</v>
      </c>
      <c r="AW22" s="163" t="e">
        <f>VLOOKUP($B:$B,'HT DIC'!$A:$AE,13,FALSE)</f>
        <v>#REF!</v>
      </c>
      <c r="AX22" s="432">
        <f t="shared" si="22"/>
        <v>0</v>
      </c>
      <c r="AY22" s="434">
        <v>4.1712962962962966E-2</v>
      </c>
      <c r="AZ22" s="432">
        <f t="shared" si="23"/>
        <v>4.1712962962962966E-2</v>
      </c>
      <c r="BA22" s="163" t="e">
        <f>VLOOKUP($B:$B,'HT DIC'!$A:$AE,14,FALSE)</f>
        <v>#REF!</v>
      </c>
      <c r="BB22" s="432">
        <f t="shared" si="24"/>
        <v>0</v>
      </c>
      <c r="BC22" s="434"/>
      <c r="BD22" s="432">
        <f t="shared" si="25"/>
        <v>0</v>
      </c>
      <c r="BE22" s="163" t="e">
        <f>VLOOKUP($B:$B,'HT DIC'!$A:$AE,15,FALSE)</f>
        <v>#REF!</v>
      </c>
      <c r="BF22" s="432">
        <f t="shared" si="26"/>
        <v>0</v>
      </c>
      <c r="BG22" s="432">
        <f>IFERROR(VLOOKUP(BF22,$B$229:$E$245,2,FALSE),0)</f>
        <v>0</v>
      </c>
      <c r="BH22" s="432">
        <f t="shared" si="27"/>
        <v>0</v>
      </c>
      <c r="BI22" s="163" t="e">
        <f>VLOOKUP($B:$B,'HT DIC'!$A:$AE,16,FALSE)</f>
        <v>#REF!</v>
      </c>
      <c r="BJ22" s="432">
        <f t="shared" si="63"/>
        <v>0</v>
      </c>
      <c r="BK22" s="434">
        <v>5.258101851851852E-2</v>
      </c>
      <c r="BL22" s="432">
        <f t="shared" si="29"/>
        <v>5.258101851851852E-2</v>
      </c>
      <c r="BM22" s="163" t="e">
        <f>VLOOKUP($B:$B,'HT DIC'!$A:$AE,17,FALSE)</f>
        <v>#REF!</v>
      </c>
      <c r="BN22" s="432">
        <f t="shared" si="30"/>
        <v>0</v>
      </c>
      <c r="BO22" s="434">
        <v>2.7337962962962963E-2</v>
      </c>
      <c r="BP22" s="432">
        <f t="shared" si="31"/>
        <v>2.7337962962962963E-2</v>
      </c>
      <c r="BQ22" s="163" t="e">
        <f>VLOOKUP($B:$B,'HT DIC'!$A:$AE,18,FALSE)</f>
        <v>#REF!</v>
      </c>
      <c r="BR22" s="432">
        <f t="shared" si="64"/>
        <v>0</v>
      </c>
      <c r="BS22" s="434">
        <v>4.9108796296296296E-2</v>
      </c>
      <c r="BT22" s="432">
        <f t="shared" si="33"/>
        <v>4.9108796296296296E-2</v>
      </c>
      <c r="BU22" s="163" t="e">
        <f>VLOOKUP($B:$B,'HT DIC'!$A:$AE,19,FALSE)</f>
        <v>#REF!</v>
      </c>
      <c r="BV22" s="432">
        <f t="shared" si="34"/>
        <v>0</v>
      </c>
      <c r="BW22" s="432">
        <f>IFERROR(VLOOKUP(BV22,$B$229:$E$245,2,FALSE),0)</f>
        <v>0</v>
      </c>
      <c r="BX22" s="432">
        <f t="shared" si="35"/>
        <v>0</v>
      </c>
      <c r="BY22" s="163" t="e">
        <f>VLOOKUP($B:$B,'HT DIC'!$A:$AE,20,FALSE)</f>
        <v>#REF!</v>
      </c>
      <c r="BZ22" s="432">
        <f t="shared" si="65"/>
        <v>0</v>
      </c>
      <c r="CA22" s="434">
        <v>4.193287037037037E-2</v>
      </c>
      <c r="CB22" s="432">
        <f t="shared" si="37"/>
        <v>4.193287037037037E-2</v>
      </c>
      <c r="CC22" s="163" t="e">
        <f>VLOOKUP($B:$B,'HT DIC'!$A:$AE,21,FALSE)</f>
        <v>#REF!</v>
      </c>
      <c r="CD22" s="432">
        <f t="shared" si="38"/>
        <v>0</v>
      </c>
      <c r="CE22" s="432">
        <v>4.5138888888888888E-2</v>
      </c>
      <c r="CF22" s="432">
        <f t="shared" si="39"/>
        <v>4.5138888888888888E-2</v>
      </c>
      <c r="CG22" s="163" t="e">
        <f>VLOOKUP($B:$B,'HT DIC'!$A:$AE,22,FALSE)</f>
        <v>#REF!</v>
      </c>
      <c r="CH22" s="432">
        <f t="shared" si="40"/>
        <v>0</v>
      </c>
      <c r="CI22" s="434"/>
      <c r="CJ22" s="432">
        <f t="shared" si="72"/>
        <v>0</v>
      </c>
      <c r="CK22" s="163">
        <f>VLOOKUP($B:$B,'HT DIC'!$A:$AE,23,FALSE)</f>
        <v>6</v>
      </c>
      <c r="CL22" s="432">
        <f t="shared" si="42"/>
        <v>1.7361111111111112E-2</v>
      </c>
      <c r="CM22" s="432">
        <v>4.2858796296296298E-2</v>
      </c>
      <c r="CN22" s="432">
        <f t="shared" si="43"/>
        <v>2.5497685185185186E-2</v>
      </c>
      <c r="CO22" s="163" t="e">
        <f>VLOOKUP($B:$B,'HT DIC'!$A:$AE,24,FALSE)</f>
        <v>#REF!</v>
      </c>
      <c r="CP22" s="432">
        <f t="shared" si="44"/>
        <v>0</v>
      </c>
      <c r="CQ22" s="434">
        <v>3.4722222222222224E-2</v>
      </c>
      <c r="CR22" s="432">
        <f t="shared" si="45"/>
        <v>3.4722222222222224E-2</v>
      </c>
      <c r="CS22" s="163" t="e">
        <f>VLOOKUP($B:$B,'HT DIC'!$A:$AE,25,FALSE)</f>
        <v>#REF!</v>
      </c>
      <c r="CT22" s="432">
        <f t="shared" si="46"/>
        <v>0</v>
      </c>
      <c r="CU22" s="432">
        <v>5.364583333333333E-2</v>
      </c>
      <c r="CV22" s="432">
        <f t="shared" si="47"/>
        <v>5.364583333333333E-2</v>
      </c>
      <c r="CW22" s="163" t="e">
        <f>VLOOKUP($B:$B,'HT DIC'!$A:$AE,26,FALSE)</f>
        <v>#REF!</v>
      </c>
      <c r="CX22" s="432">
        <f t="shared" si="48"/>
        <v>0</v>
      </c>
      <c r="CY22" s="434">
        <v>4.2152777777777775E-2</v>
      </c>
      <c r="CZ22" s="432">
        <f t="shared" si="49"/>
        <v>4.2152777777777775E-2</v>
      </c>
      <c r="DA22" s="163">
        <f>VLOOKUP($B:$B,'HT DIC'!$A:$AE,27,FALSE)</f>
        <v>6</v>
      </c>
      <c r="DB22" s="432">
        <f t="shared" si="66"/>
        <v>1.7361111111111112E-2</v>
      </c>
      <c r="DC22" s="434">
        <v>4.3923611111111108E-2</v>
      </c>
      <c r="DD22" s="432">
        <f t="shared" si="51"/>
        <v>2.6562499999999996E-2</v>
      </c>
      <c r="DE22" s="163">
        <f>VLOOKUP($B:$B,'HT DIC'!$A:$AE,28,FALSE)</f>
        <v>0</v>
      </c>
      <c r="DF22" s="432">
        <f t="shared" si="52"/>
        <v>0</v>
      </c>
      <c r="DG22" s="434">
        <v>4.8657407407407406E-2</v>
      </c>
      <c r="DH22" s="432">
        <f t="shared" si="53"/>
        <v>4.8657407407407406E-2</v>
      </c>
      <c r="DI22" s="163">
        <f>VLOOKUP($B:$B,'HT DIC'!$A:$AE,29,FALSE)</f>
        <v>0</v>
      </c>
      <c r="DJ22" s="432">
        <f t="shared" si="67"/>
        <v>0</v>
      </c>
      <c r="DK22" s="434">
        <v>4.791666666666667E-2</v>
      </c>
      <c r="DL22" s="432">
        <f t="shared" si="55"/>
        <v>4.791666666666667E-2</v>
      </c>
      <c r="DM22" s="163">
        <f>VLOOKUP($B:$B,'HT DIC'!$A:$AE,30,FALSE)</f>
        <v>6</v>
      </c>
      <c r="DN22" s="432">
        <f t="shared" si="68"/>
        <v>1.7361111111111112E-2</v>
      </c>
      <c r="DO22" s="434">
        <v>5.8391203703703702E-2</v>
      </c>
      <c r="DP22" s="432">
        <f t="shared" si="57"/>
        <v>4.103009259259259E-2</v>
      </c>
      <c r="DQ22" s="163">
        <f>VLOOKUP($B:$B,'HT DIC'!$A:$AE,31,FALSE)</f>
        <v>6</v>
      </c>
      <c r="DR22" s="432">
        <f t="shared" si="58"/>
        <v>1.7361111111111112E-2</v>
      </c>
      <c r="DS22" s="434">
        <v>5.0949074074074077E-2</v>
      </c>
      <c r="DT22" s="432">
        <f t="shared" si="59"/>
        <v>3.3587962962962965E-2</v>
      </c>
      <c r="DU22" s="163" t="e">
        <f>VLOOKUP($B:$B,'HT DIC'!$A:$AE,32,FALSE)</f>
        <v>#REF!</v>
      </c>
      <c r="DV22" s="432">
        <f t="shared" si="60"/>
        <v>0</v>
      </c>
      <c r="DW22" s="434"/>
      <c r="DX22" s="432">
        <f t="shared" si="61"/>
        <v>0</v>
      </c>
      <c r="DY22" s="432">
        <f t="shared" si="69"/>
        <v>0.95302083333333332</v>
      </c>
    </row>
    <row r="23" spans="1:129">
      <c r="A23" s="166" t="s">
        <v>198</v>
      </c>
      <c r="B23" s="166" t="s">
        <v>172</v>
      </c>
      <c r="C23" s="166">
        <v>1720635547</v>
      </c>
      <c r="D23" s="431">
        <v>36383</v>
      </c>
      <c r="E23" s="163" t="e">
        <f>VLOOKUP($B:$B,#REF!,2,FALSE)</f>
        <v>#REF!</v>
      </c>
      <c r="F23" s="432">
        <f t="shared" si="0"/>
        <v>0</v>
      </c>
      <c r="G23" s="434">
        <v>2.0150462962962964E-2</v>
      </c>
      <c r="H23" s="432">
        <f t="shared" si="1"/>
        <v>2.0150462962962964E-2</v>
      </c>
      <c r="I23" s="163" t="e">
        <f>VLOOKUP($B:$B,'HT DIC'!$A:$AE,3,FALSE)</f>
        <v>#REF!</v>
      </c>
      <c r="J23" s="432">
        <f t="shared" si="2"/>
        <v>0</v>
      </c>
      <c r="K23" s="434">
        <v>1.8206018518518517E-2</v>
      </c>
      <c r="L23" s="432">
        <f t="shared" si="3"/>
        <v>1.8206018518518517E-2</v>
      </c>
      <c r="M23" s="163" t="e">
        <f>VLOOKUP($B:$B,'HT DIC'!$A:$AE,4,FALSE)</f>
        <v>#REF!</v>
      </c>
      <c r="N23" s="432">
        <f t="shared" si="4"/>
        <v>0</v>
      </c>
      <c r="O23" s="432">
        <v>1.9479166666666665E-2</v>
      </c>
      <c r="P23" s="432">
        <f t="shared" si="70"/>
        <v>1.9479166666666665E-2</v>
      </c>
      <c r="Q23" s="163" t="e">
        <f>VLOOKUP($B:$B,'HT DIC'!$A:$AE,5,FALSE)</f>
        <v>#REF!</v>
      </c>
      <c r="R23" s="432">
        <f t="shared" si="6"/>
        <v>0</v>
      </c>
      <c r="S23" s="432">
        <v>1.9953703703703703E-2</v>
      </c>
      <c r="T23" s="432">
        <f t="shared" si="7"/>
        <v>1.9953703703703703E-2</v>
      </c>
      <c r="U23" s="163" t="e">
        <f>VLOOKUP($B:$B,'HT DIC'!$A:$AE,6,FALSE)</f>
        <v>#REF!</v>
      </c>
      <c r="V23" s="432">
        <f t="shared" si="8"/>
        <v>0</v>
      </c>
      <c r="W23" s="434"/>
      <c r="X23" s="432">
        <f t="shared" si="71"/>
        <v>0</v>
      </c>
      <c r="Y23" s="163" t="e">
        <f>VLOOKUP($B:$B,'HT DIC'!$A:$AE,7,FALSE)</f>
        <v>#REF!</v>
      </c>
      <c r="Z23" s="432">
        <f t="shared" si="10"/>
        <v>0</v>
      </c>
      <c r="AA23" s="434">
        <v>1.443287037037037E-2</v>
      </c>
      <c r="AB23" s="432">
        <f t="shared" si="11"/>
        <v>1.443287037037037E-2</v>
      </c>
      <c r="AC23" s="163" t="e">
        <f>VLOOKUP($B:$B,'HT DIC'!$A:$AE,8,FALSE)</f>
        <v>#REF!</v>
      </c>
      <c r="AD23" s="432">
        <f t="shared" si="12"/>
        <v>0</v>
      </c>
      <c r="AE23" s="434">
        <v>2.0439814814814813E-2</v>
      </c>
      <c r="AF23" s="432">
        <f t="shared" si="13"/>
        <v>2.0439814814814813E-2</v>
      </c>
      <c r="AG23" s="163" t="e">
        <f>VLOOKUP($B:$B,'HT DIC'!$A:$AE,9,FALSE)</f>
        <v>#REF!</v>
      </c>
      <c r="AH23" s="432">
        <f t="shared" si="14"/>
        <v>0</v>
      </c>
      <c r="AI23" s="434">
        <v>1.7361111111111112E-2</v>
      </c>
      <c r="AJ23" s="432">
        <f t="shared" si="15"/>
        <v>1.7361111111111112E-2</v>
      </c>
      <c r="AK23" s="163" t="e">
        <f>VLOOKUP($B:$B,'HT DIC'!$A:$AE,10,FALSE)</f>
        <v>#REF!</v>
      </c>
      <c r="AL23" s="432">
        <f t="shared" si="16"/>
        <v>0</v>
      </c>
      <c r="AM23" s="434">
        <v>1.8344907407407407E-2</v>
      </c>
      <c r="AN23" s="432">
        <f t="shared" si="17"/>
        <v>1.8344907407407407E-2</v>
      </c>
      <c r="AO23" s="163" t="e">
        <f>VLOOKUP($B:$B,'HT DIC'!$A:$AE,11,FALSE)</f>
        <v>#REF!</v>
      </c>
      <c r="AP23" s="432">
        <f t="shared" si="18"/>
        <v>0</v>
      </c>
      <c r="AQ23" s="432">
        <v>1.8032407407407407E-2</v>
      </c>
      <c r="AR23" s="432">
        <f t="shared" si="19"/>
        <v>1.8032407407407407E-2</v>
      </c>
      <c r="AS23" s="163" t="e">
        <f>VLOOKUP($B:$B,'HT DIC'!$A:$AE,12,FALSE)</f>
        <v>#REF!</v>
      </c>
      <c r="AT23" s="432">
        <f t="shared" si="20"/>
        <v>0</v>
      </c>
      <c r="AU23" s="434">
        <v>1.6203703703703703E-2</v>
      </c>
      <c r="AV23" s="432">
        <f t="shared" si="21"/>
        <v>1.6203703703703703E-2</v>
      </c>
      <c r="AW23" s="163" t="e">
        <f>VLOOKUP($B:$B,'HT DIC'!$A:$AE,13,FALSE)</f>
        <v>#REF!</v>
      </c>
      <c r="AX23" s="432">
        <f t="shared" si="22"/>
        <v>0</v>
      </c>
      <c r="AY23" s="434">
        <v>8.1481481481481474E-3</v>
      </c>
      <c r="AZ23" s="432">
        <f t="shared" si="23"/>
        <v>8.1481481481481474E-3</v>
      </c>
      <c r="BA23" s="163" t="e">
        <f>VLOOKUP($B:$B,'HT DIC'!$A:$AE,14,FALSE)</f>
        <v>#REF!</v>
      </c>
      <c r="BB23" s="432">
        <f t="shared" si="24"/>
        <v>0</v>
      </c>
      <c r="BC23" s="434"/>
      <c r="BD23" s="432">
        <f t="shared" si="25"/>
        <v>0</v>
      </c>
      <c r="BE23" s="163" t="e">
        <f>VLOOKUP($B:$B,'HT DIC'!$A:$AE,15,FALSE)</f>
        <v>#REF!</v>
      </c>
      <c r="BF23" s="432">
        <f t="shared" si="26"/>
        <v>0</v>
      </c>
      <c r="BG23" s="434"/>
      <c r="BH23" s="432">
        <f t="shared" si="27"/>
        <v>0</v>
      </c>
      <c r="BI23" s="163" t="e">
        <f>VLOOKUP($B:$B,'HT DIC'!$A:$AE,16,FALSE)</f>
        <v>#REF!</v>
      </c>
      <c r="BJ23" s="432">
        <f t="shared" si="63"/>
        <v>0</v>
      </c>
      <c r="BK23" s="434">
        <v>1.7361111111111112E-2</v>
      </c>
      <c r="BL23" s="432">
        <f t="shared" si="29"/>
        <v>1.7361111111111112E-2</v>
      </c>
      <c r="BM23" s="163" t="e">
        <f>VLOOKUP($B:$B,'HT DIC'!$A:$AE,17,FALSE)</f>
        <v>#REF!</v>
      </c>
      <c r="BN23" s="432">
        <f t="shared" si="30"/>
        <v>0</v>
      </c>
      <c r="BO23" s="434">
        <v>1.7361111111111112E-2</v>
      </c>
      <c r="BP23" s="432">
        <f t="shared" si="31"/>
        <v>1.7361111111111112E-2</v>
      </c>
      <c r="BQ23" s="163" t="e">
        <f>VLOOKUP($B:$B,'HT DIC'!$A:$AE,18,FALSE)</f>
        <v>#REF!</v>
      </c>
      <c r="BR23" s="432">
        <f t="shared" si="64"/>
        <v>0</v>
      </c>
      <c r="BS23" s="434"/>
      <c r="BT23" s="432">
        <f t="shared" si="33"/>
        <v>0</v>
      </c>
      <c r="BU23" s="163" t="e">
        <f>VLOOKUP($B:$B,'HT DIC'!$A:$AE,19,FALSE)</f>
        <v>#REF!</v>
      </c>
      <c r="BV23" s="432">
        <f t="shared" si="34"/>
        <v>0</v>
      </c>
      <c r="BW23" s="434">
        <v>1.3645833333333333E-2</v>
      </c>
      <c r="BX23" s="432">
        <f t="shared" si="35"/>
        <v>1.3645833333333333E-2</v>
      </c>
      <c r="BY23" s="163" t="e">
        <f>VLOOKUP($B:$B,'HT DIC'!$A:$AE,20,FALSE)</f>
        <v>#REF!</v>
      </c>
      <c r="BZ23" s="432">
        <f t="shared" si="65"/>
        <v>0</v>
      </c>
      <c r="CA23" s="434">
        <v>1.8310185185185186E-2</v>
      </c>
      <c r="CB23" s="432">
        <f t="shared" si="37"/>
        <v>1.8310185185185186E-2</v>
      </c>
      <c r="CC23" s="163" t="e">
        <f>VLOOKUP($B:$B,'HT DIC'!$A:$AE,21,FALSE)</f>
        <v>#REF!</v>
      </c>
      <c r="CD23" s="432">
        <f t="shared" si="38"/>
        <v>0</v>
      </c>
      <c r="CE23" s="432">
        <v>3.4166666666666665E-2</v>
      </c>
      <c r="CF23" s="432">
        <f t="shared" si="39"/>
        <v>3.4166666666666665E-2</v>
      </c>
      <c r="CG23" s="163" t="e">
        <f>VLOOKUP($B:$B,'HT DIC'!$A:$AE,22,FALSE)</f>
        <v>#REF!</v>
      </c>
      <c r="CH23" s="432">
        <f t="shared" si="40"/>
        <v>0</v>
      </c>
      <c r="CI23" s="434">
        <v>3.9918981481481479E-2</v>
      </c>
      <c r="CJ23" s="432">
        <f t="shared" si="72"/>
        <v>3.9918981481481479E-2</v>
      </c>
      <c r="CK23" s="163">
        <f>VLOOKUP($B:$B,'HT DIC'!$A:$AE,23,FALSE)</f>
        <v>11</v>
      </c>
      <c r="CL23" s="432">
        <f t="shared" si="42"/>
        <v>3.4722222222222224E-2</v>
      </c>
      <c r="CM23" s="432">
        <v>1.8229166666666668E-2</v>
      </c>
      <c r="CN23" s="432">
        <f t="shared" si="43"/>
        <v>0</v>
      </c>
      <c r="CO23" s="163" t="e">
        <f>VLOOKUP($B:$B,'HT DIC'!$A:$AE,24,FALSE)</f>
        <v>#REF!</v>
      </c>
      <c r="CP23" s="432">
        <f t="shared" si="44"/>
        <v>0</v>
      </c>
      <c r="CQ23" s="434">
        <v>1.3842592592592592E-2</v>
      </c>
      <c r="CR23" s="432">
        <f t="shared" si="45"/>
        <v>1.3842592592592592E-2</v>
      </c>
      <c r="CS23" s="163" t="e">
        <f>VLOOKUP($B:$B,'HT DIC'!$A:$AE,25,FALSE)</f>
        <v>#REF!</v>
      </c>
      <c r="CT23" s="432">
        <f t="shared" si="46"/>
        <v>0</v>
      </c>
      <c r="CU23" s="432">
        <v>3.1354166666666669E-2</v>
      </c>
      <c r="CV23" s="432">
        <f t="shared" si="47"/>
        <v>3.1354166666666669E-2</v>
      </c>
      <c r="CW23" s="163" t="e">
        <f>VLOOKUP($B:$B,'HT DIC'!$A:$AE,26,FALSE)</f>
        <v>#REF!</v>
      </c>
      <c r="CX23" s="432">
        <f t="shared" si="48"/>
        <v>0</v>
      </c>
      <c r="CY23" s="434">
        <v>2.3773148148148147E-2</v>
      </c>
      <c r="CZ23" s="432">
        <f t="shared" si="49"/>
        <v>2.3773148148148147E-2</v>
      </c>
      <c r="DA23" s="163">
        <f>VLOOKUP($B:$B,'HT DIC'!$A:$AE,27,FALSE)</f>
        <v>12</v>
      </c>
      <c r="DB23" s="432">
        <f t="shared" si="66"/>
        <v>3.8194444444444448E-2</v>
      </c>
      <c r="DC23" s="434">
        <v>2.3773148148148147E-2</v>
      </c>
      <c r="DD23" s="432">
        <f t="shared" si="51"/>
        <v>0</v>
      </c>
      <c r="DE23" s="163">
        <f>VLOOKUP($B:$B,'HT DIC'!$A:$AE,28,FALSE)</f>
        <v>0</v>
      </c>
      <c r="DF23" s="432">
        <f t="shared" si="52"/>
        <v>0</v>
      </c>
      <c r="DG23" s="434">
        <v>2.582175925925926E-2</v>
      </c>
      <c r="DH23" s="432">
        <f t="shared" si="53"/>
        <v>2.582175925925926E-2</v>
      </c>
      <c r="DI23" s="163">
        <f>VLOOKUP($B:$B,'HT DIC'!$A:$AE,29,FALSE)</f>
        <v>6</v>
      </c>
      <c r="DJ23" s="434">
        <v>4.5138888888888888E-2</v>
      </c>
      <c r="DK23" s="434">
        <v>3.9675925925925927E-2</v>
      </c>
      <c r="DL23" s="432">
        <f t="shared" si="55"/>
        <v>0</v>
      </c>
      <c r="DM23" s="163">
        <f>VLOOKUP($B:$B,'HT DIC'!$A:$AE,30,FALSE)</f>
        <v>12</v>
      </c>
      <c r="DN23" s="432">
        <f t="shared" si="68"/>
        <v>3.8194444444444448E-2</v>
      </c>
      <c r="DO23" s="434">
        <v>1.9444444444444445E-2</v>
      </c>
      <c r="DP23" s="432">
        <f t="shared" si="57"/>
        <v>0</v>
      </c>
      <c r="DQ23" s="163">
        <f>VLOOKUP($B:$B,'HT DIC'!$A:$AE,31,FALSE)</f>
        <v>11</v>
      </c>
      <c r="DR23" s="432">
        <f t="shared" si="58"/>
        <v>3.4722222222222224E-2</v>
      </c>
      <c r="DS23" s="434">
        <v>1.923611111111111E-2</v>
      </c>
      <c r="DT23" s="432">
        <f t="shared" si="59"/>
        <v>0</v>
      </c>
      <c r="DU23" s="163" t="e">
        <f>VLOOKUP($B:$B,'HT DIC'!$A:$AE,32,FALSE)</f>
        <v>#REF!</v>
      </c>
      <c r="DV23" s="432">
        <f t="shared" si="60"/>
        <v>0</v>
      </c>
      <c r="DW23" s="434"/>
      <c r="DX23" s="432">
        <f t="shared" si="61"/>
        <v>0</v>
      </c>
      <c r="DY23" s="432">
        <f t="shared" si="69"/>
        <v>0.42630787037037038</v>
      </c>
    </row>
    <row r="24" spans="1:129">
      <c r="A24" s="166" t="s">
        <v>101</v>
      </c>
      <c r="B24" s="166" t="s">
        <v>106</v>
      </c>
      <c r="C24" s="166">
        <v>1719967661</v>
      </c>
      <c r="D24" s="431">
        <v>35531</v>
      </c>
      <c r="E24" s="163" t="e">
        <f>VLOOKUP($B:$B,#REF!,2,FALSE)</f>
        <v>#REF!</v>
      </c>
      <c r="F24" s="432">
        <f t="shared" si="0"/>
        <v>0</v>
      </c>
      <c r="G24" s="434">
        <v>2.1168981481481483E-2</v>
      </c>
      <c r="H24" s="432">
        <f t="shared" si="1"/>
        <v>2.1168981481481483E-2</v>
      </c>
      <c r="I24" s="163" t="e">
        <f>VLOOKUP($B:$B,'HT DIC'!$A:$AE,3,FALSE)</f>
        <v>#REF!</v>
      </c>
      <c r="J24" s="432">
        <f t="shared" si="2"/>
        <v>0</v>
      </c>
      <c r="K24" s="434">
        <v>0</v>
      </c>
      <c r="L24" s="432">
        <f t="shared" si="3"/>
        <v>0</v>
      </c>
      <c r="M24" s="163" t="e">
        <f>VLOOKUP($B:$B,'HT DIC'!$A:$AE,4,FALSE)</f>
        <v>#REF!</v>
      </c>
      <c r="N24" s="432">
        <f t="shared" si="4"/>
        <v>0</v>
      </c>
      <c r="O24" s="432">
        <v>1.3055555555555556E-2</v>
      </c>
      <c r="P24" s="432">
        <f t="shared" si="70"/>
        <v>1.3055555555555556E-2</v>
      </c>
      <c r="Q24" s="163" t="e">
        <f>VLOOKUP($B:$B,'HT DIC'!$A:$AE,5,FALSE)</f>
        <v>#REF!</v>
      </c>
      <c r="R24" s="432">
        <f t="shared" si="6"/>
        <v>0</v>
      </c>
      <c r="S24" s="432">
        <v>2.6828703703703705E-2</v>
      </c>
      <c r="T24" s="432">
        <f t="shared" si="7"/>
        <v>2.6828703703703705E-2</v>
      </c>
      <c r="U24" s="163" t="e">
        <f>VLOOKUP($B:$B,'HT DIC'!$A:$AE,6,FALSE)</f>
        <v>#REF!</v>
      </c>
      <c r="V24" s="432">
        <f t="shared" si="8"/>
        <v>0</v>
      </c>
      <c r="W24" s="434"/>
      <c r="X24" s="432">
        <f t="shared" si="71"/>
        <v>0</v>
      </c>
      <c r="Y24" s="163" t="e">
        <f>VLOOKUP($B:$B,'HT DIC'!$A:$AE,7,FALSE)</f>
        <v>#REF!</v>
      </c>
      <c r="Z24" s="432">
        <f t="shared" si="10"/>
        <v>0</v>
      </c>
      <c r="AA24" s="434">
        <v>2.4328703703703703E-2</v>
      </c>
      <c r="AB24" s="432">
        <f t="shared" si="11"/>
        <v>2.4328703703703703E-2</v>
      </c>
      <c r="AC24" s="163" t="e">
        <f>VLOOKUP($B:$B,'HT DIC'!$A:$AE,8,FALSE)</f>
        <v>#REF!</v>
      </c>
      <c r="AD24" s="432">
        <f t="shared" si="12"/>
        <v>0</v>
      </c>
      <c r="AE24" s="434">
        <v>2.7071759259259261E-2</v>
      </c>
      <c r="AF24" s="432">
        <f t="shared" si="13"/>
        <v>2.7071759259259261E-2</v>
      </c>
      <c r="AG24" s="163" t="e">
        <f>VLOOKUP($B:$B,'HT DIC'!$A:$AE,9,FALSE)</f>
        <v>#REF!</v>
      </c>
      <c r="AH24" s="432">
        <f t="shared" si="14"/>
        <v>0</v>
      </c>
      <c r="AI24" s="434">
        <v>2.7939814814814813E-2</v>
      </c>
      <c r="AJ24" s="432">
        <f t="shared" si="15"/>
        <v>2.7939814814814813E-2</v>
      </c>
      <c r="AK24" s="163" t="e">
        <f>VLOOKUP($B:$B,'HT DIC'!$A:$AE,10,FALSE)</f>
        <v>#REF!</v>
      </c>
      <c r="AL24" s="432">
        <f t="shared" si="16"/>
        <v>0</v>
      </c>
      <c r="AM24" s="434">
        <v>2.6851851851851852E-2</v>
      </c>
      <c r="AN24" s="432">
        <f t="shared" si="17"/>
        <v>2.6851851851851852E-2</v>
      </c>
      <c r="AO24" s="163" t="e">
        <f>VLOOKUP($B:$B,'HT DIC'!$A:$AE,11,FALSE)</f>
        <v>#REF!</v>
      </c>
      <c r="AP24" s="432">
        <f t="shared" si="18"/>
        <v>0</v>
      </c>
      <c r="AQ24" s="432">
        <v>3.8055555555555558E-2</v>
      </c>
      <c r="AR24" s="432">
        <f t="shared" si="19"/>
        <v>3.8055555555555558E-2</v>
      </c>
      <c r="AS24" s="163" t="e">
        <f>VLOOKUP($B:$B,'HT DIC'!$A:$AE,12,FALSE)</f>
        <v>#REF!</v>
      </c>
      <c r="AT24" s="432">
        <f t="shared" si="20"/>
        <v>0</v>
      </c>
      <c r="AU24" s="434">
        <v>3.5624999999999997E-2</v>
      </c>
      <c r="AV24" s="432">
        <f t="shared" si="21"/>
        <v>3.5624999999999997E-2</v>
      </c>
      <c r="AW24" s="163" t="e">
        <f>VLOOKUP($B:$B,'HT DIC'!$A:$AE,13,FALSE)</f>
        <v>#REF!</v>
      </c>
      <c r="AX24" s="432">
        <f t="shared" si="22"/>
        <v>0</v>
      </c>
      <c r="AY24" s="432">
        <f>IFERROR(VLOOKUP(AX24,$B$229:$E$245,2,FALSE),0)</f>
        <v>0</v>
      </c>
      <c r="AZ24" s="432">
        <f t="shared" si="23"/>
        <v>0</v>
      </c>
      <c r="BA24" s="163" t="e">
        <f>VLOOKUP($B:$B,'HT DIC'!$A:$AE,14,FALSE)</f>
        <v>#REF!</v>
      </c>
      <c r="BB24" s="432">
        <f t="shared" si="24"/>
        <v>0</v>
      </c>
      <c r="BC24" s="434">
        <v>1.3078703703703703E-2</v>
      </c>
      <c r="BD24" s="432">
        <f t="shared" si="25"/>
        <v>1.3078703703703703E-2</v>
      </c>
      <c r="BE24" s="163" t="e">
        <f>VLOOKUP($B:$B,'HT DIC'!$A:$AE,15,FALSE)</f>
        <v>#REF!</v>
      </c>
      <c r="BF24" s="432">
        <f t="shared" si="26"/>
        <v>0</v>
      </c>
      <c r="BG24" s="434"/>
      <c r="BH24" s="432">
        <f t="shared" si="27"/>
        <v>0</v>
      </c>
      <c r="BI24" s="163" t="e">
        <f>VLOOKUP($B:$B,'HT DIC'!$A:$AE,16,FALSE)</f>
        <v>#REF!</v>
      </c>
      <c r="BJ24" s="432">
        <f t="shared" si="63"/>
        <v>0</v>
      </c>
      <c r="BK24" s="434">
        <v>2.960648148148148E-2</v>
      </c>
      <c r="BL24" s="432">
        <f t="shared" si="29"/>
        <v>2.960648148148148E-2</v>
      </c>
      <c r="BM24" s="163" t="e">
        <f>VLOOKUP($B:$B,'HT DIC'!$A:$AE,17,FALSE)</f>
        <v>#REF!</v>
      </c>
      <c r="BN24" s="432">
        <f t="shared" si="30"/>
        <v>0</v>
      </c>
      <c r="BO24" s="434">
        <v>2.9085648148148149E-2</v>
      </c>
      <c r="BP24" s="432">
        <f t="shared" si="31"/>
        <v>2.9085648148148149E-2</v>
      </c>
      <c r="BQ24" s="163" t="e">
        <f>VLOOKUP($B:$B,'HT DIC'!$A:$AE,18,FALSE)</f>
        <v>#REF!</v>
      </c>
      <c r="BR24" s="432">
        <f t="shared" si="64"/>
        <v>0</v>
      </c>
      <c r="BS24" s="434">
        <v>4.50462962962963E-2</v>
      </c>
      <c r="BT24" s="432">
        <f t="shared" si="33"/>
        <v>4.50462962962963E-2</v>
      </c>
      <c r="BU24" s="163" t="e">
        <f>VLOOKUP($B:$B,'HT DIC'!$A:$AE,19,FALSE)</f>
        <v>#REF!</v>
      </c>
      <c r="BV24" s="432">
        <f t="shared" si="34"/>
        <v>0</v>
      </c>
      <c r="BW24" s="434">
        <v>4.0243055555555553E-2</v>
      </c>
      <c r="BX24" s="432">
        <f t="shared" si="35"/>
        <v>4.0243055555555553E-2</v>
      </c>
      <c r="BY24" s="163" t="e">
        <f>VLOOKUP($B:$B,'HT DIC'!$A:$AE,20,FALSE)</f>
        <v>#REF!</v>
      </c>
      <c r="BZ24" s="432">
        <f t="shared" si="65"/>
        <v>0</v>
      </c>
      <c r="CA24" s="434">
        <v>2.34375E-2</v>
      </c>
      <c r="CB24" s="432">
        <f t="shared" si="37"/>
        <v>2.34375E-2</v>
      </c>
      <c r="CC24" s="163" t="e">
        <f>VLOOKUP($B:$B,'HT DIC'!$A:$AE,21,FALSE)</f>
        <v>#REF!</v>
      </c>
      <c r="CD24" s="432">
        <f t="shared" si="38"/>
        <v>0</v>
      </c>
      <c r="CE24" s="432"/>
      <c r="CF24" s="432">
        <f t="shared" si="39"/>
        <v>0</v>
      </c>
      <c r="CG24" s="163" t="e">
        <f>VLOOKUP($B:$B,'HT DIC'!$A:$AE,22,FALSE)</f>
        <v>#REF!</v>
      </c>
      <c r="CH24" s="432">
        <f t="shared" si="40"/>
        <v>0</v>
      </c>
      <c r="CI24" s="434">
        <v>3.246527777777778E-2</v>
      </c>
      <c r="CJ24" s="432">
        <f t="shared" si="72"/>
        <v>3.246527777777778E-2</v>
      </c>
      <c r="CK24" s="163">
        <f>VLOOKUP($B:$B,'HT DIC'!$A:$AE,23,FALSE)</f>
        <v>11</v>
      </c>
      <c r="CL24" s="432">
        <f t="shared" si="42"/>
        <v>3.4722222222222224E-2</v>
      </c>
      <c r="CM24" s="432">
        <v>2.6099537037037036E-2</v>
      </c>
      <c r="CN24" s="432">
        <f t="shared" si="43"/>
        <v>0</v>
      </c>
      <c r="CO24" s="163" t="e">
        <f>VLOOKUP($B:$B,'HT DIC'!$A:$AE,24,FALSE)</f>
        <v>#REF!</v>
      </c>
      <c r="CP24" s="432">
        <f t="shared" si="44"/>
        <v>0</v>
      </c>
      <c r="CQ24" s="434">
        <v>3.6493055555555556E-2</v>
      </c>
      <c r="CR24" s="432">
        <f t="shared" si="45"/>
        <v>3.6493055555555556E-2</v>
      </c>
      <c r="CS24" s="163" t="e">
        <f>VLOOKUP($B:$B,'HT DIC'!$A:$AE,25,FALSE)</f>
        <v>#REF!</v>
      </c>
      <c r="CT24" s="432">
        <f t="shared" si="46"/>
        <v>0</v>
      </c>
      <c r="CU24" s="432">
        <v>8.2430555555555562E-2</v>
      </c>
      <c r="CV24" s="432">
        <f t="shared" si="47"/>
        <v>8.2430555555555562E-2</v>
      </c>
      <c r="CW24" s="163" t="e">
        <f>VLOOKUP($B:$B,'HT DIC'!$A:$AE,26,FALSE)</f>
        <v>#REF!</v>
      </c>
      <c r="CX24" s="432">
        <f t="shared" si="48"/>
        <v>0</v>
      </c>
      <c r="CY24" s="434">
        <v>0.11200231481481482</v>
      </c>
      <c r="CZ24" s="432">
        <f t="shared" si="49"/>
        <v>0.11200231481481482</v>
      </c>
      <c r="DA24" s="163">
        <f>VLOOKUP($B:$B,'HT DIC'!$A:$AE,27,FALSE)</f>
        <v>8</v>
      </c>
      <c r="DB24" s="432">
        <f t="shared" si="66"/>
        <v>2.4305555555555556E-2</v>
      </c>
      <c r="DC24" s="434">
        <v>3.3391203703703701E-2</v>
      </c>
      <c r="DD24" s="432">
        <f t="shared" si="51"/>
        <v>9.0856481481481448E-3</v>
      </c>
      <c r="DE24" s="163">
        <f>VLOOKUP($B:$B,'HT DIC'!$A:$AE,28,FALSE)</f>
        <v>13</v>
      </c>
      <c r="DF24" s="432">
        <f t="shared" si="52"/>
        <v>4.1666666666666664E-2</v>
      </c>
      <c r="DG24" s="434">
        <v>3.9178240740740743E-2</v>
      </c>
      <c r="DH24" s="432">
        <f t="shared" si="53"/>
        <v>0</v>
      </c>
      <c r="DI24" s="163">
        <f>VLOOKUP($B:$B,'HT DIC'!$A:$AE,29,FALSE)</f>
        <v>6</v>
      </c>
      <c r="DJ24" s="432">
        <f t="shared" ref="DJ24:DJ59" si="73">IFERROR(VLOOKUP(DI24,$B$229:$E$245,2,FALSE),0)</f>
        <v>1.7361111111111112E-2</v>
      </c>
      <c r="DK24" s="434"/>
      <c r="DL24" s="432">
        <f t="shared" si="55"/>
        <v>0</v>
      </c>
      <c r="DM24" s="163">
        <f>VLOOKUP($B:$B,'HT DIC'!$A:$AE,30,FALSE)</f>
        <v>12</v>
      </c>
      <c r="DN24" s="432">
        <f t="shared" si="68"/>
        <v>3.8194444444444448E-2</v>
      </c>
      <c r="DO24" s="434">
        <v>5.1041666666666666E-2</v>
      </c>
      <c r="DP24" s="432">
        <f t="shared" si="57"/>
        <v>1.2847222222222218E-2</v>
      </c>
      <c r="DQ24" s="163">
        <f>VLOOKUP($B:$B,'HT DIC'!$A:$AE,31,FALSE)</f>
        <v>11</v>
      </c>
      <c r="DR24" s="432">
        <f t="shared" si="58"/>
        <v>3.4722222222222224E-2</v>
      </c>
      <c r="DS24" s="434">
        <v>5.0393518518518518E-2</v>
      </c>
      <c r="DT24" s="432">
        <f t="shared" si="59"/>
        <v>1.5671296296296294E-2</v>
      </c>
      <c r="DU24" s="163" t="e">
        <f>VLOOKUP($B:$B,'HT DIC'!$A:$AE,32,FALSE)</f>
        <v>#REF!</v>
      </c>
      <c r="DV24" s="432">
        <f t="shared" si="60"/>
        <v>0</v>
      </c>
      <c r="DW24" s="434"/>
      <c r="DX24" s="432">
        <f t="shared" si="61"/>
        <v>0</v>
      </c>
      <c r="DY24" s="432">
        <f t="shared" si="69"/>
        <v>0.72241898148148154</v>
      </c>
    </row>
    <row r="25" spans="1:129">
      <c r="A25" s="166" t="s">
        <v>103</v>
      </c>
      <c r="B25" s="166" t="s">
        <v>112</v>
      </c>
      <c r="C25" s="166">
        <v>1720632049</v>
      </c>
      <c r="D25" s="431">
        <v>35216</v>
      </c>
      <c r="E25" s="163" t="e">
        <f>VLOOKUP($B:$B,#REF!,2,FALSE)</f>
        <v>#REF!</v>
      </c>
      <c r="F25" s="432">
        <f t="shared" si="0"/>
        <v>0</v>
      </c>
      <c r="G25" s="434">
        <v>2.6469907407407407E-2</v>
      </c>
      <c r="H25" s="432">
        <f t="shared" si="1"/>
        <v>2.6469907407407407E-2</v>
      </c>
      <c r="I25" s="163" t="e">
        <f>VLOOKUP($B:$B,'HT DIC'!$A:$AE,3,FALSE)</f>
        <v>#REF!</v>
      </c>
      <c r="J25" s="432">
        <f t="shared" si="2"/>
        <v>0</v>
      </c>
      <c r="K25" s="434">
        <v>3.8090277777777778E-2</v>
      </c>
      <c r="L25" s="432">
        <f t="shared" si="3"/>
        <v>3.8090277777777778E-2</v>
      </c>
      <c r="M25" s="163" t="e">
        <f>VLOOKUP($B:$B,'HT DIC'!$A:$AE,4,FALSE)</f>
        <v>#REF!</v>
      </c>
      <c r="N25" s="432">
        <f t="shared" si="4"/>
        <v>0</v>
      </c>
      <c r="O25" s="432">
        <v>2.6678240740740742E-2</v>
      </c>
      <c r="P25" s="432">
        <f t="shared" si="70"/>
        <v>2.6678240740740742E-2</v>
      </c>
      <c r="Q25" s="163" t="e">
        <f>VLOOKUP($B:$B,'HT DIC'!$A:$AE,5,FALSE)</f>
        <v>#REF!</v>
      </c>
      <c r="R25" s="432">
        <f t="shared" si="6"/>
        <v>0</v>
      </c>
      <c r="S25" s="432">
        <v>1.9953703703703703E-2</v>
      </c>
      <c r="T25" s="432">
        <f t="shared" si="7"/>
        <v>1.9953703703703703E-2</v>
      </c>
      <c r="U25" s="163" t="e">
        <f>VLOOKUP($B:$B,'HT DIC'!$A:$AE,6,FALSE)</f>
        <v>#REF!</v>
      </c>
      <c r="V25" s="432">
        <f t="shared" si="8"/>
        <v>0</v>
      </c>
      <c r="W25" s="434">
        <v>1.7719907407407406E-2</v>
      </c>
      <c r="X25" s="432">
        <f t="shared" si="71"/>
        <v>1.7719907407407406E-2</v>
      </c>
      <c r="Y25" s="163" t="e">
        <f>VLOOKUP($B:$B,'HT DIC'!$A:$AE,7,FALSE)</f>
        <v>#REF!</v>
      </c>
      <c r="Z25" s="432">
        <f t="shared" si="10"/>
        <v>0</v>
      </c>
      <c r="AA25" s="434"/>
      <c r="AB25" s="432">
        <f t="shared" si="11"/>
        <v>0</v>
      </c>
      <c r="AC25" s="163" t="e">
        <f>VLOOKUP($B:$B,'HT DIC'!$A:$AE,8,FALSE)</f>
        <v>#REF!</v>
      </c>
      <c r="AD25" s="432">
        <f t="shared" si="12"/>
        <v>0</v>
      </c>
      <c r="AE25" s="434">
        <v>1.3055555555555556E-2</v>
      </c>
      <c r="AF25" s="432">
        <f t="shared" si="13"/>
        <v>1.3055555555555556E-2</v>
      </c>
      <c r="AG25" s="163" t="e">
        <f>VLOOKUP($B:$B,'HT DIC'!$A:$AE,9,FALSE)</f>
        <v>#REF!</v>
      </c>
      <c r="AH25" s="432">
        <f t="shared" si="14"/>
        <v>0</v>
      </c>
      <c r="AI25" s="434">
        <v>3.1412037037037037E-2</v>
      </c>
      <c r="AJ25" s="432">
        <f t="shared" si="15"/>
        <v>3.1412037037037037E-2</v>
      </c>
      <c r="AK25" s="163" t="e">
        <f>VLOOKUP($B:$B,'HT DIC'!$A:$AE,10,FALSE)</f>
        <v>#REF!</v>
      </c>
      <c r="AL25" s="432">
        <f t="shared" si="16"/>
        <v>0</v>
      </c>
      <c r="AM25" s="434">
        <v>3.516203703703704E-2</v>
      </c>
      <c r="AN25" s="432">
        <f t="shared" si="17"/>
        <v>3.516203703703704E-2</v>
      </c>
      <c r="AO25" s="163" t="e">
        <f>VLOOKUP($B:$B,'HT DIC'!$A:$AE,11,FALSE)</f>
        <v>#REF!</v>
      </c>
      <c r="AP25" s="432">
        <f t="shared" si="18"/>
        <v>0</v>
      </c>
      <c r="AQ25" s="432">
        <v>1.8310185185185186E-2</v>
      </c>
      <c r="AR25" s="432">
        <f t="shared" si="19"/>
        <v>1.8310185185185186E-2</v>
      </c>
      <c r="AS25" s="163" t="e">
        <f>VLOOKUP($B:$B,'HT DIC'!$A:$AE,12,FALSE)</f>
        <v>#REF!</v>
      </c>
      <c r="AT25" s="432">
        <f t="shared" si="20"/>
        <v>0</v>
      </c>
      <c r="AU25" s="434">
        <v>3.1435185185185184E-2</v>
      </c>
      <c r="AV25" s="432">
        <f t="shared" si="21"/>
        <v>3.1435185185185184E-2</v>
      </c>
      <c r="AW25" s="163" t="e">
        <f>VLOOKUP($B:$B,'HT DIC'!$A:$AE,13,FALSE)</f>
        <v>#REF!</v>
      </c>
      <c r="AX25" s="432">
        <f t="shared" si="22"/>
        <v>0</v>
      </c>
      <c r="AY25" s="434">
        <v>1.9467592592592592E-2</v>
      </c>
      <c r="AZ25" s="432">
        <f t="shared" si="23"/>
        <v>1.9467592592592592E-2</v>
      </c>
      <c r="BA25" s="163" t="e">
        <f>VLOOKUP($B:$B,'HT DIC'!$A:$AE,14,FALSE)</f>
        <v>#REF!</v>
      </c>
      <c r="BB25" s="432">
        <f t="shared" si="24"/>
        <v>0</v>
      </c>
      <c r="BC25" s="434">
        <v>4.0601851851851854E-2</v>
      </c>
      <c r="BD25" s="432">
        <f t="shared" si="25"/>
        <v>4.0601851851851854E-2</v>
      </c>
      <c r="BE25" s="163" t="e">
        <f>VLOOKUP($B:$B,'HT DIC'!$A:$AE,15,FALSE)</f>
        <v>#REF!</v>
      </c>
      <c r="BF25" s="432">
        <f t="shared" si="26"/>
        <v>0</v>
      </c>
      <c r="BG25" s="434"/>
      <c r="BH25" s="432">
        <f t="shared" si="27"/>
        <v>0</v>
      </c>
      <c r="BI25" s="163" t="e">
        <f>VLOOKUP($B:$B,'HT DIC'!$A:$AE,16,FALSE)</f>
        <v>#REF!</v>
      </c>
      <c r="BJ25" s="432">
        <f t="shared" si="63"/>
        <v>0</v>
      </c>
      <c r="BK25" s="434">
        <v>3.457175925925926E-2</v>
      </c>
      <c r="BL25" s="432">
        <f t="shared" si="29"/>
        <v>3.457175925925926E-2</v>
      </c>
      <c r="BM25" s="163" t="e">
        <f>VLOOKUP($B:$B,'HT DIC'!$A:$AE,17,FALSE)</f>
        <v>#REF!</v>
      </c>
      <c r="BN25" s="432">
        <f t="shared" si="30"/>
        <v>0</v>
      </c>
      <c r="BO25" s="434">
        <v>2.539351851851852E-2</v>
      </c>
      <c r="BP25" s="432">
        <f t="shared" si="31"/>
        <v>2.539351851851852E-2</v>
      </c>
      <c r="BQ25" s="163" t="e">
        <f>VLOOKUP($B:$B,'HT DIC'!$A:$AE,18,FALSE)</f>
        <v>#REF!</v>
      </c>
      <c r="BR25" s="432">
        <f t="shared" si="64"/>
        <v>0</v>
      </c>
      <c r="BS25" s="434">
        <v>2.7777777777777776E-2</v>
      </c>
      <c r="BT25" s="432">
        <f t="shared" si="33"/>
        <v>2.7777777777777776E-2</v>
      </c>
      <c r="BU25" s="163" t="e">
        <f>VLOOKUP($B:$B,'HT DIC'!$A:$AE,19,FALSE)</f>
        <v>#REF!</v>
      </c>
      <c r="BV25" s="432">
        <f t="shared" si="34"/>
        <v>0</v>
      </c>
      <c r="BW25" s="434">
        <v>3.3263888888888891E-2</v>
      </c>
      <c r="BX25" s="432">
        <f t="shared" si="35"/>
        <v>3.3263888888888891E-2</v>
      </c>
      <c r="BY25" s="163" t="e">
        <f>VLOOKUP($B:$B,'HT DIC'!$A:$AE,20,FALSE)</f>
        <v>#REF!</v>
      </c>
      <c r="BZ25" s="432">
        <f t="shared" si="65"/>
        <v>0</v>
      </c>
      <c r="CA25" s="434">
        <v>2.7777777777777776E-2</v>
      </c>
      <c r="CB25" s="432">
        <f t="shared" si="37"/>
        <v>2.7777777777777776E-2</v>
      </c>
      <c r="CC25" s="163" t="str">
        <f>VLOOKUP($B:$B,'HT DIC'!$A:$AE,21,FALSE)</f>
        <v>FI</v>
      </c>
      <c r="CD25" s="432">
        <f t="shared" si="38"/>
        <v>0</v>
      </c>
      <c r="CE25" s="432"/>
      <c r="CF25" s="432">
        <f t="shared" si="39"/>
        <v>0</v>
      </c>
      <c r="CG25" s="163" t="e">
        <f>VLOOKUP($B:$B,'HT DIC'!$A:$AE,22,FALSE)</f>
        <v>#REF!</v>
      </c>
      <c r="CH25" s="432">
        <f t="shared" si="40"/>
        <v>0</v>
      </c>
      <c r="CI25" s="434">
        <v>2.5509259259259259E-2</v>
      </c>
      <c r="CJ25" s="432">
        <f t="shared" si="72"/>
        <v>2.5509259259259259E-2</v>
      </c>
      <c r="CK25" s="163">
        <f>VLOOKUP($B:$B,'HT DIC'!$A:$AE,23,FALSE)</f>
        <v>11</v>
      </c>
      <c r="CL25" s="432">
        <f t="shared" si="42"/>
        <v>3.4722222222222224E-2</v>
      </c>
      <c r="CM25" s="432">
        <v>3.0104166666666668E-2</v>
      </c>
      <c r="CN25" s="432">
        <f t="shared" si="43"/>
        <v>0</v>
      </c>
      <c r="CO25" s="163" t="e">
        <f>VLOOKUP($B:$B,'HT DIC'!$A:$AE,24,FALSE)</f>
        <v>#REF!</v>
      </c>
      <c r="CP25" s="432">
        <f t="shared" si="44"/>
        <v>0</v>
      </c>
      <c r="CQ25" s="434">
        <v>3.1944444444444442E-2</v>
      </c>
      <c r="CR25" s="432">
        <f t="shared" si="45"/>
        <v>3.1944444444444442E-2</v>
      </c>
      <c r="CS25" s="163" t="e">
        <f>VLOOKUP($B:$B,'HT DIC'!$A:$AE,25,FALSE)</f>
        <v>#REF!</v>
      </c>
      <c r="CT25" s="432">
        <f t="shared" si="46"/>
        <v>0</v>
      </c>
      <c r="CU25" s="432">
        <v>2.7800925925925927E-2</v>
      </c>
      <c r="CV25" s="432">
        <f t="shared" si="47"/>
        <v>2.7800925925925927E-2</v>
      </c>
      <c r="CW25" s="163" t="e">
        <f>VLOOKUP($B:$B,'HT DIC'!$A:$AE,26,FALSE)</f>
        <v>#REF!</v>
      </c>
      <c r="CX25" s="432">
        <f t="shared" si="48"/>
        <v>0</v>
      </c>
      <c r="CY25" s="434">
        <v>2.9537037037037039E-2</v>
      </c>
      <c r="CZ25" s="432">
        <f t="shared" si="49"/>
        <v>2.9537037037037039E-2</v>
      </c>
      <c r="DA25" s="163">
        <f>VLOOKUP($B:$B,'HT DIC'!$A:$AE,27,FALSE)</f>
        <v>11</v>
      </c>
      <c r="DB25" s="432">
        <f t="shared" si="66"/>
        <v>3.4722222222222224E-2</v>
      </c>
      <c r="DC25" s="434">
        <v>2.2210648148148149E-2</v>
      </c>
      <c r="DD25" s="432">
        <f t="shared" si="51"/>
        <v>0</v>
      </c>
      <c r="DE25" s="163">
        <f>VLOOKUP($B:$B,'HT DIC'!$A:$AE,28,FALSE)</f>
        <v>11</v>
      </c>
      <c r="DF25" s="432">
        <f t="shared" si="52"/>
        <v>3.4722222222222224E-2</v>
      </c>
      <c r="DG25" s="434"/>
      <c r="DH25" s="432">
        <f t="shared" si="53"/>
        <v>0</v>
      </c>
      <c r="DI25" s="163">
        <f>VLOOKUP($B:$B,'HT DIC'!$A:$AE,29,FALSE)</f>
        <v>10</v>
      </c>
      <c r="DJ25" s="432">
        <f t="shared" si="73"/>
        <v>3.125E-2</v>
      </c>
      <c r="DK25" s="434">
        <v>4.9189814814814816E-3</v>
      </c>
      <c r="DL25" s="432">
        <f t="shared" si="55"/>
        <v>0</v>
      </c>
      <c r="DM25" s="163">
        <f>VLOOKUP($B:$B,'HT DIC'!$A:$AE,30,FALSE)</f>
        <v>11</v>
      </c>
      <c r="DN25" s="432">
        <f t="shared" si="68"/>
        <v>3.4722222222222224E-2</v>
      </c>
      <c r="DO25" s="434">
        <v>2.5127314814814814E-2</v>
      </c>
      <c r="DP25" s="432">
        <f t="shared" si="57"/>
        <v>0</v>
      </c>
      <c r="DQ25" s="163">
        <f>VLOOKUP($B:$B,'HT DIC'!$A:$AE,31,FALSE)</f>
        <v>11</v>
      </c>
      <c r="DR25" s="432">
        <f t="shared" si="58"/>
        <v>3.4722222222222224E-2</v>
      </c>
      <c r="DS25" s="434">
        <v>3.1377314814814816E-2</v>
      </c>
      <c r="DT25" s="432">
        <f t="shared" si="59"/>
        <v>0</v>
      </c>
      <c r="DU25" s="163" t="e">
        <f>VLOOKUP($B:$B,'HT DIC'!$A:$AE,32,FALSE)</f>
        <v>#REF!</v>
      </c>
      <c r="DV25" s="432">
        <f t="shared" si="60"/>
        <v>0</v>
      </c>
      <c r="DW25" s="434"/>
      <c r="DX25" s="432">
        <f t="shared" si="61"/>
        <v>0</v>
      </c>
      <c r="DY25" s="432">
        <f t="shared" si="69"/>
        <v>0.58193287037037023</v>
      </c>
    </row>
    <row r="26" spans="1:129">
      <c r="A26" s="166" t="s">
        <v>167</v>
      </c>
      <c r="B26" s="166" t="s">
        <v>116</v>
      </c>
      <c r="C26" s="166">
        <v>1729371052</v>
      </c>
      <c r="D26" s="431">
        <v>38299</v>
      </c>
      <c r="E26" s="163" t="e">
        <f>VLOOKUP($B:$B,#REF!,2,FALSE)</f>
        <v>#REF!</v>
      </c>
      <c r="F26" s="432">
        <f t="shared" si="0"/>
        <v>0</v>
      </c>
      <c r="G26" s="434">
        <v>2.525462962962963E-2</v>
      </c>
      <c r="H26" s="432">
        <f t="shared" si="1"/>
        <v>2.525462962962963E-2</v>
      </c>
      <c r="I26" s="163" t="e">
        <f>VLOOKUP($B:$B,'HT DIC'!$A:$AE,3,FALSE)</f>
        <v>#REF!</v>
      </c>
      <c r="J26" s="432">
        <f t="shared" si="2"/>
        <v>0</v>
      </c>
      <c r="K26" s="434">
        <v>3.8668981481481485E-2</v>
      </c>
      <c r="L26" s="432">
        <f t="shared" si="3"/>
        <v>3.8668981481481485E-2</v>
      </c>
      <c r="M26" s="163" t="e">
        <f>VLOOKUP($B:$B,'HT DIC'!$A:$AE,4,FALSE)</f>
        <v>#REF!</v>
      </c>
      <c r="N26" s="432">
        <f t="shared" si="4"/>
        <v>0</v>
      </c>
      <c r="O26" s="432">
        <v>2.9745370370370373E-3</v>
      </c>
      <c r="P26" s="432">
        <f t="shared" si="70"/>
        <v>2.9745370370370373E-3</v>
      </c>
      <c r="Q26" s="163" t="e">
        <f>VLOOKUP($B:$B,'HT DIC'!$A:$AE,5,FALSE)</f>
        <v>#REF!</v>
      </c>
      <c r="R26" s="432">
        <f t="shared" si="6"/>
        <v>0</v>
      </c>
      <c r="S26" s="432">
        <v>3.9305555555555559E-2</v>
      </c>
      <c r="T26" s="432">
        <f t="shared" si="7"/>
        <v>3.9305555555555559E-2</v>
      </c>
      <c r="U26" s="163" t="e">
        <f>VLOOKUP($B:$B,'HT DIC'!$A:$AE,6,FALSE)</f>
        <v>#REF!</v>
      </c>
      <c r="V26" s="432">
        <f t="shared" si="8"/>
        <v>0</v>
      </c>
      <c r="W26" s="434">
        <v>1.3136574074074075E-2</v>
      </c>
      <c r="X26" s="432">
        <f t="shared" si="71"/>
        <v>1.3136574074074075E-2</v>
      </c>
      <c r="Y26" s="163" t="e">
        <f>VLOOKUP($B:$B,'HT DIC'!$A:$AE,7,FALSE)</f>
        <v>#REF!</v>
      </c>
      <c r="Z26" s="432">
        <f t="shared" si="10"/>
        <v>0</v>
      </c>
      <c r="AA26" s="434">
        <v>4.3784722222222225E-2</v>
      </c>
      <c r="AB26" s="432">
        <f t="shared" si="11"/>
        <v>4.3784722222222225E-2</v>
      </c>
      <c r="AC26" s="163" t="e">
        <f>VLOOKUP($B:$B,'HT DIC'!$A:$AE,8,FALSE)</f>
        <v>#REF!</v>
      </c>
      <c r="AD26" s="432">
        <f t="shared" si="12"/>
        <v>0</v>
      </c>
      <c r="AE26" s="434"/>
      <c r="AF26" s="432">
        <f t="shared" si="13"/>
        <v>0</v>
      </c>
      <c r="AG26" s="163" t="e">
        <f>VLOOKUP($B:$B,'HT DIC'!$A:$AE,9,FALSE)</f>
        <v>#REF!</v>
      </c>
      <c r="AH26" s="432">
        <f t="shared" si="14"/>
        <v>0</v>
      </c>
      <c r="AI26" s="434"/>
      <c r="AJ26" s="432">
        <f t="shared" si="15"/>
        <v>0</v>
      </c>
      <c r="AK26" s="163" t="e">
        <f>VLOOKUP($B:$B,'HT DIC'!$A:$AE,10,FALSE)</f>
        <v>#REF!</v>
      </c>
      <c r="AL26" s="432">
        <f t="shared" si="16"/>
        <v>0</v>
      </c>
      <c r="AM26" s="434">
        <v>1.1354166666666667E-2</v>
      </c>
      <c r="AN26" s="432">
        <f t="shared" si="17"/>
        <v>1.1354166666666667E-2</v>
      </c>
      <c r="AO26" s="163" t="e">
        <f>VLOOKUP($B:$B,'HT DIC'!$A:$AE,11,FALSE)</f>
        <v>#REF!</v>
      </c>
      <c r="AP26" s="432">
        <f t="shared" si="18"/>
        <v>0</v>
      </c>
      <c r="AQ26" s="432">
        <v>3.4722222222222224E-2</v>
      </c>
      <c r="AR26" s="432">
        <f t="shared" si="19"/>
        <v>3.4722222222222224E-2</v>
      </c>
      <c r="AS26" s="163" t="e">
        <f>VLOOKUP($B:$B,'HT DIC'!$A:$AE,12,FALSE)</f>
        <v>#REF!</v>
      </c>
      <c r="AT26" s="432">
        <f t="shared" si="20"/>
        <v>0</v>
      </c>
      <c r="AU26" s="434">
        <v>3.125E-2</v>
      </c>
      <c r="AV26" s="432">
        <f t="shared" si="21"/>
        <v>3.125E-2</v>
      </c>
      <c r="AW26" s="163" t="e">
        <f>VLOOKUP($B:$B,'HT DIC'!$A:$AE,13,FALSE)</f>
        <v>#REF!</v>
      </c>
      <c r="AX26" s="432">
        <f t="shared" si="22"/>
        <v>0</v>
      </c>
      <c r="AY26" s="434">
        <v>3.4722222222222224E-2</v>
      </c>
      <c r="AZ26" s="432">
        <f t="shared" si="23"/>
        <v>3.4722222222222224E-2</v>
      </c>
      <c r="BA26" s="163" t="e">
        <f>VLOOKUP($B:$B,'HT DIC'!$A:$AE,14,FALSE)</f>
        <v>#REF!</v>
      </c>
      <c r="BB26" s="432">
        <f t="shared" si="24"/>
        <v>0</v>
      </c>
      <c r="BC26" s="434">
        <v>5.0960648148148151E-2</v>
      </c>
      <c r="BD26" s="432">
        <f t="shared" si="25"/>
        <v>5.0960648148148151E-2</v>
      </c>
      <c r="BE26" s="163" t="e">
        <f>VLOOKUP($B:$B,'HT DIC'!$A:$AE,15,FALSE)</f>
        <v>#REF!</v>
      </c>
      <c r="BF26" s="432">
        <f t="shared" si="26"/>
        <v>0</v>
      </c>
      <c r="BG26" s="434"/>
      <c r="BH26" s="432">
        <f t="shared" si="27"/>
        <v>0</v>
      </c>
      <c r="BI26" s="163" t="e">
        <f>VLOOKUP($B:$B,'HT DIC'!$A:$AE,16,FALSE)</f>
        <v>#REF!</v>
      </c>
      <c r="BJ26" s="432">
        <f t="shared" si="63"/>
        <v>0</v>
      </c>
      <c r="BK26" s="434">
        <v>4.8229166666666663E-2</v>
      </c>
      <c r="BL26" s="432">
        <f t="shared" si="29"/>
        <v>4.8229166666666663E-2</v>
      </c>
      <c r="BM26" s="163" t="e">
        <f>VLOOKUP($B:$B,'HT DIC'!$A:$AE,17,FALSE)</f>
        <v>#REF!</v>
      </c>
      <c r="BN26" s="432">
        <f t="shared" si="30"/>
        <v>0</v>
      </c>
      <c r="BO26" s="434">
        <v>4.1666666666666664E-2</v>
      </c>
      <c r="BP26" s="432">
        <f t="shared" si="31"/>
        <v>4.1666666666666664E-2</v>
      </c>
      <c r="BQ26" s="163" t="e">
        <f>VLOOKUP($B:$B,'HT DIC'!$A:$AE,18,FALSE)</f>
        <v>#REF!</v>
      </c>
      <c r="BR26" s="432">
        <f t="shared" si="64"/>
        <v>0</v>
      </c>
      <c r="BS26" s="434">
        <v>3.4722222222222224E-2</v>
      </c>
      <c r="BT26" s="432">
        <f t="shared" si="33"/>
        <v>3.4722222222222224E-2</v>
      </c>
      <c r="BU26" s="163" t="e">
        <f>VLOOKUP($B:$B,'HT DIC'!$A:$AE,19,FALSE)</f>
        <v>#REF!</v>
      </c>
      <c r="BV26" s="432">
        <f t="shared" si="34"/>
        <v>0</v>
      </c>
      <c r="BW26" s="434">
        <v>3.4722222222222224E-2</v>
      </c>
      <c r="BX26" s="432">
        <f t="shared" si="35"/>
        <v>3.4722222222222224E-2</v>
      </c>
      <c r="BY26" s="163" t="e">
        <f>VLOOKUP($B:$B,'HT DIC'!$A:$AE,20,FALSE)</f>
        <v>#REF!</v>
      </c>
      <c r="BZ26" s="432">
        <f t="shared" si="65"/>
        <v>0</v>
      </c>
      <c r="CA26" s="434">
        <v>3.8194444444444448E-2</v>
      </c>
      <c r="CB26" s="432">
        <f t="shared" si="37"/>
        <v>3.8194444444444448E-2</v>
      </c>
      <c r="CC26" s="163" t="e">
        <f>VLOOKUP($B:$B,'HT DIC'!$A:$AE,21,FALSE)</f>
        <v>#REF!</v>
      </c>
      <c r="CD26" s="432">
        <f t="shared" si="38"/>
        <v>0</v>
      </c>
      <c r="CE26" s="432"/>
      <c r="CF26" s="432">
        <f t="shared" si="39"/>
        <v>0</v>
      </c>
      <c r="CG26" s="163" t="e">
        <f>VLOOKUP($B:$B,'HT DIC'!$A:$AE,22,FALSE)</f>
        <v>#REF!</v>
      </c>
      <c r="CH26" s="432">
        <f t="shared" si="40"/>
        <v>0</v>
      </c>
      <c r="CI26" s="434">
        <v>3.2256944444444442E-2</v>
      </c>
      <c r="CJ26" s="432">
        <f t="shared" si="72"/>
        <v>3.2256944444444442E-2</v>
      </c>
      <c r="CK26" s="163">
        <f>VLOOKUP($B:$B,'HT DIC'!$A:$AE,23,FALSE)</f>
        <v>13</v>
      </c>
      <c r="CL26" s="432">
        <f t="shared" si="42"/>
        <v>4.1666666666666664E-2</v>
      </c>
      <c r="CM26" s="432">
        <v>5.0046296296296297E-2</v>
      </c>
      <c r="CN26" s="432">
        <f t="shared" si="43"/>
        <v>8.3796296296296327E-3</v>
      </c>
      <c r="CO26" s="163" t="e">
        <f>VLOOKUP($B:$B,'HT DIC'!$A:$AE,24,FALSE)</f>
        <v>#REF!</v>
      </c>
      <c r="CP26" s="432">
        <f t="shared" si="44"/>
        <v>0</v>
      </c>
      <c r="CQ26" s="434">
        <v>3.8194444444444448E-2</v>
      </c>
      <c r="CR26" s="432">
        <f t="shared" si="45"/>
        <v>3.8194444444444448E-2</v>
      </c>
      <c r="CS26" s="163" t="e">
        <f>VLOOKUP($B:$B,'HT DIC'!$A:$AE,25,FALSE)</f>
        <v>#REF!</v>
      </c>
      <c r="CT26" s="432">
        <f t="shared" si="46"/>
        <v>0</v>
      </c>
      <c r="CU26" s="432">
        <v>4.87037037037037E-2</v>
      </c>
      <c r="CV26" s="432">
        <f t="shared" si="47"/>
        <v>4.87037037037037E-2</v>
      </c>
      <c r="CW26" s="163" t="e">
        <f>VLOOKUP($B:$B,'HT DIC'!$A:$AE,26,FALSE)</f>
        <v>#REF!</v>
      </c>
      <c r="CX26" s="432">
        <f t="shared" si="48"/>
        <v>0</v>
      </c>
      <c r="CY26" s="434">
        <v>3.8194444444444448E-2</v>
      </c>
      <c r="CZ26" s="432">
        <f t="shared" si="49"/>
        <v>3.8194444444444448E-2</v>
      </c>
      <c r="DA26" s="163">
        <f>VLOOKUP($B:$B,'HT DIC'!$A:$AE,27,FALSE)</f>
        <v>6</v>
      </c>
      <c r="DB26" s="432">
        <f t="shared" si="66"/>
        <v>1.7361111111111112E-2</v>
      </c>
      <c r="DC26" s="434">
        <v>4.2222222222222223E-2</v>
      </c>
      <c r="DD26" s="432">
        <f t="shared" si="51"/>
        <v>2.4861111111111112E-2</v>
      </c>
      <c r="DE26" s="163">
        <f>VLOOKUP($B:$B,'HT DIC'!$A:$AE,28,FALSE)</f>
        <v>6</v>
      </c>
      <c r="DF26" s="432">
        <f t="shared" si="52"/>
        <v>1.7361111111111112E-2</v>
      </c>
      <c r="DG26" s="434">
        <v>3.125E-2</v>
      </c>
      <c r="DH26" s="432">
        <f t="shared" si="53"/>
        <v>1.3888888888888888E-2</v>
      </c>
      <c r="DI26" s="163">
        <f>VLOOKUP($B:$B,'HT DIC'!$A:$AE,29,FALSE)</f>
        <v>11</v>
      </c>
      <c r="DJ26" s="432">
        <f t="shared" si="73"/>
        <v>3.4722222222222224E-2</v>
      </c>
      <c r="DK26" s="434">
        <v>3.125E-2</v>
      </c>
      <c r="DL26" s="432">
        <f t="shared" si="55"/>
        <v>0</v>
      </c>
      <c r="DM26" s="163">
        <f>VLOOKUP($B:$B,'HT DIC'!$A:$AE,30,FALSE)</f>
        <v>13</v>
      </c>
      <c r="DN26" s="432">
        <f t="shared" si="68"/>
        <v>4.1666666666666664E-2</v>
      </c>
      <c r="DO26" s="434">
        <v>3.4722222222222224E-2</v>
      </c>
      <c r="DP26" s="432">
        <f t="shared" si="57"/>
        <v>0</v>
      </c>
      <c r="DQ26" s="163">
        <f>VLOOKUP($B:$B,'HT DIC'!$A:$AE,31,FALSE)</f>
        <v>12</v>
      </c>
      <c r="DR26" s="432">
        <f t="shared" si="58"/>
        <v>3.8194444444444448E-2</v>
      </c>
      <c r="DS26" s="434">
        <v>4.7766203703703707E-2</v>
      </c>
      <c r="DT26" s="432">
        <f t="shared" si="59"/>
        <v>9.571759259259259E-3</v>
      </c>
      <c r="DU26" s="163" t="e">
        <f>VLOOKUP($B:$B,'HT DIC'!$A:$AE,32,FALSE)</f>
        <v>#REF!</v>
      </c>
      <c r="DV26" s="432">
        <f t="shared" si="60"/>
        <v>0</v>
      </c>
      <c r="DW26" s="434"/>
      <c r="DX26" s="432">
        <f t="shared" si="61"/>
        <v>0</v>
      </c>
      <c r="DY26" s="432">
        <f t="shared" si="69"/>
        <v>0.73771990740740734</v>
      </c>
    </row>
    <row r="27" spans="1:129">
      <c r="A27" s="166" t="s">
        <v>332</v>
      </c>
      <c r="B27" s="166" t="s">
        <v>121</v>
      </c>
      <c r="C27" s="166">
        <v>1725573081</v>
      </c>
      <c r="D27" s="431">
        <v>37311</v>
      </c>
      <c r="E27" s="163" t="e">
        <f>VLOOKUP($B:$B,#REF!,2,FALSE)</f>
        <v>#REF!</v>
      </c>
      <c r="F27" s="432"/>
      <c r="G27" s="434"/>
      <c r="H27" s="432"/>
      <c r="I27" s="163"/>
      <c r="J27" s="432"/>
      <c r="K27" s="434"/>
      <c r="L27" s="432"/>
      <c r="M27" s="163"/>
      <c r="N27" s="432"/>
      <c r="O27" s="432"/>
      <c r="P27" s="432"/>
      <c r="Q27" s="163"/>
      <c r="R27" s="432"/>
      <c r="S27" s="432"/>
      <c r="T27" s="432"/>
      <c r="U27" s="163"/>
      <c r="V27" s="432"/>
      <c r="W27" s="434"/>
      <c r="X27" s="432"/>
      <c r="Y27" s="163"/>
      <c r="Z27" s="432"/>
      <c r="AA27" s="434"/>
      <c r="AB27" s="432"/>
      <c r="AC27" s="163"/>
      <c r="AD27" s="432"/>
      <c r="AE27" s="434"/>
      <c r="AF27" s="432"/>
      <c r="AG27" s="163"/>
      <c r="AH27" s="432"/>
      <c r="AI27" s="434"/>
      <c r="AJ27" s="432"/>
      <c r="AK27" s="163"/>
      <c r="AL27" s="432"/>
      <c r="AM27" s="434"/>
      <c r="AN27" s="432"/>
      <c r="AO27" s="163"/>
      <c r="AP27" s="432"/>
      <c r="AQ27" s="432"/>
      <c r="AR27" s="432"/>
      <c r="AS27" s="163"/>
      <c r="AT27" s="432"/>
      <c r="AU27" s="434"/>
      <c r="AV27" s="432"/>
      <c r="AW27" s="163" t="e">
        <f>VLOOKUP($B:$B,'HT DIC'!$A:$AE,13,FALSE)</f>
        <v>#REF!</v>
      </c>
      <c r="AX27" s="432">
        <f t="shared" si="22"/>
        <v>0</v>
      </c>
      <c r="AY27" s="434">
        <v>9.5023148148148141E-3</v>
      </c>
      <c r="AZ27" s="432">
        <f t="shared" si="23"/>
        <v>9.5023148148148141E-3</v>
      </c>
      <c r="BA27" s="163" t="e">
        <f>VLOOKUP($B:$B,'HT DIC'!$A:$AE,14,FALSE)</f>
        <v>#REF!</v>
      </c>
      <c r="BB27" s="432">
        <f t="shared" si="24"/>
        <v>0</v>
      </c>
      <c r="BC27" s="434"/>
      <c r="BD27" s="432">
        <f t="shared" si="25"/>
        <v>0</v>
      </c>
      <c r="BE27" s="163" t="e">
        <f>VLOOKUP($B:$B,'HT DIC'!$A:$AE,15,FALSE)</f>
        <v>#REF!</v>
      </c>
      <c r="BF27" s="432">
        <f t="shared" si="26"/>
        <v>0</v>
      </c>
      <c r="BG27" s="434"/>
      <c r="BH27" s="432">
        <f t="shared" si="27"/>
        <v>0</v>
      </c>
      <c r="BI27" s="163" t="e">
        <f>VLOOKUP($B:$B,'HT DIC'!$A:$AE,16,FALSE)</f>
        <v>#REF!</v>
      </c>
      <c r="BJ27" s="432">
        <f t="shared" si="63"/>
        <v>0</v>
      </c>
      <c r="BK27" s="434">
        <v>1.7361111111111112E-2</v>
      </c>
      <c r="BL27" s="432">
        <f t="shared" si="29"/>
        <v>1.7361111111111112E-2</v>
      </c>
      <c r="BM27" s="163" t="e">
        <f>VLOOKUP($B:$B,'HT DIC'!$A:$AE,17,FALSE)</f>
        <v>#REF!</v>
      </c>
      <c r="BN27" s="432">
        <f t="shared" si="30"/>
        <v>0</v>
      </c>
      <c r="BO27" s="434">
        <v>2.1979166666666668E-2</v>
      </c>
      <c r="BP27" s="432">
        <f t="shared" si="31"/>
        <v>2.1979166666666668E-2</v>
      </c>
      <c r="BQ27" s="163" t="e">
        <f>VLOOKUP($B:$B,'HT DIC'!$A:$AE,18,FALSE)</f>
        <v>#REF!</v>
      </c>
      <c r="BR27" s="432">
        <f t="shared" si="64"/>
        <v>0</v>
      </c>
      <c r="BS27" s="434">
        <v>1.7650462962962962E-2</v>
      </c>
      <c r="BT27" s="432">
        <f t="shared" si="33"/>
        <v>1.7650462962962962E-2</v>
      </c>
      <c r="BU27" s="163" t="e">
        <f>VLOOKUP($B:$B,'HT DIC'!$A:$AE,19,FALSE)</f>
        <v>#REF!</v>
      </c>
      <c r="BV27" s="432">
        <f t="shared" si="34"/>
        <v>0</v>
      </c>
      <c r="BW27" s="434">
        <v>1.8842592592592591E-2</v>
      </c>
      <c r="BX27" s="432">
        <f t="shared" si="35"/>
        <v>1.8842592592592591E-2</v>
      </c>
      <c r="BY27" s="163" t="e">
        <f>VLOOKUP($B:$B,'HT DIC'!$A:$AE,20,FALSE)</f>
        <v>#REF!</v>
      </c>
      <c r="BZ27" s="432">
        <f t="shared" si="65"/>
        <v>0</v>
      </c>
      <c r="CA27" s="434">
        <v>1.7361111111111112E-2</v>
      </c>
      <c r="CB27" s="432">
        <f t="shared" si="37"/>
        <v>1.7361111111111112E-2</v>
      </c>
      <c r="CC27" s="163" t="e">
        <f>VLOOKUP($B:$B,'HT DIC'!$A:$AE,21,FALSE)</f>
        <v>#REF!</v>
      </c>
      <c r="CD27" s="432">
        <f t="shared" si="38"/>
        <v>0</v>
      </c>
      <c r="CE27" s="432"/>
      <c r="CF27" s="432">
        <f t="shared" si="39"/>
        <v>0</v>
      </c>
      <c r="CG27" s="163" t="e">
        <f>VLOOKUP($B:$B,'HT DIC'!$A:$AE,22,FALSE)</f>
        <v>#REF!</v>
      </c>
      <c r="CH27" s="432">
        <f t="shared" si="40"/>
        <v>0</v>
      </c>
      <c r="CI27" s="434"/>
      <c r="CJ27" s="432">
        <f t="shared" si="72"/>
        <v>0</v>
      </c>
      <c r="CK27" s="163">
        <f>VLOOKUP($B:$B,'HT DIC'!$A:$AE,23,FALSE)</f>
        <v>11</v>
      </c>
      <c r="CL27" s="432">
        <f t="shared" si="42"/>
        <v>3.4722222222222224E-2</v>
      </c>
      <c r="CM27" s="432">
        <v>1.4872685185185185E-2</v>
      </c>
      <c r="CN27" s="432">
        <f t="shared" si="43"/>
        <v>0</v>
      </c>
      <c r="CO27" s="163" t="e">
        <f>VLOOKUP($B:$B,'HT DIC'!$A:$AE,24,FALSE)</f>
        <v>#REF!</v>
      </c>
      <c r="CP27" s="432">
        <f t="shared" si="44"/>
        <v>0</v>
      </c>
      <c r="CQ27" s="434">
        <v>1.861111111111111E-2</v>
      </c>
      <c r="CR27" s="432">
        <f t="shared" si="45"/>
        <v>1.861111111111111E-2</v>
      </c>
      <c r="CS27" s="163" t="e">
        <f>VLOOKUP($B:$B,'HT DIC'!$A:$AE,25,FALSE)</f>
        <v>#REF!</v>
      </c>
      <c r="CT27" s="432">
        <f t="shared" si="46"/>
        <v>0</v>
      </c>
      <c r="CU27" s="432">
        <v>1.7361111111111112E-2</v>
      </c>
      <c r="CV27" s="432">
        <f t="shared" si="47"/>
        <v>1.7361111111111112E-2</v>
      </c>
      <c r="CW27" s="163" t="e">
        <f>VLOOKUP($B:$B,'HT DIC'!$A:$AE,26,FALSE)</f>
        <v>#REF!</v>
      </c>
      <c r="CX27" s="432">
        <f t="shared" si="48"/>
        <v>0</v>
      </c>
      <c r="CY27" s="434">
        <v>1.7361111111111112E-2</v>
      </c>
      <c r="CZ27" s="432">
        <f t="shared" si="49"/>
        <v>1.7361111111111112E-2</v>
      </c>
      <c r="DA27" s="163">
        <f>VLOOKUP($B:$B,'HT DIC'!$A:$AE,27,FALSE)</f>
        <v>10</v>
      </c>
      <c r="DB27" s="432">
        <f t="shared" si="66"/>
        <v>3.125E-2</v>
      </c>
      <c r="DC27" s="434">
        <v>1.7361111111111112E-2</v>
      </c>
      <c r="DD27" s="432">
        <f t="shared" si="51"/>
        <v>0</v>
      </c>
      <c r="DE27" s="163">
        <f>VLOOKUP($B:$B,'HT DIC'!$A:$AE,28,FALSE)</f>
        <v>0</v>
      </c>
      <c r="DF27" s="432">
        <f t="shared" si="52"/>
        <v>0</v>
      </c>
      <c r="DG27" s="434"/>
      <c r="DH27" s="432">
        <f t="shared" si="53"/>
        <v>0</v>
      </c>
      <c r="DI27" s="163">
        <f>VLOOKUP($B:$B,'HT DIC'!$A:$AE,29,FALSE)</f>
        <v>11</v>
      </c>
      <c r="DJ27" s="432">
        <f t="shared" si="73"/>
        <v>3.4722222222222224E-2</v>
      </c>
      <c r="DK27" s="434"/>
      <c r="DL27" s="432">
        <f t="shared" si="55"/>
        <v>0</v>
      </c>
      <c r="DM27" s="163">
        <f>VLOOKUP($B:$B,'HT DIC'!$A:$AE,30,FALSE)</f>
        <v>11</v>
      </c>
      <c r="DN27" s="432">
        <f t="shared" si="68"/>
        <v>3.4722222222222224E-2</v>
      </c>
      <c r="DO27" s="434">
        <v>1.7361111111111112E-2</v>
      </c>
      <c r="DP27" s="432">
        <f t="shared" si="57"/>
        <v>0</v>
      </c>
      <c r="DQ27" s="163">
        <f>VLOOKUP($B:$B,'HT DIC'!$A:$AE,31,FALSE)</f>
        <v>11</v>
      </c>
      <c r="DR27" s="432">
        <f t="shared" si="58"/>
        <v>3.4722222222222224E-2</v>
      </c>
      <c r="DS27" s="434">
        <v>1.9652777777777779E-2</v>
      </c>
      <c r="DT27" s="432">
        <f t="shared" si="59"/>
        <v>0</v>
      </c>
      <c r="DU27" s="163" t="e">
        <f>VLOOKUP($B:$B,'HT DIC'!$A:$AE,32,FALSE)</f>
        <v>#REF!</v>
      </c>
      <c r="DV27" s="432">
        <f t="shared" si="60"/>
        <v>0</v>
      </c>
      <c r="DW27" s="434"/>
      <c r="DX27" s="432">
        <f t="shared" si="61"/>
        <v>0</v>
      </c>
      <c r="DY27" s="432">
        <f t="shared" si="69"/>
        <v>0.1560300925925926</v>
      </c>
    </row>
    <row r="28" spans="1:129">
      <c r="A28" s="166" t="s">
        <v>171</v>
      </c>
      <c r="B28" s="166" t="s">
        <v>123</v>
      </c>
      <c r="C28" s="166">
        <v>1725480485</v>
      </c>
      <c r="D28" s="431">
        <v>34035</v>
      </c>
      <c r="E28" s="163" t="e">
        <f>VLOOKUP($B:$B,#REF!,2,FALSE)</f>
        <v>#REF!</v>
      </c>
      <c r="F28" s="432">
        <f t="shared" ref="F28:F59" si="74">IFERROR(VLOOKUP(E28,$B$229:$E$245,2,FALSE),0)</f>
        <v>0</v>
      </c>
      <c r="G28" s="434">
        <v>7.951388888888888E-3</v>
      </c>
      <c r="H28" s="432">
        <f t="shared" ref="H28:H59" si="75">IF(G28-F28&lt;0,0,G28-F28)</f>
        <v>7.951388888888888E-3</v>
      </c>
      <c r="I28" s="163" t="e">
        <f>VLOOKUP($B:$B,'HT DIC'!$A:$AE,3,FALSE)</f>
        <v>#REF!</v>
      </c>
      <c r="J28" s="432">
        <f t="shared" ref="J28:J59" si="76">IFERROR(VLOOKUP(I28,$B$229:$E$245,2,FALSE),0)</f>
        <v>0</v>
      </c>
      <c r="K28" s="434">
        <v>1.5821759259259258E-2</v>
      </c>
      <c r="L28" s="432">
        <f t="shared" ref="L28:L59" si="77">IF(K28-J28&lt;0,0,K28-J28)</f>
        <v>1.5821759259259258E-2</v>
      </c>
      <c r="M28" s="163" t="e">
        <f>VLOOKUP($B:$B,'HT DIC'!$A:$AE,4,FALSE)</f>
        <v>#REF!</v>
      </c>
      <c r="N28" s="432">
        <f t="shared" ref="N28:N59" si="78">IFERROR(VLOOKUP(M28,$B$229:$E$245,2,FALSE),0)</f>
        <v>0</v>
      </c>
      <c r="O28" s="432">
        <v>3.0902777777777779E-2</v>
      </c>
      <c r="P28" s="432">
        <f t="shared" ref="P28:P55" si="79">IF(O28-N28&lt;0,0,O28-N28)</f>
        <v>3.0902777777777779E-2</v>
      </c>
      <c r="Q28" s="163" t="e">
        <f>VLOOKUP($B:$B,'HT DIC'!$A:$AE,5,FALSE)</f>
        <v>#REF!</v>
      </c>
      <c r="R28" s="432">
        <f t="shared" ref="R28:R59" si="80">IFERROR(VLOOKUP(Q28,$B$229:$E$245,2,FALSE),0)</f>
        <v>0</v>
      </c>
      <c r="S28" s="432">
        <v>2.7789351851851853E-2</v>
      </c>
      <c r="T28" s="432">
        <f t="shared" ref="T28:T59" si="81">IF(S28-R28&lt;0,0,S28-R28)</f>
        <v>2.7789351851851853E-2</v>
      </c>
      <c r="U28" s="163" t="e">
        <f>VLOOKUP($B:$B,'HT DIC'!$A:$AE,6,FALSE)</f>
        <v>#REF!</v>
      </c>
      <c r="V28" s="432">
        <f t="shared" ref="V28:V59" si="82">IFERROR(VLOOKUP(U28,$B$229:$E$245,2,FALSE),0)</f>
        <v>0</v>
      </c>
      <c r="W28" s="434">
        <v>2.7523148148148147E-2</v>
      </c>
      <c r="X28" s="432">
        <f t="shared" ref="X28:X59" si="83">IF(W28-V28&lt;0,0,W28-V28)</f>
        <v>2.7523148148148147E-2</v>
      </c>
      <c r="Y28" s="163" t="e">
        <f>VLOOKUP($B:$B,'HT DIC'!$A:$AE,7,FALSE)</f>
        <v>#REF!</v>
      </c>
      <c r="Z28" s="432">
        <f t="shared" ref="Z28:Z59" si="84">IFERROR(VLOOKUP(Y28,$B$229:$E$245,2,FALSE),0)</f>
        <v>0</v>
      </c>
      <c r="AA28" s="434"/>
      <c r="AB28" s="432">
        <f t="shared" ref="AB28:AB59" si="85">IF(AA28-Z28&lt;0,0,AA28-Z28)</f>
        <v>0</v>
      </c>
      <c r="AC28" s="163" t="e">
        <f>VLOOKUP($B:$B,'HT DIC'!$A:$AE,8,FALSE)</f>
        <v>#REF!</v>
      </c>
      <c r="AD28" s="432">
        <f t="shared" ref="AD28:AD59" si="86">IFERROR(VLOOKUP(AC28,$B$229:$E$245,2,FALSE),0)</f>
        <v>0</v>
      </c>
      <c r="AE28" s="434">
        <v>5.0000000000000001E-3</v>
      </c>
      <c r="AF28" s="432">
        <f t="shared" ref="AF28:AF59" si="87">IF(AE28-AD28&lt;0,0,AE28-AD28)</f>
        <v>5.0000000000000001E-3</v>
      </c>
      <c r="AG28" s="163" t="e">
        <f>VLOOKUP($B:$B,'HT DIC'!$A:$AE,9,FALSE)</f>
        <v>#REF!</v>
      </c>
      <c r="AH28" s="432">
        <f t="shared" ref="AH28:AH59" si="88">IFERROR(VLOOKUP(AG28,$B$229:$E$245,2,FALSE),0)</f>
        <v>0</v>
      </c>
      <c r="AI28" s="434">
        <v>4.6296296296296294E-5</v>
      </c>
      <c r="AJ28" s="432">
        <f t="shared" ref="AJ28:AJ59" si="89">IF(AI28-AH28&lt;0,0,AI28-AH28)</f>
        <v>4.6296296296296294E-5</v>
      </c>
      <c r="AK28" s="163" t="e">
        <f>VLOOKUP($B:$B,'HT DIC'!$A:$AE,10,FALSE)</f>
        <v>#REF!</v>
      </c>
      <c r="AL28" s="432">
        <f t="shared" ref="AL28:AL59" si="90">IFERROR(VLOOKUP(AK28,$B$229:$E$245,2,FALSE),0)</f>
        <v>0</v>
      </c>
      <c r="AM28" s="434">
        <v>2.3252314814814816E-2</v>
      </c>
      <c r="AN28" s="432">
        <f t="shared" ref="AN28:AN59" si="91">IF(AM28-AL28&lt;0,0,AM28-AL28)</f>
        <v>2.3252314814814816E-2</v>
      </c>
      <c r="AO28" s="163" t="e">
        <f>VLOOKUP($B:$B,'HT DIC'!$A:$AE,11,FALSE)</f>
        <v>#REF!</v>
      </c>
      <c r="AP28" s="432">
        <f t="shared" ref="AP28:AP59" si="92">IFERROR(VLOOKUP(AO28,$B$229:$E$245,2,FALSE),0)</f>
        <v>0</v>
      </c>
      <c r="AQ28" s="432">
        <v>3.3854166666666664E-2</v>
      </c>
      <c r="AR28" s="432">
        <f t="shared" ref="AR28:AR59" si="93">IF(AQ28-AP28&lt;0,0,AQ28-AP28)</f>
        <v>3.3854166666666664E-2</v>
      </c>
      <c r="AS28" s="163" t="e">
        <f>VLOOKUP($B:$B,'HT DIC'!$A:$AE,12,FALSE)</f>
        <v>#REF!</v>
      </c>
      <c r="AT28" s="432">
        <f t="shared" ref="AT28:AT59" si="94">IFERROR(VLOOKUP(AS28,$B$229:$E$245,2,FALSE),0)</f>
        <v>0</v>
      </c>
      <c r="AU28" s="434">
        <v>3.6134259259259262E-2</v>
      </c>
      <c r="AV28" s="432">
        <f t="shared" ref="AV28:AV59" si="95">IF(AU28-AT28&lt;0,0,AU28-AT28)</f>
        <v>3.6134259259259262E-2</v>
      </c>
      <c r="AW28" s="163" t="e">
        <f>VLOOKUP($B:$B,'HT DIC'!$A:$AE,13,FALSE)</f>
        <v>#REF!</v>
      </c>
      <c r="AX28" s="432">
        <f t="shared" si="22"/>
        <v>0</v>
      </c>
      <c r="AY28" s="434">
        <v>3.4722222222222224E-2</v>
      </c>
      <c r="AZ28" s="432">
        <f t="shared" si="23"/>
        <v>3.4722222222222224E-2</v>
      </c>
      <c r="BA28" s="163" t="e">
        <f>VLOOKUP($B:$B,'HT DIC'!$A:$AE,14,FALSE)</f>
        <v>#REF!</v>
      </c>
      <c r="BB28" s="432">
        <f t="shared" si="24"/>
        <v>0</v>
      </c>
      <c r="BC28" s="434"/>
      <c r="BD28" s="432">
        <f t="shared" si="25"/>
        <v>0</v>
      </c>
      <c r="BE28" s="163" t="e">
        <f>VLOOKUP($B:$B,'HT DIC'!$A:$AE,15,FALSE)</f>
        <v>#REF!</v>
      </c>
      <c r="BF28" s="432">
        <f t="shared" si="26"/>
        <v>0</v>
      </c>
      <c r="BG28" s="434"/>
      <c r="BH28" s="432">
        <f t="shared" si="27"/>
        <v>0</v>
      </c>
      <c r="BI28" s="163" t="e">
        <f>VLOOKUP($B:$B,'HT DIC'!$A:$AE,16,FALSE)</f>
        <v>#REF!</v>
      </c>
      <c r="BJ28" s="432">
        <f t="shared" si="63"/>
        <v>0</v>
      </c>
      <c r="BK28" s="434">
        <v>3.3379629629629627E-2</v>
      </c>
      <c r="BL28" s="432">
        <f t="shared" si="29"/>
        <v>3.3379629629629627E-2</v>
      </c>
      <c r="BM28" s="163" t="e">
        <f>VLOOKUP($B:$B,'HT DIC'!$A:$AE,17,FALSE)</f>
        <v>#REF!</v>
      </c>
      <c r="BN28" s="432">
        <f t="shared" si="30"/>
        <v>0</v>
      </c>
      <c r="BO28" s="434">
        <v>3.2314814814814817E-2</v>
      </c>
      <c r="BP28" s="432">
        <f t="shared" si="31"/>
        <v>3.2314814814814817E-2</v>
      </c>
      <c r="BQ28" s="163" t="e">
        <f>VLOOKUP($B:$B,'HT DIC'!$A:$AE,18,FALSE)</f>
        <v>#REF!</v>
      </c>
      <c r="BR28" s="432">
        <f t="shared" si="64"/>
        <v>0</v>
      </c>
      <c r="BS28" s="434">
        <v>3.8807870370370368E-2</v>
      </c>
      <c r="BT28" s="432">
        <f t="shared" si="33"/>
        <v>3.8807870370370368E-2</v>
      </c>
      <c r="BU28" s="163" t="e">
        <f>VLOOKUP($B:$B,'HT DIC'!$A:$AE,19,FALSE)</f>
        <v>#REF!</v>
      </c>
      <c r="BV28" s="432">
        <f t="shared" si="34"/>
        <v>0</v>
      </c>
      <c r="BW28" s="434">
        <v>6.0162037037037035E-2</v>
      </c>
      <c r="BX28" s="432">
        <f t="shared" si="35"/>
        <v>6.0162037037037035E-2</v>
      </c>
      <c r="BY28" s="163" t="e">
        <f>VLOOKUP($B:$B,'HT DIC'!$A:$AE,20,FALSE)</f>
        <v>#REF!</v>
      </c>
      <c r="BZ28" s="432">
        <f t="shared" si="65"/>
        <v>0</v>
      </c>
      <c r="CA28" s="434">
        <v>5.347222222222222E-2</v>
      </c>
      <c r="CB28" s="432">
        <f t="shared" si="37"/>
        <v>5.347222222222222E-2</v>
      </c>
      <c r="CC28" s="163" t="e">
        <f>VLOOKUP($B:$B,'HT DIC'!$A:$AE,21,FALSE)</f>
        <v>#REF!</v>
      </c>
      <c r="CD28" s="432">
        <f t="shared" si="38"/>
        <v>0</v>
      </c>
      <c r="CE28" s="432"/>
      <c r="CF28" s="432">
        <f t="shared" si="39"/>
        <v>0</v>
      </c>
      <c r="CG28" s="163" t="e">
        <f>VLOOKUP($B:$B,'HT DIC'!$A:$AE,22,FALSE)</f>
        <v>#REF!</v>
      </c>
      <c r="CH28" s="432">
        <f t="shared" si="40"/>
        <v>0</v>
      </c>
      <c r="CI28" s="434">
        <v>4.476851851851852E-2</v>
      </c>
      <c r="CJ28" s="432">
        <f t="shared" si="72"/>
        <v>4.476851851851852E-2</v>
      </c>
      <c r="CK28" s="163">
        <f>VLOOKUP($B:$B,'HT DIC'!$A:$AE,23,FALSE)</f>
        <v>11</v>
      </c>
      <c r="CL28" s="432">
        <f t="shared" si="42"/>
        <v>3.4722222222222224E-2</v>
      </c>
      <c r="CM28" s="432">
        <v>4.2534722222222224E-2</v>
      </c>
      <c r="CN28" s="432">
        <f t="shared" si="43"/>
        <v>7.8125E-3</v>
      </c>
      <c r="CO28" s="163" t="e">
        <f>VLOOKUP($B:$B,'HT DIC'!$A:$AE,24,FALSE)</f>
        <v>#REF!</v>
      </c>
      <c r="CP28" s="432">
        <f t="shared" si="44"/>
        <v>0</v>
      </c>
      <c r="CQ28" s="434">
        <v>3.4722222222222224E-2</v>
      </c>
      <c r="CR28" s="432">
        <f t="shared" si="45"/>
        <v>3.4722222222222224E-2</v>
      </c>
      <c r="CS28" s="163" t="e">
        <f>VLOOKUP($B:$B,'HT DIC'!$A:$AE,25,FALSE)</f>
        <v>#REF!</v>
      </c>
      <c r="CT28" s="432">
        <f t="shared" si="46"/>
        <v>0</v>
      </c>
      <c r="CU28" s="432">
        <v>3.3530092592592591E-2</v>
      </c>
      <c r="CV28" s="432">
        <f t="shared" si="47"/>
        <v>3.3530092592592591E-2</v>
      </c>
      <c r="CW28" s="163" t="e">
        <f>VLOOKUP($B:$B,'HT DIC'!$A:$AE,26,FALSE)</f>
        <v>#REF!</v>
      </c>
      <c r="CX28" s="432">
        <f t="shared" si="48"/>
        <v>0</v>
      </c>
      <c r="CY28" s="434">
        <v>2.8287037037037038E-2</v>
      </c>
      <c r="CZ28" s="432">
        <f t="shared" si="49"/>
        <v>2.8287037037037038E-2</v>
      </c>
      <c r="DA28" s="163">
        <f>VLOOKUP($B:$B,'HT DIC'!$A:$AE,27,FALSE)</f>
        <v>11</v>
      </c>
      <c r="DB28" s="432">
        <f t="shared" si="66"/>
        <v>3.4722222222222224E-2</v>
      </c>
      <c r="DC28" s="434">
        <v>3.1261574074074074E-2</v>
      </c>
      <c r="DD28" s="432">
        <f t="shared" si="51"/>
        <v>0</v>
      </c>
      <c r="DE28" s="163">
        <f>VLOOKUP($B:$B,'HT DIC'!$A:$AE,28,FALSE)</f>
        <v>13</v>
      </c>
      <c r="DF28" s="432">
        <f t="shared" si="52"/>
        <v>4.1666666666666664E-2</v>
      </c>
      <c r="DG28" s="434"/>
      <c r="DH28" s="432">
        <f t="shared" si="53"/>
        <v>0</v>
      </c>
      <c r="DI28" s="163">
        <f>VLOOKUP($B:$B,'HT DIC'!$A:$AE,29,FALSE)</f>
        <v>12</v>
      </c>
      <c r="DJ28" s="432">
        <f t="shared" si="73"/>
        <v>3.8194444444444448E-2</v>
      </c>
      <c r="DK28" s="434">
        <v>2.7129629629629629E-2</v>
      </c>
      <c r="DL28" s="432">
        <f t="shared" si="55"/>
        <v>0</v>
      </c>
      <c r="DM28" s="163">
        <f>VLOOKUP($B:$B,'HT DIC'!$A:$AE,30,FALSE)</f>
        <v>0</v>
      </c>
      <c r="DN28" s="432">
        <f t="shared" si="68"/>
        <v>0</v>
      </c>
      <c r="DO28" s="434">
        <v>7.3530092592592591E-2</v>
      </c>
      <c r="DP28" s="432">
        <f t="shared" si="57"/>
        <v>7.3530092592592591E-2</v>
      </c>
      <c r="DQ28" s="163">
        <f>VLOOKUP($B:$B,'HT DIC'!$A:$AE,31,FALSE)</f>
        <v>11</v>
      </c>
      <c r="DR28" s="432">
        <f t="shared" si="58"/>
        <v>3.4722222222222224E-2</v>
      </c>
      <c r="DS28" s="434">
        <v>3.4722222222222224E-2</v>
      </c>
      <c r="DT28" s="432">
        <f t="shared" si="59"/>
        <v>0</v>
      </c>
      <c r="DU28" s="163" t="e">
        <f>VLOOKUP($B:$B,'HT DIC'!$A:$AE,32,FALSE)</f>
        <v>#REF!</v>
      </c>
      <c r="DV28" s="432">
        <f t="shared" si="60"/>
        <v>0</v>
      </c>
      <c r="DW28" s="434"/>
      <c r="DX28" s="432">
        <f t="shared" si="61"/>
        <v>0</v>
      </c>
      <c r="DY28" s="432">
        <f t="shared" si="69"/>
        <v>0.68378472222222209</v>
      </c>
    </row>
    <row r="29" spans="1:129">
      <c r="A29" s="166" t="s">
        <v>105</v>
      </c>
      <c r="B29" s="166" t="s">
        <v>125</v>
      </c>
      <c r="C29" s="166">
        <v>1728920677</v>
      </c>
      <c r="D29" s="431">
        <v>38114</v>
      </c>
      <c r="E29" s="163" t="e">
        <f>VLOOKUP($B:$B,#REF!,2,FALSE)</f>
        <v>#REF!</v>
      </c>
      <c r="F29" s="432">
        <f t="shared" si="74"/>
        <v>0</v>
      </c>
      <c r="G29" s="434">
        <v>2.8078703703703703E-2</v>
      </c>
      <c r="H29" s="432">
        <f t="shared" si="75"/>
        <v>2.8078703703703703E-2</v>
      </c>
      <c r="I29" s="163" t="e">
        <f>VLOOKUP($B:$B,'HT DIC'!$A:$AE,3,FALSE)</f>
        <v>#REF!</v>
      </c>
      <c r="J29" s="432">
        <f t="shared" si="76"/>
        <v>0</v>
      </c>
      <c r="K29" s="434">
        <v>2.6747685185185187E-2</v>
      </c>
      <c r="L29" s="432">
        <f t="shared" si="77"/>
        <v>2.6747685185185187E-2</v>
      </c>
      <c r="M29" s="163" t="e">
        <f>VLOOKUP($B:$B,'HT DIC'!$A:$AE,4,FALSE)</f>
        <v>#REF!</v>
      </c>
      <c r="N29" s="432">
        <f t="shared" si="78"/>
        <v>0</v>
      </c>
      <c r="O29" s="432">
        <v>2.5613425925925925E-2</v>
      </c>
      <c r="P29" s="432">
        <f t="shared" si="79"/>
        <v>2.5613425925925925E-2</v>
      </c>
      <c r="Q29" s="163" t="e">
        <f>VLOOKUP($B:$B,'HT DIC'!$A:$AE,5,FALSE)</f>
        <v>#REF!</v>
      </c>
      <c r="R29" s="432">
        <f t="shared" si="80"/>
        <v>0</v>
      </c>
      <c r="S29" s="432">
        <v>3.2847222222222222E-2</v>
      </c>
      <c r="T29" s="432">
        <f t="shared" si="81"/>
        <v>3.2847222222222222E-2</v>
      </c>
      <c r="U29" s="163" t="e">
        <f>VLOOKUP($B:$B,'HT DIC'!$A:$AE,6,FALSE)</f>
        <v>#REF!</v>
      </c>
      <c r="V29" s="432">
        <f t="shared" si="82"/>
        <v>0</v>
      </c>
      <c r="W29" s="434">
        <v>2.7905092592592592E-2</v>
      </c>
      <c r="X29" s="432">
        <f t="shared" si="83"/>
        <v>2.7905092592592592E-2</v>
      </c>
      <c r="Y29" s="163" t="e">
        <f>VLOOKUP($B:$B,'HT DIC'!$A:$AE,7,FALSE)</f>
        <v>#REF!</v>
      </c>
      <c r="Z29" s="432">
        <f t="shared" si="84"/>
        <v>0</v>
      </c>
      <c r="AA29" s="434"/>
      <c r="AB29" s="432">
        <f t="shared" si="85"/>
        <v>0</v>
      </c>
      <c r="AC29" s="163" t="e">
        <f>VLOOKUP($B:$B,'HT DIC'!$A:$AE,8,FALSE)</f>
        <v>#REF!</v>
      </c>
      <c r="AD29" s="432">
        <f t="shared" si="86"/>
        <v>0</v>
      </c>
      <c r="AE29" s="434">
        <v>2.3958333333333335E-2</v>
      </c>
      <c r="AF29" s="432">
        <f t="shared" si="87"/>
        <v>2.3958333333333335E-2</v>
      </c>
      <c r="AG29" s="163" t="e">
        <f>VLOOKUP($B:$B,'HT DIC'!$A:$AE,9,FALSE)</f>
        <v>#REF!</v>
      </c>
      <c r="AH29" s="432">
        <f t="shared" si="88"/>
        <v>0</v>
      </c>
      <c r="AI29" s="434">
        <v>3.7476851851851851E-2</v>
      </c>
      <c r="AJ29" s="432">
        <f t="shared" si="89"/>
        <v>3.7476851851851851E-2</v>
      </c>
      <c r="AK29" s="163" t="e">
        <f>VLOOKUP($B:$B,'HT DIC'!$A:$AE,10,FALSE)</f>
        <v>#REF!</v>
      </c>
      <c r="AL29" s="432">
        <f t="shared" si="90"/>
        <v>0</v>
      </c>
      <c r="AM29" s="434">
        <v>3.4722222222222224E-2</v>
      </c>
      <c r="AN29" s="432">
        <f t="shared" si="91"/>
        <v>3.4722222222222224E-2</v>
      </c>
      <c r="AO29" s="163" t="e">
        <f>VLOOKUP($B:$B,'HT DIC'!$A:$AE,11,FALSE)</f>
        <v>#REF!</v>
      </c>
      <c r="AP29" s="432">
        <f t="shared" si="92"/>
        <v>0</v>
      </c>
      <c r="AQ29" s="432">
        <v>4.0312500000000001E-2</v>
      </c>
      <c r="AR29" s="432">
        <f t="shared" si="93"/>
        <v>4.0312500000000001E-2</v>
      </c>
      <c r="AS29" s="163" t="e">
        <f>VLOOKUP($B:$B,'HT DIC'!$A:$AE,12,FALSE)</f>
        <v>#REF!</v>
      </c>
      <c r="AT29" s="432">
        <f t="shared" si="94"/>
        <v>0</v>
      </c>
      <c r="AU29" s="434">
        <v>3.0532407407407407E-2</v>
      </c>
      <c r="AV29" s="432">
        <f t="shared" si="95"/>
        <v>3.0532407407407407E-2</v>
      </c>
      <c r="AW29" s="163" t="e">
        <f>VLOOKUP($B:$B,'HT DIC'!$A:$AE,13,FALSE)</f>
        <v>#REF!</v>
      </c>
      <c r="AX29" s="432">
        <f t="shared" si="22"/>
        <v>0</v>
      </c>
      <c r="AY29" s="434">
        <v>3.4641203703703702E-2</v>
      </c>
      <c r="AZ29" s="432">
        <f t="shared" si="23"/>
        <v>3.4641203703703702E-2</v>
      </c>
      <c r="BA29" s="163" t="e">
        <f>VLOOKUP($B:$B,'HT DIC'!$A:$AE,14,FALSE)</f>
        <v>#REF!</v>
      </c>
      <c r="BB29" s="432">
        <f t="shared" si="24"/>
        <v>0</v>
      </c>
      <c r="BC29" s="432">
        <f>IFERROR(VLOOKUP(BB29,$B$229:$E$245,2,FALSE),0)</f>
        <v>0</v>
      </c>
      <c r="BD29" s="432">
        <f t="shared" si="25"/>
        <v>0</v>
      </c>
      <c r="BE29" s="163" t="e">
        <f>VLOOKUP($B:$B,'HT DIC'!$A:$AE,15,FALSE)</f>
        <v>#REF!</v>
      </c>
      <c r="BF29" s="432">
        <f t="shared" si="26"/>
        <v>0</v>
      </c>
      <c r="BG29" s="434"/>
      <c r="BH29" s="432">
        <f t="shared" si="27"/>
        <v>0</v>
      </c>
      <c r="BI29" s="163" t="e">
        <f>VLOOKUP($B:$B,'HT DIC'!$A:$AE,16,FALSE)</f>
        <v>#REF!</v>
      </c>
      <c r="BJ29" s="432">
        <f t="shared" si="63"/>
        <v>0</v>
      </c>
      <c r="BK29" s="434">
        <v>2.7777777777777776E-2</v>
      </c>
      <c r="BL29" s="432">
        <f t="shared" si="29"/>
        <v>2.7777777777777776E-2</v>
      </c>
      <c r="BM29" s="163" t="e">
        <f>VLOOKUP($B:$B,'HT DIC'!$A:$AE,17,FALSE)</f>
        <v>#REF!</v>
      </c>
      <c r="BN29" s="432">
        <f t="shared" si="30"/>
        <v>0</v>
      </c>
      <c r="BO29" s="434">
        <v>3.6122685185185188E-2</v>
      </c>
      <c r="BP29" s="432">
        <f t="shared" si="31"/>
        <v>3.6122685185185188E-2</v>
      </c>
      <c r="BQ29" s="163" t="e">
        <f>VLOOKUP($B:$B,'HT DIC'!$A:$AE,18,FALSE)</f>
        <v>#REF!</v>
      </c>
      <c r="BR29" s="432">
        <f t="shared" si="64"/>
        <v>0</v>
      </c>
      <c r="BS29" s="434">
        <v>3.0474537037037036E-2</v>
      </c>
      <c r="BT29" s="432">
        <f t="shared" si="33"/>
        <v>3.0474537037037036E-2</v>
      </c>
      <c r="BU29" s="163" t="e">
        <f>VLOOKUP($B:$B,'HT DIC'!$A:$AE,19,FALSE)</f>
        <v>#REF!</v>
      </c>
      <c r="BV29" s="432">
        <f t="shared" si="34"/>
        <v>0</v>
      </c>
      <c r="BW29" s="434">
        <v>3.2303240740740743E-2</v>
      </c>
      <c r="BX29" s="432">
        <f t="shared" si="35"/>
        <v>3.2303240740740743E-2</v>
      </c>
      <c r="BY29" s="163" t="e">
        <f>VLOOKUP($B:$B,'HT DIC'!$A:$AE,20,FALSE)</f>
        <v>#REF!</v>
      </c>
      <c r="BZ29" s="432">
        <f t="shared" si="65"/>
        <v>0</v>
      </c>
      <c r="CA29" s="432">
        <f>IFERROR(VLOOKUP(BZ29,$B$229:$E$245,2,FALSE),0)</f>
        <v>0</v>
      </c>
      <c r="CB29" s="432">
        <f t="shared" si="37"/>
        <v>0</v>
      </c>
      <c r="CC29" s="163" t="e">
        <f>VLOOKUP($B:$B,'HT DIC'!$A:$AE,21,FALSE)</f>
        <v>#REF!</v>
      </c>
      <c r="CD29" s="432">
        <f t="shared" si="38"/>
        <v>0</v>
      </c>
      <c r="CE29" s="432"/>
      <c r="CF29" s="432">
        <f t="shared" si="39"/>
        <v>0</v>
      </c>
      <c r="CG29" s="163" t="e">
        <f>VLOOKUP($B:$B,'HT DIC'!$A:$AE,22,FALSE)</f>
        <v>#REF!</v>
      </c>
      <c r="CH29" s="432">
        <f t="shared" si="40"/>
        <v>0</v>
      </c>
      <c r="CI29" s="434">
        <v>4.5717592592592594E-2</v>
      </c>
      <c r="CJ29" s="432">
        <f t="shared" si="72"/>
        <v>4.5717592592592594E-2</v>
      </c>
      <c r="CK29" s="163">
        <f>VLOOKUP($B:$B,'HT DIC'!$A:$AE,23,FALSE)</f>
        <v>6</v>
      </c>
      <c r="CL29" s="432">
        <f t="shared" si="42"/>
        <v>1.7361111111111112E-2</v>
      </c>
      <c r="CM29" s="432">
        <v>4.027777777777778E-2</v>
      </c>
      <c r="CN29" s="432">
        <f t="shared" si="43"/>
        <v>2.2916666666666669E-2</v>
      </c>
      <c r="CO29" s="163" t="e">
        <f>VLOOKUP($B:$B,'HT DIC'!$A:$AE,24,FALSE)</f>
        <v>#REF!</v>
      </c>
      <c r="CP29" s="432">
        <f t="shared" si="44"/>
        <v>0</v>
      </c>
      <c r="CQ29" s="434">
        <v>2.1736111111111112E-2</v>
      </c>
      <c r="CR29" s="432">
        <f t="shared" si="45"/>
        <v>2.1736111111111112E-2</v>
      </c>
      <c r="CS29" s="163" t="e">
        <f>VLOOKUP($B:$B,'HT DIC'!$A:$AE,25,FALSE)</f>
        <v>#REF!</v>
      </c>
      <c r="CT29" s="432">
        <f t="shared" si="46"/>
        <v>0</v>
      </c>
      <c r="CU29" s="432">
        <v>4.6307870370370367E-2</v>
      </c>
      <c r="CV29" s="432">
        <f t="shared" si="47"/>
        <v>4.6307870370370367E-2</v>
      </c>
      <c r="CW29" s="163" t="e">
        <f>VLOOKUP($B:$B,'HT DIC'!$A:$AE,26,FALSE)</f>
        <v>#REF!</v>
      </c>
      <c r="CX29" s="432">
        <f t="shared" si="48"/>
        <v>0</v>
      </c>
      <c r="CY29" s="434">
        <v>4.3981481481481484E-3</v>
      </c>
      <c r="CZ29" s="432">
        <f t="shared" si="49"/>
        <v>4.3981481481481484E-3</v>
      </c>
      <c r="DA29" s="163">
        <f>VLOOKUP($B:$B,'HT DIC'!$A:$AE,27,FALSE)</f>
        <v>11</v>
      </c>
      <c r="DB29" s="432">
        <f t="shared" si="66"/>
        <v>3.4722222222222224E-2</v>
      </c>
      <c r="DC29" s="434">
        <v>3.1307870370370368E-2</v>
      </c>
      <c r="DD29" s="432">
        <f t="shared" si="51"/>
        <v>0</v>
      </c>
      <c r="DE29" s="163">
        <f>VLOOKUP($B:$B,'HT DIC'!$A:$AE,28,FALSE)</f>
        <v>0</v>
      </c>
      <c r="DF29" s="432">
        <f t="shared" si="52"/>
        <v>0</v>
      </c>
      <c r="DG29" s="434">
        <v>3.6018518518518519E-2</v>
      </c>
      <c r="DH29" s="432">
        <f t="shared" si="53"/>
        <v>3.6018518518518519E-2</v>
      </c>
      <c r="DI29" s="163">
        <f>VLOOKUP($B:$B,'HT DIC'!$A:$AE,29,FALSE)</f>
        <v>11</v>
      </c>
      <c r="DJ29" s="432">
        <f t="shared" si="73"/>
        <v>3.4722222222222224E-2</v>
      </c>
      <c r="DK29" s="434">
        <v>1.7361111111111112E-2</v>
      </c>
      <c r="DL29" s="432">
        <f t="shared" si="55"/>
        <v>0</v>
      </c>
      <c r="DM29" s="163">
        <f>VLOOKUP($B:$B,'HT DIC'!$A:$AE,30,FALSE)</f>
        <v>11</v>
      </c>
      <c r="DN29" s="432">
        <f t="shared" si="68"/>
        <v>3.4722222222222224E-2</v>
      </c>
      <c r="DO29" s="434">
        <v>1.8726851851851852E-2</v>
      </c>
      <c r="DP29" s="432">
        <f t="shared" si="57"/>
        <v>0</v>
      </c>
      <c r="DQ29" s="163">
        <f>VLOOKUP($B:$B,'HT DIC'!$A:$AE,31,FALSE)</f>
        <v>12</v>
      </c>
      <c r="DR29" s="432">
        <f t="shared" si="58"/>
        <v>3.8194444444444448E-2</v>
      </c>
      <c r="DS29" s="434">
        <v>2.0266203703703703E-2</v>
      </c>
      <c r="DT29" s="432">
        <f t="shared" si="59"/>
        <v>0</v>
      </c>
      <c r="DU29" s="163" t="e">
        <f>VLOOKUP($B:$B,'HT DIC'!$A:$AE,32,FALSE)</f>
        <v>#REF!</v>
      </c>
      <c r="DV29" s="432">
        <f t="shared" si="60"/>
        <v>0</v>
      </c>
      <c r="DW29" s="434"/>
      <c r="DX29" s="432">
        <f t="shared" si="61"/>
        <v>0</v>
      </c>
      <c r="DY29" s="432">
        <f t="shared" si="69"/>
        <v>0.64660879629629642</v>
      </c>
    </row>
    <row r="30" spans="1:129">
      <c r="A30" s="166" t="s">
        <v>107</v>
      </c>
      <c r="B30" s="166" t="s">
        <v>127</v>
      </c>
      <c r="C30" s="166">
        <v>1725405540</v>
      </c>
      <c r="D30" s="431">
        <v>37035</v>
      </c>
      <c r="E30" s="163" t="e">
        <f>VLOOKUP($B:$B,#REF!,2,FALSE)</f>
        <v>#REF!</v>
      </c>
      <c r="F30" s="432">
        <f t="shared" si="74"/>
        <v>0</v>
      </c>
      <c r="G30" s="434">
        <v>2.5428240740740741E-2</v>
      </c>
      <c r="H30" s="432">
        <f t="shared" si="75"/>
        <v>2.5428240740740741E-2</v>
      </c>
      <c r="I30" s="163" t="e">
        <f>VLOOKUP($B:$B,'HT DIC'!$A:$AE,3,FALSE)</f>
        <v>#REF!</v>
      </c>
      <c r="J30" s="432">
        <f t="shared" si="76"/>
        <v>0</v>
      </c>
      <c r="K30" s="434">
        <v>1.9212962962962963E-2</v>
      </c>
      <c r="L30" s="432">
        <f t="shared" si="77"/>
        <v>1.9212962962962963E-2</v>
      </c>
      <c r="M30" s="163" t="e">
        <f>VLOOKUP($B:$B,'HT DIC'!$A:$AE,4,FALSE)</f>
        <v>#REF!</v>
      </c>
      <c r="N30" s="432">
        <f t="shared" si="78"/>
        <v>0</v>
      </c>
      <c r="O30" s="432">
        <v>3.8194444444444448E-2</v>
      </c>
      <c r="P30" s="432">
        <f t="shared" si="79"/>
        <v>3.8194444444444448E-2</v>
      </c>
      <c r="Q30" s="163" t="e">
        <f>VLOOKUP($B:$B,'HT DIC'!$A:$AE,5,FALSE)</f>
        <v>#REF!</v>
      </c>
      <c r="R30" s="432">
        <f t="shared" si="80"/>
        <v>0</v>
      </c>
      <c r="S30" s="432">
        <v>2.7581018518518519E-2</v>
      </c>
      <c r="T30" s="432">
        <f t="shared" si="81"/>
        <v>2.7581018518518519E-2</v>
      </c>
      <c r="U30" s="163" t="e">
        <f>VLOOKUP($B:$B,'HT DIC'!$A:$AE,6,FALSE)</f>
        <v>#REF!</v>
      </c>
      <c r="V30" s="432">
        <f t="shared" si="82"/>
        <v>0</v>
      </c>
      <c r="W30" s="434"/>
      <c r="X30" s="432">
        <f t="shared" si="83"/>
        <v>0</v>
      </c>
      <c r="Y30" s="163" t="e">
        <f>VLOOKUP($B:$B,'HT DIC'!$A:$AE,7,FALSE)</f>
        <v>#REF!</v>
      </c>
      <c r="Z30" s="432">
        <f t="shared" si="84"/>
        <v>0</v>
      </c>
      <c r="AA30" s="434">
        <v>3.4722222222222224E-2</v>
      </c>
      <c r="AB30" s="432">
        <f t="shared" si="85"/>
        <v>3.4722222222222224E-2</v>
      </c>
      <c r="AC30" s="163" t="e">
        <f>VLOOKUP($B:$B,'HT DIC'!$A:$AE,8,FALSE)</f>
        <v>#REF!</v>
      </c>
      <c r="AD30" s="432">
        <f t="shared" si="86"/>
        <v>0</v>
      </c>
      <c r="AE30" s="434">
        <v>2.7523148148148147E-2</v>
      </c>
      <c r="AF30" s="432">
        <f t="shared" si="87"/>
        <v>2.7523148148148147E-2</v>
      </c>
      <c r="AG30" s="163" t="e">
        <f>VLOOKUP($B:$B,'HT DIC'!$A:$AE,9,FALSE)</f>
        <v>#REF!</v>
      </c>
      <c r="AH30" s="432">
        <f t="shared" si="88"/>
        <v>0</v>
      </c>
      <c r="AI30" s="434">
        <v>2.2800925925925926E-2</v>
      </c>
      <c r="AJ30" s="432">
        <f t="shared" si="89"/>
        <v>2.2800925925925926E-2</v>
      </c>
      <c r="AK30" s="163" t="e">
        <f>VLOOKUP($B:$B,'HT DIC'!$A:$AE,10,FALSE)</f>
        <v>#REF!</v>
      </c>
      <c r="AL30" s="432">
        <f t="shared" si="90"/>
        <v>0</v>
      </c>
      <c r="AM30" s="434">
        <v>2.837962962962963E-2</v>
      </c>
      <c r="AN30" s="432">
        <f t="shared" si="91"/>
        <v>2.837962962962963E-2</v>
      </c>
      <c r="AO30" s="163" t="e">
        <f>VLOOKUP($B:$B,'HT DIC'!$A:$AE,11,FALSE)</f>
        <v>#REF!</v>
      </c>
      <c r="AP30" s="432">
        <f t="shared" si="92"/>
        <v>0</v>
      </c>
      <c r="AQ30" s="432">
        <v>2.931712962962963E-2</v>
      </c>
      <c r="AR30" s="432">
        <f t="shared" si="93"/>
        <v>2.931712962962963E-2</v>
      </c>
      <c r="AS30" s="163" t="e">
        <f>VLOOKUP($B:$B,'HT DIC'!$A:$AE,12,FALSE)</f>
        <v>#REF!</v>
      </c>
      <c r="AT30" s="432">
        <f t="shared" si="94"/>
        <v>0</v>
      </c>
      <c r="AU30" s="434">
        <v>4.3668981481481482E-2</v>
      </c>
      <c r="AV30" s="432">
        <f t="shared" si="95"/>
        <v>4.3668981481481482E-2</v>
      </c>
      <c r="AW30" s="163" t="e">
        <f>VLOOKUP($B:$B,'HT DIC'!$A:$AE,13,FALSE)</f>
        <v>#REF!</v>
      </c>
      <c r="AX30" s="432">
        <f t="shared" si="22"/>
        <v>0</v>
      </c>
      <c r="AY30" s="434">
        <v>3.0138888888888889E-2</v>
      </c>
      <c r="AZ30" s="432">
        <f t="shared" si="23"/>
        <v>3.0138888888888889E-2</v>
      </c>
      <c r="BA30" s="163" t="e">
        <f>VLOOKUP($B:$B,'HT DIC'!$A:$AE,14,FALSE)</f>
        <v>#REF!</v>
      </c>
      <c r="BB30" s="432">
        <f t="shared" si="24"/>
        <v>0</v>
      </c>
      <c r="BC30" s="434"/>
      <c r="BD30" s="432">
        <f t="shared" si="25"/>
        <v>0</v>
      </c>
      <c r="BE30" s="163" t="e">
        <f>VLOOKUP($B:$B,'HT DIC'!$A:$AE,15,FALSE)</f>
        <v>#REF!</v>
      </c>
      <c r="BF30" s="432">
        <f t="shared" si="26"/>
        <v>0</v>
      </c>
      <c r="BG30" s="432">
        <f>IFERROR(VLOOKUP(BF30,$B$229:$E$245,2,FALSE),0)</f>
        <v>0</v>
      </c>
      <c r="BH30" s="432">
        <f t="shared" si="27"/>
        <v>0</v>
      </c>
      <c r="BI30" s="163" t="e">
        <f>VLOOKUP($B:$B,'HT DIC'!$A:$AE,16,FALSE)</f>
        <v>#REF!</v>
      </c>
      <c r="BJ30" s="432">
        <f t="shared" si="63"/>
        <v>0</v>
      </c>
      <c r="BK30" s="434">
        <v>3.6689814814814814E-2</v>
      </c>
      <c r="BL30" s="432">
        <f t="shared" si="29"/>
        <v>3.6689814814814814E-2</v>
      </c>
      <c r="BM30" s="163" t="e">
        <f>VLOOKUP($B:$B,'HT DIC'!$A:$AE,17,FALSE)</f>
        <v>#REF!</v>
      </c>
      <c r="BN30" s="432">
        <f t="shared" si="30"/>
        <v>0</v>
      </c>
      <c r="BO30" s="434">
        <v>2.7245370370370371E-2</v>
      </c>
      <c r="BP30" s="432">
        <f t="shared" si="31"/>
        <v>2.7245370370370371E-2</v>
      </c>
      <c r="BQ30" s="163" t="e">
        <f>VLOOKUP($B:$B,'HT DIC'!$A:$AE,18,FALSE)</f>
        <v>#REF!</v>
      </c>
      <c r="BR30" s="432">
        <f t="shared" si="64"/>
        <v>0</v>
      </c>
      <c r="BS30" s="434">
        <v>3.815972222222222E-2</v>
      </c>
      <c r="BT30" s="432">
        <f t="shared" si="33"/>
        <v>3.815972222222222E-2</v>
      </c>
      <c r="BU30" s="163" t="e">
        <f>VLOOKUP($B:$B,'HT DIC'!$A:$AE,19,FALSE)</f>
        <v>#REF!</v>
      </c>
      <c r="BV30" s="432">
        <f t="shared" si="34"/>
        <v>0</v>
      </c>
      <c r="BW30" s="434">
        <v>3.6909722222222219E-2</v>
      </c>
      <c r="BX30" s="432">
        <f t="shared" si="35"/>
        <v>3.6909722222222219E-2</v>
      </c>
      <c r="BY30" s="163" t="e">
        <f>VLOOKUP($B:$B,'HT DIC'!$A:$AE,20,FALSE)</f>
        <v>#REF!</v>
      </c>
      <c r="BZ30" s="432">
        <f t="shared" si="65"/>
        <v>0</v>
      </c>
      <c r="CA30" s="434">
        <v>3.8194444444444448E-2</v>
      </c>
      <c r="CB30" s="432">
        <f t="shared" si="37"/>
        <v>3.8194444444444448E-2</v>
      </c>
      <c r="CC30" s="163" t="e">
        <f>VLOOKUP($B:$B,'HT DIC'!$A:$AE,21,FALSE)</f>
        <v>#REF!</v>
      </c>
      <c r="CD30" s="432">
        <f t="shared" si="38"/>
        <v>0</v>
      </c>
      <c r="CE30" s="432">
        <f>IFERROR(VLOOKUP(CD30,$B$229:$E$245,2,FALSE),0)</f>
        <v>0</v>
      </c>
      <c r="CF30" s="432">
        <f t="shared" si="39"/>
        <v>0</v>
      </c>
      <c r="CG30" s="163" t="e">
        <f>VLOOKUP($B:$B,'HT DIC'!$A:$AE,22,FALSE)</f>
        <v>#REF!</v>
      </c>
      <c r="CH30" s="432">
        <f t="shared" si="40"/>
        <v>0</v>
      </c>
      <c r="CI30" s="434"/>
      <c r="CJ30" s="432">
        <f t="shared" si="72"/>
        <v>0</v>
      </c>
      <c r="CK30" s="163">
        <f>VLOOKUP($B:$B,'HT DIC'!$A:$AE,23,FALSE)</f>
        <v>11</v>
      </c>
      <c r="CL30" s="432">
        <f t="shared" si="42"/>
        <v>3.4722222222222224E-2</v>
      </c>
      <c r="CM30" s="432">
        <v>3.3715277777777775E-2</v>
      </c>
      <c r="CN30" s="432">
        <f t="shared" si="43"/>
        <v>0</v>
      </c>
      <c r="CO30" s="163" t="e">
        <f>VLOOKUP($B:$B,'HT DIC'!$A:$AE,24,FALSE)</f>
        <v>#REF!</v>
      </c>
      <c r="CP30" s="432">
        <f t="shared" si="44"/>
        <v>0</v>
      </c>
      <c r="CQ30" s="434">
        <v>4.1643518518518517E-2</v>
      </c>
      <c r="CR30" s="432">
        <f t="shared" si="45"/>
        <v>4.1643518518518517E-2</v>
      </c>
      <c r="CS30" s="163" t="e">
        <f>VLOOKUP($B:$B,'HT DIC'!$A:$AE,25,FALSE)</f>
        <v>#REF!</v>
      </c>
      <c r="CT30" s="432">
        <f t="shared" si="46"/>
        <v>0</v>
      </c>
      <c r="CU30" s="432">
        <v>3.3680555555555554E-2</v>
      </c>
      <c r="CV30" s="432">
        <f t="shared" si="47"/>
        <v>3.3680555555555554E-2</v>
      </c>
      <c r="CW30" s="163" t="e">
        <f>VLOOKUP($B:$B,'HT DIC'!$A:$AE,26,FALSE)</f>
        <v>#REF!</v>
      </c>
      <c r="CX30" s="432">
        <f t="shared" si="48"/>
        <v>0</v>
      </c>
      <c r="CY30" s="434"/>
      <c r="CZ30" s="432">
        <f t="shared" si="49"/>
        <v>0</v>
      </c>
      <c r="DA30" s="163">
        <f>VLOOKUP($B:$B,'HT DIC'!$A:$AE,27,FALSE)</f>
        <v>11</v>
      </c>
      <c r="DB30" s="432">
        <f t="shared" si="66"/>
        <v>3.4722222222222224E-2</v>
      </c>
      <c r="DC30" s="434">
        <v>3.1145833333333334E-2</v>
      </c>
      <c r="DD30" s="432">
        <f t="shared" si="51"/>
        <v>0</v>
      </c>
      <c r="DE30" s="163">
        <f>VLOOKUP($B:$B,'HT DIC'!$A:$AE,28,FALSE)</f>
        <v>13</v>
      </c>
      <c r="DF30" s="432">
        <f t="shared" si="52"/>
        <v>4.1666666666666664E-2</v>
      </c>
      <c r="DG30" s="434">
        <v>3.8657407407407404E-2</v>
      </c>
      <c r="DH30" s="432">
        <f t="shared" si="53"/>
        <v>0</v>
      </c>
      <c r="DI30" s="163">
        <f>VLOOKUP($B:$B,'HT DIC'!$A:$AE,29,FALSE)</f>
        <v>11</v>
      </c>
      <c r="DJ30" s="432">
        <f t="shared" si="73"/>
        <v>3.4722222222222224E-2</v>
      </c>
      <c r="DK30" s="434">
        <v>3.0520833333333334E-2</v>
      </c>
      <c r="DL30" s="432">
        <f t="shared" si="55"/>
        <v>0</v>
      </c>
      <c r="DM30" s="163">
        <f>VLOOKUP($B:$B,'HT DIC'!$A:$AE,30,FALSE)</f>
        <v>11</v>
      </c>
      <c r="DN30" s="432">
        <f t="shared" si="68"/>
        <v>3.4722222222222224E-2</v>
      </c>
      <c r="DO30" s="434">
        <v>3.7604166666666668E-2</v>
      </c>
      <c r="DP30" s="432">
        <f t="shared" si="57"/>
        <v>2.8819444444444439E-3</v>
      </c>
      <c r="DQ30" s="163">
        <f>VLOOKUP($B:$B,'HT DIC'!$A:$AE,31,FALSE)</f>
        <v>12</v>
      </c>
      <c r="DR30" s="432">
        <f t="shared" si="58"/>
        <v>3.8194444444444448E-2</v>
      </c>
      <c r="DS30" s="434">
        <v>3.0682870370370371E-2</v>
      </c>
      <c r="DT30" s="432">
        <f t="shared" si="59"/>
        <v>0</v>
      </c>
      <c r="DU30" s="163" t="e">
        <f>VLOOKUP($B:$B,'HT DIC'!$A:$AE,32,FALSE)</f>
        <v>#REF!</v>
      </c>
      <c r="DV30" s="432">
        <f t="shared" si="60"/>
        <v>0</v>
      </c>
      <c r="DW30" s="434"/>
      <c r="DX30" s="432">
        <f t="shared" si="61"/>
        <v>0</v>
      </c>
      <c r="DY30" s="432">
        <f t="shared" si="69"/>
        <v>0.58237268518518515</v>
      </c>
    </row>
    <row r="31" spans="1:129">
      <c r="A31" s="166" t="s">
        <v>111</v>
      </c>
      <c r="B31" s="166" t="s">
        <v>129</v>
      </c>
      <c r="C31" s="166">
        <v>1714444237</v>
      </c>
      <c r="D31" s="431">
        <v>29999</v>
      </c>
      <c r="E31" s="163" t="e">
        <f>VLOOKUP($B:$B,#REF!,2,FALSE)</f>
        <v>#REF!</v>
      </c>
      <c r="F31" s="432">
        <f t="shared" si="74"/>
        <v>0</v>
      </c>
      <c r="G31" s="434">
        <v>2.7696759259259258E-2</v>
      </c>
      <c r="H31" s="432">
        <f t="shared" si="75"/>
        <v>2.7696759259259258E-2</v>
      </c>
      <c r="I31" s="163" t="e">
        <f>VLOOKUP($B:$B,'HT DIC'!$A:$AE,3,FALSE)</f>
        <v>#REF!</v>
      </c>
      <c r="J31" s="432">
        <f t="shared" si="76"/>
        <v>0</v>
      </c>
      <c r="K31" s="434">
        <v>2.6145833333333333E-2</v>
      </c>
      <c r="L31" s="432">
        <f t="shared" si="77"/>
        <v>2.6145833333333333E-2</v>
      </c>
      <c r="M31" s="163" t="e">
        <f>VLOOKUP($B:$B,'HT DIC'!$A:$AE,4,FALSE)</f>
        <v>#REF!</v>
      </c>
      <c r="N31" s="432">
        <f t="shared" si="78"/>
        <v>0</v>
      </c>
      <c r="O31" s="432">
        <v>2.3622685185185184E-2</v>
      </c>
      <c r="P31" s="432">
        <f t="shared" si="79"/>
        <v>2.3622685185185184E-2</v>
      </c>
      <c r="Q31" s="163" t="e">
        <f>VLOOKUP($B:$B,'HT DIC'!$A:$AE,5,FALSE)</f>
        <v>#REF!</v>
      </c>
      <c r="R31" s="432">
        <f t="shared" si="80"/>
        <v>0</v>
      </c>
      <c r="S31" s="432">
        <v>3.4722222222222224E-2</v>
      </c>
      <c r="T31" s="432">
        <f t="shared" si="81"/>
        <v>3.4722222222222224E-2</v>
      </c>
      <c r="U31" s="163" t="e">
        <f>VLOOKUP($B:$B,'HT DIC'!$A:$AE,6,FALSE)</f>
        <v>#REF!</v>
      </c>
      <c r="V31" s="432">
        <f t="shared" si="82"/>
        <v>0</v>
      </c>
      <c r="W31" s="434"/>
      <c r="X31" s="432">
        <f t="shared" si="83"/>
        <v>0</v>
      </c>
      <c r="Y31" s="163" t="e">
        <f>VLOOKUP($B:$B,'HT DIC'!$A:$AE,7,FALSE)</f>
        <v>#REF!</v>
      </c>
      <c r="Z31" s="432">
        <f t="shared" si="84"/>
        <v>0</v>
      </c>
      <c r="AA31" s="434">
        <v>4.2638888888888886E-2</v>
      </c>
      <c r="AB31" s="432">
        <f t="shared" si="85"/>
        <v>4.2638888888888886E-2</v>
      </c>
      <c r="AC31" s="163" t="e">
        <f>VLOOKUP($B:$B,'HT DIC'!$A:$AE,8,FALSE)</f>
        <v>#REF!</v>
      </c>
      <c r="AD31" s="432">
        <f t="shared" si="86"/>
        <v>0</v>
      </c>
      <c r="AE31" s="434">
        <v>3.7546296296296293E-2</v>
      </c>
      <c r="AF31" s="432">
        <f t="shared" si="87"/>
        <v>3.7546296296296293E-2</v>
      </c>
      <c r="AG31" s="163" t="e">
        <f>VLOOKUP($B:$B,'HT DIC'!$A:$AE,9,FALSE)</f>
        <v>#REF!</v>
      </c>
      <c r="AH31" s="432">
        <f t="shared" si="88"/>
        <v>0</v>
      </c>
      <c r="AI31" s="434">
        <v>3.5821759259259262E-2</v>
      </c>
      <c r="AJ31" s="432">
        <f t="shared" si="89"/>
        <v>3.5821759259259262E-2</v>
      </c>
      <c r="AK31" s="163" t="e">
        <f>VLOOKUP($B:$B,'HT DIC'!$A:$AE,10,FALSE)</f>
        <v>#REF!</v>
      </c>
      <c r="AL31" s="432">
        <f t="shared" si="90"/>
        <v>0</v>
      </c>
      <c r="AM31" s="434">
        <v>3.2118055555555552E-2</v>
      </c>
      <c r="AN31" s="432">
        <f t="shared" si="91"/>
        <v>3.2118055555555552E-2</v>
      </c>
      <c r="AO31" s="163" t="e">
        <f>VLOOKUP($B:$B,'HT DIC'!$A:$AE,11,FALSE)</f>
        <v>#REF!</v>
      </c>
      <c r="AP31" s="432">
        <f t="shared" si="92"/>
        <v>0</v>
      </c>
      <c r="AQ31" s="432">
        <v>4.2407407407407408E-2</v>
      </c>
      <c r="AR31" s="432">
        <f t="shared" si="93"/>
        <v>4.2407407407407408E-2</v>
      </c>
      <c r="AS31" s="163" t="e">
        <f>VLOOKUP($B:$B,'HT DIC'!$A:$AE,12,FALSE)</f>
        <v>#REF!</v>
      </c>
      <c r="AT31" s="432">
        <f t="shared" si="94"/>
        <v>0</v>
      </c>
      <c r="AU31" s="434">
        <v>3.6631944444444446E-2</v>
      </c>
      <c r="AV31" s="432">
        <f t="shared" si="95"/>
        <v>3.6631944444444446E-2</v>
      </c>
      <c r="AW31" s="163" t="e">
        <f>VLOOKUP($B:$B,'HT DIC'!$A:$AE,13,FALSE)</f>
        <v>#REF!</v>
      </c>
      <c r="AX31" s="432">
        <f t="shared" si="22"/>
        <v>0</v>
      </c>
      <c r="AY31" s="434">
        <v>4.0775462962962965E-2</v>
      </c>
      <c r="AZ31" s="432">
        <f t="shared" si="23"/>
        <v>4.0775462962962965E-2</v>
      </c>
      <c r="BA31" s="163" t="e">
        <f>VLOOKUP($B:$B,'HT DIC'!$A:$AE,14,FALSE)</f>
        <v>#REF!</v>
      </c>
      <c r="BB31" s="432">
        <f t="shared" si="24"/>
        <v>0</v>
      </c>
      <c r="BC31" s="434"/>
      <c r="BD31" s="432">
        <f t="shared" si="25"/>
        <v>0</v>
      </c>
      <c r="BE31" s="163" t="e">
        <f>VLOOKUP($B:$B,'HT DIC'!$A:$AE,15,FALSE)</f>
        <v>#REF!</v>
      </c>
      <c r="BF31" s="432">
        <f t="shared" si="26"/>
        <v>0</v>
      </c>
      <c r="BG31" s="434">
        <v>5.6168981481481479E-2</v>
      </c>
      <c r="BH31" s="432">
        <f t="shared" si="27"/>
        <v>5.6168981481481479E-2</v>
      </c>
      <c r="BI31" s="163" t="e">
        <f>VLOOKUP($B:$B,'HT DIC'!$A:$AE,16,FALSE)</f>
        <v>#REF!</v>
      </c>
      <c r="BJ31" s="432">
        <f t="shared" si="63"/>
        <v>0</v>
      </c>
      <c r="BK31" s="434">
        <v>4.611111111111111E-2</v>
      </c>
      <c r="BL31" s="432">
        <f t="shared" si="29"/>
        <v>4.611111111111111E-2</v>
      </c>
      <c r="BM31" s="163" t="e">
        <f>VLOOKUP($B:$B,'HT DIC'!$A:$AE,17,FALSE)</f>
        <v>#REF!</v>
      </c>
      <c r="BN31" s="432">
        <f t="shared" si="30"/>
        <v>0</v>
      </c>
      <c r="BO31" s="434">
        <v>3.8506944444444448E-2</v>
      </c>
      <c r="BP31" s="432">
        <f t="shared" si="31"/>
        <v>3.8506944444444448E-2</v>
      </c>
      <c r="BQ31" s="163" t="e">
        <f>VLOOKUP($B:$B,'HT DIC'!$A:$AE,18,FALSE)</f>
        <v>#REF!</v>
      </c>
      <c r="BR31" s="432">
        <f t="shared" si="64"/>
        <v>0</v>
      </c>
      <c r="BS31" s="434">
        <v>4.9490740740740738E-2</v>
      </c>
      <c r="BT31" s="432">
        <f t="shared" si="33"/>
        <v>4.9490740740740738E-2</v>
      </c>
      <c r="BU31" s="163" t="e">
        <f>VLOOKUP($B:$B,'HT DIC'!$A:$AE,19,FALSE)</f>
        <v>#REF!</v>
      </c>
      <c r="BV31" s="432">
        <f t="shared" si="34"/>
        <v>0</v>
      </c>
      <c r="BW31" s="434">
        <v>3.8194444444444448E-2</v>
      </c>
      <c r="BX31" s="432">
        <f t="shared" si="35"/>
        <v>3.8194444444444448E-2</v>
      </c>
      <c r="BY31" s="163" t="e">
        <f>VLOOKUP($B:$B,'HT DIC'!$A:$AE,20,FALSE)</f>
        <v>#REF!</v>
      </c>
      <c r="BZ31" s="432">
        <f t="shared" si="65"/>
        <v>0</v>
      </c>
      <c r="CA31" s="434">
        <v>2.4305555555555556E-2</v>
      </c>
      <c r="CB31" s="432">
        <f t="shared" si="37"/>
        <v>2.4305555555555556E-2</v>
      </c>
      <c r="CC31" s="163" t="e">
        <f>VLOOKUP($B:$B,'HT DIC'!$A:$AE,21,FALSE)</f>
        <v>#REF!</v>
      </c>
      <c r="CD31" s="432">
        <f t="shared" si="38"/>
        <v>0</v>
      </c>
      <c r="CE31" s="432"/>
      <c r="CF31" s="432">
        <f t="shared" si="39"/>
        <v>0</v>
      </c>
      <c r="CG31" s="163" t="e">
        <f>VLOOKUP($B:$B,'HT DIC'!$A:$AE,22,FALSE)</f>
        <v>#REF!</v>
      </c>
      <c r="CH31" s="432">
        <f t="shared" si="40"/>
        <v>0</v>
      </c>
      <c r="CI31" s="434"/>
      <c r="CJ31" s="432">
        <f t="shared" si="72"/>
        <v>0</v>
      </c>
      <c r="CK31" s="163">
        <f>VLOOKUP($B:$B,'HT DIC'!$A:$AE,23,FALSE)</f>
        <v>11</v>
      </c>
      <c r="CL31" s="432">
        <f t="shared" si="42"/>
        <v>3.4722222222222224E-2</v>
      </c>
      <c r="CM31" s="432">
        <v>2.914351851851852E-2</v>
      </c>
      <c r="CN31" s="432">
        <f t="shared" si="43"/>
        <v>0</v>
      </c>
      <c r="CO31" s="163" t="e">
        <f>VLOOKUP($B:$B,'HT DIC'!$A:$AE,24,FALSE)</f>
        <v>#REF!</v>
      </c>
      <c r="CP31" s="432">
        <f t="shared" si="44"/>
        <v>0</v>
      </c>
      <c r="CQ31" s="434">
        <v>4.866898148148148E-2</v>
      </c>
      <c r="CR31" s="432">
        <f t="shared" si="45"/>
        <v>4.866898148148148E-2</v>
      </c>
      <c r="CS31" s="163" t="e">
        <f>VLOOKUP($B:$B,'HT DIC'!$A:$AE,25,FALSE)</f>
        <v>#REF!</v>
      </c>
      <c r="CT31" s="432">
        <f t="shared" si="46"/>
        <v>0</v>
      </c>
      <c r="CU31" s="432">
        <v>3.2256944444444442E-2</v>
      </c>
      <c r="CV31" s="432">
        <f t="shared" si="47"/>
        <v>3.2256944444444442E-2</v>
      </c>
      <c r="CW31" s="163" t="e">
        <f>VLOOKUP($B:$B,'HT DIC'!$A:$AE,26,FALSE)</f>
        <v>#REF!</v>
      </c>
      <c r="CX31" s="432">
        <f t="shared" si="48"/>
        <v>0</v>
      </c>
      <c r="CY31" s="434">
        <v>3.0648148148148147E-2</v>
      </c>
      <c r="CZ31" s="432">
        <f t="shared" si="49"/>
        <v>3.0648148148148147E-2</v>
      </c>
      <c r="DA31" s="163">
        <f>VLOOKUP($B:$B,'HT DIC'!$A:$AE,27,FALSE)</f>
        <v>10</v>
      </c>
      <c r="DB31" s="432">
        <f t="shared" si="66"/>
        <v>3.125E-2</v>
      </c>
      <c r="DC31" s="434">
        <v>2.7233796296296298E-2</v>
      </c>
      <c r="DD31" s="432">
        <f t="shared" si="51"/>
        <v>0</v>
      </c>
      <c r="DE31" s="163">
        <f>VLOOKUP($B:$B,'HT DIC'!$A:$AE,28,FALSE)</f>
        <v>0</v>
      </c>
      <c r="DF31" s="432">
        <f t="shared" si="52"/>
        <v>0</v>
      </c>
      <c r="DG31" s="434">
        <v>3.3206018518518517E-2</v>
      </c>
      <c r="DH31" s="432">
        <f t="shared" si="53"/>
        <v>3.3206018518518517E-2</v>
      </c>
      <c r="DI31" s="163">
        <f>VLOOKUP($B:$B,'HT DIC'!$A:$AE,29,FALSE)</f>
        <v>0</v>
      </c>
      <c r="DJ31" s="432">
        <f t="shared" si="73"/>
        <v>0</v>
      </c>
      <c r="DK31" s="434">
        <v>4.221064814814815E-2</v>
      </c>
      <c r="DL31" s="432">
        <f t="shared" si="55"/>
        <v>4.221064814814815E-2</v>
      </c>
      <c r="DM31" s="163">
        <f>VLOOKUP($B:$B,'HT DIC'!$A:$AE,30,FALSE)</f>
        <v>11</v>
      </c>
      <c r="DN31" s="432">
        <f t="shared" si="68"/>
        <v>3.4722222222222224E-2</v>
      </c>
      <c r="DO31" s="434">
        <v>1.9224537037037037E-2</v>
      </c>
      <c r="DP31" s="432">
        <f t="shared" si="57"/>
        <v>0</v>
      </c>
      <c r="DQ31" s="163">
        <f>VLOOKUP($B:$B,'HT DIC'!$A:$AE,31,FALSE)</f>
        <v>9</v>
      </c>
      <c r="DR31" s="432">
        <f t="shared" si="58"/>
        <v>2.7777777777777776E-2</v>
      </c>
      <c r="DS31" s="434">
        <v>3.6261574074074071E-2</v>
      </c>
      <c r="DT31" s="432">
        <f t="shared" si="59"/>
        <v>8.4837962962962948E-3</v>
      </c>
      <c r="DU31" s="163" t="e">
        <f>VLOOKUP($B:$B,'HT DIC'!$A:$AE,32,FALSE)</f>
        <v>#REF!</v>
      </c>
      <c r="DV31" s="432">
        <f t="shared" si="60"/>
        <v>0</v>
      </c>
      <c r="DW31" s="434"/>
      <c r="DX31" s="432">
        <f t="shared" si="61"/>
        <v>0</v>
      </c>
      <c r="DY31" s="432">
        <f t="shared" si="69"/>
        <v>0.82837962962962963</v>
      </c>
    </row>
    <row r="32" spans="1:129">
      <c r="A32" s="166" t="s">
        <v>113</v>
      </c>
      <c r="B32" s="166" t="s">
        <v>131</v>
      </c>
      <c r="C32" s="166">
        <v>1729323384</v>
      </c>
      <c r="D32" s="431">
        <v>35372</v>
      </c>
      <c r="E32" s="163" t="e">
        <f>VLOOKUP($B:$B,#REF!,2,FALSE)</f>
        <v>#REF!</v>
      </c>
      <c r="F32" s="432">
        <f t="shared" si="74"/>
        <v>0</v>
      </c>
      <c r="G32" s="434">
        <v>2.5729166666666668E-2</v>
      </c>
      <c r="H32" s="432">
        <f t="shared" si="75"/>
        <v>2.5729166666666668E-2</v>
      </c>
      <c r="I32" s="163" t="e">
        <f>VLOOKUP($B:$B,'HT DIC'!$A:$AE,3,FALSE)</f>
        <v>#REF!</v>
      </c>
      <c r="J32" s="432">
        <f t="shared" si="76"/>
        <v>0</v>
      </c>
      <c r="K32" s="434"/>
      <c r="L32" s="432">
        <f t="shared" si="77"/>
        <v>0</v>
      </c>
      <c r="M32" s="163" t="e">
        <f>VLOOKUP($B:$B,'HT DIC'!$A:$AE,4,FALSE)</f>
        <v>#REF!</v>
      </c>
      <c r="N32" s="432">
        <f t="shared" si="78"/>
        <v>0</v>
      </c>
      <c r="O32" s="432"/>
      <c r="P32" s="432">
        <f t="shared" si="79"/>
        <v>0</v>
      </c>
      <c r="Q32" s="163" t="e">
        <f>VLOOKUP($B:$B,'HT DIC'!$A:$AE,5,FALSE)</f>
        <v>#REF!</v>
      </c>
      <c r="R32" s="432">
        <f t="shared" si="80"/>
        <v>0</v>
      </c>
      <c r="S32" s="432"/>
      <c r="T32" s="432">
        <f t="shared" si="81"/>
        <v>0</v>
      </c>
      <c r="U32" s="163" t="e">
        <f>VLOOKUP($B:$B,'HT DIC'!$A:$AE,6,FALSE)</f>
        <v>#REF!</v>
      </c>
      <c r="V32" s="432">
        <f t="shared" si="82"/>
        <v>0</v>
      </c>
      <c r="W32" s="434">
        <v>1.0578703703703703E-2</v>
      </c>
      <c r="X32" s="432">
        <f t="shared" si="83"/>
        <v>1.0578703703703703E-2</v>
      </c>
      <c r="Y32" s="163" t="e">
        <f>VLOOKUP($B:$B,'HT DIC'!$A:$AE,7,FALSE)</f>
        <v>#REF!</v>
      </c>
      <c r="Z32" s="432">
        <f t="shared" si="84"/>
        <v>0</v>
      </c>
      <c r="AA32" s="434">
        <v>2.3738425925925927E-2</v>
      </c>
      <c r="AB32" s="432">
        <f t="shared" si="85"/>
        <v>2.3738425925925927E-2</v>
      </c>
      <c r="AC32" s="163" t="e">
        <f>VLOOKUP($B:$B,'HT DIC'!$A:$AE,8,FALSE)</f>
        <v>#REF!</v>
      </c>
      <c r="AD32" s="432">
        <f t="shared" si="86"/>
        <v>0</v>
      </c>
      <c r="AE32" s="434">
        <v>2.6967592592592592E-2</v>
      </c>
      <c r="AF32" s="432">
        <f t="shared" si="87"/>
        <v>2.6967592592592592E-2</v>
      </c>
      <c r="AG32" s="163" t="e">
        <f>VLOOKUP($B:$B,'HT DIC'!$A:$AE,9,FALSE)</f>
        <v>#REF!</v>
      </c>
      <c r="AH32" s="432">
        <f t="shared" si="88"/>
        <v>0</v>
      </c>
      <c r="AI32" s="434">
        <v>3.5925925925925924E-2</v>
      </c>
      <c r="AJ32" s="432">
        <f t="shared" si="89"/>
        <v>3.5925925925925924E-2</v>
      </c>
      <c r="AK32" s="163" t="e">
        <f>VLOOKUP($B:$B,'HT DIC'!$A:$AE,10,FALSE)</f>
        <v>#REF!</v>
      </c>
      <c r="AL32" s="432">
        <f t="shared" si="90"/>
        <v>0</v>
      </c>
      <c r="AM32" s="434">
        <v>2.4409722222222222E-2</v>
      </c>
      <c r="AN32" s="432">
        <f t="shared" si="91"/>
        <v>2.4409722222222222E-2</v>
      </c>
      <c r="AO32" s="163" t="e">
        <f>VLOOKUP($B:$B,'HT DIC'!$A:$AE,11,FALSE)</f>
        <v>#REF!</v>
      </c>
      <c r="AP32" s="432">
        <f t="shared" si="92"/>
        <v>0</v>
      </c>
      <c r="AQ32" s="432">
        <v>2.4282407407407409E-2</v>
      </c>
      <c r="AR32" s="432">
        <f t="shared" si="93"/>
        <v>2.4282407407407409E-2</v>
      </c>
      <c r="AS32" s="163" t="e">
        <f>VLOOKUP($B:$B,'HT DIC'!$A:$AE,12,FALSE)</f>
        <v>#REF!</v>
      </c>
      <c r="AT32" s="432">
        <f t="shared" si="94"/>
        <v>0</v>
      </c>
      <c r="AU32" s="434">
        <v>1.4953703703703703E-2</v>
      </c>
      <c r="AV32" s="432">
        <f t="shared" si="95"/>
        <v>1.4953703703703703E-2</v>
      </c>
      <c r="AW32" s="163" t="e">
        <f>VLOOKUP($B:$B,'HT DIC'!$A:$AE,13,FALSE)</f>
        <v>#REF!</v>
      </c>
      <c r="AX32" s="432">
        <f t="shared" si="22"/>
        <v>0</v>
      </c>
      <c r="AY32" s="434">
        <v>2.6192129629629631E-2</v>
      </c>
      <c r="AZ32" s="432">
        <f t="shared" si="23"/>
        <v>2.6192129629629631E-2</v>
      </c>
      <c r="BA32" s="163" t="e">
        <f>VLOOKUP($B:$B,'HT DIC'!$A:$AE,14,FALSE)</f>
        <v>#REF!</v>
      </c>
      <c r="BB32" s="432">
        <f t="shared" si="24"/>
        <v>0</v>
      </c>
      <c r="BC32" s="434"/>
      <c r="BD32" s="432">
        <f t="shared" si="25"/>
        <v>0</v>
      </c>
      <c r="BE32" s="163" t="e">
        <f>VLOOKUP($B:$B,'HT DIC'!$A:$AE,15,FALSE)</f>
        <v>#REF!</v>
      </c>
      <c r="BF32" s="432">
        <f t="shared" si="26"/>
        <v>0</v>
      </c>
      <c r="BG32" s="434">
        <v>2.8078703703703703E-2</v>
      </c>
      <c r="BH32" s="432">
        <f t="shared" si="27"/>
        <v>2.8078703703703703E-2</v>
      </c>
      <c r="BI32" s="163" t="e">
        <f>VLOOKUP($B:$B,'HT DIC'!$A:$AE,16,FALSE)</f>
        <v>#REF!</v>
      </c>
      <c r="BJ32" s="432">
        <f t="shared" si="63"/>
        <v>0</v>
      </c>
      <c r="BK32" s="434">
        <v>2.508101851851852E-2</v>
      </c>
      <c r="BL32" s="432">
        <f t="shared" si="29"/>
        <v>2.508101851851852E-2</v>
      </c>
      <c r="BM32" s="163" t="e">
        <f>VLOOKUP($B:$B,'HT DIC'!$A:$AE,17,FALSE)</f>
        <v>#REF!</v>
      </c>
      <c r="BN32" s="432">
        <f t="shared" si="30"/>
        <v>0</v>
      </c>
      <c r="BO32" s="434">
        <v>2.9351851851851851E-2</v>
      </c>
      <c r="BP32" s="432">
        <f t="shared" si="31"/>
        <v>2.9351851851851851E-2</v>
      </c>
      <c r="BQ32" s="163" t="e">
        <f>VLOOKUP($B:$B,'HT DIC'!$A:$AE,18,FALSE)</f>
        <v>#REF!</v>
      </c>
      <c r="BR32" s="432">
        <f t="shared" si="64"/>
        <v>0</v>
      </c>
      <c r="BS32" s="434">
        <v>2.1493055555555557E-2</v>
      </c>
      <c r="BT32" s="432">
        <f t="shared" si="33"/>
        <v>2.1493055555555557E-2</v>
      </c>
      <c r="BU32" s="163" t="e">
        <f>VLOOKUP($B:$B,'HT DIC'!$A:$AE,19,FALSE)</f>
        <v>#REF!</v>
      </c>
      <c r="BV32" s="432">
        <f t="shared" si="34"/>
        <v>0</v>
      </c>
      <c r="BW32" s="434">
        <v>3.408564814814815E-2</v>
      </c>
      <c r="BX32" s="432">
        <f t="shared" si="35"/>
        <v>3.408564814814815E-2</v>
      </c>
      <c r="BY32" s="163" t="e">
        <f>VLOOKUP($B:$B,'HT DIC'!$A:$AE,20,FALSE)</f>
        <v>#REF!</v>
      </c>
      <c r="BZ32" s="432">
        <f t="shared" si="65"/>
        <v>0</v>
      </c>
      <c r="CA32" s="434">
        <v>4.0127314814814817E-2</v>
      </c>
      <c r="CB32" s="432">
        <f t="shared" si="37"/>
        <v>4.0127314814814817E-2</v>
      </c>
      <c r="CC32" s="163" t="e">
        <f>VLOOKUP($B:$B,'HT DIC'!$A:$AE,21,FALSE)</f>
        <v>#REF!</v>
      </c>
      <c r="CD32" s="432">
        <f t="shared" si="38"/>
        <v>0</v>
      </c>
      <c r="CE32" s="432"/>
      <c r="CF32" s="432">
        <f t="shared" si="39"/>
        <v>0</v>
      </c>
      <c r="CG32" s="163" t="e">
        <f>VLOOKUP($B:$B,'HT DIC'!$A:$AE,22,FALSE)</f>
        <v>#REF!</v>
      </c>
      <c r="CH32" s="432">
        <f t="shared" si="40"/>
        <v>0</v>
      </c>
      <c r="CI32" s="434"/>
      <c r="CJ32" s="432">
        <f t="shared" si="72"/>
        <v>0</v>
      </c>
      <c r="CK32" s="163">
        <f>VLOOKUP($B:$B,'HT DIC'!$A:$AE,23,FALSE)</f>
        <v>10</v>
      </c>
      <c r="CL32" s="432">
        <f t="shared" si="42"/>
        <v>3.125E-2</v>
      </c>
      <c r="CM32" s="432">
        <v>3.2071759259259258E-2</v>
      </c>
      <c r="CN32" s="432">
        <f t="shared" si="43"/>
        <v>8.2175925925925819E-4</v>
      </c>
      <c r="CO32" s="163" t="e">
        <f>VLOOKUP($B:$B,'HT DIC'!$A:$AE,24,FALSE)</f>
        <v>#REF!</v>
      </c>
      <c r="CP32" s="432">
        <f t="shared" si="44"/>
        <v>0</v>
      </c>
      <c r="CQ32" s="434">
        <v>3.6087962962962961E-2</v>
      </c>
      <c r="CR32" s="432">
        <f t="shared" si="45"/>
        <v>3.6087962962962961E-2</v>
      </c>
      <c r="CS32" s="163" t="e">
        <f>VLOOKUP($B:$B,'HT DIC'!$A:$AE,25,FALSE)</f>
        <v>#REF!</v>
      </c>
      <c r="CT32" s="432">
        <f t="shared" si="46"/>
        <v>0</v>
      </c>
      <c r="CU32" s="432">
        <v>2.8634259259259259E-2</v>
      </c>
      <c r="CV32" s="432">
        <f t="shared" si="47"/>
        <v>2.8634259259259259E-2</v>
      </c>
      <c r="CW32" s="163" t="e">
        <f>VLOOKUP($B:$B,'HT DIC'!$A:$AE,26,FALSE)</f>
        <v>#REF!</v>
      </c>
      <c r="CX32" s="432">
        <f t="shared" si="48"/>
        <v>0</v>
      </c>
      <c r="CY32" s="434">
        <v>4.2106481481481481E-2</v>
      </c>
      <c r="CZ32" s="432">
        <f t="shared" si="49"/>
        <v>4.2106481481481481E-2</v>
      </c>
      <c r="DA32" s="163">
        <f>VLOOKUP($B:$B,'HT DIC'!$A:$AE,27,FALSE)</f>
        <v>12</v>
      </c>
      <c r="DB32" s="432">
        <f t="shared" si="66"/>
        <v>3.8194444444444448E-2</v>
      </c>
      <c r="DC32" s="434">
        <v>1.7696759259259259E-2</v>
      </c>
      <c r="DD32" s="432">
        <f t="shared" si="51"/>
        <v>0</v>
      </c>
      <c r="DE32" s="163">
        <f>VLOOKUP($B:$B,'HT DIC'!$A:$AE,28,FALSE)</f>
        <v>1</v>
      </c>
      <c r="DF32" s="432">
        <f t="shared" si="52"/>
        <v>0</v>
      </c>
      <c r="DG32" s="434">
        <v>3.9502314814814816E-2</v>
      </c>
      <c r="DH32" s="432">
        <f t="shared" si="53"/>
        <v>3.9502314814814816E-2</v>
      </c>
      <c r="DI32" s="163">
        <f>VLOOKUP($B:$B,'HT DIC'!$A:$AE,29,FALSE)</f>
        <v>13</v>
      </c>
      <c r="DJ32" s="432">
        <f t="shared" si="73"/>
        <v>4.1666666666666664E-2</v>
      </c>
      <c r="DK32" s="434"/>
      <c r="DL32" s="432">
        <f t="shared" si="55"/>
        <v>0</v>
      </c>
      <c r="DM32" s="163">
        <f>VLOOKUP($B:$B,'HT DIC'!$A:$AE,30,FALSE)</f>
        <v>10</v>
      </c>
      <c r="DN32" s="432">
        <f t="shared" si="68"/>
        <v>3.125E-2</v>
      </c>
      <c r="DO32" s="434">
        <v>0.10407407407407407</v>
      </c>
      <c r="DP32" s="432">
        <f t="shared" si="57"/>
        <v>7.2824074074074069E-2</v>
      </c>
      <c r="DQ32" s="163">
        <f>VLOOKUP($B:$B,'HT DIC'!$A:$AE,31,FALSE)</f>
        <v>12</v>
      </c>
      <c r="DR32" s="432">
        <f t="shared" si="58"/>
        <v>3.8194444444444448E-2</v>
      </c>
      <c r="DS32" s="434"/>
      <c r="DT32" s="432">
        <f t="shared" si="59"/>
        <v>0</v>
      </c>
      <c r="DU32" s="163" t="e">
        <f>VLOOKUP($B:$B,'HT DIC'!$A:$AE,32,FALSE)</f>
        <v>#REF!</v>
      </c>
      <c r="DV32" s="432">
        <f t="shared" si="60"/>
        <v>0</v>
      </c>
      <c r="DW32" s="434"/>
      <c r="DX32" s="432">
        <f t="shared" si="61"/>
        <v>0</v>
      </c>
      <c r="DY32" s="432">
        <f t="shared" si="69"/>
        <v>0.61097222222222225</v>
      </c>
    </row>
    <row r="33" spans="1:129">
      <c r="A33" s="166" t="s">
        <v>115</v>
      </c>
      <c r="B33" s="166" t="s">
        <v>50</v>
      </c>
      <c r="C33" s="166">
        <v>1724308455</v>
      </c>
      <c r="D33" s="431">
        <v>34568</v>
      </c>
      <c r="E33" s="163" t="e">
        <f>VLOOKUP($B:$B,#REF!,2,FALSE)</f>
        <v>#REF!</v>
      </c>
      <c r="F33" s="432">
        <f t="shared" si="74"/>
        <v>0</v>
      </c>
      <c r="G33" s="434">
        <v>3.5046296296296298E-2</v>
      </c>
      <c r="H33" s="432">
        <f t="shared" si="75"/>
        <v>3.5046296296296298E-2</v>
      </c>
      <c r="I33" s="163" t="e">
        <f>VLOOKUP($B:$B,'HT DIC'!$A:$AE,3,FALSE)</f>
        <v>#REF!</v>
      </c>
      <c r="J33" s="432">
        <f t="shared" si="76"/>
        <v>0</v>
      </c>
      <c r="K33" s="434">
        <v>4.3368055555555556E-2</v>
      </c>
      <c r="L33" s="432">
        <f t="shared" si="77"/>
        <v>4.3368055555555556E-2</v>
      </c>
      <c r="M33" s="163" t="e">
        <f>VLOOKUP($B:$B,'HT DIC'!$A:$AE,4,FALSE)</f>
        <v>#REF!</v>
      </c>
      <c r="N33" s="432">
        <f t="shared" si="78"/>
        <v>0</v>
      </c>
      <c r="O33" s="432">
        <v>3.5648148148148151E-2</v>
      </c>
      <c r="P33" s="432">
        <f t="shared" si="79"/>
        <v>3.5648148148148151E-2</v>
      </c>
      <c r="Q33" s="163" t="e">
        <f>VLOOKUP($B:$B,'HT DIC'!$A:$AE,5,FALSE)</f>
        <v>#REF!</v>
      </c>
      <c r="R33" s="432">
        <f t="shared" si="80"/>
        <v>0</v>
      </c>
      <c r="S33" s="432">
        <v>3.4375000000000003E-2</v>
      </c>
      <c r="T33" s="432">
        <f t="shared" si="81"/>
        <v>3.4375000000000003E-2</v>
      </c>
      <c r="U33" s="163" t="e">
        <f>VLOOKUP($B:$B,'HT DIC'!$A:$AE,6,FALSE)</f>
        <v>#REF!</v>
      </c>
      <c r="V33" s="432">
        <f t="shared" si="82"/>
        <v>0</v>
      </c>
      <c r="W33" s="434">
        <v>9.9884259259259266E-3</v>
      </c>
      <c r="X33" s="432">
        <f t="shared" si="83"/>
        <v>9.9884259259259266E-3</v>
      </c>
      <c r="Y33" s="163" t="e">
        <f>VLOOKUP($B:$B,'HT DIC'!$A:$AE,7,FALSE)</f>
        <v>#REF!</v>
      </c>
      <c r="Z33" s="432">
        <f t="shared" si="84"/>
        <v>0</v>
      </c>
      <c r="AA33" s="432">
        <f>IFERROR(VLOOKUP(Z33,$B$229:$E$245,2,FALSE),0)</f>
        <v>0</v>
      </c>
      <c r="AB33" s="432">
        <f t="shared" si="85"/>
        <v>0</v>
      </c>
      <c r="AC33" s="163" t="e">
        <f>VLOOKUP($B:$B,'HT DIC'!$A:$AE,8,FALSE)</f>
        <v>#REF!</v>
      </c>
      <c r="AD33" s="432">
        <f t="shared" si="86"/>
        <v>0</v>
      </c>
      <c r="AE33" s="434">
        <v>2.8206018518518519E-2</v>
      </c>
      <c r="AF33" s="432">
        <f t="shared" si="87"/>
        <v>2.8206018518518519E-2</v>
      </c>
      <c r="AG33" s="163" t="e">
        <f>VLOOKUP($B:$B,'HT DIC'!$A:$AE,9,FALSE)</f>
        <v>#REF!</v>
      </c>
      <c r="AH33" s="432">
        <f t="shared" si="88"/>
        <v>0</v>
      </c>
      <c r="AI33" s="434">
        <v>3.7430555555555557E-2</v>
      </c>
      <c r="AJ33" s="432">
        <f t="shared" si="89"/>
        <v>3.7430555555555557E-2</v>
      </c>
      <c r="AK33" s="163" t="e">
        <f>VLOOKUP($B:$B,'HT DIC'!$A:$AE,10,FALSE)</f>
        <v>#REF!</v>
      </c>
      <c r="AL33" s="432">
        <f t="shared" si="90"/>
        <v>0</v>
      </c>
      <c r="AM33" s="434">
        <v>3.829861111111111E-2</v>
      </c>
      <c r="AN33" s="432">
        <f t="shared" si="91"/>
        <v>3.829861111111111E-2</v>
      </c>
      <c r="AO33" s="163" t="e">
        <f>VLOOKUP($B:$B,'HT DIC'!$A:$AE,11,FALSE)</f>
        <v>#REF!</v>
      </c>
      <c r="AP33" s="432">
        <f t="shared" si="92"/>
        <v>0</v>
      </c>
      <c r="AQ33" s="432">
        <v>3.8715277777777779E-2</v>
      </c>
      <c r="AR33" s="432">
        <f t="shared" si="93"/>
        <v>3.8715277777777779E-2</v>
      </c>
      <c r="AS33" s="163" t="e">
        <f>VLOOKUP($B:$B,'HT DIC'!$A:$AE,12,FALSE)</f>
        <v>#REF!</v>
      </c>
      <c r="AT33" s="432">
        <f t="shared" si="94"/>
        <v>0</v>
      </c>
      <c r="AU33" s="434">
        <v>3.7777777777777778E-2</v>
      </c>
      <c r="AV33" s="432">
        <f t="shared" si="95"/>
        <v>3.7777777777777778E-2</v>
      </c>
      <c r="AW33" s="163" t="e">
        <f>VLOOKUP($B:$B,'HT DIC'!$A:$AE,13,FALSE)</f>
        <v>#REF!</v>
      </c>
      <c r="AX33" s="432">
        <f t="shared" si="22"/>
        <v>0</v>
      </c>
      <c r="AY33" s="434">
        <v>1.9270833333333334E-2</v>
      </c>
      <c r="AZ33" s="432">
        <f t="shared" si="23"/>
        <v>1.9270833333333334E-2</v>
      </c>
      <c r="BA33" s="163" t="e">
        <f>VLOOKUP($B:$B,'HT DIC'!$A:$AE,14,FALSE)</f>
        <v>#REF!</v>
      </c>
      <c r="BB33" s="432">
        <f t="shared" si="24"/>
        <v>0</v>
      </c>
      <c r="BC33" s="434">
        <v>2.1759259259259259E-2</v>
      </c>
      <c r="BD33" s="432">
        <f t="shared" si="25"/>
        <v>2.1759259259259259E-2</v>
      </c>
      <c r="BE33" s="163" t="e">
        <f>VLOOKUP($B:$B,'HT DIC'!$A:$AE,15,FALSE)</f>
        <v>#REF!</v>
      </c>
      <c r="BF33" s="432">
        <f t="shared" si="26"/>
        <v>0</v>
      </c>
      <c r="BG33" s="434">
        <v>4.3645833333333335E-2</v>
      </c>
      <c r="BH33" s="432">
        <f t="shared" si="27"/>
        <v>4.3645833333333335E-2</v>
      </c>
      <c r="BI33" s="163" t="e">
        <f>VLOOKUP($B:$B,'HT DIC'!$A:$AE,16,FALSE)</f>
        <v>#REF!</v>
      </c>
      <c r="BJ33" s="432">
        <f t="shared" si="63"/>
        <v>0</v>
      </c>
      <c r="BK33" s="434">
        <v>3.7696759259259256E-2</v>
      </c>
      <c r="BL33" s="432">
        <f t="shared" si="29"/>
        <v>3.7696759259259256E-2</v>
      </c>
      <c r="BM33" s="163" t="str">
        <f>VLOOKUP($B:$B,'HT DIC'!$A:$AE,17,FALSE)</f>
        <v>FI</v>
      </c>
      <c r="BN33" s="432">
        <f t="shared" si="30"/>
        <v>0</v>
      </c>
      <c r="BO33" s="434">
        <v>4.1192129629629627E-2</v>
      </c>
      <c r="BP33" s="432">
        <f t="shared" si="31"/>
        <v>4.1192129629629627E-2</v>
      </c>
      <c r="BQ33" s="163" t="e">
        <f>VLOOKUP($B:$B,'HT DIC'!$A:$AE,18,FALSE)</f>
        <v>#REF!</v>
      </c>
      <c r="BR33" s="432">
        <f t="shared" si="64"/>
        <v>0</v>
      </c>
      <c r="BS33" s="434">
        <v>3.6203703703703703E-2</v>
      </c>
      <c r="BT33" s="432">
        <f t="shared" si="33"/>
        <v>3.6203703703703703E-2</v>
      </c>
      <c r="BU33" s="163" t="e">
        <f>VLOOKUP($B:$B,'HT DIC'!$A:$AE,19,FALSE)</f>
        <v>#REF!</v>
      </c>
      <c r="BV33" s="432">
        <f t="shared" si="34"/>
        <v>0</v>
      </c>
      <c r="BW33" s="434">
        <v>4.5011574074074072E-2</v>
      </c>
      <c r="BX33" s="432">
        <f t="shared" si="35"/>
        <v>4.5011574074074072E-2</v>
      </c>
      <c r="BY33" s="163" t="e">
        <f>VLOOKUP($B:$B,'HT DIC'!$A:$AE,20,FALSE)</f>
        <v>#REF!</v>
      </c>
      <c r="BZ33" s="432">
        <f t="shared" si="65"/>
        <v>0</v>
      </c>
      <c r="CA33" s="434">
        <v>4.2280092592592591E-2</v>
      </c>
      <c r="CB33" s="432">
        <f t="shared" si="37"/>
        <v>4.2280092592592591E-2</v>
      </c>
      <c r="CC33" s="163" t="str">
        <f>VLOOKUP($B:$B,'HT DIC'!$A:$AE,21,FALSE)</f>
        <v>FI</v>
      </c>
      <c r="CD33" s="432">
        <f t="shared" si="38"/>
        <v>0</v>
      </c>
      <c r="CE33" s="432">
        <v>2.4976851851851851E-2</v>
      </c>
      <c r="CF33" s="432">
        <f t="shared" si="39"/>
        <v>2.4976851851851851E-2</v>
      </c>
      <c r="CG33" s="163" t="e">
        <f>VLOOKUP($B:$B,'HT DIC'!$A:$AE,22,FALSE)</f>
        <v>#REF!</v>
      </c>
      <c r="CH33" s="432">
        <f t="shared" si="40"/>
        <v>0</v>
      </c>
      <c r="CI33" s="434">
        <v>1.8263888888888889E-2</v>
      </c>
      <c r="CJ33" s="432">
        <f t="shared" si="72"/>
        <v>1.8263888888888889E-2</v>
      </c>
      <c r="CK33" s="163">
        <f>VLOOKUP($B:$B,'HT DIC'!$A:$AE,23,FALSE)</f>
        <v>10</v>
      </c>
      <c r="CL33" s="432">
        <f t="shared" si="42"/>
        <v>3.125E-2</v>
      </c>
      <c r="CM33" s="432">
        <v>4.7083333333333331E-2</v>
      </c>
      <c r="CN33" s="432">
        <f t="shared" si="43"/>
        <v>1.5833333333333331E-2</v>
      </c>
      <c r="CO33" s="163" t="e">
        <f>VLOOKUP($B:$B,'HT DIC'!$A:$AE,24,FALSE)</f>
        <v>#REF!</v>
      </c>
      <c r="CP33" s="432">
        <f t="shared" si="44"/>
        <v>0</v>
      </c>
      <c r="CQ33" s="434">
        <v>4.611111111111111E-2</v>
      </c>
      <c r="CR33" s="432">
        <f t="shared" si="45"/>
        <v>4.611111111111111E-2</v>
      </c>
      <c r="CS33" s="163" t="e">
        <f>VLOOKUP($B:$B,'HT DIC'!$A:$AE,25,FALSE)</f>
        <v>#REF!</v>
      </c>
      <c r="CT33" s="432">
        <f t="shared" si="46"/>
        <v>0</v>
      </c>
      <c r="CU33" s="432">
        <v>4.4895833333333336E-2</v>
      </c>
      <c r="CV33" s="432">
        <f t="shared" si="47"/>
        <v>4.4895833333333336E-2</v>
      </c>
      <c r="CW33" s="163" t="e">
        <f>VLOOKUP($B:$B,'HT DIC'!$A:$AE,26,FALSE)</f>
        <v>#REF!</v>
      </c>
      <c r="CX33" s="432">
        <f t="shared" si="48"/>
        <v>0</v>
      </c>
      <c r="CY33" s="434">
        <v>3.290509259259259E-2</v>
      </c>
      <c r="CZ33" s="432">
        <f t="shared" si="49"/>
        <v>3.290509259259259E-2</v>
      </c>
      <c r="DA33" s="163">
        <f>VLOOKUP($B:$B,'HT DIC'!$A:$AE,27,FALSE)</f>
        <v>8</v>
      </c>
      <c r="DB33" s="432">
        <f t="shared" si="66"/>
        <v>2.4305555555555556E-2</v>
      </c>
      <c r="DC33" s="434">
        <v>1.4270833333333333E-2</v>
      </c>
      <c r="DD33" s="432">
        <f t="shared" si="51"/>
        <v>0</v>
      </c>
      <c r="DE33" s="163">
        <f>VLOOKUP($B:$B,'HT DIC'!$A:$AE,28,FALSE)</f>
        <v>12</v>
      </c>
      <c r="DF33" s="432">
        <f t="shared" si="52"/>
        <v>3.8194444444444448E-2</v>
      </c>
      <c r="DG33" s="434">
        <v>3.3206018518518517E-2</v>
      </c>
      <c r="DH33" s="432">
        <f t="shared" si="53"/>
        <v>0</v>
      </c>
      <c r="DI33" s="163">
        <f>VLOOKUP($B:$B,'HT DIC'!$A:$AE,29,FALSE)</f>
        <v>0</v>
      </c>
      <c r="DJ33" s="432">
        <f t="shared" si="73"/>
        <v>0</v>
      </c>
      <c r="DK33" s="434">
        <v>2.4664351851851851E-2</v>
      </c>
      <c r="DL33" s="432">
        <f t="shared" si="55"/>
        <v>2.4664351851851851E-2</v>
      </c>
      <c r="DM33" s="163">
        <f>VLOOKUP($B:$B,'HT DIC'!$A:$AE,30,FALSE)</f>
        <v>10</v>
      </c>
      <c r="DN33" s="432">
        <f t="shared" si="68"/>
        <v>3.125E-2</v>
      </c>
      <c r="DO33" s="434">
        <v>3.8738425925925926E-2</v>
      </c>
      <c r="DP33" s="432">
        <f t="shared" si="57"/>
        <v>7.4884259259259262E-3</v>
      </c>
      <c r="DQ33" s="163">
        <f>VLOOKUP($B:$B,'HT DIC'!$A:$AE,31,FALSE)</f>
        <v>8</v>
      </c>
      <c r="DR33" s="432">
        <f t="shared" si="58"/>
        <v>2.4305555555555556E-2</v>
      </c>
      <c r="DS33" s="434">
        <v>3.5196759259259261E-2</v>
      </c>
      <c r="DT33" s="432">
        <f t="shared" si="59"/>
        <v>1.0891203703703705E-2</v>
      </c>
      <c r="DU33" s="163" t="e">
        <f>VLOOKUP($B:$B,'HT DIC'!$A:$AE,32,FALSE)</f>
        <v>#REF!</v>
      </c>
      <c r="DV33" s="432">
        <f t="shared" si="60"/>
        <v>0</v>
      </c>
      <c r="DW33" s="434"/>
      <c r="DX33" s="432">
        <f t="shared" si="61"/>
        <v>0</v>
      </c>
      <c r="DY33" s="432">
        <f t="shared" si="69"/>
        <v>0.85194444444444462</v>
      </c>
    </row>
    <row r="34" spans="1:129">
      <c r="A34" s="166" t="s">
        <v>120</v>
      </c>
      <c r="B34" s="166" t="s">
        <v>135</v>
      </c>
      <c r="C34" s="166">
        <v>1726506643</v>
      </c>
      <c r="D34" s="431">
        <v>35367</v>
      </c>
      <c r="E34" s="163" t="e">
        <f>VLOOKUP($B:$B,#REF!,2,FALSE)</f>
        <v>#REF!</v>
      </c>
      <c r="F34" s="432">
        <f t="shared" si="74"/>
        <v>0</v>
      </c>
      <c r="G34" s="434">
        <v>4.6180555555555558E-2</v>
      </c>
      <c r="H34" s="432">
        <f t="shared" si="75"/>
        <v>4.6180555555555558E-2</v>
      </c>
      <c r="I34" s="163" t="e">
        <f>VLOOKUP($B:$B,'HT DIC'!$A:$AE,3,FALSE)</f>
        <v>#REF!</v>
      </c>
      <c r="J34" s="432">
        <f t="shared" si="76"/>
        <v>0</v>
      </c>
      <c r="K34" s="434">
        <v>4.1724537037037039E-2</v>
      </c>
      <c r="L34" s="432">
        <f t="shared" si="77"/>
        <v>4.1724537037037039E-2</v>
      </c>
      <c r="M34" s="163" t="e">
        <f>VLOOKUP($B:$B,'HT DIC'!$A:$AE,4,FALSE)</f>
        <v>#REF!</v>
      </c>
      <c r="N34" s="432">
        <f t="shared" si="78"/>
        <v>0</v>
      </c>
      <c r="O34" s="432">
        <v>6.5219907407407407E-2</v>
      </c>
      <c r="P34" s="432">
        <f t="shared" si="79"/>
        <v>6.5219907407407407E-2</v>
      </c>
      <c r="Q34" s="163" t="e">
        <f>VLOOKUP($B:$B,'HT DIC'!$A:$AE,5,FALSE)</f>
        <v>#REF!</v>
      </c>
      <c r="R34" s="432">
        <f t="shared" si="80"/>
        <v>0</v>
      </c>
      <c r="S34" s="432">
        <v>1.8796296296296297E-2</v>
      </c>
      <c r="T34" s="432">
        <f t="shared" si="81"/>
        <v>1.8796296296296297E-2</v>
      </c>
      <c r="U34" s="163" t="e">
        <f>VLOOKUP($B:$B,'HT DIC'!$A:$AE,6,FALSE)</f>
        <v>#REF!</v>
      </c>
      <c r="V34" s="432">
        <f t="shared" si="82"/>
        <v>0</v>
      </c>
      <c r="W34" s="434"/>
      <c r="X34" s="432">
        <f t="shared" si="83"/>
        <v>0</v>
      </c>
      <c r="Y34" s="163" t="e">
        <f>VLOOKUP($B:$B,'HT DIC'!$A:$AE,7,FALSE)</f>
        <v>#REF!</v>
      </c>
      <c r="Z34" s="432">
        <f t="shared" si="84"/>
        <v>0</v>
      </c>
      <c r="AA34" s="434">
        <v>2.8032407407407409E-2</v>
      </c>
      <c r="AB34" s="432">
        <f t="shared" si="85"/>
        <v>2.8032407407407409E-2</v>
      </c>
      <c r="AC34" s="163" t="e">
        <f>VLOOKUP($B:$B,'HT DIC'!$A:$AE,8,FALSE)</f>
        <v>#REF!</v>
      </c>
      <c r="AD34" s="432">
        <f t="shared" si="86"/>
        <v>0</v>
      </c>
      <c r="AE34" s="434">
        <v>2.9479166666666667E-2</v>
      </c>
      <c r="AF34" s="432">
        <f t="shared" si="87"/>
        <v>2.9479166666666667E-2</v>
      </c>
      <c r="AG34" s="163" t="e">
        <f>VLOOKUP($B:$B,'HT DIC'!$A:$AE,9,FALSE)</f>
        <v>#REF!</v>
      </c>
      <c r="AH34" s="432">
        <f t="shared" si="88"/>
        <v>0</v>
      </c>
      <c r="AI34" s="434">
        <v>3.5949074074074071E-2</v>
      </c>
      <c r="AJ34" s="432">
        <f t="shared" si="89"/>
        <v>3.5949074074074071E-2</v>
      </c>
      <c r="AK34" s="163" t="e">
        <f>VLOOKUP($B:$B,'HT DIC'!$A:$AE,10,FALSE)</f>
        <v>#REF!</v>
      </c>
      <c r="AL34" s="432">
        <f t="shared" si="90"/>
        <v>0</v>
      </c>
      <c r="AM34" s="434">
        <v>3.1851851851851853E-2</v>
      </c>
      <c r="AN34" s="432">
        <f t="shared" si="91"/>
        <v>3.1851851851851853E-2</v>
      </c>
      <c r="AO34" s="163" t="e">
        <f>VLOOKUP($B:$B,'HT DIC'!$A:$AE,11,FALSE)</f>
        <v>#REF!</v>
      </c>
      <c r="AP34" s="432">
        <f t="shared" si="92"/>
        <v>0</v>
      </c>
      <c r="AQ34" s="432">
        <v>2.7777777777777776E-2</v>
      </c>
      <c r="AR34" s="432">
        <f t="shared" si="93"/>
        <v>2.7777777777777776E-2</v>
      </c>
      <c r="AS34" s="163" t="e">
        <f>VLOOKUP($B:$B,'HT DIC'!$A:$AE,12,FALSE)</f>
        <v>#REF!</v>
      </c>
      <c r="AT34" s="432">
        <f t="shared" si="94"/>
        <v>0</v>
      </c>
      <c r="AU34" s="434">
        <v>3.125E-2</v>
      </c>
      <c r="AV34" s="432">
        <f t="shared" si="95"/>
        <v>3.125E-2</v>
      </c>
      <c r="AW34" s="163" t="e">
        <f>VLOOKUP($B:$B,'HT DIC'!$A:$AE,13,FALSE)</f>
        <v>#REF!</v>
      </c>
      <c r="AX34" s="432">
        <f t="shared" si="22"/>
        <v>0</v>
      </c>
      <c r="AY34" s="434">
        <v>2.087962962962963E-2</v>
      </c>
      <c r="AZ34" s="432">
        <f t="shared" si="23"/>
        <v>2.087962962962963E-2</v>
      </c>
      <c r="BA34" s="163" t="e">
        <f>VLOOKUP($B:$B,'HT DIC'!$A:$AE,14,FALSE)</f>
        <v>#REF!</v>
      </c>
      <c r="BB34" s="432">
        <f t="shared" si="24"/>
        <v>0</v>
      </c>
      <c r="BC34" s="434"/>
      <c r="BD34" s="432">
        <f t="shared" si="25"/>
        <v>0</v>
      </c>
      <c r="BE34" s="163" t="e">
        <f>VLOOKUP($B:$B,'HT DIC'!$A:$AE,15,FALSE)</f>
        <v>#REF!</v>
      </c>
      <c r="BF34" s="432">
        <f t="shared" si="26"/>
        <v>0</v>
      </c>
      <c r="BG34" s="432">
        <f>IFERROR(VLOOKUP(BF34,$B$229:$E$245,2,FALSE),0)</f>
        <v>0</v>
      </c>
      <c r="BH34" s="432">
        <f t="shared" si="27"/>
        <v>0</v>
      </c>
      <c r="BI34" s="163" t="e">
        <f>VLOOKUP($B:$B,'HT DIC'!$A:$AE,16,FALSE)</f>
        <v>#REF!</v>
      </c>
      <c r="BJ34" s="432">
        <f t="shared" si="63"/>
        <v>0</v>
      </c>
      <c r="BK34" s="434">
        <v>2.7777777777777776E-2</v>
      </c>
      <c r="BL34" s="432">
        <f t="shared" si="29"/>
        <v>2.7777777777777776E-2</v>
      </c>
      <c r="BM34" s="163" t="e">
        <f>VLOOKUP($B:$B,'HT DIC'!$A:$AE,17,FALSE)</f>
        <v>#REF!</v>
      </c>
      <c r="BN34" s="432">
        <f t="shared" si="30"/>
        <v>0</v>
      </c>
      <c r="BO34" s="434">
        <v>3.7395833333333336E-2</v>
      </c>
      <c r="BP34" s="432">
        <f t="shared" si="31"/>
        <v>3.7395833333333336E-2</v>
      </c>
      <c r="BQ34" s="163" t="e">
        <f>VLOOKUP($B:$B,'HT DIC'!$A:$AE,18,FALSE)</f>
        <v>#REF!</v>
      </c>
      <c r="BR34" s="432">
        <f t="shared" si="64"/>
        <v>0</v>
      </c>
      <c r="BS34" s="434">
        <v>3.2881944444444443E-2</v>
      </c>
      <c r="BT34" s="432">
        <f t="shared" si="33"/>
        <v>3.2881944444444443E-2</v>
      </c>
      <c r="BU34" s="163" t="e">
        <f>VLOOKUP($B:$B,'HT DIC'!$A:$AE,19,FALSE)</f>
        <v>#REF!</v>
      </c>
      <c r="BV34" s="432">
        <f t="shared" si="34"/>
        <v>0</v>
      </c>
      <c r="BW34" s="434">
        <v>2.931712962962963E-2</v>
      </c>
      <c r="BX34" s="432">
        <f t="shared" si="35"/>
        <v>2.931712962962963E-2</v>
      </c>
      <c r="BY34" s="163" t="e">
        <f>VLOOKUP($B:$B,'HT DIC'!$A:$AE,20,FALSE)</f>
        <v>#REF!</v>
      </c>
      <c r="BZ34" s="432">
        <f t="shared" si="65"/>
        <v>0</v>
      </c>
      <c r="CA34" s="434">
        <v>7.9837962962962958E-2</v>
      </c>
      <c r="CB34" s="432">
        <f t="shared" si="37"/>
        <v>7.9837962962962958E-2</v>
      </c>
      <c r="CC34" s="163" t="e">
        <f>VLOOKUP($B:$B,'HT DIC'!$A:$AE,21,FALSE)</f>
        <v>#REF!</v>
      </c>
      <c r="CD34" s="432">
        <f t="shared" si="38"/>
        <v>0</v>
      </c>
      <c r="CE34" s="432">
        <v>2.6863425925925926E-2</v>
      </c>
      <c r="CF34" s="432">
        <f t="shared" si="39"/>
        <v>2.6863425925925926E-2</v>
      </c>
      <c r="CG34" s="163" t="e">
        <f>VLOOKUP($B:$B,'HT DIC'!$A:$AE,22,FALSE)</f>
        <v>#REF!</v>
      </c>
      <c r="CH34" s="432">
        <f t="shared" si="40"/>
        <v>0</v>
      </c>
      <c r="CI34" s="434"/>
      <c r="CJ34" s="432">
        <f t="shared" si="72"/>
        <v>0</v>
      </c>
      <c r="CK34" s="163">
        <f>VLOOKUP($B:$B,'HT DIC'!$A:$AE,23,FALSE)</f>
        <v>10</v>
      </c>
      <c r="CL34" s="432">
        <f t="shared" si="42"/>
        <v>3.125E-2</v>
      </c>
      <c r="CM34" s="432">
        <v>4.7291666666666669E-2</v>
      </c>
      <c r="CN34" s="432">
        <f t="shared" si="43"/>
        <v>1.6041666666666669E-2</v>
      </c>
      <c r="CO34" s="163" t="e">
        <f>VLOOKUP($B:$B,'HT DIC'!$A:$AE,24,FALSE)</f>
        <v>#REF!</v>
      </c>
      <c r="CP34" s="432">
        <f t="shared" si="44"/>
        <v>0</v>
      </c>
      <c r="CQ34" s="434"/>
      <c r="CR34" s="432">
        <f t="shared" si="45"/>
        <v>0</v>
      </c>
      <c r="CS34" s="163" t="e">
        <f>VLOOKUP($B:$B,'HT DIC'!$A:$AE,25,FALSE)</f>
        <v>#REF!</v>
      </c>
      <c r="CT34" s="432">
        <f t="shared" si="46"/>
        <v>0</v>
      </c>
      <c r="CU34" s="432">
        <v>4.7361111111111111E-2</v>
      </c>
      <c r="CV34" s="432">
        <f t="shared" si="47"/>
        <v>4.7361111111111111E-2</v>
      </c>
      <c r="CW34" s="163" t="e">
        <f>VLOOKUP($B:$B,'HT DIC'!$A:$AE,26,FALSE)</f>
        <v>#REF!</v>
      </c>
      <c r="CX34" s="432">
        <f t="shared" si="48"/>
        <v>0</v>
      </c>
      <c r="CY34" s="434">
        <v>2.0509259259259258E-2</v>
      </c>
      <c r="CZ34" s="432">
        <f t="shared" si="49"/>
        <v>2.0509259259259258E-2</v>
      </c>
      <c r="DA34" s="163">
        <f>VLOOKUP($B:$B,'HT DIC'!$A:$AE,27,FALSE)</f>
        <v>11</v>
      </c>
      <c r="DB34" s="432">
        <f t="shared" si="66"/>
        <v>3.4722222222222224E-2</v>
      </c>
      <c r="DC34" s="434">
        <v>0.10388888888888889</v>
      </c>
      <c r="DD34" s="432">
        <f t="shared" si="51"/>
        <v>6.9166666666666668E-2</v>
      </c>
      <c r="DE34" s="163">
        <f>VLOOKUP($B:$B,'HT DIC'!$A:$AE,28,FALSE)</f>
        <v>12</v>
      </c>
      <c r="DF34" s="432">
        <f t="shared" si="52"/>
        <v>3.8194444444444448E-2</v>
      </c>
      <c r="DG34" s="434"/>
      <c r="DH34" s="432">
        <f t="shared" si="53"/>
        <v>0</v>
      </c>
      <c r="DI34" s="163">
        <f>VLOOKUP($B:$B,'HT DIC'!$A:$AE,29,FALSE)</f>
        <v>0</v>
      </c>
      <c r="DJ34" s="432">
        <f t="shared" si="73"/>
        <v>0</v>
      </c>
      <c r="DK34" s="434">
        <v>2.9942129629629631E-2</v>
      </c>
      <c r="DL34" s="432">
        <f t="shared" si="55"/>
        <v>2.9942129629629631E-2</v>
      </c>
      <c r="DM34" s="163">
        <f>VLOOKUP($B:$B,'HT DIC'!$A:$AE,30,FALSE)</f>
        <v>11</v>
      </c>
      <c r="DN34" s="432">
        <f t="shared" si="68"/>
        <v>3.4722222222222224E-2</v>
      </c>
      <c r="DO34" s="434">
        <v>3.7928240740740742E-2</v>
      </c>
      <c r="DP34" s="432">
        <f t="shared" si="57"/>
        <v>3.2060185185185178E-3</v>
      </c>
      <c r="DQ34" s="163">
        <f>VLOOKUP($B:$B,'HT DIC'!$A:$AE,31,FALSE)</f>
        <v>8</v>
      </c>
      <c r="DR34" s="432">
        <f t="shared" si="58"/>
        <v>2.4305555555555556E-2</v>
      </c>
      <c r="DS34" s="434">
        <v>3.394675925925926E-2</v>
      </c>
      <c r="DT34" s="432">
        <f t="shared" si="59"/>
        <v>9.6412037037037039E-3</v>
      </c>
      <c r="DU34" s="163" t="e">
        <f>VLOOKUP($B:$B,'HT DIC'!$A:$AE,32,FALSE)</f>
        <v>#REF!</v>
      </c>
      <c r="DV34" s="432">
        <f t="shared" si="60"/>
        <v>0</v>
      </c>
      <c r="DW34" s="434"/>
      <c r="DX34" s="432">
        <f t="shared" si="61"/>
        <v>0</v>
      </c>
      <c r="DY34" s="432">
        <f t="shared" si="69"/>
        <v>0.80708333333333337</v>
      </c>
    </row>
    <row r="35" spans="1:129">
      <c r="A35" s="166" t="s">
        <v>122</v>
      </c>
      <c r="B35" s="166" t="s">
        <v>140</v>
      </c>
      <c r="C35" s="166">
        <v>1728911213</v>
      </c>
      <c r="D35" s="431">
        <v>35427</v>
      </c>
      <c r="E35" s="163" t="e">
        <f>VLOOKUP($B:$B,#REF!,2,FALSE)</f>
        <v>#REF!</v>
      </c>
      <c r="F35" s="432">
        <f t="shared" si="74"/>
        <v>0</v>
      </c>
      <c r="G35" s="434">
        <v>2.8981481481481483E-2</v>
      </c>
      <c r="H35" s="432">
        <f t="shared" si="75"/>
        <v>2.8981481481481483E-2</v>
      </c>
      <c r="I35" s="163" t="e">
        <f>VLOOKUP($B:$B,'HT DIC'!$A:$AE,3,FALSE)</f>
        <v>#REF!</v>
      </c>
      <c r="J35" s="432">
        <f t="shared" si="76"/>
        <v>0</v>
      </c>
      <c r="K35" s="434">
        <v>3.005787037037037E-2</v>
      </c>
      <c r="L35" s="432">
        <f t="shared" si="77"/>
        <v>3.005787037037037E-2</v>
      </c>
      <c r="M35" s="163" t="e">
        <f>VLOOKUP($B:$B,'HT DIC'!$A:$AE,4,FALSE)</f>
        <v>#REF!</v>
      </c>
      <c r="N35" s="432">
        <f t="shared" si="78"/>
        <v>0</v>
      </c>
      <c r="O35" s="432"/>
      <c r="P35" s="432">
        <f t="shared" si="79"/>
        <v>0</v>
      </c>
      <c r="Q35" s="163" t="e">
        <f>VLOOKUP($B:$B,'HT DIC'!$A:$AE,5,FALSE)</f>
        <v>#REF!</v>
      </c>
      <c r="R35" s="432">
        <f t="shared" si="80"/>
        <v>0</v>
      </c>
      <c r="S35" s="432">
        <v>3.2986111111111112E-2</v>
      </c>
      <c r="T35" s="432">
        <f t="shared" si="81"/>
        <v>3.2986111111111112E-2</v>
      </c>
      <c r="U35" s="163" t="e">
        <f>VLOOKUP($B:$B,'HT DIC'!$A:$AE,6,FALSE)</f>
        <v>#REF!</v>
      </c>
      <c r="V35" s="432">
        <f t="shared" si="82"/>
        <v>0</v>
      </c>
      <c r="W35" s="434">
        <v>3.2094907407407405E-2</v>
      </c>
      <c r="X35" s="432">
        <f t="shared" si="83"/>
        <v>3.2094907407407405E-2</v>
      </c>
      <c r="Y35" s="163" t="e">
        <f>VLOOKUP($B:$B,'HT DIC'!$A:$AE,7,FALSE)</f>
        <v>#REF!</v>
      </c>
      <c r="Z35" s="432">
        <f t="shared" si="84"/>
        <v>0</v>
      </c>
      <c r="AA35" s="434">
        <v>2.8090277777777777E-2</v>
      </c>
      <c r="AB35" s="432">
        <f t="shared" si="85"/>
        <v>2.8090277777777777E-2</v>
      </c>
      <c r="AC35" s="163" t="e">
        <f>VLOOKUP($B:$B,'HT DIC'!$A:$AE,8,FALSE)</f>
        <v>#REF!</v>
      </c>
      <c r="AD35" s="432">
        <f t="shared" si="86"/>
        <v>0</v>
      </c>
      <c r="AE35" s="434">
        <v>2.7349537037037037E-2</v>
      </c>
      <c r="AF35" s="432">
        <f t="shared" si="87"/>
        <v>2.7349537037037037E-2</v>
      </c>
      <c r="AG35" s="163" t="e">
        <f>VLOOKUP($B:$B,'HT DIC'!$A:$AE,9,FALSE)</f>
        <v>#REF!</v>
      </c>
      <c r="AH35" s="432">
        <f t="shared" si="88"/>
        <v>0</v>
      </c>
      <c r="AI35" s="434">
        <v>3.5555555555555556E-2</v>
      </c>
      <c r="AJ35" s="432">
        <f t="shared" si="89"/>
        <v>3.5555555555555556E-2</v>
      </c>
      <c r="AK35" s="163" t="e">
        <f>VLOOKUP($B:$B,'HT DIC'!$A:$AE,10,FALSE)</f>
        <v>#REF!</v>
      </c>
      <c r="AL35" s="432">
        <f t="shared" si="90"/>
        <v>0</v>
      </c>
      <c r="AM35" s="434">
        <v>3.6377314814814814E-2</v>
      </c>
      <c r="AN35" s="432">
        <f t="shared" si="91"/>
        <v>3.6377314814814814E-2</v>
      </c>
      <c r="AO35" s="163" t="e">
        <f>VLOOKUP($B:$B,'HT DIC'!$A:$AE,11,FALSE)</f>
        <v>#REF!</v>
      </c>
      <c r="AP35" s="432">
        <f t="shared" si="92"/>
        <v>0</v>
      </c>
      <c r="AQ35" s="432">
        <v>4.2581018518518518E-2</v>
      </c>
      <c r="AR35" s="432">
        <f t="shared" si="93"/>
        <v>4.2581018518518518E-2</v>
      </c>
      <c r="AS35" s="163" t="e">
        <f>VLOOKUP($B:$B,'HT DIC'!$A:$AE,12,FALSE)</f>
        <v>#REF!</v>
      </c>
      <c r="AT35" s="432">
        <f t="shared" si="94"/>
        <v>0</v>
      </c>
      <c r="AU35" s="434">
        <v>1.9768518518518519E-2</v>
      </c>
      <c r="AV35" s="432">
        <f t="shared" si="95"/>
        <v>1.9768518518518519E-2</v>
      </c>
      <c r="AW35" s="163" t="e">
        <f>VLOOKUP($B:$B,'HT DIC'!$A:$AE,13,FALSE)</f>
        <v>#REF!</v>
      </c>
      <c r="AX35" s="432">
        <f t="shared" si="22"/>
        <v>0</v>
      </c>
      <c r="AY35" s="434">
        <v>3.5300925925925923E-2</v>
      </c>
      <c r="AZ35" s="432">
        <f t="shared" si="23"/>
        <v>3.5300925925925923E-2</v>
      </c>
      <c r="BA35" s="163" t="e">
        <f>VLOOKUP($B:$B,'HT DIC'!$A:$AE,14,FALSE)</f>
        <v>#REF!</v>
      </c>
      <c r="BB35" s="432">
        <f t="shared" si="24"/>
        <v>0</v>
      </c>
      <c r="BC35" s="434">
        <v>2.6724537037037036E-2</v>
      </c>
      <c r="BD35" s="432">
        <f t="shared" si="25"/>
        <v>2.6724537037037036E-2</v>
      </c>
      <c r="BE35" s="163" t="e">
        <f>VLOOKUP($B:$B,'HT DIC'!$A:$AE,15,FALSE)</f>
        <v>#REF!</v>
      </c>
      <c r="BF35" s="432">
        <f t="shared" si="26"/>
        <v>0</v>
      </c>
      <c r="BG35" s="434"/>
      <c r="BH35" s="432">
        <f t="shared" si="27"/>
        <v>0</v>
      </c>
      <c r="BI35" s="163" t="e">
        <f>VLOOKUP($B:$B,'HT DIC'!$A:$AE,16,FALSE)</f>
        <v>#REF!</v>
      </c>
      <c r="BJ35" s="432">
        <f t="shared" si="63"/>
        <v>0</v>
      </c>
      <c r="BK35" s="434">
        <v>2.5613425925925925E-2</v>
      </c>
      <c r="BL35" s="432">
        <f t="shared" si="29"/>
        <v>2.5613425925925925E-2</v>
      </c>
      <c r="BM35" s="163" t="e">
        <f>VLOOKUP($B:$B,'HT DIC'!$A:$AE,17,FALSE)</f>
        <v>#REF!</v>
      </c>
      <c r="BN35" s="432">
        <f t="shared" si="30"/>
        <v>0</v>
      </c>
      <c r="BO35" s="434">
        <v>3.3645833333333333E-2</v>
      </c>
      <c r="BP35" s="432">
        <f t="shared" si="31"/>
        <v>3.3645833333333333E-2</v>
      </c>
      <c r="BQ35" s="163" t="e">
        <f>VLOOKUP($B:$B,'HT DIC'!$A:$AE,18,FALSE)</f>
        <v>#REF!</v>
      </c>
      <c r="BR35" s="432">
        <f t="shared" si="64"/>
        <v>0</v>
      </c>
      <c r="BS35" s="434">
        <v>3.4606481481481481E-2</v>
      </c>
      <c r="BT35" s="432">
        <f t="shared" si="33"/>
        <v>3.4606481481481481E-2</v>
      </c>
      <c r="BU35" s="163" t="e">
        <f>VLOOKUP($B:$B,'HT DIC'!$A:$AE,19,FALSE)</f>
        <v>#REF!</v>
      </c>
      <c r="BV35" s="432">
        <f t="shared" si="34"/>
        <v>0</v>
      </c>
      <c r="BW35" s="434">
        <v>3.8217592592592595E-2</v>
      </c>
      <c r="BX35" s="432">
        <f t="shared" si="35"/>
        <v>3.8217592592592595E-2</v>
      </c>
      <c r="BY35" s="163" t="e">
        <f>VLOOKUP($B:$B,'HT DIC'!$A:$AE,20,FALSE)</f>
        <v>#REF!</v>
      </c>
      <c r="BZ35" s="432">
        <f t="shared" si="65"/>
        <v>0</v>
      </c>
      <c r="CA35" s="432">
        <f>IFERROR(VLOOKUP(BZ35,$B$229:$E$245,2,FALSE),0)</f>
        <v>0</v>
      </c>
      <c r="CB35" s="432">
        <f t="shared" si="37"/>
        <v>0</v>
      </c>
      <c r="CC35" s="163" t="e">
        <f>VLOOKUP($B:$B,'HT DIC'!$A:$AE,21,FALSE)</f>
        <v>#REF!</v>
      </c>
      <c r="CD35" s="432">
        <f t="shared" si="38"/>
        <v>0</v>
      </c>
      <c r="CE35" s="432">
        <v>4.1666666666666664E-2</v>
      </c>
      <c r="CF35" s="432">
        <f t="shared" si="39"/>
        <v>4.1666666666666664E-2</v>
      </c>
      <c r="CG35" s="163" t="e">
        <f>VLOOKUP($B:$B,'HT DIC'!$A:$AE,22,FALSE)</f>
        <v>#REF!</v>
      </c>
      <c r="CH35" s="432">
        <f t="shared" si="40"/>
        <v>0</v>
      </c>
      <c r="CI35" s="434"/>
      <c r="CJ35" s="432">
        <f t="shared" si="72"/>
        <v>0</v>
      </c>
      <c r="CK35" s="163">
        <f>VLOOKUP($B:$B,'HT DIC'!$A:$AE,23,FALSE)</f>
        <v>10</v>
      </c>
      <c r="CL35" s="432">
        <f t="shared" si="42"/>
        <v>3.125E-2</v>
      </c>
      <c r="CM35" s="432">
        <v>3.4722222222222224E-2</v>
      </c>
      <c r="CN35" s="432">
        <f t="shared" si="43"/>
        <v>3.4722222222222238E-3</v>
      </c>
      <c r="CO35" s="163" t="e">
        <f>VLOOKUP($B:$B,'HT DIC'!$A:$AE,24,FALSE)</f>
        <v>#REF!</v>
      </c>
      <c r="CP35" s="432">
        <f t="shared" si="44"/>
        <v>0</v>
      </c>
      <c r="CQ35" s="434">
        <v>3.8194444444444448E-2</v>
      </c>
      <c r="CR35" s="432">
        <f t="shared" si="45"/>
        <v>3.8194444444444448E-2</v>
      </c>
      <c r="CS35" s="163" t="e">
        <f>VLOOKUP($B:$B,'HT DIC'!$A:$AE,25,FALSE)</f>
        <v>#REF!</v>
      </c>
      <c r="CT35" s="432">
        <f t="shared" si="46"/>
        <v>0</v>
      </c>
      <c r="CU35" s="432">
        <v>3.7291666666666667E-2</v>
      </c>
      <c r="CV35" s="432">
        <f t="shared" si="47"/>
        <v>3.7291666666666667E-2</v>
      </c>
      <c r="CW35" s="163" t="e">
        <f>VLOOKUP($B:$B,'HT DIC'!$A:$AE,26,FALSE)</f>
        <v>#REF!</v>
      </c>
      <c r="CX35" s="432">
        <f t="shared" si="48"/>
        <v>0</v>
      </c>
      <c r="CY35" s="434">
        <v>3.3773148148148149E-2</v>
      </c>
      <c r="CZ35" s="432">
        <f t="shared" si="49"/>
        <v>3.3773148148148149E-2</v>
      </c>
      <c r="DA35" s="163">
        <f>VLOOKUP($B:$B,'HT DIC'!$A:$AE,27,FALSE)</f>
        <v>8</v>
      </c>
      <c r="DB35" s="432">
        <f t="shared" si="66"/>
        <v>2.4305555555555556E-2</v>
      </c>
      <c r="DC35" s="434">
        <v>3.5717592592592592E-2</v>
      </c>
      <c r="DD35" s="432">
        <f t="shared" si="51"/>
        <v>1.1412037037037037E-2</v>
      </c>
      <c r="DE35" s="163">
        <f>VLOOKUP($B:$B,'HT DIC'!$A:$AE,28,FALSE)</f>
        <v>12</v>
      </c>
      <c r="DF35" s="432">
        <f t="shared" si="52"/>
        <v>3.8194444444444448E-2</v>
      </c>
      <c r="DG35" s="434">
        <v>4.7106481481481478E-2</v>
      </c>
      <c r="DH35" s="432">
        <f t="shared" si="53"/>
        <v>8.9120370370370308E-3</v>
      </c>
      <c r="DI35" s="163">
        <f>VLOOKUP($B:$B,'HT DIC'!$A:$AE,29,FALSE)</f>
        <v>0</v>
      </c>
      <c r="DJ35" s="432">
        <f t="shared" si="73"/>
        <v>0</v>
      </c>
      <c r="DK35" s="434">
        <v>3.9074074074074074E-2</v>
      </c>
      <c r="DL35" s="432">
        <f t="shared" si="55"/>
        <v>3.9074074074074074E-2</v>
      </c>
      <c r="DM35" s="163">
        <f>VLOOKUP($B:$B,'HT DIC'!$A:$AE,30,FALSE)</f>
        <v>10</v>
      </c>
      <c r="DN35" s="432">
        <f t="shared" si="68"/>
        <v>3.125E-2</v>
      </c>
      <c r="DO35" s="434"/>
      <c r="DP35" s="432">
        <f t="shared" si="57"/>
        <v>0</v>
      </c>
      <c r="DQ35" s="163">
        <f>VLOOKUP($B:$B,'HT DIC'!$A:$AE,31,FALSE)</f>
        <v>8</v>
      </c>
      <c r="DR35" s="432">
        <f t="shared" si="58"/>
        <v>2.4305555555555556E-2</v>
      </c>
      <c r="DS35" s="434">
        <v>3.4722222222222224E-2</v>
      </c>
      <c r="DT35" s="432">
        <f t="shared" si="59"/>
        <v>1.0416666666666668E-2</v>
      </c>
      <c r="DU35" s="163" t="e">
        <f>VLOOKUP($B:$B,'HT DIC'!$A:$AE,32,FALSE)</f>
        <v>#REF!</v>
      </c>
      <c r="DV35" s="432">
        <f t="shared" si="60"/>
        <v>0</v>
      </c>
      <c r="DW35" s="434"/>
      <c r="DX35" s="432">
        <f t="shared" si="61"/>
        <v>0</v>
      </c>
      <c r="DY35" s="432">
        <f t="shared" si="69"/>
        <v>0.7321643518518518</v>
      </c>
    </row>
    <row r="36" spans="1:129">
      <c r="A36" s="166" t="s">
        <v>124</v>
      </c>
      <c r="B36" s="166" t="s">
        <v>118</v>
      </c>
      <c r="C36" s="166">
        <v>504246356</v>
      </c>
      <c r="D36" s="431">
        <v>37024</v>
      </c>
      <c r="E36" s="163" t="e">
        <f>VLOOKUP($B:$B,#REF!,2,FALSE)</f>
        <v>#REF!</v>
      </c>
      <c r="F36" s="432">
        <f t="shared" si="74"/>
        <v>0</v>
      </c>
      <c r="G36" s="434">
        <v>4.1064814814814818E-2</v>
      </c>
      <c r="H36" s="432">
        <f t="shared" si="75"/>
        <v>4.1064814814814818E-2</v>
      </c>
      <c r="I36" s="163" t="e">
        <f>VLOOKUP($B:$B,'HT DIC'!$A:$AE,3,FALSE)</f>
        <v>#REF!</v>
      </c>
      <c r="J36" s="432">
        <f t="shared" si="76"/>
        <v>0</v>
      </c>
      <c r="K36" s="434">
        <v>3.1550925925925927E-2</v>
      </c>
      <c r="L36" s="432">
        <f t="shared" si="77"/>
        <v>3.1550925925925927E-2</v>
      </c>
      <c r="M36" s="163" t="e">
        <f>VLOOKUP($B:$B,'HT DIC'!$A:$AE,4,FALSE)</f>
        <v>#REF!</v>
      </c>
      <c r="N36" s="432">
        <f t="shared" si="78"/>
        <v>0</v>
      </c>
      <c r="O36" s="432">
        <v>2.9305555555555557E-2</v>
      </c>
      <c r="P36" s="432">
        <f t="shared" si="79"/>
        <v>2.9305555555555557E-2</v>
      </c>
      <c r="Q36" s="163" t="e">
        <f>VLOOKUP($B:$B,'HT DIC'!$A:$AE,5,FALSE)</f>
        <v>#REF!</v>
      </c>
      <c r="R36" s="432">
        <f t="shared" si="80"/>
        <v>0</v>
      </c>
      <c r="S36" s="432">
        <v>3.4826388888888886E-2</v>
      </c>
      <c r="T36" s="432">
        <f t="shared" si="81"/>
        <v>3.4826388888888886E-2</v>
      </c>
      <c r="U36" s="163" t="e">
        <f>VLOOKUP($B:$B,'HT DIC'!$A:$AE,6,FALSE)</f>
        <v>#REF!</v>
      </c>
      <c r="V36" s="432">
        <f t="shared" si="82"/>
        <v>0</v>
      </c>
      <c r="W36" s="434">
        <v>3.7696759259259256E-2</v>
      </c>
      <c r="X36" s="432">
        <f t="shared" si="83"/>
        <v>3.7696759259259256E-2</v>
      </c>
      <c r="Y36" s="163" t="e">
        <f>VLOOKUP($B:$B,'HT DIC'!$A:$AE,7,FALSE)</f>
        <v>#REF!</v>
      </c>
      <c r="Z36" s="432">
        <f t="shared" si="84"/>
        <v>0</v>
      </c>
      <c r="AA36" s="434"/>
      <c r="AB36" s="432">
        <f t="shared" si="85"/>
        <v>0</v>
      </c>
      <c r="AC36" s="163" t="e">
        <f>VLOOKUP($B:$B,'HT DIC'!$A:$AE,8,FALSE)</f>
        <v>#REF!</v>
      </c>
      <c r="AD36" s="432">
        <f t="shared" si="86"/>
        <v>0</v>
      </c>
      <c r="AE36" s="434">
        <v>2.435185185185185E-2</v>
      </c>
      <c r="AF36" s="432">
        <f t="shared" si="87"/>
        <v>2.435185185185185E-2</v>
      </c>
      <c r="AG36" s="163" t="e">
        <f>VLOOKUP($B:$B,'HT DIC'!$A:$AE,9,FALSE)</f>
        <v>#REF!</v>
      </c>
      <c r="AH36" s="432">
        <f t="shared" si="88"/>
        <v>0</v>
      </c>
      <c r="AI36" s="434">
        <v>5.7581018518518517E-2</v>
      </c>
      <c r="AJ36" s="432">
        <f t="shared" si="89"/>
        <v>5.7581018518518517E-2</v>
      </c>
      <c r="AK36" s="163" t="e">
        <f>VLOOKUP($B:$B,'HT DIC'!$A:$AE,10,FALSE)</f>
        <v>#REF!</v>
      </c>
      <c r="AL36" s="432">
        <f t="shared" si="90"/>
        <v>0</v>
      </c>
      <c r="AM36" s="434">
        <v>5.1805555555555556E-2</v>
      </c>
      <c r="AN36" s="432">
        <f t="shared" si="91"/>
        <v>5.1805555555555556E-2</v>
      </c>
      <c r="AO36" s="163" t="e">
        <f>VLOOKUP($B:$B,'HT DIC'!$A:$AE,11,FALSE)</f>
        <v>#REF!</v>
      </c>
      <c r="AP36" s="432">
        <f t="shared" si="92"/>
        <v>0</v>
      </c>
      <c r="AQ36" s="432">
        <v>2.5520833333333333E-2</v>
      </c>
      <c r="AR36" s="432">
        <f t="shared" si="93"/>
        <v>2.5520833333333333E-2</v>
      </c>
      <c r="AS36" s="163" t="e">
        <f>VLOOKUP($B:$B,'HT DIC'!$A:$AE,12,FALSE)</f>
        <v>#REF!</v>
      </c>
      <c r="AT36" s="432">
        <f t="shared" si="94"/>
        <v>0</v>
      </c>
      <c r="AU36" s="434">
        <v>3.0624999999999999E-2</v>
      </c>
      <c r="AV36" s="432">
        <f t="shared" si="95"/>
        <v>3.0624999999999999E-2</v>
      </c>
      <c r="AW36" s="163" t="e">
        <f>VLOOKUP($B:$B,'HT DIC'!$A:$AE,13,FALSE)</f>
        <v>#REF!</v>
      </c>
      <c r="AX36" s="432">
        <f t="shared" si="22"/>
        <v>0</v>
      </c>
      <c r="AY36" s="434">
        <v>3.9814814814814817E-2</v>
      </c>
      <c r="AZ36" s="432">
        <f t="shared" si="23"/>
        <v>3.9814814814814817E-2</v>
      </c>
      <c r="BA36" s="163" t="e">
        <f>VLOOKUP($B:$B,'HT DIC'!$A:$AE,14,FALSE)</f>
        <v>#REF!</v>
      </c>
      <c r="BB36" s="432">
        <f t="shared" si="24"/>
        <v>0</v>
      </c>
      <c r="BC36" s="434"/>
      <c r="BD36" s="432">
        <f t="shared" si="25"/>
        <v>0</v>
      </c>
      <c r="BE36" s="163" t="e">
        <f>VLOOKUP($B:$B,'HT DIC'!$A:$AE,15,FALSE)</f>
        <v>#REF!</v>
      </c>
      <c r="BF36" s="432">
        <f t="shared" si="26"/>
        <v>0</v>
      </c>
      <c r="BG36" s="434">
        <v>2.4305555555555556E-2</v>
      </c>
      <c r="BH36" s="432">
        <f t="shared" si="27"/>
        <v>2.4305555555555556E-2</v>
      </c>
      <c r="BI36" s="163" t="e">
        <f>VLOOKUP($B:$B,'HT DIC'!$A:$AE,16,FALSE)</f>
        <v>#REF!</v>
      </c>
      <c r="BJ36" s="432">
        <f t="shared" si="63"/>
        <v>0</v>
      </c>
      <c r="BK36" s="434">
        <v>2.9768518518518517E-2</v>
      </c>
      <c r="BL36" s="432">
        <f t="shared" si="29"/>
        <v>2.9768518518518517E-2</v>
      </c>
      <c r="BM36" s="163" t="e">
        <f>VLOOKUP($B:$B,'HT DIC'!$A:$AE,17,FALSE)</f>
        <v>#REF!</v>
      </c>
      <c r="BN36" s="432">
        <f t="shared" si="30"/>
        <v>0</v>
      </c>
      <c r="BO36" s="434">
        <v>3.5046296296296298E-2</v>
      </c>
      <c r="BP36" s="432">
        <f t="shared" si="31"/>
        <v>3.5046296296296298E-2</v>
      </c>
      <c r="BQ36" s="163" t="e">
        <f>VLOOKUP($B:$B,'HT DIC'!$A:$AE,18,FALSE)</f>
        <v>#REF!</v>
      </c>
      <c r="BR36" s="432">
        <f t="shared" si="64"/>
        <v>0</v>
      </c>
      <c r="BS36" s="434">
        <v>2.8738425925925924E-2</v>
      </c>
      <c r="BT36" s="432">
        <f t="shared" si="33"/>
        <v>2.8738425925925924E-2</v>
      </c>
      <c r="BU36" s="163" t="e">
        <f>VLOOKUP($B:$B,'HT DIC'!$A:$AE,19,FALSE)</f>
        <v>#REF!</v>
      </c>
      <c r="BV36" s="432">
        <f t="shared" si="34"/>
        <v>0</v>
      </c>
      <c r="BW36" s="432">
        <f>IFERROR(VLOOKUP(BV36,$B$229:$E$245,2,FALSE),0)</f>
        <v>0</v>
      </c>
      <c r="BX36" s="432">
        <f t="shared" si="35"/>
        <v>0</v>
      </c>
      <c r="BY36" s="163" t="e">
        <f>VLOOKUP($B:$B,'HT DIC'!$A:$AE,20,FALSE)</f>
        <v>#REF!</v>
      </c>
      <c r="BZ36" s="432">
        <f t="shared" si="65"/>
        <v>0</v>
      </c>
      <c r="CA36" s="434">
        <v>3.0775462962962963E-2</v>
      </c>
      <c r="CB36" s="432">
        <f t="shared" si="37"/>
        <v>3.0775462962962963E-2</v>
      </c>
      <c r="CC36" s="163" t="e">
        <f>VLOOKUP($B:$B,'HT DIC'!$A:$AE,21,FALSE)</f>
        <v>#REF!</v>
      </c>
      <c r="CD36" s="432">
        <f t="shared" si="38"/>
        <v>0</v>
      </c>
      <c r="CE36" s="432"/>
      <c r="CF36" s="432">
        <f t="shared" si="39"/>
        <v>0</v>
      </c>
      <c r="CG36" s="163" t="e">
        <f>VLOOKUP($B:$B,'HT DIC'!$A:$AE,22,FALSE)</f>
        <v>#REF!</v>
      </c>
      <c r="CH36" s="432">
        <f t="shared" si="40"/>
        <v>0</v>
      </c>
      <c r="CI36" s="434">
        <v>2.045138888888889E-2</v>
      </c>
      <c r="CJ36" s="432">
        <f t="shared" si="72"/>
        <v>2.045138888888889E-2</v>
      </c>
      <c r="CK36" s="163">
        <f>VLOOKUP($B:$B,'HT DIC'!$A:$AE,23,FALSE)</f>
        <v>10</v>
      </c>
      <c r="CL36" s="432">
        <f t="shared" si="42"/>
        <v>3.125E-2</v>
      </c>
      <c r="CM36" s="432">
        <v>1.2106481481481482E-2</v>
      </c>
      <c r="CN36" s="432">
        <f t="shared" si="43"/>
        <v>0</v>
      </c>
      <c r="CO36" s="163" t="e">
        <f>VLOOKUP($B:$B,'HT DIC'!$A:$AE,24,FALSE)</f>
        <v>#REF!</v>
      </c>
      <c r="CP36" s="432">
        <f t="shared" si="44"/>
        <v>0</v>
      </c>
      <c r="CQ36" s="434">
        <v>4.0520833333333332E-2</v>
      </c>
      <c r="CR36" s="432">
        <f t="shared" si="45"/>
        <v>4.0520833333333332E-2</v>
      </c>
      <c r="CS36" s="163" t="e">
        <f>VLOOKUP($B:$B,'HT DIC'!$A:$AE,25,FALSE)</f>
        <v>#REF!</v>
      </c>
      <c r="CT36" s="432">
        <f t="shared" si="46"/>
        <v>0</v>
      </c>
      <c r="CU36" s="432">
        <v>3.4722222222222224E-2</v>
      </c>
      <c r="CV36" s="432">
        <f t="shared" si="47"/>
        <v>3.4722222222222224E-2</v>
      </c>
      <c r="CW36" s="163" t="e">
        <f>VLOOKUP($B:$B,'HT DIC'!$A:$AE,26,FALSE)</f>
        <v>#REF!</v>
      </c>
      <c r="CX36" s="432">
        <f t="shared" si="48"/>
        <v>0</v>
      </c>
      <c r="CY36" s="434">
        <v>3.6516203703703703E-2</v>
      </c>
      <c r="CZ36" s="432">
        <f t="shared" si="49"/>
        <v>3.6516203703703703E-2</v>
      </c>
      <c r="DA36" s="163">
        <f>VLOOKUP($B:$B,'HT DIC'!$A:$AE,27,FALSE)</f>
        <v>8</v>
      </c>
      <c r="DB36" s="432">
        <f t="shared" si="66"/>
        <v>2.4305555555555556E-2</v>
      </c>
      <c r="DC36" s="434">
        <v>3.5787037037037034E-2</v>
      </c>
      <c r="DD36" s="432">
        <f t="shared" si="51"/>
        <v>1.1481481481481478E-2</v>
      </c>
      <c r="DE36" s="163">
        <f>VLOOKUP($B:$B,'HT DIC'!$A:$AE,28,FALSE)</f>
        <v>5</v>
      </c>
      <c r="DF36" s="432">
        <f t="shared" si="52"/>
        <v>1.3888888888888888E-2</v>
      </c>
      <c r="DG36" s="434"/>
      <c r="DH36" s="432">
        <f t="shared" si="53"/>
        <v>0</v>
      </c>
      <c r="DI36" s="163">
        <f>VLOOKUP($B:$B,'HT DIC'!$A:$AE,29,FALSE)</f>
        <v>0</v>
      </c>
      <c r="DJ36" s="432">
        <f t="shared" si="73"/>
        <v>0</v>
      </c>
      <c r="DK36" s="434">
        <v>5.0590277777777776E-2</v>
      </c>
      <c r="DL36" s="432">
        <f t="shared" si="55"/>
        <v>5.0590277777777776E-2</v>
      </c>
      <c r="DM36" s="163">
        <f>VLOOKUP($B:$B,'HT DIC'!$A:$AE,30,FALSE)</f>
        <v>10</v>
      </c>
      <c r="DN36" s="432">
        <f t="shared" si="68"/>
        <v>3.125E-2</v>
      </c>
      <c r="DO36" s="434">
        <v>3.0173611111111109E-2</v>
      </c>
      <c r="DP36" s="432">
        <f t="shared" si="57"/>
        <v>0</v>
      </c>
      <c r="DQ36" s="163">
        <f>VLOOKUP($B:$B,'HT DIC'!$A:$AE,31,FALSE)</f>
        <v>10</v>
      </c>
      <c r="DR36" s="432">
        <f t="shared" si="58"/>
        <v>3.125E-2</v>
      </c>
      <c r="DS36" s="434">
        <v>3.8194444444444448E-2</v>
      </c>
      <c r="DT36" s="432">
        <f t="shared" si="59"/>
        <v>6.9444444444444475E-3</v>
      </c>
      <c r="DU36" s="163" t="e">
        <f>VLOOKUP($B:$B,'HT DIC'!$A:$AE,32,FALSE)</f>
        <v>#REF!</v>
      </c>
      <c r="DV36" s="432">
        <f t="shared" si="60"/>
        <v>0</v>
      </c>
      <c r="DW36" s="434"/>
      <c r="DX36" s="432">
        <f t="shared" si="61"/>
        <v>0</v>
      </c>
      <c r="DY36" s="432">
        <f t="shared" si="69"/>
        <v>0.75400462962962977</v>
      </c>
    </row>
    <row r="37" spans="1:129">
      <c r="A37" s="166" t="s">
        <v>126</v>
      </c>
      <c r="B37" s="166" t="s">
        <v>143</v>
      </c>
      <c r="C37" s="166">
        <v>1311482168</v>
      </c>
      <c r="D37" s="431">
        <v>32931</v>
      </c>
      <c r="E37" s="163" t="e">
        <f>VLOOKUP($B:$B,#REF!,2,FALSE)</f>
        <v>#REF!</v>
      </c>
      <c r="F37" s="432">
        <f t="shared" si="74"/>
        <v>0</v>
      </c>
      <c r="G37" s="434">
        <v>2.2465277777777778E-2</v>
      </c>
      <c r="H37" s="432">
        <f t="shared" si="75"/>
        <v>2.2465277777777778E-2</v>
      </c>
      <c r="I37" s="163" t="e">
        <f>VLOOKUP($B:$B,'HT DIC'!$A:$AE,3,FALSE)</f>
        <v>#REF!</v>
      </c>
      <c r="J37" s="432">
        <f t="shared" si="76"/>
        <v>0</v>
      </c>
      <c r="K37" s="434">
        <v>3.4664351851851849E-2</v>
      </c>
      <c r="L37" s="432">
        <f t="shared" si="77"/>
        <v>3.4664351851851849E-2</v>
      </c>
      <c r="M37" s="163" t="e">
        <f>VLOOKUP($B:$B,'HT DIC'!$A:$AE,4,FALSE)</f>
        <v>#REF!</v>
      </c>
      <c r="N37" s="432">
        <f t="shared" si="78"/>
        <v>0</v>
      </c>
      <c r="O37" s="432">
        <v>3.125E-2</v>
      </c>
      <c r="P37" s="432">
        <f t="shared" si="79"/>
        <v>3.125E-2</v>
      </c>
      <c r="Q37" s="163" t="e">
        <f>VLOOKUP($B:$B,'HT DIC'!$A:$AE,5,FALSE)</f>
        <v>#REF!</v>
      </c>
      <c r="R37" s="432">
        <f t="shared" si="80"/>
        <v>0</v>
      </c>
      <c r="S37" s="432">
        <v>1.9861111111111111E-2</v>
      </c>
      <c r="T37" s="432">
        <f t="shared" si="81"/>
        <v>1.9861111111111111E-2</v>
      </c>
      <c r="U37" s="163" t="e">
        <f>VLOOKUP($B:$B,'HT DIC'!$A:$AE,6,FALSE)</f>
        <v>#REF!</v>
      </c>
      <c r="V37" s="432">
        <f t="shared" si="82"/>
        <v>0</v>
      </c>
      <c r="W37" s="434">
        <v>2.3148148148148149E-4</v>
      </c>
      <c r="X37" s="432">
        <f t="shared" si="83"/>
        <v>2.3148148148148149E-4</v>
      </c>
      <c r="Y37" s="163" t="e">
        <f>VLOOKUP($B:$B,'HT DIC'!$A:$AE,7,FALSE)</f>
        <v>#REF!</v>
      </c>
      <c r="Z37" s="432">
        <f t="shared" si="84"/>
        <v>0</v>
      </c>
      <c r="AA37" s="434">
        <v>2.9259259259259259E-2</v>
      </c>
      <c r="AB37" s="432">
        <f t="shared" si="85"/>
        <v>2.9259259259259259E-2</v>
      </c>
      <c r="AC37" s="163" t="e">
        <f>VLOOKUP($B:$B,'HT DIC'!$A:$AE,8,FALSE)</f>
        <v>#REF!</v>
      </c>
      <c r="AD37" s="432">
        <f t="shared" si="86"/>
        <v>0</v>
      </c>
      <c r="AE37" s="434"/>
      <c r="AF37" s="432">
        <f t="shared" si="87"/>
        <v>0</v>
      </c>
      <c r="AG37" s="163" t="e">
        <f>VLOOKUP($B:$B,'HT DIC'!$A:$AE,9,FALSE)</f>
        <v>#REF!</v>
      </c>
      <c r="AH37" s="432">
        <f t="shared" si="88"/>
        <v>0</v>
      </c>
      <c r="AI37" s="434">
        <v>3.4953703703703702E-2</v>
      </c>
      <c r="AJ37" s="432">
        <f t="shared" si="89"/>
        <v>3.4953703703703702E-2</v>
      </c>
      <c r="AK37" s="163" t="e">
        <f>VLOOKUP($B:$B,'HT DIC'!$A:$AE,10,FALSE)</f>
        <v>#REF!</v>
      </c>
      <c r="AL37" s="432">
        <f t="shared" si="90"/>
        <v>0</v>
      </c>
      <c r="AM37" s="434">
        <v>3.4502314814814812E-2</v>
      </c>
      <c r="AN37" s="432">
        <f t="shared" si="91"/>
        <v>3.4502314814814812E-2</v>
      </c>
      <c r="AO37" s="163" t="e">
        <f>VLOOKUP($B:$B,'HT DIC'!$A:$AE,11,FALSE)</f>
        <v>#REF!</v>
      </c>
      <c r="AP37" s="432">
        <f t="shared" si="92"/>
        <v>0</v>
      </c>
      <c r="AQ37" s="432">
        <v>2.9988425925925925E-2</v>
      </c>
      <c r="AR37" s="432">
        <f t="shared" si="93"/>
        <v>2.9988425925925925E-2</v>
      </c>
      <c r="AS37" s="163" t="e">
        <f>VLOOKUP($B:$B,'HT DIC'!$A:$AE,12,FALSE)</f>
        <v>#REF!</v>
      </c>
      <c r="AT37" s="432">
        <f t="shared" si="94"/>
        <v>0</v>
      </c>
      <c r="AU37" s="434">
        <v>1.7939814814814815E-2</v>
      </c>
      <c r="AV37" s="432">
        <f t="shared" si="95"/>
        <v>1.7939814814814815E-2</v>
      </c>
      <c r="AW37" s="163" t="e">
        <f>VLOOKUP($B:$B,'HT DIC'!$A:$AE,13,FALSE)</f>
        <v>#REF!</v>
      </c>
      <c r="AX37" s="432">
        <f t="shared" si="22"/>
        <v>0</v>
      </c>
      <c r="AY37" s="434"/>
      <c r="AZ37" s="432">
        <f t="shared" si="23"/>
        <v>0</v>
      </c>
      <c r="BA37" s="163" t="e">
        <f>VLOOKUP($B:$B,'HT DIC'!$A:$AE,14,FALSE)</f>
        <v>#REF!</v>
      </c>
      <c r="BB37" s="432">
        <f t="shared" si="24"/>
        <v>0</v>
      </c>
      <c r="BC37" s="434">
        <v>0</v>
      </c>
      <c r="BD37" s="432">
        <f t="shared" si="25"/>
        <v>0</v>
      </c>
      <c r="BE37" s="163" t="e">
        <f>VLOOKUP($B:$B,'HT DIC'!$A:$AE,15,FALSE)</f>
        <v>#REF!</v>
      </c>
      <c r="BF37" s="432">
        <f t="shared" si="26"/>
        <v>0</v>
      </c>
      <c r="BG37" s="434">
        <v>1.1574074074074073E-5</v>
      </c>
      <c r="BH37" s="432">
        <f t="shared" si="27"/>
        <v>1.1574074074074073E-5</v>
      </c>
      <c r="BI37" s="163" t="e">
        <f>VLOOKUP($B:$B,'HT DIC'!$A:$AE,16,FALSE)</f>
        <v>#REF!</v>
      </c>
      <c r="BJ37" s="432">
        <f t="shared" si="63"/>
        <v>0</v>
      </c>
      <c r="BK37" s="434">
        <v>2.3148148148148147E-5</v>
      </c>
      <c r="BL37" s="432">
        <f t="shared" si="29"/>
        <v>2.3148148148148147E-5</v>
      </c>
      <c r="BM37" s="163" t="e">
        <f>VLOOKUP($B:$B,'HT DIC'!$A:$AE,17,FALSE)</f>
        <v>#REF!</v>
      </c>
      <c r="BN37" s="432">
        <f t="shared" si="30"/>
        <v>0</v>
      </c>
      <c r="BO37" s="434">
        <v>1.1574074074074073E-5</v>
      </c>
      <c r="BP37" s="432">
        <f t="shared" si="31"/>
        <v>1.1574074074074073E-5</v>
      </c>
      <c r="BQ37" s="163" t="e">
        <f>VLOOKUP($B:$B,'HT DIC'!$A:$AE,18,FALSE)</f>
        <v>#REF!</v>
      </c>
      <c r="BR37" s="432">
        <f t="shared" si="64"/>
        <v>0</v>
      </c>
      <c r="BS37" s="434">
        <v>6.9444444444444444E-5</v>
      </c>
      <c r="BT37" s="432">
        <f t="shared" si="33"/>
        <v>6.9444444444444444E-5</v>
      </c>
      <c r="BU37" s="163" t="e">
        <f>VLOOKUP($B:$B,'HT DIC'!$A:$AE,19,FALSE)</f>
        <v>#REF!</v>
      </c>
      <c r="BV37" s="432">
        <f t="shared" si="34"/>
        <v>0</v>
      </c>
      <c r="BW37" s="434">
        <v>2.0833333333333335E-4</v>
      </c>
      <c r="BX37" s="432">
        <f t="shared" si="35"/>
        <v>2.0833333333333335E-4</v>
      </c>
      <c r="BY37" s="163" t="e">
        <f>VLOOKUP($B:$B,'HT DIC'!$A:$AE,20,FALSE)</f>
        <v>#REF!</v>
      </c>
      <c r="BZ37" s="432">
        <f t="shared" si="65"/>
        <v>0</v>
      </c>
      <c r="CA37" s="434">
        <v>2.0833333333333335E-4</v>
      </c>
      <c r="CB37" s="432">
        <f t="shared" si="37"/>
        <v>2.0833333333333335E-4</v>
      </c>
      <c r="CC37" s="163" t="e">
        <f>VLOOKUP($B:$B,'HT DIC'!$A:$AE,21,FALSE)</f>
        <v>#REF!</v>
      </c>
      <c r="CD37" s="432">
        <f t="shared" si="38"/>
        <v>0</v>
      </c>
      <c r="CE37" s="432">
        <v>1.8518518518518518E-4</v>
      </c>
      <c r="CF37" s="432">
        <f t="shared" si="39"/>
        <v>1.8518518518518518E-4</v>
      </c>
      <c r="CG37" s="163" t="e">
        <f>VLOOKUP($B:$B,'HT DIC'!$A:$AE,22,FALSE)</f>
        <v>#REF!</v>
      </c>
      <c r="CH37" s="432">
        <f t="shared" si="40"/>
        <v>0</v>
      </c>
      <c r="CI37" s="434"/>
      <c r="CJ37" s="432">
        <f t="shared" si="72"/>
        <v>0</v>
      </c>
      <c r="CK37" s="163">
        <f>VLOOKUP($B:$B,'HT DIC'!$A:$AE,23,FALSE)</f>
        <v>10</v>
      </c>
      <c r="CL37" s="432">
        <f t="shared" si="42"/>
        <v>3.125E-2</v>
      </c>
      <c r="CM37" s="432">
        <v>2.0833333333333335E-4</v>
      </c>
      <c r="CN37" s="432">
        <f t="shared" si="43"/>
        <v>0</v>
      </c>
      <c r="CO37" s="163" t="e">
        <f>VLOOKUP($B:$B,'HT DIC'!$A:$AE,24,FALSE)</f>
        <v>#REF!</v>
      </c>
      <c r="CP37" s="432">
        <f t="shared" si="44"/>
        <v>0</v>
      </c>
      <c r="CQ37" s="434">
        <v>1.273148148148148E-4</v>
      </c>
      <c r="CR37" s="432">
        <f t="shared" si="45"/>
        <v>1.273148148148148E-4</v>
      </c>
      <c r="CS37" s="163" t="e">
        <f>VLOOKUP($B:$B,'HT DIC'!$A:$AE,25,FALSE)</f>
        <v>#REF!</v>
      </c>
      <c r="CT37" s="432">
        <f t="shared" si="46"/>
        <v>0</v>
      </c>
      <c r="CU37" s="432"/>
      <c r="CV37" s="432">
        <f t="shared" si="47"/>
        <v>0</v>
      </c>
      <c r="CW37" s="163" t="e">
        <f>VLOOKUP($B:$B,'HT DIC'!$A:$AE,26,FALSE)</f>
        <v>#REF!</v>
      </c>
      <c r="CX37" s="432">
        <f t="shared" si="48"/>
        <v>0</v>
      </c>
      <c r="CY37" s="434"/>
      <c r="CZ37" s="432">
        <f t="shared" si="49"/>
        <v>0</v>
      </c>
      <c r="DA37" s="163">
        <f>VLOOKUP($B:$B,'HT DIC'!$A:$AE,27,FALSE)</f>
        <v>8</v>
      </c>
      <c r="DB37" s="432">
        <f t="shared" si="66"/>
        <v>2.4305555555555556E-2</v>
      </c>
      <c r="DC37" s="434"/>
      <c r="DD37" s="432">
        <f t="shared" si="51"/>
        <v>0</v>
      </c>
      <c r="DE37" s="163">
        <f>VLOOKUP($B:$B,'HT DIC'!$A:$AE,28,FALSE)</f>
        <v>13</v>
      </c>
      <c r="DF37" s="432">
        <f t="shared" si="52"/>
        <v>4.1666666666666664E-2</v>
      </c>
      <c r="DG37" s="434"/>
      <c r="DH37" s="432">
        <f t="shared" si="53"/>
        <v>0</v>
      </c>
      <c r="DI37" s="163">
        <f>VLOOKUP($B:$B,'HT DIC'!$A:$AE,29,FALSE)</f>
        <v>0</v>
      </c>
      <c r="DJ37" s="432">
        <f t="shared" si="73"/>
        <v>0</v>
      </c>
      <c r="DK37" s="434"/>
      <c r="DL37" s="432">
        <f t="shared" si="55"/>
        <v>0</v>
      </c>
      <c r="DM37" s="163">
        <f>VLOOKUP($B:$B,'HT DIC'!$A:$AE,30,FALSE)</f>
        <v>10</v>
      </c>
      <c r="DN37" s="432">
        <f t="shared" si="68"/>
        <v>3.125E-2</v>
      </c>
      <c r="DO37" s="434"/>
      <c r="DP37" s="432">
        <f t="shared" si="57"/>
        <v>0</v>
      </c>
      <c r="DQ37" s="163">
        <f>VLOOKUP($B:$B,'HT DIC'!$A:$AE,31,FALSE)</f>
        <v>10</v>
      </c>
      <c r="DR37" s="432">
        <f t="shared" si="58"/>
        <v>3.125E-2</v>
      </c>
      <c r="DS37" s="434"/>
      <c r="DT37" s="432">
        <f t="shared" si="59"/>
        <v>0</v>
      </c>
      <c r="DU37" s="163" t="e">
        <f>VLOOKUP($B:$B,'HT DIC'!$A:$AE,32,FALSE)</f>
        <v>#REF!</v>
      </c>
      <c r="DV37" s="432">
        <f t="shared" si="60"/>
        <v>0</v>
      </c>
      <c r="DW37" s="434"/>
      <c r="DX37" s="432">
        <f t="shared" si="61"/>
        <v>0</v>
      </c>
      <c r="DY37" s="432">
        <f t="shared" si="69"/>
        <v>0.25596064814814812</v>
      </c>
    </row>
    <row r="38" spans="1:129">
      <c r="A38" s="166" t="s">
        <v>128</v>
      </c>
      <c r="B38" s="166" t="s">
        <v>455</v>
      </c>
      <c r="C38" s="166">
        <v>851000695</v>
      </c>
      <c r="D38" s="431">
        <v>39043</v>
      </c>
      <c r="E38" s="163" t="e">
        <f>VLOOKUP($B:$B,#REF!,2,FALSE)</f>
        <v>#REF!</v>
      </c>
      <c r="F38" s="432">
        <f t="shared" si="74"/>
        <v>0</v>
      </c>
      <c r="G38" s="434">
        <v>3.1898148148148148E-2</v>
      </c>
      <c r="H38" s="432">
        <f t="shared" si="75"/>
        <v>3.1898148148148148E-2</v>
      </c>
      <c r="I38" s="163" t="e">
        <f>VLOOKUP($B:$B,'HT DIC'!$A:$AE,3,FALSE)</f>
        <v>#N/A</v>
      </c>
      <c r="J38" s="432">
        <f t="shared" si="76"/>
        <v>0</v>
      </c>
      <c r="K38" s="434">
        <v>2.6099537037037036E-2</v>
      </c>
      <c r="L38" s="432">
        <f t="shared" si="77"/>
        <v>2.6099537037037036E-2</v>
      </c>
      <c r="M38" s="163" t="e">
        <f>VLOOKUP($B:$B,'HT DIC'!$A:$AE,4,FALSE)</f>
        <v>#N/A</v>
      </c>
      <c r="N38" s="432">
        <f t="shared" si="78"/>
        <v>0</v>
      </c>
      <c r="O38" s="432">
        <v>1.1712962962962963E-2</v>
      </c>
      <c r="P38" s="432">
        <f t="shared" si="79"/>
        <v>1.1712962962962963E-2</v>
      </c>
      <c r="Q38" s="163" t="e">
        <f>VLOOKUP($B:$B,'HT DIC'!$A:$AE,5,FALSE)</f>
        <v>#N/A</v>
      </c>
      <c r="R38" s="432">
        <f t="shared" si="80"/>
        <v>0</v>
      </c>
      <c r="S38" s="432">
        <v>3.4722222222222224E-2</v>
      </c>
      <c r="T38" s="432">
        <f t="shared" si="81"/>
        <v>3.4722222222222224E-2</v>
      </c>
      <c r="U38" s="163" t="e">
        <f>VLOOKUP($B:$B,'HT DIC'!$A:$AE,6,FALSE)</f>
        <v>#N/A</v>
      </c>
      <c r="V38" s="432">
        <f t="shared" si="82"/>
        <v>0</v>
      </c>
      <c r="W38" s="434"/>
      <c r="X38" s="432">
        <f t="shared" si="83"/>
        <v>0</v>
      </c>
      <c r="Y38" s="163" t="e">
        <f>VLOOKUP($B:$B,'HT DIC'!$A:$AE,7,FALSE)</f>
        <v>#N/A</v>
      </c>
      <c r="Z38" s="432">
        <f t="shared" si="84"/>
        <v>0</v>
      </c>
      <c r="AA38" s="434">
        <v>2.4618055555555556E-2</v>
      </c>
      <c r="AB38" s="432">
        <f t="shared" si="85"/>
        <v>2.4618055555555556E-2</v>
      </c>
      <c r="AC38" s="163" t="e">
        <f>VLOOKUP($B:$B,'HT DIC'!$A:$AE,8,FALSE)</f>
        <v>#N/A</v>
      </c>
      <c r="AD38" s="432">
        <f t="shared" si="86"/>
        <v>0</v>
      </c>
      <c r="AE38" s="434">
        <v>2.3773148148148147E-2</v>
      </c>
      <c r="AF38" s="432">
        <f t="shared" si="87"/>
        <v>2.3773148148148147E-2</v>
      </c>
      <c r="AG38" s="163" t="e">
        <f>VLOOKUP($B:$B,'HT DIC'!$A:$AE,9,FALSE)</f>
        <v>#N/A</v>
      </c>
      <c r="AH38" s="432">
        <f t="shared" si="88"/>
        <v>0</v>
      </c>
      <c r="AI38" s="434">
        <v>3.4722222222222224E-2</v>
      </c>
      <c r="AJ38" s="432">
        <f t="shared" si="89"/>
        <v>3.4722222222222224E-2</v>
      </c>
      <c r="AK38" s="163" t="e">
        <f>VLOOKUP($B:$B,'HT DIC'!$A:$AE,10,FALSE)</f>
        <v>#N/A</v>
      </c>
      <c r="AL38" s="432">
        <f t="shared" si="90"/>
        <v>0</v>
      </c>
      <c r="AM38" s="434">
        <v>3.695601851851852E-2</v>
      </c>
      <c r="AN38" s="432">
        <f t="shared" si="91"/>
        <v>3.695601851851852E-2</v>
      </c>
      <c r="AO38" s="163" t="e">
        <f>VLOOKUP($B:$B,'HT DIC'!$A:$AE,11,FALSE)</f>
        <v>#N/A</v>
      </c>
      <c r="AP38" s="432">
        <f t="shared" si="92"/>
        <v>0</v>
      </c>
      <c r="AQ38" s="432">
        <v>3.8194444444444448E-2</v>
      </c>
      <c r="AR38" s="432">
        <f t="shared" si="93"/>
        <v>3.8194444444444448E-2</v>
      </c>
      <c r="AS38" s="163" t="e">
        <f>VLOOKUP($B:$B,'HT DIC'!$A:$AE,12,FALSE)</f>
        <v>#N/A</v>
      </c>
      <c r="AT38" s="432">
        <f t="shared" si="94"/>
        <v>0</v>
      </c>
      <c r="AU38" s="434">
        <v>3.1064814814814816E-2</v>
      </c>
      <c r="AV38" s="432">
        <f t="shared" si="95"/>
        <v>3.1064814814814816E-2</v>
      </c>
      <c r="AW38" s="163" t="e">
        <f>VLOOKUP($B:$B,'HT DIC'!$A:$AE,13,FALSE)</f>
        <v>#N/A</v>
      </c>
      <c r="AX38" s="432">
        <f t="shared" si="22"/>
        <v>0</v>
      </c>
      <c r="AY38" s="434">
        <v>3.6296296296296299E-2</v>
      </c>
      <c r="AZ38" s="432">
        <f t="shared" si="23"/>
        <v>3.6296296296296299E-2</v>
      </c>
      <c r="BA38" s="163" t="e">
        <f>VLOOKUP($B:$B,'HT DIC'!$A:$AE,14,FALSE)</f>
        <v>#N/A</v>
      </c>
      <c r="BB38" s="432">
        <f t="shared" si="24"/>
        <v>0</v>
      </c>
      <c r="BC38" s="434"/>
      <c r="BD38" s="432">
        <f t="shared" si="25"/>
        <v>0</v>
      </c>
      <c r="BE38" s="163" t="e">
        <f>VLOOKUP($B:$B,'HT DIC'!$A:$AE,15,FALSE)</f>
        <v>#N/A</v>
      </c>
      <c r="BF38" s="432">
        <f t="shared" si="26"/>
        <v>0</v>
      </c>
      <c r="BG38" s="434">
        <v>2.8483796296296295E-2</v>
      </c>
      <c r="BH38" s="432">
        <f t="shared" si="27"/>
        <v>2.8483796296296295E-2</v>
      </c>
      <c r="BI38" s="163" t="e">
        <f>VLOOKUP($B:$B,'HT DIC'!$A:$AE,16,FALSE)</f>
        <v>#N/A</v>
      </c>
      <c r="BJ38" s="432">
        <f t="shared" si="63"/>
        <v>0</v>
      </c>
      <c r="BK38" s="434">
        <v>2.5092592592592593E-2</v>
      </c>
      <c r="BL38" s="432">
        <f t="shared" si="29"/>
        <v>2.5092592592592593E-2</v>
      </c>
      <c r="BM38" s="163" t="e">
        <f>VLOOKUP($B:$B,'HT DIC'!$A:$AE,17,FALSE)</f>
        <v>#N/A</v>
      </c>
      <c r="BN38" s="432">
        <f t="shared" si="30"/>
        <v>0</v>
      </c>
      <c r="BO38" s="434">
        <v>2.9456018518518517E-2</v>
      </c>
      <c r="BP38" s="432">
        <f t="shared" si="31"/>
        <v>2.9456018518518517E-2</v>
      </c>
      <c r="BQ38" s="163" t="e">
        <f>VLOOKUP($B:$B,'HT DIC'!$A:$AE,18,FALSE)</f>
        <v>#N/A</v>
      </c>
      <c r="BR38" s="432">
        <f t="shared" si="64"/>
        <v>0</v>
      </c>
      <c r="BS38" s="434">
        <v>2.6319444444444444E-2</v>
      </c>
      <c r="BT38" s="432">
        <f t="shared" si="33"/>
        <v>2.6319444444444444E-2</v>
      </c>
      <c r="BU38" s="163" t="e">
        <f>VLOOKUP($B:$B,'HT DIC'!$A:$AE,19,FALSE)</f>
        <v>#N/A</v>
      </c>
      <c r="BV38" s="432">
        <f t="shared" si="34"/>
        <v>0</v>
      </c>
      <c r="BW38" s="434">
        <v>2.1909722222222223E-2</v>
      </c>
      <c r="BX38" s="432">
        <f t="shared" si="35"/>
        <v>2.1909722222222223E-2</v>
      </c>
      <c r="BY38" s="163" t="e">
        <f>VLOOKUP($B:$B,'HT DIC'!$A:$AE,20,FALSE)</f>
        <v>#N/A</v>
      </c>
      <c r="BZ38" s="432">
        <f t="shared" si="65"/>
        <v>0</v>
      </c>
      <c r="CA38" s="434">
        <v>2.8078703703703703E-2</v>
      </c>
      <c r="CB38" s="432">
        <f t="shared" si="37"/>
        <v>2.8078703703703703E-2</v>
      </c>
      <c r="CC38" s="163" t="e">
        <f>VLOOKUP($B:$B,'HT DIC'!$A:$AE,21,FALSE)</f>
        <v>#N/A</v>
      </c>
      <c r="CD38" s="432">
        <f t="shared" si="38"/>
        <v>0</v>
      </c>
      <c r="CE38" s="432">
        <v>2.8229166666666666E-2</v>
      </c>
      <c r="CF38" s="432">
        <f t="shared" si="39"/>
        <v>2.8229166666666666E-2</v>
      </c>
      <c r="CG38" s="163" t="e">
        <f>VLOOKUP($B:$B,'HT DIC'!$A:$AE,22,FALSE)</f>
        <v>#N/A</v>
      </c>
      <c r="CH38" s="432">
        <f t="shared" si="40"/>
        <v>0</v>
      </c>
      <c r="CI38" s="434"/>
      <c r="CJ38" s="432">
        <f t="shared" si="72"/>
        <v>0</v>
      </c>
      <c r="CK38" s="163" t="e">
        <f>VLOOKUP($B:$B,'HT DIC'!$A:$AE,23,FALSE)</f>
        <v>#N/A</v>
      </c>
      <c r="CL38" s="432">
        <f t="shared" si="42"/>
        <v>0</v>
      </c>
      <c r="CM38" s="432">
        <v>2.6967592592592592E-2</v>
      </c>
      <c r="CN38" s="432">
        <f t="shared" si="43"/>
        <v>2.6967592592592592E-2</v>
      </c>
      <c r="CO38" s="163" t="e">
        <f>VLOOKUP($B:$B,'HT DIC'!$A:$AE,24,FALSE)</f>
        <v>#N/A</v>
      </c>
      <c r="CP38" s="432">
        <f t="shared" si="44"/>
        <v>0</v>
      </c>
      <c r="CQ38" s="434">
        <v>4.9282407407407407E-2</v>
      </c>
      <c r="CR38" s="432">
        <f t="shared" si="45"/>
        <v>4.9282407407407407E-2</v>
      </c>
      <c r="CS38" s="163" t="e">
        <f>VLOOKUP($B:$B,'HT DIC'!$A:$AE,25,FALSE)</f>
        <v>#N/A</v>
      </c>
      <c r="CT38" s="432">
        <f t="shared" si="46"/>
        <v>0</v>
      </c>
      <c r="CU38" s="432">
        <v>2.9942129629629631E-2</v>
      </c>
      <c r="CV38" s="432">
        <f t="shared" si="47"/>
        <v>2.9942129629629631E-2</v>
      </c>
      <c r="CW38" s="163" t="e">
        <f>VLOOKUP($B:$B,'HT DIC'!$A:$AE,26,FALSE)</f>
        <v>#N/A</v>
      </c>
      <c r="CX38" s="432">
        <f t="shared" si="48"/>
        <v>0</v>
      </c>
      <c r="CY38" s="434">
        <v>2.9212962962962961E-2</v>
      </c>
      <c r="CZ38" s="432">
        <f t="shared" si="49"/>
        <v>2.9212962962962961E-2</v>
      </c>
      <c r="DA38" s="163" t="e">
        <f>VLOOKUP($B:$B,'HT DIC'!$A:$AE,27,FALSE)</f>
        <v>#N/A</v>
      </c>
      <c r="DB38" s="432">
        <f t="shared" si="66"/>
        <v>0</v>
      </c>
      <c r="DC38" s="434">
        <v>3.1747685185185184E-2</v>
      </c>
      <c r="DD38" s="432">
        <f t="shared" si="51"/>
        <v>3.1747685185185184E-2</v>
      </c>
      <c r="DE38" s="163" t="e">
        <f>VLOOKUP($B:$B,'HT DIC'!$A:$AE,28,FALSE)</f>
        <v>#N/A</v>
      </c>
      <c r="DF38" s="432">
        <f t="shared" si="52"/>
        <v>0</v>
      </c>
      <c r="DG38" s="434"/>
      <c r="DH38" s="432">
        <f t="shared" si="53"/>
        <v>0</v>
      </c>
      <c r="DI38" s="163" t="e">
        <f>VLOOKUP($B:$B,'HT DIC'!$A:$AE,29,FALSE)</f>
        <v>#N/A</v>
      </c>
      <c r="DJ38" s="432">
        <f t="shared" si="73"/>
        <v>0</v>
      </c>
      <c r="DK38" s="434"/>
      <c r="DL38" s="432">
        <f t="shared" si="55"/>
        <v>0</v>
      </c>
      <c r="DM38" s="163" t="e">
        <f>VLOOKUP($B:$B,'HT DIC'!$A:$AE,30,FALSE)</f>
        <v>#N/A</v>
      </c>
      <c r="DN38" s="432">
        <f t="shared" si="68"/>
        <v>0</v>
      </c>
      <c r="DO38" s="434">
        <v>2.9374999999999998E-2</v>
      </c>
      <c r="DP38" s="432">
        <f t="shared" si="57"/>
        <v>2.9374999999999998E-2</v>
      </c>
      <c r="DQ38" s="163" t="e">
        <f>VLOOKUP($B:$B,'HT DIC'!$A:$AE,31,FALSE)</f>
        <v>#N/A</v>
      </c>
      <c r="DR38" s="432">
        <f t="shared" si="58"/>
        <v>0</v>
      </c>
      <c r="DS38" s="434">
        <v>2.252314814814815E-2</v>
      </c>
      <c r="DT38" s="432">
        <f t="shared" si="59"/>
        <v>2.252314814814815E-2</v>
      </c>
      <c r="DU38" s="163" t="e">
        <f>VLOOKUP($B:$B,'HT DIC'!$A:$AE,32,FALSE)</f>
        <v>#N/A</v>
      </c>
      <c r="DV38" s="432">
        <f t="shared" si="60"/>
        <v>0</v>
      </c>
      <c r="DW38" s="434"/>
      <c r="DX38" s="432">
        <f t="shared" si="61"/>
        <v>0</v>
      </c>
      <c r="DY38" s="432">
        <f t="shared" si="69"/>
        <v>0.73667824074074073</v>
      </c>
    </row>
    <row r="39" spans="1:129">
      <c r="A39" s="166" t="s">
        <v>130</v>
      </c>
      <c r="B39" s="166" t="s">
        <v>457</v>
      </c>
      <c r="C39" s="166">
        <v>1715030431</v>
      </c>
      <c r="D39" s="431">
        <v>28451</v>
      </c>
      <c r="E39" s="163" t="e">
        <f>VLOOKUP($B:$B,#REF!,2,FALSE)</f>
        <v>#REF!</v>
      </c>
      <c r="F39" s="432">
        <f t="shared" si="74"/>
        <v>0</v>
      </c>
      <c r="G39" s="434">
        <v>2.1099537037037038E-2</v>
      </c>
      <c r="H39" s="432">
        <f t="shared" si="75"/>
        <v>2.1099537037037038E-2</v>
      </c>
      <c r="I39" s="163" t="e">
        <f>VLOOKUP($B:$B,'HT DIC'!$A:$AE,3,FALSE)</f>
        <v>#N/A</v>
      </c>
      <c r="J39" s="432">
        <f t="shared" si="76"/>
        <v>0</v>
      </c>
      <c r="K39" s="432">
        <f>IFERROR(VLOOKUP(J39,$B$229:$E$245,2,FALSE),0)</f>
        <v>0</v>
      </c>
      <c r="L39" s="432">
        <f t="shared" si="77"/>
        <v>0</v>
      </c>
      <c r="M39" s="163" t="e">
        <f>VLOOKUP($B:$B,'HT DIC'!$A:$AE,4,FALSE)</f>
        <v>#N/A</v>
      </c>
      <c r="N39" s="432">
        <f t="shared" si="78"/>
        <v>0</v>
      </c>
      <c r="O39" s="432">
        <v>1.9988425925925927E-2</v>
      </c>
      <c r="P39" s="432">
        <f t="shared" si="79"/>
        <v>1.9988425925925927E-2</v>
      </c>
      <c r="Q39" s="163" t="e">
        <f>VLOOKUP($B:$B,'HT DIC'!$A:$AE,5,FALSE)</f>
        <v>#N/A</v>
      </c>
      <c r="R39" s="432">
        <f t="shared" si="80"/>
        <v>0</v>
      </c>
      <c r="S39" s="432">
        <f>IFERROR(VLOOKUP(R39,$B$229:$E$245,2,FALSE),0)</f>
        <v>0</v>
      </c>
      <c r="T39" s="432">
        <f t="shared" si="81"/>
        <v>0</v>
      </c>
      <c r="U39" s="163" t="e">
        <f>VLOOKUP($B:$B,'HT DIC'!$A:$AE,6,FALSE)</f>
        <v>#N/A</v>
      </c>
      <c r="V39" s="432">
        <f t="shared" si="82"/>
        <v>0</v>
      </c>
      <c r="W39" s="434"/>
      <c r="X39" s="432">
        <f t="shared" si="83"/>
        <v>0</v>
      </c>
      <c r="Y39" s="163" t="e">
        <f>VLOOKUP($B:$B,'HT DIC'!$A:$AE,7,FALSE)</f>
        <v>#N/A</v>
      </c>
      <c r="Z39" s="432">
        <f t="shared" si="84"/>
        <v>0</v>
      </c>
      <c r="AA39" s="434">
        <v>2.8472222222222222E-2</v>
      </c>
      <c r="AB39" s="432">
        <f t="shared" si="85"/>
        <v>2.8472222222222222E-2</v>
      </c>
      <c r="AC39" s="163" t="e">
        <f>VLOOKUP($B:$B,'HT DIC'!$A:$AE,8,FALSE)</f>
        <v>#N/A</v>
      </c>
      <c r="AD39" s="432">
        <f t="shared" si="86"/>
        <v>0</v>
      </c>
      <c r="AE39" s="434">
        <v>2.1759259259259259E-2</v>
      </c>
      <c r="AF39" s="432">
        <f t="shared" si="87"/>
        <v>2.1759259259259259E-2</v>
      </c>
      <c r="AG39" s="163" t="e">
        <f>VLOOKUP($B:$B,'HT DIC'!$A:$AE,9,FALSE)</f>
        <v>#N/A</v>
      </c>
      <c r="AH39" s="432">
        <f t="shared" si="88"/>
        <v>0</v>
      </c>
      <c r="AI39" s="434">
        <v>4.1840277777777775E-2</v>
      </c>
      <c r="AJ39" s="432">
        <f t="shared" si="89"/>
        <v>4.1840277777777775E-2</v>
      </c>
      <c r="AK39" s="163" t="e">
        <f>VLOOKUP($B:$B,'HT DIC'!$A:$AE,10,FALSE)</f>
        <v>#N/A</v>
      </c>
      <c r="AL39" s="432">
        <f t="shared" si="90"/>
        <v>0</v>
      </c>
      <c r="AM39" s="434">
        <v>3.9861111111111111E-2</v>
      </c>
      <c r="AN39" s="432">
        <f t="shared" si="91"/>
        <v>3.9861111111111111E-2</v>
      </c>
      <c r="AO39" s="163" t="e">
        <f>VLOOKUP($B:$B,'HT DIC'!$A:$AE,11,FALSE)</f>
        <v>#N/A</v>
      </c>
      <c r="AP39" s="432">
        <f t="shared" si="92"/>
        <v>0</v>
      </c>
      <c r="AQ39" s="432">
        <v>4.4664351851851851E-2</v>
      </c>
      <c r="AR39" s="432">
        <f t="shared" si="93"/>
        <v>4.4664351851851851E-2</v>
      </c>
      <c r="AS39" s="163" t="e">
        <f>VLOOKUP($B:$B,'HT DIC'!$A:$AE,12,FALSE)</f>
        <v>#N/A</v>
      </c>
      <c r="AT39" s="432">
        <f t="shared" si="94"/>
        <v>0</v>
      </c>
      <c r="AU39" s="434">
        <v>1.7638888888888888E-2</v>
      </c>
      <c r="AV39" s="432">
        <f t="shared" si="95"/>
        <v>1.7638888888888888E-2</v>
      </c>
      <c r="AW39" s="163" t="e">
        <f>VLOOKUP($B:$B,'HT DIC'!$A:$AE,13,FALSE)</f>
        <v>#N/A</v>
      </c>
      <c r="AX39" s="432">
        <f t="shared" si="22"/>
        <v>0</v>
      </c>
      <c r="AY39" s="432">
        <f>IFERROR(VLOOKUP(AX39,$B$229:$E$245,2,FALSE),0)</f>
        <v>0</v>
      </c>
      <c r="AZ39" s="432">
        <f t="shared" si="23"/>
        <v>0</v>
      </c>
      <c r="BA39" s="163" t="e">
        <f>VLOOKUP($B:$B,'HT DIC'!$A:$AE,14,FALSE)</f>
        <v>#N/A</v>
      </c>
      <c r="BB39" s="432">
        <f t="shared" si="24"/>
        <v>0</v>
      </c>
      <c r="BC39" s="434"/>
      <c r="BD39" s="432">
        <f t="shared" si="25"/>
        <v>0</v>
      </c>
      <c r="BE39" s="163" t="e">
        <f>VLOOKUP($B:$B,'HT DIC'!$A:$AE,15,FALSE)</f>
        <v>#N/A</v>
      </c>
      <c r="BF39" s="432">
        <f t="shared" si="26"/>
        <v>0</v>
      </c>
      <c r="BG39" s="434">
        <v>4.1076388888888891E-2</v>
      </c>
      <c r="BH39" s="432">
        <f t="shared" si="27"/>
        <v>4.1076388888888891E-2</v>
      </c>
      <c r="BI39" s="163" t="e">
        <f>VLOOKUP($B:$B,'HT DIC'!$A:$AE,16,FALSE)</f>
        <v>#N/A</v>
      </c>
      <c r="BJ39" s="432">
        <f t="shared" si="63"/>
        <v>0</v>
      </c>
      <c r="BK39" s="434">
        <v>3.9490740740740743E-2</v>
      </c>
      <c r="BL39" s="432">
        <f t="shared" si="29"/>
        <v>3.9490740740740743E-2</v>
      </c>
      <c r="BM39" s="163" t="e">
        <f>VLOOKUP($B:$B,'HT DIC'!$A:$AE,17,FALSE)</f>
        <v>#N/A</v>
      </c>
      <c r="BN39" s="432">
        <f t="shared" si="30"/>
        <v>0</v>
      </c>
      <c r="BO39" s="434">
        <v>2.7418981481481482E-2</v>
      </c>
      <c r="BP39" s="432">
        <f t="shared" si="31"/>
        <v>2.7418981481481482E-2</v>
      </c>
      <c r="BQ39" s="163" t="e">
        <f>VLOOKUP($B:$B,'HT DIC'!$A:$AE,18,FALSE)</f>
        <v>#N/A</v>
      </c>
      <c r="BR39" s="432">
        <f t="shared" si="64"/>
        <v>0</v>
      </c>
      <c r="BS39" s="434">
        <v>2.9039351851851851E-2</v>
      </c>
      <c r="BT39" s="432">
        <f t="shared" si="33"/>
        <v>2.9039351851851851E-2</v>
      </c>
      <c r="BU39" s="163" t="e">
        <f>VLOOKUP($B:$B,'HT DIC'!$A:$AE,19,FALSE)</f>
        <v>#N/A</v>
      </c>
      <c r="BV39" s="432">
        <f t="shared" si="34"/>
        <v>0</v>
      </c>
      <c r="BW39" s="434">
        <v>2.4722222222222222E-2</v>
      </c>
      <c r="BX39" s="432">
        <f t="shared" si="35"/>
        <v>2.4722222222222222E-2</v>
      </c>
      <c r="BY39" s="163" t="e">
        <f>VLOOKUP($B:$B,'HT DIC'!$A:$AE,20,FALSE)</f>
        <v>#N/A</v>
      </c>
      <c r="BZ39" s="432">
        <f t="shared" si="65"/>
        <v>0</v>
      </c>
      <c r="CA39" s="434">
        <v>3.6701388888888888E-2</v>
      </c>
      <c r="CB39" s="432">
        <f t="shared" si="37"/>
        <v>3.6701388888888888E-2</v>
      </c>
      <c r="CC39" s="163" t="e">
        <f>VLOOKUP($B:$B,'HT DIC'!$A:$AE,21,FALSE)</f>
        <v>#N/A</v>
      </c>
      <c r="CD39" s="432">
        <f t="shared" si="38"/>
        <v>0</v>
      </c>
      <c r="CE39" s="432">
        <v>2.7268518518518518E-2</v>
      </c>
      <c r="CF39" s="432">
        <f t="shared" si="39"/>
        <v>2.7268518518518518E-2</v>
      </c>
      <c r="CG39" s="163" t="e">
        <f>VLOOKUP($B:$B,'HT DIC'!$A:$AE,22,FALSE)</f>
        <v>#N/A</v>
      </c>
      <c r="CH39" s="432">
        <f t="shared" si="40"/>
        <v>0</v>
      </c>
      <c r="CI39" s="434"/>
      <c r="CJ39" s="432">
        <f t="shared" si="72"/>
        <v>0</v>
      </c>
      <c r="CK39" s="163" t="e">
        <f>VLOOKUP($B:$B,'HT DIC'!$A:$AE,23,FALSE)</f>
        <v>#N/A</v>
      </c>
      <c r="CL39" s="432">
        <f t="shared" si="42"/>
        <v>0</v>
      </c>
      <c r="CM39" s="432">
        <v>4.8854166666666664E-2</v>
      </c>
      <c r="CN39" s="432">
        <f t="shared" si="43"/>
        <v>4.8854166666666664E-2</v>
      </c>
      <c r="CO39" s="163" t="e">
        <f>VLOOKUP($B:$B,'HT DIC'!$A:$AE,24,FALSE)</f>
        <v>#N/A</v>
      </c>
      <c r="CP39" s="432">
        <f t="shared" si="44"/>
        <v>0</v>
      </c>
      <c r="CQ39" s="434">
        <v>3.4282407407407407E-2</v>
      </c>
      <c r="CR39" s="432">
        <f t="shared" si="45"/>
        <v>3.4282407407407407E-2</v>
      </c>
      <c r="CS39" s="163" t="e">
        <f>VLOOKUP($B:$B,'HT DIC'!$A:$AE,25,FALSE)</f>
        <v>#N/A</v>
      </c>
      <c r="CT39" s="432">
        <f t="shared" si="46"/>
        <v>0</v>
      </c>
      <c r="CU39" s="432">
        <v>2.9594907407407407E-2</v>
      </c>
      <c r="CV39" s="432">
        <f t="shared" si="47"/>
        <v>2.9594907407407407E-2</v>
      </c>
      <c r="CW39" s="163" t="e">
        <f>VLOOKUP($B:$B,'HT DIC'!$A:$AE,26,FALSE)</f>
        <v>#N/A</v>
      </c>
      <c r="CX39" s="432">
        <f t="shared" si="48"/>
        <v>0</v>
      </c>
      <c r="CY39" s="434">
        <v>2.1655092592592594E-2</v>
      </c>
      <c r="CZ39" s="432">
        <f t="shared" si="49"/>
        <v>2.1655092592592594E-2</v>
      </c>
      <c r="DA39" s="163" t="e">
        <f>VLOOKUP($B:$B,'HT DIC'!$A:$AE,27,FALSE)</f>
        <v>#N/A</v>
      </c>
      <c r="DB39" s="432">
        <f t="shared" si="66"/>
        <v>0</v>
      </c>
      <c r="DC39" s="434">
        <v>3.7488425925925925E-2</v>
      </c>
      <c r="DD39" s="432">
        <f t="shared" si="51"/>
        <v>3.7488425925925925E-2</v>
      </c>
      <c r="DE39" s="163" t="e">
        <f>VLOOKUP($B:$B,'HT DIC'!$A:$AE,28,FALSE)</f>
        <v>#N/A</v>
      </c>
      <c r="DF39" s="432">
        <f t="shared" si="52"/>
        <v>0</v>
      </c>
      <c r="DG39" s="434">
        <v>3.4837962962962965E-3</v>
      </c>
      <c r="DH39" s="432">
        <f t="shared" si="53"/>
        <v>3.4837962962962965E-3</v>
      </c>
      <c r="DI39" s="163" t="e">
        <f>VLOOKUP($B:$B,'HT DIC'!$A:$AE,29,FALSE)</f>
        <v>#N/A</v>
      </c>
      <c r="DJ39" s="432">
        <f t="shared" si="73"/>
        <v>0</v>
      </c>
      <c r="DK39" s="434">
        <v>2.9907407407407407E-2</v>
      </c>
      <c r="DL39" s="432">
        <f t="shared" si="55"/>
        <v>2.9907407407407407E-2</v>
      </c>
      <c r="DM39" s="163" t="e">
        <f>VLOOKUP($B:$B,'HT DIC'!$A:$AE,30,FALSE)</f>
        <v>#N/A</v>
      </c>
      <c r="DN39" s="432">
        <f t="shared" si="68"/>
        <v>0</v>
      </c>
      <c r="DO39" s="434">
        <v>2.8310185185185185E-2</v>
      </c>
      <c r="DP39" s="432">
        <f t="shared" si="57"/>
        <v>2.8310185185185185E-2</v>
      </c>
      <c r="DQ39" s="163" t="e">
        <f>VLOOKUP($B:$B,'HT DIC'!$A:$AE,31,FALSE)</f>
        <v>#N/A</v>
      </c>
      <c r="DR39" s="432">
        <f t="shared" si="58"/>
        <v>0</v>
      </c>
      <c r="DS39" s="434">
        <v>0.10145833333333333</v>
      </c>
      <c r="DT39" s="432">
        <f t="shared" si="59"/>
        <v>0.10145833333333333</v>
      </c>
      <c r="DU39" s="163" t="e">
        <f>VLOOKUP($B:$B,'HT DIC'!$A:$AE,32,FALSE)</f>
        <v>#N/A</v>
      </c>
      <c r="DV39" s="432">
        <f t="shared" si="60"/>
        <v>0</v>
      </c>
      <c r="DW39" s="434"/>
      <c r="DX39" s="432">
        <f t="shared" si="61"/>
        <v>0</v>
      </c>
      <c r="DY39" s="432">
        <f t="shared" si="69"/>
        <v>0.79607638888888888</v>
      </c>
    </row>
    <row r="40" spans="1:129">
      <c r="A40" s="166" t="s">
        <v>49</v>
      </c>
      <c r="B40" s="166" t="s">
        <v>460</v>
      </c>
      <c r="C40" s="166">
        <v>1729187003</v>
      </c>
      <c r="D40" s="431">
        <v>37551</v>
      </c>
      <c r="E40" s="163" t="e">
        <f>VLOOKUP($B:$B,#REF!,2,FALSE)</f>
        <v>#REF!</v>
      </c>
      <c r="F40" s="432">
        <f t="shared" si="74"/>
        <v>0</v>
      </c>
      <c r="G40" s="434">
        <v>4.6689814814814816E-2</v>
      </c>
      <c r="H40" s="432">
        <f t="shared" si="75"/>
        <v>4.6689814814814816E-2</v>
      </c>
      <c r="I40" s="163" t="e">
        <f>VLOOKUP($B:$B,'HT DIC'!$A:$AE,3,FALSE)</f>
        <v>#N/A</v>
      </c>
      <c r="J40" s="432">
        <f t="shared" si="76"/>
        <v>0</v>
      </c>
      <c r="K40" s="434"/>
      <c r="L40" s="432">
        <f t="shared" si="77"/>
        <v>0</v>
      </c>
      <c r="M40" s="163" t="e">
        <f>VLOOKUP($B:$B,'HT DIC'!$A:$AE,4,FALSE)</f>
        <v>#N/A</v>
      </c>
      <c r="N40" s="432">
        <f t="shared" si="78"/>
        <v>0</v>
      </c>
      <c r="O40" s="432">
        <v>3.9537037037037037E-2</v>
      </c>
      <c r="P40" s="432">
        <f t="shared" si="79"/>
        <v>3.9537037037037037E-2</v>
      </c>
      <c r="Q40" s="163" t="e">
        <f>VLOOKUP($B:$B,'HT DIC'!$A:$AE,5,FALSE)</f>
        <v>#N/A</v>
      </c>
      <c r="R40" s="432">
        <f t="shared" si="80"/>
        <v>0</v>
      </c>
      <c r="S40" s="432">
        <v>1.1261574074074075E-2</v>
      </c>
      <c r="T40" s="432">
        <f t="shared" si="81"/>
        <v>1.1261574074074075E-2</v>
      </c>
      <c r="U40" s="163" t="e">
        <f>VLOOKUP($B:$B,'HT DIC'!$A:$AE,6,FALSE)</f>
        <v>#N/A</v>
      </c>
      <c r="V40" s="432">
        <f t="shared" si="82"/>
        <v>0</v>
      </c>
      <c r="W40" s="434"/>
      <c r="X40" s="432">
        <f t="shared" si="83"/>
        <v>0</v>
      </c>
      <c r="Y40" s="163" t="e">
        <f>VLOOKUP($B:$B,'HT DIC'!$A:$AE,7,FALSE)</f>
        <v>#N/A</v>
      </c>
      <c r="Z40" s="432">
        <f t="shared" si="84"/>
        <v>0</v>
      </c>
      <c r="AA40" s="434">
        <v>2.3796296296296298E-2</v>
      </c>
      <c r="AB40" s="432">
        <f t="shared" si="85"/>
        <v>2.3796296296296298E-2</v>
      </c>
      <c r="AC40" s="163" t="e">
        <f>VLOOKUP($B:$B,'HT DIC'!$A:$AE,8,FALSE)</f>
        <v>#N/A</v>
      </c>
      <c r="AD40" s="432">
        <f t="shared" si="86"/>
        <v>0</v>
      </c>
      <c r="AE40" s="434">
        <v>2.5763888888888888E-2</v>
      </c>
      <c r="AF40" s="432">
        <f t="shared" si="87"/>
        <v>2.5763888888888888E-2</v>
      </c>
      <c r="AG40" s="163" t="e">
        <f>VLOOKUP($B:$B,'HT DIC'!$A:$AE,9,FALSE)</f>
        <v>#N/A</v>
      </c>
      <c r="AH40" s="432">
        <f t="shared" si="88"/>
        <v>0</v>
      </c>
      <c r="AI40" s="434">
        <v>2.5462962962962961E-4</v>
      </c>
      <c r="AJ40" s="432">
        <f t="shared" si="89"/>
        <v>2.5462962962962961E-4</v>
      </c>
      <c r="AK40" s="163" t="e">
        <f>VLOOKUP($B:$B,'HT DIC'!$A:$AE,10,FALSE)</f>
        <v>#N/A</v>
      </c>
      <c r="AL40" s="432">
        <f t="shared" si="90"/>
        <v>0</v>
      </c>
      <c r="AM40" s="434">
        <v>3.5416666666666665E-3</v>
      </c>
      <c r="AN40" s="432">
        <f t="shared" si="91"/>
        <v>3.5416666666666665E-3</v>
      </c>
      <c r="AO40" s="163" t="e">
        <f>VLOOKUP($B:$B,'HT DIC'!$A:$AE,11,FALSE)</f>
        <v>#N/A</v>
      </c>
      <c r="AP40" s="432">
        <f t="shared" si="92"/>
        <v>0</v>
      </c>
      <c r="AQ40" s="432">
        <v>6.3888888888888893E-3</v>
      </c>
      <c r="AR40" s="432">
        <f t="shared" si="93"/>
        <v>6.3888888888888893E-3</v>
      </c>
      <c r="AS40" s="163" t="e">
        <f>VLOOKUP($B:$B,'HT DIC'!$A:$AE,12,FALSE)</f>
        <v>#N/A</v>
      </c>
      <c r="AT40" s="432">
        <f t="shared" si="94"/>
        <v>0</v>
      </c>
      <c r="AU40" s="434">
        <v>1.1979166666666667E-2</v>
      </c>
      <c r="AV40" s="432">
        <f t="shared" si="95"/>
        <v>1.1979166666666667E-2</v>
      </c>
      <c r="AW40" s="163" t="e">
        <f>VLOOKUP($B:$B,'HT DIC'!$A:$AE,13,FALSE)</f>
        <v>#N/A</v>
      </c>
      <c r="AX40" s="432">
        <f t="shared" si="22"/>
        <v>0</v>
      </c>
      <c r="AY40" s="434">
        <v>1.736111111111111E-3</v>
      </c>
      <c r="AZ40" s="432">
        <f t="shared" si="23"/>
        <v>1.736111111111111E-3</v>
      </c>
      <c r="BA40" s="163" t="e">
        <f>VLOOKUP($B:$B,'HT DIC'!$A:$AE,14,FALSE)</f>
        <v>#N/A</v>
      </c>
      <c r="BB40" s="432">
        <f t="shared" si="24"/>
        <v>0</v>
      </c>
      <c r="BC40" s="434">
        <v>2.7592592592592592E-2</v>
      </c>
      <c r="BD40" s="432">
        <f t="shared" si="25"/>
        <v>2.7592592592592592E-2</v>
      </c>
      <c r="BE40" s="163" t="e">
        <f>VLOOKUP($B:$B,'HT DIC'!$A:$AE,15,FALSE)</f>
        <v>#N/A</v>
      </c>
      <c r="BF40" s="432">
        <f t="shared" si="26"/>
        <v>0</v>
      </c>
      <c r="BG40" s="434">
        <v>2.7314814814814816E-2</v>
      </c>
      <c r="BH40" s="432">
        <f t="shared" si="27"/>
        <v>2.7314814814814816E-2</v>
      </c>
      <c r="BI40" s="163" t="e">
        <f>VLOOKUP($B:$B,'HT DIC'!$A:$AE,16,FALSE)</f>
        <v>#N/A</v>
      </c>
      <c r="BJ40" s="432">
        <f t="shared" si="63"/>
        <v>0</v>
      </c>
      <c r="BK40" s="434">
        <v>1.8749999999999999E-3</v>
      </c>
      <c r="BL40" s="432">
        <f t="shared" si="29"/>
        <v>1.8749999999999999E-3</v>
      </c>
      <c r="BM40" s="163" t="e">
        <f>VLOOKUP($B:$B,'HT DIC'!$A:$AE,17,FALSE)</f>
        <v>#N/A</v>
      </c>
      <c r="BN40" s="432">
        <f t="shared" si="30"/>
        <v>0</v>
      </c>
      <c r="BO40" s="434">
        <v>4.0069444444444442E-2</v>
      </c>
      <c r="BP40" s="432">
        <f t="shared" si="31"/>
        <v>4.0069444444444442E-2</v>
      </c>
      <c r="BQ40" s="163" t="e">
        <f>VLOOKUP($B:$B,'HT DIC'!$A:$AE,18,FALSE)</f>
        <v>#N/A</v>
      </c>
      <c r="BR40" s="432">
        <f t="shared" si="64"/>
        <v>0</v>
      </c>
      <c r="BS40" s="434">
        <v>6.5231481481481488E-2</v>
      </c>
      <c r="BT40" s="432">
        <f t="shared" si="33"/>
        <v>6.5231481481481488E-2</v>
      </c>
      <c r="BU40" s="163" t="e">
        <f>VLOOKUP($B:$B,'HT DIC'!$A:$AE,19,FALSE)</f>
        <v>#N/A</v>
      </c>
      <c r="BV40" s="432">
        <f t="shared" si="34"/>
        <v>0</v>
      </c>
      <c r="BW40" s="434">
        <v>4.5277777777777778E-2</v>
      </c>
      <c r="BX40" s="432">
        <f t="shared" si="35"/>
        <v>4.5277777777777778E-2</v>
      </c>
      <c r="BY40" s="163" t="e">
        <f>VLOOKUP($B:$B,'HT DIC'!$A:$AE,20,FALSE)</f>
        <v>#N/A</v>
      </c>
      <c r="BZ40" s="432">
        <f t="shared" si="65"/>
        <v>0</v>
      </c>
      <c r="CA40" s="434"/>
      <c r="CB40" s="432">
        <f t="shared" si="37"/>
        <v>0</v>
      </c>
      <c r="CC40" s="163" t="e">
        <f>VLOOKUP($B:$B,'HT DIC'!$A:$AE,21,FALSE)</f>
        <v>#N/A</v>
      </c>
      <c r="CD40" s="432">
        <f t="shared" si="38"/>
        <v>0</v>
      </c>
      <c r="CE40" s="432"/>
      <c r="CF40" s="432">
        <f t="shared" si="39"/>
        <v>0</v>
      </c>
      <c r="CG40" s="163" t="e">
        <f>VLOOKUP($B:$B,'HT DIC'!$A:$AE,22,FALSE)</f>
        <v>#N/A</v>
      </c>
      <c r="CH40" s="432">
        <f t="shared" si="40"/>
        <v>0</v>
      </c>
      <c r="CI40" s="434"/>
      <c r="CJ40" s="432">
        <f t="shared" si="72"/>
        <v>0</v>
      </c>
      <c r="CK40" s="163" t="e">
        <f>VLOOKUP($B:$B,'HT DIC'!$A:$AE,23,FALSE)</f>
        <v>#N/A</v>
      </c>
      <c r="CL40" s="432">
        <f t="shared" si="42"/>
        <v>0</v>
      </c>
      <c r="CM40" s="432">
        <v>7.7546296296296295E-3</v>
      </c>
      <c r="CN40" s="432">
        <f t="shared" si="43"/>
        <v>7.7546296296296295E-3</v>
      </c>
      <c r="CO40" s="163" t="e">
        <f>VLOOKUP($B:$B,'HT DIC'!$A:$AE,24,FALSE)</f>
        <v>#N/A</v>
      </c>
      <c r="CP40" s="432">
        <f t="shared" si="44"/>
        <v>0</v>
      </c>
      <c r="CQ40" s="434">
        <v>6.0405092592592594E-2</v>
      </c>
      <c r="CR40" s="432">
        <f t="shared" si="45"/>
        <v>6.0405092592592594E-2</v>
      </c>
      <c r="CS40" s="163" t="e">
        <f>VLOOKUP($B:$B,'HT DIC'!$A:$AE,25,FALSE)</f>
        <v>#N/A</v>
      </c>
      <c r="CT40" s="432">
        <f t="shared" si="46"/>
        <v>0</v>
      </c>
      <c r="CU40" s="432">
        <v>6.9444444444444444E-5</v>
      </c>
      <c r="CV40" s="432">
        <f t="shared" si="47"/>
        <v>6.9444444444444444E-5</v>
      </c>
      <c r="CW40" s="163" t="e">
        <f>VLOOKUP($B:$B,'HT DIC'!$A:$AE,26,FALSE)</f>
        <v>#N/A</v>
      </c>
      <c r="CX40" s="432">
        <f t="shared" si="48"/>
        <v>0</v>
      </c>
      <c r="CY40" s="434">
        <v>4.7488425925925927E-2</v>
      </c>
      <c r="CZ40" s="432">
        <f t="shared" si="49"/>
        <v>4.7488425925925927E-2</v>
      </c>
      <c r="DA40" s="163" t="e">
        <f>VLOOKUP($B:$B,'HT DIC'!$A:$AE,27,FALSE)</f>
        <v>#N/A</v>
      </c>
      <c r="DB40" s="432">
        <f t="shared" si="66"/>
        <v>0</v>
      </c>
      <c r="DC40" s="434">
        <v>1.1817129629629629E-2</v>
      </c>
      <c r="DD40" s="432">
        <f t="shared" si="51"/>
        <v>1.1817129629629629E-2</v>
      </c>
      <c r="DE40" s="163" t="e">
        <f>VLOOKUP($B:$B,'HT DIC'!$A:$AE,28,FALSE)</f>
        <v>#N/A</v>
      </c>
      <c r="DF40" s="432">
        <f t="shared" si="52"/>
        <v>0</v>
      </c>
      <c r="DG40" s="434">
        <v>8.4143518518518517E-3</v>
      </c>
      <c r="DH40" s="432">
        <f t="shared" si="53"/>
        <v>8.4143518518518517E-3</v>
      </c>
      <c r="DI40" s="163" t="e">
        <f>VLOOKUP($B:$B,'HT DIC'!$A:$AE,29,FALSE)</f>
        <v>#N/A</v>
      </c>
      <c r="DJ40" s="432">
        <f t="shared" si="73"/>
        <v>0</v>
      </c>
      <c r="DK40" s="434"/>
      <c r="DL40" s="432">
        <f t="shared" si="55"/>
        <v>0</v>
      </c>
      <c r="DM40" s="163" t="e">
        <f>VLOOKUP($B:$B,'HT DIC'!$A:$AE,30,FALSE)</f>
        <v>#N/A</v>
      </c>
      <c r="DN40" s="432">
        <f t="shared" si="68"/>
        <v>0</v>
      </c>
      <c r="DO40" s="434">
        <v>5.6828703703703702E-3</v>
      </c>
      <c r="DP40" s="432">
        <f t="shared" si="57"/>
        <v>5.6828703703703702E-3</v>
      </c>
      <c r="DQ40" s="163" t="e">
        <f>VLOOKUP($B:$B,'HT DIC'!$A:$AE,31,FALSE)</f>
        <v>#N/A</v>
      </c>
      <c r="DR40" s="432">
        <f t="shared" si="58"/>
        <v>0</v>
      </c>
      <c r="DS40" s="434"/>
      <c r="DT40" s="432">
        <f t="shared" si="59"/>
        <v>0</v>
      </c>
      <c r="DU40" s="163" t="e">
        <f>VLOOKUP($B:$B,'HT DIC'!$A:$AE,32,FALSE)</f>
        <v>#N/A</v>
      </c>
      <c r="DV40" s="432">
        <f t="shared" si="60"/>
        <v>0</v>
      </c>
      <c r="DW40" s="434"/>
      <c r="DX40" s="432">
        <f t="shared" si="61"/>
        <v>0</v>
      </c>
      <c r="DY40" s="432">
        <f t="shared" si="69"/>
        <v>0.5199421296296296</v>
      </c>
    </row>
    <row r="41" spans="1:129">
      <c r="A41" s="166" t="s">
        <v>134</v>
      </c>
      <c r="B41" s="166" t="s">
        <v>478</v>
      </c>
      <c r="C41" s="166">
        <v>1727479642</v>
      </c>
      <c r="D41" s="431">
        <v>38134</v>
      </c>
      <c r="E41" s="163" t="e">
        <f>VLOOKUP($B:$B,#REF!,2,FALSE)</f>
        <v>#REF!</v>
      </c>
      <c r="F41" s="432">
        <f t="shared" si="74"/>
        <v>0</v>
      </c>
      <c r="G41" s="434">
        <v>2.4305555555555556E-2</v>
      </c>
      <c r="H41" s="432">
        <f t="shared" si="75"/>
        <v>2.4305555555555556E-2</v>
      </c>
      <c r="I41" s="163" t="e">
        <f>VLOOKUP($B:$B,'HT DIC'!$A:$AE,3,FALSE)</f>
        <v>#N/A</v>
      </c>
      <c r="J41" s="432">
        <f t="shared" si="76"/>
        <v>0</v>
      </c>
      <c r="K41" s="434">
        <v>2.4305555555555556E-2</v>
      </c>
      <c r="L41" s="432">
        <f t="shared" si="77"/>
        <v>2.4305555555555556E-2</v>
      </c>
      <c r="M41" s="163" t="e">
        <f>VLOOKUP($B:$B,'HT DIC'!$A:$AE,4,FALSE)</f>
        <v>#N/A</v>
      </c>
      <c r="N41" s="432">
        <f t="shared" si="78"/>
        <v>0</v>
      </c>
      <c r="O41" s="432">
        <v>2.4305555555555556E-2</v>
      </c>
      <c r="P41" s="432">
        <f t="shared" si="79"/>
        <v>2.4305555555555556E-2</v>
      </c>
      <c r="Q41" s="163" t="e">
        <f>VLOOKUP($B:$B,'HT DIC'!$A:$AE,5,FALSE)</f>
        <v>#N/A</v>
      </c>
      <c r="R41" s="432">
        <f t="shared" si="80"/>
        <v>0</v>
      </c>
      <c r="S41" s="432"/>
      <c r="T41" s="432">
        <f t="shared" si="81"/>
        <v>0</v>
      </c>
      <c r="U41" s="163" t="e">
        <f>VLOOKUP($B:$B,'HT DIC'!$A:$AE,6,FALSE)</f>
        <v>#N/A</v>
      </c>
      <c r="V41" s="432">
        <f t="shared" si="82"/>
        <v>0</v>
      </c>
      <c r="W41" s="434">
        <v>7.4074074074074077E-3</v>
      </c>
      <c r="X41" s="432">
        <f t="shared" si="83"/>
        <v>7.4074074074074077E-3</v>
      </c>
      <c r="Y41" s="163" t="e">
        <f>VLOOKUP($B:$B,'HT DIC'!$A:$AE,7,FALSE)</f>
        <v>#N/A</v>
      </c>
      <c r="Z41" s="432">
        <f t="shared" si="84"/>
        <v>0</v>
      </c>
      <c r="AA41" s="434"/>
      <c r="AB41" s="432">
        <f t="shared" si="85"/>
        <v>0</v>
      </c>
      <c r="AC41" s="163" t="e">
        <f>VLOOKUP($B:$B,'HT DIC'!$A:$AE,8,FALSE)</f>
        <v>#N/A</v>
      </c>
      <c r="AD41" s="432">
        <f t="shared" si="86"/>
        <v>0</v>
      </c>
      <c r="AE41" s="434"/>
      <c r="AF41" s="432">
        <f t="shared" si="87"/>
        <v>0</v>
      </c>
      <c r="AG41" s="163" t="e">
        <f>VLOOKUP($B:$B,'HT DIC'!$A:$AE,9,FALSE)</f>
        <v>#N/A</v>
      </c>
      <c r="AH41" s="432">
        <f t="shared" si="88"/>
        <v>0</v>
      </c>
      <c r="AI41" s="434"/>
      <c r="AJ41" s="432">
        <f t="shared" si="89"/>
        <v>0</v>
      </c>
      <c r="AK41" s="163" t="e">
        <f>VLOOKUP($B:$B,'HT DIC'!$A:$AE,10,FALSE)</f>
        <v>#N/A</v>
      </c>
      <c r="AL41" s="432">
        <f t="shared" si="90"/>
        <v>0</v>
      </c>
      <c r="AM41" s="434">
        <v>2.9861111111111113E-3</v>
      </c>
      <c r="AN41" s="432">
        <f t="shared" si="91"/>
        <v>2.9861111111111113E-3</v>
      </c>
      <c r="AO41" s="163" t="e">
        <f>VLOOKUP($B:$B,'HT DIC'!$A:$AE,11,FALSE)</f>
        <v>#N/A</v>
      </c>
      <c r="AP41" s="432">
        <f t="shared" si="92"/>
        <v>0</v>
      </c>
      <c r="AQ41" s="432">
        <v>2.4930555555555556E-2</v>
      </c>
      <c r="AR41" s="432">
        <f t="shared" si="93"/>
        <v>2.4930555555555556E-2</v>
      </c>
      <c r="AS41" s="163" t="e">
        <f>VLOOKUP($B:$B,'HT DIC'!$A:$AE,12,FALSE)</f>
        <v>#N/A</v>
      </c>
      <c r="AT41" s="432">
        <f t="shared" si="94"/>
        <v>0</v>
      </c>
      <c r="AU41" s="434">
        <v>8.1018518518518516E-5</v>
      </c>
      <c r="AV41" s="432">
        <f t="shared" si="95"/>
        <v>8.1018518518518516E-5</v>
      </c>
      <c r="AW41" s="163" t="e">
        <f>VLOOKUP($B:$B,'HT DIC'!$A:$AE,13,FALSE)</f>
        <v>#N/A</v>
      </c>
      <c r="AX41" s="432">
        <f t="shared" si="22"/>
        <v>0</v>
      </c>
      <c r="AY41" s="434">
        <v>7.7546296296296293E-4</v>
      </c>
      <c r="AZ41" s="432">
        <f t="shared" si="23"/>
        <v>7.7546296296296293E-4</v>
      </c>
      <c r="BA41" s="163" t="e">
        <f>VLOOKUP($B:$B,'HT DIC'!$A:$AE,14,FALSE)</f>
        <v>#N/A</v>
      </c>
      <c r="BB41" s="432">
        <f t="shared" si="24"/>
        <v>0</v>
      </c>
      <c r="BC41" s="434"/>
      <c r="BD41" s="432">
        <f t="shared" si="25"/>
        <v>0</v>
      </c>
      <c r="BE41" s="163" t="e">
        <f>VLOOKUP($B:$B,'HT DIC'!$A:$AE,15,FALSE)</f>
        <v>#N/A</v>
      </c>
      <c r="BF41" s="432">
        <f t="shared" si="26"/>
        <v>0</v>
      </c>
      <c r="BG41" s="434"/>
      <c r="BH41" s="432">
        <f t="shared" si="27"/>
        <v>0</v>
      </c>
      <c r="BI41" s="163" t="e">
        <f>VLOOKUP($B:$B,'HT DIC'!$A:$AE,16,FALSE)</f>
        <v>#N/A</v>
      </c>
      <c r="BJ41" s="432">
        <f t="shared" si="63"/>
        <v>0</v>
      </c>
      <c r="BK41" s="434"/>
      <c r="BL41" s="432">
        <f t="shared" si="29"/>
        <v>0</v>
      </c>
      <c r="BM41" s="163" t="e">
        <f>VLOOKUP($B:$B,'HT DIC'!$A:$AE,17,FALSE)</f>
        <v>#N/A</v>
      </c>
      <c r="BN41" s="432">
        <f t="shared" si="30"/>
        <v>0</v>
      </c>
      <c r="BO41" s="434">
        <v>6.5509259259259262E-3</v>
      </c>
      <c r="BP41" s="432">
        <f t="shared" si="31"/>
        <v>6.5509259259259262E-3</v>
      </c>
      <c r="BQ41" s="163" t="e">
        <f>VLOOKUP($B:$B,'HT DIC'!$A:$AE,18,FALSE)</f>
        <v>#N/A</v>
      </c>
      <c r="BR41" s="432">
        <f t="shared" si="64"/>
        <v>0</v>
      </c>
      <c r="BS41" s="434">
        <v>7.5231481481481477E-3</v>
      </c>
      <c r="BT41" s="432">
        <f t="shared" si="33"/>
        <v>7.5231481481481477E-3</v>
      </c>
      <c r="BU41" s="163" t="e">
        <f>VLOOKUP($B:$B,'HT DIC'!$A:$AE,19,FALSE)</f>
        <v>#N/A</v>
      </c>
      <c r="BV41" s="432">
        <f t="shared" si="34"/>
        <v>0</v>
      </c>
      <c r="BW41" s="434">
        <v>2.2997685185185184E-2</v>
      </c>
      <c r="BX41" s="432">
        <f t="shared" si="35"/>
        <v>2.2997685185185184E-2</v>
      </c>
      <c r="BY41" s="163" t="e">
        <f>VLOOKUP($B:$B,'HT DIC'!$A:$AE,20,FALSE)</f>
        <v>#N/A</v>
      </c>
      <c r="BZ41" s="432">
        <f t="shared" si="65"/>
        <v>0</v>
      </c>
      <c r="CA41" s="434">
        <v>2.0081018518518519E-2</v>
      </c>
      <c r="CB41" s="432">
        <f t="shared" si="37"/>
        <v>2.0081018518518519E-2</v>
      </c>
      <c r="CC41" s="163" t="e">
        <f>VLOOKUP($B:$B,'HT DIC'!$A:$AE,21,FALSE)</f>
        <v>#N/A</v>
      </c>
      <c r="CD41" s="432">
        <f t="shared" si="38"/>
        <v>0</v>
      </c>
      <c r="CE41" s="432">
        <v>1.3078703703703703E-3</v>
      </c>
      <c r="CF41" s="432">
        <f t="shared" si="39"/>
        <v>1.3078703703703703E-3</v>
      </c>
      <c r="CG41" s="163" t="e">
        <f>VLOOKUP($B:$B,'HT DIC'!$A:$AE,22,FALSE)</f>
        <v>#N/A</v>
      </c>
      <c r="CH41" s="432">
        <f t="shared" si="40"/>
        <v>0</v>
      </c>
      <c r="CI41" s="434"/>
      <c r="CJ41" s="432">
        <f t="shared" si="72"/>
        <v>0</v>
      </c>
      <c r="CK41" s="163" t="e">
        <f>VLOOKUP($B:$B,'HT DIC'!$A:$AE,23,FALSE)</f>
        <v>#N/A</v>
      </c>
      <c r="CL41" s="432">
        <f t="shared" si="42"/>
        <v>0</v>
      </c>
      <c r="CM41" s="432">
        <v>3.7615740740740739E-3</v>
      </c>
      <c r="CN41" s="432">
        <f t="shared" si="43"/>
        <v>3.7615740740740739E-3</v>
      </c>
      <c r="CO41" s="163" t="e">
        <f>VLOOKUP($B:$B,'HT DIC'!$A:$AE,24,FALSE)</f>
        <v>#N/A</v>
      </c>
      <c r="CP41" s="432">
        <f t="shared" si="44"/>
        <v>0</v>
      </c>
      <c r="CQ41" s="434">
        <v>4.7685185185185183E-3</v>
      </c>
      <c r="CR41" s="432">
        <f t="shared" si="45"/>
        <v>4.7685185185185183E-3</v>
      </c>
      <c r="CS41" s="163" t="e">
        <f>VLOOKUP($B:$B,'HT DIC'!$A:$AE,25,FALSE)</f>
        <v>#N/A</v>
      </c>
      <c r="CT41" s="432">
        <f t="shared" si="46"/>
        <v>0</v>
      </c>
      <c r="CU41" s="432"/>
      <c r="CV41" s="432">
        <f t="shared" si="47"/>
        <v>0</v>
      </c>
      <c r="CW41" s="163" t="e">
        <f>VLOOKUP($B:$B,'HT DIC'!$A:$AE,26,FALSE)</f>
        <v>#N/A</v>
      </c>
      <c r="CX41" s="432">
        <f t="shared" si="48"/>
        <v>0</v>
      </c>
      <c r="CY41" s="434">
        <v>2.4537037037037036E-3</v>
      </c>
      <c r="CZ41" s="432">
        <f t="shared" si="49"/>
        <v>2.4537037037037036E-3</v>
      </c>
      <c r="DA41" s="163" t="e">
        <f>VLOOKUP($B:$B,'HT DIC'!$A:$AE,27,FALSE)</f>
        <v>#N/A</v>
      </c>
      <c r="DB41" s="432">
        <f t="shared" si="66"/>
        <v>0</v>
      </c>
      <c r="DC41" s="434">
        <v>2.0995370370370369E-2</v>
      </c>
      <c r="DD41" s="432">
        <f t="shared" si="51"/>
        <v>2.0995370370370369E-2</v>
      </c>
      <c r="DE41" s="163" t="e">
        <f>VLOOKUP($B:$B,'HT DIC'!$A:$AE,28,FALSE)</f>
        <v>#N/A</v>
      </c>
      <c r="DF41" s="432">
        <f t="shared" si="52"/>
        <v>0</v>
      </c>
      <c r="DG41" s="434">
        <v>3.1215277777777779E-2</v>
      </c>
      <c r="DH41" s="432">
        <f t="shared" si="53"/>
        <v>3.1215277777777779E-2</v>
      </c>
      <c r="DI41" s="163" t="e">
        <f>VLOOKUP($B:$B,'HT DIC'!$A:$AE,29,FALSE)</f>
        <v>#N/A</v>
      </c>
      <c r="DJ41" s="432">
        <f t="shared" si="73"/>
        <v>0</v>
      </c>
      <c r="DK41" s="434"/>
      <c r="DL41" s="432">
        <f t="shared" si="55"/>
        <v>0</v>
      </c>
      <c r="DM41" s="163" t="e">
        <f>VLOOKUP($B:$B,'HT DIC'!$A:$AE,30,FALSE)</f>
        <v>#N/A</v>
      </c>
      <c r="DN41" s="432">
        <f t="shared" si="68"/>
        <v>0</v>
      </c>
      <c r="DO41" s="434">
        <v>3.0208333333333333E-3</v>
      </c>
      <c r="DP41" s="432">
        <f t="shared" si="57"/>
        <v>3.0208333333333333E-3</v>
      </c>
      <c r="DQ41" s="163" t="e">
        <f>VLOOKUP($B:$B,'HT DIC'!$A:$AE,31,FALSE)</f>
        <v>#N/A</v>
      </c>
      <c r="DR41" s="432">
        <f t="shared" si="58"/>
        <v>0</v>
      </c>
      <c r="DS41" s="434"/>
      <c r="DT41" s="432">
        <f t="shared" si="59"/>
        <v>0</v>
      </c>
      <c r="DU41" s="163" t="e">
        <f>VLOOKUP($B:$B,'HT DIC'!$A:$AE,32,FALSE)</f>
        <v>#N/A</v>
      </c>
      <c r="DV41" s="432">
        <f t="shared" si="60"/>
        <v>0</v>
      </c>
      <c r="DW41" s="434"/>
      <c r="DX41" s="432">
        <f t="shared" si="61"/>
        <v>0</v>
      </c>
      <c r="DY41" s="432">
        <f t="shared" si="69"/>
        <v>0.23377314814814817</v>
      </c>
    </row>
    <row r="42" spans="1:129">
      <c r="A42" s="166" t="s">
        <v>139</v>
      </c>
      <c r="B42" s="166" t="s">
        <v>461</v>
      </c>
      <c r="C42" s="166">
        <v>1722704887</v>
      </c>
      <c r="D42" s="431">
        <v>33719</v>
      </c>
      <c r="E42" s="163" t="e">
        <f>VLOOKUP($B:$B,#REF!,2,FALSE)</f>
        <v>#REF!</v>
      </c>
      <c r="F42" s="432">
        <f t="shared" si="74"/>
        <v>0</v>
      </c>
      <c r="G42" s="434">
        <v>5.3287037037037036E-2</v>
      </c>
      <c r="H42" s="432">
        <f t="shared" si="75"/>
        <v>5.3287037037037036E-2</v>
      </c>
      <c r="I42" s="163" t="e">
        <f>VLOOKUP($B:$B,'HT DIC'!$A:$AE,3,FALSE)</f>
        <v>#N/A</v>
      </c>
      <c r="J42" s="432">
        <f t="shared" si="76"/>
        <v>0</v>
      </c>
      <c r="K42" s="434"/>
      <c r="L42" s="432">
        <f t="shared" si="77"/>
        <v>0</v>
      </c>
      <c r="M42" s="163" t="e">
        <f>VLOOKUP($B:$B,'HT DIC'!$A:$AE,4,FALSE)</f>
        <v>#N/A</v>
      </c>
      <c r="N42" s="432">
        <f t="shared" si="78"/>
        <v>0</v>
      </c>
      <c r="O42" s="432">
        <v>3.7962962962962963E-3</v>
      </c>
      <c r="P42" s="432">
        <f t="shared" si="79"/>
        <v>3.7962962962962963E-3</v>
      </c>
      <c r="Q42" s="163" t="e">
        <f>VLOOKUP($B:$B,'HT DIC'!$A:$AE,5,FALSE)</f>
        <v>#N/A</v>
      </c>
      <c r="R42" s="432">
        <f t="shared" si="80"/>
        <v>0</v>
      </c>
      <c r="S42" s="432">
        <v>1.3715277777777778E-2</v>
      </c>
      <c r="T42" s="432">
        <f t="shared" si="81"/>
        <v>1.3715277777777778E-2</v>
      </c>
      <c r="U42" s="163" t="e">
        <f>VLOOKUP($B:$B,'HT DIC'!$A:$AE,6,FALSE)</f>
        <v>#N/A</v>
      </c>
      <c r="V42" s="432">
        <f t="shared" si="82"/>
        <v>0</v>
      </c>
      <c r="W42" s="434">
        <v>2.269675925925926E-2</v>
      </c>
      <c r="X42" s="432">
        <f t="shared" si="83"/>
        <v>2.269675925925926E-2</v>
      </c>
      <c r="Y42" s="163" t="e">
        <f>VLOOKUP($B:$B,'HT DIC'!$A:$AE,7,FALSE)</f>
        <v>#N/A</v>
      </c>
      <c r="Z42" s="432">
        <f t="shared" si="84"/>
        <v>0</v>
      </c>
      <c r="AA42" s="434">
        <v>7.037037037037037E-3</v>
      </c>
      <c r="AB42" s="432">
        <f t="shared" si="85"/>
        <v>7.037037037037037E-3</v>
      </c>
      <c r="AC42" s="163" t="e">
        <f>VLOOKUP($B:$B,'HT DIC'!$A:$AE,8,FALSE)</f>
        <v>#N/A</v>
      </c>
      <c r="AD42" s="432">
        <f t="shared" si="86"/>
        <v>0</v>
      </c>
      <c r="AE42" s="434"/>
      <c r="AF42" s="432">
        <f t="shared" si="87"/>
        <v>0</v>
      </c>
      <c r="AG42" s="163" t="e">
        <f>VLOOKUP($B:$B,'HT DIC'!$A:$AE,9,FALSE)</f>
        <v>#N/A</v>
      </c>
      <c r="AH42" s="432">
        <f t="shared" si="88"/>
        <v>0</v>
      </c>
      <c r="AI42" s="434">
        <v>4.9189814814814816E-3</v>
      </c>
      <c r="AJ42" s="432">
        <f t="shared" si="89"/>
        <v>4.9189814814814816E-3</v>
      </c>
      <c r="AK42" s="163" t="e">
        <f>VLOOKUP($B:$B,'HT DIC'!$A:$AE,10,FALSE)</f>
        <v>#N/A</v>
      </c>
      <c r="AL42" s="432">
        <f t="shared" si="90"/>
        <v>0</v>
      </c>
      <c r="AM42" s="434"/>
      <c r="AN42" s="432">
        <f t="shared" si="91"/>
        <v>0</v>
      </c>
      <c r="AO42" s="163" t="e">
        <f>VLOOKUP($B:$B,'HT DIC'!$A:$AE,11,FALSE)</f>
        <v>#N/A</v>
      </c>
      <c r="AP42" s="432">
        <f t="shared" si="92"/>
        <v>0</v>
      </c>
      <c r="AQ42" s="432">
        <v>1.4131944444444445E-2</v>
      </c>
      <c r="AR42" s="432">
        <f t="shared" si="93"/>
        <v>1.4131944444444445E-2</v>
      </c>
      <c r="AS42" s="163" t="e">
        <f>VLOOKUP($B:$B,'HT DIC'!$A:$AE,12,FALSE)</f>
        <v>#N/A</v>
      </c>
      <c r="AT42" s="432">
        <f t="shared" si="94"/>
        <v>0</v>
      </c>
      <c r="AU42" s="434">
        <v>4.6643518518518518E-3</v>
      </c>
      <c r="AV42" s="432">
        <f t="shared" si="95"/>
        <v>4.6643518518518518E-3</v>
      </c>
      <c r="AW42" s="163" t="e">
        <f>VLOOKUP($B:$B,'HT DIC'!$A:$AE,13,FALSE)</f>
        <v>#N/A</v>
      </c>
      <c r="AX42" s="432">
        <f t="shared" si="22"/>
        <v>0</v>
      </c>
      <c r="AY42" s="434">
        <v>6.5046296296296293E-3</v>
      </c>
      <c r="AZ42" s="432">
        <f t="shared" si="23"/>
        <v>6.5046296296296293E-3</v>
      </c>
      <c r="BA42" s="163" t="e">
        <f>VLOOKUP($B:$B,'HT DIC'!$A:$AE,14,FALSE)</f>
        <v>#N/A</v>
      </c>
      <c r="BB42" s="432">
        <f t="shared" si="24"/>
        <v>0</v>
      </c>
      <c r="BC42" s="434">
        <v>2.4131944444444445E-2</v>
      </c>
      <c r="BD42" s="432">
        <f t="shared" si="25"/>
        <v>2.4131944444444445E-2</v>
      </c>
      <c r="BE42" s="163" t="e">
        <f>VLOOKUP($B:$B,'HT DIC'!$A:$AE,15,FALSE)</f>
        <v>#N/A</v>
      </c>
      <c r="BF42" s="432">
        <f t="shared" si="26"/>
        <v>0</v>
      </c>
      <c r="BG42" s="434"/>
      <c r="BH42" s="432">
        <f t="shared" si="27"/>
        <v>0</v>
      </c>
      <c r="BI42" s="163" t="e">
        <f>VLOOKUP($B:$B,'HT DIC'!$A:$AE,16,FALSE)</f>
        <v>#N/A</v>
      </c>
      <c r="BJ42" s="432">
        <f t="shared" si="63"/>
        <v>0</v>
      </c>
      <c r="BK42" s="434">
        <v>7.1643518518518514E-3</v>
      </c>
      <c r="BL42" s="432">
        <f t="shared" si="29"/>
        <v>7.1643518518518514E-3</v>
      </c>
      <c r="BM42" s="163" t="e">
        <f>VLOOKUP($B:$B,'HT DIC'!$A:$AE,17,FALSE)</f>
        <v>#N/A</v>
      </c>
      <c r="BN42" s="432">
        <f t="shared" si="30"/>
        <v>0</v>
      </c>
      <c r="BO42" s="434">
        <v>9.8958333333333329E-3</v>
      </c>
      <c r="BP42" s="432">
        <f t="shared" si="31"/>
        <v>9.8958333333333329E-3</v>
      </c>
      <c r="BQ42" s="163" t="e">
        <f>VLOOKUP($B:$B,'HT DIC'!$A:$AE,18,FALSE)</f>
        <v>#N/A</v>
      </c>
      <c r="BR42" s="432">
        <f t="shared" si="64"/>
        <v>0</v>
      </c>
      <c r="BS42" s="434">
        <v>1.6967592592592593E-2</v>
      </c>
      <c r="BT42" s="432">
        <f t="shared" si="33"/>
        <v>1.6967592592592593E-2</v>
      </c>
      <c r="BU42" s="163" t="e">
        <f>VLOOKUP($B:$B,'HT DIC'!$A:$AE,19,FALSE)</f>
        <v>#N/A</v>
      </c>
      <c r="BV42" s="432">
        <f t="shared" si="34"/>
        <v>0</v>
      </c>
      <c r="BW42" s="434">
        <v>1.4814814814814814E-3</v>
      </c>
      <c r="BX42" s="432">
        <f t="shared" si="35"/>
        <v>1.4814814814814814E-3</v>
      </c>
      <c r="BY42" s="163" t="e">
        <f>VLOOKUP($B:$B,'HT DIC'!$A:$AE,20,FALSE)</f>
        <v>#N/A</v>
      </c>
      <c r="BZ42" s="432">
        <f t="shared" si="65"/>
        <v>0</v>
      </c>
      <c r="CA42" s="434">
        <v>1.2858796296296297E-2</v>
      </c>
      <c r="CB42" s="432">
        <f t="shared" si="37"/>
        <v>1.2858796296296297E-2</v>
      </c>
      <c r="CC42" s="163" t="e">
        <f>VLOOKUP($B:$B,'HT DIC'!$A:$AE,21,FALSE)</f>
        <v>#N/A</v>
      </c>
      <c r="CD42" s="432">
        <f t="shared" si="38"/>
        <v>0</v>
      </c>
      <c r="CE42" s="432">
        <v>1.7326388888888888E-2</v>
      </c>
      <c r="CF42" s="432">
        <f t="shared" si="39"/>
        <v>1.7326388888888888E-2</v>
      </c>
      <c r="CG42" s="163" t="e">
        <f>VLOOKUP($B:$B,'HT DIC'!$A:$AE,22,FALSE)</f>
        <v>#N/A</v>
      </c>
      <c r="CH42" s="432">
        <f t="shared" si="40"/>
        <v>0</v>
      </c>
      <c r="CI42" s="434"/>
      <c r="CJ42" s="432">
        <f t="shared" si="72"/>
        <v>0</v>
      </c>
      <c r="CK42" s="163" t="e">
        <f>VLOOKUP($B:$B,'HT DIC'!$A:$AE,23,FALSE)</f>
        <v>#N/A</v>
      </c>
      <c r="CL42" s="432">
        <f t="shared" si="42"/>
        <v>0</v>
      </c>
      <c r="CM42" s="432">
        <v>9.0011574074074077E-2</v>
      </c>
      <c r="CN42" s="432">
        <f t="shared" si="43"/>
        <v>9.0011574074074077E-2</v>
      </c>
      <c r="CO42" s="163" t="e">
        <f>VLOOKUP($B:$B,'HT DIC'!$A:$AE,24,FALSE)</f>
        <v>#N/A</v>
      </c>
      <c r="CP42" s="432">
        <f t="shared" si="44"/>
        <v>0</v>
      </c>
      <c r="CQ42" s="434">
        <v>1.804398148148148E-2</v>
      </c>
      <c r="CR42" s="432">
        <f t="shared" si="45"/>
        <v>1.804398148148148E-2</v>
      </c>
      <c r="CS42" s="163" t="e">
        <f>VLOOKUP($B:$B,'HT DIC'!$A:$AE,25,FALSE)</f>
        <v>#N/A</v>
      </c>
      <c r="CT42" s="432">
        <f t="shared" si="46"/>
        <v>0</v>
      </c>
      <c r="CU42" s="432">
        <v>1.8506944444444444E-2</v>
      </c>
      <c r="CV42" s="432">
        <f t="shared" si="47"/>
        <v>1.8506944444444444E-2</v>
      </c>
      <c r="CW42" s="163" t="e">
        <f>VLOOKUP($B:$B,'HT DIC'!$A:$AE,26,FALSE)</f>
        <v>#N/A</v>
      </c>
      <c r="CX42" s="432">
        <f t="shared" si="48"/>
        <v>0</v>
      </c>
      <c r="CY42" s="434">
        <v>1.5995370370370372E-2</v>
      </c>
      <c r="CZ42" s="432">
        <f t="shared" si="49"/>
        <v>1.5995370370370372E-2</v>
      </c>
      <c r="DA42" s="163" t="e">
        <f>VLOOKUP($B:$B,'HT DIC'!$A:$AE,27,FALSE)</f>
        <v>#N/A</v>
      </c>
      <c r="DB42" s="432">
        <f t="shared" si="66"/>
        <v>0</v>
      </c>
      <c r="DC42" s="434"/>
      <c r="DD42" s="432">
        <f t="shared" si="51"/>
        <v>0</v>
      </c>
      <c r="DE42" s="163" t="e">
        <f>VLOOKUP($B:$B,'HT DIC'!$A:$AE,28,FALSE)</f>
        <v>#N/A</v>
      </c>
      <c r="DF42" s="432">
        <f t="shared" si="52"/>
        <v>0</v>
      </c>
      <c r="DG42" s="434">
        <v>2.0104166666666666E-2</v>
      </c>
      <c r="DH42" s="432">
        <f t="shared" si="53"/>
        <v>2.0104166666666666E-2</v>
      </c>
      <c r="DI42" s="163" t="e">
        <f>VLOOKUP($B:$B,'HT DIC'!$A:$AE,29,FALSE)</f>
        <v>#N/A</v>
      </c>
      <c r="DJ42" s="432">
        <f t="shared" si="73"/>
        <v>0</v>
      </c>
      <c r="DK42" s="434"/>
      <c r="DL42" s="432">
        <f t="shared" si="55"/>
        <v>0</v>
      </c>
      <c r="DM42" s="163" t="e">
        <f>VLOOKUP($B:$B,'HT DIC'!$A:$AE,30,FALSE)</f>
        <v>#N/A</v>
      </c>
      <c r="DN42" s="432">
        <f t="shared" si="68"/>
        <v>0</v>
      </c>
      <c r="DO42" s="434">
        <v>5.9606481481481481E-3</v>
      </c>
      <c r="DP42" s="432">
        <f t="shared" si="57"/>
        <v>5.9606481481481481E-3</v>
      </c>
      <c r="DQ42" s="163" t="e">
        <f>VLOOKUP($B:$B,'HT DIC'!$A:$AE,31,FALSE)</f>
        <v>#N/A</v>
      </c>
      <c r="DR42" s="432">
        <f t="shared" si="58"/>
        <v>0</v>
      </c>
      <c r="DS42" s="434">
        <v>4.3518518518518515E-3</v>
      </c>
      <c r="DT42" s="432">
        <f t="shared" si="59"/>
        <v>4.3518518518518515E-3</v>
      </c>
      <c r="DU42" s="163" t="e">
        <f>VLOOKUP($B:$B,'HT DIC'!$A:$AE,32,FALSE)</f>
        <v>#N/A</v>
      </c>
      <c r="DV42" s="432">
        <f t="shared" si="60"/>
        <v>0</v>
      </c>
      <c r="DW42" s="434"/>
      <c r="DX42" s="432">
        <f t="shared" si="61"/>
        <v>0</v>
      </c>
      <c r="DY42" s="432">
        <f t="shared" si="69"/>
        <v>0.39355324074074066</v>
      </c>
    </row>
    <row r="43" spans="1:129">
      <c r="A43" s="166" t="s">
        <v>173</v>
      </c>
      <c r="B43" s="166" t="s">
        <v>463</v>
      </c>
      <c r="C43" s="166">
        <v>1753788270</v>
      </c>
      <c r="D43" s="431">
        <v>38079</v>
      </c>
      <c r="E43" s="163" t="e">
        <f>VLOOKUP($B:$B,#REF!,2,FALSE)</f>
        <v>#REF!</v>
      </c>
      <c r="F43" s="432">
        <f t="shared" si="74"/>
        <v>0</v>
      </c>
      <c r="G43" s="434">
        <v>2.431712962962963E-2</v>
      </c>
      <c r="H43" s="432">
        <f t="shared" si="75"/>
        <v>2.431712962962963E-2</v>
      </c>
      <c r="I43" s="163" t="e">
        <f>VLOOKUP($B:$B,'HT DIC'!$A:$AE,3,FALSE)</f>
        <v>#N/A</v>
      </c>
      <c r="J43" s="432">
        <f t="shared" si="76"/>
        <v>0</v>
      </c>
      <c r="K43" s="434">
        <v>2.3564814814814816E-2</v>
      </c>
      <c r="L43" s="432">
        <f t="shared" si="77"/>
        <v>2.3564814814814816E-2</v>
      </c>
      <c r="M43" s="163" t="e">
        <f>VLOOKUP($B:$B,'HT DIC'!$A:$AE,4,FALSE)</f>
        <v>#N/A</v>
      </c>
      <c r="N43" s="432">
        <f t="shared" si="78"/>
        <v>0</v>
      </c>
      <c r="O43" s="432">
        <v>8.0925925925925929E-2</v>
      </c>
      <c r="P43" s="432">
        <f t="shared" si="79"/>
        <v>8.0925925925925929E-2</v>
      </c>
      <c r="Q43" s="163" t="e">
        <f>VLOOKUP($B:$B,'HT DIC'!$A:$AE,5,FALSE)</f>
        <v>#N/A</v>
      </c>
      <c r="R43" s="432">
        <f t="shared" si="80"/>
        <v>0</v>
      </c>
      <c r="S43" s="432">
        <v>1.8958333333333334E-2</v>
      </c>
      <c r="T43" s="432">
        <f t="shared" si="81"/>
        <v>1.8958333333333334E-2</v>
      </c>
      <c r="U43" s="163" t="e">
        <f>VLOOKUP($B:$B,'HT DIC'!$A:$AE,6,FALSE)</f>
        <v>#N/A</v>
      </c>
      <c r="V43" s="432">
        <f t="shared" si="82"/>
        <v>0</v>
      </c>
      <c r="W43" s="434">
        <v>9.0277777777777774E-4</v>
      </c>
      <c r="X43" s="432">
        <f t="shared" si="83"/>
        <v>9.0277777777777774E-4</v>
      </c>
      <c r="Y43" s="163" t="e">
        <f>VLOOKUP($B:$B,'HT DIC'!$A:$AE,7,FALSE)</f>
        <v>#N/A</v>
      </c>
      <c r="Z43" s="432">
        <f t="shared" si="84"/>
        <v>0</v>
      </c>
      <c r="AA43" s="434">
        <v>1.7708333333333333E-2</v>
      </c>
      <c r="AB43" s="432">
        <f t="shared" si="85"/>
        <v>1.7708333333333333E-2</v>
      </c>
      <c r="AC43" s="163" t="e">
        <f>VLOOKUP($B:$B,'HT DIC'!$A:$AE,8,FALSE)</f>
        <v>#N/A</v>
      </c>
      <c r="AD43" s="432">
        <f t="shared" si="86"/>
        <v>0</v>
      </c>
      <c r="AE43" s="434"/>
      <c r="AF43" s="432">
        <f t="shared" si="87"/>
        <v>0</v>
      </c>
      <c r="AG43" s="163" t="e">
        <f>VLOOKUP($B:$B,'HT DIC'!$A:$AE,9,FALSE)</f>
        <v>#N/A</v>
      </c>
      <c r="AH43" s="432">
        <f t="shared" si="88"/>
        <v>0</v>
      </c>
      <c r="AI43" s="434">
        <v>3.4722222222222222E-5</v>
      </c>
      <c r="AJ43" s="432">
        <f t="shared" si="89"/>
        <v>3.4722222222222222E-5</v>
      </c>
      <c r="AK43" s="163" t="e">
        <f>VLOOKUP($B:$B,'HT DIC'!$A:$AE,10,FALSE)</f>
        <v>#N/A</v>
      </c>
      <c r="AL43" s="432">
        <f t="shared" si="90"/>
        <v>0</v>
      </c>
      <c r="AM43" s="434"/>
      <c r="AN43" s="432">
        <f t="shared" si="91"/>
        <v>0</v>
      </c>
      <c r="AO43" s="163" t="e">
        <f>VLOOKUP($B:$B,'HT DIC'!$A:$AE,11,FALSE)</f>
        <v>#N/A</v>
      </c>
      <c r="AP43" s="432">
        <f t="shared" si="92"/>
        <v>0</v>
      </c>
      <c r="AQ43" s="432"/>
      <c r="AR43" s="432">
        <f t="shared" si="93"/>
        <v>0</v>
      </c>
      <c r="AS43" s="163" t="e">
        <f>VLOOKUP($B:$B,'HT DIC'!$A:$AE,12,FALSE)</f>
        <v>#N/A</v>
      </c>
      <c r="AT43" s="432">
        <f t="shared" si="94"/>
        <v>0</v>
      </c>
      <c r="AU43" s="434">
        <v>6.7129629629629625E-4</v>
      </c>
      <c r="AV43" s="432">
        <f t="shared" si="95"/>
        <v>6.7129629629629625E-4</v>
      </c>
      <c r="AW43" s="163" t="e">
        <f>VLOOKUP($B:$B,'HT DIC'!$A:$AE,13,FALSE)</f>
        <v>#N/A</v>
      </c>
      <c r="AX43" s="432">
        <f t="shared" si="22"/>
        <v>0</v>
      </c>
      <c r="AY43" s="434"/>
      <c r="AZ43" s="432">
        <f t="shared" si="23"/>
        <v>0</v>
      </c>
      <c r="BA43" s="163" t="e">
        <f>VLOOKUP($B:$B,'HT DIC'!$A:$AE,14,FALSE)</f>
        <v>#N/A</v>
      </c>
      <c r="BB43" s="432">
        <f t="shared" si="24"/>
        <v>0</v>
      </c>
      <c r="BC43" s="434">
        <v>9.2592592592592588E-5</v>
      </c>
      <c r="BD43" s="432">
        <f t="shared" si="25"/>
        <v>9.2592592592592588E-5</v>
      </c>
      <c r="BE43" s="163" t="e">
        <f>VLOOKUP($B:$B,'HT DIC'!$A:$AE,15,FALSE)</f>
        <v>#N/A</v>
      </c>
      <c r="BF43" s="432">
        <f t="shared" si="26"/>
        <v>0</v>
      </c>
      <c r="BG43" s="434"/>
      <c r="BH43" s="432">
        <f t="shared" si="27"/>
        <v>0</v>
      </c>
      <c r="BI43" s="163" t="e">
        <f>VLOOKUP($B:$B,'HT DIC'!$A:$AE,16,FALSE)</f>
        <v>#N/A</v>
      </c>
      <c r="BJ43" s="432">
        <f t="shared" si="63"/>
        <v>0</v>
      </c>
      <c r="BK43" s="434">
        <v>3.4722222222222222E-5</v>
      </c>
      <c r="BL43" s="432">
        <f t="shared" si="29"/>
        <v>3.4722222222222222E-5</v>
      </c>
      <c r="BM43" s="163" t="e">
        <f>VLOOKUP($B:$B,'HT DIC'!$A:$AE,17,FALSE)</f>
        <v>#N/A</v>
      </c>
      <c r="BN43" s="432">
        <f t="shared" si="30"/>
        <v>0</v>
      </c>
      <c r="BO43" s="434">
        <v>1.1574074074074073E-5</v>
      </c>
      <c r="BP43" s="432">
        <f t="shared" si="31"/>
        <v>1.1574074074074073E-5</v>
      </c>
      <c r="BQ43" s="163" t="e">
        <f>VLOOKUP($B:$B,'HT DIC'!$A:$AE,18,FALSE)</f>
        <v>#N/A</v>
      </c>
      <c r="BR43" s="432">
        <f t="shared" si="64"/>
        <v>0</v>
      </c>
      <c r="BS43" s="434">
        <v>3.4722222222222222E-5</v>
      </c>
      <c r="BT43" s="432">
        <f t="shared" si="33"/>
        <v>3.4722222222222222E-5</v>
      </c>
      <c r="BU43" s="163" t="e">
        <f>VLOOKUP($B:$B,'HT DIC'!$A:$AE,19,FALSE)</f>
        <v>#N/A</v>
      </c>
      <c r="BV43" s="432">
        <f t="shared" si="34"/>
        <v>0</v>
      </c>
      <c r="BW43" s="434">
        <v>3.4722222222222222E-5</v>
      </c>
      <c r="BX43" s="432">
        <f t="shared" si="35"/>
        <v>3.4722222222222222E-5</v>
      </c>
      <c r="BY43" s="163" t="e">
        <f>VLOOKUP($B:$B,'HT DIC'!$A:$AE,20,FALSE)</f>
        <v>#N/A</v>
      </c>
      <c r="BZ43" s="432">
        <f t="shared" si="65"/>
        <v>0</v>
      </c>
      <c r="CA43" s="434">
        <v>3.4722222222222222E-5</v>
      </c>
      <c r="CB43" s="432">
        <f t="shared" si="37"/>
        <v>3.4722222222222222E-5</v>
      </c>
      <c r="CC43" s="163" t="e">
        <f>VLOOKUP($B:$B,'HT DIC'!$A:$AE,21,FALSE)</f>
        <v>#N/A</v>
      </c>
      <c r="CD43" s="432">
        <f t="shared" si="38"/>
        <v>0</v>
      </c>
      <c r="CE43" s="432">
        <v>1.3888888888888889E-4</v>
      </c>
      <c r="CF43" s="432">
        <f t="shared" si="39"/>
        <v>1.3888888888888889E-4</v>
      </c>
      <c r="CG43" s="163" t="e">
        <f>VLOOKUP($B:$B,'HT DIC'!$A:$AE,22,FALSE)</f>
        <v>#N/A</v>
      </c>
      <c r="CH43" s="432">
        <f t="shared" si="40"/>
        <v>0</v>
      </c>
      <c r="CI43" s="434">
        <v>5.7870370370370373E-5</v>
      </c>
      <c r="CJ43" s="432">
        <f t="shared" si="72"/>
        <v>5.7870370370370373E-5</v>
      </c>
      <c r="CK43" s="163" t="e">
        <f>VLOOKUP($B:$B,'HT DIC'!$A:$AE,23,FALSE)</f>
        <v>#N/A</v>
      </c>
      <c r="CL43" s="432">
        <f t="shared" si="42"/>
        <v>0</v>
      </c>
      <c r="CM43" s="432">
        <v>3.4722222222222222E-5</v>
      </c>
      <c r="CN43" s="432">
        <f t="shared" si="43"/>
        <v>3.4722222222222222E-5</v>
      </c>
      <c r="CO43" s="163" t="e">
        <f>VLOOKUP($B:$B,'HT DIC'!$A:$AE,24,FALSE)</f>
        <v>#N/A</v>
      </c>
      <c r="CP43" s="432">
        <f t="shared" si="44"/>
        <v>0</v>
      </c>
      <c r="CQ43" s="434">
        <v>3.4722222222222222E-5</v>
      </c>
      <c r="CR43" s="432">
        <f t="shared" si="45"/>
        <v>3.4722222222222222E-5</v>
      </c>
      <c r="CS43" s="163" t="e">
        <f>VLOOKUP($B:$B,'HT DIC'!$A:$AE,25,FALSE)</f>
        <v>#N/A</v>
      </c>
      <c r="CT43" s="432">
        <f t="shared" si="46"/>
        <v>0</v>
      </c>
      <c r="CU43" s="432">
        <v>3.4722222222222222E-5</v>
      </c>
      <c r="CV43" s="432">
        <f t="shared" si="47"/>
        <v>3.4722222222222222E-5</v>
      </c>
      <c r="CW43" s="163" t="e">
        <f>VLOOKUP($B:$B,'HT DIC'!$A:$AE,26,FALSE)</f>
        <v>#N/A</v>
      </c>
      <c r="CX43" s="432">
        <f t="shared" si="48"/>
        <v>0</v>
      </c>
      <c r="CY43" s="434">
        <v>1.1574074074074073E-5</v>
      </c>
      <c r="CZ43" s="432">
        <f t="shared" si="49"/>
        <v>1.1574074074074073E-5</v>
      </c>
      <c r="DA43" s="163" t="e">
        <f>VLOOKUP($B:$B,'HT DIC'!$A:$AE,27,FALSE)</f>
        <v>#N/A</v>
      </c>
      <c r="DB43" s="432">
        <f t="shared" si="66"/>
        <v>0</v>
      </c>
      <c r="DC43" s="434">
        <v>1.1574074074074073E-5</v>
      </c>
      <c r="DD43" s="432">
        <f t="shared" si="51"/>
        <v>1.1574074074074073E-5</v>
      </c>
      <c r="DE43" s="163" t="e">
        <f>VLOOKUP($B:$B,'HT DIC'!$A:$AE,28,FALSE)</f>
        <v>#N/A</v>
      </c>
      <c r="DF43" s="432">
        <f t="shared" si="52"/>
        <v>0</v>
      </c>
      <c r="DG43" s="434">
        <v>1.1574074074074073E-5</v>
      </c>
      <c r="DH43" s="432">
        <f t="shared" si="53"/>
        <v>1.1574074074074073E-5</v>
      </c>
      <c r="DI43" s="163" t="e">
        <f>VLOOKUP($B:$B,'HT DIC'!$A:$AE,29,FALSE)</f>
        <v>#N/A</v>
      </c>
      <c r="DJ43" s="432">
        <f t="shared" si="73"/>
        <v>0</v>
      </c>
      <c r="DK43" s="434"/>
      <c r="DL43" s="432">
        <f t="shared" si="55"/>
        <v>0</v>
      </c>
      <c r="DM43" s="163" t="e">
        <f>VLOOKUP($B:$B,'HT DIC'!$A:$AE,30,FALSE)</f>
        <v>#N/A</v>
      </c>
      <c r="DN43" s="432">
        <f t="shared" si="68"/>
        <v>0</v>
      </c>
      <c r="DO43" s="434">
        <v>3.4722222222222222E-5</v>
      </c>
      <c r="DP43" s="432">
        <f t="shared" si="57"/>
        <v>3.4722222222222222E-5</v>
      </c>
      <c r="DQ43" s="163" t="e">
        <f>VLOOKUP($B:$B,'HT DIC'!$A:$AE,31,FALSE)</f>
        <v>#N/A</v>
      </c>
      <c r="DR43" s="432">
        <f t="shared" si="58"/>
        <v>0</v>
      </c>
      <c r="DS43" s="434">
        <v>3.4722222222222222E-5</v>
      </c>
      <c r="DT43" s="432">
        <f t="shared" si="59"/>
        <v>3.4722222222222222E-5</v>
      </c>
      <c r="DU43" s="163" t="e">
        <f>VLOOKUP($B:$B,'HT DIC'!$A:$AE,32,FALSE)</f>
        <v>#N/A</v>
      </c>
      <c r="DV43" s="432">
        <f t="shared" si="60"/>
        <v>0</v>
      </c>
      <c r="DW43" s="434"/>
      <c r="DX43" s="432">
        <f t="shared" si="61"/>
        <v>0</v>
      </c>
      <c r="DY43" s="432">
        <f t="shared" si="69"/>
        <v>0.16773148148148148</v>
      </c>
    </row>
    <row r="44" spans="1:129">
      <c r="A44" s="166" t="s">
        <v>117</v>
      </c>
      <c r="B44" s="166" t="s">
        <v>465</v>
      </c>
      <c r="C44" s="166">
        <v>1751712363</v>
      </c>
      <c r="D44" s="431">
        <v>35649</v>
      </c>
      <c r="E44" s="163" t="e">
        <f>VLOOKUP($B:$B,#REF!,2,FALSE)</f>
        <v>#REF!</v>
      </c>
      <c r="F44" s="432">
        <f t="shared" si="74"/>
        <v>0</v>
      </c>
      <c r="G44" s="434">
        <v>3.2476851851851854E-2</v>
      </c>
      <c r="H44" s="432">
        <f t="shared" si="75"/>
        <v>3.2476851851851854E-2</v>
      </c>
      <c r="I44" s="163" t="e">
        <f>VLOOKUP($B:$B,'HT DIC'!$A:$AE,3,FALSE)</f>
        <v>#N/A</v>
      </c>
      <c r="J44" s="432">
        <f t="shared" si="76"/>
        <v>0</v>
      </c>
      <c r="K44" s="434">
        <v>5.679398148148148E-2</v>
      </c>
      <c r="L44" s="432">
        <f t="shared" si="77"/>
        <v>5.679398148148148E-2</v>
      </c>
      <c r="M44" s="163" t="e">
        <f>VLOOKUP($B:$B,'HT DIC'!$A:$AE,4,FALSE)</f>
        <v>#N/A</v>
      </c>
      <c r="N44" s="432">
        <f t="shared" si="78"/>
        <v>0</v>
      </c>
      <c r="O44" s="432">
        <v>3.4421296296296297E-2</v>
      </c>
      <c r="P44" s="432">
        <f t="shared" si="79"/>
        <v>3.4421296296296297E-2</v>
      </c>
      <c r="Q44" s="163" t="e">
        <f>VLOOKUP($B:$B,'HT DIC'!$A:$AE,5,FALSE)</f>
        <v>#N/A</v>
      </c>
      <c r="R44" s="432">
        <f t="shared" si="80"/>
        <v>0</v>
      </c>
      <c r="S44" s="432">
        <v>0.10461805555555556</v>
      </c>
      <c r="T44" s="432">
        <f t="shared" si="81"/>
        <v>0.10461805555555556</v>
      </c>
      <c r="U44" s="163" t="e">
        <f>VLOOKUP($B:$B,'HT DIC'!$A:$AE,6,FALSE)</f>
        <v>#N/A</v>
      </c>
      <c r="V44" s="432">
        <f t="shared" si="82"/>
        <v>0</v>
      </c>
      <c r="W44" s="434">
        <v>3.6030092592592593E-2</v>
      </c>
      <c r="X44" s="432">
        <f t="shared" si="83"/>
        <v>3.6030092592592593E-2</v>
      </c>
      <c r="Y44" s="163" t="e">
        <f>VLOOKUP($B:$B,'HT DIC'!$A:$AE,7,FALSE)</f>
        <v>#N/A</v>
      </c>
      <c r="Z44" s="432">
        <f t="shared" si="84"/>
        <v>0</v>
      </c>
      <c r="AA44" s="434">
        <v>3.1226851851851853E-2</v>
      </c>
      <c r="AB44" s="432">
        <f t="shared" si="85"/>
        <v>3.1226851851851853E-2</v>
      </c>
      <c r="AC44" s="163" t="e">
        <f>VLOOKUP($B:$B,'HT DIC'!$A:$AE,8,FALSE)</f>
        <v>#N/A</v>
      </c>
      <c r="AD44" s="432">
        <f t="shared" si="86"/>
        <v>0</v>
      </c>
      <c r="AE44" s="434"/>
      <c r="AF44" s="432">
        <f t="shared" si="87"/>
        <v>0</v>
      </c>
      <c r="AG44" s="163" t="e">
        <f>VLOOKUP($B:$B,'HT DIC'!$A:$AE,9,FALSE)</f>
        <v>#N/A</v>
      </c>
      <c r="AH44" s="432">
        <f t="shared" si="88"/>
        <v>0</v>
      </c>
      <c r="AI44" s="434">
        <v>3.9699074074074074E-2</v>
      </c>
      <c r="AJ44" s="432">
        <f t="shared" si="89"/>
        <v>3.9699074074074074E-2</v>
      </c>
      <c r="AK44" s="163" t="e">
        <f>VLOOKUP($B:$B,'HT DIC'!$A:$AE,10,FALSE)</f>
        <v>#N/A</v>
      </c>
      <c r="AL44" s="432">
        <f t="shared" si="90"/>
        <v>0</v>
      </c>
      <c r="AM44" s="434">
        <v>3.7824074074074072E-2</v>
      </c>
      <c r="AN44" s="432">
        <f t="shared" si="91"/>
        <v>3.7824074074074072E-2</v>
      </c>
      <c r="AO44" s="163" t="e">
        <f>VLOOKUP($B:$B,'HT DIC'!$A:$AE,11,FALSE)</f>
        <v>#N/A</v>
      </c>
      <c r="AP44" s="432">
        <f t="shared" si="92"/>
        <v>0</v>
      </c>
      <c r="AQ44" s="432">
        <v>4.6087962962962963E-2</v>
      </c>
      <c r="AR44" s="432">
        <f t="shared" si="93"/>
        <v>4.6087962962962963E-2</v>
      </c>
      <c r="AS44" s="163" t="e">
        <f>VLOOKUP($B:$B,'HT DIC'!$A:$AE,12,FALSE)</f>
        <v>#N/A</v>
      </c>
      <c r="AT44" s="432">
        <f t="shared" si="94"/>
        <v>0</v>
      </c>
      <c r="AU44" s="434">
        <v>1.1574074074074073E-2</v>
      </c>
      <c r="AV44" s="432">
        <f t="shared" si="95"/>
        <v>1.1574074074074073E-2</v>
      </c>
      <c r="AW44" s="163" t="e">
        <f>VLOOKUP($B:$B,'HT DIC'!$A:$AE,13,FALSE)</f>
        <v>#N/A</v>
      </c>
      <c r="AX44" s="432">
        <f t="shared" si="22"/>
        <v>0</v>
      </c>
      <c r="AY44" s="434">
        <v>7.7083333333333335E-3</v>
      </c>
      <c r="AZ44" s="432">
        <f t="shared" si="23"/>
        <v>7.7083333333333335E-3</v>
      </c>
      <c r="BA44" s="163" t="e">
        <f>VLOOKUP($B:$B,'HT DIC'!$A:$AE,14,FALSE)</f>
        <v>#N/A</v>
      </c>
      <c r="BB44" s="432">
        <f t="shared" si="24"/>
        <v>0</v>
      </c>
      <c r="BC44" s="434">
        <v>6.5972222222222222E-3</v>
      </c>
      <c r="BD44" s="432">
        <f t="shared" si="25"/>
        <v>6.5972222222222222E-3</v>
      </c>
      <c r="BE44" s="163" t="e">
        <f>VLOOKUP($B:$B,'HT DIC'!$A:$AE,15,FALSE)</f>
        <v>#N/A</v>
      </c>
      <c r="BF44" s="432">
        <f t="shared" si="26"/>
        <v>0</v>
      </c>
      <c r="BG44" s="434"/>
      <c r="BH44" s="432">
        <f t="shared" si="27"/>
        <v>0</v>
      </c>
      <c r="BI44" s="163" t="e">
        <f>VLOOKUP($B:$B,'HT DIC'!$A:$AE,16,FALSE)</f>
        <v>#N/A</v>
      </c>
      <c r="BJ44" s="432">
        <f t="shared" si="63"/>
        <v>0</v>
      </c>
      <c r="BK44" s="434">
        <v>1.0555555555555556E-2</v>
      </c>
      <c r="BL44" s="432">
        <f t="shared" si="29"/>
        <v>1.0555555555555556E-2</v>
      </c>
      <c r="BM44" s="163" t="e">
        <f>VLOOKUP($B:$B,'HT DIC'!$A:$AE,17,FALSE)</f>
        <v>#N/A</v>
      </c>
      <c r="BN44" s="432">
        <f t="shared" si="30"/>
        <v>0</v>
      </c>
      <c r="BO44" s="434">
        <v>8.7500000000000008E-3</v>
      </c>
      <c r="BP44" s="432">
        <f t="shared" si="31"/>
        <v>8.7500000000000008E-3</v>
      </c>
      <c r="BQ44" s="163" t="e">
        <f>VLOOKUP($B:$B,'HT DIC'!$A:$AE,18,FALSE)</f>
        <v>#N/A</v>
      </c>
      <c r="BR44" s="432">
        <f t="shared" si="64"/>
        <v>0</v>
      </c>
      <c r="BS44" s="434">
        <v>3.7152777777777778E-3</v>
      </c>
      <c r="BT44" s="432">
        <f t="shared" si="33"/>
        <v>3.7152777777777778E-3</v>
      </c>
      <c r="BU44" s="163" t="e">
        <f>VLOOKUP($B:$B,'HT DIC'!$A:$AE,19,FALSE)</f>
        <v>#N/A</v>
      </c>
      <c r="BV44" s="432">
        <f t="shared" si="34"/>
        <v>0</v>
      </c>
      <c r="BW44" s="434">
        <v>2.8993055555555557E-2</v>
      </c>
      <c r="BX44" s="432">
        <f t="shared" si="35"/>
        <v>2.8993055555555557E-2</v>
      </c>
      <c r="BY44" s="163" t="e">
        <f>VLOOKUP($B:$B,'HT DIC'!$A:$AE,20,FALSE)</f>
        <v>#N/A</v>
      </c>
      <c r="BZ44" s="432">
        <f t="shared" si="65"/>
        <v>0</v>
      </c>
      <c r="CA44" s="434">
        <v>4.7766203703703707E-2</v>
      </c>
      <c r="CB44" s="432">
        <f t="shared" si="37"/>
        <v>4.7766203703703707E-2</v>
      </c>
      <c r="CC44" s="163" t="e">
        <f>VLOOKUP($B:$B,'HT DIC'!$A:$AE,21,FALSE)</f>
        <v>#N/A</v>
      </c>
      <c r="CD44" s="432">
        <f t="shared" si="38"/>
        <v>0</v>
      </c>
      <c r="CE44" s="432">
        <v>1.5219907407407408E-2</v>
      </c>
      <c r="CF44" s="432">
        <f t="shared" si="39"/>
        <v>1.5219907407407408E-2</v>
      </c>
      <c r="CG44" s="163" t="e">
        <f>VLOOKUP($B:$B,'HT DIC'!$A:$AE,22,FALSE)</f>
        <v>#N/A</v>
      </c>
      <c r="CH44" s="432">
        <f t="shared" si="40"/>
        <v>0</v>
      </c>
      <c r="CI44" s="434"/>
      <c r="CJ44" s="432">
        <f t="shared" si="72"/>
        <v>0</v>
      </c>
      <c r="CK44" s="163" t="e">
        <f>VLOOKUP($B:$B,'HT DIC'!$A:$AE,23,FALSE)</f>
        <v>#N/A</v>
      </c>
      <c r="CL44" s="432">
        <f t="shared" si="42"/>
        <v>0</v>
      </c>
      <c r="CM44" s="432">
        <v>2.4166666666666666E-2</v>
      </c>
      <c r="CN44" s="432">
        <f t="shared" si="43"/>
        <v>2.4166666666666666E-2</v>
      </c>
      <c r="CO44" s="163" t="e">
        <f>VLOOKUP($B:$B,'HT DIC'!$A:$AE,24,FALSE)</f>
        <v>#N/A</v>
      </c>
      <c r="CP44" s="432">
        <f t="shared" si="44"/>
        <v>0</v>
      </c>
      <c r="CQ44" s="434">
        <v>2.4189814814814813E-2</v>
      </c>
      <c r="CR44" s="432">
        <f t="shared" si="45"/>
        <v>2.4189814814814813E-2</v>
      </c>
      <c r="CS44" s="163" t="e">
        <f>VLOOKUP($B:$B,'HT DIC'!$A:$AE,25,FALSE)</f>
        <v>#N/A</v>
      </c>
      <c r="CT44" s="432">
        <f t="shared" si="46"/>
        <v>0</v>
      </c>
      <c r="CU44" s="432">
        <v>5.4050925925925924E-3</v>
      </c>
      <c r="CV44" s="432">
        <f t="shared" si="47"/>
        <v>5.4050925925925924E-3</v>
      </c>
      <c r="CW44" s="163" t="e">
        <f>VLOOKUP($B:$B,'HT DIC'!$A:$AE,26,FALSE)</f>
        <v>#N/A</v>
      </c>
      <c r="CX44" s="432">
        <f t="shared" si="48"/>
        <v>0</v>
      </c>
      <c r="CY44" s="434"/>
      <c r="CZ44" s="432">
        <f t="shared" si="49"/>
        <v>0</v>
      </c>
      <c r="DA44" s="163" t="e">
        <f>VLOOKUP($B:$B,'HT DIC'!$A:$AE,27,FALSE)</f>
        <v>#N/A</v>
      </c>
      <c r="DB44" s="432">
        <f t="shared" si="66"/>
        <v>0</v>
      </c>
      <c r="DC44" s="434"/>
      <c r="DD44" s="432">
        <f t="shared" si="51"/>
        <v>0</v>
      </c>
      <c r="DE44" s="163" t="e">
        <f>VLOOKUP($B:$B,'HT DIC'!$A:$AE,28,FALSE)</f>
        <v>#N/A</v>
      </c>
      <c r="DF44" s="432">
        <f t="shared" si="52"/>
        <v>0</v>
      </c>
      <c r="DG44" s="434"/>
      <c r="DH44" s="432">
        <f t="shared" si="53"/>
        <v>0</v>
      </c>
      <c r="DI44" s="163" t="e">
        <f>VLOOKUP($B:$B,'HT DIC'!$A:$AE,29,FALSE)</f>
        <v>#N/A</v>
      </c>
      <c r="DJ44" s="432">
        <f t="shared" si="73"/>
        <v>0</v>
      </c>
      <c r="DK44" s="434"/>
      <c r="DL44" s="432">
        <f t="shared" si="55"/>
        <v>0</v>
      </c>
      <c r="DM44" s="163" t="e">
        <f>VLOOKUP($B:$B,'HT DIC'!$A:$AE,30,FALSE)</f>
        <v>#N/A</v>
      </c>
      <c r="DN44" s="432">
        <f t="shared" si="68"/>
        <v>0</v>
      </c>
      <c r="DO44" s="434">
        <v>1.0625000000000001E-2</v>
      </c>
      <c r="DP44" s="432">
        <f t="shared" si="57"/>
        <v>1.0625000000000001E-2</v>
      </c>
      <c r="DQ44" s="163" t="e">
        <f>VLOOKUP($B:$B,'HT DIC'!$A:$AE,31,FALSE)</f>
        <v>#N/A</v>
      </c>
      <c r="DR44" s="432">
        <f t="shared" si="58"/>
        <v>0</v>
      </c>
      <c r="DS44" s="434">
        <v>2.8009259259259259E-3</v>
      </c>
      <c r="DT44" s="432">
        <f t="shared" si="59"/>
        <v>2.8009259259259259E-3</v>
      </c>
      <c r="DU44" s="163" t="e">
        <f>VLOOKUP($B:$B,'HT DIC'!$A:$AE,32,FALSE)</f>
        <v>#N/A</v>
      </c>
      <c r="DV44" s="432">
        <f t="shared" si="60"/>
        <v>0</v>
      </c>
      <c r="DW44" s="434"/>
      <c r="DX44" s="432">
        <f t="shared" si="61"/>
        <v>0</v>
      </c>
      <c r="DY44" s="432">
        <f t="shared" si="69"/>
        <v>0.62724537037037054</v>
      </c>
    </row>
    <row r="45" spans="1:129">
      <c r="A45" s="166" t="s">
        <v>142</v>
      </c>
      <c r="B45" s="166" t="s">
        <v>466</v>
      </c>
      <c r="C45" s="166">
        <v>1718483959</v>
      </c>
      <c r="D45" s="431">
        <v>35686</v>
      </c>
      <c r="E45" s="163" t="e">
        <f>VLOOKUP($B:$B,#REF!,2,FALSE)</f>
        <v>#REF!</v>
      </c>
      <c r="F45" s="432">
        <f t="shared" si="74"/>
        <v>0</v>
      </c>
      <c r="G45" s="434"/>
      <c r="H45" s="432">
        <f t="shared" si="75"/>
        <v>0</v>
      </c>
      <c r="I45" s="163" t="e">
        <f>VLOOKUP($B:$B,'HT DIC'!$A:$AE,3,FALSE)</f>
        <v>#N/A</v>
      </c>
      <c r="J45" s="432">
        <f t="shared" si="76"/>
        <v>0</v>
      </c>
      <c r="K45" s="434"/>
      <c r="L45" s="432">
        <f t="shared" si="77"/>
        <v>0</v>
      </c>
      <c r="M45" s="163" t="e">
        <f>VLOOKUP($B:$B,'HT DIC'!$A:$AE,4,FALSE)</f>
        <v>#N/A</v>
      </c>
      <c r="N45" s="432">
        <f t="shared" si="78"/>
        <v>0</v>
      </c>
      <c r="O45" s="432"/>
      <c r="P45" s="432">
        <f t="shared" si="79"/>
        <v>0</v>
      </c>
      <c r="Q45" s="163" t="e">
        <f>VLOOKUP($B:$B,'HT DIC'!$A:$AE,5,FALSE)</f>
        <v>#N/A</v>
      </c>
      <c r="R45" s="432">
        <f t="shared" si="80"/>
        <v>0</v>
      </c>
      <c r="S45" s="432">
        <v>2.1446759259259259E-2</v>
      </c>
      <c r="T45" s="432">
        <f t="shared" si="81"/>
        <v>2.1446759259259259E-2</v>
      </c>
      <c r="U45" s="163" t="e">
        <f>VLOOKUP($B:$B,'HT DIC'!$A:$AE,6,FALSE)</f>
        <v>#N/A</v>
      </c>
      <c r="V45" s="432">
        <f t="shared" si="82"/>
        <v>0</v>
      </c>
      <c r="W45" s="434">
        <v>3.6458333333333334E-3</v>
      </c>
      <c r="X45" s="432">
        <f t="shared" si="83"/>
        <v>3.6458333333333334E-3</v>
      </c>
      <c r="Y45" s="163" t="e">
        <f>VLOOKUP($B:$B,'HT DIC'!$A:$AE,7,FALSE)</f>
        <v>#N/A</v>
      </c>
      <c r="Z45" s="432">
        <f t="shared" si="84"/>
        <v>0</v>
      </c>
      <c r="AA45" s="434"/>
      <c r="AB45" s="432">
        <f t="shared" si="85"/>
        <v>0</v>
      </c>
      <c r="AC45" s="163" t="e">
        <f>VLOOKUP($B:$B,'HT DIC'!$A:$AE,8,FALSE)</f>
        <v>#N/A</v>
      </c>
      <c r="AD45" s="432">
        <f t="shared" si="86"/>
        <v>0</v>
      </c>
      <c r="AE45" s="434"/>
      <c r="AF45" s="432">
        <f t="shared" si="87"/>
        <v>0</v>
      </c>
      <c r="AG45" s="163" t="e">
        <f>VLOOKUP($B:$B,'HT DIC'!$A:$AE,9,FALSE)</f>
        <v>#N/A</v>
      </c>
      <c r="AH45" s="432">
        <f t="shared" si="88"/>
        <v>0</v>
      </c>
      <c r="AI45" s="434">
        <v>3.1712962962962962E-3</v>
      </c>
      <c r="AJ45" s="432">
        <f t="shared" si="89"/>
        <v>3.1712962962962962E-3</v>
      </c>
      <c r="AK45" s="163" t="e">
        <f>VLOOKUP($B:$B,'HT DIC'!$A:$AE,10,FALSE)</f>
        <v>#N/A</v>
      </c>
      <c r="AL45" s="432">
        <f t="shared" si="90"/>
        <v>0</v>
      </c>
      <c r="AM45" s="434"/>
      <c r="AN45" s="432">
        <f t="shared" si="91"/>
        <v>0</v>
      </c>
      <c r="AO45" s="163" t="e">
        <f>VLOOKUP($B:$B,'HT DIC'!$A:$AE,11,FALSE)</f>
        <v>#N/A</v>
      </c>
      <c r="AP45" s="432">
        <f t="shared" si="92"/>
        <v>0</v>
      </c>
      <c r="AQ45" s="432">
        <v>1.173611111111111E-2</v>
      </c>
      <c r="AR45" s="432">
        <f t="shared" si="93"/>
        <v>1.173611111111111E-2</v>
      </c>
      <c r="AS45" s="163" t="e">
        <f>VLOOKUP($B:$B,'HT DIC'!$A:$AE,12,FALSE)</f>
        <v>#N/A</v>
      </c>
      <c r="AT45" s="432">
        <f t="shared" si="94"/>
        <v>0</v>
      </c>
      <c r="AU45" s="434">
        <v>4.1898148148148146E-3</v>
      </c>
      <c r="AV45" s="432">
        <f t="shared" si="95"/>
        <v>4.1898148148148146E-3</v>
      </c>
      <c r="AW45" s="163" t="e">
        <f>VLOOKUP($B:$B,'HT DIC'!$A:$AE,13,FALSE)</f>
        <v>#N/A</v>
      </c>
      <c r="AX45" s="432">
        <f t="shared" si="22"/>
        <v>0</v>
      </c>
      <c r="AY45" s="434">
        <v>1.7592592592592592E-3</v>
      </c>
      <c r="AZ45" s="432">
        <f t="shared" si="23"/>
        <v>1.7592592592592592E-3</v>
      </c>
      <c r="BA45" s="163" t="e">
        <f>VLOOKUP($B:$B,'HT DIC'!$A:$AE,14,FALSE)</f>
        <v>#N/A</v>
      </c>
      <c r="BB45" s="432">
        <f t="shared" si="24"/>
        <v>0</v>
      </c>
      <c r="BC45" s="434">
        <v>1.1689814814814814E-2</v>
      </c>
      <c r="BD45" s="432">
        <f t="shared" si="25"/>
        <v>1.1689814814814814E-2</v>
      </c>
      <c r="BE45" s="163" t="e">
        <f>VLOOKUP($B:$B,'HT DIC'!$A:$AE,15,FALSE)</f>
        <v>#N/A</v>
      </c>
      <c r="BF45" s="432">
        <f t="shared" si="26"/>
        <v>0</v>
      </c>
      <c r="BG45" s="434"/>
      <c r="BH45" s="432">
        <f t="shared" si="27"/>
        <v>0</v>
      </c>
      <c r="BI45" s="163" t="e">
        <f>VLOOKUP($B:$B,'HT DIC'!$A:$AE,16,FALSE)</f>
        <v>#N/A</v>
      </c>
      <c r="BJ45" s="432">
        <f t="shared" si="63"/>
        <v>0</v>
      </c>
      <c r="BK45" s="434">
        <v>6.3194444444444444E-3</v>
      </c>
      <c r="BL45" s="432">
        <f t="shared" si="29"/>
        <v>6.3194444444444444E-3</v>
      </c>
      <c r="BM45" s="163" t="e">
        <f>VLOOKUP($B:$B,'HT DIC'!$A:$AE,17,FALSE)</f>
        <v>#N/A</v>
      </c>
      <c r="BN45" s="432">
        <f t="shared" si="30"/>
        <v>0</v>
      </c>
      <c r="BO45" s="434">
        <v>4.5138888888888885E-3</v>
      </c>
      <c r="BP45" s="432">
        <f t="shared" si="31"/>
        <v>4.5138888888888885E-3</v>
      </c>
      <c r="BQ45" s="163" t="e">
        <f>VLOOKUP($B:$B,'HT DIC'!$A:$AE,18,FALSE)</f>
        <v>#N/A</v>
      </c>
      <c r="BR45" s="432">
        <f t="shared" si="64"/>
        <v>0</v>
      </c>
      <c r="BS45" s="434">
        <v>1.6203703703703703E-4</v>
      </c>
      <c r="BT45" s="432">
        <f t="shared" si="33"/>
        <v>1.6203703703703703E-4</v>
      </c>
      <c r="BU45" s="163" t="e">
        <f>VLOOKUP($B:$B,'HT DIC'!$A:$AE,19,FALSE)</f>
        <v>#N/A</v>
      </c>
      <c r="BV45" s="432">
        <f t="shared" si="34"/>
        <v>0</v>
      </c>
      <c r="BW45" s="434">
        <v>1.3194444444444444E-2</v>
      </c>
      <c r="BX45" s="432">
        <f t="shared" si="35"/>
        <v>1.3194444444444444E-2</v>
      </c>
      <c r="BY45" s="163" t="e">
        <f>VLOOKUP($B:$B,'HT DIC'!$A:$AE,20,FALSE)</f>
        <v>#N/A</v>
      </c>
      <c r="BZ45" s="432">
        <f t="shared" si="65"/>
        <v>0</v>
      </c>
      <c r="CA45" s="434">
        <v>3.1863425925925927E-2</v>
      </c>
      <c r="CB45" s="432">
        <f t="shared" si="37"/>
        <v>3.1863425925925927E-2</v>
      </c>
      <c r="CC45" s="163" t="e">
        <f>VLOOKUP($B:$B,'HT DIC'!$A:$AE,21,FALSE)</f>
        <v>#N/A</v>
      </c>
      <c r="CD45" s="432">
        <f t="shared" si="38"/>
        <v>0</v>
      </c>
      <c r="CE45" s="432">
        <v>1.2129629629629629E-2</v>
      </c>
      <c r="CF45" s="432">
        <f t="shared" si="39"/>
        <v>1.2129629629629629E-2</v>
      </c>
      <c r="CG45" s="163" t="e">
        <f>VLOOKUP($B:$B,'HT DIC'!$A:$AE,22,FALSE)</f>
        <v>#N/A</v>
      </c>
      <c r="CH45" s="432">
        <f t="shared" si="40"/>
        <v>0</v>
      </c>
      <c r="CI45" s="434"/>
      <c r="CJ45" s="432">
        <f t="shared" si="72"/>
        <v>0</v>
      </c>
      <c r="CK45" s="163" t="e">
        <f>VLOOKUP($B:$B,'HT DIC'!$A:$AE,23,FALSE)</f>
        <v>#N/A</v>
      </c>
      <c r="CL45" s="432">
        <f t="shared" si="42"/>
        <v>0</v>
      </c>
      <c r="CM45" s="432">
        <v>5.6249999999999998E-3</v>
      </c>
      <c r="CN45" s="432">
        <f t="shared" si="43"/>
        <v>5.6249999999999998E-3</v>
      </c>
      <c r="CO45" s="163" t="e">
        <f>VLOOKUP($B:$B,'HT DIC'!$A:$AE,24,FALSE)</f>
        <v>#N/A</v>
      </c>
      <c r="CP45" s="432">
        <f t="shared" si="44"/>
        <v>0</v>
      </c>
      <c r="CQ45" s="434">
        <v>2.0254629629629629E-3</v>
      </c>
      <c r="CR45" s="432">
        <f t="shared" si="45"/>
        <v>2.0254629629629629E-3</v>
      </c>
      <c r="CS45" s="163" t="e">
        <f>VLOOKUP($B:$B,'HT DIC'!$A:$AE,25,FALSE)</f>
        <v>#N/A</v>
      </c>
      <c r="CT45" s="432">
        <f t="shared" si="46"/>
        <v>0</v>
      </c>
      <c r="CU45" s="432"/>
      <c r="CV45" s="432">
        <f t="shared" si="47"/>
        <v>0</v>
      </c>
      <c r="CW45" s="163" t="e">
        <f>VLOOKUP($B:$B,'HT DIC'!$A:$AE,26,FALSE)</f>
        <v>#N/A</v>
      </c>
      <c r="CX45" s="432">
        <f t="shared" si="48"/>
        <v>0</v>
      </c>
      <c r="CY45" s="434">
        <v>3.3680555555555556E-3</v>
      </c>
      <c r="CZ45" s="432">
        <f t="shared" si="49"/>
        <v>3.3680555555555556E-3</v>
      </c>
      <c r="DA45" s="163" t="e">
        <f>VLOOKUP($B:$B,'HT DIC'!$A:$AE,27,FALSE)</f>
        <v>#N/A</v>
      </c>
      <c r="DB45" s="432">
        <f t="shared" si="66"/>
        <v>0</v>
      </c>
      <c r="DC45" s="434">
        <v>4.6296296296296294E-5</v>
      </c>
      <c r="DD45" s="432">
        <f t="shared" si="51"/>
        <v>4.6296296296296294E-5</v>
      </c>
      <c r="DE45" s="163" t="e">
        <f>VLOOKUP($B:$B,'HT DIC'!$A:$AE,28,FALSE)</f>
        <v>#N/A</v>
      </c>
      <c r="DF45" s="432">
        <f t="shared" si="52"/>
        <v>0</v>
      </c>
      <c r="DG45" s="434">
        <v>2.224537037037037E-2</v>
      </c>
      <c r="DH45" s="432">
        <f t="shared" si="53"/>
        <v>2.224537037037037E-2</v>
      </c>
      <c r="DI45" s="163" t="e">
        <f>VLOOKUP($B:$B,'HT DIC'!$A:$AE,29,FALSE)</f>
        <v>#N/A</v>
      </c>
      <c r="DJ45" s="432">
        <f t="shared" si="73"/>
        <v>0</v>
      </c>
      <c r="DK45" s="434"/>
      <c r="DL45" s="432">
        <f t="shared" si="55"/>
        <v>0</v>
      </c>
      <c r="DM45" s="163" t="e">
        <f>VLOOKUP($B:$B,'HT DIC'!$A:$AE,30,FALSE)</f>
        <v>#N/A</v>
      </c>
      <c r="DN45" s="432">
        <f t="shared" si="68"/>
        <v>0</v>
      </c>
      <c r="DO45" s="434">
        <v>7.4421296296296293E-3</v>
      </c>
      <c r="DP45" s="432">
        <f t="shared" si="57"/>
        <v>7.4421296296296293E-3</v>
      </c>
      <c r="DQ45" s="163" t="e">
        <f>VLOOKUP($B:$B,'HT DIC'!$A:$AE,31,FALSE)</f>
        <v>#N/A</v>
      </c>
      <c r="DR45" s="432">
        <f t="shared" si="58"/>
        <v>0</v>
      </c>
      <c r="DS45" s="434">
        <v>2.8113425925925927E-2</v>
      </c>
      <c r="DT45" s="432">
        <f t="shared" si="59"/>
        <v>2.8113425925925927E-2</v>
      </c>
      <c r="DU45" s="163" t="e">
        <f>VLOOKUP($B:$B,'HT DIC'!$A:$AE,32,FALSE)</f>
        <v>#N/A</v>
      </c>
      <c r="DV45" s="432">
        <f t="shared" si="60"/>
        <v>0</v>
      </c>
      <c r="DW45" s="434"/>
      <c r="DX45" s="432">
        <f t="shared" si="61"/>
        <v>0</v>
      </c>
      <c r="DY45" s="432">
        <f t="shared" si="69"/>
        <v>0.19468750000000001</v>
      </c>
    </row>
    <row r="46" spans="1:129">
      <c r="A46" s="166" t="s">
        <v>137</v>
      </c>
      <c r="B46" s="166" t="s">
        <v>467</v>
      </c>
      <c r="C46" s="166">
        <v>1750411421</v>
      </c>
      <c r="D46" s="431">
        <v>34280</v>
      </c>
      <c r="E46" s="163" t="e">
        <f>VLOOKUP($B:$B,#REF!,2,FALSE)</f>
        <v>#REF!</v>
      </c>
      <c r="F46" s="432">
        <f t="shared" si="74"/>
        <v>0</v>
      </c>
      <c r="G46" s="434">
        <v>0</v>
      </c>
      <c r="H46" s="432">
        <f t="shared" si="75"/>
        <v>0</v>
      </c>
      <c r="I46" s="163" t="e">
        <f>VLOOKUP($B:$B,'HT DIC'!$A:$AE,3,FALSE)</f>
        <v>#N/A</v>
      </c>
      <c r="J46" s="432">
        <f t="shared" si="76"/>
        <v>0</v>
      </c>
      <c r="K46" s="434">
        <v>1.1574074074074073E-5</v>
      </c>
      <c r="L46" s="432">
        <f t="shared" si="77"/>
        <v>1.1574074074074073E-5</v>
      </c>
      <c r="M46" s="163" t="e">
        <f>VLOOKUP($B:$B,'HT DIC'!$A:$AE,4,FALSE)</f>
        <v>#N/A</v>
      </c>
      <c r="N46" s="432">
        <f t="shared" si="78"/>
        <v>0</v>
      </c>
      <c r="O46" s="432">
        <v>0</v>
      </c>
      <c r="P46" s="432">
        <f t="shared" si="79"/>
        <v>0</v>
      </c>
      <c r="Q46" s="163" t="e">
        <f>VLOOKUP($B:$B,'HT DIC'!$A:$AE,5,FALSE)</f>
        <v>#N/A</v>
      </c>
      <c r="R46" s="432">
        <f t="shared" si="80"/>
        <v>0</v>
      </c>
      <c r="S46" s="432">
        <v>4.6296296296296294E-5</v>
      </c>
      <c r="T46" s="432">
        <f t="shared" si="81"/>
        <v>4.6296296296296294E-5</v>
      </c>
      <c r="U46" s="163" t="e">
        <f>VLOOKUP($B:$B,'HT DIC'!$A:$AE,6,FALSE)</f>
        <v>#N/A</v>
      </c>
      <c r="V46" s="432">
        <f t="shared" si="82"/>
        <v>0</v>
      </c>
      <c r="W46" s="434">
        <v>1.1574074074074073E-5</v>
      </c>
      <c r="X46" s="432">
        <f t="shared" si="83"/>
        <v>1.1574074074074073E-5</v>
      </c>
      <c r="Y46" s="163" t="e">
        <f>VLOOKUP($B:$B,'HT DIC'!$A:$AE,7,FALSE)</f>
        <v>#N/A</v>
      </c>
      <c r="Z46" s="432">
        <f t="shared" si="84"/>
        <v>0</v>
      </c>
      <c r="AA46" s="434">
        <v>3.1250000000000001E-4</v>
      </c>
      <c r="AB46" s="432">
        <f t="shared" si="85"/>
        <v>3.1250000000000001E-4</v>
      </c>
      <c r="AC46" s="163" t="e">
        <f>VLOOKUP($B:$B,'HT DIC'!$A:$AE,8,FALSE)</f>
        <v>#N/A</v>
      </c>
      <c r="AD46" s="432">
        <f t="shared" si="86"/>
        <v>0</v>
      </c>
      <c r="AE46" s="434"/>
      <c r="AF46" s="432">
        <f t="shared" si="87"/>
        <v>0</v>
      </c>
      <c r="AG46" s="163" t="e">
        <f>VLOOKUP($B:$B,'HT DIC'!$A:$AE,9,FALSE)</f>
        <v>#N/A</v>
      </c>
      <c r="AH46" s="432">
        <f t="shared" si="88"/>
        <v>0</v>
      </c>
      <c r="AI46" s="434">
        <v>0</v>
      </c>
      <c r="AJ46" s="432">
        <f t="shared" si="89"/>
        <v>0</v>
      </c>
      <c r="AK46" s="163" t="e">
        <f>VLOOKUP($B:$B,'HT DIC'!$A:$AE,10,FALSE)</f>
        <v>#N/A</v>
      </c>
      <c r="AL46" s="432">
        <f t="shared" si="90"/>
        <v>0</v>
      </c>
      <c r="AM46" s="434">
        <v>2.4305555555555556E-2</v>
      </c>
      <c r="AN46" s="432">
        <f t="shared" si="91"/>
        <v>2.4305555555555556E-2</v>
      </c>
      <c r="AO46" s="163" t="e">
        <f>VLOOKUP($B:$B,'HT DIC'!$A:$AE,11,FALSE)</f>
        <v>#N/A</v>
      </c>
      <c r="AP46" s="432">
        <f t="shared" si="92"/>
        <v>0</v>
      </c>
      <c r="AQ46" s="432">
        <v>2.4131944444444445E-2</v>
      </c>
      <c r="AR46" s="432">
        <f t="shared" si="93"/>
        <v>2.4131944444444445E-2</v>
      </c>
      <c r="AS46" s="163" t="e">
        <f>VLOOKUP($B:$B,'HT DIC'!$A:$AE,12,FALSE)</f>
        <v>#N/A</v>
      </c>
      <c r="AT46" s="432">
        <f t="shared" si="94"/>
        <v>0</v>
      </c>
      <c r="AU46" s="434">
        <v>2.4421296296296295E-2</v>
      </c>
      <c r="AV46" s="432">
        <f t="shared" si="95"/>
        <v>2.4421296296296295E-2</v>
      </c>
      <c r="AW46" s="163" t="e">
        <f>VLOOKUP($B:$B,'HT DIC'!$A:$AE,13,FALSE)</f>
        <v>#N/A</v>
      </c>
      <c r="AX46" s="432">
        <f t="shared" si="22"/>
        <v>0</v>
      </c>
      <c r="AY46" s="434">
        <v>2.6087962962962962E-2</v>
      </c>
      <c r="AZ46" s="432">
        <f t="shared" si="23"/>
        <v>2.6087962962962962E-2</v>
      </c>
      <c r="BA46" s="163" t="e">
        <f>VLOOKUP($B:$B,'HT DIC'!$A:$AE,14,FALSE)</f>
        <v>#N/A</v>
      </c>
      <c r="BB46" s="432">
        <f t="shared" si="24"/>
        <v>0</v>
      </c>
      <c r="BC46" s="434"/>
      <c r="BD46" s="432">
        <f t="shared" si="25"/>
        <v>0</v>
      </c>
      <c r="BE46" s="163" t="e">
        <f>VLOOKUP($B:$B,'HT DIC'!$A:$AE,15,FALSE)</f>
        <v>#N/A</v>
      </c>
      <c r="BF46" s="432">
        <f t="shared" si="26"/>
        <v>0</v>
      </c>
      <c r="BG46" s="434">
        <v>4.1319444444444443E-2</v>
      </c>
      <c r="BH46" s="432">
        <f t="shared" si="27"/>
        <v>4.1319444444444443E-2</v>
      </c>
      <c r="BI46" s="163" t="e">
        <f>VLOOKUP($B:$B,'HT DIC'!$A:$AE,16,FALSE)</f>
        <v>#N/A</v>
      </c>
      <c r="BJ46" s="432">
        <f t="shared" si="63"/>
        <v>0</v>
      </c>
      <c r="BK46" s="434">
        <v>1.3472222222222222E-2</v>
      </c>
      <c r="BL46" s="432">
        <f t="shared" si="29"/>
        <v>1.3472222222222222E-2</v>
      </c>
      <c r="BM46" s="163" t="e">
        <f>VLOOKUP($B:$B,'HT DIC'!$A:$AE,17,FALSE)</f>
        <v>#N/A</v>
      </c>
      <c r="BN46" s="432">
        <f t="shared" si="30"/>
        <v>0</v>
      </c>
      <c r="BO46" s="434">
        <v>2.7384259259259261E-2</v>
      </c>
      <c r="BP46" s="432">
        <f t="shared" si="31"/>
        <v>2.7384259259259261E-2</v>
      </c>
      <c r="BQ46" s="163" t="e">
        <f>VLOOKUP($B:$B,'HT DIC'!$A:$AE,18,FALSE)</f>
        <v>#N/A</v>
      </c>
      <c r="BR46" s="432">
        <f t="shared" si="64"/>
        <v>0</v>
      </c>
      <c r="BS46" s="434">
        <v>3.1215277777777779E-2</v>
      </c>
      <c r="BT46" s="432">
        <f t="shared" si="33"/>
        <v>3.1215277777777779E-2</v>
      </c>
      <c r="BU46" s="163" t="e">
        <f>VLOOKUP($B:$B,'HT DIC'!$A:$AE,19,FALSE)</f>
        <v>#N/A</v>
      </c>
      <c r="BV46" s="432">
        <f t="shared" si="34"/>
        <v>0</v>
      </c>
      <c r="BW46" s="434">
        <v>5.136574074074074E-2</v>
      </c>
      <c r="BX46" s="432">
        <f t="shared" si="35"/>
        <v>5.136574074074074E-2</v>
      </c>
      <c r="BY46" s="163" t="e">
        <f>VLOOKUP($B:$B,'HT DIC'!$A:$AE,20,FALSE)</f>
        <v>#N/A</v>
      </c>
      <c r="BZ46" s="432">
        <f t="shared" si="65"/>
        <v>0</v>
      </c>
      <c r="CA46" s="434">
        <v>2.792824074074074E-2</v>
      </c>
      <c r="CB46" s="432">
        <f t="shared" si="37"/>
        <v>2.792824074074074E-2</v>
      </c>
      <c r="CC46" s="163" t="e">
        <f>VLOOKUP($B:$B,'HT DIC'!$A:$AE,21,FALSE)</f>
        <v>#N/A</v>
      </c>
      <c r="CD46" s="432">
        <f t="shared" si="38"/>
        <v>0</v>
      </c>
      <c r="CE46" s="432">
        <v>2.7534722222222221E-2</v>
      </c>
      <c r="CF46" s="432">
        <f t="shared" si="39"/>
        <v>2.7534722222222221E-2</v>
      </c>
      <c r="CG46" s="163" t="e">
        <f>VLOOKUP($B:$B,'HT DIC'!$A:$AE,22,FALSE)</f>
        <v>#N/A</v>
      </c>
      <c r="CH46" s="432">
        <f t="shared" si="40"/>
        <v>0</v>
      </c>
      <c r="CI46" s="434"/>
      <c r="CJ46" s="432">
        <f t="shared" si="72"/>
        <v>0</v>
      </c>
      <c r="CK46" s="163" t="e">
        <f>VLOOKUP($B:$B,'HT DIC'!$A:$AE,23,FALSE)</f>
        <v>#N/A</v>
      </c>
      <c r="CL46" s="432">
        <f t="shared" si="42"/>
        <v>0</v>
      </c>
      <c r="CM46" s="432">
        <v>2.6898148148148147E-2</v>
      </c>
      <c r="CN46" s="432">
        <f t="shared" si="43"/>
        <v>2.6898148148148147E-2</v>
      </c>
      <c r="CO46" s="163" t="e">
        <f>VLOOKUP($B:$B,'HT DIC'!$A:$AE,24,FALSE)</f>
        <v>#N/A</v>
      </c>
      <c r="CP46" s="432">
        <f t="shared" si="44"/>
        <v>0</v>
      </c>
      <c r="CQ46" s="434">
        <v>2.0810185185185185E-2</v>
      </c>
      <c r="CR46" s="432">
        <f t="shared" si="45"/>
        <v>2.0810185185185185E-2</v>
      </c>
      <c r="CS46" s="163" t="e">
        <f>VLOOKUP($B:$B,'HT DIC'!$A:$AE,25,FALSE)</f>
        <v>#N/A</v>
      </c>
      <c r="CT46" s="432">
        <f t="shared" si="46"/>
        <v>0</v>
      </c>
      <c r="CU46" s="432">
        <v>3.304398148148148E-2</v>
      </c>
      <c r="CV46" s="432">
        <f t="shared" si="47"/>
        <v>3.304398148148148E-2</v>
      </c>
      <c r="CW46" s="163" t="e">
        <f>VLOOKUP($B:$B,'HT DIC'!$A:$AE,26,FALSE)</f>
        <v>#N/A</v>
      </c>
      <c r="CX46" s="432">
        <f t="shared" si="48"/>
        <v>0</v>
      </c>
      <c r="CY46" s="434">
        <v>2.8298611111111111E-2</v>
      </c>
      <c r="CZ46" s="432">
        <f t="shared" si="49"/>
        <v>2.8298611111111111E-2</v>
      </c>
      <c r="DA46" s="163" t="e">
        <f>VLOOKUP($B:$B,'HT DIC'!$A:$AE,27,FALSE)</f>
        <v>#N/A</v>
      </c>
      <c r="DB46" s="432">
        <f t="shared" si="66"/>
        <v>0</v>
      </c>
      <c r="DC46" s="434">
        <v>3.8877314814814816E-2</v>
      </c>
      <c r="DD46" s="432">
        <f t="shared" si="51"/>
        <v>3.8877314814814816E-2</v>
      </c>
      <c r="DE46" s="163" t="e">
        <f>VLOOKUP($B:$B,'HT DIC'!$A:$AE,28,FALSE)</f>
        <v>#N/A</v>
      </c>
      <c r="DF46" s="432">
        <f t="shared" si="52"/>
        <v>0</v>
      </c>
      <c r="DG46" s="434"/>
      <c r="DH46" s="432">
        <f t="shared" si="53"/>
        <v>0</v>
      </c>
      <c r="DI46" s="163" t="e">
        <f>VLOOKUP($B:$B,'HT DIC'!$A:$AE,29,FALSE)</f>
        <v>#N/A</v>
      </c>
      <c r="DJ46" s="432">
        <f t="shared" si="73"/>
        <v>0</v>
      </c>
      <c r="DK46" s="434">
        <v>2.2083333333333333E-2</v>
      </c>
      <c r="DL46" s="432">
        <f t="shared" si="55"/>
        <v>2.2083333333333333E-2</v>
      </c>
      <c r="DM46" s="163" t="e">
        <f>VLOOKUP($B:$B,'HT DIC'!$A:$AE,30,FALSE)</f>
        <v>#N/A</v>
      </c>
      <c r="DN46" s="432">
        <f t="shared" si="68"/>
        <v>0</v>
      </c>
      <c r="DO46" s="432">
        <f>IFERROR(VLOOKUP(DN46,$B$229:$E$245,2,FALSE),0)</f>
        <v>0</v>
      </c>
      <c r="DP46" s="432">
        <f t="shared" si="57"/>
        <v>0</v>
      </c>
      <c r="DQ46" s="163" t="e">
        <f>VLOOKUP($B:$B,'HT DIC'!$A:$AE,31,FALSE)</f>
        <v>#N/A</v>
      </c>
      <c r="DR46" s="432">
        <f t="shared" si="58"/>
        <v>0</v>
      </c>
      <c r="DS46" s="434">
        <v>2.5729166666666668E-2</v>
      </c>
      <c r="DT46" s="432">
        <f t="shared" si="59"/>
        <v>2.5729166666666668E-2</v>
      </c>
      <c r="DU46" s="163" t="e">
        <f>VLOOKUP($B:$B,'HT DIC'!$A:$AE,32,FALSE)</f>
        <v>#N/A</v>
      </c>
      <c r="DV46" s="432">
        <f t="shared" si="60"/>
        <v>0</v>
      </c>
      <c r="DW46" s="434"/>
      <c r="DX46" s="432">
        <f t="shared" si="61"/>
        <v>0</v>
      </c>
      <c r="DY46" s="432">
        <f t="shared" si="69"/>
        <v>0.51528935185185176</v>
      </c>
    </row>
    <row r="47" spans="1:129">
      <c r="A47" s="166" t="s">
        <v>190</v>
      </c>
      <c r="B47" s="166" t="s">
        <v>491</v>
      </c>
      <c r="C47" s="166">
        <v>1726561465</v>
      </c>
      <c r="D47" s="431">
        <v>38681</v>
      </c>
      <c r="E47" s="163" t="e">
        <f>VLOOKUP($B:$B,#REF!,2,FALSE)</f>
        <v>#REF!</v>
      </c>
      <c r="F47" s="432">
        <f t="shared" si="74"/>
        <v>0</v>
      </c>
      <c r="G47" s="434">
        <v>1.7361111111111112E-4</v>
      </c>
      <c r="H47" s="432">
        <f t="shared" si="75"/>
        <v>1.7361111111111112E-4</v>
      </c>
      <c r="I47" s="163" t="e">
        <f>VLOOKUP($B:$B,'HT DIC'!$A:$AE,3,FALSE)</f>
        <v>#N/A</v>
      </c>
      <c r="J47" s="432">
        <f t="shared" si="76"/>
        <v>0</v>
      </c>
      <c r="K47" s="434">
        <v>5.7870370370370373E-5</v>
      </c>
      <c r="L47" s="432">
        <f t="shared" si="77"/>
        <v>5.7870370370370373E-5</v>
      </c>
      <c r="M47" s="163" t="e">
        <f>VLOOKUP($B:$B,'HT DIC'!$A:$AE,4,FALSE)</f>
        <v>#N/A</v>
      </c>
      <c r="N47" s="432">
        <f t="shared" si="78"/>
        <v>0</v>
      </c>
      <c r="O47" s="432">
        <v>1.6203703703703703E-4</v>
      </c>
      <c r="P47" s="432">
        <f t="shared" si="79"/>
        <v>1.6203703703703703E-4</v>
      </c>
      <c r="Q47" s="163" t="e">
        <f>VLOOKUP($B:$B,'HT DIC'!$A:$AE,5,FALSE)</f>
        <v>#N/A</v>
      </c>
      <c r="R47" s="432">
        <f t="shared" si="80"/>
        <v>0</v>
      </c>
      <c r="S47" s="432">
        <v>5.7870370370370373E-5</v>
      </c>
      <c r="T47" s="432">
        <f t="shared" si="81"/>
        <v>5.7870370370370373E-5</v>
      </c>
      <c r="U47" s="163" t="e">
        <f>VLOOKUP($B:$B,'HT DIC'!$A:$AE,6,FALSE)</f>
        <v>#N/A</v>
      </c>
      <c r="V47" s="432">
        <f t="shared" si="82"/>
        <v>0</v>
      </c>
      <c r="W47" s="434"/>
      <c r="X47" s="432">
        <f t="shared" si="83"/>
        <v>0</v>
      </c>
      <c r="Y47" s="163" t="e">
        <f>VLOOKUP($B:$B,'HT DIC'!$A:$AE,7,FALSE)</f>
        <v>#N/A</v>
      </c>
      <c r="Z47" s="432">
        <f t="shared" si="84"/>
        <v>0</v>
      </c>
      <c r="AA47" s="434">
        <v>4.9768518518518521E-4</v>
      </c>
      <c r="AB47" s="432">
        <f t="shared" si="85"/>
        <v>4.9768518518518521E-4</v>
      </c>
      <c r="AC47" s="163" t="e">
        <f>VLOOKUP($B:$B,'HT DIC'!$A:$AE,8,FALSE)</f>
        <v>#N/A</v>
      </c>
      <c r="AD47" s="432">
        <f t="shared" si="86"/>
        <v>0</v>
      </c>
      <c r="AE47" s="434"/>
      <c r="AF47" s="432">
        <f t="shared" si="87"/>
        <v>0</v>
      </c>
      <c r="AG47" s="163" t="e">
        <f>VLOOKUP($B:$B,'HT DIC'!$A:$AE,9,FALSE)</f>
        <v>#N/A</v>
      </c>
      <c r="AH47" s="432">
        <f t="shared" si="88"/>
        <v>0</v>
      </c>
      <c r="AI47" s="434">
        <v>2.9745370370370373E-3</v>
      </c>
      <c r="AJ47" s="432">
        <f t="shared" si="89"/>
        <v>2.9745370370370373E-3</v>
      </c>
      <c r="AK47" s="163" t="e">
        <f>VLOOKUP($B:$B,'HT DIC'!$A:$AE,10,FALSE)</f>
        <v>#N/A</v>
      </c>
      <c r="AL47" s="432">
        <f t="shared" si="90"/>
        <v>0</v>
      </c>
      <c r="AM47" s="434">
        <v>2.2037037037037036E-2</v>
      </c>
      <c r="AN47" s="432">
        <f t="shared" si="91"/>
        <v>2.2037037037037036E-2</v>
      </c>
      <c r="AO47" s="163" t="e">
        <f>VLOOKUP($B:$B,'HT DIC'!$A:$AE,11,FALSE)</f>
        <v>#N/A</v>
      </c>
      <c r="AP47" s="432">
        <f t="shared" si="92"/>
        <v>0</v>
      </c>
      <c r="AQ47" s="432">
        <v>8.518518518518519E-3</v>
      </c>
      <c r="AR47" s="432">
        <f t="shared" si="93"/>
        <v>8.518518518518519E-3</v>
      </c>
      <c r="AS47" s="163" t="e">
        <f>VLOOKUP($B:$B,'HT DIC'!$A:$AE,12,FALSE)</f>
        <v>#N/A</v>
      </c>
      <c r="AT47" s="432">
        <f t="shared" si="94"/>
        <v>0</v>
      </c>
      <c r="AU47" s="434">
        <v>1.3715277777777778E-2</v>
      </c>
      <c r="AV47" s="432">
        <f t="shared" si="95"/>
        <v>1.3715277777777778E-2</v>
      </c>
      <c r="AW47" s="163" t="e">
        <f>VLOOKUP($B:$B,'HT DIC'!$A:$AE,13,FALSE)</f>
        <v>#N/A</v>
      </c>
      <c r="AX47" s="432">
        <f t="shared" si="22"/>
        <v>0</v>
      </c>
      <c r="AY47" s="434"/>
      <c r="AZ47" s="432">
        <f t="shared" si="23"/>
        <v>0</v>
      </c>
      <c r="BA47" s="163" t="e">
        <f>VLOOKUP($B:$B,'HT DIC'!$A:$AE,14,FALSE)</f>
        <v>#N/A</v>
      </c>
      <c r="BB47" s="432">
        <f t="shared" si="24"/>
        <v>0</v>
      </c>
      <c r="BC47" s="434">
        <v>4.6064814814814814E-3</v>
      </c>
      <c r="BD47" s="432">
        <f t="shared" si="25"/>
        <v>4.6064814814814814E-3</v>
      </c>
      <c r="BE47" s="163" t="e">
        <f>VLOOKUP($B:$B,'HT DIC'!$A:$AE,15,FALSE)</f>
        <v>#N/A</v>
      </c>
      <c r="BF47" s="432">
        <f t="shared" si="26"/>
        <v>0</v>
      </c>
      <c r="BG47" s="434">
        <v>1.7245370370370369E-2</v>
      </c>
      <c r="BH47" s="432">
        <f t="shared" si="27"/>
        <v>1.7245370370370369E-2</v>
      </c>
      <c r="BI47" s="163" t="e">
        <f>VLOOKUP($B:$B,'HT DIC'!$A:$AE,16,FALSE)</f>
        <v>#N/A</v>
      </c>
      <c r="BJ47" s="432">
        <f t="shared" si="63"/>
        <v>0</v>
      </c>
      <c r="BK47" s="434">
        <v>2.7256944444444445E-2</v>
      </c>
      <c r="BL47" s="432">
        <f t="shared" si="29"/>
        <v>2.7256944444444445E-2</v>
      </c>
      <c r="BM47" s="163" t="e">
        <f>VLOOKUP($B:$B,'HT DIC'!$A:$AE,17,FALSE)</f>
        <v>#N/A</v>
      </c>
      <c r="BN47" s="432">
        <f t="shared" si="30"/>
        <v>0</v>
      </c>
      <c r="BO47" s="434">
        <v>1.4421296296296297E-2</v>
      </c>
      <c r="BP47" s="432">
        <f t="shared" si="31"/>
        <v>1.4421296296296297E-2</v>
      </c>
      <c r="BQ47" s="163" t="e">
        <f>VLOOKUP($B:$B,'HT DIC'!$A:$AE,18,FALSE)</f>
        <v>#N/A</v>
      </c>
      <c r="BR47" s="432">
        <f t="shared" si="64"/>
        <v>0</v>
      </c>
      <c r="BS47" s="434">
        <v>1.4594907407407407E-2</v>
      </c>
      <c r="BT47" s="432">
        <f t="shared" si="33"/>
        <v>1.4594907407407407E-2</v>
      </c>
      <c r="BU47" s="163" t="e">
        <f>VLOOKUP($B:$B,'HT DIC'!$A:$AE,19,FALSE)</f>
        <v>#N/A</v>
      </c>
      <c r="BV47" s="432">
        <f t="shared" si="34"/>
        <v>0</v>
      </c>
      <c r="BW47" s="434">
        <v>1.6284722222222221E-2</v>
      </c>
      <c r="BX47" s="432">
        <f t="shared" si="35"/>
        <v>1.6284722222222221E-2</v>
      </c>
      <c r="BY47" s="163" t="e">
        <f>VLOOKUP($B:$B,'HT DIC'!$A:$AE,20,FALSE)</f>
        <v>#N/A</v>
      </c>
      <c r="BZ47" s="432">
        <f t="shared" si="65"/>
        <v>0</v>
      </c>
      <c r="CA47" s="434">
        <v>1.9629629629629629E-2</v>
      </c>
      <c r="CB47" s="432">
        <f t="shared" si="37"/>
        <v>1.9629629629629629E-2</v>
      </c>
      <c r="CC47" s="163" t="e">
        <f>VLOOKUP($B:$B,'HT DIC'!$A:$AE,21,FALSE)</f>
        <v>#N/A</v>
      </c>
      <c r="CD47" s="432">
        <f t="shared" si="38"/>
        <v>0</v>
      </c>
      <c r="CE47" s="432">
        <v>1.3252314814814814E-2</v>
      </c>
      <c r="CF47" s="432">
        <f t="shared" si="39"/>
        <v>1.3252314814814814E-2</v>
      </c>
      <c r="CG47" s="163" t="e">
        <f>VLOOKUP($B:$B,'HT DIC'!$A:$AE,22,FALSE)</f>
        <v>#N/A</v>
      </c>
      <c r="CH47" s="432">
        <f t="shared" si="40"/>
        <v>0</v>
      </c>
      <c r="CI47" s="434">
        <v>2.2962962962962963E-2</v>
      </c>
      <c r="CJ47" s="432">
        <f t="shared" si="72"/>
        <v>2.2962962962962963E-2</v>
      </c>
      <c r="CK47" s="163" t="e">
        <f>VLOOKUP($B:$B,'HT DIC'!$A:$AE,23,FALSE)</f>
        <v>#N/A</v>
      </c>
      <c r="CL47" s="432">
        <f t="shared" si="42"/>
        <v>0</v>
      </c>
      <c r="CM47" s="432">
        <v>2.6539351851851852E-2</v>
      </c>
      <c r="CN47" s="432">
        <f t="shared" si="43"/>
        <v>2.6539351851851852E-2</v>
      </c>
      <c r="CO47" s="163" t="e">
        <f>VLOOKUP($B:$B,'HT DIC'!$A:$AE,24,FALSE)</f>
        <v>#N/A</v>
      </c>
      <c r="CP47" s="432">
        <f t="shared" si="44"/>
        <v>0</v>
      </c>
      <c r="CQ47" s="434">
        <v>3.2233796296296295E-2</v>
      </c>
      <c r="CR47" s="432">
        <f t="shared" si="45"/>
        <v>3.2233796296296295E-2</v>
      </c>
      <c r="CS47" s="163" t="e">
        <f>VLOOKUP($B:$B,'HT DIC'!$A:$AE,25,FALSE)</f>
        <v>#N/A</v>
      </c>
      <c r="CT47" s="432">
        <f t="shared" si="46"/>
        <v>0</v>
      </c>
      <c r="CU47" s="432"/>
      <c r="CV47" s="432">
        <f t="shared" si="47"/>
        <v>0</v>
      </c>
      <c r="CW47" s="163" t="e">
        <f>VLOOKUP($B:$B,'HT DIC'!$A:$AE,26,FALSE)</f>
        <v>#N/A</v>
      </c>
      <c r="CX47" s="432">
        <f t="shared" si="48"/>
        <v>0</v>
      </c>
      <c r="CY47" s="434"/>
      <c r="CZ47" s="432">
        <f t="shared" si="49"/>
        <v>0</v>
      </c>
      <c r="DA47" s="163" t="e">
        <f>VLOOKUP($B:$B,'HT DIC'!$A:$AE,27,FALSE)</f>
        <v>#N/A</v>
      </c>
      <c r="DB47" s="432">
        <f t="shared" si="66"/>
        <v>0</v>
      </c>
      <c r="DC47" s="434">
        <v>2.3252314814814816E-2</v>
      </c>
      <c r="DD47" s="432">
        <f t="shared" si="51"/>
        <v>2.3252314814814816E-2</v>
      </c>
      <c r="DE47" s="163" t="e">
        <f>VLOOKUP($B:$B,'HT DIC'!$A:$AE,28,FALSE)</f>
        <v>#N/A</v>
      </c>
      <c r="DF47" s="432">
        <f t="shared" si="52"/>
        <v>0</v>
      </c>
      <c r="DG47" s="434">
        <v>1.7175925925925924E-2</v>
      </c>
      <c r="DH47" s="432">
        <f t="shared" si="53"/>
        <v>1.7175925925925924E-2</v>
      </c>
      <c r="DI47" s="163" t="e">
        <f>VLOOKUP($B:$B,'HT DIC'!$A:$AE,29,FALSE)</f>
        <v>#N/A</v>
      </c>
      <c r="DJ47" s="432">
        <f t="shared" si="73"/>
        <v>0</v>
      </c>
      <c r="DK47" s="434">
        <v>3.5891203703703703E-2</v>
      </c>
      <c r="DL47" s="432">
        <f t="shared" si="55"/>
        <v>3.5891203703703703E-2</v>
      </c>
      <c r="DM47" s="163" t="e">
        <f>VLOOKUP($B:$B,'HT DIC'!$A:$AE,30,FALSE)</f>
        <v>#N/A</v>
      </c>
      <c r="DN47" s="432">
        <f t="shared" si="68"/>
        <v>0</v>
      </c>
      <c r="DO47" s="434">
        <v>3.3090277777777781E-2</v>
      </c>
      <c r="DP47" s="432">
        <f t="shared" si="57"/>
        <v>3.3090277777777781E-2</v>
      </c>
      <c r="DQ47" s="163" t="e">
        <f>VLOOKUP($B:$B,'HT DIC'!$A:$AE,31,FALSE)</f>
        <v>#N/A</v>
      </c>
      <c r="DR47" s="432">
        <f t="shared" si="58"/>
        <v>0</v>
      </c>
      <c r="DS47" s="434">
        <v>3.9027777777777779E-2</v>
      </c>
      <c r="DT47" s="432">
        <f t="shared" si="59"/>
        <v>3.9027777777777779E-2</v>
      </c>
      <c r="DU47" s="163" t="e">
        <f>VLOOKUP($B:$B,'HT DIC'!$A:$AE,32,FALSE)</f>
        <v>#N/A</v>
      </c>
      <c r="DV47" s="432">
        <f t="shared" si="60"/>
        <v>0</v>
      </c>
      <c r="DW47" s="434"/>
      <c r="DX47" s="432">
        <f t="shared" si="61"/>
        <v>0</v>
      </c>
      <c r="DY47" s="432">
        <f t="shared" si="69"/>
        <v>0.40565972222222219</v>
      </c>
    </row>
    <row r="48" spans="1:129">
      <c r="A48" s="166" t="s">
        <v>188</v>
      </c>
      <c r="B48" s="166" t="s">
        <v>493</v>
      </c>
      <c r="C48" s="166">
        <v>1755529367</v>
      </c>
      <c r="D48" s="431">
        <v>37911</v>
      </c>
      <c r="E48" s="163" t="e">
        <f>VLOOKUP($B:$B,#REF!,2,FALSE)</f>
        <v>#REF!</v>
      </c>
      <c r="F48" s="432">
        <f t="shared" si="74"/>
        <v>0</v>
      </c>
      <c r="G48" s="434">
        <v>3.2708333333333332E-2</v>
      </c>
      <c r="H48" s="432">
        <f t="shared" si="75"/>
        <v>3.2708333333333332E-2</v>
      </c>
      <c r="I48" s="163" t="e">
        <f>VLOOKUP($B:$B,'HT DIC'!$A:$AE,3,FALSE)</f>
        <v>#N/A</v>
      </c>
      <c r="J48" s="432">
        <f t="shared" si="76"/>
        <v>0</v>
      </c>
      <c r="K48" s="434">
        <v>1.8831018518518518E-2</v>
      </c>
      <c r="L48" s="432">
        <f t="shared" si="77"/>
        <v>1.8831018518518518E-2</v>
      </c>
      <c r="M48" s="163" t="e">
        <f>VLOOKUP($B:$B,'HT DIC'!$A:$AE,4,FALSE)</f>
        <v>#N/A</v>
      </c>
      <c r="N48" s="432">
        <f t="shared" si="78"/>
        <v>0</v>
      </c>
      <c r="O48" s="432">
        <v>3.3587962962962965E-2</v>
      </c>
      <c r="P48" s="432">
        <f t="shared" si="79"/>
        <v>3.3587962962962965E-2</v>
      </c>
      <c r="Q48" s="163" t="e">
        <f>VLOOKUP($B:$B,'HT DIC'!$A:$AE,5,FALSE)</f>
        <v>#N/A</v>
      </c>
      <c r="R48" s="432">
        <f t="shared" si="80"/>
        <v>0</v>
      </c>
      <c r="S48" s="432">
        <v>2.3518518518518518E-2</v>
      </c>
      <c r="T48" s="432">
        <f t="shared" si="81"/>
        <v>2.3518518518518518E-2</v>
      </c>
      <c r="U48" s="163" t="e">
        <f>VLOOKUP($B:$B,'HT DIC'!$A:$AE,6,FALSE)</f>
        <v>#N/A</v>
      </c>
      <c r="V48" s="432">
        <f t="shared" si="82"/>
        <v>0</v>
      </c>
      <c r="W48" s="434"/>
      <c r="X48" s="432">
        <f t="shared" si="83"/>
        <v>0</v>
      </c>
      <c r="Y48" s="163" t="e">
        <f>VLOOKUP($B:$B,'HT DIC'!$A:$AE,7,FALSE)</f>
        <v>#N/A</v>
      </c>
      <c r="Z48" s="432">
        <f t="shared" si="84"/>
        <v>0</v>
      </c>
      <c r="AA48" s="434">
        <v>1.5428240740740741E-2</v>
      </c>
      <c r="AB48" s="432">
        <f t="shared" si="85"/>
        <v>1.5428240740740741E-2</v>
      </c>
      <c r="AC48" s="163" t="e">
        <f>VLOOKUP($B:$B,'HT DIC'!$A:$AE,8,FALSE)</f>
        <v>#N/A</v>
      </c>
      <c r="AD48" s="432">
        <f t="shared" si="86"/>
        <v>0</v>
      </c>
      <c r="AE48" s="434">
        <v>2.8425925925925927E-2</v>
      </c>
      <c r="AF48" s="432">
        <f t="shared" si="87"/>
        <v>2.8425925925925927E-2</v>
      </c>
      <c r="AG48" s="163" t="e">
        <f>VLOOKUP($B:$B,'HT DIC'!$A:$AE,9,FALSE)</f>
        <v>#N/A</v>
      </c>
      <c r="AH48" s="432">
        <f t="shared" si="88"/>
        <v>0</v>
      </c>
      <c r="AI48" s="434">
        <v>2.4525462962962964E-2</v>
      </c>
      <c r="AJ48" s="432">
        <f t="shared" si="89"/>
        <v>2.4525462962962964E-2</v>
      </c>
      <c r="AK48" s="163" t="e">
        <f>VLOOKUP($B:$B,'HT DIC'!$A:$AE,10,FALSE)</f>
        <v>#N/A</v>
      </c>
      <c r="AL48" s="432">
        <f t="shared" si="90"/>
        <v>0</v>
      </c>
      <c r="AM48" s="434">
        <v>4.2905092592592592E-2</v>
      </c>
      <c r="AN48" s="432">
        <f t="shared" si="91"/>
        <v>4.2905092592592592E-2</v>
      </c>
      <c r="AO48" s="163" t="e">
        <f>VLOOKUP($B:$B,'HT DIC'!$A:$AE,11,FALSE)</f>
        <v>#N/A</v>
      </c>
      <c r="AP48" s="432">
        <f t="shared" si="92"/>
        <v>0</v>
      </c>
      <c r="AQ48" s="432">
        <v>3.3298611111111112E-2</v>
      </c>
      <c r="AR48" s="432">
        <f t="shared" si="93"/>
        <v>3.3298611111111112E-2</v>
      </c>
      <c r="AS48" s="163" t="e">
        <f>VLOOKUP($B:$B,'HT DIC'!$A:$AE,12,FALSE)</f>
        <v>#N/A</v>
      </c>
      <c r="AT48" s="432">
        <f t="shared" si="94"/>
        <v>0</v>
      </c>
      <c r="AU48" s="434">
        <v>2.4305555555555556E-2</v>
      </c>
      <c r="AV48" s="432">
        <f t="shared" si="95"/>
        <v>2.4305555555555556E-2</v>
      </c>
      <c r="AW48" s="163" t="e">
        <f>VLOOKUP($B:$B,'HT DIC'!$A:$AE,13,FALSE)</f>
        <v>#N/A</v>
      </c>
      <c r="AX48" s="432">
        <f t="shared" si="22"/>
        <v>0</v>
      </c>
      <c r="AY48" s="434"/>
      <c r="AZ48" s="432">
        <f t="shared" si="23"/>
        <v>0</v>
      </c>
      <c r="BA48" s="163" t="e">
        <f>VLOOKUP($B:$B,'HT DIC'!$A:$AE,14,FALSE)</f>
        <v>#N/A</v>
      </c>
      <c r="BB48" s="432">
        <f t="shared" si="24"/>
        <v>0</v>
      </c>
      <c r="BC48" s="434">
        <v>2.8368055555555556E-2</v>
      </c>
      <c r="BD48" s="432">
        <f t="shared" si="25"/>
        <v>2.8368055555555556E-2</v>
      </c>
      <c r="BE48" s="163" t="e">
        <f>VLOOKUP($B:$B,'HT DIC'!$A:$AE,15,FALSE)</f>
        <v>#N/A</v>
      </c>
      <c r="BF48" s="432">
        <f t="shared" si="26"/>
        <v>0</v>
      </c>
      <c r="BG48" s="434">
        <v>3.9479166666666669E-2</v>
      </c>
      <c r="BH48" s="432">
        <f t="shared" si="27"/>
        <v>3.9479166666666669E-2</v>
      </c>
      <c r="BI48" s="163" t="e">
        <f>VLOOKUP($B:$B,'HT DIC'!$A:$AE,16,FALSE)</f>
        <v>#N/A</v>
      </c>
      <c r="BJ48" s="432">
        <f t="shared" si="63"/>
        <v>0</v>
      </c>
      <c r="BK48" s="434">
        <v>3.4722222222222224E-2</v>
      </c>
      <c r="BL48" s="432">
        <f t="shared" si="29"/>
        <v>3.4722222222222224E-2</v>
      </c>
      <c r="BM48" s="163" t="e">
        <f>VLOOKUP($B:$B,'HT DIC'!$A:$AE,17,FALSE)</f>
        <v>#N/A</v>
      </c>
      <c r="BN48" s="432">
        <f t="shared" si="30"/>
        <v>0</v>
      </c>
      <c r="BO48" s="434">
        <v>2.8622685185185185E-2</v>
      </c>
      <c r="BP48" s="432">
        <f t="shared" si="31"/>
        <v>2.8622685185185185E-2</v>
      </c>
      <c r="BQ48" s="163" t="e">
        <f>VLOOKUP($B:$B,'HT DIC'!$A:$AE,18,FALSE)</f>
        <v>#N/A</v>
      </c>
      <c r="BR48" s="432">
        <f t="shared" si="64"/>
        <v>0</v>
      </c>
      <c r="BS48" s="434">
        <v>2.4270833333333332E-2</v>
      </c>
      <c r="BT48" s="432">
        <f t="shared" si="33"/>
        <v>2.4270833333333332E-2</v>
      </c>
      <c r="BU48" s="163" t="e">
        <f>VLOOKUP($B:$B,'HT DIC'!$A:$AE,19,FALSE)</f>
        <v>#N/A</v>
      </c>
      <c r="BV48" s="432">
        <f t="shared" si="34"/>
        <v>0</v>
      </c>
      <c r="BW48" s="434">
        <v>2.7025462962962963E-2</v>
      </c>
      <c r="BX48" s="432">
        <f t="shared" si="35"/>
        <v>2.7025462962962963E-2</v>
      </c>
      <c r="BY48" s="163" t="e">
        <f>VLOOKUP($B:$B,'HT DIC'!$A:$AE,20,FALSE)</f>
        <v>#N/A</v>
      </c>
      <c r="BZ48" s="432">
        <f t="shared" si="65"/>
        <v>0</v>
      </c>
      <c r="CA48" s="434">
        <v>3.7974537037037036E-2</v>
      </c>
      <c r="CB48" s="432">
        <f t="shared" si="37"/>
        <v>3.7974537037037036E-2</v>
      </c>
      <c r="CC48" s="163" t="e">
        <f>VLOOKUP($B:$B,'HT DIC'!$A:$AE,21,FALSE)</f>
        <v>#N/A</v>
      </c>
      <c r="CD48" s="432">
        <f t="shared" si="38"/>
        <v>0</v>
      </c>
      <c r="CE48" s="432">
        <v>2.8958333333333332E-2</v>
      </c>
      <c r="CF48" s="432">
        <f t="shared" si="39"/>
        <v>2.8958333333333332E-2</v>
      </c>
      <c r="CG48" s="163" t="e">
        <f>VLOOKUP($B:$B,'HT DIC'!$A:$AE,22,FALSE)</f>
        <v>#N/A</v>
      </c>
      <c r="CH48" s="432">
        <f t="shared" si="40"/>
        <v>0</v>
      </c>
      <c r="CI48" s="434">
        <v>3.888888888888889E-2</v>
      </c>
      <c r="CJ48" s="432">
        <f t="shared" si="72"/>
        <v>3.888888888888889E-2</v>
      </c>
      <c r="CK48" s="163" t="e">
        <f>VLOOKUP($B:$B,'HT DIC'!$A:$AE,23,FALSE)</f>
        <v>#N/A</v>
      </c>
      <c r="CL48" s="432">
        <f t="shared" si="42"/>
        <v>0</v>
      </c>
      <c r="CM48" s="432">
        <v>3.4722222222222224E-2</v>
      </c>
      <c r="CN48" s="432">
        <f t="shared" si="43"/>
        <v>3.4722222222222224E-2</v>
      </c>
      <c r="CO48" s="163" t="e">
        <f>VLOOKUP($B:$B,'HT DIC'!$A:$AE,24,FALSE)</f>
        <v>#N/A</v>
      </c>
      <c r="CP48" s="432">
        <f t="shared" si="44"/>
        <v>0</v>
      </c>
      <c r="CQ48" s="434">
        <v>4.1712962962962966E-2</v>
      </c>
      <c r="CR48" s="432">
        <f t="shared" si="45"/>
        <v>4.1712962962962966E-2</v>
      </c>
      <c r="CS48" s="163" t="e">
        <f>VLOOKUP($B:$B,'HT DIC'!$A:$AE,25,FALSE)</f>
        <v>#N/A</v>
      </c>
      <c r="CT48" s="432">
        <f t="shared" si="46"/>
        <v>0</v>
      </c>
      <c r="CU48" s="432">
        <v>3.6562499999999998E-2</v>
      </c>
      <c r="CV48" s="432">
        <f t="shared" si="47"/>
        <v>3.6562499999999998E-2</v>
      </c>
      <c r="CW48" s="163" t="e">
        <f>VLOOKUP($B:$B,'HT DIC'!$A:$AE,26,FALSE)</f>
        <v>#N/A</v>
      </c>
      <c r="CX48" s="432">
        <f t="shared" si="48"/>
        <v>0</v>
      </c>
      <c r="CY48" s="434"/>
      <c r="CZ48" s="432">
        <f t="shared" si="49"/>
        <v>0</v>
      </c>
      <c r="DA48" s="163" t="e">
        <f>VLOOKUP($B:$B,'HT DIC'!$A:$AE,27,FALSE)</f>
        <v>#N/A</v>
      </c>
      <c r="DB48" s="432">
        <f t="shared" si="66"/>
        <v>0</v>
      </c>
      <c r="DC48" s="434">
        <v>2.4375000000000001E-2</v>
      </c>
      <c r="DD48" s="432">
        <f t="shared" si="51"/>
        <v>2.4375000000000001E-2</v>
      </c>
      <c r="DE48" s="163" t="e">
        <f>VLOOKUP($B:$B,'HT DIC'!$A:$AE,28,FALSE)</f>
        <v>#N/A</v>
      </c>
      <c r="DF48" s="432">
        <f t="shared" si="52"/>
        <v>0</v>
      </c>
      <c r="DG48" s="434">
        <v>3.5543981481481482E-2</v>
      </c>
      <c r="DH48" s="432">
        <f t="shared" si="53"/>
        <v>3.5543981481481482E-2</v>
      </c>
      <c r="DI48" s="163" t="e">
        <f>VLOOKUP($B:$B,'HT DIC'!$A:$AE,29,FALSE)</f>
        <v>#N/A</v>
      </c>
      <c r="DJ48" s="432">
        <f t="shared" si="73"/>
        <v>0</v>
      </c>
      <c r="DK48" s="434">
        <v>2.1562499999999998E-2</v>
      </c>
      <c r="DL48" s="432">
        <f t="shared" si="55"/>
        <v>2.1562499999999998E-2</v>
      </c>
      <c r="DM48" s="163" t="e">
        <f>VLOOKUP($B:$B,'HT DIC'!$A:$AE,30,FALSE)</f>
        <v>#N/A</v>
      </c>
      <c r="DN48" s="432">
        <f t="shared" si="68"/>
        <v>0</v>
      </c>
      <c r="DO48" s="434">
        <v>4.3541666666666666E-2</v>
      </c>
      <c r="DP48" s="432">
        <f t="shared" si="57"/>
        <v>4.3541666666666666E-2</v>
      </c>
      <c r="DQ48" s="163" t="e">
        <f>VLOOKUP($B:$B,'HT DIC'!$A:$AE,31,FALSE)</f>
        <v>#N/A</v>
      </c>
      <c r="DR48" s="432">
        <f t="shared" si="58"/>
        <v>0</v>
      </c>
      <c r="DS48" s="434">
        <v>6.356481481481481E-2</v>
      </c>
      <c r="DT48" s="432">
        <f t="shared" si="59"/>
        <v>6.356481481481481E-2</v>
      </c>
      <c r="DU48" s="163" t="e">
        <f>VLOOKUP($B:$B,'HT DIC'!$A:$AE,32,FALSE)</f>
        <v>#N/A</v>
      </c>
      <c r="DV48" s="432">
        <f t="shared" si="60"/>
        <v>0</v>
      </c>
      <c r="DW48" s="434"/>
      <c r="DX48" s="432">
        <f t="shared" si="61"/>
        <v>0</v>
      </c>
      <c r="DY48" s="432">
        <f t="shared" si="69"/>
        <v>0.86743055555555559</v>
      </c>
    </row>
    <row r="49" spans="1:129">
      <c r="A49" s="166" t="s">
        <v>149</v>
      </c>
      <c r="B49" s="166" t="s">
        <v>469</v>
      </c>
      <c r="C49" s="166">
        <v>1726633272</v>
      </c>
      <c r="D49" s="431">
        <v>35278</v>
      </c>
      <c r="E49" s="163" t="e">
        <f>VLOOKUP($B:$B,#REF!,2,FALSE)</f>
        <v>#REF!</v>
      </c>
      <c r="F49" s="432">
        <f t="shared" si="74"/>
        <v>0</v>
      </c>
      <c r="G49" s="434">
        <v>1.3819444444444445E-2</v>
      </c>
      <c r="H49" s="432">
        <f t="shared" si="75"/>
        <v>1.3819444444444445E-2</v>
      </c>
      <c r="I49" s="163" t="e">
        <f>VLOOKUP($B:$B,'HT DIC'!$A:$AE,3,FALSE)</f>
        <v>#N/A</v>
      </c>
      <c r="J49" s="432">
        <f t="shared" si="76"/>
        <v>0</v>
      </c>
      <c r="K49" s="434">
        <v>1.3402777777777777E-2</v>
      </c>
      <c r="L49" s="432">
        <f t="shared" si="77"/>
        <v>1.3402777777777777E-2</v>
      </c>
      <c r="M49" s="163" t="e">
        <f>VLOOKUP($B:$B,'HT DIC'!$A:$AE,4,FALSE)</f>
        <v>#N/A</v>
      </c>
      <c r="N49" s="432">
        <f t="shared" si="78"/>
        <v>0</v>
      </c>
      <c r="O49" s="432">
        <v>1.3645833333333333E-2</v>
      </c>
      <c r="P49" s="432">
        <f t="shared" si="79"/>
        <v>1.3645833333333333E-2</v>
      </c>
      <c r="Q49" s="163" t="e">
        <f>VLOOKUP($B:$B,'HT DIC'!$A:$AE,5,FALSE)</f>
        <v>#N/A</v>
      </c>
      <c r="R49" s="432">
        <f t="shared" si="80"/>
        <v>0</v>
      </c>
      <c r="S49" s="432">
        <v>1.2881944444444444E-2</v>
      </c>
      <c r="T49" s="432">
        <f t="shared" si="81"/>
        <v>1.2881944444444444E-2</v>
      </c>
      <c r="U49" s="163" t="e">
        <f>VLOOKUP($B:$B,'HT DIC'!$A:$AE,6,FALSE)</f>
        <v>#N/A</v>
      </c>
      <c r="V49" s="432">
        <f t="shared" si="82"/>
        <v>0</v>
      </c>
      <c r="W49" s="434"/>
      <c r="X49" s="432">
        <f t="shared" si="83"/>
        <v>0</v>
      </c>
      <c r="Y49" s="163" t="e">
        <f>VLOOKUP($B:$B,'HT DIC'!$A:$AE,7,FALSE)</f>
        <v>#N/A</v>
      </c>
      <c r="Z49" s="432">
        <f t="shared" si="84"/>
        <v>0</v>
      </c>
      <c r="AA49" s="434">
        <v>1.3483796296296296E-2</v>
      </c>
      <c r="AB49" s="432">
        <f t="shared" si="85"/>
        <v>1.3483796296296296E-2</v>
      </c>
      <c r="AC49" s="163" t="e">
        <f>VLOOKUP($B:$B,'HT DIC'!$A:$AE,8,FALSE)</f>
        <v>#N/A</v>
      </c>
      <c r="AD49" s="432">
        <f t="shared" si="86"/>
        <v>0</v>
      </c>
      <c r="AE49" s="434">
        <v>2.0092592592592592E-2</v>
      </c>
      <c r="AF49" s="432">
        <f t="shared" si="87"/>
        <v>2.0092592592592592E-2</v>
      </c>
      <c r="AG49" s="163" t="e">
        <f>VLOOKUP($B:$B,'HT DIC'!$A:$AE,9,FALSE)</f>
        <v>#N/A</v>
      </c>
      <c r="AH49" s="432">
        <f t="shared" si="88"/>
        <v>0</v>
      </c>
      <c r="AI49" s="434">
        <v>3.3252314814814818E-2</v>
      </c>
      <c r="AJ49" s="432">
        <f t="shared" si="89"/>
        <v>3.3252314814814818E-2</v>
      </c>
      <c r="AK49" s="163" t="e">
        <f>VLOOKUP($B:$B,'HT DIC'!$A:$AE,10,FALSE)</f>
        <v>#N/A</v>
      </c>
      <c r="AL49" s="432">
        <f t="shared" si="90"/>
        <v>0</v>
      </c>
      <c r="AM49" s="434">
        <v>2.2789351851851852E-2</v>
      </c>
      <c r="AN49" s="432">
        <f t="shared" si="91"/>
        <v>2.2789351851851852E-2</v>
      </c>
      <c r="AO49" s="163" t="e">
        <f>VLOOKUP($B:$B,'HT DIC'!$A:$AE,11,FALSE)</f>
        <v>#N/A</v>
      </c>
      <c r="AP49" s="432">
        <f t="shared" si="92"/>
        <v>0</v>
      </c>
      <c r="AQ49" s="432">
        <v>2.7175925925925926E-2</v>
      </c>
      <c r="AR49" s="432">
        <f t="shared" si="93"/>
        <v>2.7175925925925926E-2</v>
      </c>
      <c r="AS49" s="163" t="e">
        <f>VLOOKUP($B:$B,'HT DIC'!$A:$AE,12,FALSE)</f>
        <v>#N/A</v>
      </c>
      <c r="AT49" s="432">
        <f t="shared" si="94"/>
        <v>0</v>
      </c>
      <c r="AU49" s="434">
        <v>3.2939814814814818E-2</v>
      </c>
      <c r="AV49" s="432">
        <f t="shared" si="95"/>
        <v>3.2939814814814818E-2</v>
      </c>
      <c r="AW49" s="163" t="e">
        <f>VLOOKUP($B:$B,'HT DIC'!$A:$AE,13,FALSE)</f>
        <v>#N/A</v>
      </c>
      <c r="AX49" s="432">
        <f t="shared" si="22"/>
        <v>0</v>
      </c>
      <c r="AY49" s="434">
        <v>4.8761574074074075E-2</v>
      </c>
      <c r="AZ49" s="432">
        <f t="shared" si="23"/>
        <v>4.8761574074074075E-2</v>
      </c>
      <c r="BA49" s="163" t="e">
        <f>VLOOKUP($B:$B,'HT DIC'!$A:$AE,14,FALSE)</f>
        <v>#N/A</v>
      </c>
      <c r="BB49" s="432">
        <f t="shared" si="24"/>
        <v>0</v>
      </c>
      <c r="BC49" s="434">
        <v>2.8055555555555556E-2</v>
      </c>
      <c r="BD49" s="432">
        <f t="shared" si="25"/>
        <v>2.8055555555555556E-2</v>
      </c>
      <c r="BE49" s="163" t="e">
        <f>VLOOKUP($B:$B,'HT DIC'!$A:$AE,15,FALSE)</f>
        <v>#N/A</v>
      </c>
      <c r="BF49" s="432">
        <f t="shared" si="26"/>
        <v>0</v>
      </c>
      <c r="BG49" s="434">
        <v>9.6412037037037039E-3</v>
      </c>
      <c r="BH49" s="432">
        <f t="shared" si="27"/>
        <v>9.6412037037037039E-3</v>
      </c>
      <c r="BI49" s="163" t="e">
        <f>VLOOKUP($B:$B,'HT DIC'!$A:$AE,16,FALSE)</f>
        <v>#N/A</v>
      </c>
      <c r="BJ49" s="432">
        <f t="shared" si="63"/>
        <v>0</v>
      </c>
      <c r="BK49" s="434">
        <v>1.7106481481481483E-2</v>
      </c>
      <c r="BL49" s="432">
        <f t="shared" si="29"/>
        <v>1.7106481481481483E-2</v>
      </c>
      <c r="BM49" s="163" t="e">
        <f>VLOOKUP($B:$B,'HT DIC'!$A:$AE,17,FALSE)</f>
        <v>#N/A</v>
      </c>
      <c r="BN49" s="432">
        <f t="shared" si="30"/>
        <v>0</v>
      </c>
      <c r="BO49" s="434">
        <v>7.3958333333333333E-3</v>
      </c>
      <c r="BP49" s="432">
        <f t="shared" si="31"/>
        <v>7.3958333333333333E-3</v>
      </c>
      <c r="BQ49" s="163" t="e">
        <f>VLOOKUP($B:$B,'HT DIC'!$A:$AE,18,FALSE)</f>
        <v>#N/A</v>
      </c>
      <c r="BR49" s="432">
        <f t="shared" si="64"/>
        <v>0</v>
      </c>
      <c r="BS49" s="434">
        <v>2.0671296296296295E-2</v>
      </c>
      <c r="BT49" s="432">
        <f t="shared" si="33"/>
        <v>2.0671296296296295E-2</v>
      </c>
      <c r="BU49" s="163" t="e">
        <f>VLOOKUP($B:$B,'HT DIC'!$A:$AE,19,FALSE)</f>
        <v>#N/A</v>
      </c>
      <c r="BV49" s="432">
        <f t="shared" si="34"/>
        <v>0</v>
      </c>
      <c r="BW49" s="434"/>
      <c r="BX49" s="432">
        <f t="shared" si="35"/>
        <v>0</v>
      </c>
      <c r="BY49" s="163" t="e">
        <f>VLOOKUP($B:$B,'HT DIC'!$A:$AE,20,FALSE)</f>
        <v>#N/A</v>
      </c>
      <c r="BZ49" s="432">
        <f t="shared" si="65"/>
        <v>0</v>
      </c>
      <c r="CA49" s="434">
        <v>2.2893518518518518E-2</v>
      </c>
      <c r="CB49" s="432">
        <f t="shared" si="37"/>
        <v>2.2893518518518518E-2</v>
      </c>
      <c r="CC49" s="163" t="e">
        <f>VLOOKUP($B:$B,'HT DIC'!$A:$AE,21,FALSE)</f>
        <v>#N/A</v>
      </c>
      <c r="CD49" s="432">
        <f t="shared" si="38"/>
        <v>0</v>
      </c>
      <c r="CE49" s="432">
        <v>2.9398148148148149E-2</v>
      </c>
      <c r="CF49" s="432">
        <f t="shared" si="39"/>
        <v>2.9398148148148149E-2</v>
      </c>
      <c r="CG49" s="163" t="e">
        <f>VLOOKUP($B:$B,'HT DIC'!$A:$AE,22,FALSE)</f>
        <v>#N/A</v>
      </c>
      <c r="CH49" s="432">
        <f t="shared" si="40"/>
        <v>0</v>
      </c>
      <c r="CI49" s="434">
        <v>0.14092592592592593</v>
      </c>
      <c r="CJ49" s="432"/>
      <c r="CK49" s="163" t="e">
        <f>VLOOKUP($B:$B,'HT DIC'!$A:$AE,23,FALSE)</f>
        <v>#N/A</v>
      </c>
      <c r="CL49" s="432">
        <f t="shared" si="42"/>
        <v>0</v>
      </c>
      <c r="CM49" s="432">
        <v>3.3391203703703701E-2</v>
      </c>
      <c r="CN49" s="432">
        <f t="shared" si="43"/>
        <v>3.3391203703703701E-2</v>
      </c>
      <c r="CO49" s="163" t="e">
        <f>VLOOKUP($B:$B,'HT DIC'!$A:$AE,24,FALSE)</f>
        <v>#N/A</v>
      </c>
      <c r="CP49" s="432">
        <f t="shared" si="44"/>
        <v>0</v>
      </c>
      <c r="CQ49" s="434">
        <v>2.1701388888888888E-2</v>
      </c>
      <c r="CR49" s="432">
        <f t="shared" si="45"/>
        <v>2.1701388888888888E-2</v>
      </c>
      <c r="CS49" s="163" t="e">
        <f>VLOOKUP($B:$B,'HT DIC'!$A:$AE,25,FALSE)</f>
        <v>#N/A</v>
      </c>
      <c r="CT49" s="432">
        <f t="shared" si="46"/>
        <v>0</v>
      </c>
      <c r="CU49" s="432">
        <v>3.4722222222222224E-2</v>
      </c>
      <c r="CV49" s="432">
        <f t="shared" si="47"/>
        <v>3.4722222222222224E-2</v>
      </c>
      <c r="CW49" s="163" t="e">
        <f>VLOOKUP($B:$B,'HT DIC'!$A:$AE,26,FALSE)</f>
        <v>#N/A</v>
      </c>
      <c r="CX49" s="432">
        <f t="shared" si="48"/>
        <v>0</v>
      </c>
      <c r="CY49" s="434"/>
      <c r="CZ49" s="432">
        <f t="shared" si="49"/>
        <v>0</v>
      </c>
      <c r="DA49" s="163" t="e">
        <f>VLOOKUP($B:$B,'HT DIC'!$A:$AE,27,FALSE)</f>
        <v>#N/A</v>
      </c>
      <c r="DB49" s="432">
        <f t="shared" si="66"/>
        <v>0</v>
      </c>
      <c r="DC49" s="434">
        <v>2.7511574074074074E-2</v>
      </c>
      <c r="DD49" s="432">
        <f t="shared" si="51"/>
        <v>2.7511574074074074E-2</v>
      </c>
      <c r="DE49" s="163" t="e">
        <f>VLOOKUP($B:$B,'HT DIC'!$A:$AE,28,FALSE)</f>
        <v>#N/A</v>
      </c>
      <c r="DF49" s="432">
        <f t="shared" si="52"/>
        <v>0</v>
      </c>
      <c r="DG49" s="434">
        <v>3.7731481481481483E-3</v>
      </c>
      <c r="DH49" s="432">
        <f t="shared" si="53"/>
        <v>3.7731481481481483E-3</v>
      </c>
      <c r="DI49" s="163" t="e">
        <f>VLOOKUP($B:$B,'HT DIC'!$A:$AE,29,FALSE)</f>
        <v>#N/A</v>
      </c>
      <c r="DJ49" s="432">
        <f t="shared" si="73"/>
        <v>0</v>
      </c>
      <c r="DK49" s="434">
        <v>2.9687499999999999E-2</v>
      </c>
      <c r="DL49" s="432">
        <f t="shared" si="55"/>
        <v>2.9687499999999999E-2</v>
      </c>
      <c r="DM49" s="163" t="e">
        <f>VLOOKUP($B:$B,'HT DIC'!$A:$AE,30,FALSE)</f>
        <v>#N/A</v>
      </c>
      <c r="DN49" s="432">
        <f t="shared" si="68"/>
        <v>0</v>
      </c>
      <c r="DO49" s="434">
        <v>3.0277777777777778E-2</v>
      </c>
      <c r="DP49" s="432">
        <f t="shared" si="57"/>
        <v>3.0277777777777778E-2</v>
      </c>
      <c r="DQ49" s="163" t="e">
        <f>VLOOKUP($B:$B,'HT DIC'!$A:$AE,31,FALSE)</f>
        <v>#N/A</v>
      </c>
      <c r="DR49" s="432">
        <f t="shared" si="58"/>
        <v>0</v>
      </c>
      <c r="DS49" s="434">
        <v>2.6354166666666668E-2</v>
      </c>
      <c r="DT49" s="432">
        <f t="shared" si="59"/>
        <v>2.6354166666666668E-2</v>
      </c>
      <c r="DU49" s="163" t="e">
        <f>VLOOKUP($B:$B,'HT DIC'!$A:$AE,32,FALSE)</f>
        <v>#N/A</v>
      </c>
      <c r="DV49" s="432">
        <f t="shared" si="60"/>
        <v>0</v>
      </c>
      <c r="DW49" s="434"/>
      <c r="DX49" s="432">
        <f t="shared" si="61"/>
        <v>0</v>
      </c>
      <c r="DY49" s="432">
        <f t="shared" si="69"/>
        <v>0.59482638888888884</v>
      </c>
    </row>
    <row r="50" spans="1:129">
      <c r="A50" s="166" t="s">
        <v>152</v>
      </c>
      <c r="B50" s="166" t="s">
        <v>495</v>
      </c>
      <c r="C50" s="166">
        <v>1762360749</v>
      </c>
      <c r="D50" s="431">
        <v>33519</v>
      </c>
      <c r="E50" s="163" t="e">
        <f>VLOOKUP($B:$B,#REF!,2,FALSE)</f>
        <v>#REF!</v>
      </c>
      <c r="F50" s="432">
        <f t="shared" si="74"/>
        <v>0</v>
      </c>
      <c r="G50" s="434">
        <v>2.4305555555555556E-2</v>
      </c>
      <c r="H50" s="432">
        <f t="shared" si="75"/>
        <v>2.4305555555555556E-2</v>
      </c>
      <c r="I50" s="163" t="e">
        <f>VLOOKUP($B:$B,'HT DIC'!$A:$AE,3,FALSE)</f>
        <v>#N/A</v>
      </c>
      <c r="J50" s="432">
        <f t="shared" si="76"/>
        <v>0</v>
      </c>
      <c r="K50" s="434">
        <v>2.3379629629629629E-2</v>
      </c>
      <c r="L50" s="432">
        <f t="shared" si="77"/>
        <v>2.3379629629629629E-2</v>
      </c>
      <c r="M50" s="163" t="e">
        <f>VLOOKUP($B:$B,'HT DIC'!$A:$AE,4,FALSE)</f>
        <v>#N/A</v>
      </c>
      <c r="N50" s="432">
        <f t="shared" si="78"/>
        <v>0</v>
      </c>
      <c r="O50" s="432">
        <v>3.5925925925925924E-2</v>
      </c>
      <c r="P50" s="432">
        <f t="shared" si="79"/>
        <v>3.5925925925925924E-2</v>
      </c>
      <c r="Q50" s="163" t="e">
        <f>VLOOKUP($B:$B,'HT DIC'!$A:$AE,5,FALSE)</f>
        <v>#N/A</v>
      </c>
      <c r="R50" s="432">
        <f t="shared" si="80"/>
        <v>0</v>
      </c>
      <c r="S50" s="432">
        <v>3.1620370370370368E-2</v>
      </c>
      <c r="T50" s="432">
        <f t="shared" si="81"/>
        <v>3.1620370370370368E-2</v>
      </c>
      <c r="U50" s="163" t="e">
        <f>VLOOKUP($B:$B,'HT DIC'!$A:$AE,6,FALSE)</f>
        <v>#N/A</v>
      </c>
      <c r="V50" s="432">
        <f t="shared" si="82"/>
        <v>0</v>
      </c>
      <c r="W50" s="434">
        <v>4.0509259259259259E-2</v>
      </c>
      <c r="X50" s="432">
        <f t="shared" si="83"/>
        <v>4.0509259259259259E-2</v>
      </c>
      <c r="Y50" s="163" t="e">
        <f>VLOOKUP($B:$B,'HT DIC'!$A:$AE,7,FALSE)</f>
        <v>#N/A</v>
      </c>
      <c r="Z50" s="432">
        <f t="shared" si="84"/>
        <v>0</v>
      </c>
      <c r="AA50" s="432">
        <f>IFERROR(VLOOKUP(Z50,$B$229:$E$245,2,FALSE),0)</f>
        <v>0</v>
      </c>
      <c r="AB50" s="432">
        <f t="shared" si="85"/>
        <v>0</v>
      </c>
      <c r="AC50" s="163" t="e">
        <f>VLOOKUP($B:$B,'HT DIC'!$A:$AE,8,FALSE)</f>
        <v>#N/A</v>
      </c>
      <c r="AD50" s="432">
        <f t="shared" si="86"/>
        <v>0</v>
      </c>
      <c r="AE50" s="434"/>
      <c r="AF50" s="432">
        <f t="shared" si="87"/>
        <v>0</v>
      </c>
      <c r="AG50" s="163" t="e">
        <f>VLOOKUP($B:$B,'HT DIC'!$A:$AE,9,FALSE)</f>
        <v>#N/A</v>
      </c>
      <c r="AH50" s="432">
        <f t="shared" si="88"/>
        <v>0</v>
      </c>
      <c r="AI50" s="434">
        <v>4.701388888888889E-2</v>
      </c>
      <c r="AJ50" s="432">
        <f t="shared" si="89"/>
        <v>4.701388888888889E-2</v>
      </c>
      <c r="AK50" s="163" t="e">
        <f>VLOOKUP($B:$B,'HT DIC'!$A:$AE,10,FALSE)</f>
        <v>#N/A</v>
      </c>
      <c r="AL50" s="432">
        <f t="shared" si="90"/>
        <v>0</v>
      </c>
      <c r="AM50" s="434">
        <v>3.215277777777778E-2</v>
      </c>
      <c r="AN50" s="432">
        <f t="shared" si="91"/>
        <v>3.215277777777778E-2</v>
      </c>
      <c r="AO50" s="163" t="e">
        <f>VLOOKUP($B:$B,'HT DIC'!$A:$AE,11,FALSE)</f>
        <v>#N/A</v>
      </c>
      <c r="AP50" s="432">
        <f t="shared" si="92"/>
        <v>0</v>
      </c>
      <c r="AQ50" s="432">
        <f>IFERROR(VLOOKUP(AP50,$B$229:$E$245,2,FALSE),0)</f>
        <v>0</v>
      </c>
      <c r="AR50" s="432">
        <f t="shared" si="93"/>
        <v>0</v>
      </c>
      <c r="AS50" s="163" t="e">
        <f>VLOOKUP($B:$B,'HT DIC'!$A:$AE,12,FALSE)</f>
        <v>#N/A</v>
      </c>
      <c r="AT50" s="432">
        <f t="shared" si="94"/>
        <v>0</v>
      </c>
      <c r="AU50" s="434"/>
      <c r="AV50" s="432">
        <f t="shared" si="95"/>
        <v>0</v>
      </c>
      <c r="AW50" s="163" t="e">
        <f>VLOOKUP($B:$B,'HT DIC'!$A:$AE,13,FALSE)</f>
        <v>#N/A</v>
      </c>
      <c r="AX50" s="432">
        <f t="shared" si="22"/>
        <v>0</v>
      </c>
      <c r="AY50" s="434">
        <v>5.0509259259259261E-2</v>
      </c>
      <c r="AZ50" s="432">
        <f t="shared" si="23"/>
        <v>5.0509259259259261E-2</v>
      </c>
      <c r="BA50" s="163" t="e">
        <f>VLOOKUP($B:$B,'HT DIC'!$A:$AE,14,FALSE)</f>
        <v>#N/A</v>
      </c>
      <c r="BB50" s="432">
        <f t="shared" si="24"/>
        <v>0</v>
      </c>
      <c r="BC50" s="434">
        <v>5.8449074074074077E-2</v>
      </c>
      <c r="BD50" s="432">
        <f t="shared" si="25"/>
        <v>5.8449074074074077E-2</v>
      </c>
      <c r="BE50" s="163" t="e">
        <f>VLOOKUP($B:$B,'HT DIC'!$A:$AE,15,FALSE)</f>
        <v>#N/A</v>
      </c>
      <c r="BF50" s="432">
        <f t="shared" si="26"/>
        <v>0</v>
      </c>
      <c r="BG50" s="434">
        <v>4.0219907407407406E-2</v>
      </c>
      <c r="BH50" s="432">
        <f t="shared" si="27"/>
        <v>4.0219907407407406E-2</v>
      </c>
      <c r="BI50" s="163" t="e">
        <f>VLOOKUP($B:$B,'HT DIC'!$A:$AE,16,FALSE)</f>
        <v>#N/A</v>
      </c>
      <c r="BJ50" s="432">
        <f t="shared" si="63"/>
        <v>0</v>
      </c>
      <c r="BK50" s="434">
        <v>2.6018518518518517E-2</v>
      </c>
      <c r="BL50" s="432">
        <f t="shared" si="29"/>
        <v>2.6018518518518517E-2</v>
      </c>
      <c r="BM50" s="163" t="e">
        <f>VLOOKUP($B:$B,'HT DIC'!$A:$AE,17,FALSE)</f>
        <v>#N/A</v>
      </c>
      <c r="BN50" s="432">
        <f t="shared" si="30"/>
        <v>0</v>
      </c>
      <c r="BO50" s="434">
        <v>3.7962962962962962E-2</v>
      </c>
      <c r="BP50" s="432">
        <f t="shared" si="31"/>
        <v>3.7962962962962962E-2</v>
      </c>
      <c r="BQ50" s="163" t="e">
        <f>VLOOKUP($B:$B,'HT DIC'!$A:$AE,18,FALSE)</f>
        <v>#N/A</v>
      </c>
      <c r="BR50" s="432">
        <f t="shared" si="64"/>
        <v>0</v>
      </c>
      <c r="BS50" s="434">
        <v>6.761574074074074E-2</v>
      </c>
      <c r="BT50" s="432">
        <f t="shared" si="33"/>
        <v>6.761574074074074E-2</v>
      </c>
      <c r="BU50" s="163" t="e">
        <f>VLOOKUP($B:$B,'HT DIC'!$A:$AE,19,FALSE)</f>
        <v>#N/A</v>
      </c>
      <c r="BV50" s="432">
        <f t="shared" si="34"/>
        <v>0</v>
      </c>
      <c r="BW50" s="434">
        <v>4.8564814814814818E-2</v>
      </c>
      <c r="BX50" s="432">
        <f t="shared" si="35"/>
        <v>4.8564814814814818E-2</v>
      </c>
      <c r="BY50" s="163" t="e">
        <f>VLOOKUP($B:$B,'HT DIC'!$A:$AE,20,FALSE)</f>
        <v>#N/A</v>
      </c>
      <c r="BZ50" s="432">
        <f t="shared" si="65"/>
        <v>0</v>
      </c>
      <c r="CA50" s="432">
        <f>IFERROR(VLOOKUP(BZ50,$B$229:$E$245,2,FALSE),0)</f>
        <v>0</v>
      </c>
      <c r="CB50" s="432">
        <f t="shared" si="37"/>
        <v>0</v>
      </c>
      <c r="CC50" s="163" t="e">
        <f>VLOOKUP($B:$B,'HT DIC'!$A:$AE,21,FALSE)</f>
        <v>#N/A</v>
      </c>
      <c r="CD50" s="432">
        <f t="shared" si="38"/>
        <v>0</v>
      </c>
      <c r="CE50" s="432">
        <f>IFERROR(VLOOKUP(CD50,$B$229:$E$245,2,FALSE),0)</f>
        <v>0</v>
      </c>
      <c r="CF50" s="432">
        <f t="shared" si="39"/>
        <v>0</v>
      </c>
      <c r="CG50" s="163" t="e">
        <f>VLOOKUP($B:$B,'HT DIC'!$A:$AE,22,FALSE)</f>
        <v>#N/A</v>
      </c>
      <c r="CH50" s="432">
        <f t="shared" si="40"/>
        <v>0</v>
      </c>
      <c r="CI50" s="434"/>
      <c r="CJ50" s="432">
        <f t="shared" ref="CJ50:CJ51" si="96">IF(CI50-CH50&lt;0,0,CI50-CH50)</f>
        <v>0</v>
      </c>
      <c r="CK50" s="163" t="e">
        <f>VLOOKUP($B:$B,'HT DIC'!$A:$AE,23,FALSE)</f>
        <v>#N/A</v>
      </c>
      <c r="CL50" s="432">
        <f t="shared" si="42"/>
        <v>0</v>
      </c>
      <c r="CM50" s="432">
        <v>4.0243055555555553E-2</v>
      </c>
      <c r="CN50" s="432">
        <f t="shared" si="43"/>
        <v>4.0243055555555553E-2</v>
      </c>
      <c r="CO50" s="163" t="e">
        <f>VLOOKUP($B:$B,'HT DIC'!$A:$AE,24,FALSE)</f>
        <v>#N/A</v>
      </c>
      <c r="CP50" s="432">
        <f t="shared" si="44"/>
        <v>0</v>
      </c>
      <c r="CQ50" s="434">
        <v>2.4305555555555556E-2</v>
      </c>
      <c r="CR50" s="432">
        <f t="shared" si="45"/>
        <v>2.4305555555555556E-2</v>
      </c>
      <c r="CS50" s="163" t="e">
        <f>VLOOKUP($B:$B,'HT DIC'!$A:$AE,25,FALSE)</f>
        <v>#N/A</v>
      </c>
      <c r="CT50" s="432">
        <f t="shared" si="46"/>
        <v>0</v>
      </c>
      <c r="CU50" s="432">
        <v>5.077546296296296E-2</v>
      </c>
      <c r="CV50" s="432">
        <f t="shared" si="47"/>
        <v>5.077546296296296E-2</v>
      </c>
      <c r="CW50" s="163" t="e">
        <f>VLOOKUP($B:$B,'HT DIC'!$A:$AE,26,FALSE)</f>
        <v>#N/A</v>
      </c>
      <c r="CX50" s="432">
        <f t="shared" si="48"/>
        <v>0</v>
      </c>
      <c r="CY50" s="434">
        <v>4.6273148148148147E-2</v>
      </c>
      <c r="CZ50" s="432">
        <f t="shared" si="49"/>
        <v>4.6273148148148147E-2</v>
      </c>
      <c r="DA50" s="163" t="e">
        <f>VLOOKUP($B:$B,'HT DIC'!$A:$AE,27,FALSE)</f>
        <v>#N/A</v>
      </c>
      <c r="DB50" s="432">
        <f t="shared" si="66"/>
        <v>0</v>
      </c>
      <c r="DC50" s="434">
        <v>3.7916666666666668E-2</v>
      </c>
      <c r="DD50" s="432">
        <f t="shared" si="51"/>
        <v>3.7916666666666668E-2</v>
      </c>
      <c r="DE50" s="163" t="e">
        <f>VLOOKUP($B:$B,'HT DIC'!$A:$AE,28,FALSE)</f>
        <v>#N/A</v>
      </c>
      <c r="DF50" s="432">
        <f t="shared" si="52"/>
        <v>0</v>
      </c>
      <c r="DG50" s="434">
        <v>4.5763888888888889E-2</v>
      </c>
      <c r="DH50" s="432">
        <f t="shared" si="53"/>
        <v>4.5763888888888889E-2</v>
      </c>
      <c r="DI50" s="163" t="e">
        <f>VLOOKUP($B:$B,'HT DIC'!$A:$AE,29,FALSE)</f>
        <v>#N/A</v>
      </c>
      <c r="DJ50" s="432">
        <f t="shared" si="73"/>
        <v>0</v>
      </c>
      <c r="DK50" s="434"/>
      <c r="DL50" s="432">
        <f t="shared" si="55"/>
        <v>0</v>
      </c>
      <c r="DM50" s="163" t="e">
        <f>VLOOKUP($B:$B,'HT DIC'!$A:$AE,30,FALSE)</f>
        <v>#N/A</v>
      </c>
      <c r="DN50" s="432">
        <f t="shared" si="68"/>
        <v>0</v>
      </c>
      <c r="DO50" s="434">
        <v>3.125E-2</v>
      </c>
      <c r="DP50" s="432">
        <f t="shared" si="57"/>
        <v>3.125E-2</v>
      </c>
      <c r="DQ50" s="163" t="e">
        <f>VLOOKUP($B:$B,'HT DIC'!$A:$AE,31,FALSE)</f>
        <v>#N/A</v>
      </c>
      <c r="DR50" s="432">
        <f t="shared" si="58"/>
        <v>0</v>
      </c>
      <c r="DS50" s="434">
        <v>3.4247685185185187E-2</v>
      </c>
      <c r="DT50" s="432">
        <f t="shared" si="59"/>
        <v>3.4247685185185187E-2</v>
      </c>
      <c r="DU50" s="163" t="e">
        <f>VLOOKUP($B:$B,'HT DIC'!$A:$AE,32,FALSE)</f>
        <v>#N/A</v>
      </c>
      <c r="DV50" s="432">
        <f t="shared" si="60"/>
        <v>0</v>
      </c>
      <c r="DW50" s="434"/>
      <c r="DX50" s="432">
        <f t="shared" si="61"/>
        <v>0</v>
      </c>
      <c r="DY50" s="432">
        <f t="shared" si="69"/>
        <v>0.8750231481481483</v>
      </c>
    </row>
    <row r="51" spans="1:129">
      <c r="A51" s="166" t="s">
        <v>155</v>
      </c>
      <c r="B51" s="166" t="s">
        <v>508</v>
      </c>
      <c r="C51" s="166">
        <v>202366647</v>
      </c>
      <c r="D51" s="431">
        <v>38516</v>
      </c>
      <c r="E51" s="163" t="e">
        <f>VLOOKUP($B:$B,#REF!,2,FALSE)</f>
        <v>#REF!</v>
      </c>
      <c r="F51" s="432">
        <f t="shared" si="74"/>
        <v>0</v>
      </c>
      <c r="G51" s="434">
        <v>1.8333333333333333E-2</v>
      </c>
      <c r="H51" s="432">
        <f t="shared" si="75"/>
        <v>1.8333333333333333E-2</v>
      </c>
      <c r="I51" s="163" t="e">
        <f>VLOOKUP($B:$B,'HT DIC'!$A:$AE,3,FALSE)</f>
        <v>#N/A</v>
      </c>
      <c r="J51" s="432">
        <f t="shared" si="76"/>
        <v>0</v>
      </c>
      <c r="K51" s="434">
        <v>2.5624999999999998E-2</v>
      </c>
      <c r="L51" s="432">
        <f t="shared" si="77"/>
        <v>2.5624999999999998E-2</v>
      </c>
      <c r="M51" s="163" t="e">
        <f>VLOOKUP($B:$B,'HT DIC'!$A:$AE,4,FALSE)</f>
        <v>#N/A</v>
      </c>
      <c r="N51" s="432">
        <f t="shared" si="78"/>
        <v>0</v>
      </c>
      <c r="O51" s="432">
        <v>2.4560185185185185E-2</v>
      </c>
      <c r="P51" s="432">
        <f t="shared" si="79"/>
        <v>2.4560185185185185E-2</v>
      </c>
      <c r="Q51" s="163" t="e">
        <f>VLOOKUP($B:$B,'HT DIC'!$A:$AE,5,FALSE)</f>
        <v>#N/A</v>
      </c>
      <c r="R51" s="432">
        <f t="shared" si="80"/>
        <v>0</v>
      </c>
      <c r="S51" s="432">
        <v>2.0833333333333332E-2</v>
      </c>
      <c r="T51" s="432">
        <f t="shared" si="81"/>
        <v>2.0833333333333332E-2</v>
      </c>
      <c r="U51" s="163" t="e">
        <f>VLOOKUP($B:$B,'HT DIC'!$A:$AE,6,FALSE)</f>
        <v>#N/A</v>
      </c>
      <c r="V51" s="432">
        <f t="shared" si="82"/>
        <v>0</v>
      </c>
      <c r="W51" s="434">
        <v>2.0185185185185184E-2</v>
      </c>
      <c r="X51" s="432">
        <f t="shared" si="83"/>
        <v>2.0185185185185184E-2</v>
      </c>
      <c r="Y51" s="163" t="e">
        <f>VLOOKUP($B:$B,'HT DIC'!$A:$AE,7,FALSE)</f>
        <v>#N/A</v>
      </c>
      <c r="Z51" s="432">
        <f t="shared" si="84"/>
        <v>0</v>
      </c>
      <c r="AA51" s="434">
        <v>2.0729166666666667E-2</v>
      </c>
      <c r="AB51" s="432">
        <f t="shared" si="85"/>
        <v>2.0729166666666667E-2</v>
      </c>
      <c r="AC51" s="163" t="e">
        <f>VLOOKUP($B:$B,'HT DIC'!$A:$AE,8,FALSE)</f>
        <v>#N/A</v>
      </c>
      <c r="AD51" s="432">
        <f t="shared" si="86"/>
        <v>0</v>
      </c>
      <c r="AE51" s="434"/>
      <c r="AF51" s="432">
        <f t="shared" si="87"/>
        <v>0</v>
      </c>
      <c r="AG51" s="163" t="e">
        <f>VLOOKUP($B:$B,'HT DIC'!$A:$AE,9,FALSE)</f>
        <v>#N/A</v>
      </c>
      <c r="AH51" s="432">
        <f t="shared" si="88"/>
        <v>0</v>
      </c>
      <c r="AI51" s="434">
        <v>2.0810185185185185E-2</v>
      </c>
      <c r="AJ51" s="432">
        <f t="shared" si="89"/>
        <v>2.0810185185185185E-2</v>
      </c>
      <c r="AK51" s="163" t="e">
        <f>VLOOKUP($B:$B,'HT DIC'!$A:$AE,10,FALSE)</f>
        <v>#N/A</v>
      </c>
      <c r="AL51" s="432">
        <f t="shared" si="90"/>
        <v>0</v>
      </c>
      <c r="AM51" s="434">
        <v>3.1215277777777779E-2</v>
      </c>
      <c r="AN51" s="432">
        <f t="shared" si="91"/>
        <v>3.1215277777777779E-2</v>
      </c>
      <c r="AO51" s="163" t="e">
        <f>VLOOKUP($B:$B,'HT DIC'!$A:$AE,11,FALSE)</f>
        <v>#N/A</v>
      </c>
      <c r="AP51" s="432">
        <f t="shared" si="92"/>
        <v>0</v>
      </c>
      <c r="AQ51" s="432">
        <v>2.7777777777777776E-2</v>
      </c>
      <c r="AR51" s="432">
        <f t="shared" si="93"/>
        <v>2.7777777777777776E-2</v>
      </c>
      <c r="AS51" s="163" t="e">
        <f>VLOOKUP($B:$B,'HT DIC'!$A:$AE,12,FALSE)</f>
        <v>#N/A</v>
      </c>
      <c r="AT51" s="432">
        <f t="shared" si="94"/>
        <v>0</v>
      </c>
      <c r="AU51" s="434">
        <v>8.773148148148148E-3</v>
      </c>
      <c r="AV51" s="432">
        <f t="shared" si="95"/>
        <v>8.773148148148148E-3</v>
      </c>
      <c r="AW51" s="163" t="e">
        <f>VLOOKUP($B:$B,'HT DIC'!$A:$AE,13,FALSE)</f>
        <v>#N/A</v>
      </c>
      <c r="AX51" s="432">
        <f t="shared" si="22"/>
        <v>0</v>
      </c>
      <c r="AY51" s="434">
        <v>2.8622685185185185E-2</v>
      </c>
      <c r="AZ51" s="432">
        <f t="shared" si="23"/>
        <v>2.8622685185185185E-2</v>
      </c>
      <c r="BA51" s="163" t="e">
        <f>VLOOKUP($B:$B,'HT DIC'!$A:$AE,14,FALSE)</f>
        <v>#N/A</v>
      </c>
      <c r="BB51" s="432">
        <f t="shared" si="24"/>
        <v>0</v>
      </c>
      <c r="BC51" s="434">
        <v>2.7372685185185184E-2</v>
      </c>
      <c r="BD51" s="432">
        <f t="shared" si="25"/>
        <v>2.7372685185185184E-2</v>
      </c>
      <c r="BE51" s="163" t="e">
        <f>VLOOKUP($B:$B,'HT DIC'!$A:$AE,15,FALSE)</f>
        <v>#N/A</v>
      </c>
      <c r="BF51" s="432">
        <f t="shared" si="26"/>
        <v>0</v>
      </c>
      <c r="BG51" s="434"/>
      <c r="BH51" s="432">
        <f t="shared" si="27"/>
        <v>0</v>
      </c>
      <c r="BI51" s="163" t="e">
        <f>VLOOKUP($B:$B,'HT DIC'!$A:$AE,16,FALSE)</f>
        <v>#N/A</v>
      </c>
      <c r="BJ51" s="432">
        <f t="shared" si="63"/>
        <v>0</v>
      </c>
      <c r="BK51" s="434">
        <v>2.8530092592592593E-2</v>
      </c>
      <c r="BL51" s="432">
        <f t="shared" si="29"/>
        <v>2.8530092592592593E-2</v>
      </c>
      <c r="BM51" s="163" t="e">
        <f>VLOOKUP($B:$B,'HT DIC'!$A:$AE,17,FALSE)</f>
        <v>#N/A</v>
      </c>
      <c r="BN51" s="432">
        <f t="shared" si="30"/>
        <v>0</v>
      </c>
      <c r="BO51" s="434">
        <v>2.0833333333333332E-2</v>
      </c>
      <c r="BP51" s="432">
        <f t="shared" si="31"/>
        <v>2.0833333333333332E-2</v>
      </c>
      <c r="BQ51" s="163" t="e">
        <f>VLOOKUP($B:$B,'HT DIC'!$A:$AE,18,FALSE)</f>
        <v>#N/A</v>
      </c>
      <c r="BR51" s="432">
        <f t="shared" si="64"/>
        <v>0</v>
      </c>
      <c r="BS51" s="434">
        <v>8.6805555555555551E-4</v>
      </c>
      <c r="BT51" s="432">
        <f t="shared" si="33"/>
        <v>8.6805555555555551E-4</v>
      </c>
      <c r="BU51" s="163" t="e">
        <f>VLOOKUP($B:$B,'HT DIC'!$A:$AE,19,FALSE)</f>
        <v>#N/A</v>
      </c>
      <c r="BV51" s="432">
        <f t="shared" si="34"/>
        <v>0</v>
      </c>
      <c r="BW51" s="434">
        <v>3.8194444444444448E-2</v>
      </c>
      <c r="BX51" s="432">
        <f t="shared" si="35"/>
        <v>3.8194444444444448E-2</v>
      </c>
      <c r="BY51" s="163" t="e">
        <f>VLOOKUP($B:$B,'HT DIC'!$A:$AE,20,FALSE)</f>
        <v>#N/A</v>
      </c>
      <c r="BZ51" s="432">
        <f t="shared" si="65"/>
        <v>0</v>
      </c>
      <c r="CA51" s="434">
        <v>3.4722222222222224E-2</v>
      </c>
      <c r="CB51" s="432">
        <f t="shared" si="37"/>
        <v>3.4722222222222224E-2</v>
      </c>
      <c r="CC51" s="163" t="e">
        <f>VLOOKUP($B:$B,'HT DIC'!$A:$AE,21,FALSE)</f>
        <v>#N/A</v>
      </c>
      <c r="CD51" s="432">
        <f t="shared" si="38"/>
        <v>0</v>
      </c>
      <c r="CE51" s="432">
        <v>3.4722222222222224E-2</v>
      </c>
      <c r="CF51" s="432">
        <f t="shared" si="39"/>
        <v>3.4722222222222224E-2</v>
      </c>
      <c r="CG51" s="163" t="e">
        <f>VLOOKUP($B:$B,'HT DIC'!$A:$AE,22,FALSE)</f>
        <v>#N/A</v>
      </c>
      <c r="CH51" s="432">
        <f t="shared" si="40"/>
        <v>0</v>
      </c>
      <c r="CI51" s="434"/>
      <c r="CJ51" s="432">
        <f t="shared" si="96"/>
        <v>0</v>
      </c>
      <c r="CK51" s="163" t="e">
        <f>VLOOKUP($B:$B,'HT DIC'!$A:$AE,23,FALSE)</f>
        <v>#N/A</v>
      </c>
      <c r="CL51" s="432">
        <f t="shared" si="42"/>
        <v>0</v>
      </c>
      <c r="CM51" s="432">
        <v>3.7476851851851851E-2</v>
      </c>
      <c r="CN51" s="432">
        <f t="shared" si="43"/>
        <v>3.7476851851851851E-2</v>
      </c>
      <c r="CO51" s="163" t="e">
        <f>VLOOKUP($B:$B,'HT DIC'!$A:$AE,24,FALSE)</f>
        <v>#N/A</v>
      </c>
      <c r="CP51" s="432">
        <f t="shared" si="44"/>
        <v>0</v>
      </c>
      <c r="CQ51" s="434">
        <v>3.7025462962962961E-2</v>
      </c>
      <c r="CR51" s="432">
        <f t="shared" si="45"/>
        <v>3.7025462962962961E-2</v>
      </c>
      <c r="CS51" s="163" t="e">
        <f>VLOOKUP($B:$B,'HT DIC'!$A:$AE,25,FALSE)</f>
        <v>#N/A</v>
      </c>
      <c r="CT51" s="432">
        <f t="shared" si="46"/>
        <v>0</v>
      </c>
      <c r="CU51" s="432">
        <v>3.0046296296296297E-2</v>
      </c>
      <c r="CV51" s="432">
        <f t="shared" si="47"/>
        <v>3.0046296296296297E-2</v>
      </c>
      <c r="CW51" s="163" t="e">
        <f>VLOOKUP($B:$B,'HT DIC'!$A:$AE,26,FALSE)</f>
        <v>#N/A</v>
      </c>
      <c r="CX51" s="432">
        <f t="shared" si="48"/>
        <v>0</v>
      </c>
      <c r="CY51" s="434">
        <v>3.7187499999999998E-2</v>
      </c>
      <c r="CZ51" s="432">
        <f t="shared" si="49"/>
        <v>3.7187499999999998E-2</v>
      </c>
      <c r="DA51" s="163" t="e">
        <f>VLOOKUP($B:$B,'HT DIC'!$A:$AE,27,FALSE)</f>
        <v>#N/A</v>
      </c>
      <c r="DB51" s="432">
        <f t="shared" si="66"/>
        <v>0</v>
      </c>
      <c r="DC51" s="434">
        <v>3.4722222222222224E-2</v>
      </c>
      <c r="DD51" s="432">
        <f t="shared" si="51"/>
        <v>3.4722222222222224E-2</v>
      </c>
      <c r="DE51" s="163" t="e">
        <f>VLOOKUP($B:$B,'HT DIC'!$A:$AE,28,FALSE)</f>
        <v>#N/A</v>
      </c>
      <c r="DF51" s="432">
        <f t="shared" si="52"/>
        <v>0</v>
      </c>
      <c r="DG51" s="434"/>
      <c r="DH51" s="432">
        <f t="shared" si="53"/>
        <v>0</v>
      </c>
      <c r="DI51" s="163" t="e">
        <f>VLOOKUP($B:$B,'HT DIC'!$A:$AE,29,FALSE)</f>
        <v>#N/A</v>
      </c>
      <c r="DJ51" s="432">
        <f t="shared" si="73"/>
        <v>0</v>
      </c>
      <c r="DK51" s="434"/>
      <c r="DL51" s="432">
        <f t="shared" si="55"/>
        <v>0</v>
      </c>
      <c r="DM51" s="163" t="e">
        <f>VLOOKUP($B:$B,'HT DIC'!$A:$AE,30,FALSE)</f>
        <v>#N/A</v>
      </c>
      <c r="DN51" s="432">
        <f t="shared" si="68"/>
        <v>0</v>
      </c>
      <c r="DO51" s="434">
        <v>2.3969907407407409E-2</v>
      </c>
      <c r="DP51" s="432">
        <f t="shared" si="57"/>
        <v>2.3969907407407409E-2</v>
      </c>
      <c r="DQ51" s="163" t="e">
        <f>VLOOKUP($B:$B,'HT DIC'!$A:$AE,31,FALSE)</f>
        <v>#N/A</v>
      </c>
      <c r="DR51" s="432">
        <f t="shared" si="58"/>
        <v>0</v>
      </c>
      <c r="DS51" s="434">
        <v>2.7777777777777776E-2</v>
      </c>
      <c r="DT51" s="432">
        <f t="shared" si="59"/>
        <v>2.7777777777777776E-2</v>
      </c>
      <c r="DU51" s="163" t="e">
        <f>VLOOKUP($B:$B,'HT DIC'!$A:$AE,32,FALSE)</f>
        <v>#N/A</v>
      </c>
      <c r="DV51" s="432">
        <f t="shared" si="60"/>
        <v>0</v>
      </c>
      <c r="DW51" s="434"/>
      <c r="DX51" s="432">
        <f t="shared" si="61"/>
        <v>0</v>
      </c>
      <c r="DY51" s="432">
        <f t="shared" si="69"/>
        <v>0.66091435185185199</v>
      </c>
    </row>
    <row r="52" spans="1:129">
      <c r="A52" s="166" t="s">
        <v>157</v>
      </c>
      <c r="B52" s="166" t="s">
        <v>497</v>
      </c>
      <c r="C52" s="166">
        <v>1725564106</v>
      </c>
      <c r="D52" s="431">
        <v>35775</v>
      </c>
      <c r="E52" s="163" t="e">
        <f>VLOOKUP($B:$B,#REF!,2,FALSE)</f>
        <v>#REF!</v>
      </c>
      <c r="F52" s="432">
        <f t="shared" si="74"/>
        <v>0</v>
      </c>
      <c r="G52" s="434">
        <v>2.1689814814814815E-2</v>
      </c>
      <c r="H52" s="432">
        <f t="shared" si="75"/>
        <v>2.1689814814814815E-2</v>
      </c>
      <c r="I52" s="163" t="e">
        <f>VLOOKUP($B:$B,'HT DIC'!$A:$AE,3,FALSE)</f>
        <v>#N/A</v>
      </c>
      <c r="J52" s="432">
        <f t="shared" si="76"/>
        <v>0</v>
      </c>
      <c r="K52" s="434">
        <v>1.7118055555555556E-2</v>
      </c>
      <c r="L52" s="432">
        <f t="shared" si="77"/>
        <v>1.7118055555555556E-2</v>
      </c>
      <c r="M52" s="163" t="e">
        <f>VLOOKUP($B:$B,'HT DIC'!$A:$AE,4,FALSE)</f>
        <v>#N/A</v>
      </c>
      <c r="N52" s="432">
        <f t="shared" si="78"/>
        <v>0</v>
      </c>
      <c r="O52" s="432">
        <v>2.3634259259259258E-2</v>
      </c>
      <c r="P52" s="432">
        <f t="shared" si="79"/>
        <v>2.3634259259259258E-2</v>
      </c>
      <c r="Q52" s="163" t="e">
        <f>VLOOKUP($B:$B,'HT DIC'!$A:$AE,5,FALSE)</f>
        <v>#N/A</v>
      </c>
      <c r="R52" s="432">
        <f t="shared" si="80"/>
        <v>0</v>
      </c>
      <c r="S52" s="432">
        <v>6.3657407407407404E-3</v>
      </c>
      <c r="T52" s="432">
        <f t="shared" si="81"/>
        <v>6.3657407407407404E-3</v>
      </c>
      <c r="U52" s="163" t="e">
        <f>VLOOKUP($B:$B,'HT DIC'!$A:$AE,6,FALSE)</f>
        <v>#N/A</v>
      </c>
      <c r="V52" s="432">
        <f t="shared" si="82"/>
        <v>0</v>
      </c>
      <c r="W52" s="434"/>
      <c r="X52" s="432">
        <f t="shared" si="83"/>
        <v>0</v>
      </c>
      <c r="Y52" s="163" t="e">
        <f>VLOOKUP($B:$B,'HT DIC'!$A:$AE,7,FALSE)</f>
        <v>#N/A</v>
      </c>
      <c r="Z52" s="432">
        <f t="shared" si="84"/>
        <v>0</v>
      </c>
      <c r="AA52" s="434">
        <v>1.7361111111111112E-2</v>
      </c>
      <c r="AB52" s="432">
        <f t="shared" si="85"/>
        <v>1.7361111111111112E-2</v>
      </c>
      <c r="AC52" s="163" t="e">
        <f>VLOOKUP($B:$B,'HT DIC'!$A:$AE,8,FALSE)</f>
        <v>#N/A</v>
      </c>
      <c r="AD52" s="432">
        <f t="shared" si="86"/>
        <v>0</v>
      </c>
      <c r="AE52" s="434">
        <v>5.2199074074074075E-3</v>
      </c>
      <c r="AF52" s="432">
        <f t="shared" si="87"/>
        <v>5.2199074074074075E-3</v>
      </c>
      <c r="AG52" s="163" t="e">
        <f>VLOOKUP($B:$B,'HT DIC'!$A:$AE,9,FALSE)</f>
        <v>#N/A</v>
      </c>
      <c r="AH52" s="432">
        <f t="shared" si="88"/>
        <v>0</v>
      </c>
      <c r="AI52" s="434">
        <v>2.3391203703703702E-2</v>
      </c>
      <c r="AJ52" s="432">
        <f t="shared" si="89"/>
        <v>2.3391203703703702E-2</v>
      </c>
      <c r="AK52" s="163" t="e">
        <f>VLOOKUP($B:$B,'HT DIC'!$A:$AE,10,FALSE)</f>
        <v>#N/A</v>
      </c>
      <c r="AL52" s="432">
        <f t="shared" si="90"/>
        <v>0</v>
      </c>
      <c r="AM52" s="434">
        <v>2.1874999999999999E-2</v>
      </c>
      <c r="AN52" s="432">
        <f t="shared" si="91"/>
        <v>2.1874999999999999E-2</v>
      </c>
      <c r="AO52" s="163" t="e">
        <f>VLOOKUP($B:$B,'HT DIC'!$A:$AE,11,FALSE)</f>
        <v>#N/A</v>
      </c>
      <c r="AP52" s="432">
        <f t="shared" si="92"/>
        <v>0</v>
      </c>
      <c r="AQ52" s="432">
        <v>2.644675925925926E-2</v>
      </c>
      <c r="AR52" s="432">
        <f t="shared" si="93"/>
        <v>2.644675925925926E-2</v>
      </c>
      <c r="AS52" s="163" t="e">
        <f>VLOOKUP($B:$B,'HT DIC'!$A:$AE,12,FALSE)</f>
        <v>#N/A</v>
      </c>
      <c r="AT52" s="432">
        <f t="shared" si="94"/>
        <v>0</v>
      </c>
      <c r="AU52" s="434">
        <v>9.0162037037037034E-3</v>
      </c>
      <c r="AV52" s="432">
        <f t="shared" si="95"/>
        <v>9.0162037037037034E-3</v>
      </c>
      <c r="AW52" s="163" t="e">
        <f>VLOOKUP($B:$B,'HT DIC'!$A:$AE,13,FALSE)</f>
        <v>#N/A</v>
      </c>
      <c r="AX52" s="432">
        <f t="shared" si="22"/>
        <v>0</v>
      </c>
      <c r="AY52" s="434"/>
      <c r="AZ52" s="432">
        <f t="shared" si="23"/>
        <v>0</v>
      </c>
      <c r="BA52" s="163" t="e">
        <f>VLOOKUP($B:$B,'HT DIC'!$A:$AE,14,FALSE)</f>
        <v>#N/A</v>
      </c>
      <c r="BB52" s="432">
        <f t="shared" si="24"/>
        <v>0</v>
      </c>
      <c r="BC52" s="434">
        <v>7.8356481481481489E-3</v>
      </c>
      <c r="BD52" s="432">
        <f t="shared" si="25"/>
        <v>7.8356481481481489E-3</v>
      </c>
      <c r="BE52" s="163" t="e">
        <f>VLOOKUP($B:$B,'HT DIC'!$A:$AE,15,FALSE)</f>
        <v>#N/A</v>
      </c>
      <c r="BF52" s="432">
        <f t="shared" si="26"/>
        <v>0</v>
      </c>
      <c r="BG52" s="434">
        <v>2.0833333333333335E-4</v>
      </c>
      <c r="BH52" s="432">
        <f t="shared" si="27"/>
        <v>2.0833333333333335E-4</v>
      </c>
      <c r="BI52" s="163" t="e">
        <f>VLOOKUP($B:$B,'HT DIC'!$A:$AE,16,FALSE)</f>
        <v>#N/A</v>
      </c>
      <c r="BJ52" s="432">
        <f t="shared" si="63"/>
        <v>0</v>
      </c>
      <c r="BK52" s="434">
        <v>1.6319444444444445E-3</v>
      </c>
      <c r="BL52" s="432">
        <f t="shared" si="29"/>
        <v>1.6319444444444445E-3</v>
      </c>
      <c r="BM52" s="163" t="e">
        <f>VLOOKUP($B:$B,'HT DIC'!$A:$AE,17,FALSE)</f>
        <v>#N/A</v>
      </c>
      <c r="BN52" s="432">
        <f t="shared" si="30"/>
        <v>0</v>
      </c>
      <c r="BO52" s="434">
        <v>2.7083333333333334E-3</v>
      </c>
      <c r="BP52" s="432">
        <f t="shared" si="31"/>
        <v>2.7083333333333334E-3</v>
      </c>
      <c r="BQ52" s="163" t="e">
        <f>VLOOKUP($B:$B,'HT DIC'!$A:$AE,18,FALSE)</f>
        <v>#N/A</v>
      </c>
      <c r="BR52" s="432">
        <f t="shared" si="64"/>
        <v>0</v>
      </c>
      <c r="BS52" s="434">
        <v>1.4710648148148148E-2</v>
      </c>
      <c r="BT52" s="432">
        <f t="shared" si="33"/>
        <v>1.4710648148148148E-2</v>
      </c>
      <c r="BU52" s="163" t="e">
        <f>VLOOKUP($B:$B,'HT DIC'!$A:$AE,19,FALSE)</f>
        <v>#N/A</v>
      </c>
      <c r="BV52" s="432">
        <f t="shared" si="34"/>
        <v>0</v>
      </c>
      <c r="BW52" s="434">
        <v>3.0590277777777779E-2</v>
      </c>
      <c r="BX52" s="432">
        <f t="shared" si="35"/>
        <v>3.0590277777777779E-2</v>
      </c>
      <c r="BY52" s="163" t="e">
        <f>VLOOKUP($B:$B,'HT DIC'!$A:$AE,20,FALSE)</f>
        <v>#N/A</v>
      </c>
      <c r="BZ52" s="432">
        <f t="shared" si="65"/>
        <v>0</v>
      </c>
      <c r="CA52" s="434">
        <v>3.107638888888889E-2</v>
      </c>
      <c r="CB52" s="432">
        <f t="shared" si="37"/>
        <v>3.107638888888889E-2</v>
      </c>
      <c r="CC52" s="163" t="e">
        <f>VLOOKUP($B:$B,'HT DIC'!$A:$AE,21,FALSE)</f>
        <v>#N/A</v>
      </c>
      <c r="CD52" s="432">
        <f t="shared" si="38"/>
        <v>0</v>
      </c>
      <c r="CE52" s="432"/>
      <c r="CF52" s="432">
        <f t="shared" si="39"/>
        <v>0</v>
      </c>
      <c r="CG52" s="163" t="e">
        <f>VLOOKUP($B:$B,'HT DIC'!$A:$AE,22,FALSE)</f>
        <v>#N/A</v>
      </c>
      <c r="CH52" s="432">
        <f t="shared" si="40"/>
        <v>0</v>
      </c>
      <c r="CI52" s="434">
        <v>5.0902777777777776E-2</v>
      </c>
      <c r="CJ52" s="432"/>
      <c r="CK52" s="163" t="e">
        <f>VLOOKUP($B:$B,'HT DIC'!$A:$AE,23,FALSE)</f>
        <v>#N/A</v>
      </c>
      <c r="CL52" s="432">
        <f t="shared" si="42"/>
        <v>0</v>
      </c>
      <c r="CM52" s="432">
        <v>3.412037037037037E-2</v>
      </c>
      <c r="CN52" s="432">
        <f t="shared" si="43"/>
        <v>3.412037037037037E-2</v>
      </c>
      <c r="CO52" s="163" t="e">
        <f>VLOOKUP($B:$B,'HT DIC'!$A:$AE,24,FALSE)</f>
        <v>#N/A</v>
      </c>
      <c r="CP52" s="432">
        <f t="shared" si="44"/>
        <v>0</v>
      </c>
      <c r="CQ52" s="434">
        <v>3.9606481481481479E-2</v>
      </c>
      <c r="CR52" s="432">
        <f t="shared" si="45"/>
        <v>3.9606481481481479E-2</v>
      </c>
      <c r="CS52" s="163" t="e">
        <f>VLOOKUP($B:$B,'HT DIC'!$A:$AE,25,FALSE)</f>
        <v>#N/A</v>
      </c>
      <c r="CT52" s="432">
        <f t="shared" si="46"/>
        <v>0</v>
      </c>
      <c r="CU52" s="432">
        <f>IFERROR(VLOOKUP(CT52,$B$229:$E$245,2,FALSE),0)</f>
        <v>0</v>
      </c>
      <c r="CV52" s="432">
        <f t="shared" si="47"/>
        <v>0</v>
      </c>
      <c r="CW52" s="163" t="e">
        <f>VLOOKUP($B:$B,'HT DIC'!$A:$AE,26,FALSE)</f>
        <v>#N/A</v>
      </c>
      <c r="CX52" s="432">
        <f t="shared" si="48"/>
        <v>0</v>
      </c>
      <c r="CY52" s="434">
        <v>3.0729166666666665E-2</v>
      </c>
      <c r="CZ52" s="432">
        <f t="shared" si="49"/>
        <v>3.0729166666666665E-2</v>
      </c>
      <c r="DA52" s="163" t="e">
        <f>VLOOKUP($B:$B,'HT DIC'!$A:$AE,27,FALSE)</f>
        <v>#N/A</v>
      </c>
      <c r="DB52" s="432">
        <f t="shared" si="66"/>
        <v>0</v>
      </c>
      <c r="DC52" s="432">
        <f>IFERROR(VLOOKUP(DB52,$B$229:$E$245,2,FALSE),0)</f>
        <v>0</v>
      </c>
      <c r="DD52" s="432">
        <f t="shared" si="51"/>
        <v>0</v>
      </c>
      <c r="DE52" s="163" t="e">
        <f>VLOOKUP($B:$B,'HT DIC'!$A:$AE,28,FALSE)</f>
        <v>#N/A</v>
      </c>
      <c r="DF52" s="432">
        <f t="shared" si="52"/>
        <v>0</v>
      </c>
      <c r="DG52" s="434">
        <v>3.1712962962962964E-2</v>
      </c>
      <c r="DH52" s="432">
        <f t="shared" si="53"/>
        <v>3.1712962962962964E-2</v>
      </c>
      <c r="DI52" s="163" t="e">
        <f>VLOOKUP($B:$B,'HT DIC'!$A:$AE,29,FALSE)</f>
        <v>#N/A</v>
      </c>
      <c r="DJ52" s="432">
        <f t="shared" si="73"/>
        <v>0</v>
      </c>
      <c r="DK52" s="434"/>
      <c r="DL52" s="432">
        <f t="shared" si="55"/>
        <v>0</v>
      </c>
      <c r="DM52" s="163" t="e">
        <f>VLOOKUP($B:$B,'HT DIC'!$A:$AE,30,FALSE)</f>
        <v>#N/A</v>
      </c>
      <c r="DN52" s="432">
        <f t="shared" si="68"/>
        <v>0</v>
      </c>
      <c r="DO52" s="434">
        <v>3.2280092592592589E-2</v>
      </c>
      <c r="DP52" s="432">
        <f t="shared" si="57"/>
        <v>3.2280092592592589E-2</v>
      </c>
      <c r="DQ52" s="163" t="e">
        <f>VLOOKUP($B:$B,'HT DIC'!$A:$AE,31,FALSE)</f>
        <v>#N/A</v>
      </c>
      <c r="DR52" s="432">
        <f t="shared" si="58"/>
        <v>0</v>
      </c>
      <c r="DS52" s="434">
        <v>2.7777777777777776E-2</v>
      </c>
      <c r="DT52" s="432">
        <f t="shared" si="59"/>
        <v>2.7777777777777776E-2</v>
      </c>
      <c r="DU52" s="163" t="e">
        <f>VLOOKUP($B:$B,'HT DIC'!$A:$AE,32,FALSE)</f>
        <v>#N/A</v>
      </c>
      <c r="DV52" s="432">
        <f t="shared" si="60"/>
        <v>0</v>
      </c>
      <c r="DW52" s="434"/>
      <c r="DX52" s="432">
        <f t="shared" si="61"/>
        <v>0</v>
      </c>
      <c r="DY52" s="432">
        <f t="shared" si="69"/>
        <v>0.45710648148148136</v>
      </c>
    </row>
    <row r="53" spans="1:129">
      <c r="A53" s="166" t="s">
        <v>160</v>
      </c>
      <c r="B53" s="166" t="s">
        <v>138</v>
      </c>
      <c r="C53" s="166">
        <v>1722585781</v>
      </c>
      <c r="D53" s="431">
        <v>34950</v>
      </c>
      <c r="E53" s="163" t="e">
        <f>VLOOKUP($B:$B,#REF!,2,FALSE)</f>
        <v>#REF!</v>
      </c>
      <c r="F53" s="432">
        <f t="shared" si="74"/>
        <v>0</v>
      </c>
      <c r="G53" s="434">
        <v>3.2303240740740743E-2</v>
      </c>
      <c r="H53" s="432">
        <f t="shared" si="75"/>
        <v>3.2303240740740743E-2</v>
      </c>
      <c r="I53" s="163" t="e">
        <f>VLOOKUP($B:$B,'HT DIC'!$A:$AE,3,FALSE)</f>
        <v>#REF!</v>
      </c>
      <c r="J53" s="432">
        <f t="shared" si="76"/>
        <v>0</v>
      </c>
      <c r="K53" s="434">
        <v>3.3657407407407407E-2</v>
      </c>
      <c r="L53" s="432">
        <f t="shared" si="77"/>
        <v>3.3657407407407407E-2</v>
      </c>
      <c r="M53" s="163" t="e">
        <f>VLOOKUP($B:$B,'HT DIC'!$A:$AE,4,FALSE)</f>
        <v>#REF!</v>
      </c>
      <c r="N53" s="432">
        <f t="shared" si="78"/>
        <v>0</v>
      </c>
      <c r="O53" s="432">
        <v>2.0277777777777777E-2</v>
      </c>
      <c r="P53" s="432">
        <f t="shared" si="79"/>
        <v>2.0277777777777777E-2</v>
      </c>
      <c r="Q53" s="163" t="e">
        <f>VLOOKUP($B:$B,'HT DIC'!$A:$AE,5,FALSE)</f>
        <v>#REF!</v>
      </c>
      <c r="R53" s="432">
        <f t="shared" si="80"/>
        <v>0</v>
      </c>
      <c r="S53" s="432">
        <v>3.9074074074074074E-2</v>
      </c>
      <c r="T53" s="432">
        <f t="shared" si="81"/>
        <v>3.9074074074074074E-2</v>
      </c>
      <c r="U53" s="163" t="e">
        <f>VLOOKUP($B:$B,'HT DIC'!$A:$AE,6,FALSE)</f>
        <v>#REF!</v>
      </c>
      <c r="V53" s="432">
        <f t="shared" si="82"/>
        <v>0</v>
      </c>
      <c r="W53" s="434">
        <v>3.6631944444444446E-2</v>
      </c>
      <c r="X53" s="432">
        <f t="shared" si="83"/>
        <v>3.6631944444444446E-2</v>
      </c>
      <c r="Y53" s="163" t="e">
        <f>VLOOKUP($B:$B,'HT DIC'!$A:$AE,7,FALSE)</f>
        <v>#REF!</v>
      </c>
      <c r="Z53" s="432">
        <f t="shared" si="84"/>
        <v>0</v>
      </c>
      <c r="AA53" s="434">
        <v>1.7708333333333333E-2</v>
      </c>
      <c r="AB53" s="432">
        <f t="shared" si="85"/>
        <v>1.7708333333333333E-2</v>
      </c>
      <c r="AC53" s="163" t="e">
        <f>VLOOKUP($B:$B,'HT DIC'!$A:$AE,8,FALSE)</f>
        <v>#REF!</v>
      </c>
      <c r="AD53" s="432">
        <f t="shared" si="86"/>
        <v>0</v>
      </c>
      <c r="AE53" s="434">
        <v>6.1921296296296299E-3</v>
      </c>
      <c r="AF53" s="432">
        <f t="shared" si="87"/>
        <v>6.1921296296296299E-3</v>
      </c>
      <c r="AG53" s="163" t="e">
        <f>VLOOKUP($B:$B,'HT DIC'!$A:$AE,9,FALSE)</f>
        <v>#REF!</v>
      </c>
      <c r="AH53" s="432">
        <f t="shared" si="88"/>
        <v>0</v>
      </c>
      <c r="AI53" s="434">
        <v>3.2418981481481479E-2</v>
      </c>
      <c r="AJ53" s="432">
        <f t="shared" si="89"/>
        <v>3.2418981481481479E-2</v>
      </c>
      <c r="AK53" s="163" t="e">
        <f>VLOOKUP($B:$B,'HT DIC'!$A:$AE,10,FALSE)</f>
        <v>#REF!</v>
      </c>
      <c r="AL53" s="432">
        <f t="shared" si="90"/>
        <v>0</v>
      </c>
      <c r="AM53" s="434">
        <v>3.6863425925925924E-2</v>
      </c>
      <c r="AN53" s="432">
        <f t="shared" si="91"/>
        <v>3.6863425925925924E-2</v>
      </c>
      <c r="AO53" s="163" t="e">
        <f>VLOOKUP($B:$B,'HT DIC'!$A:$AE,11,FALSE)</f>
        <v>#REF!</v>
      </c>
      <c r="AP53" s="432">
        <f t="shared" si="92"/>
        <v>0</v>
      </c>
      <c r="AQ53" s="432">
        <v>3.3842592592592591E-2</v>
      </c>
      <c r="AR53" s="432">
        <f t="shared" si="93"/>
        <v>3.3842592592592591E-2</v>
      </c>
      <c r="AS53" s="163" t="e">
        <f>VLOOKUP($B:$B,'HT DIC'!$A:$AE,12,FALSE)</f>
        <v>#REF!</v>
      </c>
      <c r="AT53" s="432">
        <f t="shared" si="94"/>
        <v>0</v>
      </c>
      <c r="AU53" s="434">
        <v>3.8344907407407404E-2</v>
      </c>
      <c r="AV53" s="432">
        <f t="shared" si="95"/>
        <v>3.8344907407407404E-2</v>
      </c>
      <c r="AW53" s="163" t="e">
        <f>VLOOKUP($B:$B,'HT DIC'!$A:$AE,13,FALSE)</f>
        <v>#REF!</v>
      </c>
      <c r="AX53" s="432">
        <f t="shared" si="22"/>
        <v>0</v>
      </c>
      <c r="AY53" s="434">
        <v>2.1157407407407406E-2</v>
      </c>
      <c r="AZ53" s="432">
        <f t="shared" si="23"/>
        <v>2.1157407407407406E-2</v>
      </c>
      <c r="BA53" s="163" t="e">
        <f>VLOOKUP($B:$B,'HT DIC'!$A:$AE,14,FALSE)</f>
        <v>#REF!</v>
      </c>
      <c r="BB53" s="432">
        <f t="shared" si="24"/>
        <v>0</v>
      </c>
      <c r="BC53" s="434">
        <v>2.0092592592592592E-2</v>
      </c>
      <c r="BD53" s="432">
        <f t="shared" si="25"/>
        <v>2.0092592592592592E-2</v>
      </c>
      <c r="BE53" s="163" t="e">
        <f>VLOOKUP($B:$B,'HT DIC'!$A:$AE,15,FALSE)</f>
        <v>#REF!</v>
      </c>
      <c r="BF53" s="432">
        <f t="shared" si="26"/>
        <v>0</v>
      </c>
      <c r="BG53" s="434">
        <v>4.1666666666666669E-4</v>
      </c>
      <c r="BH53" s="432">
        <f t="shared" si="27"/>
        <v>4.1666666666666669E-4</v>
      </c>
      <c r="BI53" s="163" t="e">
        <f>VLOOKUP($B:$B,'HT DIC'!$A:$AE,16,FALSE)</f>
        <v>#REF!</v>
      </c>
      <c r="BJ53" s="432">
        <f t="shared" si="63"/>
        <v>0</v>
      </c>
      <c r="BK53" s="434">
        <v>1.5300925925925926E-2</v>
      </c>
      <c r="BL53" s="432">
        <f t="shared" si="29"/>
        <v>1.5300925925925926E-2</v>
      </c>
      <c r="BM53" s="163" t="e">
        <f>VLOOKUP($B:$B,'HT DIC'!$A:$AE,17,FALSE)</f>
        <v>#REF!</v>
      </c>
      <c r="BN53" s="432">
        <f t="shared" si="30"/>
        <v>0</v>
      </c>
      <c r="BO53" s="434">
        <v>2.2060185185185186E-2</v>
      </c>
      <c r="BP53" s="432">
        <f t="shared" si="31"/>
        <v>2.2060185185185186E-2</v>
      </c>
      <c r="BQ53" s="163" t="e">
        <f>VLOOKUP($B:$B,'HT DIC'!$A:$AE,18,FALSE)</f>
        <v>#REF!</v>
      </c>
      <c r="BR53" s="432">
        <f t="shared" si="64"/>
        <v>0</v>
      </c>
      <c r="BS53" s="434">
        <v>3.9872685185185185E-2</v>
      </c>
      <c r="BT53" s="432">
        <f t="shared" si="33"/>
        <v>3.9872685185185185E-2</v>
      </c>
      <c r="BU53" s="163" t="e">
        <f>VLOOKUP($B:$B,'HT DIC'!$A:$AE,19,FALSE)</f>
        <v>#REF!</v>
      </c>
      <c r="BV53" s="432">
        <f t="shared" si="34"/>
        <v>0</v>
      </c>
      <c r="BW53" s="434">
        <v>3.0578703703703705E-2</v>
      </c>
      <c r="BX53" s="432">
        <f t="shared" si="35"/>
        <v>3.0578703703703705E-2</v>
      </c>
      <c r="BY53" s="163" t="e">
        <f>VLOOKUP($B:$B,'HT DIC'!$A:$AE,20,FALSE)</f>
        <v>#REF!</v>
      </c>
      <c r="BZ53" s="432">
        <f t="shared" si="65"/>
        <v>0</v>
      </c>
      <c r="CA53" s="434">
        <v>4.0752314814814818E-2</v>
      </c>
      <c r="CB53" s="432">
        <f t="shared" si="37"/>
        <v>4.0752314814814818E-2</v>
      </c>
      <c r="CC53" s="163" t="e">
        <f>VLOOKUP($B:$B,'HT DIC'!$A:$AE,21,FALSE)</f>
        <v>#REF!</v>
      </c>
      <c r="CD53" s="432">
        <f t="shared" si="38"/>
        <v>0</v>
      </c>
      <c r="CE53" s="432">
        <v>2.0810185185185185E-2</v>
      </c>
      <c r="CF53" s="432">
        <f t="shared" si="39"/>
        <v>2.0810185185185185E-2</v>
      </c>
      <c r="CG53" s="163" t="e">
        <f>VLOOKUP($B:$B,'HT DIC'!$A:$AE,22,FALSE)</f>
        <v>#REF!</v>
      </c>
      <c r="CH53" s="432">
        <f t="shared" si="40"/>
        <v>0</v>
      </c>
      <c r="CI53" s="434">
        <v>1.6608796296296295E-2</v>
      </c>
      <c r="CJ53" s="432">
        <f t="shared" ref="CJ53:CJ59" si="97">IF(CI53-CH53&lt;0,0,CI53-CH53)</f>
        <v>1.6608796296296295E-2</v>
      </c>
      <c r="CK53" s="163">
        <f>VLOOKUP($B:$B,'HT DIC'!$A:$AE,23,FALSE)</f>
        <v>10</v>
      </c>
      <c r="CL53" s="432">
        <f t="shared" si="42"/>
        <v>3.125E-2</v>
      </c>
      <c r="CM53" s="432">
        <v>4.4502314814814814E-2</v>
      </c>
      <c r="CN53" s="432">
        <f t="shared" si="43"/>
        <v>1.3252314814814814E-2</v>
      </c>
      <c r="CO53" s="163" t="e">
        <f>VLOOKUP($B:$B,'HT DIC'!$A:$AE,24,FALSE)</f>
        <v>#REF!</v>
      </c>
      <c r="CP53" s="432">
        <f t="shared" si="44"/>
        <v>0</v>
      </c>
      <c r="CQ53" s="434">
        <v>3.8900462962962963E-2</v>
      </c>
      <c r="CR53" s="432">
        <f t="shared" si="45"/>
        <v>3.8900462962962963E-2</v>
      </c>
      <c r="CS53" s="163" t="e">
        <f>VLOOKUP($B:$B,'HT DIC'!$A:$AE,25,FALSE)</f>
        <v>#REF!</v>
      </c>
      <c r="CT53" s="432">
        <f t="shared" si="46"/>
        <v>0</v>
      </c>
      <c r="CU53" s="432">
        <v>1.818287037037037E-2</v>
      </c>
      <c r="CV53" s="432">
        <f t="shared" si="47"/>
        <v>1.818287037037037E-2</v>
      </c>
      <c r="CW53" s="163" t="e">
        <f>VLOOKUP($B:$B,'HT DIC'!$A:$AE,26,FALSE)</f>
        <v>#REF!</v>
      </c>
      <c r="CX53" s="432">
        <f t="shared" si="48"/>
        <v>0</v>
      </c>
      <c r="CY53" s="434">
        <v>4.1550925925925929E-2</v>
      </c>
      <c r="CZ53" s="432">
        <f t="shared" si="49"/>
        <v>4.1550925925925929E-2</v>
      </c>
      <c r="DA53" s="163">
        <f>VLOOKUP($B:$B,'HT DIC'!$A:$AE,27,FALSE)</f>
        <v>11</v>
      </c>
      <c r="DB53" s="432">
        <f t="shared" si="66"/>
        <v>3.4722222222222224E-2</v>
      </c>
      <c r="DC53" s="434">
        <v>4.2233796296296297E-2</v>
      </c>
      <c r="DD53" s="432">
        <f t="shared" si="51"/>
        <v>7.5115740740740733E-3</v>
      </c>
      <c r="DE53" s="163">
        <f>VLOOKUP($B:$B,'HT DIC'!$A:$AE,28,FALSE)</f>
        <v>0</v>
      </c>
      <c r="DF53" s="432">
        <f t="shared" si="52"/>
        <v>0</v>
      </c>
      <c r="DG53" s="434">
        <v>1.9930555555555556E-2</v>
      </c>
      <c r="DH53" s="432">
        <f t="shared" si="53"/>
        <v>1.9930555555555556E-2</v>
      </c>
      <c r="DI53" s="163">
        <f>VLOOKUP($B:$B,'HT DIC'!$A:$AE,29,FALSE)</f>
        <v>12</v>
      </c>
      <c r="DJ53" s="432">
        <f t="shared" si="73"/>
        <v>3.8194444444444448E-2</v>
      </c>
      <c r="DK53" s="434">
        <v>2.1701388888888888E-2</v>
      </c>
      <c r="DL53" s="432">
        <f t="shared" si="55"/>
        <v>0</v>
      </c>
      <c r="DM53" s="163">
        <f>VLOOKUP($B:$B,'HT DIC'!$A:$AE,30,FALSE)</f>
        <v>11</v>
      </c>
      <c r="DN53" s="432">
        <f t="shared" si="68"/>
        <v>3.4722222222222224E-2</v>
      </c>
      <c r="DO53" s="434">
        <v>3.8981481481481478E-2</v>
      </c>
      <c r="DP53" s="432">
        <f t="shared" si="57"/>
        <v>4.2592592592592543E-3</v>
      </c>
      <c r="DQ53" s="163">
        <f>VLOOKUP($B:$B,'HT DIC'!$A:$AE,31,FALSE)</f>
        <v>9</v>
      </c>
      <c r="DR53" s="432">
        <f t="shared" si="58"/>
        <v>2.7777777777777776E-2</v>
      </c>
      <c r="DS53" s="434">
        <v>2.5868055555555554E-2</v>
      </c>
      <c r="DT53" s="432">
        <f t="shared" si="59"/>
        <v>0</v>
      </c>
      <c r="DU53" s="163" t="e">
        <f>VLOOKUP($B:$B,'HT DIC'!$A:$AE,32,FALSE)</f>
        <v>#REF!</v>
      </c>
      <c r="DV53" s="432">
        <f t="shared" si="60"/>
        <v>0</v>
      </c>
      <c r="DW53" s="434"/>
      <c r="DX53" s="432">
        <f t="shared" si="61"/>
        <v>0</v>
      </c>
      <c r="DY53" s="432">
        <f t="shared" si="69"/>
        <v>0.69855324074074066</v>
      </c>
    </row>
    <row r="54" spans="1:129">
      <c r="A54" s="166" t="s">
        <v>165</v>
      </c>
      <c r="B54" s="166" t="s">
        <v>191</v>
      </c>
      <c r="C54" s="166">
        <v>1714075296</v>
      </c>
      <c r="D54" s="431">
        <v>28971</v>
      </c>
      <c r="E54" s="163" t="e">
        <f>VLOOKUP($B:$B,#REF!,2,FALSE)</f>
        <v>#REF!</v>
      </c>
      <c r="F54" s="432">
        <f t="shared" si="74"/>
        <v>0</v>
      </c>
      <c r="G54" s="434">
        <v>9.0740740740740747E-3</v>
      </c>
      <c r="H54" s="432">
        <f t="shared" si="75"/>
        <v>9.0740740740740747E-3</v>
      </c>
      <c r="I54" s="163" t="e">
        <f>VLOOKUP($B:$B,'HT DIC'!$A:$AE,3,FALSE)</f>
        <v>#REF!</v>
      </c>
      <c r="J54" s="432">
        <f t="shared" si="76"/>
        <v>0</v>
      </c>
      <c r="K54" s="434"/>
      <c r="L54" s="432">
        <f t="shared" si="77"/>
        <v>0</v>
      </c>
      <c r="M54" s="163" t="e">
        <f>VLOOKUP($B:$B,'HT DIC'!$A:$AE,4,FALSE)</f>
        <v>#REF!</v>
      </c>
      <c r="N54" s="432">
        <f t="shared" si="78"/>
        <v>0</v>
      </c>
      <c r="O54" s="432">
        <v>2.4537037037037036E-3</v>
      </c>
      <c r="P54" s="432">
        <f t="shared" si="79"/>
        <v>2.4537037037037036E-3</v>
      </c>
      <c r="Q54" s="163" t="e">
        <f>VLOOKUP($B:$B,'HT DIC'!$A:$AE,5,FALSE)</f>
        <v>#REF!</v>
      </c>
      <c r="R54" s="432">
        <f t="shared" si="80"/>
        <v>0</v>
      </c>
      <c r="S54" s="432">
        <v>5.4513888888888893E-3</v>
      </c>
      <c r="T54" s="432">
        <f t="shared" si="81"/>
        <v>5.4513888888888893E-3</v>
      </c>
      <c r="U54" s="163" t="e">
        <f>VLOOKUP($B:$B,'HT DIC'!$A:$AE,6,FALSE)</f>
        <v>#REF!</v>
      </c>
      <c r="V54" s="432">
        <f t="shared" si="82"/>
        <v>0</v>
      </c>
      <c r="W54" s="434">
        <v>2.6886574074074073E-2</v>
      </c>
      <c r="X54" s="432">
        <f t="shared" si="83"/>
        <v>2.6886574074074073E-2</v>
      </c>
      <c r="Y54" s="163" t="e">
        <f>VLOOKUP($B:$B,'HT DIC'!$A:$AE,7,FALSE)</f>
        <v>#REF!</v>
      </c>
      <c r="Z54" s="432">
        <f t="shared" si="84"/>
        <v>0</v>
      </c>
      <c r="AA54" s="434">
        <v>1.7175925925925924E-2</v>
      </c>
      <c r="AB54" s="432">
        <f t="shared" si="85"/>
        <v>1.7175925925925924E-2</v>
      </c>
      <c r="AC54" s="163" t="e">
        <f>VLOOKUP($B:$B,'HT DIC'!$A:$AE,8,FALSE)</f>
        <v>#REF!</v>
      </c>
      <c r="AD54" s="432">
        <f t="shared" si="86"/>
        <v>0</v>
      </c>
      <c r="AE54" s="434"/>
      <c r="AF54" s="432">
        <f t="shared" si="87"/>
        <v>0</v>
      </c>
      <c r="AG54" s="163" t="e">
        <f>VLOOKUP($B:$B,'HT DIC'!$A:$AE,9,FALSE)</f>
        <v>#REF!</v>
      </c>
      <c r="AH54" s="432">
        <f t="shared" si="88"/>
        <v>0</v>
      </c>
      <c r="AI54" s="434">
        <v>4.5636574074074072E-2</v>
      </c>
      <c r="AJ54" s="432">
        <f t="shared" si="89"/>
        <v>4.5636574074074072E-2</v>
      </c>
      <c r="AK54" s="163" t="e">
        <f>VLOOKUP($B:$B,'HT DIC'!$A:$AE,10,FALSE)</f>
        <v>#REF!</v>
      </c>
      <c r="AL54" s="432">
        <f t="shared" si="90"/>
        <v>0</v>
      </c>
      <c r="AM54" s="434">
        <v>2.4849537037037038E-2</v>
      </c>
      <c r="AN54" s="432">
        <f t="shared" si="91"/>
        <v>2.4849537037037038E-2</v>
      </c>
      <c r="AO54" s="163" t="e">
        <f>VLOOKUP($B:$B,'HT DIC'!$A:$AE,11,FALSE)</f>
        <v>#REF!</v>
      </c>
      <c r="AP54" s="432">
        <f t="shared" si="92"/>
        <v>0</v>
      </c>
      <c r="AQ54" s="432">
        <v>4.3715277777777777E-2</v>
      </c>
      <c r="AR54" s="432">
        <f t="shared" si="93"/>
        <v>4.3715277777777777E-2</v>
      </c>
      <c r="AS54" s="163" t="e">
        <f>VLOOKUP($B:$B,'HT DIC'!$A:$AE,12,FALSE)</f>
        <v>#REF!</v>
      </c>
      <c r="AT54" s="432">
        <f t="shared" si="94"/>
        <v>0</v>
      </c>
      <c r="AU54" s="434">
        <v>3.2199074074074074E-2</v>
      </c>
      <c r="AV54" s="432">
        <f t="shared" si="95"/>
        <v>3.2199074074074074E-2</v>
      </c>
      <c r="AW54" s="163" t="e">
        <f>VLOOKUP($B:$B,'HT DIC'!$A:$AE,13,FALSE)</f>
        <v>#REF!</v>
      </c>
      <c r="AX54" s="432">
        <f t="shared" si="22"/>
        <v>0</v>
      </c>
      <c r="AY54" s="434">
        <v>7.2800925925925923E-3</v>
      </c>
      <c r="AZ54" s="432">
        <f t="shared" si="23"/>
        <v>7.2800925925925923E-3</v>
      </c>
      <c r="BA54" s="163" t="e">
        <f>VLOOKUP($B:$B,'HT DIC'!$A:$AE,14,FALSE)</f>
        <v>#REF!</v>
      </c>
      <c r="BB54" s="432">
        <f t="shared" si="24"/>
        <v>0</v>
      </c>
      <c r="BC54" s="434">
        <v>3.9305555555555559E-2</v>
      </c>
      <c r="BD54" s="432">
        <f t="shared" si="25"/>
        <v>3.9305555555555559E-2</v>
      </c>
      <c r="BE54" s="163" t="e">
        <f>VLOOKUP($B:$B,'HT DIC'!$A:$AE,15,FALSE)</f>
        <v>#REF!</v>
      </c>
      <c r="BF54" s="432">
        <f t="shared" si="26"/>
        <v>0</v>
      </c>
      <c r="BG54" s="434"/>
      <c r="BH54" s="432">
        <f t="shared" si="27"/>
        <v>0</v>
      </c>
      <c r="BI54" s="163" t="e">
        <f>VLOOKUP($B:$B,'HT DIC'!$A:$AE,16,FALSE)</f>
        <v>#REF!</v>
      </c>
      <c r="BJ54" s="432">
        <f t="shared" si="63"/>
        <v>0</v>
      </c>
      <c r="BK54" s="434">
        <v>3.2094907407407405E-2</v>
      </c>
      <c r="BL54" s="432">
        <f t="shared" si="29"/>
        <v>3.2094907407407405E-2</v>
      </c>
      <c r="BM54" s="163" t="e">
        <f>VLOOKUP($B:$B,'HT DIC'!$A:$AE,17,FALSE)</f>
        <v>#REF!</v>
      </c>
      <c r="BN54" s="432">
        <f t="shared" si="30"/>
        <v>0</v>
      </c>
      <c r="BO54" s="434">
        <v>4.4837962962962961E-2</v>
      </c>
      <c r="BP54" s="432">
        <f t="shared" si="31"/>
        <v>4.4837962962962961E-2</v>
      </c>
      <c r="BQ54" s="163" t="e">
        <f>VLOOKUP($B:$B,'HT DIC'!$A:$AE,18,FALSE)</f>
        <v>#REF!</v>
      </c>
      <c r="BR54" s="432">
        <f t="shared" si="64"/>
        <v>0</v>
      </c>
      <c r="BS54" s="434">
        <v>3.6296296296296299E-2</v>
      </c>
      <c r="BT54" s="432">
        <f t="shared" si="33"/>
        <v>3.6296296296296299E-2</v>
      </c>
      <c r="BU54" s="163" t="e">
        <f>VLOOKUP($B:$B,'HT DIC'!$A:$AE,19,FALSE)</f>
        <v>#REF!</v>
      </c>
      <c r="BV54" s="432">
        <f t="shared" si="34"/>
        <v>0</v>
      </c>
      <c r="BW54" s="434">
        <v>3.3020833333333333E-2</v>
      </c>
      <c r="BX54" s="432">
        <f t="shared" si="35"/>
        <v>3.3020833333333333E-2</v>
      </c>
      <c r="BY54" s="163" t="e">
        <f>VLOOKUP($B:$B,'HT DIC'!$A:$AE,20,FALSE)</f>
        <v>#REF!</v>
      </c>
      <c r="BZ54" s="432">
        <f t="shared" si="65"/>
        <v>0</v>
      </c>
      <c r="CA54" s="434">
        <v>2.6539351851851852E-2</v>
      </c>
      <c r="CB54" s="432">
        <f t="shared" si="37"/>
        <v>2.6539351851851852E-2</v>
      </c>
      <c r="CC54" s="163" t="e">
        <f>VLOOKUP($B:$B,'HT DIC'!$A:$AE,21,FALSE)</f>
        <v>#REF!</v>
      </c>
      <c r="CD54" s="432">
        <f t="shared" si="38"/>
        <v>0</v>
      </c>
      <c r="CE54" s="432">
        <v>2.0833333333333332E-2</v>
      </c>
      <c r="CF54" s="432">
        <f t="shared" si="39"/>
        <v>2.0833333333333332E-2</v>
      </c>
      <c r="CG54" s="163" t="e">
        <f>VLOOKUP($B:$B,'HT DIC'!$A:$AE,22,FALSE)</f>
        <v>#REF!</v>
      </c>
      <c r="CH54" s="432">
        <f t="shared" si="40"/>
        <v>0</v>
      </c>
      <c r="CI54" s="434">
        <v>3.1689814814814816E-2</v>
      </c>
      <c r="CJ54" s="432">
        <f t="shared" si="97"/>
        <v>3.1689814814814816E-2</v>
      </c>
      <c r="CK54" s="163">
        <f>VLOOKUP($B:$B,'HT DIC'!$A:$AE,23,FALSE)</f>
        <v>10</v>
      </c>
      <c r="CL54" s="432">
        <f t="shared" si="42"/>
        <v>3.125E-2</v>
      </c>
      <c r="CM54" s="432">
        <v>5.0925925925925923E-2</v>
      </c>
      <c r="CN54" s="432">
        <f t="shared" si="43"/>
        <v>1.9675925925925923E-2</v>
      </c>
      <c r="CO54" s="163" t="e">
        <f>VLOOKUP($B:$B,'HT DIC'!$A:$AE,24,FALSE)</f>
        <v>#REF!</v>
      </c>
      <c r="CP54" s="432">
        <f t="shared" si="44"/>
        <v>0</v>
      </c>
      <c r="CQ54" s="434">
        <v>8.86574074074074E-3</v>
      </c>
      <c r="CR54" s="432">
        <f t="shared" si="45"/>
        <v>8.86574074074074E-3</v>
      </c>
      <c r="CS54" s="163" t="e">
        <f>VLOOKUP($B:$B,'HT DIC'!$A:$AE,25,FALSE)</f>
        <v>#REF!</v>
      </c>
      <c r="CT54" s="432">
        <f t="shared" si="46"/>
        <v>0</v>
      </c>
      <c r="CU54" s="432">
        <v>2.0486111111111111E-2</v>
      </c>
      <c r="CV54" s="432">
        <f t="shared" si="47"/>
        <v>2.0486111111111111E-2</v>
      </c>
      <c r="CW54" s="163" t="e">
        <f>VLOOKUP($B:$B,'HT DIC'!$A:$AE,26,FALSE)</f>
        <v>#REF!</v>
      </c>
      <c r="CX54" s="432">
        <f t="shared" si="48"/>
        <v>0</v>
      </c>
      <c r="CY54" s="434">
        <v>3.3321759259259259E-2</v>
      </c>
      <c r="CZ54" s="432">
        <f t="shared" si="49"/>
        <v>3.3321759259259259E-2</v>
      </c>
      <c r="DA54" s="163">
        <f>VLOOKUP($B:$B,'HT DIC'!$A:$AE,27,FALSE)</f>
        <v>11</v>
      </c>
      <c r="DB54" s="432">
        <f t="shared" si="66"/>
        <v>3.4722222222222224E-2</v>
      </c>
      <c r="DC54" s="434">
        <v>1.6180555555555556E-2</v>
      </c>
      <c r="DD54" s="432">
        <f t="shared" si="51"/>
        <v>0</v>
      </c>
      <c r="DE54" s="163">
        <f>VLOOKUP($B:$B,'HT DIC'!$A:$AE,28,FALSE)</f>
        <v>11</v>
      </c>
      <c r="DF54" s="432">
        <f t="shared" si="52"/>
        <v>3.4722222222222224E-2</v>
      </c>
      <c r="DG54" s="434">
        <v>3.0775462962962963E-2</v>
      </c>
      <c r="DH54" s="432">
        <f t="shared" si="53"/>
        <v>0</v>
      </c>
      <c r="DI54" s="163">
        <f>VLOOKUP($B:$B,'HT DIC'!$A:$AE,29,FALSE)</f>
        <v>10</v>
      </c>
      <c r="DJ54" s="432">
        <f t="shared" si="73"/>
        <v>3.125E-2</v>
      </c>
      <c r="DK54" s="434">
        <v>2.0833333333333332E-2</v>
      </c>
      <c r="DL54" s="432">
        <f t="shared" si="55"/>
        <v>0</v>
      </c>
      <c r="DM54" s="163">
        <f>VLOOKUP($B:$B,'HT DIC'!$A:$AE,30,FALSE)</f>
        <v>10</v>
      </c>
      <c r="DN54" s="432">
        <f t="shared" si="68"/>
        <v>3.125E-2</v>
      </c>
      <c r="DO54" s="434">
        <v>2.6666666666666668E-2</v>
      </c>
      <c r="DP54" s="432">
        <f t="shared" si="57"/>
        <v>0</v>
      </c>
      <c r="DQ54" s="163">
        <f>VLOOKUP($B:$B,'HT DIC'!$A:$AE,31,FALSE)</f>
        <v>9</v>
      </c>
      <c r="DR54" s="432">
        <f t="shared" si="58"/>
        <v>2.7777777777777776E-2</v>
      </c>
      <c r="DS54" s="434">
        <v>3.8530092592592595E-2</v>
      </c>
      <c r="DT54" s="432">
        <f t="shared" si="59"/>
        <v>1.0752314814814819E-2</v>
      </c>
      <c r="DU54" s="163" t="e">
        <f>VLOOKUP($B:$B,'HT DIC'!$A:$AE,32,FALSE)</f>
        <v>#REF!</v>
      </c>
      <c r="DV54" s="432">
        <f t="shared" si="60"/>
        <v>0</v>
      </c>
      <c r="DW54" s="434"/>
      <c r="DX54" s="432">
        <f t="shared" si="61"/>
        <v>0</v>
      </c>
      <c r="DY54" s="432">
        <f t="shared" si="69"/>
        <v>0.57244212962962948</v>
      </c>
    </row>
    <row r="55" spans="1:129">
      <c r="A55" s="166" t="s">
        <v>168</v>
      </c>
      <c r="B55" s="166" t="s">
        <v>363</v>
      </c>
      <c r="C55" s="166">
        <v>1726305194</v>
      </c>
      <c r="D55" s="431">
        <v>36217</v>
      </c>
      <c r="E55" s="163" t="e">
        <f>VLOOKUP($B:$B,#REF!,2,FALSE)</f>
        <v>#REF!</v>
      </c>
      <c r="F55" s="432">
        <f t="shared" si="74"/>
        <v>0</v>
      </c>
      <c r="G55" s="434">
        <v>2.0821759259259259E-2</v>
      </c>
      <c r="H55" s="432">
        <f t="shared" si="75"/>
        <v>2.0821759259259259E-2</v>
      </c>
      <c r="I55" s="163" t="e">
        <f>VLOOKUP($B:$B,'HT DIC'!$A:$AE,3,FALSE)</f>
        <v>#N/A</v>
      </c>
      <c r="J55" s="432">
        <f t="shared" si="76"/>
        <v>0</v>
      </c>
      <c r="K55" s="434">
        <v>3.0902777777777777E-3</v>
      </c>
      <c r="L55" s="432">
        <f t="shared" si="77"/>
        <v>3.0902777777777777E-3</v>
      </c>
      <c r="M55" s="163" t="e">
        <f>VLOOKUP($B:$B,'HT DIC'!$A:$AE,4,FALSE)</f>
        <v>#N/A</v>
      </c>
      <c r="N55" s="432">
        <f t="shared" si="78"/>
        <v>0</v>
      </c>
      <c r="O55" s="432">
        <v>2.3912037037037037E-2</v>
      </c>
      <c r="P55" s="432">
        <f t="shared" si="79"/>
        <v>2.3912037037037037E-2</v>
      </c>
      <c r="Q55" s="163" t="e">
        <f>VLOOKUP($B:$B,'HT DIC'!$A:$AE,5,FALSE)</f>
        <v>#N/A</v>
      </c>
      <c r="R55" s="432">
        <f t="shared" si="80"/>
        <v>0</v>
      </c>
      <c r="S55" s="432">
        <v>1.5324074074074073E-2</v>
      </c>
      <c r="T55" s="432">
        <f t="shared" si="81"/>
        <v>1.5324074074074073E-2</v>
      </c>
      <c r="U55" s="163" t="e">
        <f>VLOOKUP($B:$B,'HT DIC'!$A:$AE,6,FALSE)</f>
        <v>#N/A</v>
      </c>
      <c r="V55" s="432">
        <f t="shared" si="82"/>
        <v>0</v>
      </c>
      <c r="W55" s="434">
        <v>1.8692129629629628E-2</v>
      </c>
      <c r="X55" s="432">
        <f t="shared" si="83"/>
        <v>1.8692129629629628E-2</v>
      </c>
      <c r="Y55" s="163" t="e">
        <f>VLOOKUP($B:$B,'HT DIC'!$A:$AE,7,FALSE)</f>
        <v>#N/A</v>
      </c>
      <c r="Z55" s="432">
        <f t="shared" si="84"/>
        <v>0</v>
      </c>
      <c r="AA55" s="434"/>
      <c r="AB55" s="432">
        <f t="shared" si="85"/>
        <v>0</v>
      </c>
      <c r="AC55" s="163" t="e">
        <f>VLOOKUP($B:$B,'HT DIC'!$A:$AE,8,FALSE)</f>
        <v>#N/A</v>
      </c>
      <c r="AD55" s="432">
        <f t="shared" si="86"/>
        <v>0</v>
      </c>
      <c r="AE55" s="434">
        <v>2.6018518518518517E-2</v>
      </c>
      <c r="AF55" s="432">
        <f t="shared" si="87"/>
        <v>2.6018518518518517E-2</v>
      </c>
      <c r="AG55" s="163" t="e">
        <f>VLOOKUP($B:$B,'HT DIC'!$A:$AE,9,FALSE)</f>
        <v>#N/A</v>
      </c>
      <c r="AH55" s="432">
        <f t="shared" si="88"/>
        <v>0</v>
      </c>
      <c r="AI55" s="432">
        <f>IFERROR(VLOOKUP(AH55,$B$229:$E$245,2,FALSE),0)</f>
        <v>0</v>
      </c>
      <c r="AJ55" s="432">
        <f t="shared" si="89"/>
        <v>0</v>
      </c>
      <c r="AK55" s="163" t="e">
        <f>VLOOKUP($B:$B,'HT DIC'!$A:$AE,10,FALSE)</f>
        <v>#N/A</v>
      </c>
      <c r="AL55" s="432">
        <f t="shared" si="90"/>
        <v>0</v>
      </c>
      <c r="AM55" s="434">
        <v>2.2870370370370371E-2</v>
      </c>
      <c r="AN55" s="432">
        <f t="shared" si="91"/>
        <v>2.2870370370370371E-2</v>
      </c>
      <c r="AO55" s="163" t="e">
        <f>VLOOKUP($B:$B,'HT DIC'!$A:$AE,11,FALSE)</f>
        <v>#N/A</v>
      </c>
      <c r="AP55" s="432">
        <f t="shared" si="92"/>
        <v>0</v>
      </c>
      <c r="AQ55" s="432">
        <v>2.2303240740740742E-2</v>
      </c>
      <c r="AR55" s="432">
        <f t="shared" si="93"/>
        <v>2.2303240740740742E-2</v>
      </c>
      <c r="AS55" s="163" t="e">
        <f>VLOOKUP($B:$B,'HT DIC'!$A:$AE,12,FALSE)</f>
        <v>#N/A</v>
      </c>
      <c r="AT55" s="432">
        <f t="shared" si="94"/>
        <v>0</v>
      </c>
      <c r="AU55" s="434">
        <v>2.3321759259259261E-2</v>
      </c>
      <c r="AV55" s="432">
        <f t="shared" si="95"/>
        <v>2.3321759259259261E-2</v>
      </c>
      <c r="AW55" s="163" t="e">
        <f>VLOOKUP($B:$B,'HT DIC'!$A:$AE,13,FALSE)</f>
        <v>#N/A</v>
      </c>
      <c r="AX55" s="432">
        <f t="shared" si="22"/>
        <v>0</v>
      </c>
      <c r="AY55" s="434"/>
      <c r="AZ55" s="432">
        <f t="shared" si="23"/>
        <v>0</v>
      </c>
      <c r="BA55" s="163" t="e">
        <f>VLOOKUP($B:$B,'HT DIC'!$A:$AE,14,FALSE)</f>
        <v>#N/A</v>
      </c>
      <c r="BB55" s="432">
        <f t="shared" si="24"/>
        <v>0</v>
      </c>
      <c r="BC55" s="434">
        <v>1.5034722222222222E-2</v>
      </c>
      <c r="BD55" s="432">
        <f t="shared" si="25"/>
        <v>1.5034722222222222E-2</v>
      </c>
      <c r="BE55" s="163" t="e">
        <f>VLOOKUP($B:$B,'HT DIC'!$A:$AE,15,FALSE)</f>
        <v>#N/A</v>
      </c>
      <c r="BF55" s="432">
        <f t="shared" si="26"/>
        <v>0</v>
      </c>
      <c r="BG55" s="434">
        <v>1.8796296296296297E-2</v>
      </c>
      <c r="BH55" s="432">
        <f t="shared" si="27"/>
        <v>1.8796296296296297E-2</v>
      </c>
      <c r="BI55" s="163" t="e">
        <f>VLOOKUP($B:$B,'HT DIC'!$A:$AE,16,FALSE)</f>
        <v>#N/A</v>
      </c>
      <c r="BJ55" s="432">
        <f t="shared" si="63"/>
        <v>0</v>
      </c>
      <c r="BK55" s="434">
        <v>2.060185185185185E-2</v>
      </c>
      <c r="BL55" s="432">
        <f t="shared" si="29"/>
        <v>2.060185185185185E-2</v>
      </c>
      <c r="BM55" s="163" t="e">
        <f>VLOOKUP($B:$B,'HT DIC'!$A:$AE,17,FALSE)</f>
        <v>#N/A</v>
      </c>
      <c r="BN55" s="432">
        <f t="shared" si="30"/>
        <v>0</v>
      </c>
      <c r="BO55" s="434">
        <v>2.5277777777777777E-2</v>
      </c>
      <c r="BP55" s="432">
        <f t="shared" si="31"/>
        <v>2.5277777777777777E-2</v>
      </c>
      <c r="BQ55" s="163" t="e">
        <f>VLOOKUP($B:$B,'HT DIC'!$A:$AE,18,FALSE)</f>
        <v>#N/A</v>
      </c>
      <c r="BR55" s="432">
        <f t="shared" si="64"/>
        <v>0</v>
      </c>
      <c r="BS55" s="434">
        <v>1.9537037037037037E-2</v>
      </c>
      <c r="BT55" s="432">
        <f t="shared" si="33"/>
        <v>1.9537037037037037E-2</v>
      </c>
      <c r="BU55" s="163" t="e">
        <f>VLOOKUP($B:$B,'HT DIC'!$A:$AE,19,FALSE)</f>
        <v>#N/A</v>
      </c>
      <c r="BV55" s="432">
        <f t="shared" si="34"/>
        <v>0</v>
      </c>
      <c r="BW55" s="434">
        <v>3.7928240740740742E-2</v>
      </c>
      <c r="BX55" s="432">
        <f t="shared" si="35"/>
        <v>3.7928240740740742E-2</v>
      </c>
      <c r="BY55" s="163" t="e">
        <f>VLOOKUP($B:$B,'HT DIC'!$A:$AE,20,FALSE)</f>
        <v>#N/A</v>
      </c>
      <c r="BZ55" s="432">
        <f t="shared" si="65"/>
        <v>0</v>
      </c>
      <c r="CA55" s="434">
        <v>3.1319444444444441E-2</v>
      </c>
      <c r="CB55" s="432">
        <f t="shared" si="37"/>
        <v>3.1319444444444441E-2</v>
      </c>
      <c r="CC55" s="163" t="e">
        <f>VLOOKUP($B:$B,'HT DIC'!$A:$AE,21,FALSE)</f>
        <v>#N/A</v>
      </c>
      <c r="CD55" s="432">
        <f t="shared" si="38"/>
        <v>0</v>
      </c>
      <c r="CE55" s="432">
        <v>3.3379629629629627E-2</v>
      </c>
      <c r="CF55" s="432">
        <f t="shared" si="39"/>
        <v>3.3379629629629627E-2</v>
      </c>
      <c r="CG55" s="163" t="e">
        <f>VLOOKUP($B:$B,'HT DIC'!$A:$AE,22,FALSE)</f>
        <v>#N/A</v>
      </c>
      <c r="CH55" s="432">
        <f t="shared" si="40"/>
        <v>0</v>
      </c>
      <c r="CI55" s="434">
        <v>6.6435185185185182E-3</v>
      </c>
      <c r="CJ55" s="432">
        <f t="shared" si="97"/>
        <v>6.6435185185185182E-3</v>
      </c>
      <c r="CK55" s="163" t="e">
        <f>VLOOKUP($B:$B,'HT DIC'!$A:$AE,23,FALSE)</f>
        <v>#N/A</v>
      </c>
      <c r="CL55" s="432">
        <f t="shared" si="42"/>
        <v>0</v>
      </c>
      <c r="CM55" s="432">
        <v>5.9895833333333336E-2</v>
      </c>
      <c r="CN55" s="432">
        <f t="shared" si="43"/>
        <v>5.9895833333333336E-2</v>
      </c>
      <c r="CO55" s="163" t="e">
        <f>VLOOKUP($B:$B,'HT DIC'!$A:$AE,24,FALSE)</f>
        <v>#N/A</v>
      </c>
      <c r="CP55" s="432">
        <f t="shared" si="44"/>
        <v>0</v>
      </c>
      <c r="CQ55" s="434">
        <v>2.6597222222222223E-2</v>
      </c>
      <c r="CR55" s="432">
        <f t="shared" si="45"/>
        <v>2.6597222222222223E-2</v>
      </c>
      <c r="CS55" s="163" t="e">
        <f>VLOOKUP($B:$B,'HT DIC'!$A:$AE,25,FALSE)</f>
        <v>#N/A</v>
      </c>
      <c r="CT55" s="432">
        <f t="shared" si="46"/>
        <v>0</v>
      </c>
      <c r="CU55" s="432">
        <v>1.818287037037037E-2</v>
      </c>
      <c r="CV55" s="432">
        <f t="shared" si="47"/>
        <v>1.818287037037037E-2</v>
      </c>
      <c r="CW55" s="163" t="e">
        <f>VLOOKUP($B:$B,'HT DIC'!$A:$AE,26,FALSE)</f>
        <v>#N/A</v>
      </c>
      <c r="CX55" s="432">
        <f t="shared" si="48"/>
        <v>0</v>
      </c>
      <c r="CY55" s="434">
        <v>3.0844907407407408E-2</v>
      </c>
      <c r="CZ55" s="432">
        <f t="shared" si="49"/>
        <v>3.0844907407407408E-2</v>
      </c>
      <c r="DA55" s="163" t="e">
        <f>VLOOKUP($B:$B,'HT DIC'!$A:$AE,27,FALSE)</f>
        <v>#N/A</v>
      </c>
      <c r="DB55" s="432">
        <f t="shared" si="66"/>
        <v>0</v>
      </c>
      <c r="DC55" s="434">
        <v>5.1099537037037034E-2</v>
      </c>
      <c r="DD55" s="432">
        <f t="shared" si="51"/>
        <v>5.1099537037037034E-2</v>
      </c>
      <c r="DE55" s="163" t="e">
        <f>VLOOKUP($B:$B,'HT DIC'!$A:$AE,28,FALSE)</f>
        <v>#N/A</v>
      </c>
      <c r="DF55" s="432">
        <f t="shared" si="52"/>
        <v>0</v>
      </c>
      <c r="DG55" s="434">
        <v>1.2858796296296297E-2</v>
      </c>
      <c r="DH55" s="432">
        <f t="shared" si="53"/>
        <v>1.2858796296296297E-2</v>
      </c>
      <c r="DI55" s="163" t="e">
        <f>VLOOKUP($B:$B,'HT DIC'!$A:$AE,29,FALSE)</f>
        <v>#N/A</v>
      </c>
      <c r="DJ55" s="432">
        <f t="shared" si="73"/>
        <v>0</v>
      </c>
      <c r="DK55" s="434">
        <v>3.2777777777777781E-2</v>
      </c>
      <c r="DL55" s="432">
        <f t="shared" si="55"/>
        <v>3.2777777777777781E-2</v>
      </c>
      <c r="DM55" s="163" t="e">
        <f>VLOOKUP($B:$B,'HT DIC'!$A:$AE,30,FALSE)</f>
        <v>#N/A</v>
      </c>
      <c r="DN55" s="432">
        <f t="shared" si="68"/>
        <v>0</v>
      </c>
      <c r="DO55" s="434">
        <v>3.2326388888888891E-2</v>
      </c>
      <c r="DP55" s="432">
        <f t="shared" si="57"/>
        <v>3.2326388888888891E-2</v>
      </c>
      <c r="DQ55" s="163" t="e">
        <f>VLOOKUP($B:$B,'HT DIC'!$A:$AE,31,FALSE)</f>
        <v>#N/A</v>
      </c>
      <c r="DR55" s="432">
        <f t="shared" si="58"/>
        <v>0</v>
      </c>
      <c r="DS55" s="434">
        <v>3.4606481481481481E-2</v>
      </c>
      <c r="DT55" s="432">
        <f t="shared" si="59"/>
        <v>3.4606481481481481E-2</v>
      </c>
      <c r="DU55" s="163" t="e">
        <f>VLOOKUP($B:$B,'HT DIC'!$A:$AE,32,FALSE)</f>
        <v>#N/A</v>
      </c>
      <c r="DV55" s="432">
        <f t="shared" si="60"/>
        <v>0</v>
      </c>
      <c r="DW55" s="434"/>
      <c r="DX55" s="432">
        <f t="shared" si="61"/>
        <v>0</v>
      </c>
      <c r="DY55" s="432">
        <f t="shared" si="69"/>
        <v>0.68406250000000013</v>
      </c>
    </row>
    <row r="56" spans="1:129" ht="15.75">
      <c r="A56" s="166" t="s">
        <v>176</v>
      </c>
      <c r="B56" s="446" t="s">
        <v>68</v>
      </c>
      <c r="C56" s="166">
        <v>1725494676</v>
      </c>
      <c r="D56" s="431">
        <v>37049</v>
      </c>
      <c r="E56" s="163" t="e">
        <f>VLOOKUP($B:$B,#REF!,2,FALSE)</f>
        <v>#REF!</v>
      </c>
      <c r="F56" s="432">
        <f t="shared" si="74"/>
        <v>0</v>
      </c>
      <c r="G56" s="434">
        <v>2.7974537037037037E-2</v>
      </c>
      <c r="H56" s="432">
        <f t="shared" si="75"/>
        <v>2.7974537037037037E-2</v>
      </c>
      <c r="I56" s="163" t="e">
        <f>VLOOKUP($B:$B,'HT DIC'!$A:$AE,3,FALSE)</f>
        <v>#REF!</v>
      </c>
      <c r="J56" s="432">
        <f t="shared" si="76"/>
        <v>0</v>
      </c>
      <c r="K56" s="434">
        <v>1.726851851851852E-2</v>
      </c>
      <c r="L56" s="432">
        <f t="shared" si="77"/>
        <v>1.726851851851852E-2</v>
      </c>
      <c r="M56" s="163" t="e">
        <f>VLOOKUP($B:$B,'HT DIC'!$A:$AE,4,FALSE)</f>
        <v>#REF!</v>
      </c>
      <c r="N56" s="432">
        <f t="shared" si="78"/>
        <v>0</v>
      </c>
      <c r="O56" s="432">
        <v>8.7037037037037038E-2</v>
      </c>
      <c r="P56" s="432"/>
      <c r="Q56" s="163" t="e">
        <f>VLOOKUP($B:$B,'HT DIC'!$A:$AE,5,FALSE)</f>
        <v>#REF!</v>
      </c>
      <c r="R56" s="432">
        <f t="shared" si="80"/>
        <v>0</v>
      </c>
      <c r="S56" s="432">
        <v>1.7986111111111112E-2</v>
      </c>
      <c r="T56" s="432">
        <f t="shared" si="81"/>
        <v>1.7986111111111112E-2</v>
      </c>
      <c r="U56" s="163" t="e">
        <f>VLOOKUP($B:$B,'HT DIC'!$A:$AE,6,FALSE)</f>
        <v>#REF!</v>
      </c>
      <c r="V56" s="432">
        <f t="shared" si="82"/>
        <v>0</v>
      </c>
      <c r="W56" s="434">
        <v>3.9293981481481478E-2</v>
      </c>
      <c r="X56" s="432">
        <f t="shared" si="83"/>
        <v>3.9293981481481478E-2</v>
      </c>
      <c r="Y56" s="163" t="e">
        <f>VLOOKUP($B:$B,'HT DIC'!$A:$AE,7,FALSE)</f>
        <v>#REF!</v>
      </c>
      <c r="Z56" s="432">
        <f t="shared" si="84"/>
        <v>0</v>
      </c>
      <c r="AA56" s="434"/>
      <c r="AB56" s="432">
        <f t="shared" si="85"/>
        <v>0</v>
      </c>
      <c r="AC56" s="163" t="e">
        <f>VLOOKUP($B:$B,'HT DIC'!$A:$AE,8,FALSE)</f>
        <v>#REF!</v>
      </c>
      <c r="AD56" s="432">
        <f t="shared" si="86"/>
        <v>0</v>
      </c>
      <c r="AE56" s="434">
        <v>4.8287037037037038E-2</v>
      </c>
      <c r="AF56" s="432">
        <f t="shared" si="87"/>
        <v>4.8287037037037038E-2</v>
      </c>
      <c r="AG56" s="163" t="e">
        <f>VLOOKUP($B:$B,'HT DIC'!$A:$AE,9,FALSE)</f>
        <v>#REF!</v>
      </c>
      <c r="AH56" s="432">
        <f t="shared" si="88"/>
        <v>0</v>
      </c>
      <c r="AI56" s="434">
        <v>3.4861111111111114E-2</v>
      </c>
      <c r="AJ56" s="432">
        <f t="shared" si="89"/>
        <v>3.4861111111111114E-2</v>
      </c>
      <c r="AK56" s="163" t="e">
        <f>VLOOKUP($B:$B,'HT DIC'!$A:$AE,10,FALSE)</f>
        <v>#REF!</v>
      </c>
      <c r="AL56" s="432">
        <f t="shared" si="90"/>
        <v>0</v>
      </c>
      <c r="AM56" s="434">
        <v>2.3379629629629629E-2</v>
      </c>
      <c r="AN56" s="432">
        <f t="shared" si="91"/>
        <v>2.3379629629629629E-2</v>
      </c>
      <c r="AO56" s="163" t="e">
        <f>VLOOKUP($B:$B,'HT DIC'!$A:$AE,11,FALSE)</f>
        <v>#REF!</v>
      </c>
      <c r="AP56" s="432">
        <f t="shared" si="92"/>
        <v>0</v>
      </c>
      <c r="AQ56" s="432">
        <v>2.9687499999999999E-2</v>
      </c>
      <c r="AR56" s="432">
        <f t="shared" si="93"/>
        <v>2.9687499999999999E-2</v>
      </c>
      <c r="AS56" s="163" t="str">
        <f>VLOOKUP($B:$B,'HT DIC'!$A:$AE,12,FALSE)</f>
        <v>FI</v>
      </c>
      <c r="AT56" s="432">
        <f t="shared" si="94"/>
        <v>0</v>
      </c>
      <c r="AU56" s="434">
        <v>3.1967592592592596E-2</v>
      </c>
      <c r="AV56" s="432">
        <f t="shared" si="95"/>
        <v>3.1967592592592596E-2</v>
      </c>
      <c r="AW56" s="163" t="e">
        <f>VLOOKUP($B:$B,'HT DIC'!$A:$AE,13,FALSE)</f>
        <v>#REF!</v>
      </c>
      <c r="AX56" s="432">
        <f t="shared" si="22"/>
        <v>0</v>
      </c>
      <c r="AY56" s="434">
        <v>4.4849537037037035E-2</v>
      </c>
      <c r="AZ56" s="432">
        <f t="shared" si="23"/>
        <v>4.4849537037037035E-2</v>
      </c>
      <c r="BA56" s="163" t="e">
        <f>VLOOKUP($B:$B,'HT DIC'!$A:$AE,14,FALSE)</f>
        <v>#REF!</v>
      </c>
      <c r="BB56" s="432">
        <f t="shared" si="24"/>
        <v>0</v>
      </c>
      <c r="BC56" s="434">
        <v>4.1527777777777775E-2</v>
      </c>
      <c r="BD56" s="432">
        <f t="shared" si="25"/>
        <v>4.1527777777777775E-2</v>
      </c>
      <c r="BE56" s="163" t="e">
        <f>VLOOKUP($B:$B,'HT DIC'!$A:$AE,15,FALSE)</f>
        <v>#REF!</v>
      </c>
      <c r="BF56" s="432">
        <f t="shared" si="26"/>
        <v>0</v>
      </c>
      <c r="BG56" s="434"/>
      <c r="BH56" s="432">
        <f t="shared" si="27"/>
        <v>0</v>
      </c>
      <c r="BI56" s="163" t="e">
        <f>VLOOKUP($B:$B,'HT DIC'!$A:$AE,16,FALSE)</f>
        <v>#REF!</v>
      </c>
      <c r="BJ56" s="432">
        <f t="shared" si="63"/>
        <v>0</v>
      </c>
      <c r="BK56" s="434">
        <v>1.5046296296296295E-2</v>
      </c>
      <c r="BL56" s="432">
        <f t="shared" si="29"/>
        <v>1.5046296296296295E-2</v>
      </c>
      <c r="BM56" s="163" t="e">
        <f>VLOOKUP($B:$B,'HT DIC'!$A:$AE,17,FALSE)</f>
        <v>#REF!</v>
      </c>
      <c r="BN56" s="432">
        <f t="shared" si="30"/>
        <v>0</v>
      </c>
      <c r="BO56" s="434">
        <v>2.8402777777777777E-2</v>
      </c>
      <c r="BP56" s="432">
        <f t="shared" si="31"/>
        <v>2.8402777777777777E-2</v>
      </c>
      <c r="BQ56" s="163" t="e">
        <f>VLOOKUP($B:$B,'HT DIC'!$A:$AE,18,FALSE)</f>
        <v>#REF!</v>
      </c>
      <c r="BR56" s="432">
        <f t="shared" si="64"/>
        <v>0</v>
      </c>
      <c r="BS56" s="434">
        <v>3.9918981481481479E-2</v>
      </c>
      <c r="BT56" s="432">
        <f t="shared" si="33"/>
        <v>3.9918981481481479E-2</v>
      </c>
      <c r="BU56" s="163" t="e">
        <f>VLOOKUP($B:$B,'HT DIC'!$A:$AE,19,FALSE)</f>
        <v>#REF!</v>
      </c>
      <c r="BV56" s="432">
        <f t="shared" si="34"/>
        <v>0</v>
      </c>
      <c r="BW56" s="434">
        <v>2.630787037037037E-2</v>
      </c>
      <c r="BX56" s="432">
        <f t="shared" si="35"/>
        <v>2.630787037037037E-2</v>
      </c>
      <c r="BY56" s="163" t="e">
        <f>VLOOKUP($B:$B,'HT DIC'!$A:$AE,20,FALSE)</f>
        <v>#REF!</v>
      </c>
      <c r="BZ56" s="432">
        <f t="shared" si="65"/>
        <v>0</v>
      </c>
      <c r="CA56" s="434"/>
      <c r="CB56" s="432">
        <f t="shared" si="37"/>
        <v>0</v>
      </c>
      <c r="CC56" s="163" t="e">
        <f>VLOOKUP($B:$B,'HT DIC'!$A:$AE,21,FALSE)</f>
        <v>#REF!</v>
      </c>
      <c r="CD56" s="432">
        <f t="shared" si="38"/>
        <v>0</v>
      </c>
      <c r="CE56" s="432">
        <v>3.8553240740740742E-2</v>
      </c>
      <c r="CF56" s="432">
        <f t="shared" si="39"/>
        <v>3.8553240740740742E-2</v>
      </c>
      <c r="CG56" s="163" t="e">
        <f>VLOOKUP($B:$B,'HT DIC'!$A:$AE,22,FALSE)</f>
        <v>#REF!</v>
      </c>
      <c r="CH56" s="432">
        <f t="shared" si="40"/>
        <v>0</v>
      </c>
      <c r="CI56" s="434"/>
      <c r="CJ56" s="432">
        <f t="shared" si="97"/>
        <v>0</v>
      </c>
      <c r="CK56" s="163" t="str">
        <f>VLOOKUP($B:$B,'HT DIC'!$A:$AE,23,FALSE)</f>
        <v>FI</v>
      </c>
      <c r="CL56" s="432">
        <f t="shared" si="42"/>
        <v>0</v>
      </c>
      <c r="CM56" s="432">
        <v>3.8449074074074073E-2</v>
      </c>
      <c r="CN56" s="432">
        <f t="shared" si="43"/>
        <v>3.8449074074074073E-2</v>
      </c>
      <c r="CO56" s="163" t="e">
        <f>VLOOKUP($B:$B,'HT DIC'!$A:$AE,24,FALSE)</f>
        <v>#REF!</v>
      </c>
      <c r="CP56" s="432">
        <f t="shared" si="44"/>
        <v>0</v>
      </c>
      <c r="CQ56" s="434">
        <v>3.2708333333333332E-2</v>
      </c>
      <c r="CR56" s="432">
        <f t="shared" si="45"/>
        <v>3.2708333333333332E-2</v>
      </c>
      <c r="CS56" s="163" t="e">
        <f>VLOOKUP($B:$B,'HT DIC'!$A:$AE,25,FALSE)</f>
        <v>#REF!</v>
      </c>
      <c r="CT56" s="432">
        <f t="shared" si="46"/>
        <v>0</v>
      </c>
      <c r="CU56" s="432">
        <v>5.7187500000000002E-2</v>
      </c>
      <c r="CV56" s="432">
        <f t="shared" si="47"/>
        <v>5.7187500000000002E-2</v>
      </c>
      <c r="CW56" s="163" t="e">
        <f>VLOOKUP($B:$B,'HT DIC'!$A:$AE,26,FALSE)</f>
        <v>#REF!</v>
      </c>
      <c r="CX56" s="432">
        <f t="shared" si="48"/>
        <v>0</v>
      </c>
      <c r="CY56" s="432">
        <f>IFERROR(VLOOKUP(CX56,$B$229:$E$245,2,FALSE),0)</f>
        <v>0</v>
      </c>
      <c r="CZ56" s="432">
        <f t="shared" si="49"/>
        <v>0</v>
      </c>
      <c r="DA56" s="163">
        <f>VLOOKUP($B:$B,'HT DIC'!$A:$AE,27,FALSE)</f>
        <v>12</v>
      </c>
      <c r="DB56" s="432">
        <f t="shared" si="66"/>
        <v>3.8194444444444448E-2</v>
      </c>
      <c r="DC56" s="434">
        <v>4.9224537037037039E-2</v>
      </c>
      <c r="DD56" s="432">
        <f t="shared" si="51"/>
        <v>1.1030092592592591E-2</v>
      </c>
      <c r="DE56" s="163">
        <f>VLOOKUP($B:$B,'HT DIC'!$A:$AE,28,FALSE)</f>
        <v>13</v>
      </c>
      <c r="DF56" s="432">
        <f t="shared" si="52"/>
        <v>4.1666666666666664E-2</v>
      </c>
      <c r="DG56" s="434">
        <v>4.0694444444444443E-2</v>
      </c>
      <c r="DH56" s="432">
        <f t="shared" si="53"/>
        <v>0</v>
      </c>
      <c r="DI56" s="163">
        <f>VLOOKUP($B:$B,'HT DIC'!$A:$AE,29,FALSE)</f>
        <v>12</v>
      </c>
      <c r="DJ56" s="432">
        <f t="shared" si="73"/>
        <v>3.8194444444444448E-2</v>
      </c>
      <c r="DK56" s="434"/>
      <c r="DL56" s="432">
        <f t="shared" si="55"/>
        <v>0</v>
      </c>
      <c r="DM56" s="163">
        <f>VLOOKUP($B:$B,'HT DIC'!$A:$AE,30,FALSE)</f>
        <v>11</v>
      </c>
      <c r="DN56" s="432">
        <f t="shared" si="68"/>
        <v>3.4722222222222224E-2</v>
      </c>
      <c r="DO56" s="434">
        <v>4.2777777777777776E-2</v>
      </c>
      <c r="DP56" s="432">
        <f t="shared" si="57"/>
        <v>8.0555555555555519E-3</v>
      </c>
      <c r="DQ56" s="163">
        <f>VLOOKUP($B:$B,'HT DIC'!$A:$AE,31,FALSE)</f>
        <v>12</v>
      </c>
      <c r="DR56" s="432">
        <f t="shared" si="58"/>
        <v>3.8194444444444448E-2</v>
      </c>
      <c r="DS56" s="434">
        <v>3.125E-2</v>
      </c>
      <c r="DT56" s="432">
        <f t="shared" si="59"/>
        <v>0</v>
      </c>
      <c r="DU56" s="163" t="e">
        <f>VLOOKUP($B:$B,'HT DIC'!$A:$AE,32,FALSE)</f>
        <v>#REF!</v>
      </c>
      <c r="DV56" s="432">
        <f t="shared" si="60"/>
        <v>0</v>
      </c>
      <c r="DW56" s="434"/>
      <c r="DX56" s="432">
        <f t="shared" si="61"/>
        <v>0</v>
      </c>
      <c r="DY56" s="432">
        <f t="shared" si="69"/>
        <v>0.65274305555555545</v>
      </c>
    </row>
    <row r="57" spans="1:129" ht="15.75">
      <c r="A57" s="166" t="s">
        <v>178</v>
      </c>
      <c r="B57" s="446" t="s">
        <v>150</v>
      </c>
      <c r="C57" s="166">
        <v>501844476</v>
      </c>
      <c r="D57" s="431">
        <v>26226</v>
      </c>
      <c r="E57" s="163" t="e">
        <f>VLOOKUP($B:$B,#REF!,2,FALSE)</f>
        <v>#REF!</v>
      </c>
      <c r="F57" s="432">
        <f t="shared" si="74"/>
        <v>0</v>
      </c>
      <c r="G57" s="434">
        <v>1.7222222222222222E-2</v>
      </c>
      <c r="H57" s="432">
        <f t="shared" si="75"/>
        <v>1.7222222222222222E-2</v>
      </c>
      <c r="I57" s="163" t="e">
        <f>VLOOKUP($B:$B,'HT DIC'!$A:$AE,3,FALSE)</f>
        <v>#REF!</v>
      </c>
      <c r="J57" s="432">
        <f t="shared" si="76"/>
        <v>0</v>
      </c>
      <c r="K57" s="434"/>
      <c r="L57" s="432">
        <f t="shared" si="77"/>
        <v>0</v>
      </c>
      <c r="M57" s="163" t="e">
        <f>VLOOKUP($B:$B,'HT DIC'!$A:$AE,4,FALSE)</f>
        <v>#REF!</v>
      </c>
      <c r="N57" s="432">
        <f t="shared" si="78"/>
        <v>0</v>
      </c>
      <c r="O57" s="432">
        <v>4.2928240740740739E-2</v>
      </c>
      <c r="P57" s="432">
        <f t="shared" ref="P57:P59" si="98">IF(O57-N57&lt;0,0,O57-N57)</f>
        <v>4.2928240740740739E-2</v>
      </c>
      <c r="Q57" s="163" t="e">
        <f>VLOOKUP($B:$B,'HT DIC'!$A:$AE,5,FALSE)</f>
        <v>#REF!</v>
      </c>
      <c r="R57" s="432">
        <f t="shared" si="80"/>
        <v>0</v>
      </c>
      <c r="S57" s="432">
        <v>1.3391203703703704E-2</v>
      </c>
      <c r="T57" s="432">
        <f t="shared" si="81"/>
        <v>1.3391203703703704E-2</v>
      </c>
      <c r="U57" s="163" t="e">
        <f>VLOOKUP($B:$B,'HT DIC'!$A:$AE,6,FALSE)</f>
        <v>#REF!</v>
      </c>
      <c r="V57" s="432">
        <f t="shared" si="82"/>
        <v>0</v>
      </c>
      <c r="W57" s="434">
        <v>3.4895833333333334E-2</v>
      </c>
      <c r="X57" s="432">
        <f t="shared" si="83"/>
        <v>3.4895833333333334E-2</v>
      </c>
      <c r="Y57" s="163" t="e">
        <f>VLOOKUP($B:$B,'HT DIC'!$A:$AE,7,FALSE)</f>
        <v>#REF!</v>
      </c>
      <c r="Z57" s="432">
        <f t="shared" si="84"/>
        <v>0</v>
      </c>
      <c r="AA57" s="434">
        <v>4.9537037037037039E-2</v>
      </c>
      <c r="AB57" s="432">
        <f t="shared" si="85"/>
        <v>4.9537037037037039E-2</v>
      </c>
      <c r="AC57" s="163" t="e">
        <f>VLOOKUP($B:$B,'HT DIC'!$A:$AE,8,FALSE)</f>
        <v>#REF!</v>
      </c>
      <c r="AD57" s="432">
        <f t="shared" si="86"/>
        <v>0</v>
      </c>
      <c r="AE57" s="434">
        <v>2.8472222222222222E-2</v>
      </c>
      <c r="AF57" s="432">
        <f t="shared" si="87"/>
        <v>2.8472222222222222E-2</v>
      </c>
      <c r="AG57" s="163" t="e">
        <f>VLOOKUP($B:$B,'HT DIC'!$A:$AE,9,FALSE)</f>
        <v>#REF!</v>
      </c>
      <c r="AH57" s="432">
        <f t="shared" si="88"/>
        <v>0</v>
      </c>
      <c r="AI57" s="434">
        <v>1.8865740740740742E-2</v>
      </c>
      <c r="AJ57" s="432">
        <f t="shared" si="89"/>
        <v>1.8865740740740742E-2</v>
      </c>
      <c r="AK57" s="163" t="e">
        <f>VLOOKUP($B:$B,'HT DIC'!$A:$AE,10,FALSE)</f>
        <v>#REF!</v>
      </c>
      <c r="AL57" s="432">
        <f t="shared" si="90"/>
        <v>0</v>
      </c>
      <c r="AM57" s="434">
        <v>2.2731481481481481E-2</v>
      </c>
      <c r="AN57" s="432">
        <f t="shared" si="91"/>
        <v>2.2731481481481481E-2</v>
      </c>
      <c r="AO57" s="163" t="e">
        <f>VLOOKUP($B:$B,'HT DIC'!$A:$AE,11,FALSE)</f>
        <v>#REF!</v>
      </c>
      <c r="AP57" s="432">
        <f t="shared" si="92"/>
        <v>0</v>
      </c>
      <c r="AQ57" s="432">
        <v>4.3680555555555556E-2</v>
      </c>
      <c r="AR57" s="432">
        <f t="shared" si="93"/>
        <v>4.3680555555555556E-2</v>
      </c>
      <c r="AS57" s="163" t="e">
        <f>VLOOKUP($B:$B,'HT DIC'!$A:$AE,12,FALSE)</f>
        <v>#REF!</v>
      </c>
      <c r="AT57" s="432">
        <f t="shared" si="94"/>
        <v>0</v>
      </c>
      <c r="AU57" s="434">
        <v>3.8657407407407404E-2</v>
      </c>
      <c r="AV57" s="432">
        <f t="shared" si="95"/>
        <v>3.8657407407407404E-2</v>
      </c>
      <c r="AW57" s="163" t="e">
        <f>VLOOKUP($B:$B,'HT DIC'!$A:$AE,13,FALSE)</f>
        <v>#REF!</v>
      </c>
      <c r="AX57" s="432">
        <f t="shared" si="22"/>
        <v>0</v>
      </c>
      <c r="AY57" s="434">
        <v>4.9641203703703701E-2</v>
      </c>
      <c r="AZ57" s="432">
        <f t="shared" si="23"/>
        <v>4.9641203703703701E-2</v>
      </c>
      <c r="BA57" s="163" t="e">
        <f>VLOOKUP($B:$B,'HT DIC'!$A:$AE,14,FALSE)</f>
        <v>#REF!</v>
      </c>
      <c r="BB57" s="432">
        <f t="shared" si="24"/>
        <v>0</v>
      </c>
      <c r="BC57" s="434"/>
      <c r="BD57" s="432">
        <f t="shared" si="25"/>
        <v>0</v>
      </c>
      <c r="BE57" s="163" t="e">
        <f>VLOOKUP($B:$B,'HT DIC'!$A:$AE,15,FALSE)</f>
        <v>#REF!</v>
      </c>
      <c r="BF57" s="432">
        <f t="shared" si="26"/>
        <v>0</v>
      </c>
      <c r="BG57" s="434">
        <v>6.4155092592592597E-2</v>
      </c>
      <c r="BH57" s="432">
        <f t="shared" si="27"/>
        <v>6.4155092592592597E-2</v>
      </c>
      <c r="BI57" s="163" t="e">
        <f>VLOOKUP($B:$B,'HT DIC'!$A:$AE,16,FALSE)</f>
        <v>#REF!</v>
      </c>
      <c r="BJ57" s="432">
        <f t="shared" si="63"/>
        <v>0</v>
      </c>
      <c r="BK57" s="434">
        <v>5.0798611111111114E-2</v>
      </c>
      <c r="BL57" s="432">
        <f t="shared" si="29"/>
        <v>5.0798611111111114E-2</v>
      </c>
      <c r="BM57" s="163" t="e">
        <f>VLOOKUP($B:$B,'HT DIC'!$A:$AE,17,FALSE)</f>
        <v>#REF!</v>
      </c>
      <c r="BN57" s="432">
        <f t="shared" si="30"/>
        <v>0</v>
      </c>
      <c r="BO57" s="434">
        <v>3.5706018518518519E-2</v>
      </c>
      <c r="BP57" s="432">
        <f t="shared" si="31"/>
        <v>3.5706018518518519E-2</v>
      </c>
      <c r="BQ57" s="163" t="e">
        <f>VLOOKUP($B:$B,'HT DIC'!$A:$AE,18,FALSE)</f>
        <v>#REF!</v>
      </c>
      <c r="BR57" s="432">
        <f t="shared" si="64"/>
        <v>0</v>
      </c>
      <c r="BS57" s="434">
        <v>3.6030092592592593E-2</v>
      </c>
      <c r="BT57" s="432">
        <f t="shared" si="33"/>
        <v>3.6030092592592593E-2</v>
      </c>
      <c r="BU57" s="163" t="e">
        <f>VLOOKUP($B:$B,'HT DIC'!$A:$AE,19,FALSE)</f>
        <v>#REF!</v>
      </c>
      <c r="BV57" s="432">
        <f t="shared" si="34"/>
        <v>0</v>
      </c>
      <c r="BW57" s="434">
        <v>1.3298611111111112E-2</v>
      </c>
      <c r="BX57" s="432">
        <f t="shared" si="35"/>
        <v>1.3298611111111112E-2</v>
      </c>
      <c r="BY57" s="163" t="e">
        <f>VLOOKUP($B:$B,'HT DIC'!$A:$AE,20,FALSE)</f>
        <v>#REF!</v>
      </c>
      <c r="BZ57" s="432">
        <f t="shared" si="65"/>
        <v>0</v>
      </c>
      <c r="CA57" s="434">
        <v>4.0254629629629626E-2</v>
      </c>
      <c r="CB57" s="432">
        <f t="shared" si="37"/>
        <v>4.0254629629629626E-2</v>
      </c>
      <c r="CC57" s="163" t="e">
        <f>VLOOKUP($B:$B,'HT DIC'!$A:$AE,21,FALSE)</f>
        <v>#REF!</v>
      </c>
      <c r="CD57" s="432">
        <f t="shared" si="38"/>
        <v>0</v>
      </c>
      <c r="CE57" s="432">
        <v>4.1053240740740737E-2</v>
      </c>
      <c r="CF57" s="432">
        <f t="shared" si="39"/>
        <v>4.1053240740740737E-2</v>
      </c>
      <c r="CG57" s="163" t="e">
        <f>VLOOKUP($B:$B,'HT DIC'!$A:$AE,22,FALSE)</f>
        <v>#REF!</v>
      </c>
      <c r="CH57" s="432">
        <f t="shared" si="40"/>
        <v>0</v>
      </c>
      <c r="CI57" s="434"/>
      <c r="CJ57" s="432">
        <f t="shared" si="97"/>
        <v>0</v>
      </c>
      <c r="CK57" s="163">
        <f>VLOOKUP($B:$B,'HT DIC'!$A:$AE,23,FALSE)</f>
        <v>11</v>
      </c>
      <c r="CL57" s="432">
        <f t="shared" si="42"/>
        <v>3.4722222222222224E-2</v>
      </c>
      <c r="CM57" s="432">
        <v>4.5682870370370374E-2</v>
      </c>
      <c r="CN57" s="432">
        <f t="shared" si="43"/>
        <v>1.096064814814815E-2</v>
      </c>
      <c r="CO57" s="163" t="e">
        <f>VLOOKUP($B:$B,'HT DIC'!$A:$AE,24,FALSE)</f>
        <v>#REF!</v>
      </c>
      <c r="CP57" s="432">
        <f t="shared" si="44"/>
        <v>0</v>
      </c>
      <c r="CQ57" s="434">
        <v>5.1099537037037034E-2</v>
      </c>
      <c r="CR57" s="432">
        <f t="shared" si="45"/>
        <v>5.1099537037037034E-2</v>
      </c>
      <c r="CS57" s="163" t="e">
        <f>VLOOKUP($B:$B,'HT DIC'!$A:$AE,25,FALSE)</f>
        <v>#REF!</v>
      </c>
      <c r="CT57" s="432">
        <f t="shared" si="46"/>
        <v>0</v>
      </c>
      <c r="CU57" s="432">
        <v>4.1331018518518517E-2</v>
      </c>
      <c r="CV57" s="432">
        <f t="shared" si="47"/>
        <v>4.1331018518518517E-2</v>
      </c>
      <c r="CW57" s="163" t="e">
        <f>VLOOKUP($B:$B,'HT DIC'!$A:$AE,26,FALSE)</f>
        <v>#REF!</v>
      </c>
      <c r="CX57" s="432">
        <f t="shared" si="48"/>
        <v>0</v>
      </c>
      <c r="CY57" s="434"/>
      <c r="CZ57" s="432">
        <f t="shared" si="49"/>
        <v>0</v>
      </c>
      <c r="DA57" s="163">
        <f>VLOOKUP($B:$B,'HT DIC'!$A:$AE,27,FALSE)</f>
        <v>12</v>
      </c>
      <c r="DB57" s="432">
        <f t="shared" si="66"/>
        <v>3.8194444444444448E-2</v>
      </c>
      <c r="DC57" s="434">
        <v>4.3773148148148151E-2</v>
      </c>
      <c r="DD57" s="432">
        <f t="shared" si="51"/>
        <v>5.5787037037037038E-3</v>
      </c>
      <c r="DE57" s="163">
        <f>VLOOKUP($B:$B,'HT DIC'!$A:$AE,28,FALSE)</f>
        <v>12</v>
      </c>
      <c r="DF57" s="432">
        <f t="shared" si="52"/>
        <v>3.8194444444444448E-2</v>
      </c>
      <c r="DG57" s="434">
        <v>3.1759259259259258E-2</v>
      </c>
      <c r="DH57" s="432">
        <f t="shared" si="53"/>
        <v>0</v>
      </c>
      <c r="DI57" s="163">
        <f>VLOOKUP($B:$B,'HT DIC'!$A:$AE,29,FALSE)</f>
        <v>10</v>
      </c>
      <c r="DJ57" s="432">
        <f t="shared" si="73"/>
        <v>3.125E-2</v>
      </c>
      <c r="DK57" s="434">
        <v>2.8171296296296295E-2</v>
      </c>
      <c r="DL57" s="432">
        <f t="shared" si="55"/>
        <v>0</v>
      </c>
      <c r="DM57" s="163">
        <f>VLOOKUP($B:$B,'HT DIC'!$A:$AE,30,FALSE)</f>
        <v>9</v>
      </c>
      <c r="DN57" s="432">
        <f t="shared" si="68"/>
        <v>2.7777777777777776E-2</v>
      </c>
      <c r="DO57" s="434">
        <v>3.8356481481481484E-2</v>
      </c>
      <c r="DP57" s="432">
        <f t="shared" si="57"/>
        <v>1.0578703703703708E-2</v>
      </c>
      <c r="DQ57" s="163">
        <f>VLOOKUP($B:$B,'HT DIC'!$A:$AE,31,FALSE)</f>
        <v>10</v>
      </c>
      <c r="DR57" s="432">
        <f t="shared" si="58"/>
        <v>3.125E-2</v>
      </c>
      <c r="DS57" s="434">
        <v>4.1736111111111113E-2</v>
      </c>
      <c r="DT57" s="432">
        <f t="shared" si="59"/>
        <v>1.0486111111111113E-2</v>
      </c>
      <c r="DU57" s="163" t="e">
        <f>VLOOKUP($B:$B,'HT DIC'!$A:$AE,32,FALSE)</f>
        <v>#REF!</v>
      </c>
      <c r="DV57" s="432">
        <f t="shared" si="60"/>
        <v>0</v>
      </c>
      <c r="DW57" s="434"/>
      <c r="DX57" s="432">
        <f t="shared" si="61"/>
        <v>0</v>
      </c>
      <c r="DY57" s="432">
        <f t="shared" si="69"/>
        <v>0.77135416666666679</v>
      </c>
    </row>
    <row r="58" spans="1:129" ht="15.75">
      <c r="A58" s="166" t="s">
        <v>181</v>
      </c>
      <c r="B58" s="446" t="s">
        <v>77</v>
      </c>
      <c r="C58" s="166">
        <v>1756030597</v>
      </c>
      <c r="D58" s="431">
        <v>36901</v>
      </c>
      <c r="E58" s="163" t="e">
        <f>VLOOKUP($B:$B,#REF!,2,FALSE)</f>
        <v>#REF!</v>
      </c>
      <c r="F58" s="432">
        <f t="shared" si="74"/>
        <v>0</v>
      </c>
      <c r="G58" s="434">
        <v>4.4652777777777777E-2</v>
      </c>
      <c r="H58" s="432">
        <f t="shared" si="75"/>
        <v>4.4652777777777777E-2</v>
      </c>
      <c r="I58" s="163" t="e">
        <f>VLOOKUP($B:$B,'HT DIC'!$A:$AE,3,FALSE)</f>
        <v>#REF!</v>
      </c>
      <c r="J58" s="432">
        <f t="shared" si="76"/>
        <v>0</v>
      </c>
      <c r="K58" s="434">
        <v>2.5578703703703704E-2</v>
      </c>
      <c r="L58" s="432">
        <f t="shared" si="77"/>
        <v>2.5578703703703704E-2</v>
      </c>
      <c r="M58" s="163" t="e">
        <f>VLOOKUP($B:$B,'HT DIC'!$A:$AE,4,FALSE)</f>
        <v>#REF!</v>
      </c>
      <c r="N58" s="432">
        <f t="shared" si="78"/>
        <v>0</v>
      </c>
      <c r="O58" s="432">
        <v>2.3761574074074074E-2</v>
      </c>
      <c r="P58" s="432">
        <f t="shared" si="98"/>
        <v>2.3761574074074074E-2</v>
      </c>
      <c r="Q58" s="163" t="e">
        <f>VLOOKUP($B:$B,'HT DIC'!$A:$AE,5,FALSE)</f>
        <v>#REF!</v>
      </c>
      <c r="R58" s="432">
        <f t="shared" si="80"/>
        <v>0</v>
      </c>
      <c r="S58" s="432">
        <v>2.1250000000000002E-2</v>
      </c>
      <c r="T58" s="432">
        <f t="shared" si="81"/>
        <v>2.1250000000000002E-2</v>
      </c>
      <c r="U58" s="163" t="e">
        <f>VLOOKUP($B:$B,'HT DIC'!$A:$AE,6,FALSE)</f>
        <v>#REF!</v>
      </c>
      <c r="V58" s="432">
        <f t="shared" si="82"/>
        <v>0</v>
      </c>
      <c r="W58" s="434">
        <v>2.3206018518518518E-2</v>
      </c>
      <c r="X58" s="432">
        <f t="shared" si="83"/>
        <v>2.3206018518518518E-2</v>
      </c>
      <c r="Y58" s="163" t="str">
        <f>VLOOKUP($B:$B,'HT DIC'!$A:$AE,7,FALSE)</f>
        <v>FI</v>
      </c>
      <c r="Z58" s="432">
        <f t="shared" si="84"/>
        <v>0</v>
      </c>
      <c r="AA58" s="434">
        <v>2.4895833333333332E-2</v>
      </c>
      <c r="AB58" s="432">
        <f t="shared" si="85"/>
        <v>2.4895833333333332E-2</v>
      </c>
      <c r="AC58" s="163" t="e">
        <f>VLOOKUP($B:$B,'HT DIC'!$A:$AE,8,FALSE)</f>
        <v>#REF!</v>
      </c>
      <c r="AD58" s="432">
        <f t="shared" si="86"/>
        <v>0</v>
      </c>
      <c r="AE58" s="434"/>
      <c r="AF58" s="432">
        <f t="shared" si="87"/>
        <v>0</v>
      </c>
      <c r="AG58" s="163" t="e">
        <f>VLOOKUP($B:$B,'HT DIC'!$A:$AE,9,FALSE)</f>
        <v>#REF!</v>
      </c>
      <c r="AH58" s="432">
        <f t="shared" si="88"/>
        <v>0</v>
      </c>
      <c r="AI58" s="434">
        <v>2.7129629629629629E-2</v>
      </c>
      <c r="AJ58" s="432">
        <f t="shared" si="89"/>
        <v>2.7129629629629629E-2</v>
      </c>
      <c r="AK58" s="163" t="e">
        <f>VLOOKUP($B:$B,'HT DIC'!$A:$AE,10,FALSE)</f>
        <v>#REF!</v>
      </c>
      <c r="AL58" s="432">
        <f t="shared" si="90"/>
        <v>0</v>
      </c>
      <c r="AM58" s="434">
        <v>2.1446759259259259E-2</v>
      </c>
      <c r="AN58" s="432">
        <f t="shared" si="91"/>
        <v>2.1446759259259259E-2</v>
      </c>
      <c r="AO58" s="163" t="e">
        <f>VLOOKUP($B:$B,'HT DIC'!$A:$AE,11,FALSE)</f>
        <v>#REF!</v>
      </c>
      <c r="AP58" s="432">
        <f t="shared" si="92"/>
        <v>0</v>
      </c>
      <c r="AQ58" s="432"/>
      <c r="AR58" s="432">
        <f t="shared" si="93"/>
        <v>0</v>
      </c>
      <c r="AS58" s="163" t="e">
        <f>VLOOKUP($B:$B,'HT DIC'!$A:$AE,12,FALSE)</f>
        <v>#REF!</v>
      </c>
      <c r="AT58" s="432">
        <f t="shared" si="94"/>
        <v>0</v>
      </c>
      <c r="AU58" s="434">
        <v>3.2615740740740744E-2</v>
      </c>
      <c r="AV58" s="432">
        <f t="shared" si="95"/>
        <v>3.2615740740740744E-2</v>
      </c>
      <c r="AW58" s="163" t="e">
        <f>VLOOKUP($B:$B,'HT DIC'!$A:$AE,13,FALSE)</f>
        <v>#REF!</v>
      </c>
      <c r="AX58" s="432">
        <f t="shared" si="22"/>
        <v>0</v>
      </c>
      <c r="AY58" s="434">
        <v>2.6296296296296297E-2</v>
      </c>
      <c r="AZ58" s="432">
        <f t="shared" si="23"/>
        <v>2.6296296296296297E-2</v>
      </c>
      <c r="BA58" s="163" t="e">
        <f>VLOOKUP($B:$B,'HT DIC'!$A:$AE,14,FALSE)</f>
        <v>#REF!</v>
      </c>
      <c r="BB58" s="432">
        <f t="shared" si="24"/>
        <v>0</v>
      </c>
      <c r="BC58" s="434"/>
      <c r="BD58" s="432">
        <f t="shared" si="25"/>
        <v>0</v>
      </c>
      <c r="BE58" s="163" t="e">
        <f>VLOOKUP($B:$B,'HT DIC'!$A:$AE,15,FALSE)</f>
        <v>#REF!</v>
      </c>
      <c r="BF58" s="432">
        <f t="shared" si="26"/>
        <v>0</v>
      </c>
      <c r="BG58" s="434">
        <v>4.1724537037037039E-2</v>
      </c>
      <c r="BH58" s="432">
        <f t="shared" si="27"/>
        <v>4.1724537037037039E-2</v>
      </c>
      <c r="BI58" s="163" t="e">
        <f>VLOOKUP($B:$B,'HT DIC'!$A:$AE,16,FALSE)</f>
        <v>#REF!</v>
      </c>
      <c r="BJ58" s="432">
        <f t="shared" si="63"/>
        <v>0</v>
      </c>
      <c r="BK58" s="434">
        <v>2.4675925925925928E-2</v>
      </c>
      <c r="BL58" s="432">
        <f t="shared" si="29"/>
        <v>2.4675925925925928E-2</v>
      </c>
      <c r="BM58" s="163" t="e">
        <f>VLOOKUP($B:$B,'HT DIC'!$A:$AE,17,FALSE)</f>
        <v>#REF!</v>
      </c>
      <c r="BN58" s="432">
        <f t="shared" si="30"/>
        <v>0</v>
      </c>
      <c r="BO58" s="434">
        <v>2.7939814814814813E-2</v>
      </c>
      <c r="BP58" s="432">
        <f t="shared" si="31"/>
        <v>2.7939814814814813E-2</v>
      </c>
      <c r="BQ58" s="163" t="e">
        <f>VLOOKUP($B:$B,'HT DIC'!$A:$AE,18,FALSE)</f>
        <v>#REF!</v>
      </c>
      <c r="BR58" s="432">
        <f t="shared" si="64"/>
        <v>0</v>
      </c>
      <c r="BS58" s="434">
        <v>2.0891203703703703E-2</v>
      </c>
      <c r="BT58" s="432">
        <f t="shared" si="33"/>
        <v>2.0891203703703703E-2</v>
      </c>
      <c r="BU58" s="163" t="e">
        <f>VLOOKUP($B:$B,'HT DIC'!$A:$AE,19,FALSE)</f>
        <v>#REF!</v>
      </c>
      <c r="BV58" s="432">
        <f t="shared" si="34"/>
        <v>0</v>
      </c>
      <c r="BW58" s="434">
        <v>3.1319444444444441E-2</v>
      </c>
      <c r="BX58" s="432">
        <f t="shared" si="35"/>
        <v>3.1319444444444441E-2</v>
      </c>
      <c r="BY58" s="163" t="e">
        <f>VLOOKUP($B:$B,'HT DIC'!$A:$AE,20,FALSE)</f>
        <v>#REF!</v>
      </c>
      <c r="BZ58" s="432">
        <f t="shared" si="65"/>
        <v>0</v>
      </c>
      <c r="CA58" s="434">
        <v>4.3981481481481483E-2</v>
      </c>
      <c r="CB58" s="432">
        <f t="shared" si="37"/>
        <v>4.3981481481481483E-2</v>
      </c>
      <c r="CC58" s="163" t="e">
        <f>VLOOKUP($B:$B,'HT DIC'!$A:$AE,21,FALSE)</f>
        <v>#REF!</v>
      </c>
      <c r="CD58" s="432">
        <f t="shared" si="38"/>
        <v>0</v>
      </c>
      <c r="CE58" s="432">
        <v>3.9131944444444441E-2</v>
      </c>
      <c r="CF58" s="432">
        <f t="shared" si="39"/>
        <v>3.9131944444444441E-2</v>
      </c>
      <c r="CG58" s="163" t="e">
        <f>VLOOKUP($B:$B,'HT DIC'!$A:$AE,22,FALSE)</f>
        <v>#REF!</v>
      </c>
      <c r="CH58" s="432">
        <f t="shared" si="40"/>
        <v>0</v>
      </c>
      <c r="CI58" s="434"/>
      <c r="CJ58" s="432">
        <f t="shared" si="97"/>
        <v>0</v>
      </c>
      <c r="CK58" s="163">
        <f>VLOOKUP($B:$B,'HT DIC'!$A:$AE,23,FALSE)</f>
        <v>8</v>
      </c>
      <c r="CL58" s="432">
        <f t="shared" si="42"/>
        <v>2.4305555555555556E-2</v>
      </c>
      <c r="CM58" s="432">
        <v>5.9374999999999997E-2</v>
      </c>
      <c r="CN58" s="432">
        <f t="shared" si="43"/>
        <v>3.5069444444444445E-2</v>
      </c>
      <c r="CO58" s="163" t="e">
        <f>VLOOKUP($B:$B,'HT DIC'!$A:$AE,24,FALSE)</f>
        <v>#REF!</v>
      </c>
      <c r="CP58" s="432">
        <f t="shared" si="44"/>
        <v>0</v>
      </c>
      <c r="CQ58" s="434">
        <v>4.4189814814814814E-2</v>
      </c>
      <c r="CR58" s="432">
        <f t="shared" si="45"/>
        <v>4.4189814814814814E-2</v>
      </c>
      <c r="CS58" s="163" t="e">
        <f>VLOOKUP($B:$B,'HT DIC'!$A:$AE,25,FALSE)</f>
        <v>#REF!</v>
      </c>
      <c r="CT58" s="432">
        <f t="shared" si="46"/>
        <v>0</v>
      </c>
      <c r="CU58" s="432">
        <v>4.0231481481481479E-2</v>
      </c>
      <c r="CV58" s="432">
        <f t="shared" si="47"/>
        <v>4.0231481481481479E-2</v>
      </c>
      <c r="CW58" s="163" t="e">
        <f>VLOOKUP($B:$B,'HT DIC'!$A:$AE,26,FALSE)</f>
        <v>#REF!</v>
      </c>
      <c r="CX58" s="432">
        <f t="shared" si="48"/>
        <v>0</v>
      </c>
      <c r="CY58" s="434"/>
      <c r="CZ58" s="432">
        <f t="shared" si="49"/>
        <v>0</v>
      </c>
      <c r="DA58" s="163">
        <f>VLOOKUP($B:$B,'HT DIC'!$A:$AE,27,FALSE)</f>
        <v>12</v>
      </c>
      <c r="DB58" s="432">
        <f t="shared" si="66"/>
        <v>3.8194444444444448E-2</v>
      </c>
      <c r="DC58" s="434">
        <v>3.8425925925925926E-2</v>
      </c>
      <c r="DD58" s="432">
        <f t="shared" si="51"/>
        <v>2.3148148148147835E-4</v>
      </c>
      <c r="DE58" s="163">
        <f>VLOOKUP($B:$B,'HT DIC'!$A:$AE,28,FALSE)</f>
        <v>0</v>
      </c>
      <c r="DF58" s="432">
        <f t="shared" si="52"/>
        <v>0</v>
      </c>
      <c r="DG58" s="434">
        <v>3.0324074074074073E-2</v>
      </c>
      <c r="DH58" s="432">
        <f t="shared" si="53"/>
        <v>3.0324074074074073E-2</v>
      </c>
      <c r="DI58" s="163">
        <f>VLOOKUP($B:$B,'HT DIC'!$A:$AE,29,FALSE)</f>
        <v>12</v>
      </c>
      <c r="DJ58" s="432">
        <f t="shared" si="73"/>
        <v>3.8194444444444448E-2</v>
      </c>
      <c r="DK58" s="434">
        <v>5.0995370370370371E-2</v>
      </c>
      <c r="DL58" s="432">
        <f t="shared" si="55"/>
        <v>1.2800925925925924E-2</v>
      </c>
      <c r="DM58" s="163">
        <f>VLOOKUP($B:$B,'HT DIC'!$A:$AE,30,FALSE)</f>
        <v>10</v>
      </c>
      <c r="DN58" s="432">
        <f t="shared" si="68"/>
        <v>3.125E-2</v>
      </c>
      <c r="DO58" s="434">
        <v>2.8321759259259258E-2</v>
      </c>
      <c r="DP58" s="432">
        <f t="shared" si="57"/>
        <v>0</v>
      </c>
      <c r="DQ58" s="163">
        <f>VLOOKUP($B:$B,'HT DIC'!$A:$AE,31,FALSE)</f>
        <v>11</v>
      </c>
      <c r="DR58" s="432">
        <f t="shared" si="58"/>
        <v>3.4722222222222224E-2</v>
      </c>
      <c r="DS58" s="434">
        <v>3.1377314814814816E-2</v>
      </c>
      <c r="DT58" s="432">
        <f t="shared" si="59"/>
        <v>0</v>
      </c>
      <c r="DU58" s="163" t="e">
        <f>VLOOKUP($B:$B,'HT DIC'!$A:$AE,32,FALSE)</f>
        <v>#REF!</v>
      </c>
      <c r="DV58" s="432">
        <f t="shared" si="60"/>
        <v>0</v>
      </c>
      <c r="DW58" s="434"/>
      <c r="DX58" s="432">
        <f t="shared" si="61"/>
        <v>0</v>
      </c>
      <c r="DY58" s="432">
        <f t="shared" si="69"/>
        <v>0.66334490740740748</v>
      </c>
    </row>
    <row r="59" spans="1:129" ht="15.75">
      <c r="A59" s="166" t="s">
        <v>183</v>
      </c>
      <c r="B59" s="446" t="s">
        <v>153</v>
      </c>
      <c r="C59" s="166">
        <v>1717358517</v>
      </c>
      <c r="D59" s="431">
        <v>31261</v>
      </c>
      <c r="E59" s="163" t="e">
        <f>VLOOKUP($B:$B,#REF!,2,FALSE)</f>
        <v>#REF!</v>
      </c>
      <c r="F59" s="432">
        <f t="shared" si="74"/>
        <v>0</v>
      </c>
      <c r="G59" s="434">
        <v>2.0486111111111111E-2</v>
      </c>
      <c r="H59" s="432">
        <f t="shared" si="75"/>
        <v>2.0486111111111111E-2</v>
      </c>
      <c r="I59" s="163" t="e">
        <f>VLOOKUP($B:$B,'HT DIC'!$A:$AE,3,FALSE)</f>
        <v>#REF!</v>
      </c>
      <c r="J59" s="432">
        <f t="shared" si="76"/>
        <v>0</v>
      </c>
      <c r="K59" s="434">
        <v>2.5914351851851852E-2</v>
      </c>
      <c r="L59" s="432">
        <f t="shared" si="77"/>
        <v>2.5914351851851852E-2</v>
      </c>
      <c r="M59" s="163" t="e">
        <f>VLOOKUP($B:$B,'HT DIC'!$A:$AE,4,FALSE)</f>
        <v>#REF!</v>
      </c>
      <c r="N59" s="432">
        <f t="shared" si="78"/>
        <v>0</v>
      </c>
      <c r="O59" s="432">
        <v>3.1064814814814816E-2</v>
      </c>
      <c r="P59" s="432">
        <f t="shared" si="98"/>
        <v>3.1064814814814816E-2</v>
      </c>
      <c r="Q59" s="163" t="e">
        <f>VLOOKUP($B:$B,'HT DIC'!$A:$AE,5,FALSE)</f>
        <v>#REF!</v>
      </c>
      <c r="R59" s="432">
        <f t="shared" si="80"/>
        <v>0</v>
      </c>
      <c r="S59" s="432">
        <v>1.3460648148148149E-2</v>
      </c>
      <c r="T59" s="432">
        <f t="shared" si="81"/>
        <v>1.3460648148148149E-2</v>
      </c>
      <c r="U59" s="163" t="e">
        <f>VLOOKUP($B:$B,'HT DIC'!$A:$AE,6,FALSE)</f>
        <v>#REF!</v>
      </c>
      <c r="V59" s="432">
        <f t="shared" si="82"/>
        <v>0</v>
      </c>
      <c r="W59" s="434">
        <v>1.3564814814814814E-2</v>
      </c>
      <c r="X59" s="432">
        <f t="shared" si="83"/>
        <v>1.3564814814814814E-2</v>
      </c>
      <c r="Y59" s="163" t="e">
        <f>VLOOKUP($B:$B,'HT DIC'!$A:$AE,7,FALSE)</f>
        <v>#REF!</v>
      </c>
      <c r="Z59" s="432">
        <f t="shared" si="84"/>
        <v>0</v>
      </c>
      <c r="AA59" s="434"/>
      <c r="AB59" s="432">
        <f t="shared" si="85"/>
        <v>0</v>
      </c>
      <c r="AC59" s="163" t="e">
        <f>VLOOKUP($B:$B,'HT DIC'!$A:$AE,8,FALSE)</f>
        <v>#REF!</v>
      </c>
      <c r="AD59" s="432">
        <f t="shared" si="86"/>
        <v>0</v>
      </c>
      <c r="AE59" s="434">
        <v>2.4699074074074075E-2</v>
      </c>
      <c r="AF59" s="432">
        <f t="shared" si="87"/>
        <v>2.4699074074074075E-2</v>
      </c>
      <c r="AG59" s="163" t="e">
        <f>VLOOKUP($B:$B,'HT DIC'!$A:$AE,9,FALSE)</f>
        <v>#REF!</v>
      </c>
      <c r="AH59" s="432">
        <f t="shared" si="88"/>
        <v>0</v>
      </c>
      <c r="AI59" s="434">
        <v>3.6493055555555556E-2</v>
      </c>
      <c r="AJ59" s="432">
        <f t="shared" si="89"/>
        <v>3.6493055555555556E-2</v>
      </c>
      <c r="AK59" s="163" t="e">
        <f>VLOOKUP($B:$B,'HT DIC'!$A:$AE,10,FALSE)</f>
        <v>#REF!</v>
      </c>
      <c r="AL59" s="432">
        <f t="shared" si="90"/>
        <v>0</v>
      </c>
      <c r="AM59" s="434">
        <v>1.7002314814814814E-2</v>
      </c>
      <c r="AN59" s="432">
        <f t="shared" si="91"/>
        <v>1.7002314814814814E-2</v>
      </c>
      <c r="AO59" s="163" t="e">
        <f>VLOOKUP($B:$B,'HT DIC'!$A:$AE,11,FALSE)</f>
        <v>#REF!</v>
      </c>
      <c r="AP59" s="432">
        <f t="shared" si="92"/>
        <v>0</v>
      </c>
      <c r="AQ59" s="432">
        <v>1.8136574074074076E-2</v>
      </c>
      <c r="AR59" s="432">
        <f t="shared" si="93"/>
        <v>1.8136574074074076E-2</v>
      </c>
      <c r="AS59" s="163" t="e">
        <f>VLOOKUP($B:$B,'HT DIC'!$A:$AE,12,FALSE)</f>
        <v>#REF!</v>
      </c>
      <c r="AT59" s="432">
        <f t="shared" si="94"/>
        <v>0</v>
      </c>
      <c r="AU59" s="434">
        <v>4.310185185185185E-2</v>
      </c>
      <c r="AV59" s="432">
        <f t="shared" si="95"/>
        <v>4.310185185185185E-2</v>
      </c>
      <c r="AW59" s="163" t="e">
        <f>VLOOKUP($B:$B,'HT DIC'!$A:$AE,13,FALSE)</f>
        <v>#REF!</v>
      </c>
      <c r="AX59" s="432">
        <f t="shared" si="22"/>
        <v>0</v>
      </c>
      <c r="AY59" s="434"/>
      <c r="AZ59" s="432">
        <f t="shared" si="23"/>
        <v>0</v>
      </c>
      <c r="BA59" s="163" t="e">
        <f>VLOOKUP($B:$B,'HT DIC'!$A:$AE,14,FALSE)</f>
        <v>#REF!</v>
      </c>
      <c r="BB59" s="432">
        <f t="shared" si="24"/>
        <v>0</v>
      </c>
      <c r="BC59" s="434">
        <v>3.4155092592592591E-2</v>
      </c>
      <c r="BD59" s="432">
        <f t="shared" si="25"/>
        <v>3.4155092592592591E-2</v>
      </c>
      <c r="BE59" s="163" t="e">
        <f>VLOOKUP($B:$B,'HT DIC'!$A:$AE,15,FALSE)</f>
        <v>#REF!</v>
      </c>
      <c r="BF59" s="432">
        <f t="shared" si="26"/>
        <v>0</v>
      </c>
      <c r="BG59" s="434">
        <v>4.0173611111111111E-2</v>
      </c>
      <c r="BH59" s="432">
        <f t="shared" si="27"/>
        <v>4.0173611111111111E-2</v>
      </c>
      <c r="BI59" s="163" t="e">
        <f>VLOOKUP($B:$B,'HT DIC'!$A:$AE,16,FALSE)</f>
        <v>#REF!</v>
      </c>
      <c r="BJ59" s="432">
        <f t="shared" si="63"/>
        <v>0</v>
      </c>
      <c r="BK59" s="434">
        <v>2.9085648148148149E-2</v>
      </c>
      <c r="BL59" s="432">
        <f t="shared" si="29"/>
        <v>2.9085648148148149E-2</v>
      </c>
      <c r="BM59" s="163" t="e">
        <f>VLOOKUP($B:$B,'HT DIC'!$A:$AE,17,FALSE)</f>
        <v>#REF!</v>
      </c>
      <c r="BN59" s="432">
        <f t="shared" si="30"/>
        <v>0</v>
      </c>
      <c r="BO59" s="434">
        <v>3.5624999999999997E-2</v>
      </c>
      <c r="BP59" s="432">
        <f t="shared" si="31"/>
        <v>3.5624999999999997E-2</v>
      </c>
      <c r="BQ59" s="163" t="e">
        <f>VLOOKUP($B:$B,'HT DIC'!$A:$AE,18,FALSE)</f>
        <v>#REF!</v>
      </c>
      <c r="BR59" s="432">
        <f t="shared" si="64"/>
        <v>0</v>
      </c>
      <c r="BS59" s="434">
        <v>2.4074074074074074E-2</v>
      </c>
      <c r="BT59" s="432">
        <f t="shared" si="33"/>
        <v>2.4074074074074074E-2</v>
      </c>
      <c r="BU59" s="163" t="e">
        <f>VLOOKUP($B:$B,'HT DIC'!$A:$AE,19,FALSE)</f>
        <v>#REF!</v>
      </c>
      <c r="BV59" s="432">
        <f t="shared" si="34"/>
        <v>0</v>
      </c>
      <c r="BW59" s="434">
        <v>2.6956018518518518E-2</v>
      </c>
      <c r="BX59" s="432">
        <f t="shared" si="35"/>
        <v>2.6956018518518518E-2</v>
      </c>
      <c r="BY59" s="163" t="e">
        <f>VLOOKUP($B:$B,'HT DIC'!$A:$AE,20,FALSE)</f>
        <v>#REF!</v>
      </c>
      <c r="BZ59" s="432">
        <f t="shared" si="65"/>
        <v>0</v>
      </c>
      <c r="CA59" s="434">
        <v>2.0185185185185184E-2</v>
      </c>
      <c r="CB59" s="432">
        <f t="shared" si="37"/>
        <v>2.0185185185185184E-2</v>
      </c>
      <c r="CC59" s="163" t="e">
        <f>VLOOKUP($B:$B,'HT DIC'!$A:$AE,21,FALSE)</f>
        <v>#REF!</v>
      </c>
      <c r="CD59" s="432">
        <f t="shared" si="38"/>
        <v>0</v>
      </c>
      <c r="CE59" s="432">
        <v>5.2893518518518515E-3</v>
      </c>
      <c r="CF59" s="432">
        <f t="shared" si="39"/>
        <v>5.2893518518518515E-3</v>
      </c>
      <c r="CG59" s="163" t="e">
        <f>VLOOKUP($B:$B,'HT DIC'!$A:$AE,22,FALSE)</f>
        <v>#REF!</v>
      </c>
      <c r="CH59" s="432">
        <f t="shared" si="40"/>
        <v>0</v>
      </c>
      <c r="CI59" s="434"/>
      <c r="CJ59" s="432">
        <f t="shared" si="97"/>
        <v>0</v>
      </c>
      <c r="CK59" s="163">
        <f>VLOOKUP($B:$B,'HT DIC'!$A:$AE,23,FALSE)</f>
        <v>10</v>
      </c>
      <c r="CL59" s="432">
        <f t="shared" si="42"/>
        <v>3.125E-2</v>
      </c>
      <c r="CM59" s="432">
        <v>2.9409722222222223E-2</v>
      </c>
      <c r="CN59" s="432">
        <f t="shared" si="43"/>
        <v>0</v>
      </c>
      <c r="CO59" s="163" t="e">
        <f>VLOOKUP($B:$B,'HT DIC'!$A:$AE,24,FALSE)</f>
        <v>#REF!</v>
      </c>
      <c r="CP59" s="432">
        <f t="shared" si="44"/>
        <v>0</v>
      </c>
      <c r="CQ59" s="434">
        <v>5.8252314814814812E-2</v>
      </c>
      <c r="CR59" s="432">
        <f t="shared" si="45"/>
        <v>5.8252314814814812E-2</v>
      </c>
      <c r="CS59" s="163" t="e">
        <f>VLOOKUP($B:$B,'HT DIC'!$A:$AE,25,FALSE)</f>
        <v>#REF!</v>
      </c>
      <c r="CT59" s="432">
        <f t="shared" si="46"/>
        <v>0</v>
      </c>
      <c r="CU59" s="432">
        <v>4.8414351851851854E-2</v>
      </c>
      <c r="CV59" s="432">
        <f t="shared" si="47"/>
        <v>4.8414351851851854E-2</v>
      </c>
      <c r="CW59" s="163" t="e">
        <f>VLOOKUP($B:$B,'HT DIC'!$A:$AE,26,FALSE)</f>
        <v>#REF!</v>
      </c>
      <c r="CX59" s="432">
        <f t="shared" si="48"/>
        <v>0</v>
      </c>
      <c r="CY59" s="434">
        <v>4.1377314814814818E-2</v>
      </c>
      <c r="CZ59" s="432">
        <f t="shared" si="49"/>
        <v>4.1377314814814818E-2</v>
      </c>
      <c r="DA59" s="163">
        <f>VLOOKUP($B:$B,'HT DIC'!$A:$AE,27,FALSE)</f>
        <v>11</v>
      </c>
      <c r="DB59" s="432">
        <f t="shared" si="66"/>
        <v>3.4722222222222224E-2</v>
      </c>
      <c r="DC59" s="434">
        <v>2.4525462962962964E-2</v>
      </c>
      <c r="DD59" s="432">
        <f t="shared" si="51"/>
        <v>0</v>
      </c>
      <c r="DE59" s="163">
        <f>VLOOKUP($B:$B,'HT DIC'!$A:$AE,28,FALSE)</f>
        <v>10</v>
      </c>
      <c r="DF59" s="432">
        <f t="shared" si="52"/>
        <v>3.125E-2</v>
      </c>
      <c r="DG59" s="434">
        <v>3.6793981481481483E-2</v>
      </c>
      <c r="DH59" s="432">
        <f t="shared" si="53"/>
        <v>5.5439814814814831E-3</v>
      </c>
      <c r="DI59" s="163">
        <f>VLOOKUP($B:$B,'HT DIC'!$A:$AE,29,FALSE)</f>
        <v>0</v>
      </c>
      <c r="DJ59" s="432">
        <f t="shared" si="73"/>
        <v>0</v>
      </c>
      <c r="DK59" s="434"/>
      <c r="DL59" s="432">
        <f t="shared" si="55"/>
        <v>0</v>
      </c>
      <c r="DM59" s="163">
        <f>VLOOKUP($B:$B,'HT DIC'!$A:$AE,30,FALSE)</f>
        <v>10</v>
      </c>
      <c r="DN59" s="432">
        <f t="shared" si="68"/>
        <v>3.125E-2</v>
      </c>
      <c r="DO59" s="434">
        <v>3.9768518518518516E-2</v>
      </c>
      <c r="DP59" s="432">
        <f t="shared" si="57"/>
        <v>8.5185185185185155E-3</v>
      </c>
      <c r="DQ59" s="163">
        <f>VLOOKUP($B:$B,'HT DIC'!$A:$AE,31,FALSE)</f>
        <v>10</v>
      </c>
      <c r="DR59" s="432">
        <f t="shared" si="58"/>
        <v>3.125E-2</v>
      </c>
      <c r="DS59" s="434">
        <v>7.4999999999999997E-3</v>
      </c>
      <c r="DT59" s="432">
        <f t="shared" si="59"/>
        <v>0</v>
      </c>
      <c r="DU59" s="163" t="e">
        <f>VLOOKUP($B:$B,'HT DIC'!$A:$AE,32,FALSE)</f>
        <v>#REF!</v>
      </c>
      <c r="DV59" s="432">
        <f t="shared" si="60"/>
        <v>0</v>
      </c>
      <c r="DW59" s="434"/>
      <c r="DX59" s="432">
        <f t="shared" si="61"/>
        <v>0</v>
      </c>
      <c r="DY59" s="432">
        <f t="shared" si="69"/>
        <v>0.62157407407407417</v>
      </c>
    </row>
    <row r="60" spans="1:129" ht="15.75">
      <c r="A60" s="166"/>
      <c r="B60" s="446" t="s">
        <v>86</v>
      </c>
      <c r="C60" s="166"/>
      <c r="D60" s="431"/>
      <c r="E60" s="163" t="e">
        <f>VLOOKUP($B:$B,#REF!,2,FALSE)</f>
        <v>#REF!</v>
      </c>
      <c r="F60" s="432"/>
      <c r="G60" s="434"/>
      <c r="H60" s="432"/>
      <c r="I60" s="163"/>
      <c r="J60" s="432"/>
      <c r="K60" s="434"/>
      <c r="L60" s="432"/>
      <c r="M60" s="163"/>
      <c r="N60" s="432"/>
      <c r="O60" s="432"/>
      <c r="P60" s="432"/>
      <c r="Q60" s="163"/>
      <c r="R60" s="432"/>
      <c r="S60" s="432"/>
      <c r="T60" s="432"/>
      <c r="U60" s="163"/>
      <c r="V60" s="432"/>
      <c r="W60" s="434"/>
      <c r="X60" s="432"/>
      <c r="Y60" s="163"/>
      <c r="Z60" s="432"/>
      <c r="AA60" s="434"/>
      <c r="AB60" s="432"/>
      <c r="AC60" s="163"/>
      <c r="AD60" s="432"/>
      <c r="AE60" s="434"/>
      <c r="AF60" s="432"/>
      <c r="AG60" s="163"/>
      <c r="AH60" s="432"/>
      <c r="AI60" s="434"/>
      <c r="AJ60" s="432"/>
      <c r="AK60" s="163"/>
      <c r="AL60" s="432"/>
      <c r="AM60" s="434"/>
      <c r="AN60" s="432"/>
      <c r="AO60" s="163"/>
      <c r="AP60" s="432"/>
      <c r="AQ60" s="432"/>
      <c r="AR60" s="432"/>
      <c r="AS60" s="163"/>
      <c r="AT60" s="432"/>
      <c r="AU60" s="434"/>
      <c r="AV60" s="432"/>
      <c r="AW60" s="163"/>
      <c r="AX60" s="432"/>
      <c r="AY60" s="434"/>
      <c r="AZ60" s="432"/>
      <c r="BA60" s="163"/>
      <c r="BB60" s="432"/>
      <c r="BC60" s="434"/>
      <c r="BD60" s="432"/>
      <c r="BE60" s="163"/>
      <c r="BF60" s="432"/>
      <c r="BG60" s="434"/>
      <c r="BH60" s="432"/>
      <c r="BI60" s="163"/>
      <c r="BJ60" s="432"/>
      <c r="BK60" s="434"/>
      <c r="BL60" s="432"/>
      <c r="BM60" s="163"/>
      <c r="BN60" s="432"/>
      <c r="BO60" s="434"/>
      <c r="BP60" s="432"/>
      <c r="BQ60" s="163"/>
      <c r="BR60" s="432"/>
      <c r="BS60" s="434"/>
      <c r="BT60" s="432"/>
      <c r="BU60" s="163"/>
      <c r="BV60" s="432"/>
      <c r="BW60" s="434"/>
      <c r="BX60" s="432"/>
      <c r="BY60" s="163"/>
      <c r="BZ60" s="432"/>
      <c r="CA60" s="434"/>
      <c r="CB60" s="432"/>
      <c r="CC60" s="163"/>
      <c r="CD60" s="432"/>
      <c r="CE60" s="434"/>
      <c r="CF60" s="432"/>
      <c r="CG60" s="163"/>
      <c r="CH60" s="432"/>
      <c r="CI60" s="434"/>
      <c r="CJ60" s="432"/>
      <c r="CK60" s="163"/>
      <c r="CL60" s="432"/>
      <c r="CM60" s="432"/>
      <c r="CN60" s="432"/>
      <c r="CO60" s="163"/>
      <c r="CP60" s="432"/>
      <c r="CQ60" s="434"/>
      <c r="CR60" s="432"/>
      <c r="CS60" s="163"/>
      <c r="CT60" s="432"/>
      <c r="CU60" s="434"/>
      <c r="CV60" s="432"/>
      <c r="CW60" s="163"/>
      <c r="CX60" s="432"/>
      <c r="CY60" s="434"/>
      <c r="CZ60" s="432"/>
      <c r="DA60" s="163"/>
      <c r="DB60" s="432"/>
      <c r="DC60" s="434"/>
      <c r="DD60" s="432"/>
      <c r="DE60" s="163"/>
      <c r="DF60" s="432"/>
      <c r="DG60" s="434"/>
      <c r="DH60" s="432"/>
      <c r="DI60" s="163"/>
      <c r="DJ60" s="432"/>
      <c r="DK60" s="434"/>
      <c r="DL60" s="432"/>
      <c r="DM60" s="163"/>
      <c r="DN60" s="432"/>
      <c r="DO60" s="434"/>
      <c r="DP60" s="432"/>
      <c r="DQ60" s="163"/>
      <c r="DR60" s="432"/>
      <c r="DS60" s="434"/>
      <c r="DT60" s="432"/>
      <c r="DU60" s="163"/>
      <c r="DV60" s="432"/>
      <c r="DW60" s="434"/>
      <c r="DX60" s="432"/>
      <c r="DY60" s="432"/>
    </row>
    <row r="61" spans="1:129" ht="15.75">
      <c r="A61" s="166"/>
      <c r="B61" s="446" t="s">
        <v>158</v>
      </c>
      <c r="C61" s="166"/>
      <c r="D61" s="435"/>
      <c r="E61" s="163" t="e">
        <f>VLOOKUP($B:$B,#REF!,2,FALSE)</f>
        <v>#REF!</v>
      </c>
      <c r="F61" s="432"/>
      <c r="G61" s="434"/>
      <c r="H61" s="432"/>
      <c r="I61" s="163"/>
      <c r="J61" s="432"/>
      <c r="K61" s="434"/>
      <c r="L61" s="432"/>
      <c r="M61" s="163"/>
      <c r="N61" s="432"/>
      <c r="O61" s="432"/>
      <c r="P61" s="432"/>
      <c r="Q61" s="163"/>
      <c r="R61" s="432"/>
      <c r="S61" s="432"/>
      <c r="T61" s="432"/>
      <c r="U61" s="163"/>
      <c r="V61" s="432"/>
      <c r="W61" s="434"/>
      <c r="X61" s="432"/>
      <c r="Y61" s="163"/>
      <c r="Z61" s="432"/>
      <c r="AA61" s="434"/>
      <c r="AB61" s="432"/>
      <c r="AC61" s="163"/>
      <c r="AD61" s="432"/>
      <c r="AE61" s="434"/>
      <c r="AF61" s="432"/>
      <c r="AG61" s="163"/>
      <c r="AH61" s="432"/>
      <c r="AI61" s="434"/>
      <c r="AJ61" s="432"/>
      <c r="AK61" s="163"/>
      <c r="AL61" s="432"/>
      <c r="AM61" s="434"/>
      <c r="AN61" s="432"/>
      <c r="AO61" s="163"/>
      <c r="AP61" s="432"/>
      <c r="AQ61" s="434"/>
      <c r="AR61" s="432"/>
      <c r="AS61" s="163"/>
      <c r="AT61" s="432"/>
      <c r="AU61" s="434"/>
      <c r="AV61" s="432"/>
      <c r="AW61" s="163"/>
      <c r="AX61" s="432"/>
      <c r="AY61" s="434"/>
      <c r="AZ61" s="432"/>
      <c r="BA61" s="163"/>
      <c r="BB61" s="432"/>
      <c r="BC61" s="434"/>
      <c r="BD61" s="432"/>
      <c r="BE61" s="163"/>
      <c r="BF61" s="432"/>
      <c r="BG61" s="434"/>
      <c r="BH61" s="432"/>
      <c r="BI61" s="163"/>
      <c r="BJ61" s="432"/>
      <c r="BK61" s="434"/>
      <c r="BL61" s="432"/>
      <c r="BM61" s="163"/>
      <c r="BN61" s="432"/>
      <c r="BO61" s="434"/>
      <c r="BP61" s="432"/>
      <c r="BQ61" s="163"/>
      <c r="BR61" s="432"/>
      <c r="BS61" s="434"/>
      <c r="BT61" s="432"/>
      <c r="BU61" s="163"/>
      <c r="BV61" s="432"/>
      <c r="BW61" s="434"/>
      <c r="BX61" s="432"/>
      <c r="BY61" s="163"/>
      <c r="BZ61" s="432"/>
      <c r="CA61" s="434"/>
      <c r="CB61" s="432"/>
      <c r="CC61" s="163"/>
      <c r="CD61" s="432"/>
      <c r="CE61" s="434"/>
      <c r="CF61" s="432"/>
      <c r="CG61" s="163"/>
      <c r="CH61" s="432"/>
      <c r="CI61" s="434"/>
      <c r="CJ61" s="432"/>
      <c r="CK61" s="163"/>
      <c r="CL61" s="432"/>
      <c r="CM61" s="434"/>
      <c r="CN61" s="432"/>
      <c r="CO61" s="163"/>
      <c r="CP61" s="432"/>
      <c r="CQ61" s="434"/>
      <c r="CR61" s="432"/>
      <c r="CS61" s="163"/>
      <c r="CT61" s="432"/>
      <c r="CU61" s="434"/>
      <c r="CV61" s="432"/>
      <c r="CW61" s="163"/>
      <c r="CX61" s="432"/>
      <c r="CY61" s="434"/>
      <c r="CZ61" s="432"/>
      <c r="DA61" s="163"/>
      <c r="DB61" s="432"/>
      <c r="DC61" s="434"/>
      <c r="DD61" s="432"/>
      <c r="DE61" s="163"/>
      <c r="DF61" s="432"/>
      <c r="DG61" s="434"/>
      <c r="DH61" s="432"/>
      <c r="DI61" s="163"/>
      <c r="DJ61" s="432"/>
      <c r="DK61" s="434"/>
      <c r="DL61" s="432"/>
      <c r="DM61" s="163"/>
      <c r="DN61" s="432"/>
      <c r="DO61" s="434"/>
      <c r="DP61" s="432"/>
      <c r="DQ61" s="163"/>
      <c r="DR61" s="432"/>
      <c r="DS61" s="434"/>
      <c r="DT61" s="432"/>
      <c r="DU61" s="163"/>
      <c r="DV61" s="432"/>
      <c r="DW61" s="434"/>
      <c r="DX61" s="432"/>
      <c r="DY61" s="432"/>
    </row>
    <row r="62" spans="1:129" ht="15.75">
      <c r="A62" s="166" t="s">
        <v>474</v>
      </c>
      <c r="B62" s="446" t="s">
        <v>161</v>
      </c>
      <c r="C62" s="166">
        <v>1716914336</v>
      </c>
      <c r="D62" s="431">
        <v>31463</v>
      </c>
      <c r="E62" s="163" t="e">
        <f>VLOOKUP($B:$B,#REF!,2,FALSE)</f>
        <v>#REF!</v>
      </c>
      <c r="F62" s="432">
        <f t="shared" ref="F62:F65" si="99">IFERROR(VLOOKUP(E62,$B$229:$E$245,2,FALSE),0)</f>
        <v>0</v>
      </c>
      <c r="G62" s="434"/>
      <c r="H62" s="432">
        <f t="shared" ref="H62:H65" si="100">IF(G62-F62&lt;0,0,G62-F62)</f>
        <v>0</v>
      </c>
      <c r="I62" s="163" t="e">
        <f>VLOOKUP($B:$B,'HT DIC'!$A:$AE,3,FALSE)</f>
        <v>#REF!</v>
      </c>
      <c r="J62" s="432">
        <f t="shared" ref="J62:J65" si="101">IFERROR(VLOOKUP(I62,$B$229:$E$245,2,FALSE),0)</f>
        <v>0</v>
      </c>
      <c r="K62" s="434"/>
      <c r="L62" s="432">
        <f t="shared" ref="L62:L65" si="102">IF(K62-J62&lt;0,0,K62-J62)</f>
        <v>0</v>
      </c>
      <c r="M62" s="163" t="e">
        <f>VLOOKUP($B:$B,'HT DIC'!$A:$AE,4,FALSE)</f>
        <v>#REF!</v>
      </c>
      <c r="N62" s="432">
        <f t="shared" ref="N62:N65" si="103">IFERROR(VLOOKUP(M62,$B$229:$E$245,2,FALSE),0)</f>
        <v>0</v>
      </c>
      <c r="O62" s="432">
        <v>7.8703703703703705E-4</v>
      </c>
      <c r="P62" s="432">
        <f t="shared" ref="P62:P65" si="104">IF(O62-N62&lt;0,0,O62-N62)</f>
        <v>7.8703703703703705E-4</v>
      </c>
      <c r="Q62" s="163" t="e">
        <f>VLOOKUP($B:$B,'HT DIC'!$A:$AE,5,FALSE)</f>
        <v>#REF!</v>
      </c>
      <c r="R62" s="432">
        <f t="shared" ref="R62:R65" si="105">IFERROR(VLOOKUP(Q62,$B$229:$E$245,2,FALSE),0)</f>
        <v>0</v>
      </c>
      <c r="S62" s="432"/>
      <c r="T62" s="432">
        <f t="shared" ref="T62:T65" si="106">IF(S62-R62&lt;0,0,S62-R62)</f>
        <v>0</v>
      </c>
      <c r="U62" s="163" t="e">
        <f>VLOOKUP($B:$B,'HT DIC'!$A:$AE,6,FALSE)</f>
        <v>#REF!</v>
      </c>
      <c r="V62" s="432">
        <f t="shared" ref="V62:V65" si="107">IFERROR(VLOOKUP(U62,$B$229:$E$245,2,FALSE),0)</f>
        <v>0</v>
      </c>
      <c r="W62" s="434"/>
      <c r="X62" s="432">
        <f t="shared" ref="X62:X65" si="108">IF(W62-V62&lt;0,0,W62-V62)</f>
        <v>0</v>
      </c>
      <c r="Y62" s="163" t="e">
        <f>VLOOKUP($B:$B,'HT DIC'!$A:$AE,7,FALSE)</f>
        <v>#REF!</v>
      </c>
      <c r="Z62" s="432">
        <f t="shared" ref="Z62:Z65" si="109">IFERROR(VLOOKUP(Y62,$B$229:$E$245,2,FALSE),0)</f>
        <v>0</v>
      </c>
      <c r="AA62" s="434"/>
      <c r="AB62" s="432">
        <f t="shared" ref="AB62:AB65" si="110">IF(AA62-Z62&lt;0,0,AA62-Z62)</f>
        <v>0</v>
      </c>
      <c r="AC62" s="163" t="e">
        <f>VLOOKUP($B:$B,'HT DIC'!$A:$AE,8,FALSE)</f>
        <v>#REF!</v>
      </c>
      <c r="AD62" s="432">
        <f t="shared" ref="AD62:AD65" si="111">IFERROR(VLOOKUP(AC62,$B$229:$E$245,2,FALSE),0)</f>
        <v>0</v>
      </c>
      <c r="AE62" s="434"/>
      <c r="AF62" s="432">
        <f t="shared" ref="AF62:AF65" si="112">IF(AE62-AD62&lt;0,0,AE62-AD62)</f>
        <v>0</v>
      </c>
      <c r="AG62" s="163" t="e">
        <f>VLOOKUP($B:$B,'HT DIC'!$A:$AE,9,FALSE)</f>
        <v>#REF!</v>
      </c>
      <c r="AH62" s="432">
        <f t="shared" ref="AH62:AH65" si="113">IFERROR(VLOOKUP(AG62,$B$229:$E$245,2,FALSE),0)</f>
        <v>0</v>
      </c>
      <c r="AI62" s="434"/>
      <c r="AJ62" s="432">
        <f t="shared" ref="AJ62:AJ65" si="114">IF(AI62-AH62&lt;0,0,AI62-AH62)</f>
        <v>0</v>
      </c>
      <c r="AK62" s="163" t="e">
        <f>VLOOKUP($B:$B,'HT DIC'!$A:$AE,10,FALSE)</f>
        <v>#REF!</v>
      </c>
      <c r="AL62" s="432">
        <f t="shared" ref="AL62:AL65" si="115">IFERROR(VLOOKUP(AK62,$B$229:$E$245,2,FALSE),0)</f>
        <v>0</v>
      </c>
      <c r="AM62" s="434"/>
      <c r="AN62" s="432">
        <f t="shared" ref="AN62:AN65" si="116">IF(AM62-AL62&lt;0,0,AM62-AL62)</f>
        <v>0</v>
      </c>
      <c r="AO62" s="163" t="e">
        <f>VLOOKUP($B:$B,'HT DIC'!$A:$AE,11,FALSE)</f>
        <v>#REF!</v>
      </c>
      <c r="AP62" s="432">
        <f t="shared" ref="AP62:AP65" si="117">IFERROR(VLOOKUP(AO62,$B$229:$E$245,2,FALSE),0)</f>
        <v>0</v>
      </c>
      <c r="AQ62" s="432"/>
      <c r="AR62" s="432">
        <f t="shared" ref="AR62:AR65" si="118">IF(AQ62-AP62&lt;0,0,AQ62-AP62)</f>
        <v>0</v>
      </c>
      <c r="AS62" s="163" t="e">
        <f>VLOOKUP($B:$B,'HT DIC'!$A:$AE,12,FALSE)</f>
        <v>#REF!</v>
      </c>
      <c r="AT62" s="432">
        <f t="shared" ref="AT62:AT65" si="119">IFERROR(VLOOKUP(AS62,$B$229:$E$245,2,FALSE),0)</f>
        <v>0</v>
      </c>
      <c r="AU62" s="434"/>
      <c r="AV62" s="432">
        <f t="shared" ref="AV62:AV65" si="120">IF(AU62-AT62&lt;0,0,AU62-AT62)</f>
        <v>0</v>
      </c>
      <c r="AW62" s="163" t="e">
        <f>VLOOKUP($B:$B,'HT DIC'!$A:$AE,13,FALSE)</f>
        <v>#REF!</v>
      </c>
      <c r="AX62" s="432">
        <f t="shared" ref="AX62:AX65" si="121">IFERROR(VLOOKUP(AW62,$B$229:$E$245,2,FALSE),0)</f>
        <v>0</v>
      </c>
      <c r="AY62" s="434"/>
      <c r="AZ62" s="432">
        <f t="shared" ref="AZ62:AZ65" si="122">IF(AY62-AX62&lt;0,0,AY62-AX62)</f>
        <v>0</v>
      </c>
      <c r="BA62" s="163" t="e">
        <f>VLOOKUP($B:$B,'HT DIC'!$A:$AE,14,FALSE)</f>
        <v>#REF!</v>
      </c>
      <c r="BB62" s="432">
        <f t="shared" ref="BB62:BB65" si="123">IFERROR(VLOOKUP(BA62,$B$229:$E$245,2,FALSE),0)</f>
        <v>0</v>
      </c>
      <c r="BC62" s="434"/>
      <c r="BD62" s="432">
        <f t="shared" ref="BD62:BD65" si="124">IF(BC62-BB62&lt;0,0,BC62-BB62)</f>
        <v>0</v>
      </c>
      <c r="BE62" s="163" t="e">
        <f>VLOOKUP($B:$B,'HT DIC'!$A:$AE,15,FALSE)</f>
        <v>#REF!</v>
      </c>
      <c r="BF62" s="432">
        <f t="shared" ref="BF62:BF65" si="125">IFERROR(VLOOKUP(BE62,$B$229:$E$245,2,FALSE),0)</f>
        <v>0</v>
      </c>
      <c r="BG62" s="434"/>
      <c r="BH62" s="432">
        <f t="shared" ref="BH62:BH65" si="126">IF(BG62-BF62&lt;0,0,BG62-BF62)</f>
        <v>0</v>
      </c>
      <c r="BI62" s="163" t="e">
        <f>VLOOKUP($B:$B,'HT DIC'!$A:$AE,16,FALSE)</f>
        <v>#REF!</v>
      </c>
      <c r="BJ62" s="432">
        <f t="shared" ref="BJ62:BJ65" si="127">IFERROR(VLOOKUP(BI62,$B$229:$E$245,2,FALSE),0)</f>
        <v>0</v>
      </c>
      <c r="BK62" s="434"/>
      <c r="BL62" s="432">
        <f t="shared" ref="BL62:BL65" si="128">IF(BK62-BJ62&lt;0,0,BK62-BJ62)</f>
        <v>0</v>
      </c>
      <c r="BM62" s="163" t="e">
        <f>VLOOKUP($B:$B,'HT DIC'!$A:$AE,17,FALSE)</f>
        <v>#REF!</v>
      </c>
      <c r="BN62" s="432">
        <f t="shared" ref="BN62:BN65" si="129">IFERROR(VLOOKUP(BM62,$B$229:$E$245,2,FALSE),0)</f>
        <v>0</v>
      </c>
      <c r="BO62" s="434"/>
      <c r="BP62" s="432">
        <f t="shared" ref="BP62:BP65" si="130">IF(BO62-BN62&lt;0,0,BO62-BN62)</f>
        <v>0</v>
      </c>
      <c r="BQ62" s="163" t="e">
        <f>VLOOKUP($B:$B,'HT DIC'!$A:$AE,18,FALSE)</f>
        <v>#REF!</v>
      </c>
      <c r="BR62" s="432">
        <f t="shared" ref="BR62:BR65" si="131">IFERROR(VLOOKUP(BQ62,$B$229:$E$245,2,FALSE),0)</f>
        <v>0</v>
      </c>
      <c r="BS62" s="434"/>
      <c r="BT62" s="432">
        <f t="shared" ref="BT62:BT65" si="132">IF(BS62-BR62&lt;0,0,BS62-BR62)</f>
        <v>0</v>
      </c>
      <c r="BU62" s="163" t="e">
        <f>VLOOKUP($B:$B,'HT DIC'!$A:$AE,19,FALSE)</f>
        <v>#REF!</v>
      </c>
      <c r="BV62" s="432">
        <f t="shared" ref="BV62:BV65" si="133">IFERROR(VLOOKUP(BU62,$B$229:$E$245,2,FALSE),0)</f>
        <v>0</v>
      </c>
      <c r="BW62" s="434"/>
      <c r="BX62" s="432">
        <f t="shared" ref="BX62:BX65" si="134">IF(BW62-BV62&lt;0,0,BW62-BV62)</f>
        <v>0</v>
      </c>
      <c r="BY62" s="163" t="e">
        <f>VLOOKUP($B:$B,'HT DIC'!$A:$AE,20,FALSE)</f>
        <v>#REF!</v>
      </c>
      <c r="BZ62" s="432">
        <f t="shared" ref="BZ62:BZ65" si="135">IFERROR(VLOOKUP(BY62,$B$229:$E$245,2,FALSE),0)</f>
        <v>0</v>
      </c>
      <c r="CA62" s="434"/>
      <c r="CB62" s="432">
        <f t="shared" ref="CB62:CB65" si="136">IF(CA62-BZ62&lt;0,0,CA62-BZ62)</f>
        <v>0</v>
      </c>
      <c r="CC62" s="163" t="e">
        <f>VLOOKUP($B:$B,'HT DIC'!$A:$AE,21,FALSE)</f>
        <v>#REF!</v>
      </c>
      <c r="CD62" s="432">
        <f t="shared" ref="CD62:CD65" si="137">IFERROR(VLOOKUP(CC62,$B$229:$E$245,2,FALSE),0)</f>
        <v>0</v>
      </c>
      <c r="CE62" s="432"/>
      <c r="CF62" s="432">
        <f t="shared" ref="CF62:CF65" si="138">IF(CE62-CD62&lt;0,0,CE62-CD62)</f>
        <v>0</v>
      </c>
      <c r="CG62" s="163" t="e">
        <f>VLOOKUP($B:$B,'HT DIC'!$A:$AE,22,FALSE)</f>
        <v>#REF!</v>
      </c>
      <c r="CH62" s="432">
        <f t="shared" ref="CH62:CH65" si="139">IFERROR(VLOOKUP(CG62,$B$229:$E$245,2,FALSE),0)</f>
        <v>0</v>
      </c>
      <c r="CI62" s="434"/>
      <c r="CJ62" s="432">
        <f t="shared" ref="CJ62:CJ65" si="140">IF(CI62-CH62&lt;0,0,CI62-CH62)</f>
        <v>0</v>
      </c>
      <c r="CK62" s="163">
        <f>VLOOKUP($B:$B,'HT DIC'!$A:$AE,23,FALSE)</f>
        <v>12</v>
      </c>
      <c r="CL62" s="432">
        <f t="shared" ref="CL62:CL65" si="141">IFERROR(VLOOKUP(CK62,$B$229:$E$245,2,FALSE),0)</f>
        <v>3.8194444444444448E-2</v>
      </c>
      <c r="CM62" s="432"/>
      <c r="CN62" s="432">
        <f t="shared" ref="CN62:CN65" si="142">IF(CM62-CL62&lt;0,0,CM62-CL62)</f>
        <v>0</v>
      </c>
      <c r="CO62" s="163" t="e">
        <f>VLOOKUP($B:$B,'HT DIC'!$A:$AE,24,FALSE)</f>
        <v>#REF!</v>
      </c>
      <c r="CP62" s="432">
        <f t="shared" ref="CP62:CP65" si="143">IFERROR(VLOOKUP(CO62,$B$229:$E$245,2,FALSE),0)</f>
        <v>0</v>
      </c>
      <c r="CQ62" s="434"/>
      <c r="CR62" s="432">
        <f t="shared" ref="CR62:CR65" si="144">IF(CQ62-CP62&lt;0,0,CQ62-CP62)</f>
        <v>0</v>
      </c>
      <c r="CS62" s="163" t="e">
        <f>VLOOKUP($B:$B,'HT DIC'!$A:$AE,25,FALSE)</f>
        <v>#REF!</v>
      </c>
      <c r="CT62" s="432">
        <f t="shared" ref="CT62:CT65" si="145">IFERROR(VLOOKUP(CS62,$B$229:$E$245,2,FALSE),0)</f>
        <v>0</v>
      </c>
      <c r="CU62" s="432"/>
      <c r="CV62" s="432">
        <f t="shared" ref="CV62:CV65" si="146">IF(CU62-CT62&lt;0,0,CU62-CT62)</f>
        <v>0</v>
      </c>
      <c r="CW62" s="163" t="e">
        <f>VLOOKUP($B:$B,'HT DIC'!$A:$AE,26,FALSE)</f>
        <v>#REF!</v>
      </c>
      <c r="CX62" s="432">
        <f t="shared" ref="CX62:CX65" si="147">IFERROR(VLOOKUP(CW62,$B$229:$E$245,2,FALSE),0)</f>
        <v>0</v>
      </c>
      <c r="CY62" s="434"/>
      <c r="CZ62" s="432">
        <f t="shared" ref="CZ62:CZ65" si="148">IF(CY62-CX62&lt;0,0,CY62-CX62)</f>
        <v>0</v>
      </c>
      <c r="DA62" s="163">
        <f>VLOOKUP($B:$B,'HT DIC'!$A:$AE,27,FALSE)</f>
        <v>14</v>
      </c>
      <c r="DB62" s="432">
        <f t="shared" ref="DB62:DB65" si="149">IFERROR(VLOOKUP(DA62,$B$229:$E$245,2,FALSE),0)</f>
        <v>4.5138888888888888E-2</v>
      </c>
      <c r="DC62" s="434"/>
      <c r="DD62" s="432">
        <f t="shared" ref="DD62:DD65" si="150">IF(DC62-DB62&lt;0,0,DC62-DB62)</f>
        <v>0</v>
      </c>
      <c r="DE62" s="163">
        <f>VLOOKUP($B:$B,'HT DIC'!$A:$AE,28,FALSE)</f>
        <v>7</v>
      </c>
      <c r="DF62" s="432">
        <f t="shared" ref="DF62:DF65" si="151">IFERROR(VLOOKUP(DE62,$B$229:$E$245,2,FALSE),0)</f>
        <v>2.0833333333333332E-2</v>
      </c>
      <c r="DG62" s="434"/>
      <c r="DH62" s="432">
        <f t="shared" ref="DH62:DH65" si="152">IF(DG62-DF62&lt;0,0,DG62-DF62)</f>
        <v>0</v>
      </c>
      <c r="DI62" s="163">
        <f>VLOOKUP($B:$B,'HT DIC'!$A:$AE,29,FALSE)</f>
        <v>7</v>
      </c>
      <c r="DJ62" s="432">
        <f t="shared" ref="DJ62:DJ65" si="153">IFERROR(VLOOKUP(DI62,$B$229:$E$245,2,FALSE),0)</f>
        <v>2.0833333333333332E-2</v>
      </c>
      <c r="DK62" s="434"/>
      <c r="DL62" s="432">
        <f t="shared" ref="DL62:DL65" si="154">IF(DK62-DJ62&lt;0,0,DK62-DJ62)</f>
        <v>0</v>
      </c>
      <c r="DM62" s="163">
        <f>VLOOKUP($B:$B,'HT DIC'!$A:$AE,30,FALSE)</f>
        <v>12</v>
      </c>
      <c r="DN62" s="432">
        <f t="shared" ref="DN62:DN65" si="155">IFERROR(VLOOKUP(DM62,$B$229:$E$245,2,FALSE),0)</f>
        <v>3.8194444444444448E-2</v>
      </c>
      <c r="DO62" s="434"/>
      <c r="DP62" s="432">
        <f t="shared" ref="DP62:DP65" si="156">IF(DO62-DN62&lt;0,0,DO62-DN62)</f>
        <v>0</v>
      </c>
      <c r="DQ62" s="163">
        <f>VLOOKUP($B:$B,'HT DIC'!$A:$AE,31,FALSE)</f>
        <v>12</v>
      </c>
      <c r="DR62" s="432">
        <f t="shared" ref="DR62:DR65" si="157">IFERROR(VLOOKUP(DQ62,$B$229:$E$245,2,FALSE),0)</f>
        <v>3.8194444444444448E-2</v>
      </c>
      <c r="DS62" s="434"/>
      <c r="DT62" s="432">
        <f t="shared" ref="DT62:DT65" si="158">IF(DS62-DR62&lt;0,0,DS62-DR62)</f>
        <v>0</v>
      </c>
      <c r="DU62" s="163" t="e">
        <f>VLOOKUP($B:$B,'HT DIC'!$A:$AE,32,FALSE)</f>
        <v>#REF!</v>
      </c>
      <c r="DV62" s="432">
        <f t="shared" ref="DV62:DV65" si="159">IFERROR(VLOOKUP(DU62,$B$229:$E$245,2,FALSE),0)</f>
        <v>0</v>
      </c>
      <c r="DW62" s="434"/>
      <c r="DX62" s="432">
        <f t="shared" ref="DX62:DX65" si="160">IF(DW62-DV62&lt;0,0,DW62-DV62)</f>
        <v>0</v>
      </c>
      <c r="DY62" s="432">
        <f t="shared" ref="DY62:DY65" si="161">DX62+DT62+DP62+DL62+DH62+DD62+CZ62+CV62+CR62+CN62+CJ62+CF62+CB62+BX62+BT62+BP62+BL62+BH62+BD62+AZ62+AV62+AR62+AN62+AJ62+AF62+AB62+X62+T62+P62+L62+H62</f>
        <v>7.8703703703703705E-4</v>
      </c>
    </row>
    <row r="63" spans="1:129" ht="15.75">
      <c r="A63" s="166" t="s">
        <v>109</v>
      </c>
      <c r="B63" s="446" t="s">
        <v>166</v>
      </c>
      <c r="C63" s="166">
        <v>1751250398</v>
      </c>
      <c r="D63" s="431">
        <v>36347</v>
      </c>
      <c r="E63" s="163" t="e">
        <f>VLOOKUP($B:$B,#REF!,2,FALSE)</f>
        <v>#REF!</v>
      </c>
      <c r="F63" s="432">
        <f t="shared" si="99"/>
        <v>0</v>
      </c>
      <c r="G63" s="434">
        <v>6.3726851851851854E-2</v>
      </c>
      <c r="H63" s="432">
        <f t="shared" si="100"/>
        <v>6.3726851851851854E-2</v>
      </c>
      <c r="I63" s="163" t="e">
        <f>VLOOKUP($B:$B,'HT DIC'!$A:$AE,3,FALSE)</f>
        <v>#REF!</v>
      </c>
      <c r="J63" s="432">
        <f t="shared" si="101"/>
        <v>0</v>
      </c>
      <c r="K63" s="434">
        <v>5.2083333333333336E-2</v>
      </c>
      <c r="L63" s="432">
        <f t="shared" si="102"/>
        <v>5.2083333333333336E-2</v>
      </c>
      <c r="M63" s="163" t="e">
        <f>VLOOKUP($B:$B,'HT DIC'!$A:$AE,4,FALSE)</f>
        <v>#REF!</v>
      </c>
      <c r="N63" s="432">
        <f t="shared" si="103"/>
        <v>0</v>
      </c>
      <c r="O63" s="432">
        <v>2.6226851851851852E-2</v>
      </c>
      <c r="P63" s="432">
        <f t="shared" si="104"/>
        <v>2.6226851851851852E-2</v>
      </c>
      <c r="Q63" s="163" t="e">
        <f>VLOOKUP($B:$B,'HT DIC'!$A:$AE,5,FALSE)</f>
        <v>#REF!</v>
      </c>
      <c r="R63" s="432">
        <f t="shared" si="105"/>
        <v>0</v>
      </c>
      <c r="S63" s="432">
        <v>2.9976851851851852E-2</v>
      </c>
      <c r="T63" s="432">
        <f t="shared" si="106"/>
        <v>2.9976851851851852E-2</v>
      </c>
      <c r="U63" s="163" t="e">
        <f>VLOOKUP($B:$B,'HT DIC'!$A:$AE,6,FALSE)</f>
        <v>#REF!</v>
      </c>
      <c r="V63" s="432">
        <f t="shared" si="107"/>
        <v>0</v>
      </c>
      <c r="W63" s="434"/>
      <c r="X63" s="432">
        <f t="shared" si="108"/>
        <v>0</v>
      </c>
      <c r="Y63" s="163" t="e">
        <f>VLOOKUP($B:$B,'HT DIC'!$A:$AE,7,FALSE)</f>
        <v>#REF!</v>
      </c>
      <c r="Z63" s="432">
        <f t="shared" si="109"/>
        <v>0</v>
      </c>
      <c r="AA63" s="434"/>
      <c r="AB63" s="432">
        <f t="shared" si="110"/>
        <v>0</v>
      </c>
      <c r="AC63" s="163" t="e">
        <f>VLOOKUP($B:$B,'HT DIC'!$A:$AE,8,FALSE)</f>
        <v>#REF!</v>
      </c>
      <c r="AD63" s="432">
        <f t="shared" si="111"/>
        <v>0</v>
      </c>
      <c r="AE63" s="434">
        <v>5.136574074074074E-2</v>
      </c>
      <c r="AF63" s="432">
        <f t="shared" si="112"/>
        <v>5.136574074074074E-2</v>
      </c>
      <c r="AG63" s="163" t="e">
        <f>VLOOKUP($B:$B,'HT DIC'!$A:$AE,9,FALSE)</f>
        <v>#REF!</v>
      </c>
      <c r="AH63" s="432">
        <f t="shared" si="113"/>
        <v>0</v>
      </c>
      <c r="AI63" s="434">
        <v>7.3055555555555554E-2</v>
      </c>
      <c r="AJ63" s="432">
        <f t="shared" si="114"/>
        <v>7.3055555555555554E-2</v>
      </c>
      <c r="AK63" s="163" t="e">
        <f>VLOOKUP($B:$B,'HT DIC'!$A:$AE,10,FALSE)</f>
        <v>#REF!</v>
      </c>
      <c r="AL63" s="432">
        <f t="shared" si="115"/>
        <v>0</v>
      </c>
      <c r="AM63" s="434">
        <v>3.878472222222222E-2</v>
      </c>
      <c r="AN63" s="432">
        <f t="shared" si="116"/>
        <v>3.878472222222222E-2</v>
      </c>
      <c r="AO63" s="163" t="e">
        <f>VLOOKUP($B:$B,'HT DIC'!$A:$AE,11,FALSE)</f>
        <v>#REF!</v>
      </c>
      <c r="AP63" s="432">
        <f t="shared" si="117"/>
        <v>0</v>
      </c>
      <c r="AQ63" s="432">
        <v>0.11114583333333333</v>
      </c>
      <c r="AR63" s="432">
        <f t="shared" si="118"/>
        <v>0.11114583333333333</v>
      </c>
      <c r="AS63" s="163" t="e">
        <f>VLOOKUP($B:$B,'HT DIC'!$A:$AE,12,FALSE)</f>
        <v>#REF!</v>
      </c>
      <c r="AT63" s="432">
        <f t="shared" si="119"/>
        <v>0</v>
      </c>
      <c r="AU63" s="434">
        <v>4.6226851851851852E-2</v>
      </c>
      <c r="AV63" s="432">
        <f t="shared" si="120"/>
        <v>4.6226851851851852E-2</v>
      </c>
      <c r="AW63" s="163" t="e">
        <f>VLOOKUP($B:$B,'HT DIC'!$A:$AE,13,FALSE)</f>
        <v>#REF!</v>
      </c>
      <c r="AX63" s="432">
        <f t="shared" si="121"/>
        <v>0</v>
      </c>
      <c r="AY63" s="434"/>
      <c r="AZ63" s="432">
        <f t="shared" si="122"/>
        <v>0</v>
      </c>
      <c r="BA63" s="163" t="e">
        <f>VLOOKUP($B:$B,'HT DIC'!$A:$AE,14,FALSE)</f>
        <v>#REF!</v>
      </c>
      <c r="BB63" s="432">
        <f t="shared" si="123"/>
        <v>0</v>
      </c>
      <c r="BC63" s="434">
        <v>3.0046296296296297E-2</v>
      </c>
      <c r="BD63" s="432">
        <f t="shared" si="124"/>
        <v>3.0046296296296297E-2</v>
      </c>
      <c r="BE63" s="163" t="e">
        <f>VLOOKUP($B:$B,'HT DIC'!$A:$AE,15,FALSE)</f>
        <v>#REF!</v>
      </c>
      <c r="BF63" s="432">
        <f t="shared" si="125"/>
        <v>0</v>
      </c>
      <c r="BG63" s="434">
        <v>4.0798611111111112E-2</v>
      </c>
      <c r="BH63" s="432">
        <f t="shared" si="126"/>
        <v>4.0798611111111112E-2</v>
      </c>
      <c r="BI63" s="163" t="e">
        <f>VLOOKUP($B:$B,'HT DIC'!$A:$AE,16,FALSE)</f>
        <v>#REF!</v>
      </c>
      <c r="BJ63" s="432">
        <f t="shared" si="127"/>
        <v>0</v>
      </c>
      <c r="BK63" s="434">
        <v>1.2106481481481482E-2</v>
      </c>
      <c r="BL63" s="432">
        <f t="shared" si="128"/>
        <v>1.2106481481481482E-2</v>
      </c>
      <c r="BM63" s="163" t="e">
        <f>VLOOKUP($B:$B,'HT DIC'!$A:$AE,17,FALSE)</f>
        <v>#REF!</v>
      </c>
      <c r="BN63" s="432">
        <f t="shared" si="129"/>
        <v>0</v>
      </c>
      <c r="BO63" s="434">
        <v>1.2500000000000001E-2</v>
      </c>
      <c r="BP63" s="432">
        <f t="shared" si="130"/>
        <v>1.2500000000000001E-2</v>
      </c>
      <c r="BQ63" s="163" t="e">
        <f>VLOOKUP($B:$B,'HT DIC'!$A:$AE,18,FALSE)</f>
        <v>#REF!</v>
      </c>
      <c r="BR63" s="432">
        <f t="shared" si="131"/>
        <v>0</v>
      </c>
      <c r="BS63" s="434">
        <v>1.2013888888888888E-2</v>
      </c>
      <c r="BT63" s="432">
        <f t="shared" si="132"/>
        <v>1.2013888888888888E-2</v>
      </c>
      <c r="BU63" s="163" t="e">
        <f>VLOOKUP($B:$B,'HT DIC'!$A:$AE,19,FALSE)</f>
        <v>#REF!</v>
      </c>
      <c r="BV63" s="432">
        <f t="shared" si="133"/>
        <v>0</v>
      </c>
      <c r="BW63" s="434">
        <v>1.4641203703703703E-2</v>
      </c>
      <c r="BX63" s="432">
        <f t="shared" si="134"/>
        <v>1.4641203703703703E-2</v>
      </c>
      <c r="BY63" s="163" t="e">
        <f>VLOOKUP($B:$B,'HT DIC'!$A:$AE,20,FALSE)</f>
        <v>#REF!</v>
      </c>
      <c r="BZ63" s="432">
        <f t="shared" si="135"/>
        <v>0</v>
      </c>
      <c r="CA63" s="434"/>
      <c r="CB63" s="432">
        <f t="shared" si="136"/>
        <v>0</v>
      </c>
      <c r="CC63" s="163" t="e">
        <f>VLOOKUP($B:$B,'HT DIC'!$A:$AE,21,FALSE)</f>
        <v>#REF!</v>
      </c>
      <c r="CD63" s="432">
        <f t="shared" si="137"/>
        <v>0</v>
      </c>
      <c r="CE63" s="432"/>
      <c r="CF63" s="432">
        <f t="shared" si="138"/>
        <v>0</v>
      </c>
      <c r="CG63" s="163" t="e">
        <f>VLOOKUP($B:$B,'HT DIC'!$A:$AE,22,FALSE)</f>
        <v>#REF!</v>
      </c>
      <c r="CH63" s="432">
        <f t="shared" si="139"/>
        <v>0</v>
      </c>
      <c r="CI63" s="434"/>
      <c r="CJ63" s="432">
        <f t="shared" si="140"/>
        <v>0</v>
      </c>
      <c r="CK63" s="163">
        <f>VLOOKUP($B:$B,'HT DIC'!$A:$AE,23,FALSE)</f>
        <v>12</v>
      </c>
      <c r="CL63" s="432">
        <f t="shared" si="141"/>
        <v>3.8194444444444448E-2</v>
      </c>
      <c r="CM63" s="432"/>
      <c r="CN63" s="432">
        <f t="shared" si="142"/>
        <v>0</v>
      </c>
      <c r="CO63" s="163" t="e">
        <f>VLOOKUP($B:$B,'HT DIC'!$A:$AE,24,FALSE)</f>
        <v>#REF!</v>
      </c>
      <c r="CP63" s="432">
        <f t="shared" si="143"/>
        <v>0</v>
      </c>
      <c r="CQ63" s="434"/>
      <c r="CR63" s="432">
        <f t="shared" si="144"/>
        <v>0</v>
      </c>
      <c r="CS63" s="163" t="e">
        <f>VLOOKUP($B:$B,'HT DIC'!$A:$AE,25,FALSE)</f>
        <v>#REF!</v>
      </c>
      <c r="CT63" s="432">
        <f t="shared" si="145"/>
        <v>0</v>
      </c>
      <c r="CU63" s="432"/>
      <c r="CV63" s="432">
        <f t="shared" si="146"/>
        <v>0</v>
      </c>
      <c r="CW63" s="163" t="e">
        <f>VLOOKUP($B:$B,'HT DIC'!$A:$AE,26,FALSE)</f>
        <v>#REF!</v>
      </c>
      <c r="CX63" s="432">
        <f t="shared" si="147"/>
        <v>0</v>
      </c>
      <c r="CY63" s="434"/>
      <c r="CZ63" s="432">
        <f t="shared" si="148"/>
        <v>0</v>
      </c>
      <c r="DA63" s="163">
        <f>VLOOKUP($B:$B,'HT DIC'!$A:$AE,27,FALSE)</f>
        <v>7</v>
      </c>
      <c r="DB63" s="432">
        <f t="shared" si="149"/>
        <v>2.0833333333333332E-2</v>
      </c>
      <c r="DC63" s="434"/>
      <c r="DD63" s="432">
        <f t="shared" si="150"/>
        <v>0</v>
      </c>
      <c r="DE63" s="163">
        <f>VLOOKUP($B:$B,'HT DIC'!$A:$AE,28,FALSE)</f>
        <v>12</v>
      </c>
      <c r="DF63" s="432">
        <f t="shared" si="151"/>
        <v>3.8194444444444448E-2</v>
      </c>
      <c r="DG63" s="434"/>
      <c r="DH63" s="432">
        <f t="shared" si="152"/>
        <v>0</v>
      </c>
      <c r="DI63" s="163">
        <f>VLOOKUP($B:$B,'HT DIC'!$A:$AE,29,FALSE)</f>
        <v>7</v>
      </c>
      <c r="DJ63" s="432">
        <f t="shared" si="153"/>
        <v>2.0833333333333332E-2</v>
      </c>
      <c r="DK63" s="434"/>
      <c r="DL63" s="432">
        <f t="shared" si="154"/>
        <v>0</v>
      </c>
      <c r="DM63" s="163">
        <f>VLOOKUP($B:$B,'HT DIC'!$A:$AE,30,FALSE)</f>
        <v>11</v>
      </c>
      <c r="DN63" s="432">
        <f t="shared" si="155"/>
        <v>3.4722222222222224E-2</v>
      </c>
      <c r="DO63" s="434"/>
      <c r="DP63" s="432">
        <f t="shared" si="156"/>
        <v>0</v>
      </c>
      <c r="DQ63" s="163">
        <f>VLOOKUP($B:$B,'HT DIC'!$A:$AE,31,FALSE)</f>
        <v>9</v>
      </c>
      <c r="DR63" s="432">
        <f t="shared" si="157"/>
        <v>2.7777777777777776E-2</v>
      </c>
      <c r="DS63" s="434"/>
      <c r="DT63" s="432">
        <f t="shared" si="158"/>
        <v>0</v>
      </c>
      <c r="DU63" s="163" t="e">
        <f>VLOOKUP($B:$B,'HT DIC'!$A:$AE,32,FALSE)</f>
        <v>#REF!</v>
      </c>
      <c r="DV63" s="432">
        <f t="shared" si="159"/>
        <v>0</v>
      </c>
      <c r="DW63" s="434"/>
      <c r="DX63" s="432">
        <f t="shared" si="160"/>
        <v>0</v>
      </c>
      <c r="DY63" s="432">
        <f t="shared" si="161"/>
        <v>0.61469907407407409</v>
      </c>
    </row>
    <row r="64" spans="1:129" ht="15.75">
      <c r="A64" s="166" t="s">
        <v>162</v>
      </c>
      <c r="B64" s="446" t="s">
        <v>169</v>
      </c>
      <c r="C64" s="166">
        <v>401688163</v>
      </c>
      <c r="D64" s="431">
        <v>34401</v>
      </c>
      <c r="E64" s="163" t="e">
        <f>VLOOKUP($B:$B,#REF!,2,FALSE)</f>
        <v>#REF!</v>
      </c>
      <c r="F64" s="432">
        <f t="shared" si="99"/>
        <v>0</v>
      </c>
      <c r="G64" s="434">
        <v>3.9155092592592596E-2</v>
      </c>
      <c r="H64" s="432">
        <f t="shared" si="100"/>
        <v>3.9155092592592596E-2</v>
      </c>
      <c r="I64" s="163" t="e">
        <f>VLOOKUP($B:$B,'HT DIC'!$A:$AE,3,FALSE)</f>
        <v>#REF!</v>
      </c>
      <c r="J64" s="432">
        <f t="shared" si="101"/>
        <v>0</v>
      </c>
      <c r="K64" s="434">
        <v>7.0104166666666662E-2</v>
      </c>
      <c r="L64" s="432">
        <f t="shared" si="102"/>
        <v>7.0104166666666662E-2</v>
      </c>
      <c r="M64" s="163" t="e">
        <f>VLOOKUP($B:$B,'HT DIC'!$A:$AE,4,FALSE)</f>
        <v>#REF!</v>
      </c>
      <c r="N64" s="432">
        <f t="shared" si="103"/>
        <v>0</v>
      </c>
      <c r="O64" s="432">
        <v>2.8518518518518519E-2</v>
      </c>
      <c r="P64" s="432">
        <f t="shared" si="104"/>
        <v>2.8518518518518519E-2</v>
      </c>
      <c r="Q64" s="163" t="e">
        <f>VLOOKUP($B:$B,'HT DIC'!$A:$AE,5,FALSE)</f>
        <v>#REF!</v>
      </c>
      <c r="R64" s="432">
        <f t="shared" si="105"/>
        <v>0</v>
      </c>
      <c r="S64" s="432">
        <v>3.0914351851851853E-2</v>
      </c>
      <c r="T64" s="432">
        <f t="shared" si="106"/>
        <v>3.0914351851851853E-2</v>
      </c>
      <c r="U64" s="163" t="e">
        <f>VLOOKUP($B:$B,'HT DIC'!$A:$AE,6,FALSE)</f>
        <v>#REF!</v>
      </c>
      <c r="V64" s="432">
        <f t="shared" si="107"/>
        <v>0</v>
      </c>
      <c r="W64" s="434"/>
      <c r="X64" s="432">
        <f t="shared" si="108"/>
        <v>0</v>
      </c>
      <c r="Y64" s="163" t="e">
        <f>VLOOKUP($B:$B,'HT DIC'!$A:$AE,7,FALSE)</f>
        <v>#REF!</v>
      </c>
      <c r="Z64" s="432">
        <f t="shared" si="109"/>
        <v>0</v>
      </c>
      <c r="AA64" s="434">
        <v>2.3136574074074073E-2</v>
      </c>
      <c r="AB64" s="432">
        <f t="shared" si="110"/>
        <v>2.3136574074074073E-2</v>
      </c>
      <c r="AC64" s="163" t="e">
        <f>VLOOKUP($B:$B,'HT DIC'!$A:$AE,8,FALSE)</f>
        <v>#REF!</v>
      </c>
      <c r="AD64" s="432">
        <f t="shared" si="111"/>
        <v>0</v>
      </c>
      <c r="AE64" s="434"/>
      <c r="AF64" s="432">
        <f t="shared" si="112"/>
        <v>0</v>
      </c>
      <c r="AG64" s="163" t="e">
        <f>VLOOKUP($B:$B,'HT DIC'!$A:$AE,9,FALSE)</f>
        <v>#REF!</v>
      </c>
      <c r="AH64" s="432">
        <f t="shared" si="113"/>
        <v>0</v>
      </c>
      <c r="AI64" s="434">
        <v>3.619212962962963E-2</v>
      </c>
      <c r="AJ64" s="432">
        <f t="shared" si="114"/>
        <v>3.619212962962963E-2</v>
      </c>
      <c r="AK64" s="163" t="e">
        <f>VLOOKUP($B:$B,'HT DIC'!$A:$AE,10,FALSE)</f>
        <v>#REF!</v>
      </c>
      <c r="AL64" s="432">
        <f t="shared" si="115"/>
        <v>0</v>
      </c>
      <c r="AM64" s="434">
        <v>1.954861111111111E-2</v>
      </c>
      <c r="AN64" s="432">
        <f t="shared" si="116"/>
        <v>1.954861111111111E-2</v>
      </c>
      <c r="AO64" s="163" t="e">
        <f>VLOOKUP($B:$B,'HT DIC'!$A:$AE,11,FALSE)</f>
        <v>#REF!</v>
      </c>
      <c r="AP64" s="432">
        <f t="shared" si="117"/>
        <v>0</v>
      </c>
      <c r="AQ64" s="432">
        <v>3.4722222222222224E-2</v>
      </c>
      <c r="AR64" s="432">
        <f t="shared" si="118"/>
        <v>3.4722222222222224E-2</v>
      </c>
      <c r="AS64" s="163" t="e">
        <f>VLOOKUP($B:$B,'HT DIC'!$A:$AE,12,FALSE)</f>
        <v>#REF!</v>
      </c>
      <c r="AT64" s="432">
        <f t="shared" si="119"/>
        <v>0</v>
      </c>
      <c r="AU64" s="434">
        <v>4.6493055555555558E-2</v>
      </c>
      <c r="AV64" s="432">
        <f t="shared" si="120"/>
        <v>4.6493055555555558E-2</v>
      </c>
      <c r="AW64" s="163" t="e">
        <f>VLOOKUP($B:$B,'HT DIC'!$A:$AE,13,FALSE)</f>
        <v>#REF!</v>
      </c>
      <c r="AX64" s="432">
        <f t="shared" si="121"/>
        <v>0</v>
      </c>
      <c r="AY64" s="434">
        <v>4.7303240740740743E-2</v>
      </c>
      <c r="AZ64" s="432">
        <f t="shared" si="122"/>
        <v>4.7303240740740743E-2</v>
      </c>
      <c r="BA64" s="163" t="e">
        <f>VLOOKUP($B:$B,'HT DIC'!$A:$AE,14,FALSE)</f>
        <v>#REF!</v>
      </c>
      <c r="BB64" s="432">
        <f t="shared" si="123"/>
        <v>0</v>
      </c>
      <c r="BC64" s="434"/>
      <c r="BD64" s="432">
        <f t="shared" si="124"/>
        <v>0</v>
      </c>
      <c r="BE64" s="163" t="e">
        <f>VLOOKUP($B:$B,'HT DIC'!$A:$AE,15,FALSE)</f>
        <v>#REF!</v>
      </c>
      <c r="BF64" s="432">
        <f t="shared" si="125"/>
        <v>0</v>
      </c>
      <c r="BG64" s="434">
        <v>3.335648148148148E-2</v>
      </c>
      <c r="BH64" s="432">
        <f t="shared" si="126"/>
        <v>3.335648148148148E-2</v>
      </c>
      <c r="BI64" s="163" t="e">
        <f>VLOOKUP($B:$B,'HT DIC'!$A:$AE,16,FALSE)</f>
        <v>#REF!</v>
      </c>
      <c r="BJ64" s="432">
        <f t="shared" si="127"/>
        <v>0</v>
      </c>
      <c r="BK64" s="434">
        <v>3.3923611111111113E-2</v>
      </c>
      <c r="BL64" s="432">
        <f t="shared" si="128"/>
        <v>3.3923611111111113E-2</v>
      </c>
      <c r="BM64" s="163" t="e">
        <f>VLOOKUP($B:$B,'HT DIC'!$A:$AE,17,FALSE)</f>
        <v>#REF!</v>
      </c>
      <c r="BN64" s="432">
        <f t="shared" si="129"/>
        <v>0</v>
      </c>
      <c r="BO64" s="434">
        <v>2.2997685185185184E-2</v>
      </c>
      <c r="BP64" s="432">
        <f t="shared" si="130"/>
        <v>2.2997685185185184E-2</v>
      </c>
      <c r="BQ64" s="163" t="e">
        <f>VLOOKUP($B:$B,'HT DIC'!$A:$AE,18,FALSE)</f>
        <v>#REF!</v>
      </c>
      <c r="BR64" s="432">
        <f t="shared" si="131"/>
        <v>0</v>
      </c>
      <c r="BS64" s="434">
        <v>3.9953703703703707E-2</v>
      </c>
      <c r="BT64" s="432">
        <f t="shared" si="132"/>
        <v>3.9953703703703707E-2</v>
      </c>
      <c r="BU64" s="163" t="e">
        <f>VLOOKUP($B:$B,'HT DIC'!$A:$AE,19,FALSE)</f>
        <v>#REF!</v>
      </c>
      <c r="BV64" s="432">
        <f t="shared" si="133"/>
        <v>0</v>
      </c>
      <c r="BW64" s="434">
        <v>3.8067129629629631E-2</v>
      </c>
      <c r="BX64" s="432">
        <f t="shared" si="134"/>
        <v>3.8067129629629631E-2</v>
      </c>
      <c r="BY64" s="163" t="e">
        <f>VLOOKUP($B:$B,'HT DIC'!$A:$AE,20,FALSE)</f>
        <v>#REF!</v>
      </c>
      <c r="BZ64" s="432">
        <f t="shared" si="135"/>
        <v>0</v>
      </c>
      <c r="CA64" s="434"/>
      <c r="CB64" s="432">
        <f t="shared" si="136"/>
        <v>0</v>
      </c>
      <c r="CC64" s="163" t="e">
        <f>VLOOKUP($B:$B,'HT DIC'!$A:$AE,21,FALSE)</f>
        <v>#REF!</v>
      </c>
      <c r="CD64" s="432">
        <f t="shared" si="137"/>
        <v>0</v>
      </c>
      <c r="CE64" s="432"/>
      <c r="CF64" s="432">
        <f t="shared" si="138"/>
        <v>0</v>
      </c>
      <c r="CG64" s="163" t="e">
        <f>VLOOKUP($B:$B,'HT DIC'!$A:$AE,22,FALSE)</f>
        <v>#REF!</v>
      </c>
      <c r="CH64" s="432">
        <f t="shared" si="139"/>
        <v>0</v>
      </c>
      <c r="CI64" s="434"/>
      <c r="CJ64" s="432">
        <f t="shared" si="140"/>
        <v>0</v>
      </c>
      <c r="CK64" s="163">
        <f>VLOOKUP($B:$B,'HT DIC'!$A:$AE,23,FALSE)</f>
        <v>12</v>
      </c>
      <c r="CL64" s="432">
        <f t="shared" si="141"/>
        <v>3.8194444444444448E-2</v>
      </c>
      <c r="CM64" s="432"/>
      <c r="CN64" s="432">
        <f t="shared" si="142"/>
        <v>0</v>
      </c>
      <c r="CO64" s="163" t="e">
        <f>VLOOKUP($B:$B,'HT DIC'!$A:$AE,24,FALSE)</f>
        <v>#REF!</v>
      </c>
      <c r="CP64" s="432">
        <f t="shared" si="143"/>
        <v>0</v>
      </c>
      <c r="CQ64" s="434"/>
      <c r="CR64" s="432">
        <f t="shared" si="144"/>
        <v>0</v>
      </c>
      <c r="CS64" s="163" t="e">
        <f>VLOOKUP($B:$B,'HT DIC'!$A:$AE,25,FALSE)</f>
        <v>#REF!</v>
      </c>
      <c r="CT64" s="432">
        <f t="shared" si="145"/>
        <v>0</v>
      </c>
      <c r="CU64" s="432"/>
      <c r="CV64" s="432">
        <f t="shared" si="146"/>
        <v>0</v>
      </c>
      <c r="CW64" s="163" t="e">
        <f>VLOOKUP($B:$B,'HT DIC'!$A:$AE,26,FALSE)</f>
        <v>#REF!</v>
      </c>
      <c r="CX64" s="432">
        <f t="shared" si="147"/>
        <v>0</v>
      </c>
      <c r="CY64" s="434"/>
      <c r="CZ64" s="432">
        <f t="shared" si="148"/>
        <v>0</v>
      </c>
      <c r="DA64" s="163">
        <f>VLOOKUP($B:$B,'HT DIC'!$A:$AE,27,FALSE)</f>
        <v>6</v>
      </c>
      <c r="DB64" s="432">
        <f t="shared" si="149"/>
        <v>1.7361111111111112E-2</v>
      </c>
      <c r="DC64" s="434"/>
      <c r="DD64" s="432">
        <f t="shared" si="150"/>
        <v>0</v>
      </c>
      <c r="DE64" s="163">
        <f>VLOOKUP($B:$B,'HT DIC'!$A:$AE,28,FALSE)</f>
        <v>6</v>
      </c>
      <c r="DF64" s="432">
        <f t="shared" si="151"/>
        <v>1.7361111111111112E-2</v>
      </c>
      <c r="DG64" s="434"/>
      <c r="DH64" s="432">
        <f t="shared" si="152"/>
        <v>0</v>
      </c>
      <c r="DI64" s="163">
        <f>VLOOKUP($B:$B,'HT DIC'!$A:$AE,29,FALSE)</f>
        <v>12</v>
      </c>
      <c r="DJ64" s="432">
        <f t="shared" si="153"/>
        <v>3.8194444444444448E-2</v>
      </c>
      <c r="DK64" s="434"/>
      <c r="DL64" s="432">
        <f t="shared" si="154"/>
        <v>0</v>
      </c>
      <c r="DM64" s="163">
        <f>VLOOKUP($B:$B,'HT DIC'!$A:$AE,30,FALSE)</f>
        <v>12</v>
      </c>
      <c r="DN64" s="432">
        <f t="shared" si="155"/>
        <v>3.8194444444444448E-2</v>
      </c>
      <c r="DO64" s="434"/>
      <c r="DP64" s="432">
        <f t="shared" si="156"/>
        <v>0</v>
      </c>
      <c r="DQ64" s="163">
        <f>VLOOKUP($B:$B,'HT DIC'!$A:$AE,31,FALSE)</f>
        <v>12</v>
      </c>
      <c r="DR64" s="432">
        <f t="shared" si="157"/>
        <v>3.8194444444444448E-2</v>
      </c>
      <c r="DS64" s="434"/>
      <c r="DT64" s="432">
        <f t="shared" si="158"/>
        <v>0</v>
      </c>
      <c r="DU64" s="163" t="e">
        <f>VLOOKUP($B:$B,'HT DIC'!$A:$AE,32,FALSE)</f>
        <v>#REF!</v>
      </c>
      <c r="DV64" s="432">
        <f t="shared" si="159"/>
        <v>0</v>
      </c>
      <c r="DW64" s="434"/>
      <c r="DX64" s="432">
        <f t="shared" si="160"/>
        <v>0</v>
      </c>
      <c r="DY64" s="432">
        <f t="shared" si="161"/>
        <v>0.54438657407407409</v>
      </c>
    </row>
    <row r="65" spans="1:129" ht="15.75">
      <c r="A65" s="166" t="s">
        <v>185</v>
      </c>
      <c r="B65" s="423" t="s">
        <v>177</v>
      </c>
      <c r="C65" s="166">
        <v>1725473209</v>
      </c>
      <c r="D65" s="431">
        <v>36606</v>
      </c>
      <c r="E65" s="163" t="e">
        <f>VLOOKUP($B:$B,#REF!,2,FALSE)</f>
        <v>#REF!</v>
      </c>
      <c r="F65" s="432">
        <f t="shared" si="99"/>
        <v>0</v>
      </c>
      <c r="G65" s="434">
        <v>2.375E-2</v>
      </c>
      <c r="H65" s="432">
        <f t="shared" si="100"/>
        <v>2.375E-2</v>
      </c>
      <c r="I65" s="163" t="e">
        <f>VLOOKUP($B:$B,'HT DIC'!$A:$AE,3,FALSE)</f>
        <v>#REF!</v>
      </c>
      <c r="J65" s="432">
        <f t="shared" si="101"/>
        <v>0</v>
      </c>
      <c r="K65" s="434">
        <v>2.1724537037037039E-2</v>
      </c>
      <c r="L65" s="432">
        <f t="shared" si="102"/>
        <v>2.1724537037037039E-2</v>
      </c>
      <c r="M65" s="163" t="e">
        <f>VLOOKUP($B:$B,'HT DIC'!$A:$AE,4,FALSE)</f>
        <v>#REF!</v>
      </c>
      <c r="N65" s="432">
        <f t="shared" si="103"/>
        <v>0</v>
      </c>
      <c r="O65" s="432">
        <v>3.0949074074074073E-2</v>
      </c>
      <c r="P65" s="432">
        <f t="shared" si="104"/>
        <v>3.0949074074074073E-2</v>
      </c>
      <c r="Q65" s="163" t="e">
        <f>VLOOKUP($B:$B,'HT DIC'!$A:$AE,5,FALSE)</f>
        <v>#REF!</v>
      </c>
      <c r="R65" s="432">
        <f t="shared" si="105"/>
        <v>0</v>
      </c>
      <c r="S65" s="432">
        <v>2.3842592592592592E-2</v>
      </c>
      <c r="T65" s="432">
        <f t="shared" si="106"/>
        <v>2.3842592592592592E-2</v>
      </c>
      <c r="U65" s="163" t="e">
        <f>VLOOKUP($B:$B,'HT DIC'!$A:$AE,6,FALSE)</f>
        <v>#REF!</v>
      </c>
      <c r="V65" s="432">
        <f t="shared" si="107"/>
        <v>0</v>
      </c>
      <c r="W65" s="434">
        <v>4.6574074074074073E-2</v>
      </c>
      <c r="X65" s="432">
        <f t="shared" si="108"/>
        <v>4.6574074074074073E-2</v>
      </c>
      <c r="Y65" s="163" t="e">
        <f>VLOOKUP($B:$B,'HT DIC'!$A:$AE,7,FALSE)</f>
        <v>#REF!</v>
      </c>
      <c r="Z65" s="432">
        <f t="shared" si="109"/>
        <v>0</v>
      </c>
      <c r="AA65" s="434"/>
      <c r="AB65" s="432">
        <f t="shared" si="110"/>
        <v>0</v>
      </c>
      <c r="AC65" s="163" t="e">
        <f>VLOOKUP($B:$B,'HT DIC'!$A:$AE,8,FALSE)</f>
        <v>#REF!</v>
      </c>
      <c r="AD65" s="432">
        <f t="shared" si="111"/>
        <v>0</v>
      </c>
      <c r="AE65" s="434"/>
      <c r="AF65" s="432">
        <f t="shared" si="112"/>
        <v>0</v>
      </c>
      <c r="AG65" s="163" t="e">
        <f>VLOOKUP($B:$B,'HT DIC'!$A:$AE,9,FALSE)</f>
        <v>#REF!</v>
      </c>
      <c r="AH65" s="432">
        <f t="shared" si="113"/>
        <v>0</v>
      </c>
      <c r="AI65" s="434">
        <v>4.6493055555555558E-2</v>
      </c>
      <c r="AJ65" s="432">
        <f t="shared" si="114"/>
        <v>4.6493055555555558E-2</v>
      </c>
      <c r="AK65" s="163" t="e">
        <f>VLOOKUP($B:$B,'HT DIC'!$A:$AE,10,FALSE)</f>
        <v>#REF!</v>
      </c>
      <c r="AL65" s="432">
        <f t="shared" si="115"/>
        <v>0</v>
      </c>
      <c r="AM65" s="434">
        <v>6.6805555555555562E-2</v>
      </c>
      <c r="AN65" s="432">
        <f t="shared" si="116"/>
        <v>6.6805555555555562E-2</v>
      </c>
      <c r="AO65" s="163" t="e">
        <f>VLOOKUP($B:$B,'HT DIC'!$A:$AE,11,FALSE)</f>
        <v>#REF!</v>
      </c>
      <c r="AP65" s="432">
        <f t="shared" si="117"/>
        <v>0</v>
      </c>
      <c r="AQ65" s="432">
        <v>4.9236111111111112E-2</v>
      </c>
      <c r="AR65" s="432">
        <f t="shared" si="118"/>
        <v>4.9236111111111112E-2</v>
      </c>
      <c r="AS65" s="163" t="e">
        <f>VLOOKUP($B:$B,'HT DIC'!$A:$AE,12,FALSE)</f>
        <v>#REF!</v>
      </c>
      <c r="AT65" s="432">
        <f t="shared" si="119"/>
        <v>0</v>
      </c>
      <c r="AU65" s="434">
        <v>7.0995370370370375E-2</v>
      </c>
      <c r="AV65" s="432">
        <f t="shared" si="120"/>
        <v>7.0995370370370375E-2</v>
      </c>
      <c r="AW65" s="163" t="e">
        <f>VLOOKUP($B:$B,'HT DIC'!$A:$AE,13,FALSE)</f>
        <v>#REF!</v>
      </c>
      <c r="AX65" s="432">
        <f t="shared" si="121"/>
        <v>0</v>
      </c>
      <c r="AY65" s="434">
        <v>4.8715277777777781E-2</v>
      </c>
      <c r="AZ65" s="432">
        <f t="shared" si="122"/>
        <v>4.8715277777777781E-2</v>
      </c>
      <c r="BA65" s="163" t="e">
        <f>VLOOKUP($B:$B,'HT DIC'!$A:$AE,14,FALSE)</f>
        <v>#REF!</v>
      </c>
      <c r="BB65" s="432">
        <f t="shared" si="123"/>
        <v>0</v>
      </c>
      <c r="BC65" s="434">
        <v>3.7789351851851852E-2</v>
      </c>
      <c r="BD65" s="432">
        <f t="shared" si="124"/>
        <v>3.7789351851851852E-2</v>
      </c>
      <c r="BE65" s="163" t="e">
        <f>VLOOKUP($B:$B,'HT DIC'!$A:$AE,15,FALSE)</f>
        <v>#REF!</v>
      </c>
      <c r="BF65" s="432">
        <f t="shared" si="125"/>
        <v>0</v>
      </c>
      <c r="BG65" s="434"/>
      <c r="BH65" s="432">
        <f t="shared" si="126"/>
        <v>0</v>
      </c>
      <c r="BI65" s="163" t="e">
        <f>VLOOKUP($B:$B,'HT DIC'!$A:$AE,16,FALSE)</f>
        <v>#REF!</v>
      </c>
      <c r="BJ65" s="432">
        <f t="shared" si="127"/>
        <v>0</v>
      </c>
      <c r="BK65" s="434">
        <v>3.1828703703703706E-2</v>
      </c>
      <c r="BL65" s="432">
        <f t="shared" si="128"/>
        <v>3.1828703703703706E-2</v>
      </c>
      <c r="BM65" s="163" t="e">
        <f>VLOOKUP($B:$B,'HT DIC'!$A:$AE,17,FALSE)</f>
        <v>#REF!</v>
      </c>
      <c r="BN65" s="432">
        <f t="shared" si="129"/>
        <v>0</v>
      </c>
      <c r="BO65" s="434">
        <v>0.1034375</v>
      </c>
      <c r="BP65" s="432">
        <f t="shared" si="130"/>
        <v>0.1034375</v>
      </c>
      <c r="BQ65" s="163" t="e">
        <f>VLOOKUP($B:$B,'HT DIC'!$A:$AE,18,FALSE)</f>
        <v>#REF!</v>
      </c>
      <c r="BR65" s="432">
        <f t="shared" si="131"/>
        <v>0</v>
      </c>
      <c r="BS65" s="434">
        <v>3.7245370370370373E-2</v>
      </c>
      <c r="BT65" s="432">
        <f t="shared" si="132"/>
        <v>3.7245370370370373E-2</v>
      </c>
      <c r="BU65" s="163" t="e">
        <f>VLOOKUP($B:$B,'HT DIC'!$A:$AE,19,FALSE)</f>
        <v>#REF!</v>
      </c>
      <c r="BV65" s="432">
        <f t="shared" si="133"/>
        <v>0</v>
      </c>
      <c r="BW65" s="434">
        <v>7.2511574074074076E-2</v>
      </c>
      <c r="BX65" s="432">
        <f t="shared" si="134"/>
        <v>7.2511574074074076E-2</v>
      </c>
      <c r="BY65" s="163" t="e">
        <f>VLOOKUP($B:$B,'HT DIC'!$A:$AE,20,FALSE)</f>
        <v>#REF!</v>
      </c>
      <c r="BZ65" s="432">
        <f t="shared" si="135"/>
        <v>0</v>
      </c>
      <c r="CA65" s="434">
        <v>3.3009259259259259E-2</v>
      </c>
      <c r="CB65" s="432">
        <f t="shared" si="136"/>
        <v>3.3009259259259259E-2</v>
      </c>
      <c r="CC65" s="163" t="e">
        <f>VLOOKUP($B:$B,'HT DIC'!$A:$AE,21,FALSE)</f>
        <v>#REF!</v>
      </c>
      <c r="CD65" s="432">
        <f t="shared" si="137"/>
        <v>0</v>
      </c>
      <c r="CE65" s="432">
        <v>3.7025462962962961E-2</v>
      </c>
      <c r="CF65" s="432">
        <f t="shared" si="138"/>
        <v>3.7025462962962961E-2</v>
      </c>
      <c r="CG65" s="163" t="str">
        <f>VLOOKUP($B:$B,'HT DIC'!$A:$AE,22,FALSE)</f>
        <v>FI</v>
      </c>
      <c r="CH65" s="432">
        <f t="shared" si="139"/>
        <v>0</v>
      </c>
      <c r="CI65" s="434"/>
      <c r="CJ65" s="432">
        <f t="shared" si="140"/>
        <v>0</v>
      </c>
      <c r="CK65" s="163">
        <f>VLOOKUP($B:$B,'HT DIC'!$A:$AE,23,FALSE)</f>
        <v>5</v>
      </c>
      <c r="CL65" s="432">
        <f t="shared" si="141"/>
        <v>1.3888888888888888E-2</v>
      </c>
      <c r="CM65" s="432"/>
      <c r="CN65" s="432">
        <f t="shared" si="142"/>
        <v>0</v>
      </c>
      <c r="CO65" s="163" t="e">
        <f>VLOOKUP($B:$B,'HT DIC'!$A:$AE,24,FALSE)</f>
        <v>#REF!</v>
      </c>
      <c r="CP65" s="432">
        <f t="shared" si="143"/>
        <v>0</v>
      </c>
      <c r="CQ65" s="434"/>
      <c r="CR65" s="432">
        <f t="shared" si="144"/>
        <v>0</v>
      </c>
      <c r="CS65" s="163" t="e">
        <f>VLOOKUP($B:$B,'HT DIC'!$A:$AE,25,FALSE)</f>
        <v>#REF!</v>
      </c>
      <c r="CT65" s="432">
        <f t="shared" si="145"/>
        <v>0</v>
      </c>
      <c r="CU65" s="432"/>
      <c r="CV65" s="432">
        <f t="shared" si="146"/>
        <v>0</v>
      </c>
      <c r="CW65" s="163" t="e">
        <f>VLOOKUP($B:$B,'HT DIC'!$A:$AE,26,FALSE)</f>
        <v>#REF!</v>
      </c>
      <c r="CX65" s="432">
        <f t="shared" si="147"/>
        <v>0</v>
      </c>
      <c r="CY65" s="434"/>
      <c r="CZ65" s="432">
        <f t="shared" si="148"/>
        <v>0</v>
      </c>
      <c r="DA65" s="163">
        <f>VLOOKUP($B:$B,'HT DIC'!$A:$AE,27,FALSE)</f>
        <v>12</v>
      </c>
      <c r="DB65" s="432">
        <f t="shared" si="149"/>
        <v>3.8194444444444448E-2</v>
      </c>
      <c r="DC65" s="434"/>
      <c r="DD65" s="432">
        <f t="shared" si="150"/>
        <v>0</v>
      </c>
      <c r="DE65" s="163">
        <f>VLOOKUP($B:$B,'HT DIC'!$A:$AE,28,FALSE)</f>
        <v>11</v>
      </c>
      <c r="DF65" s="432">
        <f t="shared" si="151"/>
        <v>3.4722222222222224E-2</v>
      </c>
      <c r="DG65" s="434"/>
      <c r="DH65" s="432">
        <f t="shared" si="152"/>
        <v>0</v>
      </c>
      <c r="DI65" s="163">
        <f>VLOOKUP($B:$B,'HT DIC'!$A:$AE,29,FALSE)</f>
        <v>0</v>
      </c>
      <c r="DJ65" s="432">
        <f t="shared" si="153"/>
        <v>0</v>
      </c>
      <c r="DK65" s="434"/>
      <c r="DL65" s="432">
        <f t="shared" si="154"/>
        <v>0</v>
      </c>
      <c r="DM65" s="163">
        <f>VLOOKUP($B:$B,'HT DIC'!$A:$AE,30,FALSE)</f>
        <v>11</v>
      </c>
      <c r="DN65" s="432">
        <f t="shared" si="155"/>
        <v>3.4722222222222224E-2</v>
      </c>
      <c r="DO65" s="434"/>
      <c r="DP65" s="432">
        <f t="shared" si="156"/>
        <v>0</v>
      </c>
      <c r="DQ65" s="163">
        <f>VLOOKUP($B:$B,'HT DIC'!$A:$AE,31,FALSE)</f>
        <v>10</v>
      </c>
      <c r="DR65" s="432">
        <f t="shared" si="157"/>
        <v>3.125E-2</v>
      </c>
      <c r="DS65" s="434"/>
      <c r="DT65" s="432">
        <f t="shared" si="158"/>
        <v>0</v>
      </c>
      <c r="DU65" s="163" t="e">
        <f>VLOOKUP($B:$B,'HT DIC'!$A:$AE,32,FALSE)</f>
        <v>#REF!</v>
      </c>
      <c r="DV65" s="432">
        <f t="shared" si="159"/>
        <v>0</v>
      </c>
      <c r="DW65" s="434"/>
      <c r="DX65" s="432">
        <f t="shared" si="160"/>
        <v>0</v>
      </c>
      <c r="DY65" s="432">
        <f t="shared" si="161"/>
        <v>0.78193287037037051</v>
      </c>
    </row>
    <row r="66" spans="1:129" ht="15.75">
      <c r="A66" s="166"/>
      <c r="B66" s="446" t="s">
        <v>179</v>
      </c>
      <c r="C66" s="166"/>
      <c r="D66" s="431"/>
      <c r="E66" s="163" t="e">
        <f>VLOOKUP($B:$B,#REF!,2,FALSE)</f>
        <v>#REF!</v>
      </c>
      <c r="F66" s="432"/>
      <c r="G66" s="434"/>
      <c r="H66" s="432"/>
      <c r="I66" s="163"/>
      <c r="J66" s="432"/>
      <c r="K66" s="434"/>
      <c r="L66" s="432"/>
      <c r="M66" s="163"/>
      <c r="N66" s="432"/>
      <c r="O66" s="432"/>
      <c r="P66" s="432"/>
      <c r="Q66" s="163"/>
      <c r="R66" s="432"/>
      <c r="S66" s="432"/>
      <c r="T66" s="432"/>
      <c r="U66" s="163"/>
      <c r="V66" s="432"/>
      <c r="W66" s="434"/>
      <c r="X66" s="432"/>
      <c r="Y66" s="163"/>
      <c r="Z66" s="432"/>
      <c r="AA66" s="434"/>
      <c r="AB66" s="432"/>
      <c r="AC66" s="163"/>
      <c r="AD66" s="432"/>
      <c r="AE66" s="434"/>
      <c r="AF66" s="432"/>
      <c r="AG66" s="163"/>
      <c r="AH66" s="432"/>
      <c r="AI66" s="434"/>
      <c r="AJ66" s="432"/>
      <c r="AK66" s="163"/>
      <c r="AL66" s="432"/>
      <c r="AM66" s="434"/>
      <c r="AN66" s="432"/>
      <c r="AO66" s="163"/>
      <c r="AP66" s="432"/>
      <c r="AQ66" s="434"/>
      <c r="AR66" s="432"/>
      <c r="AS66" s="163"/>
      <c r="AT66" s="432"/>
      <c r="AU66" s="434"/>
      <c r="AV66" s="432"/>
      <c r="AW66" s="163"/>
      <c r="AX66" s="432"/>
      <c r="AY66" s="434"/>
      <c r="AZ66" s="432"/>
      <c r="BA66" s="163"/>
      <c r="BB66" s="432"/>
      <c r="BC66" s="434"/>
      <c r="BD66" s="432"/>
      <c r="BE66" s="163"/>
      <c r="BF66" s="432"/>
      <c r="BG66" s="434"/>
      <c r="BH66" s="432"/>
      <c r="BI66" s="163"/>
      <c r="BJ66" s="432"/>
      <c r="BK66" s="434"/>
      <c r="BL66" s="432"/>
      <c r="BM66" s="163"/>
      <c r="BN66" s="432"/>
      <c r="BO66" s="434"/>
      <c r="BP66" s="432"/>
      <c r="BQ66" s="163"/>
      <c r="BR66" s="432"/>
      <c r="BS66" s="434"/>
      <c r="BT66" s="432"/>
      <c r="BU66" s="163"/>
      <c r="BV66" s="432"/>
      <c r="BW66" s="434"/>
      <c r="BX66" s="432"/>
      <c r="BY66" s="163"/>
      <c r="BZ66" s="432"/>
      <c r="CA66" s="434"/>
      <c r="CB66" s="432"/>
      <c r="CC66" s="163"/>
      <c r="CD66" s="432"/>
      <c r="CE66" s="434"/>
      <c r="CF66" s="432"/>
      <c r="CG66" s="163"/>
      <c r="CH66" s="432"/>
      <c r="CI66" s="434"/>
      <c r="CJ66" s="432"/>
      <c r="CK66" s="163"/>
      <c r="CL66" s="432"/>
      <c r="CM66" s="434"/>
      <c r="CN66" s="432"/>
      <c r="CO66" s="163"/>
      <c r="CP66" s="432"/>
      <c r="CQ66" s="434"/>
      <c r="CR66" s="432"/>
      <c r="CS66" s="163"/>
      <c r="CT66" s="432"/>
      <c r="CU66" s="434"/>
      <c r="CV66" s="432"/>
      <c r="CW66" s="163"/>
      <c r="CX66" s="432"/>
      <c r="CY66" s="434"/>
      <c r="CZ66" s="432"/>
      <c r="DA66" s="163"/>
      <c r="DB66" s="432"/>
      <c r="DC66" s="434"/>
      <c r="DD66" s="432"/>
      <c r="DE66" s="163"/>
      <c r="DF66" s="432"/>
      <c r="DG66" s="434"/>
      <c r="DH66" s="432"/>
      <c r="DI66" s="163"/>
      <c r="DJ66" s="432"/>
      <c r="DK66" s="434"/>
      <c r="DL66" s="432"/>
      <c r="DM66" s="163"/>
      <c r="DN66" s="432"/>
      <c r="DO66" s="434"/>
      <c r="DP66" s="432"/>
      <c r="DQ66" s="163"/>
      <c r="DR66" s="432"/>
      <c r="DS66" s="434"/>
      <c r="DT66" s="432"/>
      <c r="DU66" s="163"/>
      <c r="DV66" s="432"/>
      <c r="DW66" s="434"/>
      <c r="DX66" s="432"/>
      <c r="DY66" s="432"/>
    </row>
    <row r="67" spans="1:129" ht="15.75">
      <c r="A67" s="166"/>
      <c r="B67" s="446" t="s">
        <v>182</v>
      </c>
      <c r="C67" s="166"/>
      <c r="D67" s="431"/>
      <c r="E67" s="163" t="e">
        <f>VLOOKUP($B:$B,#REF!,2,FALSE)</f>
        <v>#REF!</v>
      </c>
      <c r="F67" s="432"/>
      <c r="G67" s="434"/>
      <c r="H67" s="432"/>
      <c r="I67" s="163"/>
      <c r="J67" s="432"/>
      <c r="K67" s="434"/>
      <c r="L67" s="432"/>
      <c r="M67" s="163"/>
      <c r="N67" s="432"/>
      <c r="O67" s="432"/>
      <c r="P67" s="432"/>
      <c r="Q67" s="163"/>
      <c r="R67" s="432"/>
      <c r="S67" s="432"/>
      <c r="T67" s="432"/>
      <c r="U67" s="163"/>
      <c r="V67" s="432"/>
      <c r="W67" s="434"/>
      <c r="X67" s="432"/>
      <c r="Y67" s="163"/>
      <c r="Z67" s="432"/>
      <c r="AA67" s="434"/>
      <c r="AB67" s="432"/>
      <c r="AC67" s="163"/>
      <c r="AD67" s="432"/>
      <c r="AE67" s="434"/>
      <c r="AF67" s="432"/>
      <c r="AG67" s="163"/>
      <c r="AH67" s="432"/>
      <c r="AI67" s="434"/>
      <c r="AJ67" s="432"/>
      <c r="AK67" s="163"/>
      <c r="AL67" s="432"/>
      <c r="AM67" s="434"/>
      <c r="AN67" s="432"/>
      <c r="AO67" s="163"/>
      <c r="AP67" s="432"/>
      <c r="AQ67" s="434"/>
      <c r="AR67" s="432"/>
      <c r="AS67" s="163"/>
      <c r="AT67" s="432"/>
      <c r="AU67" s="434"/>
      <c r="AV67" s="432"/>
      <c r="AW67" s="163"/>
      <c r="AX67" s="432"/>
      <c r="AY67" s="434"/>
      <c r="AZ67" s="432"/>
      <c r="BA67" s="163"/>
      <c r="BB67" s="432"/>
      <c r="BC67" s="434"/>
      <c r="BD67" s="432"/>
      <c r="BE67" s="163"/>
      <c r="BF67" s="432"/>
      <c r="BG67" s="434"/>
      <c r="BH67" s="432"/>
      <c r="BI67" s="163"/>
      <c r="BJ67" s="432"/>
      <c r="BK67" s="434"/>
      <c r="BL67" s="432"/>
      <c r="BM67" s="163"/>
      <c r="BN67" s="432"/>
      <c r="BO67" s="434"/>
      <c r="BP67" s="432"/>
      <c r="BQ67" s="163"/>
      <c r="BR67" s="432"/>
      <c r="BS67" s="434"/>
      <c r="BT67" s="432"/>
      <c r="BU67" s="163"/>
      <c r="BV67" s="432"/>
      <c r="BW67" s="434"/>
      <c r="BX67" s="432"/>
      <c r="BY67" s="163"/>
      <c r="BZ67" s="432"/>
      <c r="CA67" s="434"/>
      <c r="CB67" s="432"/>
      <c r="CC67" s="163"/>
      <c r="CD67" s="432"/>
      <c r="CE67" s="434"/>
      <c r="CF67" s="432"/>
      <c r="CG67" s="163"/>
      <c r="CH67" s="432"/>
      <c r="CI67" s="434"/>
      <c r="CJ67" s="432"/>
      <c r="CK67" s="163"/>
      <c r="CL67" s="432"/>
      <c r="CM67" s="434"/>
      <c r="CN67" s="432"/>
      <c r="CO67" s="163"/>
      <c r="CP67" s="432"/>
      <c r="CQ67" s="434"/>
      <c r="CR67" s="432"/>
      <c r="CS67" s="163"/>
      <c r="CT67" s="432"/>
      <c r="CU67" s="434"/>
      <c r="CV67" s="432"/>
      <c r="CW67" s="163"/>
      <c r="CX67" s="432"/>
      <c r="CY67" s="434"/>
      <c r="CZ67" s="432"/>
      <c r="DA67" s="163"/>
      <c r="DB67" s="432"/>
      <c r="DC67" s="434"/>
      <c r="DD67" s="432"/>
      <c r="DE67" s="163"/>
      <c r="DF67" s="432"/>
      <c r="DG67" s="434"/>
      <c r="DH67" s="432"/>
      <c r="DI67" s="163"/>
      <c r="DJ67" s="432"/>
      <c r="DK67" s="434"/>
      <c r="DL67" s="432"/>
      <c r="DM67" s="163"/>
      <c r="DN67" s="432"/>
      <c r="DO67" s="434"/>
      <c r="DP67" s="432"/>
      <c r="DQ67" s="163"/>
      <c r="DR67" s="432"/>
      <c r="DS67" s="434"/>
      <c r="DT67" s="432"/>
      <c r="DU67" s="163"/>
      <c r="DV67" s="432"/>
      <c r="DW67" s="434"/>
      <c r="DX67" s="432"/>
      <c r="DY67" s="432"/>
    </row>
    <row r="68" spans="1:129" ht="15.75">
      <c r="A68" s="166"/>
      <c r="B68" s="446" t="s">
        <v>108</v>
      </c>
      <c r="C68" s="166"/>
      <c r="D68" s="431"/>
      <c r="E68" s="163" t="e">
        <f>VLOOKUP($B:$B,#REF!,2,FALSE)</f>
        <v>#REF!</v>
      </c>
      <c r="F68" s="432"/>
      <c r="G68" s="434"/>
      <c r="H68" s="432"/>
      <c r="I68" s="163"/>
      <c r="J68" s="432"/>
      <c r="K68" s="434"/>
      <c r="L68" s="432"/>
      <c r="M68" s="163"/>
      <c r="N68" s="432"/>
      <c r="O68" s="432"/>
      <c r="P68" s="432"/>
      <c r="Q68" s="163"/>
      <c r="R68" s="432"/>
      <c r="S68" s="432"/>
      <c r="T68" s="432"/>
      <c r="U68" s="163"/>
      <c r="V68" s="432"/>
      <c r="W68" s="434"/>
      <c r="X68" s="432"/>
      <c r="Y68" s="163"/>
      <c r="Z68" s="432"/>
      <c r="AA68" s="434"/>
      <c r="AB68" s="432"/>
      <c r="AC68" s="163"/>
      <c r="AD68" s="432"/>
      <c r="AE68" s="434"/>
      <c r="AF68" s="432"/>
      <c r="AG68" s="163"/>
      <c r="AH68" s="432"/>
      <c r="AI68" s="434"/>
      <c r="AJ68" s="432"/>
      <c r="AK68" s="163"/>
      <c r="AL68" s="432"/>
      <c r="AM68" s="434"/>
      <c r="AN68" s="432"/>
      <c r="AO68" s="163"/>
      <c r="AP68" s="432"/>
      <c r="AQ68" s="434"/>
      <c r="AR68" s="432"/>
      <c r="AS68" s="163"/>
      <c r="AT68" s="432"/>
      <c r="AU68" s="434"/>
      <c r="AV68" s="432"/>
      <c r="AW68" s="163"/>
      <c r="AX68" s="432"/>
      <c r="AY68" s="434"/>
      <c r="AZ68" s="432"/>
      <c r="BA68" s="163"/>
      <c r="BB68" s="432"/>
      <c r="BC68" s="434"/>
      <c r="BD68" s="432"/>
      <c r="BE68" s="163"/>
      <c r="BF68" s="432"/>
      <c r="BG68" s="434"/>
      <c r="BH68" s="432"/>
      <c r="BI68" s="163"/>
      <c r="BJ68" s="432"/>
      <c r="BK68" s="434"/>
      <c r="BL68" s="432"/>
      <c r="BM68" s="163"/>
      <c r="BN68" s="432"/>
      <c r="BO68" s="434"/>
      <c r="BP68" s="432"/>
      <c r="BQ68" s="163"/>
      <c r="BR68" s="432"/>
      <c r="BS68" s="434"/>
      <c r="BT68" s="432"/>
      <c r="BU68" s="163"/>
      <c r="BV68" s="432"/>
      <c r="BW68" s="434"/>
      <c r="BX68" s="432"/>
      <c r="BY68" s="163"/>
      <c r="BZ68" s="432"/>
      <c r="CA68" s="434"/>
      <c r="CB68" s="432"/>
      <c r="CC68" s="163"/>
      <c r="CD68" s="432"/>
      <c r="CE68" s="434"/>
      <c r="CF68" s="432"/>
      <c r="CG68" s="163"/>
      <c r="CH68" s="432"/>
      <c r="CI68" s="434"/>
      <c r="CJ68" s="432"/>
      <c r="CK68" s="163"/>
      <c r="CL68" s="432"/>
      <c r="CM68" s="434"/>
      <c r="CN68" s="432"/>
      <c r="CO68" s="163"/>
      <c r="CP68" s="432"/>
      <c r="CQ68" s="434"/>
      <c r="CR68" s="432"/>
      <c r="CS68" s="163"/>
      <c r="CT68" s="432"/>
      <c r="CU68" s="434"/>
      <c r="CV68" s="432"/>
      <c r="CW68" s="163"/>
      <c r="CX68" s="432"/>
      <c r="CY68" s="434"/>
      <c r="CZ68" s="432"/>
      <c r="DA68" s="163"/>
      <c r="DB68" s="432"/>
      <c r="DC68" s="434"/>
      <c r="DD68" s="432"/>
      <c r="DE68" s="163"/>
      <c r="DF68" s="432"/>
      <c r="DG68" s="434"/>
      <c r="DH68" s="432"/>
      <c r="DI68" s="163"/>
      <c r="DJ68" s="432"/>
      <c r="DK68" s="434"/>
      <c r="DL68" s="432"/>
      <c r="DM68" s="163"/>
      <c r="DN68" s="432"/>
      <c r="DO68" s="434"/>
      <c r="DP68" s="432"/>
      <c r="DQ68" s="163"/>
      <c r="DR68" s="432"/>
      <c r="DS68" s="434"/>
      <c r="DT68" s="432"/>
      <c r="DU68" s="163"/>
      <c r="DV68" s="432"/>
      <c r="DW68" s="434"/>
      <c r="DX68" s="432"/>
      <c r="DY68" s="432"/>
    </row>
    <row r="69" spans="1:129" ht="15.75">
      <c r="A69" s="166"/>
      <c r="B69" s="446" t="s">
        <v>144</v>
      </c>
      <c r="C69" s="166"/>
      <c r="D69" s="431"/>
      <c r="E69" s="163" t="e">
        <f>VLOOKUP($B:$B,#REF!,2,FALSE)</f>
        <v>#REF!</v>
      </c>
      <c r="F69" s="432"/>
      <c r="G69" s="434"/>
      <c r="H69" s="432"/>
      <c r="I69" s="163"/>
      <c r="J69" s="432"/>
      <c r="K69" s="434"/>
      <c r="L69" s="432"/>
      <c r="M69" s="163"/>
      <c r="N69" s="432"/>
      <c r="O69" s="432"/>
      <c r="P69" s="432"/>
      <c r="Q69" s="163"/>
      <c r="R69" s="432"/>
      <c r="S69" s="432"/>
      <c r="T69" s="432"/>
      <c r="U69" s="163"/>
      <c r="V69" s="432"/>
      <c r="W69" s="434"/>
      <c r="X69" s="432"/>
      <c r="Y69" s="163"/>
      <c r="Z69" s="432"/>
      <c r="AA69" s="434"/>
      <c r="AB69" s="432"/>
      <c r="AC69" s="163"/>
      <c r="AD69" s="432"/>
      <c r="AE69" s="434"/>
      <c r="AF69" s="432"/>
      <c r="AG69" s="163"/>
      <c r="AH69" s="432"/>
      <c r="AI69" s="434"/>
      <c r="AJ69" s="432"/>
      <c r="AK69" s="163"/>
      <c r="AL69" s="432"/>
      <c r="AM69" s="434"/>
      <c r="AN69" s="432"/>
      <c r="AO69" s="163"/>
      <c r="AP69" s="432"/>
      <c r="AQ69" s="434"/>
      <c r="AR69" s="432"/>
      <c r="AS69" s="163"/>
      <c r="AT69" s="432"/>
      <c r="AU69" s="434"/>
      <c r="AV69" s="432"/>
      <c r="AW69" s="163"/>
      <c r="AX69" s="432"/>
      <c r="AY69" s="434"/>
      <c r="AZ69" s="432"/>
      <c r="BA69" s="163"/>
      <c r="BB69" s="432"/>
      <c r="BC69" s="434"/>
      <c r="BD69" s="432"/>
      <c r="BE69" s="163"/>
      <c r="BF69" s="432"/>
      <c r="BG69" s="434"/>
      <c r="BH69" s="432"/>
      <c r="BI69" s="163"/>
      <c r="BJ69" s="432"/>
      <c r="BK69" s="434"/>
      <c r="BL69" s="432"/>
      <c r="BM69" s="163"/>
      <c r="BN69" s="432"/>
      <c r="BO69" s="434"/>
      <c r="BP69" s="432"/>
      <c r="BQ69" s="163"/>
      <c r="BR69" s="432"/>
      <c r="BS69" s="434"/>
      <c r="BT69" s="432"/>
      <c r="BU69" s="163"/>
      <c r="BV69" s="432"/>
      <c r="BW69" s="434"/>
      <c r="BX69" s="432"/>
      <c r="BY69" s="163"/>
      <c r="BZ69" s="432"/>
      <c r="CA69" s="434"/>
      <c r="CB69" s="432"/>
      <c r="CC69" s="163"/>
      <c r="CD69" s="432"/>
      <c r="CE69" s="434"/>
      <c r="CF69" s="432"/>
      <c r="CG69" s="163"/>
      <c r="CH69" s="432"/>
      <c r="CI69" s="434"/>
      <c r="CJ69" s="432"/>
      <c r="CK69" s="163"/>
      <c r="CL69" s="432"/>
      <c r="CM69" s="434"/>
      <c r="CN69" s="432"/>
      <c r="CO69" s="163"/>
      <c r="CP69" s="432"/>
      <c r="CQ69" s="434"/>
      <c r="CR69" s="432"/>
      <c r="CS69" s="163"/>
      <c r="CT69" s="432"/>
      <c r="CU69" s="434"/>
      <c r="CV69" s="432"/>
      <c r="CW69" s="163"/>
      <c r="CX69" s="432"/>
      <c r="CY69" s="434"/>
      <c r="CZ69" s="432"/>
      <c r="DA69" s="163"/>
      <c r="DB69" s="432"/>
      <c r="DC69" s="434"/>
      <c r="DD69" s="432"/>
      <c r="DE69" s="163"/>
      <c r="DF69" s="432"/>
      <c r="DG69" s="434"/>
      <c r="DH69" s="432"/>
      <c r="DI69" s="163"/>
      <c r="DJ69" s="432"/>
      <c r="DK69" s="434"/>
      <c r="DL69" s="432"/>
      <c r="DM69" s="163"/>
      <c r="DN69" s="432"/>
      <c r="DO69" s="434"/>
      <c r="DP69" s="432"/>
      <c r="DQ69" s="163"/>
      <c r="DR69" s="432"/>
      <c r="DS69" s="434"/>
      <c r="DT69" s="432"/>
      <c r="DU69" s="163"/>
      <c r="DV69" s="432"/>
      <c r="DW69" s="434"/>
      <c r="DX69" s="432"/>
      <c r="DY69" s="432"/>
    </row>
    <row r="70" spans="1:129" ht="15.75">
      <c r="A70" s="166"/>
      <c r="B70" s="447" t="s">
        <v>174</v>
      </c>
      <c r="C70" s="166"/>
      <c r="D70" s="431"/>
      <c r="E70" s="163" t="e">
        <f>VLOOKUP($B:$B,#REF!,2,FALSE)</f>
        <v>#REF!</v>
      </c>
      <c r="F70" s="432"/>
      <c r="G70" s="434"/>
      <c r="H70" s="432"/>
      <c r="I70" s="163"/>
      <c r="J70" s="432"/>
      <c r="K70" s="434"/>
      <c r="L70" s="432"/>
      <c r="M70" s="163"/>
      <c r="N70" s="432"/>
      <c r="O70" s="432"/>
      <c r="P70" s="432"/>
      <c r="Q70" s="163"/>
      <c r="R70" s="432"/>
      <c r="S70" s="432"/>
      <c r="T70" s="432"/>
      <c r="U70" s="163"/>
      <c r="V70" s="432"/>
      <c r="W70" s="434"/>
      <c r="X70" s="432"/>
      <c r="Y70" s="163"/>
      <c r="Z70" s="432"/>
      <c r="AA70" s="434"/>
      <c r="AB70" s="432"/>
      <c r="AC70" s="163"/>
      <c r="AD70" s="432"/>
      <c r="AE70" s="434"/>
      <c r="AF70" s="432"/>
      <c r="AG70" s="163"/>
      <c r="AH70" s="432"/>
      <c r="AI70" s="434"/>
      <c r="AJ70" s="432"/>
      <c r="AK70" s="163"/>
      <c r="AL70" s="432"/>
      <c r="AM70" s="434"/>
      <c r="AN70" s="432"/>
      <c r="AO70" s="163"/>
      <c r="AP70" s="432"/>
      <c r="AQ70" s="434"/>
      <c r="AR70" s="432"/>
      <c r="AS70" s="163"/>
      <c r="AT70" s="432"/>
      <c r="AU70" s="434"/>
      <c r="AV70" s="432"/>
      <c r="AW70" s="163"/>
      <c r="AX70" s="432"/>
      <c r="AY70" s="434"/>
      <c r="AZ70" s="432"/>
      <c r="BA70" s="163"/>
      <c r="BB70" s="432"/>
      <c r="BC70" s="434"/>
      <c r="BD70" s="432"/>
      <c r="BE70" s="163"/>
      <c r="BF70" s="432"/>
      <c r="BG70" s="434"/>
      <c r="BH70" s="432"/>
      <c r="BI70" s="163"/>
      <c r="BJ70" s="432"/>
      <c r="BK70" s="434"/>
      <c r="BL70" s="432"/>
      <c r="BM70" s="163"/>
      <c r="BN70" s="432"/>
      <c r="BO70" s="434"/>
      <c r="BP70" s="432"/>
      <c r="BQ70" s="163"/>
      <c r="BR70" s="432"/>
      <c r="BS70" s="434"/>
      <c r="BT70" s="432"/>
      <c r="BU70" s="163"/>
      <c r="BV70" s="432"/>
      <c r="BW70" s="434"/>
      <c r="BX70" s="432"/>
      <c r="BY70" s="163"/>
      <c r="BZ70" s="432"/>
      <c r="CA70" s="434"/>
      <c r="CB70" s="432"/>
      <c r="CC70" s="163"/>
      <c r="CD70" s="432"/>
      <c r="CE70" s="434"/>
      <c r="CF70" s="432"/>
      <c r="CG70" s="163"/>
      <c r="CH70" s="432"/>
      <c r="CI70" s="434"/>
      <c r="CJ70" s="432"/>
      <c r="CK70" s="163"/>
      <c r="CL70" s="432"/>
      <c r="CM70" s="434"/>
      <c r="CN70" s="432"/>
      <c r="CO70" s="163"/>
      <c r="CP70" s="432"/>
      <c r="CQ70" s="434"/>
      <c r="CR70" s="432"/>
      <c r="CS70" s="163"/>
      <c r="CT70" s="432"/>
      <c r="CU70" s="434"/>
      <c r="CV70" s="432"/>
      <c r="CW70" s="163"/>
      <c r="CX70" s="432"/>
      <c r="CY70" s="434"/>
      <c r="CZ70" s="432"/>
      <c r="DA70" s="163"/>
      <c r="DB70" s="432"/>
      <c r="DC70" s="434"/>
      <c r="DD70" s="432"/>
      <c r="DE70" s="163"/>
      <c r="DF70" s="432"/>
      <c r="DG70" s="434"/>
      <c r="DH70" s="432"/>
      <c r="DI70" s="163"/>
      <c r="DJ70" s="432"/>
      <c r="DK70" s="434"/>
      <c r="DL70" s="432"/>
      <c r="DM70" s="163"/>
      <c r="DN70" s="432"/>
      <c r="DO70" s="434"/>
      <c r="DP70" s="432"/>
      <c r="DQ70" s="163"/>
      <c r="DR70" s="432"/>
      <c r="DS70" s="434"/>
      <c r="DT70" s="432"/>
      <c r="DU70" s="163"/>
      <c r="DV70" s="432"/>
      <c r="DW70" s="434"/>
      <c r="DX70" s="432"/>
      <c r="DY70" s="432"/>
    </row>
    <row r="71" spans="1:129" ht="15.75">
      <c r="A71" s="166"/>
      <c r="B71" s="447" t="s">
        <v>98</v>
      </c>
      <c r="C71" s="166"/>
      <c r="D71" s="431"/>
      <c r="E71" s="163" t="e">
        <f>VLOOKUP($B:$B,#REF!,2,FALSE)</f>
        <v>#REF!</v>
      </c>
      <c r="F71" s="432"/>
      <c r="G71" s="434"/>
      <c r="H71" s="432"/>
      <c r="I71" s="163"/>
      <c r="J71" s="432"/>
      <c r="K71" s="434"/>
      <c r="L71" s="432"/>
      <c r="M71" s="163"/>
      <c r="N71" s="432"/>
      <c r="O71" s="432"/>
      <c r="P71" s="432"/>
      <c r="Q71" s="163"/>
      <c r="R71" s="432"/>
      <c r="S71" s="432"/>
      <c r="T71" s="432"/>
      <c r="U71" s="163"/>
      <c r="V71" s="432"/>
      <c r="W71" s="434"/>
      <c r="X71" s="432"/>
      <c r="Y71" s="163"/>
      <c r="Z71" s="432"/>
      <c r="AA71" s="434"/>
      <c r="AB71" s="432"/>
      <c r="AC71" s="163"/>
      <c r="AD71" s="432"/>
      <c r="AE71" s="434"/>
      <c r="AF71" s="432"/>
      <c r="AG71" s="163"/>
      <c r="AH71" s="432"/>
      <c r="AI71" s="434"/>
      <c r="AJ71" s="432"/>
      <c r="AK71" s="163"/>
      <c r="AL71" s="432"/>
      <c r="AM71" s="434"/>
      <c r="AN71" s="432"/>
      <c r="AO71" s="163"/>
      <c r="AP71" s="432"/>
      <c r="AQ71" s="434"/>
      <c r="AR71" s="432"/>
      <c r="AS71" s="163"/>
      <c r="AT71" s="432"/>
      <c r="AU71" s="434"/>
      <c r="AV71" s="432"/>
      <c r="AW71" s="163"/>
      <c r="AX71" s="432"/>
      <c r="AY71" s="434"/>
      <c r="AZ71" s="432"/>
      <c r="BA71" s="163"/>
      <c r="BB71" s="432"/>
      <c r="BC71" s="434"/>
      <c r="BD71" s="432"/>
      <c r="BE71" s="163"/>
      <c r="BF71" s="432"/>
      <c r="BG71" s="434"/>
      <c r="BH71" s="432"/>
      <c r="BI71" s="163"/>
      <c r="BJ71" s="432"/>
      <c r="BK71" s="434"/>
      <c r="BL71" s="432"/>
      <c r="BM71" s="163"/>
      <c r="BN71" s="432"/>
      <c r="BO71" s="434"/>
      <c r="BP71" s="432"/>
      <c r="BQ71" s="163"/>
      <c r="BR71" s="432"/>
      <c r="BS71" s="434"/>
      <c r="BT71" s="432"/>
      <c r="BU71" s="163"/>
      <c r="BV71" s="432"/>
      <c r="BW71" s="434"/>
      <c r="BX71" s="432"/>
      <c r="BY71" s="163"/>
      <c r="BZ71" s="432"/>
      <c r="CA71" s="434"/>
      <c r="CB71" s="432"/>
      <c r="CC71" s="163"/>
      <c r="CD71" s="432"/>
      <c r="CE71" s="434"/>
      <c r="CF71" s="432"/>
      <c r="CG71" s="163"/>
      <c r="CH71" s="432"/>
      <c r="CI71" s="434"/>
      <c r="CJ71" s="432"/>
      <c r="CK71" s="163"/>
      <c r="CL71" s="432"/>
      <c r="CM71" s="434"/>
      <c r="CN71" s="432"/>
      <c r="CO71" s="163"/>
      <c r="CP71" s="432"/>
      <c r="CQ71" s="434"/>
      <c r="CR71" s="432"/>
      <c r="CS71" s="163"/>
      <c r="CT71" s="432"/>
      <c r="CU71" s="434"/>
      <c r="CV71" s="432"/>
      <c r="CW71" s="163"/>
      <c r="CX71" s="432"/>
      <c r="CY71" s="434"/>
      <c r="CZ71" s="432"/>
      <c r="DA71" s="163"/>
      <c r="DB71" s="432"/>
      <c r="DC71" s="434"/>
      <c r="DD71" s="432"/>
      <c r="DE71" s="163"/>
      <c r="DF71" s="432"/>
      <c r="DG71" s="434"/>
      <c r="DH71" s="432"/>
      <c r="DI71" s="163"/>
      <c r="DJ71" s="432"/>
      <c r="DK71" s="434"/>
      <c r="DL71" s="432"/>
      <c r="DM71" s="163"/>
      <c r="DN71" s="432"/>
      <c r="DO71" s="434"/>
      <c r="DP71" s="432"/>
      <c r="DQ71" s="163"/>
      <c r="DR71" s="432"/>
      <c r="DS71" s="434"/>
      <c r="DT71" s="432"/>
      <c r="DU71" s="163"/>
      <c r="DV71" s="432"/>
      <c r="DW71" s="434"/>
      <c r="DX71" s="432"/>
      <c r="DY71" s="432"/>
    </row>
    <row r="72" spans="1:129" ht="15.75">
      <c r="A72" s="166"/>
      <c r="B72" s="446" t="s">
        <v>184</v>
      </c>
      <c r="C72" s="166"/>
      <c r="D72" s="431"/>
      <c r="E72" s="163" t="e">
        <f>VLOOKUP($B:$B,#REF!,2,FALSE)</f>
        <v>#REF!</v>
      </c>
      <c r="F72" s="432"/>
      <c r="G72" s="434"/>
      <c r="H72" s="432"/>
      <c r="I72" s="163"/>
      <c r="J72" s="432"/>
      <c r="K72" s="434"/>
      <c r="L72" s="432"/>
      <c r="M72" s="163"/>
      <c r="N72" s="432"/>
      <c r="O72" s="432"/>
      <c r="P72" s="432"/>
      <c r="Q72" s="163"/>
      <c r="R72" s="432"/>
      <c r="S72" s="432"/>
      <c r="T72" s="432"/>
      <c r="U72" s="163"/>
      <c r="V72" s="432"/>
      <c r="W72" s="434"/>
      <c r="X72" s="432"/>
      <c r="Y72" s="163"/>
      <c r="Z72" s="432"/>
      <c r="AA72" s="434"/>
      <c r="AB72" s="432"/>
      <c r="AC72" s="163"/>
      <c r="AD72" s="432"/>
      <c r="AE72" s="434"/>
      <c r="AF72" s="432"/>
      <c r="AG72" s="163"/>
      <c r="AH72" s="432"/>
      <c r="AI72" s="434"/>
      <c r="AJ72" s="432"/>
      <c r="AK72" s="163"/>
      <c r="AL72" s="432"/>
      <c r="AM72" s="434"/>
      <c r="AN72" s="432"/>
      <c r="AO72" s="163"/>
      <c r="AP72" s="432"/>
      <c r="AQ72" s="434"/>
      <c r="AR72" s="432"/>
      <c r="AS72" s="163"/>
      <c r="AT72" s="432"/>
      <c r="AU72" s="434"/>
      <c r="AV72" s="432"/>
      <c r="AW72" s="163"/>
      <c r="AX72" s="432"/>
      <c r="AY72" s="434"/>
      <c r="AZ72" s="432"/>
      <c r="BA72" s="163"/>
      <c r="BB72" s="432"/>
      <c r="BC72" s="434"/>
      <c r="BD72" s="432"/>
      <c r="BE72" s="163"/>
      <c r="BF72" s="432"/>
      <c r="BG72" s="434"/>
      <c r="BH72" s="432"/>
      <c r="BI72" s="163"/>
      <c r="BJ72" s="432"/>
      <c r="BK72" s="434"/>
      <c r="BL72" s="432"/>
      <c r="BM72" s="163"/>
      <c r="BN72" s="432"/>
      <c r="BO72" s="434"/>
      <c r="BP72" s="432"/>
      <c r="BQ72" s="163"/>
      <c r="BR72" s="432"/>
      <c r="BS72" s="434"/>
      <c r="BT72" s="432"/>
      <c r="BU72" s="163"/>
      <c r="BV72" s="432"/>
      <c r="BW72" s="434"/>
      <c r="BX72" s="432"/>
      <c r="BY72" s="163"/>
      <c r="BZ72" s="432"/>
      <c r="CA72" s="434"/>
      <c r="CB72" s="432"/>
      <c r="CC72" s="163"/>
      <c r="CD72" s="432"/>
      <c r="CE72" s="434"/>
      <c r="CF72" s="432"/>
      <c r="CG72" s="163"/>
      <c r="CH72" s="432"/>
      <c r="CI72" s="434"/>
      <c r="CJ72" s="432"/>
      <c r="CK72" s="163"/>
      <c r="CL72" s="432"/>
      <c r="CM72" s="434"/>
      <c r="CN72" s="432"/>
      <c r="CO72" s="163"/>
      <c r="CP72" s="432"/>
      <c r="CQ72" s="434"/>
      <c r="CR72" s="432"/>
      <c r="CS72" s="163"/>
      <c r="CT72" s="432"/>
      <c r="CU72" s="434"/>
      <c r="CV72" s="432"/>
      <c r="CW72" s="163"/>
      <c r="CX72" s="432"/>
      <c r="CY72" s="434"/>
      <c r="CZ72" s="432"/>
      <c r="DA72" s="163"/>
      <c r="DB72" s="432"/>
      <c r="DC72" s="434"/>
      <c r="DD72" s="432"/>
      <c r="DE72" s="163"/>
      <c r="DF72" s="432"/>
      <c r="DG72" s="434"/>
      <c r="DH72" s="432"/>
      <c r="DI72" s="163"/>
      <c r="DJ72" s="432"/>
      <c r="DK72" s="434"/>
      <c r="DL72" s="432"/>
      <c r="DM72" s="163"/>
      <c r="DN72" s="432"/>
      <c r="DO72" s="434"/>
      <c r="DP72" s="432"/>
      <c r="DQ72" s="163"/>
      <c r="DR72" s="432"/>
      <c r="DS72" s="434"/>
      <c r="DT72" s="432"/>
      <c r="DU72" s="163"/>
      <c r="DV72" s="432"/>
      <c r="DW72" s="434"/>
      <c r="DX72" s="432"/>
      <c r="DY72" s="432"/>
    </row>
    <row r="73" spans="1:129">
      <c r="A73" s="166"/>
      <c r="B73" s="166"/>
      <c r="C73" s="166"/>
      <c r="D73" s="431"/>
      <c r="E73" s="163"/>
      <c r="F73" s="432"/>
      <c r="G73" s="434"/>
      <c r="H73" s="432"/>
      <c r="I73" s="163"/>
      <c r="J73" s="432"/>
      <c r="K73" s="434"/>
      <c r="L73" s="432"/>
      <c r="M73" s="163"/>
      <c r="N73" s="432"/>
      <c r="O73" s="432"/>
      <c r="P73" s="432"/>
      <c r="Q73" s="163"/>
      <c r="R73" s="432"/>
      <c r="S73" s="432"/>
      <c r="T73" s="432"/>
      <c r="U73" s="163"/>
      <c r="V73" s="432"/>
      <c r="W73" s="434"/>
      <c r="X73" s="432"/>
      <c r="Y73" s="163"/>
      <c r="Z73" s="432"/>
      <c r="AA73" s="434"/>
      <c r="AB73" s="432"/>
      <c r="AC73" s="163"/>
      <c r="AD73" s="432"/>
      <c r="AE73" s="434"/>
      <c r="AF73" s="432"/>
      <c r="AG73" s="163"/>
      <c r="AH73" s="432"/>
      <c r="AI73" s="434"/>
      <c r="AJ73" s="432"/>
      <c r="AK73" s="163"/>
      <c r="AL73" s="432"/>
      <c r="AM73" s="434"/>
      <c r="AN73" s="432"/>
      <c r="AO73" s="163"/>
      <c r="AP73" s="432"/>
      <c r="AQ73" s="434"/>
      <c r="AR73" s="432"/>
      <c r="AS73" s="163"/>
      <c r="AT73" s="432"/>
      <c r="AU73" s="434"/>
      <c r="AV73" s="432"/>
      <c r="AW73" s="163"/>
      <c r="AX73" s="432"/>
      <c r="AY73" s="434"/>
      <c r="AZ73" s="432"/>
      <c r="BA73" s="163"/>
      <c r="BB73" s="432"/>
      <c r="BC73" s="434"/>
      <c r="BD73" s="432"/>
      <c r="BE73" s="163"/>
      <c r="BF73" s="432"/>
      <c r="BG73" s="434"/>
      <c r="BH73" s="432"/>
      <c r="BI73" s="163"/>
      <c r="BJ73" s="432"/>
      <c r="BK73" s="434"/>
      <c r="BL73" s="432"/>
      <c r="BM73" s="163"/>
      <c r="BN73" s="432"/>
      <c r="BO73" s="434"/>
      <c r="BP73" s="432"/>
      <c r="BQ73" s="163"/>
      <c r="BR73" s="432"/>
      <c r="BS73" s="434"/>
      <c r="BT73" s="432"/>
      <c r="BU73" s="163"/>
      <c r="BV73" s="432"/>
      <c r="BW73" s="434"/>
      <c r="BX73" s="432"/>
      <c r="BY73" s="163"/>
      <c r="BZ73" s="432"/>
      <c r="CA73" s="434"/>
      <c r="CB73" s="432"/>
      <c r="CC73" s="163"/>
      <c r="CD73" s="432"/>
      <c r="CE73" s="434"/>
      <c r="CF73" s="432"/>
      <c r="CG73" s="163"/>
      <c r="CH73" s="432"/>
      <c r="CI73" s="434"/>
      <c r="CJ73" s="432"/>
      <c r="CK73" s="163"/>
      <c r="CL73" s="432"/>
      <c r="CM73" s="434"/>
      <c r="CN73" s="432"/>
      <c r="CO73" s="163"/>
      <c r="CP73" s="432"/>
      <c r="CQ73" s="434"/>
      <c r="CR73" s="432"/>
      <c r="CS73" s="163"/>
      <c r="CT73" s="432"/>
      <c r="CU73" s="434"/>
      <c r="CV73" s="432"/>
      <c r="CW73" s="163"/>
      <c r="CX73" s="432"/>
      <c r="CY73" s="434"/>
      <c r="CZ73" s="432"/>
      <c r="DA73" s="163"/>
      <c r="DB73" s="432"/>
      <c r="DC73" s="434"/>
      <c r="DD73" s="432"/>
      <c r="DE73" s="163"/>
      <c r="DF73" s="432"/>
      <c r="DG73" s="434"/>
      <c r="DH73" s="432"/>
      <c r="DI73" s="163"/>
      <c r="DJ73" s="432"/>
      <c r="DK73" s="434"/>
      <c r="DL73" s="432"/>
      <c r="DM73" s="163"/>
      <c r="DN73" s="432"/>
      <c r="DO73" s="434"/>
      <c r="DP73" s="432"/>
      <c r="DQ73" s="163"/>
      <c r="DR73" s="432"/>
      <c r="DS73" s="434"/>
      <c r="DT73" s="432"/>
      <c r="DU73" s="163"/>
      <c r="DV73" s="432"/>
      <c r="DW73" s="434"/>
      <c r="DX73" s="432"/>
      <c r="DY73" s="432"/>
    </row>
    <row r="74" spans="1:129">
      <c r="A74" s="166"/>
      <c r="B74" s="166"/>
      <c r="C74" s="166"/>
      <c r="D74" s="431"/>
      <c r="E74" s="163"/>
      <c r="F74" s="432"/>
      <c r="G74" s="434"/>
      <c r="H74" s="432"/>
      <c r="I74" s="163"/>
      <c r="J74" s="432"/>
      <c r="K74" s="434"/>
      <c r="L74" s="432"/>
      <c r="M74" s="163"/>
      <c r="N74" s="432"/>
      <c r="O74" s="432"/>
      <c r="P74" s="432"/>
      <c r="Q74" s="163"/>
      <c r="R74" s="432"/>
      <c r="S74" s="432"/>
      <c r="T74" s="432"/>
      <c r="U74" s="163"/>
      <c r="V74" s="432"/>
      <c r="W74" s="434"/>
      <c r="X74" s="432"/>
      <c r="Y74" s="163"/>
      <c r="Z74" s="432"/>
      <c r="AA74" s="434"/>
      <c r="AB74" s="432"/>
      <c r="AC74" s="163"/>
      <c r="AD74" s="432"/>
      <c r="AE74" s="434"/>
      <c r="AF74" s="432"/>
      <c r="AG74" s="163"/>
      <c r="AH74" s="432"/>
      <c r="AI74" s="434"/>
      <c r="AJ74" s="432"/>
      <c r="AK74" s="163"/>
      <c r="AL74" s="432"/>
      <c r="AM74" s="434"/>
      <c r="AN74" s="432"/>
      <c r="AO74" s="163"/>
      <c r="AP74" s="432"/>
      <c r="AQ74" s="434"/>
      <c r="AR74" s="432"/>
      <c r="AS74" s="163"/>
      <c r="AT74" s="432"/>
      <c r="AU74" s="434"/>
      <c r="AV74" s="432"/>
      <c r="AW74" s="163"/>
      <c r="AX74" s="432"/>
      <c r="AY74" s="434"/>
      <c r="AZ74" s="432"/>
      <c r="BA74" s="163"/>
      <c r="BB74" s="432"/>
      <c r="BC74" s="434"/>
      <c r="BD74" s="432"/>
      <c r="BE74" s="163"/>
      <c r="BF74" s="432"/>
      <c r="BG74" s="434"/>
      <c r="BH74" s="432"/>
      <c r="BI74" s="163"/>
      <c r="BJ74" s="432"/>
      <c r="BK74" s="434"/>
      <c r="BL74" s="432"/>
      <c r="BM74" s="163"/>
      <c r="BN74" s="432"/>
      <c r="BO74" s="434"/>
      <c r="BP74" s="432"/>
      <c r="BQ74" s="163"/>
      <c r="BR74" s="432"/>
      <c r="BS74" s="434"/>
      <c r="BT74" s="432"/>
      <c r="BU74" s="163"/>
      <c r="BV74" s="432"/>
      <c r="BW74" s="434"/>
      <c r="BX74" s="432"/>
      <c r="BY74" s="163"/>
      <c r="BZ74" s="432"/>
      <c r="CA74" s="434"/>
      <c r="CB74" s="432"/>
      <c r="CC74" s="163"/>
      <c r="CD74" s="432"/>
      <c r="CE74" s="434"/>
      <c r="CF74" s="432"/>
      <c r="CG74" s="163"/>
      <c r="CH74" s="432"/>
      <c r="CI74" s="434"/>
      <c r="CJ74" s="432"/>
      <c r="CK74" s="163"/>
      <c r="CL74" s="432"/>
      <c r="CM74" s="434"/>
      <c r="CN74" s="432"/>
      <c r="CO74" s="163"/>
      <c r="CP74" s="432"/>
      <c r="CQ74" s="434"/>
      <c r="CR74" s="432"/>
      <c r="CS74" s="163"/>
      <c r="CT74" s="432"/>
      <c r="CU74" s="434"/>
      <c r="CV74" s="432"/>
      <c r="CW74" s="163"/>
      <c r="CX74" s="432"/>
      <c r="CY74" s="434"/>
      <c r="CZ74" s="432"/>
      <c r="DA74" s="163"/>
      <c r="DB74" s="432"/>
      <c r="DC74" s="434"/>
      <c r="DD74" s="432"/>
      <c r="DE74" s="163"/>
      <c r="DF74" s="432"/>
      <c r="DG74" s="434"/>
      <c r="DH74" s="432"/>
      <c r="DI74" s="163"/>
      <c r="DJ74" s="432"/>
      <c r="DK74" s="434"/>
      <c r="DL74" s="432"/>
      <c r="DM74" s="163"/>
      <c r="DN74" s="432"/>
      <c r="DO74" s="434"/>
      <c r="DP74" s="432"/>
      <c r="DQ74" s="163"/>
      <c r="DR74" s="432"/>
      <c r="DS74" s="434"/>
      <c r="DT74" s="432"/>
      <c r="DU74" s="163"/>
      <c r="DV74" s="432"/>
      <c r="DW74" s="434"/>
      <c r="DX74" s="432"/>
      <c r="DY74" s="432"/>
    </row>
    <row r="75" spans="1:129">
      <c r="A75" s="166"/>
      <c r="B75" s="166"/>
      <c r="C75" s="166"/>
      <c r="D75" s="431"/>
      <c r="E75" s="163"/>
      <c r="F75" s="432"/>
      <c r="G75" s="434"/>
      <c r="H75" s="432"/>
      <c r="I75" s="163"/>
      <c r="J75" s="432"/>
      <c r="K75" s="434"/>
      <c r="L75" s="432"/>
      <c r="M75" s="163"/>
      <c r="N75" s="432"/>
      <c r="O75" s="432"/>
      <c r="P75" s="432"/>
      <c r="Q75" s="163"/>
      <c r="R75" s="432"/>
      <c r="S75" s="432"/>
      <c r="T75" s="432"/>
      <c r="U75" s="163"/>
      <c r="V75" s="432"/>
      <c r="W75" s="434"/>
      <c r="X75" s="432"/>
      <c r="Y75" s="163"/>
      <c r="Z75" s="432"/>
      <c r="AA75" s="434"/>
      <c r="AB75" s="432"/>
      <c r="AC75" s="163"/>
      <c r="AD75" s="432"/>
      <c r="AE75" s="434"/>
      <c r="AF75" s="432"/>
      <c r="AG75" s="163"/>
      <c r="AH75" s="432"/>
      <c r="AI75" s="434"/>
      <c r="AJ75" s="432"/>
      <c r="AK75" s="163"/>
      <c r="AL75" s="432"/>
      <c r="AM75" s="434"/>
      <c r="AN75" s="432"/>
      <c r="AO75" s="163"/>
      <c r="AP75" s="432"/>
      <c r="AQ75" s="434"/>
      <c r="AR75" s="432"/>
      <c r="AS75" s="163"/>
      <c r="AT75" s="432"/>
      <c r="AU75" s="434"/>
      <c r="AV75" s="432"/>
      <c r="AW75" s="163"/>
      <c r="AX75" s="432"/>
      <c r="AY75" s="434"/>
      <c r="AZ75" s="432"/>
      <c r="BA75" s="163"/>
      <c r="BB75" s="432"/>
      <c r="BC75" s="434"/>
      <c r="BD75" s="432"/>
      <c r="BE75" s="163"/>
      <c r="BF75" s="432"/>
      <c r="BG75" s="434"/>
      <c r="BH75" s="432"/>
      <c r="BI75" s="163"/>
      <c r="BJ75" s="432"/>
      <c r="BK75" s="434"/>
      <c r="BL75" s="432"/>
      <c r="BM75" s="163"/>
      <c r="BN75" s="432"/>
      <c r="BO75" s="434"/>
      <c r="BP75" s="432"/>
      <c r="BQ75" s="163"/>
      <c r="BR75" s="432"/>
      <c r="BS75" s="434"/>
      <c r="BT75" s="432"/>
      <c r="BU75" s="163"/>
      <c r="BV75" s="432"/>
      <c r="BW75" s="434"/>
      <c r="BX75" s="432"/>
      <c r="BY75" s="163"/>
      <c r="BZ75" s="432"/>
      <c r="CA75" s="434"/>
      <c r="CB75" s="432"/>
      <c r="CC75" s="163"/>
      <c r="CD75" s="432"/>
      <c r="CE75" s="434"/>
      <c r="CF75" s="432"/>
      <c r="CG75" s="163"/>
      <c r="CH75" s="432"/>
      <c r="CI75" s="434"/>
      <c r="CJ75" s="432"/>
      <c r="CK75" s="163"/>
      <c r="CL75" s="432"/>
      <c r="CM75" s="434"/>
      <c r="CN75" s="432"/>
      <c r="CO75" s="163"/>
      <c r="CP75" s="432"/>
      <c r="CQ75" s="434"/>
      <c r="CR75" s="432"/>
      <c r="CS75" s="163"/>
      <c r="CT75" s="432"/>
      <c r="CU75" s="434"/>
      <c r="CV75" s="432"/>
      <c r="CW75" s="163"/>
      <c r="CX75" s="432"/>
      <c r="CY75" s="434"/>
      <c r="CZ75" s="432"/>
      <c r="DA75" s="163"/>
      <c r="DB75" s="432"/>
      <c r="DC75" s="434"/>
      <c r="DD75" s="432"/>
      <c r="DE75" s="163"/>
      <c r="DF75" s="432"/>
      <c r="DG75" s="434"/>
      <c r="DH75" s="432"/>
      <c r="DI75" s="163"/>
      <c r="DJ75" s="432"/>
      <c r="DK75" s="434"/>
      <c r="DL75" s="432"/>
      <c r="DM75" s="163"/>
      <c r="DN75" s="432"/>
      <c r="DO75" s="434"/>
      <c r="DP75" s="432"/>
      <c r="DQ75" s="163"/>
      <c r="DR75" s="432"/>
      <c r="DS75" s="434"/>
      <c r="DT75" s="432"/>
      <c r="DU75" s="163"/>
      <c r="DV75" s="432"/>
      <c r="DW75" s="434"/>
      <c r="DX75" s="432"/>
      <c r="DY75" s="432"/>
    </row>
    <row r="76" spans="1:129">
      <c r="A76" s="166"/>
      <c r="B76" s="166"/>
      <c r="C76" s="166"/>
      <c r="D76" s="431"/>
      <c r="E76" s="163"/>
      <c r="F76" s="432"/>
      <c r="G76" s="434"/>
      <c r="H76" s="432"/>
      <c r="I76" s="163"/>
      <c r="J76" s="432"/>
      <c r="K76" s="434"/>
      <c r="L76" s="432"/>
      <c r="M76" s="163"/>
      <c r="N76" s="432"/>
      <c r="O76" s="432"/>
      <c r="P76" s="432"/>
      <c r="Q76" s="163"/>
      <c r="R76" s="432"/>
      <c r="S76" s="432"/>
      <c r="T76" s="432"/>
      <c r="U76" s="163"/>
      <c r="V76" s="432"/>
      <c r="W76" s="434"/>
      <c r="X76" s="432"/>
      <c r="Y76" s="163"/>
      <c r="Z76" s="432"/>
      <c r="AA76" s="434"/>
      <c r="AB76" s="432"/>
      <c r="AC76" s="163"/>
      <c r="AD76" s="432"/>
      <c r="AE76" s="434"/>
      <c r="AF76" s="432"/>
      <c r="AG76" s="163"/>
      <c r="AH76" s="432"/>
      <c r="AI76" s="434"/>
      <c r="AJ76" s="432"/>
      <c r="AK76" s="163"/>
      <c r="AL76" s="432"/>
      <c r="AM76" s="434"/>
      <c r="AN76" s="432"/>
      <c r="AO76" s="163"/>
      <c r="AP76" s="432"/>
      <c r="AQ76" s="434"/>
      <c r="AR76" s="432"/>
      <c r="AS76" s="163"/>
      <c r="AT76" s="432"/>
      <c r="AU76" s="434"/>
      <c r="AV76" s="432"/>
      <c r="AW76" s="163"/>
      <c r="AX76" s="432"/>
      <c r="AY76" s="434"/>
      <c r="AZ76" s="432"/>
      <c r="BA76" s="163"/>
      <c r="BB76" s="432"/>
      <c r="BC76" s="434"/>
      <c r="BD76" s="432"/>
      <c r="BE76" s="163"/>
      <c r="BF76" s="432"/>
      <c r="BG76" s="434"/>
      <c r="BH76" s="432"/>
      <c r="BI76" s="163"/>
      <c r="BJ76" s="432"/>
      <c r="BK76" s="434"/>
      <c r="BL76" s="432"/>
      <c r="BM76" s="163"/>
      <c r="BN76" s="432"/>
      <c r="BO76" s="434"/>
      <c r="BP76" s="432"/>
      <c r="BQ76" s="163"/>
      <c r="BR76" s="432"/>
      <c r="BS76" s="434"/>
      <c r="BT76" s="432"/>
      <c r="BU76" s="163"/>
      <c r="BV76" s="432"/>
      <c r="BW76" s="434"/>
      <c r="BX76" s="432"/>
      <c r="BY76" s="163"/>
      <c r="BZ76" s="432"/>
      <c r="CA76" s="434"/>
      <c r="CB76" s="432"/>
      <c r="CC76" s="163"/>
      <c r="CD76" s="432"/>
      <c r="CE76" s="434"/>
      <c r="CF76" s="432"/>
      <c r="CG76" s="163"/>
      <c r="CH76" s="432"/>
      <c r="CI76" s="434"/>
      <c r="CJ76" s="432"/>
      <c r="CK76" s="163"/>
      <c r="CL76" s="432"/>
      <c r="CM76" s="434"/>
      <c r="CN76" s="432"/>
      <c r="CO76" s="163"/>
      <c r="CP76" s="432"/>
      <c r="CQ76" s="434"/>
      <c r="CR76" s="432"/>
      <c r="CS76" s="163"/>
      <c r="CT76" s="432"/>
      <c r="CU76" s="434"/>
      <c r="CV76" s="432"/>
      <c r="CW76" s="163"/>
      <c r="CX76" s="432"/>
      <c r="CY76" s="434"/>
      <c r="CZ76" s="432"/>
      <c r="DA76" s="163"/>
      <c r="DB76" s="432"/>
      <c r="DC76" s="434"/>
      <c r="DD76" s="432"/>
      <c r="DE76" s="163"/>
      <c r="DF76" s="432"/>
      <c r="DG76" s="434"/>
      <c r="DH76" s="432"/>
      <c r="DI76" s="163"/>
      <c r="DJ76" s="432"/>
      <c r="DK76" s="434"/>
      <c r="DL76" s="432"/>
      <c r="DM76" s="163"/>
      <c r="DN76" s="432"/>
      <c r="DO76" s="434"/>
      <c r="DP76" s="432"/>
      <c r="DQ76" s="163"/>
      <c r="DR76" s="432"/>
      <c r="DS76" s="434"/>
      <c r="DT76" s="432"/>
      <c r="DU76" s="163"/>
      <c r="DV76" s="432"/>
      <c r="DW76" s="434"/>
      <c r="DX76" s="432"/>
      <c r="DY76" s="432"/>
    </row>
    <row r="77" spans="1:129">
      <c r="A77" s="166"/>
      <c r="B77" s="166"/>
      <c r="C77" s="435"/>
      <c r="D77" s="435"/>
      <c r="E77" s="163"/>
      <c r="F77" s="432"/>
      <c r="G77" s="434"/>
      <c r="H77" s="432"/>
      <c r="I77" s="163"/>
      <c r="J77" s="432"/>
      <c r="K77" s="434"/>
      <c r="L77" s="432"/>
      <c r="M77" s="163"/>
      <c r="N77" s="432"/>
      <c r="O77" s="432"/>
      <c r="P77" s="432"/>
      <c r="Q77" s="163"/>
      <c r="R77" s="432"/>
      <c r="S77" s="432"/>
      <c r="T77" s="432"/>
      <c r="U77" s="163"/>
      <c r="V77" s="432"/>
      <c r="W77" s="434"/>
      <c r="X77" s="432"/>
      <c r="Y77" s="163"/>
      <c r="Z77" s="432"/>
      <c r="AA77" s="434"/>
      <c r="AB77" s="432"/>
      <c r="AC77" s="163"/>
      <c r="AD77" s="432"/>
      <c r="AE77" s="434"/>
      <c r="AF77" s="432"/>
      <c r="AG77" s="163"/>
      <c r="AH77" s="432"/>
      <c r="AI77" s="434"/>
      <c r="AJ77" s="432"/>
      <c r="AK77" s="163"/>
      <c r="AL77" s="432"/>
      <c r="AM77" s="434"/>
      <c r="AN77" s="432"/>
      <c r="AO77" s="163"/>
      <c r="AP77" s="432"/>
      <c r="AQ77" s="434"/>
      <c r="AR77" s="432"/>
      <c r="AS77" s="163"/>
      <c r="AT77" s="432"/>
      <c r="AU77" s="434"/>
      <c r="AV77" s="432"/>
      <c r="AW77" s="163"/>
      <c r="AX77" s="432"/>
      <c r="AY77" s="434"/>
      <c r="AZ77" s="432"/>
      <c r="BA77" s="163"/>
      <c r="BB77" s="432"/>
      <c r="BC77" s="434"/>
      <c r="BD77" s="432"/>
      <c r="BE77" s="163"/>
      <c r="BF77" s="432"/>
      <c r="BG77" s="434"/>
      <c r="BH77" s="432"/>
      <c r="BI77" s="163"/>
      <c r="BJ77" s="432"/>
      <c r="BK77" s="434"/>
      <c r="BL77" s="432"/>
      <c r="BM77" s="163"/>
      <c r="BN77" s="432"/>
      <c r="BO77" s="434"/>
      <c r="BP77" s="432"/>
      <c r="BQ77" s="163"/>
      <c r="BR77" s="432"/>
      <c r="BS77" s="434"/>
      <c r="BT77" s="432"/>
      <c r="BU77" s="163"/>
      <c r="BV77" s="432"/>
      <c r="BW77" s="434"/>
      <c r="BX77" s="432"/>
      <c r="BY77" s="163"/>
      <c r="BZ77" s="432"/>
      <c r="CA77" s="434"/>
      <c r="CB77" s="432"/>
      <c r="CC77" s="163"/>
      <c r="CD77" s="432"/>
      <c r="CE77" s="434"/>
      <c r="CF77" s="432"/>
      <c r="CG77" s="163"/>
      <c r="CH77" s="432"/>
      <c r="CI77" s="434"/>
      <c r="CJ77" s="432"/>
      <c r="CK77" s="163"/>
      <c r="CL77" s="432"/>
      <c r="CM77" s="434"/>
      <c r="CN77" s="432"/>
      <c r="CO77" s="163"/>
      <c r="CP77" s="432"/>
      <c r="CQ77" s="434"/>
      <c r="CR77" s="432"/>
      <c r="CS77" s="163"/>
      <c r="CT77" s="432"/>
      <c r="CU77" s="434"/>
      <c r="CV77" s="432"/>
      <c r="CW77" s="163"/>
      <c r="CX77" s="432"/>
      <c r="CY77" s="434"/>
      <c r="CZ77" s="432"/>
      <c r="DA77" s="163"/>
      <c r="DB77" s="432"/>
      <c r="DC77" s="434"/>
      <c r="DD77" s="432"/>
      <c r="DE77" s="163"/>
      <c r="DF77" s="432"/>
      <c r="DG77" s="434"/>
      <c r="DH77" s="432"/>
      <c r="DI77" s="163"/>
      <c r="DJ77" s="432"/>
      <c r="DK77" s="434"/>
      <c r="DL77" s="432"/>
      <c r="DM77" s="163"/>
      <c r="DN77" s="432"/>
      <c r="DO77" s="434"/>
      <c r="DP77" s="432"/>
      <c r="DQ77" s="163"/>
      <c r="DR77" s="432"/>
      <c r="DS77" s="434"/>
      <c r="DT77" s="432"/>
      <c r="DU77" s="163"/>
      <c r="DV77" s="432"/>
      <c r="DW77" s="434"/>
      <c r="DX77" s="432"/>
      <c r="DY77" s="432"/>
    </row>
    <row r="78" spans="1:129">
      <c r="A78" s="166"/>
      <c r="B78" s="166"/>
      <c r="C78" s="166"/>
      <c r="D78" s="435"/>
      <c r="E78" s="163"/>
      <c r="F78" s="432"/>
      <c r="G78" s="434"/>
      <c r="H78" s="432"/>
      <c r="I78" s="163"/>
      <c r="J78" s="432"/>
      <c r="K78" s="434"/>
      <c r="L78" s="432"/>
      <c r="M78" s="163"/>
      <c r="N78" s="432"/>
      <c r="O78" s="432"/>
      <c r="P78" s="432"/>
      <c r="Q78" s="163"/>
      <c r="R78" s="432"/>
      <c r="S78" s="432"/>
      <c r="T78" s="432"/>
      <c r="U78" s="163"/>
      <c r="V78" s="432"/>
      <c r="W78" s="434"/>
      <c r="X78" s="432"/>
      <c r="Y78" s="163"/>
      <c r="Z78" s="432"/>
      <c r="AA78" s="434"/>
      <c r="AB78" s="432"/>
      <c r="AC78" s="163"/>
      <c r="AD78" s="432"/>
      <c r="AE78" s="434"/>
      <c r="AF78" s="432"/>
      <c r="AG78" s="163"/>
      <c r="AH78" s="432"/>
      <c r="AI78" s="434"/>
      <c r="AJ78" s="432"/>
      <c r="AK78" s="163"/>
      <c r="AL78" s="432"/>
      <c r="AM78" s="434"/>
      <c r="AN78" s="432"/>
      <c r="AO78" s="163"/>
      <c r="AP78" s="432"/>
      <c r="AQ78" s="434"/>
      <c r="AR78" s="432"/>
      <c r="AS78" s="163"/>
      <c r="AT78" s="432"/>
      <c r="AU78" s="434"/>
      <c r="AV78" s="432"/>
      <c r="AW78" s="163"/>
      <c r="AX78" s="432"/>
      <c r="AY78" s="434"/>
      <c r="AZ78" s="432"/>
      <c r="BA78" s="163"/>
      <c r="BB78" s="432"/>
      <c r="BC78" s="434"/>
      <c r="BD78" s="432"/>
      <c r="BE78" s="163"/>
      <c r="BF78" s="432"/>
      <c r="BG78" s="434"/>
      <c r="BH78" s="432"/>
      <c r="BI78" s="163"/>
      <c r="BJ78" s="432"/>
      <c r="BK78" s="434"/>
      <c r="BL78" s="432"/>
      <c r="BM78" s="163"/>
      <c r="BN78" s="432"/>
      <c r="BO78" s="434"/>
      <c r="BP78" s="432"/>
      <c r="BQ78" s="163"/>
      <c r="BR78" s="432"/>
      <c r="BS78" s="434"/>
      <c r="BT78" s="432"/>
      <c r="BU78" s="163"/>
      <c r="BV78" s="432"/>
      <c r="BW78" s="434"/>
      <c r="BX78" s="432"/>
      <c r="BY78" s="163"/>
      <c r="BZ78" s="432"/>
      <c r="CA78" s="434"/>
      <c r="CB78" s="432"/>
      <c r="CC78" s="163"/>
      <c r="CD78" s="432"/>
      <c r="CE78" s="434"/>
      <c r="CF78" s="432"/>
      <c r="CG78" s="163"/>
      <c r="CH78" s="432"/>
      <c r="CI78" s="434"/>
      <c r="CJ78" s="432"/>
      <c r="CK78" s="163"/>
      <c r="CL78" s="432"/>
      <c r="CM78" s="434"/>
      <c r="CN78" s="432"/>
      <c r="CO78" s="163"/>
      <c r="CP78" s="432"/>
      <c r="CQ78" s="434"/>
      <c r="CR78" s="432"/>
      <c r="CS78" s="163"/>
      <c r="CT78" s="432"/>
      <c r="CU78" s="434"/>
      <c r="CV78" s="432"/>
      <c r="CW78" s="163"/>
      <c r="CX78" s="432"/>
      <c r="CY78" s="434"/>
      <c r="CZ78" s="432"/>
      <c r="DA78" s="163"/>
      <c r="DB78" s="432"/>
      <c r="DC78" s="434"/>
      <c r="DD78" s="432"/>
      <c r="DE78" s="163"/>
      <c r="DF78" s="432"/>
      <c r="DG78" s="434"/>
      <c r="DH78" s="432"/>
      <c r="DI78" s="163"/>
      <c r="DJ78" s="432"/>
      <c r="DK78" s="434"/>
      <c r="DL78" s="432"/>
      <c r="DM78" s="163"/>
      <c r="DN78" s="432"/>
      <c r="DO78" s="434"/>
      <c r="DP78" s="432"/>
      <c r="DQ78" s="163"/>
      <c r="DR78" s="432"/>
      <c r="DS78" s="434"/>
      <c r="DT78" s="432"/>
      <c r="DU78" s="163"/>
      <c r="DV78" s="432"/>
      <c r="DW78" s="434"/>
      <c r="DX78" s="432"/>
      <c r="DY78" s="432"/>
    </row>
    <row r="79" spans="1:129">
      <c r="A79" s="166"/>
      <c r="B79" s="166"/>
      <c r="C79" s="166"/>
      <c r="D79" s="435"/>
      <c r="E79" s="163"/>
      <c r="F79" s="432"/>
      <c r="G79" s="434"/>
      <c r="H79" s="432"/>
      <c r="I79" s="163"/>
      <c r="J79" s="432"/>
      <c r="K79" s="434"/>
      <c r="L79" s="432"/>
      <c r="M79" s="163"/>
      <c r="N79" s="432"/>
      <c r="O79" s="432"/>
      <c r="P79" s="432"/>
      <c r="Q79" s="163"/>
      <c r="R79" s="432"/>
      <c r="S79" s="432"/>
      <c r="T79" s="432"/>
      <c r="U79" s="163"/>
      <c r="V79" s="432"/>
      <c r="W79" s="434"/>
      <c r="X79" s="432"/>
      <c r="Y79" s="163"/>
      <c r="Z79" s="432"/>
      <c r="AA79" s="434"/>
      <c r="AB79" s="432"/>
      <c r="AC79" s="163"/>
      <c r="AD79" s="432"/>
      <c r="AE79" s="434"/>
      <c r="AF79" s="432"/>
      <c r="AG79" s="163"/>
      <c r="AH79" s="432"/>
      <c r="AI79" s="434"/>
      <c r="AJ79" s="432"/>
      <c r="AK79" s="163"/>
      <c r="AL79" s="432"/>
      <c r="AM79" s="434"/>
      <c r="AN79" s="432"/>
      <c r="AO79" s="163"/>
      <c r="AP79" s="432"/>
      <c r="AQ79" s="434"/>
      <c r="AR79" s="432"/>
      <c r="AS79" s="163"/>
      <c r="AT79" s="432"/>
      <c r="AU79" s="434"/>
      <c r="AV79" s="432"/>
      <c r="AW79" s="163"/>
      <c r="AX79" s="432"/>
      <c r="AY79" s="434"/>
      <c r="AZ79" s="432"/>
      <c r="BA79" s="163"/>
      <c r="BB79" s="432"/>
      <c r="BC79" s="434"/>
      <c r="BD79" s="432"/>
      <c r="BE79" s="163"/>
      <c r="BF79" s="432"/>
      <c r="BG79" s="434"/>
      <c r="BH79" s="432"/>
      <c r="BI79" s="163"/>
      <c r="BJ79" s="432"/>
      <c r="BK79" s="434"/>
      <c r="BL79" s="432"/>
      <c r="BM79" s="163"/>
      <c r="BN79" s="432"/>
      <c r="BO79" s="434"/>
      <c r="BP79" s="432"/>
      <c r="BQ79" s="163"/>
      <c r="BR79" s="432"/>
      <c r="BS79" s="434"/>
      <c r="BT79" s="432"/>
      <c r="BU79" s="163"/>
      <c r="BV79" s="432"/>
      <c r="BW79" s="434"/>
      <c r="BX79" s="432"/>
      <c r="BY79" s="163"/>
      <c r="BZ79" s="432"/>
      <c r="CA79" s="434"/>
      <c r="CB79" s="432"/>
      <c r="CC79" s="163"/>
      <c r="CD79" s="432"/>
      <c r="CE79" s="434"/>
      <c r="CF79" s="432"/>
      <c r="CG79" s="163"/>
      <c r="CH79" s="432"/>
      <c r="CI79" s="434"/>
      <c r="CJ79" s="432"/>
      <c r="CK79" s="163"/>
      <c r="CL79" s="432"/>
      <c r="CM79" s="434"/>
      <c r="CN79" s="432"/>
      <c r="CO79" s="163"/>
      <c r="CP79" s="432"/>
      <c r="CQ79" s="434"/>
      <c r="CR79" s="432"/>
      <c r="CS79" s="163"/>
      <c r="CT79" s="432"/>
      <c r="CU79" s="434"/>
      <c r="CV79" s="432"/>
      <c r="CW79" s="163"/>
      <c r="CX79" s="432"/>
      <c r="CY79" s="434"/>
      <c r="CZ79" s="432"/>
      <c r="DA79" s="163"/>
      <c r="DB79" s="432"/>
      <c r="DC79" s="434"/>
      <c r="DD79" s="432"/>
      <c r="DE79" s="163"/>
      <c r="DF79" s="432"/>
      <c r="DG79" s="434"/>
      <c r="DH79" s="432"/>
      <c r="DI79" s="163"/>
      <c r="DJ79" s="432"/>
      <c r="DK79" s="434"/>
      <c r="DL79" s="432"/>
      <c r="DM79" s="163"/>
      <c r="DN79" s="432"/>
      <c r="DO79" s="434"/>
      <c r="DP79" s="432"/>
      <c r="DQ79" s="163"/>
      <c r="DR79" s="432"/>
      <c r="DS79" s="434"/>
      <c r="DT79" s="432"/>
      <c r="DU79" s="163"/>
      <c r="DV79" s="432"/>
      <c r="DW79" s="434"/>
      <c r="DX79" s="432"/>
      <c r="DY79" s="432"/>
    </row>
    <row r="80" spans="1:129">
      <c r="A80" s="166"/>
      <c r="B80" s="166"/>
      <c r="C80" s="166"/>
      <c r="D80" s="435"/>
      <c r="E80" s="163"/>
      <c r="F80" s="432"/>
      <c r="G80" s="434"/>
      <c r="H80" s="432"/>
      <c r="I80" s="163"/>
      <c r="J80" s="432"/>
      <c r="K80" s="434"/>
      <c r="L80" s="432"/>
      <c r="M80" s="163"/>
      <c r="N80" s="432"/>
      <c r="O80" s="432"/>
      <c r="P80" s="432"/>
      <c r="Q80" s="163"/>
      <c r="R80" s="432"/>
      <c r="S80" s="432"/>
      <c r="T80" s="432"/>
      <c r="U80" s="163"/>
      <c r="V80" s="432"/>
      <c r="W80" s="434"/>
      <c r="X80" s="432"/>
      <c r="Y80" s="163"/>
      <c r="Z80" s="432"/>
      <c r="AA80" s="434"/>
      <c r="AB80" s="432"/>
      <c r="AC80" s="163"/>
      <c r="AD80" s="432"/>
      <c r="AE80" s="434"/>
      <c r="AF80" s="432"/>
      <c r="AG80" s="163"/>
      <c r="AH80" s="432"/>
      <c r="AI80" s="434"/>
      <c r="AJ80" s="432"/>
      <c r="AK80" s="163"/>
      <c r="AL80" s="432"/>
      <c r="AM80" s="434"/>
      <c r="AN80" s="432"/>
      <c r="AO80" s="163"/>
      <c r="AP80" s="432"/>
      <c r="AQ80" s="434"/>
      <c r="AR80" s="432"/>
      <c r="AS80" s="163"/>
      <c r="AT80" s="432"/>
      <c r="AU80" s="434"/>
      <c r="AV80" s="432"/>
      <c r="AW80" s="163"/>
      <c r="AX80" s="432"/>
      <c r="AY80" s="434"/>
      <c r="AZ80" s="432"/>
      <c r="BA80" s="163"/>
      <c r="BB80" s="432"/>
      <c r="BC80" s="434"/>
      <c r="BD80" s="432"/>
      <c r="BE80" s="163"/>
      <c r="BF80" s="432"/>
      <c r="BG80" s="434"/>
      <c r="BH80" s="432"/>
      <c r="BI80" s="163"/>
      <c r="BJ80" s="432"/>
      <c r="BK80" s="434"/>
      <c r="BL80" s="432"/>
      <c r="BM80" s="163"/>
      <c r="BN80" s="432"/>
      <c r="BO80" s="434"/>
      <c r="BP80" s="432"/>
      <c r="BQ80" s="163"/>
      <c r="BR80" s="432"/>
      <c r="BS80" s="434"/>
      <c r="BT80" s="432"/>
      <c r="BU80" s="163"/>
      <c r="BV80" s="432"/>
      <c r="BW80" s="434"/>
      <c r="BX80" s="432"/>
      <c r="BY80" s="163"/>
      <c r="BZ80" s="432"/>
      <c r="CA80" s="434"/>
      <c r="CB80" s="432"/>
      <c r="CC80" s="163"/>
      <c r="CD80" s="432"/>
      <c r="CE80" s="434"/>
      <c r="CF80" s="432"/>
      <c r="CG80" s="163"/>
      <c r="CH80" s="432"/>
      <c r="CI80" s="434"/>
      <c r="CJ80" s="432"/>
      <c r="CK80" s="163"/>
      <c r="CL80" s="432"/>
      <c r="CM80" s="434"/>
      <c r="CN80" s="432"/>
      <c r="CO80" s="163"/>
      <c r="CP80" s="432"/>
      <c r="CQ80" s="434"/>
      <c r="CR80" s="432"/>
      <c r="CS80" s="163"/>
      <c r="CT80" s="432"/>
      <c r="CU80" s="434"/>
      <c r="CV80" s="432"/>
      <c r="CW80" s="163"/>
      <c r="CX80" s="432"/>
      <c r="CY80" s="434"/>
      <c r="CZ80" s="432"/>
      <c r="DA80" s="163"/>
      <c r="DB80" s="432"/>
      <c r="DC80" s="434"/>
      <c r="DD80" s="432"/>
      <c r="DE80" s="163"/>
      <c r="DF80" s="432"/>
      <c r="DG80" s="434"/>
      <c r="DH80" s="432"/>
      <c r="DI80" s="163"/>
      <c r="DJ80" s="432"/>
      <c r="DK80" s="434"/>
      <c r="DL80" s="432"/>
      <c r="DM80" s="163"/>
      <c r="DN80" s="432"/>
      <c r="DO80" s="434"/>
      <c r="DP80" s="432"/>
      <c r="DQ80" s="163"/>
      <c r="DR80" s="432"/>
      <c r="DS80" s="434"/>
      <c r="DT80" s="432"/>
      <c r="DU80" s="163"/>
      <c r="DV80" s="432"/>
      <c r="DW80" s="434"/>
      <c r="DX80" s="432"/>
      <c r="DY80" s="432"/>
    </row>
    <row r="81" spans="1:129">
      <c r="A81" s="166"/>
      <c r="B81" s="166"/>
      <c r="C81" s="166"/>
      <c r="D81" s="435"/>
      <c r="E81" s="163"/>
      <c r="F81" s="432"/>
      <c r="G81" s="163"/>
      <c r="H81" s="432"/>
      <c r="I81" s="163"/>
      <c r="J81" s="432"/>
      <c r="K81" s="434"/>
      <c r="L81" s="432"/>
      <c r="M81" s="163"/>
      <c r="N81" s="432"/>
      <c r="O81" s="432"/>
      <c r="P81" s="432"/>
      <c r="Q81" s="163"/>
      <c r="R81" s="432"/>
      <c r="S81" s="432"/>
      <c r="T81" s="432"/>
      <c r="U81" s="163"/>
      <c r="V81" s="432"/>
      <c r="W81" s="434"/>
      <c r="X81" s="432"/>
      <c r="Y81" s="163"/>
      <c r="Z81" s="432"/>
      <c r="AA81" s="434"/>
      <c r="AB81" s="432"/>
      <c r="AC81" s="163"/>
      <c r="AD81" s="432"/>
      <c r="AE81" s="434"/>
      <c r="AF81" s="432"/>
      <c r="AG81" s="163"/>
      <c r="AH81" s="432"/>
      <c r="AI81" s="434"/>
      <c r="AJ81" s="432"/>
      <c r="AK81" s="163"/>
      <c r="AL81" s="432"/>
      <c r="AM81" s="434"/>
      <c r="AN81" s="432"/>
      <c r="AO81" s="163"/>
      <c r="AP81" s="432"/>
      <c r="AQ81" s="434"/>
      <c r="AR81" s="432"/>
      <c r="AS81" s="163"/>
      <c r="AT81" s="432"/>
      <c r="AU81" s="434"/>
      <c r="AV81" s="432"/>
      <c r="AW81" s="163"/>
      <c r="AX81" s="432"/>
      <c r="AY81" s="434"/>
      <c r="AZ81" s="432"/>
      <c r="BA81" s="163"/>
      <c r="BB81" s="432"/>
      <c r="BC81" s="434"/>
      <c r="BD81" s="432"/>
      <c r="BE81" s="163"/>
      <c r="BF81" s="432"/>
      <c r="BG81" s="434"/>
      <c r="BH81" s="432"/>
      <c r="BI81" s="163"/>
      <c r="BJ81" s="432"/>
      <c r="BK81" s="434"/>
      <c r="BL81" s="432"/>
      <c r="BM81" s="163"/>
      <c r="BN81" s="432"/>
      <c r="BO81" s="434"/>
      <c r="BP81" s="432"/>
      <c r="BQ81" s="163"/>
      <c r="BR81" s="432"/>
      <c r="BS81" s="434"/>
      <c r="BT81" s="432"/>
      <c r="BU81" s="163"/>
      <c r="BV81" s="432"/>
      <c r="BW81" s="434"/>
      <c r="BX81" s="432"/>
      <c r="BY81" s="163"/>
      <c r="BZ81" s="432"/>
      <c r="CA81" s="434"/>
      <c r="CB81" s="432"/>
      <c r="CC81" s="163"/>
      <c r="CD81" s="432"/>
      <c r="CE81" s="434"/>
      <c r="CF81" s="432"/>
      <c r="CG81" s="163"/>
      <c r="CH81" s="432"/>
      <c r="CI81" s="434"/>
      <c r="CJ81" s="432"/>
      <c r="CK81" s="163"/>
      <c r="CL81" s="432"/>
      <c r="CM81" s="434"/>
      <c r="CN81" s="432"/>
      <c r="CO81" s="163"/>
      <c r="CP81" s="432"/>
      <c r="CQ81" s="434"/>
      <c r="CR81" s="432"/>
      <c r="CS81" s="163"/>
      <c r="CT81" s="432"/>
      <c r="CU81" s="434"/>
      <c r="CV81" s="432"/>
      <c r="CW81" s="163"/>
      <c r="CX81" s="432"/>
      <c r="CY81" s="434"/>
      <c r="CZ81" s="432"/>
      <c r="DA81" s="163"/>
      <c r="DB81" s="432"/>
      <c r="DC81" s="434"/>
      <c r="DD81" s="432"/>
      <c r="DE81" s="163"/>
      <c r="DF81" s="432"/>
      <c r="DG81" s="434"/>
      <c r="DH81" s="432"/>
      <c r="DI81" s="163"/>
      <c r="DJ81" s="432"/>
      <c r="DK81" s="434"/>
      <c r="DL81" s="432"/>
      <c r="DM81" s="163"/>
      <c r="DN81" s="432"/>
      <c r="DO81" s="434"/>
      <c r="DP81" s="432"/>
      <c r="DQ81" s="163"/>
      <c r="DR81" s="432"/>
      <c r="DS81" s="434"/>
      <c r="DT81" s="432"/>
      <c r="DU81" s="163"/>
      <c r="DV81" s="432"/>
      <c r="DW81" s="434"/>
      <c r="DX81" s="432"/>
      <c r="DY81" s="432"/>
    </row>
    <row r="82" spans="1:129">
      <c r="A82" s="166"/>
      <c r="B82" s="166"/>
      <c r="C82" s="435"/>
      <c r="D82" s="435"/>
      <c r="F82" s="432"/>
      <c r="G82" s="434"/>
      <c r="H82" s="432"/>
      <c r="I82" s="163"/>
      <c r="J82" s="432"/>
      <c r="K82" s="434"/>
      <c r="L82" s="432"/>
      <c r="M82" s="163"/>
      <c r="N82" s="432"/>
      <c r="O82" s="432"/>
      <c r="P82" s="432"/>
      <c r="Q82" s="163"/>
      <c r="R82" s="432"/>
      <c r="S82" s="432"/>
      <c r="T82" s="432"/>
      <c r="U82" s="163"/>
      <c r="V82" s="432"/>
      <c r="W82" s="434"/>
      <c r="X82" s="432"/>
      <c r="Y82" s="163"/>
      <c r="Z82" s="432"/>
      <c r="AA82" s="434"/>
      <c r="AB82" s="432"/>
      <c r="AC82" s="163"/>
      <c r="AD82" s="432"/>
      <c r="AE82" s="434"/>
      <c r="AF82" s="432"/>
      <c r="AG82" s="163"/>
      <c r="AH82" s="432"/>
      <c r="AI82" s="434"/>
      <c r="AJ82" s="432"/>
      <c r="AK82" s="163"/>
      <c r="AL82" s="432"/>
      <c r="AM82" s="434"/>
      <c r="AN82" s="432"/>
      <c r="AO82" s="163"/>
      <c r="AP82" s="432"/>
      <c r="AQ82" s="434"/>
      <c r="AR82" s="432"/>
      <c r="AS82" s="163"/>
      <c r="AT82" s="432"/>
      <c r="AU82" s="434"/>
      <c r="AV82" s="432"/>
      <c r="AW82" s="163"/>
      <c r="AX82" s="432"/>
      <c r="AY82" s="434"/>
      <c r="AZ82" s="432"/>
      <c r="BA82" s="163"/>
      <c r="BB82" s="432"/>
      <c r="BC82" s="434"/>
      <c r="BD82" s="432"/>
      <c r="BE82" s="163"/>
      <c r="BF82" s="432"/>
      <c r="BG82" s="434"/>
      <c r="BH82" s="432"/>
      <c r="BI82" s="163"/>
      <c r="BJ82" s="432"/>
      <c r="BK82" s="434"/>
      <c r="BL82" s="432"/>
      <c r="BM82" s="163"/>
      <c r="BN82" s="432"/>
      <c r="BO82" s="434"/>
      <c r="BP82" s="432"/>
      <c r="BQ82" s="163"/>
      <c r="BR82" s="432"/>
      <c r="BS82" s="434"/>
      <c r="BT82" s="432"/>
      <c r="BU82" s="163"/>
      <c r="BV82" s="432"/>
      <c r="BW82" s="434"/>
      <c r="BX82" s="432"/>
      <c r="BY82" s="163"/>
      <c r="BZ82" s="432"/>
      <c r="CA82" s="434"/>
      <c r="CB82" s="432"/>
      <c r="CC82" s="163"/>
      <c r="CD82" s="432"/>
      <c r="CE82" s="434"/>
      <c r="CF82" s="432"/>
      <c r="CG82" s="163"/>
      <c r="CH82" s="432"/>
      <c r="CI82" s="434"/>
      <c r="CJ82" s="432"/>
      <c r="CK82" s="163"/>
      <c r="CL82" s="432"/>
      <c r="CM82" s="434"/>
      <c r="CN82" s="432"/>
      <c r="CO82" s="163"/>
      <c r="CP82" s="432"/>
      <c r="CQ82" s="434"/>
      <c r="CR82" s="432"/>
      <c r="CS82" s="163"/>
      <c r="CT82" s="432"/>
      <c r="CU82" s="434"/>
      <c r="CV82" s="432"/>
      <c r="CW82" s="163"/>
      <c r="CX82" s="432"/>
      <c r="CY82" s="434"/>
      <c r="CZ82" s="432"/>
      <c r="DA82" s="163"/>
      <c r="DB82" s="432"/>
      <c r="DC82" s="434"/>
      <c r="DD82" s="432"/>
      <c r="DE82" s="163"/>
      <c r="DF82" s="432"/>
      <c r="DG82" s="434"/>
      <c r="DH82" s="432"/>
      <c r="DI82" s="163"/>
      <c r="DJ82" s="432"/>
      <c r="DK82" s="434"/>
      <c r="DL82" s="432"/>
      <c r="DM82" s="163"/>
      <c r="DN82" s="432"/>
      <c r="DO82" s="434"/>
      <c r="DP82" s="432"/>
      <c r="DQ82" s="163"/>
      <c r="DR82" s="432"/>
      <c r="DS82" s="434"/>
      <c r="DT82" s="432"/>
      <c r="DU82" s="163"/>
      <c r="DV82" s="432"/>
      <c r="DW82" s="434"/>
      <c r="DX82" s="432"/>
      <c r="DY82" s="432"/>
    </row>
    <row r="84" spans="1:129">
      <c r="H84" s="436">
        <f>SUM(H3:H83)</f>
        <v>1.6186689814814814</v>
      </c>
      <c r="L84" s="436">
        <f>SUM(L3:L83)</f>
        <v>1.3560416666666666</v>
      </c>
      <c r="P84" s="436">
        <f>SUM(P3:P83)</f>
        <v>1.4727083333333335</v>
      </c>
      <c r="T84" s="436">
        <f>SUM(T3:T83)</f>
        <v>1.4916435185185188</v>
      </c>
      <c r="X84" s="436">
        <f>SUM(X3:X83)</f>
        <v>0.95174768518518538</v>
      </c>
      <c r="AB84" s="436">
        <f>SUM(AB3:AB83)</f>
        <v>0.97231481481481474</v>
      </c>
      <c r="AF84" s="436">
        <f>SUM(AF3:AF83)</f>
        <v>0.78869212962962976</v>
      </c>
      <c r="AJ84" s="436">
        <f>SUM(AJ3:AJ83)</f>
        <v>1.5432638888888888</v>
      </c>
      <c r="AN84" s="436">
        <f>SUM(AN3:AN83)</f>
        <v>1.5862615740740744</v>
      </c>
      <c r="AR84" s="436">
        <f>SUM(AR3:AR83)</f>
        <v>1.9850000000000003</v>
      </c>
      <c r="AV84" s="436">
        <f>SUM(AV3:AV83)</f>
        <v>1.6079282407407403</v>
      </c>
      <c r="AZ84" s="436">
        <f>SUM(AZ3:AZ83)</f>
        <v>1.360300925925926</v>
      </c>
      <c r="BD84" s="436">
        <f>SUM(BD3:BD83)</f>
        <v>1.0308796296296296</v>
      </c>
      <c r="BH84" s="436">
        <f>SUM(BH3:BH83)</f>
        <v>0.77124999999999999</v>
      </c>
      <c r="BL84" s="436">
        <f>SUM(BL3:BL83)</f>
        <v>1.4393287037037041</v>
      </c>
      <c r="BP84" s="436">
        <f>SUM(BP3:BP83)</f>
        <v>1.5884027777777781</v>
      </c>
      <c r="BT84" s="436">
        <f>SUM(BT3:BT83)</f>
        <v>1.6384027777777774</v>
      </c>
      <c r="BX84" s="436">
        <f>SUM(BX3:BX83)</f>
        <v>1.7689120370370364</v>
      </c>
      <c r="CB84" s="436">
        <f>SUM(CB3:CB83)</f>
        <v>1.5894907407407408</v>
      </c>
      <c r="CF84" s="436">
        <f>SUM(CF3:CF83)</f>
        <v>1.0331597222222222</v>
      </c>
      <c r="CJ84" s="436">
        <f>SUM(CJ3:CJ83)</f>
        <v>0.57912037037037045</v>
      </c>
      <c r="CN84" s="436">
        <f>SUM(CN3:CN83)</f>
        <v>1.0255324074074075</v>
      </c>
      <c r="CR84" s="436">
        <f>SUM(CR3:CR83)</f>
        <v>1.574479166666666</v>
      </c>
      <c r="CV84" s="436">
        <f>SUM(CV3:CV83)</f>
        <v>1.6929861111111115</v>
      </c>
      <c r="CZ84" s="436">
        <f>SUM(CZ3:CZ83)</f>
        <v>1.4744675925925925</v>
      </c>
      <c r="DD84" s="436">
        <f>SUM(DD3:DD83)</f>
        <v>0.65358796296296295</v>
      </c>
      <c r="DH84" s="436">
        <f>SUM(DH3:DH83)</f>
        <v>0.60694444444444451</v>
      </c>
      <c r="DL84" s="436">
        <f>SUM(DL3:DL83)</f>
        <v>0.62888888888888894</v>
      </c>
      <c r="DP84" s="436">
        <f>SUM(DP3:DP83)</f>
        <v>0.78828703703703717</v>
      </c>
      <c r="DT84" s="436">
        <f>SUM(DT3:DT83)</f>
        <v>0.71759259259259256</v>
      </c>
      <c r="DX84" s="436">
        <f t="shared" ref="DX84:DY84" si="162">SUM(DX3:DX83)</f>
        <v>0</v>
      </c>
      <c r="DY84" s="436">
        <f t="shared" si="162"/>
        <v>36.222500000000004</v>
      </c>
    </row>
    <row r="229" spans="1:3">
      <c r="A229" s="437"/>
      <c r="B229" s="438" t="s">
        <v>38</v>
      </c>
      <c r="C229" s="439" t="s">
        <v>796</v>
      </c>
    </row>
    <row r="230" spans="1:3">
      <c r="A230" s="440"/>
      <c r="B230" s="441">
        <v>4</v>
      </c>
      <c r="C230" s="442">
        <v>1.0416666666666666E-2</v>
      </c>
    </row>
    <row r="231" spans="1:3">
      <c r="A231" s="440"/>
      <c r="B231" s="441">
        <v>5</v>
      </c>
      <c r="C231" s="442">
        <v>1.3888888888888888E-2</v>
      </c>
    </row>
    <row r="232" spans="1:3">
      <c r="A232" s="440"/>
      <c r="B232" s="441">
        <v>6</v>
      </c>
      <c r="C232" s="442">
        <v>1.7361111111111112E-2</v>
      </c>
    </row>
    <row r="233" spans="1:3">
      <c r="A233" s="440"/>
      <c r="B233" s="441">
        <v>7</v>
      </c>
      <c r="C233" s="442">
        <v>2.0833333333333332E-2</v>
      </c>
    </row>
    <row r="234" spans="1:3">
      <c r="A234" s="440"/>
      <c r="B234" s="441">
        <v>8</v>
      </c>
      <c r="C234" s="442">
        <v>2.4305555555555556E-2</v>
      </c>
    </row>
    <row r="235" spans="1:3">
      <c r="A235" s="440"/>
      <c r="B235" s="441">
        <v>9</v>
      </c>
      <c r="C235" s="442">
        <v>2.7777777777777776E-2</v>
      </c>
    </row>
    <row r="236" spans="1:3">
      <c r="A236" s="440"/>
      <c r="B236" s="441">
        <v>10</v>
      </c>
      <c r="C236" s="442">
        <v>3.125E-2</v>
      </c>
    </row>
    <row r="237" spans="1:3">
      <c r="A237" s="440"/>
      <c r="B237" s="441">
        <v>11</v>
      </c>
      <c r="C237" s="442">
        <v>3.4722222222222224E-2</v>
      </c>
    </row>
    <row r="238" spans="1:3">
      <c r="A238" s="440"/>
      <c r="B238" s="441">
        <v>12</v>
      </c>
      <c r="C238" s="442">
        <v>3.8194444444444448E-2</v>
      </c>
    </row>
    <row r="239" spans="1:3">
      <c r="A239" s="440"/>
      <c r="B239" s="441">
        <v>13</v>
      </c>
      <c r="C239" s="443">
        <v>4.1666666666666664E-2</v>
      </c>
    </row>
    <row r="240" spans="1:3">
      <c r="A240" s="440"/>
      <c r="B240" s="441">
        <v>14</v>
      </c>
      <c r="C240" s="443">
        <v>4.5138888888888888E-2</v>
      </c>
    </row>
    <row r="241" spans="1:3">
      <c r="A241" s="440"/>
      <c r="B241" s="441">
        <v>15</v>
      </c>
      <c r="C241" s="443">
        <v>4.8611111111111112E-2</v>
      </c>
    </row>
    <row r="242" spans="1:3">
      <c r="A242" s="440"/>
      <c r="B242" s="441" t="s">
        <v>797</v>
      </c>
      <c r="C242" s="442">
        <v>2.4305555555555556E-2</v>
      </c>
    </row>
    <row r="243" spans="1:3">
      <c r="A243" s="440"/>
      <c r="B243" s="441">
        <v>3</v>
      </c>
      <c r="C243" s="442">
        <v>6.9444444444444441E-3</v>
      </c>
    </row>
  </sheetData>
  <mergeCells count="31">
    <mergeCell ref="CG1:CJ1"/>
    <mergeCell ref="DM1:DP1"/>
    <mergeCell ref="DQ1:DT1"/>
    <mergeCell ref="DU1:DX1"/>
    <mergeCell ref="CK1:CN1"/>
    <mergeCell ref="CO1:CR1"/>
    <mergeCell ref="CS1:CV1"/>
    <mergeCell ref="CW1:CZ1"/>
    <mergeCell ref="DA1:DD1"/>
    <mergeCell ref="DE1:DH1"/>
    <mergeCell ref="DI1:DL1"/>
    <mergeCell ref="BM1:BP1"/>
    <mergeCell ref="BQ1:BT1"/>
    <mergeCell ref="BU1:BX1"/>
    <mergeCell ref="BY1:CB1"/>
    <mergeCell ref="CC1:CF1"/>
    <mergeCell ref="AS1:AV1"/>
    <mergeCell ref="AW1:AZ1"/>
    <mergeCell ref="BA1:BD1"/>
    <mergeCell ref="BE1:BH1"/>
    <mergeCell ref="BI1:BL1"/>
    <mergeCell ref="Y1:AB1"/>
    <mergeCell ref="AC1:AF1"/>
    <mergeCell ref="AG1:AJ1"/>
    <mergeCell ref="AK1:AN1"/>
    <mergeCell ref="AO1:AR1"/>
    <mergeCell ref="E1:H1"/>
    <mergeCell ref="I1:L1"/>
    <mergeCell ref="M1:P1"/>
    <mergeCell ref="Q1:T1"/>
    <mergeCell ref="U1:X1"/>
  </mergeCells>
  <conditionalFormatting sqref="D1:D245">
    <cfRule type="expression" dxfId="2" priority="2">
      <formula>MONTH(D1)=MONTH(TODAY())</formula>
    </cfRule>
  </conditionalFormatting>
  <conditionalFormatting sqref="H3:H82 L3:L82 P3:P82 T3:T82 X3:X82 AB3:AB82 AF3:AF82 AJ3:AJ82 AN3:AN82 AR3:AR82 AV3:AV82 AZ3:AZ82 BD3:BD82 BH3:BH82 BL3:BL82 BP3:BP82 BT3:BT82 BX3:BX82 CB3:CB82 CF3:CF82 CJ3:CJ82 CN3:CN82 CR3:CR82 CV3:CV82 CZ3:CZ82 DD3:DD82 DH3:DH82 DL3:DL82 DP3:DP82 DT3:DT82 DX3:DY82 AQ60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BQ128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customHeight="1"/>
  <cols>
    <col min="37" max="59" width="14.42578125" hidden="1"/>
  </cols>
  <sheetData>
    <row r="1" spans="1:69">
      <c r="A1" s="347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  <c r="AR1" s="347"/>
      <c r="AS1" s="347"/>
      <c r="AT1" s="347"/>
      <c r="AU1" s="347"/>
      <c r="AV1" s="347"/>
      <c r="AW1" s="347"/>
      <c r="AX1" s="347"/>
      <c r="AY1" s="347"/>
      <c r="AZ1" s="347"/>
      <c r="BA1" s="347"/>
      <c r="BB1" s="347"/>
      <c r="BC1" s="347"/>
      <c r="BD1" s="347"/>
      <c r="BE1" s="347"/>
      <c r="BF1" s="347"/>
      <c r="BG1" s="347"/>
      <c r="BH1" s="347"/>
      <c r="BI1" s="347"/>
      <c r="BJ1" s="347"/>
      <c r="BK1" s="347"/>
      <c r="BL1" s="347"/>
      <c r="BM1" s="347"/>
      <c r="BN1" s="347"/>
      <c r="BO1" s="347"/>
      <c r="BP1" s="347"/>
      <c r="BQ1" s="347"/>
    </row>
    <row r="2" spans="1:69">
      <c r="A2" s="347"/>
      <c r="B2" s="590" t="s">
        <v>41</v>
      </c>
      <c r="C2" s="348">
        <v>45992</v>
      </c>
      <c r="D2" s="348">
        <v>45993</v>
      </c>
      <c r="E2" s="348">
        <v>45994</v>
      </c>
      <c r="F2" s="348">
        <v>45995</v>
      </c>
      <c r="G2" s="348">
        <v>45996</v>
      </c>
      <c r="H2" s="348">
        <v>45997</v>
      </c>
      <c r="I2" s="348">
        <v>45998</v>
      </c>
      <c r="J2" s="348">
        <v>45999</v>
      </c>
      <c r="K2" s="348">
        <v>46000</v>
      </c>
      <c r="L2" s="348">
        <v>46001</v>
      </c>
      <c r="M2" s="348">
        <v>46002</v>
      </c>
      <c r="N2" s="348">
        <v>46003</v>
      </c>
      <c r="O2" s="348">
        <v>46004</v>
      </c>
      <c r="P2" s="348">
        <v>46005</v>
      </c>
      <c r="Q2" s="348">
        <v>46006</v>
      </c>
      <c r="R2" s="348">
        <v>46007</v>
      </c>
      <c r="S2" s="348">
        <v>46008</v>
      </c>
      <c r="T2" s="348">
        <v>46009</v>
      </c>
      <c r="U2" s="348">
        <v>46010</v>
      </c>
      <c r="V2" s="348">
        <v>46011</v>
      </c>
      <c r="W2" s="348">
        <v>46012</v>
      </c>
      <c r="X2" s="348">
        <v>46013</v>
      </c>
      <c r="Y2" s="348">
        <v>46014</v>
      </c>
      <c r="Z2" s="348">
        <v>46015</v>
      </c>
      <c r="AA2" s="348">
        <v>46016</v>
      </c>
      <c r="AB2" s="348">
        <v>46017</v>
      </c>
      <c r="AC2" s="348">
        <v>46018</v>
      </c>
      <c r="AD2" s="348">
        <v>46019</v>
      </c>
      <c r="AE2" s="348">
        <v>46020</v>
      </c>
      <c r="AF2" s="348">
        <v>46021</v>
      </c>
      <c r="AG2" s="348">
        <v>46022</v>
      </c>
      <c r="AH2" s="347"/>
      <c r="AI2" s="347"/>
      <c r="AJ2" s="592" t="s">
        <v>763</v>
      </c>
      <c r="AK2" s="348">
        <v>45992</v>
      </c>
      <c r="AL2" s="348">
        <v>45993</v>
      </c>
      <c r="AM2" s="348">
        <v>45994</v>
      </c>
      <c r="AN2" s="348">
        <v>45995</v>
      </c>
      <c r="AO2" s="348">
        <v>45996</v>
      </c>
      <c r="AP2" s="348">
        <v>45997</v>
      </c>
      <c r="AQ2" s="348">
        <v>45998</v>
      </c>
      <c r="AR2" s="348">
        <v>45999</v>
      </c>
      <c r="AS2" s="348">
        <v>46000</v>
      </c>
      <c r="AT2" s="348">
        <v>46001</v>
      </c>
      <c r="AU2" s="348">
        <v>46002</v>
      </c>
      <c r="AV2" s="348">
        <v>46003</v>
      </c>
      <c r="AW2" s="348">
        <v>46004</v>
      </c>
      <c r="AX2" s="348">
        <v>46005</v>
      </c>
      <c r="AY2" s="348">
        <v>46006</v>
      </c>
      <c r="AZ2" s="348">
        <v>46007</v>
      </c>
      <c r="BA2" s="348">
        <v>46008</v>
      </c>
      <c r="BB2" s="348">
        <v>46009</v>
      </c>
      <c r="BC2" s="348">
        <v>46010</v>
      </c>
      <c r="BD2" s="348">
        <v>46011</v>
      </c>
      <c r="BE2" s="348">
        <v>46012</v>
      </c>
      <c r="BF2" s="348">
        <v>46013</v>
      </c>
      <c r="BG2" s="348">
        <v>46014</v>
      </c>
      <c r="BH2" s="348">
        <v>46015</v>
      </c>
      <c r="BI2" s="348">
        <v>46016</v>
      </c>
      <c r="BJ2" s="348">
        <v>46017</v>
      </c>
      <c r="BK2" s="348">
        <v>46018</v>
      </c>
      <c r="BL2" s="348">
        <v>46019</v>
      </c>
      <c r="BM2" s="348">
        <v>46020</v>
      </c>
      <c r="BN2" s="348">
        <v>46021</v>
      </c>
      <c r="BO2" s="348">
        <v>46022</v>
      </c>
      <c r="BP2" s="347"/>
      <c r="BQ2" s="347"/>
    </row>
    <row r="3" spans="1:69">
      <c r="A3" s="347"/>
      <c r="B3" s="591"/>
      <c r="C3" s="349" t="s">
        <v>768</v>
      </c>
      <c r="D3" s="349" t="s">
        <v>769</v>
      </c>
      <c r="E3" s="349" t="s">
        <v>770</v>
      </c>
      <c r="F3" s="349" t="s">
        <v>764</v>
      </c>
      <c r="G3" s="349" t="s">
        <v>765</v>
      </c>
      <c r="H3" s="349" t="s">
        <v>766</v>
      </c>
      <c r="I3" s="349" t="s">
        <v>767</v>
      </c>
      <c r="J3" s="349" t="s">
        <v>768</v>
      </c>
      <c r="K3" s="349" t="s">
        <v>769</v>
      </c>
      <c r="L3" s="349" t="s">
        <v>770</v>
      </c>
      <c r="M3" s="349" t="s">
        <v>764</v>
      </c>
      <c r="N3" s="349" t="s">
        <v>765</v>
      </c>
      <c r="O3" s="349" t="s">
        <v>766</v>
      </c>
      <c r="P3" s="349" t="s">
        <v>767</v>
      </c>
      <c r="Q3" s="349" t="s">
        <v>768</v>
      </c>
      <c r="R3" s="349" t="s">
        <v>769</v>
      </c>
      <c r="S3" s="349" t="s">
        <v>770</v>
      </c>
      <c r="T3" s="349" t="s">
        <v>764</v>
      </c>
      <c r="U3" s="349" t="s">
        <v>765</v>
      </c>
      <c r="V3" s="349" t="s">
        <v>766</v>
      </c>
      <c r="W3" s="349" t="s">
        <v>767</v>
      </c>
      <c r="X3" s="349" t="s">
        <v>768</v>
      </c>
      <c r="Y3" s="349" t="s">
        <v>769</v>
      </c>
      <c r="Z3" s="349" t="s">
        <v>770</v>
      </c>
      <c r="AA3" s="349" t="s">
        <v>764</v>
      </c>
      <c r="AB3" s="349" t="s">
        <v>765</v>
      </c>
      <c r="AC3" s="349" t="s">
        <v>766</v>
      </c>
      <c r="AD3" s="349" t="s">
        <v>767</v>
      </c>
      <c r="AE3" s="349" t="s">
        <v>768</v>
      </c>
      <c r="AF3" s="349" t="s">
        <v>769</v>
      </c>
      <c r="AG3" s="349" t="s">
        <v>770</v>
      </c>
      <c r="AH3" s="347"/>
      <c r="AI3" s="347"/>
      <c r="AJ3" s="591"/>
      <c r="AK3" s="349" t="s">
        <v>768</v>
      </c>
      <c r="AL3" s="349" t="s">
        <v>769</v>
      </c>
      <c r="AM3" s="349" t="s">
        <v>770</v>
      </c>
      <c r="AN3" s="349" t="s">
        <v>764</v>
      </c>
      <c r="AO3" s="349" t="s">
        <v>765</v>
      </c>
      <c r="AP3" s="349" t="s">
        <v>766</v>
      </c>
      <c r="AQ3" s="349" t="s">
        <v>767</v>
      </c>
      <c r="AR3" s="349" t="s">
        <v>768</v>
      </c>
      <c r="AS3" s="349" t="s">
        <v>769</v>
      </c>
      <c r="AT3" s="349" t="s">
        <v>770</v>
      </c>
      <c r="AU3" s="349" t="s">
        <v>764</v>
      </c>
      <c r="AV3" s="349" t="s">
        <v>765</v>
      </c>
      <c r="AW3" s="349" t="s">
        <v>766</v>
      </c>
      <c r="AX3" s="349" t="s">
        <v>767</v>
      </c>
      <c r="AY3" s="349" t="s">
        <v>768</v>
      </c>
      <c r="AZ3" s="349" t="s">
        <v>769</v>
      </c>
      <c r="BA3" s="349" t="s">
        <v>770</v>
      </c>
      <c r="BB3" s="349" t="s">
        <v>764</v>
      </c>
      <c r="BC3" s="349" t="s">
        <v>765</v>
      </c>
      <c r="BD3" s="349" t="s">
        <v>766</v>
      </c>
      <c r="BE3" s="349" t="s">
        <v>767</v>
      </c>
      <c r="BF3" s="349" t="s">
        <v>768</v>
      </c>
      <c r="BG3" s="349" t="s">
        <v>769</v>
      </c>
      <c r="BH3" s="349" t="s">
        <v>770</v>
      </c>
      <c r="BI3" s="349" t="s">
        <v>764</v>
      </c>
      <c r="BJ3" s="349" t="s">
        <v>765</v>
      </c>
      <c r="BK3" s="349" t="s">
        <v>766</v>
      </c>
      <c r="BL3" s="349" t="s">
        <v>767</v>
      </c>
      <c r="BM3" s="349" t="s">
        <v>768</v>
      </c>
      <c r="BN3" s="349" t="s">
        <v>769</v>
      </c>
      <c r="BO3" s="349" t="s">
        <v>770</v>
      </c>
      <c r="BP3" s="347"/>
      <c r="BQ3" s="347"/>
    </row>
    <row r="4" spans="1:69">
      <c r="A4" s="347"/>
      <c r="B4" s="350">
        <v>0</v>
      </c>
      <c r="C4" s="93">
        <v>4</v>
      </c>
      <c r="D4" s="67">
        <v>4</v>
      </c>
      <c r="E4" s="54">
        <v>5</v>
      </c>
      <c r="F4" s="54">
        <v>5</v>
      </c>
      <c r="G4" s="54">
        <v>5</v>
      </c>
      <c r="H4" s="12">
        <v>3</v>
      </c>
      <c r="I4" s="12">
        <v>3</v>
      </c>
      <c r="J4" s="67">
        <v>4</v>
      </c>
      <c r="K4" s="54">
        <v>5</v>
      </c>
      <c r="L4" s="54">
        <v>5</v>
      </c>
      <c r="M4" s="54">
        <v>5</v>
      </c>
      <c r="N4" s="67">
        <v>4</v>
      </c>
      <c r="O4" s="67">
        <v>4</v>
      </c>
      <c r="P4" s="67">
        <v>4</v>
      </c>
      <c r="Q4" s="12">
        <v>3</v>
      </c>
      <c r="R4" s="67">
        <v>4</v>
      </c>
      <c r="S4" s="67">
        <v>4</v>
      </c>
      <c r="T4" s="12">
        <v>3</v>
      </c>
      <c r="U4" s="12">
        <v>3</v>
      </c>
      <c r="V4" s="67">
        <v>4</v>
      </c>
      <c r="W4" s="67">
        <v>4</v>
      </c>
      <c r="X4" s="67">
        <v>4</v>
      </c>
      <c r="Y4" s="67">
        <v>4</v>
      </c>
      <c r="Z4" s="67">
        <v>4</v>
      </c>
      <c r="AA4" s="67">
        <v>4</v>
      </c>
      <c r="AB4" s="67">
        <v>4</v>
      </c>
      <c r="AC4" s="67">
        <v>4</v>
      </c>
      <c r="AD4" s="67">
        <v>4</v>
      </c>
      <c r="AE4" s="67">
        <v>4</v>
      </c>
      <c r="AF4" s="67">
        <v>4</v>
      </c>
      <c r="AG4" s="67">
        <v>4</v>
      </c>
      <c r="AH4" s="347"/>
      <c r="AI4" s="347"/>
      <c r="AJ4" s="351">
        <v>0</v>
      </c>
      <c r="AK4" s="352">
        <v>27</v>
      </c>
      <c r="AL4" s="352">
        <v>27</v>
      </c>
      <c r="AM4" s="352">
        <v>36</v>
      </c>
      <c r="AN4" s="352">
        <v>44</v>
      </c>
      <c r="AO4" s="352">
        <v>35</v>
      </c>
      <c r="AP4" s="352">
        <v>35</v>
      </c>
      <c r="AQ4" s="352">
        <v>35</v>
      </c>
      <c r="AR4" s="352">
        <v>27</v>
      </c>
      <c r="AS4" s="352">
        <v>38</v>
      </c>
      <c r="AT4" s="352">
        <v>39</v>
      </c>
      <c r="AU4" s="352">
        <v>37</v>
      </c>
      <c r="AV4" s="352">
        <v>46</v>
      </c>
      <c r="AW4" s="352">
        <v>35</v>
      </c>
      <c r="AX4" s="352">
        <v>35</v>
      </c>
      <c r="AY4" s="352">
        <v>27</v>
      </c>
      <c r="AZ4" s="352">
        <v>27</v>
      </c>
      <c r="BA4" s="352">
        <v>33</v>
      </c>
      <c r="BB4" s="352">
        <v>21</v>
      </c>
      <c r="BC4" s="352">
        <v>20</v>
      </c>
      <c r="BD4" s="352">
        <v>22</v>
      </c>
      <c r="BE4" s="352">
        <v>35</v>
      </c>
      <c r="BF4" s="352">
        <v>27</v>
      </c>
      <c r="BG4" s="352">
        <v>27</v>
      </c>
      <c r="BH4" s="352">
        <v>46</v>
      </c>
      <c r="BI4" s="352">
        <v>35</v>
      </c>
      <c r="BJ4" s="352">
        <v>35</v>
      </c>
      <c r="BK4" s="352">
        <v>35</v>
      </c>
      <c r="BL4" s="352">
        <v>35</v>
      </c>
      <c r="BM4" s="352">
        <v>27</v>
      </c>
      <c r="BN4" s="352">
        <v>27</v>
      </c>
      <c r="BO4" s="352">
        <v>33</v>
      </c>
      <c r="BP4" s="347"/>
      <c r="BQ4" s="347"/>
    </row>
    <row r="5" spans="1:69">
      <c r="A5" s="347"/>
      <c r="B5" s="350">
        <v>4.1666666666666664E-2</v>
      </c>
      <c r="C5" s="12">
        <v>3</v>
      </c>
      <c r="D5" s="12">
        <v>3</v>
      </c>
      <c r="E5" s="12">
        <v>3</v>
      </c>
      <c r="F5" s="12">
        <v>3</v>
      </c>
      <c r="G5" s="12">
        <v>3</v>
      </c>
      <c r="H5" s="12">
        <v>3</v>
      </c>
      <c r="I5" s="12">
        <v>3</v>
      </c>
      <c r="J5" s="12">
        <v>3</v>
      </c>
      <c r="K5" s="12">
        <v>3</v>
      </c>
      <c r="L5" s="12">
        <v>3</v>
      </c>
      <c r="M5" s="12">
        <v>3</v>
      </c>
      <c r="N5" s="12">
        <v>3</v>
      </c>
      <c r="O5" s="12">
        <v>3</v>
      </c>
      <c r="P5" s="12">
        <v>3</v>
      </c>
      <c r="Q5" s="12">
        <v>3</v>
      </c>
      <c r="R5" s="12">
        <v>3</v>
      </c>
      <c r="S5" s="12">
        <v>3</v>
      </c>
      <c r="T5" s="12">
        <v>3</v>
      </c>
      <c r="U5" s="12">
        <v>3</v>
      </c>
      <c r="V5" s="12">
        <v>3</v>
      </c>
      <c r="W5" s="12">
        <v>3</v>
      </c>
      <c r="X5" s="12">
        <v>3</v>
      </c>
      <c r="Y5" s="12">
        <v>3</v>
      </c>
      <c r="Z5" s="12">
        <v>3</v>
      </c>
      <c r="AA5" s="12">
        <v>3</v>
      </c>
      <c r="AB5" s="12">
        <v>3</v>
      </c>
      <c r="AC5" s="12">
        <v>3</v>
      </c>
      <c r="AD5" s="12">
        <v>3</v>
      </c>
      <c r="AE5" s="12">
        <v>3</v>
      </c>
      <c r="AF5" s="12">
        <v>3</v>
      </c>
      <c r="AG5" s="12">
        <v>3</v>
      </c>
      <c r="AH5" s="367"/>
      <c r="AI5" s="347"/>
      <c r="AJ5" s="351">
        <v>4.1666666666666664E-2</v>
      </c>
      <c r="AK5" s="352">
        <v>15</v>
      </c>
      <c r="AL5" s="352">
        <v>20</v>
      </c>
      <c r="AM5" s="352">
        <v>13</v>
      </c>
      <c r="AN5" s="352">
        <v>14</v>
      </c>
      <c r="AO5" s="352">
        <v>21</v>
      </c>
      <c r="AP5" s="352">
        <v>21</v>
      </c>
      <c r="AQ5" s="352">
        <v>21</v>
      </c>
      <c r="AR5" s="352">
        <v>15</v>
      </c>
      <c r="AS5" s="352">
        <v>48</v>
      </c>
      <c r="AT5" s="352">
        <v>49</v>
      </c>
      <c r="AU5" s="352">
        <v>22</v>
      </c>
      <c r="AV5" s="352">
        <v>41</v>
      </c>
      <c r="AW5" s="352">
        <v>21</v>
      </c>
      <c r="AX5" s="352">
        <v>21</v>
      </c>
      <c r="AY5" s="352">
        <v>15</v>
      </c>
      <c r="AZ5" s="352">
        <v>20</v>
      </c>
      <c r="BA5" s="352">
        <v>21</v>
      </c>
      <c r="BB5" s="352">
        <v>21</v>
      </c>
      <c r="BC5" s="352">
        <v>20</v>
      </c>
      <c r="BD5" s="352">
        <v>12</v>
      </c>
      <c r="BE5" s="352">
        <v>21</v>
      </c>
      <c r="BF5" s="352">
        <v>15</v>
      </c>
      <c r="BG5" s="352">
        <v>20</v>
      </c>
      <c r="BH5" s="352">
        <v>26</v>
      </c>
      <c r="BI5" s="352">
        <v>21</v>
      </c>
      <c r="BJ5" s="352">
        <v>21</v>
      </c>
      <c r="BK5" s="352">
        <v>21</v>
      </c>
      <c r="BL5" s="352">
        <v>21</v>
      </c>
      <c r="BM5" s="352">
        <v>15</v>
      </c>
      <c r="BN5" s="352">
        <v>20</v>
      </c>
      <c r="BO5" s="352">
        <v>21</v>
      </c>
      <c r="BP5" s="347"/>
      <c r="BQ5" s="347"/>
    </row>
    <row r="6" spans="1:69">
      <c r="A6" s="347"/>
      <c r="B6" s="350">
        <v>8.3333333333333329E-2</v>
      </c>
      <c r="C6" s="12">
        <v>3</v>
      </c>
      <c r="D6" s="12">
        <v>3</v>
      </c>
      <c r="E6" s="12">
        <v>3</v>
      </c>
      <c r="F6" s="12">
        <v>3</v>
      </c>
      <c r="G6" s="12">
        <v>3</v>
      </c>
      <c r="H6" s="12">
        <v>3</v>
      </c>
      <c r="I6" s="12">
        <v>3</v>
      </c>
      <c r="J6" s="12">
        <v>3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  <c r="Q6" s="12">
        <v>3</v>
      </c>
      <c r="R6" s="12">
        <v>3</v>
      </c>
      <c r="S6" s="12">
        <v>3</v>
      </c>
      <c r="T6" s="12">
        <v>3</v>
      </c>
      <c r="U6" s="12">
        <v>3</v>
      </c>
      <c r="V6" s="12">
        <v>3</v>
      </c>
      <c r="W6" s="12">
        <v>3</v>
      </c>
      <c r="X6" s="12">
        <v>3</v>
      </c>
      <c r="Y6" s="12">
        <v>3</v>
      </c>
      <c r="Z6" s="12">
        <v>3</v>
      </c>
      <c r="AA6" s="12">
        <v>3</v>
      </c>
      <c r="AB6" s="12">
        <v>3</v>
      </c>
      <c r="AC6" s="12">
        <v>3</v>
      </c>
      <c r="AD6" s="12">
        <v>3</v>
      </c>
      <c r="AE6" s="12">
        <v>3</v>
      </c>
      <c r="AF6" s="12">
        <v>3</v>
      </c>
      <c r="AG6" s="12">
        <v>3</v>
      </c>
      <c r="AH6" s="347"/>
      <c r="AI6" s="347"/>
      <c r="AJ6" s="351">
        <v>8.3333333333333329E-2</v>
      </c>
      <c r="AK6" s="352">
        <v>8</v>
      </c>
      <c r="AL6" s="352">
        <v>14</v>
      </c>
      <c r="AM6" s="352">
        <v>10</v>
      </c>
      <c r="AN6" s="352">
        <v>15</v>
      </c>
      <c r="AO6" s="352">
        <v>14</v>
      </c>
      <c r="AP6" s="352">
        <v>14</v>
      </c>
      <c r="AQ6" s="352">
        <v>16</v>
      </c>
      <c r="AR6" s="352">
        <v>8</v>
      </c>
      <c r="AS6" s="352">
        <v>19</v>
      </c>
      <c r="AT6" s="352">
        <v>19</v>
      </c>
      <c r="AU6" s="352">
        <v>10</v>
      </c>
      <c r="AV6" s="352">
        <v>15</v>
      </c>
      <c r="AW6" s="352">
        <v>14</v>
      </c>
      <c r="AX6" s="352">
        <v>16</v>
      </c>
      <c r="AY6" s="352">
        <v>8</v>
      </c>
      <c r="AZ6" s="352">
        <v>14</v>
      </c>
      <c r="BA6" s="352">
        <v>13</v>
      </c>
      <c r="BB6" s="352">
        <v>13</v>
      </c>
      <c r="BC6" s="352">
        <v>12</v>
      </c>
      <c r="BD6" s="352">
        <v>7</v>
      </c>
      <c r="BE6" s="352">
        <v>16</v>
      </c>
      <c r="BF6" s="352">
        <v>8</v>
      </c>
      <c r="BG6" s="352">
        <v>14</v>
      </c>
      <c r="BH6" s="352">
        <v>12</v>
      </c>
      <c r="BI6" s="352">
        <v>14</v>
      </c>
      <c r="BJ6" s="352">
        <v>14</v>
      </c>
      <c r="BK6" s="352">
        <v>14</v>
      </c>
      <c r="BL6" s="352">
        <v>16</v>
      </c>
      <c r="BM6" s="352">
        <v>8</v>
      </c>
      <c r="BN6" s="352">
        <v>14</v>
      </c>
      <c r="BO6" s="352">
        <v>13</v>
      </c>
      <c r="BP6" s="347"/>
      <c r="BQ6" s="347"/>
    </row>
    <row r="7" spans="1:69">
      <c r="A7" s="347"/>
      <c r="B7" s="350">
        <v>0.125</v>
      </c>
      <c r="C7" s="12">
        <v>3</v>
      </c>
      <c r="D7" s="12">
        <v>3</v>
      </c>
      <c r="E7" s="12">
        <v>3</v>
      </c>
      <c r="F7" s="12">
        <v>3</v>
      </c>
      <c r="G7" s="12">
        <v>3</v>
      </c>
      <c r="H7" s="12">
        <v>3</v>
      </c>
      <c r="I7" s="12">
        <v>3</v>
      </c>
      <c r="J7" s="12">
        <v>3</v>
      </c>
      <c r="K7" s="12">
        <v>3</v>
      </c>
      <c r="L7" s="12">
        <v>3</v>
      </c>
      <c r="M7" s="12">
        <v>3</v>
      </c>
      <c r="N7" s="12">
        <v>3</v>
      </c>
      <c r="O7" s="12">
        <v>3</v>
      </c>
      <c r="P7" s="12">
        <v>3</v>
      </c>
      <c r="Q7" s="12">
        <v>3</v>
      </c>
      <c r="R7" s="12">
        <v>3</v>
      </c>
      <c r="S7" s="12">
        <v>3</v>
      </c>
      <c r="T7" s="12">
        <v>3</v>
      </c>
      <c r="U7" s="12">
        <v>3</v>
      </c>
      <c r="V7" s="12">
        <v>3</v>
      </c>
      <c r="W7" s="12">
        <v>3</v>
      </c>
      <c r="X7" s="12">
        <v>3</v>
      </c>
      <c r="Y7" s="12">
        <v>3</v>
      </c>
      <c r="Z7" s="12">
        <v>3</v>
      </c>
      <c r="AA7" s="12">
        <v>3</v>
      </c>
      <c r="AB7" s="12">
        <v>3</v>
      </c>
      <c r="AC7" s="12">
        <v>3</v>
      </c>
      <c r="AD7" s="12">
        <v>3</v>
      </c>
      <c r="AE7" s="12">
        <v>3</v>
      </c>
      <c r="AF7" s="12">
        <v>3</v>
      </c>
      <c r="AG7" s="12">
        <v>3</v>
      </c>
      <c r="AH7" s="347"/>
      <c r="AI7" s="347"/>
      <c r="AJ7" s="351">
        <v>0.125</v>
      </c>
      <c r="AK7" s="352">
        <v>5</v>
      </c>
      <c r="AL7" s="352">
        <v>10</v>
      </c>
      <c r="AM7" s="352">
        <v>9</v>
      </c>
      <c r="AN7" s="352">
        <v>5</v>
      </c>
      <c r="AO7" s="352">
        <v>12</v>
      </c>
      <c r="AP7" s="352">
        <v>12</v>
      </c>
      <c r="AQ7" s="352">
        <v>15</v>
      </c>
      <c r="AR7" s="352">
        <v>5</v>
      </c>
      <c r="AS7" s="352">
        <v>10</v>
      </c>
      <c r="AT7" s="352">
        <v>10</v>
      </c>
      <c r="AU7" s="352">
        <v>5</v>
      </c>
      <c r="AV7" s="352">
        <v>11</v>
      </c>
      <c r="AW7" s="352">
        <v>12</v>
      </c>
      <c r="AX7" s="352">
        <v>15</v>
      </c>
      <c r="AY7" s="352">
        <v>5</v>
      </c>
      <c r="AZ7" s="352">
        <v>10</v>
      </c>
      <c r="BA7" s="352">
        <v>10</v>
      </c>
      <c r="BB7" s="352">
        <v>13</v>
      </c>
      <c r="BC7" s="352">
        <v>12</v>
      </c>
      <c r="BD7" s="352">
        <v>7</v>
      </c>
      <c r="BE7" s="352">
        <v>15</v>
      </c>
      <c r="BF7" s="352">
        <v>5</v>
      </c>
      <c r="BG7" s="352">
        <v>10</v>
      </c>
      <c r="BH7" s="352">
        <v>4</v>
      </c>
      <c r="BI7" s="352">
        <v>12</v>
      </c>
      <c r="BJ7" s="352">
        <v>12</v>
      </c>
      <c r="BK7" s="352">
        <v>12</v>
      </c>
      <c r="BL7" s="352">
        <v>15</v>
      </c>
      <c r="BM7" s="352">
        <v>5</v>
      </c>
      <c r="BN7" s="352">
        <v>10</v>
      </c>
      <c r="BO7" s="352">
        <v>10</v>
      </c>
      <c r="BP7" s="347"/>
      <c r="BQ7" s="347"/>
    </row>
    <row r="8" spans="1:69">
      <c r="A8" s="347"/>
      <c r="B8" s="350">
        <v>0.16666666666666666</v>
      </c>
      <c r="C8" s="12">
        <v>3</v>
      </c>
      <c r="D8" s="12">
        <v>3</v>
      </c>
      <c r="E8" s="12">
        <v>3</v>
      </c>
      <c r="F8" s="12">
        <v>3</v>
      </c>
      <c r="G8" s="12">
        <v>3</v>
      </c>
      <c r="H8" s="12">
        <v>3</v>
      </c>
      <c r="I8" s="12">
        <v>3</v>
      </c>
      <c r="J8" s="12">
        <v>3</v>
      </c>
      <c r="K8" s="12">
        <v>3</v>
      </c>
      <c r="L8" s="12">
        <v>3</v>
      </c>
      <c r="M8" s="12">
        <v>3</v>
      </c>
      <c r="N8" s="12">
        <v>3</v>
      </c>
      <c r="O8" s="12">
        <v>3</v>
      </c>
      <c r="P8" s="12">
        <v>3</v>
      </c>
      <c r="Q8" s="12">
        <v>3</v>
      </c>
      <c r="R8" s="12">
        <v>3</v>
      </c>
      <c r="S8" s="12">
        <v>3</v>
      </c>
      <c r="T8" s="12">
        <v>3</v>
      </c>
      <c r="U8" s="12">
        <v>3</v>
      </c>
      <c r="V8" s="12">
        <v>3</v>
      </c>
      <c r="W8" s="12">
        <v>3</v>
      </c>
      <c r="X8" s="12">
        <v>3</v>
      </c>
      <c r="Y8" s="12">
        <v>3</v>
      </c>
      <c r="Z8" s="12">
        <v>3</v>
      </c>
      <c r="AA8" s="12">
        <v>3</v>
      </c>
      <c r="AB8" s="12">
        <v>3</v>
      </c>
      <c r="AC8" s="12">
        <v>3</v>
      </c>
      <c r="AD8" s="12">
        <v>3</v>
      </c>
      <c r="AE8" s="12">
        <v>3</v>
      </c>
      <c r="AF8" s="12">
        <v>3</v>
      </c>
      <c r="AG8" s="12">
        <v>3</v>
      </c>
      <c r="AH8" s="347"/>
      <c r="AI8" s="347"/>
      <c r="AJ8" s="351">
        <v>0.16666666666666666</v>
      </c>
      <c r="AK8" s="352">
        <v>8</v>
      </c>
      <c r="AL8" s="352">
        <v>9</v>
      </c>
      <c r="AM8" s="352">
        <v>8</v>
      </c>
      <c r="AN8" s="352">
        <v>11</v>
      </c>
      <c r="AO8" s="352">
        <v>12</v>
      </c>
      <c r="AP8" s="352">
        <v>12</v>
      </c>
      <c r="AQ8" s="352">
        <v>11</v>
      </c>
      <c r="AR8" s="352">
        <v>8</v>
      </c>
      <c r="AS8" s="352">
        <v>14</v>
      </c>
      <c r="AT8" s="352">
        <v>14</v>
      </c>
      <c r="AU8" s="352">
        <v>10</v>
      </c>
      <c r="AV8" s="352">
        <v>11</v>
      </c>
      <c r="AW8" s="352">
        <v>12</v>
      </c>
      <c r="AX8" s="352">
        <v>11</v>
      </c>
      <c r="AY8" s="352">
        <v>8</v>
      </c>
      <c r="AZ8" s="352">
        <v>9</v>
      </c>
      <c r="BA8" s="352">
        <v>7</v>
      </c>
      <c r="BB8" s="352">
        <v>7</v>
      </c>
      <c r="BC8" s="352">
        <v>7</v>
      </c>
      <c r="BD8" s="352">
        <v>7</v>
      </c>
      <c r="BE8" s="352">
        <v>11</v>
      </c>
      <c r="BF8" s="352">
        <v>8</v>
      </c>
      <c r="BG8" s="352">
        <v>9</v>
      </c>
      <c r="BH8" s="352">
        <v>11</v>
      </c>
      <c r="BI8" s="352">
        <v>12</v>
      </c>
      <c r="BJ8" s="352">
        <v>12</v>
      </c>
      <c r="BK8" s="352">
        <v>12</v>
      </c>
      <c r="BL8" s="352">
        <v>11</v>
      </c>
      <c r="BM8" s="352">
        <v>8</v>
      </c>
      <c r="BN8" s="352">
        <v>9</v>
      </c>
      <c r="BO8" s="352">
        <v>7</v>
      </c>
      <c r="BP8" s="347"/>
      <c r="BQ8" s="347"/>
    </row>
    <row r="9" spans="1:69">
      <c r="A9" s="347"/>
      <c r="B9" s="350">
        <v>0.20833333333333334</v>
      </c>
      <c r="C9" s="12">
        <v>3</v>
      </c>
      <c r="D9" s="12">
        <v>3</v>
      </c>
      <c r="E9" s="12">
        <v>3</v>
      </c>
      <c r="F9" s="12">
        <v>3</v>
      </c>
      <c r="G9" s="12">
        <v>3</v>
      </c>
      <c r="H9" s="12">
        <v>3</v>
      </c>
      <c r="I9" s="12">
        <v>3</v>
      </c>
      <c r="J9" s="12">
        <v>3</v>
      </c>
      <c r="K9" s="12">
        <v>3</v>
      </c>
      <c r="L9" s="12">
        <v>3</v>
      </c>
      <c r="M9" s="12">
        <v>3</v>
      </c>
      <c r="N9" s="12">
        <v>3</v>
      </c>
      <c r="O9" s="12">
        <v>3</v>
      </c>
      <c r="P9" s="12">
        <v>3</v>
      </c>
      <c r="Q9" s="12">
        <v>3</v>
      </c>
      <c r="R9" s="12">
        <v>3</v>
      </c>
      <c r="S9" s="12">
        <v>3</v>
      </c>
      <c r="T9" s="12">
        <v>3</v>
      </c>
      <c r="U9" s="12">
        <v>3</v>
      </c>
      <c r="V9" s="12">
        <v>3</v>
      </c>
      <c r="W9" s="12">
        <v>3</v>
      </c>
      <c r="X9" s="12">
        <v>3</v>
      </c>
      <c r="Y9" s="12">
        <v>3</v>
      </c>
      <c r="Z9" s="12">
        <v>3</v>
      </c>
      <c r="AA9" s="12">
        <v>3</v>
      </c>
      <c r="AB9" s="12">
        <v>3</v>
      </c>
      <c r="AC9" s="12">
        <v>3</v>
      </c>
      <c r="AD9" s="12">
        <v>3</v>
      </c>
      <c r="AE9" s="12">
        <v>3</v>
      </c>
      <c r="AF9" s="12">
        <v>3</v>
      </c>
      <c r="AG9" s="12">
        <v>3</v>
      </c>
      <c r="AH9" s="347"/>
      <c r="AI9" s="347"/>
      <c r="AJ9" s="351">
        <v>0.20833333333333334</v>
      </c>
      <c r="AK9" s="352">
        <v>20</v>
      </c>
      <c r="AL9" s="352">
        <v>21</v>
      </c>
      <c r="AM9" s="352">
        <v>20</v>
      </c>
      <c r="AN9" s="352">
        <v>22</v>
      </c>
      <c r="AO9" s="352">
        <v>18</v>
      </c>
      <c r="AP9" s="352">
        <v>18</v>
      </c>
      <c r="AQ9" s="352">
        <v>15</v>
      </c>
      <c r="AR9" s="352">
        <v>20</v>
      </c>
      <c r="AS9" s="352">
        <v>19</v>
      </c>
      <c r="AT9" s="352">
        <v>19</v>
      </c>
      <c r="AU9" s="352">
        <v>23</v>
      </c>
      <c r="AV9" s="352">
        <v>20</v>
      </c>
      <c r="AW9" s="352">
        <v>18</v>
      </c>
      <c r="AX9" s="352">
        <v>15</v>
      </c>
      <c r="AY9" s="352">
        <v>20</v>
      </c>
      <c r="AZ9" s="352">
        <v>21</v>
      </c>
      <c r="BA9" s="352">
        <v>22</v>
      </c>
      <c r="BB9" s="352">
        <v>21</v>
      </c>
      <c r="BC9" s="352">
        <v>20</v>
      </c>
      <c r="BD9" s="352">
        <v>16</v>
      </c>
      <c r="BE9" s="352">
        <v>15</v>
      </c>
      <c r="BF9" s="352">
        <v>20</v>
      </c>
      <c r="BG9" s="352">
        <v>21</v>
      </c>
      <c r="BH9" s="352">
        <v>26</v>
      </c>
      <c r="BI9" s="352">
        <v>18</v>
      </c>
      <c r="BJ9" s="352">
        <v>18</v>
      </c>
      <c r="BK9" s="352">
        <v>18</v>
      </c>
      <c r="BL9" s="352">
        <v>15</v>
      </c>
      <c r="BM9" s="352">
        <v>20</v>
      </c>
      <c r="BN9" s="352">
        <v>21</v>
      </c>
      <c r="BO9" s="352">
        <v>22</v>
      </c>
      <c r="BP9" s="347"/>
      <c r="BQ9" s="347"/>
    </row>
    <row r="10" spans="1:69">
      <c r="A10" s="347"/>
      <c r="B10" s="350">
        <v>0.25</v>
      </c>
      <c r="C10" s="449">
        <v>9</v>
      </c>
      <c r="D10" s="68">
        <v>9</v>
      </c>
      <c r="E10" s="85">
        <v>11</v>
      </c>
      <c r="F10" s="68">
        <v>9</v>
      </c>
      <c r="G10" s="55">
        <v>7</v>
      </c>
      <c r="H10" s="55">
        <v>7</v>
      </c>
      <c r="I10" s="54">
        <v>5</v>
      </c>
      <c r="J10" s="85">
        <v>11</v>
      </c>
      <c r="K10" s="68">
        <v>9</v>
      </c>
      <c r="L10" s="85">
        <v>11</v>
      </c>
      <c r="M10" s="85">
        <v>11</v>
      </c>
      <c r="N10" s="73">
        <v>10</v>
      </c>
      <c r="O10" s="55">
        <v>7</v>
      </c>
      <c r="P10" s="54">
        <v>5</v>
      </c>
      <c r="Q10" s="68">
        <v>9</v>
      </c>
      <c r="R10" s="68">
        <v>9</v>
      </c>
      <c r="S10" s="85">
        <v>11</v>
      </c>
      <c r="T10" s="85">
        <v>11</v>
      </c>
      <c r="U10" s="73">
        <v>10</v>
      </c>
      <c r="V10" s="79">
        <v>8</v>
      </c>
      <c r="W10" s="54">
        <v>5</v>
      </c>
      <c r="X10" s="68">
        <v>9</v>
      </c>
      <c r="Y10" s="68">
        <v>9</v>
      </c>
      <c r="Z10" s="69">
        <v>12</v>
      </c>
      <c r="AA10" s="68">
        <v>9</v>
      </c>
      <c r="AB10" s="73">
        <v>10</v>
      </c>
      <c r="AC10" s="68">
        <v>9</v>
      </c>
      <c r="AD10" s="55">
        <v>7</v>
      </c>
      <c r="AE10" s="73">
        <v>10</v>
      </c>
      <c r="AF10" s="73">
        <v>10</v>
      </c>
      <c r="AG10" s="73">
        <v>10</v>
      </c>
      <c r="AH10" s="347"/>
      <c r="AI10" s="347"/>
      <c r="AJ10" s="351">
        <v>0.25</v>
      </c>
      <c r="AK10" s="352">
        <v>81</v>
      </c>
      <c r="AL10" s="352">
        <v>89</v>
      </c>
      <c r="AM10" s="352">
        <v>86</v>
      </c>
      <c r="AN10" s="352">
        <v>89</v>
      </c>
      <c r="AO10" s="352">
        <v>69</v>
      </c>
      <c r="AP10" s="352">
        <v>69</v>
      </c>
      <c r="AQ10" s="352">
        <v>46</v>
      </c>
      <c r="AR10" s="352">
        <v>81</v>
      </c>
      <c r="AS10" s="352">
        <v>90</v>
      </c>
      <c r="AT10" s="352">
        <v>93</v>
      </c>
      <c r="AU10" s="352">
        <v>100</v>
      </c>
      <c r="AV10" s="352">
        <v>87</v>
      </c>
      <c r="AW10" s="352">
        <v>69</v>
      </c>
      <c r="AX10" s="352">
        <v>46</v>
      </c>
      <c r="AY10" s="352">
        <v>81</v>
      </c>
      <c r="AZ10" s="352">
        <v>89</v>
      </c>
      <c r="BA10" s="352">
        <v>91</v>
      </c>
      <c r="BB10" s="352">
        <v>79</v>
      </c>
      <c r="BC10" s="352">
        <v>74</v>
      </c>
      <c r="BD10" s="352">
        <v>88</v>
      </c>
      <c r="BE10" s="352">
        <v>46</v>
      </c>
      <c r="BF10" s="352">
        <v>81</v>
      </c>
      <c r="BG10" s="352">
        <v>89</v>
      </c>
      <c r="BH10" s="352">
        <v>111</v>
      </c>
      <c r="BI10" s="352">
        <v>69</v>
      </c>
      <c r="BJ10" s="352">
        <v>69</v>
      </c>
      <c r="BK10" s="352">
        <v>69</v>
      </c>
      <c r="BL10" s="352">
        <v>46</v>
      </c>
      <c r="BM10" s="352">
        <v>81</v>
      </c>
      <c r="BN10" s="352">
        <v>89</v>
      </c>
      <c r="BO10" s="352">
        <v>91</v>
      </c>
      <c r="BP10" s="347"/>
      <c r="BQ10" s="347"/>
    </row>
    <row r="11" spans="1:69">
      <c r="A11" s="347"/>
      <c r="B11" s="350">
        <v>0.29166666666666669</v>
      </c>
      <c r="C11" s="450">
        <v>12</v>
      </c>
      <c r="D11" s="56">
        <v>13</v>
      </c>
      <c r="E11" s="69">
        <v>12</v>
      </c>
      <c r="F11" s="56">
        <v>13</v>
      </c>
      <c r="G11" s="85">
        <v>11</v>
      </c>
      <c r="H11" s="85">
        <v>11</v>
      </c>
      <c r="I11" s="79">
        <v>8</v>
      </c>
      <c r="J11" s="69">
        <v>12</v>
      </c>
      <c r="K11" s="150">
        <v>14</v>
      </c>
      <c r="L11" s="150">
        <v>14</v>
      </c>
      <c r="M11" s="72">
        <v>16</v>
      </c>
      <c r="N11" s="150">
        <v>14</v>
      </c>
      <c r="O11" s="85">
        <v>11</v>
      </c>
      <c r="P11" s="79">
        <v>8</v>
      </c>
      <c r="Q11" s="56">
        <v>13</v>
      </c>
      <c r="R11" s="150">
        <v>14</v>
      </c>
      <c r="S11" s="150">
        <v>14</v>
      </c>
      <c r="T11" s="150">
        <v>14</v>
      </c>
      <c r="U11" s="69">
        <v>12</v>
      </c>
      <c r="V11" s="150">
        <v>14</v>
      </c>
      <c r="W11" s="79">
        <v>8</v>
      </c>
      <c r="X11" s="56">
        <v>13</v>
      </c>
      <c r="Y11" s="150">
        <v>14</v>
      </c>
      <c r="Z11" s="72">
        <v>16</v>
      </c>
      <c r="AA11" s="69">
        <v>12</v>
      </c>
      <c r="AB11" s="137">
        <v>20</v>
      </c>
      <c r="AC11" s="69">
        <v>12</v>
      </c>
      <c r="AD11" s="73">
        <v>10</v>
      </c>
      <c r="AE11" s="137">
        <v>20</v>
      </c>
      <c r="AF11" s="137">
        <v>20</v>
      </c>
      <c r="AG11" s="137">
        <v>20</v>
      </c>
      <c r="AH11" s="347"/>
      <c r="AI11" s="347"/>
      <c r="AJ11" s="351">
        <v>0.29166666666666669</v>
      </c>
      <c r="AK11" s="352">
        <v>65</v>
      </c>
      <c r="AL11" s="352">
        <v>72</v>
      </c>
      <c r="AM11" s="352">
        <v>77</v>
      </c>
      <c r="AN11" s="352">
        <v>71</v>
      </c>
      <c r="AO11" s="352">
        <v>52</v>
      </c>
      <c r="AP11" s="352">
        <v>52</v>
      </c>
      <c r="AQ11" s="352">
        <v>36</v>
      </c>
      <c r="AR11" s="352">
        <v>65</v>
      </c>
      <c r="AS11" s="352">
        <v>72</v>
      </c>
      <c r="AT11" s="352">
        <v>74</v>
      </c>
      <c r="AU11" s="352">
        <v>78</v>
      </c>
      <c r="AV11" s="352">
        <v>67</v>
      </c>
      <c r="AW11" s="352">
        <v>52</v>
      </c>
      <c r="AX11" s="352">
        <v>36</v>
      </c>
      <c r="AY11" s="352">
        <v>65</v>
      </c>
      <c r="AZ11" s="352">
        <v>72</v>
      </c>
      <c r="BA11" s="352">
        <v>78</v>
      </c>
      <c r="BB11" s="352">
        <v>73</v>
      </c>
      <c r="BC11" s="352">
        <v>68</v>
      </c>
      <c r="BD11" s="352">
        <v>53</v>
      </c>
      <c r="BE11" s="352">
        <v>36</v>
      </c>
      <c r="BF11" s="352">
        <v>65</v>
      </c>
      <c r="BG11" s="352">
        <v>72</v>
      </c>
      <c r="BH11" s="352">
        <v>83</v>
      </c>
      <c r="BI11" s="352">
        <v>52</v>
      </c>
      <c r="BJ11" s="352">
        <v>52</v>
      </c>
      <c r="BK11" s="352">
        <v>52</v>
      </c>
      <c r="BL11" s="352">
        <v>36</v>
      </c>
      <c r="BM11" s="352">
        <v>65</v>
      </c>
      <c r="BN11" s="352">
        <v>72</v>
      </c>
      <c r="BO11" s="352">
        <v>78</v>
      </c>
      <c r="BP11" s="347"/>
      <c r="BQ11" s="347"/>
    </row>
    <row r="12" spans="1:69">
      <c r="A12" s="347"/>
      <c r="B12" s="350">
        <v>0.33333333333333331</v>
      </c>
      <c r="C12" s="70">
        <v>15</v>
      </c>
      <c r="D12" s="72">
        <v>16</v>
      </c>
      <c r="E12" s="144">
        <v>18</v>
      </c>
      <c r="F12" s="83">
        <v>17</v>
      </c>
      <c r="G12" s="69">
        <v>12</v>
      </c>
      <c r="H12" s="150">
        <v>14</v>
      </c>
      <c r="I12" s="68">
        <v>9</v>
      </c>
      <c r="J12" s="83">
        <v>17</v>
      </c>
      <c r="K12" s="83">
        <v>17</v>
      </c>
      <c r="L12" s="144">
        <v>18</v>
      </c>
      <c r="M12" s="149">
        <v>19</v>
      </c>
      <c r="N12" s="83">
        <v>17</v>
      </c>
      <c r="O12" s="150">
        <v>14</v>
      </c>
      <c r="P12" s="68">
        <v>9</v>
      </c>
      <c r="Q12" s="72">
        <v>16</v>
      </c>
      <c r="R12" s="83">
        <v>17</v>
      </c>
      <c r="S12" s="149">
        <v>19</v>
      </c>
      <c r="T12" s="137">
        <v>20</v>
      </c>
      <c r="U12" s="144">
        <v>18</v>
      </c>
      <c r="V12" s="150">
        <v>14</v>
      </c>
      <c r="W12" s="68">
        <v>9</v>
      </c>
      <c r="X12" s="72">
        <v>16</v>
      </c>
      <c r="Y12" s="83">
        <v>17</v>
      </c>
      <c r="Z12" s="149">
        <v>19</v>
      </c>
      <c r="AA12" s="108">
        <v>15</v>
      </c>
      <c r="AB12" s="141">
        <v>27</v>
      </c>
      <c r="AC12" s="83">
        <v>17</v>
      </c>
      <c r="AD12" s="108">
        <v>15</v>
      </c>
      <c r="AE12" s="141">
        <v>27</v>
      </c>
      <c r="AF12" s="141">
        <v>27</v>
      </c>
      <c r="AG12" s="143">
        <v>28</v>
      </c>
      <c r="AH12" s="347"/>
      <c r="AI12" s="347"/>
      <c r="AJ12" s="351">
        <v>0.33333333333333331</v>
      </c>
      <c r="AK12" s="352">
        <v>124</v>
      </c>
      <c r="AL12" s="352">
        <v>129</v>
      </c>
      <c r="AM12" s="352">
        <v>142</v>
      </c>
      <c r="AN12" s="352">
        <v>132</v>
      </c>
      <c r="AO12" s="352">
        <v>96</v>
      </c>
      <c r="AP12" s="352">
        <v>96</v>
      </c>
      <c r="AQ12" s="352">
        <v>60</v>
      </c>
      <c r="AR12" s="352">
        <v>124</v>
      </c>
      <c r="AS12" s="352">
        <v>131</v>
      </c>
      <c r="AT12" s="352">
        <v>134</v>
      </c>
      <c r="AU12" s="352">
        <v>133</v>
      </c>
      <c r="AV12" s="352">
        <v>120</v>
      </c>
      <c r="AW12" s="352">
        <v>96</v>
      </c>
      <c r="AX12" s="352">
        <v>60</v>
      </c>
      <c r="AY12" s="352">
        <v>124</v>
      </c>
      <c r="AZ12" s="352">
        <v>129</v>
      </c>
      <c r="BA12" s="352">
        <v>140</v>
      </c>
      <c r="BB12" s="352">
        <v>138</v>
      </c>
      <c r="BC12" s="352">
        <v>129</v>
      </c>
      <c r="BD12" s="352">
        <v>94</v>
      </c>
      <c r="BE12" s="352">
        <v>60</v>
      </c>
      <c r="BF12" s="352">
        <v>124</v>
      </c>
      <c r="BG12" s="352">
        <v>129</v>
      </c>
      <c r="BH12" s="352">
        <v>138</v>
      </c>
      <c r="BI12" s="352">
        <v>96</v>
      </c>
      <c r="BJ12" s="352">
        <v>96</v>
      </c>
      <c r="BK12" s="352">
        <v>96</v>
      </c>
      <c r="BL12" s="352">
        <v>60</v>
      </c>
      <c r="BM12" s="352">
        <v>124</v>
      </c>
      <c r="BN12" s="352">
        <v>129</v>
      </c>
      <c r="BO12" s="352">
        <v>140</v>
      </c>
      <c r="BP12" s="347"/>
      <c r="BQ12" s="347"/>
    </row>
    <row r="13" spans="1:69">
      <c r="A13" s="347"/>
      <c r="B13" s="350">
        <v>0.375</v>
      </c>
      <c r="C13" s="386">
        <v>22</v>
      </c>
      <c r="D13" s="120">
        <v>22</v>
      </c>
      <c r="E13" s="81">
        <v>25</v>
      </c>
      <c r="F13" s="80">
        <v>21</v>
      </c>
      <c r="G13" s="108">
        <v>15</v>
      </c>
      <c r="H13" s="83">
        <v>17</v>
      </c>
      <c r="I13" s="73">
        <v>10</v>
      </c>
      <c r="J13" s="81">
        <v>25</v>
      </c>
      <c r="K13" s="81">
        <v>25</v>
      </c>
      <c r="L13" s="135">
        <v>26</v>
      </c>
      <c r="M13" s="81">
        <v>25</v>
      </c>
      <c r="N13" s="120">
        <v>22</v>
      </c>
      <c r="O13" s="83">
        <v>17</v>
      </c>
      <c r="P13" s="73">
        <v>10</v>
      </c>
      <c r="Q13" s="119">
        <v>24</v>
      </c>
      <c r="R13" s="119">
        <v>24</v>
      </c>
      <c r="S13" s="81">
        <v>25</v>
      </c>
      <c r="T13" s="119">
        <v>24</v>
      </c>
      <c r="U13" s="120">
        <v>22</v>
      </c>
      <c r="V13" s="72">
        <v>16</v>
      </c>
      <c r="W13" s="85">
        <v>11</v>
      </c>
      <c r="X13" s="119">
        <v>24</v>
      </c>
      <c r="Y13" s="119">
        <v>24</v>
      </c>
      <c r="Z13" s="81">
        <v>25</v>
      </c>
      <c r="AA13" s="120">
        <v>22</v>
      </c>
      <c r="AB13" s="82">
        <v>29</v>
      </c>
      <c r="AC13" s="137">
        <v>20</v>
      </c>
      <c r="AD13" s="144">
        <v>18</v>
      </c>
      <c r="AE13" s="82">
        <v>29</v>
      </c>
      <c r="AF13" s="82">
        <v>29</v>
      </c>
      <c r="AG13" s="82">
        <v>29</v>
      </c>
      <c r="AH13" s="347"/>
      <c r="AI13" s="347"/>
      <c r="AJ13" s="351">
        <v>0.375</v>
      </c>
      <c r="AK13" s="352">
        <v>173</v>
      </c>
      <c r="AL13" s="352">
        <v>172</v>
      </c>
      <c r="AM13" s="352">
        <v>190</v>
      </c>
      <c r="AN13" s="352">
        <v>163</v>
      </c>
      <c r="AO13" s="352">
        <v>124</v>
      </c>
      <c r="AP13" s="352">
        <v>124</v>
      </c>
      <c r="AQ13" s="352">
        <v>88</v>
      </c>
      <c r="AR13" s="352">
        <v>173</v>
      </c>
      <c r="AS13" s="352">
        <v>185</v>
      </c>
      <c r="AT13" s="352">
        <v>191</v>
      </c>
      <c r="AU13" s="352">
        <v>178</v>
      </c>
      <c r="AV13" s="352">
        <v>164</v>
      </c>
      <c r="AW13" s="352">
        <v>124</v>
      </c>
      <c r="AX13" s="352">
        <v>88</v>
      </c>
      <c r="AY13" s="352">
        <v>173</v>
      </c>
      <c r="AZ13" s="352">
        <v>172</v>
      </c>
      <c r="BA13" s="352">
        <v>181</v>
      </c>
      <c r="BB13" s="352">
        <v>176</v>
      </c>
      <c r="BC13" s="352">
        <v>164</v>
      </c>
      <c r="BD13" s="352">
        <v>117</v>
      </c>
      <c r="BE13" s="352">
        <v>88</v>
      </c>
      <c r="BF13" s="352">
        <v>173</v>
      </c>
      <c r="BG13" s="352">
        <v>172</v>
      </c>
      <c r="BH13" s="352">
        <v>180</v>
      </c>
      <c r="BI13" s="352">
        <v>124</v>
      </c>
      <c r="BJ13" s="352">
        <v>124</v>
      </c>
      <c r="BK13" s="352">
        <v>124</v>
      </c>
      <c r="BL13" s="352">
        <v>88</v>
      </c>
      <c r="BM13" s="352">
        <v>173</v>
      </c>
      <c r="BN13" s="352">
        <v>172</v>
      </c>
      <c r="BO13" s="352">
        <v>181</v>
      </c>
      <c r="BP13" s="347"/>
      <c r="BQ13" s="347"/>
    </row>
    <row r="14" spans="1:69">
      <c r="A14" s="347"/>
      <c r="B14" s="350">
        <v>0.41666666666666669</v>
      </c>
      <c r="C14" s="451">
        <v>26</v>
      </c>
      <c r="D14" s="135">
        <v>26</v>
      </c>
      <c r="E14" s="143">
        <v>28</v>
      </c>
      <c r="F14" s="143">
        <v>28</v>
      </c>
      <c r="G14" s="149">
        <v>19</v>
      </c>
      <c r="H14" s="137">
        <v>20</v>
      </c>
      <c r="I14" s="108">
        <v>15</v>
      </c>
      <c r="J14" s="143">
        <v>28</v>
      </c>
      <c r="K14" s="142">
        <v>30</v>
      </c>
      <c r="L14" s="143">
        <v>28</v>
      </c>
      <c r="M14" s="135">
        <v>26</v>
      </c>
      <c r="N14" s="81">
        <v>25</v>
      </c>
      <c r="O14" s="80">
        <v>21</v>
      </c>
      <c r="P14" s="108">
        <v>15</v>
      </c>
      <c r="Q14" s="82">
        <v>29</v>
      </c>
      <c r="R14" s="82">
        <v>29</v>
      </c>
      <c r="S14" s="82">
        <v>29</v>
      </c>
      <c r="T14" s="82">
        <v>29</v>
      </c>
      <c r="U14" s="135">
        <v>26</v>
      </c>
      <c r="V14" s="137">
        <v>20</v>
      </c>
      <c r="W14" s="72">
        <v>16</v>
      </c>
      <c r="X14" s="82">
        <v>29</v>
      </c>
      <c r="Y14" s="82">
        <v>29</v>
      </c>
      <c r="Z14" s="142">
        <v>30</v>
      </c>
      <c r="AA14" s="135">
        <v>26</v>
      </c>
      <c r="AB14" s="142">
        <v>30</v>
      </c>
      <c r="AC14" s="119">
        <v>24</v>
      </c>
      <c r="AD14" s="120">
        <v>22</v>
      </c>
      <c r="AE14" s="142">
        <v>30</v>
      </c>
      <c r="AF14" s="142">
        <v>30</v>
      </c>
      <c r="AG14" s="142">
        <v>30</v>
      </c>
      <c r="AH14" s="347"/>
      <c r="AI14" s="347"/>
      <c r="AJ14" s="351">
        <v>0.41666666666666669</v>
      </c>
      <c r="AK14" s="352">
        <v>199</v>
      </c>
      <c r="AL14" s="352">
        <v>190</v>
      </c>
      <c r="AM14" s="352">
        <v>211</v>
      </c>
      <c r="AN14" s="352">
        <v>193</v>
      </c>
      <c r="AO14" s="352">
        <v>145</v>
      </c>
      <c r="AP14" s="352">
        <v>145</v>
      </c>
      <c r="AQ14" s="352">
        <v>101</v>
      </c>
      <c r="AR14" s="352">
        <v>199</v>
      </c>
      <c r="AS14" s="352">
        <v>202</v>
      </c>
      <c r="AT14" s="352">
        <v>208</v>
      </c>
      <c r="AU14" s="352">
        <v>188</v>
      </c>
      <c r="AV14" s="352">
        <v>185</v>
      </c>
      <c r="AW14" s="352">
        <v>145</v>
      </c>
      <c r="AX14" s="352">
        <v>101</v>
      </c>
      <c r="AY14" s="352">
        <v>199</v>
      </c>
      <c r="AZ14" s="352">
        <v>190</v>
      </c>
      <c r="BA14" s="352">
        <v>200</v>
      </c>
      <c r="BB14" s="352">
        <v>196</v>
      </c>
      <c r="BC14" s="352">
        <v>183</v>
      </c>
      <c r="BD14" s="352">
        <v>144</v>
      </c>
      <c r="BE14" s="352">
        <v>101</v>
      </c>
      <c r="BF14" s="352">
        <v>199</v>
      </c>
      <c r="BG14" s="352">
        <v>190</v>
      </c>
      <c r="BH14" s="352">
        <v>209</v>
      </c>
      <c r="BI14" s="352">
        <v>145</v>
      </c>
      <c r="BJ14" s="352">
        <v>145</v>
      </c>
      <c r="BK14" s="352">
        <v>145</v>
      </c>
      <c r="BL14" s="352">
        <v>101</v>
      </c>
      <c r="BM14" s="352">
        <v>199</v>
      </c>
      <c r="BN14" s="352">
        <v>190</v>
      </c>
      <c r="BO14" s="352">
        <v>200</v>
      </c>
      <c r="BP14" s="347"/>
      <c r="BQ14" s="347"/>
    </row>
    <row r="15" spans="1:69">
      <c r="A15" s="347"/>
      <c r="B15" s="350">
        <v>0.45833333333333331</v>
      </c>
      <c r="C15" s="451">
        <v>26</v>
      </c>
      <c r="D15" s="135">
        <v>26</v>
      </c>
      <c r="E15" s="143">
        <v>28</v>
      </c>
      <c r="F15" s="143">
        <v>28</v>
      </c>
      <c r="G15" s="144">
        <v>18</v>
      </c>
      <c r="H15" s="80">
        <v>21</v>
      </c>
      <c r="I15" s="108">
        <v>15</v>
      </c>
      <c r="J15" s="143">
        <v>28</v>
      </c>
      <c r="K15" s="82">
        <v>29</v>
      </c>
      <c r="L15" s="143">
        <v>28</v>
      </c>
      <c r="M15" s="135">
        <v>26</v>
      </c>
      <c r="N15" s="119">
        <v>24</v>
      </c>
      <c r="O15" s="80">
        <v>21</v>
      </c>
      <c r="P15" s="108">
        <v>15</v>
      </c>
      <c r="Q15" s="142">
        <v>30</v>
      </c>
      <c r="R15" s="82">
        <v>29</v>
      </c>
      <c r="S15" s="141">
        <v>27</v>
      </c>
      <c r="T15" s="142">
        <v>30</v>
      </c>
      <c r="U15" s="135">
        <v>26</v>
      </c>
      <c r="V15" s="137">
        <v>20</v>
      </c>
      <c r="W15" s="72">
        <v>16</v>
      </c>
      <c r="X15" s="142">
        <v>30</v>
      </c>
      <c r="Y15" s="143">
        <v>28</v>
      </c>
      <c r="Z15" s="142">
        <v>30</v>
      </c>
      <c r="AA15" s="135">
        <v>26</v>
      </c>
      <c r="AB15" s="142">
        <v>30</v>
      </c>
      <c r="AC15" s="119">
        <v>24</v>
      </c>
      <c r="AD15" s="120">
        <v>22</v>
      </c>
      <c r="AE15" s="142">
        <v>30</v>
      </c>
      <c r="AF15" s="142">
        <v>30</v>
      </c>
      <c r="AG15" s="142">
        <v>30</v>
      </c>
      <c r="AH15" s="347"/>
      <c r="AI15" s="347"/>
      <c r="AJ15" s="351">
        <v>0.45833333333333331</v>
      </c>
      <c r="AK15" s="352">
        <v>191</v>
      </c>
      <c r="AL15" s="352">
        <v>189</v>
      </c>
      <c r="AM15" s="352">
        <v>201</v>
      </c>
      <c r="AN15" s="352">
        <v>197</v>
      </c>
      <c r="AO15" s="352">
        <v>149</v>
      </c>
      <c r="AP15" s="352">
        <v>149</v>
      </c>
      <c r="AQ15" s="352">
        <v>102</v>
      </c>
      <c r="AR15" s="352">
        <v>191</v>
      </c>
      <c r="AS15" s="352">
        <v>190</v>
      </c>
      <c r="AT15" s="352">
        <v>195</v>
      </c>
      <c r="AU15" s="352">
        <v>185</v>
      </c>
      <c r="AV15" s="352">
        <v>175</v>
      </c>
      <c r="AW15" s="352">
        <v>149</v>
      </c>
      <c r="AX15" s="352">
        <v>102</v>
      </c>
      <c r="AY15" s="352">
        <v>191</v>
      </c>
      <c r="AZ15" s="352">
        <v>189</v>
      </c>
      <c r="BA15" s="352">
        <v>184</v>
      </c>
      <c r="BB15" s="352">
        <v>195</v>
      </c>
      <c r="BC15" s="352">
        <v>181</v>
      </c>
      <c r="BD15" s="352">
        <v>139</v>
      </c>
      <c r="BE15" s="352">
        <v>102</v>
      </c>
      <c r="BF15" s="352">
        <v>191</v>
      </c>
      <c r="BG15" s="352">
        <v>189</v>
      </c>
      <c r="BH15" s="352">
        <v>201</v>
      </c>
      <c r="BI15" s="352">
        <v>149</v>
      </c>
      <c r="BJ15" s="352">
        <v>149</v>
      </c>
      <c r="BK15" s="352">
        <v>149</v>
      </c>
      <c r="BL15" s="352">
        <v>102</v>
      </c>
      <c r="BM15" s="352">
        <v>191</v>
      </c>
      <c r="BN15" s="352">
        <v>189</v>
      </c>
      <c r="BO15" s="352">
        <v>184</v>
      </c>
      <c r="BP15" s="347"/>
      <c r="BQ15" s="347"/>
    </row>
    <row r="16" spans="1:69">
      <c r="A16" s="347"/>
      <c r="B16" s="350">
        <v>0.5</v>
      </c>
      <c r="C16" s="451">
        <v>26</v>
      </c>
      <c r="D16" s="119">
        <v>24</v>
      </c>
      <c r="E16" s="143">
        <v>28</v>
      </c>
      <c r="F16" s="143">
        <v>28</v>
      </c>
      <c r="G16" s="83">
        <v>17</v>
      </c>
      <c r="H16" s="149">
        <v>19</v>
      </c>
      <c r="I16" s="108">
        <v>15</v>
      </c>
      <c r="J16" s="82">
        <v>29</v>
      </c>
      <c r="K16" s="141">
        <v>27</v>
      </c>
      <c r="L16" s="141">
        <v>27</v>
      </c>
      <c r="M16" s="81">
        <v>25</v>
      </c>
      <c r="N16" s="136">
        <v>23</v>
      </c>
      <c r="O16" s="149">
        <v>19</v>
      </c>
      <c r="P16" s="108">
        <v>15</v>
      </c>
      <c r="Q16" s="82">
        <v>29</v>
      </c>
      <c r="R16" s="143">
        <v>28</v>
      </c>
      <c r="S16" s="135">
        <v>26</v>
      </c>
      <c r="T16" s="142">
        <v>30</v>
      </c>
      <c r="U16" s="81">
        <v>25</v>
      </c>
      <c r="V16" s="149">
        <v>19</v>
      </c>
      <c r="W16" s="72">
        <v>16</v>
      </c>
      <c r="X16" s="82">
        <v>29</v>
      </c>
      <c r="Y16" s="143">
        <v>28</v>
      </c>
      <c r="Z16" s="81">
        <v>25</v>
      </c>
      <c r="AA16" s="135">
        <v>26</v>
      </c>
      <c r="AB16" s="142">
        <v>30</v>
      </c>
      <c r="AC16" s="120">
        <v>22</v>
      </c>
      <c r="AD16" s="137">
        <v>20</v>
      </c>
      <c r="AE16" s="142">
        <v>30</v>
      </c>
      <c r="AF16" s="142">
        <v>30</v>
      </c>
      <c r="AG16" s="142">
        <v>30</v>
      </c>
      <c r="AH16" s="347"/>
      <c r="AI16" s="347"/>
      <c r="AJ16" s="351">
        <v>0.5</v>
      </c>
      <c r="AK16" s="352">
        <v>191</v>
      </c>
      <c r="AL16" s="352">
        <v>173</v>
      </c>
      <c r="AM16" s="352">
        <v>201</v>
      </c>
      <c r="AN16" s="352">
        <v>189</v>
      </c>
      <c r="AO16" s="352">
        <v>137</v>
      </c>
      <c r="AP16" s="352">
        <v>137</v>
      </c>
      <c r="AQ16" s="352">
        <v>102</v>
      </c>
      <c r="AR16" s="352">
        <v>191</v>
      </c>
      <c r="AS16" s="352">
        <v>183</v>
      </c>
      <c r="AT16" s="352">
        <v>188</v>
      </c>
      <c r="AU16" s="352">
        <v>179</v>
      </c>
      <c r="AV16" s="352">
        <v>167</v>
      </c>
      <c r="AW16" s="352">
        <v>137</v>
      </c>
      <c r="AX16" s="352">
        <v>102</v>
      </c>
      <c r="AY16" s="352">
        <v>191</v>
      </c>
      <c r="AZ16" s="352">
        <v>173</v>
      </c>
      <c r="BA16" s="352">
        <v>177</v>
      </c>
      <c r="BB16" s="352">
        <v>196</v>
      </c>
      <c r="BC16" s="352">
        <v>182</v>
      </c>
      <c r="BD16" s="352">
        <v>135</v>
      </c>
      <c r="BE16" s="352">
        <v>102</v>
      </c>
      <c r="BF16" s="352">
        <v>191</v>
      </c>
      <c r="BG16" s="352">
        <v>173</v>
      </c>
      <c r="BH16" s="352">
        <v>178</v>
      </c>
      <c r="BI16" s="352">
        <v>137</v>
      </c>
      <c r="BJ16" s="352">
        <v>137</v>
      </c>
      <c r="BK16" s="352">
        <v>137</v>
      </c>
      <c r="BL16" s="352">
        <v>102</v>
      </c>
      <c r="BM16" s="352">
        <v>191</v>
      </c>
      <c r="BN16" s="352">
        <v>173</v>
      </c>
      <c r="BO16" s="352">
        <v>177</v>
      </c>
      <c r="BP16" s="347"/>
      <c r="BQ16" s="347"/>
    </row>
    <row r="17" spans="1:69">
      <c r="A17" s="347"/>
      <c r="B17" s="350">
        <v>0.54166666666666663</v>
      </c>
      <c r="C17" s="15">
        <v>25</v>
      </c>
      <c r="D17" s="119">
        <v>24</v>
      </c>
      <c r="E17" s="141">
        <v>27</v>
      </c>
      <c r="F17" s="135">
        <v>26</v>
      </c>
      <c r="G17" s="83">
        <v>17</v>
      </c>
      <c r="H17" s="144">
        <v>18</v>
      </c>
      <c r="I17" s="72">
        <v>16</v>
      </c>
      <c r="J17" s="135">
        <v>26</v>
      </c>
      <c r="K17" s="143">
        <v>28</v>
      </c>
      <c r="L17" s="81">
        <v>25</v>
      </c>
      <c r="M17" s="81">
        <v>25</v>
      </c>
      <c r="N17" s="81">
        <v>25</v>
      </c>
      <c r="O17" s="144">
        <v>18</v>
      </c>
      <c r="P17" s="72">
        <v>16</v>
      </c>
      <c r="Q17" s="82">
        <v>29</v>
      </c>
      <c r="R17" s="143">
        <v>28</v>
      </c>
      <c r="S17" s="141">
        <v>27</v>
      </c>
      <c r="T17" s="135">
        <v>26</v>
      </c>
      <c r="U17" s="135">
        <v>26</v>
      </c>
      <c r="V17" s="144">
        <v>18</v>
      </c>
      <c r="W17" s="83">
        <v>17</v>
      </c>
      <c r="X17" s="143">
        <v>28</v>
      </c>
      <c r="Y17" s="143">
        <v>28</v>
      </c>
      <c r="Z17" s="135">
        <v>26</v>
      </c>
      <c r="AA17" s="81">
        <v>25</v>
      </c>
      <c r="AB17" s="137">
        <v>20</v>
      </c>
      <c r="AC17" s="80">
        <v>21</v>
      </c>
      <c r="AD17" s="149">
        <v>19</v>
      </c>
      <c r="AE17" s="137">
        <v>20</v>
      </c>
      <c r="AF17" s="137">
        <v>20</v>
      </c>
      <c r="AG17" s="137">
        <v>20</v>
      </c>
      <c r="AH17" s="347"/>
      <c r="AI17" s="347"/>
      <c r="AJ17" s="351">
        <v>0.54166666666666663</v>
      </c>
      <c r="AK17" s="352">
        <v>181</v>
      </c>
      <c r="AL17" s="352">
        <v>173</v>
      </c>
      <c r="AM17" s="352">
        <v>195</v>
      </c>
      <c r="AN17" s="352">
        <v>180</v>
      </c>
      <c r="AO17" s="352">
        <v>129</v>
      </c>
      <c r="AP17" s="352">
        <v>129</v>
      </c>
      <c r="AQ17" s="352">
        <v>97</v>
      </c>
      <c r="AR17" s="352">
        <v>181</v>
      </c>
      <c r="AS17" s="352">
        <v>175</v>
      </c>
      <c r="AT17" s="352">
        <v>179</v>
      </c>
      <c r="AU17" s="352">
        <v>171</v>
      </c>
      <c r="AV17" s="352">
        <v>162</v>
      </c>
      <c r="AW17" s="352">
        <v>129</v>
      </c>
      <c r="AX17" s="352">
        <v>97</v>
      </c>
      <c r="AY17" s="352">
        <v>181</v>
      </c>
      <c r="AZ17" s="352">
        <v>173</v>
      </c>
      <c r="BA17" s="352">
        <v>181</v>
      </c>
      <c r="BB17" s="352">
        <v>178</v>
      </c>
      <c r="BC17" s="352">
        <v>166</v>
      </c>
      <c r="BD17" s="352">
        <v>122</v>
      </c>
      <c r="BE17" s="352">
        <v>97</v>
      </c>
      <c r="BF17" s="352">
        <v>181</v>
      </c>
      <c r="BG17" s="352">
        <v>173</v>
      </c>
      <c r="BH17" s="352">
        <v>183</v>
      </c>
      <c r="BI17" s="352">
        <v>129</v>
      </c>
      <c r="BJ17" s="352">
        <v>129</v>
      </c>
      <c r="BK17" s="352">
        <v>129</v>
      </c>
      <c r="BL17" s="352">
        <v>97</v>
      </c>
      <c r="BM17" s="352">
        <v>181</v>
      </c>
      <c r="BN17" s="352">
        <v>173</v>
      </c>
      <c r="BO17" s="352">
        <v>181</v>
      </c>
      <c r="BP17" s="347"/>
      <c r="BQ17" s="347"/>
    </row>
    <row r="18" spans="1:69">
      <c r="A18" s="347"/>
      <c r="B18" s="350">
        <v>0.58333333333333337</v>
      </c>
      <c r="C18" s="386">
        <v>22</v>
      </c>
      <c r="D18" s="136">
        <v>23</v>
      </c>
      <c r="E18" s="119">
        <v>24</v>
      </c>
      <c r="F18" s="135">
        <v>26</v>
      </c>
      <c r="G18" s="108">
        <v>15</v>
      </c>
      <c r="H18" s="83">
        <v>17</v>
      </c>
      <c r="I18" s="56">
        <v>13</v>
      </c>
      <c r="J18" s="135">
        <v>26</v>
      </c>
      <c r="K18" s="135">
        <v>26</v>
      </c>
      <c r="L18" s="135">
        <v>26</v>
      </c>
      <c r="M18" s="119">
        <v>24</v>
      </c>
      <c r="N18" s="81">
        <v>25</v>
      </c>
      <c r="O18" s="83">
        <v>17</v>
      </c>
      <c r="P18" s="56">
        <v>13</v>
      </c>
      <c r="Q18" s="141">
        <v>27</v>
      </c>
      <c r="R18" s="135">
        <v>26</v>
      </c>
      <c r="S18" s="141">
        <v>27</v>
      </c>
      <c r="T18" s="81">
        <v>25</v>
      </c>
      <c r="U18" s="81">
        <v>25</v>
      </c>
      <c r="V18" s="144">
        <v>18</v>
      </c>
      <c r="W18" s="150">
        <v>14</v>
      </c>
      <c r="X18" s="143">
        <v>28</v>
      </c>
      <c r="Y18" s="81">
        <v>25</v>
      </c>
      <c r="Z18" s="135">
        <v>26</v>
      </c>
      <c r="AA18" s="120">
        <v>22</v>
      </c>
      <c r="AB18" s="136">
        <v>23</v>
      </c>
      <c r="AC18" s="149">
        <v>19</v>
      </c>
      <c r="AD18" s="83">
        <v>17</v>
      </c>
      <c r="AE18" s="136">
        <v>23</v>
      </c>
      <c r="AF18" s="136">
        <v>23</v>
      </c>
      <c r="AG18" s="136">
        <v>23</v>
      </c>
      <c r="AH18" s="347"/>
      <c r="AI18" s="347"/>
      <c r="AJ18" s="351">
        <v>0.58333333333333337</v>
      </c>
      <c r="AK18" s="352">
        <v>179</v>
      </c>
      <c r="AL18" s="352">
        <v>173</v>
      </c>
      <c r="AM18" s="352">
        <v>198</v>
      </c>
      <c r="AN18" s="352">
        <v>190</v>
      </c>
      <c r="AO18" s="352">
        <v>125</v>
      </c>
      <c r="AP18" s="352">
        <v>125</v>
      </c>
      <c r="AQ18" s="352">
        <v>89</v>
      </c>
      <c r="AR18" s="352">
        <v>179</v>
      </c>
      <c r="AS18" s="352">
        <v>186</v>
      </c>
      <c r="AT18" s="352">
        <v>191</v>
      </c>
      <c r="AU18" s="352">
        <v>176</v>
      </c>
      <c r="AV18" s="352">
        <v>166</v>
      </c>
      <c r="AW18" s="352">
        <v>125</v>
      </c>
      <c r="AX18" s="352">
        <v>89</v>
      </c>
      <c r="AY18" s="352">
        <v>179</v>
      </c>
      <c r="AZ18" s="352">
        <v>173</v>
      </c>
      <c r="BA18" s="352">
        <v>177</v>
      </c>
      <c r="BB18" s="352">
        <v>177</v>
      </c>
      <c r="BC18" s="352">
        <v>165</v>
      </c>
      <c r="BD18" s="352">
        <v>131</v>
      </c>
      <c r="BE18" s="352">
        <v>89</v>
      </c>
      <c r="BF18" s="352">
        <v>179</v>
      </c>
      <c r="BG18" s="352">
        <v>173</v>
      </c>
      <c r="BH18" s="352">
        <v>171</v>
      </c>
      <c r="BI18" s="352">
        <v>125</v>
      </c>
      <c r="BJ18" s="352">
        <v>125</v>
      </c>
      <c r="BK18" s="352">
        <v>125</v>
      </c>
      <c r="BL18" s="352">
        <v>89</v>
      </c>
      <c r="BM18" s="352">
        <v>179</v>
      </c>
      <c r="BN18" s="352">
        <v>173</v>
      </c>
      <c r="BO18" s="352">
        <v>177</v>
      </c>
      <c r="BP18" s="347"/>
      <c r="BQ18" s="347"/>
    </row>
    <row r="19" spans="1:69">
      <c r="A19" s="347"/>
      <c r="B19" s="350">
        <v>0.625</v>
      </c>
      <c r="C19" s="452">
        <v>23</v>
      </c>
      <c r="D19" s="136">
        <v>23</v>
      </c>
      <c r="E19" s="119">
        <v>24</v>
      </c>
      <c r="F19" s="119">
        <v>24</v>
      </c>
      <c r="G19" s="150">
        <v>14</v>
      </c>
      <c r="H19" s="72">
        <v>16</v>
      </c>
      <c r="I19" s="56">
        <v>13</v>
      </c>
      <c r="J19" s="135">
        <v>26</v>
      </c>
      <c r="K19" s="141">
        <v>27</v>
      </c>
      <c r="L19" s="119">
        <v>24</v>
      </c>
      <c r="M19" s="135">
        <v>26</v>
      </c>
      <c r="N19" s="136">
        <v>23</v>
      </c>
      <c r="O19" s="108">
        <v>15</v>
      </c>
      <c r="P19" s="150">
        <v>14</v>
      </c>
      <c r="Q19" s="81">
        <v>25</v>
      </c>
      <c r="R19" s="141">
        <v>27</v>
      </c>
      <c r="S19" s="119">
        <v>24</v>
      </c>
      <c r="T19" s="135">
        <v>26</v>
      </c>
      <c r="U19" s="120">
        <v>22</v>
      </c>
      <c r="V19" s="83">
        <v>17</v>
      </c>
      <c r="W19" s="150">
        <v>14</v>
      </c>
      <c r="X19" s="135">
        <v>26</v>
      </c>
      <c r="Y19" s="135">
        <v>26</v>
      </c>
      <c r="Z19" s="136">
        <v>23</v>
      </c>
      <c r="AA19" s="136">
        <v>23</v>
      </c>
      <c r="AB19" s="143">
        <v>28</v>
      </c>
      <c r="AC19" s="72">
        <v>16</v>
      </c>
      <c r="AD19" s="150">
        <v>14</v>
      </c>
      <c r="AE19" s="143">
        <v>28</v>
      </c>
      <c r="AF19" s="143">
        <v>28</v>
      </c>
      <c r="AG19" s="143">
        <v>28</v>
      </c>
      <c r="AH19" s="347"/>
      <c r="AI19" s="347"/>
      <c r="AJ19" s="351">
        <v>0.625</v>
      </c>
      <c r="AK19" s="352">
        <v>179</v>
      </c>
      <c r="AL19" s="352">
        <v>174</v>
      </c>
      <c r="AM19" s="352">
        <v>199</v>
      </c>
      <c r="AN19" s="352">
        <v>183</v>
      </c>
      <c r="AO19" s="352">
        <v>113</v>
      </c>
      <c r="AP19" s="352">
        <v>113</v>
      </c>
      <c r="AQ19" s="352">
        <v>84</v>
      </c>
      <c r="AR19" s="352">
        <v>179</v>
      </c>
      <c r="AS19" s="352">
        <v>176</v>
      </c>
      <c r="AT19" s="352">
        <v>181</v>
      </c>
      <c r="AU19" s="352">
        <v>172</v>
      </c>
      <c r="AV19" s="352">
        <v>166</v>
      </c>
      <c r="AW19" s="352">
        <v>113</v>
      </c>
      <c r="AX19" s="352">
        <v>84</v>
      </c>
      <c r="AY19" s="352">
        <v>179</v>
      </c>
      <c r="AZ19" s="352">
        <v>174</v>
      </c>
      <c r="BA19" s="352">
        <v>182</v>
      </c>
      <c r="BB19" s="352">
        <v>174</v>
      </c>
      <c r="BC19" s="352">
        <v>162</v>
      </c>
      <c r="BD19" s="352">
        <v>127</v>
      </c>
      <c r="BE19" s="352">
        <v>84</v>
      </c>
      <c r="BF19" s="352">
        <v>179</v>
      </c>
      <c r="BG19" s="352">
        <v>174</v>
      </c>
      <c r="BH19" s="352">
        <v>181</v>
      </c>
      <c r="BI19" s="352">
        <v>113</v>
      </c>
      <c r="BJ19" s="352">
        <v>113</v>
      </c>
      <c r="BK19" s="352">
        <v>113</v>
      </c>
      <c r="BL19" s="352">
        <v>84</v>
      </c>
      <c r="BM19" s="352">
        <v>179</v>
      </c>
      <c r="BN19" s="352">
        <v>174</v>
      </c>
      <c r="BO19" s="352">
        <v>182</v>
      </c>
      <c r="BP19" s="347"/>
      <c r="BQ19" s="347"/>
    </row>
    <row r="20" spans="1:69">
      <c r="A20" s="347"/>
      <c r="B20" s="350">
        <v>0.66666666666666663</v>
      </c>
      <c r="C20" s="452">
        <v>23</v>
      </c>
      <c r="D20" s="119">
        <v>24</v>
      </c>
      <c r="E20" s="81">
        <v>25</v>
      </c>
      <c r="F20" s="119">
        <v>24</v>
      </c>
      <c r="G20" s="150">
        <v>14</v>
      </c>
      <c r="H20" s="108">
        <v>15</v>
      </c>
      <c r="I20" s="56">
        <v>13</v>
      </c>
      <c r="J20" s="135">
        <v>26</v>
      </c>
      <c r="K20" s="135">
        <v>26</v>
      </c>
      <c r="L20" s="81">
        <v>25</v>
      </c>
      <c r="M20" s="135">
        <v>26</v>
      </c>
      <c r="N20" s="136">
        <v>23</v>
      </c>
      <c r="O20" s="108">
        <v>15</v>
      </c>
      <c r="P20" s="150">
        <v>14</v>
      </c>
      <c r="Q20" s="119">
        <v>24</v>
      </c>
      <c r="R20" s="119">
        <v>24</v>
      </c>
      <c r="S20" s="81">
        <v>25</v>
      </c>
      <c r="T20" s="135">
        <v>26</v>
      </c>
      <c r="U20" s="136">
        <v>23</v>
      </c>
      <c r="V20" s="83">
        <v>17</v>
      </c>
      <c r="W20" s="56">
        <v>13</v>
      </c>
      <c r="X20" s="81">
        <v>25</v>
      </c>
      <c r="Y20" s="119">
        <v>24</v>
      </c>
      <c r="Z20" s="81">
        <v>25</v>
      </c>
      <c r="AA20" s="136">
        <v>23</v>
      </c>
      <c r="AB20" s="143">
        <v>28</v>
      </c>
      <c r="AC20" s="72">
        <v>16</v>
      </c>
      <c r="AD20" s="150">
        <v>14</v>
      </c>
      <c r="AE20" s="143">
        <v>28</v>
      </c>
      <c r="AF20" s="143">
        <v>28</v>
      </c>
      <c r="AG20" s="143">
        <v>28</v>
      </c>
      <c r="AH20" s="347"/>
      <c r="AI20" s="347"/>
      <c r="AJ20" s="351">
        <v>0.66666666666666663</v>
      </c>
      <c r="AK20" s="352">
        <v>172</v>
      </c>
      <c r="AL20" s="352">
        <v>169</v>
      </c>
      <c r="AM20" s="352">
        <v>187</v>
      </c>
      <c r="AN20" s="352">
        <v>177</v>
      </c>
      <c r="AO20" s="352">
        <v>108</v>
      </c>
      <c r="AP20" s="352">
        <v>108</v>
      </c>
      <c r="AQ20" s="352">
        <v>83</v>
      </c>
      <c r="AR20" s="352">
        <v>172</v>
      </c>
      <c r="AS20" s="352">
        <v>168</v>
      </c>
      <c r="AT20" s="352">
        <v>173</v>
      </c>
      <c r="AU20" s="352">
        <v>172</v>
      </c>
      <c r="AV20" s="352">
        <v>161</v>
      </c>
      <c r="AW20" s="352">
        <v>108</v>
      </c>
      <c r="AX20" s="352">
        <v>83</v>
      </c>
      <c r="AY20" s="352">
        <v>172</v>
      </c>
      <c r="AZ20" s="352">
        <v>169</v>
      </c>
      <c r="BA20" s="352">
        <v>182</v>
      </c>
      <c r="BB20" s="352">
        <v>171</v>
      </c>
      <c r="BC20" s="352">
        <v>159</v>
      </c>
      <c r="BD20" s="352">
        <v>117</v>
      </c>
      <c r="BE20" s="352">
        <v>83</v>
      </c>
      <c r="BF20" s="352">
        <v>172</v>
      </c>
      <c r="BG20" s="352">
        <v>169</v>
      </c>
      <c r="BH20" s="352">
        <v>175</v>
      </c>
      <c r="BI20" s="352">
        <v>108</v>
      </c>
      <c r="BJ20" s="352">
        <v>108</v>
      </c>
      <c r="BK20" s="352">
        <v>108</v>
      </c>
      <c r="BL20" s="352">
        <v>83</v>
      </c>
      <c r="BM20" s="352">
        <v>172</v>
      </c>
      <c r="BN20" s="352">
        <v>169</v>
      </c>
      <c r="BO20" s="352">
        <v>182</v>
      </c>
      <c r="BP20" s="347"/>
      <c r="BQ20" s="347"/>
    </row>
    <row r="21" spans="1:69">
      <c r="A21" s="347"/>
      <c r="B21" s="350">
        <v>0.70833333333333337</v>
      </c>
      <c r="C21" s="452">
        <v>23</v>
      </c>
      <c r="D21" s="136">
        <v>23</v>
      </c>
      <c r="E21" s="119">
        <v>24</v>
      </c>
      <c r="F21" s="135">
        <v>26</v>
      </c>
      <c r="G21" s="56">
        <v>13</v>
      </c>
      <c r="H21" s="108">
        <v>15</v>
      </c>
      <c r="I21" s="69">
        <v>12</v>
      </c>
      <c r="J21" s="81">
        <v>25</v>
      </c>
      <c r="K21" s="120">
        <v>22</v>
      </c>
      <c r="L21" s="120">
        <v>22</v>
      </c>
      <c r="M21" s="119">
        <v>24</v>
      </c>
      <c r="N21" s="120">
        <v>22</v>
      </c>
      <c r="O21" s="108">
        <v>15</v>
      </c>
      <c r="P21" s="56">
        <v>13</v>
      </c>
      <c r="Q21" s="81">
        <v>25</v>
      </c>
      <c r="R21" s="81">
        <v>25</v>
      </c>
      <c r="S21" s="81">
        <v>25</v>
      </c>
      <c r="T21" s="119">
        <v>24</v>
      </c>
      <c r="U21" s="120">
        <v>22</v>
      </c>
      <c r="V21" s="83">
        <v>17</v>
      </c>
      <c r="W21" s="56">
        <v>13</v>
      </c>
      <c r="X21" s="81">
        <v>25</v>
      </c>
      <c r="Y21" s="135">
        <v>26</v>
      </c>
      <c r="Z21" s="81">
        <v>25</v>
      </c>
      <c r="AA21" s="136">
        <v>23</v>
      </c>
      <c r="AB21" s="57">
        <v>33</v>
      </c>
      <c r="AC21" s="72">
        <v>16</v>
      </c>
      <c r="AD21" s="150">
        <v>14</v>
      </c>
      <c r="AE21" s="57">
        <v>33</v>
      </c>
      <c r="AF21" s="57">
        <v>33</v>
      </c>
      <c r="AG21" s="57">
        <v>33</v>
      </c>
      <c r="AH21" s="347"/>
      <c r="AI21" s="347"/>
      <c r="AJ21" s="351">
        <v>0.70833333333333337</v>
      </c>
      <c r="AK21" s="352">
        <v>164</v>
      </c>
      <c r="AL21" s="352">
        <v>164</v>
      </c>
      <c r="AM21" s="352">
        <v>167</v>
      </c>
      <c r="AN21" s="352">
        <v>181</v>
      </c>
      <c r="AO21" s="352">
        <v>102</v>
      </c>
      <c r="AP21" s="352">
        <v>102</v>
      </c>
      <c r="AQ21" s="352">
        <v>80</v>
      </c>
      <c r="AR21" s="352">
        <v>164</v>
      </c>
      <c r="AS21" s="352">
        <v>152</v>
      </c>
      <c r="AT21" s="352">
        <v>156</v>
      </c>
      <c r="AU21" s="352">
        <v>161</v>
      </c>
      <c r="AV21" s="352">
        <v>146</v>
      </c>
      <c r="AW21" s="352">
        <v>102</v>
      </c>
      <c r="AX21" s="352">
        <v>80</v>
      </c>
      <c r="AY21" s="352">
        <v>164</v>
      </c>
      <c r="AZ21" s="352">
        <v>164</v>
      </c>
      <c r="BA21" s="352">
        <v>167</v>
      </c>
      <c r="BB21" s="352">
        <v>166</v>
      </c>
      <c r="BC21" s="352">
        <v>155</v>
      </c>
      <c r="BD21" s="352">
        <v>112</v>
      </c>
      <c r="BE21" s="352">
        <v>80</v>
      </c>
      <c r="BF21" s="352">
        <v>164</v>
      </c>
      <c r="BG21" s="352">
        <v>164</v>
      </c>
      <c r="BH21" s="352">
        <v>167</v>
      </c>
      <c r="BI21" s="352">
        <v>102</v>
      </c>
      <c r="BJ21" s="352">
        <v>102</v>
      </c>
      <c r="BK21" s="352">
        <v>102</v>
      </c>
      <c r="BL21" s="352">
        <v>80</v>
      </c>
      <c r="BM21" s="352">
        <v>164</v>
      </c>
      <c r="BN21" s="352">
        <v>164</v>
      </c>
      <c r="BO21" s="352">
        <v>167</v>
      </c>
      <c r="BP21" s="347"/>
      <c r="BQ21" s="347"/>
    </row>
    <row r="22" spans="1:69">
      <c r="A22" s="347"/>
      <c r="B22" s="350">
        <v>0.75</v>
      </c>
      <c r="C22" s="58">
        <v>20</v>
      </c>
      <c r="D22" s="136">
        <v>23</v>
      </c>
      <c r="E22" s="80">
        <v>21</v>
      </c>
      <c r="F22" s="135">
        <v>26</v>
      </c>
      <c r="G22" s="85">
        <v>11</v>
      </c>
      <c r="H22" s="56">
        <v>13</v>
      </c>
      <c r="I22" s="69">
        <v>12</v>
      </c>
      <c r="J22" s="120">
        <v>22</v>
      </c>
      <c r="K22" s="149">
        <v>19</v>
      </c>
      <c r="L22" s="80">
        <v>21</v>
      </c>
      <c r="M22" s="136">
        <v>23</v>
      </c>
      <c r="N22" s="137">
        <v>20</v>
      </c>
      <c r="O22" s="56">
        <v>13</v>
      </c>
      <c r="P22" s="56">
        <v>13</v>
      </c>
      <c r="Q22" s="80">
        <v>21</v>
      </c>
      <c r="R22" s="81">
        <v>25</v>
      </c>
      <c r="S22" s="136">
        <v>23</v>
      </c>
      <c r="T22" s="120">
        <v>22</v>
      </c>
      <c r="U22" s="137">
        <v>20</v>
      </c>
      <c r="V22" s="72">
        <v>16</v>
      </c>
      <c r="W22" s="69">
        <v>12</v>
      </c>
      <c r="X22" s="80">
        <v>21</v>
      </c>
      <c r="Y22" s="81">
        <v>25</v>
      </c>
      <c r="Z22" s="120">
        <v>22</v>
      </c>
      <c r="AA22" s="137">
        <v>20</v>
      </c>
      <c r="AB22" s="135">
        <v>26</v>
      </c>
      <c r="AC22" s="150">
        <v>14</v>
      </c>
      <c r="AD22" s="69">
        <v>12</v>
      </c>
      <c r="AE22" s="135">
        <v>26</v>
      </c>
      <c r="AF22" s="135">
        <v>26</v>
      </c>
      <c r="AG22" s="135">
        <v>26</v>
      </c>
      <c r="AH22" s="353"/>
      <c r="AI22" s="347"/>
      <c r="AJ22" s="351">
        <v>0.75</v>
      </c>
      <c r="AK22" s="352">
        <v>146</v>
      </c>
      <c r="AL22" s="352">
        <v>158</v>
      </c>
      <c r="AM22" s="352">
        <v>150</v>
      </c>
      <c r="AN22" s="352">
        <v>180</v>
      </c>
      <c r="AO22" s="352">
        <v>92</v>
      </c>
      <c r="AP22" s="352">
        <v>92</v>
      </c>
      <c r="AQ22" s="352">
        <v>73</v>
      </c>
      <c r="AR22" s="352">
        <v>146</v>
      </c>
      <c r="AS22" s="352">
        <v>139</v>
      </c>
      <c r="AT22" s="352">
        <v>143</v>
      </c>
      <c r="AU22" s="352">
        <v>149</v>
      </c>
      <c r="AV22" s="352">
        <v>134</v>
      </c>
      <c r="AW22" s="352">
        <v>92</v>
      </c>
      <c r="AX22" s="352">
        <v>73</v>
      </c>
      <c r="AY22" s="352">
        <v>146</v>
      </c>
      <c r="AZ22" s="352">
        <v>158</v>
      </c>
      <c r="BA22" s="352">
        <v>149</v>
      </c>
      <c r="BB22" s="352">
        <v>142</v>
      </c>
      <c r="BC22" s="352">
        <v>132</v>
      </c>
      <c r="BD22" s="352">
        <v>101</v>
      </c>
      <c r="BE22" s="352">
        <v>73</v>
      </c>
      <c r="BF22" s="352">
        <v>146</v>
      </c>
      <c r="BG22" s="352">
        <v>158</v>
      </c>
      <c r="BH22" s="352">
        <v>148</v>
      </c>
      <c r="BI22" s="352">
        <v>92</v>
      </c>
      <c r="BJ22" s="352">
        <v>92</v>
      </c>
      <c r="BK22" s="352">
        <v>92</v>
      </c>
      <c r="BL22" s="352">
        <v>73</v>
      </c>
      <c r="BM22" s="352">
        <v>146</v>
      </c>
      <c r="BN22" s="352">
        <v>158</v>
      </c>
      <c r="BO22" s="352">
        <v>149</v>
      </c>
      <c r="BP22" s="347"/>
      <c r="BQ22" s="347"/>
    </row>
    <row r="23" spans="1:69">
      <c r="A23" s="347"/>
      <c r="B23" s="350">
        <v>0.79166666666666663</v>
      </c>
      <c r="C23" s="58">
        <v>20</v>
      </c>
      <c r="D23" s="137">
        <v>20</v>
      </c>
      <c r="E23" s="149">
        <v>19</v>
      </c>
      <c r="F23" s="120">
        <v>22</v>
      </c>
      <c r="G23" s="73">
        <v>10</v>
      </c>
      <c r="H23" s="85">
        <v>11</v>
      </c>
      <c r="I23" s="69">
        <v>12</v>
      </c>
      <c r="J23" s="120">
        <v>22</v>
      </c>
      <c r="K23" s="149">
        <v>19</v>
      </c>
      <c r="L23" s="149">
        <v>19</v>
      </c>
      <c r="M23" s="137">
        <v>20</v>
      </c>
      <c r="N23" s="144">
        <v>18</v>
      </c>
      <c r="O23" s="85">
        <v>11</v>
      </c>
      <c r="P23" s="56">
        <v>13</v>
      </c>
      <c r="Q23" s="80">
        <v>21</v>
      </c>
      <c r="R23" s="80">
        <v>21</v>
      </c>
      <c r="S23" s="137">
        <v>20</v>
      </c>
      <c r="T23" s="80">
        <v>21</v>
      </c>
      <c r="U23" s="144">
        <v>18</v>
      </c>
      <c r="V23" s="56">
        <v>13</v>
      </c>
      <c r="W23" s="56">
        <v>13</v>
      </c>
      <c r="X23" s="80">
        <v>21</v>
      </c>
      <c r="Y23" s="80">
        <v>21</v>
      </c>
      <c r="Z23" s="137">
        <v>20</v>
      </c>
      <c r="AA23" s="137">
        <v>20</v>
      </c>
      <c r="AB23" s="144">
        <v>18</v>
      </c>
      <c r="AC23" s="69">
        <v>12</v>
      </c>
      <c r="AD23" s="73">
        <v>10</v>
      </c>
      <c r="AE23" s="144">
        <v>18</v>
      </c>
      <c r="AF23" s="144">
        <v>18</v>
      </c>
      <c r="AG23" s="144">
        <v>18</v>
      </c>
      <c r="AH23" s="353"/>
      <c r="AI23" s="347"/>
      <c r="AJ23" s="351">
        <v>0.79166666666666663</v>
      </c>
      <c r="AK23" s="352">
        <v>133</v>
      </c>
      <c r="AL23" s="352">
        <v>131</v>
      </c>
      <c r="AM23" s="352">
        <v>134</v>
      </c>
      <c r="AN23" s="352">
        <v>153</v>
      </c>
      <c r="AO23" s="352">
        <v>79</v>
      </c>
      <c r="AP23" s="352">
        <v>79</v>
      </c>
      <c r="AQ23" s="352">
        <v>69</v>
      </c>
      <c r="AR23" s="352">
        <v>133</v>
      </c>
      <c r="AS23" s="352">
        <v>125</v>
      </c>
      <c r="AT23" s="352">
        <v>129</v>
      </c>
      <c r="AU23" s="352">
        <v>127</v>
      </c>
      <c r="AV23" s="352">
        <v>119</v>
      </c>
      <c r="AW23" s="352">
        <v>79</v>
      </c>
      <c r="AX23" s="352">
        <v>69</v>
      </c>
      <c r="AY23" s="352">
        <v>133</v>
      </c>
      <c r="AZ23" s="352">
        <v>131</v>
      </c>
      <c r="BA23" s="352">
        <v>131</v>
      </c>
      <c r="BB23" s="352">
        <v>131</v>
      </c>
      <c r="BC23" s="352">
        <v>122</v>
      </c>
      <c r="BD23" s="352">
        <v>85</v>
      </c>
      <c r="BE23" s="352">
        <v>69</v>
      </c>
      <c r="BF23" s="352">
        <v>133</v>
      </c>
      <c r="BG23" s="352">
        <v>131</v>
      </c>
      <c r="BH23" s="352">
        <v>133</v>
      </c>
      <c r="BI23" s="352">
        <v>79</v>
      </c>
      <c r="BJ23" s="352">
        <v>79</v>
      </c>
      <c r="BK23" s="352">
        <v>79</v>
      </c>
      <c r="BL23" s="352">
        <v>69</v>
      </c>
      <c r="BM23" s="352">
        <v>133</v>
      </c>
      <c r="BN23" s="352">
        <v>131</v>
      </c>
      <c r="BO23" s="352">
        <v>131</v>
      </c>
      <c r="BP23" s="347"/>
      <c r="BQ23" s="347"/>
    </row>
    <row r="24" spans="1:69">
      <c r="A24" s="347"/>
      <c r="B24" s="350">
        <v>0.83333333333333337</v>
      </c>
      <c r="C24" s="453">
        <v>17</v>
      </c>
      <c r="D24" s="72">
        <v>16</v>
      </c>
      <c r="E24" s="72">
        <v>16</v>
      </c>
      <c r="F24" s="108">
        <v>15</v>
      </c>
      <c r="G24" s="85">
        <v>11</v>
      </c>
      <c r="H24" s="69">
        <v>12</v>
      </c>
      <c r="I24" s="69">
        <v>12</v>
      </c>
      <c r="J24" s="149">
        <v>19</v>
      </c>
      <c r="K24" s="72">
        <v>16</v>
      </c>
      <c r="L24" s="72">
        <v>16</v>
      </c>
      <c r="M24" s="83">
        <v>17</v>
      </c>
      <c r="N24" s="72">
        <v>16</v>
      </c>
      <c r="O24" s="69">
        <v>12</v>
      </c>
      <c r="P24" s="69">
        <v>12</v>
      </c>
      <c r="Q24" s="144">
        <v>18</v>
      </c>
      <c r="R24" s="83">
        <v>17</v>
      </c>
      <c r="S24" s="72">
        <v>16</v>
      </c>
      <c r="T24" s="137">
        <v>20</v>
      </c>
      <c r="U24" s="144">
        <v>18</v>
      </c>
      <c r="V24" s="69">
        <v>12</v>
      </c>
      <c r="W24" s="69">
        <v>12</v>
      </c>
      <c r="X24" s="144">
        <v>18</v>
      </c>
      <c r="Y24" s="83">
        <v>17</v>
      </c>
      <c r="Z24" s="83">
        <v>17</v>
      </c>
      <c r="AA24" s="83">
        <v>17</v>
      </c>
      <c r="AB24" s="85">
        <v>11</v>
      </c>
      <c r="AC24" s="56">
        <v>13</v>
      </c>
      <c r="AD24" s="85">
        <v>11</v>
      </c>
      <c r="AE24" s="85">
        <v>11</v>
      </c>
      <c r="AF24" s="85">
        <v>11</v>
      </c>
      <c r="AG24" s="85">
        <v>11</v>
      </c>
      <c r="AH24" s="353"/>
      <c r="AI24" s="347"/>
      <c r="AJ24" s="351">
        <v>0.83333333333333337</v>
      </c>
      <c r="AK24" s="352">
        <v>110</v>
      </c>
      <c r="AL24" s="352">
        <v>107</v>
      </c>
      <c r="AM24" s="352">
        <v>107</v>
      </c>
      <c r="AN24" s="352">
        <v>102</v>
      </c>
      <c r="AO24" s="352">
        <v>69</v>
      </c>
      <c r="AP24" s="352">
        <v>69</v>
      </c>
      <c r="AQ24" s="352">
        <v>62</v>
      </c>
      <c r="AR24" s="352">
        <v>110</v>
      </c>
      <c r="AS24" s="352">
        <v>100</v>
      </c>
      <c r="AT24" s="352">
        <v>103</v>
      </c>
      <c r="AU24" s="352">
        <v>104</v>
      </c>
      <c r="AV24" s="352">
        <v>97</v>
      </c>
      <c r="AW24" s="352">
        <v>69</v>
      </c>
      <c r="AX24" s="352">
        <v>62</v>
      </c>
      <c r="AY24" s="352">
        <v>110</v>
      </c>
      <c r="AZ24" s="352">
        <v>107</v>
      </c>
      <c r="BA24" s="352">
        <v>106</v>
      </c>
      <c r="BB24" s="352">
        <v>115</v>
      </c>
      <c r="BC24" s="352">
        <v>107</v>
      </c>
      <c r="BD24" s="352">
        <v>70</v>
      </c>
      <c r="BE24" s="352">
        <v>62</v>
      </c>
      <c r="BF24" s="352">
        <v>110</v>
      </c>
      <c r="BG24" s="352">
        <v>107</v>
      </c>
      <c r="BH24" s="352">
        <v>109</v>
      </c>
      <c r="BI24" s="352">
        <v>69</v>
      </c>
      <c r="BJ24" s="352">
        <v>69</v>
      </c>
      <c r="BK24" s="352">
        <v>69</v>
      </c>
      <c r="BL24" s="352">
        <v>62</v>
      </c>
      <c r="BM24" s="352">
        <v>110</v>
      </c>
      <c r="BN24" s="352">
        <v>107</v>
      </c>
      <c r="BO24" s="352">
        <v>106</v>
      </c>
      <c r="BP24" s="347"/>
      <c r="BQ24" s="347"/>
    </row>
    <row r="25" spans="1:69">
      <c r="A25" s="347"/>
      <c r="B25" s="350">
        <v>0.875</v>
      </c>
      <c r="C25" s="242">
        <v>10</v>
      </c>
      <c r="D25" s="73">
        <v>10</v>
      </c>
      <c r="E25" s="85">
        <v>11</v>
      </c>
      <c r="F25" s="69">
        <v>12</v>
      </c>
      <c r="G25" s="79">
        <v>8</v>
      </c>
      <c r="H25" s="68">
        <v>9</v>
      </c>
      <c r="I25" s="79">
        <v>8</v>
      </c>
      <c r="J25" s="56">
        <v>13</v>
      </c>
      <c r="K25" s="85">
        <v>11</v>
      </c>
      <c r="L25" s="85">
        <v>11</v>
      </c>
      <c r="M25" s="69">
        <v>12</v>
      </c>
      <c r="N25" s="73">
        <v>10</v>
      </c>
      <c r="O25" s="68">
        <v>9</v>
      </c>
      <c r="P25" s="79">
        <v>8</v>
      </c>
      <c r="Q25" s="85">
        <v>11</v>
      </c>
      <c r="R25" s="85">
        <v>11</v>
      </c>
      <c r="S25" s="85">
        <v>11</v>
      </c>
      <c r="T25" s="69">
        <v>12</v>
      </c>
      <c r="U25" s="73">
        <v>10</v>
      </c>
      <c r="V25" s="68">
        <v>9</v>
      </c>
      <c r="W25" s="79">
        <v>8</v>
      </c>
      <c r="X25" s="85">
        <v>11</v>
      </c>
      <c r="Y25" s="85">
        <v>11</v>
      </c>
      <c r="Z25" s="85">
        <v>11</v>
      </c>
      <c r="AA25" s="73">
        <v>10</v>
      </c>
      <c r="AB25" s="79">
        <v>8</v>
      </c>
      <c r="AC25" s="73">
        <v>10</v>
      </c>
      <c r="AD25" s="79">
        <v>8</v>
      </c>
      <c r="AE25" s="79">
        <v>8</v>
      </c>
      <c r="AF25" s="79">
        <v>8</v>
      </c>
      <c r="AG25" s="79">
        <v>8</v>
      </c>
      <c r="AH25" s="353"/>
      <c r="AI25" s="347"/>
      <c r="AJ25" s="351">
        <v>0.875</v>
      </c>
      <c r="AK25" s="352">
        <v>70</v>
      </c>
      <c r="AL25" s="352">
        <v>76</v>
      </c>
      <c r="AM25" s="352">
        <v>75</v>
      </c>
      <c r="AN25" s="352">
        <v>75</v>
      </c>
      <c r="AO25" s="352">
        <v>51</v>
      </c>
      <c r="AP25" s="352">
        <v>51</v>
      </c>
      <c r="AQ25" s="352">
        <v>46</v>
      </c>
      <c r="AR25" s="352">
        <v>70</v>
      </c>
      <c r="AS25" s="352">
        <v>72</v>
      </c>
      <c r="AT25" s="352">
        <v>74</v>
      </c>
      <c r="AU25" s="352">
        <v>75</v>
      </c>
      <c r="AV25" s="352">
        <v>68</v>
      </c>
      <c r="AW25" s="352">
        <v>51</v>
      </c>
      <c r="AX25" s="352">
        <v>46</v>
      </c>
      <c r="AY25" s="352">
        <v>70</v>
      </c>
      <c r="AZ25" s="352">
        <v>76</v>
      </c>
      <c r="BA25" s="352">
        <v>78</v>
      </c>
      <c r="BB25" s="352">
        <v>72</v>
      </c>
      <c r="BC25" s="352">
        <v>67</v>
      </c>
      <c r="BD25" s="352">
        <v>52</v>
      </c>
      <c r="BE25" s="352">
        <v>46</v>
      </c>
      <c r="BF25" s="352">
        <v>70</v>
      </c>
      <c r="BG25" s="352">
        <v>76</v>
      </c>
      <c r="BH25" s="352">
        <v>74</v>
      </c>
      <c r="BI25" s="352">
        <v>51</v>
      </c>
      <c r="BJ25" s="352">
        <v>51</v>
      </c>
      <c r="BK25" s="352">
        <v>51</v>
      </c>
      <c r="BL25" s="352">
        <v>46</v>
      </c>
      <c r="BM25" s="352">
        <v>70</v>
      </c>
      <c r="BN25" s="352">
        <v>76</v>
      </c>
      <c r="BO25" s="352">
        <v>78</v>
      </c>
      <c r="BP25" s="347"/>
      <c r="BQ25" s="347"/>
    </row>
    <row r="26" spans="1:69">
      <c r="A26" s="347"/>
      <c r="B26" s="350">
        <v>0.91666666666666663</v>
      </c>
      <c r="C26" s="454">
        <v>6</v>
      </c>
      <c r="D26" s="74">
        <v>6</v>
      </c>
      <c r="E26" s="79">
        <v>8</v>
      </c>
      <c r="F26" s="55">
        <v>7</v>
      </c>
      <c r="G26" s="74">
        <v>6</v>
      </c>
      <c r="H26" s="74">
        <v>6</v>
      </c>
      <c r="I26" s="54">
        <v>5</v>
      </c>
      <c r="J26" s="55">
        <v>7</v>
      </c>
      <c r="K26" s="55">
        <v>7</v>
      </c>
      <c r="L26" s="55">
        <v>7</v>
      </c>
      <c r="M26" s="55">
        <v>7</v>
      </c>
      <c r="N26" s="55">
        <v>7</v>
      </c>
      <c r="O26" s="74">
        <v>6</v>
      </c>
      <c r="P26" s="54">
        <v>5</v>
      </c>
      <c r="Q26" s="55">
        <v>7</v>
      </c>
      <c r="R26" s="55">
        <v>7</v>
      </c>
      <c r="S26" s="55">
        <v>7</v>
      </c>
      <c r="T26" s="55">
        <v>7</v>
      </c>
      <c r="U26" s="55">
        <v>7</v>
      </c>
      <c r="V26" s="54">
        <v>5</v>
      </c>
      <c r="W26" s="54">
        <v>5</v>
      </c>
      <c r="X26" s="55">
        <v>7</v>
      </c>
      <c r="Y26" s="55">
        <v>7</v>
      </c>
      <c r="Z26" s="55">
        <v>7</v>
      </c>
      <c r="AA26" s="74">
        <v>6</v>
      </c>
      <c r="AB26" s="74">
        <v>6</v>
      </c>
      <c r="AC26" s="74">
        <v>6</v>
      </c>
      <c r="AD26" s="54">
        <v>5</v>
      </c>
      <c r="AE26" s="74">
        <v>6</v>
      </c>
      <c r="AF26" s="74">
        <v>6</v>
      </c>
      <c r="AG26" s="74">
        <v>6</v>
      </c>
      <c r="AH26" s="353"/>
      <c r="AI26" s="347"/>
      <c r="AJ26" s="351">
        <v>0.91666666666666663</v>
      </c>
      <c r="AK26" s="352">
        <v>40</v>
      </c>
      <c r="AL26" s="352">
        <v>40</v>
      </c>
      <c r="AM26" s="352">
        <v>44</v>
      </c>
      <c r="AN26" s="352">
        <v>42</v>
      </c>
      <c r="AO26" s="352">
        <v>31</v>
      </c>
      <c r="AP26" s="352">
        <v>31</v>
      </c>
      <c r="AQ26" s="352">
        <v>27</v>
      </c>
      <c r="AR26" s="352">
        <v>40</v>
      </c>
      <c r="AS26" s="352">
        <v>38</v>
      </c>
      <c r="AT26" s="352">
        <v>39</v>
      </c>
      <c r="AU26" s="352">
        <v>39</v>
      </c>
      <c r="AV26" s="352">
        <v>39</v>
      </c>
      <c r="AW26" s="352">
        <v>31</v>
      </c>
      <c r="AX26" s="352">
        <v>27</v>
      </c>
      <c r="AY26" s="352">
        <v>40</v>
      </c>
      <c r="AZ26" s="352">
        <v>40</v>
      </c>
      <c r="BA26" s="352">
        <v>41</v>
      </c>
      <c r="BB26" s="352">
        <v>43</v>
      </c>
      <c r="BC26" s="352">
        <v>40</v>
      </c>
      <c r="BD26" s="352">
        <v>26</v>
      </c>
      <c r="BE26" s="352">
        <v>27</v>
      </c>
      <c r="BF26" s="352">
        <v>40</v>
      </c>
      <c r="BG26" s="352">
        <v>40</v>
      </c>
      <c r="BH26" s="352">
        <v>38</v>
      </c>
      <c r="BI26" s="352">
        <v>31</v>
      </c>
      <c r="BJ26" s="352">
        <v>31</v>
      </c>
      <c r="BK26" s="352">
        <v>31</v>
      </c>
      <c r="BL26" s="352">
        <v>27</v>
      </c>
      <c r="BM26" s="352">
        <v>40</v>
      </c>
      <c r="BN26" s="352">
        <v>40</v>
      </c>
      <c r="BO26" s="352">
        <v>41</v>
      </c>
      <c r="BP26" s="347"/>
      <c r="BQ26" s="347"/>
    </row>
    <row r="27" spans="1:69">
      <c r="A27" s="347"/>
      <c r="B27" s="350">
        <v>0.95833333333333337</v>
      </c>
      <c r="C27" s="93">
        <v>4</v>
      </c>
      <c r="D27" s="54">
        <v>5</v>
      </c>
      <c r="E27" s="74">
        <v>6</v>
      </c>
      <c r="F27" s="74">
        <v>6</v>
      </c>
      <c r="G27" s="67">
        <v>4</v>
      </c>
      <c r="H27" s="67">
        <v>4</v>
      </c>
      <c r="I27" s="54">
        <v>5</v>
      </c>
      <c r="J27" s="74">
        <v>6</v>
      </c>
      <c r="K27" s="74">
        <v>6</v>
      </c>
      <c r="L27" s="74">
        <v>6</v>
      </c>
      <c r="M27" s="54">
        <v>5</v>
      </c>
      <c r="N27" s="54">
        <v>5</v>
      </c>
      <c r="O27" s="54">
        <v>5</v>
      </c>
      <c r="P27" s="67">
        <v>4</v>
      </c>
      <c r="Q27" s="54">
        <v>5</v>
      </c>
      <c r="R27" s="54">
        <v>5</v>
      </c>
      <c r="S27" s="67">
        <v>4</v>
      </c>
      <c r="T27" s="54">
        <v>5</v>
      </c>
      <c r="U27" s="54">
        <v>5</v>
      </c>
      <c r="V27" s="54">
        <v>5</v>
      </c>
      <c r="W27" s="54">
        <v>5</v>
      </c>
      <c r="X27" s="54">
        <v>5</v>
      </c>
      <c r="Y27" s="54">
        <v>5</v>
      </c>
      <c r="Z27" s="54">
        <v>5</v>
      </c>
      <c r="AA27" s="67">
        <v>4</v>
      </c>
      <c r="AB27" s="67">
        <v>4</v>
      </c>
      <c r="AC27" s="67">
        <v>4</v>
      </c>
      <c r="AD27" s="67">
        <v>4</v>
      </c>
      <c r="AE27" s="67">
        <v>4</v>
      </c>
      <c r="AF27" s="67">
        <v>4</v>
      </c>
      <c r="AG27" s="12">
        <v>3</v>
      </c>
      <c r="AH27" s="353"/>
      <c r="AI27" s="347"/>
      <c r="AJ27" s="351">
        <v>0.95833333333333337</v>
      </c>
      <c r="AK27" s="352">
        <v>18</v>
      </c>
      <c r="AL27" s="352">
        <v>17</v>
      </c>
      <c r="AM27" s="352">
        <v>20</v>
      </c>
      <c r="AN27" s="352">
        <v>20</v>
      </c>
      <c r="AO27" s="352">
        <v>19</v>
      </c>
      <c r="AP27" s="352">
        <v>19</v>
      </c>
      <c r="AQ27" s="352">
        <v>13</v>
      </c>
      <c r="AR27" s="352">
        <v>18</v>
      </c>
      <c r="AS27" s="352">
        <v>20</v>
      </c>
      <c r="AT27" s="352">
        <v>21</v>
      </c>
      <c r="AU27" s="352">
        <v>19</v>
      </c>
      <c r="AV27" s="352">
        <v>21</v>
      </c>
      <c r="AW27" s="352">
        <v>19</v>
      </c>
      <c r="AX27" s="352">
        <v>13</v>
      </c>
      <c r="AY27" s="352">
        <v>18</v>
      </c>
      <c r="AZ27" s="352">
        <v>17</v>
      </c>
      <c r="BA27" s="352">
        <v>18</v>
      </c>
      <c r="BB27" s="352">
        <v>20</v>
      </c>
      <c r="BC27" s="352">
        <v>19</v>
      </c>
      <c r="BD27" s="352">
        <v>18</v>
      </c>
      <c r="BE27" s="352">
        <v>13</v>
      </c>
      <c r="BF27" s="352">
        <v>18</v>
      </c>
      <c r="BG27" s="352">
        <v>17</v>
      </c>
      <c r="BH27" s="352">
        <v>17</v>
      </c>
      <c r="BI27" s="352">
        <v>19</v>
      </c>
      <c r="BJ27" s="352">
        <v>19</v>
      </c>
      <c r="BK27" s="352">
        <v>19</v>
      </c>
      <c r="BL27" s="352">
        <v>13</v>
      </c>
      <c r="BM27" s="352">
        <v>18</v>
      </c>
      <c r="BN27" s="352">
        <v>17</v>
      </c>
      <c r="BO27" s="352">
        <v>18</v>
      </c>
      <c r="BP27" s="347"/>
      <c r="BQ27" s="347"/>
    </row>
    <row r="28" spans="1:69">
      <c r="A28" s="347"/>
      <c r="B28" s="354" t="s">
        <v>771</v>
      </c>
      <c r="C28" s="354">
        <v>348</v>
      </c>
      <c r="D28" s="354">
        <v>352</v>
      </c>
      <c r="E28" s="354">
        <v>375</v>
      </c>
      <c r="F28" s="354">
        <v>378</v>
      </c>
      <c r="G28" s="354">
        <v>242</v>
      </c>
      <c r="H28" s="354">
        <v>263</v>
      </c>
      <c r="I28" s="354">
        <v>216</v>
      </c>
      <c r="J28" s="354">
        <v>387</v>
      </c>
      <c r="K28" s="354">
        <v>378</v>
      </c>
      <c r="L28" s="354">
        <v>374</v>
      </c>
      <c r="M28" s="354">
        <v>377</v>
      </c>
      <c r="N28" s="354">
        <v>348</v>
      </c>
      <c r="O28" s="354">
        <v>265</v>
      </c>
      <c r="P28" s="354">
        <v>221</v>
      </c>
      <c r="Q28" s="354">
        <v>381</v>
      </c>
      <c r="R28" s="354">
        <v>385</v>
      </c>
      <c r="S28" s="354">
        <v>379</v>
      </c>
      <c r="T28" s="354">
        <v>390</v>
      </c>
      <c r="U28" s="354">
        <v>353</v>
      </c>
      <c r="V28" s="354">
        <v>277</v>
      </c>
      <c r="W28" s="354">
        <v>226</v>
      </c>
      <c r="X28" s="354">
        <v>384</v>
      </c>
      <c r="Y28" s="354">
        <v>383</v>
      </c>
      <c r="Z28" s="354">
        <v>383</v>
      </c>
      <c r="AA28" s="354">
        <v>348</v>
      </c>
      <c r="AB28" s="354">
        <v>400</v>
      </c>
      <c r="AC28" s="354">
        <v>294</v>
      </c>
      <c r="AD28" s="354">
        <v>261</v>
      </c>
      <c r="AE28" s="354">
        <v>400</v>
      </c>
      <c r="AF28" s="354">
        <v>400</v>
      </c>
      <c r="AG28" s="354">
        <v>400</v>
      </c>
      <c r="AH28" s="356">
        <v>10.568</v>
      </c>
      <c r="AI28" s="347"/>
      <c r="AJ28" s="357" t="s">
        <v>771</v>
      </c>
      <c r="AK28" s="354">
        <v>2.4990000000000001</v>
      </c>
      <c r="AL28" s="354">
        <v>2.4969999999999999</v>
      </c>
      <c r="AM28" s="354">
        <v>2.68</v>
      </c>
      <c r="AN28" s="354">
        <v>2.6280000000000001</v>
      </c>
      <c r="AO28" s="354">
        <v>1.802</v>
      </c>
      <c r="AP28" s="354">
        <v>1.802</v>
      </c>
      <c r="AQ28" s="354">
        <v>1.371</v>
      </c>
      <c r="AR28" s="354">
        <v>2.4990000000000001</v>
      </c>
      <c r="AS28" s="354">
        <v>2.552</v>
      </c>
      <c r="AT28" s="354">
        <v>2.6219999999999999</v>
      </c>
      <c r="AU28" s="354">
        <v>2.5129999999999999</v>
      </c>
      <c r="AV28" s="354">
        <v>2.3879999999999999</v>
      </c>
      <c r="AW28" s="354">
        <v>1.802</v>
      </c>
      <c r="AX28" s="354">
        <v>1.371</v>
      </c>
      <c r="AY28" s="354">
        <v>2.4990000000000001</v>
      </c>
      <c r="AZ28" s="354">
        <v>2.4969999999999999</v>
      </c>
      <c r="BA28" s="354">
        <v>2.569</v>
      </c>
      <c r="BB28" s="354">
        <v>2.5379999999999998</v>
      </c>
      <c r="BC28" s="354">
        <v>2.3660000000000001</v>
      </c>
      <c r="BD28" s="354">
        <v>1.802</v>
      </c>
      <c r="BE28" s="354">
        <v>1.371</v>
      </c>
      <c r="BF28" s="354">
        <v>2.4990000000000001</v>
      </c>
      <c r="BG28" s="354">
        <v>2.4969999999999999</v>
      </c>
      <c r="BH28" s="354">
        <v>2.621</v>
      </c>
      <c r="BI28" s="354">
        <v>1.802</v>
      </c>
      <c r="BJ28" s="354">
        <v>1.802</v>
      </c>
      <c r="BK28" s="354">
        <v>1.802</v>
      </c>
      <c r="BL28" s="354">
        <v>1.371</v>
      </c>
      <c r="BM28" s="354">
        <v>2.4990000000000001</v>
      </c>
      <c r="BN28" s="354">
        <v>2.4969999999999999</v>
      </c>
      <c r="BO28" s="354">
        <v>2.569</v>
      </c>
      <c r="BP28" s="356">
        <v>68.626999999999995</v>
      </c>
      <c r="BQ28" s="347"/>
    </row>
    <row r="29" spans="1:69">
      <c r="A29" s="347"/>
      <c r="B29" s="347"/>
      <c r="C29" s="347"/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347"/>
      <c r="AH29" s="347"/>
      <c r="AI29" s="347"/>
      <c r="AJ29" s="347"/>
      <c r="AK29" s="347"/>
      <c r="AL29" s="347"/>
      <c r="AM29" s="347"/>
      <c r="AN29" s="347"/>
      <c r="AO29" s="347"/>
      <c r="AP29" s="347"/>
      <c r="AQ29" s="347"/>
      <c r="AR29" s="347"/>
      <c r="AS29" s="347"/>
      <c r="AT29" s="347"/>
      <c r="AU29" s="347"/>
      <c r="AV29" s="347"/>
      <c r="AW29" s="347"/>
      <c r="AX29" s="347"/>
      <c r="AY29" s="347"/>
      <c r="AZ29" s="347"/>
      <c r="BA29" s="347"/>
      <c r="BB29" s="347"/>
      <c r="BC29" s="347"/>
      <c r="BD29" s="347"/>
      <c r="BE29" s="347"/>
      <c r="BF29" s="347"/>
      <c r="BG29" s="347"/>
      <c r="BH29" s="347"/>
      <c r="BI29" s="347"/>
      <c r="BJ29" s="347"/>
      <c r="BK29" s="347"/>
      <c r="BL29" s="347"/>
      <c r="BM29" s="347"/>
      <c r="BN29" s="347"/>
      <c r="BO29" s="347"/>
      <c r="BP29" s="347"/>
      <c r="BQ29" s="347"/>
    </row>
    <row r="30" spans="1:69">
      <c r="A30" s="347"/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347"/>
      <c r="AB30" s="347"/>
      <c r="AC30" s="347"/>
      <c r="AD30" s="347"/>
      <c r="AE30" s="347"/>
      <c r="AF30" s="347"/>
      <c r="AG30" s="347"/>
      <c r="AH30" s="347"/>
      <c r="AI30" s="347"/>
      <c r="AJ30" s="347"/>
      <c r="AK30" s="347"/>
      <c r="AL30" s="347"/>
      <c r="AM30" s="347"/>
      <c r="AN30" s="347"/>
      <c r="AO30" s="347"/>
      <c r="AP30" s="347"/>
      <c r="AQ30" s="347"/>
      <c r="AR30" s="347"/>
      <c r="AS30" s="347"/>
      <c r="AT30" s="347"/>
      <c r="AU30" s="347"/>
      <c r="AV30" s="347"/>
      <c r="AW30" s="347"/>
      <c r="AX30" s="347"/>
      <c r="AY30" s="347"/>
      <c r="AZ30" s="347"/>
      <c r="BA30" s="347"/>
      <c r="BB30" s="347"/>
      <c r="BC30" s="347"/>
      <c r="BD30" s="347"/>
      <c r="BE30" s="347"/>
      <c r="BF30" s="347"/>
      <c r="BG30" s="347"/>
      <c r="BH30" s="347"/>
      <c r="BI30" s="347"/>
      <c r="BJ30" s="347"/>
      <c r="BK30" s="347"/>
      <c r="BL30" s="347"/>
      <c r="BM30" s="347"/>
      <c r="BN30" s="347"/>
      <c r="BO30" s="347"/>
      <c r="BP30" s="347"/>
      <c r="BQ30" s="347"/>
    </row>
    <row r="31" spans="1:69">
      <c r="A31" s="347"/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7"/>
      <c r="AO31" s="347"/>
      <c r="AP31" s="347"/>
      <c r="AQ31" s="347"/>
      <c r="AR31" s="347"/>
      <c r="AS31" s="347"/>
      <c r="AT31" s="347"/>
      <c r="AU31" s="347"/>
      <c r="AV31" s="347"/>
      <c r="AW31" s="347"/>
      <c r="AX31" s="347"/>
      <c r="AY31" s="347"/>
      <c r="AZ31" s="347"/>
      <c r="BA31" s="347"/>
      <c r="BB31" s="347"/>
      <c r="BC31" s="347"/>
      <c r="BD31" s="347"/>
      <c r="BE31" s="347"/>
      <c r="BF31" s="347"/>
      <c r="BG31" s="347"/>
      <c r="BH31" s="347"/>
      <c r="BI31" s="347"/>
      <c r="BJ31" s="347"/>
      <c r="BK31" s="347"/>
      <c r="BL31" s="347"/>
      <c r="BM31" s="347"/>
      <c r="BN31" s="347"/>
      <c r="BO31" s="347"/>
      <c r="BP31" s="347"/>
      <c r="BQ31" s="347"/>
    </row>
    <row r="32" spans="1:69">
      <c r="A32" s="347"/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7"/>
      <c r="AD32" s="347"/>
      <c r="AE32" s="347"/>
      <c r="AF32" s="347"/>
      <c r="AG32" s="347"/>
      <c r="AH32" s="347"/>
      <c r="AI32" s="347"/>
      <c r="AJ32" s="347"/>
      <c r="AK32" s="347"/>
      <c r="AL32" s="347"/>
      <c r="AM32" s="347"/>
      <c r="AN32" s="347"/>
      <c r="AO32" s="347"/>
      <c r="AP32" s="347"/>
      <c r="AQ32" s="347"/>
      <c r="AR32" s="347"/>
      <c r="AS32" s="347"/>
      <c r="AT32" s="347"/>
      <c r="AU32" s="347"/>
      <c r="AV32" s="347"/>
      <c r="AW32" s="347"/>
      <c r="AX32" s="347"/>
      <c r="AY32" s="347"/>
      <c r="AZ32" s="347"/>
      <c r="BA32" s="347"/>
      <c r="BB32" s="347"/>
      <c r="BC32" s="347"/>
      <c r="BD32" s="347"/>
      <c r="BE32" s="347"/>
      <c r="BF32" s="347"/>
      <c r="BG32" s="347"/>
      <c r="BH32" s="347"/>
      <c r="BI32" s="347"/>
      <c r="BJ32" s="347"/>
      <c r="BK32" s="347"/>
      <c r="BL32" s="347"/>
      <c r="BM32" s="347"/>
      <c r="BN32" s="347"/>
      <c r="BO32" s="347"/>
      <c r="BP32" s="347"/>
      <c r="BQ32" s="347"/>
    </row>
    <row r="33" spans="1:69">
      <c r="A33" s="347"/>
      <c r="B33" s="358" t="s">
        <v>145</v>
      </c>
      <c r="C33" s="348">
        <v>45992</v>
      </c>
      <c r="D33" s="348">
        <v>45993</v>
      </c>
      <c r="E33" s="348">
        <v>45994</v>
      </c>
      <c r="F33" s="348">
        <v>45995</v>
      </c>
      <c r="G33" s="348">
        <v>45996</v>
      </c>
      <c r="H33" s="348">
        <v>45997</v>
      </c>
      <c r="I33" s="348">
        <v>45998</v>
      </c>
      <c r="J33" s="348">
        <v>45999</v>
      </c>
      <c r="K33" s="348">
        <v>46000</v>
      </c>
      <c r="L33" s="348">
        <v>46001</v>
      </c>
      <c r="M33" s="348">
        <v>46002</v>
      </c>
      <c r="N33" s="348">
        <v>46003</v>
      </c>
      <c r="O33" s="348">
        <v>46004</v>
      </c>
      <c r="P33" s="348">
        <v>46005</v>
      </c>
      <c r="Q33" s="348">
        <v>46006</v>
      </c>
      <c r="R33" s="348">
        <v>46007</v>
      </c>
      <c r="S33" s="348">
        <v>46008</v>
      </c>
      <c r="T33" s="348">
        <v>46009</v>
      </c>
      <c r="U33" s="348">
        <v>46010</v>
      </c>
      <c r="V33" s="348">
        <v>46011</v>
      </c>
      <c r="W33" s="348">
        <v>46012</v>
      </c>
      <c r="X33" s="348">
        <v>46013</v>
      </c>
      <c r="Y33" s="348">
        <v>46014</v>
      </c>
      <c r="Z33" s="348">
        <v>46015</v>
      </c>
      <c r="AA33" s="348">
        <v>46016</v>
      </c>
      <c r="AB33" s="348">
        <v>46017</v>
      </c>
      <c r="AC33" s="348">
        <v>46018</v>
      </c>
      <c r="AD33" s="348">
        <v>46019</v>
      </c>
      <c r="AE33" s="348">
        <v>46020</v>
      </c>
      <c r="AF33" s="348">
        <v>46021</v>
      </c>
      <c r="AG33" s="348">
        <v>46022</v>
      </c>
      <c r="AH33" s="347"/>
      <c r="AI33" s="347"/>
      <c r="AJ33" s="359" t="s">
        <v>763</v>
      </c>
      <c r="AK33" s="348">
        <v>45992</v>
      </c>
      <c r="AL33" s="348">
        <v>45993</v>
      </c>
      <c r="AM33" s="348">
        <v>45994</v>
      </c>
      <c r="AN33" s="348">
        <v>45995</v>
      </c>
      <c r="AO33" s="348">
        <v>45996</v>
      </c>
      <c r="AP33" s="348">
        <v>45997</v>
      </c>
      <c r="AQ33" s="348">
        <v>45998</v>
      </c>
      <c r="AR33" s="348">
        <v>45999</v>
      </c>
      <c r="AS33" s="348">
        <v>46000</v>
      </c>
      <c r="AT33" s="348">
        <v>46001</v>
      </c>
      <c r="AU33" s="348">
        <v>46002</v>
      </c>
      <c r="AV33" s="348">
        <v>46003</v>
      </c>
      <c r="AW33" s="348">
        <v>46004</v>
      </c>
      <c r="AX33" s="348">
        <v>46005</v>
      </c>
      <c r="AY33" s="348">
        <v>46006</v>
      </c>
      <c r="AZ33" s="348">
        <v>46007</v>
      </c>
      <c r="BA33" s="348">
        <v>46008</v>
      </c>
      <c r="BB33" s="348">
        <v>46009</v>
      </c>
      <c r="BC33" s="348">
        <v>46010</v>
      </c>
      <c r="BD33" s="348">
        <v>46011</v>
      </c>
      <c r="BE33" s="348">
        <v>46012</v>
      </c>
      <c r="BF33" s="348">
        <v>46013</v>
      </c>
      <c r="BG33" s="348">
        <v>46014</v>
      </c>
      <c r="BH33" s="348">
        <v>46015</v>
      </c>
      <c r="BI33" s="348">
        <v>46016</v>
      </c>
      <c r="BJ33" s="348">
        <v>46017</v>
      </c>
      <c r="BK33" s="348">
        <v>46018</v>
      </c>
      <c r="BL33" s="348">
        <v>46019</v>
      </c>
      <c r="BM33" s="348">
        <v>46020</v>
      </c>
      <c r="BN33" s="348">
        <v>46021</v>
      </c>
      <c r="BO33" s="348">
        <v>46022</v>
      </c>
      <c r="BP33" s="347"/>
      <c r="BQ33" s="347"/>
    </row>
    <row r="34" spans="1:69">
      <c r="A34" s="347"/>
      <c r="B34" s="359"/>
      <c r="C34" s="349" t="s">
        <v>768</v>
      </c>
      <c r="D34" s="349" t="s">
        <v>769</v>
      </c>
      <c r="E34" s="349" t="s">
        <v>770</v>
      </c>
      <c r="F34" s="349" t="s">
        <v>764</v>
      </c>
      <c r="G34" s="349" t="s">
        <v>765</v>
      </c>
      <c r="H34" s="349" t="s">
        <v>766</v>
      </c>
      <c r="I34" s="349" t="s">
        <v>767</v>
      </c>
      <c r="J34" s="349" t="s">
        <v>768</v>
      </c>
      <c r="K34" s="349" t="s">
        <v>769</v>
      </c>
      <c r="L34" s="349" t="s">
        <v>770</v>
      </c>
      <c r="M34" s="349" t="s">
        <v>764</v>
      </c>
      <c r="N34" s="349" t="s">
        <v>765</v>
      </c>
      <c r="O34" s="349" t="s">
        <v>766</v>
      </c>
      <c r="P34" s="349" t="s">
        <v>767</v>
      </c>
      <c r="Q34" s="349" t="s">
        <v>768</v>
      </c>
      <c r="R34" s="349" t="s">
        <v>769</v>
      </c>
      <c r="S34" s="349" t="s">
        <v>770</v>
      </c>
      <c r="T34" s="349" t="s">
        <v>764</v>
      </c>
      <c r="U34" s="349" t="s">
        <v>765</v>
      </c>
      <c r="V34" s="349" t="s">
        <v>766</v>
      </c>
      <c r="W34" s="349" t="s">
        <v>767</v>
      </c>
      <c r="X34" s="349" t="s">
        <v>768</v>
      </c>
      <c r="Y34" s="349" t="s">
        <v>769</v>
      </c>
      <c r="Z34" s="349" t="s">
        <v>770</v>
      </c>
      <c r="AA34" s="349" t="s">
        <v>764</v>
      </c>
      <c r="AB34" s="349" t="s">
        <v>765</v>
      </c>
      <c r="AC34" s="349" t="s">
        <v>766</v>
      </c>
      <c r="AD34" s="349" t="s">
        <v>767</v>
      </c>
      <c r="AE34" s="349" t="s">
        <v>768</v>
      </c>
      <c r="AF34" s="349" t="s">
        <v>769</v>
      </c>
      <c r="AG34" s="349" t="s">
        <v>770</v>
      </c>
      <c r="AH34" s="347"/>
      <c r="AI34" s="347"/>
      <c r="AJ34" s="359"/>
      <c r="AK34" s="349" t="s">
        <v>768</v>
      </c>
      <c r="AL34" s="349" t="s">
        <v>769</v>
      </c>
      <c r="AM34" s="349" t="s">
        <v>770</v>
      </c>
      <c r="AN34" s="349" t="s">
        <v>764</v>
      </c>
      <c r="AO34" s="349" t="s">
        <v>765</v>
      </c>
      <c r="AP34" s="349" t="s">
        <v>766</v>
      </c>
      <c r="AQ34" s="349" t="s">
        <v>767</v>
      </c>
      <c r="AR34" s="349" t="s">
        <v>768</v>
      </c>
      <c r="AS34" s="349" t="s">
        <v>769</v>
      </c>
      <c r="AT34" s="349" t="s">
        <v>770</v>
      </c>
      <c r="AU34" s="349" t="s">
        <v>764</v>
      </c>
      <c r="AV34" s="349" t="s">
        <v>765</v>
      </c>
      <c r="AW34" s="349" t="s">
        <v>766</v>
      </c>
      <c r="AX34" s="349" t="s">
        <v>767</v>
      </c>
      <c r="AY34" s="349" t="s">
        <v>768</v>
      </c>
      <c r="AZ34" s="349" t="s">
        <v>769</v>
      </c>
      <c r="BA34" s="349" t="s">
        <v>770</v>
      </c>
      <c r="BB34" s="349" t="s">
        <v>764</v>
      </c>
      <c r="BC34" s="349" t="s">
        <v>765</v>
      </c>
      <c r="BD34" s="349" t="s">
        <v>766</v>
      </c>
      <c r="BE34" s="349" t="s">
        <v>767</v>
      </c>
      <c r="BF34" s="349" t="s">
        <v>768</v>
      </c>
      <c r="BG34" s="349" t="s">
        <v>769</v>
      </c>
      <c r="BH34" s="349" t="s">
        <v>770</v>
      </c>
      <c r="BI34" s="349" t="s">
        <v>764</v>
      </c>
      <c r="BJ34" s="349" t="s">
        <v>765</v>
      </c>
      <c r="BK34" s="349" t="s">
        <v>766</v>
      </c>
      <c r="BL34" s="349" t="s">
        <v>767</v>
      </c>
      <c r="BM34" s="349" t="s">
        <v>768</v>
      </c>
      <c r="BN34" s="349" t="s">
        <v>769</v>
      </c>
      <c r="BO34" s="349" t="s">
        <v>770</v>
      </c>
      <c r="BP34" s="347"/>
      <c r="BQ34" s="347"/>
    </row>
    <row r="35" spans="1:69">
      <c r="A35" s="347"/>
      <c r="B35" s="350">
        <v>0</v>
      </c>
      <c r="C35" s="12">
        <v>2</v>
      </c>
      <c r="D35" s="12">
        <v>2</v>
      </c>
      <c r="E35" s="12">
        <v>2</v>
      </c>
      <c r="F35" s="12">
        <v>2</v>
      </c>
      <c r="G35" s="12">
        <v>2</v>
      </c>
      <c r="H35" s="12">
        <v>2</v>
      </c>
      <c r="I35" s="12">
        <v>2</v>
      </c>
      <c r="J35" s="12">
        <v>2</v>
      </c>
      <c r="K35" s="12">
        <v>2</v>
      </c>
      <c r="L35" s="12">
        <v>2</v>
      </c>
      <c r="M35" s="12">
        <v>2</v>
      </c>
      <c r="N35" s="12">
        <v>2</v>
      </c>
      <c r="O35" s="12">
        <v>2</v>
      </c>
      <c r="P35" s="12">
        <v>2</v>
      </c>
      <c r="Q35" s="12">
        <v>2</v>
      </c>
      <c r="R35" s="12">
        <v>2</v>
      </c>
      <c r="S35" s="12">
        <v>2</v>
      </c>
      <c r="T35" s="12">
        <v>2</v>
      </c>
      <c r="U35" s="12">
        <v>2</v>
      </c>
      <c r="V35" s="12">
        <v>2</v>
      </c>
      <c r="W35" s="12">
        <v>2</v>
      </c>
      <c r="X35" s="12">
        <v>2</v>
      </c>
      <c r="Y35" s="12">
        <v>2</v>
      </c>
      <c r="Z35" s="12">
        <v>2</v>
      </c>
      <c r="AA35" s="12">
        <v>2</v>
      </c>
      <c r="AB35" s="12">
        <v>2</v>
      </c>
      <c r="AC35" s="12">
        <v>2</v>
      </c>
      <c r="AD35" s="12">
        <v>2</v>
      </c>
      <c r="AE35" s="12">
        <v>2</v>
      </c>
      <c r="AF35" s="12">
        <v>2</v>
      </c>
      <c r="AG35" s="12">
        <v>2</v>
      </c>
      <c r="AH35" s="347"/>
      <c r="AI35" s="347"/>
      <c r="AJ35" s="351">
        <v>0</v>
      </c>
      <c r="AK35" s="352">
        <v>4</v>
      </c>
      <c r="AL35" s="352">
        <v>7</v>
      </c>
      <c r="AM35" s="352">
        <v>3</v>
      </c>
      <c r="AN35" s="352">
        <v>7</v>
      </c>
      <c r="AO35" s="352">
        <v>6</v>
      </c>
      <c r="AP35" s="352">
        <v>6</v>
      </c>
      <c r="AQ35" s="352">
        <v>6</v>
      </c>
      <c r="AR35" s="352">
        <v>4</v>
      </c>
      <c r="AS35" s="352">
        <v>7</v>
      </c>
      <c r="AT35" s="352">
        <v>7</v>
      </c>
      <c r="AU35" s="352">
        <v>10</v>
      </c>
      <c r="AV35" s="352">
        <v>11</v>
      </c>
      <c r="AW35" s="352">
        <v>6</v>
      </c>
      <c r="AX35" s="352">
        <v>6</v>
      </c>
      <c r="AY35" s="352">
        <v>4</v>
      </c>
      <c r="AZ35" s="352">
        <v>7</v>
      </c>
      <c r="BA35" s="352">
        <v>8</v>
      </c>
      <c r="BB35" s="352">
        <v>5</v>
      </c>
      <c r="BC35" s="352">
        <v>4</v>
      </c>
      <c r="BD35" s="352">
        <v>4</v>
      </c>
      <c r="BE35" s="352">
        <v>6</v>
      </c>
      <c r="BF35" s="352">
        <v>4</v>
      </c>
      <c r="BG35" s="352">
        <v>7</v>
      </c>
      <c r="BH35" s="352">
        <v>4</v>
      </c>
      <c r="BI35" s="352">
        <v>6</v>
      </c>
      <c r="BJ35" s="352">
        <v>6</v>
      </c>
      <c r="BK35" s="352">
        <v>6</v>
      </c>
      <c r="BL35" s="352">
        <v>6</v>
      </c>
      <c r="BM35" s="352">
        <v>4</v>
      </c>
      <c r="BN35" s="352">
        <v>7</v>
      </c>
      <c r="BO35" s="352">
        <v>8</v>
      </c>
      <c r="BP35" s="347"/>
      <c r="BQ35" s="347"/>
    </row>
    <row r="36" spans="1:69">
      <c r="A36" s="347"/>
      <c r="B36" s="350">
        <v>4.1666666666666664E-2</v>
      </c>
      <c r="C36" s="12">
        <v>2</v>
      </c>
      <c r="D36" s="12">
        <v>2</v>
      </c>
      <c r="E36" s="12">
        <v>2</v>
      </c>
      <c r="F36" s="12">
        <v>2</v>
      </c>
      <c r="G36" s="12">
        <v>2</v>
      </c>
      <c r="H36" s="12">
        <v>2</v>
      </c>
      <c r="I36" s="12">
        <v>2</v>
      </c>
      <c r="J36" s="12">
        <v>2</v>
      </c>
      <c r="K36" s="12">
        <v>2</v>
      </c>
      <c r="L36" s="12">
        <v>2</v>
      </c>
      <c r="M36" s="12">
        <v>2</v>
      </c>
      <c r="N36" s="12">
        <v>2</v>
      </c>
      <c r="O36" s="12">
        <v>2</v>
      </c>
      <c r="P36" s="12">
        <v>2</v>
      </c>
      <c r="Q36" s="12">
        <v>2</v>
      </c>
      <c r="R36" s="12">
        <v>2</v>
      </c>
      <c r="S36" s="12">
        <v>2</v>
      </c>
      <c r="T36" s="12">
        <v>2</v>
      </c>
      <c r="U36" s="12">
        <v>2</v>
      </c>
      <c r="V36" s="12">
        <v>2</v>
      </c>
      <c r="W36" s="12">
        <v>2</v>
      </c>
      <c r="X36" s="12">
        <v>2</v>
      </c>
      <c r="Y36" s="12">
        <v>2</v>
      </c>
      <c r="Z36" s="12">
        <v>2</v>
      </c>
      <c r="AA36" s="12">
        <v>2</v>
      </c>
      <c r="AB36" s="12">
        <v>2</v>
      </c>
      <c r="AC36" s="12">
        <v>2</v>
      </c>
      <c r="AD36" s="12">
        <v>2</v>
      </c>
      <c r="AE36" s="12">
        <v>2</v>
      </c>
      <c r="AF36" s="12">
        <v>2</v>
      </c>
      <c r="AG36" s="12">
        <v>2</v>
      </c>
      <c r="AH36" s="347"/>
      <c r="AI36" s="347"/>
      <c r="AJ36" s="351">
        <v>4.1666666666666664E-2</v>
      </c>
      <c r="AK36" s="352">
        <v>1</v>
      </c>
      <c r="AL36" s="352">
        <v>26</v>
      </c>
      <c r="AM36" s="352">
        <v>0</v>
      </c>
      <c r="AN36" s="352">
        <v>3</v>
      </c>
      <c r="AO36" s="352">
        <v>3</v>
      </c>
      <c r="AP36" s="352">
        <v>3</v>
      </c>
      <c r="AQ36" s="352">
        <v>1</v>
      </c>
      <c r="AR36" s="352">
        <v>1</v>
      </c>
      <c r="AS36" s="352">
        <v>3</v>
      </c>
      <c r="AT36" s="352">
        <v>3</v>
      </c>
      <c r="AU36" s="352">
        <v>25</v>
      </c>
      <c r="AV36" s="352">
        <v>27</v>
      </c>
      <c r="AW36" s="352">
        <v>3</v>
      </c>
      <c r="AX36" s="352">
        <v>1</v>
      </c>
      <c r="AY36" s="352">
        <v>1</v>
      </c>
      <c r="AZ36" s="352">
        <v>26</v>
      </c>
      <c r="BA36" s="352">
        <v>26</v>
      </c>
      <c r="BB36" s="352">
        <v>0</v>
      </c>
      <c r="BC36" s="352">
        <v>0</v>
      </c>
      <c r="BD36" s="352">
        <v>4</v>
      </c>
      <c r="BE36" s="352">
        <v>1</v>
      </c>
      <c r="BF36" s="352">
        <v>1</v>
      </c>
      <c r="BG36" s="352">
        <v>26</v>
      </c>
      <c r="BH36" s="352">
        <v>0</v>
      </c>
      <c r="BI36" s="352">
        <v>3</v>
      </c>
      <c r="BJ36" s="352">
        <v>3</v>
      </c>
      <c r="BK36" s="352">
        <v>3</v>
      </c>
      <c r="BL36" s="352">
        <v>1</v>
      </c>
      <c r="BM36" s="352">
        <v>1</v>
      </c>
      <c r="BN36" s="352">
        <v>26</v>
      </c>
      <c r="BO36" s="352">
        <v>26</v>
      </c>
      <c r="BP36" s="347"/>
      <c r="BQ36" s="347"/>
    </row>
    <row r="37" spans="1:69">
      <c r="A37" s="347"/>
      <c r="B37" s="350">
        <v>8.3333333333333329E-2</v>
      </c>
      <c r="C37" s="12">
        <v>2</v>
      </c>
      <c r="D37" s="12">
        <v>2</v>
      </c>
      <c r="E37" s="12">
        <v>2</v>
      </c>
      <c r="F37" s="12">
        <v>2</v>
      </c>
      <c r="G37" s="12">
        <v>2</v>
      </c>
      <c r="H37" s="12">
        <v>2</v>
      </c>
      <c r="I37" s="12">
        <v>2</v>
      </c>
      <c r="J37" s="12">
        <v>2</v>
      </c>
      <c r="K37" s="12">
        <v>2</v>
      </c>
      <c r="L37" s="12">
        <v>2</v>
      </c>
      <c r="M37" s="12">
        <v>2</v>
      </c>
      <c r="N37" s="12">
        <v>2</v>
      </c>
      <c r="O37" s="12">
        <v>2</v>
      </c>
      <c r="P37" s="12">
        <v>2</v>
      </c>
      <c r="Q37" s="12">
        <v>2</v>
      </c>
      <c r="R37" s="12">
        <v>2</v>
      </c>
      <c r="S37" s="12">
        <v>2</v>
      </c>
      <c r="T37" s="12">
        <v>2</v>
      </c>
      <c r="U37" s="12">
        <v>2</v>
      </c>
      <c r="V37" s="12">
        <v>2</v>
      </c>
      <c r="W37" s="12">
        <v>2</v>
      </c>
      <c r="X37" s="12">
        <v>2</v>
      </c>
      <c r="Y37" s="12">
        <v>2</v>
      </c>
      <c r="Z37" s="12">
        <v>2</v>
      </c>
      <c r="AA37" s="12">
        <v>2</v>
      </c>
      <c r="AB37" s="12">
        <v>2</v>
      </c>
      <c r="AC37" s="12">
        <v>2</v>
      </c>
      <c r="AD37" s="12">
        <v>2</v>
      </c>
      <c r="AE37" s="12">
        <v>2</v>
      </c>
      <c r="AF37" s="12">
        <v>2</v>
      </c>
      <c r="AG37" s="12">
        <v>2</v>
      </c>
      <c r="AH37" s="347"/>
      <c r="AI37" s="347"/>
      <c r="AJ37" s="351">
        <v>8.3333333333333329E-2</v>
      </c>
      <c r="AK37" s="352">
        <v>1</v>
      </c>
      <c r="AL37" s="352">
        <v>3</v>
      </c>
      <c r="AM37" s="352">
        <v>0</v>
      </c>
      <c r="AN37" s="352">
        <v>3</v>
      </c>
      <c r="AO37" s="352">
        <v>1</v>
      </c>
      <c r="AP37" s="352">
        <v>1</v>
      </c>
      <c r="AQ37" s="352">
        <v>1</v>
      </c>
      <c r="AR37" s="352">
        <v>1</v>
      </c>
      <c r="AS37" s="352">
        <v>0</v>
      </c>
      <c r="AT37" s="352">
        <v>0</v>
      </c>
      <c r="AU37" s="352">
        <v>4</v>
      </c>
      <c r="AV37" s="352">
        <v>9</v>
      </c>
      <c r="AW37" s="352">
        <v>1</v>
      </c>
      <c r="AX37" s="352">
        <v>1</v>
      </c>
      <c r="AY37" s="352">
        <v>1</v>
      </c>
      <c r="AZ37" s="352">
        <v>3</v>
      </c>
      <c r="BA37" s="352">
        <v>15</v>
      </c>
      <c r="BB37" s="352">
        <v>2</v>
      </c>
      <c r="BC37" s="352">
        <v>2</v>
      </c>
      <c r="BD37" s="352">
        <v>1</v>
      </c>
      <c r="BE37" s="352">
        <v>1</v>
      </c>
      <c r="BF37" s="352">
        <v>1</v>
      </c>
      <c r="BG37" s="352">
        <v>3</v>
      </c>
      <c r="BH37" s="352">
        <v>1</v>
      </c>
      <c r="BI37" s="352">
        <v>1</v>
      </c>
      <c r="BJ37" s="352">
        <v>1</v>
      </c>
      <c r="BK37" s="352">
        <v>1</v>
      </c>
      <c r="BL37" s="352">
        <v>1</v>
      </c>
      <c r="BM37" s="352">
        <v>1</v>
      </c>
      <c r="BN37" s="352">
        <v>3</v>
      </c>
      <c r="BO37" s="352">
        <v>15</v>
      </c>
      <c r="BP37" s="347"/>
      <c r="BQ37" s="347"/>
    </row>
    <row r="38" spans="1:69">
      <c r="A38" s="347"/>
      <c r="B38" s="350">
        <v>0.125</v>
      </c>
      <c r="C38" s="12">
        <v>2</v>
      </c>
      <c r="D38" s="12">
        <v>2</v>
      </c>
      <c r="E38" s="12">
        <v>2</v>
      </c>
      <c r="F38" s="12">
        <v>2</v>
      </c>
      <c r="G38" s="12">
        <v>2</v>
      </c>
      <c r="H38" s="12">
        <v>2</v>
      </c>
      <c r="I38" s="12">
        <v>2</v>
      </c>
      <c r="J38" s="12">
        <v>2</v>
      </c>
      <c r="K38" s="12">
        <v>2</v>
      </c>
      <c r="L38" s="12">
        <v>2</v>
      </c>
      <c r="M38" s="12">
        <v>2</v>
      </c>
      <c r="N38" s="12">
        <v>2</v>
      </c>
      <c r="O38" s="12">
        <v>2</v>
      </c>
      <c r="P38" s="12">
        <v>2</v>
      </c>
      <c r="Q38" s="12">
        <v>2</v>
      </c>
      <c r="R38" s="12">
        <v>2</v>
      </c>
      <c r="S38" s="12">
        <v>2</v>
      </c>
      <c r="T38" s="12">
        <v>2</v>
      </c>
      <c r="U38" s="12">
        <v>2</v>
      </c>
      <c r="V38" s="12">
        <v>2</v>
      </c>
      <c r="W38" s="12">
        <v>2</v>
      </c>
      <c r="X38" s="12">
        <v>2</v>
      </c>
      <c r="Y38" s="12">
        <v>2</v>
      </c>
      <c r="Z38" s="12">
        <v>2</v>
      </c>
      <c r="AA38" s="12">
        <v>2</v>
      </c>
      <c r="AB38" s="12">
        <v>2</v>
      </c>
      <c r="AC38" s="12">
        <v>2</v>
      </c>
      <c r="AD38" s="12">
        <v>2</v>
      </c>
      <c r="AE38" s="12">
        <v>2</v>
      </c>
      <c r="AF38" s="12">
        <v>2</v>
      </c>
      <c r="AG38" s="12">
        <v>2</v>
      </c>
      <c r="AH38" s="347"/>
      <c r="AI38" s="347"/>
      <c r="AJ38" s="351">
        <v>0.125</v>
      </c>
      <c r="AK38" s="352">
        <v>1</v>
      </c>
      <c r="AL38" s="352">
        <v>1</v>
      </c>
      <c r="AM38" s="352">
        <v>2</v>
      </c>
      <c r="AN38" s="352">
        <v>2</v>
      </c>
      <c r="AO38" s="352">
        <v>1</v>
      </c>
      <c r="AP38" s="352">
        <v>1</v>
      </c>
      <c r="AQ38" s="352">
        <v>0</v>
      </c>
      <c r="AR38" s="352">
        <v>1</v>
      </c>
      <c r="AS38" s="352">
        <v>1</v>
      </c>
      <c r="AT38" s="352">
        <v>1</v>
      </c>
      <c r="AU38" s="352">
        <v>0</v>
      </c>
      <c r="AV38" s="352">
        <v>3</v>
      </c>
      <c r="AW38" s="352">
        <v>1</v>
      </c>
      <c r="AX38" s="352">
        <v>0</v>
      </c>
      <c r="AY38" s="352">
        <v>1</v>
      </c>
      <c r="AZ38" s="352">
        <v>1</v>
      </c>
      <c r="BA38" s="352">
        <v>4</v>
      </c>
      <c r="BB38" s="352">
        <v>0</v>
      </c>
      <c r="BC38" s="352">
        <v>0</v>
      </c>
      <c r="BD38" s="352">
        <v>0</v>
      </c>
      <c r="BE38" s="352">
        <v>0</v>
      </c>
      <c r="BF38" s="352">
        <v>1</v>
      </c>
      <c r="BG38" s="352">
        <v>1</v>
      </c>
      <c r="BH38" s="352">
        <v>1</v>
      </c>
      <c r="BI38" s="352">
        <v>1</v>
      </c>
      <c r="BJ38" s="352">
        <v>1</v>
      </c>
      <c r="BK38" s="352">
        <v>1</v>
      </c>
      <c r="BL38" s="352">
        <v>0</v>
      </c>
      <c r="BM38" s="352">
        <v>1</v>
      </c>
      <c r="BN38" s="352">
        <v>1</v>
      </c>
      <c r="BO38" s="352">
        <v>4</v>
      </c>
      <c r="BP38" s="347"/>
      <c r="BQ38" s="347"/>
    </row>
    <row r="39" spans="1:69">
      <c r="A39" s="347"/>
      <c r="B39" s="350">
        <v>0.16666666666666666</v>
      </c>
      <c r="C39" s="12">
        <v>2</v>
      </c>
      <c r="D39" s="12">
        <v>2</v>
      </c>
      <c r="E39" s="12">
        <v>2</v>
      </c>
      <c r="F39" s="12">
        <v>2</v>
      </c>
      <c r="G39" s="12">
        <v>2</v>
      </c>
      <c r="H39" s="12">
        <v>2</v>
      </c>
      <c r="I39" s="12">
        <v>2</v>
      </c>
      <c r="J39" s="12">
        <v>2</v>
      </c>
      <c r="K39" s="12">
        <v>2</v>
      </c>
      <c r="L39" s="12">
        <v>2</v>
      </c>
      <c r="M39" s="12">
        <v>2</v>
      </c>
      <c r="N39" s="12">
        <v>2</v>
      </c>
      <c r="O39" s="12">
        <v>2</v>
      </c>
      <c r="P39" s="12">
        <v>2</v>
      </c>
      <c r="Q39" s="12">
        <v>2</v>
      </c>
      <c r="R39" s="12">
        <v>2</v>
      </c>
      <c r="S39" s="12">
        <v>2</v>
      </c>
      <c r="T39" s="12">
        <v>2</v>
      </c>
      <c r="U39" s="12">
        <v>2</v>
      </c>
      <c r="V39" s="12">
        <v>2</v>
      </c>
      <c r="W39" s="12">
        <v>2</v>
      </c>
      <c r="X39" s="12">
        <v>2</v>
      </c>
      <c r="Y39" s="12">
        <v>2</v>
      </c>
      <c r="Z39" s="12">
        <v>2</v>
      </c>
      <c r="AA39" s="12">
        <v>2</v>
      </c>
      <c r="AB39" s="12">
        <v>2</v>
      </c>
      <c r="AC39" s="12">
        <v>2</v>
      </c>
      <c r="AD39" s="12">
        <v>2</v>
      </c>
      <c r="AE39" s="12">
        <v>2</v>
      </c>
      <c r="AF39" s="12">
        <v>2</v>
      </c>
      <c r="AG39" s="12">
        <v>2</v>
      </c>
      <c r="AH39" s="347"/>
      <c r="AI39" s="347"/>
      <c r="AJ39" s="351">
        <v>0.16666666666666666</v>
      </c>
      <c r="AK39" s="352">
        <v>1</v>
      </c>
      <c r="AL39" s="352">
        <v>1</v>
      </c>
      <c r="AM39" s="352">
        <v>2</v>
      </c>
      <c r="AN39" s="352">
        <v>5</v>
      </c>
      <c r="AO39" s="352">
        <v>1</v>
      </c>
      <c r="AP39" s="352">
        <v>1</v>
      </c>
      <c r="AQ39" s="352">
        <v>1</v>
      </c>
      <c r="AR39" s="352">
        <v>1</v>
      </c>
      <c r="AS39" s="352">
        <v>1</v>
      </c>
      <c r="AT39" s="352">
        <v>1</v>
      </c>
      <c r="AU39" s="352">
        <v>1</v>
      </c>
      <c r="AV39" s="352">
        <v>3</v>
      </c>
      <c r="AW39" s="352">
        <v>1</v>
      </c>
      <c r="AX39" s="352">
        <v>1</v>
      </c>
      <c r="AY39" s="352">
        <v>1</v>
      </c>
      <c r="AZ39" s="352">
        <v>1</v>
      </c>
      <c r="BA39" s="352">
        <v>1</v>
      </c>
      <c r="BB39" s="352">
        <v>1</v>
      </c>
      <c r="BC39" s="352">
        <v>1</v>
      </c>
      <c r="BD39" s="352">
        <v>1</v>
      </c>
      <c r="BE39" s="352">
        <v>1</v>
      </c>
      <c r="BF39" s="352">
        <v>1</v>
      </c>
      <c r="BG39" s="352">
        <v>1</v>
      </c>
      <c r="BH39" s="352">
        <v>1</v>
      </c>
      <c r="BI39" s="352">
        <v>1</v>
      </c>
      <c r="BJ39" s="352">
        <v>1</v>
      </c>
      <c r="BK39" s="352">
        <v>1</v>
      </c>
      <c r="BL39" s="352">
        <v>1</v>
      </c>
      <c r="BM39" s="352">
        <v>1</v>
      </c>
      <c r="BN39" s="352">
        <v>1</v>
      </c>
      <c r="BO39" s="352">
        <v>1</v>
      </c>
      <c r="BP39" s="347"/>
      <c r="BQ39" s="347"/>
    </row>
    <row r="40" spans="1:69">
      <c r="A40" s="347"/>
      <c r="B40" s="350">
        <v>0.20833333333333334</v>
      </c>
      <c r="C40" s="12">
        <v>2</v>
      </c>
      <c r="D40" s="12">
        <v>2</v>
      </c>
      <c r="E40" s="12">
        <v>2</v>
      </c>
      <c r="F40" s="12">
        <v>2</v>
      </c>
      <c r="G40" s="12">
        <v>2</v>
      </c>
      <c r="H40" s="12">
        <v>2</v>
      </c>
      <c r="I40" s="12">
        <v>2</v>
      </c>
      <c r="J40" s="12">
        <v>2</v>
      </c>
      <c r="K40" s="12">
        <v>2</v>
      </c>
      <c r="L40" s="12">
        <v>2</v>
      </c>
      <c r="M40" s="12">
        <v>2</v>
      </c>
      <c r="N40" s="12">
        <v>2</v>
      </c>
      <c r="O40" s="12">
        <v>2</v>
      </c>
      <c r="P40" s="12">
        <v>2</v>
      </c>
      <c r="Q40" s="12">
        <v>2</v>
      </c>
      <c r="R40" s="12">
        <v>2</v>
      </c>
      <c r="S40" s="12">
        <v>2</v>
      </c>
      <c r="T40" s="12">
        <v>2</v>
      </c>
      <c r="U40" s="12">
        <v>2</v>
      </c>
      <c r="V40" s="12">
        <v>2</v>
      </c>
      <c r="W40" s="12">
        <v>2</v>
      </c>
      <c r="X40" s="12">
        <v>2</v>
      </c>
      <c r="Y40" s="12">
        <v>2</v>
      </c>
      <c r="Z40" s="12">
        <v>2</v>
      </c>
      <c r="AA40" s="12">
        <v>2</v>
      </c>
      <c r="AB40" s="12">
        <v>2</v>
      </c>
      <c r="AC40" s="12">
        <v>2</v>
      </c>
      <c r="AD40" s="12">
        <v>2</v>
      </c>
      <c r="AE40" s="12">
        <v>2</v>
      </c>
      <c r="AF40" s="12">
        <v>2</v>
      </c>
      <c r="AG40" s="12">
        <v>2</v>
      </c>
      <c r="AH40" s="347"/>
      <c r="AI40" s="347"/>
      <c r="AJ40" s="351">
        <v>0.20833333333333334</v>
      </c>
      <c r="AK40" s="352">
        <v>2</v>
      </c>
      <c r="AL40" s="352">
        <v>4</v>
      </c>
      <c r="AM40" s="352">
        <v>2</v>
      </c>
      <c r="AN40" s="352">
        <v>2</v>
      </c>
      <c r="AO40" s="352">
        <v>2</v>
      </c>
      <c r="AP40" s="352">
        <v>2</v>
      </c>
      <c r="AQ40" s="352">
        <v>2</v>
      </c>
      <c r="AR40" s="352">
        <v>2</v>
      </c>
      <c r="AS40" s="352">
        <v>4</v>
      </c>
      <c r="AT40" s="352">
        <v>4</v>
      </c>
      <c r="AU40" s="352">
        <v>5</v>
      </c>
      <c r="AV40" s="352">
        <v>3</v>
      </c>
      <c r="AW40" s="352">
        <v>2</v>
      </c>
      <c r="AX40" s="352">
        <v>2</v>
      </c>
      <c r="AY40" s="352">
        <v>2</v>
      </c>
      <c r="AZ40" s="352">
        <v>4</v>
      </c>
      <c r="BA40" s="352">
        <v>4</v>
      </c>
      <c r="BB40" s="352">
        <v>5</v>
      </c>
      <c r="BC40" s="352">
        <v>4</v>
      </c>
      <c r="BD40" s="352">
        <v>4</v>
      </c>
      <c r="BE40" s="352">
        <v>2</v>
      </c>
      <c r="BF40" s="352">
        <v>2</v>
      </c>
      <c r="BG40" s="352">
        <v>4</v>
      </c>
      <c r="BH40" s="352">
        <v>2</v>
      </c>
      <c r="BI40" s="352">
        <v>2</v>
      </c>
      <c r="BJ40" s="352">
        <v>2</v>
      </c>
      <c r="BK40" s="352">
        <v>2</v>
      </c>
      <c r="BL40" s="352">
        <v>2</v>
      </c>
      <c r="BM40" s="352">
        <v>2</v>
      </c>
      <c r="BN40" s="352">
        <v>4</v>
      </c>
      <c r="BO40" s="352">
        <v>4</v>
      </c>
      <c r="BP40" s="347"/>
      <c r="BQ40" s="347"/>
    </row>
    <row r="41" spans="1:69">
      <c r="A41" s="347"/>
      <c r="B41" s="350">
        <v>0.25</v>
      </c>
      <c r="C41" s="79">
        <v>3</v>
      </c>
      <c r="D41" s="79">
        <v>3</v>
      </c>
      <c r="E41" s="56">
        <v>4</v>
      </c>
      <c r="F41" s="79">
        <v>3</v>
      </c>
      <c r="G41" s="79">
        <v>3</v>
      </c>
      <c r="H41" s="79">
        <v>3</v>
      </c>
      <c r="I41" s="12">
        <v>2</v>
      </c>
      <c r="J41" s="79">
        <v>3</v>
      </c>
      <c r="K41" s="56">
        <v>4</v>
      </c>
      <c r="L41" s="56">
        <v>4</v>
      </c>
      <c r="M41" s="80">
        <v>6</v>
      </c>
      <c r="N41" s="56">
        <v>4</v>
      </c>
      <c r="O41" s="79">
        <v>3</v>
      </c>
      <c r="P41" s="12">
        <v>2</v>
      </c>
      <c r="Q41" s="79">
        <v>3</v>
      </c>
      <c r="R41" s="79">
        <v>3</v>
      </c>
      <c r="S41" s="83">
        <v>5</v>
      </c>
      <c r="T41" s="56">
        <v>4</v>
      </c>
      <c r="U41" s="56">
        <v>4</v>
      </c>
      <c r="V41" s="56">
        <v>4</v>
      </c>
      <c r="W41" s="12">
        <v>2</v>
      </c>
      <c r="X41" s="79">
        <v>3</v>
      </c>
      <c r="Y41" s="79">
        <v>3</v>
      </c>
      <c r="Z41" s="56">
        <v>4</v>
      </c>
      <c r="AA41" s="79">
        <v>3</v>
      </c>
      <c r="AB41" s="79">
        <v>3</v>
      </c>
      <c r="AC41" s="79">
        <v>3</v>
      </c>
      <c r="AD41" s="12">
        <v>2</v>
      </c>
      <c r="AE41" s="79">
        <v>3</v>
      </c>
      <c r="AF41" s="79">
        <v>3</v>
      </c>
      <c r="AG41" s="83">
        <v>5</v>
      </c>
      <c r="AH41" s="347"/>
      <c r="AI41" s="347"/>
      <c r="AJ41" s="351">
        <v>0.25</v>
      </c>
      <c r="AK41" s="352">
        <v>12</v>
      </c>
      <c r="AL41" s="352">
        <v>12</v>
      </c>
      <c r="AM41" s="352">
        <v>14</v>
      </c>
      <c r="AN41" s="352">
        <v>8</v>
      </c>
      <c r="AO41" s="352">
        <v>8</v>
      </c>
      <c r="AP41" s="352">
        <v>8</v>
      </c>
      <c r="AQ41" s="352">
        <v>6</v>
      </c>
      <c r="AR41" s="352">
        <v>12</v>
      </c>
      <c r="AS41" s="352">
        <v>17</v>
      </c>
      <c r="AT41" s="352">
        <v>19</v>
      </c>
      <c r="AU41" s="352">
        <v>28</v>
      </c>
      <c r="AV41" s="352">
        <v>14</v>
      </c>
      <c r="AW41" s="352">
        <v>8</v>
      </c>
      <c r="AX41" s="352">
        <v>6</v>
      </c>
      <c r="AY41" s="352">
        <v>12</v>
      </c>
      <c r="AZ41" s="352">
        <v>12</v>
      </c>
      <c r="BA41" s="352">
        <v>20</v>
      </c>
      <c r="BB41" s="352">
        <v>19</v>
      </c>
      <c r="BC41" s="352">
        <v>17</v>
      </c>
      <c r="BD41" s="352">
        <v>13</v>
      </c>
      <c r="BE41" s="352">
        <v>6</v>
      </c>
      <c r="BF41" s="352">
        <v>12</v>
      </c>
      <c r="BG41" s="352">
        <v>12</v>
      </c>
      <c r="BH41" s="352">
        <v>15</v>
      </c>
      <c r="BI41" s="352">
        <v>8</v>
      </c>
      <c r="BJ41" s="352">
        <v>8</v>
      </c>
      <c r="BK41" s="352">
        <v>8</v>
      </c>
      <c r="BL41" s="352">
        <v>6</v>
      </c>
      <c r="BM41" s="352">
        <v>12</v>
      </c>
      <c r="BN41" s="352">
        <v>12</v>
      </c>
      <c r="BO41" s="352">
        <v>20</v>
      </c>
      <c r="BP41" s="347"/>
      <c r="BQ41" s="347"/>
    </row>
    <row r="42" spans="1:69">
      <c r="A42" s="347"/>
      <c r="B42" s="350">
        <v>0.29166666666666669</v>
      </c>
      <c r="C42" s="79">
        <v>3</v>
      </c>
      <c r="D42" s="79">
        <v>3</v>
      </c>
      <c r="E42" s="79">
        <v>3</v>
      </c>
      <c r="F42" s="79">
        <v>3</v>
      </c>
      <c r="G42" s="79">
        <v>3</v>
      </c>
      <c r="H42" s="79">
        <v>3</v>
      </c>
      <c r="I42" s="12">
        <v>2</v>
      </c>
      <c r="J42" s="79">
        <v>3</v>
      </c>
      <c r="K42" s="79">
        <v>3</v>
      </c>
      <c r="L42" s="56">
        <v>4</v>
      </c>
      <c r="M42" s="56">
        <v>4</v>
      </c>
      <c r="N42" s="79">
        <v>3</v>
      </c>
      <c r="O42" s="79">
        <v>3</v>
      </c>
      <c r="P42" s="12">
        <v>2</v>
      </c>
      <c r="Q42" s="79">
        <v>3</v>
      </c>
      <c r="R42" s="79">
        <v>3</v>
      </c>
      <c r="S42" s="56">
        <v>4</v>
      </c>
      <c r="T42" s="56">
        <v>4</v>
      </c>
      <c r="U42" s="56">
        <v>4</v>
      </c>
      <c r="V42" s="79">
        <v>3</v>
      </c>
      <c r="W42" s="12">
        <v>2</v>
      </c>
      <c r="X42" s="79">
        <v>3</v>
      </c>
      <c r="Y42" s="79">
        <v>3</v>
      </c>
      <c r="Z42" s="79">
        <v>3</v>
      </c>
      <c r="AA42" s="79">
        <v>3</v>
      </c>
      <c r="AB42" s="79">
        <v>3</v>
      </c>
      <c r="AC42" s="79">
        <v>3</v>
      </c>
      <c r="AD42" s="12">
        <v>2</v>
      </c>
      <c r="AE42" s="79">
        <v>3</v>
      </c>
      <c r="AF42" s="79">
        <v>3</v>
      </c>
      <c r="AG42" s="56">
        <v>4</v>
      </c>
      <c r="AH42" s="347"/>
      <c r="AI42" s="347"/>
      <c r="AJ42" s="351">
        <v>0.29166666666666669</v>
      </c>
      <c r="AK42" s="360">
        <v>18</v>
      </c>
      <c r="AL42" s="360">
        <v>17</v>
      </c>
      <c r="AM42" s="360">
        <v>16</v>
      </c>
      <c r="AN42" s="360">
        <v>17</v>
      </c>
      <c r="AO42" s="360">
        <v>14</v>
      </c>
      <c r="AP42" s="360">
        <v>14</v>
      </c>
      <c r="AQ42" s="360">
        <v>8</v>
      </c>
      <c r="AR42" s="360">
        <v>18</v>
      </c>
      <c r="AS42" s="360">
        <v>19</v>
      </c>
      <c r="AT42" s="360">
        <v>21</v>
      </c>
      <c r="AU42" s="360">
        <v>22</v>
      </c>
      <c r="AV42" s="360">
        <v>16</v>
      </c>
      <c r="AW42" s="360">
        <v>14</v>
      </c>
      <c r="AX42" s="360">
        <v>8</v>
      </c>
      <c r="AY42" s="360">
        <v>18</v>
      </c>
      <c r="AZ42" s="360">
        <v>17</v>
      </c>
      <c r="BA42" s="360">
        <v>21</v>
      </c>
      <c r="BB42" s="360">
        <v>25</v>
      </c>
      <c r="BC42" s="360">
        <v>23</v>
      </c>
      <c r="BD42" s="360">
        <v>18</v>
      </c>
      <c r="BE42" s="360">
        <v>8</v>
      </c>
      <c r="BF42" s="360">
        <v>18</v>
      </c>
      <c r="BG42" s="360">
        <v>17</v>
      </c>
      <c r="BH42" s="360">
        <v>17</v>
      </c>
      <c r="BI42" s="360">
        <v>14</v>
      </c>
      <c r="BJ42" s="360">
        <v>14</v>
      </c>
      <c r="BK42" s="360">
        <v>14</v>
      </c>
      <c r="BL42" s="360">
        <v>8</v>
      </c>
      <c r="BM42" s="360">
        <v>18</v>
      </c>
      <c r="BN42" s="360">
        <v>17</v>
      </c>
      <c r="BO42" s="360">
        <v>21</v>
      </c>
      <c r="BP42" s="347"/>
      <c r="BQ42" s="347"/>
    </row>
    <row r="43" spans="1:69">
      <c r="A43" s="347"/>
      <c r="B43" s="350">
        <v>0.33333333333333331</v>
      </c>
      <c r="C43" s="80">
        <v>6</v>
      </c>
      <c r="D43" s="80">
        <v>6</v>
      </c>
      <c r="E43" s="80">
        <v>6</v>
      </c>
      <c r="F43" s="80">
        <v>6</v>
      </c>
      <c r="G43" s="56">
        <v>4</v>
      </c>
      <c r="H43" s="56">
        <v>4</v>
      </c>
      <c r="I43" s="79">
        <v>3</v>
      </c>
      <c r="J43" s="80">
        <v>6</v>
      </c>
      <c r="K43" s="80">
        <v>6</v>
      </c>
      <c r="L43" s="81">
        <v>7</v>
      </c>
      <c r="M43" s="80">
        <v>6</v>
      </c>
      <c r="N43" s="80">
        <v>6</v>
      </c>
      <c r="O43" s="56">
        <v>4</v>
      </c>
      <c r="P43" s="79">
        <v>3</v>
      </c>
      <c r="Q43" s="80">
        <v>6</v>
      </c>
      <c r="R43" s="80">
        <v>6</v>
      </c>
      <c r="S43" s="81">
        <v>7</v>
      </c>
      <c r="T43" s="81">
        <v>7</v>
      </c>
      <c r="U43" s="80">
        <v>6</v>
      </c>
      <c r="V43" s="80">
        <v>6</v>
      </c>
      <c r="W43" s="79">
        <v>3</v>
      </c>
      <c r="X43" s="80">
        <v>6</v>
      </c>
      <c r="Y43" s="80">
        <v>6</v>
      </c>
      <c r="Z43" s="80">
        <v>6</v>
      </c>
      <c r="AA43" s="56">
        <v>4</v>
      </c>
      <c r="AB43" s="81">
        <v>7</v>
      </c>
      <c r="AC43" s="56">
        <v>4</v>
      </c>
      <c r="AD43" s="79">
        <v>3</v>
      </c>
      <c r="AE43" s="80">
        <v>6</v>
      </c>
      <c r="AF43" s="80">
        <v>6</v>
      </c>
      <c r="AG43" s="81">
        <v>7</v>
      </c>
      <c r="AH43" s="347"/>
      <c r="AI43" s="347"/>
      <c r="AJ43" s="351">
        <v>0.33333333333333331</v>
      </c>
      <c r="AK43" s="360">
        <v>35</v>
      </c>
      <c r="AL43" s="360">
        <v>33</v>
      </c>
      <c r="AM43" s="360">
        <v>37</v>
      </c>
      <c r="AN43" s="360">
        <v>35</v>
      </c>
      <c r="AO43" s="360">
        <v>25</v>
      </c>
      <c r="AP43" s="360">
        <v>25</v>
      </c>
      <c r="AQ43" s="360">
        <v>16</v>
      </c>
      <c r="AR43" s="360">
        <v>35</v>
      </c>
      <c r="AS43" s="360">
        <v>39</v>
      </c>
      <c r="AT43" s="360">
        <v>44</v>
      </c>
      <c r="AU43" s="360">
        <v>35</v>
      </c>
      <c r="AV43" s="360">
        <v>35</v>
      </c>
      <c r="AW43" s="360">
        <v>25</v>
      </c>
      <c r="AX43" s="360">
        <v>16</v>
      </c>
      <c r="AY43" s="360">
        <v>35</v>
      </c>
      <c r="AZ43" s="360">
        <v>33</v>
      </c>
      <c r="BA43" s="360">
        <v>44</v>
      </c>
      <c r="BB43" s="360">
        <v>44</v>
      </c>
      <c r="BC43" s="360">
        <v>39</v>
      </c>
      <c r="BD43" s="360">
        <v>36</v>
      </c>
      <c r="BE43" s="360">
        <v>16</v>
      </c>
      <c r="BF43" s="360">
        <v>35</v>
      </c>
      <c r="BG43" s="360">
        <v>33</v>
      </c>
      <c r="BH43" s="360">
        <v>33</v>
      </c>
      <c r="BI43" s="360">
        <v>25</v>
      </c>
      <c r="BJ43" s="360">
        <v>25</v>
      </c>
      <c r="BK43" s="360">
        <v>25</v>
      </c>
      <c r="BL43" s="360">
        <v>16</v>
      </c>
      <c r="BM43" s="360">
        <v>35</v>
      </c>
      <c r="BN43" s="360">
        <v>33</v>
      </c>
      <c r="BO43" s="360">
        <v>44</v>
      </c>
      <c r="BP43" s="347"/>
      <c r="BQ43" s="347"/>
    </row>
    <row r="44" spans="1:69">
      <c r="A44" s="347"/>
      <c r="B44" s="350">
        <v>0.375</v>
      </c>
      <c r="C44" s="81">
        <v>7</v>
      </c>
      <c r="D44" s="81">
        <v>7</v>
      </c>
      <c r="E44" s="82">
        <v>8</v>
      </c>
      <c r="F44" s="57">
        <v>9</v>
      </c>
      <c r="G44" s="80">
        <v>6</v>
      </c>
      <c r="H44" s="80">
        <v>6</v>
      </c>
      <c r="I44" s="83">
        <v>5</v>
      </c>
      <c r="J44" s="81">
        <v>7</v>
      </c>
      <c r="K44" s="80">
        <v>6</v>
      </c>
      <c r="L44" s="81">
        <v>7</v>
      </c>
      <c r="M44" s="81">
        <v>7</v>
      </c>
      <c r="N44" s="80">
        <v>6</v>
      </c>
      <c r="O44" s="80">
        <v>6</v>
      </c>
      <c r="P44" s="56">
        <v>4</v>
      </c>
      <c r="Q44" s="81">
        <v>7</v>
      </c>
      <c r="R44" s="81">
        <v>7</v>
      </c>
      <c r="S44" s="81">
        <v>7</v>
      </c>
      <c r="T44" s="81">
        <v>7</v>
      </c>
      <c r="U44" s="81">
        <v>7</v>
      </c>
      <c r="V44" s="82">
        <v>8</v>
      </c>
      <c r="W44" s="56">
        <v>4</v>
      </c>
      <c r="X44" s="81">
        <v>7</v>
      </c>
      <c r="Y44" s="81">
        <v>7</v>
      </c>
      <c r="Z44" s="81">
        <v>7</v>
      </c>
      <c r="AA44" s="80">
        <v>6</v>
      </c>
      <c r="AB44" s="81">
        <v>7</v>
      </c>
      <c r="AC44" s="80">
        <v>6</v>
      </c>
      <c r="AD44" s="56">
        <v>4</v>
      </c>
      <c r="AE44" s="81">
        <v>7</v>
      </c>
      <c r="AF44" s="81">
        <v>7</v>
      </c>
      <c r="AG44" s="81">
        <v>7</v>
      </c>
      <c r="AH44" s="347"/>
      <c r="AI44" s="347"/>
      <c r="AJ44" s="351">
        <v>0.375</v>
      </c>
      <c r="AK44" s="360">
        <v>46</v>
      </c>
      <c r="AL44" s="360">
        <v>46</v>
      </c>
      <c r="AM44" s="360">
        <v>51</v>
      </c>
      <c r="AN44" s="360">
        <v>60</v>
      </c>
      <c r="AO44" s="360">
        <v>35</v>
      </c>
      <c r="AP44" s="360">
        <v>35</v>
      </c>
      <c r="AQ44" s="360">
        <v>22</v>
      </c>
      <c r="AR44" s="360">
        <v>46</v>
      </c>
      <c r="AS44" s="360">
        <v>39</v>
      </c>
      <c r="AT44" s="360">
        <v>44</v>
      </c>
      <c r="AU44" s="360">
        <v>50</v>
      </c>
      <c r="AV44" s="360">
        <v>41</v>
      </c>
      <c r="AW44" s="360">
        <v>35</v>
      </c>
      <c r="AX44" s="360">
        <v>22</v>
      </c>
      <c r="AY44" s="360">
        <v>46</v>
      </c>
      <c r="AZ44" s="360">
        <v>46</v>
      </c>
      <c r="BA44" s="360">
        <v>53</v>
      </c>
      <c r="BB44" s="360">
        <v>47</v>
      </c>
      <c r="BC44" s="360">
        <v>42</v>
      </c>
      <c r="BD44" s="360">
        <v>50</v>
      </c>
      <c r="BE44" s="360">
        <v>22</v>
      </c>
      <c r="BF44" s="360">
        <v>46</v>
      </c>
      <c r="BG44" s="360">
        <v>46</v>
      </c>
      <c r="BH44" s="360">
        <v>45</v>
      </c>
      <c r="BI44" s="360">
        <v>35</v>
      </c>
      <c r="BJ44" s="360">
        <v>35</v>
      </c>
      <c r="BK44" s="360">
        <v>35</v>
      </c>
      <c r="BL44" s="360">
        <v>22</v>
      </c>
      <c r="BM44" s="360">
        <v>46</v>
      </c>
      <c r="BN44" s="360">
        <v>46</v>
      </c>
      <c r="BO44" s="360">
        <v>53</v>
      </c>
      <c r="BP44" s="347"/>
      <c r="BQ44" s="347"/>
    </row>
    <row r="45" spans="1:69">
      <c r="A45" s="347"/>
      <c r="B45" s="350">
        <v>0.41666666666666669</v>
      </c>
      <c r="C45" s="82">
        <v>8</v>
      </c>
      <c r="D45" s="81">
        <v>7</v>
      </c>
      <c r="E45" s="82">
        <v>8</v>
      </c>
      <c r="F45" s="57">
        <v>9</v>
      </c>
      <c r="G45" s="80">
        <v>6</v>
      </c>
      <c r="H45" s="80">
        <v>6</v>
      </c>
      <c r="I45" s="83">
        <v>5</v>
      </c>
      <c r="J45" s="82">
        <v>8</v>
      </c>
      <c r="K45" s="81">
        <v>7</v>
      </c>
      <c r="L45" s="82">
        <v>8</v>
      </c>
      <c r="M45" s="81">
        <v>7</v>
      </c>
      <c r="N45" s="81">
        <v>7</v>
      </c>
      <c r="O45" s="80">
        <v>6</v>
      </c>
      <c r="P45" s="83">
        <v>5</v>
      </c>
      <c r="Q45" s="82">
        <v>8</v>
      </c>
      <c r="R45" s="81">
        <v>7</v>
      </c>
      <c r="S45" s="81">
        <v>7</v>
      </c>
      <c r="T45" s="82">
        <v>8</v>
      </c>
      <c r="U45" s="81">
        <v>7</v>
      </c>
      <c r="V45" s="82">
        <v>8</v>
      </c>
      <c r="W45" s="83">
        <v>5</v>
      </c>
      <c r="X45" s="82">
        <v>8</v>
      </c>
      <c r="Y45" s="81">
        <v>7</v>
      </c>
      <c r="Z45" s="81">
        <v>7</v>
      </c>
      <c r="AA45" s="80">
        <v>6</v>
      </c>
      <c r="AB45" s="81">
        <v>7</v>
      </c>
      <c r="AC45" s="80">
        <v>6</v>
      </c>
      <c r="AD45" s="83">
        <v>5</v>
      </c>
      <c r="AE45" s="82">
        <v>8</v>
      </c>
      <c r="AF45" s="81">
        <v>7</v>
      </c>
      <c r="AG45" s="81">
        <v>7</v>
      </c>
      <c r="AH45" s="347"/>
      <c r="AI45" s="347"/>
      <c r="AJ45" s="351">
        <v>0.41666666666666669</v>
      </c>
      <c r="AK45" s="360">
        <v>52</v>
      </c>
      <c r="AL45" s="360">
        <v>48</v>
      </c>
      <c r="AM45" s="360">
        <v>69</v>
      </c>
      <c r="AN45" s="360">
        <v>67</v>
      </c>
      <c r="AO45" s="360">
        <v>45</v>
      </c>
      <c r="AP45" s="360">
        <v>45</v>
      </c>
      <c r="AQ45" s="360">
        <v>26</v>
      </c>
      <c r="AR45" s="360">
        <v>52</v>
      </c>
      <c r="AS45" s="360">
        <v>50</v>
      </c>
      <c r="AT45" s="360">
        <v>55</v>
      </c>
      <c r="AU45" s="360">
        <v>52</v>
      </c>
      <c r="AV45" s="360">
        <v>50</v>
      </c>
      <c r="AW45" s="360">
        <v>45</v>
      </c>
      <c r="AX45" s="360">
        <v>26</v>
      </c>
      <c r="AY45" s="360">
        <v>52</v>
      </c>
      <c r="AZ45" s="360">
        <v>48</v>
      </c>
      <c r="BA45" s="360">
        <v>57</v>
      </c>
      <c r="BB45" s="360">
        <v>55</v>
      </c>
      <c r="BC45" s="360">
        <v>49</v>
      </c>
      <c r="BD45" s="360">
        <v>56</v>
      </c>
      <c r="BE45" s="360">
        <v>26</v>
      </c>
      <c r="BF45" s="360">
        <v>52</v>
      </c>
      <c r="BG45" s="360">
        <v>48</v>
      </c>
      <c r="BH45" s="360">
        <v>44</v>
      </c>
      <c r="BI45" s="360">
        <v>45</v>
      </c>
      <c r="BJ45" s="360">
        <v>45</v>
      </c>
      <c r="BK45" s="360">
        <v>45</v>
      </c>
      <c r="BL45" s="360">
        <v>26</v>
      </c>
      <c r="BM45" s="360">
        <v>52</v>
      </c>
      <c r="BN45" s="360">
        <v>48</v>
      </c>
      <c r="BO45" s="360">
        <v>57</v>
      </c>
      <c r="BP45" s="347"/>
      <c r="BQ45" s="347"/>
    </row>
    <row r="46" spans="1:69">
      <c r="A46" s="347"/>
      <c r="B46" s="350">
        <v>0.45833333333333331</v>
      </c>
      <c r="C46" s="82">
        <v>8</v>
      </c>
      <c r="D46" s="81">
        <v>7</v>
      </c>
      <c r="E46" s="82">
        <v>8</v>
      </c>
      <c r="F46" s="57">
        <v>9</v>
      </c>
      <c r="G46" s="80">
        <v>6</v>
      </c>
      <c r="H46" s="80">
        <v>6</v>
      </c>
      <c r="I46" s="83">
        <v>5</v>
      </c>
      <c r="J46" s="82">
        <v>8</v>
      </c>
      <c r="K46" s="81">
        <v>7</v>
      </c>
      <c r="L46" s="82">
        <v>8</v>
      </c>
      <c r="M46" s="81">
        <v>7</v>
      </c>
      <c r="N46" s="81">
        <v>7</v>
      </c>
      <c r="O46" s="80">
        <v>6</v>
      </c>
      <c r="P46" s="83">
        <v>5</v>
      </c>
      <c r="Q46" s="82">
        <v>8</v>
      </c>
      <c r="R46" s="81">
        <v>7</v>
      </c>
      <c r="S46" s="81">
        <v>7</v>
      </c>
      <c r="T46" s="82">
        <v>8</v>
      </c>
      <c r="U46" s="81">
        <v>7</v>
      </c>
      <c r="V46" s="82">
        <v>8</v>
      </c>
      <c r="W46" s="83">
        <v>5</v>
      </c>
      <c r="X46" s="82">
        <v>8</v>
      </c>
      <c r="Y46" s="81">
        <v>7</v>
      </c>
      <c r="Z46" s="81">
        <v>7</v>
      </c>
      <c r="AA46" s="80">
        <v>6</v>
      </c>
      <c r="AB46" s="81">
        <v>7</v>
      </c>
      <c r="AC46" s="80">
        <v>6</v>
      </c>
      <c r="AD46" s="83">
        <v>5</v>
      </c>
      <c r="AE46" s="82">
        <v>8</v>
      </c>
      <c r="AF46" s="81">
        <v>7</v>
      </c>
      <c r="AG46" s="81">
        <v>7</v>
      </c>
      <c r="AH46" s="347"/>
      <c r="AI46" s="347"/>
      <c r="AJ46" s="351">
        <v>0.45833333333333331</v>
      </c>
      <c r="AK46" s="360">
        <v>52</v>
      </c>
      <c r="AL46" s="360">
        <v>49</v>
      </c>
      <c r="AM46" s="360">
        <v>57</v>
      </c>
      <c r="AN46" s="360">
        <v>62</v>
      </c>
      <c r="AO46" s="360">
        <v>40</v>
      </c>
      <c r="AP46" s="360">
        <v>40</v>
      </c>
      <c r="AQ46" s="360">
        <v>26</v>
      </c>
      <c r="AR46" s="360">
        <v>52</v>
      </c>
      <c r="AS46" s="360">
        <v>48</v>
      </c>
      <c r="AT46" s="360">
        <v>53</v>
      </c>
      <c r="AU46" s="360">
        <v>48</v>
      </c>
      <c r="AV46" s="360">
        <v>44</v>
      </c>
      <c r="AW46" s="360">
        <v>40</v>
      </c>
      <c r="AX46" s="360">
        <v>26</v>
      </c>
      <c r="AY46" s="360">
        <v>52</v>
      </c>
      <c r="AZ46" s="360">
        <v>49</v>
      </c>
      <c r="BA46" s="360">
        <v>49</v>
      </c>
      <c r="BB46" s="360">
        <v>55</v>
      </c>
      <c r="BC46" s="360">
        <v>48</v>
      </c>
      <c r="BD46" s="360">
        <v>50</v>
      </c>
      <c r="BE46" s="360">
        <v>26</v>
      </c>
      <c r="BF46" s="360">
        <v>52</v>
      </c>
      <c r="BG46" s="360">
        <v>49</v>
      </c>
      <c r="BH46" s="360">
        <v>47</v>
      </c>
      <c r="BI46" s="360">
        <v>40</v>
      </c>
      <c r="BJ46" s="360">
        <v>40</v>
      </c>
      <c r="BK46" s="360">
        <v>40</v>
      </c>
      <c r="BL46" s="360">
        <v>26</v>
      </c>
      <c r="BM46" s="360">
        <v>52</v>
      </c>
      <c r="BN46" s="360">
        <v>49</v>
      </c>
      <c r="BO46" s="360">
        <v>49</v>
      </c>
      <c r="BP46" s="347"/>
      <c r="BQ46" s="347"/>
    </row>
    <row r="47" spans="1:69">
      <c r="A47" s="347"/>
      <c r="B47" s="350">
        <v>0.5</v>
      </c>
      <c r="C47" s="82">
        <v>8</v>
      </c>
      <c r="D47" s="81">
        <v>7</v>
      </c>
      <c r="E47" s="82">
        <v>8</v>
      </c>
      <c r="F47" s="57">
        <v>9</v>
      </c>
      <c r="G47" s="80">
        <v>6</v>
      </c>
      <c r="H47" s="80">
        <v>6</v>
      </c>
      <c r="I47" s="83">
        <v>5</v>
      </c>
      <c r="J47" s="82">
        <v>8</v>
      </c>
      <c r="K47" s="81">
        <v>7</v>
      </c>
      <c r="L47" s="82">
        <v>8</v>
      </c>
      <c r="M47" s="81">
        <v>7</v>
      </c>
      <c r="N47" s="81">
        <v>7</v>
      </c>
      <c r="O47" s="80">
        <v>6</v>
      </c>
      <c r="P47" s="83">
        <v>5</v>
      </c>
      <c r="Q47" s="82">
        <v>8</v>
      </c>
      <c r="R47" s="81">
        <v>7</v>
      </c>
      <c r="S47" s="81">
        <v>7</v>
      </c>
      <c r="T47" s="82">
        <v>8</v>
      </c>
      <c r="U47" s="81">
        <v>7</v>
      </c>
      <c r="V47" s="82">
        <v>8</v>
      </c>
      <c r="W47" s="83">
        <v>5</v>
      </c>
      <c r="X47" s="82">
        <v>8</v>
      </c>
      <c r="Y47" s="81">
        <v>7</v>
      </c>
      <c r="Z47" s="81">
        <v>7</v>
      </c>
      <c r="AA47" s="80">
        <v>6</v>
      </c>
      <c r="AB47" s="81">
        <v>7</v>
      </c>
      <c r="AC47" s="80">
        <v>6</v>
      </c>
      <c r="AD47" s="83">
        <v>5</v>
      </c>
      <c r="AE47" s="82">
        <v>8</v>
      </c>
      <c r="AF47" s="81">
        <v>7</v>
      </c>
      <c r="AG47" s="81">
        <v>7</v>
      </c>
      <c r="AH47" s="347"/>
      <c r="AI47" s="347"/>
      <c r="AJ47" s="351">
        <v>0.5</v>
      </c>
      <c r="AK47" s="360">
        <v>48</v>
      </c>
      <c r="AL47" s="360">
        <v>44</v>
      </c>
      <c r="AM47" s="360">
        <v>64</v>
      </c>
      <c r="AN47" s="360">
        <v>50</v>
      </c>
      <c r="AO47" s="360">
        <v>38</v>
      </c>
      <c r="AP47" s="360">
        <v>38</v>
      </c>
      <c r="AQ47" s="360">
        <v>25</v>
      </c>
      <c r="AR47" s="360">
        <v>48</v>
      </c>
      <c r="AS47" s="360">
        <v>44</v>
      </c>
      <c r="AT47" s="360">
        <v>50</v>
      </c>
      <c r="AU47" s="360">
        <v>48</v>
      </c>
      <c r="AV47" s="360">
        <v>44</v>
      </c>
      <c r="AW47" s="360">
        <v>38</v>
      </c>
      <c r="AX47" s="360">
        <v>25</v>
      </c>
      <c r="AY47" s="360">
        <v>48</v>
      </c>
      <c r="AZ47" s="360">
        <v>44</v>
      </c>
      <c r="BA47" s="360">
        <v>43</v>
      </c>
      <c r="BB47" s="360">
        <v>56</v>
      </c>
      <c r="BC47" s="360">
        <v>49</v>
      </c>
      <c r="BD47" s="360">
        <v>51</v>
      </c>
      <c r="BE47" s="360">
        <v>25</v>
      </c>
      <c r="BF47" s="360">
        <v>48</v>
      </c>
      <c r="BG47" s="360">
        <v>44</v>
      </c>
      <c r="BH47" s="360">
        <v>45</v>
      </c>
      <c r="BI47" s="360">
        <v>38</v>
      </c>
      <c r="BJ47" s="360">
        <v>38</v>
      </c>
      <c r="BK47" s="360">
        <v>38</v>
      </c>
      <c r="BL47" s="360">
        <v>25</v>
      </c>
      <c r="BM47" s="360">
        <v>48</v>
      </c>
      <c r="BN47" s="360">
        <v>44</v>
      </c>
      <c r="BO47" s="360">
        <v>43</v>
      </c>
      <c r="BP47" s="347"/>
      <c r="BQ47" s="347"/>
    </row>
    <row r="48" spans="1:69">
      <c r="A48" s="347"/>
      <c r="B48" s="350">
        <v>0.54166666666666663</v>
      </c>
      <c r="C48" s="82">
        <v>8</v>
      </c>
      <c r="D48" s="81">
        <v>7</v>
      </c>
      <c r="E48" s="82">
        <v>8</v>
      </c>
      <c r="F48" s="57">
        <v>9</v>
      </c>
      <c r="G48" s="80">
        <v>6</v>
      </c>
      <c r="H48" s="80">
        <v>6</v>
      </c>
      <c r="I48" s="83">
        <v>5</v>
      </c>
      <c r="J48" s="82">
        <v>8</v>
      </c>
      <c r="K48" s="81">
        <v>7</v>
      </c>
      <c r="L48" s="82">
        <v>8</v>
      </c>
      <c r="M48" s="81">
        <v>7</v>
      </c>
      <c r="N48" s="81">
        <v>7</v>
      </c>
      <c r="O48" s="80">
        <v>6</v>
      </c>
      <c r="P48" s="83">
        <v>5</v>
      </c>
      <c r="Q48" s="82">
        <v>8</v>
      </c>
      <c r="R48" s="81">
        <v>7</v>
      </c>
      <c r="S48" s="81">
        <v>7</v>
      </c>
      <c r="T48" s="82">
        <v>8</v>
      </c>
      <c r="U48" s="81">
        <v>7</v>
      </c>
      <c r="V48" s="82">
        <v>8</v>
      </c>
      <c r="W48" s="83">
        <v>5</v>
      </c>
      <c r="X48" s="82">
        <v>8</v>
      </c>
      <c r="Y48" s="81">
        <v>7</v>
      </c>
      <c r="Z48" s="82">
        <v>8</v>
      </c>
      <c r="AA48" s="80">
        <v>6</v>
      </c>
      <c r="AB48" s="81">
        <v>7</v>
      </c>
      <c r="AC48" s="80">
        <v>6</v>
      </c>
      <c r="AD48" s="83">
        <v>5</v>
      </c>
      <c r="AE48" s="82">
        <v>8</v>
      </c>
      <c r="AF48" s="81">
        <v>7</v>
      </c>
      <c r="AG48" s="81">
        <v>7</v>
      </c>
      <c r="AH48" s="347"/>
      <c r="AI48" s="347"/>
      <c r="AJ48" s="351">
        <v>0.54166666666666663</v>
      </c>
      <c r="AK48" s="360">
        <v>49</v>
      </c>
      <c r="AL48" s="360">
        <v>44</v>
      </c>
      <c r="AM48" s="360">
        <v>57</v>
      </c>
      <c r="AN48" s="360">
        <v>51</v>
      </c>
      <c r="AO48" s="360">
        <v>31</v>
      </c>
      <c r="AP48" s="360">
        <v>31</v>
      </c>
      <c r="AQ48" s="360">
        <v>28</v>
      </c>
      <c r="AR48" s="360">
        <v>49</v>
      </c>
      <c r="AS48" s="360">
        <v>44</v>
      </c>
      <c r="AT48" s="360">
        <v>50</v>
      </c>
      <c r="AU48" s="360">
        <v>45</v>
      </c>
      <c r="AV48" s="360">
        <v>42</v>
      </c>
      <c r="AW48" s="360">
        <v>31</v>
      </c>
      <c r="AX48" s="360">
        <v>28</v>
      </c>
      <c r="AY48" s="360">
        <v>49</v>
      </c>
      <c r="AZ48" s="360">
        <v>44</v>
      </c>
      <c r="BA48" s="360">
        <v>46</v>
      </c>
      <c r="BB48" s="360">
        <v>49</v>
      </c>
      <c r="BC48" s="360">
        <v>43</v>
      </c>
      <c r="BD48" s="360">
        <v>43</v>
      </c>
      <c r="BE48" s="360">
        <v>28</v>
      </c>
      <c r="BF48" s="360">
        <v>49</v>
      </c>
      <c r="BG48" s="360">
        <v>44</v>
      </c>
      <c r="BH48" s="360">
        <v>55</v>
      </c>
      <c r="BI48" s="360">
        <v>31</v>
      </c>
      <c r="BJ48" s="360">
        <v>31</v>
      </c>
      <c r="BK48" s="360">
        <v>31</v>
      </c>
      <c r="BL48" s="360">
        <v>28</v>
      </c>
      <c r="BM48" s="360">
        <v>49</v>
      </c>
      <c r="BN48" s="360">
        <v>44</v>
      </c>
      <c r="BO48" s="360">
        <v>46</v>
      </c>
      <c r="BP48" s="347"/>
      <c r="BQ48" s="347"/>
    </row>
    <row r="49" spans="1:69">
      <c r="A49" s="347"/>
      <c r="B49" s="350">
        <v>0.58333333333333337</v>
      </c>
      <c r="C49" s="82">
        <v>8</v>
      </c>
      <c r="D49" s="81">
        <v>7</v>
      </c>
      <c r="E49" s="82">
        <v>8</v>
      </c>
      <c r="F49" s="57">
        <v>9</v>
      </c>
      <c r="G49" s="80">
        <v>6</v>
      </c>
      <c r="H49" s="80">
        <v>6</v>
      </c>
      <c r="I49" s="56">
        <v>4</v>
      </c>
      <c r="J49" s="82">
        <v>8</v>
      </c>
      <c r="K49" s="81">
        <v>7</v>
      </c>
      <c r="L49" s="82">
        <v>8</v>
      </c>
      <c r="M49" s="81">
        <v>7</v>
      </c>
      <c r="N49" s="81">
        <v>7</v>
      </c>
      <c r="O49" s="80">
        <v>6</v>
      </c>
      <c r="P49" s="83">
        <v>5</v>
      </c>
      <c r="Q49" s="82">
        <v>8</v>
      </c>
      <c r="R49" s="81">
        <v>7</v>
      </c>
      <c r="S49" s="81">
        <v>7</v>
      </c>
      <c r="T49" s="82">
        <v>8</v>
      </c>
      <c r="U49" s="81">
        <v>7</v>
      </c>
      <c r="V49" s="82">
        <v>8</v>
      </c>
      <c r="W49" s="83">
        <v>5</v>
      </c>
      <c r="X49" s="82">
        <v>8</v>
      </c>
      <c r="Y49" s="81">
        <v>7</v>
      </c>
      <c r="Z49" s="82">
        <v>8</v>
      </c>
      <c r="AA49" s="80">
        <v>6</v>
      </c>
      <c r="AB49" s="81">
        <v>7</v>
      </c>
      <c r="AC49" s="80">
        <v>6</v>
      </c>
      <c r="AD49" s="83">
        <v>5</v>
      </c>
      <c r="AE49" s="82">
        <v>8</v>
      </c>
      <c r="AF49" s="81">
        <v>7</v>
      </c>
      <c r="AG49" s="81">
        <v>7</v>
      </c>
      <c r="AH49" s="347"/>
      <c r="AI49" s="347"/>
      <c r="AJ49" s="351">
        <v>0.58333333333333337</v>
      </c>
      <c r="AK49" s="360">
        <v>50</v>
      </c>
      <c r="AL49" s="360">
        <v>43</v>
      </c>
      <c r="AM49" s="360">
        <v>58</v>
      </c>
      <c r="AN49" s="360">
        <v>52</v>
      </c>
      <c r="AO49" s="360">
        <v>32</v>
      </c>
      <c r="AP49" s="360">
        <v>32</v>
      </c>
      <c r="AQ49" s="360">
        <v>21</v>
      </c>
      <c r="AR49" s="360">
        <v>50</v>
      </c>
      <c r="AS49" s="360">
        <v>56</v>
      </c>
      <c r="AT49" s="360">
        <v>62</v>
      </c>
      <c r="AU49" s="360">
        <v>45</v>
      </c>
      <c r="AV49" s="360">
        <v>40</v>
      </c>
      <c r="AW49" s="360">
        <v>32</v>
      </c>
      <c r="AX49" s="360">
        <v>21</v>
      </c>
      <c r="AY49" s="360">
        <v>50</v>
      </c>
      <c r="AZ49" s="360">
        <v>43</v>
      </c>
      <c r="BA49" s="360">
        <v>48</v>
      </c>
      <c r="BB49" s="360">
        <v>51</v>
      </c>
      <c r="BC49" s="360">
        <v>45</v>
      </c>
      <c r="BD49" s="360">
        <v>40</v>
      </c>
      <c r="BE49" s="360">
        <v>21</v>
      </c>
      <c r="BF49" s="360">
        <v>50</v>
      </c>
      <c r="BG49" s="360">
        <v>43</v>
      </c>
      <c r="BH49" s="360">
        <v>52</v>
      </c>
      <c r="BI49" s="360">
        <v>32</v>
      </c>
      <c r="BJ49" s="360">
        <v>32</v>
      </c>
      <c r="BK49" s="360">
        <v>32</v>
      </c>
      <c r="BL49" s="360">
        <v>21</v>
      </c>
      <c r="BM49" s="360">
        <v>50</v>
      </c>
      <c r="BN49" s="360">
        <v>43</v>
      </c>
      <c r="BO49" s="360">
        <v>48</v>
      </c>
      <c r="BP49" s="347"/>
      <c r="BQ49" s="347"/>
    </row>
    <row r="50" spans="1:69">
      <c r="A50" s="347"/>
      <c r="B50" s="350">
        <v>0.625</v>
      </c>
      <c r="C50" s="82">
        <v>8</v>
      </c>
      <c r="D50" s="81">
        <v>7</v>
      </c>
      <c r="E50" s="82">
        <v>8</v>
      </c>
      <c r="F50" s="81">
        <v>7</v>
      </c>
      <c r="G50" s="83">
        <v>5</v>
      </c>
      <c r="H50" s="83">
        <v>5</v>
      </c>
      <c r="I50" s="56">
        <v>4</v>
      </c>
      <c r="J50" s="82">
        <v>8</v>
      </c>
      <c r="K50" s="81">
        <v>7</v>
      </c>
      <c r="L50" s="82">
        <v>8</v>
      </c>
      <c r="M50" s="81">
        <v>7</v>
      </c>
      <c r="N50" s="81">
        <v>7</v>
      </c>
      <c r="O50" s="83">
        <v>5</v>
      </c>
      <c r="P50" s="56">
        <v>4</v>
      </c>
      <c r="Q50" s="81">
        <v>7</v>
      </c>
      <c r="R50" s="81">
        <v>7</v>
      </c>
      <c r="S50" s="81">
        <v>7</v>
      </c>
      <c r="T50" s="81">
        <v>7</v>
      </c>
      <c r="U50" s="80">
        <v>6</v>
      </c>
      <c r="V50" s="81">
        <v>7</v>
      </c>
      <c r="W50" s="56">
        <v>4</v>
      </c>
      <c r="X50" s="82">
        <v>8</v>
      </c>
      <c r="Y50" s="81">
        <v>7</v>
      </c>
      <c r="Z50" s="82">
        <v>8</v>
      </c>
      <c r="AA50" s="80">
        <v>6</v>
      </c>
      <c r="AB50" s="81">
        <v>7</v>
      </c>
      <c r="AC50" s="80">
        <v>6</v>
      </c>
      <c r="AD50" s="83">
        <v>5</v>
      </c>
      <c r="AE50" s="82">
        <v>8</v>
      </c>
      <c r="AF50" s="81">
        <v>7</v>
      </c>
      <c r="AG50" s="81">
        <v>7</v>
      </c>
      <c r="AH50" s="347"/>
      <c r="AI50" s="347"/>
      <c r="AJ50" s="351">
        <v>0.625</v>
      </c>
      <c r="AK50" s="360">
        <v>46</v>
      </c>
      <c r="AL50" s="360">
        <v>43</v>
      </c>
      <c r="AM50" s="360">
        <v>55</v>
      </c>
      <c r="AN50" s="360">
        <v>47</v>
      </c>
      <c r="AO50" s="360">
        <v>29</v>
      </c>
      <c r="AP50" s="360">
        <v>29</v>
      </c>
      <c r="AQ50" s="360">
        <v>22</v>
      </c>
      <c r="AR50" s="360">
        <v>46</v>
      </c>
      <c r="AS50" s="360">
        <v>56</v>
      </c>
      <c r="AT50" s="360">
        <v>63</v>
      </c>
      <c r="AU50" s="360">
        <v>45</v>
      </c>
      <c r="AV50" s="360">
        <v>41</v>
      </c>
      <c r="AW50" s="360">
        <v>29</v>
      </c>
      <c r="AX50" s="360">
        <v>22</v>
      </c>
      <c r="AY50" s="360">
        <v>46</v>
      </c>
      <c r="AZ50" s="360">
        <v>43</v>
      </c>
      <c r="BA50" s="360">
        <v>48</v>
      </c>
      <c r="BB50" s="360">
        <v>43</v>
      </c>
      <c r="BC50" s="360">
        <v>38</v>
      </c>
      <c r="BD50" s="360">
        <v>44</v>
      </c>
      <c r="BE50" s="360">
        <v>22</v>
      </c>
      <c r="BF50" s="360">
        <v>46</v>
      </c>
      <c r="BG50" s="360">
        <v>43</v>
      </c>
      <c r="BH50" s="360">
        <v>52</v>
      </c>
      <c r="BI50" s="360">
        <v>29</v>
      </c>
      <c r="BJ50" s="360">
        <v>29</v>
      </c>
      <c r="BK50" s="360">
        <v>29</v>
      </c>
      <c r="BL50" s="360">
        <v>22</v>
      </c>
      <c r="BM50" s="360">
        <v>46</v>
      </c>
      <c r="BN50" s="360">
        <v>43</v>
      </c>
      <c r="BO50" s="360">
        <v>48</v>
      </c>
      <c r="BP50" s="347"/>
      <c r="BQ50" s="347"/>
    </row>
    <row r="51" spans="1:69">
      <c r="A51" s="347"/>
      <c r="B51" s="350">
        <v>0.66666666666666663</v>
      </c>
      <c r="C51" s="82">
        <v>8</v>
      </c>
      <c r="D51" s="81">
        <v>7</v>
      </c>
      <c r="E51" s="81">
        <v>7</v>
      </c>
      <c r="F51" s="81">
        <v>7</v>
      </c>
      <c r="G51" s="83">
        <v>5</v>
      </c>
      <c r="H51" s="83">
        <v>5</v>
      </c>
      <c r="I51" s="56">
        <v>4</v>
      </c>
      <c r="J51" s="82">
        <v>8</v>
      </c>
      <c r="K51" s="80">
        <v>6</v>
      </c>
      <c r="L51" s="81">
        <v>7</v>
      </c>
      <c r="M51" s="81">
        <v>7</v>
      </c>
      <c r="N51" s="80">
        <v>6</v>
      </c>
      <c r="O51" s="83">
        <v>5</v>
      </c>
      <c r="P51" s="56">
        <v>4</v>
      </c>
      <c r="Q51" s="81">
        <v>7</v>
      </c>
      <c r="R51" s="81">
        <v>7</v>
      </c>
      <c r="S51" s="81">
        <v>7</v>
      </c>
      <c r="T51" s="81">
        <v>7</v>
      </c>
      <c r="U51" s="80">
        <v>6</v>
      </c>
      <c r="V51" s="80">
        <v>6</v>
      </c>
      <c r="W51" s="56">
        <v>4</v>
      </c>
      <c r="X51" s="81">
        <v>7</v>
      </c>
      <c r="Y51" s="81">
        <v>7</v>
      </c>
      <c r="Z51" s="82">
        <v>8</v>
      </c>
      <c r="AA51" s="83">
        <v>5</v>
      </c>
      <c r="AB51" s="81">
        <v>7</v>
      </c>
      <c r="AC51" s="83">
        <v>5</v>
      </c>
      <c r="AD51" s="56">
        <v>4</v>
      </c>
      <c r="AE51" s="82">
        <v>8</v>
      </c>
      <c r="AF51" s="81">
        <v>7</v>
      </c>
      <c r="AG51" s="81">
        <v>7</v>
      </c>
      <c r="AH51" s="347"/>
      <c r="AI51" s="347"/>
      <c r="AJ51" s="351">
        <v>0.66666666666666663</v>
      </c>
      <c r="AK51" s="360">
        <v>43</v>
      </c>
      <c r="AL51" s="360">
        <v>42</v>
      </c>
      <c r="AM51" s="360">
        <v>45</v>
      </c>
      <c r="AN51" s="360">
        <v>44</v>
      </c>
      <c r="AO51" s="360">
        <v>27</v>
      </c>
      <c r="AP51" s="360">
        <v>27</v>
      </c>
      <c r="AQ51" s="360">
        <v>20</v>
      </c>
      <c r="AR51" s="360">
        <v>43</v>
      </c>
      <c r="AS51" s="360">
        <v>39</v>
      </c>
      <c r="AT51" s="360">
        <v>44</v>
      </c>
      <c r="AU51" s="360">
        <v>46</v>
      </c>
      <c r="AV51" s="360">
        <v>37</v>
      </c>
      <c r="AW51" s="360">
        <v>27</v>
      </c>
      <c r="AX51" s="360">
        <v>20</v>
      </c>
      <c r="AY51" s="360">
        <v>43</v>
      </c>
      <c r="AZ51" s="360">
        <v>42</v>
      </c>
      <c r="BA51" s="360">
        <v>46</v>
      </c>
      <c r="BB51" s="360">
        <v>44</v>
      </c>
      <c r="BC51" s="360">
        <v>39</v>
      </c>
      <c r="BD51" s="360">
        <v>40</v>
      </c>
      <c r="BE51" s="360">
        <v>20</v>
      </c>
      <c r="BF51" s="360">
        <v>43</v>
      </c>
      <c r="BG51" s="360">
        <v>42</v>
      </c>
      <c r="BH51" s="360">
        <v>48</v>
      </c>
      <c r="BI51" s="360">
        <v>27</v>
      </c>
      <c r="BJ51" s="360">
        <v>27</v>
      </c>
      <c r="BK51" s="360">
        <v>27</v>
      </c>
      <c r="BL51" s="360">
        <v>20</v>
      </c>
      <c r="BM51" s="360">
        <v>43</v>
      </c>
      <c r="BN51" s="360">
        <v>42</v>
      </c>
      <c r="BO51" s="360">
        <v>46</v>
      </c>
      <c r="BP51" s="347"/>
      <c r="BQ51" s="347"/>
    </row>
    <row r="52" spans="1:69">
      <c r="A52" s="347"/>
      <c r="B52" s="350">
        <v>0.70833333333333337</v>
      </c>
      <c r="C52" s="80">
        <v>6</v>
      </c>
      <c r="D52" s="80">
        <v>6</v>
      </c>
      <c r="E52" s="81">
        <v>7</v>
      </c>
      <c r="F52" s="80">
        <v>6</v>
      </c>
      <c r="G52" s="83">
        <v>5</v>
      </c>
      <c r="H52" s="83">
        <v>5</v>
      </c>
      <c r="I52" s="56">
        <v>4</v>
      </c>
      <c r="J52" s="80">
        <v>6</v>
      </c>
      <c r="K52" s="80">
        <v>6</v>
      </c>
      <c r="L52" s="81">
        <v>7</v>
      </c>
      <c r="M52" s="81">
        <v>7</v>
      </c>
      <c r="N52" s="80">
        <v>6</v>
      </c>
      <c r="O52" s="83">
        <v>5</v>
      </c>
      <c r="P52" s="56">
        <v>4</v>
      </c>
      <c r="Q52" s="80">
        <v>6</v>
      </c>
      <c r="R52" s="80">
        <v>6</v>
      </c>
      <c r="S52" s="81">
        <v>7</v>
      </c>
      <c r="T52" s="81">
        <v>7</v>
      </c>
      <c r="U52" s="80">
        <v>6</v>
      </c>
      <c r="V52" s="80">
        <v>6</v>
      </c>
      <c r="W52" s="56">
        <v>4</v>
      </c>
      <c r="X52" s="80">
        <v>6</v>
      </c>
      <c r="Y52" s="80">
        <v>6</v>
      </c>
      <c r="Z52" s="82">
        <v>8</v>
      </c>
      <c r="AA52" s="83">
        <v>5</v>
      </c>
      <c r="AB52" s="81">
        <v>7</v>
      </c>
      <c r="AC52" s="83">
        <v>5</v>
      </c>
      <c r="AD52" s="56">
        <v>4</v>
      </c>
      <c r="AE52" s="80">
        <v>6</v>
      </c>
      <c r="AF52" s="80">
        <v>6</v>
      </c>
      <c r="AG52" s="81">
        <v>7</v>
      </c>
      <c r="AH52" s="347"/>
      <c r="AI52" s="347"/>
      <c r="AJ52" s="351">
        <v>0.70833333333333337</v>
      </c>
      <c r="AK52" s="360">
        <v>41</v>
      </c>
      <c r="AL52" s="360">
        <v>39</v>
      </c>
      <c r="AM52" s="360">
        <v>46</v>
      </c>
      <c r="AN52" s="360">
        <v>39</v>
      </c>
      <c r="AO52" s="360">
        <v>29</v>
      </c>
      <c r="AP52" s="360">
        <v>29</v>
      </c>
      <c r="AQ52" s="360">
        <v>21</v>
      </c>
      <c r="AR52" s="360">
        <v>41</v>
      </c>
      <c r="AS52" s="360">
        <v>35</v>
      </c>
      <c r="AT52" s="360">
        <v>39</v>
      </c>
      <c r="AU52" s="360">
        <v>42</v>
      </c>
      <c r="AV52" s="360">
        <v>35</v>
      </c>
      <c r="AW52" s="360">
        <v>29</v>
      </c>
      <c r="AX52" s="360">
        <v>21</v>
      </c>
      <c r="AY52" s="360">
        <v>41</v>
      </c>
      <c r="AZ52" s="360">
        <v>39</v>
      </c>
      <c r="BA52" s="360">
        <v>43</v>
      </c>
      <c r="BB52" s="360">
        <v>42</v>
      </c>
      <c r="BC52" s="360">
        <v>37</v>
      </c>
      <c r="BD52" s="360">
        <v>37</v>
      </c>
      <c r="BE52" s="360">
        <v>21</v>
      </c>
      <c r="BF52" s="360">
        <v>41</v>
      </c>
      <c r="BG52" s="360">
        <v>39</v>
      </c>
      <c r="BH52" s="360">
        <v>42</v>
      </c>
      <c r="BI52" s="360">
        <v>29</v>
      </c>
      <c r="BJ52" s="360">
        <v>29</v>
      </c>
      <c r="BK52" s="360">
        <v>29</v>
      </c>
      <c r="BL52" s="360">
        <v>21</v>
      </c>
      <c r="BM52" s="360">
        <v>41</v>
      </c>
      <c r="BN52" s="360">
        <v>39</v>
      </c>
      <c r="BO52" s="360">
        <v>43</v>
      </c>
      <c r="BP52" s="347"/>
      <c r="BQ52" s="347"/>
    </row>
    <row r="53" spans="1:69">
      <c r="A53" s="347"/>
      <c r="B53" s="350">
        <v>0.75</v>
      </c>
      <c r="C53" s="80">
        <v>6</v>
      </c>
      <c r="D53" s="80">
        <v>6</v>
      </c>
      <c r="E53" s="81">
        <v>7</v>
      </c>
      <c r="F53" s="80">
        <v>6</v>
      </c>
      <c r="G53" s="83">
        <v>5</v>
      </c>
      <c r="H53" s="83">
        <v>5</v>
      </c>
      <c r="I53" s="56">
        <v>4</v>
      </c>
      <c r="J53" s="80">
        <v>6</v>
      </c>
      <c r="K53" s="80">
        <v>6</v>
      </c>
      <c r="L53" s="81">
        <v>7</v>
      </c>
      <c r="M53" s="80">
        <v>6</v>
      </c>
      <c r="N53" s="80">
        <v>6</v>
      </c>
      <c r="O53" s="83">
        <v>5</v>
      </c>
      <c r="P53" s="56">
        <v>4</v>
      </c>
      <c r="Q53" s="80">
        <v>6</v>
      </c>
      <c r="R53" s="80">
        <v>6</v>
      </c>
      <c r="S53" s="81">
        <v>7</v>
      </c>
      <c r="T53" s="80">
        <v>6</v>
      </c>
      <c r="U53" s="80">
        <v>6</v>
      </c>
      <c r="V53" s="80">
        <v>6</v>
      </c>
      <c r="W53" s="56">
        <v>4</v>
      </c>
      <c r="X53" s="80">
        <v>6</v>
      </c>
      <c r="Y53" s="80">
        <v>6</v>
      </c>
      <c r="Z53" s="80">
        <v>6</v>
      </c>
      <c r="AA53" s="83">
        <v>5</v>
      </c>
      <c r="AB53" s="81">
        <v>7</v>
      </c>
      <c r="AC53" s="83">
        <v>5</v>
      </c>
      <c r="AD53" s="56">
        <v>4</v>
      </c>
      <c r="AE53" s="80">
        <v>6</v>
      </c>
      <c r="AF53" s="80">
        <v>6</v>
      </c>
      <c r="AG53" s="81">
        <v>7</v>
      </c>
      <c r="AH53" s="353"/>
      <c r="AI53" s="347"/>
      <c r="AJ53" s="351">
        <v>0.75</v>
      </c>
      <c r="AK53" s="360">
        <v>39</v>
      </c>
      <c r="AL53" s="360">
        <v>41</v>
      </c>
      <c r="AM53" s="360">
        <v>43</v>
      </c>
      <c r="AN53" s="360">
        <v>37</v>
      </c>
      <c r="AO53" s="360">
        <v>26</v>
      </c>
      <c r="AP53" s="360">
        <v>26</v>
      </c>
      <c r="AQ53" s="360">
        <v>21</v>
      </c>
      <c r="AR53" s="360">
        <v>39</v>
      </c>
      <c r="AS53" s="360">
        <v>42</v>
      </c>
      <c r="AT53" s="360">
        <v>47</v>
      </c>
      <c r="AU53" s="360">
        <v>38</v>
      </c>
      <c r="AV53" s="360">
        <v>35</v>
      </c>
      <c r="AW53" s="360">
        <v>26</v>
      </c>
      <c r="AX53" s="360">
        <v>21</v>
      </c>
      <c r="AY53" s="360">
        <v>39</v>
      </c>
      <c r="AZ53" s="360">
        <v>41</v>
      </c>
      <c r="BA53" s="360">
        <v>45</v>
      </c>
      <c r="BB53" s="360">
        <v>39</v>
      </c>
      <c r="BC53" s="360">
        <v>35</v>
      </c>
      <c r="BD53" s="360">
        <v>36</v>
      </c>
      <c r="BE53" s="360">
        <v>21</v>
      </c>
      <c r="BF53" s="360">
        <v>39</v>
      </c>
      <c r="BG53" s="360">
        <v>41</v>
      </c>
      <c r="BH53" s="360">
        <v>39</v>
      </c>
      <c r="BI53" s="360">
        <v>26</v>
      </c>
      <c r="BJ53" s="360">
        <v>26</v>
      </c>
      <c r="BK53" s="360">
        <v>26</v>
      </c>
      <c r="BL53" s="360">
        <v>21</v>
      </c>
      <c r="BM53" s="360">
        <v>39</v>
      </c>
      <c r="BN53" s="360">
        <v>41</v>
      </c>
      <c r="BO53" s="360">
        <v>45</v>
      </c>
      <c r="BP53" s="347"/>
      <c r="BQ53" s="353"/>
    </row>
    <row r="54" spans="1:69">
      <c r="A54" s="347"/>
      <c r="B54" s="350">
        <v>0.79166666666666663</v>
      </c>
      <c r="C54" s="80">
        <v>6</v>
      </c>
      <c r="D54" s="80">
        <v>6</v>
      </c>
      <c r="E54" s="80">
        <v>6</v>
      </c>
      <c r="F54" s="80">
        <v>6</v>
      </c>
      <c r="G54" s="56">
        <v>4</v>
      </c>
      <c r="H54" s="56">
        <v>4</v>
      </c>
      <c r="I54" s="56">
        <v>4</v>
      </c>
      <c r="J54" s="80">
        <v>6</v>
      </c>
      <c r="K54" s="80">
        <v>6</v>
      </c>
      <c r="L54" s="80">
        <v>6</v>
      </c>
      <c r="M54" s="80">
        <v>6</v>
      </c>
      <c r="N54" s="80">
        <v>6</v>
      </c>
      <c r="O54" s="56">
        <v>4</v>
      </c>
      <c r="P54" s="56">
        <v>4</v>
      </c>
      <c r="Q54" s="80">
        <v>6</v>
      </c>
      <c r="R54" s="80">
        <v>6</v>
      </c>
      <c r="S54" s="80">
        <v>6</v>
      </c>
      <c r="T54" s="80">
        <v>6</v>
      </c>
      <c r="U54" s="83">
        <v>5</v>
      </c>
      <c r="V54" s="80">
        <v>6</v>
      </c>
      <c r="W54" s="56">
        <v>4</v>
      </c>
      <c r="X54" s="80">
        <v>6</v>
      </c>
      <c r="Y54" s="80">
        <v>6</v>
      </c>
      <c r="Z54" s="80">
        <v>6</v>
      </c>
      <c r="AA54" s="56">
        <v>4</v>
      </c>
      <c r="AB54" s="81">
        <v>7</v>
      </c>
      <c r="AC54" s="56">
        <v>4</v>
      </c>
      <c r="AD54" s="56">
        <v>4</v>
      </c>
      <c r="AE54" s="80">
        <v>6</v>
      </c>
      <c r="AF54" s="80">
        <v>6</v>
      </c>
      <c r="AG54" s="80">
        <v>6</v>
      </c>
      <c r="AH54" s="353"/>
      <c r="AI54" s="347"/>
      <c r="AJ54" s="351">
        <v>0.79166666666666663</v>
      </c>
      <c r="AK54" s="360">
        <v>35</v>
      </c>
      <c r="AL54" s="360">
        <v>34</v>
      </c>
      <c r="AM54" s="360">
        <v>34</v>
      </c>
      <c r="AN54" s="360">
        <v>33</v>
      </c>
      <c r="AO54" s="360">
        <v>22</v>
      </c>
      <c r="AP54" s="360">
        <v>22</v>
      </c>
      <c r="AQ54" s="360">
        <v>20</v>
      </c>
      <c r="AR54" s="360">
        <v>35</v>
      </c>
      <c r="AS54" s="360">
        <v>34</v>
      </c>
      <c r="AT54" s="360">
        <v>38</v>
      </c>
      <c r="AU54" s="360">
        <v>35</v>
      </c>
      <c r="AV54" s="360">
        <v>30</v>
      </c>
      <c r="AW54" s="360">
        <v>22</v>
      </c>
      <c r="AX54" s="360">
        <v>20</v>
      </c>
      <c r="AY54" s="360">
        <v>35</v>
      </c>
      <c r="AZ54" s="360">
        <v>34</v>
      </c>
      <c r="BA54" s="360">
        <v>39</v>
      </c>
      <c r="BB54" s="360">
        <v>34</v>
      </c>
      <c r="BC54" s="360">
        <v>29</v>
      </c>
      <c r="BD54" s="360">
        <v>31</v>
      </c>
      <c r="BE54" s="360">
        <v>20</v>
      </c>
      <c r="BF54" s="360">
        <v>35</v>
      </c>
      <c r="BG54" s="360">
        <v>34</v>
      </c>
      <c r="BH54" s="360">
        <v>39</v>
      </c>
      <c r="BI54" s="360">
        <v>22</v>
      </c>
      <c r="BJ54" s="360">
        <v>22</v>
      </c>
      <c r="BK54" s="360">
        <v>22</v>
      </c>
      <c r="BL54" s="360">
        <v>20</v>
      </c>
      <c r="BM54" s="360">
        <v>35</v>
      </c>
      <c r="BN54" s="360">
        <v>34</v>
      </c>
      <c r="BO54" s="360">
        <v>39</v>
      </c>
      <c r="BP54" s="347"/>
      <c r="BQ54" s="353"/>
    </row>
    <row r="55" spans="1:69">
      <c r="A55" s="347"/>
      <c r="B55" s="350">
        <v>0.83333333333333337</v>
      </c>
      <c r="C55" s="83">
        <v>5</v>
      </c>
      <c r="D55" s="83">
        <v>5</v>
      </c>
      <c r="E55" s="83">
        <v>5</v>
      </c>
      <c r="F55" s="83">
        <v>5</v>
      </c>
      <c r="G55" s="56">
        <v>4</v>
      </c>
      <c r="H55" s="56">
        <v>4</v>
      </c>
      <c r="I55" s="79">
        <v>3</v>
      </c>
      <c r="J55" s="83">
        <v>5</v>
      </c>
      <c r="K55" s="83">
        <v>5</v>
      </c>
      <c r="L55" s="83">
        <v>5</v>
      </c>
      <c r="M55" s="83">
        <v>5</v>
      </c>
      <c r="N55" s="83">
        <v>5</v>
      </c>
      <c r="O55" s="56">
        <v>4</v>
      </c>
      <c r="P55" s="79">
        <v>3</v>
      </c>
      <c r="Q55" s="83">
        <v>5</v>
      </c>
      <c r="R55" s="83">
        <v>5</v>
      </c>
      <c r="S55" s="80">
        <v>6</v>
      </c>
      <c r="T55" s="83">
        <v>5</v>
      </c>
      <c r="U55" s="83">
        <v>5</v>
      </c>
      <c r="V55" s="83">
        <v>5</v>
      </c>
      <c r="W55" s="79">
        <v>3</v>
      </c>
      <c r="X55" s="83">
        <v>5</v>
      </c>
      <c r="Y55" s="83">
        <v>5</v>
      </c>
      <c r="Z55" s="80">
        <v>6</v>
      </c>
      <c r="AA55" s="56">
        <v>4</v>
      </c>
      <c r="AB55" s="83">
        <v>5</v>
      </c>
      <c r="AC55" s="56">
        <v>4</v>
      </c>
      <c r="AD55" s="79">
        <v>3</v>
      </c>
      <c r="AE55" s="83">
        <v>5</v>
      </c>
      <c r="AF55" s="83">
        <v>5</v>
      </c>
      <c r="AG55" s="80">
        <v>6</v>
      </c>
      <c r="AH55" s="353"/>
      <c r="AI55" s="347"/>
      <c r="AJ55" s="351">
        <v>0.83333333333333337</v>
      </c>
      <c r="AK55" s="360">
        <v>30</v>
      </c>
      <c r="AL55" s="360">
        <v>28</v>
      </c>
      <c r="AM55" s="360">
        <v>29</v>
      </c>
      <c r="AN55" s="360">
        <v>30</v>
      </c>
      <c r="AO55" s="360">
        <v>20</v>
      </c>
      <c r="AP55" s="360">
        <v>20</v>
      </c>
      <c r="AQ55" s="360">
        <v>16</v>
      </c>
      <c r="AR55" s="360">
        <v>30</v>
      </c>
      <c r="AS55" s="360">
        <v>25</v>
      </c>
      <c r="AT55" s="360">
        <v>27</v>
      </c>
      <c r="AU55" s="360">
        <v>30</v>
      </c>
      <c r="AV55" s="360">
        <v>24</v>
      </c>
      <c r="AW55" s="360">
        <v>20</v>
      </c>
      <c r="AX55" s="360">
        <v>16</v>
      </c>
      <c r="AY55" s="360">
        <v>30</v>
      </c>
      <c r="AZ55" s="360">
        <v>28</v>
      </c>
      <c r="BA55" s="360">
        <v>32</v>
      </c>
      <c r="BB55" s="360">
        <v>28</v>
      </c>
      <c r="BC55" s="360">
        <v>25</v>
      </c>
      <c r="BD55" s="360">
        <v>30</v>
      </c>
      <c r="BE55" s="360">
        <v>16</v>
      </c>
      <c r="BF55" s="360">
        <v>30</v>
      </c>
      <c r="BG55" s="360">
        <v>28</v>
      </c>
      <c r="BH55" s="360">
        <v>34</v>
      </c>
      <c r="BI55" s="360">
        <v>20</v>
      </c>
      <c r="BJ55" s="360">
        <v>20</v>
      </c>
      <c r="BK55" s="360">
        <v>20</v>
      </c>
      <c r="BL55" s="360">
        <v>16</v>
      </c>
      <c r="BM55" s="360">
        <v>30</v>
      </c>
      <c r="BN55" s="360">
        <v>28</v>
      </c>
      <c r="BO55" s="360">
        <v>32</v>
      </c>
      <c r="BP55" s="347"/>
      <c r="BQ55" s="353"/>
    </row>
    <row r="56" spans="1:69">
      <c r="A56" s="347"/>
      <c r="B56" s="350">
        <v>0.875</v>
      </c>
      <c r="C56" s="56">
        <v>4</v>
      </c>
      <c r="D56" s="56">
        <v>4</v>
      </c>
      <c r="E56" s="56">
        <v>4</v>
      </c>
      <c r="F56" s="56">
        <v>4</v>
      </c>
      <c r="G56" s="79">
        <v>3</v>
      </c>
      <c r="H56" s="79">
        <v>3</v>
      </c>
      <c r="I56" s="79">
        <v>3</v>
      </c>
      <c r="J56" s="56">
        <v>4</v>
      </c>
      <c r="K56" s="79">
        <v>3</v>
      </c>
      <c r="L56" s="56">
        <v>4</v>
      </c>
      <c r="M56" s="56">
        <v>4</v>
      </c>
      <c r="N56" s="79">
        <v>3</v>
      </c>
      <c r="O56" s="79">
        <v>3</v>
      </c>
      <c r="P56" s="79">
        <v>3</v>
      </c>
      <c r="Q56" s="56">
        <v>4</v>
      </c>
      <c r="R56" s="56">
        <v>4</v>
      </c>
      <c r="S56" s="56">
        <v>4</v>
      </c>
      <c r="T56" s="79">
        <v>3</v>
      </c>
      <c r="U56" s="79">
        <v>3</v>
      </c>
      <c r="V56" s="56">
        <v>4</v>
      </c>
      <c r="W56" s="79">
        <v>3</v>
      </c>
      <c r="X56" s="56">
        <v>4</v>
      </c>
      <c r="Y56" s="56">
        <v>4</v>
      </c>
      <c r="Z56" s="79">
        <v>3</v>
      </c>
      <c r="AA56" s="79">
        <v>3</v>
      </c>
      <c r="AB56" s="56">
        <v>4</v>
      </c>
      <c r="AC56" s="79">
        <v>3</v>
      </c>
      <c r="AD56" s="79">
        <v>3</v>
      </c>
      <c r="AE56" s="56">
        <v>4</v>
      </c>
      <c r="AF56" s="56">
        <v>4</v>
      </c>
      <c r="AG56" s="56">
        <v>4</v>
      </c>
      <c r="AH56" s="353"/>
      <c r="AI56" s="347"/>
      <c r="AJ56" s="351">
        <v>0.875</v>
      </c>
      <c r="AK56" s="360">
        <v>19</v>
      </c>
      <c r="AL56" s="360">
        <v>20</v>
      </c>
      <c r="AM56" s="360">
        <v>23</v>
      </c>
      <c r="AN56" s="360">
        <v>21</v>
      </c>
      <c r="AO56" s="360">
        <v>14</v>
      </c>
      <c r="AP56" s="360">
        <v>14</v>
      </c>
      <c r="AQ56" s="360">
        <v>12</v>
      </c>
      <c r="AR56" s="360">
        <v>19</v>
      </c>
      <c r="AS56" s="360">
        <v>18</v>
      </c>
      <c r="AT56" s="360">
        <v>20</v>
      </c>
      <c r="AU56" s="360">
        <v>21</v>
      </c>
      <c r="AV56" s="360">
        <v>18</v>
      </c>
      <c r="AW56" s="360">
        <v>14</v>
      </c>
      <c r="AX56" s="360">
        <v>12</v>
      </c>
      <c r="AY56" s="360">
        <v>19</v>
      </c>
      <c r="AZ56" s="360">
        <v>20</v>
      </c>
      <c r="BA56" s="360">
        <v>19</v>
      </c>
      <c r="BB56" s="360">
        <v>17</v>
      </c>
      <c r="BC56" s="360">
        <v>15</v>
      </c>
      <c r="BD56" s="360">
        <v>21</v>
      </c>
      <c r="BE56" s="360">
        <v>12</v>
      </c>
      <c r="BF56" s="360">
        <v>19</v>
      </c>
      <c r="BG56" s="360">
        <v>20</v>
      </c>
      <c r="BH56" s="360">
        <v>18</v>
      </c>
      <c r="BI56" s="360">
        <v>14</v>
      </c>
      <c r="BJ56" s="360">
        <v>14</v>
      </c>
      <c r="BK56" s="360">
        <v>14</v>
      </c>
      <c r="BL56" s="360">
        <v>12</v>
      </c>
      <c r="BM56" s="360">
        <v>19</v>
      </c>
      <c r="BN56" s="360">
        <v>20</v>
      </c>
      <c r="BO56" s="360">
        <v>19</v>
      </c>
      <c r="BP56" s="347"/>
      <c r="BQ56" s="353"/>
    </row>
    <row r="57" spans="1:69">
      <c r="A57" s="347"/>
      <c r="B57" s="350">
        <v>0.91666666666666663</v>
      </c>
      <c r="C57" s="79">
        <v>3</v>
      </c>
      <c r="D57" s="79">
        <v>3</v>
      </c>
      <c r="E57" s="79">
        <v>3</v>
      </c>
      <c r="F57" s="79">
        <v>3</v>
      </c>
      <c r="G57" s="12">
        <v>2</v>
      </c>
      <c r="H57" s="12">
        <v>2</v>
      </c>
      <c r="I57" s="12">
        <v>2</v>
      </c>
      <c r="J57" s="79">
        <v>3</v>
      </c>
      <c r="K57" s="79">
        <v>3</v>
      </c>
      <c r="L57" s="79">
        <v>3</v>
      </c>
      <c r="M57" s="79">
        <v>3</v>
      </c>
      <c r="N57" s="12">
        <v>2</v>
      </c>
      <c r="O57" s="12">
        <v>2</v>
      </c>
      <c r="P57" s="12">
        <v>2</v>
      </c>
      <c r="Q57" s="79">
        <v>3</v>
      </c>
      <c r="R57" s="79">
        <v>3</v>
      </c>
      <c r="S57" s="79">
        <v>3</v>
      </c>
      <c r="T57" s="79">
        <v>3</v>
      </c>
      <c r="U57" s="79">
        <v>3</v>
      </c>
      <c r="V57" s="12">
        <v>2</v>
      </c>
      <c r="W57" s="12">
        <v>2</v>
      </c>
      <c r="X57" s="79">
        <v>3</v>
      </c>
      <c r="Y57" s="79">
        <v>3</v>
      </c>
      <c r="Z57" s="79">
        <v>3</v>
      </c>
      <c r="AA57" s="12">
        <v>2</v>
      </c>
      <c r="AB57" s="12">
        <v>2</v>
      </c>
      <c r="AC57" s="12">
        <v>2</v>
      </c>
      <c r="AD57" s="12">
        <v>2</v>
      </c>
      <c r="AE57" s="79">
        <v>3</v>
      </c>
      <c r="AF57" s="79">
        <v>3</v>
      </c>
      <c r="AG57" s="79">
        <v>3</v>
      </c>
      <c r="AH57" s="353"/>
      <c r="AI57" s="347"/>
      <c r="AJ57" s="351">
        <v>0.91666666666666663</v>
      </c>
      <c r="AK57" s="360">
        <v>10</v>
      </c>
      <c r="AL57" s="360">
        <v>11</v>
      </c>
      <c r="AM57" s="360">
        <v>14</v>
      </c>
      <c r="AN57" s="360">
        <v>13</v>
      </c>
      <c r="AO57" s="360">
        <v>7</v>
      </c>
      <c r="AP57" s="360">
        <v>7</v>
      </c>
      <c r="AQ57" s="360">
        <v>7</v>
      </c>
      <c r="AR57" s="360">
        <v>10</v>
      </c>
      <c r="AS57" s="360">
        <v>11</v>
      </c>
      <c r="AT57" s="360">
        <v>13</v>
      </c>
      <c r="AU57" s="360">
        <v>11</v>
      </c>
      <c r="AV57" s="360">
        <v>9</v>
      </c>
      <c r="AW57" s="360">
        <v>7</v>
      </c>
      <c r="AX57" s="360">
        <v>7</v>
      </c>
      <c r="AY57" s="360">
        <v>10</v>
      </c>
      <c r="AZ57" s="360">
        <v>11</v>
      </c>
      <c r="BA57" s="360">
        <v>12</v>
      </c>
      <c r="BB57" s="360">
        <v>12</v>
      </c>
      <c r="BC57" s="360">
        <v>11</v>
      </c>
      <c r="BD57" s="360">
        <v>9</v>
      </c>
      <c r="BE57" s="360">
        <v>7</v>
      </c>
      <c r="BF57" s="360">
        <v>10</v>
      </c>
      <c r="BG57" s="360">
        <v>11</v>
      </c>
      <c r="BH57" s="360">
        <v>10</v>
      </c>
      <c r="BI57" s="360">
        <v>7</v>
      </c>
      <c r="BJ57" s="360">
        <v>7</v>
      </c>
      <c r="BK57" s="360">
        <v>7</v>
      </c>
      <c r="BL57" s="360">
        <v>7</v>
      </c>
      <c r="BM57" s="360">
        <v>10</v>
      </c>
      <c r="BN57" s="360">
        <v>11</v>
      </c>
      <c r="BO57" s="360">
        <v>12</v>
      </c>
      <c r="BP57" s="347"/>
      <c r="BQ57" s="353"/>
    </row>
    <row r="58" spans="1:69">
      <c r="A58" s="347"/>
      <c r="B58" s="350">
        <v>0.95833333333333337</v>
      </c>
      <c r="C58" s="12">
        <v>2</v>
      </c>
      <c r="D58" s="12">
        <v>2</v>
      </c>
      <c r="E58" s="12">
        <v>2</v>
      </c>
      <c r="F58" s="12">
        <v>2</v>
      </c>
      <c r="G58" s="12">
        <v>2</v>
      </c>
      <c r="H58" s="12">
        <v>2</v>
      </c>
      <c r="I58" s="12">
        <v>2</v>
      </c>
      <c r="J58" s="12">
        <v>2</v>
      </c>
      <c r="K58" s="12">
        <v>2</v>
      </c>
      <c r="L58" s="12">
        <v>2</v>
      </c>
      <c r="M58" s="12">
        <v>2</v>
      </c>
      <c r="N58" s="12">
        <v>2</v>
      </c>
      <c r="O58" s="12">
        <v>2</v>
      </c>
      <c r="P58" s="12">
        <v>2</v>
      </c>
      <c r="Q58" s="12">
        <v>2</v>
      </c>
      <c r="R58" s="12">
        <v>2</v>
      </c>
      <c r="S58" s="12">
        <v>2</v>
      </c>
      <c r="T58" s="12">
        <v>2</v>
      </c>
      <c r="U58" s="12">
        <v>2</v>
      </c>
      <c r="V58" s="12">
        <v>2</v>
      </c>
      <c r="W58" s="12">
        <v>2</v>
      </c>
      <c r="X58" s="12">
        <v>2</v>
      </c>
      <c r="Y58" s="12">
        <v>2</v>
      </c>
      <c r="Z58" s="12">
        <v>2</v>
      </c>
      <c r="AA58" s="12">
        <v>2</v>
      </c>
      <c r="AB58" s="12">
        <v>2</v>
      </c>
      <c r="AC58" s="12">
        <v>2</v>
      </c>
      <c r="AD58" s="12">
        <v>2</v>
      </c>
      <c r="AE58" s="12">
        <v>2</v>
      </c>
      <c r="AF58" s="12">
        <v>2</v>
      </c>
      <c r="AG58" s="12">
        <v>2</v>
      </c>
      <c r="AH58" s="353"/>
      <c r="AI58" s="347"/>
      <c r="AJ58" s="351">
        <v>0.95833333333333337</v>
      </c>
      <c r="AK58" s="360">
        <v>4</v>
      </c>
      <c r="AL58" s="360">
        <v>4</v>
      </c>
      <c r="AM58" s="360">
        <v>7</v>
      </c>
      <c r="AN58" s="360">
        <v>7</v>
      </c>
      <c r="AO58" s="360">
        <v>4</v>
      </c>
      <c r="AP58" s="360">
        <v>4</v>
      </c>
      <c r="AQ58" s="360">
        <v>2</v>
      </c>
      <c r="AR58" s="360">
        <v>4</v>
      </c>
      <c r="AS58" s="360">
        <v>3</v>
      </c>
      <c r="AT58" s="360">
        <v>3</v>
      </c>
      <c r="AU58" s="360">
        <v>4</v>
      </c>
      <c r="AV58" s="360">
        <v>6</v>
      </c>
      <c r="AW58" s="360">
        <v>4</v>
      </c>
      <c r="AX58" s="360">
        <v>2</v>
      </c>
      <c r="AY58" s="360">
        <v>4</v>
      </c>
      <c r="AZ58" s="360">
        <v>4</v>
      </c>
      <c r="BA58" s="360">
        <v>4</v>
      </c>
      <c r="BB58" s="360">
        <v>4</v>
      </c>
      <c r="BC58" s="360">
        <v>3</v>
      </c>
      <c r="BD58" s="360">
        <v>3</v>
      </c>
      <c r="BE58" s="360">
        <v>2</v>
      </c>
      <c r="BF58" s="360">
        <v>4</v>
      </c>
      <c r="BG58" s="360">
        <v>4</v>
      </c>
      <c r="BH58" s="360">
        <v>6</v>
      </c>
      <c r="BI58" s="360">
        <v>4</v>
      </c>
      <c r="BJ58" s="360">
        <v>4</v>
      </c>
      <c r="BK58" s="360">
        <v>4</v>
      </c>
      <c r="BL58" s="360">
        <v>2</v>
      </c>
      <c r="BM58" s="360">
        <v>4</v>
      </c>
      <c r="BN58" s="360">
        <v>4</v>
      </c>
      <c r="BO58" s="360">
        <v>4</v>
      </c>
      <c r="BP58" s="347"/>
      <c r="BQ58" s="353"/>
    </row>
    <row r="59" spans="1:69">
      <c r="A59" s="347"/>
      <c r="B59" s="354" t="s">
        <v>771</v>
      </c>
      <c r="C59" s="354">
        <v>119</v>
      </c>
      <c r="D59" s="354">
        <v>112</v>
      </c>
      <c r="E59" s="354">
        <v>122</v>
      </c>
      <c r="F59" s="354">
        <v>124</v>
      </c>
      <c r="G59" s="354">
        <v>93</v>
      </c>
      <c r="H59" s="354">
        <v>93</v>
      </c>
      <c r="I59" s="354">
        <v>78</v>
      </c>
      <c r="J59" s="354">
        <v>119</v>
      </c>
      <c r="K59" s="354">
        <v>110</v>
      </c>
      <c r="L59" s="354">
        <v>123</v>
      </c>
      <c r="M59" s="354">
        <v>117</v>
      </c>
      <c r="N59" s="354">
        <v>109</v>
      </c>
      <c r="O59" s="354">
        <v>93</v>
      </c>
      <c r="P59" s="354">
        <v>78</v>
      </c>
      <c r="Q59" s="354">
        <v>117</v>
      </c>
      <c r="R59" s="354">
        <v>112</v>
      </c>
      <c r="S59" s="354">
        <v>119</v>
      </c>
      <c r="T59" s="354">
        <v>120</v>
      </c>
      <c r="U59" s="354">
        <v>110</v>
      </c>
      <c r="V59" s="354">
        <v>117</v>
      </c>
      <c r="W59" s="354">
        <v>78</v>
      </c>
      <c r="X59" s="354">
        <v>118</v>
      </c>
      <c r="Y59" s="354">
        <v>112</v>
      </c>
      <c r="Z59" s="354">
        <v>119</v>
      </c>
      <c r="AA59" s="354">
        <v>94</v>
      </c>
      <c r="AB59" s="363">
        <v>115</v>
      </c>
      <c r="AC59" s="354">
        <v>94</v>
      </c>
      <c r="AD59" s="354">
        <v>79</v>
      </c>
      <c r="AE59" s="354">
        <v>119</v>
      </c>
      <c r="AF59" s="354">
        <v>112</v>
      </c>
      <c r="AG59" s="354">
        <v>119</v>
      </c>
      <c r="AH59" s="356">
        <v>3.3439999999999999</v>
      </c>
      <c r="AI59" s="347"/>
      <c r="AJ59" s="361"/>
      <c r="AK59" s="354">
        <v>639</v>
      </c>
      <c r="AL59" s="354">
        <v>640</v>
      </c>
      <c r="AM59" s="354">
        <v>728</v>
      </c>
      <c r="AN59" s="354">
        <v>695</v>
      </c>
      <c r="AO59" s="354">
        <v>460</v>
      </c>
      <c r="AP59" s="354">
        <v>460</v>
      </c>
      <c r="AQ59" s="354">
        <v>330</v>
      </c>
      <c r="AR59" s="354">
        <v>639</v>
      </c>
      <c r="AS59" s="354">
        <v>635</v>
      </c>
      <c r="AT59" s="354">
        <v>708</v>
      </c>
      <c r="AU59" s="354">
        <v>690</v>
      </c>
      <c r="AV59" s="354">
        <v>617</v>
      </c>
      <c r="AW59" s="354">
        <v>460</v>
      </c>
      <c r="AX59" s="354">
        <v>330</v>
      </c>
      <c r="AY59" s="354">
        <v>639</v>
      </c>
      <c r="AZ59" s="354">
        <v>640</v>
      </c>
      <c r="BA59" s="354">
        <v>727</v>
      </c>
      <c r="BB59" s="354">
        <v>677</v>
      </c>
      <c r="BC59" s="354">
        <v>598</v>
      </c>
      <c r="BD59" s="354">
        <v>622</v>
      </c>
      <c r="BE59" s="354">
        <v>330</v>
      </c>
      <c r="BF59" s="354">
        <v>639</v>
      </c>
      <c r="BG59" s="354">
        <v>640</v>
      </c>
      <c r="BH59" s="354">
        <v>650</v>
      </c>
      <c r="BI59" s="354">
        <v>460</v>
      </c>
      <c r="BJ59" s="354">
        <v>460</v>
      </c>
      <c r="BK59" s="354">
        <v>460</v>
      </c>
      <c r="BL59" s="354">
        <v>330</v>
      </c>
      <c r="BM59" s="354">
        <v>639</v>
      </c>
      <c r="BN59" s="354">
        <v>640</v>
      </c>
      <c r="BO59" s="354">
        <v>727</v>
      </c>
      <c r="BP59" s="356">
        <v>17.908999999999999</v>
      </c>
      <c r="BQ59" s="353"/>
    </row>
    <row r="60" spans="1:69">
      <c r="A60" s="347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  <c r="AA60" s="347"/>
      <c r="AB60" s="347"/>
      <c r="AC60" s="347"/>
      <c r="AD60" s="347"/>
      <c r="AE60" s="347"/>
      <c r="AF60" s="347"/>
      <c r="AG60" s="347"/>
      <c r="AH60" s="347"/>
      <c r="AI60" s="347"/>
      <c r="AJ60" s="347"/>
      <c r="AK60" s="347"/>
      <c r="AL60" s="347"/>
      <c r="AM60" s="347"/>
      <c r="AN60" s="347"/>
      <c r="AO60" s="347"/>
      <c r="AP60" s="347"/>
      <c r="AQ60" s="347"/>
      <c r="AR60" s="347"/>
      <c r="AS60" s="347"/>
      <c r="AT60" s="347"/>
      <c r="AU60" s="347"/>
      <c r="AV60" s="347"/>
      <c r="AW60" s="347"/>
      <c r="AX60" s="347"/>
      <c r="AY60" s="347"/>
      <c r="AZ60" s="347"/>
      <c r="BA60" s="347"/>
      <c r="BB60" s="347"/>
      <c r="BC60" s="347"/>
      <c r="BD60" s="347"/>
      <c r="BE60" s="347"/>
      <c r="BF60" s="347"/>
      <c r="BG60" s="347"/>
      <c r="BH60" s="347"/>
      <c r="BI60" s="347"/>
      <c r="BJ60" s="347"/>
      <c r="BK60" s="347"/>
      <c r="BL60" s="347"/>
      <c r="BM60" s="347"/>
      <c r="BN60" s="347"/>
      <c r="BO60" s="347"/>
      <c r="BP60" s="347"/>
      <c r="BQ60" s="347"/>
    </row>
    <row r="61" spans="1:69">
      <c r="A61" s="347"/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347"/>
      <c r="AB61" s="347"/>
      <c r="AC61" s="347"/>
      <c r="AD61" s="347"/>
      <c r="AE61" s="347"/>
      <c r="AF61" s="347"/>
      <c r="AG61" s="347"/>
      <c r="AH61" s="347"/>
      <c r="AI61" s="347"/>
      <c r="AJ61" s="347"/>
      <c r="AK61" s="347"/>
      <c r="AL61" s="347"/>
      <c r="AM61" s="347"/>
      <c r="AN61" s="347"/>
      <c r="AO61" s="347"/>
      <c r="AP61" s="347"/>
      <c r="AQ61" s="347"/>
      <c r="AR61" s="347"/>
      <c r="AS61" s="347"/>
      <c r="AT61" s="347"/>
      <c r="AU61" s="347"/>
      <c r="AV61" s="347"/>
      <c r="AW61" s="347"/>
      <c r="AX61" s="347"/>
      <c r="AY61" s="347"/>
      <c r="AZ61" s="347"/>
      <c r="BA61" s="347"/>
      <c r="BB61" s="347"/>
      <c r="BC61" s="347"/>
      <c r="BD61" s="347"/>
      <c r="BE61" s="347"/>
      <c r="BF61" s="347"/>
      <c r="BG61" s="347"/>
      <c r="BH61" s="347"/>
      <c r="BI61" s="347"/>
      <c r="BJ61" s="347"/>
      <c r="BK61" s="347"/>
      <c r="BL61" s="347"/>
      <c r="BM61" s="347"/>
      <c r="BN61" s="347"/>
      <c r="BO61" s="347"/>
      <c r="BP61" s="347"/>
      <c r="BQ61" s="347"/>
    </row>
    <row r="62" spans="1:69">
      <c r="A62" s="347"/>
      <c r="B62" s="347"/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  <c r="AA62" s="347"/>
      <c r="AB62" s="347"/>
      <c r="AC62" s="347"/>
      <c r="AD62" s="347"/>
      <c r="AE62" s="347"/>
      <c r="AF62" s="347"/>
      <c r="AG62" s="347"/>
      <c r="AH62" s="347"/>
      <c r="AI62" s="347"/>
      <c r="AJ62" s="347"/>
      <c r="AK62" s="347"/>
      <c r="AL62" s="347"/>
      <c r="AM62" s="347"/>
      <c r="AN62" s="347"/>
      <c r="AO62" s="347"/>
      <c r="AP62" s="347"/>
      <c r="AQ62" s="347"/>
      <c r="AR62" s="347"/>
      <c r="AS62" s="347"/>
      <c r="AT62" s="347"/>
      <c r="AU62" s="347"/>
      <c r="AV62" s="347"/>
      <c r="AW62" s="347"/>
      <c r="AX62" s="347"/>
      <c r="AY62" s="347"/>
      <c r="AZ62" s="347"/>
      <c r="BA62" s="347"/>
      <c r="BB62" s="347"/>
      <c r="BC62" s="347"/>
      <c r="BD62" s="347"/>
      <c r="BE62" s="347"/>
      <c r="BF62" s="347"/>
      <c r="BG62" s="347"/>
      <c r="BH62" s="347"/>
      <c r="BI62" s="347"/>
      <c r="BJ62" s="347"/>
      <c r="BK62" s="347"/>
      <c r="BL62" s="347"/>
      <c r="BM62" s="347"/>
      <c r="BN62" s="347"/>
      <c r="BO62" s="347"/>
      <c r="BP62" s="347"/>
      <c r="BQ62" s="347"/>
    </row>
    <row r="63" spans="1:69">
      <c r="A63" s="347"/>
      <c r="B63" s="358" t="s">
        <v>187</v>
      </c>
      <c r="C63" s="348">
        <v>45992</v>
      </c>
      <c r="D63" s="348">
        <v>45993</v>
      </c>
      <c r="E63" s="348">
        <v>45994</v>
      </c>
      <c r="F63" s="348">
        <v>45995</v>
      </c>
      <c r="G63" s="348">
        <v>45996</v>
      </c>
      <c r="H63" s="348">
        <v>45997</v>
      </c>
      <c r="I63" s="348">
        <v>45998</v>
      </c>
      <c r="J63" s="348">
        <v>45999</v>
      </c>
      <c r="K63" s="348">
        <v>46000</v>
      </c>
      <c r="L63" s="348">
        <v>46001</v>
      </c>
      <c r="M63" s="348">
        <v>46002</v>
      </c>
      <c r="N63" s="348">
        <v>46003</v>
      </c>
      <c r="O63" s="348">
        <v>46004</v>
      </c>
      <c r="P63" s="348">
        <v>46005</v>
      </c>
      <c r="Q63" s="348">
        <v>46006</v>
      </c>
      <c r="R63" s="348">
        <v>46007</v>
      </c>
      <c r="S63" s="348">
        <v>46008</v>
      </c>
      <c r="T63" s="348">
        <v>46009</v>
      </c>
      <c r="U63" s="348">
        <v>46010</v>
      </c>
      <c r="V63" s="348">
        <v>46011</v>
      </c>
      <c r="W63" s="348">
        <v>46012</v>
      </c>
      <c r="X63" s="348">
        <v>46013</v>
      </c>
      <c r="Y63" s="348">
        <v>46014</v>
      </c>
      <c r="Z63" s="348">
        <v>46015</v>
      </c>
      <c r="AA63" s="348">
        <v>46016</v>
      </c>
      <c r="AB63" s="348">
        <v>46017</v>
      </c>
      <c r="AC63" s="348">
        <v>46018</v>
      </c>
      <c r="AD63" s="348">
        <v>46019</v>
      </c>
      <c r="AE63" s="348">
        <v>46020</v>
      </c>
      <c r="AF63" s="348">
        <v>46021</v>
      </c>
      <c r="AG63" s="348">
        <v>46022</v>
      </c>
      <c r="AH63" s="347"/>
      <c r="AI63" s="347"/>
      <c r="AJ63" s="347"/>
      <c r="AK63" s="347"/>
      <c r="AL63" s="347"/>
      <c r="AM63" s="347"/>
      <c r="AN63" s="347"/>
      <c r="AO63" s="347"/>
      <c r="AP63" s="347"/>
      <c r="AQ63" s="347"/>
      <c r="AR63" s="347"/>
      <c r="AS63" s="347"/>
      <c r="AT63" s="347"/>
      <c r="AU63" s="347"/>
      <c r="AV63" s="347"/>
      <c r="AW63" s="347"/>
      <c r="AX63" s="347"/>
      <c r="AY63" s="347"/>
      <c r="AZ63" s="347"/>
      <c r="BA63" s="347"/>
      <c r="BB63" s="347"/>
      <c r="BC63" s="347"/>
      <c r="BD63" s="347"/>
      <c r="BE63" s="347"/>
      <c r="BF63" s="347"/>
      <c r="BG63" s="347"/>
      <c r="BH63" s="347"/>
      <c r="BI63" s="347"/>
      <c r="BJ63" s="347"/>
      <c r="BK63" s="347"/>
      <c r="BL63" s="347"/>
      <c r="BM63" s="347"/>
      <c r="BN63" s="347"/>
      <c r="BO63" s="347"/>
      <c r="BP63" s="347"/>
      <c r="BQ63" s="347"/>
    </row>
    <row r="64" spans="1:69">
      <c r="A64" s="347"/>
      <c r="B64" s="359"/>
      <c r="C64" s="349" t="s">
        <v>768</v>
      </c>
      <c r="D64" s="349" t="s">
        <v>769</v>
      </c>
      <c r="E64" s="349" t="s">
        <v>770</v>
      </c>
      <c r="F64" s="349" t="s">
        <v>764</v>
      </c>
      <c r="G64" s="349" t="s">
        <v>765</v>
      </c>
      <c r="H64" s="349" t="s">
        <v>766</v>
      </c>
      <c r="I64" s="349" t="s">
        <v>767</v>
      </c>
      <c r="J64" s="349" t="s">
        <v>768</v>
      </c>
      <c r="K64" s="349" t="s">
        <v>769</v>
      </c>
      <c r="L64" s="349" t="s">
        <v>770</v>
      </c>
      <c r="M64" s="349" t="s">
        <v>764</v>
      </c>
      <c r="N64" s="349" t="s">
        <v>765</v>
      </c>
      <c r="O64" s="349" t="s">
        <v>766</v>
      </c>
      <c r="P64" s="349" t="s">
        <v>767</v>
      </c>
      <c r="Q64" s="349" t="s">
        <v>768</v>
      </c>
      <c r="R64" s="349" t="s">
        <v>769</v>
      </c>
      <c r="S64" s="349" t="s">
        <v>770</v>
      </c>
      <c r="T64" s="349" t="s">
        <v>764</v>
      </c>
      <c r="U64" s="349" t="s">
        <v>765</v>
      </c>
      <c r="V64" s="349" t="s">
        <v>766</v>
      </c>
      <c r="W64" s="349" t="s">
        <v>767</v>
      </c>
      <c r="X64" s="349" t="s">
        <v>768</v>
      </c>
      <c r="Y64" s="349" t="s">
        <v>769</v>
      </c>
      <c r="Z64" s="349" t="s">
        <v>770</v>
      </c>
      <c r="AA64" s="349" t="s">
        <v>764</v>
      </c>
      <c r="AB64" s="349" t="s">
        <v>765</v>
      </c>
      <c r="AC64" s="349" t="s">
        <v>766</v>
      </c>
      <c r="AD64" s="349" t="s">
        <v>767</v>
      </c>
      <c r="AE64" s="349" t="s">
        <v>768</v>
      </c>
      <c r="AF64" s="349" t="s">
        <v>769</v>
      </c>
      <c r="AG64" s="349" t="s">
        <v>770</v>
      </c>
      <c r="AH64" s="347"/>
      <c r="AI64" s="347"/>
      <c r="AJ64" s="347"/>
      <c r="AK64" s="347"/>
      <c r="AL64" s="347"/>
      <c r="AM64" s="347"/>
      <c r="AN64" s="347"/>
      <c r="AO64" s="347"/>
      <c r="AP64" s="347"/>
      <c r="AQ64" s="347"/>
      <c r="AR64" s="347"/>
      <c r="AS64" s="347"/>
      <c r="AT64" s="347"/>
      <c r="AU64" s="347"/>
      <c r="AV64" s="347"/>
      <c r="AW64" s="347"/>
      <c r="AX64" s="347"/>
      <c r="AY64" s="347"/>
      <c r="AZ64" s="347"/>
      <c r="BA64" s="347"/>
      <c r="BB64" s="347"/>
      <c r="BC64" s="347"/>
      <c r="BD64" s="347"/>
      <c r="BE64" s="347"/>
      <c r="BF64" s="347"/>
      <c r="BG64" s="347"/>
      <c r="BH64" s="347"/>
      <c r="BI64" s="347"/>
      <c r="BJ64" s="347"/>
      <c r="BK64" s="347"/>
      <c r="BL64" s="347"/>
      <c r="BM64" s="347"/>
      <c r="BN64" s="347"/>
      <c r="BO64" s="347"/>
      <c r="BP64" s="347"/>
      <c r="BQ64" s="347"/>
    </row>
    <row r="65" spans="1:69">
      <c r="A65" s="347"/>
      <c r="B65" s="350">
        <v>0</v>
      </c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  <c r="AC65" s="362"/>
      <c r="AD65" s="362"/>
      <c r="AE65" s="362"/>
      <c r="AF65" s="362"/>
      <c r="AG65" s="362"/>
      <c r="AH65" s="347"/>
      <c r="AI65" s="347"/>
      <c r="AJ65" s="347"/>
      <c r="AK65" s="347"/>
      <c r="AL65" s="347"/>
      <c r="AM65" s="347"/>
      <c r="AN65" s="347"/>
      <c r="AO65" s="347"/>
      <c r="AP65" s="347"/>
      <c r="AQ65" s="347"/>
      <c r="AR65" s="347"/>
      <c r="AS65" s="347"/>
      <c r="AT65" s="347"/>
      <c r="AU65" s="347"/>
      <c r="AV65" s="347"/>
      <c r="AW65" s="347"/>
      <c r="AX65" s="347"/>
      <c r="AY65" s="347"/>
      <c r="AZ65" s="347"/>
      <c r="BA65" s="347"/>
      <c r="BB65" s="347"/>
      <c r="BC65" s="347"/>
      <c r="BD65" s="347"/>
      <c r="BE65" s="347"/>
      <c r="BF65" s="347"/>
      <c r="BG65" s="347"/>
      <c r="BH65" s="347"/>
      <c r="BI65" s="347"/>
      <c r="BJ65" s="347"/>
      <c r="BK65" s="347"/>
      <c r="BL65" s="347"/>
      <c r="BM65" s="347"/>
      <c r="BN65" s="347"/>
      <c r="BO65" s="347"/>
      <c r="BP65" s="347"/>
      <c r="BQ65" s="347"/>
    </row>
    <row r="66" spans="1:69">
      <c r="A66" s="347"/>
      <c r="B66" s="350">
        <v>4.1666666666666664E-2</v>
      </c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  <c r="AC66" s="362"/>
      <c r="AD66" s="362"/>
      <c r="AE66" s="362"/>
      <c r="AF66" s="362"/>
      <c r="AG66" s="362"/>
      <c r="AH66" s="347"/>
      <c r="AI66" s="347"/>
      <c r="AJ66" s="347"/>
      <c r="AK66" s="347"/>
      <c r="AL66" s="347"/>
      <c r="AM66" s="347"/>
      <c r="AN66" s="347"/>
      <c r="AO66" s="347"/>
      <c r="AP66" s="347"/>
      <c r="AQ66" s="347"/>
      <c r="AR66" s="347"/>
      <c r="AS66" s="347"/>
      <c r="AT66" s="347"/>
      <c r="AU66" s="347"/>
      <c r="AV66" s="347"/>
      <c r="AW66" s="347"/>
      <c r="AX66" s="347"/>
      <c r="AY66" s="347"/>
      <c r="AZ66" s="347"/>
      <c r="BA66" s="347"/>
      <c r="BB66" s="347"/>
      <c r="BC66" s="347"/>
      <c r="BD66" s="347"/>
      <c r="BE66" s="347"/>
      <c r="BF66" s="347"/>
      <c r="BG66" s="347"/>
      <c r="BH66" s="347"/>
      <c r="BI66" s="347"/>
      <c r="BJ66" s="347"/>
      <c r="BK66" s="347"/>
      <c r="BL66" s="347"/>
      <c r="BM66" s="347"/>
      <c r="BN66" s="347"/>
      <c r="BO66" s="347"/>
      <c r="BP66" s="347"/>
      <c r="BQ66" s="347"/>
    </row>
    <row r="67" spans="1:69">
      <c r="A67" s="347"/>
      <c r="B67" s="350">
        <v>8.3333333333333329E-2</v>
      </c>
      <c r="C67" s="362"/>
      <c r="D67" s="362"/>
      <c r="E67" s="362"/>
      <c r="F67" s="362"/>
      <c r="G67" s="362"/>
      <c r="H67" s="362"/>
      <c r="I67" s="362"/>
      <c r="J67" s="362"/>
      <c r="K67" s="362"/>
      <c r="L67" s="362"/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  <c r="AC67" s="362"/>
      <c r="AD67" s="362"/>
      <c r="AE67" s="362"/>
      <c r="AF67" s="362"/>
      <c r="AG67" s="362"/>
      <c r="AH67" s="347"/>
      <c r="AI67" s="347"/>
      <c r="AJ67" s="347"/>
      <c r="AK67" s="347"/>
      <c r="AL67" s="347"/>
      <c r="AM67" s="347"/>
      <c r="AN67" s="347"/>
      <c r="AO67" s="347"/>
      <c r="AP67" s="347"/>
      <c r="AQ67" s="347"/>
      <c r="AR67" s="347"/>
      <c r="AS67" s="347"/>
      <c r="AT67" s="347"/>
      <c r="AU67" s="347"/>
      <c r="AV67" s="347"/>
      <c r="AW67" s="347"/>
      <c r="AX67" s="347"/>
      <c r="AY67" s="347"/>
      <c r="AZ67" s="347"/>
      <c r="BA67" s="347"/>
      <c r="BB67" s="347"/>
      <c r="BC67" s="347"/>
      <c r="BD67" s="347"/>
      <c r="BE67" s="347"/>
      <c r="BF67" s="347"/>
      <c r="BG67" s="347"/>
      <c r="BH67" s="347"/>
      <c r="BI67" s="347"/>
      <c r="BJ67" s="347"/>
      <c r="BK67" s="347"/>
      <c r="BL67" s="347"/>
      <c r="BM67" s="347"/>
      <c r="BN67" s="347"/>
      <c r="BO67" s="347"/>
      <c r="BP67" s="347"/>
      <c r="BQ67" s="347"/>
    </row>
    <row r="68" spans="1:69">
      <c r="A68" s="347"/>
      <c r="B68" s="350">
        <v>0.125</v>
      </c>
      <c r="C68" s="362"/>
      <c r="D68" s="362"/>
      <c r="E68" s="362"/>
      <c r="F68" s="362"/>
      <c r="G68" s="362"/>
      <c r="H68" s="362"/>
      <c r="I68" s="362"/>
      <c r="J68" s="362"/>
      <c r="K68" s="362"/>
      <c r="L68" s="362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  <c r="AC68" s="362"/>
      <c r="AD68" s="362"/>
      <c r="AE68" s="362"/>
      <c r="AF68" s="362"/>
      <c r="AG68" s="362"/>
      <c r="AH68" s="347"/>
      <c r="AI68" s="347"/>
      <c r="AJ68" s="347"/>
      <c r="AK68" s="347"/>
      <c r="AL68" s="347"/>
      <c r="AM68" s="347"/>
      <c r="AN68" s="347"/>
      <c r="AO68" s="347"/>
      <c r="AP68" s="347"/>
      <c r="AQ68" s="347"/>
      <c r="AR68" s="347"/>
      <c r="AS68" s="347"/>
      <c r="AT68" s="347"/>
      <c r="AU68" s="347"/>
      <c r="AV68" s="347"/>
      <c r="AW68" s="347"/>
      <c r="AX68" s="347"/>
      <c r="AY68" s="347"/>
      <c r="AZ68" s="347"/>
      <c r="BA68" s="347"/>
      <c r="BB68" s="347"/>
      <c r="BC68" s="347"/>
      <c r="BD68" s="347"/>
      <c r="BE68" s="347"/>
      <c r="BF68" s="347"/>
      <c r="BG68" s="347"/>
      <c r="BH68" s="347"/>
      <c r="BI68" s="347"/>
      <c r="BJ68" s="347"/>
      <c r="BK68" s="347"/>
      <c r="BL68" s="347"/>
      <c r="BM68" s="347"/>
      <c r="BN68" s="347"/>
      <c r="BO68" s="347"/>
      <c r="BP68" s="347"/>
      <c r="BQ68" s="347"/>
    </row>
    <row r="69" spans="1:69">
      <c r="A69" s="347"/>
      <c r="B69" s="350">
        <v>0.16666666666666666</v>
      </c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  <c r="AC69" s="362"/>
      <c r="AD69" s="362"/>
      <c r="AE69" s="362"/>
      <c r="AF69" s="362"/>
      <c r="AG69" s="362"/>
      <c r="AH69" s="347"/>
      <c r="AI69" s="347"/>
      <c r="AJ69" s="347"/>
      <c r="AK69" s="347"/>
      <c r="AL69" s="347"/>
      <c r="AM69" s="347"/>
      <c r="AN69" s="347"/>
      <c r="AO69" s="347"/>
      <c r="AP69" s="347"/>
      <c r="AQ69" s="347"/>
      <c r="AR69" s="347"/>
      <c r="AS69" s="347"/>
      <c r="AT69" s="347"/>
      <c r="AU69" s="347"/>
      <c r="AV69" s="347"/>
      <c r="AW69" s="347"/>
      <c r="AX69" s="347"/>
      <c r="AY69" s="347"/>
      <c r="AZ69" s="347"/>
      <c r="BA69" s="347"/>
      <c r="BB69" s="347"/>
      <c r="BC69" s="347"/>
      <c r="BD69" s="347"/>
      <c r="BE69" s="347"/>
      <c r="BF69" s="347"/>
      <c r="BG69" s="347"/>
      <c r="BH69" s="347"/>
      <c r="BI69" s="347"/>
      <c r="BJ69" s="347"/>
      <c r="BK69" s="347"/>
      <c r="BL69" s="347"/>
      <c r="BM69" s="347"/>
      <c r="BN69" s="347"/>
      <c r="BO69" s="347"/>
      <c r="BP69" s="347"/>
      <c r="BQ69" s="347"/>
    </row>
    <row r="70" spans="1:69">
      <c r="A70" s="347"/>
      <c r="B70" s="350">
        <v>0.20833333333333334</v>
      </c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  <c r="AC70" s="362"/>
      <c r="AD70" s="362"/>
      <c r="AE70" s="362"/>
      <c r="AF70" s="362"/>
      <c r="AG70" s="362"/>
      <c r="AH70" s="347"/>
      <c r="AI70" s="347"/>
      <c r="AJ70" s="347"/>
      <c r="AK70" s="347"/>
      <c r="AL70" s="347"/>
      <c r="AM70" s="347"/>
      <c r="AN70" s="347"/>
      <c r="AO70" s="347"/>
      <c r="AP70" s="347"/>
      <c r="AQ70" s="347"/>
      <c r="AR70" s="347"/>
      <c r="AS70" s="347"/>
      <c r="AT70" s="347"/>
      <c r="AU70" s="347"/>
      <c r="AV70" s="347"/>
      <c r="AW70" s="347"/>
      <c r="AX70" s="347"/>
      <c r="AY70" s="347"/>
      <c r="AZ70" s="347"/>
      <c r="BA70" s="347"/>
      <c r="BB70" s="347"/>
      <c r="BC70" s="347"/>
      <c r="BD70" s="347"/>
      <c r="BE70" s="347"/>
      <c r="BF70" s="347"/>
      <c r="BG70" s="347"/>
      <c r="BH70" s="347"/>
      <c r="BI70" s="347"/>
      <c r="BJ70" s="347"/>
      <c r="BK70" s="347"/>
      <c r="BL70" s="347"/>
      <c r="BM70" s="347"/>
      <c r="BN70" s="347"/>
      <c r="BO70" s="347"/>
      <c r="BP70" s="347"/>
      <c r="BQ70" s="347"/>
    </row>
    <row r="71" spans="1:69">
      <c r="A71" s="347"/>
      <c r="B71" s="350">
        <v>0.25</v>
      </c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  <c r="AC71" s="362"/>
      <c r="AD71" s="362"/>
      <c r="AE71" s="362"/>
      <c r="AF71" s="362"/>
      <c r="AG71" s="362"/>
      <c r="AH71" s="347"/>
      <c r="AI71" s="347"/>
      <c r="AJ71" s="347"/>
      <c r="AK71" s="347"/>
      <c r="AL71" s="347"/>
      <c r="AM71" s="347"/>
      <c r="AN71" s="347"/>
      <c r="AO71" s="347"/>
      <c r="AP71" s="347"/>
      <c r="AQ71" s="347"/>
      <c r="AR71" s="347"/>
      <c r="AS71" s="347"/>
      <c r="AT71" s="347"/>
      <c r="AU71" s="347"/>
      <c r="AV71" s="347"/>
      <c r="AW71" s="347"/>
      <c r="AX71" s="347"/>
      <c r="AY71" s="347"/>
      <c r="AZ71" s="347"/>
      <c r="BA71" s="347"/>
      <c r="BB71" s="347"/>
      <c r="BC71" s="347"/>
      <c r="BD71" s="347"/>
      <c r="BE71" s="347"/>
      <c r="BF71" s="347"/>
      <c r="BG71" s="347"/>
      <c r="BH71" s="347"/>
      <c r="BI71" s="347"/>
      <c r="BJ71" s="347"/>
      <c r="BK71" s="347"/>
      <c r="BL71" s="347"/>
      <c r="BM71" s="347"/>
      <c r="BN71" s="347"/>
      <c r="BO71" s="347"/>
      <c r="BP71" s="347"/>
      <c r="BQ71" s="347"/>
    </row>
    <row r="72" spans="1:69">
      <c r="A72" s="347"/>
      <c r="B72" s="350">
        <v>0.29166666666666669</v>
      </c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  <c r="AC72" s="362"/>
      <c r="AD72" s="362"/>
      <c r="AE72" s="362"/>
      <c r="AF72" s="362"/>
      <c r="AG72" s="362"/>
      <c r="AH72" s="347"/>
      <c r="AI72" s="347"/>
      <c r="AJ72" s="347"/>
      <c r="AK72" s="347"/>
      <c r="AL72" s="347"/>
      <c r="AM72" s="347"/>
      <c r="AN72" s="347"/>
      <c r="AO72" s="347"/>
      <c r="AP72" s="347"/>
      <c r="AQ72" s="347"/>
      <c r="AR72" s="347"/>
      <c r="AS72" s="347"/>
      <c r="AT72" s="347"/>
      <c r="AU72" s="347"/>
      <c r="AV72" s="347"/>
      <c r="AW72" s="347"/>
      <c r="AX72" s="347"/>
      <c r="AY72" s="347"/>
      <c r="AZ72" s="347"/>
      <c r="BA72" s="347"/>
      <c r="BB72" s="347"/>
      <c r="BC72" s="347"/>
      <c r="BD72" s="347"/>
      <c r="BE72" s="347"/>
      <c r="BF72" s="347"/>
      <c r="BG72" s="347"/>
      <c r="BH72" s="347"/>
      <c r="BI72" s="347"/>
      <c r="BJ72" s="347"/>
      <c r="BK72" s="347"/>
      <c r="BL72" s="347"/>
      <c r="BM72" s="347"/>
      <c r="BN72" s="347"/>
      <c r="BO72" s="347"/>
      <c r="BP72" s="347"/>
      <c r="BQ72" s="347"/>
    </row>
    <row r="73" spans="1:69">
      <c r="A73" s="347"/>
      <c r="B73" s="350">
        <v>0.33333333333333331</v>
      </c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  <c r="Z73" s="362"/>
      <c r="AA73" s="362"/>
      <c r="AB73" s="362"/>
      <c r="AC73" s="362"/>
      <c r="AD73" s="362"/>
      <c r="AE73" s="362"/>
      <c r="AF73" s="362"/>
      <c r="AG73" s="362"/>
      <c r="AH73" s="347"/>
      <c r="AI73" s="347"/>
      <c r="AJ73" s="347"/>
      <c r="AK73" s="347"/>
      <c r="AL73" s="347"/>
      <c r="AM73" s="347"/>
      <c r="AN73" s="347"/>
      <c r="AO73" s="347"/>
      <c r="AP73" s="347"/>
      <c r="AQ73" s="347"/>
      <c r="AR73" s="347"/>
      <c r="AS73" s="347"/>
      <c r="AT73" s="347"/>
      <c r="AU73" s="347"/>
      <c r="AV73" s="347"/>
      <c r="AW73" s="347"/>
      <c r="AX73" s="347"/>
      <c r="AY73" s="347"/>
      <c r="AZ73" s="347"/>
      <c r="BA73" s="347"/>
      <c r="BB73" s="347"/>
      <c r="BC73" s="347"/>
      <c r="BD73" s="347"/>
      <c r="BE73" s="347"/>
      <c r="BF73" s="347"/>
      <c r="BG73" s="347"/>
      <c r="BH73" s="347"/>
      <c r="BI73" s="347"/>
      <c r="BJ73" s="347"/>
      <c r="BK73" s="347"/>
      <c r="BL73" s="347"/>
      <c r="BM73" s="347"/>
      <c r="BN73" s="347"/>
      <c r="BO73" s="347"/>
      <c r="BP73" s="347"/>
      <c r="BQ73" s="347"/>
    </row>
    <row r="74" spans="1:69">
      <c r="A74" s="347"/>
      <c r="B74" s="350">
        <v>0.375</v>
      </c>
      <c r="C74" s="57">
        <v>1</v>
      </c>
      <c r="D74" s="57">
        <v>1</v>
      </c>
      <c r="E74" s="57">
        <v>1</v>
      </c>
      <c r="F74" s="57">
        <v>1</v>
      </c>
      <c r="G74" s="57">
        <v>1</v>
      </c>
      <c r="H74" s="57">
        <v>1</v>
      </c>
      <c r="I74" s="57">
        <v>1</v>
      </c>
      <c r="J74" s="57">
        <v>1</v>
      </c>
      <c r="K74" s="57">
        <v>1</v>
      </c>
      <c r="L74" s="57">
        <v>1</v>
      </c>
      <c r="M74" s="57">
        <v>1</v>
      </c>
      <c r="N74" s="57">
        <v>1</v>
      </c>
      <c r="O74" s="57">
        <v>1</v>
      </c>
      <c r="P74" s="57">
        <v>1</v>
      </c>
      <c r="Q74" s="57">
        <v>1</v>
      </c>
      <c r="R74" s="57">
        <v>1</v>
      </c>
      <c r="S74" s="57">
        <v>1</v>
      </c>
      <c r="T74" s="57">
        <v>1</v>
      </c>
      <c r="U74" s="57">
        <v>1</v>
      </c>
      <c r="V74" s="57">
        <v>1</v>
      </c>
      <c r="W74" s="57">
        <v>1</v>
      </c>
      <c r="X74" s="57">
        <v>1</v>
      </c>
      <c r="Y74" s="57">
        <v>1</v>
      </c>
      <c r="Z74" s="57">
        <v>1</v>
      </c>
      <c r="AA74" s="57">
        <v>1</v>
      </c>
      <c r="AB74" s="57">
        <v>1</v>
      </c>
      <c r="AC74" s="57">
        <v>1</v>
      </c>
      <c r="AD74" s="57">
        <v>1</v>
      </c>
      <c r="AE74" s="57">
        <v>1</v>
      </c>
      <c r="AF74" s="57">
        <v>1</v>
      </c>
      <c r="AG74" s="57">
        <v>1</v>
      </c>
      <c r="AH74" s="347"/>
      <c r="AI74" s="347"/>
      <c r="AJ74" s="347"/>
      <c r="AK74" s="347"/>
      <c r="AL74" s="347"/>
      <c r="AM74" s="347"/>
      <c r="AN74" s="347"/>
      <c r="AO74" s="347"/>
      <c r="AP74" s="347"/>
      <c r="AQ74" s="347"/>
      <c r="AR74" s="347"/>
      <c r="AS74" s="347"/>
      <c r="AT74" s="347"/>
      <c r="AU74" s="347"/>
      <c r="AV74" s="347"/>
      <c r="AW74" s="347"/>
      <c r="AX74" s="347"/>
      <c r="AY74" s="347"/>
      <c r="AZ74" s="347"/>
      <c r="BA74" s="347"/>
      <c r="BB74" s="347"/>
      <c r="BC74" s="347"/>
      <c r="BD74" s="347"/>
      <c r="BE74" s="347"/>
      <c r="BF74" s="347"/>
      <c r="BG74" s="347"/>
      <c r="BH74" s="347"/>
      <c r="BI74" s="347"/>
      <c r="BJ74" s="347"/>
      <c r="BK74" s="347"/>
      <c r="BL74" s="347"/>
      <c r="BM74" s="347"/>
      <c r="BN74" s="347"/>
      <c r="BO74" s="347"/>
      <c r="BP74" s="347"/>
      <c r="BQ74" s="347"/>
    </row>
    <row r="75" spans="1:69">
      <c r="A75" s="347"/>
      <c r="B75" s="350">
        <v>0.41666666666666669</v>
      </c>
      <c r="C75" s="57">
        <v>1</v>
      </c>
      <c r="D75" s="57">
        <v>1</v>
      </c>
      <c r="E75" s="57">
        <v>1</v>
      </c>
      <c r="F75" s="57">
        <v>1</v>
      </c>
      <c r="G75" s="57">
        <v>1</v>
      </c>
      <c r="H75" s="57">
        <v>1</v>
      </c>
      <c r="I75" s="57">
        <v>1</v>
      </c>
      <c r="J75" s="57">
        <v>1</v>
      </c>
      <c r="K75" s="57">
        <v>1</v>
      </c>
      <c r="L75" s="57">
        <v>1</v>
      </c>
      <c r="M75" s="57">
        <v>1</v>
      </c>
      <c r="N75" s="57">
        <v>1</v>
      </c>
      <c r="O75" s="57">
        <v>1</v>
      </c>
      <c r="P75" s="57">
        <v>1</v>
      </c>
      <c r="Q75" s="57">
        <v>1</v>
      </c>
      <c r="R75" s="57">
        <v>1</v>
      </c>
      <c r="S75" s="57">
        <v>1</v>
      </c>
      <c r="T75" s="57">
        <v>1</v>
      </c>
      <c r="U75" s="57">
        <v>1</v>
      </c>
      <c r="V75" s="57">
        <v>1</v>
      </c>
      <c r="W75" s="57">
        <v>1</v>
      </c>
      <c r="X75" s="57">
        <v>1</v>
      </c>
      <c r="Y75" s="57">
        <v>1</v>
      </c>
      <c r="Z75" s="57">
        <v>1</v>
      </c>
      <c r="AA75" s="57">
        <v>1</v>
      </c>
      <c r="AB75" s="57">
        <v>1</v>
      </c>
      <c r="AC75" s="57">
        <v>1</v>
      </c>
      <c r="AD75" s="57">
        <v>1</v>
      </c>
      <c r="AE75" s="57">
        <v>1</v>
      </c>
      <c r="AF75" s="57">
        <v>1</v>
      </c>
      <c r="AG75" s="57">
        <v>1</v>
      </c>
      <c r="AH75" s="347"/>
      <c r="AI75" s="347"/>
      <c r="AJ75" s="347"/>
      <c r="AK75" s="347"/>
      <c r="AL75" s="347"/>
      <c r="AM75" s="347"/>
      <c r="AN75" s="347"/>
      <c r="AO75" s="347"/>
      <c r="AP75" s="347"/>
      <c r="AQ75" s="347"/>
      <c r="AR75" s="347"/>
      <c r="AS75" s="347"/>
      <c r="AT75" s="347"/>
      <c r="AU75" s="347"/>
      <c r="AV75" s="347"/>
      <c r="AW75" s="347"/>
      <c r="AX75" s="347"/>
      <c r="AY75" s="347"/>
      <c r="AZ75" s="347"/>
      <c r="BA75" s="347"/>
      <c r="BB75" s="347"/>
      <c r="BC75" s="347"/>
      <c r="BD75" s="347"/>
      <c r="BE75" s="347"/>
      <c r="BF75" s="347"/>
      <c r="BG75" s="347"/>
      <c r="BH75" s="347"/>
      <c r="BI75" s="347"/>
      <c r="BJ75" s="347"/>
      <c r="BK75" s="347"/>
      <c r="BL75" s="347"/>
      <c r="BM75" s="347"/>
      <c r="BN75" s="347"/>
      <c r="BO75" s="347"/>
      <c r="BP75" s="347"/>
      <c r="BQ75" s="347"/>
    </row>
    <row r="76" spans="1:69">
      <c r="A76" s="347"/>
      <c r="B76" s="350">
        <v>0.45833333333333331</v>
      </c>
      <c r="C76" s="57">
        <v>1</v>
      </c>
      <c r="D76" s="57">
        <v>1</v>
      </c>
      <c r="E76" s="57">
        <v>1</v>
      </c>
      <c r="F76" s="57">
        <v>1</v>
      </c>
      <c r="G76" s="57">
        <v>1</v>
      </c>
      <c r="H76" s="57">
        <v>1</v>
      </c>
      <c r="I76" s="57">
        <v>1</v>
      </c>
      <c r="J76" s="57">
        <v>1</v>
      </c>
      <c r="K76" s="57">
        <v>1</v>
      </c>
      <c r="L76" s="57">
        <v>1</v>
      </c>
      <c r="M76" s="57">
        <v>1</v>
      </c>
      <c r="N76" s="57">
        <v>1</v>
      </c>
      <c r="O76" s="57">
        <v>1</v>
      </c>
      <c r="P76" s="57">
        <v>1</v>
      </c>
      <c r="Q76" s="57">
        <v>1</v>
      </c>
      <c r="R76" s="57">
        <v>1</v>
      </c>
      <c r="S76" s="57">
        <v>1</v>
      </c>
      <c r="T76" s="57">
        <v>1</v>
      </c>
      <c r="U76" s="57">
        <v>1</v>
      </c>
      <c r="V76" s="57">
        <v>1</v>
      </c>
      <c r="W76" s="57">
        <v>1</v>
      </c>
      <c r="X76" s="57">
        <v>1</v>
      </c>
      <c r="Y76" s="57">
        <v>1</v>
      </c>
      <c r="Z76" s="57">
        <v>1</v>
      </c>
      <c r="AA76" s="57">
        <v>1</v>
      </c>
      <c r="AB76" s="57">
        <v>1</v>
      </c>
      <c r="AC76" s="57">
        <v>1</v>
      </c>
      <c r="AD76" s="57">
        <v>1</v>
      </c>
      <c r="AE76" s="57">
        <v>1</v>
      </c>
      <c r="AF76" s="57">
        <v>1</v>
      </c>
      <c r="AG76" s="57">
        <v>1</v>
      </c>
      <c r="AH76" s="347"/>
      <c r="AI76" s="347"/>
      <c r="AJ76" s="347"/>
      <c r="AK76" s="347"/>
      <c r="AL76" s="347"/>
      <c r="AM76" s="347"/>
      <c r="AN76" s="347"/>
      <c r="AO76" s="347"/>
      <c r="AP76" s="347"/>
      <c r="AQ76" s="347"/>
      <c r="AR76" s="347"/>
      <c r="AS76" s="347"/>
      <c r="AT76" s="347"/>
      <c r="AU76" s="347"/>
      <c r="AV76" s="347"/>
      <c r="AW76" s="347"/>
      <c r="AX76" s="347"/>
      <c r="AY76" s="347"/>
      <c r="AZ76" s="347"/>
      <c r="BA76" s="347"/>
      <c r="BB76" s="347"/>
      <c r="BC76" s="347"/>
      <c r="BD76" s="347"/>
      <c r="BE76" s="347"/>
      <c r="BF76" s="347"/>
      <c r="BG76" s="347"/>
      <c r="BH76" s="347"/>
      <c r="BI76" s="347"/>
      <c r="BJ76" s="347"/>
      <c r="BK76" s="347"/>
      <c r="BL76" s="347"/>
      <c r="BM76" s="347"/>
      <c r="BN76" s="347"/>
      <c r="BO76" s="347"/>
      <c r="BP76" s="347"/>
      <c r="BQ76" s="347"/>
    </row>
    <row r="77" spans="1:69">
      <c r="A77" s="347"/>
      <c r="B77" s="350">
        <v>0.5</v>
      </c>
      <c r="C77" s="57">
        <v>1</v>
      </c>
      <c r="D77" s="57">
        <v>1</v>
      </c>
      <c r="E77" s="57">
        <v>1</v>
      </c>
      <c r="F77" s="57">
        <v>1</v>
      </c>
      <c r="G77" s="57">
        <v>1</v>
      </c>
      <c r="H77" s="57">
        <v>1</v>
      </c>
      <c r="I77" s="57">
        <v>1</v>
      </c>
      <c r="J77" s="57">
        <v>1</v>
      </c>
      <c r="K77" s="57">
        <v>1</v>
      </c>
      <c r="L77" s="57">
        <v>1</v>
      </c>
      <c r="M77" s="57">
        <v>1</v>
      </c>
      <c r="N77" s="57">
        <v>1</v>
      </c>
      <c r="O77" s="57">
        <v>1</v>
      </c>
      <c r="P77" s="57">
        <v>1</v>
      </c>
      <c r="Q77" s="57">
        <v>1</v>
      </c>
      <c r="R77" s="57">
        <v>1</v>
      </c>
      <c r="S77" s="57">
        <v>1</v>
      </c>
      <c r="T77" s="57">
        <v>1</v>
      </c>
      <c r="U77" s="57">
        <v>1</v>
      </c>
      <c r="V77" s="57">
        <v>1</v>
      </c>
      <c r="W77" s="57">
        <v>1</v>
      </c>
      <c r="X77" s="57">
        <v>1</v>
      </c>
      <c r="Y77" s="57">
        <v>1</v>
      </c>
      <c r="Z77" s="57">
        <v>1</v>
      </c>
      <c r="AA77" s="57">
        <v>1</v>
      </c>
      <c r="AB77" s="57">
        <v>1</v>
      </c>
      <c r="AC77" s="57">
        <v>1</v>
      </c>
      <c r="AD77" s="57">
        <v>1</v>
      </c>
      <c r="AE77" s="57">
        <v>1</v>
      </c>
      <c r="AF77" s="57">
        <v>1</v>
      </c>
      <c r="AG77" s="57">
        <v>1</v>
      </c>
      <c r="AH77" s="347"/>
      <c r="AI77" s="347"/>
      <c r="AJ77" s="347"/>
      <c r="AK77" s="347"/>
      <c r="AL77" s="347"/>
      <c r="AM77" s="347"/>
      <c r="AN77" s="347"/>
      <c r="AO77" s="347"/>
      <c r="AP77" s="347"/>
      <c r="AQ77" s="347"/>
      <c r="AR77" s="347"/>
      <c r="AS77" s="347"/>
      <c r="AT77" s="347"/>
      <c r="AU77" s="347"/>
      <c r="AV77" s="347"/>
      <c r="AW77" s="347"/>
      <c r="AX77" s="347"/>
      <c r="AY77" s="347"/>
      <c r="AZ77" s="347"/>
      <c r="BA77" s="347"/>
      <c r="BB77" s="347"/>
      <c r="BC77" s="347"/>
      <c r="BD77" s="347"/>
      <c r="BE77" s="347"/>
      <c r="BF77" s="347"/>
      <c r="BG77" s="347"/>
      <c r="BH77" s="347"/>
      <c r="BI77" s="347"/>
      <c r="BJ77" s="347"/>
      <c r="BK77" s="347"/>
      <c r="BL77" s="347"/>
      <c r="BM77" s="347"/>
      <c r="BN77" s="347"/>
      <c r="BO77" s="347"/>
      <c r="BP77" s="347"/>
      <c r="BQ77" s="347"/>
    </row>
    <row r="78" spans="1:69">
      <c r="A78" s="347"/>
      <c r="B78" s="350">
        <v>0.54166666666666663</v>
      </c>
      <c r="C78" s="57">
        <v>1</v>
      </c>
      <c r="D78" s="57">
        <v>1</v>
      </c>
      <c r="E78" s="57">
        <v>1</v>
      </c>
      <c r="F78" s="57">
        <v>1</v>
      </c>
      <c r="G78" s="57">
        <v>1</v>
      </c>
      <c r="H78" s="57">
        <v>1</v>
      </c>
      <c r="I78" s="57">
        <v>1</v>
      </c>
      <c r="J78" s="57">
        <v>1</v>
      </c>
      <c r="K78" s="57">
        <v>1</v>
      </c>
      <c r="L78" s="57">
        <v>1</v>
      </c>
      <c r="M78" s="57">
        <v>1</v>
      </c>
      <c r="N78" s="57">
        <v>1</v>
      </c>
      <c r="O78" s="57">
        <v>1</v>
      </c>
      <c r="P78" s="57">
        <v>1</v>
      </c>
      <c r="Q78" s="57">
        <v>1</v>
      </c>
      <c r="R78" s="57">
        <v>1</v>
      </c>
      <c r="S78" s="57">
        <v>1</v>
      </c>
      <c r="T78" s="57">
        <v>1</v>
      </c>
      <c r="U78" s="57">
        <v>1</v>
      </c>
      <c r="V78" s="57">
        <v>1</v>
      </c>
      <c r="W78" s="57">
        <v>1</v>
      </c>
      <c r="X78" s="57">
        <v>1</v>
      </c>
      <c r="Y78" s="57">
        <v>1</v>
      </c>
      <c r="Z78" s="57">
        <v>1</v>
      </c>
      <c r="AA78" s="57">
        <v>1</v>
      </c>
      <c r="AB78" s="57">
        <v>1</v>
      </c>
      <c r="AC78" s="57">
        <v>1</v>
      </c>
      <c r="AD78" s="57">
        <v>1</v>
      </c>
      <c r="AE78" s="57">
        <v>1</v>
      </c>
      <c r="AF78" s="57">
        <v>1</v>
      </c>
      <c r="AG78" s="57">
        <v>1</v>
      </c>
      <c r="AH78" s="347"/>
      <c r="AI78" s="347"/>
      <c r="AJ78" s="347"/>
      <c r="AK78" s="347"/>
      <c r="AL78" s="347"/>
      <c r="AM78" s="347"/>
      <c r="AN78" s="347"/>
      <c r="AO78" s="347"/>
      <c r="AP78" s="347"/>
      <c r="AQ78" s="347"/>
      <c r="AR78" s="347"/>
      <c r="AS78" s="347"/>
      <c r="AT78" s="347"/>
      <c r="AU78" s="347"/>
      <c r="AV78" s="347"/>
      <c r="AW78" s="347"/>
      <c r="AX78" s="347"/>
      <c r="AY78" s="347"/>
      <c r="AZ78" s="347"/>
      <c r="BA78" s="347"/>
      <c r="BB78" s="347"/>
      <c r="BC78" s="347"/>
      <c r="BD78" s="347"/>
      <c r="BE78" s="347"/>
      <c r="BF78" s="347"/>
      <c r="BG78" s="347"/>
      <c r="BH78" s="347"/>
      <c r="BI78" s="347"/>
      <c r="BJ78" s="347"/>
      <c r="BK78" s="347"/>
      <c r="BL78" s="347"/>
      <c r="BM78" s="347"/>
      <c r="BN78" s="347"/>
      <c r="BO78" s="347"/>
      <c r="BP78" s="347"/>
      <c r="BQ78" s="347"/>
    </row>
    <row r="79" spans="1:69">
      <c r="A79" s="347"/>
      <c r="B79" s="350">
        <v>0.58333333333333337</v>
      </c>
      <c r="C79" s="57">
        <v>1</v>
      </c>
      <c r="D79" s="57">
        <v>1</v>
      </c>
      <c r="E79" s="57">
        <v>1</v>
      </c>
      <c r="F79" s="57">
        <v>1</v>
      </c>
      <c r="G79" s="57">
        <v>1</v>
      </c>
      <c r="H79" s="57">
        <v>1</v>
      </c>
      <c r="I79" s="57">
        <v>1</v>
      </c>
      <c r="J79" s="57">
        <v>1</v>
      </c>
      <c r="K79" s="57">
        <v>1</v>
      </c>
      <c r="L79" s="57">
        <v>1</v>
      </c>
      <c r="M79" s="57">
        <v>1</v>
      </c>
      <c r="N79" s="57">
        <v>1</v>
      </c>
      <c r="O79" s="57">
        <v>1</v>
      </c>
      <c r="P79" s="57">
        <v>1</v>
      </c>
      <c r="Q79" s="57">
        <v>1</v>
      </c>
      <c r="R79" s="57">
        <v>1</v>
      </c>
      <c r="S79" s="57">
        <v>1</v>
      </c>
      <c r="T79" s="57">
        <v>1</v>
      </c>
      <c r="U79" s="57">
        <v>1</v>
      </c>
      <c r="V79" s="57">
        <v>1</v>
      </c>
      <c r="W79" s="57">
        <v>1</v>
      </c>
      <c r="X79" s="57">
        <v>1</v>
      </c>
      <c r="Y79" s="57">
        <v>1</v>
      </c>
      <c r="Z79" s="57">
        <v>1</v>
      </c>
      <c r="AA79" s="57">
        <v>1</v>
      </c>
      <c r="AB79" s="57">
        <v>1</v>
      </c>
      <c r="AC79" s="57">
        <v>1</v>
      </c>
      <c r="AD79" s="57">
        <v>1</v>
      </c>
      <c r="AE79" s="57">
        <v>1</v>
      </c>
      <c r="AF79" s="57">
        <v>1</v>
      </c>
      <c r="AG79" s="57">
        <v>1</v>
      </c>
      <c r="AH79" s="347"/>
      <c r="AI79" s="347"/>
      <c r="AJ79" s="347"/>
      <c r="AK79" s="347"/>
      <c r="AL79" s="347"/>
      <c r="AM79" s="347"/>
      <c r="AN79" s="347"/>
      <c r="AO79" s="347"/>
      <c r="AP79" s="347"/>
      <c r="AQ79" s="347"/>
      <c r="AR79" s="347"/>
      <c r="AS79" s="347"/>
      <c r="AT79" s="347"/>
      <c r="AU79" s="347"/>
      <c r="AV79" s="347"/>
      <c r="AW79" s="347"/>
      <c r="AX79" s="347"/>
      <c r="AY79" s="347"/>
      <c r="AZ79" s="347"/>
      <c r="BA79" s="347"/>
      <c r="BB79" s="347"/>
      <c r="BC79" s="347"/>
      <c r="BD79" s="347"/>
      <c r="BE79" s="347"/>
      <c r="BF79" s="347"/>
      <c r="BG79" s="347"/>
      <c r="BH79" s="347"/>
      <c r="BI79" s="347"/>
      <c r="BJ79" s="347"/>
      <c r="BK79" s="347"/>
      <c r="BL79" s="347"/>
      <c r="BM79" s="347"/>
      <c r="BN79" s="347"/>
      <c r="BO79" s="347"/>
      <c r="BP79" s="347"/>
      <c r="BQ79" s="347"/>
    </row>
    <row r="80" spans="1:69">
      <c r="A80" s="347"/>
      <c r="B80" s="350">
        <v>0.625</v>
      </c>
      <c r="C80" s="57">
        <v>1</v>
      </c>
      <c r="D80" s="57">
        <v>1</v>
      </c>
      <c r="E80" s="57">
        <v>1</v>
      </c>
      <c r="F80" s="57">
        <v>1</v>
      </c>
      <c r="G80" s="57">
        <v>1</v>
      </c>
      <c r="H80" s="57">
        <v>1</v>
      </c>
      <c r="I80" s="57">
        <v>1</v>
      </c>
      <c r="J80" s="57">
        <v>1</v>
      </c>
      <c r="K80" s="57">
        <v>1</v>
      </c>
      <c r="L80" s="57">
        <v>1</v>
      </c>
      <c r="M80" s="57">
        <v>1</v>
      </c>
      <c r="N80" s="57">
        <v>1</v>
      </c>
      <c r="O80" s="57">
        <v>1</v>
      </c>
      <c r="P80" s="57">
        <v>1</v>
      </c>
      <c r="Q80" s="57">
        <v>1</v>
      </c>
      <c r="R80" s="57">
        <v>1</v>
      </c>
      <c r="S80" s="57">
        <v>1</v>
      </c>
      <c r="T80" s="57">
        <v>1</v>
      </c>
      <c r="U80" s="57">
        <v>1</v>
      </c>
      <c r="V80" s="57">
        <v>1</v>
      </c>
      <c r="W80" s="57">
        <v>1</v>
      </c>
      <c r="X80" s="57">
        <v>1</v>
      </c>
      <c r="Y80" s="57">
        <v>1</v>
      </c>
      <c r="Z80" s="57">
        <v>1</v>
      </c>
      <c r="AA80" s="57">
        <v>1</v>
      </c>
      <c r="AB80" s="57">
        <v>1</v>
      </c>
      <c r="AC80" s="57">
        <v>1</v>
      </c>
      <c r="AD80" s="57">
        <v>1</v>
      </c>
      <c r="AE80" s="57">
        <v>1</v>
      </c>
      <c r="AF80" s="57">
        <v>1</v>
      </c>
      <c r="AG80" s="57">
        <v>1</v>
      </c>
      <c r="AH80" s="347"/>
      <c r="AI80" s="347"/>
      <c r="AJ80" s="347"/>
      <c r="AK80" s="347"/>
      <c r="AL80" s="347"/>
      <c r="AM80" s="347"/>
      <c r="AN80" s="347"/>
      <c r="AO80" s="347"/>
      <c r="AP80" s="347"/>
      <c r="AQ80" s="347"/>
      <c r="AR80" s="347"/>
      <c r="AS80" s="347"/>
      <c r="AT80" s="347"/>
      <c r="AU80" s="347"/>
      <c r="AV80" s="347"/>
      <c r="AW80" s="347"/>
      <c r="AX80" s="347"/>
      <c r="AY80" s="347"/>
      <c r="AZ80" s="347"/>
      <c r="BA80" s="347"/>
      <c r="BB80" s="347"/>
      <c r="BC80" s="347"/>
      <c r="BD80" s="347"/>
      <c r="BE80" s="347"/>
      <c r="BF80" s="347"/>
      <c r="BG80" s="347"/>
      <c r="BH80" s="347"/>
      <c r="BI80" s="347"/>
      <c r="BJ80" s="347"/>
      <c r="BK80" s="347"/>
      <c r="BL80" s="347"/>
      <c r="BM80" s="347"/>
      <c r="BN80" s="347"/>
      <c r="BO80" s="347"/>
      <c r="BP80" s="347"/>
      <c r="BQ80" s="347"/>
    </row>
    <row r="81" spans="1:69">
      <c r="A81" s="347"/>
      <c r="B81" s="350">
        <v>0.66666666666666663</v>
      </c>
      <c r="C81" s="57">
        <v>1</v>
      </c>
      <c r="D81" s="57">
        <v>1</v>
      </c>
      <c r="E81" s="57">
        <v>1</v>
      </c>
      <c r="F81" s="57">
        <v>1</v>
      </c>
      <c r="G81" s="57">
        <v>1</v>
      </c>
      <c r="H81" s="57">
        <v>1</v>
      </c>
      <c r="I81" s="57">
        <v>1</v>
      </c>
      <c r="J81" s="57">
        <v>1</v>
      </c>
      <c r="K81" s="57">
        <v>1</v>
      </c>
      <c r="L81" s="57">
        <v>1</v>
      </c>
      <c r="M81" s="57">
        <v>1</v>
      </c>
      <c r="N81" s="57">
        <v>1</v>
      </c>
      <c r="O81" s="57">
        <v>1</v>
      </c>
      <c r="P81" s="57">
        <v>1</v>
      </c>
      <c r="Q81" s="57">
        <v>1</v>
      </c>
      <c r="R81" s="57">
        <v>1</v>
      </c>
      <c r="S81" s="57">
        <v>1</v>
      </c>
      <c r="T81" s="57">
        <v>1</v>
      </c>
      <c r="U81" s="57">
        <v>1</v>
      </c>
      <c r="V81" s="57">
        <v>1</v>
      </c>
      <c r="W81" s="57">
        <v>1</v>
      </c>
      <c r="X81" s="57">
        <v>1</v>
      </c>
      <c r="Y81" s="57">
        <v>1</v>
      </c>
      <c r="Z81" s="57">
        <v>1</v>
      </c>
      <c r="AA81" s="57">
        <v>1</v>
      </c>
      <c r="AB81" s="57">
        <v>1</v>
      </c>
      <c r="AC81" s="57">
        <v>1</v>
      </c>
      <c r="AD81" s="57">
        <v>1</v>
      </c>
      <c r="AE81" s="57">
        <v>1</v>
      </c>
      <c r="AF81" s="57">
        <v>1</v>
      </c>
      <c r="AG81" s="57">
        <v>1</v>
      </c>
      <c r="AH81" s="347"/>
      <c r="AI81" s="347"/>
      <c r="AJ81" s="347"/>
      <c r="AK81" s="347"/>
      <c r="AL81" s="347"/>
      <c r="AM81" s="347"/>
      <c r="AN81" s="347"/>
      <c r="AO81" s="347"/>
      <c r="AP81" s="347"/>
      <c r="AQ81" s="347"/>
      <c r="AR81" s="347"/>
      <c r="AS81" s="347"/>
      <c r="AT81" s="347"/>
      <c r="AU81" s="347"/>
      <c r="AV81" s="347"/>
      <c r="AW81" s="347"/>
      <c r="AX81" s="347"/>
      <c r="AY81" s="347"/>
      <c r="AZ81" s="347"/>
      <c r="BA81" s="347"/>
      <c r="BB81" s="347"/>
      <c r="BC81" s="347"/>
      <c r="BD81" s="347"/>
      <c r="BE81" s="347"/>
      <c r="BF81" s="347"/>
      <c r="BG81" s="347"/>
      <c r="BH81" s="347"/>
      <c r="BI81" s="347"/>
      <c r="BJ81" s="347"/>
      <c r="BK81" s="347"/>
      <c r="BL81" s="347"/>
      <c r="BM81" s="347"/>
      <c r="BN81" s="347"/>
      <c r="BO81" s="347"/>
      <c r="BP81" s="347"/>
      <c r="BQ81" s="347"/>
    </row>
    <row r="82" spans="1:69">
      <c r="A82" s="347"/>
      <c r="B82" s="350">
        <v>0.70833333333333337</v>
      </c>
      <c r="C82" s="57">
        <v>1</v>
      </c>
      <c r="D82" s="57">
        <v>1</v>
      </c>
      <c r="E82" s="57">
        <v>1</v>
      </c>
      <c r="F82" s="57">
        <v>1</v>
      </c>
      <c r="G82" s="57">
        <v>1</v>
      </c>
      <c r="H82" s="57">
        <v>1</v>
      </c>
      <c r="I82" s="57">
        <v>1</v>
      </c>
      <c r="J82" s="57">
        <v>1</v>
      </c>
      <c r="K82" s="57">
        <v>1</v>
      </c>
      <c r="L82" s="57">
        <v>1</v>
      </c>
      <c r="M82" s="57">
        <v>1</v>
      </c>
      <c r="N82" s="57">
        <v>1</v>
      </c>
      <c r="O82" s="57">
        <v>1</v>
      </c>
      <c r="P82" s="57">
        <v>1</v>
      </c>
      <c r="Q82" s="57">
        <v>1</v>
      </c>
      <c r="R82" s="57">
        <v>1</v>
      </c>
      <c r="S82" s="57">
        <v>1</v>
      </c>
      <c r="T82" s="57">
        <v>1</v>
      </c>
      <c r="U82" s="57">
        <v>1</v>
      </c>
      <c r="V82" s="57">
        <v>1</v>
      </c>
      <c r="W82" s="57">
        <v>1</v>
      </c>
      <c r="X82" s="57">
        <v>1</v>
      </c>
      <c r="Y82" s="57">
        <v>1</v>
      </c>
      <c r="Z82" s="57">
        <v>1</v>
      </c>
      <c r="AA82" s="57">
        <v>1</v>
      </c>
      <c r="AB82" s="57">
        <v>1</v>
      </c>
      <c r="AC82" s="57">
        <v>1</v>
      </c>
      <c r="AD82" s="57">
        <v>1</v>
      </c>
      <c r="AE82" s="57">
        <v>1</v>
      </c>
      <c r="AF82" s="57">
        <v>1</v>
      </c>
      <c r="AG82" s="57">
        <v>1</v>
      </c>
      <c r="AH82" s="347"/>
      <c r="AI82" s="347"/>
      <c r="AJ82" s="347"/>
      <c r="AK82" s="347"/>
      <c r="AL82" s="347"/>
      <c r="AM82" s="347"/>
      <c r="AN82" s="347"/>
      <c r="AO82" s="347"/>
      <c r="AP82" s="347"/>
      <c r="AQ82" s="347"/>
      <c r="AR82" s="347"/>
      <c r="AS82" s="347"/>
      <c r="AT82" s="347"/>
      <c r="AU82" s="347"/>
      <c r="AV82" s="347"/>
      <c r="AW82" s="347"/>
      <c r="AX82" s="347"/>
      <c r="AY82" s="347"/>
      <c r="AZ82" s="347"/>
      <c r="BA82" s="347"/>
      <c r="BB82" s="347"/>
      <c r="BC82" s="347"/>
      <c r="BD82" s="347"/>
      <c r="BE82" s="347"/>
      <c r="BF82" s="347"/>
      <c r="BG82" s="347"/>
      <c r="BH82" s="347"/>
      <c r="BI82" s="347"/>
      <c r="BJ82" s="347"/>
      <c r="BK82" s="347"/>
      <c r="BL82" s="347"/>
      <c r="BM82" s="347"/>
      <c r="BN82" s="347"/>
      <c r="BO82" s="347"/>
      <c r="BP82" s="347"/>
      <c r="BQ82" s="347"/>
    </row>
    <row r="83" spans="1:69">
      <c r="A83" s="347"/>
      <c r="B83" s="350">
        <v>0.75</v>
      </c>
      <c r="C83" s="57">
        <v>1</v>
      </c>
      <c r="D83" s="57">
        <v>1</v>
      </c>
      <c r="E83" s="57">
        <v>1</v>
      </c>
      <c r="F83" s="57">
        <v>1</v>
      </c>
      <c r="G83" s="57">
        <v>1</v>
      </c>
      <c r="H83" s="57">
        <v>1</v>
      </c>
      <c r="I83" s="57">
        <v>1</v>
      </c>
      <c r="J83" s="57">
        <v>1</v>
      </c>
      <c r="K83" s="57">
        <v>1</v>
      </c>
      <c r="L83" s="57">
        <v>1</v>
      </c>
      <c r="M83" s="57">
        <v>1</v>
      </c>
      <c r="N83" s="57">
        <v>1</v>
      </c>
      <c r="O83" s="57">
        <v>1</v>
      </c>
      <c r="P83" s="57">
        <v>1</v>
      </c>
      <c r="Q83" s="57">
        <v>1</v>
      </c>
      <c r="R83" s="57">
        <v>1</v>
      </c>
      <c r="S83" s="57">
        <v>1</v>
      </c>
      <c r="T83" s="57">
        <v>1</v>
      </c>
      <c r="U83" s="57">
        <v>1</v>
      </c>
      <c r="V83" s="57">
        <v>1</v>
      </c>
      <c r="W83" s="57">
        <v>1</v>
      </c>
      <c r="X83" s="57">
        <v>1</v>
      </c>
      <c r="Y83" s="57">
        <v>1</v>
      </c>
      <c r="Z83" s="57">
        <v>1</v>
      </c>
      <c r="AA83" s="57">
        <v>1</v>
      </c>
      <c r="AB83" s="57">
        <v>1</v>
      </c>
      <c r="AC83" s="57">
        <v>1</v>
      </c>
      <c r="AD83" s="57">
        <v>1</v>
      </c>
      <c r="AE83" s="57">
        <v>1</v>
      </c>
      <c r="AF83" s="57">
        <v>1</v>
      </c>
      <c r="AG83" s="57">
        <v>1</v>
      </c>
      <c r="AH83" s="353"/>
      <c r="AI83" s="347"/>
      <c r="AJ83" s="347"/>
      <c r="AK83" s="347"/>
      <c r="AL83" s="347"/>
      <c r="AM83" s="347"/>
      <c r="AN83" s="347"/>
      <c r="AO83" s="347"/>
      <c r="AP83" s="347"/>
      <c r="AQ83" s="347"/>
      <c r="AR83" s="347"/>
      <c r="AS83" s="347"/>
      <c r="AT83" s="347"/>
      <c r="AU83" s="347"/>
      <c r="AV83" s="347"/>
      <c r="AW83" s="347"/>
      <c r="AX83" s="347"/>
      <c r="AY83" s="347"/>
      <c r="AZ83" s="347"/>
      <c r="BA83" s="347"/>
      <c r="BB83" s="347"/>
      <c r="BC83" s="347"/>
      <c r="BD83" s="347"/>
      <c r="BE83" s="347"/>
      <c r="BF83" s="347"/>
      <c r="BG83" s="347"/>
      <c r="BH83" s="347"/>
      <c r="BI83" s="347"/>
      <c r="BJ83" s="347"/>
      <c r="BK83" s="347"/>
      <c r="BL83" s="347"/>
      <c r="BM83" s="347"/>
      <c r="BN83" s="347"/>
      <c r="BO83" s="347"/>
      <c r="BP83" s="347"/>
      <c r="BQ83" s="347"/>
    </row>
    <row r="84" spans="1:69">
      <c r="A84" s="347"/>
      <c r="B84" s="350">
        <v>0.79166666666666663</v>
      </c>
      <c r="C84" s="57">
        <v>1</v>
      </c>
      <c r="D84" s="57">
        <v>1</v>
      </c>
      <c r="E84" s="57">
        <v>1</v>
      </c>
      <c r="F84" s="57">
        <v>1</v>
      </c>
      <c r="G84" s="57">
        <v>1</v>
      </c>
      <c r="H84" s="57">
        <v>1</v>
      </c>
      <c r="I84" s="57">
        <v>1</v>
      </c>
      <c r="J84" s="57">
        <v>1</v>
      </c>
      <c r="K84" s="57">
        <v>1</v>
      </c>
      <c r="L84" s="57">
        <v>1</v>
      </c>
      <c r="M84" s="57">
        <v>1</v>
      </c>
      <c r="N84" s="57">
        <v>1</v>
      </c>
      <c r="O84" s="57">
        <v>1</v>
      </c>
      <c r="P84" s="57">
        <v>1</v>
      </c>
      <c r="Q84" s="57">
        <v>1</v>
      </c>
      <c r="R84" s="57">
        <v>1</v>
      </c>
      <c r="S84" s="57">
        <v>1</v>
      </c>
      <c r="T84" s="57">
        <v>1</v>
      </c>
      <c r="U84" s="57">
        <v>1</v>
      </c>
      <c r="V84" s="57">
        <v>1</v>
      </c>
      <c r="W84" s="57">
        <v>1</v>
      </c>
      <c r="X84" s="57">
        <v>1</v>
      </c>
      <c r="Y84" s="57">
        <v>1</v>
      </c>
      <c r="Z84" s="57">
        <v>1</v>
      </c>
      <c r="AA84" s="57">
        <v>1</v>
      </c>
      <c r="AB84" s="57">
        <v>1</v>
      </c>
      <c r="AC84" s="57">
        <v>1</v>
      </c>
      <c r="AD84" s="57">
        <v>1</v>
      </c>
      <c r="AE84" s="57">
        <v>1</v>
      </c>
      <c r="AF84" s="57">
        <v>1</v>
      </c>
      <c r="AG84" s="57">
        <v>1</v>
      </c>
      <c r="AH84" s="353"/>
      <c r="AI84" s="347"/>
      <c r="AJ84" s="347"/>
      <c r="AK84" s="347"/>
      <c r="AL84" s="347"/>
      <c r="AM84" s="347"/>
      <c r="AN84" s="347"/>
      <c r="AO84" s="347"/>
      <c r="AP84" s="347"/>
      <c r="AQ84" s="347"/>
      <c r="AR84" s="347"/>
      <c r="AS84" s="347"/>
      <c r="AT84" s="347"/>
      <c r="AU84" s="347"/>
      <c r="AV84" s="347"/>
      <c r="AW84" s="347"/>
      <c r="AX84" s="347"/>
      <c r="AY84" s="347"/>
      <c r="AZ84" s="347"/>
      <c r="BA84" s="347"/>
      <c r="BB84" s="347"/>
      <c r="BC84" s="347"/>
      <c r="BD84" s="347"/>
      <c r="BE84" s="347"/>
      <c r="BF84" s="347"/>
      <c r="BG84" s="347"/>
      <c r="BH84" s="347"/>
      <c r="BI84" s="347"/>
      <c r="BJ84" s="347"/>
      <c r="BK84" s="347"/>
      <c r="BL84" s="347"/>
      <c r="BM84" s="347"/>
      <c r="BN84" s="347"/>
      <c r="BO84" s="347"/>
      <c r="BP84" s="347"/>
      <c r="BQ84" s="347"/>
    </row>
    <row r="85" spans="1:69">
      <c r="A85" s="347"/>
      <c r="B85" s="350">
        <v>0.83333333333333337</v>
      </c>
      <c r="C85" s="362"/>
      <c r="D85" s="362"/>
      <c r="E85" s="362"/>
      <c r="F85" s="362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  <c r="Z85" s="362"/>
      <c r="AA85" s="362"/>
      <c r="AB85" s="362"/>
      <c r="AC85" s="362"/>
      <c r="AD85" s="362"/>
      <c r="AE85" s="362"/>
      <c r="AF85" s="362"/>
      <c r="AG85" s="362"/>
      <c r="AH85" s="353"/>
      <c r="AI85" s="347"/>
      <c r="AJ85" s="347"/>
      <c r="AK85" s="347"/>
      <c r="AL85" s="347"/>
      <c r="AM85" s="347"/>
      <c r="AN85" s="347"/>
      <c r="AO85" s="347"/>
      <c r="AP85" s="347"/>
      <c r="AQ85" s="347"/>
      <c r="AR85" s="347"/>
      <c r="AS85" s="347"/>
      <c r="AT85" s="347"/>
      <c r="AU85" s="347"/>
      <c r="AV85" s="347"/>
      <c r="AW85" s="347"/>
      <c r="AX85" s="347"/>
      <c r="AY85" s="347"/>
      <c r="AZ85" s="347"/>
      <c r="BA85" s="347"/>
      <c r="BB85" s="347"/>
      <c r="BC85" s="347"/>
      <c r="BD85" s="347"/>
      <c r="BE85" s="347"/>
      <c r="BF85" s="347"/>
      <c r="BG85" s="347"/>
      <c r="BH85" s="347"/>
      <c r="BI85" s="347"/>
      <c r="BJ85" s="347"/>
      <c r="BK85" s="347"/>
      <c r="BL85" s="347"/>
      <c r="BM85" s="347"/>
      <c r="BN85" s="347"/>
      <c r="BO85" s="347"/>
      <c r="BP85" s="347"/>
      <c r="BQ85" s="347"/>
    </row>
    <row r="86" spans="1:69">
      <c r="A86" s="347"/>
      <c r="B86" s="350">
        <v>0.875</v>
      </c>
      <c r="C86" s="362"/>
      <c r="D86" s="362"/>
      <c r="E86" s="362"/>
      <c r="F86" s="362"/>
      <c r="G86" s="362"/>
      <c r="H86" s="362"/>
      <c r="I86" s="362"/>
      <c r="J86" s="362"/>
      <c r="K86" s="362"/>
      <c r="L86" s="362"/>
      <c r="M86" s="362"/>
      <c r="N86" s="362"/>
      <c r="O86" s="362"/>
      <c r="P86" s="362"/>
      <c r="Q86" s="362"/>
      <c r="R86" s="362"/>
      <c r="S86" s="362"/>
      <c r="T86" s="362"/>
      <c r="U86" s="362"/>
      <c r="V86" s="362"/>
      <c r="W86" s="362"/>
      <c r="X86" s="362"/>
      <c r="Y86" s="362"/>
      <c r="Z86" s="362"/>
      <c r="AA86" s="362"/>
      <c r="AB86" s="362"/>
      <c r="AC86" s="362"/>
      <c r="AD86" s="362"/>
      <c r="AE86" s="362"/>
      <c r="AF86" s="362"/>
      <c r="AG86" s="362"/>
      <c r="AH86" s="353"/>
      <c r="AI86" s="347"/>
      <c r="AJ86" s="347"/>
      <c r="AK86" s="347"/>
      <c r="AL86" s="347"/>
      <c r="AM86" s="347"/>
      <c r="AN86" s="347"/>
      <c r="AO86" s="347"/>
      <c r="AP86" s="347"/>
      <c r="AQ86" s="347"/>
      <c r="AR86" s="347"/>
      <c r="AS86" s="347"/>
      <c r="AT86" s="347"/>
      <c r="AU86" s="347"/>
      <c r="AV86" s="347"/>
      <c r="AW86" s="347"/>
      <c r="AX86" s="347"/>
      <c r="AY86" s="347"/>
      <c r="AZ86" s="347"/>
      <c r="BA86" s="347"/>
      <c r="BB86" s="347"/>
      <c r="BC86" s="347"/>
      <c r="BD86" s="347"/>
      <c r="BE86" s="347"/>
      <c r="BF86" s="347"/>
      <c r="BG86" s="347"/>
      <c r="BH86" s="347"/>
      <c r="BI86" s="347"/>
      <c r="BJ86" s="347"/>
      <c r="BK86" s="347"/>
      <c r="BL86" s="347"/>
      <c r="BM86" s="347"/>
      <c r="BN86" s="347"/>
      <c r="BO86" s="347"/>
      <c r="BP86" s="347"/>
      <c r="BQ86" s="347"/>
    </row>
    <row r="87" spans="1:69">
      <c r="A87" s="347"/>
      <c r="B87" s="350">
        <v>0.91666666666666663</v>
      </c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2"/>
      <c r="P87" s="362"/>
      <c r="Q87" s="362"/>
      <c r="R87" s="362"/>
      <c r="S87" s="362"/>
      <c r="T87" s="362"/>
      <c r="U87" s="362"/>
      <c r="V87" s="362"/>
      <c r="W87" s="362"/>
      <c r="X87" s="362"/>
      <c r="Y87" s="362"/>
      <c r="Z87" s="362"/>
      <c r="AA87" s="362"/>
      <c r="AB87" s="362"/>
      <c r="AC87" s="362"/>
      <c r="AD87" s="362"/>
      <c r="AE87" s="362"/>
      <c r="AF87" s="362"/>
      <c r="AG87" s="362"/>
      <c r="AH87" s="353"/>
      <c r="AI87" s="347"/>
      <c r="AJ87" s="347"/>
      <c r="AK87" s="347"/>
      <c r="AL87" s="347"/>
      <c r="AM87" s="347"/>
      <c r="AN87" s="347"/>
      <c r="AO87" s="347"/>
      <c r="AP87" s="347"/>
      <c r="AQ87" s="347"/>
      <c r="AR87" s="347"/>
      <c r="AS87" s="347"/>
      <c r="AT87" s="347"/>
      <c r="AU87" s="347"/>
      <c r="AV87" s="347"/>
      <c r="AW87" s="347"/>
      <c r="AX87" s="347"/>
      <c r="AY87" s="347"/>
      <c r="AZ87" s="347"/>
      <c r="BA87" s="347"/>
      <c r="BB87" s="347"/>
      <c r="BC87" s="347"/>
      <c r="BD87" s="347"/>
      <c r="BE87" s="347"/>
      <c r="BF87" s="347"/>
      <c r="BG87" s="347"/>
      <c r="BH87" s="347"/>
      <c r="BI87" s="347"/>
      <c r="BJ87" s="347"/>
      <c r="BK87" s="347"/>
      <c r="BL87" s="347"/>
      <c r="BM87" s="347"/>
      <c r="BN87" s="347"/>
      <c r="BO87" s="347"/>
      <c r="BP87" s="347"/>
      <c r="BQ87" s="347"/>
    </row>
    <row r="88" spans="1:69">
      <c r="A88" s="347"/>
      <c r="B88" s="350">
        <v>0.95833333333333337</v>
      </c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2"/>
      <c r="P88" s="362"/>
      <c r="Q88" s="362"/>
      <c r="R88" s="362"/>
      <c r="S88" s="362"/>
      <c r="T88" s="362"/>
      <c r="U88" s="362"/>
      <c r="V88" s="362"/>
      <c r="W88" s="362"/>
      <c r="X88" s="362"/>
      <c r="Y88" s="362"/>
      <c r="Z88" s="362"/>
      <c r="AA88" s="362"/>
      <c r="AB88" s="362"/>
      <c r="AC88" s="362"/>
      <c r="AD88" s="362"/>
      <c r="AE88" s="362"/>
      <c r="AF88" s="362"/>
      <c r="AG88" s="362"/>
      <c r="AH88" s="353"/>
      <c r="AI88" s="347"/>
      <c r="AJ88" s="347"/>
      <c r="AK88" s="347"/>
      <c r="AL88" s="347"/>
      <c r="AM88" s="347"/>
      <c r="AN88" s="347"/>
      <c r="AO88" s="347"/>
      <c r="AP88" s="347"/>
      <c r="AQ88" s="347"/>
      <c r="AR88" s="347"/>
      <c r="AS88" s="347"/>
      <c r="AT88" s="347"/>
      <c r="AU88" s="347"/>
      <c r="AV88" s="347"/>
      <c r="AW88" s="347"/>
      <c r="AX88" s="347"/>
      <c r="AY88" s="347"/>
      <c r="AZ88" s="347"/>
      <c r="BA88" s="347"/>
      <c r="BB88" s="347"/>
      <c r="BC88" s="347"/>
      <c r="BD88" s="347"/>
      <c r="BE88" s="347"/>
      <c r="BF88" s="347"/>
      <c r="BG88" s="347"/>
      <c r="BH88" s="347"/>
      <c r="BI88" s="347"/>
      <c r="BJ88" s="347"/>
      <c r="BK88" s="347"/>
      <c r="BL88" s="347"/>
      <c r="BM88" s="347"/>
      <c r="BN88" s="347"/>
      <c r="BO88" s="347"/>
      <c r="BP88" s="347"/>
      <c r="BQ88" s="347"/>
    </row>
    <row r="89" spans="1:69">
      <c r="A89" s="347"/>
      <c r="B89" s="354" t="s">
        <v>771</v>
      </c>
      <c r="C89" s="354">
        <v>11</v>
      </c>
      <c r="D89" s="354">
        <v>11</v>
      </c>
      <c r="E89" s="354">
        <v>11</v>
      </c>
      <c r="F89" s="354">
        <v>11</v>
      </c>
      <c r="G89" s="354">
        <v>11</v>
      </c>
      <c r="H89" s="354">
        <v>11</v>
      </c>
      <c r="I89" s="354">
        <v>11</v>
      </c>
      <c r="J89" s="354">
        <v>11</v>
      </c>
      <c r="K89" s="354">
        <v>11</v>
      </c>
      <c r="L89" s="354">
        <v>11</v>
      </c>
      <c r="M89" s="354">
        <v>11</v>
      </c>
      <c r="N89" s="354">
        <v>11</v>
      </c>
      <c r="O89" s="354">
        <v>11</v>
      </c>
      <c r="P89" s="354">
        <v>11</v>
      </c>
      <c r="Q89" s="354">
        <v>11</v>
      </c>
      <c r="R89" s="354">
        <v>11</v>
      </c>
      <c r="S89" s="354">
        <v>11</v>
      </c>
      <c r="T89" s="354">
        <v>11</v>
      </c>
      <c r="U89" s="354">
        <v>11</v>
      </c>
      <c r="V89" s="354">
        <v>11</v>
      </c>
      <c r="W89" s="354">
        <v>11</v>
      </c>
      <c r="X89" s="354">
        <v>11</v>
      </c>
      <c r="Y89" s="354">
        <v>11</v>
      </c>
      <c r="Z89" s="354">
        <v>11</v>
      </c>
      <c r="AA89" s="354">
        <v>11</v>
      </c>
      <c r="AB89" s="363">
        <v>11</v>
      </c>
      <c r="AC89" s="354">
        <v>11</v>
      </c>
      <c r="AD89" s="354">
        <v>11</v>
      </c>
      <c r="AE89" s="354">
        <v>11</v>
      </c>
      <c r="AF89" s="354">
        <v>11</v>
      </c>
      <c r="AG89" s="354">
        <v>11</v>
      </c>
      <c r="AH89" s="356">
        <v>341</v>
      </c>
      <c r="AI89" s="347"/>
      <c r="AJ89" s="347"/>
      <c r="AK89" s="347"/>
      <c r="AL89" s="347"/>
      <c r="AM89" s="347"/>
      <c r="AN89" s="347"/>
      <c r="AO89" s="347"/>
      <c r="AP89" s="347"/>
      <c r="AQ89" s="347"/>
      <c r="AR89" s="347"/>
      <c r="AS89" s="347"/>
      <c r="AT89" s="347"/>
      <c r="AU89" s="347"/>
      <c r="AV89" s="347"/>
      <c r="AW89" s="347"/>
      <c r="AX89" s="347"/>
      <c r="AY89" s="347"/>
      <c r="AZ89" s="347"/>
      <c r="BA89" s="347"/>
      <c r="BB89" s="347"/>
      <c r="BC89" s="347"/>
      <c r="BD89" s="347"/>
      <c r="BE89" s="347"/>
      <c r="BF89" s="347"/>
      <c r="BG89" s="347"/>
      <c r="BH89" s="347"/>
      <c r="BI89" s="347"/>
      <c r="BJ89" s="347"/>
      <c r="BK89" s="347"/>
      <c r="BL89" s="347"/>
      <c r="BM89" s="347"/>
      <c r="BN89" s="347"/>
      <c r="BO89" s="347"/>
      <c r="BP89" s="347"/>
      <c r="BQ89" s="347"/>
    </row>
    <row r="90" spans="1:69">
      <c r="A90" s="347"/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347"/>
      <c r="AB90" s="347"/>
      <c r="AC90" s="347"/>
      <c r="AD90" s="347"/>
      <c r="AE90" s="347"/>
      <c r="AF90" s="347"/>
      <c r="AG90" s="347"/>
      <c r="AH90" s="347"/>
      <c r="AI90" s="347"/>
      <c r="AJ90" s="347"/>
      <c r="AK90" s="347"/>
      <c r="AL90" s="347"/>
      <c r="AM90" s="347"/>
      <c r="AN90" s="347"/>
      <c r="AO90" s="347"/>
      <c r="AP90" s="347"/>
      <c r="AQ90" s="347"/>
      <c r="AR90" s="347"/>
      <c r="AS90" s="347"/>
      <c r="AT90" s="347"/>
      <c r="AU90" s="347"/>
      <c r="AV90" s="347"/>
      <c r="AW90" s="347"/>
      <c r="AX90" s="347"/>
      <c r="AY90" s="347"/>
      <c r="AZ90" s="347"/>
      <c r="BA90" s="347"/>
      <c r="BB90" s="347"/>
      <c r="BC90" s="347"/>
      <c r="BD90" s="347"/>
      <c r="BE90" s="347"/>
      <c r="BF90" s="347"/>
      <c r="BG90" s="347"/>
      <c r="BH90" s="347"/>
      <c r="BI90" s="347"/>
      <c r="BJ90" s="347"/>
      <c r="BK90" s="347"/>
      <c r="BL90" s="347"/>
      <c r="BM90" s="347"/>
      <c r="BN90" s="347"/>
      <c r="BO90" s="347"/>
      <c r="BP90" s="347"/>
      <c r="BQ90" s="347"/>
    </row>
    <row r="91" spans="1:69">
      <c r="A91" s="347"/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  <c r="AA91" s="347"/>
      <c r="AB91" s="347"/>
      <c r="AC91" s="347"/>
      <c r="AD91" s="347"/>
      <c r="AE91" s="347"/>
      <c r="AF91" s="347"/>
      <c r="AG91" s="347"/>
      <c r="AH91" s="347"/>
      <c r="AI91" s="347"/>
      <c r="AJ91" s="347"/>
      <c r="AK91" s="347"/>
      <c r="AL91" s="347"/>
      <c r="AM91" s="347"/>
      <c r="AN91" s="347"/>
      <c r="AO91" s="347"/>
      <c r="AP91" s="347"/>
      <c r="AQ91" s="347"/>
      <c r="AR91" s="347"/>
      <c r="AS91" s="347"/>
      <c r="AT91" s="347"/>
      <c r="AU91" s="347"/>
      <c r="AV91" s="347"/>
      <c r="AW91" s="347"/>
      <c r="AX91" s="347"/>
      <c r="AY91" s="347"/>
      <c r="AZ91" s="347"/>
      <c r="BA91" s="347"/>
      <c r="BB91" s="347"/>
      <c r="BC91" s="347"/>
      <c r="BD91" s="347"/>
      <c r="BE91" s="347"/>
      <c r="BF91" s="347"/>
      <c r="BG91" s="347"/>
      <c r="BH91" s="347"/>
      <c r="BI91" s="347"/>
      <c r="BJ91" s="347"/>
      <c r="BK91" s="347"/>
      <c r="BL91" s="347"/>
      <c r="BM91" s="347"/>
      <c r="BN91" s="347"/>
      <c r="BO91" s="347"/>
      <c r="BP91" s="347"/>
      <c r="BQ91" s="347"/>
    </row>
    <row r="92" spans="1:69">
      <c r="A92" s="347"/>
      <c r="B92" s="347"/>
      <c r="C92" s="347"/>
      <c r="D92" s="347"/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  <c r="AA92" s="347"/>
      <c r="AB92" s="347"/>
      <c r="AC92" s="347"/>
      <c r="AD92" s="347"/>
      <c r="AE92" s="347"/>
      <c r="AF92" s="347"/>
      <c r="AG92" s="347"/>
      <c r="AH92" s="347"/>
      <c r="AI92" s="347"/>
      <c r="AJ92" s="347"/>
      <c r="AK92" s="347"/>
      <c r="AL92" s="347"/>
      <c r="AM92" s="347"/>
      <c r="AN92" s="347"/>
      <c r="AO92" s="347"/>
      <c r="AP92" s="347"/>
      <c r="AQ92" s="347"/>
      <c r="AR92" s="347"/>
      <c r="AS92" s="347"/>
      <c r="AT92" s="347"/>
      <c r="AU92" s="347"/>
      <c r="AV92" s="347"/>
      <c r="AW92" s="347"/>
      <c r="AX92" s="347"/>
      <c r="AY92" s="347"/>
      <c r="AZ92" s="347"/>
      <c r="BA92" s="347"/>
      <c r="BB92" s="347"/>
      <c r="BC92" s="347"/>
      <c r="BD92" s="347"/>
      <c r="BE92" s="347"/>
      <c r="BF92" s="347"/>
      <c r="BG92" s="347"/>
      <c r="BH92" s="347"/>
      <c r="BI92" s="347"/>
      <c r="BJ92" s="347"/>
      <c r="BK92" s="347"/>
      <c r="BL92" s="347"/>
      <c r="BM92" s="347"/>
      <c r="BN92" s="347"/>
      <c r="BO92" s="347"/>
      <c r="BP92" s="347"/>
      <c r="BQ92" s="347"/>
    </row>
    <row r="93" spans="1:69">
      <c r="A93" s="347"/>
      <c r="B93" s="590" t="s">
        <v>772</v>
      </c>
      <c r="C93" s="348">
        <v>45992</v>
      </c>
      <c r="D93" s="348">
        <v>45993</v>
      </c>
      <c r="E93" s="348">
        <v>45994</v>
      </c>
      <c r="F93" s="348">
        <v>45995</v>
      </c>
      <c r="G93" s="348">
        <v>45996</v>
      </c>
      <c r="H93" s="348">
        <v>45997</v>
      </c>
      <c r="I93" s="348">
        <v>45998</v>
      </c>
      <c r="J93" s="348">
        <v>45999</v>
      </c>
      <c r="K93" s="348">
        <v>46000</v>
      </c>
      <c r="L93" s="348">
        <v>46001</v>
      </c>
      <c r="M93" s="348">
        <v>46002</v>
      </c>
      <c r="N93" s="348">
        <v>46003</v>
      </c>
      <c r="O93" s="348">
        <v>46004</v>
      </c>
      <c r="P93" s="348">
        <v>46005</v>
      </c>
      <c r="Q93" s="348">
        <v>46006</v>
      </c>
      <c r="R93" s="348">
        <v>46007</v>
      </c>
      <c r="S93" s="348">
        <v>46008</v>
      </c>
      <c r="T93" s="348">
        <v>46009</v>
      </c>
      <c r="U93" s="348">
        <v>46010</v>
      </c>
      <c r="V93" s="348">
        <v>46011</v>
      </c>
      <c r="W93" s="348">
        <v>46012</v>
      </c>
      <c r="X93" s="348">
        <v>46013</v>
      </c>
      <c r="Y93" s="348">
        <v>46014</v>
      </c>
      <c r="Z93" s="348">
        <v>46015</v>
      </c>
      <c r="AA93" s="348">
        <v>46016</v>
      </c>
      <c r="AB93" s="348">
        <v>46017</v>
      </c>
      <c r="AC93" s="348">
        <v>46018</v>
      </c>
      <c r="AD93" s="348">
        <v>46019</v>
      </c>
      <c r="AE93" s="348">
        <v>46020</v>
      </c>
      <c r="AF93" s="348">
        <v>46021</v>
      </c>
      <c r="AG93" s="348">
        <v>46022</v>
      </c>
      <c r="AH93" s="347"/>
      <c r="AI93" s="347"/>
      <c r="AJ93" s="347"/>
      <c r="AK93" s="347"/>
      <c r="AL93" s="347"/>
      <c r="AM93" s="347"/>
      <c r="AN93" s="347"/>
      <c r="AO93" s="347"/>
      <c r="AP93" s="347"/>
      <c r="AQ93" s="347"/>
      <c r="AR93" s="347"/>
      <c r="AS93" s="347"/>
      <c r="AT93" s="347"/>
      <c r="AU93" s="347"/>
      <c r="AV93" s="347"/>
      <c r="AW93" s="347"/>
      <c r="AX93" s="347"/>
      <c r="AY93" s="347"/>
      <c r="AZ93" s="347"/>
      <c r="BA93" s="347"/>
      <c r="BB93" s="347"/>
      <c r="BC93" s="347"/>
      <c r="BD93" s="347"/>
      <c r="BE93" s="347"/>
      <c r="BF93" s="347"/>
      <c r="BG93" s="347"/>
      <c r="BH93" s="347"/>
      <c r="BI93" s="347"/>
      <c r="BJ93" s="347"/>
      <c r="BK93" s="347"/>
      <c r="BL93" s="347"/>
      <c r="BM93" s="347"/>
      <c r="BN93" s="347"/>
      <c r="BO93" s="347"/>
      <c r="BP93" s="347"/>
      <c r="BQ93" s="347"/>
    </row>
    <row r="94" spans="1:69">
      <c r="A94" s="347"/>
      <c r="B94" s="591"/>
      <c r="C94" s="349" t="s">
        <v>768</v>
      </c>
      <c r="D94" s="349" t="s">
        <v>769</v>
      </c>
      <c r="E94" s="349" t="s">
        <v>770</v>
      </c>
      <c r="F94" s="349" t="s">
        <v>764</v>
      </c>
      <c r="G94" s="349" t="s">
        <v>765</v>
      </c>
      <c r="H94" s="349" t="s">
        <v>766</v>
      </c>
      <c r="I94" s="349" t="s">
        <v>767</v>
      </c>
      <c r="J94" s="349" t="s">
        <v>768</v>
      </c>
      <c r="K94" s="349" t="s">
        <v>769</v>
      </c>
      <c r="L94" s="349" t="s">
        <v>770</v>
      </c>
      <c r="M94" s="349" t="s">
        <v>764</v>
      </c>
      <c r="N94" s="349" t="s">
        <v>765</v>
      </c>
      <c r="O94" s="349" t="s">
        <v>766</v>
      </c>
      <c r="P94" s="349" t="s">
        <v>767</v>
      </c>
      <c r="Q94" s="349" t="s">
        <v>768</v>
      </c>
      <c r="R94" s="349" t="s">
        <v>769</v>
      </c>
      <c r="S94" s="349" t="s">
        <v>770</v>
      </c>
      <c r="T94" s="349" t="s">
        <v>764</v>
      </c>
      <c r="U94" s="349" t="s">
        <v>765</v>
      </c>
      <c r="V94" s="349" t="s">
        <v>766</v>
      </c>
      <c r="W94" s="349" t="s">
        <v>767</v>
      </c>
      <c r="X94" s="349" t="s">
        <v>768</v>
      </c>
      <c r="Y94" s="349" t="s">
        <v>769</v>
      </c>
      <c r="Z94" s="349" t="s">
        <v>770</v>
      </c>
      <c r="AA94" s="349" t="s">
        <v>764</v>
      </c>
      <c r="AB94" s="349" t="s">
        <v>765</v>
      </c>
      <c r="AC94" s="349" t="s">
        <v>766</v>
      </c>
      <c r="AD94" s="349" t="s">
        <v>767</v>
      </c>
      <c r="AE94" s="349" t="s">
        <v>768</v>
      </c>
      <c r="AF94" s="349" t="s">
        <v>769</v>
      </c>
      <c r="AG94" s="349" t="s">
        <v>770</v>
      </c>
      <c r="AH94" s="347"/>
      <c r="AI94" s="347"/>
      <c r="AJ94" s="347"/>
      <c r="AK94" s="347"/>
      <c r="AL94" s="347"/>
      <c r="AM94" s="347"/>
      <c r="AN94" s="347"/>
      <c r="AO94" s="347"/>
      <c r="AP94" s="347"/>
      <c r="AQ94" s="347"/>
      <c r="AR94" s="347"/>
      <c r="AS94" s="347"/>
      <c r="AT94" s="347"/>
      <c r="AU94" s="347"/>
      <c r="AV94" s="347"/>
      <c r="AW94" s="347"/>
      <c r="AX94" s="347"/>
      <c r="AY94" s="347"/>
      <c r="AZ94" s="347"/>
      <c r="BA94" s="347"/>
      <c r="BB94" s="347"/>
      <c r="BC94" s="347"/>
      <c r="BD94" s="347"/>
      <c r="BE94" s="347"/>
      <c r="BF94" s="347"/>
      <c r="BG94" s="347"/>
      <c r="BH94" s="347"/>
      <c r="BI94" s="347"/>
      <c r="BJ94" s="347"/>
      <c r="BK94" s="347"/>
      <c r="BL94" s="347"/>
      <c r="BM94" s="347"/>
      <c r="BN94" s="347"/>
      <c r="BO94" s="347"/>
      <c r="BP94" s="347"/>
      <c r="BQ94" s="347"/>
    </row>
    <row r="95" spans="1:69">
      <c r="A95" s="347"/>
      <c r="B95" s="350">
        <v>0</v>
      </c>
      <c r="C95" s="93">
        <v>4</v>
      </c>
      <c r="D95" s="93">
        <v>4</v>
      </c>
      <c r="E95" s="11">
        <v>5</v>
      </c>
      <c r="F95" s="11">
        <v>5</v>
      </c>
      <c r="G95" s="11">
        <v>5</v>
      </c>
      <c r="H95" s="12">
        <v>3</v>
      </c>
      <c r="I95" s="12">
        <v>3</v>
      </c>
      <c r="J95" s="93">
        <v>4</v>
      </c>
      <c r="K95" s="11">
        <v>5</v>
      </c>
      <c r="L95" s="11">
        <v>5</v>
      </c>
      <c r="M95" s="11">
        <v>5</v>
      </c>
      <c r="N95" s="93">
        <v>4</v>
      </c>
      <c r="O95" s="93">
        <v>4</v>
      </c>
      <c r="P95" s="93">
        <v>4</v>
      </c>
      <c r="Q95" s="12">
        <v>3</v>
      </c>
      <c r="R95" s="93">
        <v>4</v>
      </c>
      <c r="S95" s="93">
        <v>4</v>
      </c>
      <c r="T95" s="12">
        <v>3</v>
      </c>
      <c r="U95" s="12">
        <v>3</v>
      </c>
      <c r="V95" s="93">
        <v>4</v>
      </c>
      <c r="W95" s="93">
        <v>4</v>
      </c>
      <c r="X95" s="93">
        <v>4</v>
      </c>
      <c r="Y95" s="93">
        <v>4</v>
      </c>
      <c r="Z95" s="93">
        <v>4</v>
      </c>
      <c r="AA95" s="93">
        <v>4</v>
      </c>
      <c r="AB95" s="93">
        <v>4</v>
      </c>
      <c r="AC95" s="93">
        <v>4</v>
      </c>
      <c r="AD95" s="93">
        <v>4</v>
      </c>
      <c r="AE95" s="93">
        <v>4</v>
      </c>
      <c r="AF95" s="93">
        <v>4</v>
      </c>
      <c r="AG95" s="93">
        <v>4</v>
      </c>
      <c r="AH95" s="347"/>
      <c r="AI95" s="347"/>
      <c r="AJ95" s="347"/>
      <c r="AK95" s="347"/>
      <c r="AL95" s="347"/>
      <c r="AM95" s="347"/>
      <c r="AN95" s="347"/>
      <c r="AO95" s="347"/>
      <c r="AP95" s="347"/>
      <c r="AQ95" s="347"/>
      <c r="AR95" s="347"/>
      <c r="AS95" s="347"/>
      <c r="AT95" s="347"/>
      <c r="AU95" s="347"/>
      <c r="AV95" s="347"/>
      <c r="AW95" s="347"/>
      <c r="AX95" s="347"/>
      <c r="AY95" s="347"/>
      <c r="AZ95" s="347"/>
      <c r="BA95" s="347"/>
      <c r="BB95" s="347"/>
      <c r="BC95" s="347"/>
      <c r="BD95" s="347"/>
      <c r="BE95" s="347"/>
      <c r="BF95" s="347"/>
      <c r="BG95" s="347"/>
      <c r="BH95" s="347"/>
      <c r="BI95" s="347"/>
      <c r="BJ95" s="347"/>
      <c r="BK95" s="347"/>
      <c r="BL95" s="347"/>
      <c r="BM95" s="347"/>
      <c r="BN95" s="347"/>
      <c r="BO95" s="347"/>
      <c r="BP95" s="347"/>
      <c r="BQ95" s="347"/>
    </row>
    <row r="96" spans="1:69">
      <c r="A96" s="347"/>
      <c r="B96" s="350">
        <v>4.1666666666666664E-2</v>
      </c>
      <c r="C96" s="12">
        <v>3</v>
      </c>
      <c r="D96" s="12">
        <v>3</v>
      </c>
      <c r="E96" s="12">
        <v>3</v>
      </c>
      <c r="F96" s="12">
        <v>3</v>
      </c>
      <c r="G96" s="12">
        <v>3</v>
      </c>
      <c r="H96" s="12">
        <v>3</v>
      </c>
      <c r="I96" s="12">
        <v>3</v>
      </c>
      <c r="J96" s="12">
        <v>3</v>
      </c>
      <c r="K96" s="12">
        <v>3</v>
      </c>
      <c r="L96" s="12">
        <v>3</v>
      </c>
      <c r="M96" s="12">
        <v>3</v>
      </c>
      <c r="N96" s="12">
        <v>3</v>
      </c>
      <c r="O96" s="12">
        <v>3</v>
      </c>
      <c r="P96" s="12">
        <v>3</v>
      </c>
      <c r="Q96" s="12">
        <v>3</v>
      </c>
      <c r="R96" s="12">
        <v>3</v>
      </c>
      <c r="S96" s="12">
        <v>3</v>
      </c>
      <c r="T96" s="12">
        <v>3</v>
      </c>
      <c r="U96" s="12">
        <v>3</v>
      </c>
      <c r="V96" s="12">
        <v>3</v>
      </c>
      <c r="W96" s="12">
        <v>3</v>
      </c>
      <c r="X96" s="12">
        <v>3</v>
      </c>
      <c r="Y96" s="12">
        <v>3</v>
      </c>
      <c r="Z96" s="12">
        <v>3</v>
      </c>
      <c r="AA96" s="12">
        <v>3</v>
      </c>
      <c r="AB96" s="12">
        <v>3</v>
      </c>
      <c r="AC96" s="12">
        <v>3</v>
      </c>
      <c r="AD96" s="12">
        <v>3</v>
      </c>
      <c r="AE96" s="12">
        <v>3</v>
      </c>
      <c r="AF96" s="12">
        <v>3</v>
      </c>
      <c r="AG96" s="12">
        <v>3</v>
      </c>
      <c r="AH96" s="367"/>
      <c r="AI96" s="347"/>
      <c r="AJ96" s="347"/>
      <c r="AK96" s="347"/>
      <c r="AL96" s="347"/>
      <c r="AM96" s="347"/>
      <c r="AN96" s="347"/>
      <c r="AO96" s="347"/>
      <c r="AP96" s="347"/>
      <c r="AQ96" s="347"/>
      <c r="AR96" s="347"/>
      <c r="AS96" s="347"/>
      <c r="AT96" s="347"/>
      <c r="AU96" s="347"/>
      <c r="AV96" s="347"/>
      <c r="AW96" s="347"/>
      <c r="AX96" s="347"/>
      <c r="AY96" s="347"/>
      <c r="AZ96" s="347"/>
      <c r="BA96" s="347"/>
      <c r="BB96" s="347"/>
      <c r="BC96" s="347"/>
      <c r="BD96" s="347"/>
      <c r="BE96" s="347"/>
      <c r="BF96" s="347"/>
      <c r="BG96" s="347"/>
      <c r="BH96" s="347"/>
      <c r="BI96" s="347"/>
      <c r="BJ96" s="347"/>
      <c r="BK96" s="347"/>
      <c r="BL96" s="347"/>
      <c r="BM96" s="347"/>
      <c r="BN96" s="347"/>
      <c r="BO96" s="347"/>
      <c r="BP96" s="347"/>
      <c r="BQ96" s="347"/>
    </row>
    <row r="97" spans="1:69">
      <c r="A97" s="347"/>
      <c r="B97" s="350">
        <v>8.3333333333333329E-2</v>
      </c>
      <c r="C97" s="12">
        <v>3</v>
      </c>
      <c r="D97" s="12">
        <v>3</v>
      </c>
      <c r="E97" s="12">
        <v>3</v>
      </c>
      <c r="F97" s="12">
        <v>3</v>
      </c>
      <c r="G97" s="12">
        <v>3</v>
      </c>
      <c r="H97" s="12">
        <v>3</v>
      </c>
      <c r="I97" s="12">
        <v>3</v>
      </c>
      <c r="J97" s="12">
        <v>3</v>
      </c>
      <c r="K97" s="12">
        <v>3</v>
      </c>
      <c r="L97" s="12">
        <v>3</v>
      </c>
      <c r="M97" s="12">
        <v>3</v>
      </c>
      <c r="N97" s="12">
        <v>3</v>
      </c>
      <c r="O97" s="12">
        <v>3</v>
      </c>
      <c r="P97" s="12">
        <v>3</v>
      </c>
      <c r="Q97" s="12">
        <v>3</v>
      </c>
      <c r="R97" s="12">
        <v>3</v>
      </c>
      <c r="S97" s="12">
        <v>3</v>
      </c>
      <c r="T97" s="12">
        <v>3</v>
      </c>
      <c r="U97" s="12">
        <v>3</v>
      </c>
      <c r="V97" s="12">
        <v>3</v>
      </c>
      <c r="W97" s="12">
        <v>3</v>
      </c>
      <c r="X97" s="12">
        <v>3</v>
      </c>
      <c r="Y97" s="12">
        <v>3</v>
      </c>
      <c r="Z97" s="12">
        <v>3</v>
      </c>
      <c r="AA97" s="12">
        <v>3</v>
      </c>
      <c r="AB97" s="12">
        <v>3</v>
      </c>
      <c r="AC97" s="12">
        <v>3</v>
      </c>
      <c r="AD97" s="12">
        <v>3</v>
      </c>
      <c r="AE97" s="12">
        <v>3</v>
      </c>
      <c r="AF97" s="12">
        <v>3</v>
      </c>
      <c r="AG97" s="12">
        <v>3</v>
      </c>
      <c r="AH97" s="347"/>
      <c r="AI97" s="347"/>
      <c r="AJ97" s="347"/>
      <c r="AK97" s="347"/>
      <c r="AL97" s="347"/>
      <c r="AM97" s="347"/>
      <c r="AN97" s="347"/>
      <c r="AO97" s="347"/>
      <c r="AP97" s="347"/>
      <c r="AQ97" s="347"/>
      <c r="AR97" s="347"/>
      <c r="AS97" s="347"/>
      <c r="AT97" s="347"/>
      <c r="AU97" s="347"/>
      <c r="AV97" s="347"/>
      <c r="AW97" s="347"/>
      <c r="AX97" s="347"/>
      <c r="AY97" s="347"/>
      <c r="AZ97" s="347"/>
      <c r="BA97" s="347"/>
      <c r="BB97" s="347"/>
      <c r="BC97" s="347"/>
      <c r="BD97" s="347"/>
      <c r="BE97" s="347"/>
      <c r="BF97" s="347"/>
      <c r="BG97" s="347"/>
      <c r="BH97" s="347"/>
      <c r="BI97" s="347"/>
      <c r="BJ97" s="347"/>
      <c r="BK97" s="347"/>
      <c r="BL97" s="347"/>
      <c r="BM97" s="347"/>
      <c r="BN97" s="347"/>
      <c r="BO97" s="347"/>
      <c r="BP97" s="347"/>
      <c r="BQ97" s="347"/>
    </row>
    <row r="98" spans="1:69">
      <c r="A98" s="347"/>
      <c r="B98" s="350">
        <v>0.125</v>
      </c>
      <c r="C98" s="12">
        <v>3</v>
      </c>
      <c r="D98" s="12">
        <v>3</v>
      </c>
      <c r="E98" s="12">
        <v>3</v>
      </c>
      <c r="F98" s="12">
        <v>3</v>
      </c>
      <c r="G98" s="12">
        <v>3</v>
      </c>
      <c r="H98" s="12">
        <v>3</v>
      </c>
      <c r="I98" s="12">
        <v>3</v>
      </c>
      <c r="J98" s="12">
        <v>3</v>
      </c>
      <c r="K98" s="12">
        <v>3</v>
      </c>
      <c r="L98" s="12">
        <v>3</v>
      </c>
      <c r="M98" s="12">
        <v>3</v>
      </c>
      <c r="N98" s="12">
        <v>3</v>
      </c>
      <c r="O98" s="12">
        <v>3</v>
      </c>
      <c r="P98" s="12">
        <v>3</v>
      </c>
      <c r="Q98" s="12">
        <v>3</v>
      </c>
      <c r="R98" s="12">
        <v>3</v>
      </c>
      <c r="S98" s="12">
        <v>3</v>
      </c>
      <c r="T98" s="12">
        <v>3</v>
      </c>
      <c r="U98" s="12">
        <v>3</v>
      </c>
      <c r="V98" s="12">
        <v>3</v>
      </c>
      <c r="W98" s="12">
        <v>3</v>
      </c>
      <c r="X98" s="12">
        <v>3</v>
      </c>
      <c r="Y98" s="12">
        <v>3</v>
      </c>
      <c r="Z98" s="12">
        <v>3</v>
      </c>
      <c r="AA98" s="12">
        <v>3</v>
      </c>
      <c r="AB98" s="12">
        <v>3</v>
      </c>
      <c r="AC98" s="12">
        <v>3</v>
      </c>
      <c r="AD98" s="12">
        <v>3</v>
      </c>
      <c r="AE98" s="12">
        <v>3</v>
      </c>
      <c r="AF98" s="12">
        <v>3</v>
      </c>
      <c r="AG98" s="12">
        <v>3</v>
      </c>
      <c r="AH98" s="347"/>
      <c r="AI98" s="347"/>
      <c r="AJ98" s="347"/>
      <c r="AK98" s="347"/>
      <c r="AL98" s="347"/>
      <c r="AM98" s="347"/>
      <c r="AN98" s="347"/>
      <c r="AO98" s="347"/>
      <c r="AP98" s="347"/>
      <c r="AQ98" s="347"/>
      <c r="AR98" s="347"/>
      <c r="AS98" s="347"/>
      <c r="AT98" s="347"/>
      <c r="AU98" s="347"/>
      <c r="AV98" s="347"/>
      <c r="AW98" s="347"/>
      <c r="AX98" s="347"/>
      <c r="AY98" s="347"/>
      <c r="AZ98" s="347"/>
      <c r="BA98" s="347"/>
      <c r="BB98" s="347"/>
      <c r="BC98" s="347"/>
      <c r="BD98" s="347"/>
      <c r="BE98" s="347"/>
      <c r="BF98" s="347"/>
      <c r="BG98" s="347"/>
      <c r="BH98" s="347"/>
      <c r="BI98" s="347"/>
      <c r="BJ98" s="347"/>
      <c r="BK98" s="347"/>
      <c r="BL98" s="347"/>
      <c r="BM98" s="347"/>
      <c r="BN98" s="347"/>
      <c r="BO98" s="347"/>
      <c r="BP98" s="347"/>
      <c r="BQ98" s="347"/>
    </row>
    <row r="99" spans="1:69">
      <c r="A99" s="347"/>
      <c r="B99" s="350">
        <v>0.16666666666666666</v>
      </c>
      <c r="C99" s="12">
        <v>3</v>
      </c>
      <c r="D99" s="12">
        <v>3</v>
      </c>
      <c r="E99" s="12">
        <v>3</v>
      </c>
      <c r="F99" s="12">
        <v>3</v>
      </c>
      <c r="G99" s="12">
        <v>3</v>
      </c>
      <c r="H99" s="12">
        <v>3</v>
      </c>
      <c r="I99" s="12">
        <v>3</v>
      </c>
      <c r="J99" s="12">
        <v>3</v>
      </c>
      <c r="K99" s="12">
        <v>3</v>
      </c>
      <c r="L99" s="12">
        <v>3</v>
      </c>
      <c r="M99" s="12">
        <v>3</v>
      </c>
      <c r="N99" s="12">
        <v>3</v>
      </c>
      <c r="O99" s="12">
        <v>3</v>
      </c>
      <c r="P99" s="12">
        <v>3</v>
      </c>
      <c r="Q99" s="12">
        <v>3</v>
      </c>
      <c r="R99" s="12">
        <v>3</v>
      </c>
      <c r="S99" s="12">
        <v>3</v>
      </c>
      <c r="T99" s="12">
        <v>3</v>
      </c>
      <c r="U99" s="12">
        <v>3</v>
      </c>
      <c r="V99" s="12">
        <v>3</v>
      </c>
      <c r="W99" s="12">
        <v>3</v>
      </c>
      <c r="X99" s="12">
        <v>3</v>
      </c>
      <c r="Y99" s="12">
        <v>3</v>
      </c>
      <c r="Z99" s="12">
        <v>3</v>
      </c>
      <c r="AA99" s="12">
        <v>3</v>
      </c>
      <c r="AB99" s="12">
        <v>3</v>
      </c>
      <c r="AC99" s="12">
        <v>3</v>
      </c>
      <c r="AD99" s="12">
        <v>3</v>
      </c>
      <c r="AE99" s="12">
        <v>3</v>
      </c>
      <c r="AF99" s="12">
        <v>3</v>
      </c>
      <c r="AG99" s="12">
        <v>3</v>
      </c>
      <c r="AH99" s="347"/>
      <c r="AI99" s="347"/>
      <c r="AJ99" s="347"/>
      <c r="AK99" s="347"/>
      <c r="AL99" s="347"/>
      <c r="AM99" s="347"/>
      <c r="AN99" s="347"/>
      <c r="AO99" s="347"/>
      <c r="AP99" s="347"/>
      <c r="AQ99" s="347"/>
      <c r="AR99" s="347"/>
      <c r="AS99" s="347"/>
      <c r="AT99" s="347"/>
      <c r="AU99" s="347"/>
      <c r="AV99" s="347"/>
      <c r="AW99" s="347"/>
      <c r="AX99" s="347"/>
      <c r="AY99" s="347"/>
      <c r="AZ99" s="347"/>
      <c r="BA99" s="347"/>
      <c r="BB99" s="347"/>
      <c r="BC99" s="347"/>
      <c r="BD99" s="347"/>
      <c r="BE99" s="347"/>
      <c r="BF99" s="347"/>
      <c r="BG99" s="347"/>
      <c r="BH99" s="347"/>
      <c r="BI99" s="347"/>
      <c r="BJ99" s="347"/>
      <c r="BK99" s="347"/>
      <c r="BL99" s="347"/>
      <c r="BM99" s="347"/>
      <c r="BN99" s="347"/>
      <c r="BO99" s="347"/>
      <c r="BP99" s="347"/>
      <c r="BQ99" s="347"/>
    </row>
    <row r="100" spans="1:69">
      <c r="A100" s="347"/>
      <c r="B100" s="350">
        <v>0.20833333333333334</v>
      </c>
      <c r="C100" s="12">
        <v>3</v>
      </c>
      <c r="D100" s="12">
        <v>3</v>
      </c>
      <c r="E100" s="12">
        <v>3</v>
      </c>
      <c r="F100" s="12">
        <v>3</v>
      </c>
      <c r="G100" s="12">
        <v>3</v>
      </c>
      <c r="H100" s="12">
        <v>3</v>
      </c>
      <c r="I100" s="12">
        <v>3</v>
      </c>
      <c r="J100" s="12">
        <v>3</v>
      </c>
      <c r="K100" s="12">
        <v>3</v>
      </c>
      <c r="L100" s="12">
        <v>3</v>
      </c>
      <c r="M100" s="12">
        <v>3</v>
      </c>
      <c r="N100" s="12">
        <v>3</v>
      </c>
      <c r="O100" s="12">
        <v>3</v>
      </c>
      <c r="P100" s="12">
        <v>3</v>
      </c>
      <c r="Q100" s="12">
        <v>3</v>
      </c>
      <c r="R100" s="12">
        <v>3</v>
      </c>
      <c r="S100" s="12">
        <v>3</v>
      </c>
      <c r="T100" s="12">
        <v>3</v>
      </c>
      <c r="U100" s="12">
        <v>3</v>
      </c>
      <c r="V100" s="12">
        <v>3</v>
      </c>
      <c r="W100" s="12">
        <v>3</v>
      </c>
      <c r="X100" s="12">
        <v>3</v>
      </c>
      <c r="Y100" s="12">
        <v>3</v>
      </c>
      <c r="Z100" s="12">
        <v>3</v>
      </c>
      <c r="AA100" s="12">
        <v>3</v>
      </c>
      <c r="AB100" s="12">
        <v>3</v>
      </c>
      <c r="AC100" s="12">
        <v>3</v>
      </c>
      <c r="AD100" s="12">
        <v>3</v>
      </c>
      <c r="AE100" s="12">
        <v>3</v>
      </c>
      <c r="AF100" s="12">
        <v>3</v>
      </c>
      <c r="AG100" s="12">
        <v>3</v>
      </c>
      <c r="AH100" s="347"/>
      <c r="AI100" s="347"/>
      <c r="AJ100" s="347"/>
      <c r="AK100" s="347"/>
      <c r="AL100" s="347"/>
      <c r="AM100" s="347"/>
      <c r="AN100" s="347"/>
      <c r="AO100" s="347"/>
      <c r="AP100" s="347"/>
      <c r="AQ100" s="347"/>
      <c r="AR100" s="347"/>
      <c r="AS100" s="347"/>
      <c r="AT100" s="347"/>
      <c r="AU100" s="347"/>
      <c r="AV100" s="347"/>
      <c r="AW100" s="347"/>
      <c r="AX100" s="347"/>
      <c r="AY100" s="347"/>
      <c r="AZ100" s="347"/>
      <c r="BA100" s="347"/>
      <c r="BB100" s="347"/>
      <c r="BC100" s="347"/>
      <c r="BD100" s="347"/>
      <c r="BE100" s="347"/>
      <c r="BF100" s="347"/>
      <c r="BG100" s="347"/>
      <c r="BH100" s="347"/>
      <c r="BI100" s="347"/>
      <c r="BJ100" s="347"/>
      <c r="BK100" s="347"/>
      <c r="BL100" s="347"/>
      <c r="BM100" s="347"/>
      <c r="BN100" s="347"/>
      <c r="BO100" s="347"/>
      <c r="BP100" s="347"/>
      <c r="BQ100" s="347"/>
    </row>
    <row r="101" spans="1:69">
      <c r="A101" s="347"/>
      <c r="B101" s="350">
        <v>0.25</v>
      </c>
      <c r="C101" s="225">
        <v>9</v>
      </c>
      <c r="D101" s="225">
        <v>9</v>
      </c>
      <c r="E101" s="94">
        <v>11</v>
      </c>
      <c r="F101" s="225">
        <v>9</v>
      </c>
      <c r="G101" s="245">
        <v>7</v>
      </c>
      <c r="H101" s="245">
        <v>7</v>
      </c>
      <c r="I101" s="11">
        <v>5</v>
      </c>
      <c r="J101" s="94">
        <v>11</v>
      </c>
      <c r="K101" s="225">
        <v>9</v>
      </c>
      <c r="L101" s="94">
        <v>11</v>
      </c>
      <c r="M101" s="94">
        <v>11</v>
      </c>
      <c r="N101" s="246">
        <v>10</v>
      </c>
      <c r="O101" s="245">
        <v>7</v>
      </c>
      <c r="P101" s="11">
        <v>5</v>
      </c>
      <c r="Q101" s="225">
        <v>9</v>
      </c>
      <c r="R101" s="225">
        <v>9</v>
      </c>
      <c r="S101" s="94">
        <v>11</v>
      </c>
      <c r="T101" s="94">
        <v>11</v>
      </c>
      <c r="U101" s="246">
        <v>10</v>
      </c>
      <c r="V101" s="17">
        <v>8</v>
      </c>
      <c r="W101" s="11">
        <v>5</v>
      </c>
      <c r="X101" s="225">
        <v>9</v>
      </c>
      <c r="Y101" s="225">
        <v>9</v>
      </c>
      <c r="Z101" s="13">
        <v>12</v>
      </c>
      <c r="AA101" s="225">
        <v>9</v>
      </c>
      <c r="AB101" s="246">
        <v>10</v>
      </c>
      <c r="AC101" s="225">
        <v>9</v>
      </c>
      <c r="AD101" s="245">
        <v>7</v>
      </c>
      <c r="AE101" s="246">
        <v>10</v>
      </c>
      <c r="AF101" s="246">
        <v>10</v>
      </c>
      <c r="AG101" s="246">
        <v>10</v>
      </c>
      <c r="AH101" s="347"/>
      <c r="AI101" s="347"/>
      <c r="AJ101" s="347"/>
      <c r="AK101" s="347"/>
      <c r="AL101" s="347"/>
      <c r="AM101" s="347"/>
      <c r="AN101" s="347"/>
      <c r="AO101" s="347"/>
      <c r="AP101" s="347"/>
      <c r="AQ101" s="347"/>
      <c r="AR101" s="347"/>
      <c r="AS101" s="347"/>
      <c r="AT101" s="347"/>
      <c r="AU101" s="347"/>
      <c r="AV101" s="347"/>
      <c r="AW101" s="347"/>
      <c r="AX101" s="347"/>
      <c r="AY101" s="347"/>
      <c r="AZ101" s="347"/>
      <c r="BA101" s="347"/>
      <c r="BB101" s="347"/>
      <c r="BC101" s="347"/>
      <c r="BD101" s="347"/>
      <c r="BE101" s="347"/>
      <c r="BF101" s="347"/>
      <c r="BG101" s="347"/>
      <c r="BH101" s="347"/>
      <c r="BI101" s="347"/>
      <c r="BJ101" s="347"/>
      <c r="BK101" s="347"/>
      <c r="BL101" s="347"/>
      <c r="BM101" s="347"/>
      <c r="BN101" s="347"/>
      <c r="BO101" s="347"/>
      <c r="BP101" s="347"/>
      <c r="BQ101" s="347"/>
    </row>
    <row r="102" spans="1:69">
      <c r="A102" s="347"/>
      <c r="B102" s="350">
        <v>0.29166666666666669</v>
      </c>
      <c r="C102" s="13">
        <v>12</v>
      </c>
      <c r="D102" s="14">
        <v>13</v>
      </c>
      <c r="E102" s="13">
        <v>12</v>
      </c>
      <c r="F102" s="14">
        <v>13</v>
      </c>
      <c r="G102" s="94">
        <v>11</v>
      </c>
      <c r="H102" s="94">
        <v>11</v>
      </c>
      <c r="I102" s="17">
        <v>8</v>
      </c>
      <c r="J102" s="13">
        <v>12</v>
      </c>
      <c r="K102" s="56">
        <v>14</v>
      </c>
      <c r="L102" s="56">
        <v>14</v>
      </c>
      <c r="M102" s="108">
        <v>16</v>
      </c>
      <c r="N102" s="56">
        <v>14</v>
      </c>
      <c r="O102" s="94">
        <v>11</v>
      </c>
      <c r="P102" s="17">
        <v>8</v>
      </c>
      <c r="Q102" s="14">
        <v>13</v>
      </c>
      <c r="R102" s="56">
        <v>14</v>
      </c>
      <c r="S102" s="56">
        <v>14</v>
      </c>
      <c r="T102" s="56">
        <v>14</v>
      </c>
      <c r="U102" s="13">
        <v>12</v>
      </c>
      <c r="V102" s="56">
        <v>14</v>
      </c>
      <c r="W102" s="17">
        <v>8</v>
      </c>
      <c r="X102" s="14">
        <v>13</v>
      </c>
      <c r="Y102" s="56">
        <v>14</v>
      </c>
      <c r="Z102" s="108">
        <v>16</v>
      </c>
      <c r="AA102" s="13">
        <v>12</v>
      </c>
      <c r="AB102" s="149">
        <v>20</v>
      </c>
      <c r="AC102" s="13">
        <v>12</v>
      </c>
      <c r="AD102" s="246">
        <v>10</v>
      </c>
      <c r="AE102" s="149">
        <v>20</v>
      </c>
      <c r="AF102" s="149">
        <v>20</v>
      </c>
      <c r="AG102" s="149">
        <v>20</v>
      </c>
      <c r="AH102" s="347"/>
      <c r="AI102" s="347"/>
      <c r="AJ102" s="347"/>
      <c r="AK102" s="347"/>
      <c r="AL102" s="347"/>
      <c r="AM102" s="347"/>
      <c r="AN102" s="347"/>
      <c r="AO102" s="347"/>
      <c r="AP102" s="347"/>
      <c r="AQ102" s="347"/>
      <c r="AR102" s="347"/>
      <c r="AS102" s="347"/>
      <c r="AT102" s="347"/>
      <c r="AU102" s="347"/>
      <c r="AV102" s="347"/>
      <c r="AW102" s="347"/>
      <c r="AX102" s="347"/>
      <c r="AY102" s="347"/>
      <c r="AZ102" s="347"/>
      <c r="BA102" s="347"/>
      <c r="BB102" s="347"/>
      <c r="BC102" s="347"/>
      <c r="BD102" s="347"/>
      <c r="BE102" s="347"/>
      <c r="BF102" s="347"/>
      <c r="BG102" s="347"/>
      <c r="BH102" s="347"/>
      <c r="BI102" s="347"/>
      <c r="BJ102" s="347"/>
      <c r="BK102" s="347"/>
      <c r="BL102" s="347"/>
      <c r="BM102" s="347"/>
      <c r="BN102" s="347"/>
      <c r="BO102" s="347"/>
      <c r="BP102" s="347"/>
      <c r="BQ102" s="347"/>
    </row>
    <row r="103" spans="1:69">
      <c r="A103" s="347"/>
      <c r="B103" s="350">
        <v>0.33333333333333331</v>
      </c>
      <c r="C103" s="150">
        <v>15</v>
      </c>
      <c r="D103" s="108">
        <v>16</v>
      </c>
      <c r="E103" s="83">
        <v>18</v>
      </c>
      <c r="F103" s="72">
        <v>17</v>
      </c>
      <c r="G103" s="13">
        <v>12</v>
      </c>
      <c r="H103" s="56">
        <v>14</v>
      </c>
      <c r="I103" s="225">
        <v>9</v>
      </c>
      <c r="J103" s="72">
        <v>17</v>
      </c>
      <c r="K103" s="72">
        <v>17</v>
      </c>
      <c r="L103" s="83">
        <v>18</v>
      </c>
      <c r="M103" s="144">
        <v>19</v>
      </c>
      <c r="N103" s="72">
        <v>17</v>
      </c>
      <c r="O103" s="56">
        <v>14</v>
      </c>
      <c r="P103" s="225">
        <v>9</v>
      </c>
      <c r="Q103" s="108">
        <v>16</v>
      </c>
      <c r="R103" s="72">
        <v>17</v>
      </c>
      <c r="S103" s="144">
        <v>19</v>
      </c>
      <c r="T103" s="149">
        <v>20</v>
      </c>
      <c r="U103" s="83">
        <v>18</v>
      </c>
      <c r="V103" s="56">
        <v>14</v>
      </c>
      <c r="W103" s="225">
        <v>9</v>
      </c>
      <c r="X103" s="108">
        <v>16</v>
      </c>
      <c r="Y103" s="72">
        <v>17</v>
      </c>
      <c r="Z103" s="144">
        <v>19</v>
      </c>
      <c r="AA103" s="150">
        <v>15</v>
      </c>
      <c r="AB103" s="135">
        <v>27</v>
      </c>
      <c r="AC103" s="72">
        <v>17</v>
      </c>
      <c r="AD103" s="150">
        <v>15</v>
      </c>
      <c r="AE103" s="135">
        <v>27</v>
      </c>
      <c r="AF103" s="135">
        <v>27</v>
      </c>
      <c r="AG103" s="141">
        <v>28</v>
      </c>
      <c r="AH103" s="347"/>
      <c r="AI103" s="347"/>
      <c r="AJ103" s="347"/>
      <c r="AK103" s="347"/>
      <c r="AL103" s="347"/>
      <c r="AM103" s="347"/>
      <c r="AN103" s="347"/>
      <c r="AO103" s="347"/>
      <c r="AP103" s="347"/>
      <c r="AQ103" s="347"/>
      <c r="AR103" s="347"/>
      <c r="AS103" s="347"/>
      <c r="AT103" s="347"/>
      <c r="AU103" s="347"/>
      <c r="AV103" s="347"/>
      <c r="AW103" s="347"/>
      <c r="AX103" s="347"/>
      <c r="AY103" s="347"/>
      <c r="AZ103" s="347"/>
      <c r="BA103" s="347"/>
      <c r="BB103" s="347"/>
      <c r="BC103" s="347"/>
      <c r="BD103" s="347"/>
      <c r="BE103" s="347"/>
      <c r="BF103" s="347"/>
      <c r="BG103" s="347"/>
      <c r="BH103" s="347"/>
      <c r="BI103" s="347"/>
      <c r="BJ103" s="347"/>
      <c r="BK103" s="347"/>
      <c r="BL103" s="347"/>
      <c r="BM103" s="347"/>
      <c r="BN103" s="347"/>
      <c r="BO103" s="347"/>
      <c r="BP103" s="347"/>
      <c r="BQ103" s="347"/>
    </row>
    <row r="104" spans="1:69">
      <c r="A104" s="347"/>
      <c r="B104" s="350">
        <v>0.375</v>
      </c>
      <c r="C104" s="120">
        <v>23</v>
      </c>
      <c r="D104" s="120">
        <v>23</v>
      </c>
      <c r="E104" s="81">
        <v>26</v>
      </c>
      <c r="F104" s="80">
        <v>22</v>
      </c>
      <c r="G104" s="108">
        <v>16</v>
      </c>
      <c r="H104" s="83">
        <v>18</v>
      </c>
      <c r="I104" s="94">
        <v>11</v>
      </c>
      <c r="J104" s="81">
        <v>26</v>
      </c>
      <c r="K104" s="81">
        <v>26</v>
      </c>
      <c r="L104" s="135">
        <v>27</v>
      </c>
      <c r="M104" s="81">
        <v>26</v>
      </c>
      <c r="N104" s="120">
        <v>23</v>
      </c>
      <c r="O104" s="83">
        <v>18</v>
      </c>
      <c r="P104" s="94">
        <v>11</v>
      </c>
      <c r="Q104" s="119">
        <v>25</v>
      </c>
      <c r="R104" s="119">
        <v>25</v>
      </c>
      <c r="S104" s="81">
        <v>26</v>
      </c>
      <c r="T104" s="119">
        <v>25</v>
      </c>
      <c r="U104" s="120">
        <v>23</v>
      </c>
      <c r="V104" s="72">
        <v>17</v>
      </c>
      <c r="W104" s="13">
        <v>12</v>
      </c>
      <c r="X104" s="119">
        <v>25</v>
      </c>
      <c r="Y104" s="119">
        <v>25</v>
      </c>
      <c r="Z104" s="81">
        <v>26</v>
      </c>
      <c r="AA104" s="120">
        <v>23</v>
      </c>
      <c r="AB104" s="82">
        <v>30</v>
      </c>
      <c r="AC104" s="137">
        <v>21</v>
      </c>
      <c r="AD104" s="144">
        <v>19</v>
      </c>
      <c r="AE104" s="82">
        <v>30</v>
      </c>
      <c r="AF104" s="82">
        <v>30</v>
      </c>
      <c r="AG104" s="82">
        <v>30</v>
      </c>
      <c r="AH104" s="347"/>
      <c r="AI104" s="347"/>
      <c r="AJ104" s="347"/>
      <c r="AK104" s="347"/>
      <c r="AL104" s="347"/>
      <c r="AM104" s="347"/>
      <c r="AN104" s="347"/>
      <c r="AO104" s="347"/>
      <c r="AP104" s="347"/>
      <c r="AQ104" s="347"/>
      <c r="AR104" s="347"/>
      <c r="AS104" s="347"/>
      <c r="AT104" s="347"/>
      <c r="AU104" s="347"/>
      <c r="AV104" s="347"/>
      <c r="AW104" s="347"/>
      <c r="AX104" s="347"/>
      <c r="AY104" s="347"/>
      <c r="AZ104" s="347"/>
      <c r="BA104" s="347"/>
      <c r="BB104" s="347"/>
      <c r="BC104" s="347"/>
      <c r="BD104" s="347"/>
      <c r="BE104" s="347"/>
      <c r="BF104" s="347"/>
      <c r="BG104" s="347"/>
      <c r="BH104" s="347"/>
      <c r="BI104" s="347"/>
      <c r="BJ104" s="347"/>
      <c r="BK104" s="347"/>
      <c r="BL104" s="347"/>
      <c r="BM104" s="347"/>
      <c r="BN104" s="347"/>
      <c r="BO104" s="347"/>
      <c r="BP104" s="347"/>
      <c r="BQ104" s="347"/>
    </row>
    <row r="105" spans="1:69">
      <c r="A105" s="347"/>
      <c r="B105" s="350">
        <v>0.41666666666666669</v>
      </c>
      <c r="C105" s="135">
        <v>27</v>
      </c>
      <c r="D105" s="135">
        <v>27</v>
      </c>
      <c r="E105" s="143">
        <v>29</v>
      </c>
      <c r="F105" s="143">
        <v>29</v>
      </c>
      <c r="G105" s="149">
        <v>20</v>
      </c>
      <c r="H105" s="137">
        <v>21</v>
      </c>
      <c r="I105" s="108">
        <v>16</v>
      </c>
      <c r="J105" s="143">
        <v>29</v>
      </c>
      <c r="K105" s="142">
        <v>31</v>
      </c>
      <c r="L105" s="143">
        <v>29</v>
      </c>
      <c r="M105" s="135">
        <v>27</v>
      </c>
      <c r="N105" s="81">
        <v>26</v>
      </c>
      <c r="O105" s="80">
        <v>22</v>
      </c>
      <c r="P105" s="108">
        <v>16</v>
      </c>
      <c r="Q105" s="82">
        <v>30</v>
      </c>
      <c r="R105" s="82">
        <v>30</v>
      </c>
      <c r="S105" s="82">
        <v>30</v>
      </c>
      <c r="T105" s="82">
        <v>30</v>
      </c>
      <c r="U105" s="135">
        <v>27</v>
      </c>
      <c r="V105" s="137">
        <v>21</v>
      </c>
      <c r="W105" s="72">
        <v>17</v>
      </c>
      <c r="X105" s="82">
        <v>30</v>
      </c>
      <c r="Y105" s="82">
        <v>30</v>
      </c>
      <c r="Z105" s="142">
        <v>31</v>
      </c>
      <c r="AA105" s="135">
        <v>27</v>
      </c>
      <c r="AB105" s="142">
        <v>31</v>
      </c>
      <c r="AC105" s="119">
        <v>25</v>
      </c>
      <c r="AD105" s="120">
        <v>23</v>
      </c>
      <c r="AE105" s="142">
        <v>31</v>
      </c>
      <c r="AF105" s="142">
        <v>31</v>
      </c>
      <c r="AG105" s="142">
        <v>31</v>
      </c>
      <c r="AH105" s="347"/>
      <c r="AI105" s="347"/>
      <c r="AJ105" s="347"/>
      <c r="AK105" s="347"/>
      <c r="AL105" s="347"/>
      <c r="AM105" s="347"/>
      <c r="AN105" s="347"/>
      <c r="AO105" s="347"/>
      <c r="AP105" s="347"/>
      <c r="AQ105" s="347"/>
      <c r="AR105" s="347"/>
      <c r="AS105" s="347"/>
      <c r="AT105" s="347"/>
      <c r="AU105" s="347"/>
      <c r="AV105" s="347"/>
      <c r="AW105" s="347"/>
      <c r="AX105" s="347"/>
      <c r="AY105" s="347"/>
      <c r="AZ105" s="347"/>
      <c r="BA105" s="347"/>
      <c r="BB105" s="347"/>
      <c r="BC105" s="347"/>
      <c r="BD105" s="347"/>
      <c r="BE105" s="347"/>
      <c r="BF105" s="347"/>
      <c r="BG105" s="347"/>
      <c r="BH105" s="347"/>
      <c r="BI105" s="347"/>
      <c r="BJ105" s="347"/>
      <c r="BK105" s="347"/>
      <c r="BL105" s="347"/>
      <c r="BM105" s="347"/>
      <c r="BN105" s="347"/>
      <c r="BO105" s="347"/>
      <c r="BP105" s="347"/>
      <c r="BQ105" s="347"/>
    </row>
    <row r="106" spans="1:69">
      <c r="A106" s="347"/>
      <c r="B106" s="350">
        <v>0.45833333333333331</v>
      </c>
      <c r="C106" s="135">
        <v>27</v>
      </c>
      <c r="D106" s="135">
        <v>27</v>
      </c>
      <c r="E106" s="143">
        <v>29</v>
      </c>
      <c r="F106" s="143">
        <v>29</v>
      </c>
      <c r="G106" s="144">
        <v>19</v>
      </c>
      <c r="H106" s="80">
        <v>22</v>
      </c>
      <c r="I106" s="108">
        <v>16</v>
      </c>
      <c r="J106" s="143">
        <v>29</v>
      </c>
      <c r="K106" s="82">
        <v>30</v>
      </c>
      <c r="L106" s="143">
        <v>29</v>
      </c>
      <c r="M106" s="135">
        <v>27</v>
      </c>
      <c r="N106" s="119">
        <v>25</v>
      </c>
      <c r="O106" s="80">
        <v>22</v>
      </c>
      <c r="P106" s="108">
        <v>16</v>
      </c>
      <c r="Q106" s="142">
        <v>31</v>
      </c>
      <c r="R106" s="82">
        <v>30</v>
      </c>
      <c r="S106" s="141">
        <v>28</v>
      </c>
      <c r="T106" s="142">
        <v>31</v>
      </c>
      <c r="U106" s="135">
        <v>27</v>
      </c>
      <c r="V106" s="137">
        <v>21</v>
      </c>
      <c r="W106" s="72">
        <v>17</v>
      </c>
      <c r="X106" s="142">
        <v>31</v>
      </c>
      <c r="Y106" s="143">
        <v>29</v>
      </c>
      <c r="Z106" s="142">
        <v>31</v>
      </c>
      <c r="AA106" s="135">
        <v>27</v>
      </c>
      <c r="AB106" s="142">
        <v>31</v>
      </c>
      <c r="AC106" s="119">
        <v>25</v>
      </c>
      <c r="AD106" s="120">
        <v>23</v>
      </c>
      <c r="AE106" s="142">
        <v>31</v>
      </c>
      <c r="AF106" s="142">
        <v>31</v>
      </c>
      <c r="AG106" s="142">
        <v>31</v>
      </c>
      <c r="AH106" s="347"/>
      <c r="AI106" s="347"/>
      <c r="AJ106" s="347"/>
      <c r="AK106" s="347"/>
      <c r="AL106" s="347"/>
      <c r="AM106" s="347"/>
      <c r="AN106" s="347"/>
      <c r="AO106" s="347"/>
      <c r="AP106" s="347"/>
      <c r="AQ106" s="347"/>
      <c r="AR106" s="347"/>
      <c r="AS106" s="347"/>
      <c r="AT106" s="347"/>
      <c r="AU106" s="347"/>
      <c r="AV106" s="347"/>
      <c r="AW106" s="347"/>
      <c r="AX106" s="347"/>
      <c r="AY106" s="347"/>
      <c r="AZ106" s="347"/>
      <c r="BA106" s="347"/>
      <c r="BB106" s="347"/>
      <c r="BC106" s="347"/>
      <c r="BD106" s="347"/>
      <c r="BE106" s="347"/>
      <c r="BF106" s="347"/>
      <c r="BG106" s="347"/>
      <c r="BH106" s="347"/>
      <c r="BI106" s="347"/>
      <c r="BJ106" s="347"/>
      <c r="BK106" s="347"/>
      <c r="BL106" s="347"/>
      <c r="BM106" s="347"/>
      <c r="BN106" s="347"/>
      <c r="BO106" s="347"/>
      <c r="BP106" s="347"/>
      <c r="BQ106" s="347"/>
    </row>
    <row r="107" spans="1:69">
      <c r="A107" s="347"/>
      <c r="B107" s="350">
        <v>0.5</v>
      </c>
      <c r="C107" s="135">
        <v>27</v>
      </c>
      <c r="D107" s="119">
        <v>25</v>
      </c>
      <c r="E107" s="143">
        <v>29</v>
      </c>
      <c r="F107" s="143">
        <v>29</v>
      </c>
      <c r="G107" s="83">
        <v>18</v>
      </c>
      <c r="H107" s="149">
        <v>20</v>
      </c>
      <c r="I107" s="108">
        <v>16</v>
      </c>
      <c r="J107" s="82">
        <v>30</v>
      </c>
      <c r="K107" s="141">
        <v>28</v>
      </c>
      <c r="L107" s="141">
        <v>28</v>
      </c>
      <c r="M107" s="81">
        <v>26</v>
      </c>
      <c r="N107" s="136">
        <v>24</v>
      </c>
      <c r="O107" s="149">
        <v>20</v>
      </c>
      <c r="P107" s="108">
        <v>16</v>
      </c>
      <c r="Q107" s="82">
        <v>30</v>
      </c>
      <c r="R107" s="143">
        <v>29</v>
      </c>
      <c r="S107" s="135">
        <v>27</v>
      </c>
      <c r="T107" s="142">
        <v>31</v>
      </c>
      <c r="U107" s="81">
        <v>26</v>
      </c>
      <c r="V107" s="149">
        <v>20</v>
      </c>
      <c r="W107" s="72">
        <v>17</v>
      </c>
      <c r="X107" s="82">
        <v>30</v>
      </c>
      <c r="Y107" s="143">
        <v>29</v>
      </c>
      <c r="Z107" s="81">
        <v>26</v>
      </c>
      <c r="AA107" s="135">
        <v>27</v>
      </c>
      <c r="AB107" s="142">
        <v>31</v>
      </c>
      <c r="AC107" s="120">
        <v>23</v>
      </c>
      <c r="AD107" s="137">
        <v>21</v>
      </c>
      <c r="AE107" s="142">
        <v>31</v>
      </c>
      <c r="AF107" s="142">
        <v>31</v>
      </c>
      <c r="AG107" s="142">
        <v>31</v>
      </c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347"/>
      <c r="BH107" s="347"/>
      <c r="BI107" s="347"/>
      <c r="BJ107" s="347"/>
      <c r="BK107" s="347"/>
      <c r="BL107" s="347"/>
      <c r="BM107" s="347"/>
      <c r="BN107" s="347"/>
      <c r="BO107" s="347"/>
      <c r="BP107" s="347"/>
      <c r="BQ107" s="347"/>
    </row>
    <row r="108" spans="1:69">
      <c r="A108" s="347"/>
      <c r="B108" s="350">
        <v>0.54166666666666663</v>
      </c>
      <c r="C108" s="81">
        <v>26</v>
      </c>
      <c r="D108" s="119">
        <v>25</v>
      </c>
      <c r="E108" s="141">
        <v>28</v>
      </c>
      <c r="F108" s="135">
        <v>27</v>
      </c>
      <c r="G108" s="83">
        <v>18</v>
      </c>
      <c r="H108" s="144">
        <v>19</v>
      </c>
      <c r="I108" s="72">
        <v>17</v>
      </c>
      <c r="J108" s="135">
        <v>27</v>
      </c>
      <c r="K108" s="143">
        <v>29</v>
      </c>
      <c r="L108" s="81">
        <v>26</v>
      </c>
      <c r="M108" s="81">
        <v>26</v>
      </c>
      <c r="N108" s="81">
        <v>26</v>
      </c>
      <c r="O108" s="144">
        <v>19</v>
      </c>
      <c r="P108" s="72">
        <v>17</v>
      </c>
      <c r="Q108" s="82">
        <v>30</v>
      </c>
      <c r="R108" s="143">
        <v>29</v>
      </c>
      <c r="S108" s="141">
        <v>28</v>
      </c>
      <c r="T108" s="135">
        <v>27</v>
      </c>
      <c r="U108" s="135">
        <v>27</v>
      </c>
      <c r="V108" s="144">
        <v>19</v>
      </c>
      <c r="W108" s="83">
        <v>18</v>
      </c>
      <c r="X108" s="143">
        <v>29</v>
      </c>
      <c r="Y108" s="143">
        <v>29</v>
      </c>
      <c r="Z108" s="135">
        <v>27</v>
      </c>
      <c r="AA108" s="81">
        <v>26</v>
      </c>
      <c r="AB108" s="137">
        <v>21</v>
      </c>
      <c r="AC108" s="80">
        <v>22</v>
      </c>
      <c r="AD108" s="149">
        <v>20</v>
      </c>
      <c r="AE108" s="137">
        <v>21</v>
      </c>
      <c r="AF108" s="137">
        <v>21</v>
      </c>
      <c r="AG108" s="137">
        <v>21</v>
      </c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  <c r="BG108" s="347"/>
      <c r="BH108" s="347"/>
      <c r="BI108" s="347"/>
      <c r="BJ108" s="347"/>
      <c r="BK108" s="347"/>
      <c r="BL108" s="347"/>
      <c r="BM108" s="347"/>
      <c r="BN108" s="347"/>
      <c r="BO108" s="347"/>
      <c r="BP108" s="347"/>
      <c r="BQ108" s="347"/>
    </row>
    <row r="109" spans="1:69">
      <c r="A109" s="347"/>
      <c r="B109" s="350">
        <v>0.58333333333333337</v>
      </c>
      <c r="C109" s="120">
        <v>23</v>
      </c>
      <c r="D109" s="136">
        <v>24</v>
      </c>
      <c r="E109" s="119">
        <v>25</v>
      </c>
      <c r="F109" s="135">
        <v>27</v>
      </c>
      <c r="G109" s="108">
        <v>16</v>
      </c>
      <c r="H109" s="83">
        <v>18</v>
      </c>
      <c r="I109" s="56">
        <v>14</v>
      </c>
      <c r="J109" s="135">
        <v>27</v>
      </c>
      <c r="K109" s="135">
        <v>27</v>
      </c>
      <c r="L109" s="135">
        <v>27</v>
      </c>
      <c r="M109" s="119">
        <v>25</v>
      </c>
      <c r="N109" s="81">
        <v>26</v>
      </c>
      <c r="O109" s="83">
        <v>18</v>
      </c>
      <c r="P109" s="56">
        <v>14</v>
      </c>
      <c r="Q109" s="141">
        <v>28</v>
      </c>
      <c r="R109" s="135">
        <v>27</v>
      </c>
      <c r="S109" s="141">
        <v>28</v>
      </c>
      <c r="T109" s="81">
        <v>26</v>
      </c>
      <c r="U109" s="81">
        <v>26</v>
      </c>
      <c r="V109" s="144">
        <v>19</v>
      </c>
      <c r="W109" s="150">
        <v>15</v>
      </c>
      <c r="X109" s="143">
        <v>29</v>
      </c>
      <c r="Y109" s="81">
        <v>26</v>
      </c>
      <c r="Z109" s="135">
        <v>27</v>
      </c>
      <c r="AA109" s="120">
        <v>23</v>
      </c>
      <c r="AB109" s="136">
        <v>24</v>
      </c>
      <c r="AC109" s="149">
        <v>20</v>
      </c>
      <c r="AD109" s="83">
        <v>18</v>
      </c>
      <c r="AE109" s="136">
        <v>24</v>
      </c>
      <c r="AF109" s="136">
        <v>24</v>
      </c>
      <c r="AG109" s="136">
        <v>24</v>
      </c>
      <c r="AH109" s="347"/>
      <c r="AI109" s="347"/>
      <c r="AJ109" s="347"/>
      <c r="AK109" s="347"/>
      <c r="AL109" s="347"/>
      <c r="AM109" s="347"/>
      <c r="AN109" s="347"/>
      <c r="AO109" s="347"/>
      <c r="AP109" s="347"/>
      <c r="AQ109" s="347"/>
      <c r="AR109" s="347"/>
      <c r="AS109" s="347"/>
      <c r="AT109" s="347"/>
      <c r="AU109" s="347"/>
      <c r="AV109" s="347"/>
      <c r="AW109" s="347"/>
      <c r="AX109" s="347"/>
      <c r="AY109" s="347"/>
      <c r="AZ109" s="347"/>
      <c r="BA109" s="347"/>
      <c r="BB109" s="347"/>
      <c r="BC109" s="347"/>
      <c r="BD109" s="347"/>
      <c r="BE109" s="347"/>
      <c r="BF109" s="347"/>
      <c r="BG109" s="347"/>
      <c r="BH109" s="347"/>
      <c r="BI109" s="347"/>
      <c r="BJ109" s="347"/>
      <c r="BK109" s="347"/>
      <c r="BL109" s="347"/>
      <c r="BM109" s="347"/>
      <c r="BN109" s="347"/>
      <c r="BO109" s="347"/>
      <c r="BP109" s="347"/>
      <c r="BQ109" s="347"/>
    </row>
    <row r="110" spans="1:69">
      <c r="A110" s="347"/>
      <c r="B110" s="350">
        <v>0.625</v>
      </c>
      <c r="C110" s="136">
        <v>24</v>
      </c>
      <c r="D110" s="136">
        <v>24</v>
      </c>
      <c r="E110" s="119">
        <v>25</v>
      </c>
      <c r="F110" s="119">
        <v>25</v>
      </c>
      <c r="G110" s="150">
        <v>15</v>
      </c>
      <c r="H110" s="72">
        <v>17</v>
      </c>
      <c r="I110" s="56">
        <v>14</v>
      </c>
      <c r="J110" s="135">
        <v>27</v>
      </c>
      <c r="K110" s="141">
        <v>28</v>
      </c>
      <c r="L110" s="119">
        <v>25</v>
      </c>
      <c r="M110" s="135">
        <v>27</v>
      </c>
      <c r="N110" s="136">
        <v>24</v>
      </c>
      <c r="O110" s="108">
        <v>16</v>
      </c>
      <c r="P110" s="150">
        <v>15</v>
      </c>
      <c r="Q110" s="81">
        <v>26</v>
      </c>
      <c r="R110" s="141">
        <v>28</v>
      </c>
      <c r="S110" s="119">
        <v>25</v>
      </c>
      <c r="T110" s="135">
        <v>27</v>
      </c>
      <c r="U110" s="120">
        <v>23</v>
      </c>
      <c r="V110" s="83">
        <v>18</v>
      </c>
      <c r="W110" s="150">
        <v>15</v>
      </c>
      <c r="X110" s="135">
        <v>27</v>
      </c>
      <c r="Y110" s="135">
        <v>27</v>
      </c>
      <c r="Z110" s="136">
        <v>24</v>
      </c>
      <c r="AA110" s="136">
        <v>24</v>
      </c>
      <c r="AB110" s="143">
        <v>29</v>
      </c>
      <c r="AC110" s="72">
        <v>17</v>
      </c>
      <c r="AD110" s="150">
        <v>15</v>
      </c>
      <c r="AE110" s="143">
        <v>29</v>
      </c>
      <c r="AF110" s="143">
        <v>29</v>
      </c>
      <c r="AG110" s="143">
        <v>29</v>
      </c>
      <c r="AH110" s="347"/>
      <c r="AI110" s="347"/>
      <c r="AJ110" s="347"/>
      <c r="AK110" s="347"/>
      <c r="AL110" s="347"/>
      <c r="AM110" s="347"/>
      <c r="AN110" s="347"/>
      <c r="AO110" s="347"/>
      <c r="AP110" s="347"/>
      <c r="AQ110" s="347"/>
      <c r="AR110" s="347"/>
      <c r="AS110" s="347"/>
      <c r="AT110" s="347"/>
      <c r="AU110" s="347"/>
      <c r="AV110" s="347"/>
      <c r="AW110" s="347"/>
      <c r="AX110" s="347"/>
      <c r="AY110" s="347"/>
      <c r="AZ110" s="347"/>
      <c r="BA110" s="347"/>
      <c r="BB110" s="347"/>
      <c r="BC110" s="347"/>
      <c r="BD110" s="347"/>
      <c r="BE110" s="347"/>
      <c r="BF110" s="347"/>
      <c r="BG110" s="347"/>
      <c r="BH110" s="347"/>
      <c r="BI110" s="347"/>
      <c r="BJ110" s="347"/>
      <c r="BK110" s="347"/>
      <c r="BL110" s="347"/>
      <c r="BM110" s="347"/>
      <c r="BN110" s="347"/>
      <c r="BO110" s="347"/>
      <c r="BP110" s="347"/>
      <c r="BQ110" s="347"/>
    </row>
    <row r="111" spans="1:69">
      <c r="A111" s="347"/>
      <c r="B111" s="350">
        <v>0.66666666666666663</v>
      </c>
      <c r="C111" s="136">
        <v>24</v>
      </c>
      <c r="D111" s="119">
        <v>25</v>
      </c>
      <c r="E111" s="81">
        <v>26</v>
      </c>
      <c r="F111" s="119">
        <v>25</v>
      </c>
      <c r="G111" s="150">
        <v>15</v>
      </c>
      <c r="H111" s="108">
        <v>16</v>
      </c>
      <c r="I111" s="56">
        <v>14</v>
      </c>
      <c r="J111" s="135">
        <v>27</v>
      </c>
      <c r="K111" s="135">
        <v>27</v>
      </c>
      <c r="L111" s="81">
        <v>26</v>
      </c>
      <c r="M111" s="135">
        <v>27</v>
      </c>
      <c r="N111" s="136">
        <v>24</v>
      </c>
      <c r="O111" s="108">
        <v>16</v>
      </c>
      <c r="P111" s="150">
        <v>15</v>
      </c>
      <c r="Q111" s="119">
        <v>25</v>
      </c>
      <c r="R111" s="119">
        <v>25</v>
      </c>
      <c r="S111" s="81">
        <v>26</v>
      </c>
      <c r="T111" s="135">
        <v>27</v>
      </c>
      <c r="U111" s="136">
        <v>24</v>
      </c>
      <c r="V111" s="83">
        <v>18</v>
      </c>
      <c r="W111" s="56">
        <v>14</v>
      </c>
      <c r="X111" s="81">
        <v>26</v>
      </c>
      <c r="Y111" s="119">
        <v>25</v>
      </c>
      <c r="Z111" s="81">
        <v>26</v>
      </c>
      <c r="AA111" s="136">
        <v>24</v>
      </c>
      <c r="AB111" s="143">
        <v>29</v>
      </c>
      <c r="AC111" s="72">
        <v>17</v>
      </c>
      <c r="AD111" s="150">
        <v>15</v>
      </c>
      <c r="AE111" s="143">
        <v>29</v>
      </c>
      <c r="AF111" s="143">
        <v>29</v>
      </c>
      <c r="AG111" s="143">
        <v>29</v>
      </c>
      <c r="AH111" s="347"/>
      <c r="AI111" s="347"/>
      <c r="AJ111" s="347"/>
      <c r="AK111" s="347"/>
      <c r="AL111" s="347"/>
      <c r="AM111" s="347"/>
      <c r="AN111" s="347"/>
      <c r="AO111" s="347"/>
      <c r="AP111" s="347"/>
      <c r="AQ111" s="347"/>
      <c r="AR111" s="347"/>
      <c r="AS111" s="347"/>
      <c r="AT111" s="347"/>
      <c r="AU111" s="347"/>
      <c r="AV111" s="347"/>
      <c r="AW111" s="347"/>
      <c r="AX111" s="347"/>
      <c r="AY111" s="347"/>
      <c r="AZ111" s="347"/>
      <c r="BA111" s="347"/>
      <c r="BB111" s="347"/>
      <c r="BC111" s="347"/>
      <c r="BD111" s="347"/>
      <c r="BE111" s="347"/>
      <c r="BF111" s="347"/>
      <c r="BG111" s="347"/>
      <c r="BH111" s="347"/>
      <c r="BI111" s="347"/>
      <c r="BJ111" s="347"/>
      <c r="BK111" s="347"/>
      <c r="BL111" s="347"/>
      <c r="BM111" s="347"/>
      <c r="BN111" s="347"/>
      <c r="BO111" s="347"/>
      <c r="BP111" s="347"/>
      <c r="BQ111" s="347"/>
    </row>
    <row r="112" spans="1:69">
      <c r="A112" s="347"/>
      <c r="B112" s="350">
        <v>0.70833333333333337</v>
      </c>
      <c r="C112" s="136">
        <v>24</v>
      </c>
      <c r="D112" s="136">
        <v>24</v>
      </c>
      <c r="E112" s="119">
        <v>25</v>
      </c>
      <c r="F112" s="135">
        <v>27</v>
      </c>
      <c r="G112" s="56">
        <v>14</v>
      </c>
      <c r="H112" s="108">
        <v>16</v>
      </c>
      <c r="I112" s="14">
        <v>13</v>
      </c>
      <c r="J112" s="81">
        <v>26</v>
      </c>
      <c r="K112" s="120">
        <v>23</v>
      </c>
      <c r="L112" s="120">
        <v>23</v>
      </c>
      <c r="M112" s="119">
        <v>25</v>
      </c>
      <c r="N112" s="120">
        <v>23</v>
      </c>
      <c r="O112" s="108">
        <v>16</v>
      </c>
      <c r="P112" s="56">
        <v>14</v>
      </c>
      <c r="Q112" s="81">
        <v>26</v>
      </c>
      <c r="R112" s="81">
        <v>26</v>
      </c>
      <c r="S112" s="81">
        <v>26</v>
      </c>
      <c r="T112" s="119">
        <v>25</v>
      </c>
      <c r="U112" s="120">
        <v>23</v>
      </c>
      <c r="V112" s="83">
        <v>18</v>
      </c>
      <c r="W112" s="56">
        <v>14</v>
      </c>
      <c r="X112" s="81">
        <v>26</v>
      </c>
      <c r="Y112" s="135">
        <v>27</v>
      </c>
      <c r="Z112" s="81">
        <v>26</v>
      </c>
      <c r="AA112" s="136">
        <v>24</v>
      </c>
      <c r="AB112" s="57">
        <v>34</v>
      </c>
      <c r="AC112" s="72">
        <v>17</v>
      </c>
      <c r="AD112" s="150">
        <v>15</v>
      </c>
      <c r="AE112" s="57">
        <v>34</v>
      </c>
      <c r="AF112" s="57">
        <v>34</v>
      </c>
      <c r="AG112" s="57">
        <v>34</v>
      </c>
      <c r="AH112" s="347"/>
      <c r="AI112" s="347"/>
      <c r="AJ112" s="347"/>
      <c r="AK112" s="347"/>
      <c r="AL112" s="347"/>
      <c r="AM112" s="347"/>
      <c r="AN112" s="347"/>
      <c r="AO112" s="347"/>
      <c r="AP112" s="347"/>
      <c r="AQ112" s="347"/>
      <c r="AR112" s="347"/>
      <c r="AS112" s="347"/>
      <c r="AT112" s="347"/>
      <c r="AU112" s="347"/>
      <c r="AV112" s="347"/>
      <c r="AW112" s="347"/>
      <c r="AX112" s="347"/>
      <c r="AY112" s="347"/>
      <c r="AZ112" s="347"/>
      <c r="BA112" s="347"/>
      <c r="BB112" s="347"/>
      <c r="BC112" s="347"/>
      <c r="BD112" s="347"/>
      <c r="BE112" s="347"/>
      <c r="BF112" s="347"/>
      <c r="BG112" s="347"/>
      <c r="BH112" s="347"/>
      <c r="BI112" s="347"/>
      <c r="BJ112" s="347"/>
      <c r="BK112" s="347"/>
      <c r="BL112" s="347"/>
      <c r="BM112" s="347"/>
      <c r="BN112" s="347"/>
      <c r="BO112" s="347"/>
      <c r="BP112" s="347"/>
      <c r="BQ112" s="347"/>
    </row>
    <row r="113" spans="1:69">
      <c r="A113" s="347"/>
      <c r="B113" s="350">
        <v>0.75</v>
      </c>
      <c r="C113" s="137">
        <v>21</v>
      </c>
      <c r="D113" s="136">
        <v>24</v>
      </c>
      <c r="E113" s="80">
        <v>22</v>
      </c>
      <c r="F113" s="135">
        <v>27</v>
      </c>
      <c r="G113" s="13">
        <v>12</v>
      </c>
      <c r="H113" s="56">
        <v>14</v>
      </c>
      <c r="I113" s="14">
        <v>13</v>
      </c>
      <c r="J113" s="120">
        <v>23</v>
      </c>
      <c r="K113" s="149">
        <v>20</v>
      </c>
      <c r="L113" s="80">
        <v>22</v>
      </c>
      <c r="M113" s="136">
        <v>24</v>
      </c>
      <c r="N113" s="137">
        <v>21</v>
      </c>
      <c r="O113" s="56">
        <v>14</v>
      </c>
      <c r="P113" s="56">
        <v>14</v>
      </c>
      <c r="Q113" s="80">
        <v>22</v>
      </c>
      <c r="R113" s="81">
        <v>26</v>
      </c>
      <c r="S113" s="136">
        <v>24</v>
      </c>
      <c r="T113" s="120">
        <v>23</v>
      </c>
      <c r="U113" s="137">
        <v>21</v>
      </c>
      <c r="V113" s="72">
        <v>17</v>
      </c>
      <c r="W113" s="14">
        <v>13</v>
      </c>
      <c r="X113" s="80">
        <v>22</v>
      </c>
      <c r="Y113" s="81">
        <v>26</v>
      </c>
      <c r="Z113" s="120">
        <v>23</v>
      </c>
      <c r="AA113" s="137">
        <v>21</v>
      </c>
      <c r="AB113" s="135">
        <v>27</v>
      </c>
      <c r="AC113" s="150">
        <v>15</v>
      </c>
      <c r="AD113" s="14">
        <v>13</v>
      </c>
      <c r="AE113" s="135">
        <v>27</v>
      </c>
      <c r="AF113" s="135">
        <v>27</v>
      </c>
      <c r="AG113" s="135">
        <v>27</v>
      </c>
      <c r="AH113" s="353"/>
      <c r="AI113" s="347"/>
      <c r="AJ113" s="347"/>
      <c r="AK113" s="347"/>
      <c r="AL113" s="347"/>
      <c r="AM113" s="347"/>
      <c r="AN113" s="347"/>
      <c r="AO113" s="347"/>
      <c r="AP113" s="347"/>
      <c r="AQ113" s="347"/>
      <c r="AR113" s="347"/>
      <c r="AS113" s="347"/>
      <c r="AT113" s="347"/>
      <c r="AU113" s="347"/>
      <c r="AV113" s="347"/>
      <c r="AW113" s="347"/>
      <c r="AX113" s="347"/>
      <c r="AY113" s="347"/>
      <c r="AZ113" s="347"/>
      <c r="BA113" s="347"/>
      <c r="BB113" s="347"/>
      <c r="BC113" s="347"/>
      <c r="BD113" s="347"/>
      <c r="BE113" s="347"/>
      <c r="BF113" s="347"/>
      <c r="BG113" s="347"/>
      <c r="BH113" s="347"/>
      <c r="BI113" s="347"/>
      <c r="BJ113" s="347"/>
      <c r="BK113" s="347"/>
      <c r="BL113" s="347"/>
      <c r="BM113" s="347"/>
      <c r="BN113" s="347"/>
      <c r="BO113" s="347"/>
      <c r="BP113" s="347"/>
      <c r="BQ113" s="347"/>
    </row>
    <row r="114" spans="1:69">
      <c r="A114" s="347"/>
      <c r="B114" s="350">
        <v>0.79166666666666663</v>
      </c>
      <c r="C114" s="137">
        <v>21</v>
      </c>
      <c r="D114" s="137">
        <v>21</v>
      </c>
      <c r="E114" s="149">
        <v>20</v>
      </c>
      <c r="F114" s="120">
        <v>23</v>
      </c>
      <c r="G114" s="94">
        <v>11</v>
      </c>
      <c r="H114" s="13">
        <v>12</v>
      </c>
      <c r="I114" s="14">
        <v>13</v>
      </c>
      <c r="J114" s="120">
        <v>23</v>
      </c>
      <c r="K114" s="149">
        <v>20</v>
      </c>
      <c r="L114" s="149">
        <v>20</v>
      </c>
      <c r="M114" s="137">
        <v>21</v>
      </c>
      <c r="N114" s="144">
        <v>19</v>
      </c>
      <c r="O114" s="13">
        <v>12</v>
      </c>
      <c r="P114" s="56">
        <v>14</v>
      </c>
      <c r="Q114" s="80">
        <v>22</v>
      </c>
      <c r="R114" s="80">
        <v>22</v>
      </c>
      <c r="S114" s="137">
        <v>21</v>
      </c>
      <c r="T114" s="80">
        <v>22</v>
      </c>
      <c r="U114" s="144">
        <v>19</v>
      </c>
      <c r="V114" s="56">
        <v>14</v>
      </c>
      <c r="W114" s="56">
        <v>14</v>
      </c>
      <c r="X114" s="80">
        <v>22</v>
      </c>
      <c r="Y114" s="80">
        <v>22</v>
      </c>
      <c r="Z114" s="137">
        <v>21</v>
      </c>
      <c r="AA114" s="137">
        <v>21</v>
      </c>
      <c r="AB114" s="144">
        <v>19</v>
      </c>
      <c r="AC114" s="14">
        <v>13</v>
      </c>
      <c r="AD114" s="94">
        <v>11</v>
      </c>
      <c r="AE114" s="144">
        <v>19</v>
      </c>
      <c r="AF114" s="144">
        <v>19</v>
      </c>
      <c r="AG114" s="144">
        <v>19</v>
      </c>
      <c r="AH114" s="353"/>
      <c r="AI114" s="347"/>
      <c r="AJ114" s="347"/>
      <c r="AK114" s="347"/>
      <c r="AL114" s="347"/>
      <c r="AM114" s="347"/>
      <c r="AN114" s="347"/>
      <c r="AO114" s="347"/>
      <c r="AP114" s="347"/>
      <c r="AQ114" s="347"/>
      <c r="AR114" s="347"/>
      <c r="AS114" s="347"/>
      <c r="AT114" s="347"/>
      <c r="AU114" s="347"/>
      <c r="AV114" s="347"/>
      <c r="AW114" s="347"/>
      <c r="AX114" s="347"/>
      <c r="AY114" s="347"/>
      <c r="AZ114" s="347"/>
      <c r="BA114" s="347"/>
      <c r="BB114" s="347"/>
      <c r="BC114" s="347"/>
      <c r="BD114" s="347"/>
      <c r="BE114" s="347"/>
      <c r="BF114" s="347"/>
      <c r="BG114" s="347"/>
      <c r="BH114" s="347"/>
      <c r="BI114" s="347"/>
      <c r="BJ114" s="347"/>
      <c r="BK114" s="347"/>
      <c r="BL114" s="347"/>
      <c r="BM114" s="347"/>
      <c r="BN114" s="347"/>
      <c r="BO114" s="347"/>
      <c r="BP114" s="347"/>
      <c r="BQ114" s="347"/>
    </row>
    <row r="115" spans="1:69">
      <c r="A115" s="347"/>
      <c r="B115" s="350">
        <v>0.83333333333333337</v>
      </c>
      <c r="C115" s="72">
        <v>17</v>
      </c>
      <c r="D115" s="108">
        <v>16</v>
      </c>
      <c r="E115" s="108">
        <v>16</v>
      </c>
      <c r="F115" s="150">
        <v>15</v>
      </c>
      <c r="G115" s="94">
        <v>11</v>
      </c>
      <c r="H115" s="13">
        <v>12</v>
      </c>
      <c r="I115" s="13">
        <v>12</v>
      </c>
      <c r="J115" s="144">
        <v>19</v>
      </c>
      <c r="K115" s="108">
        <v>16</v>
      </c>
      <c r="L115" s="108">
        <v>16</v>
      </c>
      <c r="M115" s="72">
        <v>17</v>
      </c>
      <c r="N115" s="108">
        <v>16</v>
      </c>
      <c r="O115" s="13">
        <v>12</v>
      </c>
      <c r="P115" s="13">
        <v>12</v>
      </c>
      <c r="Q115" s="83">
        <v>18</v>
      </c>
      <c r="R115" s="72">
        <v>17</v>
      </c>
      <c r="S115" s="108">
        <v>16</v>
      </c>
      <c r="T115" s="149">
        <v>20</v>
      </c>
      <c r="U115" s="83">
        <v>18</v>
      </c>
      <c r="V115" s="13">
        <v>12</v>
      </c>
      <c r="W115" s="13">
        <v>12</v>
      </c>
      <c r="X115" s="83">
        <v>18</v>
      </c>
      <c r="Y115" s="72">
        <v>17</v>
      </c>
      <c r="Z115" s="72">
        <v>17</v>
      </c>
      <c r="AA115" s="72">
        <v>17</v>
      </c>
      <c r="AB115" s="94">
        <v>11</v>
      </c>
      <c r="AC115" s="14">
        <v>13</v>
      </c>
      <c r="AD115" s="94">
        <v>11</v>
      </c>
      <c r="AE115" s="94">
        <v>11</v>
      </c>
      <c r="AF115" s="94">
        <v>11</v>
      </c>
      <c r="AG115" s="94">
        <v>11</v>
      </c>
      <c r="AH115" s="353"/>
      <c r="AI115" s="347"/>
      <c r="AJ115" s="347"/>
      <c r="AK115" s="347"/>
      <c r="AL115" s="347"/>
      <c r="AM115" s="347"/>
      <c r="AN115" s="347"/>
      <c r="AO115" s="347"/>
      <c r="AP115" s="347"/>
      <c r="AQ115" s="347"/>
      <c r="AR115" s="347"/>
      <c r="AS115" s="347"/>
      <c r="AT115" s="347"/>
      <c r="AU115" s="347"/>
      <c r="AV115" s="347"/>
      <c r="AW115" s="347"/>
      <c r="AX115" s="347"/>
      <c r="AY115" s="347"/>
      <c r="AZ115" s="347"/>
      <c r="BA115" s="347"/>
      <c r="BB115" s="347"/>
      <c r="BC115" s="347"/>
      <c r="BD115" s="347"/>
      <c r="BE115" s="347"/>
      <c r="BF115" s="347"/>
      <c r="BG115" s="347"/>
      <c r="BH115" s="347"/>
      <c r="BI115" s="347"/>
      <c r="BJ115" s="347"/>
      <c r="BK115" s="347"/>
      <c r="BL115" s="347"/>
      <c r="BM115" s="347"/>
      <c r="BN115" s="347"/>
      <c r="BO115" s="347"/>
      <c r="BP115" s="347"/>
      <c r="BQ115" s="347"/>
    </row>
    <row r="116" spans="1:69">
      <c r="A116" s="347"/>
      <c r="B116" s="350">
        <v>0.875</v>
      </c>
      <c r="C116" s="246">
        <v>10</v>
      </c>
      <c r="D116" s="246">
        <v>10</v>
      </c>
      <c r="E116" s="94">
        <v>11</v>
      </c>
      <c r="F116" s="13">
        <v>12</v>
      </c>
      <c r="G116" s="17">
        <v>8</v>
      </c>
      <c r="H116" s="225">
        <v>9</v>
      </c>
      <c r="I116" s="17">
        <v>8</v>
      </c>
      <c r="J116" s="14">
        <v>13</v>
      </c>
      <c r="K116" s="94">
        <v>11</v>
      </c>
      <c r="L116" s="94">
        <v>11</v>
      </c>
      <c r="M116" s="13">
        <v>12</v>
      </c>
      <c r="N116" s="246">
        <v>10</v>
      </c>
      <c r="O116" s="225">
        <v>9</v>
      </c>
      <c r="P116" s="17">
        <v>8</v>
      </c>
      <c r="Q116" s="94">
        <v>11</v>
      </c>
      <c r="R116" s="94">
        <v>11</v>
      </c>
      <c r="S116" s="94">
        <v>11</v>
      </c>
      <c r="T116" s="13">
        <v>12</v>
      </c>
      <c r="U116" s="246">
        <v>10</v>
      </c>
      <c r="V116" s="225">
        <v>9</v>
      </c>
      <c r="W116" s="17">
        <v>8</v>
      </c>
      <c r="X116" s="94">
        <v>11</v>
      </c>
      <c r="Y116" s="94">
        <v>11</v>
      </c>
      <c r="Z116" s="94">
        <v>11</v>
      </c>
      <c r="AA116" s="246">
        <v>10</v>
      </c>
      <c r="AB116" s="17">
        <v>8</v>
      </c>
      <c r="AC116" s="246">
        <v>10</v>
      </c>
      <c r="AD116" s="17">
        <v>8</v>
      </c>
      <c r="AE116" s="17">
        <v>8</v>
      </c>
      <c r="AF116" s="17">
        <v>8</v>
      </c>
      <c r="AG116" s="17">
        <v>8</v>
      </c>
      <c r="AH116" s="353"/>
      <c r="AI116" s="347"/>
      <c r="AJ116" s="347"/>
      <c r="AK116" s="347"/>
      <c r="AL116" s="347"/>
      <c r="AM116" s="347"/>
      <c r="AN116" s="347"/>
      <c r="AO116" s="347"/>
      <c r="AP116" s="347"/>
      <c r="AQ116" s="347"/>
      <c r="AR116" s="347"/>
      <c r="AS116" s="347"/>
      <c r="AT116" s="347"/>
      <c r="AU116" s="347"/>
      <c r="AV116" s="347"/>
      <c r="AW116" s="347"/>
      <c r="AX116" s="347"/>
      <c r="AY116" s="347"/>
      <c r="AZ116" s="347"/>
      <c r="BA116" s="347"/>
      <c r="BB116" s="347"/>
      <c r="BC116" s="347"/>
      <c r="BD116" s="347"/>
      <c r="BE116" s="347"/>
      <c r="BF116" s="347"/>
      <c r="BG116" s="347"/>
      <c r="BH116" s="347"/>
      <c r="BI116" s="347"/>
      <c r="BJ116" s="347"/>
      <c r="BK116" s="347"/>
      <c r="BL116" s="347"/>
      <c r="BM116" s="347"/>
      <c r="BN116" s="347"/>
      <c r="BO116" s="347"/>
      <c r="BP116" s="347"/>
      <c r="BQ116" s="347"/>
    </row>
    <row r="117" spans="1:69">
      <c r="A117" s="347"/>
      <c r="B117" s="350">
        <v>0.91666666666666663</v>
      </c>
      <c r="C117" s="266">
        <v>6</v>
      </c>
      <c r="D117" s="266">
        <v>6</v>
      </c>
      <c r="E117" s="17">
        <v>8</v>
      </c>
      <c r="F117" s="245">
        <v>7</v>
      </c>
      <c r="G117" s="266">
        <v>6</v>
      </c>
      <c r="H117" s="266">
        <v>6</v>
      </c>
      <c r="I117" s="11">
        <v>5</v>
      </c>
      <c r="J117" s="245">
        <v>7</v>
      </c>
      <c r="K117" s="245">
        <v>7</v>
      </c>
      <c r="L117" s="245">
        <v>7</v>
      </c>
      <c r="M117" s="245">
        <v>7</v>
      </c>
      <c r="N117" s="245">
        <v>7</v>
      </c>
      <c r="O117" s="266">
        <v>6</v>
      </c>
      <c r="P117" s="11">
        <v>5</v>
      </c>
      <c r="Q117" s="245">
        <v>7</v>
      </c>
      <c r="R117" s="245">
        <v>7</v>
      </c>
      <c r="S117" s="245">
        <v>7</v>
      </c>
      <c r="T117" s="245">
        <v>7</v>
      </c>
      <c r="U117" s="245">
        <v>7</v>
      </c>
      <c r="V117" s="11">
        <v>5</v>
      </c>
      <c r="W117" s="11">
        <v>5</v>
      </c>
      <c r="X117" s="245">
        <v>7</v>
      </c>
      <c r="Y117" s="245">
        <v>7</v>
      </c>
      <c r="Z117" s="245">
        <v>7</v>
      </c>
      <c r="AA117" s="266">
        <v>6</v>
      </c>
      <c r="AB117" s="266">
        <v>6</v>
      </c>
      <c r="AC117" s="266">
        <v>6</v>
      </c>
      <c r="AD117" s="11">
        <v>5</v>
      </c>
      <c r="AE117" s="266">
        <v>6</v>
      </c>
      <c r="AF117" s="266">
        <v>6</v>
      </c>
      <c r="AG117" s="266">
        <v>6</v>
      </c>
      <c r="AH117" s="353"/>
      <c r="AI117" s="347"/>
      <c r="AJ117" s="347"/>
      <c r="AK117" s="347"/>
      <c r="AL117" s="347"/>
      <c r="AM117" s="347"/>
      <c r="AN117" s="347"/>
      <c r="AO117" s="347"/>
      <c r="AP117" s="347"/>
      <c r="AQ117" s="347"/>
      <c r="AR117" s="347"/>
      <c r="AS117" s="347"/>
      <c r="AT117" s="347"/>
      <c r="AU117" s="347"/>
      <c r="AV117" s="347"/>
      <c r="AW117" s="347"/>
      <c r="AX117" s="347"/>
      <c r="AY117" s="347"/>
      <c r="AZ117" s="347"/>
      <c r="BA117" s="347"/>
      <c r="BB117" s="347"/>
      <c r="BC117" s="347"/>
      <c r="BD117" s="347"/>
      <c r="BE117" s="347"/>
      <c r="BF117" s="347"/>
      <c r="BG117" s="347"/>
      <c r="BH117" s="347"/>
      <c r="BI117" s="347"/>
      <c r="BJ117" s="347"/>
      <c r="BK117" s="347"/>
      <c r="BL117" s="347"/>
      <c r="BM117" s="347"/>
      <c r="BN117" s="347"/>
      <c r="BO117" s="347"/>
      <c r="BP117" s="347"/>
      <c r="BQ117" s="347"/>
    </row>
    <row r="118" spans="1:69">
      <c r="A118" s="347"/>
      <c r="B118" s="350">
        <v>0.95833333333333337</v>
      </c>
      <c r="C118" s="93">
        <v>4</v>
      </c>
      <c r="D118" s="11">
        <v>5</v>
      </c>
      <c r="E118" s="266">
        <v>6</v>
      </c>
      <c r="F118" s="266">
        <v>6</v>
      </c>
      <c r="G118" s="93">
        <v>4</v>
      </c>
      <c r="H118" s="93">
        <v>4</v>
      </c>
      <c r="I118" s="11">
        <v>5</v>
      </c>
      <c r="J118" s="266">
        <v>6</v>
      </c>
      <c r="K118" s="266">
        <v>6</v>
      </c>
      <c r="L118" s="266">
        <v>6</v>
      </c>
      <c r="M118" s="11">
        <v>5</v>
      </c>
      <c r="N118" s="11">
        <v>5</v>
      </c>
      <c r="O118" s="11">
        <v>5</v>
      </c>
      <c r="P118" s="93">
        <v>4</v>
      </c>
      <c r="Q118" s="11">
        <v>5</v>
      </c>
      <c r="R118" s="11">
        <v>5</v>
      </c>
      <c r="S118" s="93">
        <v>4</v>
      </c>
      <c r="T118" s="11">
        <v>5</v>
      </c>
      <c r="U118" s="11">
        <v>5</v>
      </c>
      <c r="V118" s="11">
        <v>5</v>
      </c>
      <c r="W118" s="11">
        <v>5</v>
      </c>
      <c r="X118" s="11">
        <v>5</v>
      </c>
      <c r="Y118" s="11">
        <v>5</v>
      </c>
      <c r="Z118" s="11">
        <v>5</v>
      </c>
      <c r="AA118" s="93">
        <v>4</v>
      </c>
      <c r="AB118" s="93">
        <v>4</v>
      </c>
      <c r="AC118" s="93">
        <v>4</v>
      </c>
      <c r="AD118" s="93">
        <v>4</v>
      </c>
      <c r="AE118" s="93">
        <v>4</v>
      </c>
      <c r="AF118" s="93">
        <v>4</v>
      </c>
      <c r="AG118" s="12">
        <v>3</v>
      </c>
      <c r="AH118" s="353"/>
      <c r="AI118" s="347"/>
      <c r="AJ118" s="347"/>
      <c r="AK118" s="347"/>
      <c r="AL118" s="347"/>
      <c r="AM118" s="347"/>
      <c r="AN118" s="347"/>
      <c r="AO118" s="347"/>
      <c r="AP118" s="347"/>
      <c r="AQ118" s="347"/>
      <c r="AR118" s="347"/>
      <c r="AS118" s="347"/>
      <c r="AT118" s="347"/>
      <c r="AU118" s="347"/>
      <c r="AV118" s="347"/>
      <c r="AW118" s="347"/>
      <c r="AX118" s="347"/>
      <c r="AY118" s="347"/>
      <c r="AZ118" s="347"/>
      <c r="BA118" s="347"/>
      <c r="BB118" s="347"/>
      <c r="BC118" s="347"/>
      <c r="BD118" s="347"/>
      <c r="BE118" s="347"/>
      <c r="BF118" s="347"/>
      <c r="BG118" s="347"/>
      <c r="BH118" s="347"/>
      <c r="BI118" s="347"/>
      <c r="BJ118" s="347"/>
      <c r="BK118" s="347"/>
      <c r="BL118" s="347"/>
      <c r="BM118" s="347"/>
      <c r="BN118" s="347"/>
      <c r="BO118" s="347"/>
      <c r="BP118" s="347"/>
      <c r="BQ118" s="347"/>
    </row>
    <row r="119" spans="1:69">
      <c r="A119" s="347"/>
      <c r="B119" s="354" t="s">
        <v>771</v>
      </c>
      <c r="C119" s="354">
        <v>359</v>
      </c>
      <c r="D119" s="354">
        <v>363</v>
      </c>
      <c r="E119" s="354">
        <v>386</v>
      </c>
      <c r="F119" s="354">
        <v>389</v>
      </c>
      <c r="G119" s="354">
        <v>253</v>
      </c>
      <c r="H119" s="354">
        <v>274</v>
      </c>
      <c r="I119" s="354">
        <v>227</v>
      </c>
      <c r="J119" s="354">
        <v>398</v>
      </c>
      <c r="K119" s="354">
        <v>389</v>
      </c>
      <c r="L119" s="354">
        <v>385</v>
      </c>
      <c r="M119" s="354">
        <v>388</v>
      </c>
      <c r="N119" s="354">
        <v>359</v>
      </c>
      <c r="O119" s="354">
        <v>276</v>
      </c>
      <c r="P119" s="354">
        <v>232</v>
      </c>
      <c r="Q119" s="354">
        <v>392</v>
      </c>
      <c r="R119" s="354">
        <v>396</v>
      </c>
      <c r="S119" s="354">
        <v>390</v>
      </c>
      <c r="T119" s="354">
        <v>401</v>
      </c>
      <c r="U119" s="354">
        <v>364</v>
      </c>
      <c r="V119" s="354">
        <v>288</v>
      </c>
      <c r="W119" s="354">
        <v>237</v>
      </c>
      <c r="X119" s="354">
        <v>395</v>
      </c>
      <c r="Y119" s="354">
        <v>394</v>
      </c>
      <c r="Z119" s="354">
        <v>394</v>
      </c>
      <c r="AA119" s="354">
        <v>359</v>
      </c>
      <c r="AB119" s="354">
        <v>411</v>
      </c>
      <c r="AC119" s="354">
        <v>305</v>
      </c>
      <c r="AD119" s="354">
        <v>272</v>
      </c>
      <c r="AE119" s="354">
        <v>411</v>
      </c>
      <c r="AF119" s="354">
        <v>411</v>
      </c>
      <c r="AG119" s="354">
        <v>411</v>
      </c>
      <c r="AH119" s="356">
        <v>10.909000000000001</v>
      </c>
      <c r="AI119" s="347"/>
      <c r="AJ119" s="347"/>
      <c r="AK119" s="347"/>
      <c r="AL119" s="347"/>
      <c r="AM119" s="347"/>
      <c r="AN119" s="347"/>
      <c r="AO119" s="347"/>
      <c r="AP119" s="347"/>
      <c r="AQ119" s="347"/>
      <c r="AR119" s="347"/>
      <c r="AS119" s="347"/>
      <c r="AT119" s="347"/>
      <c r="AU119" s="347"/>
      <c r="AV119" s="347"/>
      <c r="AW119" s="347"/>
      <c r="AX119" s="347"/>
      <c r="AY119" s="347"/>
      <c r="AZ119" s="347"/>
      <c r="BA119" s="347"/>
      <c r="BB119" s="347"/>
      <c r="BC119" s="347"/>
      <c r="BD119" s="347"/>
      <c r="BE119" s="347"/>
      <c r="BF119" s="347"/>
      <c r="BG119" s="347"/>
      <c r="BH119" s="347"/>
      <c r="BI119" s="347"/>
      <c r="BJ119" s="347"/>
      <c r="BK119" s="347"/>
      <c r="BL119" s="347"/>
      <c r="BM119" s="347"/>
      <c r="BN119" s="347"/>
      <c r="BO119" s="347"/>
      <c r="BP119" s="347"/>
      <c r="BQ119" s="347"/>
    </row>
    <row r="120" spans="1:69">
      <c r="A120" s="347"/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347"/>
      <c r="AB120" s="347"/>
      <c r="AC120" s="347"/>
      <c r="AD120" s="347"/>
      <c r="AE120" s="347"/>
      <c r="AF120" s="347"/>
      <c r="AG120" s="347"/>
      <c r="AH120" s="347"/>
      <c r="AI120" s="347"/>
      <c r="AJ120" s="347"/>
      <c r="AK120" s="347"/>
      <c r="AL120" s="347"/>
      <c r="AM120" s="347"/>
      <c r="AN120" s="347"/>
      <c r="AO120" s="347"/>
      <c r="AP120" s="347"/>
      <c r="AQ120" s="347"/>
      <c r="AR120" s="347"/>
      <c r="AS120" s="347"/>
      <c r="AT120" s="347"/>
      <c r="AU120" s="347"/>
      <c r="AV120" s="347"/>
      <c r="AW120" s="347"/>
      <c r="AX120" s="347"/>
      <c r="AY120" s="347"/>
      <c r="AZ120" s="347"/>
      <c r="BA120" s="347"/>
      <c r="BB120" s="347"/>
      <c r="BC120" s="347"/>
      <c r="BD120" s="347"/>
      <c r="BE120" s="347"/>
      <c r="BF120" s="347"/>
      <c r="BG120" s="347"/>
      <c r="BH120" s="347"/>
      <c r="BI120" s="347"/>
      <c r="BJ120" s="347"/>
      <c r="BK120" s="347"/>
      <c r="BL120" s="347"/>
      <c r="BM120" s="347"/>
      <c r="BN120" s="347"/>
      <c r="BO120" s="347"/>
      <c r="BP120" s="347"/>
      <c r="BQ120" s="347"/>
    </row>
    <row r="121" spans="1:69">
      <c r="A121" s="347"/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347"/>
      <c r="AB121" s="347"/>
      <c r="AC121" s="347"/>
      <c r="AD121" s="347"/>
      <c r="AE121" s="347"/>
      <c r="AF121" s="347"/>
      <c r="AG121" s="347"/>
      <c r="AH121" s="347"/>
      <c r="AI121" s="347"/>
      <c r="AJ121" s="347"/>
      <c r="AK121" s="347"/>
      <c r="AL121" s="347"/>
      <c r="AM121" s="347"/>
      <c r="AN121" s="347"/>
      <c r="AO121" s="347"/>
      <c r="AP121" s="347"/>
      <c r="AQ121" s="347"/>
      <c r="AR121" s="347"/>
      <c r="AS121" s="347"/>
      <c r="AT121" s="347"/>
      <c r="AU121" s="347"/>
      <c r="AV121" s="347"/>
      <c r="AW121" s="347"/>
      <c r="AX121" s="347"/>
      <c r="AY121" s="347"/>
      <c r="AZ121" s="347"/>
      <c r="BA121" s="347"/>
      <c r="BB121" s="347"/>
      <c r="BC121" s="347"/>
      <c r="BD121" s="347"/>
      <c r="BE121" s="347"/>
      <c r="BF121" s="347"/>
      <c r="BG121" s="347"/>
      <c r="BH121" s="347"/>
      <c r="BI121" s="347"/>
      <c r="BJ121" s="347"/>
      <c r="BK121" s="347"/>
      <c r="BL121" s="347"/>
      <c r="BM121" s="347"/>
      <c r="BN121" s="347"/>
      <c r="BO121" s="347"/>
      <c r="BP121" s="347"/>
      <c r="BQ121" s="347"/>
    </row>
    <row r="122" spans="1:69">
      <c r="A122" s="347"/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347"/>
      <c r="AB122" s="347"/>
      <c r="AC122" s="347"/>
      <c r="AD122" s="347"/>
      <c r="AE122" s="347"/>
      <c r="AF122" s="347"/>
      <c r="AG122" s="347"/>
      <c r="AH122" s="347"/>
      <c r="AI122" s="347"/>
      <c r="AJ122" s="347"/>
      <c r="AK122" s="347"/>
      <c r="AL122" s="347"/>
      <c r="AM122" s="347"/>
      <c r="AN122" s="347"/>
      <c r="AO122" s="347"/>
      <c r="AP122" s="347"/>
      <c r="AQ122" s="347"/>
      <c r="AR122" s="347"/>
      <c r="AS122" s="347"/>
      <c r="AT122" s="347"/>
      <c r="AU122" s="347"/>
      <c r="AV122" s="347"/>
      <c r="AW122" s="347"/>
      <c r="AX122" s="347"/>
      <c r="AY122" s="347"/>
      <c r="AZ122" s="347"/>
      <c r="BA122" s="347"/>
      <c r="BB122" s="347"/>
      <c r="BC122" s="347"/>
      <c r="BD122" s="347"/>
      <c r="BE122" s="347"/>
      <c r="BF122" s="347"/>
      <c r="BG122" s="347"/>
      <c r="BH122" s="347"/>
      <c r="BI122" s="347"/>
      <c r="BJ122" s="347"/>
      <c r="BK122" s="347"/>
      <c r="BL122" s="347"/>
      <c r="BM122" s="347"/>
      <c r="BN122" s="347"/>
      <c r="BO122" s="347"/>
      <c r="BP122" s="347"/>
      <c r="BQ122" s="347"/>
    </row>
    <row r="123" spans="1:69">
      <c r="A123" s="347"/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347"/>
      <c r="AB123" s="347"/>
      <c r="AC123" s="347"/>
      <c r="AD123" s="347"/>
      <c r="AE123" s="347"/>
      <c r="AF123" s="347"/>
      <c r="AG123" s="347"/>
      <c r="AH123" s="347"/>
      <c r="AI123" s="347"/>
      <c r="AJ123" s="347"/>
      <c r="AK123" s="347"/>
      <c r="AL123" s="347"/>
      <c r="AM123" s="347"/>
      <c r="AN123" s="347"/>
      <c r="AO123" s="347"/>
      <c r="AP123" s="347"/>
      <c r="AQ123" s="347"/>
      <c r="AR123" s="347"/>
      <c r="AS123" s="347"/>
      <c r="AT123" s="347"/>
      <c r="AU123" s="347"/>
      <c r="AV123" s="347"/>
      <c r="AW123" s="347"/>
      <c r="AX123" s="347"/>
      <c r="AY123" s="347"/>
      <c r="AZ123" s="347"/>
      <c r="BA123" s="347"/>
      <c r="BB123" s="347"/>
      <c r="BC123" s="347"/>
      <c r="BD123" s="347"/>
      <c r="BE123" s="347"/>
      <c r="BF123" s="347"/>
      <c r="BG123" s="347"/>
      <c r="BH123" s="347"/>
      <c r="BI123" s="347"/>
      <c r="BJ123" s="347"/>
      <c r="BK123" s="347"/>
      <c r="BL123" s="347"/>
      <c r="BM123" s="347"/>
      <c r="BN123" s="347"/>
      <c r="BO123" s="347"/>
      <c r="BP123" s="347"/>
      <c r="BQ123" s="347"/>
    </row>
    <row r="124" spans="1:69">
      <c r="A124" s="347"/>
      <c r="B124" s="347"/>
      <c r="C124" s="347"/>
      <c r="D124" s="347"/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  <c r="AA124" s="347"/>
      <c r="AB124" s="347"/>
      <c r="AC124" s="347"/>
      <c r="AD124" s="347"/>
      <c r="AE124" s="347"/>
      <c r="AF124" s="347"/>
      <c r="AG124" s="347"/>
      <c r="AH124" s="347"/>
      <c r="AI124" s="347"/>
      <c r="AJ124" s="347"/>
      <c r="AK124" s="347"/>
      <c r="AL124" s="347"/>
      <c r="AM124" s="347"/>
      <c r="AN124" s="347"/>
      <c r="AO124" s="347"/>
      <c r="AP124" s="347"/>
      <c r="AQ124" s="347"/>
      <c r="AR124" s="347"/>
      <c r="AS124" s="347"/>
      <c r="AT124" s="347"/>
      <c r="AU124" s="347"/>
      <c r="AV124" s="347"/>
      <c r="AW124" s="347"/>
      <c r="AX124" s="347"/>
      <c r="AY124" s="347"/>
      <c r="AZ124" s="347"/>
      <c r="BA124" s="347"/>
      <c r="BB124" s="347"/>
      <c r="BC124" s="347"/>
      <c r="BD124" s="347"/>
      <c r="BE124" s="347"/>
      <c r="BF124" s="347"/>
      <c r="BG124" s="347"/>
      <c r="BH124" s="347"/>
      <c r="BI124" s="347"/>
      <c r="BJ124" s="347"/>
      <c r="BK124" s="347"/>
      <c r="BL124" s="347"/>
      <c r="BM124" s="347"/>
      <c r="BN124" s="347"/>
      <c r="BO124" s="347"/>
      <c r="BP124" s="347"/>
      <c r="BQ124" s="347"/>
    </row>
    <row r="125" spans="1:69">
      <c r="A125" s="347"/>
      <c r="B125" s="347"/>
      <c r="C125" s="347"/>
      <c r="D125" s="347"/>
      <c r="E125" s="347"/>
      <c r="F125" s="347"/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47"/>
      <c r="AU125" s="347"/>
      <c r="AV125" s="347"/>
      <c r="AW125" s="347"/>
      <c r="AX125" s="347"/>
      <c r="AY125" s="347"/>
      <c r="AZ125" s="347"/>
      <c r="BA125" s="347"/>
      <c r="BB125" s="347"/>
      <c r="BC125" s="347"/>
      <c r="BD125" s="347"/>
      <c r="BE125" s="347"/>
      <c r="BF125" s="347"/>
      <c r="BG125" s="347"/>
      <c r="BH125" s="347"/>
      <c r="BI125" s="347"/>
      <c r="BJ125" s="347"/>
      <c r="BK125" s="347"/>
      <c r="BL125" s="347"/>
      <c r="BM125" s="347"/>
      <c r="BN125" s="347"/>
      <c r="BO125" s="347"/>
      <c r="BP125" s="347"/>
      <c r="BQ125" s="347"/>
    </row>
    <row r="126" spans="1:69">
      <c r="A126" s="347"/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347"/>
      <c r="AB126" s="347"/>
      <c r="AC126" s="347"/>
      <c r="AD126" s="347"/>
      <c r="AE126" s="347"/>
      <c r="AF126" s="347"/>
      <c r="AG126" s="347"/>
      <c r="AH126" s="347"/>
      <c r="AI126" s="347"/>
      <c r="AJ126" s="347"/>
      <c r="AK126" s="347"/>
      <c r="AL126" s="347"/>
      <c r="AM126" s="347"/>
      <c r="AN126" s="347"/>
      <c r="AO126" s="347"/>
      <c r="AP126" s="347"/>
      <c r="AQ126" s="347"/>
      <c r="AR126" s="347"/>
      <c r="AS126" s="347"/>
      <c r="AT126" s="347"/>
      <c r="AU126" s="347"/>
      <c r="AV126" s="347"/>
      <c r="AW126" s="347"/>
      <c r="AX126" s="347"/>
      <c r="AY126" s="347"/>
      <c r="AZ126" s="347"/>
      <c r="BA126" s="347"/>
      <c r="BB126" s="347"/>
      <c r="BC126" s="347"/>
      <c r="BD126" s="347"/>
      <c r="BE126" s="347"/>
      <c r="BF126" s="347"/>
      <c r="BG126" s="347"/>
      <c r="BH126" s="347"/>
      <c r="BI126" s="347"/>
      <c r="BJ126" s="347"/>
      <c r="BK126" s="347"/>
      <c r="BL126" s="347"/>
      <c r="BM126" s="347"/>
      <c r="BN126" s="347"/>
      <c r="BO126" s="347"/>
      <c r="BP126" s="347"/>
      <c r="BQ126" s="347"/>
    </row>
    <row r="127" spans="1:69">
      <c r="A127" s="347"/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347"/>
      <c r="AB127" s="347"/>
      <c r="AC127" s="347"/>
      <c r="AD127" s="347"/>
      <c r="AE127" s="347"/>
      <c r="AF127" s="347"/>
      <c r="AG127" s="347"/>
      <c r="AH127" s="347"/>
      <c r="AI127" s="347"/>
      <c r="AJ127" s="347"/>
      <c r="AK127" s="347"/>
      <c r="AL127" s="347"/>
      <c r="AM127" s="347"/>
      <c r="AN127" s="347"/>
      <c r="AO127" s="347"/>
      <c r="AP127" s="347"/>
      <c r="AQ127" s="347"/>
      <c r="AR127" s="347"/>
      <c r="AS127" s="347"/>
      <c r="AT127" s="347"/>
      <c r="AU127" s="347"/>
      <c r="AV127" s="347"/>
      <c r="AW127" s="347"/>
      <c r="AX127" s="347"/>
      <c r="AY127" s="347"/>
      <c r="AZ127" s="347"/>
      <c r="BA127" s="347"/>
      <c r="BB127" s="347"/>
      <c r="BC127" s="347"/>
      <c r="BD127" s="347"/>
      <c r="BE127" s="347"/>
      <c r="BF127" s="347"/>
      <c r="BG127" s="347"/>
      <c r="BH127" s="347"/>
      <c r="BI127" s="347"/>
      <c r="BJ127" s="347"/>
      <c r="BK127" s="347"/>
      <c r="BL127" s="347"/>
      <c r="BM127" s="347"/>
      <c r="BN127" s="347"/>
      <c r="BO127" s="347"/>
      <c r="BP127" s="347"/>
      <c r="BQ127" s="347"/>
    </row>
    <row r="128" spans="1:69">
      <c r="A128" s="347"/>
      <c r="B128" s="347"/>
      <c r="C128" s="347"/>
      <c r="D128" s="347"/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  <c r="AA128" s="347"/>
      <c r="AB128" s="347"/>
      <c r="AC128" s="347"/>
      <c r="AD128" s="347"/>
      <c r="AE128" s="347"/>
      <c r="AF128" s="347"/>
      <c r="AG128" s="347"/>
      <c r="AH128" s="347"/>
      <c r="AI128" s="347"/>
      <c r="AJ128" s="347"/>
      <c r="AK128" s="347"/>
      <c r="AL128" s="347"/>
      <c r="AM128" s="347"/>
      <c r="AN128" s="347"/>
      <c r="AO128" s="347"/>
      <c r="AP128" s="347"/>
      <c r="AQ128" s="347"/>
      <c r="AR128" s="347"/>
      <c r="AS128" s="347"/>
      <c r="AT128" s="347"/>
      <c r="AU128" s="347"/>
      <c r="AV128" s="347"/>
      <c r="AW128" s="347"/>
      <c r="AX128" s="347"/>
      <c r="AY128" s="347"/>
      <c r="AZ128" s="347"/>
      <c r="BA128" s="347"/>
      <c r="BB128" s="347"/>
      <c r="BC128" s="347"/>
      <c r="BD128" s="347"/>
      <c r="BE128" s="347"/>
      <c r="BF128" s="347"/>
      <c r="BG128" s="347"/>
      <c r="BH128" s="347"/>
      <c r="BI128" s="347"/>
      <c r="BJ128" s="347"/>
      <c r="BK128" s="347"/>
      <c r="BL128" s="347"/>
      <c r="BM128" s="347"/>
      <c r="BN128" s="347"/>
      <c r="BO128" s="347"/>
      <c r="BP128" s="347"/>
      <c r="BQ128" s="347"/>
    </row>
  </sheetData>
  <mergeCells count="3">
    <mergeCell ref="B2:B3"/>
    <mergeCell ref="AJ2:AJ3"/>
    <mergeCell ref="B93:B9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S996"/>
  <sheetViews>
    <sheetView tabSelected="1" workbookViewId="0">
      <pane ySplit="2" topLeftCell="A3" activePane="bottomLeft" state="frozen"/>
      <selection activeCell="DJ38" sqref="DJ38"/>
      <selection pane="bottomLeft" activeCell="D11" sqref="D11"/>
    </sheetView>
  </sheetViews>
  <sheetFormatPr baseColWidth="10" defaultColWidth="14.42578125" defaultRowHeight="15" customHeight="1" outlineLevelCol="1"/>
  <cols>
    <col min="2" max="2" width="42" customWidth="1"/>
    <col min="3" max="3" width="11.7109375" customWidth="1"/>
    <col min="4" max="4" width="10.7109375" customWidth="1"/>
    <col min="5" max="5" width="4.7109375" customWidth="1" outlineLevel="1"/>
    <col min="6" max="7" width="11.7109375" customWidth="1" outlineLevel="1"/>
    <col min="8" max="8" width="13.85546875" customWidth="1"/>
    <col min="10" max="10" width="13.140625" customWidth="1" outlineLevel="1"/>
  </cols>
  <sheetData>
    <row r="1" spans="1:19">
      <c r="Q1" s="421"/>
    </row>
    <row r="2" spans="1:19">
      <c r="A2" s="448"/>
      <c r="B2" s="455" t="s">
        <v>439</v>
      </c>
      <c r="C2" s="456" t="s">
        <v>800</v>
      </c>
      <c r="D2" s="456" t="s">
        <v>801</v>
      </c>
      <c r="E2" s="456" t="s">
        <v>802</v>
      </c>
      <c r="F2" s="456" t="s">
        <v>803</v>
      </c>
      <c r="G2" s="456" t="s">
        <v>35</v>
      </c>
      <c r="H2" s="456" t="s">
        <v>804</v>
      </c>
      <c r="I2" s="456" t="s">
        <v>805</v>
      </c>
      <c r="J2" s="456" t="s">
        <v>440</v>
      </c>
      <c r="K2" s="448"/>
      <c r="L2" s="448"/>
      <c r="M2" s="600" t="s">
        <v>806</v>
      </c>
      <c r="N2" s="593"/>
      <c r="O2" s="593"/>
      <c r="P2" s="593"/>
      <c r="Q2" s="594"/>
      <c r="R2" s="448"/>
      <c r="S2" s="448"/>
    </row>
    <row r="3" spans="1:19">
      <c r="B3" s="457" t="s">
        <v>807</v>
      </c>
      <c r="C3" s="458">
        <v>1728917731</v>
      </c>
      <c r="D3" s="459" t="s">
        <v>808</v>
      </c>
      <c r="E3" s="459" t="s">
        <v>809</v>
      </c>
      <c r="F3" s="459">
        <v>963754694</v>
      </c>
      <c r="G3" s="459">
        <v>988749626</v>
      </c>
      <c r="H3" s="459" t="s">
        <v>810</v>
      </c>
      <c r="I3" s="264" t="s">
        <v>811</v>
      </c>
      <c r="J3" s="459" t="s">
        <v>41</v>
      </c>
      <c r="M3" s="460" t="s">
        <v>440</v>
      </c>
      <c r="N3" s="460" t="s">
        <v>805</v>
      </c>
      <c r="O3" s="460" t="s">
        <v>812</v>
      </c>
      <c r="P3" s="460" t="s">
        <v>800</v>
      </c>
      <c r="Q3" s="460" t="s">
        <v>813</v>
      </c>
    </row>
    <row r="4" spans="1:19">
      <c r="B4" s="457" t="s">
        <v>814</v>
      </c>
      <c r="C4" s="461">
        <v>1716387681</v>
      </c>
      <c r="D4" s="462" t="s">
        <v>815</v>
      </c>
      <c r="E4" s="462" t="s">
        <v>809</v>
      </c>
      <c r="F4" s="462">
        <v>1877973132</v>
      </c>
      <c r="G4" s="462">
        <v>997776618</v>
      </c>
      <c r="H4" s="462" t="s">
        <v>816</v>
      </c>
      <c r="I4" s="462" t="s">
        <v>817</v>
      </c>
      <c r="J4" s="462" t="s">
        <v>41</v>
      </c>
      <c r="L4" s="463" t="s">
        <v>818</v>
      </c>
      <c r="M4" s="464" t="s">
        <v>819</v>
      </c>
      <c r="N4" s="465" t="s">
        <v>820</v>
      </c>
      <c r="O4" s="466">
        <v>930076</v>
      </c>
      <c r="P4" s="466"/>
      <c r="Q4" s="466" t="str">
        <f t="shared" ref="Q4:Q11" si="0">IFERROR(VLOOKUP(N4,$I:$J,2,0),"LIBRE")</f>
        <v>LIBRE</v>
      </c>
    </row>
    <row r="5" spans="1:19">
      <c r="B5" s="457" t="s">
        <v>821</v>
      </c>
      <c r="C5" s="461">
        <v>1754687471</v>
      </c>
      <c r="D5" s="462" t="s">
        <v>822</v>
      </c>
      <c r="E5" s="462" t="s">
        <v>809</v>
      </c>
      <c r="F5" s="462">
        <v>1447458016</v>
      </c>
      <c r="G5" s="462">
        <v>989088890</v>
      </c>
      <c r="H5" s="462" t="s">
        <v>816</v>
      </c>
      <c r="I5" s="462" t="s">
        <v>823</v>
      </c>
      <c r="J5" s="462" t="s">
        <v>41</v>
      </c>
      <c r="L5" s="463" t="s">
        <v>818</v>
      </c>
      <c r="M5" s="464" t="s">
        <v>819</v>
      </c>
      <c r="N5" s="465" t="s">
        <v>824</v>
      </c>
      <c r="O5" s="466">
        <v>930077</v>
      </c>
      <c r="P5" s="466"/>
      <c r="Q5" s="466" t="str">
        <f t="shared" si="0"/>
        <v>LIBRE</v>
      </c>
    </row>
    <row r="6" spans="1:19">
      <c r="B6" s="457" t="s">
        <v>161</v>
      </c>
      <c r="C6" s="458">
        <v>1720641453</v>
      </c>
      <c r="D6" s="459" t="s">
        <v>825</v>
      </c>
      <c r="E6" s="459" t="s">
        <v>809</v>
      </c>
      <c r="F6" s="459" t="s">
        <v>826</v>
      </c>
      <c r="G6" s="459">
        <v>993901115</v>
      </c>
      <c r="H6" s="459" t="s">
        <v>810</v>
      </c>
      <c r="I6" s="264" t="s">
        <v>827</v>
      </c>
      <c r="J6" s="459" t="s">
        <v>41</v>
      </c>
      <c r="L6" s="463" t="s">
        <v>818</v>
      </c>
      <c r="M6" s="464" t="s">
        <v>819</v>
      </c>
      <c r="N6" s="465" t="s">
        <v>828</v>
      </c>
      <c r="O6" s="466">
        <v>930078</v>
      </c>
      <c r="P6" s="466"/>
      <c r="Q6" s="466" t="str">
        <f t="shared" si="0"/>
        <v>LIBRE</v>
      </c>
    </row>
    <row r="7" spans="1:19">
      <c r="B7" s="457" t="s">
        <v>829</v>
      </c>
      <c r="C7" s="458">
        <v>1750305391</v>
      </c>
      <c r="D7" s="459" t="s">
        <v>830</v>
      </c>
      <c r="E7" s="459" t="s">
        <v>809</v>
      </c>
      <c r="F7" s="459">
        <v>903436940</v>
      </c>
      <c r="G7" s="459">
        <v>999460885</v>
      </c>
      <c r="H7" s="459" t="s">
        <v>810</v>
      </c>
      <c r="I7" s="264" t="s">
        <v>831</v>
      </c>
      <c r="J7" s="459" t="s">
        <v>41</v>
      </c>
      <c r="L7" s="463" t="s">
        <v>818</v>
      </c>
      <c r="M7" s="464" t="s">
        <v>819</v>
      </c>
      <c r="N7" s="465" t="s">
        <v>832</v>
      </c>
      <c r="O7" s="466">
        <v>930079</v>
      </c>
      <c r="P7" s="466"/>
      <c r="Q7" s="466" t="str">
        <f t="shared" si="0"/>
        <v>LIBRE</v>
      </c>
    </row>
    <row r="8" spans="1:19">
      <c r="B8" s="457" t="s">
        <v>73</v>
      </c>
      <c r="C8" s="467"/>
      <c r="D8" s="459" t="s">
        <v>72</v>
      </c>
      <c r="E8" s="459" t="s">
        <v>809</v>
      </c>
      <c r="F8" s="459">
        <v>1043617202</v>
      </c>
      <c r="G8" s="459">
        <v>989533877</v>
      </c>
      <c r="H8" s="264" t="s">
        <v>810</v>
      </c>
      <c r="I8" s="264" t="s">
        <v>833</v>
      </c>
      <c r="J8" s="264" t="s">
        <v>41</v>
      </c>
      <c r="L8" s="463" t="s">
        <v>818</v>
      </c>
      <c r="M8" s="464" t="s">
        <v>819</v>
      </c>
      <c r="N8" s="465" t="s">
        <v>817</v>
      </c>
      <c r="O8" s="466">
        <v>930080</v>
      </c>
      <c r="P8" s="466"/>
      <c r="Q8" s="466" t="str">
        <f t="shared" si="0"/>
        <v>UNIFICADA</v>
      </c>
    </row>
    <row r="9" spans="1:19">
      <c r="B9" s="457" t="s">
        <v>834</v>
      </c>
      <c r="C9" s="458">
        <v>1722312046</v>
      </c>
      <c r="D9" s="459" t="s">
        <v>835</v>
      </c>
      <c r="E9" s="459" t="s">
        <v>809</v>
      </c>
      <c r="F9" s="459">
        <v>1001193234</v>
      </c>
      <c r="G9" s="459">
        <v>939842534</v>
      </c>
      <c r="H9" s="264" t="s">
        <v>810</v>
      </c>
      <c r="I9" s="264" t="s">
        <v>836</v>
      </c>
      <c r="J9" s="264" t="s">
        <v>41</v>
      </c>
      <c r="L9" s="463" t="s">
        <v>818</v>
      </c>
      <c r="M9" s="464" t="s">
        <v>819</v>
      </c>
      <c r="N9" s="465" t="s">
        <v>823</v>
      </c>
      <c r="O9" s="466">
        <v>930081</v>
      </c>
      <c r="P9" s="466"/>
      <c r="Q9" s="466" t="str">
        <f t="shared" si="0"/>
        <v>UNIFICADA</v>
      </c>
    </row>
    <row r="10" spans="1:19">
      <c r="B10" s="457" t="s">
        <v>86</v>
      </c>
      <c r="C10" s="458">
        <v>1751681758</v>
      </c>
      <c r="D10" s="459" t="s">
        <v>85</v>
      </c>
      <c r="E10" s="459" t="s">
        <v>809</v>
      </c>
      <c r="F10" s="459">
        <v>1721738179</v>
      </c>
      <c r="G10" s="459">
        <v>988300181</v>
      </c>
      <c r="H10" s="264" t="s">
        <v>810</v>
      </c>
      <c r="I10" s="264" t="s">
        <v>837</v>
      </c>
      <c r="J10" s="264" t="s">
        <v>41</v>
      </c>
      <c r="L10" s="463" t="s">
        <v>818</v>
      </c>
      <c r="M10" s="464" t="s">
        <v>819</v>
      </c>
      <c r="N10" s="465" t="s">
        <v>838</v>
      </c>
      <c r="O10" s="466">
        <v>930082</v>
      </c>
      <c r="P10" s="466"/>
      <c r="Q10" s="466" t="str">
        <f t="shared" si="0"/>
        <v>LIBRE</v>
      </c>
    </row>
    <row r="11" spans="1:19">
      <c r="B11" s="457" t="s">
        <v>839</v>
      </c>
      <c r="C11" s="458">
        <v>1724603350</v>
      </c>
      <c r="D11" s="459" t="s">
        <v>840</v>
      </c>
      <c r="E11" s="459" t="s">
        <v>809</v>
      </c>
      <c r="F11" s="459">
        <v>1952971046</v>
      </c>
      <c r="G11" s="459">
        <v>983957255</v>
      </c>
      <c r="H11" s="264" t="s">
        <v>810</v>
      </c>
      <c r="I11" s="264" t="s">
        <v>841</v>
      </c>
      <c r="J11" s="264" t="s">
        <v>41</v>
      </c>
      <c r="L11" s="463" t="s">
        <v>818</v>
      </c>
      <c r="M11" s="464" t="s">
        <v>819</v>
      </c>
      <c r="N11" s="465" t="s">
        <v>842</v>
      </c>
      <c r="O11" s="466">
        <v>930083</v>
      </c>
      <c r="P11" s="466"/>
      <c r="Q11" s="466" t="str">
        <f t="shared" si="0"/>
        <v>LIBRE</v>
      </c>
    </row>
    <row r="12" spans="1:19">
      <c r="B12" s="457" t="s">
        <v>843</v>
      </c>
      <c r="C12" s="461">
        <v>1751681758</v>
      </c>
      <c r="D12" s="462" t="s">
        <v>844</v>
      </c>
      <c r="E12" s="462" t="s">
        <v>809</v>
      </c>
      <c r="F12" s="462">
        <v>1388069111</v>
      </c>
      <c r="G12" s="462">
        <v>968145818</v>
      </c>
      <c r="H12" s="139" t="s">
        <v>816</v>
      </c>
      <c r="I12" s="139"/>
      <c r="J12" s="139" t="s">
        <v>41</v>
      </c>
      <c r="L12" s="165" t="s">
        <v>809</v>
      </c>
      <c r="M12" s="165" t="s">
        <v>819</v>
      </c>
      <c r="N12" s="165" t="s">
        <v>833</v>
      </c>
      <c r="O12" s="165">
        <v>5299</v>
      </c>
      <c r="P12" s="165">
        <v>1760653871</v>
      </c>
      <c r="Q12" s="163" t="s">
        <v>845</v>
      </c>
    </row>
    <row r="13" spans="1:19">
      <c r="B13" s="468" t="s">
        <v>846</v>
      </c>
      <c r="C13" s="469"/>
      <c r="D13" s="264" t="s">
        <v>847</v>
      </c>
      <c r="E13" s="264" t="s">
        <v>809</v>
      </c>
      <c r="F13" s="264">
        <v>1277841383</v>
      </c>
      <c r="G13" s="264">
        <v>995412193</v>
      </c>
      <c r="H13" s="264" t="s">
        <v>810</v>
      </c>
      <c r="I13" s="264" t="s">
        <v>848</v>
      </c>
      <c r="J13" s="459" t="s">
        <v>41</v>
      </c>
      <c r="L13" s="165" t="s">
        <v>809</v>
      </c>
      <c r="M13" s="165" t="s">
        <v>819</v>
      </c>
      <c r="N13" s="165" t="s">
        <v>849</v>
      </c>
      <c r="O13" s="165">
        <v>5301</v>
      </c>
      <c r="P13" s="165">
        <v>1727496844</v>
      </c>
      <c r="Q13" s="163" t="s">
        <v>850</v>
      </c>
      <c r="R13" s="410"/>
      <c r="S13" s="410" t="s">
        <v>851</v>
      </c>
    </row>
    <row r="14" spans="1:19">
      <c r="B14" s="468" t="s">
        <v>852</v>
      </c>
      <c r="C14" s="469"/>
      <c r="D14" s="264" t="s">
        <v>853</v>
      </c>
      <c r="E14" s="264" t="s">
        <v>809</v>
      </c>
      <c r="F14" s="264">
        <v>1794393811</v>
      </c>
      <c r="G14" s="264">
        <v>998716731</v>
      </c>
      <c r="H14" s="264" t="s">
        <v>810</v>
      </c>
      <c r="I14" s="264" t="s">
        <v>854</v>
      </c>
      <c r="J14" s="459" t="s">
        <v>41</v>
      </c>
      <c r="L14" s="165" t="s">
        <v>809</v>
      </c>
      <c r="M14" s="165" t="s">
        <v>819</v>
      </c>
      <c r="N14" s="165" t="s">
        <v>855</v>
      </c>
      <c r="O14" s="165">
        <v>5302</v>
      </c>
      <c r="P14" s="165">
        <v>1714423439</v>
      </c>
      <c r="Q14" s="163" t="s">
        <v>856</v>
      </c>
    </row>
    <row r="15" spans="1:19">
      <c r="B15" s="470" t="s">
        <v>857</v>
      </c>
      <c r="C15" s="471"/>
      <c r="D15" s="264" t="s">
        <v>858</v>
      </c>
      <c r="E15" s="264" t="s">
        <v>809</v>
      </c>
      <c r="F15" s="471">
        <v>1571605199</v>
      </c>
      <c r="G15" s="471">
        <v>988072450</v>
      </c>
      <c r="H15" s="264" t="s">
        <v>810</v>
      </c>
      <c r="I15" s="264" t="s">
        <v>859</v>
      </c>
      <c r="J15" s="459" t="s">
        <v>41</v>
      </c>
      <c r="L15" s="165" t="s">
        <v>809</v>
      </c>
      <c r="M15" s="165" t="s">
        <v>819</v>
      </c>
      <c r="N15" s="165" t="s">
        <v>859</v>
      </c>
      <c r="O15" s="165">
        <v>5304</v>
      </c>
      <c r="P15" s="165">
        <v>1750458075</v>
      </c>
      <c r="Q15" s="163" t="s">
        <v>860</v>
      </c>
    </row>
    <row r="16" spans="1:19">
      <c r="B16" s="472" t="s">
        <v>861</v>
      </c>
      <c r="C16" s="139">
        <v>1723125223</v>
      </c>
      <c r="D16" s="139" t="s">
        <v>862</v>
      </c>
      <c r="E16" s="139" t="s">
        <v>809</v>
      </c>
      <c r="F16" s="139">
        <v>1304487701</v>
      </c>
      <c r="G16" s="139">
        <v>983835748</v>
      </c>
      <c r="H16" s="139" t="s">
        <v>816</v>
      </c>
      <c r="I16" s="139" t="s">
        <v>863</v>
      </c>
      <c r="J16" s="462" t="s">
        <v>41</v>
      </c>
      <c r="L16" s="165" t="s">
        <v>809</v>
      </c>
      <c r="M16" s="165" t="s">
        <v>819</v>
      </c>
      <c r="N16" s="165" t="s">
        <v>864</v>
      </c>
      <c r="O16" s="165">
        <v>5306</v>
      </c>
      <c r="P16" s="165">
        <v>1751152289</v>
      </c>
      <c r="Q16" s="163" t="s">
        <v>865</v>
      </c>
    </row>
    <row r="17" spans="2:19">
      <c r="B17" s="473" t="s">
        <v>866</v>
      </c>
      <c r="C17" s="458">
        <v>1728917731</v>
      </c>
      <c r="D17" s="471" t="s">
        <v>867</v>
      </c>
      <c r="E17" s="264" t="s">
        <v>809</v>
      </c>
      <c r="F17" s="471">
        <v>1318757033</v>
      </c>
      <c r="G17" s="471">
        <v>961184025</v>
      </c>
      <c r="H17" s="264" t="s">
        <v>810</v>
      </c>
      <c r="I17" s="139" t="s">
        <v>868</v>
      </c>
      <c r="J17" s="264" t="s">
        <v>41</v>
      </c>
      <c r="L17" s="471" t="s">
        <v>809</v>
      </c>
      <c r="M17" s="471" t="s">
        <v>819</v>
      </c>
      <c r="N17" s="471" t="s">
        <v>854</v>
      </c>
      <c r="O17" s="471">
        <v>5307</v>
      </c>
      <c r="P17" s="471">
        <v>1728990050</v>
      </c>
      <c r="Q17" s="458" t="s">
        <v>869</v>
      </c>
    </row>
    <row r="18" spans="2:19">
      <c r="L18" s="165" t="s">
        <v>809</v>
      </c>
      <c r="M18" s="165" t="s">
        <v>819</v>
      </c>
      <c r="N18" s="165" t="s">
        <v>870</v>
      </c>
      <c r="O18" s="165">
        <v>5308</v>
      </c>
      <c r="P18" s="165">
        <v>1720314713</v>
      </c>
      <c r="Q18" s="163" t="s">
        <v>871</v>
      </c>
    </row>
    <row r="19" spans="2:19">
      <c r="B19" s="474"/>
      <c r="C19" s="475"/>
      <c r="D19" s="476"/>
      <c r="E19" s="476"/>
      <c r="F19" s="476"/>
      <c r="G19" s="476"/>
      <c r="H19" s="476"/>
      <c r="I19" s="476"/>
      <c r="J19" s="476"/>
      <c r="L19" s="165" t="s">
        <v>872</v>
      </c>
      <c r="M19" s="165" t="s">
        <v>819</v>
      </c>
      <c r="N19" s="477" t="s">
        <v>873</v>
      </c>
      <c r="O19" s="165">
        <v>930110</v>
      </c>
      <c r="P19" s="165">
        <v>963198320</v>
      </c>
      <c r="Q19" s="163" t="s">
        <v>874</v>
      </c>
      <c r="R19" s="410"/>
      <c r="S19" s="410">
        <v>15</v>
      </c>
    </row>
    <row r="20" spans="2:19">
      <c r="B20" s="457" t="s">
        <v>814</v>
      </c>
      <c r="C20" s="461">
        <v>1716387681</v>
      </c>
      <c r="D20" s="462" t="s">
        <v>815</v>
      </c>
      <c r="E20" s="462" t="s">
        <v>809</v>
      </c>
      <c r="F20" s="462">
        <v>1877973132</v>
      </c>
      <c r="G20" s="462">
        <v>997776618</v>
      </c>
      <c r="H20" s="462" t="s">
        <v>816</v>
      </c>
      <c r="I20" s="462" t="s">
        <v>817</v>
      </c>
      <c r="J20" s="462" t="s">
        <v>41</v>
      </c>
      <c r="L20" s="165" t="s">
        <v>872</v>
      </c>
      <c r="M20" s="165" t="s">
        <v>819</v>
      </c>
      <c r="N20" s="165" t="s">
        <v>875</v>
      </c>
      <c r="O20" s="165">
        <v>930111</v>
      </c>
      <c r="P20" s="165">
        <v>1716387681</v>
      </c>
      <c r="Q20" s="163" t="s">
        <v>876</v>
      </c>
      <c r="R20" s="410"/>
      <c r="S20" s="410">
        <v>14</v>
      </c>
    </row>
    <row r="21" spans="2:19">
      <c r="B21" s="457" t="s">
        <v>821</v>
      </c>
      <c r="C21" s="461">
        <v>1754687471</v>
      </c>
      <c r="D21" s="462" t="s">
        <v>822</v>
      </c>
      <c r="E21" s="462" t="s">
        <v>809</v>
      </c>
      <c r="F21" s="462">
        <v>1447458016</v>
      </c>
      <c r="G21" s="462">
        <v>989088890</v>
      </c>
      <c r="H21" s="462" t="s">
        <v>816</v>
      </c>
      <c r="I21" s="462" t="s">
        <v>823</v>
      </c>
      <c r="J21" s="462" t="s">
        <v>41</v>
      </c>
      <c r="L21" s="165" t="s">
        <v>872</v>
      </c>
      <c r="M21" s="165" t="s">
        <v>819</v>
      </c>
      <c r="N21" s="165" t="s">
        <v>877</v>
      </c>
      <c r="O21" s="165">
        <v>930112</v>
      </c>
      <c r="P21" s="165" t="s">
        <v>878</v>
      </c>
      <c r="Q21" s="163" t="s">
        <v>879</v>
      </c>
      <c r="R21" s="410"/>
      <c r="S21" s="410">
        <v>13</v>
      </c>
    </row>
    <row r="22" spans="2:19">
      <c r="B22" s="474"/>
      <c r="C22" s="475"/>
      <c r="D22" s="476"/>
      <c r="E22" s="476"/>
      <c r="F22" s="476"/>
      <c r="G22" s="476"/>
      <c r="H22" s="476"/>
      <c r="I22" s="476"/>
      <c r="J22" s="476"/>
      <c r="L22" s="165" t="s">
        <v>872</v>
      </c>
      <c r="M22" s="165" t="s">
        <v>819</v>
      </c>
      <c r="N22" s="165" t="s">
        <v>880</v>
      </c>
      <c r="O22" s="165">
        <v>930114</v>
      </c>
      <c r="P22" s="165">
        <v>1722312046</v>
      </c>
      <c r="Q22" s="163" t="s">
        <v>881</v>
      </c>
      <c r="R22" s="410"/>
      <c r="S22" s="410">
        <v>12</v>
      </c>
    </row>
    <row r="23" spans="2:19">
      <c r="B23" s="478"/>
      <c r="C23" s="410"/>
      <c r="D23" s="152"/>
      <c r="E23" s="476"/>
      <c r="F23" s="410"/>
      <c r="G23" s="410"/>
      <c r="H23" s="476"/>
      <c r="J23" s="476"/>
      <c r="L23" s="477" t="s">
        <v>872</v>
      </c>
      <c r="M23" s="477" t="s">
        <v>819</v>
      </c>
      <c r="N23" s="165" t="s">
        <v>811</v>
      </c>
      <c r="O23" s="477">
        <v>930118</v>
      </c>
      <c r="P23" s="477">
        <v>1728917731</v>
      </c>
      <c r="Q23" s="479" t="s">
        <v>882</v>
      </c>
      <c r="S23" s="410">
        <v>11</v>
      </c>
    </row>
    <row r="24" spans="2:19">
      <c r="L24" s="165" t="s">
        <v>872</v>
      </c>
      <c r="M24" s="165" t="s">
        <v>819</v>
      </c>
      <c r="N24" s="165" t="s">
        <v>868</v>
      </c>
      <c r="O24" s="165">
        <v>930115</v>
      </c>
      <c r="P24" s="165">
        <v>1713706412</v>
      </c>
      <c r="Q24" s="163" t="s">
        <v>883</v>
      </c>
      <c r="S24" s="410">
        <v>10</v>
      </c>
    </row>
    <row r="25" spans="2:19">
      <c r="L25" s="165" t="s">
        <v>872</v>
      </c>
      <c r="M25" s="165" t="s">
        <v>819</v>
      </c>
      <c r="N25" s="477" t="s">
        <v>841</v>
      </c>
      <c r="O25" s="165">
        <v>930116</v>
      </c>
      <c r="P25" s="165">
        <v>1724603350</v>
      </c>
      <c r="Q25" s="163" t="s">
        <v>884</v>
      </c>
      <c r="R25" s="410"/>
      <c r="S25" s="410">
        <v>9</v>
      </c>
    </row>
    <row r="26" spans="2:19">
      <c r="L26" s="165" t="s">
        <v>872</v>
      </c>
      <c r="M26" s="165" t="s">
        <v>819</v>
      </c>
      <c r="N26" s="165" t="s">
        <v>837</v>
      </c>
      <c r="O26" s="165">
        <v>930117</v>
      </c>
      <c r="P26" s="165">
        <v>1751681758</v>
      </c>
      <c r="Q26" s="163" t="s">
        <v>885</v>
      </c>
      <c r="R26" s="410"/>
      <c r="S26" s="410">
        <v>8</v>
      </c>
    </row>
    <row r="27" spans="2:19">
      <c r="L27" s="165" t="s">
        <v>872</v>
      </c>
      <c r="M27" s="165" t="s">
        <v>819</v>
      </c>
      <c r="N27" s="165" t="s">
        <v>863</v>
      </c>
      <c r="O27" s="165">
        <v>930113</v>
      </c>
      <c r="P27" s="165">
        <v>1722585781</v>
      </c>
      <c r="Q27" s="163" t="s">
        <v>886</v>
      </c>
      <c r="R27" s="410"/>
      <c r="S27" s="410">
        <v>2</v>
      </c>
    </row>
    <row r="28" spans="2:19">
      <c r="L28" s="165" t="s">
        <v>872</v>
      </c>
      <c r="M28" s="165" t="s">
        <v>819</v>
      </c>
      <c r="N28" s="165" t="s">
        <v>836</v>
      </c>
      <c r="O28" s="165">
        <v>930120</v>
      </c>
      <c r="P28" s="165">
        <v>1751570068</v>
      </c>
      <c r="Q28" s="163" t="s">
        <v>887</v>
      </c>
      <c r="S28" s="410">
        <v>3</v>
      </c>
    </row>
    <row r="29" spans="2:19">
      <c r="B29" s="480" t="s">
        <v>439</v>
      </c>
      <c r="C29" s="481" t="s">
        <v>800</v>
      </c>
      <c r="D29" s="481" t="s">
        <v>801</v>
      </c>
      <c r="E29" s="481" t="s">
        <v>802</v>
      </c>
      <c r="F29" s="481" t="s">
        <v>803</v>
      </c>
      <c r="G29" s="481" t="s">
        <v>35</v>
      </c>
      <c r="H29" s="481" t="s">
        <v>804</v>
      </c>
      <c r="I29" s="481" t="s">
        <v>805</v>
      </c>
      <c r="J29" s="481" t="s">
        <v>440</v>
      </c>
      <c r="L29" s="477" t="s">
        <v>872</v>
      </c>
      <c r="M29" s="477" t="s">
        <v>819</v>
      </c>
      <c r="N29" s="477" t="s">
        <v>827</v>
      </c>
      <c r="O29" s="477">
        <v>930121</v>
      </c>
      <c r="P29" s="477">
        <v>1720641453</v>
      </c>
      <c r="Q29" s="163" t="s">
        <v>888</v>
      </c>
      <c r="R29" s="410" t="s">
        <v>889</v>
      </c>
    </row>
    <row r="30" spans="2:19">
      <c r="B30" s="457" t="s">
        <v>890</v>
      </c>
      <c r="C30" s="461">
        <v>1724121296</v>
      </c>
      <c r="D30" s="462"/>
      <c r="E30" s="462" t="s">
        <v>809</v>
      </c>
      <c r="F30" s="462">
        <v>138399735</v>
      </c>
      <c r="G30" s="462">
        <v>1724121296</v>
      </c>
      <c r="H30" s="462" t="s">
        <v>810</v>
      </c>
      <c r="I30" s="462" t="s">
        <v>849</v>
      </c>
      <c r="J30" s="462" t="s">
        <v>891</v>
      </c>
      <c r="L30" s="482" t="s">
        <v>872</v>
      </c>
      <c r="M30" s="482" t="s">
        <v>819</v>
      </c>
      <c r="N30" s="482" t="s">
        <v>831</v>
      </c>
      <c r="O30" s="482">
        <v>930119</v>
      </c>
      <c r="P30" s="482">
        <v>1750305391</v>
      </c>
      <c r="Q30" s="163" t="s">
        <v>892</v>
      </c>
    </row>
    <row r="31" spans="2:19">
      <c r="B31" s="457" t="s">
        <v>893</v>
      </c>
      <c r="C31" s="461">
        <v>1760301372</v>
      </c>
      <c r="D31" s="462"/>
      <c r="E31" s="462" t="s">
        <v>809</v>
      </c>
      <c r="F31" s="462"/>
      <c r="G31" s="462"/>
      <c r="H31" s="462" t="s">
        <v>810</v>
      </c>
      <c r="I31" s="462" t="s">
        <v>855</v>
      </c>
      <c r="J31" s="462" t="s">
        <v>891</v>
      </c>
      <c r="Q31" s="421"/>
    </row>
    <row r="32" spans="2:19">
      <c r="B32" s="457" t="s">
        <v>894</v>
      </c>
      <c r="C32" s="461">
        <v>1754213948</v>
      </c>
      <c r="D32" s="462"/>
      <c r="E32" s="462" t="s">
        <v>809</v>
      </c>
      <c r="F32" s="462">
        <v>1397106157</v>
      </c>
      <c r="G32" s="462">
        <v>984063595</v>
      </c>
      <c r="H32" s="462" t="s">
        <v>810</v>
      </c>
      <c r="I32" s="462" t="s">
        <v>870</v>
      </c>
      <c r="J32" s="462" t="s">
        <v>891</v>
      </c>
      <c r="Q32" s="421"/>
    </row>
    <row r="33" spans="2:17">
      <c r="B33" s="457" t="s">
        <v>895</v>
      </c>
      <c r="C33" s="461">
        <v>1721472171</v>
      </c>
      <c r="D33" s="462"/>
      <c r="E33" s="462" t="s">
        <v>809</v>
      </c>
      <c r="F33" s="462">
        <v>458541283</v>
      </c>
      <c r="G33" s="462">
        <v>982009363</v>
      </c>
      <c r="H33" s="462" t="s">
        <v>810</v>
      </c>
      <c r="I33" s="462" t="s">
        <v>864</v>
      </c>
      <c r="J33" s="462" t="s">
        <v>891</v>
      </c>
      <c r="Q33" s="421"/>
    </row>
    <row r="34" spans="2:17">
      <c r="B34" s="410" t="s">
        <v>896</v>
      </c>
      <c r="C34" s="458">
        <v>1750305391</v>
      </c>
      <c r="E34" s="462" t="s">
        <v>809</v>
      </c>
      <c r="I34" s="264" t="s">
        <v>831</v>
      </c>
      <c r="J34" s="462" t="s">
        <v>41</v>
      </c>
      <c r="M34" s="410" t="s">
        <v>897</v>
      </c>
      <c r="N34" s="421"/>
      <c r="Q34" s="421"/>
    </row>
    <row r="35" spans="2:17">
      <c r="B35" s="483" t="s">
        <v>866</v>
      </c>
      <c r="C35" s="484"/>
      <c r="E35" s="462" t="s">
        <v>809</v>
      </c>
      <c r="H35" s="410" t="s">
        <v>810</v>
      </c>
      <c r="I35" s="485" t="s">
        <v>836</v>
      </c>
      <c r="J35" s="476" t="s">
        <v>41</v>
      </c>
      <c r="M35" s="410" t="s">
        <v>898</v>
      </c>
      <c r="N35" s="421"/>
      <c r="Q35" s="421"/>
    </row>
    <row r="36" spans="2:17">
      <c r="M36" s="410" t="s">
        <v>809</v>
      </c>
      <c r="N36" s="421">
        <v>0</v>
      </c>
      <c r="Q36" s="421"/>
    </row>
    <row r="37" spans="2:17">
      <c r="B37" s="480" t="s">
        <v>439</v>
      </c>
      <c r="C37" s="481" t="s">
        <v>800</v>
      </c>
      <c r="D37" s="481" t="s">
        <v>801</v>
      </c>
      <c r="E37" s="481" t="s">
        <v>802</v>
      </c>
      <c r="F37" s="481" t="s">
        <v>803</v>
      </c>
      <c r="G37" s="481" t="s">
        <v>35</v>
      </c>
      <c r="H37" s="481" t="s">
        <v>804</v>
      </c>
      <c r="I37" s="481" t="s">
        <v>805</v>
      </c>
      <c r="J37" s="481" t="s">
        <v>440</v>
      </c>
      <c r="M37" s="410" t="s">
        <v>872</v>
      </c>
      <c r="N37" s="421">
        <v>12</v>
      </c>
      <c r="Q37" s="421"/>
    </row>
    <row r="38" spans="2:17">
      <c r="B38" s="457" t="s">
        <v>899</v>
      </c>
      <c r="C38" s="461">
        <v>1724460157</v>
      </c>
      <c r="D38" s="462"/>
      <c r="E38" s="462"/>
      <c r="F38" s="462"/>
      <c r="G38" s="462"/>
      <c r="H38" s="462"/>
      <c r="I38" s="139" t="s">
        <v>900</v>
      </c>
      <c r="J38" s="139" t="s">
        <v>901</v>
      </c>
      <c r="N38" s="421">
        <f>SUM(N34:N37)</f>
        <v>12</v>
      </c>
      <c r="Q38" s="421"/>
    </row>
    <row r="39" spans="2:17">
      <c r="Q39" s="421"/>
    </row>
    <row r="40" spans="2:17">
      <c r="Q40" s="421"/>
    </row>
    <row r="41" spans="2:17">
      <c r="Q41" s="421"/>
    </row>
    <row r="42" spans="2:17">
      <c r="Q42" s="421"/>
    </row>
    <row r="43" spans="2:17">
      <c r="B43" s="480" t="s">
        <v>439</v>
      </c>
      <c r="C43" s="481" t="s">
        <v>800</v>
      </c>
      <c r="D43" s="481" t="s">
        <v>801</v>
      </c>
      <c r="E43" s="481" t="s">
        <v>802</v>
      </c>
      <c r="F43" s="481" t="s">
        <v>803</v>
      </c>
      <c r="G43" s="481" t="s">
        <v>35</v>
      </c>
      <c r="H43" s="481" t="s">
        <v>804</v>
      </c>
      <c r="I43" s="481" t="s">
        <v>805</v>
      </c>
      <c r="J43" s="481" t="s">
        <v>440</v>
      </c>
      <c r="Q43" s="421"/>
    </row>
    <row r="44" spans="2:17">
      <c r="B44" s="457" t="s">
        <v>902</v>
      </c>
      <c r="C44" s="461">
        <v>1721123584</v>
      </c>
      <c r="D44" s="462"/>
      <c r="E44" s="462"/>
      <c r="F44" s="462"/>
      <c r="G44" s="462"/>
      <c r="H44" s="462"/>
      <c r="I44" s="139" t="s">
        <v>903</v>
      </c>
      <c r="J44" s="139" t="s">
        <v>904</v>
      </c>
      <c r="Q44" s="421"/>
    </row>
    <row r="45" spans="2:17">
      <c r="B45" s="457" t="s">
        <v>905</v>
      </c>
      <c r="C45" s="461">
        <v>1721123592</v>
      </c>
      <c r="D45" s="462"/>
      <c r="E45" s="462"/>
      <c r="F45" s="462"/>
      <c r="G45" s="462"/>
      <c r="H45" s="462"/>
      <c r="I45" s="139" t="s">
        <v>906</v>
      </c>
      <c r="J45" s="139" t="s">
        <v>904</v>
      </c>
      <c r="Q45" s="421"/>
    </row>
    <row r="46" spans="2:17">
      <c r="B46" s="457" t="s">
        <v>907</v>
      </c>
      <c r="C46" s="461">
        <v>1715516439</v>
      </c>
      <c r="D46" s="462"/>
      <c r="E46" s="462"/>
      <c r="F46" s="462"/>
      <c r="G46" s="462"/>
      <c r="H46" s="462"/>
      <c r="I46" s="139" t="s">
        <v>908</v>
      </c>
      <c r="J46" s="139" t="s">
        <v>904</v>
      </c>
      <c r="Q46" s="421"/>
    </row>
    <row r="47" spans="2:17">
      <c r="Q47" s="421"/>
    </row>
    <row r="48" spans="2:17">
      <c r="Q48" s="421"/>
    </row>
    <row r="49" spans="17:17">
      <c r="Q49" s="421"/>
    </row>
    <row r="50" spans="17:17">
      <c r="Q50" s="421"/>
    </row>
    <row r="51" spans="17:17">
      <c r="Q51" s="421"/>
    </row>
    <row r="52" spans="17:17">
      <c r="Q52" s="421"/>
    </row>
    <row r="53" spans="17:17">
      <c r="Q53" s="421"/>
    </row>
    <row r="54" spans="17:17">
      <c r="Q54" s="421"/>
    </row>
    <row r="55" spans="17:17">
      <c r="Q55" s="421"/>
    </row>
    <row r="56" spans="17:17">
      <c r="Q56" s="421"/>
    </row>
    <row r="57" spans="17:17">
      <c r="Q57" s="421"/>
    </row>
    <row r="58" spans="17:17">
      <c r="Q58" s="421"/>
    </row>
    <row r="59" spans="17:17">
      <c r="Q59" s="421"/>
    </row>
    <row r="60" spans="17:17">
      <c r="Q60" s="421"/>
    </row>
    <row r="61" spans="17:17">
      <c r="Q61" s="421"/>
    </row>
    <row r="62" spans="17:17">
      <c r="Q62" s="421"/>
    </row>
    <row r="63" spans="17:17">
      <c r="Q63" s="421"/>
    </row>
    <row r="64" spans="17:17">
      <c r="Q64" s="421"/>
    </row>
    <row r="65" spans="17:17">
      <c r="Q65" s="421"/>
    </row>
    <row r="66" spans="17:17">
      <c r="Q66" s="421"/>
    </row>
    <row r="67" spans="17:17">
      <c r="Q67" s="421"/>
    </row>
    <row r="68" spans="17:17">
      <c r="Q68" s="421"/>
    </row>
    <row r="69" spans="17:17">
      <c r="Q69" s="421"/>
    </row>
    <row r="70" spans="17:17">
      <c r="Q70" s="421"/>
    </row>
    <row r="71" spans="17:17">
      <c r="Q71" s="421"/>
    </row>
    <row r="72" spans="17:17">
      <c r="Q72" s="421"/>
    </row>
    <row r="73" spans="17:17">
      <c r="Q73" s="421"/>
    </row>
    <row r="74" spans="17:17">
      <c r="Q74" s="421"/>
    </row>
    <row r="75" spans="17:17">
      <c r="Q75" s="421"/>
    </row>
    <row r="76" spans="17:17">
      <c r="Q76" s="421"/>
    </row>
    <row r="77" spans="17:17">
      <c r="Q77" s="421"/>
    </row>
    <row r="78" spans="17:17">
      <c r="Q78" s="421"/>
    </row>
    <row r="79" spans="17:17">
      <c r="Q79" s="421"/>
    </row>
    <row r="80" spans="17:17">
      <c r="Q80" s="421"/>
    </row>
    <row r="81" spans="17:17">
      <c r="Q81" s="421"/>
    </row>
    <row r="82" spans="17:17">
      <c r="Q82" s="421"/>
    </row>
    <row r="83" spans="17:17">
      <c r="Q83" s="421"/>
    </row>
    <row r="84" spans="17:17">
      <c r="Q84" s="421"/>
    </row>
    <row r="85" spans="17:17">
      <c r="Q85" s="421"/>
    </row>
    <row r="86" spans="17:17">
      <c r="Q86" s="421"/>
    </row>
    <row r="87" spans="17:17">
      <c r="Q87" s="421"/>
    </row>
    <row r="88" spans="17:17">
      <c r="Q88" s="421"/>
    </row>
    <row r="89" spans="17:17">
      <c r="Q89" s="421"/>
    </row>
    <row r="90" spans="17:17">
      <c r="Q90" s="421"/>
    </row>
    <row r="91" spans="17:17">
      <c r="Q91" s="421"/>
    </row>
    <row r="92" spans="17:17">
      <c r="Q92" s="421"/>
    </row>
    <row r="93" spans="17:17">
      <c r="Q93" s="421"/>
    </row>
    <row r="94" spans="17:17">
      <c r="Q94" s="421"/>
    </row>
    <row r="95" spans="17:17">
      <c r="Q95" s="421"/>
    </row>
    <row r="96" spans="17:17">
      <c r="Q96" s="421"/>
    </row>
    <row r="97" spans="17:17">
      <c r="Q97" s="421"/>
    </row>
    <row r="98" spans="17:17">
      <c r="Q98" s="421"/>
    </row>
    <row r="99" spans="17:17">
      <c r="Q99" s="421"/>
    </row>
    <row r="100" spans="17:17">
      <c r="Q100" s="421"/>
    </row>
    <row r="101" spans="17:17">
      <c r="Q101" s="421"/>
    </row>
    <row r="102" spans="17:17">
      <c r="Q102" s="421"/>
    </row>
    <row r="103" spans="17:17">
      <c r="Q103" s="421"/>
    </row>
    <row r="104" spans="17:17">
      <c r="Q104" s="421"/>
    </row>
    <row r="105" spans="17:17">
      <c r="Q105" s="421"/>
    </row>
    <row r="106" spans="17:17">
      <c r="Q106" s="421"/>
    </row>
    <row r="107" spans="17:17">
      <c r="Q107" s="421"/>
    </row>
    <row r="108" spans="17:17">
      <c r="Q108" s="421"/>
    </row>
    <row r="109" spans="17:17">
      <c r="Q109" s="421"/>
    </row>
    <row r="110" spans="17:17">
      <c r="Q110" s="421"/>
    </row>
    <row r="111" spans="17:17">
      <c r="Q111" s="421"/>
    </row>
    <row r="112" spans="17:17">
      <c r="Q112" s="421"/>
    </row>
    <row r="113" spans="17:17">
      <c r="Q113" s="421"/>
    </row>
    <row r="114" spans="17:17">
      <c r="Q114" s="421"/>
    </row>
    <row r="115" spans="17:17">
      <c r="Q115" s="421"/>
    </row>
    <row r="116" spans="17:17">
      <c r="Q116" s="421"/>
    </row>
    <row r="117" spans="17:17">
      <c r="Q117" s="421"/>
    </row>
    <row r="118" spans="17:17">
      <c r="Q118" s="421"/>
    </row>
    <row r="119" spans="17:17">
      <c r="Q119" s="421"/>
    </row>
    <row r="120" spans="17:17">
      <c r="Q120" s="421"/>
    </row>
    <row r="121" spans="17:17">
      <c r="Q121" s="421"/>
    </row>
    <row r="122" spans="17:17">
      <c r="Q122" s="421"/>
    </row>
    <row r="123" spans="17:17">
      <c r="Q123" s="421"/>
    </row>
    <row r="124" spans="17:17">
      <c r="Q124" s="421"/>
    </row>
    <row r="125" spans="17:17">
      <c r="Q125" s="421"/>
    </row>
    <row r="126" spans="17:17">
      <c r="Q126" s="421"/>
    </row>
    <row r="127" spans="17:17">
      <c r="Q127" s="421"/>
    </row>
    <row r="128" spans="17:17">
      <c r="Q128" s="421"/>
    </row>
    <row r="129" spans="17:17">
      <c r="Q129" s="421"/>
    </row>
    <row r="130" spans="17:17">
      <c r="Q130" s="421"/>
    </row>
    <row r="131" spans="17:17">
      <c r="Q131" s="421"/>
    </row>
    <row r="132" spans="17:17">
      <c r="Q132" s="421"/>
    </row>
    <row r="133" spans="17:17">
      <c r="Q133" s="421"/>
    </row>
    <row r="134" spans="17:17">
      <c r="Q134" s="421"/>
    </row>
    <row r="135" spans="17:17">
      <c r="Q135" s="421"/>
    </row>
    <row r="136" spans="17:17">
      <c r="Q136" s="421"/>
    </row>
    <row r="137" spans="17:17">
      <c r="Q137" s="421"/>
    </row>
    <row r="138" spans="17:17">
      <c r="Q138" s="421"/>
    </row>
    <row r="139" spans="17:17">
      <c r="Q139" s="421"/>
    </row>
    <row r="140" spans="17:17">
      <c r="Q140" s="421"/>
    </row>
    <row r="141" spans="17:17">
      <c r="Q141" s="421"/>
    </row>
    <row r="142" spans="17:17">
      <c r="Q142" s="421"/>
    </row>
    <row r="143" spans="17:17">
      <c r="Q143" s="421"/>
    </row>
    <row r="144" spans="17:17">
      <c r="Q144" s="421"/>
    </row>
    <row r="145" spans="17:17">
      <c r="Q145" s="421"/>
    </row>
    <row r="146" spans="17:17">
      <c r="Q146" s="421"/>
    </row>
    <row r="147" spans="17:17">
      <c r="Q147" s="421"/>
    </row>
    <row r="148" spans="17:17">
      <c r="Q148" s="421"/>
    </row>
    <row r="149" spans="17:17">
      <c r="Q149" s="421"/>
    </row>
    <row r="150" spans="17:17">
      <c r="Q150" s="421"/>
    </row>
    <row r="151" spans="17:17">
      <c r="Q151" s="421"/>
    </row>
    <row r="152" spans="17:17">
      <c r="Q152" s="421"/>
    </row>
    <row r="153" spans="17:17">
      <c r="Q153" s="421"/>
    </row>
    <row r="154" spans="17:17">
      <c r="Q154" s="421"/>
    </row>
    <row r="155" spans="17:17">
      <c r="Q155" s="421"/>
    </row>
    <row r="156" spans="17:17">
      <c r="Q156" s="421"/>
    </row>
    <row r="157" spans="17:17">
      <c r="Q157" s="421"/>
    </row>
    <row r="158" spans="17:17">
      <c r="Q158" s="421"/>
    </row>
    <row r="159" spans="17:17">
      <c r="Q159" s="421"/>
    </row>
    <row r="160" spans="17:17">
      <c r="Q160" s="421"/>
    </row>
    <row r="161" spans="17:17">
      <c r="Q161" s="421"/>
    </row>
    <row r="162" spans="17:17">
      <c r="Q162" s="421"/>
    </row>
    <row r="163" spans="17:17">
      <c r="Q163" s="421"/>
    </row>
    <row r="164" spans="17:17">
      <c r="Q164" s="421"/>
    </row>
    <row r="165" spans="17:17">
      <c r="Q165" s="421"/>
    </row>
    <row r="166" spans="17:17">
      <c r="Q166" s="421"/>
    </row>
    <row r="167" spans="17:17">
      <c r="Q167" s="421"/>
    </row>
    <row r="168" spans="17:17">
      <c r="Q168" s="421"/>
    </row>
    <row r="169" spans="17:17">
      <c r="Q169" s="421"/>
    </row>
    <row r="170" spans="17:17">
      <c r="Q170" s="421"/>
    </row>
    <row r="171" spans="17:17">
      <c r="Q171" s="421"/>
    </row>
    <row r="172" spans="17:17">
      <c r="Q172" s="421"/>
    </row>
    <row r="173" spans="17:17">
      <c r="Q173" s="421"/>
    </row>
    <row r="174" spans="17:17">
      <c r="Q174" s="421"/>
    </row>
    <row r="175" spans="17:17">
      <c r="Q175" s="421"/>
    </row>
    <row r="176" spans="17:17">
      <c r="Q176" s="421"/>
    </row>
    <row r="177" spans="17:17">
      <c r="Q177" s="421"/>
    </row>
    <row r="178" spans="17:17">
      <c r="Q178" s="421"/>
    </row>
    <row r="179" spans="17:17">
      <c r="Q179" s="421"/>
    </row>
    <row r="180" spans="17:17">
      <c r="Q180" s="421"/>
    </row>
    <row r="181" spans="17:17">
      <c r="Q181" s="421"/>
    </row>
    <row r="182" spans="17:17">
      <c r="Q182" s="421"/>
    </row>
    <row r="183" spans="17:17">
      <c r="Q183" s="421"/>
    </row>
    <row r="184" spans="17:17">
      <c r="Q184" s="421"/>
    </row>
    <row r="185" spans="17:17">
      <c r="Q185" s="421"/>
    </row>
    <row r="186" spans="17:17">
      <c r="Q186" s="421"/>
    </row>
    <row r="187" spans="17:17">
      <c r="Q187" s="421"/>
    </row>
    <row r="188" spans="17:17">
      <c r="Q188" s="421"/>
    </row>
    <row r="189" spans="17:17">
      <c r="Q189" s="421"/>
    </row>
    <row r="190" spans="17:17">
      <c r="Q190" s="421"/>
    </row>
    <row r="191" spans="17:17">
      <c r="Q191" s="421"/>
    </row>
    <row r="192" spans="17:17">
      <c r="Q192" s="421"/>
    </row>
    <row r="193" spans="17:17">
      <c r="Q193" s="421"/>
    </row>
    <row r="194" spans="17:17">
      <c r="Q194" s="421"/>
    </row>
    <row r="195" spans="17:17">
      <c r="Q195" s="421"/>
    </row>
    <row r="196" spans="17:17">
      <c r="Q196" s="421"/>
    </row>
    <row r="197" spans="17:17">
      <c r="Q197" s="421"/>
    </row>
    <row r="198" spans="17:17">
      <c r="Q198" s="421"/>
    </row>
    <row r="199" spans="17:17">
      <c r="Q199" s="421"/>
    </row>
    <row r="200" spans="17:17">
      <c r="Q200" s="421"/>
    </row>
    <row r="201" spans="17:17">
      <c r="Q201" s="421"/>
    </row>
    <row r="202" spans="17:17">
      <c r="Q202" s="421"/>
    </row>
    <row r="203" spans="17:17">
      <c r="Q203" s="421"/>
    </row>
    <row r="204" spans="17:17">
      <c r="Q204" s="421"/>
    </row>
    <row r="205" spans="17:17">
      <c r="Q205" s="421"/>
    </row>
    <row r="206" spans="17:17">
      <c r="Q206" s="421"/>
    </row>
    <row r="207" spans="17:17">
      <c r="Q207" s="421"/>
    </row>
    <row r="208" spans="17:17">
      <c r="Q208" s="421"/>
    </row>
    <row r="209" spans="17:17">
      <c r="Q209" s="421"/>
    </row>
    <row r="210" spans="17:17">
      <c r="Q210" s="421"/>
    </row>
    <row r="211" spans="17:17">
      <c r="Q211" s="421"/>
    </row>
    <row r="212" spans="17:17">
      <c r="Q212" s="421"/>
    </row>
    <row r="213" spans="17:17">
      <c r="Q213" s="421"/>
    </row>
    <row r="214" spans="17:17">
      <c r="Q214" s="421"/>
    </row>
    <row r="215" spans="17:17">
      <c r="Q215" s="421"/>
    </row>
    <row r="216" spans="17:17">
      <c r="Q216" s="421"/>
    </row>
    <row r="217" spans="17:17">
      <c r="Q217" s="421"/>
    </row>
    <row r="218" spans="17:17">
      <c r="Q218" s="421"/>
    </row>
    <row r="219" spans="17:17">
      <c r="Q219" s="421"/>
    </row>
    <row r="220" spans="17:17">
      <c r="Q220" s="421"/>
    </row>
    <row r="221" spans="17:17">
      <c r="Q221" s="421"/>
    </row>
    <row r="222" spans="17:17">
      <c r="Q222" s="421"/>
    </row>
    <row r="223" spans="17:17">
      <c r="Q223" s="421"/>
    </row>
    <row r="224" spans="17:17">
      <c r="Q224" s="421"/>
    </row>
    <row r="225" spans="17:17">
      <c r="Q225" s="421"/>
    </row>
    <row r="226" spans="17:17">
      <c r="Q226" s="421"/>
    </row>
    <row r="227" spans="17:17">
      <c r="Q227" s="421"/>
    </row>
    <row r="228" spans="17:17">
      <c r="Q228" s="421"/>
    </row>
    <row r="229" spans="17:17">
      <c r="Q229" s="421"/>
    </row>
    <row r="230" spans="17:17">
      <c r="Q230" s="421"/>
    </row>
    <row r="231" spans="17:17">
      <c r="Q231" s="421"/>
    </row>
    <row r="232" spans="17:17">
      <c r="Q232" s="421"/>
    </row>
    <row r="233" spans="17:17">
      <c r="Q233" s="421"/>
    </row>
    <row r="234" spans="17:17">
      <c r="Q234" s="421"/>
    </row>
    <row r="235" spans="17:17">
      <c r="Q235" s="421"/>
    </row>
    <row r="236" spans="17:17">
      <c r="Q236" s="421"/>
    </row>
    <row r="237" spans="17:17">
      <c r="Q237" s="421"/>
    </row>
    <row r="238" spans="17:17">
      <c r="Q238" s="421"/>
    </row>
    <row r="239" spans="17:17">
      <c r="Q239" s="421"/>
    </row>
    <row r="240" spans="17:17">
      <c r="Q240" s="421"/>
    </row>
    <row r="241" spans="17:17">
      <c r="Q241" s="421"/>
    </row>
    <row r="242" spans="17:17">
      <c r="Q242" s="421"/>
    </row>
    <row r="243" spans="17:17">
      <c r="Q243" s="421"/>
    </row>
    <row r="244" spans="17:17">
      <c r="Q244" s="421"/>
    </row>
    <row r="245" spans="17:17">
      <c r="Q245" s="421"/>
    </row>
    <row r="246" spans="17:17">
      <c r="Q246" s="421"/>
    </row>
    <row r="247" spans="17:17">
      <c r="Q247" s="421"/>
    </row>
    <row r="248" spans="17:17">
      <c r="Q248" s="421"/>
    </row>
    <row r="249" spans="17:17">
      <c r="Q249" s="421"/>
    </row>
    <row r="250" spans="17:17">
      <c r="Q250" s="421"/>
    </row>
    <row r="251" spans="17:17">
      <c r="Q251" s="421"/>
    </row>
    <row r="252" spans="17:17">
      <c r="Q252" s="421"/>
    </row>
    <row r="253" spans="17:17">
      <c r="Q253" s="421"/>
    </row>
    <row r="254" spans="17:17">
      <c r="Q254" s="421"/>
    </row>
    <row r="255" spans="17:17">
      <c r="Q255" s="421"/>
    </row>
    <row r="256" spans="17:17">
      <c r="Q256" s="421"/>
    </row>
    <row r="257" spans="17:17">
      <c r="Q257" s="421"/>
    </row>
    <row r="258" spans="17:17">
      <c r="Q258" s="421"/>
    </row>
    <row r="259" spans="17:17">
      <c r="Q259" s="421"/>
    </row>
    <row r="260" spans="17:17">
      <c r="Q260" s="421"/>
    </row>
    <row r="261" spans="17:17">
      <c r="Q261" s="421"/>
    </row>
    <row r="262" spans="17:17">
      <c r="Q262" s="421"/>
    </row>
    <row r="263" spans="17:17">
      <c r="Q263" s="421"/>
    </row>
    <row r="264" spans="17:17">
      <c r="Q264" s="421"/>
    </row>
    <row r="265" spans="17:17">
      <c r="Q265" s="421"/>
    </row>
    <row r="266" spans="17:17">
      <c r="Q266" s="421"/>
    </row>
    <row r="267" spans="17:17">
      <c r="Q267" s="421"/>
    </row>
    <row r="268" spans="17:17">
      <c r="Q268" s="421"/>
    </row>
    <row r="269" spans="17:17">
      <c r="Q269" s="421"/>
    </row>
    <row r="270" spans="17:17">
      <c r="Q270" s="421"/>
    </row>
    <row r="271" spans="17:17">
      <c r="Q271" s="421"/>
    </row>
    <row r="272" spans="17:17">
      <c r="Q272" s="421"/>
    </row>
    <row r="273" spans="17:17">
      <c r="Q273" s="421"/>
    </row>
    <row r="274" spans="17:17">
      <c r="Q274" s="421"/>
    </row>
    <row r="275" spans="17:17">
      <c r="Q275" s="421"/>
    </row>
    <row r="276" spans="17:17">
      <c r="Q276" s="421"/>
    </row>
    <row r="277" spans="17:17">
      <c r="Q277" s="421"/>
    </row>
    <row r="278" spans="17:17">
      <c r="Q278" s="421"/>
    </row>
    <row r="279" spans="17:17">
      <c r="Q279" s="421"/>
    </row>
    <row r="280" spans="17:17">
      <c r="Q280" s="421"/>
    </row>
    <row r="281" spans="17:17">
      <c r="Q281" s="421"/>
    </row>
    <row r="282" spans="17:17">
      <c r="Q282" s="421"/>
    </row>
    <row r="283" spans="17:17">
      <c r="Q283" s="421"/>
    </row>
    <row r="284" spans="17:17">
      <c r="Q284" s="421"/>
    </row>
    <row r="285" spans="17:17">
      <c r="Q285" s="421"/>
    </row>
    <row r="286" spans="17:17">
      <c r="Q286" s="421"/>
    </row>
    <row r="287" spans="17:17">
      <c r="Q287" s="421"/>
    </row>
    <row r="288" spans="17:17">
      <c r="Q288" s="421"/>
    </row>
    <row r="289" spans="17:17">
      <c r="Q289" s="421"/>
    </row>
    <row r="290" spans="17:17">
      <c r="Q290" s="421"/>
    </row>
    <row r="291" spans="17:17">
      <c r="Q291" s="421"/>
    </row>
    <row r="292" spans="17:17">
      <c r="Q292" s="421"/>
    </row>
    <row r="293" spans="17:17">
      <c r="Q293" s="421"/>
    </row>
    <row r="294" spans="17:17">
      <c r="Q294" s="421"/>
    </row>
    <row r="295" spans="17:17">
      <c r="Q295" s="421"/>
    </row>
    <row r="296" spans="17:17">
      <c r="Q296" s="421"/>
    </row>
    <row r="297" spans="17:17">
      <c r="Q297" s="421"/>
    </row>
    <row r="298" spans="17:17">
      <c r="Q298" s="421"/>
    </row>
    <row r="299" spans="17:17">
      <c r="Q299" s="421"/>
    </row>
    <row r="300" spans="17:17">
      <c r="Q300" s="421"/>
    </row>
    <row r="301" spans="17:17">
      <c r="Q301" s="421"/>
    </row>
    <row r="302" spans="17:17">
      <c r="Q302" s="421"/>
    </row>
    <row r="303" spans="17:17">
      <c r="Q303" s="421"/>
    </row>
    <row r="304" spans="17:17">
      <c r="Q304" s="421"/>
    </row>
    <row r="305" spans="17:17">
      <c r="Q305" s="421"/>
    </row>
    <row r="306" spans="17:17">
      <c r="Q306" s="421"/>
    </row>
    <row r="307" spans="17:17">
      <c r="Q307" s="421"/>
    </row>
    <row r="308" spans="17:17">
      <c r="Q308" s="421"/>
    </row>
    <row r="309" spans="17:17">
      <c r="Q309" s="421"/>
    </row>
    <row r="310" spans="17:17">
      <c r="Q310" s="421"/>
    </row>
    <row r="311" spans="17:17">
      <c r="Q311" s="421"/>
    </row>
    <row r="312" spans="17:17">
      <c r="Q312" s="421"/>
    </row>
    <row r="313" spans="17:17">
      <c r="Q313" s="421"/>
    </row>
    <row r="314" spans="17:17">
      <c r="Q314" s="421"/>
    </row>
    <row r="315" spans="17:17">
      <c r="Q315" s="421"/>
    </row>
    <row r="316" spans="17:17">
      <c r="Q316" s="421"/>
    </row>
    <row r="317" spans="17:17">
      <c r="Q317" s="421"/>
    </row>
    <row r="318" spans="17:17">
      <c r="Q318" s="421"/>
    </row>
    <row r="319" spans="17:17">
      <c r="Q319" s="421"/>
    </row>
    <row r="320" spans="17:17">
      <c r="Q320" s="421"/>
    </row>
    <row r="321" spans="17:17">
      <c r="Q321" s="421"/>
    </row>
    <row r="322" spans="17:17">
      <c r="Q322" s="421"/>
    </row>
    <row r="323" spans="17:17">
      <c r="Q323" s="421"/>
    </row>
    <row r="324" spans="17:17">
      <c r="Q324" s="421"/>
    </row>
    <row r="325" spans="17:17">
      <c r="Q325" s="421"/>
    </row>
    <row r="326" spans="17:17">
      <c r="Q326" s="421"/>
    </row>
    <row r="327" spans="17:17">
      <c r="Q327" s="421"/>
    </row>
    <row r="328" spans="17:17">
      <c r="Q328" s="421"/>
    </row>
    <row r="329" spans="17:17">
      <c r="Q329" s="421"/>
    </row>
    <row r="330" spans="17:17">
      <c r="Q330" s="421"/>
    </row>
    <row r="331" spans="17:17">
      <c r="Q331" s="421"/>
    </row>
    <row r="332" spans="17:17">
      <c r="Q332" s="421"/>
    </row>
    <row r="333" spans="17:17">
      <c r="Q333" s="421"/>
    </row>
    <row r="334" spans="17:17">
      <c r="Q334" s="421"/>
    </row>
    <row r="335" spans="17:17">
      <c r="Q335" s="421"/>
    </row>
    <row r="336" spans="17:17">
      <c r="Q336" s="421"/>
    </row>
    <row r="337" spans="17:17">
      <c r="Q337" s="421"/>
    </row>
    <row r="338" spans="17:17">
      <c r="Q338" s="421"/>
    </row>
    <row r="339" spans="17:17">
      <c r="Q339" s="421"/>
    </row>
    <row r="340" spans="17:17">
      <c r="Q340" s="421"/>
    </row>
    <row r="341" spans="17:17">
      <c r="Q341" s="421"/>
    </row>
    <row r="342" spans="17:17">
      <c r="Q342" s="421"/>
    </row>
    <row r="343" spans="17:17">
      <c r="Q343" s="421"/>
    </row>
    <row r="344" spans="17:17">
      <c r="Q344" s="421"/>
    </row>
    <row r="345" spans="17:17">
      <c r="Q345" s="421"/>
    </row>
    <row r="346" spans="17:17">
      <c r="Q346" s="421"/>
    </row>
    <row r="347" spans="17:17">
      <c r="Q347" s="421"/>
    </row>
    <row r="348" spans="17:17">
      <c r="Q348" s="421"/>
    </row>
    <row r="349" spans="17:17">
      <c r="Q349" s="421"/>
    </row>
    <row r="350" spans="17:17">
      <c r="Q350" s="421"/>
    </row>
    <row r="351" spans="17:17">
      <c r="Q351" s="421"/>
    </row>
    <row r="352" spans="17:17">
      <c r="Q352" s="421"/>
    </row>
    <row r="353" spans="17:17">
      <c r="Q353" s="421"/>
    </row>
    <row r="354" spans="17:17">
      <c r="Q354" s="421"/>
    </row>
    <row r="355" spans="17:17">
      <c r="Q355" s="421"/>
    </row>
    <row r="356" spans="17:17">
      <c r="Q356" s="421"/>
    </row>
    <row r="357" spans="17:17">
      <c r="Q357" s="421"/>
    </row>
    <row r="358" spans="17:17">
      <c r="Q358" s="421"/>
    </row>
    <row r="359" spans="17:17">
      <c r="Q359" s="421"/>
    </row>
    <row r="360" spans="17:17">
      <c r="Q360" s="421"/>
    </row>
    <row r="361" spans="17:17">
      <c r="Q361" s="421"/>
    </row>
    <row r="362" spans="17:17">
      <c r="Q362" s="421"/>
    </row>
    <row r="363" spans="17:17">
      <c r="Q363" s="421"/>
    </row>
    <row r="364" spans="17:17">
      <c r="Q364" s="421"/>
    </row>
    <row r="365" spans="17:17">
      <c r="Q365" s="421"/>
    </row>
    <row r="366" spans="17:17">
      <c r="Q366" s="421"/>
    </row>
    <row r="367" spans="17:17">
      <c r="Q367" s="421"/>
    </row>
    <row r="368" spans="17:17">
      <c r="Q368" s="421"/>
    </row>
    <row r="369" spans="17:17">
      <c r="Q369" s="421"/>
    </row>
    <row r="370" spans="17:17">
      <c r="Q370" s="421"/>
    </row>
    <row r="371" spans="17:17">
      <c r="Q371" s="421"/>
    </row>
    <row r="372" spans="17:17">
      <c r="Q372" s="421"/>
    </row>
    <row r="373" spans="17:17">
      <c r="Q373" s="421"/>
    </row>
    <row r="374" spans="17:17">
      <c r="Q374" s="421"/>
    </row>
    <row r="375" spans="17:17">
      <c r="Q375" s="421"/>
    </row>
    <row r="376" spans="17:17">
      <c r="Q376" s="421"/>
    </row>
    <row r="377" spans="17:17">
      <c r="Q377" s="421"/>
    </row>
    <row r="378" spans="17:17">
      <c r="Q378" s="421"/>
    </row>
    <row r="379" spans="17:17">
      <c r="Q379" s="421"/>
    </row>
    <row r="380" spans="17:17">
      <c r="Q380" s="421"/>
    </row>
    <row r="381" spans="17:17">
      <c r="Q381" s="421"/>
    </row>
    <row r="382" spans="17:17">
      <c r="Q382" s="421"/>
    </row>
    <row r="383" spans="17:17">
      <c r="Q383" s="421"/>
    </row>
    <row r="384" spans="17:17">
      <c r="Q384" s="421"/>
    </row>
    <row r="385" spans="17:17">
      <c r="Q385" s="421"/>
    </row>
    <row r="386" spans="17:17">
      <c r="Q386" s="421"/>
    </row>
    <row r="387" spans="17:17">
      <c r="Q387" s="421"/>
    </row>
    <row r="388" spans="17:17">
      <c r="Q388" s="421"/>
    </row>
    <row r="389" spans="17:17">
      <c r="Q389" s="421"/>
    </row>
    <row r="390" spans="17:17">
      <c r="Q390" s="421"/>
    </row>
    <row r="391" spans="17:17">
      <c r="Q391" s="421"/>
    </row>
    <row r="392" spans="17:17">
      <c r="Q392" s="421"/>
    </row>
    <row r="393" spans="17:17">
      <c r="Q393" s="421"/>
    </row>
    <row r="394" spans="17:17">
      <c r="Q394" s="421"/>
    </row>
    <row r="395" spans="17:17">
      <c r="Q395" s="421"/>
    </row>
    <row r="396" spans="17:17">
      <c r="Q396" s="421"/>
    </row>
    <row r="397" spans="17:17">
      <c r="Q397" s="421"/>
    </row>
    <row r="398" spans="17:17">
      <c r="Q398" s="421"/>
    </row>
    <row r="399" spans="17:17">
      <c r="Q399" s="421"/>
    </row>
    <row r="400" spans="17:17">
      <c r="Q400" s="421"/>
    </row>
    <row r="401" spans="17:17">
      <c r="Q401" s="421"/>
    </row>
    <row r="402" spans="17:17">
      <c r="Q402" s="421"/>
    </row>
    <row r="403" spans="17:17">
      <c r="Q403" s="421"/>
    </row>
    <row r="404" spans="17:17">
      <c r="Q404" s="421"/>
    </row>
    <row r="405" spans="17:17">
      <c r="Q405" s="421"/>
    </row>
    <row r="406" spans="17:17">
      <c r="Q406" s="421"/>
    </row>
    <row r="407" spans="17:17">
      <c r="Q407" s="421"/>
    </row>
    <row r="408" spans="17:17">
      <c r="Q408" s="421"/>
    </row>
    <row r="409" spans="17:17">
      <c r="Q409" s="421"/>
    </row>
    <row r="410" spans="17:17">
      <c r="Q410" s="421"/>
    </row>
    <row r="411" spans="17:17">
      <c r="Q411" s="421"/>
    </row>
    <row r="412" spans="17:17">
      <c r="Q412" s="421"/>
    </row>
    <row r="413" spans="17:17">
      <c r="Q413" s="421"/>
    </row>
    <row r="414" spans="17:17">
      <c r="Q414" s="421"/>
    </row>
    <row r="415" spans="17:17">
      <c r="Q415" s="421"/>
    </row>
    <row r="416" spans="17:17">
      <c r="Q416" s="421"/>
    </row>
    <row r="417" spans="17:17">
      <c r="Q417" s="421"/>
    </row>
    <row r="418" spans="17:17">
      <c r="Q418" s="421"/>
    </row>
    <row r="419" spans="17:17">
      <c r="Q419" s="421"/>
    </row>
    <row r="420" spans="17:17">
      <c r="Q420" s="421"/>
    </row>
    <row r="421" spans="17:17">
      <c r="Q421" s="421"/>
    </row>
    <row r="422" spans="17:17">
      <c r="Q422" s="421"/>
    </row>
    <row r="423" spans="17:17">
      <c r="Q423" s="421"/>
    </row>
    <row r="424" spans="17:17">
      <c r="Q424" s="421"/>
    </row>
    <row r="425" spans="17:17">
      <c r="Q425" s="421"/>
    </row>
    <row r="426" spans="17:17">
      <c r="Q426" s="421"/>
    </row>
    <row r="427" spans="17:17">
      <c r="Q427" s="421"/>
    </row>
    <row r="428" spans="17:17">
      <c r="Q428" s="421"/>
    </row>
    <row r="429" spans="17:17">
      <c r="Q429" s="421"/>
    </row>
    <row r="430" spans="17:17">
      <c r="Q430" s="421"/>
    </row>
    <row r="431" spans="17:17">
      <c r="Q431" s="421"/>
    </row>
    <row r="432" spans="17:17">
      <c r="Q432" s="421"/>
    </row>
    <row r="433" spans="17:17">
      <c r="Q433" s="421"/>
    </row>
    <row r="434" spans="17:17">
      <c r="Q434" s="421"/>
    </row>
    <row r="435" spans="17:17">
      <c r="Q435" s="421"/>
    </row>
    <row r="436" spans="17:17">
      <c r="Q436" s="421"/>
    </row>
    <row r="437" spans="17:17">
      <c r="Q437" s="421"/>
    </row>
    <row r="438" spans="17:17">
      <c r="Q438" s="421"/>
    </row>
    <row r="439" spans="17:17">
      <c r="Q439" s="421"/>
    </row>
    <row r="440" spans="17:17">
      <c r="Q440" s="421"/>
    </row>
    <row r="441" spans="17:17">
      <c r="Q441" s="421"/>
    </row>
    <row r="442" spans="17:17">
      <c r="Q442" s="421"/>
    </row>
    <row r="443" spans="17:17">
      <c r="Q443" s="421"/>
    </row>
    <row r="444" spans="17:17">
      <c r="Q444" s="421"/>
    </row>
    <row r="445" spans="17:17">
      <c r="Q445" s="421"/>
    </row>
    <row r="446" spans="17:17">
      <c r="Q446" s="421"/>
    </row>
    <row r="447" spans="17:17">
      <c r="Q447" s="421"/>
    </row>
    <row r="448" spans="17:17">
      <c r="Q448" s="421"/>
    </row>
    <row r="449" spans="17:17">
      <c r="Q449" s="421"/>
    </row>
    <row r="450" spans="17:17">
      <c r="Q450" s="421"/>
    </row>
    <row r="451" spans="17:17">
      <c r="Q451" s="421"/>
    </row>
    <row r="452" spans="17:17">
      <c r="Q452" s="421"/>
    </row>
    <row r="453" spans="17:17">
      <c r="Q453" s="421"/>
    </row>
    <row r="454" spans="17:17">
      <c r="Q454" s="421"/>
    </row>
    <row r="455" spans="17:17">
      <c r="Q455" s="421"/>
    </row>
    <row r="456" spans="17:17">
      <c r="Q456" s="421"/>
    </row>
    <row r="457" spans="17:17">
      <c r="Q457" s="421"/>
    </row>
    <row r="458" spans="17:17">
      <c r="Q458" s="421"/>
    </row>
    <row r="459" spans="17:17">
      <c r="Q459" s="421"/>
    </row>
    <row r="460" spans="17:17">
      <c r="Q460" s="421"/>
    </row>
    <row r="461" spans="17:17">
      <c r="Q461" s="421"/>
    </row>
    <row r="462" spans="17:17">
      <c r="Q462" s="421"/>
    </row>
    <row r="463" spans="17:17">
      <c r="Q463" s="421"/>
    </row>
    <row r="464" spans="17:17">
      <c r="Q464" s="421"/>
    </row>
    <row r="465" spans="17:17">
      <c r="Q465" s="421"/>
    </row>
    <row r="466" spans="17:17">
      <c r="Q466" s="421"/>
    </row>
    <row r="467" spans="17:17">
      <c r="Q467" s="421"/>
    </row>
    <row r="468" spans="17:17">
      <c r="Q468" s="421"/>
    </row>
    <row r="469" spans="17:17">
      <c r="Q469" s="421"/>
    </row>
    <row r="470" spans="17:17">
      <c r="Q470" s="421"/>
    </row>
    <row r="471" spans="17:17">
      <c r="Q471" s="421"/>
    </row>
    <row r="472" spans="17:17">
      <c r="Q472" s="421"/>
    </row>
    <row r="473" spans="17:17">
      <c r="Q473" s="421"/>
    </row>
    <row r="474" spans="17:17">
      <c r="Q474" s="421"/>
    </row>
    <row r="475" spans="17:17">
      <c r="Q475" s="421"/>
    </row>
    <row r="476" spans="17:17">
      <c r="Q476" s="421"/>
    </row>
    <row r="477" spans="17:17">
      <c r="Q477" s="421"/>
    </row>
    <row r="478" spans="17:17">
      <c r="Q478" s="421"/>
    </row>
    <row r="479" spans="17:17">
      <c r="Q479" s="421"/>
    </row>
    <row r="480" spans="17:17">
      <c r="Q480" s="421"/>
    </row>
    <row r="481" spans="17:17">
      <c r="Q481" s="421"/>
    </row>
    <row r="482" spans="17:17">
      <c r="Q482" s="421"/>
    </row>
    <row r="483" spans="17:17">
      <c r="Q483" s="421"/>
    </row>
    <row r="484" spans="17:17">
      <c r="Q484" s="421"/>
    </row>
    <row r="485" spans="17:17">
      <c r="Q485" s="421"/>
    </row>
    <row r="486" spans="17:17">
      <c r="Q486" s="421"/>
    </row>
    <row r="487" spans="17:17">
      <c r="Q487" s="421"/>
    </row>
    <row r="488" spans="17:17">
      <c r="Q488" s="421"/>
    </row>
    <row r="489" spans="17:17">
      <c r="Q489" s="421"/>
    </row>
    <row r="490" spans="17:17">
      <c r="Q490" s="421"/>
    </row>
    <row r="491" spans="17:17">
      <c r="Q491" s="421"/>
    </row>
    <row r="492" spans="17:17">
      <c r="Q492" s="421"/>
    </row>
    <row r="493" spans="17:17">
      <c r="Q493" s="421"/>
    </row>
    <row r="494" spans="17:17">
      <c r="Q494" s="421"/>
    </row>
    <row r="495" spans="17:17">
      <c r="Q495" s="421"/>
    </row>
    <row r="496" spans="17:17">
      <c r="Q496" s="421"/>
    </row>
    <row r="497" spans="17:17">
      <c r="Q497" s="421"/>
    </row>
    <row r="498" spans="17:17">
      <c r="Q498" s="421"/>
    </row>
    <row r="499" spans="17:17">
      <c r="Q499" s="421"/>
    </row>
    <row r="500" spans="17:17">
      <c r="Q500" s="421"/>
    </row>
    <row r="501" spans="17:17">
      <c r="Q501" s="421"/>
    </row>
    <row r="502" spans="17:17">
      <c r="Q502" s="421"/>
    </row>
    <row r="503" spans="17:17">
      <c r="Q503" s="421"/>
    </row>
    <row r="504" spans="17:17">
      <c r="Q504" s="421"/>
    </row>
    <row r="505" spans="17:17">
      <c r="Q505" s="421"/>
    </row>
    <row r="506" spans="17:17">
      <c r="Q506" s="421"/>
    </row>
    <row r="507" spans="17:17">
      <c r="Q507" s="421"/>
    </row>
    <row r="508" spans="17:17">
      <c r="Q508" s="421"/>
    </row>
    <row r="509" spans="17:17">
      <c r="Q509" s="421"/>
    </row>
    <row r="510" spans="17:17">
      <c r="Q510" s="421"/>
    </row>
    <row r="511" spans="17:17">
      <c r="Q511" s="421"/>
    </row>
    <row r="512" spans="17:17">
      <c r="Q512" s="421"/>
    </row>
    <row r="513" spans="17:17">
      <c r="Q513" s="421"/>
    </row>
    <row r="514" spans="17:17">
      <c r="Q514" s="421"/>
    </row>
    <row r="515" spans="17:17">
      <c r="Q515" s="421"/>
    </row>
    <row r="516" spans="17:17">
      <c r="Q516" s="421"/>
    </row>
    <row r="517" spans="17:17">
      <c r="Q517" s="421"/>
    </row>
    <row r="518" spans="17:17">
      <c r="Q518" s="421"/>
    </row>
    <row r="519" spans="17:17">
      <c r="Q519" s="421"/>
    </row>
    <row r="520" spans="17:17">
      <c r="Q520" s="421"/>
    </row>
    <row r="521" spans="17:17">
      <c r="Q521" s="421"/>
    </row>
    <row r="522" spans="17:17">
      <c r="Q522" s="421"/>
    </row>
    <row r="523" spans="17:17">
      <c r="Q523" s="421"/>
    </row>
    <row r="524" spans="17:17">
      <c r="Q524" s="421"/>
    </row>
    <row r="525" spans="17:17">
      <c r="Q525" s="421"/>
    </row>
    <row r="526" spans="17:17">
      <c r="Q526" s="421"/>
    </row>
    <row r="527" spans="17:17">
      <c r="Q527" s="421"/>
    </row>
    <row r="528" spans="17:17">
      <c r="Q528" s="421"/>
    </row>
    <row r="529" spans="17:17">
      <c r="Q529" s="421"/>
    </row>
    <row r="530" spans="17:17">
      <c r="Q530" s="421"/>
    </row>
    <row r="531" spans="17:17">
      <c r="Q531" s="421"/>
    </row>
    <row r="532" spans="17:17">
      <c r="Q532" s="421"/>
    </row>
    <row r="533" spans="17:17">
      <c r="Q533" s="421"/>
    </row>
    <row r="534" spans="17:17">
      <c r="Q534" s="421"/>
    </row>
    <row r="535" spans="17:17">
      <c r="Q535" s="421"/>
    </row>
    <row r="536" spans="17:17">
      <c r="Q536" s="421"/>
    </row>
    <row r="537" spans="17:17">
      <c r="Q537" s="421"/>
    </row>
    <row r="538" spans="17:17">
      <c r="Q538" s="421"/>
    </row>
    <row r="539" spans="17:17">
      <c r="Q539" s="421"/>
    </row>
    <row r="540" spans="17:17">
      <c r="Q540" s="421"/>
    </row>
    <row r="541" spans="17:17">
      <c r="Q541" s="421"/>
    </row>
    <row r="542" spans="17:17">
      <c r="Q542" s="421"/>
    </row>
    <row r="543" spans="17:17">
      <c r="Q543" s="421"/>
    </row>
    <row r="544" spans="17:17">
      <c r="Q544" s="421"/>
    </row>
    <row r="545" spans="17:17">
      <c r="Q545" s="421"/>
    </row>
    <row r="546" spans="17:17">
      <c r="Q546" s="421"/>
    </row>
    <row r="547" spans="17:17">
      <c r="Q547" s="421"/>
    </row>
    <row r="548" spans="17:17">
      <c r="Q548" s="421"/>
    </row>
    <row r="549" spans="17:17">
      <c r="Q549" s="421"/>
    </row>
    <row r="550" spans="17:17">
      <c r="Q550" s="421"/>
    </row>
    <row r="551" spans="17:17">
      <c r="Q551" s="421"/>
    </row>
    <row r="552" spans="17:17">
      <c r="Q552" s="421"/>
    </row>
    <row r="553" spans="17:17">
      <c r="Q553" s="421"/>
    </row>
    <row r="554" spans="17:17">
      <c r="Q554" s="421"/>
    </row>
    <row r="555" spans="17:17">
      <c r="Q555" s="421"/>
    </row>
    <row r="556" spans="17:17">
      <c r="Q556" s="421"/>
    </row>
    <row r="557" spans="17:17">
      <c r="Q557" s="421"/>
    </row>
    <row r="558" spans="17:17">
      <c r="Q558" s="421"/>
    </row>
    <row r="559" spans="17:17">
      <c r="Q559" s="421"/>
    </row>
    <row r="560" spans="17:17">
      <c r="Q560" s="421"/>
    </row>
    <row r="561" spans="17:17">
      <c r="Q561" s="421"/>
    </row>
    <row r="562" spans="17:17">
      <c r="Q562" s="421"/>
    </row>
    <row r="563" spans="17:17">
      <c r="Q563" s="421"/>
    </row>
    <row r="564" spans="17:17">
      <c r="Q564" s="421"/>
    </row>
    <row r="565" spans="17:17">
      <c r="Q565" s="421"/>
    </row>
    <row r="566" spans="17:17">
      <c r="Q566" s="421"/>
    </row>
    <row r="567" spans="17:17">
      <c r="Q567" s="421"/>
    </row>
    <row r="568" spans="17:17">
      <c r="Q568" s="421"/>
    </row>
    <row r="569" spans="17:17">
      <c r="Q569" s="421"/>
    </row>
    <row r="570" spans="17:17">
      <c r="Q570" s="421"/>
    </row>
    <row r="571" spans="17:17">
      <c r="Q571" s="421"/>
    </row>
    <row r="572" spans="17:17">
      <c r="Q572" s="421"/>
    </row>
    <row r="573" spans="17:17">
      <c r="Q573" s="421"/>
    </row>
    <row r="574" spans="17:17">
      <c r="Q574" s="421"/>
    </row>
    <row r="575" spans="17:17">
      <c r="Q575" s="421"/>
    </row>
    <row r="576" spans="17:17">
      <c r="Q576" s="421"/>
    </row>
    <row r="577" spans="17:17">
      <c r="Q577" s="421"/>
    </row>
    <row r="578" spans="17:17">
      <c r="Q578" s="421"/>
    </row>
    <row r="579" spans="17:17">
      <c r="Q579" s="421"/>
    </row>
    <row r="580" spans="17:17">
      <c r="Q580" s="421"/>
    </row>
    <row r="581" spans="17:17">
      <c r="Q581" s="421"/>
    </row>
    <row r="582" spans="17:17">
      <c r="Q582" s="421"/>
    </row>
    <row r="583" spans="17:17">
      <c r="Q583" s="421"/>
    </row>
    <row r="584" spans="17:17">
      <c r="Q584" s="421"/>
    </row>
    <row r="585" spans="17:17">
      <c r="Q585" s="421"/>
    </row>
    <row r="586" spans="17:17">
      <c r="Q586" s="421"/>
    </row>
    <row r="587" spans="17:17">
      <c r="Q587" s="421"/>
    </row>
    <row r="588" spans="17:17">
      <c r="Q588" s="421"/>
    </row>
    <row r="589" spans="17:17">
      <c r="Q589" s="421"/>
    </row>
    <row r="590" spans="17:17">
      <c r="Q590" s="421"/>
    </row>
    <row r="591" spans="17:17">
      <c r="Q591" s="421"/>
    </row>
    <row r="592" spans="17:17">
      <c r="Q592" s="421"/>
    </row>
    <row r="593" spans="17:17">
      <c r="Q593" s="421"/>
    </row>
    <row r="594" spans="17:17">
      <c r="Q594" s="421"/>
    </row>
    <row r="595" spans="17:17">
      <c r="Q595" s="421"/>
    </row>
    <row r="596" spans="17:17">
      <c r="Q596" s="421"/>
    </row>
    <row r="597" spans="17:17">
      <c r="Q597" s="421"/>
    </row>
    <row r="598" spans="17:17">
      <c r="Q598" s="421"/>
    </row>
    <row r="599" spans="17:17">
      <c r="Q599" s="421"/>
    </row>
    <row r="600" spans="17:17">
      <c r="Q600" s="421"/>
    </row>
    <row r="601" spans="17:17">
      <c r="Q601" s="421"/>
    </row>
    <row r="602" spans="17:17">
      <c r="Q602" s="421"/>
    </row>
    <row r="603" spans="17:17">
      <c r="Q603" s="421"/>
    </row>
    <row r="604" spans="17:17">
      <c r="Q604" s="421"/>
    </row>
    <row r="605" spans="17:17">
      <c r="Q605" s="421"/>
    </row>
    <row r="606" spans="17:17">
      <c r="Q606" s="421"/>
    </row>
    <row r="607" spans="17:17">
      <c r="Q607" s="421"/>
    </row>
    <row r="608" spans="17:17">
      <c r="Q608" s="421"/>
    </row>
    <row r="609" spans="17:17">
      <c r="Q609" s="421"/>
    </row>
    <row r="610" spans="17:17">
      <c r="Q610" s="421"/>
    </row>
    <row r="611" spans="17:17">
      <c r="Q611" s="421"/>
    </row>
    <row r="612" spans="17:17">
      <c r="Q612" s="421"/>
    </row>
    <row r="613" spans="17:17">
      <c r="Q613" s="421"/>
    </row>
    <row r="614" spans="17:17">
      <c r="Q614" s="421"/>
    </row>
    <row r="615" spans="17:17">
      <c r="Q615" s="421"/>
    </row>
    <row r="616" spans="17:17">
      <c r="Q616" s="421"/>
    </row>
    <row r="617" spans="17:17">
      <c r="Q617" s="421"/>
    </row>
    <row r="618" spans="17:17">
      <c r="Q618" s="421"/>
    </row>
    <row r="619" spans="17:17">
      <c r="Q619" s="421"/>
    </row>
    <row r="620" spans="17:17">
      <c r="Q620" s="421"/>
    </row>
    <row r="621" spans="17:17">
      <c r="Q621" s="421"/>
    </row>
    <row r="622" spans="17:17">
      <c r="Q622" s="421"/>
    </row>
    <row r="623" spans="17:17">
      <c r="Q623" s="421"/>
    </row>
    <row r="624" spans="17:17">
      <c r="Q624" s="421"/>
    </row>
    <row r="625" spans="17:17">
      <c r="Q625" s="421"/>
    </row>
    <row r="626" spans="17:17">
      <c r="Q626" s="421"/>
    </row>
    <row r="627" spans="17:17">
      <c r="Q627" s="421"/>
    </row>
    <row r="628" spans="17:17">
      <c r="Q628" s="421"/>
    </row>
    <row r="629" spans="17:17">
      <c r="Q629" s="421"/>
    </row>
    <row r="630" spans="17:17">
      <c r="Q630" s="421"/>
    </row>
    <row r="631" spans="17:17">
      <c r="Q631" s="421"/>
    </row>
    <row r="632" spans="17:17">
      <c r="Q632" s="421"/>
    </row>
    <row r="633" spans="17:17">
      <c r="Q633" s="421"/>
    </row>
    <row r="634" spans="17:17">
      <c r="Q634" s="421"/>
    </row>
    <row r="635" spans="17:17">
      <c r="Q635" s="421"/>
    </row>
    <row r="636" spans="17:17">
      <c r="Q636" s="421"/>
    </row>
    <row r="637" spans="17:17">
      <c r="Q637" s="421"/>
    </row>
    <row r="638" spans="17:17">
      <c r="Q638" s="421"/>
    </row>
    <row r="639" spans="17:17">
      <c r="Q639" s="421"/>
    </row>
    <row r="640" spans="17:17">
      <c r="Q640" s="421"/>
    </row>
    <row r="641" spans="17:17">
      <c r="Q641" s="421"/>
    </row>
    <row r="642" spans="17:17">
      <c r="Q642" s="421"/>
    </row>
    <row r="643" spans="17:17">
      <c r="Q643" s="421"/>
    </row>
    <row r="644" spans="17:17">
      <c r="Q644" s="421"/>
    </row>
    <row r="645" spans="17:17">
      <c r="Q645" s="421"/>
    </row>
    <row r="646" spans="17:17">
      <c r="Q646" s="421"/>
    </row>
    <row r="647" spans="17:17">
      <c r="Q647" s="421"/>
    </row>
    <row r="648" spans="17:17">
      <c r="Q648" s="421"/>
    </row>
    <row r="649" spans="17:17">
      <c r="Q649" s="421"/>
    </row>
    <row r="650" spans="17:17">
      <c r="Q650" s="421"/>
    </row>
    <row r="651" spans="17:17">
      <c r="Q651" s="421"/>
    </row>
    <row r="652" spans="17:17">
      <c r="Q652" s="421"/>
    </row>
    <row r="653" spans="17:17">
      <c r="Q653" s="421"/>
    </row>
    <row r="654" spans="17:17">
      <c r="Q654" s="421"/>
    </row>
    <row r="655" spans="17:17">
      <c r="Q655" s="421"/>
    </row>
    <row r="656" spans="17:17">
      <c r="Q656" s="421"/>
    </row>
    <row r="657" spans="17:17">
      <c r="Q657" s="421"/>
    </row>
    <row r="658" spans="17:17">
      <c r="Q658" s="421"/>
    </row>
    <row r="659" spans="17:17">
      <c r="Q659" s="421"/>
    </row>
    <row r="660" spans="17:17">
      <c r="Q660" s="421"/>
    </row>
    <row r="661" spans="17:17">
      <c r="Q661" s="421"/>
    </row>
    <row r="662" spans="17:17">
      <c r="Q662" s="421"/>
    </row>
    <row r="663" spans="17:17">
      <c r="Q663" s="421"/>
    </row>
    <row r="664" spans="17:17">
      <c r="Q664" s="421"/>
    </row>
    <row r="665" spans="17:17">
      <c r="Q665" s="421"/>
    </row>
    <row r="666" spans="17:17">
      <c r="Q666" s="421"/>
    </row>
    <row r="667" spans="17:17">
      <c r="Q667" s="421"/>
    </row>
    <row r="668" spans="17:17">
      <c r="Q668" s="421"/>
    </row>
    <row r="669" spans="17:17">
      <c r="Q669" s="421"/>
    </row>
    <row r="670" spans="17:17">
      <c r="Q670" s="421"/>
    </row>
    <row r="671" spans="17:17">
      <c r="Q671" s="421"/>
    </row>
    <row r="672" spans="17:17">
      <c r="Q672" s="421"/>
    </row>
    <row r="673" spans="17:17">
      <c r="Q673" s="421"/>
    </row>
    <row r="674" spans="17:17">
      <c r="Q674" s="421"/>
    </row>
    <row r="675" spans="17:17">
      <c r="Q675" s="421"/>
    </row>
    <row r="676" spans="17:17">
      <c r="Q676" s="421"/>
    </row>
    <row r="677" spans="17:17">
      <c r="Q677" s="421"/>
    </row>
    <row r="678" spans="17:17">
      <c r="Q678" s="421"/>
    </row>
    <row r="679" spans="17:17">
      <c r="Q679" s="421"/>
    </row>
    <row r="680" spans="17:17">
      <c r="Q680" s="421"/>
    </row>
    <row r="681" spans="17:17">
      <c r="Q681" s="421"/>
    </row>
    <row r="682" spans="17:17">
      <c r="Q682" s="421"/>
    </row>
    <row r="683" spans="17:17">
      <c r="Q683" s="421"/>
    </row>
    <row r="684" spans="17:17">
      <c r="Q684" s="421"/>
    </row>
    <row r="685" spans="17:17">
      <c r="Q685" s="421"/>
    </row>
    <row r="686" spans="17:17">
      <c r="Q686" s="421"/>
    </row>
    <row r="687" spans="17:17">
      <c r="Q687" s="421"/>
    </row>
    <row r="688" spans="17:17">
      <c r="Q688" s="421"/>
    </row>
    <row r="689" spans="17:17">
      <c r="Q689" s="421"/>
    </row>
    <row r="690" spans="17:17">
      <c r="Q690" s="421"/>
    </row>
    <row r="691" spans="17:17">
      <c r="Q691" s="421"/>
    </row>
    <row r="692" spans="17:17">
      <c r="Q692" s="421"/>
    </row>
    <row r="693" spans="17:17">
      <c r="Q693" s="421"/>
    </row>
    <row r="694" spans="17:17">
      <c r="Q694" s="421"/>
    </row>
    <row r="695" spans="17:17">
      <c r="Q695" s="421"/>
    </row>
    <row r="696" spans="17:17">
      <c r="Q696" s="421"/>
    </row>
    <row r="697" spans="17:17">
      <c r="Q697" s="421"/>
    </row>
    <row r="698" spans="17:17">
      <c r="Q698" s="421"/>
    </row>
    <row r="699" spans="17:17">
      <c r="Q699" s="421"/>
    </row>
    <row r="700" spans="17:17">
      <c r="Q700" s="421"/>
    </row>
    <row r="701" spans="17:17">
      <c r="Q701" s="421"/>
    </row>
    <row r="702" spans="17:17">
      <c r="Q702" s="421"/>
    </row>
    <row r="703" spans="17:17">
      <c r="Q703" s="421"/>
    </row>
    <row r="704" spans="17:17">
      <c r="Q704" s="421"/>
    </row>
    <row r="705" spans="17:17">
      <c r="Q705" s="421"/>
    </row>
    <row r="706" spans="17:17">
      <c r="Q706" s="421"/>
    </row>
    <row r="707" spans="17:17">
      <c r="Q707" s="421"/>
    </row>
    <row r="708" spans="17:17">
      <c r="Q708" s="421"/>
    </row>
    <row r="709" spans="17:17">
      <c r="Q709" s="421"/>
    </row>
    <row r="710" spans="17:17">
      <c r="Q710" s="421"/>
    </row>
    <row r="711" spans="17:17">
      <c r="Q711" s="421"/>
    </row>
    <row r="712" spans="17:17">
      <c r="Q712" s="421"/>
    </row>
    <row r="713" spans="17:17">
      <c r="Q713" s="421"/>
    </row>
    <row r="714" spans="17:17">
      <c r="Q714" s="421"/>
    </row>
    <row r="715" spans="17:17">
      <c r="Q715" s="421"/>
    </row>
    <row r="716" spans="17:17">
      <c r="Q716" s="421"/>
    </row>
    <row r="717" spans="17:17">
      <c r="Q717" s="421"/>
    </row>
    <row r="718" spans="17:17">
      <c r="Q718" s="421"/>
    </row>
    <row r="719" spans="17:17">
      <c r="Q719" s="421"/>
    </row>
    <row r="720" spans="17:17">
      <c r="Q720" s="421"/>
    </row>
    <row r="721" spans="17:17">
      <c r="Q721" s="421"/>
    </row>
    <row r="722" spans="17:17">
      <c r="Q722" s="421"/>
    </row>
    <row r="723" spans="17:17">
      <c r="Q723" s="421"/>
    </row>
    <row r="724" spans="17:17">
      <c r="Q724" s="421"/>
    </row>
    <row r="725" spans="17:17">
      <c r="Q725" s="421"/>
    </row>
    <row r="726" spans="17:17">
      <c r="Q726" s="421"/>
    </row>
    <row r="727" spans="17:17">
      <c r="Q727" s="421"/>
    </row>
    <row r="728" spans="17:17">
      <c r="Q728" s="421"/>
    </row>
    <row r="729" spans="17:17">
      <c r="Q729" s="421"/>
    </row>
    <row r="730" spans="17:17">
      <c r="Q730" s="421"/>
    </row>
    <row r="731" spans="17:17">
      <c r="Q731" s="421"/>
    </row>
    <row r="732" spans="17:17">
      <c r="Q732" s="421"/>
    </row>
    <row r="733" spans="17:17">
      <c r="Q733" s="421"/>
    </row>
    <row r="734" spans="17:17">
      <c r="Q734" s="421"/>
    </row>
    <row r="735" spans="17:17">
      <c r="Q735" s="421"/>
    </row>
    <row r="736" spans="17:17">
      <c r="Q736" s="421"/>
    </row>
    <row r="737" spans="17:17">
      <c r="Q737" s="421"/>
    </row>
    <row r="738" spans="17:17">
      <c r="Q738" s="421"/>
    </row>
    <row r="739" spans="17:17">
      <c r="Q739" s="421"/>
    </row>
    <row r="740" spans="17:17">
      <c r="Q740" s="421"/>
    </row>
    <row r="741" spans="17:17">
      <c r="Q741" s="421"/>
    </row>
    <row r="742" spans="17:17">
      <c r="Q742" s="421"/>
    </row>
    <row r="743" spans="17:17">
      <c r="Q743" s="421"/>
    </row>
    <row r="744" spans="17:17">
      <c r="Q744" s="421"/>
    </row>
    <row r="745" spans="17:17">
      <c r="Q745" s="421"/>
    </row>
    <row r="746" spans="17:17">
      <c r="Q746" s="421"/>
    </row>
    <row r="747" spans="17:17">
      <c r="Q747" s="421"/>
    </row>
    <row r="748" spans="17:17">
      <c r="Q748" s="421"/>
    </row>
    <row r="749" spans="17:17">
      <c r="Q749" s="421"/>
    </row>
    <row r="750" spans="17:17">
      <c r="Q750" s="421"/>
    </row>
    <row r="751" spans="17:17">
      <c r="Q751" s="421"/>
    </row>
    <row r="752" spans="17:17">
      <c r="Q752" s="421"/>
    </row>
    <row r="753" spans="17:17">
      <c r="Q753" s="421"/>
    </row>
    <row r="754" spans="17:17">
      <c r="Q754" s="421"/>
    </row>
    <row r="755" spans="17:17">
      <c r="Q755" s="421"/>
    </row>
    <row r="756" spans="17:17">
      <c r="Q756" s="421"/>
    </row>
    <row r="757" spans="17:17">
      <c r="Q757" s="421"/>
    </row>
    <row r="758" spans="17:17">
      <c r="Q758" s="421"/>
    </row>
    <row r="759" spans="17:17">
      <c r="Q759" s="421"/>
    </row>
    <row r="760" spans="17:17">
      <c r="Q760" s="421"/>
    </row>
    <row r="761" spans="17:17">
      <c r="Q761" s="421"/>
    </row>
    <row r="762" spans="17:17">
      <c r="Q762" s="421"/>
    </row>
    <row r="763" spans="17:17">
      <c r="Q763" s="421"/>
    </row>
    <row r="764" spans="17:17">
      <c r="Q764" s="421"/>
    </row>
    <row r="765" spans="17:17">
      <c r="Q765" s="421"/>
    </row>
    <row r="766" spans="17:17">
      <c r="Q766" s="421"/>
    </row>
    <row r="767" spans="17:17">
      <c r="Q767" s="421"/>
    </row>
    <row r="768" spans="17:17">
      <c r="Q768" s="421"/>
    </row>
    <row r="769" spans="17:17">
      <c r="Q769" s="421"/>
    </row>
    <row r="770" spans="17:17">
      <c r="Q770" s="421"/>
    </row>
    <row r="771" spans="17:17">
      <c r="Q771" s="421"/>
    </row>
    <row r="772" spans="17:17">
      <c r="Q772" s="421"/>
    </row>
    <row r="773" spans="17:17">
      <c r="Q773" s="421"/>
    </row>
    <row r="774" spans="17:17">
      <c r="Q774" s="421"/>
    </row>
    <row r="775" spans="17:17">
      <c r="Q775" s="421"/>
    </row>
    <row r="776" spans="17:17">
      <c r="Q776" s="421"/>
    </row>
    <row r="777" spans="17:17">
      <c r="Q777" s="421"/>
    </row>
    <row r="778" spans="17:17">
      <c r="Q778" s="421"/>
    </row>
    <row r="779" spans="17:17">
      <c r="Q779" s="421"/>
    </row>
    <row r="780" spans="17:17">
      <c r="Q780" s="421"/>
    </row>
    <row r="781" spans="17:17">
      <c r="Q781" s="421"/>
    </row>
    <row r="782" spans="17:17">
      <c r="Q782" s="421"/>
    </row>
    <row r="783" spans="17:17">
      <c r="Q783" s="421"/>
    </row>
    <row r="784" spans="17:17">
      <c r="Q784" s="421"/>
    </row>
    <row r="785" spans="17:17">
      <c r="Q785" s="421"/>
    </row>
    <row r="786" spans="17:17">
      <c r="Q786" s="421"/>
    </row>
    <row r="787" spans="17:17">
      <c r="Q787" s="421"/>
    </row>
    <row r="788" spans="17:17">
      <c r="Q788" s="421"/>
    </row>
    <row r="789" spans="17:17">
      <c r="Q789" s="421"/>
    </row>
    <row r="790" spans="17:17">
      <c r="Q790" s="421"/>
    </row>
    <row r="791" spans="17:17">
      <c r="Q791" s="421"/>
    </row>
    <row r="792" spans="17:17">
      <c r="Q792" s="421"/>
    </row>
    <row r="793" spans="17:17">
      <c r="Q793" s="421"/>
    </row>
    <row r="794" spans="17:17">
      <c r="Q794" s="421"/>
    </row>
    <row r="795" spans="17:17">
      <c r="Q795" s="421"/>
    </row>
    <row r="796" spans="17:17">
      <c r="Q796" s="421"/>
    </row>
    <row r="797" spans="17:17">
      <c r="Q797" s="421"/>
    </row>
    <row r="798" spans="17:17">
      <c r="Q798" s="421"/>
    </row>
    <row r="799" spans="17:17">
      <c r="Q799" s="421"/>
    </row>
    <row r="800" spans="17:17">
      <c r="Q800" s="421"/>
    </row>
    <row r="801" spans="17:17">
      <c r="Q801" s="421"/>
    </row>
    <row r="802" spans="17:17">
      <c r="Q802" s="421"/>
    </row>
    <row r="803" spans="17:17">
      <c r="Q803" s="421"/>
    </row>
    <row r="804" spans="17:17">
      <c r="Q804" s="421"/>
    </row>
    <row r="805" spans="17:17">
      <c r="Q805" s="421"/>
    </row>
    <row r="806" spans="17:17">
      <c r="Q806" s="421"/>
    </row>
    <row r="807" spans="17:17">
      <c r="Q807" s="421"/>
    </row>
    <row r="808" spans="17:17">
      <c r="Q808" s="421"/>
    </row>
    <row r="809" spans="17:17">
      <c r="Q809" s="421"/>
    </row>
    <row r="810" spans="17:17">
      <c r="Q810" s="421"/>
    </row>
    <row r="811" spans="17:17">
      <c r="Q811" s="421"/>
    </row>
    <row r="812" spans="17:17">
      <c r="Q812" s="421"/>
    </row>
    <row r="813" spans="17:17">
      <c r="Q813" s="421"/>
    </row>
    <row r="814" spans="17:17">
      <c r="Q814" s="421"/>
    </row>
    <row r="815" spans="17:17">
      <c r="Q815" s="421"/>
    </row>
    <row r="816" spans="17:17">
      <c r="Q816" s="421"/>
    </row>
    <row r="817" spans="17:17">
      <c r="Q817" s="421"/>
    </row>
    <row r="818" spans="17:17">
      <c r="Q818" s="421"/>
    </row>
    <row r="819" spans="17:17">
      <c r="Q819" s="421"/>
    </row>
    <row r="820" spans="17:17">
      <c r="Q820" s="421"/>
    </row>
    <row r="821" spans="17:17">
      <c r="Q821" s="421"/>
    </row>
    <row r="822" spans="17:17">
      <c r="Q822" s="421"/>
    </row>
    <row r="823" spans="17:17">
      <c r="Q823" s="421"/>
    </row>
    <row r="824" spans="17:17">
      <c r="Q824" s="421"/>
    </row>
    <row r="825" spans="17:17">
      <c r="Q825" s="421"/>
    </row>
    <row r="826" spans="17:17">
      <c r="Q826" s="421"/>
    </row>
    <row r="827" spans="17:17">
      <c r="Q827" s="421"/>
    </row>
    <row r="828" spans="17:17">
      <c r="Q828" s="421"/>
    </row>
    <row r="829" spans="17:17">
      <c r="Q829" s="421"/>
    </row>
    <row r="830" spans="17:17">
      <c r="Q830" s="421"/>
    </row>
    <row r="831" spans="17:17">
      <c r="Q831" s="421"/>
    </row>
    <row r="832" spans="17:17">
      <c r="Q832" s="421"/>
    </row>
    <row r="833" spans="17:17">
      <c r="Q833" s="421"/>
    </row>
    <row r="834" spans="17:17">
      <c r="Q834" s="421"/>
    </row>
    <row r="835" spans="17:17">
      <c r="Q835" s="421"/>
    </row>
    <row r="836" spans="17:17">
      <c r="Q836" s="421"/>
    </row>
    <row r="837" spans="17:17">
      <c r="Q837" s="421"/>
    </row>
    <row r="838" spans="17:17">
      <c r="Q838" s="421"/>
    </row>
    <row r="839" spans="17:17">
      <c r="Q839" s="421"/>
    </row>
    <row r="840" spans="17:17">
      <c r="Q840" s="421"/>
    </row>
    <row r="841" spans="17:17">
      <c r="Q841" s="421"/>
    </row>
    <row r="842" spans="17:17">
      <c r="Q842" s="421"/>
    </row>
    <row r="843" spans="17:17">
      <c r="Q843" s="421"/>
    </row>
    <row r="844" spans="17:17">
      <c r="Q844" s="421"/>
    </row>
    <row r="845" spans="17:17">
      <c r="Q845" s="421"/>
    </row>
    <row r="846" spans="17:17">
      <c r="Q846" s="421"/>
    </row>
    <row r="847" spans="17:17">
      <c r="Q847" s="421"/>
    </row>
    <row r="848" spans="17:17">
      <c r="Q848" s="421"/>
    </row>
    <row r="849" spans="17:17">
      <c r="Q849" s="421"/>
    </row>
    <row r="850" spans="17:17">
      <c r="Q850" s="421"/>
    </row>
    <row r="851" spans="17:17">
      <c r="Q851" s="421"/>
    </row>
    <row r="852" spans="17:17">
      <c r="Q852" s="421"/>
    </row>
    <row r="853" spans="17:17">
      <c r="Q853" s="421"/>
    </row>
    <row r="854" spans="17:17">
      <c r="Q854" s="421"/>
    </row>
    <row r="855" spans="17:17">
      <c r="Q855" s="421"/>
    </row>
    <row r="856" spans="17:17">
      <c r="Q856" s="421"/>
    </row>
    <row r="857" spans="17:17">
      <c r="Q857" s="421"/>
    </row>
    <row r="858" spans="17:17">
      <c r="Q858" s="421"/>
    </row>
    <row r="859" spans="17:17">
      <c r="Q859" s="421"/>
    </row>
    <row r="860" spans="17:17">
      <c r="Q860" s="421"/>
    </row>
    <row r="861" spans="17:17">
      <c r="Q861" s="421"/>
    </row>
    <row r="862" spans="17:17">
      <c r="Q862" s="421"/>
    </row>
    <row r="863" spans="17:17">
      <c r="Q863" s="421"/>
    </row>
    <row r="864" spans="17:17">
      <c r="Q864" s="421"/>
    </row>
    <row r="865" spans="17:17">
      <c r="Q865" s="421"/>
    </row>
    <row r="866" spans="17:17">
      <c r="Q866" s="421"/>
    </row>
    <row r="867" spans="17:17">
      <c r="Q867" s="421"/>
    </row>
    <row r="868" spans="17:17">
      <c r="Q868" s="421"/>
    </row>
    <row r="869" spans="17:17">
      <c r="Q869" s="421"/>
    </row>
    <row r="870" spans="17:17">
      <c r="Q870" s="421"/>
    </row>
    <row r="871" spans="17:17">
      <c r="Q871" s="421"/>
    </row>
    <row r="872" spans="17:17">
      <c r="Q872" s="421"/>
    </row>
    <row r="873" spans="17:17">
      <c r="Q873" s="421"/>
    </row>
    <row r="874" spans="17:17">
      <c r="Q874" s="421"/>
    </row>
    <row r="875" spans="17:17">
      <c r="Q875" s="421"/>
    </row>
    <row r="876" spans="17:17">
      <c r="Q876" s="421"/>
    </row>
    <row r="877" spans="17:17">
      <c r="Q877" s="421"/>
    </row>
    <row r="878" spans="17:17">
      <c r="Q878" s="421"/>
    </row>
    <row r="879" spans="17:17">
      <c r="Q879" s="421"/>
    </row>
    <row r="880" spans="17:17">
      <c r="Q880" s="421"/>
    </row>
    <row r="881" spans="17:17">
      <c r="Q881" s="421"/>
    </row>
    <row r="882" spans="17:17">
      <c r="Q882" s="421"/>
    </row>
    <row r="883" spans="17:17">
      <c r="Q883" s="421"/>
    </row>
    <row r="884" spans="17:17">
      <c r="Q884" s="421"/>
    </row>
    <row r="885" spans="17:17">
      <c r="Q885" s="421"/>
    </row>
    <row r="886" spans="17:17">
      <c r="Q886" s="421"/>
    </row>
    <row r="887" spans="17:17">
      <c r="Q887" s="421"/>
    </row>
    <row r="888" spans="17:17">
      <c r="Q888" s="421"/>
    </row>
    <row r="889" spans="17:17">
      <c r="Q889" s="421"/>
    </row>
    <row r="890" spans="17:17">
      <c r="Q890" s="421"/>
    </row>
    <row r="891" spans="17:17">
      <c r="Q891" s="421"/>
    </row>
    <row r="892" spans="17:17">
      <c r="Q892" s="421"/>
    </row>
    <row r="893" spans="17:17">
      <c r="Q893" s="421"/>
    </row>
    <row r="894" spans="17:17">
      <c r="Q894" s="421"/>
    </row>
    <row r="895" spans="17:17">
      <c r="Q895" s="421"/>
    </row>
    <row r="896" spans="17:17">
      <c r="Q896" s="421"/>
    </row>
    <row r="897" spans="17:17">
      <c r="Q897" s="421"/>
    </row>
    <row r="898" spans="17:17">
      <c r="Q898" s="421"/>
    </row>
    <row r="899" spans="17:17">
      <c r="Q899" s="421"/>
    </row>
    <row r="900" spans="17:17">
      <c r="Q900" s="421"/>
    </row>
    <row r="901" spans="17:17">
      <c r="Q901" s="421"/>
    </row>
    <row r="902" spans="17:17">
      <c r="Q902" s="421"/>
    </row>
    <row r="903" spans="17:17">
      <c r="Q903" s="421"/>
    </row>
    <row r="904" spans="17:17">
      <c r="Q904" s="421"/>
    </row>
    <row r="905" spans="17:17">
      <c r="Q905" s="421"/>
    </row>
    <row r="906" spans="17:17">
      <c r="Q906" s="421"/>
    </row>
    <row r="907" spans="17:17">
      <c r="Q907" s="421"/>
    </row>
    <row r="908" spans="17:17">
      <c r="Q908" s="421"/>
    </row>
    <row r="909" spans="17:17">
      <c r="Q909" s="421"/>
    </row>
    <row r="910" spans="17:17">
      <c r="Q910" s="421"/>
    </row>
    <row r="911" spans="17:17">
      <c r="Q911" s="421"/>
    </row>
    <row r="912" spans="17:17">
      <c r="Q912" s="421"/>
    </row>
    <row r="913" spans="17:17">
      <c r="Q913" s="421"/>
    </row>
    <row r="914" spans="17:17">
      <c r="Q914" s="421"/>
    </row>
    <row r="915" spans="17:17">
      <c r="Q915" s="421"/>
    </row>
    <row r="916" spans="17:17">
      <c r="Q916" s="421"/>
    </row>
    <row r="917" spans="17:17">
      <c r="Q917" s="421"/>
    </row>
    <row r="918" spans="17:17">
      <c r="Q918" s="421"/>
    </row>
    <row r="919" spans="17:17">
      <c r="Q919" s="421"/>
    </row>
    <row r="920" spans="17:17">
      <c r="Q920" s="421"/>
    </row>
    <row r="921" spans="17:17">
      <c r="Q921" s="421"/>
    </row>
    <row r="922" spans="17:17">
      <c r="Q922" s="421"/>
    </row>
    <row r="923" spans="17:17">
      <c r="Q923" s="421"/>
    </row>
    <row r="924" spans="17:17">
      <c r="Q924" s="421"/>
    </row>
    <row r="925" spans="17:17">
      <c r="Q925" s="421"/>
    </row>
    <row r="926" spans="17:17">
      <c r="Q926" s="421"/>
    </row>
    <row r="927" spans="17:17">
      <c r="Q927" s="421"/>
    </row>
    <row r="928" spans="17:17">
      <c r="Q928" s="421"/>
    </row>
    <row r="929" spans="17:17">
      <c r="Q929" s="421"/>
    </row>
    <row r="930" spans="17:17">
      <c r="Q930" s="421"/>
    </row>
    <row r="931" spans="17:17">
      <c r="Q931" s="421"/>
    </row>
    <row r="932" spans="17:17">
      <c r="Q932" s="421"/>
    </row>
    <row r="933" spans="17:17">
      <c r="Q933" s="421"/>
    </row>
    <row r="934" spans="17:17">
      <c r="Q934" s="421"/>
    </row>
    <row r="935" spans="17:17">
      <c r="Q935" s="421"/>
    </row>
    <row r="936" spans="17:17">
      <c r="Q936" s="421"/>
    </row>
    <row r="937" spans="17:17">
      <c r="Q937" s="421"/>
    </row>
    <row r="938" spans="17:17">
      <c r="Q938" s="421"/>
    </row>
    <row r="939" spans="17:17">
      <c r="Q939" s="421"/>
    </row>
    <row r="940" spans="17:17">
      <c r="Q940" s="421"/>
    </row>
    <row r="941" spans="17:17">
      <c r="Q941" s="421"/>
    </row>
    <row r="942" spans="17:17">
      <c r="Q942" s="421"/>
    </row>
    <row r="943" spans="17:17">
      <c r="Q943" s="421"/>
    </row>
    <row r="944" spans="17:17">
      <c r="Q944" s="421"/>
    </row>
    <row r="945" spans="17:17">
      <c r="Q945" s="421"/>
    </row>
    <row r="946" spans="17:17">
      <c r="Q946" s="421"/>
    </row>
    <row r="947" spans="17:17">
      <c r="Q947" s="421"/>
    </row>
    <row r="948" spans="17:17">
      <c r="Q948" s="421"/>
    </row>
    <row r="949" spans="17:17">
      <c r="Q949" s="421"/>
    </row>
    <row r="950" spans="17:17">
      <c r="Q950" s="421"/>
    </row>
    <row r="951" spans="17:17">
      <c r="Q951" s="421"/>
    </row>
    <row r="952" spans="17:17">
      <c r="Q952" s="421"/>
    </row>
    <row r="953" spans="17:17">
      <c r="Q953" s="421"/>
    </row>
    <row r="954" spans="17:17">
      <c r="Q954" s="421"/>
    </row>
    <row r="955" spans="17:17">
      <c r="Q955" s="421"/>
    </row>
    <row r="956" spans="17:17">
      <c r="Q956" s="421"/>
    </row>
    <row r="957" spans="17:17">
      <c r="Q957" s="421"/>
    </row>
    <row r="958" spans="17:17">
      <c r="Q958" s="421"/>
    </row>
    <row r="959" spans="17:17">
      <c r="Q959" s="421"/>
    </row>
    <row r="960" spans="17:17">
      <c r="Q960" s="421"/>
    </row>
    <row r="961" spans="17:17">
      <c r="Q961" s="421"/>
    </row>
    <row r="962" spans="17:17">
      <c r="Q962" s="421"/>
    </row>
    <row r="963" spans="17:17">
      <c r="Q963" s="421"/>
    </row>
    <row r="964" spans="17:17">
      <c r="Q964" s="421"/>
    </row>
    <row r="965" spans="17:17">
      <c r="Q965" s="421"/>
    </row>
    <row r="966" spans="17:17">
      <c r="Q966" s="421"/>
    </row>
    <row r="967" spans="17:17">
      <c r="Q967" s="421"/>
    </row>
    <row r="968" spans="17:17">
      <c r="Q968" s="421"/>
    </row>
    <row r="969" spans="17:17">
      <c r="Q969" s="421"/>
    </row>
    <row r="970" spans="17:17">
      <c r="Q970" s="421"/>
    </row>
    <row r="971" spans="17:17">
      <c r="Q971" s="421"/>
    </row>
    <row r="972" spans="17:17">
      <c r="Q972" s="421"/>
    </row>
    <row r="973" spans="17:17">
      <c r="Q973" s="421"/>
    </row>
    <row r="974" spans="17:17">
      <c r="Q974" s="421"/>
    </row>
    <row r="975" spans="17:17">
      <c r="Q975" s="421"/>
    </row>
    <row r="976" spans="17:17">
      <c r="Q976" s="421"/>
    </row>
    <row r="977" spans="17:17">
      <c r="Q977" s="421"/>
    </row>
    <row r="978" spans="17:17">
      <c r="Q978" s="421"/>
    </row>
    <row r="979" spans="17:17">
      <c r="Q979" s="421"/>
    </row>
    <row r="980" spans="17:17">
      <c r="Q980" s="421"/>
    </row>
    <row r="981" spans="17:17">
      <c r="Q981" s="421"/>
    </row>
    <row r="982" spans="17:17">
      <c r="Q982" s="421"/>
    </row>
    <row r="983" spans="17:17">
      <c r="Q983" s="421"/>
    </row>
    <row r="984" spans="17:17">
      <c r="Q984" s="421"/>
    </row>
    <row r="985" spans="17:17">
      <c r="Q985" s="421"/>
    </row>
    <row r="986" spans="17:17">
      <c r="Q986" s="421"/>
    </row>
    <row r="987" spans="17:17">
      <c r="Q987" s="421"/>
    </row>
    <row r="988" spans="17:17">
      <c r="Q988" s="421"/>
    </row>
    <row r="989" spans="17:17">
      <c r="Q989" s="421"/>
    </row>
    <row r="990" spans="17:17">
      <c r="Q990" s="421"/>
    </row>
    <row r="991" spans="17:17">
      <c r="Q991" s="421"/>
    </row>
    <row r="992" spans="17:17">
      <c r="Q992" s="421"/>
    </row>
    <row r="993" spans="17:17">
      <c r="Q993" s="421"/>
    </row>
    <row r="994" spans="17:17">
      <c r="Q994" s="421"/>
    </row>
    <row r="995" spans="17:17">
      <c r="Q995" s="421"/>
    </row>
    <row r="996" spans="17:17">
      <c r="Q996" s="421"/>
    </row>
  </sheetData>
  <mergeCells count="1">
    <mergeCell ref="M2:Q2"/>
  </mergeCells>
  <conditionalFormatting sqref="C3 P4:Q11 C6:C7 C9:C11 C17 C34:C35 P35:Q38">
    <cfRule type="containsText" dxfId="0" priority="1" operator="containsText" text="LIBRE">
      <formula>NOT(ISERROR(SEARCH(("LIBRE"),(C3))))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55</vt:i4>
      </vt:variant>
    </vt:vector>
  </HeadingPairs>
  <TitlesOfParts>
    <vt:vector size="55" baseType="lpstr">
      <vt:lpstr>26</vt:lpstr>
      <vt:lpstr>27</vt:lpstr>
      <vt:lpstr>28</vt:lpstr>
      <vt:lpstr>29</vt:lpstr>
      <vt:lpstr>30</vt:lpstr>
      <vt:lpstr>Hoja 571</vt:lpstr>
      <vt:lpstr>31.</vt:lpstr>
      <vt:lpstr>01-01</vt:lpstr>
      <vt:lpstr>02</vt:lpstr>
      <vt:lpstr>01</vt:lpstr>
      <vt:lpstr>03</vt:lpstr>
      <vt:lpstr>04</vt:lpstr>
      <vt:lpstr>05</vt:lpstr>
      <vt:lpstr>06</vt:lpstr>
      <vt:lpstr>07</vt:lpstr>
      <vt:lpstr>08</vt:lpstr>
      <vt:lpstr>09</vt:lpstr>
      <vt:lpstr>10.</vt:lpstr>
      <vt:lpstr>11.</vt:lpstr>
      <vt:lpstr>12.</vt:lpstr>
      <vt:lpstr>13.</vt:lpstr>
      <vt:lpstr>14.</vt:lpstr>
      <vt:lpstr>15.</vt:lpstr>
      <vt:lpstr>16.</vt:lpstr>
      <vt:lpstr>17.</vt:lpstr>
      <vt:lpstr>22</vt:lpstr>
      <vt:lpstr>18.</vt:lpstr>
      <vt:lpstr>19.</vt:lpstr>
      <vt:lpstr>20.</vt:lpstr>
      <vt:lpstr>21.</vt:lpstr>
      <vt:lpstr>22.</vt:lpstr>
      <vt:lpstr>23.</vt:lpstr>
      <vt:lpstr>24.</vt:lpstr>
      <vt:lpstr>25.</vt:lpstr>
      <vt:lpstr>26.</vt:lpstr>
      <vt:lpstr>27.</vt:lpstr>
      <vt:lpstr>28.</vt:lpstr>
      <vt:lpstr>29.</vt:lpstr>
      <vt:lpstr>30.</vt:lpstr>
      <vt:lpstr>DIM ENE</vt:lpstr>
      <vt:lpstr>01-03</vt:lpstr>
      <vt:lpstr>02-03</vt:lpstr>
      <vt:lpstr>03-03</vt:lpstr>
      <vt:lpstr>05-03</vt:lpstr>
      <vt:lpstr>06-03</vt:lpstr>
      <vt:lpstr>04-03</vt:lpstr>
      <vt:lpstr>07-03</vt:lpstr>
      <vt:lpstr>08-03</vt:lpstr>
      <vt:lpstr>09-03</vt:lpstr>
      <vt:lpstr>10-03</vt:lpstr>
      <vt:lpstr>BREAKS</vt:lpstr>
      <vt:lpstr>HT DIC</vt:lpstr>
      <vt:lpstr>Break DIC</vt:lpstr>
      <vt:lpstr>DIM DIC</vt:lpstr>
      <vt:lpstr>VPN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Aguay</dc:creator>
  <cp:lastModifiedBy>Jonathan Zambrano</cp:lastModifiedBy>
  <dcterms:created xsi:type="dcterms:W3CDTF">2026-02-20T14:16:52Z</dcterms:created>
  <dcterms:modified xsi:type="dcterms:W3CDTF">2026-03-11T18:04:17Z</dcterms:modified>
</cp:coreProperties>
</file>