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xampp\htdocs\system-horario\TurnoFlow\idHorario\"/>
    </mc:Choice>
  </mc:AlternateContent>
  <xr:revisionPtr revIDLastSave="0" documentId="8_{28181AFA-319B-4A77-9C80-F30849240019}" xr6:coauthVersionLast="47" xr6:coauthVersionMax="47" xr10:uidLastSave="{00000000-0000-0000-0000-000000000000}"/>
  <bookViews>
    <workbookView xWindow="20370" yWindow="-120" windowWidth="21840" windowHeight="13020" xr2:uid="{00000000-000D-0000-FFFF-FFFF00000000}"/>
  </bookViews>
  <sheets>
    <sheet name="CONTROL INBOUND" sheetId="1" r:id="rId1"/>
    <sheet name="Adherencia_In" sheetId="9" state="hidden" r:id="rId2"/>
    <sheet name="apps_" sheetId="5" state="hidden" r:id="rId3"/>
    <sheet name="H_Biometrico" sheetId="7" r:id="rId4"/>
    <sheet name="Hoja2" sheetId="8" state="hidden" r:id="rId5"/>
    <sheet name="Nomenclatura" sheetId="4" state="hidden" r:id="rId6"/>
    <sheet name="id_horario" sheetId="6" state="hidden" r:id="rId7"/>
  </sheets>
  <definedNames>
    <definedName name="_xlnm._FilterDatabase" localSheetId="0" hidden="1">'CONTROL INBOUND'!$A$5:$EJ$27</definedName>
    <definedName name="_xlnm._FilterDatabase" localSheetId="3" hidden="1">H_Biometrico!$A$1:$AH$26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26" i="1" l="1"/>
  <c r="EB27" i="1"/>
  <c r="EB6" i="1"/>
  <c r="EB7" i="1"/>
  <c r="EB8" i="1"/>
  <c r="EB9" i="1"/>
  <c r="EB10" i="1"/>
  <c r="EB11" i="1"/>
  <c r="EB12" i="1"/>
  <c r="EB13" i="1"/>
  <c r="EB14" i="1"/>
  <c r="EB15" i="1"/>
  <c r="EB16" i="1"/>
  <c r="EB17" i="1"/>
  <c r="EB18" i="1"/>
  <c r="EB19" i="1"/>
  <c r="EB20" i="1"/>
  <c r="EB21" i="1"/>
  <c r="EB22" i="1"/>
  <c r="EB23" i="1"/>
  <c r="EB24" i="1"/>
  <c r="EB25" i="1"/>
  <c r="DL3" i="1" l="1"/>
  <c r="DT3" i="1"/>
  <c r="DP3" i="1"/>
  <c r="EI4" i="1"/>
  <c r="EI3" i="1"/>
  <c r="EF18" i="1"/>
  <c r="EC18" i="1"/>
  <c r="ED18" i="1"/>
  <c r="EE18" i="1"/>
  <c r="EG18" i="1"/>
  <c r="EE7" i="1"/>
  <c r="EE8" i="1"/>
  <c r="EE9" i="1"/>
  <c r="EE10" i="1"/>
  <c r="EE11" i="1"/>
  <c r="EE12" i="1"/>
  <c r="EE13" i="1"/>
  <c r="EE14" i="1"/>
  <c r="EE15" i="1"/>
  <c r="EE16" i="1"/>
  <c r="EE17" i="1"/>
  <c r="EE19" i="1"/>
  <c r="EE20" i="1"/>
  <c r="EE21" i="1"/>
  <c r="EE22" i="1"/>
  <c r="EE23" i="1"/>
  <c r="EE24" i="1"/>
  <c r="EE25" i="1"/>
  <c r="EE26" i="1"/>
  <c r="EE27" i="1"/>
  <c r="EE6" i="1"/>
  <c r="ED7" i="1"/>
  <c r="ED8" i="1"/>
  <c r="ED9" i="1"/>
  <c r="ED10" i="1"/>
  <c r="ED11" i="1"/>
  <c r="ED12" i="1"/>
  <c r="ED13" i="1"/>
  <c r="ED14" i="1"/>
  <c r="ED15" i="1"/>
  <c r="ED16" i="1"/>
  <c r="ED17" i="1"/>
  <c r="ED19" i="1"/>
  <c r="ED20" i="1"/>
  <c r="ED21" i="1"/>
  <c r="ED22" i="1"/>
  <c r="ED23" i="1"/>
  <c r="ED24" i="1"/>
  <c r="ED25" i="1"/>
  <c r="ED26" i="1"/>
  <c r="ED27" i="1"/>
  <c r="ED6" i="1"/>
  <c r="EH19" i="1"/>
  <c r="EH24" i="1"/>
  <c r="EJ18" i="1" l="1"/>
  <c r="EI18" i="1"/>
  <c r="EH18" i="1"/>
  <c r="EF17" i="1"/>
  <c r="EC17" i="1"/>
  <c r="EG17" i="1"/>
  <c r="BU1" i="1"/>
  <c r="BU2" i="1"/>
  <c r="BT3" i="1"/>
  <c r="BV1" i="1" l="1"/>
  <c r="EJ17" i="1"/>
  <c r="EI17" i="1"/>
  <c r="EH17" i="1"/>
  <c r="EF15" i="1"/>
  <c r="EC15" i="1"/>
  <c r="EG15" i="1"/>
  <c r="EF16" i="1"/>
  <c r="EC16" i="1"/>
  <c r="EG16" i="1"/>
  <c r="EF13" i="1"/>
  <c r="EC13" i="1"/>
  <c r="EG13" i="1"/>
  <c r="EF14" i="1"/>
  <c r="EC14" i="1"/>
  <c r="EG14" i="1"/>
  <c r="EJ15" i="1" l="1"/>
  <c r="EH15" i="1"/>
  <c r="EJ16" i="1"/>
  <c r="EI15" i="1"/>
  <c r="EH16" i="1"/>
  <c r="EI16" i="1"/>
  <c r="EJ13" i="1"/>
  <c r="EH13" i="1"/>
  <c r="EJ14" i="1"/>
  <c r="EH14" i="1"/>
  <c r="EI13" i="1"/>
  <c r="EG19" i="1"/>
  <c r="EF12" i="1"/>
  <c r="EC12" i="1"/>
  <c r="EG12" i="1"/>
  <c r="EI14" i="1" l="1"/>
  <c r="EH12" i="1"/>
  <c r="EJ12" i="1"/>
  <c r="EI12" i="1"/>
  <c r="EG20" i="1"/>
  <c r="EG21" i="1"/>
  <c r="EG22" i="1"/>
  <c r="EG23" i="1"/>
  <c r="EG24" i="1"/>
  <c r="EG25" i="1"/>
  <c r="EG27" i="1"/>
  <c r="EG11" i="1" l="1"/>
  <c r="EF10" i="1"/>
  <c r="EC10" i="1"/>
  <c r="EG10" i="1"/>
  <c r="EF11" i="1"/>
  <c r="EC11" i="1"/>
  <c r="EH10" i="1" l="1"/>
  <c r="EJ11" i="1"/>
  <c r="EJ10" i="1"/>
  <c r="EH11" i="1"/>
  <c r="EH25" i="1"/>
  <c r="EI11" i="1"/>
  <c r="EI10" i="1" l="1"/>
  <c r="EH20" i="1"/>
  <c r="EH22" i="1"/>
  <c r="EH23" i="1"/>
  <c r="EH27" i="1"/>
  <c r="EF25" i="1"/>
  <c r="EC25" i="1"/>
  <c r="EI25" i="1"/>
  <c r="EJ25" i="1"/>
  <c r="EC7" i="1" l="1"/>
  <c r="EC8" i="1"/>
  <c r="EH6" i="1"/>
  <c r="EJ7" i="1"/>
  <c r="EJ8" i="1"/>
  <c r="EH26" i="1"/>
  <c r="EF9" i="1"/>
  <c r="EF22" i="1"/>
  <c r="EF24" i="1"/>
  <c r="EC6" i="1"/>
  <c r="EG6" i="1"/>
  <c r="EG7" i="1"/>
  <c r="EG8" i="1"/>
  <c r="EC26" i="1"/>
  <c r="EG26" i="1"/>
  <c r="EC9" i="1"/>
  <c r="EG9" i="1"/>
  <c r="EC19" i="1"/>
  <c r="EC20" i="1"/>
  <c r="EF20" i="1"/>
  <c r="EC21" i="1"/>
  <c r="EC22" i="1"/>
  <c r="EC23" i="1"/>
  <c r="EF23" i="1"/>
  <c r="EJ23" i="1"/>
  <c r="EC24" i="1"/>
  <c r="EC27" i="1"/>
  <c r="EF21" i="1" l="1"/>
  <c r="EH21" i="1"/>
  <c r="EH8" i="1"/>
  <c r="EF8" i="1"/>
  <c r="EJ9" i="1"/>
  <c r="EJ24" i="1"/>
  <c r="EH9" i="1"/>
  <c r="EJ20" i="1"/>
  <c r="EJ6" i="1"/>
  <c r="EJ26" i="1"/>
  <c r="EI7" i="1"/>
  <c r="EI9" i="1"/>
  <c r="EI19" i="1"/>
  <c r="EI24" i="1"/>
  <c r="EI20" i="1"/>
  <c r="EI26" i="1"/>
  <c r="EI6" i="1"/>
  <c r="EF26" i="1"/>
  <c r="EI23" i="1"/>
  <c r="EI8" i="1"/>
  <c r="EF6" i="1"/>
  <c r="EI21" i="1"/>
  <c r="EJ21" i="1"/>
  <c r="EI22" i="1"/>
  <c r="EJ22" i="1"/>
  <c r="EH7" i="1"/>
  <c r="EF7" i="1"/>
  <c r="EI27" i="1"/>
  <c r="EJ27" i="1"/>
  <c r="EF27" i="1"/>
  <c r="EJ19" i="1"/>
  <c r="EF19" i="1"/>
  <c r="D13" i="7" l="1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D23" i="7" l="1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L5" i="9" l="1"/>
  <c r="AK5" i="9"/>
  <c r="V3" i="7" l="1"/>
  <c r="W3" i="7"/>
  <c r="X3" i="7"/>
  <c r="V4" i="7"/>
  <c r="W4" i="7"/>
  <c r="X4" i="7"/>
  <c r="V5" i="7"/>
  <c r="W5" i="7"/>
  <c r="X5" i="7"/>
  <c r="V24" i="7"/>
  <c r="W24" i="7"/>
  <c r="X24" i="7"/>
  <c r="V6" i="7"/>
  <c r="W6" i="7"/>
  <c r="X6" i="7"/>
  <c r="V7" i="7"/>
  <c r="W7" i="7"/>
  <c r="X7" i="7"/>
  <c r="V8" i="7"/>
  <c r="W8" i="7"/>
  <c r="X8" i="7"/>
  <c r="V9" i="7"/>
  <c r="W9" i="7"/>
  <c r="X9" i="7"/>
  <c r="V10" i="7"/>
  <c r="W10" i="7"/>
  <c r="X10" i="7"/>
  <c r="V11" i="7"/>
  <c r="W11" i="7"/>
  <c r="X11" i="7"/>
  <c r="D12" i="7" l="1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D3" i="7" l="1"/>
  <c r="DQ2" i="1" l="1"/>
  <c r="DI2" i="1"/>
  <c r="DE2" i="1"/>
  <c r="DA2" i="1"/>
  <c r="CW2" i="1"/>
  <c r="CS2" i="1"/>
  <c r="CO2" i="1"/>
  <c r="CK2" i="1"/>
  <c r="CG2" i="1"/>
  <c r="CC2" i="1"/>
  <c r="BY2" i="1"/>
  <c r="BQ2" i="1"/>
  <c r="BM2" i="1"/>
  <c r="BI2" i="1"/>
  <c r="BE2" i="1"/>
  <c r="BA2" i="1"/>
  <c r="AW2" i="1"/>
  <c r="AS2" i="1"/>
  <c r="AO2" i="1"/>
  <c r="AK2" i="1"/>
  <c r="AG2" i="1"/>
  <c r="AC2" i="1"/>
  <c r="Y2" i="1"/>
  <c r="U2" i="1"/>
  <c r="Q2" i="1"/>
  <c r="DQ1" i="1"/>
  <c r="DI1" i="1"/>
  <c r="DE1" i="1"/>
  <c r="DA1" i="1"/>
  <c r="CW1" i="1"/>
  <c r="CS1" i="1"/>
  <c r="CO1" i="1"/>
  <c r="CK1" i="1"/>
  <c r="CG1" i="1"/>
  <c r="CC1" i="1"/>
  <c r="BY1" i="1"/>
  <c r="BQ1" i="1"/>
  <c r="BM1" i="1"/>
  <c r="BI1" i="1"/>
  <c r="BE1" i="1"/>
  <c r="BA1" i="1"/>
  <c r="AW1" i="1"/>
  <c r="AS1" i="1"/>
  <c r="AO1" i="1"/>
  <c r="AK1" i="1"/>
  <c r="AG1" i="1"/>
  <c r="AC1" i="1"/>
  <c r="Y1" i="1"/>
  <c r="U1" i="1"/>
  <c r="Q1" i="1"/>
  <c r="M2" i="1"/>
  <c r="M1" i="1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S1" i="9"/>
  <c r="T1" i="9"/>
  <c r="U1" i="9"/>
  <c r="V1" i="9"/>
  <c r="W1" i="9"/>
  <c r="X1" i="9"/>
  <c r="Y1" i="9"/>
  <c r="Z1" i="9"/>
  <c r="AA1" i="9"/>
  <c r="AB1" i="9"/>
  <c r="AC1" i="9"/>
  <c r="AD1" i="9"/>
  <c r="AE1" i="9"/>
  <c r="AF1" i="9"/>
  <c r="C1" i="9"/>
  <c r="B1" i="9"/>
  <c r="AF5" i="9"/>
  <c r="I2" i="1"/>
  <c r="I1" i="1"/>
  <c r="C5" i="9"/>
  <c r="C7" i="9" s="1"/>
  <c r="D5" i="9"/>
  <c r="D7" i="9" s="1"/>
  <c r="E5" i="9"/>
  <c r="E7" i="9" s="1"/>
  <c r="F5" i="9"/>
  <c r="F7" i="9" s="1"/>
  <c r="G5" i="9"/>
  <c r="G7" i="9" s="1"/>
  <c r="H5" i="9"/>
  <c r="H7" i="9" s="1"/>
  <c r="I5" i="9"/>
  <c r="I7" i="9" s="1"/>
  <c r="J5" i="9"/>
  <c r="J7" i="9" s="1"/>
  <c r="K5" i="9"/>
  <c r="L5" i="9"/>
  <c r="L7" i="9" s="1"/>
  <c r="M5" i="9"/>
  <c r="N5" i="9"/>
  <c r="O5" i="9"/>
  <c r="P5" i="9"/>
  <c r="Q5" i="9"/>
  <c r="R5" i="9"/>
  <c r="S5" i="9"/>
  <c r="T5" i="9"/>
  <c r="U5" i="9"/>
  <c r="V5" i="9"/>
  <c r="W5" i="9"/>
  <c r="X5" i="9"/>
  <c r="Y5" i="9"/>
  <c r="Z5" i="9"/>
  <c r="AA5" i="9"/>
  <c r="AB5" i="9"/>
  <c r="AC5" i="9"/>
  <c r="AD5" i="9"/>
  <c r="AE5" i="9"/>
  <c r="B5" i="9"/>
  <c r="B7" i="9" s="1"/>
  <c r="AP1" i="1" l="1"/>
  <c r="J6" i="9" s="1"/>
  <c r="J11" i="9" s="1"/>
  <c r="AD6" i="9"/>
  <c r="AD11" i="9" s="1"/>
  <c r="AF7" i="9"/>
  <c r="AE7" i="9"/>
  <c r="AA7" i="9"/>
  <c r="W7" i="9"/>
  <c r="S7" i="9"/>
  <c r="O7" i="9"/>
  <c r="AC7" i="9"/>
  <c r="Y7" i="9"/>
  <c r="U7" i="9"/>
  <c r="Q7" i="9"/>
  <c r="M7" i="9"/>
  <c r="AB7" i="9"/>
  <c r="X7" i="9"/>
  <c r="T7" i="9"/>
  <c r="P7" i="9"/>
  <c r="AD7" i="9"/>
  <c r="Z7" i="9"/>
  <c r="V7" i="9"/>
  <c r="R7" i="9"/>
  <c r="N7" i="9"/>
  <c r="BF1" i="1"/>
  <c r="N6" i="9" s="1"/>
  <c r="N11" i="9" s="1"/>
  <c r="DB1" i="1"/>
  <c r="Z6" i="9" s="1"/>
  <c r="Z11" i="9" s="1"/>
  <c r="R6" i="9"/>
  <c r="R11" i="9" s="1"/>
  <c r="Z1" i="1"/>
  <c r="F6" i="9" s="1"/>
  <c r="F11" i="9" s="1"/>
  <c r="AD1" i="1"/>
  <c r="G6" i="9" s="1"/>
  <c r="G11" i="9" s="1"/>
  <c r="AE6" i="9"/>
  <c r="AE11" i="9" s="1"/>
  <c r="DF1" i="1"/>
  <c r="AA6" i="9" s="1"/>
  <c r="AA11" i="9" s="1"/>
  <c r="CL1" i="1"/>
  <c r="V6" i="9" s="1"/>
  <c r="V11" i="9" s="1"/>
  <c r="CP1" i="1"/>
  <c r="W6" i="9" s="1"/>
  <c r="W11" i="9" s="1"/>
  <c r="R1" i="1"/>
  <c r="D6" i="9" s="1"/>
  <c r="D11" i="9" s="1"/>
  <c r="CD1" i="1"/>
  <c r="T6" i="9" s="1"/>
  <c r="K7" i="9"/>
  <c r="AT2" i="1"/>
  <c r="BZ1" i="1"/>
  <c r="S6" i="9" s="1"/>
  <c r="S11" i="9" s="1"/>
  <c r="BJ1" i="1"/>
  <c r="O6" i="9" s="1"/>
  <c r="O11" i="9" s="1"/>
  <c r="AT1" i="1"/>
  <c r="K6" i="9" s="1"/>
  <c r="K11" i="9" s="1"/>
  <c r="V1" i="1"/>
  <c r="E6" i="9" s="1"/>
  <c r="E11" i="9" s="1"/>
  <c r="N1" i="1"/>
  <c r="C6" i="9" s="1"/>
  <c r="C11" i="9" s="1"/>
  <c r="AL1" i="1"/>
  <c r="I6" i="9" s="1"/>
  <c r="I11" i="9" s="1"/>
  <c r="BB1" i="1"/>
  <c r="M6" i="9" s="1"/>
  <c r="CH1" i="1"/>
  <c r="U6" i="9" s="1"/>
  <c r="DR1" i="1"/>
  <c r="AC6" i="9" s="1"/>
  <c r="AH5" i="9"/>
  <c r="BR1" i="1"/>
  <c r="Q6" i="9" s="1"/>
  <c r="Q11" i="9" s="1"/>
  <c r="CX1" i="1"/>
  <c r="Y6" i="9" s="1"/>
  <c r="DJ1" i="1"/>
  <c r="AB6" i="9" s="1"/>
  <c r="AB11" i="9" s="1"/>
  <c r="AX1" i="1"/>
  <c r="L6" i="9" s="1"/>
  <c r="L11" i="9" s="1"/>
  <c r="BN1" i="1"/>
  <c r="P6" i="9" s="1"/>
  <c r="AF6" i="9"/>
  <c r="AF11" i="9" s="1"/>
  <c r="AH1" i="1"/>
  <c r="H6" i="9" s="1"/>
  <c r="H11" i="9" s="1"/>
  <c r="CT1" i="1"/>
  <c r="X6" i="9" s="1"/>
  <c r="J1" i="1"/>
  <c r="B6" i="9" s="1"/>
  <c r="B11" i="9" s="1"/>
  <c r="X8" i="9" l="1"/>
  <c r="X9" i="9" s="1"/>
  <c r="X10" i="9" s="1"/>
  <c r="CU1" i="1" s="1"/>
  <c r="X11" i="9"/>
  <c r="AB8" i="9"/>
  <c r="AB9" i="9" s="1"/>
  <c r="AB10" i="9" s="1"/>
  <c r="DK1" i="1" s="1"/>
  <c r="U8" i="9"/>
  <c r="U9" i="9" s="1"/>
  <c r="U10" i="9" s="1"/>
  <c r="CI1" i="1" s="1"/>
  <c r="U11" i="9"/>
  <c r="AC8" i="9"/>
  <c r="AC9" i="9" s="1"/>
  <c r="AC10" i="9" s="1"/>
  <c r="DS1" i="1" s="1"/>
  <c r="AC11" i="9"/>
  <c r="Y8" i="9"/>
  <c r="Y9" i="9" s="1"/>
  <c r="Y10" i="9" s="1"/>
  <c r="CY1" i="1" s="1"/>
  <c r="Y11" i="9"/>
  <c r="P8" i="9"/>
  <c r="P9" i="9" s="1"/>
  <c r="P10" i="9" s="1"/>
  <c r="BO1" i="1" s="1"/>
  <c r="P11" i="9"/>
  <c r="Q8" i="9"/>
  <c r="Q9" i="9" s="1"/>
  <c r="Q10" i="9" s="1"/>
  <c r="BS1" i="1" s="1"/>
  <c r="M8" i="9"/>
  <c r="M9" i="9" s="1"/>
  <c r="M10" i="9" s="1"/>
  <c r="BC1" i="1" s="1"/>
  <c r="M11" i="9"/>
  <c r="T8" i="9"/>
  <c r="T9" i="9" s="1"/>
  <c r="T10" i="9" s="1"/>
  <c r="CE1" i="1" s="1"/>
  <c r="T11" i="9"/>
  <c r="L8" i="9"/>
  <c r="L9" i="9" s="1"/>
  <c r="L10" i="9" s="1"/>
  <c r="AY1" i="1" s="1"/>
  <c r="H8" i="9"/>
  <c r="H9" i="9" s="1"/>
  <c r="H10" i="9" s="1"/>
  <c r="AI1" i="1" s="1"/>
  <c r="D8" i="9"/>
  <c r="D9" i="9" s="1"/>
  <c r="D10" i="9" s="1"/>
  <c r="S1" i="1" s="1"/>
  <c r="E8" i="9"/>
  <c r="E9" i="9" s="1"/>
  <c r="E10" i="9" s="1"/>
  <c r="W1" i="1" s="1"/>
  <c r="I8" i="9"/>
  <c r="I9" i="9" s="1"/>
  <c r="I10" i="9" s="1"/>
  <c r="AM1" i="1" s="1"/>
  <c r="AI5" i="9"/>
  <c r="AJ5" i="9" s="1"/>
  <c r="B8" i="9"/>
  <c r="B9" i="9" s="1"/>
  <c r="B10" i="9" s="1"/>
  <c r="K1" i="1" s="1"/>
  <c r="S8" i="9"/>
  <c r="S9" i="9" s="1"/>
  <c r="S10" i="9" s="1"/>
  <c r="N8" i="9"/>
  <c r="N9" i="9" s="1"/>
  <c r="N10" i="9" s="1"/>
  <c r="C8" i="9"/>
  <c r="C9" i="9" s="1"/>
  <c r="C10" i="9" s="1"/>
  <c r="AE8" i="9"/>
  <c r="AE9" i="9" s="1"/>
  <c r="AE10" i="9" s="1"/>
  <c r="O8" i="9"/>
  <c r="O9" i="9" s="1"/>
  <c r="O10" i="9" s="1"/>
  <c r="Z8" i="9"/>
  <c r="Z9" i="9" s="1"/>
  <c r="Z10" i="9" s="1"/>
  <c r="J8" i="9"/>
  <c r="J9" i="9" s="1"/>
  <c r="J10" i="9" s="1"/>
  <c r="AD8" i="9"/>
  <c r="AD9" i="9" s="1"/>
  <c r="AD10" i="9" s="1"/>
  <c r="AA8" i="9"/>
  <c r="AA9" i="9" s="1"/>
  <c r="AA10" i="9" s="1"/>
  <c r="K8" i="9"/>
  <c r="K9" i="9" s="1"/>
  <c r="K10" i="9" s="1"/>
  <c r="V8" i="9"/>
  <c r="V9" i="9" s="1"/>
  <c r="V10" i="9" s="1"/>
  <c r="F8" i="9"/>
  <c r="F9" i="9" s="1"/>
  <c r="F10" i="9" s="1"/>
  <c r="W8" i="9"/>
  <c r="W9" i="9" s="1"/>
  <c r="W10" i="9" s="1"/>
  <c r="G8" i="9"/>
  <c r="G9" i="9" s="1"/>
  <c r="G10" i="9" s="1"/>
  <c r="R8" i="9"/>
  <c r="R9" i="9" s="1"/>
  <c r="R10" i="9" s="1"/>
  <c r="BW1" i="1" s="1"/>
  <c r="AI11" i="9" l="1"/>
  <c r="CM1" i="1"/>
  <c r="AQ1" i="1"/>
  <c r="O1" i="1"/>
  <c r="AA1" i="1"/>
  <c r="AF8" i="9"/>
  <c r="AF9" i="9" s="1"/>
  <c r="AE1" i="1"/>
  <c r="DC1" i="1"/>
  <c r="CQ1" i="1"/>
  <c r="DG1" i="1"/>
  <c r="BK1" i="1"/>
  <c r="CA1" i="1"/>
  <c r="AU1" i="1"/>
  <c r="BG1" i="1"/>
  <c r="AF10" i="9" l="1"/>
  <c r="AD11" i="7" l="1"/>
  <c r="AH4" i="7" l="1"/>
  <c r="AH5" i="7"/>
  <c r="AH24" i="7"/>
  <c r="AH6" i="7"/>
  <c r="AH7" i="7"/>
  <c r="AH8" i="7"/>
  <c r="AH9" i="7"/>
  <c r="AH10" i="7"/>
  <c r="AH11" i="7"/>
  <c r="AH16" i="7"/>
  <c r="AH17" i="7"/>
  <c r="AH18" i="7"/>
  <c r="AH19" i="7"/>
  <c r="AH20" i="7"/>
  <c r="AH21" i="7"/>
  <c r="AH22" i="7"/>
  <c r="AH3" i="7"/>
  <c r="AG3" i="7"/>
  <c r="AH1" i="7"/>
  <c r="O4" i="7" l="1"/>
  <c r="P4" i="7"/>
  <c r="Q4" i="7"/>
  <c r="R4" i="7"/>
  <c r="S4" i="7"/>
  <c r="T4" i="7"/>
  <c r="U4" i="7"/>
  <c r="Y4" i="7"/>
  <c r="Z4" i="7"/>
  <c r="AA4" i="7"/>
  <c r="AB4" i="7"/>
  <c r="AC4" i="7"/>
  <c r="AD4" i="7"/>
  <c r="AE4" i="7"/>
  <c r="AF4" i="7"/>
  <c r="AG4" i="7"/>
  <c r="O5" i="7"/>
  <c r="P5" i="7"/>
  <c r="Q5" i="7"/>
  <c r="R5" i="7"/>
  <c r="S5" i="7"/>
  <c r="T5" i="7"/>
  <c r="U5" i="7"/>
  <c r="Y5" i="7"/>
  <c r="Z5" i="7"/>
  <c r="AA5" i="7"/>
  <c r="AB5" i="7"/>
  <c r="AC5" i="7"/>
  <c r="AD5" i="7"/>
  <c r="AE5" i="7"/>
  <c r="AF5" i="7"/>
  <c r="AG5" i="7"/>
  <c r="O24" i="7"/>
  <c r="P24" i="7"/>
  <c r="Q24" i="7"/>
  <c r="R24" i="7"/>
  <c r="S24" i="7"/>
  <c r="T24" i="7"/>
  <c r="U24" i="7"/>
  <c r="Y24" i="7"/>
  <c r="Z24" i="7"/>
  <c r="AA24" i="7"/>
  <c r="AB24" i="7"/>
  <c r="AC24" i="7"/>
  <c r="AD24" i="7"/>
  <c r="AE24" i="7"/>
  <c r="AF24" i="7"/>
  <c r="AG24" i="7"/>
  <c r="O6" i="7"/>
  <c r="P6" i="7"/>
  <c r="Q6" i="7"/>
  <c r="R6" i="7"/>
  <c r="S6" i="7"/>
  <c r="T6" i="7"/>
  <c r="U6" i="7"/>
  <c r="Y6" i="7"/>
  <c r="Z6" i="7"/>
  <c r="AA6" i="7"/>
  <c r="AB6" i="7"/>
  <c r="AC6" i="7"/>
  <c r="AD6" i="7"/>
  <c r="AE6" i="7"/>
  <c r="AF6" i="7"/>
  <c r="AG6" i="7"/>
  <c r="O7" i="7"/>
  <c r="P7" i="7"/>
  <c r="Q7" i="7"/>
  <c r="R7" i="7"/>
  <c r="S7" i="7"/>
  <c r="T7" i="7"/>
  <c r="U7" i="7"/>
  <c r="Y7" i="7"/>
  <c r="Z7" i="7"/>
  <c r="AA7" i="7"/>
  <c r="AB7" i="7"/>
  <c r="AC7" i="7"/>
  <c r="AD7" i="7"/>
  <c r="AE7" i="7"/>
  <c r="AF7" i="7"/>
  <c r="AG7" i="7"/>
  <c r="O8" i="7"/>
  <c r="P8" i="7"/>
  <c r="Q8" i="7"/>
  <c r="R8" i="7"/>
  <c r="S8" i="7"/>
  <c r="T8" i="7"/>
  <c r="U8" i="7"/>
  <c r="Y8" i="7"/>
  <c r="Z8" i="7"/>
  <c r="AA8" i="7"/>
  <c r="AB8" i="7"/>
  <c r="AC8" i="7"/>
  <c r="AD8" i="7"/>
  <c r="AE8" i="7"/>
  <c r="AF8" i="7"/>
  <c r="AG8" i="7"/>
  <c r="O9" i="7"/>
  <c r="P9" i="7"/>
  <c r="Q9" i="7"/>
  <c r="R9" i="7"/>
  <c r="S9" i="7"/>
  <c r="T9" i="7"/>
  <c r="U9" i="7"/>
  <c r="Y9" i="7"/>
  <c r="Z9" i="7"/>
  <c r="AA9" i="7"/>
  <c r="AB9" i="7"/>
  <c r="AC9" i="7"/>
  <c r="AD9" i="7"/>
  <c r="AE9" i="7"/>
  <c r="AF9" i="7"/>
  <c r="AG9" i="7"/>
  <c r="O10" i="7"/>
  <c r="P10" i="7"/>
  <c r="Q10" i="7"/>
  <c r="R10" i="7"/>
  <c r="S10" i="7"/>
  <c r="T10" i="7"/>
  <c r="U10" i="7"/>
  <c r="Y10" i="7"/>
  <c r="Z10" i="7"/>
  <c r="AA10" i="7"/>
  <c r="AB10" i="7"/>
  <c r="AC10" i="7"/>
  <c r="AD10" i="7"/>
  <c r="AE10" i="7"/>
  <c r="AF10" i="7"/>
  <c r="AG10" i="7"/>
  <c r="O11" i="7"/>
  <c r="P11" i="7"/>
  <c r="Q11" i="7"/>
  <c r="R11" i="7"/>
  <c r="S11" i="7"/>
  <c r="T11" i="7"/>
  <c r="U11" i="7"/>
  <c r="Y11" i="7"/>
  <c r="Z11" i="7"/>
  <c r="AA11" i="7"/>
  <c r="AB11" i="7"/>
  <c r="AC11" i="7"/>
  <c r="AE11" i="7"/>
  <c r="AF11" i="7"/>
  <c r="AG11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F3" i="7"/>
  <c r="AE3" i="7"/>
  <c r="AD3" i="7"/>
  <c r="AC3" i="7"/>
  <c r="AB3" i="7"/>
  <c r="AA3" i="7"/>
  <c r="Z3" i="7"/>
  <c r="Y3" i="7"/>
  <c r="U3" i="7"/>
  <c r="T3" i="7"/>
  <c r="S3" i="7"/>
  <c r="R3" i="7"/>
  <c r="Q3" i="7"/>
  <c r="P3" i="7"/>
  <c r="O3" i="7"/>
  <c r="N4" i="7"/>
  <c r="N5" i="7"/>
  <c r="N24" i="7"/>
  <c r="N6" i="7"/>
  <c r="N7" i="7"/>
  <c r="N8" i="7"/>
  <c r="N9" i="7"/>
  <c r="N10" i="7"/>
  <c r="N11" i="7"/>
  <c r="N16" i="7"/>
  <c r="N17" i="7"/>
  <c r="N18" i="7"/>
  <c r="N19" i="7"/>
  <c r="N20" i="7"/>
  <c r="N21" i="7"/>
  <c r="N22" i="7"/>
  <c r="N3" i="7"/>
  <c r="M4" i="7"/>
  <c r="M5" i="7"/>
  <c r="M24" i="7"/>
  <c r="M6" i="7"/>
  <c r="M7" i="7"/>
  <c r="M8" i="7"/>
  <c r="M9" i="7"/>
  <c r="M10" i="7"/>
  <c r="M11" i="7"/>
  <c r="M16" i="7"/>
  <c r="M17" i="7"/>
  <c r="M18" i="7"/>
  <c r="M19" i="7"/>
  <c r="M20" i="7"/>
  <c r="M21" i="7"/>
  <c r="M22" i="7"/>
  <c r="M3" i="7"/>
  <c r="L4" i="7"/>
  <c r="L5" i="7"/>
  <c r="L24" i="7"/>
  <c r="L6" i="7"/>
  <c r="L7" i="7"/>
  <c r="L8" i="7"/>
  <c r="L9" i="7"/>
  <c r="L10" i="7"/>
  <c r="L11" i="7"/>
  <c r="L16" i="7"/>
  <c r="L17" i="7"/>
  <c r="L18" i="7"/>
  <c r="L19" i="7"/>
  <c r="L20" i="7"/>
  <c r="L21" i="7"/>
  <c r="L22" i="7"/>
  <c r="L3" i="7"/>
  <c r="K4" i="7" l="1"/>
  <c r="K5" i="7"/>
  <c r="K24" i="7"/>
  <c r="K6" i="7"/>
  <c r="K7" i="7"/>
  <c r="K8" i="7"/>
  <c r="K9" i="7"/>
  <c r="K10" i="7"/>
  <c r="K11" i="7"/>
  <c r="K16" i="7"/>
  <c r="K17" i="7"/>
  <c r="K18" i="7"/>
  <c r="K19" i="7"/>
  <c r="K20" i="7"/>
  <c r="K21" i="7"/>
  <c r="K22" i="7"/>
  <c r="K3" i="7"/>
  <c r="J4" i="7"/>
  <c r="J5" i="7"/>
  <c r="J24" i="7"/>
  <c r="J6" i="7"/>
  <c r="J7" i="7"/>
  <c r="J8" i="7"/>
  <c r="J9" i="7"/>
  <c r="J10" i="7"/>
  <c r="J11" i="7"/>
  <c r="J16" i="7"/>
  <c r="J17" i="7"/>
  <c r="J18" i="7"/>
  <c r="J19" i="7"/>
  <c r="J20" i="7"/>
  <c r="J21" i="7"/>
  <c r="J22" i="7"/>
  <c r="J3" i="7"/>
  <c r="I4" i="7"/>
  <c r="I5" i="7"/>
  <c r="I24" i="7"/>
  <c r="I6" i="7"/>
  <c r="I7" i="7"/>
  <c r="I8" i="7"/>
  <c r="I9" i="7"/>
  <c r="I10" i="7"/>
  <c r="I11" i="7"/>
  <c r="I16" i="7"/>
  <c r="I17" i="7"/>
  <c r="I18" i="7"/>
  <c r="I19" i="7"/>
  <c r="I20" i="7"/>
  <c r="I21" i="7"/>
  <c r="I22" i="7"/>
  <c r="I3" i="7"/>
  <c r="H4" i="7"/>
  <c r="H5" i="7"/>
  <c r="H24" i="7"/>
  <c r="H6" i="7"/>
  <c r="H7" i="7"/>
  <c r="H8" i="7"/>
  <c r="H9" i="7"/>
  <c r="H10" i="7"/>
  <c r="H11" i="7"/>
  <c r="H16" i="7"/>
  <c r="H17" i="7"/>
  <c r="H18" i="7"/>
  <c r="H19" i="7"/>
  <c r="H20" i="7"/>
  <c r="H21" i="7"/>
  <c r="H22" i="7"/>
  <c r="H3" i="7"/>
  <c r="G4" i="7"/>
  <c r="G5" i="7"/>
  <c r="G24" i="7"/>
  <c r="G6" i="7"/>
  <c r="G7" i="7"/>
  <c r="G8" i="7"/>
  <c r="G9" i="7"/>
  <c r="G10" i="7"/>
  <c r="G11" i="7"/>
  <c r="G16" i="7"/>
  <c r="G17" i="7"/>
  <c r="G18" i="7"/>
  <c r="G19" i="7"/>
  <c r="G20" i="7"/>
  <c r="G21" i="7"/>
  <c r="G22" i="7"/>
  <c r="G3" i="7"/>
  <c r="F4" i="7"/>
  <c r="F5" i="7"/>
  <c r="F24" i="7"/>
  <c r="F6" i="7"/>
  <c r="F7" i="7"/>
  <c r="F8" i="7"/>
  <c r="F9" i="7"/>
  <c r="F10" i="7"/>
  <c r="F11" i="7"/>
  <c r="F16" i="7"/>
  <c r="F17" i="7"/>
  <c r="F18" i="7"/>
  <c r="F19" i="7"/>
  <c r="F20" i="7"/>
  <c r="F21" i="7"/>
  <c r="F22" i="7"/>
  <c r="F3" i="7"/>
  <c r="E4" i="7"/>
  <c r="E5" i="7"/>
  <c r="E24" i="7"/>
  <c r="E6" i="7"/>
  <c r="E7" i="7"/>
  <c r="E8" i="7"/>
  <c r="E9" i="7"/>
  <c r="E10" i="7"/>
  <c r="E11" i="7"/>
  <c r="E16" i="7"/>
  <c r="E17" i="7"/>
  <c r="E18" i="7"/>
  <c r="E19" i="7"/>
  <c r="E20" i="7"/>
  <c r="E21" i="7"/>
  <c r="E22" i="7"/>
  <c r="E3" i="7"/>
  <c r="D4" i="7"/>
  <c r="D5" i="7"/>
  <c r="D24" i="7"/>
  <c r="D6" i="7"/>
  <c r="D7" i="7"/>
  <c r="D8" i="7"/>
  <c r="D9" i="7"/>
  <c r="D10" i="7"/>
  <c r="D11" i="7"/>
  <c r="D16" i="7"/>
  <c r="D17" i="7"/>
  <c r="D18" i="7"/>
  <c r="D19" i="7"/>
  <c r="D20" i="7"/>
  <c r="D21" i="7"/>
  <c r="D22" i="7"/>
  <c r="B2" i="5"/>
  <c r="E1" i="7"/>
  <c r="F1" i="7"/>
  <c r="G1" i="7"/>
  <c r="H1" i="7"/>
  <c r="I1" i="7"/>
  <c r="J1" i="7"/>
  <c r="K1" i="7"/>
  <c r="L1" i="7"/>
  <c r="M1" i="7"/>
  <c r="N1" i="7"/>
  <c r="O1" i="7"/>
  <c r="P1" i="7"/>
  <c r="Q1" i="7"/>
  <c r="R1" i="7"/>
  <c r="S1" i="7"/>
  <c r="T1" i="7"/>
  <c r="U1" i="7"/>
  <c r="V1" i="7"/>
  <c r="W1" i="7"/>
  <c r="X1" i="7"/>
  <c r="Y1" i="7"/>
  <c r="Z1" i="7"/>
  <c r="AA1" i="7"/>
  <c r="AB1" i="7"/>
  <c r="AC1" i="7"/>
  <c r="AD1" i="7"/>
  <c r="AE1" i="7"/>
  <c r="AF1" i="7"/>
  <c r="AG1" i="7"/>
  <c r="D1" i="7"/>
  <c r="B21" i="5" l="1"/>
  <c r="E21" i="5" s="1"/>
  <c r="B22" i="5"/>
  <c r="E22" i="5" s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F22" i="5" l="1"/>
  <c r="F21" i="5"/>
  <c r="E13" i="5" l="1"/>
  <c r="E14" i="5"/>
  <c r="E15" i="5"/>
  <c r="F14" i="5" l="1"/>
  <c r="F15" i="5"/>
  <c r="F13" i="5"/>
  <c r="E16" i="5" l="1"/>
  <c r="E17" i="5"/>
  <c r="F19" i="5"/>
  <c r="E20" i="5"/>
  <c r="F17" i="5"/>
  <c r="E18" i="5"/>
  <c r="F18" i="5"/>
  <c r="E19" i="5" l="1"/>
  <c r="F16" i="5"/>
  <c r="F20" i="5"/>
  <c r="E2" i="5" l="1"/>
  <c r="F2" i="5"/>
  <c r="E3" i="5"/>
  <c r="F3" i="5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L3" i="1"/>
  <c r="P3" i="1"/>
  <c r="T3" i="1"/>
  <c r="X3" i="1"/>
  <c r="AB3" i="1"/>
  <c r="AF3" i="1"/>
  <c r="AJ3" i="1"/>
  <c r="AN3" i="1"/>
  <c r="AR3" i="1"/>
  <c r="AV3" i="1"/>
  <c r="AZ3" i="1"/>
  <c r="BD3" i="1"/>
  <c r="BH3" i="1"/>
  <c r="BL3" i="1"/>
  <c r="BP3" i="1"/>
  <c r="BX3" i="1"/>
  <c r="CB3" i="1"/>
  <c r="CF3" i="1"/>
  <c r="CJ3" i="1"/>
  <c r="CN3" i="1"/>
  <c r="CR3" i="1"/>
  <c r="CV3" i="1"/>
  <c r="CZ3" i="1"/>
  <c r="DD3" i="1"/>
  <c r="DH3" i="1"/>
  <c r="DX3" i="1"/>
  <c r="H3" i="1"/>
</calcChain>
</file>

<file path=xl/sharedStrings.xml><?xml version="1.0" encoding="utf-8"?>
<sst xmlns="http://schemas.openxmlformats.org/spreadsheetml/2006/main" count="1587" uniqueCount="322">
  <si>
    <t>NOMBRE</t>
  </si>
  <si>
    <t>CEDULA</t>
  </si>
  <si>
    <t>CAMPAÑA</t>
  </si>
  <si>
    <t>CARGO</t>
  </si>
  <si>
    <t>HORARIO</t>
  </si>
  <si>
    <t xml:space="preserve">N° HORAS TRABAJADAS </t>
  </si>
  <si>
    <t>NOMENCLATURA</t>
  </si>
  <si>
    <t>HORAS TOTALES A LA FECHA</t>
  </si>
  <si>
    <t>AGENTE</t>
  </si>
  <si>
    <t>SUPERVISOR DE OPERACIONES</t>
  </si>
  <si>
    <t>A</t>
  </si>
  <si>
    <t>FI</t>
  </si>
  <si>
    <t>LS</t>
  </si>
  <si>
    <t>AT</t>
  </si>
  <si>
    <t>V</t>
  </si>
  <si>
    <t>PE</t>
  </si>
  <si>
    <t>R</t>
  </si>
  <si>
    <t>FJ</t>
  </si>
  <si>
    <t>ASISTENCIA</t>
  </si>
  <si>
    <t>ATRASOS</t>
  </si>
  <si>
    <t>FALTA INJUSTIFICADA</t>
  </si>
  <si>
    <t>FALTA JUSTIFICADA</t>
  </si>
  <si>
    <t>LM</t>
  </si>
  <si>
    <t xml:space="preserve">LICENCIA MATERNIDAD </t>
  </si>
  <si>
    <t>LP</t>
  </si>
  <si>
    <t>LICENCIA PATERNIDAD</t>
  </si>
  <si>
    <t>PERMISO MEDICO I.E.S.S. EXTENDIDO</t>
  </si>
  <si>
    <t xml:space="preserve">VACACIONES </t>
  </si>
  <si>
    <t>RENUNCIA</t>
  </si>
  <si>
    <t>LICENCIA SIN SUELDO</t>
  </si>
  <si>
    <t>DIAS LIBRES</t>
  </si>
  <si>
    <t>FALTAS INJUSTIFICADAS</t>
  </si>
  <si>
    <t>MODALIDAD</t>
  </si>
  <si>
    <t>PRESENCIAL</t>
  </si>
  <si>
    <t>VACACIONES</t>
  </si>
  <si>
    <t>PN</t>
  </si>
  <si>
    <t>PERMISO MEDICO I.E.S.S NORMAL</t>
  </si>
  <si>
    <t>F</t>
  </si>
  <si>
    <t>FERIADO</t>
  </si>
  <si>
    <t>-</t>
  </si>
  <si>
    <t>VIDEO LLAMADA</t>
  </si>
  <si>
    <t>USUARIO CIC</t>
  </si>
  <si>
    <t>CARRERA ECHEVERRIA SHIRLEY VANESSA</t>
  </si>
  <si>
    <t>CORREO</t>
  </si>
  <si>
    <t>HERRERA RIOS JOSUE SEBASTIAN</t>
  </si>
  <si>
    <t>PROAÑO CHINCHIN CYNTHIA NICOLE</t>
  </si>
  <si>
    <t>KIOSCO</t>
  </si>
  <si>
    <t>VIZUETE ELBAY DAVID ALEJANDRO</t>
  </si>
  <si>
    <t>PEREZ EULACIO HECTOR FERNANDO</t>
  </si>
  <si>
    <t>GARCIA LOYO EDWIN JESUS DE NAZARETH</t>
  </si>
  <si>
    <t>CASA SANCHEZ GENESIS ALEJANDRA</t>
  </si>
  <si>
    <t>QUISHPE SOTO SAMANTA BELEN</t>
  </si>
  <si>
    <t>MORALES MARTINEZ JOSUE JAVIER</t>
  </si>
  <si>
    <t>CORDOVA GUEVARA CAROLINA MICHEL</t>
  </si>
  <si>
    <t>QUIJIJE QUIJIJE ANDREA JACQUELINE</t>
  </si>
  <si>
    <t>VALERO ENDARA DIANA LEOLENA</t>
  </si>
  <si>
    <t>LEON DE LA CRUZ ANA LUCIA</t>
  </si>
  <si>
    <t>AMAGUA PANTOJA ARACELY PILAR</t>
  </si>
  <si>
    <t>RODRIGUEZ BUSTAMANTE MARY ELIZA</t>
  </si>
  <si>
    <t>ZAMBRANO ROMERO JONATHAN RICARDO</t>
  </si>
  <si>
    <t>OROZCO CRUZ NAYELIE BRIGITE</t>
  </si>
  <si>
    <t>SOPORTE DE OPERACIONES</t>
  </si>
  <si>
    <t>ESPIN ANDRADE RAUL MARCELINO</t>
  </si>
  <si>
    <t>CADENA LLUMIPANTA LISSA GABRIELA</t>
  </si>
  <si>
    <t>07:00 - 16:00</t>
  </si>
  <si>
    <t>09:00 - 18:00</t>
  </si>
  <si>
    <t>sup.kiosko@soportegrupocant.com</t>
  </si>
  <si>
    <t>ARMAS MEJIA JUDITH MARCELA</t>
  </si>
  <si>
    <t>07:00 - 15:00</t>
  </si>
  <si>
    <t>08:00 - 15:00</t>
  </si>
  <si>
    <t>06:00 - 14:00</t>
  </si>
  <si>
    <t>09:00 - 17:00</t>
  </si>
  <si>
    <t>08:00 - 16:00</t>
  </si>
  <si>
    <t>09:00 - 16:00</t>
  </si>
  <si>
    <t>10:00 - 18:00</t>
  </si>
  <si>
    <t>10:00 - 17:00</t>
  </si>
  <si>
    <t>11:00 - 18:00</t>
  </si>
  <si>
    <t>10:00 - 16:00</t>
  </si>
  <si>
    <t>07:00 - 14:00</t>
  </si>
  <si>
    <t>14:00 - 21:00</t>
  </si>
  <si>
    <t>10:00 - 20:00</t>
  </si>
  <si>
    <t>09:00 - 21:00</t>
  </si>
  <si>
    <t>00:00 - 07:00</t>
  </si>
  <si>
    <t>09:00 - 20:00</t>
  </si>
  <si>
    <t>10:00 - 19:00</t>
  </si>
  <si>
    <t>12:00 - 18:00</t>
  </si>
  <si>
    <t>11:00 - 16:00</t>
  </si>
  <si>
    <t>10:00 - 15:00</t>
  </si>
  <si>
    <t>08:00 - 14:00</t>
  </si>
  <si>
    <t>15:00 - 22:00</t>
  </si>
  <si>
    <t>15:00 - 21:00</t>
  </si>
  <si>
    <t>13:00 - 22:00</t>
  </si>
  <si>
    <t>11:00 - 20:00</t>
  </si>
  <si>
    <t>16:00 - 22:00</t>
  </si>
  <si>
    <t>06:00 - 12:00</t>
  </si>
  <si>
    <t>13:00 - 20:00</t>
  </si>
  <si>
    <t>09:00 - 19:00</t>
  </si>
  <si>
    <t>13:00 - 21:00</t>
  </si>
  <si>
    <t>09:00 - 15:00</t>
  </si>
  <si>
    <t>13:00 - 18:00</t>
  </si>
  <si>
    <t>09:00 - 14:00</t>
  </si>
  <si>
    <t>12:00 - 21:00</t>
  </si>
  <si>
    <t>17:00 - 22:00</t>
  </si>
  <si>
    <t>12:00 - 20:00</t>
  </si>
  <si>
    <t>11:00 - 17:00</t>
  </si>
  <si>
    <t>ASESORES</t>
  </si>
  <si>
    <t>HORAS</t>
  </si>
  <si>
    <t>C/U HORAS</t>
  </si>
  <si>
    <t>CÓDIGO</t>
  </si>
  <si>
    <t>Jornada(Horas)</t>
  </si>
  <si>
    <t>06:00 - 13:00</t>
  </si>
  <si>
    <t>CUMPLIMIENTO</t>
  </si>
  <si>
    <t>CUMPLE</t>
  </si>
  <si>
    <t>07:00 - 12:00</t>
  </si>
  <si>
    <t>Id</t>
  </si>
  <si>
    <t>Hora Entrada</t>
  </si>
  <si>
    <t>Hora Salida</t>
  </si>
  <si>
    <t>Hor-rio</t>
  </si>
  <si>
    <t>00:00 - 06:00</t>
  </si>
  <si>
    <t>00:00 - 08:00</t>
  </si>
  <si>
    <t>05:00 - 12:00</t>
  </si>
  <si>
    <t>05:00 - 13:00</t>
  </si>
  <si>
    <t>06:00 - 15:00</t>
  </si>
  <si>
    <t>06:00 - 15:30</t>
  </si>
  <si>
    <t>07:00 - 13:00</t>
  </si>
  <si>
    <t>07:00 - 15:30</t>
  </si>
  <si>
    <t>07:30 - 13:30</t>
  </si>
  <si>
    <t>07:30 - 14:30</t>
  </si>
  <si>
    <t>07:30 - 15:00</t>
  </si>
  <si>
    <t>07:30 - 15:30</t>
  </si>
  <si>
    <t>07:30 - 16:30</t>
  </si>
  <si>
    <t>07:30 - 17:00</t>
  </si>
  <si>
    <t>07:30 - 19:30</t>
  </si>
  <si>
    <t>08:00 - 13:00</t>
  </si>
  <si>
    <t>08:00 - 13:30</t>
  </si>
  <si>
    <t>08:00 - 14:30</t>
  </si>
  <si>
    <t>08:00 - 15:30</t>
  </si>
  <si>
    <t>08:00 - 16:30</t>
  </si>
  <si>
    <t>08:00 - 17:00</t>
  </si>
  <si>
    <t>08:00 - 17:30</t>
  </si>
  <si>
    <t>08:00 - 18:00</t>
  </si>
  <si>
    <t>08:00 - 19:00</t>
  </si>
  <si>
    <t>08:30 - 13:30</t>
  </si>
  <si>
    <t>08:30 - 14:00</t>
  </si>
  <si>
    <t>08:30 - 14:30</t>
  </si>
  <si>
    <t>08:30 - 15:00</t>
  </si>
  <si>
    <t>08:30 - 15:30</t>
  </si>
  <si>
    <t>08:30 - 16:00</t>
  </si>
  <si>
    <t>08:30 - 16:30</t>
  </si>
  <si>
    <t>08:30 - 17:00</t>
  </si>
  <si>
    <t>08:30 - 17:30</t>
  </si>
  <si>
    <t>08:30 - 18:00</t>
  </si>
  <si>
    <t>09:00 - 14:30</t>
  </si>
  <si>
    <t>09:00 - 15:30</t>
  </si>
  <si>
    <t>09:00 - 16:30</t>
  </si>
  <si>
    <t>09:00 - 17:30</t>
  </si>
  <si>
    <t>09:00 - 18:30</t>
  </si>
  <si>
    <t>09:30 - 15:00</t>
  </si>
  <si>
    <t>09:30 - 15:30</t>
  </si>
  <si>
    <t>09:30 - 16:00</t>
  </si>
  <si>
    <t>09:30 - 16:30</t>
  </si>
  <si>
    <t>09:30 - 17:00</t>
  </si>
  <si>
    <t>09:30 - 17:30</t>
  </si>
  <si>
    <t>09:30 - 18:00</t>
  </si>
  <si>
    <t>09:30 - 18:30</t>
  </si>
  <si>
    <t>09:30 - 19:00</t>
  </si>
  <si>
    <t>10:00 - 16:30</t>
  </si>
  <si>
    <t>10:00 - 17:30</t>
  </si>
  <si>
    <t>10:00 - 18:30</t>
  </si>
  <si>
    <t>10:30 - 15:30</t>
  </si>
  <si>
    <t>10:30 - 16:00</t>
  </si>
  <si>
    <t>10:30 - 16:30</t>
  </si>
  <si>
    <t>10:30 - 17:00</t>
  </si>
  <si>
    <t>10:30 - 18:00</t>
  </si>
  <si>
    <t>10:30 - 18:30</t>
  </si>
  <si>
    <t>10:30 - 19:30</t>
  </si>
  <si>
    <t>11:00 - 16:30</t>
  </si>
  <si>
    <t>11:00 - 17:30</t>
  </si>
  <si>
    <t>11:00 - 19:00</t>
  </si>
  <si>
    <t>11:30 - 16:30</t>
  </si>
  <si>
    <t>11:30 - 18:30</t>
  </si>
  <si>
    <t>11:30 - 19:30</t>
  </si>
  <si>
    <t>11:30 - 20:00</t>
  </si>
  <si>
    <t>11:45 - 19:45</t>
  </si>
  <si>
    <t>12:00 - 17:00</t>
  </si>
  <si>
    <t>12:00 - 17:30</t>
  </si>
  <si>
    <t>12:00 - 19:00</t>
  </si>
  <si>
    <t>12:30 - 18:00</t>
  </si>
  <si>
    <t>12:30 - 19:30</t>
  </si>
  <si>
    <t>12:30 - 21:00</t>
  </si>
  <si>
    <t>13:00 - 00:00</t>
  </si>
  <si>
    <t>13:00 - 19:00</t>
  </si>
  <si>
    <t>13:00 - 20:30</t>
  </si>
  <si>
    <t>13:30 - 18:30</t>
  </si>
  <si>
    <t>13:30 - 19:00</t>
  </si>
  <si>
    <t>13:30 - 20:30</t>
  </si>
  <si>
    <t>13:30 - 21:00</t>
  </si>
  <si>
    <t>13:30 - 21:30</t>
  </si>
  <si>
    <t>14:00 - 19:00</t>
  </si>
  <si>
    <t>14:00 - 20:00</t>
  </si>
  <si>
    <t>14:00 - 22:00</t>
  </si>
  <si>
    <t>14:00 - 23:00</t>
  </si>
  <si>
    <t>14:30 - 19:30</t>
  </si>
  <si>
    <t>14:30 - 20:00</t>
  </si>
  <si>
    <t>14:30 - 21:00</t>
  </si>
  <si>
    <t>15:00 - 00:00</t>
  </si>
  <si>
    <t>15:00 - 20:00</t>
  </si>
  <si>
    <t>15:00 - 21:30</t>
  </si>
  <si>
    <t>15:00 - 23:00</t>
  </si>
  <si>
    <t>15:30 - 00:00</t>
  </si>
  <si>
    <t>15:30 - 21:00</t>
  </si>
  <si>
    <t>16:00 - 00:00</t>
  </si>
  <si>
    <t>16:00 - 01:00</t>
  </si>
  <si>
    <t>16:00 - 21:00</t>
  </si>
  <si>
    <t>16:00 - 23:00</t>
  </si>
  <si>
    <t>16:00 - 24:00</t>
  </si>
  <si>
    <t>17:00 - 00:00</t>
  </si>
  <si>
    <t>17:00 - 01:00</t>
  </si>
  <si>
    <t>17:00 - 02:00</t>
  </si>
  <si>
    <t>17:00 - 23:00</t>
  </si>
  <si>
    <t>17:30 - 00:00</t>
  </si>
  <si>
    <t>18:00 - 00:00</t>
  </si>
  <si>
    <t>18:00 - 01:00</t>
  </si>
  <si>
    <t>18:00 - 02:00</t>
  </si>
  <si>
    <t>18:00 - 23:00</t>
  </si>
  <si>
    <t>18:00 - 24:00</t>
  </si>
  <si>
    <t>19:00 - 00:00</t>
  </si>
  <si>
    <t>19:00 - 01:00</t>
  </si>
  <si>
    <t>19:00 - 02:00</t>
  </si>
  <si>
    <t>19:00 - 03:00</t>
  </si>
  <si>
    <t>20:00 - 01:00</t>
  </si>
  <si>
    <t>20:00 - 02:00</t>
  </si>
  <si>
    <t>21:00 - 06:00</t>
  </si>
  <si>
    <t>21:00 - 07:00</t>
  </si>
  <si>
    <t>22:00 - 06:00</t>
  </si>
  <si>
    <t>22:00 - 07:00</t>
  </si>
  <si>
    <t>23:00 - 07:00</t>
  </si>
  <si>
    <t>23:00 - 08:00</t>
  </si>
  <si>
    <t>NO CUMPLE</t>
  </si>
  <si>
    <t>FORMATEAR</t>
  </si>
  <si>
    <t>RUALES FLORES PAULINA RUBI</t>
  </si>
  <si>
    <t>10:00 - 00:00</t>
  </si>
  <si>
    <t>07:00 - 00:00</t>
  </si>
  <si>
    <t>ALBARRAN CALAO MANUEL ALEJANDRO</t>
  </si>
  <si>
    <t>0963198320</t>
  </si>
  <si>
    <t>07:00 - 20:00</t>
  </si>
  <si>
    <t>META</t>
  </si>
  <si>
    <t>FALTAN</t>
  </si>
  <si>
    <t>ACTUAL</t>
  </si>
  <si>
    <t>$$ Dolars</t>
  </si>
  <si>
    <t>VEGA ROMERO JENNIFFER VANESSA</t>
  </si>
  <si>
    <t>RAMOS REINA MARCO ESTEBAN</t>
  </si>
  <si>
    <t>Cédula</t>
  </si>
  <si>
    <t>VIDEOLLAMADA</t>
  </si>
  <si>
    <t>REALIZADO</t>
  </si>
  <si>
    <t>ADHERENCIA</t>
  </si>
  <si>
    <t>Adherencia</t>
  </si>
  <si>
    <t>VALIDACIÓN</t>
  </si>
  <si>
    <t>SOLICITADO</t>
  </si>
  <si>
    <t>SÁNCHEZ PINARGOTE MATEO IGNACIO</t>
  </si>
  <si>
    <t>12:00 - 00:00</t>
  </si>
  <si>
    <t>00:00 - 09:00</t>
  </si>
  <si>
    <t>00:00 - 10:00</t>
  </si>
  <si>
    <t>00:00 - 13:00</t>
  </si>
  <si>
    <t>07:00 - 17:00</t>
  </si>
  <si>
    <t>07:00 - 19:00</t>
  </si>
  <si>
    <t>07:30 - 18:00</t>
  </si>
  <si>
    <t>08:30 - 18:30</t>
  </si>
  <si>
    <t>09:00 - 19:30</t>
  </si>
  <si>
    <t>09:30 - 20:00</t>
  </si>
  <si>
    <t>10:30 - 20:00</t>
  </si>
  <si>
    <t>11:30 - 21:00</t>
  </si>
  <si>
    <t>12:00 - 22:00</t>
  </si>
  <si>
    <t>13:00 - 23:00</t>
  </si>
  <si>
    <t>13:30 - 00:00</t>
  </si>
  <si>
    <t>16:00 - 02:00</t>
  </si>
  <si>
    <t>ADICIONAL</t>
  </si>
  <si>
    <t>Kiosco</t>
  </si>
  <si>
    <t>Videollada</t>
  </si>
  <si>
    <t>ALBAN VILLACIS NELLY CECILIA</t>
  </si>
  <si>
    <t>MORALES PAZ CARLOS ANDRES</t>
  </si>
  <si>
    <t>MORENO ALVARADO DANIELA DEL CISNE</t>
  </si>
  <si>
    <t>SILVA CONTRERAS SERGIO FABIAN</t>
  </si>
  <si>
    <t>Video</t>
  </si>
  <si>
    <t>Dif! -&gt;</t>
  </si>
  <si>
    <t>ANDREA JACQUELINE QUIJIJE QUIJIJE</t>
  </si>
  <si>
    <t>BERMUDEZ MOREIRA CAROLINA MASIE</t>
  </si>
  <si>
    <t>803489277</t>
  </si>
  <si>
    <t>GARCIA LOOR VANESSA LISBETH</t>
  </si>
  <si>
    <t>DIAZ SANDRA</t>
  </si>
  <si>
    <t>1761530391</t>
  </si>
  <si>
    <t>GONZALES GONZALES GEOVANNA PATRICIA</t>
  </si>
  <si>
    <t>1723503452</t>
  </si>
  <si>
    <t>OCHOA CANTOS ROCIO ZORAIDA</t>
  </si>
  <si>
    <t>PULLUPAXI PANTA RODY XAVIER</t>
  </si>
  <si>
    <t>MOSQUERA BUSTOS MARCOS SEBASTIAN</t>
  </si>
  <si>
    <t>1725280067</t>
  </si>
  <si>
    <t>0804296044</t>
  </si>
  <si>
    <t>CEVALLO GOMEZ LUIS ANTONIO</t>
  </si>
  <si>
    <t xml:space="preserve">CASTILLO TIPANTASI JOSUANY ISABEL </t>
  </si>
  <si>
    <t>926324534</t>
  </si>
  <si>
    <t>1723040950</t>
  </si>
  <si>
    <t>ESTUPIÑAN SAAVEDRA JUAN DAVID</t>
  </si>
  <si>
    <t>2200107536</t>
  </si>
  <si>
    <t xml:space="preserve">MORALES MARTINEZ JOSUE JAVIER  </t>
  </si>
  <si>
    <t xml:space="preserve">A </t>
  </si>
  <si>
    <t>00:00 - 00:00</t>
  </si>
  <si>
    <t>10:00 - 23:00</t>
  </si>
  <si>
    <t>10:00 - 22:00</t>
  </si>
  <si>
    <t>07:00 - 18:00</t>
  </si>
  <si>
    <t>09:00 - 00:00</t>
  </si>
  <si>
    <t>07:00 - 22:00</t>
  </si>
  <si>
    <t>10:00 - 21:00</t>
  </si>
  <si>
    <t>14:00 - 00:00</t>
  </si>
  <si>
    <t>07:00 - 21:00</t>
  </si>
  <si>
    <t>08:00 - 20:00</t>
  </si>
  <si>
    <t>08:00 -22:00</t>
  </si>
  <si>
    <t>10:00  - 23:00</t>
  </si>
  <si>
    <t>08:00 -  00:00</t>
  </si>
  <si>
    <t>0:00:00 - 00:00</t>
  </si>
  <si>
    <t>13:00 - 17:00</t>
  </si>
  <si>
    <t>11:00 - 00:00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</si>
</sst>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 &quot;$&quot;* #,##0.00_ ;_ &quot;$&quot;* \-#,##0.00_ ;_ &quot;$&quot;* &quot;-&quot;??_ ;_ @_ "/>
    <numFmt numFmtId="165" formatCode="_ * #,##0.00_ ;_ * \-#,##0.00_ ;_ * &quot;-&quot;??_ ;_ @_ "/>
    <numFmt numFmtId="166" formatCode="[$-F400]h:mm:ss\ AM/PM"/>
    <numFmt numFmtId="167" formatCode="h:mm;@"/>
    <numFmt numFmtId="168" formatCode="[$-300A]d&quot; de &quot;mmmm&quot; de &quot;yyyy;@"/>
    <numFmt numFmtId="169" formatCode="[$$-300A]\ #,##0.00"/>
    <numFmt numFmtId="170" formatCode="_ [$€-2]\ * #,##0.00_ ;_ [$€-2]\ * \-#,##0.00_ ;_ [$€-2]\ * &quot;-&quot;??_ "/>
    <numFmt numFmtId="171" formatCode="&quot;$&quot;\ #,##0;&quot;$&quot;\ \-#,##0"/>
    <numFmt numFmtId="172" formatCode="_-* #,##0.00\ _€_-;\-* #,##0.00\ _€_-;_-* &quot;-&quot;??\ _€_-;_-@_-"/>
    <numFmt numFmtId="173" formatCode="_(&quot;$&quot;\ * #,##0.00_);_(&quot;$&quot;\ * \(#,##0.00\);_(&quot;$&quot;\ * &quot;-&quot;??_);_(@_)"/>
    <numFmt numFmtId="174" formatCode="#,##0.00\ [$€-280A];[Red]\-#,##0.00\ [$€-280A]"/>
    <numFmt numFmtId="175" formatCode="[$-300A]dddd"/>
    <numFmt numFmtId="176" formatCode="[$$-300A]&quot; &quot;#,##0.00"/>
    <numFmt numFmtId="177" formatCode="[$-C0A]mmmm\-yy;@"/>
    <numFmt numFmtId="178" formatCode="_(&quot;€&quot;\ * #,##0.00_);_(&quot;€&quot;\ * \(#,##0.00\);_(&quot;€&quot;\ * &quot;-&quot;??_);_(@_)"/>
    <numFmt numFmtId="179" formatCode="&quot;€&quot;\ #,##0;&quot;€&quot;\ \-#,##0"/>
    <numFmt numFmtId="180" formatCode="[$$-300A]#,##0.00"/>
    <numFmt numFmtId="181" formatCode="[h]:mm"/>
  </numFmts>
  <fonts count="60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10"/>
      <color rgb="FF000000"/>
      <name val="Arial"/>
      <family val="2"/>
    </font>
    <font>
      <b/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sz val="12"/>
      <name val="Times New Roman"/>
      <family val="1"/>
    </font>
    <font>
      <sz val="10"/>
      <name val="Franklin Gothic Medium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0"/>
      <color indexed="64"/>
      <name val="Arial"/>
      <family val="2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b/>
      <sz val="18"/>
      <color theme="3"/>
      <name val="Cambria"/>
      <family val="2"/>
      <scheme val="major"/>
    </font>
    <font>
      <sz val="8"/>
      <color theme="1"/>
      <name val="Century Gothic"/>
      <family val="2"/>
    </font>
    <font>
      <sz val="10"/>
      <color rgb="FF000000"/>
      <name val="Calibri"/>
      <family val="2"/>
      <scheme val="minor"/>
    </font>
    <font>
      <b/>
      <sz val="8"/>
      <color theme="0"/>
      <name val="Arial"/>
      <family val="2"/>
    </font>
    <font>
      <b/>
      <sz val="12"/>
      <color rgb="FFFFFFFF"/>
      <name val="Arial"/>
      <family val="2"/>
    </font>
    <font>
      <sz val="12"/>
      <color rgb="FFFFFFFF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1"/>
      <color indexed="8"/>
      <name val="Calibri"/>
      <family val="2"/>
      <charset val="134"/>
    </font>
    <font>
      <b/>
      <sz val="9"/>
      <color rgb="FF000000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FFFFFF"/>
      <name val="Arial"/>
      <family val="2"/>
    </font>
    <font>
      <sz val="8"/>
      <color theme="0"/>
      <name val="Arial"/>
      <family val="2"/>
    </font>
    <font>
      <b/>
      <i/>
      <sz val="11"/>
      <name val="Calibri"/>
      <family val="2"/>
      <scheme val="minor"/>
    </font>
    <font>
      <sz val="9"/>
      <color rgb="FF000000"/>
      <name val="Arial"/>
      <family val="2"/>
    </font>
    <font>
      <b/>
      <sz val="8"/>
      <color theme="1"/>
      <name val="Arial"/>
      <family val="2"/>
    </font>
    <font>
      <sz val="18"/>
      <color theme="3"/>
      <name val="Cambria"/>
      <family val="2"/>
      <scheme val="maj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7CE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7923">
    <xf numFmtId="0" fontId="0" fillId="0" borderId="0"/>
    <xf numFmtId="169" fontId="2" fillId="0" borderId="0"/>
    <xf numFmtId="0" fontId="11" fillId="0" borderId="0"/>
    <xf numFmtId="170" fontId="2" fillId="0" borderId="0"/>
    <xf numFmtId="0" fontId="2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71" fontId="1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3" fillId="0" borderId="0"/>
    <xf numFmtId="0" fontId="2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9" fillId="0" borderId="0"/>
    <xf numFmtId="0" fontId="13" fillId="0" borderId="0"/>
    <xf numFmtId="0" fontId="2" fillId="0" borderId="0" applyNumberForma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74" fontId="11" fillId="0" borderId="0" applyBorder="0" applyProtection="0">
      <alignment vertical="top"/>
    </xf>
    <xf numFmtId="164" fontId="13" fillId="0" borderId="0" applyFont="0" applyFill="0" applyBorder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2" fillId="0" borderId="13" applyNumberFormat="0" applyFill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5" fillId="8" borderId="0" applyNumberFormat="0" applyBorder="0" applyAlignment="0" applyProtection="0"/>
    <xf numFmtId="0" fontId="26" fillId="9" borderId="14" applyNumberFormat="0" applyAlignment="0" applyProtection="0"/>
    <xf numFmtId="0" fontId="27" fillId="10" borderId="15" applyNumberFormat="0" applyAlignment="0" applyProtection="0"/>
    <xf numFmtId="0" fontId="28" fillId="10" borderId="14" applyNumberFormat="0" applyAlignment="0" applyProtection="0"/>
    <xf numFmtId="0" fontId="29" fillId="0" borderId="16" applyNumberFormat="0" applyFill="0" applyAlignment="0" applyProtection="0"/>
    <xf numFmtId="0" fontId="30" fillId="11" borderId="17" applyNumberFormat="0" applyAlignment="0" applyProtection="0"/>
    <xf numFmtId="0" fontId="31" fillId="0" borderId="0" applyNumberFormat="0" applyFill="0" applyBorder="0" applyAlignment="0" applyProtection="0"/>
    <xf numFmtId="0" fontId="13" fillId="12" borderId="18" applyNumberFormat="0" applyFont="0" applyAlignment="0" applyProtection="0"/>
    <xf numFmtId="0" fontId="32" fillId="0" borderId="0" applyNumberFormat="0" applyFill="0" applyBorder="0" applyAlignment="0" applyProtection="0"/>
    <xf numFmtId="0" fontId="9" fillId="0" borderId="19" applyNumberFormat="0" applyFill="0" applyAlignment="0" applyProtection="0"/>
    <xf numFmtId="0" fontId="3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3" fillId="32" borderId="0" applyNumberFormat="0" applyBorder="0" applyAlignment="0" applyProtection="0"/>
    <xf numFmtId="0" fontId="33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33" fillId="36" borderId="0" applyNumberFormat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34" fillId="0" borderId="0"/>
    <xf numFmtId="0" fontId="34" fillId="0" borderId="0" applyNumberFormat="0" applyBorder="0" applyProtection="0"/>
    <xf numFmtId="0" fontId="35" fillId="37" borderId="0" applyNumberFormat="0" applyBorder="0" applyAlignment="0" applyProtection="0"/>
    <xf numFmtId="0" fontId="11" fillId="0" borderId="0" applyNumberFormat="0" applyBorder="0" applyProtection="0"/>
    <xf numFmtId="176" fontId="11" fillId="0" borderId="0" applyBorder="0" applyProtection="0"/>
    <xf numFmtId="0" fontId="2" fillId="0" borderId="0"/>
    <xf numFmtId="0" fontId="13" fillId="0" borderId="0"/>
    <xf numFmtId="164" fontId="13" fillId="0" borderId="0" applyFont="0" applyFill="0" applyBorder="0" applyAlignment="0" applyProtection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8" fillId="0" borderId="0"/>
    <xf numFmtId="0" fontId="16" fillId="0" borderId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0" fontId="2" fillId="0" borderId="0" applyNumberFormat="0" applyFill="0" applyBorder="0" applyAlignment="0" applyProtection="0"/>
    <xf numFmtId="169" fontId="2" fillId="0" borderId="0"/>
    <xf numFmtId="0" fontId="2" fillId="0" borderId="0"/>
    <xf numFmtId="0" fontId="17" fillId="0" borderId="0"/>
    <xf numFmtId="0" fontId="2" fillId="0" borderId="0" applyNumberFormat="0" applyFill="0" applyBorder="0" applyAlignment="0" applyProtection="0"/>
    <xf numFmtId="177" fontId="13" fillId="0" borderId="0"/>
    <xf numFmtId="177" fontId="36" fillId="0" borderId="0" applyNumberFormat="0" applyFill="0" applyBorder="0" applyAlignment="0" applyProtection="0"/>
    <xf numFmtId="177" fontId="36" fillId="0" borderId="0" applyNumberFormat="0" applyFill="0" applyBorder="0" applyAlignment="0" applyProtection="0"/>
    <xf numFmtId="177" fontId="13" fillId="0" borderId="0"/>
    <xf numFmtId="177" fontId="13" fillId="0" borderId="0"/>
    <xf numFmtId="177" fontId="13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2" fillId="0" borderId="0"/>
    <xf numFmtId="177" fontId="13" fillId="0" borderId="0"/>
    <xf numFmtId="177" fontId="2" fillId="0" borderId="0"/>
    <xf numFmtId="177" fontId="13" fillId="0" borderId="0"/>
    <xf numFmtId="177" fontId="13" fillId="0" borderId="0"/>
    <xf numFmtId="0" fontId="11" fillId="0" borderId="0" applyNumberFormat="0" applyBorder="0" applyProtection="0"/>
    <xf numFmtId="0" fontId="14" fillId="0" borderId="0" applyNumberFormat="0" applyFill="0" applyBorder="0" applyAlignment="0" applyProtection="0"/>
    <xf numFmtId="170" fontId="2" fillId="0" borderId="0"/>
    <xf numFmtId="169" fontId="13" fillId="0" borderId="0"/>
    <xf numFmtId="169" fontId="13" fillId="0" borderId="0"/>
    <xf numFmtId="0" fontId="36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 applyNumberFormat="0" applyBorder="0" applyProtection="0"/>
    <xf numFmtId="0" fontId="36" fillId="0" borderId="0" applyNumberFormat="0" applyFill="0" applyBorder="0" applyAlignment="0" applyProtection="0"/>
    <xf numFmtId="0" fontId="2" fillId="0" borderId="0"/>
    <xf numFmtId="0" fontId="37" fillId="0" borderId="0"/>
    <xf numFmtId="0" fontId="36" fillId="0" borderId="0" applyNumberFormat="0" applyFill="0" applyBorder="0" applyAlignment="0" applyProtection="0"/>
    <xf numFmtId="177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69" fontId="36" fillId="0" borderId="0" applyNumberFormat="0" applyFill="0" applyBorder="0" applyAlignment="0" applyProtection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2" fillId="0" borderId="0"/>
    <xf numFmtId="176" fontId="11" fillId="0" borderId="0" applyBorder="0" applyProtection="0"/>
    <xf numFmtId="177" fontId="2" fillId="0" borderId="0"/>
    <xf numFmtId="0" fontId="34" fillId="0" borderId="0" applyNumberFormat="0" applyFont="0" applyBorder="0" applyProtection="0"/>
    <xf numFmtId="0" fontId="11" fillId="0" borderId="0" applyNumberFormat="0" applyBorder="0" applyProtection="0"/>
    <xf numFmtId="0" fontId="2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11" fillId="0" borderId="0" applyNumberFormat="0" applyBorder="0" applyProtection="0"/>
    <xf numFmtId="169" fontId="2" fillId="0" borderId="0"/>
    <xf numFmtId="0" fontId="13" fillId="0" borderId="0"/>
    <xf numFmtId="0" fontId="11" fillId="0" borderId="0" applyNumberFormat="0" applyBorder="0" applyProtection="0"/>
    <xf numFmtId="0" fontId="13" fillId="0" borderId="0"/>
    <xf numFmtId="177" fontId="2" fillId="0" borderId="0"/>
    <xf numFmtId="0" fontId="2" fillId="0" borderId="0"/>
    <xf numFmtId="177" fontId="2" fillId="0" borderId="0"/>
    <xf numFmtId="0" fontId="2" fillId="0" borderId="0"/>
    <xf numFmtId="177" fontId="13" fillId="0" borderId="0"/>
    <xf numFmtId="0" fontId="2" fillId="0" borderId="0"/>
    <xf numFmtId="0" fontId="2" fillId="0" borderId="0" applyNumberFormat="0" applyFill="0" applyBorder="0" applyAlignment="0" applyProtection="0"/>
    <xf numFmtId="0" fontId="37" fillId="0" borderId="0"/>
    <xf numFmtId="0" fontId="2" fillId="0" borderId="0" applyNumberFormat="0" applyFon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177" fontId="13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9" fontId="15" fillId="0" borderId="0" applyFill="0" applyBorder="0" applyAlignment="0" applyProtection="0"/>
    <xf numFmtId="9" fontId="17" fillId="0" borderId="0" applyFont="0" applyFill="0" applyBorder="0" applyAlignment="0" applyProtection="0"/>
    <xf numFmtId="0" fontId="11" fillId="0" borderId="0"/>
    <xf numFmtId="164" fontId="13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3" fillId="0" borderId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2" fillId="0" borderId="0" applyNumberFormat="0" applyFill="0" applyBorder="0" applyAlignment="0" applyProtection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34" fillId="0" borderId="0" applyNumberFormat="0" applyBorder="0" applyProtection="0"/>
    <xf numFmtId="0" fontId="11" fillId="0" borderId="0" applyNumberFormat="0" applyBorder="0" applyProtection="0"/>
    <xf numFmtId="176" fontId="11" fillId="0" borderId="0" applyBorder="0" applyProtection="0"/>
    <xf numFmtId="0" fontId="2" fillId="0" borderId="0"/>
    <xf numFmtId="0" fontId="13" fillId="0" borderId="0"/>
    <xf numFmtId="0" fontId="2" fillId="0" borderId="0" applyNumberFormat="0" applyFill="0" applyBorder="0" applyAlignment="0" applyProtection="0"/>
    <xf numFmtId="0" fontId="18" fillId="0" borderId="0"/>
    <xf numFmtId="0" fontId="2" fillId="0" borderId="0" applyNumberFormat="0" applyFill="0" applyBorder="0" applyAlignment="0" applyProtection="0"/>
    <xf numFmtId="0" fontId="13" fillId="0" borderId="0"/>
    <xf numFmtId="0" fontId="38" fillId="0" borderId="0" applyNumberFormat="0" applyFill="0" applyBorder="0" applyAlignment="0" applyProtection="0"/>
    <xf numFmtId="169" fontId="2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" fillId="0" borderId="0"/>
    <xf numFmtId="178" fontId="13" fillId="0" borderId="0" applyFont="0" applyFill="0" applyBorder="0" applyAlignment="0" applyProtection="0"/>
    <xf numFmtId="0" fontId="34" fillId="0" borderId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69" fontId="2" fillId="0" borderId="0"/>
    <xf numFmtId="0" fontId="11" fillId="0" borderId="0"/>
    <xf numFmtId="0" fontId="13" fillId="0" borderId="0"/>
    <xf numFmtId="178" fontId="13" fillId="0" borderId="0" applyFont="0" applyFill="0" applyBorder="0" applyAlignment="0" applyProtection="0"/>
    <xf numFmtId="0" fontId="34" fillId="0" borderId="0"/>
    <xf numFmtId="0" fontId="39" fillId="0" borderId="0"/>
    <xf numFmtId="44" fontId="13" fillId="0" borderId="0" applyFont="0" applyFill="0" applyBorder="0" applyAlignment="0" applyProtection="0"/>
    <xf numFmtId="173" fontId="2" fillId="0" borderId="0" applyFont="0" applyFill="0" applyBorder="0" applyAlignment="0" applyProtection="0"/>
    <xf numFmtId="0" fontId="18" fillId="0" borderId="0"/>
    <xf numFmtId="0" fontId="16" fillId="0" borderId="0"/>
    <xf numFmtId="0" fontId="16" fillId="0" borderId="0"/>
    <xf numFmtId="0" fontId="18" fillId="0" borderId="0"/>
    <xf numFmtId="0" fontId="16" fillId="0" borderId="0"/>
    <xf numFmtId="0" fontId="13" fillId="0" borderId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76" fontId="11" fillId="0" borderId="0" applyBorder="0" applyProtection="0"/>
    <xf numFmtId="0" fontId="2" fillId="0" borderId="0"/>
    <xf numFmtId="173" fontId="2" fillId="0" borderId="0" applyFont="0" applyFill="0" applyBorder="0" applyAlignment="0" applyProtection="0"/>
    <xf numFmtId="0" fontId="18" fillId="0" borderId="0"/>
    <xf numFmtId="0" fontId="2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169" fontId="2" fillId="0" borderId="0"/>
    <xf numFmtId="0" fontId="11" fillId="0" borderId="0"/>
    <xf numFmtId="16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2" fillId="0" borderId="0" applyNumberForma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39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1" fillId="0" borderId="0" applyNumberFormat="0" applyBorder="0" applyProtection="0"/>
    <xf numFmtId="169" fontId="2" fillId="0" borderId="0"/>
    <xf numFmtId="0" fontId="2" fillId="0" borderId="0"/>
    <xf numFmtId="169" fontId="2" fillId="0" borderId="0"/>
    <xf numFmtId="0" fontId="13" fillId="0" borderId="0"/>
    <xf numFmtId="0" fontId="11" fillId="0" borderId="0" applyNumberFormat="0" applyBorder="0" applyProtection="0"/>
    <xf numFmtId="0" fontId="40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9" fontId="2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179" fontId="16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16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2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1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177" fontId="13" fillId="0" borderId="0"/>
    <xf numFmtId="177" fontId="13" fillId="0" borderId="0"/>
    <xf numFmtId="0" fontId="13" fillId="0" borderId="0"/>
    <xf numFmtId="169" fontId="13" fillId="0" borderId="0"/>
    <xf numFmtId="169" fontId="13" fillId="0" borderId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173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0" fontId="13" fillId="0" borderId="0"/>
    <xf numFmtId="16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77" fontId="13" fillId="0" borderId="0"/>
    <xf numFmtId="169" fontId="13" fillId="0" borderId="0"/>
    <xf numFmtId="169" fontId="13" fillId="0" borderId="0"/>
    <xf numFmtId="172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7" fontId="13" fillId="0" borderId="0"/>
    <xf numFmtId="0" fontId="13" fillId="0" borderId="0"/>
    <xf numFmtId="0" fontId="13" fillId="0" borderId="0"/>
    <xf numFmtId="177" fontId="13" fillId="0" borderId="0"/>
    <xf numFmtId="177" fontId="13" fillId="0" borderId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12" borderId="18" applyNumberFormat="0" applyFont="0" applyAlignment="0" applyProtection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8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0" fontId="13" fillId="0" borderId="0"/>
    <xf numFmtId="0" fontId="13" fillId="0" borderId="0"/>
    <xf numFmtId="164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0" fontId="47" fillId="0" borderId="0">
      <alignment vertical="center"/>
    </xf>
    <xf numFmtId="0" fontId="2" fillId="0" borderId="0"/>
    <xf numFmtId="0" fontId="13" fillId="0" borderId="0"/>
    <xf numFmtId="0" fontId="46" fillId="0" borderId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17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57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59" fillId="0" borderId="0" applyNumberFormat="0" applyFill="0" applyBorder="0" applyAlignment="0" applyProtection="0"/>
    <xf numFmtId="169" fontId="2" fillId="0" borderId="0"/>
    <xf numFmtId="44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6" fillId="0" borderId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126">
    <xf numFmtId="0" fontId="0" fillId="0" borderId="0" xfId="0"/>
    <xf numFmtId="1" fontId="0" fillId="0" borderId="0" xfId="0" applyNumberFormat="1"/>
    <xf numFmtId="0" fontId="1" fillId="0" borderId="0" xfId="0" applyFont="1"/>
    <xf numFmtId="166" fontId="1" fillId="0" borderId="0" xfId="0" applyNumberFormat="1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1" xfId="0" applyFont="1" applyFill="1" applyBorder="1"/>
    <xf numFmtId="0" fontId="10" fillId="0" borderId="1" xfId="0" applyFont="1" applyBorder="1"/>
    <xf numFmtId="0" fontId="7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4" fillId="4" borderId="1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0" fontId="41" fillId="38" borderId="1" xfId="0" applyFont="1" applyFill="1" applyBorder="1" applyAlignment="1">
      <alignment horizontal="center" vertical="center"/>
    </xf>
    <xf numFmtId="0" fontId="41" fillId="39" borderId="1" xfId="0" applyFont="1" applyFill="1" applyBorder="1" applyAlignment="1">
      <alignment horizontal="center" vertical="center"/>
    </xf>
    <xf numFmtId="0" fontId="44" fillId="0" borderId="20" xfId="0" applyFont="1" applyBorder="1" applyAlignment="1">
      <alignment horizontal="center" wrapText="1"/>
    </xf>
    <xf numFmtId="20" fontId="44" fillId="0" borderId="20" xfId="0" applyNumberFormat="1" applyFont="1" applyBorder="1" applyAlignment="1">
      <alignment horizontal="center" wrapText="1"/>
    </xf>
    <xf numFmtId="20" fontId="45" fillId="0" borderId="20" xfId="0" applyNumberFormat="1" applyFont="1" applyBorder="1" applyAlignment="1">
      <alignment horizontal="center" wrapText="1"/>
    </xf>
    <xf numFmtId="0" fontId="45" fillId="0" borderId="20" xfId="0" applyFont="1" applyBorder="1" applyAlignment="1">
      <alignment horizontal="center" wrapText="1"/>
    </xf>
    <xf numFmtId="0" fontId="43" fillId="40" borderId="20" xfId="0" applyFont="1" applyFill="1" applyBorder="1" applyAlignment="1">
      <alignment horizontal="center"/>
    </xf>
    <xf numFmtId="0" fontId="42" fillId="40" borderId="20" xfId="0" applyFont="1" applyFill="1" applyBorder="1" applyAlignment="1">
      <alignment horizontal="center"/>
    </xf>
    <xf numFmtId="0" fontId="44" fillId="0" borderId="21" xfId="0" applyFont="1" applyBorder="1" applyAlignment="1">
      <alignment horizontal="center" wrapText="1"/>
    </xf>
    <xf numFmtId="20" fontId="44" fillId="0" borderId="21" xfId="0" applyNumberFormat="1" applyFont="1" applyBorder="1" applyAlignment="1">
      <alignment horizontal="center" wrapText="1"/>
    </xf>
    <xf numFmtId="0" fontId="9" fillId="41" borderId="1" xfId="0" applyFont="1" applyFill="1" applyBorder="1" applyAlignment="1">
      <alignment horizontal="center" vertical="center"/>
    </xf>
    <xf numFmtId="167" fontId="9" fillId="41" borderId="1" xfId="0" applyNumberFormat="1" applyFont="1" applyFill="1" applyBorder="1" applyAlignment="1">
      <alignment horizontal="center" vertical="center"/>
    </xf>
    <xf numFmtId="9" fontId="9" fillId="0" borderId="1" xfId="1126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9" fontId="3" fillId="0" borderId="22" xfId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69" fontId="3" fillId="0" borderId="23" xfId="1" applyFont="1" applyBorder="1" applyAlignment="1">
      <alignment horizontal="center" vertical="center"/>
    </xf>
    <xf numFmtId="169" fontId="3" fillId="0" borderId="23" xfId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169" fontId="12" fillId="3" borderId="23" xfId="1" applyFont="1" applyFill="1" applyBorder="1" applyAlignment="1">
      <alignment horizontal="center" vertical="center"/>
    </xf>
    <xf numFmtId="169" fontId="12" fillId="3" borderId="23" xfId="1" applyFont="1" applyFill="1" applyBorder="1" applyAlignment="1">
      <alignment horizontal="center" vertical="center" wrapText="1"/>
    </xf>
    <xf numFmtId="169" fontId="3" fillId="3" borderId="23" xfId="1" applyFont="1" applyFill="1" applyBorder="1" applyAlignment="1">
      <alignment horizontal="center" vertical="center" wrapText="1"/>
    </xf>
    <xf numFmtId="169" fontId="3" fillId="3" borderId="24" xfId="1" applyFont="1" applyFill="1" applyBorder="1" applyAlignment="1">
      <alignment horizontal="center" vertical="center" wrapText="1"/>
    </xf>
    <xf numFmtId="0" fontId="6" fillId="0" borderId="8" xfId="0" applyFont="1" applyBorder="1"/>
    <xf numFmtId="0" fontId="4" fillId="3" borderId="25" xfId="0" applyFont="1" applyFill="1" applyBorder="1" applyAlignment="1">
      <alignment horizontal="center" vertical="center"/>
    </xf>
    <xf numFmtId="0" fontId="4" fillId="3" borderId="25" xfId="0" quotePrefix="1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8" fillId="41" borderId="1" xfId="0" applyFont="1" applyFill="1" applyBorder="1" applyAlignment="1">
      <alignment horizontal="center" vertical="center"/>
    </xf>
    <xf numFmtId="14" fontId="9" fillId="41" borderId="1" xfId="0" applyNumberFormat="1" applyFont="1" applyFill="1" applyBorder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1126" applyNumberFormat="1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1" fontId="33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46" fontId="55" fillId="0" borderId="0" xfId="0" applyNumberFormat="1" applyFont="1" applyAlignment="1">
      <alignment horizontal="center" vertical="center"/>
    </xf>
    <xf numFmtId="46" fontId="55" fillId="0" borderId="27" xfId="0" applyNumberFormat="1" applyFont="1" applyBorder="1" applyAlignment="1">
      <alignment horizontal="center" vertical="center"/>
    </xf>
    <xf numFmtId="0" fontId="52" fillId="0" borderId="29" xfId="0" applyFont="1" applyBorder="1" applyAlignment="1">
      <alignment horizontal="center" vertical="center"/>
    </xf>
    <xf numFmtId="0" fontId="52" fillId="0" borderId="29" xfId="1126" applyNumberFormat="1" applyFont="1" applyBorder="1" applyAlignment="1">
      <alignment horizontal="center" vertical="center"/>
    </xf>
    <xf numFmtId="0" fontId="53" fillId="0" borderId="30" xfId="0" applyFont="1" applyBorder="1" applyAlignment="1">
      <alignment horizontal="center" vertical="center"/>
    </xf>
    <xf numFmtId="0" fontId="10" fillId="39" borderId="1" xfId="0" applyFont="1" applyFill="1" applyBorder="1" applyAlignment="1">
      <alignment horizontal="center"/>
    </xf>
    <xf numFmtId="0" fontId="10" fillId="38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20" fontId="4" fillId="0" borderId="1" xfId="0" applyNumberFormat="1" applyFont="1" applyBorder="1" applyAlignment="1">
      <alignment horizontal="center" vertical="center"/>
    </xf>
    <xf numFmtId="46" fontId="4" fillId="0" borderId="1" xfId="0" applyNumberFormat="1" applyFont="1" applyBorder="1" applyAlignment="1">
      <alignment horizontal="center" vertical="center"/>
    </xf>
    <xf numFmtId="20" fontId="4" fillId="3" borderId="25" xfId="0" applyNumberFormat="1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 vertical="center"/>
    </xf>
    <xf numFmtId="46" fontId="0" fillId="0" borderId="1" xfId="0" applyNumberFormat="1" applyBorder="1" applyAlignment="1">
      <alignment horizontal="center" vertical="center"/>
    </xf>
    <xf numFmtId="46" fontId="0" fillId="0" borderId="9" xfId="0" applyNumberForma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3" borderId="10" xfId="0" applyFont="1" applyFill="1" applyBorder="1" applyAlignment="1">
      <alignment horizontal="left" vertical="center"/>
    </xf>
    <xf numFmtId="9" fontId="0" fillId="0" borderId="1" xfId="1126" applyFont="1" applyBorder="1" applyAlignment="1">
      <alignment horizontal="center" vertical="center"/>
    </xf>
    <xf numFmtId="175" fontId="51" fillId="43" borderId="1" xfId="0" applyNumberFormat="1" applyFont="1" applyFill="1" applyBorder="1" applyAlignment="1">
      <alignment horizontal="center" vertical="center"/>
    </xf>
    <xf numFmtId="1" fontId="4" fillId="0" borderId="1" xfId="1126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75" fontId="51" fillId="43" borderId="32" xfId="0" applyNumberFormat="1" applyFont="1" applyFill="1" applyBorder="1" applyAlignment="1">
      <alignment horizontal="center" vertical="center"/>
    </xf>
    <xf numFmtId="14" fontId="41" fillId="43" borderId="32" xfId="0" applyNumberFormat="1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46" fontId="4" fillId="0" borderId="32" xfId="0" applyNumberFormat="1" applyFont="1" applyBorder="1" applyAlignment="1">
      <alignment horizontal="center" vertical="center"/>
    </xf>
    <xf numFmtId="1" fontId="4" fillId="0" borderId="32" xfId="1126" applyNumberFormat="1" applyFont="1" applyBorder="1" applyAlignment="1">
      <alignment horizontal="center" vertical="center"/>
    </xf>
    <xf numFmtId="1" fontId="4" fillId="0" borderId="32" xfId="0" applyNumberFormat="1" applyFont="1" applyBorder="1" applyAlignment="1">
      <alignment horizontal="center" vertical="center"/>
    </xf>
    <xf numFmtId="21" fontId="0" fillId="0" borderId="32" xfId="0" applyNumberFormat="1" applyBorder="1" applyAlignment="1">
      <alignment horizontal="center" vertical="center"/>
    </xf>
    <xf numFmtId="14" fontId="54" fillId="39" borderId="29" xfId="0" applyNumberFormat="1" applyFont="1" applyFill="1" applyBorder="1" applyAlignment="1">
      <alignment horizontal="center" vertical="center"/>
    </xf>
    <xf numFmtId="0" fontId="53" fillId="0" borderId="29" xfId="0" applyFont="1" applyBorder="1" applyAlignment="1">
      <alignment horizontal="center" vertical="center"/>
    </xf>
    <xf numFmtId="14" fontId="54" fillId="42" borderId="31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46" fontId="56" fillId="41" borderId="0" xfId="0" applyNumberFormat="1" applyFont="1" applyFill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9" fontId="12" fillId="3" borderId="24" xfId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4" fillId="0" borderId="9" xfId="0" applyNumberFormat="1" applyFont="1" applyBorder="1" applyAlignment="1">
      <alignment horizontal="center" vertical="center"/>
    </xf>
    <xf numFmtId="0" fontId="58" fillId="3" borderId="2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20" fontId="4" fillId="0" borderId="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6" fontId="0" fillId="0" borderId="0" xfId="1126" applyNumberFormat="1" applyFont="1" applyAlignment="1">
      <alignment horizontal="center" vertical="center"/>
    </xf>
    <xf numFmtId="46" fontId="0" fillId="0" borderId="1" xfId="1126" applyNumberFormat="1" applyFont="1" applyBorder="1" applyAlignment="1">
      <alignment horizontal="center" vertical="center"/>
    </xf>
    <xf numFmtId="168" fontId="7" fillId="2" borderId="6" xfId="0" applyNumberFormat="1" applyFont="1" applyFill="1" applyBorder="1" applyAlignment="1">
      <alignment horizontal="center" vertical="center"/>
    </xf>
    <xf numFmtId="168" fontId="7" fillId="2" borderId="2" xfId="0" applyNumberFormat="1" applyFont="1" applyFill="1" applyBorder="1" applyAlignment="1">
      <alignment horizontal="center" vertical="center"/>
    </xf>
    <xf numFmtId="168" fontId="7" fillId="2" borderId="7" xfId="0" applyNumberFormat="1" applyFont="1" applyFill="1" applyBorder="1" applyAlignment="1">
      <alignment horizontal="center" vertical="center"/>
    </xf>
    <xf numFmtId="175" fontId="7" fillId="2" borderId="3" xfId="0" applyNumberFormat="1" applyFont="1" applyFill="1" applyBorder="1" applyAlignment="1">
      <alignment horizontal="center" vertical="center"/>
    </xf>
    <xf numFmtId="175" fontId="7" fillId="2" borderId="4" xfId="0" applyNumberFormat="1" applyFont="1" applyFill="1" applyBorder="1" applyAlignment="1">
      <alignment horizontal="center" vertical="center"/>
    </xf>
    <xf numFmtId="175" fontId="7" fillId="2" borderId="5" xfId="0" applyNumberFormat="1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27" xfId="0" applyFont="1" applyBorder="1" applyAlignment="1">
      <alignment horizontal="center" vertical="center"/>
    </xf>
    <xf numFmtId="14" fontId="53" fillId="43" borderId="28" xfId="0" applyNumberFormat="1" applyFont="1" applyFill="1" applyBorder="1" applyAlignment="1">
      <alignment horizontal="center" vertical="center"/>
    </xf>
    <xf numFmtId="14" fontId="53" fillId="43" borderId="30" xfId="0" applyNumberFormat="1" applyFont="1" applyFill="1" applyBorder="1" applyAlignment="1">
      <alignment horizontal="center" vertical="center"/>
    </xf>
    <xf numFmtId="0" fontId="49" fillId="41" borderId="2" xfId="0" applyFont="1" applyFill="1" applyBorder="1" applyAlignment="1">
      <alignment horizontal="center" vertical="center"/>
    </xf>
    <xf numFmtId="0" fontId="49" fillId="41" borderId="26" xfId="0" applyFont="1" applyFill="1" applyBorder="1" applyAlignment="1">
      <alignment horizontal="center" vertical="center"/>
    </xf>
    <xf numFmtId="0" fontId="50" fillId="41" borderId="2" xfId="0" applyFont="1" applyFill="1" applyBorder="1" applyAlignment="1">
      <alignment horizontal="center" vertical="center"/>
    </xf>
    <xf numFmtId="0" fontId="50" fillId="41" borderId="26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/>
    </xf>
  </cellXfs>
  <cellStyles count="7923">
    <cellStyle name="_x000d__x000a_JournalTemplate=C:\COMFO\CTALK\JOURSTD.TPL_x000d__x000a_LbStateAddress=3 3 0 251 1 89 2 311_x000d__x000a_LbStateJou 3 2" xfId="8" xr:uid="{00000000-0005-0000-0000-000000000000}"/>
    <cellStyle name="=C:\WINNT\SYSTEM32\COMMAND.COM" xfId="9" xr:uid="{00000000-0005-0000-0000-000001000000}"/>
    <cellStyle name="=C:\WINNT\SYSTEM32\COMMAND.COM 10" xfId="10" xr:uid="{00000000-0005-0000-0000-000002000000}"/>
    <cellStyle name="=C:\WINNT\SYSTEM32\COMMAND.COM 2" xfId="11" xr:uid="{00000000-0005-0000-0000-000003000000}"/>
    <cellStyle name="=C:\WINNT\SYSTEM32\COMMAND.COM 3" xfId="12" xr:uid="{00000000-0005-0000-0000-000004000000}"/>
    <cellStyle name="=C:\WINNT\SYSTEM32\COMMAND.COM 4 2" xfId="13" xr:uid="{00000000-0005-0000-0000-000005000000}"/>
    <cellStyle name="20% - Énfasis1" xfId="144" builtinId="30" customBuiltin="1"/>
    <cellStyle name="20% - Énfasis1 2" xfId="1175" xr:uid="{00000000-0005-0000-0000-000007000000}"/>
    <cellStyle name="20% - Énfasis1 2 2" xfId="3304" xr:uid="{00000000-0005-0000-0000-000008000000}"/>
    <cellStyle name="20% - Énfasis1 2 3" xfId="2229" xr:uid="{00000000-0005-0000-0000-000009000000}"/>
    <cellStyle name="20% - Énfasis1 3" xfId="3017" xr:uid="{00000000-0005-0000-0000-00000A000000}"/>
    <cellStyle name="20% - Énfasis1 4" xfId="1926" xr:uid="{00000000-0005-0000-0000-00000B000000}"/>
    <cellStyle name="20% - Énfasis2" xfId="148" builtinId="34" customBuiltin="1"/>
    <cellStyle name="20% - Énfasis2 2" xfId="1177" xr:uid="{00000000-0005-0000-0000-00000D000000}"/>
    <cellStyle name="20% - Énfasis2 2 2" xfId="3306" xr:uid="{00000000-0005-0000-0000-00000E000000}"/>
    <cellStyle name="20% - Énfasis2 2 3" xfId="2231" xr:uid="{00000000-0005-0000-0000-00000F000000}"/>
    <cellStyle name="20% - Énfasis2 3" xfId="3019" xr:uid="{00000000-0005-0000-0000-000010000000}"/>
    <cellStyle name="20% - Énfasis2 4" xfId="1928" xr:uid="{00000000-0005-0000-0000-000011000000}"/>
    <cellStyle name="20% - Énfasis3" xfId="152" builtinId="38" customBuiltin="1"/>
    <cellStyle name="20% - Énfasis3 2" xfId="1179" xr:uid="{00000000-0005-0000-0000-000013000000}"/>
    <cellStyle name="20% - Énfasis3 2 2" xfId="3308" xr:uid="{00000000-0005-0000-0000-000014000000}"/>
    <cellStyle name="20% - Énfasis3 2 3" xfId="2233" xr:uid="{00000000-0005-0000-0000-000015000000}"/>
    <cellStyle name="20% - Énfasis3 3" xfId="3021" xr:uid="{00000000-0005-0000-0000-000016000000}"/>
    <cellStyle name="20% - Énfasis3 4" xfId="1930" xr:uid="{00000000-0005-0000-0000-000017000000}"/>
    <cellStyle name="20% - Énfasis4" xfId="156" builtinId="42" customBuiltin="1"/>
    <cellStyle name="20% - Énfasis4 2" xfId="1181" xr:uid="{00000000-0005-0000-0000-000019000000}"/>
    <cellStyle name="20% - Énfasis4 2 2" xfId="3310" xr:uid="{00000000-0005-0000-0000-00001A000000}"/>
    <cellStyle name="20% - Énfasis4 2 3" xfId="2235" xr:uid="{00000000-0005-0000-0000-00001B000000}"/>
    <cellStyle name="20% - Énfasis4 3" xfId="3023" xr:uid="{00000000-0005-0000-0000-00001C000000}"/>
    <cellStyle name="20% - Énfasis4 4" xfId="1932" xr:uid="{00000000-0005-0000-0000-00001D000000}"/>
    <cellStyle name="20% - Énfasis5" xfId="160" builtinId="46" customBuiltin="1"/>
    <cellStyle name="20% - Énfasis5 2" xfId="1183" xr:uid="{00000000-0005-0000-0000-00001F000000}"/>
    <cellStyle name="20% - Énfasis5 2 2" xfId="3312" xr:uid="{00000000-0005-0000-0000-000020000000}"/>
    <cellStyle name="20% - Énfasis5 2 3" xfId="2237" xr:uid="{00000000-0005-0000-0000-000021000000}"/>
    <cellStyle name="20% - Énfasis5 3" xfId="3025" xr:uid="{00000000-0005-0000-0000-000022000000}"/>
    <cellStyle name="20% - Énfasis5 4" xfId="1934" xr:uid="{00000000-0005-0000-0000-000023000000}"/>
    <cellStyle name="20% - Énfasis6" xfId="164" builtinId="50" customBuiltin="1"/>
    <cellStyle name="20% - Énfasis6 2" xfId="1185" xr:uid="{00000000-0005-0000-0000-000025000000}"/>
    <cellStyle name="20% - Énfasis6 2 2" xfId="3314" xr:uid="{00000000-0005-0000-0000-000026000000}"/>
    <cellStyle name="20% - Énfasis6 2 3" xfId="2239" xr:uid="{00000000-0005-0000-0000-000027000000}"/>
    <cellStyle name="20% - Énfasis6 3" xfId="3027" xr:uid="{00000000-0005-0000-0000-000028000000}"/>
    <cellStyle name="20% - Énfasis6 4" xfId="1936" xr:uid="{00000000-0005-0000-0000-000029000000}"/>
    <cellStyle name="40% - Énfasis1" xfId="145" builtinId="31" customBuiltin="1"/>
    <cellStyle name="40% - Énfasis1 2" xfId="1176" xr:uid="{00000000-0005-0000-0000-00002B000000}"/>
    <cellStyle name="40% - Énfasis1 2 2" xfId="3305" xr:uid="{00000000-0005-0000-0000-00002C000000}"/>
    <cellStyle name="40% - Énfasis1 2 3" xfId="2230" xr:uid="{00000000-0005-0000-0000-00002D000000}"/>
    <cellStyle name="40% - Énfasis1 3" xfId="3018" xr:uid="{00000000-0005-0000-0000-00002E000000}"/>
    <cellStyle name="40% - Énfasis1 4" xfId="1927" xr:uid="{00000000-0005-0000-0000-00002F000000}"/>
    <cellStyle name="40% - Énfasis2" xfId="149" builtinId="35" customBuiltin="1"/>
    <cellStyle name="40% - Énfasis2 2" xfId="1178" xr:uid="{00000000-0005-0000-0000-000031000000}"/>
    <cellStyle name="40% - Énfasis2 2 2" xfId="3307" xr:uid="{00000000-0005-0000-0000-000032000000}"/>
    <cellStyle name="40% - Énfasis2 2 3" xfId="2232" xr:uid="{00000000-0005-0000-0000-000033000000}"/>
    <cellStyle name="40% - Énfasis2 3" xfId="3020" xr:uid="{00000000-0005-0000-0000-000034000000}"/>
    <cellStyle name="40% - Énfasis2 4" xfId="1929" xr:uid="{00000000-0005-0000-0000-000035000000}"/>
    <cellStyle name="40% - Énfasis3" xfId="153" builtinId="39" customBuiltin="1"/>
    <cellStyle name="40% - Énfasis3 2" xfId="1180" xr:uid="{00000000-0005-0000-0000-000037000000}"/>
    <cellStyle name="40% - Énfasis3 2 2" xfId="3309" xr:uid="{00000000-0005-0000-0000-000038000000}"/>
    <cellStyle name="40% - Énfasis3 2 3" xfId="2234" xr:uid="{00000000-0005-0000-0000-000039000000}"/>
    <cellStyle name="40% - Énfasis3 3" xfId="3022" xr:uid="{00000000-0005-0000-0000-00003A000000}"/>
    <cellStyle name="40% - Énfasis3 4" xfId="1931" xr:uid="{00000000-0005-0000-0000-00003B000000}"/>
    <cellStyle name="40% - Énfasis4" xfId="157" builtinId="43" customBuiltin="1"/>
    <cellStyle name="40% - Énfasis4 2" xfId="1182" xr:uid="{00000000-0005-0000-0000-00003D000000}"/>
    <cellStyle name="40% - Énfasis4 2 2" xfId="3311" xr:uid="{00000000-0005-0000-0000-00003E000000}"/>
    <cellStyle name="40% - Énfasis4 2 3" xfId="2236" xr:uid="{00000000-0005-0000-0000-00003F000000}"/>
    <cellStyle name="40% - Énfasis4 3" xfId="3024" xr:uid="{00000000-0005-0000-0000-000040000000}"/>
    <cellStyle name="40% - Énfasis4 4" xfId="1933" xr:uid="{00000000-0005-0000-0000-000041000000}"/>
    <cellStyle name="40% - Énfasis5" xfId="161" builtinId="47" customBuiltin="1"/>
    <cellStyle name="40% - Énfasis5 2" xfId="1184" xr:uid="{00000000-0005-0000-0000-000043000000}"/>
    <cellStyle name="40% - Énfasis5 2 2" xfId="3313" xr:uid="{00000000-0005-0000-0000-000044000000}"/>
    <cellStyle name="40% - Énfasis5 2 3" xfId="2238" xr:uid="{00000000-0005-0000-0000-000045000000}"/>
    <cellStyle name="40% - Énfasis5 3" xfId="3026" xr:uid="{00000000-0005-0000-0000-000046000000}"/>
    <cellStyle name="40% - Énfasis5 4" xfId="1935" xr:uid="{00000000-0005-0000-0000-000047000000}"/>
    <cellStyle name="40% - Énfasis6" xfId="165" builtinId="51" customBuiltin="1"/>
    <cellStyle name="40% - Énfasis6 2" xfId="1186" xr:uid="{00000000-0005-0000-0000-000049000000}"/>
    <cellStyle name="40% - Énfasis6 2 2" xfId="3315" xr:uid="{00000000-0005-0000-0000-00004A000000}"/>
    <cellStyle name="40% - Énfasis6 2 3" xfId="2240" xr:uid="{00000000-0005-0000-0000-00004B000000}"/>
    <cellStyle name="40% - Énfasis6 3" xfId="3028" xr:uid="{00000000-0005-0000-0000-00004C000000}"/>
    <cellStyle name="40% - Énfasis6 4" xfId="1937" xr:uid="{00000000-0005-0000-0000-00004D000000}"/>
    <cellStyle name="60% - Énfasis1" xfId="146" builtinId="32" customBuiltin="1"/>
    <cellStyle name="60% - Énfasis2" xfId="150" builtinId="36" customBuiltin="1"/>
    <cellStyle name="60% - Énfasis3" xfId="154" builtinId="40" customBuiltin="1"/>
    <cellStyle name="60% - Énfasis4" xfId="158" builtinId="44" customBuiltin="1"/>
    <cellStyle name="60% - Énfasis5" xfId="162" builtinId="48" customBuiltin="1"/>
    <cellStyle name="60% - Énfasis6" xfId="166" builtinId="52" customBuiltin="1"/>
    <cellStyle name="Bueno" xfId="131" builtinId="26" customBuiltin="1"/>
    <cellStyle name="Cálculo" xfId="136" builtinId="22" customBuiltin="1"/>
    <cellStyle name="Celda de comprobación" xfId="138" builtinId="23" customBuiltin="1"/>
    <cellStyle name="Celda vinculada" xfId="137" builtinId="24" customBuiltin="1"/>
    <cellStyle name="cf1" xfId="171" xr:uid="{00000000-0005-0000-0000-000058000000}"/>
    <cellStyle name="Currency 3" xfId="14" xr:uid="{00000000-0005-0000-0000-000059000000}"/>
    <cellStyle name="Currency 3 2" xfId="906" xr:uid="{00000000-0005-0000-0000-00005A000000}"/>
    <cellStyle name="Encabezado 1" xfId="127" builtinId="16" customBuiltin="1"/>
    <cellStyle name="Encabezado 4" xfId="130" builtinId="19" customBuiltin="1"/>
    <cellStyle name="Énfasis1" xfId="143" builtinId="29" customBuiltin="1"/>
    <cellStyle name="Énfasis2" xfId="147" builtinId="33" customBuiltin="1"/>
    <cellStyle name="Énfasis3" xfId="151" builtinId="37" customBuiltin="1"/>
    <cellStyle name="Énfasis4" xfId="155" builtinId="41" customBuiltin="1"/>
    <cellStyle name="Énfasis5" xfId="159" builtinId="45" customBuiltin="1"/>
    <cellStyle name="Énfasis6" xfId="163" builtinId="49" customBuiltin="1"/>
    <cellStyle name="Entrada" xfId="134" builtinId="20" customBuiltin="1"/>
    <cellStyle name="Estilo 1" xfId="15" xr:uid="{00000000-0005-0000-0000-000064000000}"/>
    <cellStyle name="Excel Built-in Normal" xfId="16" xr:uid="{00000000-0005-0000-0000-000065000000}"/>
    <cellStyle name="Excel Built-in Normal 2" xfId="17" xr:uid="{00000000-0005-0000-0000-000066000000}"/>
    <cellStyle name="Excel Built-in Normal 3" xfId="18" xr:uid="{00000000-0005-0000-0000-000067000000}"/>
    <cellStyle name="Excel Built-in Normal 3 2" xfId="19" xr:uid="{00000000-0005-0000-0000-000068000000}"/>
    <cellStyle name="Hipervínculo" xfId="6" xr:uid="{00000000-0005-0000-0000-000069000000}"/>
    <cellStyle name="Hipervínculo 2" xfId="206" xr:uid="{00000000-0005-0000-0000-00006A000000}"/>
    <cellStyle name="Hipervínculo 2 2" xfId="236" xr:uid="{00000000-0005-0000-0000-00006B000000}"/>
    <cellStyle name="Hipervínculo 2 3" xfId="237" xr:uid="{00000000-0005-0000-0000-00006C000000}"/>
    <cellStyle name="Hipervínculo 2 4" xfId="233" xr:uid="{00000000-0005-0000-0000-00006D000000}"/>
    <cellStyle name="Hipervínculo 3" xfId="207" xr:uid="{00000000-0005-0000-0000-00006E000000}"/>
    <cellStyle name="Hipervínculo 3 2" xfId="238" xr:uid="{00000000-0005-0000-0000-00006F000000}"/>
    <cellStyle name="Hipervínculo 4" xfId="222" xr:uid="{00000000-0005-0000-0000-000070000000}"/>
    <cellStyle name="Hipervínculo 5" xfId="226" xr:uid="{00000000-0005-0000-0000-000071000000}"/>
    <cellStyle name="Hipervínculo 6" xfId="239" xr:uid="{00000000-0005-0000-0000-000072000000}"/>
    <cellStyle name="Hipervínculo 7" xfId="905" xr:uid="{00000000-0005-0000-0000-000073000000}"/>
    <cellStyle name="Hipervínculo 8" xfId="5236" xr:uid="{ADE9E6DA-56B4-4F9D-A1D6-E3EB21DCC518}"/>
    <cellStyle name="Incorrecto" xfId="132" builtinId="27" customBuiltin="1"/>
    <cellStyle name="Millares 2" xfId="20" xr:uid="{00000000-0005-0000-0000-000075000000}"/>
    <cellStyle name="Millares 2 10" xfId="794" xr:uid="{00000000-0005-0000-0000-000076000000}"/>
    <cellStyle name="Millares 2 10 10" xfId="7714" xr:uid="{E2F8BD52-1364-40E3-BF88-61E6475E64CC}"/>
    <cellStyle name="Millares 2 10 2" xfId="3316" xr:uid="{00000000-0005-0000-0000-000077000000}"/>
    <cellStyle name="Millares 2 10 2 2" xfId="4293" xr:uid="{00000000-0005-0000-0000-000078000000}"/>
    <cellStyle name="Millares 2 10 3" xfId="2241" xr:uid="{00000000-0005-0000-0000-000079000000}"/>
    <cellStyle name="Millares 2 10 3 2" xfId="4151" xr:uid="{00000000-0005-0000-0000-00007A000000}"/>
    <cellStyle name="Millares 2 10 4" xfId="1188" xr:uid="{00000000-0005-0000-0000-00007B000000}"/>
    <cellStyle name="Millares 2 10 5" xfId="3959" xr:uid="{00000000-0005-0000-0000-00007C000000}"/>
    <cellStyle name="Millares 2 10 6" xfId="4602" xr:uid="{554CD2E7-FA06-40D2-AAD9-56861667C2BF}"/>
    <cellStyle name="Millares 2 10 7" xfId="5024" xr:uid="{CE8BE91B-A1DD-443F-9E27-27861B7B5E52}"/>
    <cellStyle name="Millares 2 10 8" xfId="6870" xr:uid="{CDC82B7C-8FBF-45C9-9944-2276BA0ECE7A}"/>
    <cellStyle name="Millares 2 10 9" xfId="7292" xr:uid="{C88B75C0-7B56-4DDF-B577-E0F275A3EDF9}"/>
    <cellStyle name="Millares 2 11" xfId="907" xr:uid="{00000000-0005-0000-0000-00007D000000}"/>
    <cellStyle name="Millares 2 11 2" xfId="2777" xr:uid="{00000000-0005-0000-0000-00007E000000}"/>
    <cellStyle name="Millares 2 11 2 2" xfId="6450" xr:uid="{80CD9E0C-3760-4331-84E5-53EED1323EF5}"/>
    <cellStyle name="Millares 2 11 2 3" xfId="5740" xr:uid="{03602C55-4750-4F6A-8FB8-A636D0A95ACB}"/>
    <cellStyle name="Millares 2 11 3" xfId="1667" xr:uid="{00000000-0005-0000-0000-00007F000000}"/>
    <cellStyle name="Millares 2 11 3 2" xfId="6095" xr:uid="{0BCF18A9-BCDF-447D-BD53-9BFFAAF18097}"/>
    <cellStyle name="Millares 2 11 4" xfId="5385" xr:uid="{8FC07DF7-4539-4C59-AB9A-F0EE56526E44}"/>
    <cellStyle name="Millares 2 12" xfId="1686" xr:uid="{00000000-0005-0000-0000-000080000000}"/>
    <cellStyle name="Millares 2 12 2" xfId="4056" xr:uid="{00000000-0005-0000-0000-000081000000}"/>
    <cellStyle name="Millares 2 13" xfId="4390" xr:uid="{211CAB07-95D5-48EF-A65B-DC16A5C842FB}"/>
    <cellStyle name="Millares 2 14" xfId="4813" xr:uid="{57AB0307-4B87-4532-802B-26F3670F6F80}"/>
    <cellStyle name="Millares 2 15" xfId="6659" xr:uid="{32917D20-A3AC-4A2C-8795-861379617F51}"/>
    <cellStyle name="Millares 2 16" xfId="7081" xr:uid="{CDB455C6-2377-4D52-9649-E7A9D1780070}"/>
    <cellStyle name="Millares 2 17" xfId="7503" xr:uid="{BA233443-5FA4-4FBC-B09C-84F40BFAF0C0}"/>
    <cellStyle name="Millares 2 2" xfId="21" xr:uid="{00000000-0005-0000-0000-000082000000}"/>
    <cellStyle name="Millares 2 2 10" xfId="4391" xr:uid="{90BB9F0F-3CDD-432C-B1E9-82A1C8AB71F3}"/>
    <cellStyle name="Millares 2 2 11" xfId="4814" xr:uid="{12AA41C2-2B92-4EFA-9F27-F3B1632F877F}"/>
    <cellStyle name="Millares 2 2 12" xfId="6660" xr:uid="{A66955A7-63FC-4FBC-8B9F-0ED5E862A1E3}"/>
    <cellStyle name="Millares 2 2 13" xfId="7082" xr:uid="{7163A70C-1F3C-4619-9511-CC8CBD3AB21E}"/>
    <cellStyle name="Millares 2 2 14" xfId="7504" xr:uid="{82D45942-6771-4B46-A0B3-FBF04A7BA29A}"/>
    <cellStyle name="Millares 2 2 2" xfId="80" xr:uid="{00000000-0005-0000-0000-000083000000}"/>
    <cellStyle name="Millares 2 2 2 10" xfId="4822" xr:uid="{2B54CE4F-DD65-457A-956E-3ABA7CDCD270}"/>
    <cellStyle name="Millares 2 2 2 11" xfId="6668" xr:uid="{EB8AC41C-F527-4257-8BBE-BC7C94451BF9}"/>
    <cellStyle name="Millares 2 2 2 12" xfId="7090" xr:uid="{D0306144-CB42-4217-B0DC-9AB931C982CB}"/>
    <cellStyle name="Millares 2 2 2 13" xfId="7512" xr:uid="{E8C8C621-717B-42E6-8364-E27095128252}"/>
    <cellStyle name="Millares 2 2 2 2" xfId="191" xr:uid="{00000000-0005-0000-0000-000084000000}"/>
    <cellStyle name="Millares 2 2 2 2 10" xfId="6687" xr:uid="{75F55120-E297-462B-ABEA-67ABE0629142}"/>
    <cellStyle name="Millares 2 2 2 2 11" xfId="7109" xr:uid="{94758FA2-E13F-44FE-97AF-5C67F707AFF5}"/>
    <cellStyle name="Millares 2 2 2 2 12" xfId="7531" xr:uid="{5746C443-90A7-4C62-95FE-B0A79E1FDDCA}"/>
    <cellStyle name="Millares 2 2 2 2 2" xfId="469" xr:uid="{00000000-0005-0000-0000-000085000000}"/>
    <cellStyle name="Millares 2 2 2 2 2 10" xfId="6748" xr:uid="{22BCEA8C-8CC9-4F2C-9F06-5DA4E3BC38BA}"/>
    <cellStyle name="Millares 2 2 2 2 2 11" xfId="7170" xr:uid="{9556BC7C-3EFE-4A91-BC67-B57364DB5B0B}"/>
    <cellStyle name="Millares 2 2 2 2 2 12" xfId="7592" xr:uid="{CB49668A-45C4-41E6-B759-5357E4049F6A}"/>
    <cellStyle name="Millares 2 2 2 2 2 2" xfId="757" xr:uid="{00000000-0005-0000-0000-000086000000}"/>
    <cellStyle name="Millares 2 2 2 2 2 2 10" xfId="7213" xr:uid="{4DE68331-DAE1-47FD-8D70-F90A450EE241}"/>
    <cellStyle name="Millares 2 2 2 2 2 2 11" xfId="7635" xr:uid="{48AB6B6E-EE12-475B-B6D5-0CB6A5FA5E4B}"/>
    <cellStyle name="Millares 2 2 2 2 2 2 2" xfId="1047" xr:uid="{00000000-0005-0000-0000-000087000000}"/>
    <cellStyle name="Millares 2 2 2 2 2 2 2 2" xfId="3836" xr:uid="{00000000-0005-0000-0000-000088000000}"/>
    <cellStyle name="Millares 2 2 2 2 2 2 2 2 2" xfId="6582" xr:uid="{DD11F35E-8463-4ED0-BA3C-121D3E859986}"/>
    <cellStyle name="Millares 2 2 2 2 2 2 2 2 3" xfId="5872" xr:uid="{2BF0F8C6-DDC1-4919-A07E-79AAE1FF673D}"/>
    <cellStyle name="Millares 2 2 2 2 2 2 2 3" xfId="4379" xr:uid="{00000000-0005-0000-0000-000089000000}"/>
    <cellStyle name="Millares 2 2 2 2 2 2 2 3 2" xfId="6227" xr:uid="{FDC04463-BB6E-48C1-B3D1-CAF576600E12}"/>
    <cellStyle name="Millares 2 2 2 2 2 2 2 4" xfId="4734" xr:uid="{F4A56584-BC39-4FDA-882F-0F636B04CCA3}"/>
    <cellStyle name="Millares 2 2 2 2 2 2 2 5" xfId="5156" xr:uid="{264CCEB6-B6BA-4BF0-96CB-E3B79055CA29}"/>
    <cellStyle name="Millares 2 2 2 2 2 2 2 6" xfId="5517" xr:uid="{9B28372F-66CA-49B0-A1BF-D0EF3C0C2D9A}"/>
    <cellStyle name="Millares 2 2 2 2 2 2 2 7" xfId="7002" xr:uid="{DDECA6CC-F0C7-4D9B-98CF-EE2B7B288B3F}"/>
    <cellStyle name="Millares 2 2 2 2 2 2 2 8" xfId="7424" xr:uid="{595077F4-F178-48F2-8348-44CAC83BDBD5}"/>
    <cellStyle name="Millares 2 2 2 2 2 2 2 9" xfId="7846" xr:uid="{454BF526-1B34-48B8-A499-13E87865B4D2}"/>
    <cellStyle name="Millares 2 2 2 2 2 2 3" xfId="2761" xr:uid="{00000000-0005-0000-0000-00008A000000}"/>
    <cellStyle name="Millares 2 2 2 2 2 2 3 2" xfId="4237" xr:uid="{00000000-0005-0000-0000-00008B000000}"/>
    <cellStyle name="Millares 2 2 2 2 2 2 3 2 2" xfId="6418" xr:uid="{8A4B6ADF-8480-4421-A08E-BE5E100787FC}"/>
    <cellStyle name="Millares 2 2 2 2 2 2 3 3" xfId="5708" xr:uid="{740978F9-CF7F-411A-A5EA-A3BDC173BC5B}"/>
    <cellStyle name="Millares 2 2 2 2 2 2 4" xfId="1649" xr:uid="{00000000-0005-0000-0000-00008C000000}"/>
    <cellStyle name="Millares 2 2 2 2 2 2 4 2" xfId="6063" xr:uid="{CE3D8326-EDA7-4EE8-8D7A-78E3C1536E0D}"/>
    <cellStyle name="Millares 2 2 2 2 2 2 5" xfId="4045" xr:uid="{00000000-0005-0000-0000-00008D000000}"/>
    <cellStyle name="Millares 2 2 2 2 2 2 6" xfId="4522" xr:uid="{EC96A22C-16C1-4B16-9400-E348914E5324}"/>
    <cellStyle name="Millares 2 2 2 2 2 2 7" xfId="4945" xr:uid="{71382BAD-3333-4288-AA34-48A8615758B5}"/>
    <cellStyle name="Millares 2 2 2 2 2 2 8" xfId="5353" xr:uid="{90976E52-DC23-47B6-A1A6-62E8D43B68CD}"/>
    <cellStyle name="Millares 2 2 2 2 2 2 9" xfId="6791" xr:uid="{D1A09F1B-8EB2-4DB9-9664-97CE32F8FF83}"/>
    <cellStyle name="Millares 2 2 2 2 2 3" xfId="1004" xr:uid="{00000000-0005-0000-0000-00008E000000}"/>
    <cellStyle name="Millares 2 2 2 2 2 3 2" xfId="3293" xr:uid="{00000000-0005-0000-0000-00008F000000}"/>
    <cellStyle name="Millares 2 2 2 2 2 3 2 2" xfId="6539" xr:uid="{CBBC23AD-0776-4BB7-BE96-9D86FE696D72}"/>
    <cellStyle name="Millares 2 2 2 2 2 3 2 3" xfId="5829" xr:uid="{61A24EE3-5CB1-4FB4-B034-0BE64BDF45DA}"/>
    <cellStyle name="Millares 2 2 2 2 2 3 3" xfId="4284" xr:uid="{00000000-0005-0000-0000-000090000000}"/>
    <cellStyle name="Millares 2 2 2 2 2 3 3 2" xfId="6184" xr:uid="{E39F2FB8-5DB4-473F-B590-6E02FEE952D2}"/>
    <cellStyle name="Millares 2 2 2 2 2 3 4" xfId="4691" xr:uid="{84B86152-FD35-4605-9087-3238AEA51E41}"/>
    <cellStyle name="Millares 2 2 2 2 2 3 5" xfId="5113" xr:uid="{73E1CF7B-E744-45B2-8089-EF4DB275D24A}"/>
    <cellStyle name="Millares 2 2 2 2 2 3 6" xfId="5474" xr:uid="{E85639CD-87A8-45D0-8FA5-DC30F99B2B99}"/>
    <cellStyle name="Millares 2 2 2 2 2 3 7" xfId="6959" xr:uid="{053E8DAB-7CEA-49BA-B77E-DB43A07737F5}"/>
    <cellStyle name="Millares 2 2 2 2 2 3 8" xfId="7381" xr:uid="{7FB41885-BCFF-4331-8603-D7E8C8839C05}"/>
    <cellStyle name="Millares 2 2 2 2 2 3 9" xfId="7803" xr:uid="{D6B1F92A-38EC-4A5D-8C48-84AC1C9DA078}"/>
    <cellStyle name="Millares 2 2 2 2 2 4" xfId="2218" xr:uid="{00000000-0005-0000-0000-000091000000}"/>
    <cellStyle name="Millares 2 2 2 2 2 4 2" xfId="4142" xr:uid="{00000000-0005-0000-0000-000092000000}"/>
    <cellStyle name="Millares 2 2 2 2 2 4 2 2" xfId="6354" xr:uid="{0803D256-E521-4B62-A64F-69E9D9E72D45}"/>
    <cellStyle name="Millares 2 2 2 2 2 4 3" xfId="5644" xr:uid="{623695FC-5C27-4BAB-99E4-3CFAF22B7C2F}"/>
    <cellStyle name="Millares 2 2 2 2 2 5" xfId="1165" xr:uid="{00000000-0005-0000-0000-000093000000}"/>
    <cellStyle name="Millares 2 2 2 2 2 5 2" xfId="5999" xr:uid="{E7DC3BBE-0976-431F-9B5A-3407A35B6B57}"/>
    <cellStyle name="Millares 2 2 2 2 2 6" xfId="3950" xr:uid="{00000000-0005-0000-0000-000094000000}"/>
    <cellStyle name="Millares 2 2 2 2 2 7" xfId="4479" xr:uid="{B9731A22-751C-4975-AAFD-F0C801F6CED1}"/>
    <cellStyle name="Millares 2 2 2 2 2 8" xfId="4902" xr:uid="{E5D4F0C7-56A0-4DF1-8520-758AD68B3FE2}"/>
    <cellStyle name="Millares 2 2 2 2 2 9" xfId="5289" xr:uid="{C25D8008-8211-4A9A-9D1C-41A1BFBEB747}"/>
    <cellStyle name="Millares 2 2 2 2 3" xfId="581" xr:uid="{00000000-0005-0000-0000-000095000000}"/>
    <cellStyle name="Millares 2 2 2 2 3 10" xfId="7673" xr:uid="{4A624253-1C31-4F6A-8E78-59DFC6A54DCF}"/>
    <cellStyle name="Millares 2 2 2 2 3 2" xfId="777" xr:uid="{00000000-0005-0000-0000-000096000000}"/>
    <cellStyle name="Millares 2 2 2 2 3 2 10" xfId="7462" xr:uid="{FA72EFF2-AED9-40BD-9420-2D437F0A0BC9}"/>
    <cellStyle name="Millares 2 2 2 2 3 2 11" xfId="7884" xr:uid="{D07845C1-5643-4240-8FD7-5316A9F3F67D}"/>
    <cellStyle name="Millares 2 2 2 2 3 2 2" xfId="3658" xr:uid="{00000000-0005-0000-0000-000097000000}"/>
    <cellStyle name="Millares 2 2 2 2 3 2 2 2" xfId="4340" xr:uid="{00000000-0005-0000-0000-000098000000}"/>
    <cellStyle name="Millares 2 2 2 2 3 2 2 2 2" xfId="6438" xr:uid="{1C83148B-CE69-4332-A972-7F1B0D411B9F}"/>
    <cellStyle name="Millares 2 2 2 2 3 2 2 3" xfId="5728" xr:uid="{44D31D5C-5302-4A2D-BCAD-B7B5FA701CEE}"/>
    <cellStyle name="Millares 2 2 2 2 3 2 3" xfId="2583" xr:uid="{00000000-0005-0000-0000-000099000000}"/>
    <cellStyle name="Millares 2 2 2 2 3 2 3 2" xfId="4198" xr:uid="{00000000-0005-0000-0000-00009A000000}"/>
    <cellStyle name="Millares 2 2 2 2 3 2 3 3" xfId="6083" xr:uid="{80A6F899-25B9-47A2-8DC2-708C4A97438C}"/>
    <cellStyle name="Millares 2 2 2 2 3 2 4" xfId="1493" xr:uid="{00000000-0005-0000-0000-00009B000000}"/>
    <cellStyle name="Millares 2 2 2 2 3 2 5" xfId="4006" xr:uid="{00000000-0005-0000-0000-00009C000000}"/>
    <cellStyle name="Millares 2 2 2 2 3 2 6" xfId="4772" xr:uid="{5F652A68-59CA-4425-B226-A9DD23F59FB9}"/>
    <cellStyle name="Millares 2 2 2 2 3 2 7" xfId="5194" xr:uid="{540D7986-9AA6-4680-BD95-8A282F0733E5}"/>
    <cellStyle name="Millares 2 2 2 2 3 2 8" xfId="5373" xr:uid="{80C42AE3-78C3-4505-8309-C7F019A93638}"/>
    <cellStyle name="Millares 2 2 2 2 3 2 9" xfId="7040" xr:uid="{5F935A64-98AE-4A24-AA03-D1F52697832D}"/>
    <cellStyle name="Millares 2 2 2 2 3 3" xfId="877" xr:uid="{00000000-0005-0000-0000-00009D000000}"/>
    <cellStyle name="Millares 2 2 2 2 3 4" xfId="1086" xr:uid="{00000000-0005-0000-0000-00009E000000}"/>
    <cellStyle name="Millares 2 2 2 2 3 4 2" xfId="2040" xr:uid="{00000000-0005-0000-0000-00009F000000}"/>
    <cellStyle name="Millares 2 2 2 2 3 4 2 2" xfId="6620" xr:uid="{447C70E5-42C3-4E9F-8DB4-631D66027343}"/>
    <cellStyle name="Millares 2 2 2 2 3 4 2 3" xfId="5910" xr:uid="{37DDF744-57DF-4F79-9849-34D0FF8551A2}"/>
    <cellStyle name="Millares 2 2 2 2 3 4 3" xfId="4103" xr:uid="{00000000-0005-0000-0000-0000A0000000}"/>
    <cellStyle name="Millares 2 2 2 2 3 4 3 2" xfId="6265" xr:uid="{43E871D9-742E-4511-9365-6FD394455769}"/>
    <cellStyle name="Millares 2 2 2 2 3 4 4" xfId="5555" xr:uid="{47AE075F-1166-4AC4-B4D6-E6126FDDDBFA}"/>
    <cellStyle name="Millares 2 2 2 2 3 5" xfId="4560" xr:uid="{D5BB6D14-2561-4B1A-9C1F-00E1FA87D5C5}"/>
    <cellStyle name="Millares 2 2 2 2 3 5 2" xfId="6374" xr:uid="{3694DB0C-43AE-4CD9-ACB1-00E70DB0AC11}"/>
    <cellStyle name="Millares 2 2 2 2 3 5 3" xfId="5664" xr:uid="{25E1EE49-5869-4321-9A21-2A068FECDEC2}"/>
    <cellStyle name="Millares 2 2 2 2 3 6" xfId="4983" xr:uid="{22B2E4D0-BEA9-43F9-ADF7-1E07FEE402AD}"/>
    <cellStyle name="Millares 2 2 2 2 3 6 2" xfId="6019" xr:uid="{3CAEDC2D-2731-49AA-A5DE-5F1EA94D87DA}"/>
    <cellStyle name="Millares 2 2 2 2 3 7" xfId="5309" xr:uid="{AB7AD588-83D2-41D7-BD32-2924E2C55F02}"/>
    <cellStyle name="Millares 2 2 2 2 3 8" xfId="6829" xr:uid="{71A1883E-C5C1-43B2-A478-4884A912F956}"/>
    <cellStyle name="Millares 2 2 2 2 3 9" xfId="7251" xr:uid="{02E91CAC-3968-4A88-BE38-FE1A4FB0A9B5}"/>
    <cellStyle name="Millares 2 2 2 2 4" xfId="821" xr:uid="{00000000-0005-0000-0000-0000A1000000}"/>
    <cellStyle name="Millares 2 2 2 2 4 10" xfId="7742" xr:uid="{74E66387-B273-4FEA-9B7B-40C57159B57F}"/>
    <cellStyle name="Millares 2 2 2 2 4 2" xfId="3508" xr:uid="{00000000-0005-0000-0000-0000A2000000}"/>
    <cellStyle name="Millares 2 2 2 2 4 2 2" xfId="4320" xr:uid="{00000000-0005-0000-0000-0000A3000000}"/>
    <cellStyle name="Millares 2 2 2 2 4 3" xfId="2433" xr:uid="{00000000-0005-0000-0000-0000A4000000}"/>
    <cellStyle name="Millares 2 2 2 2 4 3 2" xfId="4178" xr:uid="{00000000-0005-0000-0000-0000A5000000}"/>
    <cellStyle name="Millares 2 2 2 2 4 4" xfId="1363" xr:uid="{00000000-0005-0000-0000-0000A6000000}"/>
    <cellStyle name="Millares 2 2 2 2 4 5" xfId="3986" xr:uid="{00000000-0005-0000-0000-0000A7000000}"/>
    <cellStyle name="Millares 2 2 2 2 4 6" xfId="4630" xr:uid="{E81EC0E0-0BAC-40BF-A51A-2F7188885E47}"/>
    <cellStyle name="Millares 2 2 2 2 4 7" xfId="5052" xr:uid="{0BCA1F04-75A7-4B88-A025-1D72799DA8A1}"/>
    <cellStyle name="Millares 2 2 2 2 4 8" xfId="6898" xr:uid="{017C423F-2CAB-4FAB-98A0-C616D2378170}"/>
    <cellStyle name="Millares 2 2 2 2 4 9" xfId="7320" xr:uid="{C54699F7-724C-4D56-892F-FB8A799F1F3A}"/>
    <cellStyle name="Millares 2 2 2 2 5" xfId="939" xr:uid="{00000000-0005-0000-0000-0000A8000000}"/>
    <cellStyle name="Millares 2 2 2 2 5 2" xfId="2969" xr:uid="{00000000-0005-0000-0000-0000A9000000}"/>
    <cellStyle name="Millares 2 2 2 2 5 2 2" xfId="6478" xr:uid="{988C5DEA-94F4-40F8-A2E6-F784450D4D1B}"/>
    <cellStyle name="Millares 2 2 2 2 5 2 3" xfId="5768" xr:uid="{26DB81C0-0761-4014-B5C6-B06BE412EDE3}"/>
    <cellStyle name="Millares 2 2 2 2 5 3" xfId="6123" xr:uid="{46922D70-81AA-49A8-B1C8-4A6DFD902DBC}"/>
    <cellStyle name="Millares 2 2 2 2 5 4" xfId="5413" xr:uid="{6ED331EB-E36F-415B-83EA-85228ADDF673}"/>
    <cellStyle name="Millares 2 2 2 2 6" xfId="1878" xr:uid="{00000000-0005-0000-0000-0000AA000000}"/>
    <cellStyle name="Millares 2 2 2 2 6 2" xfId="4083" xr:uid="{00000000-0005-0000-0000-0000AB000000}"/>
    <cellStyle name="Millares 2 2 2 2 6 2 2" xfId="6315" xr:uid="{C7BBE461-91AD-426F-8900-0CA954D6F825}"/>
    <cellStyle name="Millares 2 2 2 2 6 3" xfId="5605" xr:uid="{EAA9063C-7052-47CC-B020-F6849758C8D3}"/>
    <cellStyle name="Millares 2 2 2 2 7" xfId="4418" xr:uid="{C7CF14A1-C962-473A-955A-2D0A8B74C6CC}"/>
    <cellStyle name="Millares 2 2 2 2 7 2" xfId="5960" xr:uid="{F3FDCA88-69D1-4771-9288-AC5A7DE9EC0E}"/>
    <cellStyle name="Millares 2 2 2 2 8" xfId="4841" xr:uid="{436BF08A-B0AE-43FA-9160-8DD1D304DC56}"/>
    <cellStyle name="Millares 2 2 2 2 9" xfId="5250" xr:uid="{B5E45752-A567-408C-A468-BD3C91715FE7}"/>
    <cellStyle name="Millares 2 2 2 3" xfId="357" xr:uid="{00000000-0005-0000-0000-0000AC000000}"/>
    <cellStyle name="Millares 2 2 2 3 10" xfId="7556" xr:uid="{EDE2B4D5-3FF9-40E6-842E-DAB6A29C2462}"/>
    <cellStyle name="Millares 2 2 2 3 2" xfId="640" xr:uid="{00000000-0005-0000-0000-0000AD000000}"/>
    <cellStyle name="Millares 2 2 2 3 2 2" xfId="895" xr:uid="{00000000-0005-0000-0000-0000AE000000}"/>
    <cellStyle name="Millares 2 2 2 3 2 2 2" xfId="3727" xr:uid="{00000000-0005-0000-0000-0000AF000000}"/>
    <cellStyle name="Millares 2 2 2 3 2 2 3" xfId="2652" xr:uid="{00000000-0005-0000-0000-0000B0000000}"/>
    <cellStyle name="Millares 2 2 2 3 2 2 4" xfId="4793" xr:uid="{54A2FADD-4140-4E63-A7C1-219B37979B7B}"/>
    <cellStyle name="Millares 2 2 2 3 2 2 5" xfId="5215" xr:uid="{14C0B7F6-B889-40DD-82A9-95580B499807}"/>
    <cellStyle name="Millares 2 2 2 3 2 2 6" xfId="7061" xr:uid="{09435E76-D534-49FC-9E57-F0CCB5195719}"/>
    <cellStyle name="Millares 2 2 2 3 2 2 7" xfId="7483" xr:uid="{217430ED-EB10-4572-B189-C627B36A4EF6}"/>
    <cellStyle name="Millares 2 2 2 3 2 2 8" xfId="7905" xr:uid="{99E15848-E92C-4D5C-AE05-B113581FB522}"/>
    <cellStyle name="Millares 2 2 2 3 2 3" xfId="1108" xr:uid="{00000000-0005-0000-0000-0000B1000000}"/>
    <cellStyle name="Millares 2 2 2 3 2 3 2" xfId="3184" xr:uid="{00000000-0005-0000-0000-0000B2000000}"/>
    <cellStyle name="Millares 2 2 2 3 2 3 2 2" xfId="6641" xr:uid="{1B2219FD-CA6C-45C4-8A5F-A54D26F39274}"/>
    <cellStyle name="Millares 2 2 2 3 2 3 2 3" xfId="5931" xr:uid="{F8DEBA31-67DB-4B50-BBC3-89457E26D548}"/>
    <cellStyle name="Millares 2 2 2 3 2 3 3" xfId="6286" xr:uid="{400B4B1C-9B60-42E3-857B-3A74B7416B56}"/>
    <cellStyle name="Millares 2 2 2 3 2 3 4" xfId="5576" xr:uid="{52643963-3934-4BD2-8CFC-05A852E6B286}"/>
    <cellStyle name="Millares 2 2 2 3 2 4" xfId="2109" xr:uid="{00000000-0005-0000-0000-0000B3000000}"/>
    <cellStyle name="Millares 2 2 2 3 2 5" xfId="4581" xr:uid="{AA7DCC07-A272-4954-A1A5-AAD0C2DAE892}"/>
    <cellStyle name="Millares 2 2 2 3 2 6" xfId="5004" xr:uid="{1121D0CC-4421-4ADA-A2E0-AEE0F03145BD}"/>
    <cellStyle name="Millares 2 2 2 3 2 7" xfId="6850" xr:uid="{0F2B9E4B-EF77-4E86-BE4C-1C50432E5D69}"/>
    <cellStyle name="Millares 2 2 2 3 2 8" xfId="7272" xr:uid="{C2EFCB32-44D7-47E7-B2FE-67E0A66FF2B6}"/>
    <cellStyle name="Millares 2 2 2 3 2 9" xfId="7694" xr:uid="{E2008C57-C65F-4D44-954B-7F1EC716DCB1}"/>
    <cellStyle name="Millares 2 2 2 3 3" xfId="841" xr:uid="{00000000-0005-0000-0000-0000B4000000}"/>
    <cellStyle name="Millares 2 2 2 3 3 2" xfId="3451" xr:uid="{00000000-0005-0000-0000-0000B5000000}"/>
    <cellStyle name="Millares 2 2 2 3 3 3" xfId="2376" xr:uid="{00000000-0005-0000-0000-0000B6000000}"/>
    <cellStyle name="Millares 2 2 2 3 3 4" xfId="4655" xr:uid="{A0FFE6CC-EE93-4420-9E73-7F3B344E2A47}"/>
    <cellStyle name="Millares 2 2 2 3 3 5" xfId="5077" xr:uid="{947C9B0A-4B24-4B75-854B-51EFBA5A7E9B}"/>
    <cellStyle name="Millares 2 2 2 3 3 6" xfId="6923" xr:uid="{378AFC41-A2B4-4D30-99CA-3BD1A147E955}"/>
    <cellStyle name="Millares 2 2 2 3 3 7" xfId="7345" xr:uid="{66F779AF-6137-49CB-B841-3E74C4F7DF50}"/>
    <cellStyle name="Millares 2 2 2 3 3 8" xfId="7767" xr:uid="{9CBDCF3D-8054-4ADC-91D2-9B2A880A86CE}"/>
    <cellStyle name="Millares 2 2 2 3 4" xfId="968" xr:uid="{00000000-0005-0000-0000-0000B7000000}"/>
    <cellStyle name="Millares 2 2 2 3 4 2" xfId="2912" xr:uid="{00000000-0005-0000-0000-0000B8000000}"/>
    <cellStyle name="Millares 2 2 2 3 4 2 2" xfId="6503" xr:uid="{8D0377AD-AE88-46B6-8030-DE56BAC15E05}"/>
    <cellStyle name="Millares 2 2 2 3 4 2 3" xfId="5793" xr:uid="{E1B1ECF0-9916-4BD4-A937-DC2D74189146}"/>
    <cellStyle name="Millares 2 2 2 3 4 3" xfId="6148" xr:uid="{938E08F2-CF5F-4068-BBCB-F5BB3EA16C86}"/>
    <cellStyle name="Millares 2 2 2 3 4 4" xfId="5438" xr:uid="{07F70EFD-4235-4B9C-93F8-3E7D583F5F52}"/>
    <cellStyle name="Millares 2 2 2 3 5" xfId="1821" xr:uid="{00000000-0005-0000-0000-0000B9000000}"/>
    <cellStyle name="Millares 2 2 2 3 6" xfId="4443" xr:uid="{DDD9A817-31C3-4B90-8D64-AAD5FB9404A0}"/>
    <cellStyle name="Millares 2 2 2 3 7" xfId="4866" xr:uid="{A0504EC5-859D-4074-B1C6-C88BA77118B8}"/>
    <cellStyle name="Millares 2 2 2 3 8" xfId="6712" xr:uid="{8F7FD433-5B79-459E-A2F8-3F39A5E35DE9}"/>
    <cellStyle name="Millares 2 2 2 3 9" xfId="7134" xr:uid="{85CA7A65-5AF7-4E72-9723-B1815CCA7653}"/>
    <cellStyle name="Millares 2 2 2 4" xfId="451" xr:uid="{00000000-0005-0000-0000-0000BA000000}"/>
    <cellStyle name="Millares 2 2 2 4 10" xfId="6730" xr:uid="{FE08A486-6B4B-4DE3-A67F-756635B6E7C5}"/>
    <cellStyle name="Millares 2 2 2 4 11" xfId="7152" xr:uid="{B8566E00-6FC5-4075-8A25-3095E13A4C0E}"/>
    <cellStyle name="Millares 2 2 2 4 12" xfId="7574" xr:uid="{9FC94388-8B2B-4F6D-8273-003C9CCA2358}"/>
    <cellStyle name="Millares 2 2 2 4 2" xfId="739" xr:uid="{00000000-0005-0000-0000-0000BB000000}"/>
    <cellStyle name="Millares 2 2 2 4 2 10" xfId="7195" xr:uid="{A00C1B66-AC9D-4434-BB0D-EE0D445BB6A8}"/>
    <cellStyle name="Millares 2 2 2 4 2 11" xfId="7617" xr:uid="{5FE4B6BA-4D6F-46EB-AA36-6D1A998B447B}"/>
    <cellStyle name="Millares 2 2 2 4 2 2" xfId="1029" xr:uid="{00000000-0005-0000-0000-0000BC000000}"/>
    <cellStyle name="Millares 2 2 2 4 2 2 2" xfId="3818" xr:uid="{00000000-0005-0000-0000-0000BD000000}"/>
    <cellStyle name="Millares 2 2 2 4 2 2 2 2" xfId="6564" xr:uid="{81ED5595-7847-4495-8933-80274D354B42}"/>
    <cellStyle name="Millares 2 2 2 4 2 2 2 3" xfId="5854" xr:uid="{D7D59C9E-4625-485B-BC3B-3760918DF993}"/>
    <cellStyle name="Millares 2 2 2 4 2 2 3" xfId="4361" xr:uid="{00000000-0005-0000-0000-0000BE000000}"/>
    <cellStyle name="Millares 2 2 2 4 2 2 3 2" xfId="6209" xr:uid="{577EAD3C-1FF4-4307-AF37-2E59A58631A9}"/>
    <cellStyle name="Millares 2 2 2 4 2 2 4" xfId="4716" xr:uid="{251DDD7E-DC01-4B2D-97B2-26AAB7EFA452}"/>
    <cellStyle name="Millares 2 2 2 4 2 2 5" xfId="5138" xr:uid="{F5FF0A90-B593-4718-9D8D-C3C298E5387C}"/>
    <cellStyle name="Millares 2 2 2 4 2 2 6" xfId="5499" xr:uid="{C74E7098-BA37-4F00-BFA0-FEC92D227A27}"/>
    <cellStyle name="Millares 2 2 2 4 2 2 7" xfId="6984" xr:uid="{51A49CE9-A27C-42CF-988D-DA34DFF9A145}"/>
    <cellStyle name="Millares 2 2 2 4 2 2 8" xfId="7406" xr:uid="{38B89DA3-2518-483F-9891-AC843A48B379}"/>
    <cellStyle name="Millares 2 2 2 4 2 2 9" xfId="7828" xr:uid="{E3882836-F29A-4940-B1C7-735667362440}"/>
    <cellStyle name="Millares 2 2 2 4 2 3" xfId="2743" xr:uid="{00000000-0005-0000-0000-0000BF000000}"/>
    <cellStyle name="Millares 2 2 2 4 2 3 2" xfId="4219" xr:uid="{00000000-0005-0000-0000-0000C0000000}"/>
    <cellStyle name="Millares 2 2 2 4 2 3 2 2" xfId="6400" xr:uid="{83FBAC3A-941D-43DC-90DF-13768765C52C}"/>
    <cellStyle name="Millares 2 2 2 4 2 3 3" xfId="5690" xr:uid="{3E55C245-0758-46BE-BEEF-D76D69FC6731}"/>
    <cellStyle name="Millares 2 2 2 4 2 4" xfId="1631" xr:uid="{00000000-0005-0000-0000-0000C1000000}"/>
    <cellStyle name="Millares 2 2 2 4 2 4 2" xfId="6045" xr:uid="{5DCB5E6B-4B10-45BE-88C7-62CEEB588E34}"/>
    <cellStyle name="Millares 2 2 2 4 2 5" xfId="4027" xr:uid="{00000000-0005-0000-0000-0000C2000000}"/>
    <cellStyle name="Millares 2 2 2 4 2 6" xfId="4504" xr:uid="{1AAAE97A-AFDC-404B-8F14-21C58C454FEE}"/>
    <cellStyle name="Millares 2 2 2 4 2 7" xfId="4927" xr:uid="{A1B29AC3-A2B7-46C0-9D5C-54F3D9CA02A7}"/>
    <cellStyle name="Millares 2 2 2 4 2 8" xfId="5335" xr:uid="{C75FC73C-7DC6-4A51-A827-AD518C99C31D}"/>
    <cellStyle name="Millares 2 2 2 4 2 9" xfId="6773" xr:uid="{574813BD-9F2C-4C83-8C25-B2AAFFF8F12F}"/>
    <cellStyle name="Millares 2 2 2 4 3" xfId="986" xr:uid="{00000000-0005-0000-0000-0000C3000000}"/>
    <cellStyle name="Millares 2 2 2 4 3 2" xfId="3275" xr:uid="{00000000-0005-0000-0000-0000C4000000}"/>
    <cellStyle name="Millares 2 2 2 4 3 2 2" xfId="6521" xr:uid="{A6492011-4EEA-4F90-8C92-E97CF9A828A4}"/>
    <cellStyle name="Millares 2 2 2 4 3 2 3" xfId="5811" xr:uid="{F74D813B-0C4A-43D8-95A5-BCE03E2908E1}"/>
    <cellStyle name="Millares 2 2 2 4 3 3" xfId="4266" xr:uid="{00000000-0005-0000-0000-0000C5000000}"/>
    <cellStyle name="Millares 2 2 2 4 3 3 2" xfId="6166" xr:uid="{102EC852-D091-4064-88F9-02F4E2F4C13C}"/>
    <cellStyle name="Millares 2 2 2 4 3 4" xfId="4673" xr:uid="{7C0C84CC-1267-442D-BD08-CAC33F8865F4}"/>
    <cellStyle name="Millares 2 2 2 4 3 5" xfId="5095" xr:uid="{C690EBF5-BA0B-483F-B3DD-220DDEA04C6F}"/>
    <cellStyle name="Millares 2 2 2 4 3 6" xfId="5456" xr:uid="{0F8F95FB-E97D-409E-B32A-B1428C272D4E}"/>
    <cellStyle name="Millares 2 2 2 4 3 7" xfId="6941" xr:uid="{7D81E2E1-FE18-46B4-BEF3-CE14D0DFA5A5}"/>
    <cellStyle name="Millares 2 2 2 4 3 8" xfId="7363" xr:uid="{DC24170B-E2F9-4BE9-922D-6ACAFD0DE25D}"/>
    <cellStyle name="Millares 2 2 2 4 3 9" xfId="7785" xr:uid="{CACD0A57-647A-4FC5-973B-C8D63EF1A29C}"/>
    <cellStyle name="Millares 2 2 2 4 4" xfId="2200" xr:uid="{00000000-0005-0000-0000-0000C6000000}"/>
    <cellStyle name="Millares 2 2 2 4 4 2" xfId="4124" xr:uid="{00000000-0005-0000-0000-0000C7000000}"/>
    <cellStyle name="Millares 2 2 2 4 4 2 2" xfId="6336" xr:uid="{CE13D613-914C-4DE0-BC88-A7445701811C}"/>
    <cellStyle name="Millares 2 2 2 4 4 3" xfId="5626" xr:uid="{089A6C6E-F38F-47C4-9F29-AFD35DFD0C57}"/>
    <cellStyle name="Millares 2 2 2 4 5" xfId="1147" xr:uid="{00000000-0005-0000-0000-0000C8000000}"/>
    <cellStyle name="Millares 2 2 2 4 5 2" xfId="5981" xr:uid="{F49E790F-9DEA-4712-960C-51A417158578}"/>
    <cellStyle name="Millares 2 2 2 4 6" xfId="3932" xr:uid="{00000000-0005-0000-0000-0000C9000000}"/>
    <cellStyle name="Millares 2 2 2 4 7" xfId="4461" xr:uid="{F502A12C-4F6C-49E4-95B0-0FD35160ED87}"/>
    <cellStyle name="Millares 2 2 2 4 8" xfId="4884" xr:uid="{B35AC4AB-52E4-4584-8E7B-513E940E712C}"/>
    <cellStyle name="Millares 2 2 2 4 9" xfId="5271" xr:uid="{A387498C-F4B2-4C01-900C-25D5D001CE10}"/>
    <cellStyle name="Millares 2 2 2 5" xfId="524" xr:uid="{00000000-0005-0000-0000-0000CA000000}"/>
    <cellStyle name="Millares 2 2 2 5 2" xfId="859" xr:uid="{00000000-0005-0000-0000-0000CB000000}"/>
    <cellStyle name="Millares 2 2 2 5 2 2" xfId="3601" xr:uid="{00000000-0005-0000-0000-0000CC000000}"/>
    <cellStyle name="Millares 2 2 2 5 2 3" xfId="2526" xr:uid="{00000000-0005-0000-0000-0000CD000000}"/>
    <cellStyle name="Millares 2 2 2 5 2 4" xfId="4753" xr:uid="{08A1E5C1-BE90-4044-90AD-7F988F9559E1}"/>
    <cellStyle name="Millares 2 2 2 5 2 5" xfId="5175" xr:uid="{50C9FBAD-673C-493E-A71F-D646793A419C}"/>
    <cellStyle name="Millares 2 2 2 5 2 6" xfId="7021" xr:uid="{D5C08DC4-41FE-4C27-BFA0-26EDA711D158}"/>
    <cellStyle name="Millares 2 2 2 5 2 7" xfId="7443" xr:uid="{0B9025C1-323D-4B0A-8157-AC4B03318560}"/>
    <cellStyle name="Millares 2 2 2 5 2 8" xfId="7865" xr:uid="{6089B742-3B30-4A87-8EAE-875953B73123}"/>
    <cellStyle name="Millares 2 2 2 5 3" xfId="1066" xr:uid="{00000000-0005-0000-0000-0000CE000000}"/>
    <cellStyle name="Millares 2 2 2 5 3 2" xfId="3074" xr:uid="{00000000-0005-0000-0000-0000CF000000}"/>
    <cellStyle name="Millares 2 2 2 5 3 2 2" xfId="6601" xr:uid="{2CD6A5CE-1C6E-4A42-94F7-833A0C35C793}"/>
    <cellStyle name="Millares 2 2 2 5 3 2 3" xfId="5891" xr:uid="{D0F10957-CE3A-461D-8203-4CC9FA9ABDA7}"/>
    <cellStyle name="Millares 2 2 2 5 3 3" xfId="6246" xr:uid="{3DC041BA-6526-4E23-A043-A1C1FD0F7CCA}"/>
    <cellStyle name="Millares 2 2 2 5 3 4" xfId="5536" xr:uid="{A3AAABCA-287F-4DF7-A964-E0CDC4DC5017}"/>
    <cellStyle name="Millares 2 2 2 5 4" xfId="1983" xr:uid="{00000000-0005-0000-0000-0000D0000000}"/>
    <cellStyle name="Millares 2 2 2 5 5" xfId="4541" xr:uid="{E949A56E-ACFD-40E9-A65D-589CE67F2F5C}"/>
    <cellStyle name="Millares 2 2 2 5 6" xfId="4964" xr:uid="{DE96E543-2BAB-488A-8661-44BD271172FA}"/>
    <cellStyle name="Millares 2 2 2 5 7" xfId="6810" xr:uid="{298626BF-A14C-46BF-9F80-EBBDB9B2AE21}"/>
    <cellStyle name="Millares 2 2 2 5 8" xfId="7232" xr:uid="{2D07C7B2-C38D-4702-9627-261CADD3D48C}"/>
    <cellStyle name="Millares 2 2 2 5 9" xfId="7654" xr:uid="{701D97D1-ACBC-47C6-9727-8EAF45BE4863}"/>
    <cellStyle name="Millares 2 2 2 6" xfId="803" xr:uid="{00000000-0005-0000-0000-0000D1000000}"/>
    <cellStyle name="Millares 2 2 2 6 10" xfId="7723" xr:uid="{5D09491A-2D97-42C5-97C7-1EF20C27642A}"/>
    <cellStyle name="Millares 2 2 2 6 2" xfId="3359" xr:uid="{00000000-0005-0000-0000-0000D2000000}"/>
    <cellStyle name="Millares 2 2 2 6 2 2" xfId="4302" xr:uid="{00000000-0005-0000-0000-0000D3000000}"/>
    <cellStyle name="Millares 2 2 2 6 3" xfId="2284" xr:uid="{00000000-0005-0000-0000-0000D4000000}"/>
    <cellStyle name="Millares 2 2 2 6 3 2" xfId="4160" xr:uid="{00000000-0005-0000-0000-0000D5000000}"/>
    <cellStyle name="Millares 2 2 2 6 4" xfId="1231" xr:uid="{00000000-0005-0000-0000-0000D6000000}"/>
    <cellStyle name="Millares 2 2 2 6 5" xfId="3968" xr:uid="{00000000-0005-0000-0000-0000D7000000}"/>
    <cellStyle name="Millares 2 2 2 6 6" xfId="4611" xr:uid="{0B8D8A23-1676-496E-BD52-4952952F692B}"/>
    <cellStyle name="Millares 2 2 2 6 7" xfId="5033" xr:uid="{B988E262-0779-45E5-A2BC-D7153D32D8AB}"/>
    <cellStyle name="Millares 2 2 2 6 8" xfId="6879" xr:uid="{F9AC4962-7181-44BB-9369-81D2771B764E}"/>
    <cellStyle name="Millares 2 2 2 6 9" xfId="7301" xr:uid="{E459E878-81E5-41F2-A1BB-BE584E420671}"/>
    <cellStyle name="Millares 2 2 2 7" xfId="918" xr:uid="{00000000-0005-0000-0000-0000D8000000}"/>
    <cellStyle name="Millares 2 2 2 7 2" xfId="2820" xr:uid="{00000000-0005-0000-0000-0000D9000000}"/>
    <cellStyle name="Millares 2 2 2 7 2 2" xfId="6459" xr:uid="{4718762A-9E60-4418-9407-56E504C754C8}"/>
    <cellStyle name="Millares 2 2 2 7 2 3" xfId="5749" xr:uid="{ABB4F242-A4FA-436D-BEE2-E68C7A69DCCB}"/>
    <cellStyle name="Millares 2 2 2 7 3" xfId="6104" xr:uid="{7DEFA43B-CF1F-463C-8DFC-ADB8C5F3B255}"/>
    <cellStyle name="Millares 2 2 2 7 4" xfId="5394" xr:uid="{6A17F98D-06EC-4F2E-A146-ABE1F84F6DEC}"/>
    <cellStyle name="Millares 2 2 2 8" xfId="1729" xr:uid="{00000000-0005-0000-0000-0000DA000000}"/>
    <cellStyle name="Millares 2 2 2 8 2" xfId="4065" xr:uid="{00000000-0005-0000-0000-0000DB000000}"/>
    <cellStyle name="Millares 2 2 2 9" xfId="4399" xr:uid="{7DCFD34A-3AEC-4752-A430-89C9F9AF6DEA}"/>
    <cellStyle name="Millares 2 2 3" xfId="179" xr:uid="{00000000-0005-0000-0000-0000DC000000}"/>
    <cellStyle name="Millares 2 2 3 10" xfId="6679" xr:uid="{3C9BA2F8-1CDC-4D02-9159-7D0A22D71D6D}"/>
    <cellStyle name="Millares 2 2 3 11" xfId="7101" xr:uid="{9928273D-456D-4B23-87F9-5E7E650D1681}"/>
    <cellStyle name="Millares 2 2 3 12" xfId="7523" xr:uid="{84F1A68D-7FDA-4CF5-ACF7-A4E54CE8EDD5}"/>
    <cellStyle name="Millares 2 2 3 2" xfId="461" xr:uid="{00000000-0005-0000-0000-0000DD000000}"/>
    <cellStyle name="Millares 2 2 3 2 10" xfId="6740" xr:uid="{D3688C26-EAD4-4533-B773-B0F2DD0D2049}"/>
    <cellStyle name="Millares 2 2 3 2 11" xfId="7162" xr:uid="{FCDE6EF4-BB1B-4E7F-8747-578032A77527}"/>
    <cellStyle name="Millares 2 2 3 2 12" xfId="7584" xr:uid="{C1C0F134-D365-4B3E-AED6-25D3FDEA4889}"/>
    <cellStyle name="Millares 2 2 3 2 2" xfId="749" xr:uid="{00000000-0005-0000-0000-0000DE000000}"/>
    <cellStyle name="Millares 2 2 3 2 2 10" xfId="7205" xr:uid="{EF4DC405-25E2-425C-AE73-359E493611B4}"/>
    <cellStyle name="Millares 2 2 3 2 2 11" xfId="7627" xr:uid="{138ACBE6-685A-4BF8-91C8-E92BF03FEE4B}"/>
    <cellStyle name="Millares 2 2 3 2 2 2" xfId="1039" xr:uid="{00000000-0005-0000-0000-0000DF000000}"/>
    <cellStyle name="Millares 2 2 3 2 2 2 2" xfId="3828" xr:uid="{00000000-0005-0000-0000-0000E0000000}"/>
    <cellStyle name="Millares 2 2 3 2 2 2 2 2" xfId="6574" xr:uid="{B6D56C89-73F3-4848-86DB-DCA5ABD4BA57}"/>
    <cellStyle name="Millares 2 2 3 2 2 2 2 3" xfId="5864" xr:uid="{E029F958-4333-44FF-A72D-758B853BE581}"/>
    <cellStyle name="Millares 2 2 3 2 2 2 3" xfId="4371" xr:uid="{00000000-0005-0000-0000-0000E1000000}"/>
    <cellStyle name="Millares 2 2 3 2 2 2 3 2" xfId="6219" xr:uid="{B4041C84-E2AE-45D1-8D8A-C7DB150033F1}"/>
    <cellStyle name="Millares 2 2 3 2 2 2 4" xfId="4726" xr:uid="{D79EB9D1-8BF5-464E-B12E-ACE581D60900}"/>
    <cellStyle name="Millares 2 2 3 2 2 2 5" xfId="5148" xr:uid="{35115CC8-E763-4606-A3E1-76FCC2EFD9F1}"/>
    <cellStyle name="Millares 2 2 3 2 2 2 6" xfId="5509" xr:uid="{437C64BC-B85D-42EE-8929-931FA15D11F4}"/>
    <cellStyle name="Millares 2 2 3 2 2 2 7" xfId="6994" xr:uid="{BC9E7C1E-0AD1-495A-84D9-9A6390FD333D}"/>
    <cellStyle name="Millares 2 2 3 2 2 2 8" xfId="7416" xr:uid="{55CA2F3D-3B94-46E1-91BE-993E0FDE41A6}"/>
    <cellStyle name="Millares 2 2 3 2 2 2 9" xfId="7838" xr:uid="{7D60FC5B-303B-4F71-803B-AE91CE7F3074}"/>
    <cellStyle name="Millares 2 2 3 2 2 3" xfId="2753" xr:uid="{00000000-0005-0000-0000-0000E2000000}"/>
    <cellStyle name="Millares 2 2 3 2 2 3 2" xfId="4229" xr:uid="{00000000-0005-0000-0000-0000E3000000}"/>
    <cellStyle name="Millares 2 2 3 2 2 3 2 2" xfId="6410" xr:uid="{CB92DA73-AD09-4621-AB40-FBD362BB5833}"/>
    <cellStyle name="Millares 2 2 3 2 2 3 3" xfId="5700" xr:uid="{F359265B-207A-422F-959D-D88F9BC89F8E}"/>
    <cellStyle name="Millares 2 2 3 2 2 4" xfId="1641" xr:uid="{00000000-0005-0000-0000-0000E4000000}"/>
    <cellStyle name="Millares 2 2 3 2 2 4 2" xfId="6055" xr:uid="{AA2BA570-C37A-4725-8871-549EB58A3E71}"/>
    <cellStyle name="Millares 2 2 3 2 2 5" xfId="4037" xr:uid="{00000000-0005-0000-0000-0000E5000000}"/>
    <cellStyle name="Millares 2 2 3 2 2 6" xfId="4514" xr:uid="{067771F1-5D2A-4FEA-87B4-67565A0EB304}"/>
    <cellStyle name="Millares 2 2 3 2 2 7" xfId="4937" xr:uid="{80543D76-2CCA-4D8A-B745-4493E3B25FF0}"/>
    <cellStyle name="Millares 2 2 3 2 2 8" xfId="5345" xr:uid="{730EFECD-C706-4457-A3F4-DA8870184C0E}"/>
    <cellStyle name="Millares 2 2 3 2 2 9" xfId="6783" xr:uid="{6F68AF1E-FC4E-47B3-B299-D57901E430A4}"/>
    <cellStyle name="Millares 2 2 3 2 3" xfId="996" xr:uid="{00000000-0005-0000-0000-0000E6000000}"/>
    <cellStyle name="Millares 2 2 3 2 3 2" xfId="3285" xr:uid="{00000000-0005-0000-0000-0000E7000000}"/>
    <cellStyle name="Millares 2 2 3 2 3 2 2" xfId="6531" xr:uid="{C1546175-D187-42A1-93FA-704ECF08D91C}"/>
    <cellStyle name="Millares 2 2 3 2 3 2 3" xfId="5821" xr:uid="{6B0292C3-B52F-4991-ABBA-6DEE71557CC1}"/>
    <cellStyle name="Millares 2 2 3 2 3 3" xfId="4276" xr:uid="{00000000-0005-0000-0000-0000E8000000}"/>
    <cellStyle name="Millares 2 2 3 2 3 3 2" xfId="6176" xr:uid="{DF60124E-6888-487D-A64E-60991831A92D}"/>
    <cellStyle name="Millares 2 2 3 2 3 4" xfId="4683" xr:uid="{44CF26A7-7CE0-4EEC-B7B3-856A6F99DB34}"/>
    <cellStyle name="Millares 2 2 3 2 3 5" xfId="5105" xr:uid="{DAF87536-DBD4-4B14-B1A5-FE22B1FCF7D7}"/>
    <cellStyle name="Millares 2 2 3 2 3 6" xfId="5466" xr:uid="{59A08FC6-D564-498F-939D-43ED8636FCBE}"/>
    <cellStyle name="Millares 2 2 3 2 3 7" xfId="6951" xr:uid="{20D3AAA8-3C42-44C7-8542-9D03477D72E6}"/>
    <cellStyle name="Millares 2 2 3 2 3 8" xfId="7373" xr:uid="{FE47B3CC-1E41-405E-B1D3-33608A2A4853}"/>
    <cellStyle name="Millares 2 2 3 2 3 9" xfId="7795" xr:uid="{7EA7DBEC-9551-4F9A-8B14-8BFDDB3792BE}"/>
    <cellStyle name="Millares 2 2 3 2 4" xfId="2210" xr:uid="{00000000-0005-0000-0000-0000E9000000}"/>
    <cellStyle name="Millares 2 2 3 2 4 2" xfId="4134" xr:uid="{00000000-0005-0000-0000-0000EA000000}"/>
    <cellStyle name="Millares 2 2 3 2 4 2 2" xfId="6346" xr:uid="{99593D82-9F33-43EB-BA45-2699C5C7A45D}"/>
    <cellStyle name="Millares 2 2 3 2 4 3" xfId="5636" xr:uid="{6A465694-80AD-42EE-A702-74A498E7B592}"/>
    <cellStyle name="Millares 2 2 3 2 5" xfId="1157" xr:uid="{00000000-0005-0000-0000-0000EB000000}"/>
    <cellStyle name="Millares 2 2 3 2 5 2" xfId="5991" xr:uid="{D1FFB3B5-FE1D-45CD-834F-74654A300620}"/>
    <cellStyle name="Millares 2 2 3 2 6" xfId="3942" xr:uid="{00000000-0005-0000-0000-0000EC000000}"/>
    <cellStyle name="Millares 2 2 3 2 7" xfId="4471" xr:uid="{3B754732-F708-4C07-8934-D03B7282B38A}"/>
    <cellStyle name="Millares 2 2 3 2 8" xfId="4894" xr:uid="{33BC389C-7DE0-41F1-A5E5-741DD777A16E}"/>
    <cellStyle name="Millares 2 2 3 2 9" xfId="5281" xr:uid="{23B72BCA-AA4E-4445-B894-BECFBF728F2C}"/>
    <cellStyle name="Millares 2 2 3 3" xfId="573" xr:uid="{00000000-0005-0000-0000-0000ED000000}"/>
    <cellStyle name="Millares 2 2 3 3 10" xfId="7665" xr:uid="{60CE97F8-7526-4023-984D-EF26A06FC431}"/>
    <cellStyle name="Millares 2 2 3 3 2" xfId="769" xr:uid="{00000000-0005-0000-0000-0000EE000000}"/>
    <cellStyle name="Millares 2 2 3 3 2 10" xfId="7454" xr:uid="{BCC095CD-3C50-4436-AFF9-ADC94806A7A4}"/>
    <cellStyle name="Millares 2 2 3 3 2 11" xfId="7876" xr:uid="{06C6ABEF-0B76-44DE-A683-83E26F9C26F3}"/>
    <cellStyle name="Millares 2 2 3 3 2 2" xfId="3650" xr:uid="{00000000-0005-0000-0000-0000EF000000}"/>
    <cellStyle name="Millares 2 2 3 3 2 2 2" xfId="4332" xr:uid="{00000000-0005-0000-0000-0000F0000000}"/>
    <cellStyle name="Millares 2 2 3 3 2 2 2 2" xfId="6430" xr:uid="{61570D3F-AD99-4E57-A526-A90BC61B6471}"/>
    <cellStyle name="Millares 2 2 3 3 2 2 3" xfId="5720" xr:uid="{3CAE4943-6A97-4007-AF26-8A0749C3A375}"/>
    <cellStyle name="Millares 2 2 3 3 2 3" xfId="2575" xr:uid="{00000000-0005-0000-0000-0000F1000000}"/>
    <cellStyle name="Millares 2 2 3 3 2 3 2" xfId="4190" xr:uid="{00000000-0005-0000-0000-0000F2000000}"/>
    <cellStyle name="Millares 2 2 3 3 2 3 3" xfId="6075" xr:uid="{4714EF29-C78D-46D1-8DD5-C16EF6D4C2E5}"/>
    <cellStyle name="Millares 2 2 3 3 2 4" xfId="1485" xr:uid="{00000000-0005-0000-0000-0000F3000000}"/>
    <cellStyle name="Millares 2 2 3 3 2 5" xfId="3998" xr:uid="{00000000-0005-0000-0000-0000F4000000}"/>
    <cellStyle name="Millares 2 2 3 3 2 6" xfId="4764" xr:uid="{5E584E8C-39CC-49C9-90D8-394BD8724BBA}"/>
    <cellStyle name="Millares 2 2 3 3 2 7" xfId="5186" xr:uid="{FED24B08-0B55-4F06-8B3E-AA9A7100B852}"/>
    <cellStyle name="Millares 2 2 3 3 2 8" xfId="5365" xr:uid="{DCF4497A-9DCC-449A-BF47-CCA6C24E31F2}"/>
    <cellStyle name="Millares 2 2 3 3 2 9" xfId="7032" xr:uid="{738FC39C-DE32-4DDA-B655-0679679D6DC4}"/>
    <cellStyle name="Millares 2 2 3 3 3" xfId="869" xr:uid="{00000000-0005-0000-0000-0000F5000000}"/>
    <cellStyle name="Millares 2 2 3 3 4" xfId="1078" xr:uid="{00000000-0005-0000-0000-0000F6000000}"/>
    <cellStyle name="Millares 2 2 3 3 4 2" xfId="2032" xr:uid="{00000000-0005-0000-0000-0000F7000000}"/>
    <cellStyle name="Millares 2 2 3 3 4 2 2" xfId="6612" xr:uid="{497E0F3D-647F-4816-A6CE-569D02C05420}"/>
    <cellStyle name="Millares 2 2 3 3 4 2 3" xfId="5902" xr:uid="{AF183FA6-4727-4718-8115-9536D909E57F}"/>
    <cellStyle name="Millares 2 2 3 3 4 3" xfId="4095" xr:uid="{00000000-0005-0000-0000-0000F8000000}"/>
    <cellStyle name="Millares 2 2 3 3 4 3 2" xfId="6257" xr:uid="{3AB4B218-9857-460E-A51D-3E6E3ABCE173}"/>
    <cellStyle name="Millares 2 2 3 3 4 4" xfId="5547" xr:uid="{8CB0F5F9-07F7-4761-8E3E-1C11BA659A9B}"/>
    <cellStyle name="Millares 2 2 3 3 5" xfId="4552" xr:uid="{635EA388-34C0-44BB-93CF-383B46083846}"/>
    <cellStyle name="Millares 2 2 3 3 5 2" xfId="6366" xr:uid="{C89A4F8A-BB15-4CF5-BF0E-A5CD1BEBDDFE}"/>
    <cellStyle name="Millares 2 2 3 3 5 3" xfId="5656" xr:uid="{6966AADB-7726-476B-B5AF-9A9321629028}"/>
    <cellStyle name="Millares 2 2 3 3 6" xfId="4975" xr:uid="{A3BCED83-A9A2-496E-85EE-397D595C1E79}"/>
    <cellStyle name="Millares 2 2 3 3 6 2" xfId="6011" xr:uid="{D35C75A6-F88F-48AE-8589-91C05D293F9D}"/>
    <cellStyle name="Millares 2 2 3 3 7" xfId="5301" xr:uid="{4DA8E1C3-3703-4915-9AAC-EC51F42A637E}"/>
    <cellStyle name="Millares 2 2 3 3 8" xfId="6821" xr:uid="{9F9926CF-186D-4A21-BFC9-CDAEA826EA8C}"/>
    <cellStyle name="Millares 2 2 3 3 9" xfId="7243" xr:uid="{2657D0EC-7C2F-4CA1-BF2E-BEA62044CB48}"/>
    <cellStyle name="Millares 2 2 3 4" xfId="813" xr:uid="{00000000-0005-0000-0000-0000F9000000}"/>
    <cellStyle name="Millares 2 2 3 4 10" xfId="7734" xr:uid="{14793290-89F2-4931-9D7B-5AAA96D267DE}"/>
    <cellStyle name="Millares 2 2 3 4 2" xfId="3500" xr:uid="{00000000-0005-0000-0000-0000FA000000}"/>
    <cellStyle name="Millares 2 2 3 4 2 2" xfId="4312" xr:uid="{00000000-0005-0000-0000-0000FB000000}"/>
    <cellStyle name="Millares 2 2 3 4 3" xfId="2425" xr:uid="{00000000-0005-0000-0000-0000FC000000}"/>
    <cellStyle name="Millares 2 2 3 4 3 2" xfId="4170" xr:uid="{00000000-0005-0000-0000-0000FD000000}"/>
    <cellStyle name="Millares 2 2 3 4 4" xfId="1355" xr:uid="{00000000-0005-0000-0000-0000FE000000}"/>
    <cellStyle name="Millares 2 2 3 4 5" xfId="3978" xr:uid="{00000000-0005-0000-0000-0000FF000000}"/>
    <cellStyle name="Millares 2 2 3 4 6" xfId="4622" xr:uid="{CA9E1411-9F0D-426E-AFFA-B783BC5364A8}"/>
    <cellStyle name="Millares 2 2 3 4 7" xfId="5044" xr:uid="{AA7193B2-7883-4A9E-90AF-0108A350BB71}"/>
    <cellStyle name="Millares 2 2 3 4 8" xfId="6890" xr:uid="{EA75E4E7-D3C8-4843-9526-4D2DEFF0A5CC}"/>
    <cellStyle name="Millares 2 2 3 4 9" xfId="7312" xr:uid="{1BB88B56-F253-48F5-9BA6-0950419A32D1}"/>
    <cellStyle name="Millares 2 2 3 5" xfId="930" xr:uid="{00000000-0005-0000-0000-000000010000}"/>
    <cellStyle name="Millares 2 2 3 5 2" xfId="2961" xr:uid="{00000000-0005-0000-0000-000001010000}"/>
    <cellStyle name="Millares 2 2 3 5 2 2" xfId="6470" xr:uid="{64FB1834-192B-4393-8512-9C08D5CB81EE}"/>
    <cellStyle name="Millares 2 2 3 5 2 3" xfId="5760" xr:uid="{1780D874-CC62-4550-BC55-5D19AFDB1D59}"/>
    <cellStyle name="Millares 2 2 3 5 3" xfId="6115" xr:uid="{5F261452-BFB0-428C-ABF1-3CDA5F8FABB0}"/>
    <cellStyle name="Millares 2 2 3 5 4" xfId="5405" xr:uid="{55F0700C-0375-40D2-8CFA-7390189994CD}"/>
    <cellStyle name="Millares 2 2 3 6" xfId="1870" xr:uid="{00000000-0005-0000-0000-000002010000}"/>
    <cellStyle name="Millares 2 2 3 6 2" xfId="4075" xr:uid="{00000000-0005-0000-0000-000003010000}"/>
    <cellStyle name="Millares 2 2 3 6 2 2" xfId="6307" xr:uid="{D41C9543-906B-406F-B54E-4FFF5C6915A9}"/>
    <cellStyle name="Millares 2 2 3 6 3" xfId="5597" xr:uid="{B16255D0-6B81-4287-9276-3E8B2A6EA04F}"/>
    <cellStyle name="Millares 2 2 3 7" xfId="4410" xr:uid="{F881E2A3-01D2-4C4D-BDD9-313B8FACBCB2}"/>
    <cellStyle name="Millares 2 2 3 7 2" xfId="5952" xr:uid="{51A832FB-1C92-402C-A757-94E314E1257B}"/>
    <cellStyle name="Millares 2 2 3 8" xfId="4833" xr:uid="{C0A25937-2913-4027-84AC-79B11DE41377}"/>
    <cellStyle name="Millares 2 2 3 9" xfId="5242" xr:uid="{9CCFB2A3-F835-429A-AFDE-52C9AD690A7E}"/>
    <cellStyle name="Millares 2 2 4" xfId="349" xr:uid="{00000000-0005-0000-0000-000004010000}"/>
    <cellStyle name="Millares 2 2 4 10" xfId="7548" xr:uid="{3D51577B-CAE3-4284-B659-91B7B79F44EF}"/>
    <cellStyle name="Millares 2 2 4 2" xfId="632" xr:uid="{00000000-0005-0000-0000-000005010000}"/>
    <cellStyle name="Millares 2 2 4 2 2" xfId="887" xr:uid="{00000000-0005-0000-0000-000006010000}"/>
    <cellStyle name="Millares 2 2 4 2 2 2" xfId="3719" xr:uid="{00000000-0005-0000-0000-000007010000}"/>
    <cellStyle name="Millares 2 2 4 2 2 3" xfId="2644" xr:uid="{00000000-0005-0000-0000-000008010000}"/>
    <cellStyle name="Millares 2 2 4 2 2 4" xfId="4785" xr:uid="{740D4CF6-BF04-46AA-822F-FA0B980BBB25}"/>
    <cellStyle name="Millares 2 2 4 2 2 5" xfId="5207" xr:uid="{3FEA6281-CF5B-4036-8B68-27E3582AA5D3}"/>
    <cellStyle name="Millares 2 2 4 2 2 6" xfId="7053" xr:uid="{F83D816E-032D-4E9B-BE93-790337478925}"/>
    <cellStyle name="Millares 2 2 4 2 2 7" xfId="7475" xr:uid="{C25DD180-04B1-4AB7-B35B-9DD5AB6CBECC}"/>
    <cellStyle name="Millares 2 2 4 2 2 8" xfId="7897" xr:uid="{3D0758E6-F6E2-4B5C-BA3F-9FF59652FBEA}"/>
    <cellStyle name="Millares 2 2 4 2 3" xfId="1100" xr:uid="{00000000-0005-0000-0000-000009010000}"/>
    <cellStyle name="Millares 2 2 4 2 3 2" xfId="3176" xr:uid="{00000000-0005-0000-0000-00000A010000}"/>
    <cellStyle name="Millares 2 2 4 2 3 2 2" xfId="6633" xr:uid="{C4D6B39B-9EB3-46AC-B469-DBB34444222F}"/>
    <cellStyle name="Millares 2 2 4 2 3 2 3" xfId="5923" xr:uid="{1F62B4E1-FBCB-4DE8-B3E7-EFACAD0F2F99}"/>
    <cellStyle name="Millares 2 2 4 2 3 3" xfId="6278" xr:uid="{3D51B888-A81C-4F6A-8B86-7C01CE399903}"/>
    <cellStyle name="Millares 2 2 4 2 3 4" xfId="5568" xr:uid="{9F4F48A5-48BE-4AA9-B1A3-68466A8F5447}"/>
    <cellStyle name="Millares 2 2 4 2 4" xfId="2101" xr:uid="{00000000-0005-0000-0000-00000B010000}"/>
    <cellStyle name="Millares 2 2 4 2 5" xfId="4573" xr:uid="{F7C5EE30-A2B9-4595-8B25-069B366D9A17}"/>
    <cellStyle name="Millares 2 2 4 2 6" xfId="4996" xr:uid="{DD998220-FE34-44DF-B2D5-B7AC41E5D097}"/>
    <cellStyle name="Millares 2 2 4 2 7" xfId="6842" xr:uid="{EC0AD493-1E74-45F9-A95D-793BCDB6C502}"/>
    <cellStyle name="Millares 2 2 4 2 8" xfId="7264" xr:uid="{692B4F0F-5310-4B76-96FE-BA1861C44D47}"/>
    <cellStyle name="Millares 2 2 4 2 9" xfId="7686" xr:uid="{31F65C45-F294-47DA-820F-E1562CB18D2F}"/>
    <cellStyle name="Millares 2 2 4 3" xfId="833" xr:uid="{00000000-0005-0000-0000-00000C010000}"/>
    <cellStyle name="Millares 2 2 4 3 2" xfId="3409" xr:uid="{00000000-0005-0000-0000-00000D010000}"/>
    <cellStyle name="Millares 2 2 4 3 3" xfId="2334" xr:uid="{00000000-0005-0000-0000-00000E010000}"/>
    <cellStyle name="Millares 2 2 4 3 4" xfId="4647" xr:uid="{627113F4-8A42-407F-9C60-70C5A003281B}"/>
    <cellStyle name="Millares 2 2 4 3 5" xfId="5069" xr:uid="{8B8A15C3-09F2-4787-87A1-100E55CB6DD8}"/>
    <cellStyle name="Millares 2 2 4 3 6" xfId="6915" xr:uid="{BC5CA3F9-C267-4FFC-9454-67D385154DAA}"/>
    <cellStyle name="Millares 2 2 4 3 7" xfId="7337" xr:uid="{424E9B32-01ED-4BAA-8C55-7B56B0621BBF}"/>
    <cellStyle name="Millares 2 2 4 3 8" xfId="7759" xr:uid="{F80FAB66-3BA0-4CFD-AF27-3BE33E08776C}"/>
    <cellStyle name="Millares 2 2 4 4" xfId="960" xr:uid="{00000000-0005-0000-0000-00000F010000}"/>
    <cellStyle name="Millares 2 2 4 4 2" xfId="2870" xr:uid="{00000000-0005-0000-0000-000010010000}"/>
    <cellStyle name="Millares 2 2 4 4 2 2" xfId="6495" xr:uid="{02915BF9-3B11-4051-ABC4-32C085BAF2A6}"/>
    <cellStyle name="Millares 2 2 4 4 2 3" xfId="5785" xr:uid="{D5EFE9AF-57B0-431A-92F6-31E85EDCDC45}"/>
    <cellStyle name="Millares 2 2 4 4 3" xfId="6140" xr:uid="{0EEFF5C6-FC34-4CB3-AD12-E9C85D2381BC}"/>
    <cellStyle name="Millares 2 2 4 4 4" xfId="5430" xr:uid="{168DCFBC-1FDE-4353-BC33-849E05736EA2}"/>
    <cellStyle name="Millares 2 2 4 5" xfId="1779" xr:uid="{00000000-0005-0000-0000-000011010000}"/>
    <cellStyle name="Millares 2 2 4 6" xfId="4435" xr:uid="{15F91203-D5E5-47CD-A84D-EB076D2F68CB}"/>
    <cellStyle name="Millares 2 2 4 7" xfId="4858" xr:uid="{A65D5F34-0C02-4B57-A3F1-5DE0C8CC9133}"/>
    <cellStyle name="Millares 2 2 4 8" xfId="6704" xr:uid="{613B0F6E-D16F-4B7D-A5DB-1A27654B8446}"/>
    <cellStyle name="Millares 2 2 4 9" xfId="7126" xr:uid="{32F91AA1-19E3-48C1-B577-90564B4D7CFD}"/>
    <cellStyle name="Millares 2 2 5" xfId="443" xr:uid="{00000000-0005-0000-0000-000012010000}"/>
    <cellStyle name="Millares 2 2 5 10" xfId="6722" xr:uid="{B85AC94C-E15C-4BD0-A0F7-EA2160B7C17A}"/>
    <cellStyle name="Millares 2 2 5 11" xfId="7144" xr:uid="{E4B51372-4690-4760-9DC0-6393EBBD6F2A}"/>
    <cellStyle name="Millares 2 2 5 12" xfId="7566" xr:uid="{D20930D5-C5FE-4CB7-ACAC-9A6BB35D663C}"/>
    <cellStyle name="Millares 2 2 5 2" xfId="731" xr:uid="{00000000-0005-0000-0000-000013010000}"/>
    <cellStyle name="Millares 2 2 5 2 10" xfId="7187" xr:uid="{D126AE5C-475A-45D4-8EBE-6D539219234B}"/>
    <cellStyle name="Millares 2 2 5 2 11" xfId="7609" xr:uid="{80F229A5-2ECE-40FA-BF5A-DBAECC37D6E5}"/>
    <cellStyle name="Millares 2 2 5 2 2" xfId="1021" xr:uid="{00000000-0005-0000-0000-000014010000}"/>
    <cellStyle name="Millares 2 2 5 2 2 2" xfId="3810" xr:uid="{00000000-0005-0000-0000-000015010000}"/>
    <cellStyle name="Millares 2 2 5 2 2 2 2" xfId="6556" xr:uid="{37012612-7315-421B-9FB5-7FD7CCE70E83}"/>
    <cellStyle name="Millares 2 2 5 2 2 2 3" xfId="5846" xr:uid="{57BA08EB-B358-4153-A2C5-775F9DECE41C}"/>
    <cellStyle name="Millares 2 2 5 2 2 3" xfId="4353" xr:uid="{00000000-0005-0000-0000-000016010000}"/>
    <cellStyle name="Millares 2 2 5 2 2 3 2" xfId="6201" xr:uid="{76D65E95-0C7E-4E65-A922-87DB02829B00}"/>
    <cellStyle name="Millares 2 2 5 2 2 4" xfId="4708" xr:uid="{8A57A79E-163A-40B8-AE30-1131F9C1F8CA}"/>
    <cellStyle name="Millares 2 2 5 2 2 5" xfId="5130" xr:uid="{B271A021-AF5D-43E8-A27A-F0C0F118F38D}"/>
    <cellStyle name="Millares 2 2 5 2 2 6" xfId="5491" xr:uid="{6B3D412E-1693-4F59-B01D-BD630FB2959E}"/>
    <cellStyle name="Millares 2 2 5 2 2 7" xfId="6976" xr:uid="{798B5611-766D-4FD7-88D1-1F770F9200EE}"/>
    <cellStyle name="Millares 2 2 5 2 2 8" xfId="7398" xr:uid="{FB1E4138-9FD0-45B1-8C8C-D334474FDA62}"/>
    <cellStyle name="Millares 2 2 5 2 2 9" xfId="7820" xr:uid="{F1252F1A-3B80-4E74-A4EE-03D68A4912E2}"/>
    <cellStyle name="Millares 2 2 5 2 3" xfId="2735" xr:uid="{00000000-0005-0000-0000-000017010000}"/>
    <cellStyle name="Millares 2 2 5 2 3 2" xfId="4211" xr:uid="{00000000-0005-0000-0000-000018010000}"/>
    <cellStyle name="Millares 2 2 5 2 3 2 2" xfId="6392" xr:uid="{296C8ECE-2492-4485-9CB4-788385DE9B84}"/>
    <cellStyle name="Millares 2 2 5 2 3 3" xfId="5682" xr:uid="{B3F1953E-A589-4B79-B7F3-C523ACA98F16}"/>
    <cellStyle name="Millares 2 2 5 2 4" xfId="1623" xr:uid="{00000000-0005-0000-0000-000019010000}"/>
    <cellStyle name="Millares 2 2 5 2 4 2" xfId="6037" xr:uid="{764B3E35-09D1-4D7E-9A12-A7CD1788193C}"/>
    <cellStyle name="Millares 2 2 5 2 5" xfId="4019" xr:uid="{00000000-0005-0000-0000-00001A010000}"/>
    <cellStyle name="Millares 2 2 5 2 6" xfId="4496" xr:uid="{669874E3-BA8C-409F-8B8C-B9EFD3F33C13}"/>
    <cellStyle name="Millares 2 2 5 2 7" xfId="4919" xr:uid="{401BE69A-438B-4810-8DF2-8D590117CB86}"/>
    <cellStyle name="Millares 2 2 5 2 8" xfId="5327" xr:uid="{5F5BFBA3-6597-4934-9DBC-A60A19F69F2A}"/>
    <cellStyle name="Millares 2 2 5 2 9" xfId="6765" xr:uid="{A723D486-C5B3-4F64-9A3E-35D632F189C7}"/>
    <cellStyle name="Millares 2 2 5 3" xfId="978" xr:uid="{00000000-0005-0000-0000-00001B010000}"/>
    <cellStyle name="Millares 2 2 5 3 2" xfId="3267" xr:uid="{00000000-0005-0000-0000-00001C010000}"/>
    <cellStyle name="Millares 2 2 5 3 2 2" xfId="6513" xr:uid="{CFCFE28A-6543-4901-8928-9265DCAA947D}"/>
    <cellStyle name="Millares 2 2 5 3 2 3" xfId="5803" xr:uid="{601F4AC5-B409-4B5A-B62F-C244899DC278}"/>
    <cellStyle name="Millares 2 2 5 3 3" xfId="4258" xr:uid="{00000000-0005-0000-0000-00001D010000}"/>
    <cellStyle name="Millares 2 2 5 3 3 2" xfId="6158" xr:uid="{867E790E-B60A-42E4-BCAC-64B8F9DF6EEF}"/>
    <cellStyle name="Millares 2 2 5 3 4" xfId="4665" xr:uid="{D0C7D518-9580-428D-8259-DA5A6486EDF8}"/>
    <cellStyle name="Millares 2 2 5 3 5" xfId="5087" xr:uid="{543645B6-792D-4891-8614-A8D125276A0B}"/>
    <cellStyle name="Millares 2 2 5 3 6" xfId="5448" xr:uid="{DC32082A-B1E9-45EF-99D9-D86D5247B1F7}"/>
    <cellStyle name="Millares 2 2 5 3 7" xfId="6933" xr:uid="{A2FADB91-3173-4A91-AD9C-862BEBD8748D}"/>
    <cellStyle name="Millares 2 2 5 3 8" xfId="7355" xr:uid="{92337143-10AB-4166-A4D6-C06248FD886C}"/>
    <cellStyle name="Millares 2 2 5 3 9" xfId="7777" xr:uid="{D2EDAEFF-0576-4306-8079-932189CAF262}"/>
    <cellStyle name="Millares 2 2 5 4" xfId="2192" xr:uid="{00000000-0005-0000-0000-00001E010000}"/>
    <cellStyle name="Millares 2 2 5 4 2" xfId="4116" xr:uid="{00000000-0005-0000-0000-00001F010000}"/>
    <cellStyle name="Millares 2 2 5 4 2 2" xfId="6328" xr:uid="{AC593F70-17B5-4ED0-AC47-0CD8D71508D1}"/>
    <cellStyle name="Millares 2 2 5 4 3" xfId="5618" xr:uid="{062CD0E0-2970-4E9F-BEF8-DF90470E4CBB}"/>
    <cellStyle name="Millares 2 2 5 5" xfId="1139" xr:uid="{00000000-0005-0000-0000-000020010000}"/>
    <cellStyle name="Millares 2 2 5 5 2" xfId="5973" xr:uid="{E6E86401-4C02-45D7-B4B0-952C8402C8F0}"/>
    <cellStyle name="Millares 2 2 5 6" xfId="3924" xr:uid="{00000000-0005-0000-0000-000021010000}"/>
    <cellStyle name="Millares 2 2 5 7" xfId="4453" xr:uid="{B58F3B23-4510-4EB9-A488-124FD17D4F62}"/>
    <cellStyle name="Millares 2 2 5 8" xfId="4876" xr:uid="{61B9ECE2-A43E-44A7-B73B-5180BB4DC4D5}"/>
    <cellStyle name="Millares 2 2 5 9" xfId="5263" xr:uid="{A2856841-9597-4E48-ACAA-BF0051170071}"/>
    <cellStyle name="Millares 2 2 6" xfId="482" xr:uid="{00000000-0005-0000-0000-000022010000}"/>
    <cellStyle name="Millares 2 2 6 2" xfId="851" xr:uid="{00000000-0005-0000-0000-000023010000}"/>
    <cellStyle name="Millares 2 2 6 2 2" xfId="3559" xr:uid="{00000000-0005-0000-0000-000024010000}"/>
    <cellStyle name="Millares 2 2 6 2 3" xfId="2484" xr:uid="{00000000-0005-0000-0000-000025010000}"/>
    <cellStyle name="Millares 2 2 6 2 4" xfId="4745" xr:uid="{AF21A8B8-F002-49E3-AB9F-D8B272B21677}"/>
    <cellStyle name="Millares 2 2 6 2 5" xfId="5167" xr:uid="{4E118FD7-4C07-4F58-9AA9-CAEE761D1392}"/>
    <cellStyle name="Millares 2 2 6 2 6" xfId="7013" xr:uid="{5CFBFFA1-F998-4E6B-A4A8-BD68AB8C3AB0}"/>
    <cellStyle name="Millares 2 2 6 2 7" xfId="7435" xr:uid="{729EF64E-D46D-49FC-A372-8F40AA943A09}"/>
    <cellStyle name="Millares 2 2 6 2 8" xfId="7857" xr:uid="{B9408846-B804-4329-A05E-91F8B455FADD}"/>
    <cellStyle name="Millares 2 2 6 3" xfId="1058" xr:uid="{00000000-0005-0000-0000-000026010000}"/>
    <cellStyle name="Millares 2 2 6 3 2" xfId="3032" xr:uid="{00000000-0005-0000-0000-000027010000}"/>
    <cellStyle name="Millares 2 2 6 3 2 2" xfId="6593" xr:uid="{4411F323-91DF-41BF-9ECC-CC01409188AD}"/>
    <cellStyle name="Millares 2 2 6 3 2 3" xfId="5883" xr:uid="{4B66A503-5F8E-4664-AEDD-F6D031434239}"/>
    <cellStyle name="Millares 2 2 6 3 3" xfId="6238" xr:uid="{80A8C69C-A542-453E-8BE8-8C3DA87A63DB}"/>
    <cellStyle name="Millares 2 2 6 3 4" xfId="5528" xr:uid="{0F0E8149-12F8-4DCE-B096-7E23692377CD}"/>
    <cellStyle name="Millares 2 2 6 4" xfId="1941" xr:uid="{00000000-0005-0000-0000-000028010000}"/>
    <cellStyle name="Millares 2 2 6 5" xfId="4533" xr:uid="{5368858A-9F18-41EB-9880-323BF24866C6}"/>
    <cellStyle name="Millares 2 2 6 6" xfId="4956" xr:uid="{A0B784E7-2873-4DC0-A08D-E5A26D04BDD5}"/>
    <cellStyle name="Millares 2 2 6 7" xfId="6802" xr:uid="{75672E0E-43C3-497B-91AB-94F0216DA56D}"/>
    <cellStyle name="Millares 2 2 6 8" xfId="7224" xr:uid="{38D5FF55-4C36-48FF-B62F-D1363CEE23EB}"/>
    <cellStyle name="Millares 2 2 6 9" xfId="7646" xr:uid="{7F1797EE-9BFC-438E-A84F-6B92C878213B}"/>
    <cellStyle name="Millares 2 2 7" xfId="795" xr:uid="{00000000-0005-0000-0000-000029010000}"/>
    <cellStyle name="Millares 2 2 7 10" xfId="7715" xr:uid="{7ED3A831-FA33-4F84-A5D6-34446D3CAD5C}"/>
    <cellStyle name="Millares 2 2 7 2" xfId="3317" xr:uid="{00000000-0005-0000-0000-00002A010000}"/>
    <cellStyle name="Millares 2 2 7 2 2" xfId="4294" xr:uid="{00000000-0005-0000-0000-00002B010000}"/>
    <cellStyle name="Millares 2 2 7 3" xfId="2242" xr:uid="{00000000-0005-0000-0000-00002C010000}"/>
    <cellStyle name="Millares 2 2 7 3 2" xfId="4152" xr:uid="{00000000-0005-0000-0000-00002D010000}"/>
    <cellStyle name="Millares 2 2 7 4" xfId="1189" xr:uid="{00000000-0005-0000-0000-00002E010000}"/>
    <cellStyle name="Millares 2 2 7 5" xfId="3960" xr:uid="{00000000-0005-0000-0000-00002F010000}"/>
    <cellStyle name="Millares 2 2 7 6" xfId="4603" xr:uid="{27D79B8C-7457-4B80-B96A-A520DB41C557}"/>
    <cellStyle name="Millares 2 2 7 7" xfId="5025" xr:uid="{75A5648B-40BC-4F10-A3DC-23C886C6C563}"/>
    <cellStyle name="Millares 2 2 7 8" xfId="6871" xr:uid="{E0F3C8EE-E71D-42C9-B1B0-634D9EBC785F}"/>
    <cellStyle name="Millares 2 2 7 9" xfId="7293" xr:uid="{C73F01EC-0580-44FD-8EAC-6FEFE154ED4C}"/>
    <cellStyle name="Millares 2 2 8" xfId="908" xr:uid="{00000000-0005-0000-0000-000030010000}"/>
    <cellStyle name="Millares 2 2 8 2" xfId="2778" xr:uid="{00000000-0005-0000-0000-000031010000}"/>
    <cellStyle name="Millares 2 2 8 2 2" xfId="6451" xr:uid="{CD189442-EF6F-4019-8EE2-2E25C51AA198}"/>
    <cellStyle name="Millares 2 2 8 2 3" xfId="5741" xr:uid="{5F077E3C-3D34-4C09-8580-6DF2C84F2328}"/>
    <cellStyle name="Millares 2 2 8 3" xfId="6096" xr:uid="{AAB40722-9081-4EB0-98EB-344E9621A0DD}"/>
    <cellStyle name="Millares 2 2 8 4" xfId="5386" xr:uid="{02CA2F9B-6395-4C57-B911-D587624C3F5F}"/>
    <cellStyle name="Millares 2 2 9" xfId="1687" xr:uid="{00000000-0005-0000-0000-000032010000}"/>
    <cellStyle name="Millares 2 2 9 2" xfId="4057" xr:uid="{00000000-0005-0000-0000-000033010000}"/>
    <cellStyle name="Millares 2 3" xfId="79" xr:uid="{00000000-0005-0000-0000-000034010000}"/>
    <cellStyle name="Millares 2 3 10" xfId="4821" xr:uid="{0929FFCF-A25E-42C0-AC0F-0F954B9E11C4}"/>
    <cellStyle name="Millares 2 3 11" xfId="6667" xr:uid="{E2961015-CA03-44C6-8196-C85A33107E89}"/>
    <cellStyle name="Millares 2 3 12" xfId="7089" xr:uid="{798265C9-A31B-4F15-BB30-93BC85148238}"/>
    <cellStyle name="Millares 2 3 13" xfId="7511" xr:uid="{1ED01904-ABF4-47BE-860B-785674D4FCDD}"/>
    <cellStyle name="Millares 2 3 2" xfId="190" xr:uid="{00000000-0005-0000-0000-000035010000}"/>
    <cellStyle name="Millares 2 3 2 10" xfId="6686" xr:uid="{D482463A-FFDE-43FD-92D8-484CE54ED7E4}"/>
    <cellStyle name="Millares 2 3 2 11" xfId="7108" xr:uid="{CA4B9827-E1CB-42A4-B632-D1DFDE9DAF67}"/>
    <cellStyle name="Millares 2 3 2 12" xfId="7530" xr:uid="{140246EE-4B7B-4B4B-A590-2A45F5EB95AD}"/>
    <cellStyle name="Millares 2 3 2 2" xfId="468" xr:uid="{00000000-0005-0000-0000-000036010000}"/>
    <cellStyle name="Millares 2 3 2 2 10" xfId="6747" xr:uid="{B47AC4A6-5F3A-4F33-A48D-7331A00CF06E}"/>
    <cellStyle name="Millares 2 3 2 2 11" xfId="7169" xr:uid="{CC653279-BD95-464F-AA54-42FF59992A8D}"/>
    <cellStyle name="Millares 2 3 2 2 12" xfId="7591" xr:uid="{16113AC4-D5D2-4206-B11A-EE9164AC3C08}"/>
    <cellStyle name="Millares 2 3 2 2 2" xfId="756" xr:uid="{00000000-0005-0000-0000-000037010000}"/>
    <cellStyle name="Millares 2 3 2 2 2 10" xfId="7212" xr:uid="{8D8093BB-1BC0-4EF5-B3FB-E232B8A3C8F0}"/>
    <cellStyle name="Millares 2 3 2 2 2 11" xfId="7634" xr:uid="{26772688-FC85-4433-94DE-D24C4603BC00}"/>
    <cellStyle name="Millares 2 3 2 2 2 2" xfId="1046" xr:uid="{00000000-0005-0000-0000-000038010000}"/>
    <cellStyle name="Millares 2 3 2 2 2 2 2" xfId="3835" xr:uid="{00000000-0005-0000-0000-000039010000}"/>
    <cellStyle name="Millares 2 3 2 2 2 2 2 2" xfId="6581" xr:uid="{C6E1A029-9FE6-4C3E-AE21-1C7A0FBFA798}"/>
    <cellStyle name="Millares 2 3 2 2 2 2 2 3" xfId="5871" xr:uid="{3A3ED332-DD36-45E8-8DFD-39D77FD5C027}"/>
    <cellStyle name="Millares 2 3 2 2 2 2 3" xfId="4378" xr:uid="{00000000-0005-0000-0000-00003A010000}"/>
    <cellStyle name="Millares 2 3 2 2 2 2 3 2" xfId="6226" xr:uid="{932A0A13-B417-4C14-8C5E-A926DED661C8}"/>
    <cellStyle name="Millares 2 3 2 2 2 2 4" xfId="4733" xr:uid="{4C806DA3-92C2-4702-A227-90A61B70719A}"/>
    <cellStyle name="Millares 2 3 2 2 2 2 5" xfId="5155" xr:uid="{9D168458-BDF9-48AE-91D7-8016089B6CD8}"/>
    <cellStyle name="Millares 2 3 2 2 2 2 6" xfId="5516" xr:uid="{D0CF8DA5-48D1-44CC-B826-90098962A650}"/>
    <cellStyle name="Millares 2 3 2 2 2 2 7" xfId="7001" xr:uid="{0A114FBA-DDAD-4AEB-8D85-16FCB84282B6}"/>
    <cellStyle name="Millares 2 3 2 2 2 2 8" xfId="7423" xr:uid="{5D6F684D-47CB-4994-AA06-635FA306EDAC}"/>
    <cellStyle name="Millares 2 3 2 2 2 2 9" xfId="7845" xr:uid="{C8897780-B133-44C3-BAC4-7A1559BEA5B6}"/>
    <cellStyle name="Millares 2 3 2 2 2 3" xfId="2760" xr:uid="{00000000-0005-0000-0000-00003B010000}"/>
    <cellStyle name="Millares 2 3 2 2 2 3 2" xfId="4236" xr:uid="{00000000-0005-0000-0000-00003C010000}"/>
    <cellStyle name="Millares 2 3 2 2 2 3 2 2" xfId="6417" xr:uid="{D6511412-0171-4C55-A904-649BA9FE26B0}"/>
    <cellStyle name="Millares 2 3 2 2 2 3 3" xfId="5707" xr:uid="{053ABB63-ABBB-4197-AB51-FB4413EDBDC3}"/>
    <cellStyle name="Millares 2 3 2 2 2 4" xfId="1648" xr:uid="{00000000-0005-0000-0000-00003D010000}"/>
    <cellStyle name="Millares 2 3 2 2 2 4 2" xfId="6062" xr:uid="{06D1D829-3B05-43A3-B750-71726FE9BE40}"/>
    <cellStyle name="Millares 2 3 2 2 2 5" xfId="4044" xr:uid="{00000000-0005-0000-0000-00003E010000}"/>
    <cellStyle name="Millares 2 3 2 2 2 6" xfId="4521" xr:uid="{40439C79-5C23-4F06-9309-B012078BFDE0}"/>
    <cellStyle name="Millares 2 3 2 2 2 7" xfId="4944" xr:uid="{8C884C74-A8DC-45CA-BDB2-8E16254C1C4E}"/>
    <cellStyle name="Millares 2 3 2 2 2 8" xfId="5352" xr:uid="{0B3EDC8C-A37B-4FA1-9123-DE726157EA2A}"/>
    <cellStyle name="Millares 2 3 2 2 2 9" xfId="6790" xr:uid="{6C30016E-A776-4608-B867-6D9EFB901165}"/>
    <cellStyle name="Millares 2 3 2 2 3" xfId="1003" xr:uid="{00000000-0005-0000-0000-00003F010000}"/>
    <cellStyle name="Millares 2 3 2 2 3 2" xfId="3292" xr:uid="{00000000-0005-0000-0000-000040010000}"/>
    <cellStyle name="Millares 2 3 2 2 3 2 2" xfId="6538" xr:uid="{BA42D75C-F656-4C6A-ACCD-87DDD5FE7FA0}"/>
    <cellStyle name="Millares 2 3 2 2 3 2 3" xfId="5828" xr:uid="{9DACBCD2-9557-46A4-848F-539E3EB2BFC5}"/>
    <cellStyle name="Millares 2 3 2 2 3 3" xfId="4283" xr:uid="{00000000-0005-0000-0000-000041010000}"/>
    <cellStyle name="Millares 2 3 2 2 3 3 2" xfId="6183" xr:uid="{F7780AA8-7D29-4941-9A77-468F4CD7DCCB}"/>
    <cellStyle name="Millares 2 3 2 2 3 4" xfId="4690" xr:uid="{5A6D0EA8-B0A6-4818-9903-9E9ACA8CABD7}"/>
    <cellStyle name="Millares 2 3 2 2 3 5" xfId="5112" xr:uid="{5FD86BDB-3D7E-4DF8-8D08-65A8CFEE76B3}"/>
    <cellStyle name="Millares 2 3 2 2 3 6" xfId="5473" xr:uid="{72EB738E-D9C5-47CE-8955-4F1A9336D610}"/>
    <cellStyle name="Millares 2 3 2 2 3 7" xfId="6958" xr:uid="{AD87FEDB-8430-4521-B24C-D51DE41146C3}"/>
    <cellStyle name="Millares 2 3 2 2 3 8" xfId="7380" xr:uid="{E397F3B3-118C-4001-8124-69F85EB3AC04}"/>
    <cellStyle name="Millares 2 3 2 2 3 9" xfId="7802" xr:uid="{BBFD3674-38AE-445E-B518-9CE2F831C22E}"/>
    <cellStyle name="Millares 2 3 2 2 4" xfId="2217" xr:uid="{00000000-0005-0000-0000-000042010000}"/>
    <cellStyle name="Millares 2 3 2 2 4 2" xfId="4141" xr:uid="{00000000-0005-0000-0000-000043010000}"/>
    <cellStyle name="Millares 2 3 2 2 4 2 2" xfId="6353" xr:uid="{7DBD427D-08A1-43C8-8286-4282DB742241}"/>
    <cellStyle name="Millares 2 3 2 2 4 3" xfId="5643" xr:uid="{3162A997-81DA-451A-B240-35AA18C31848}"/>
    <cellStyle name="Millares 2 3 2 2 5" xfId="1164" xr:uid="{00000000-0005-0000-0000-000044010000}"/>
    <cellStyle name="Millares 2 3 2 2 5 2" xfId="5998" xr:uid="{997B718E-9524-401F-B5C7-F74F36343820}"/>
    <cellStyle name="Millares 2 3 2 2 6" xfId="3949" xr:uid="{00000000-0005-0000-0000-000045010000}"/>
    <cellStyle name="Millares 2 3 2 2 7" xfId="4478" xr:uid="{19A4AA19-F907-45DC-A74E-534B03C980E4}"/>
    <cellStyle name="Millares 2 3 2 2 8" xfId="4901" xr:uid="{86BE8655-C254-449A-A324-3C28E5BBC65E}"/>
    <cellStyle name="Millares 2 3 2 2 9" xfId="5288" xr:uid="{2861574F-1480-44E3-A9FC-D0D3DCD7271D}"/>
    <cellStyle name="Millares 2 3 2 3" xfId="580" xr:uid="{00000000-0005-0000-0000-000046010000}"/>
    <cellStyle name="Millares 2 3 2 3 10" xfId="7672" xr:uid="{A231B5F9-B39E-4C42-9DDA-961EBBD599FD}"/>
    <cellStyle name="Millares 2 3 2 3 2" xfId="776" xr:uid="{00000000-0005-0000-0000-000047010000}"/>
    <cellStyle name="Millares 2 3 2 3 2 10" xfId="7461" xr:uid="{68F67435-E1AB-4F3D-923A-07E8E6E44CCF}"/>
    <cellStyle name="Millares 2 3 2 3 2 11" xfId="7883" xr:uid="{67D3EB48-DA20-4D71-BAE3-E7B5A30F7152}"/>
    <cellStyle name="Millares 2 3 2 3 2 2" xfId="3657" xr:uid="{00000000-0005-0000-0000-000048010000}"/>
    <cellStyle name="Millares 2 3 2 3 2 2 2" xfId="4339" xr:uid="{00000000-0005-0000-0000-000049010000}"/>
    <cellStyle name="Millares 2 3 2 3 2 2 2 2" xfId="6437" xr:uid="{54168795-00F3-46B6-A68D-58B625717A2D}"/>
    <cellStyle name="Millares 2 3 2 3 2 2 3" xfId="5727" xr:uid="{BF8B79D3-8197-4A1C-90E0-EB3DA733041D}"/>
    <cellStyle name="Millares 2 3 2 3 2 3" xfId="2582" xr:uid="{00000000-0005-0000-0000-00004A010000}"/>
    <cellStyle name="Millares 2 3 2 3 2 3 2" xfId="4197" xr:uid="{00000000-0005-0000-0000-00004B010000}"/>
    <cellStyle name="Millares 2 3 2 3 2 3 3" xfId="6082" xr:uid="{028E1DE9-E0ED-48AE-A247-397BE4220C1E}"/>
    <cellStyle name="Millares 2 3 2 3 2 4" xfId="1492" xr:uid="{00000000-0005-0000-0000-00004C010000}"/>
    <cellStyle name="Millares 2 3 2 3 2 5" xfId="4005" xr:uid="{00000000-0005-0000-0000-00004D010000}"/>
    <cellStyle name="Millares 2 3 2 3 2 6" xfId="4771" xr:uid="{BE860612-B22D-44F6-8E68-ACDF96B0E4C5}"/>
    <cellStyle name="Millares 2 3 2 3 2 7" xfId="5193" xr:uid="{78B88FAC-0DFB-4729-9BA1-6FCCB390A256}"/>
    <cellStyle name="Millares 2 3 2 3 2 8" xfId="5372" xr:uid="{22F17242-A106-4E41-A586-0F44FD575E86}"/>
    <cellStyle name="Millares 2 3 2 3 2 9" xfId="7039" xr:uid="{26296B0C-F5DF-4035-81DA-C4211EA02609}"/>
    <cellStyle name="Millares 2 3 2 3 3" xfId="876" xr:uid="{00000000-0005-0000-0000-00004E010000}"/>
    <cellStyle name="Millares 2 3 2 3 4" xfId="1085" xr:uid="{00000000-0005-0000-0000-00004F010000}"/>
    <cellStyle name="Millares 2 3 2 3 4 2" xfId="2039" xr:uid="{00000000-0005-0000-0000-000050010000}"/>
    <cellStyle name="Millares 2 3 2 3 4 2 2" xfId="6619" xr:uid="{9CAD5DAC-BAC1-413F-9617-4D79F5732675}"/>
    <cellStyle name="Millares 2 3 2 3 4 2 3" xfId="5909" xr:uid="{45D83C62-6695-4213-8649-B7EE21633C7B}"/>
    <cellStyle name="Millares 2 3 2 3 4 3" xfId="4102" xr:uid="{00000000-0005-0000-0000-000051010000}"/>
    <cellStyle name="Millares 2 3 2 3 4 3 2" xfId="6264" xr:uid="{F1FAE5A3-74F3-47C8-AE0B-F171E2A5C175}"/>
    <cellStyle name="Millares 2 3 2 3 4 4" xfId="5554" xr:uid="{36972855-8447-4A36-8F55-6FD3365E97A0}"/>
    <cellStyle name="Millares 2 3 2 3 5" xfId="4559" xr:uid="{DFBF1887-4760-4A75-B696-D6D6F0A959F5}"/>
    <cellStyle name="Millares 2 3 2 3 5 2" xfId="6373" xr:uid="{A58C526D-E413-43B0-ABAE-D5C136829DFF}"/>
    <cellStyle name="Millares 2 3 2 3 5 3" xfId="5663" xr:uid="{DAD27966-809F-4E42-8728-F0679752442E}"/>
    <cellStyle name="Millares 2 3 2 3 6" xfId="4982" xr:uid="{AF2433D3-7E84-4F2B-9ECC-7088C809346C}"/>
    <cellStyle name="Millares 2 3 2 3 6 2" xfId="6018" xr:uid="{55834B60-794E-4D98-A6B5-626C3D02BE56}"/>
    <cellStyle name="Millares 2 3 2 3 7" xfId="5308" xr:uid="{C91B186A-BDC6-4C0A-A4C1-E53519150480}"/>
    <cellStyle name="Millares 2 3 2 3 8" xfId="6828" xr:uid="{A554E487-2E0E-4773-8FA3-A199439BAA89}"/>
    <cellStyle name="Millares 2 3 2 3 9" xfId="7250" xr:uid="{56D5296B-319B-4593-A4EB-C0451CE27AB6}"/>
    <cellStyle name="Millares 2 3 2 4" xfId="820" xr:uid="{00000000-0005-0000-0000-000052010000}"/>
    <cellStyle name="Millares 2 3 2 4 10" xfId="7741" xr:uid="{5A7F2393-51A9-4A35-9C8B-680EBAB0A4E8}"/>
    <cellStyle name="Millares 2 3 2 4 2" xfId="3507" xr:uid="{00000000-0005-0000-0000-000053010000}"/>
    <cellStyle name="Millares 2 3 2 4 2 2" xfId="4319" xr:uid="{00000000-0005-0000-0000-000054010000}"/>
    <cellStyle name="Millares 2 3 2 4 3" xfId="2432" xr:uid="{00000000-0005-0000-0000-000055010000}"/>
    <cellStyle name="Millares 2 3 2 4 3 2" xfId="4177" xr:uid="{00000000-0005-0000-0000-000056010000}"/>
    <cellStyle name="Millares 2 3 2 4 4" xfId="1362" xr:uid="{00000000-0005-0000-0000-000057010000}"/>
    <cellStyle name="Millares 2 3 2 4 5" xfId="3985" xr:uid="{00000000-0005-0000-0000-000058010000}"/>
    <cellStyle name="Millares 2 3 2 4 6" xfId="4629" xr:uid="{C6477EB2-AFBB-49F9-95C2-A48D3ECE532A}"/>
    <cellStyle name="Millares 2 3 2 4 7" xfId="5051" xr:uid="{5DB32F62-7632-4F89-AD51-4B3C3E93672B}"/>
    <cellStyle name="Millares 2 3 2 4 8" xfId="6897" xr:uid="{D8880E62-E663-402B-9FFE-4FDEB6C3EA79}"/>
    <cellStyle name="Millares 2 3 2 4 9" xfId="7319" xr:uid="{FEAFC01B-EAE1-4427-8B80-2E069740E4EE}"/>
    <cellStyle name="Millares 2 3 2 5" xfId="938" xr:uid="{00000000-0005-0000-0000-000059010000}"/>
    <cellStyle name="Millares 2 3 2 5 2" xfId="2968" xr:uid="{00000000-0005-0000-0000-00005A010000}"/>
    <cellStyle name="Millares 2 3 2 5 2 2" xfId="6477" xr:uid="{51A12326-F037-48B3-AD8C-0DCF8D893766}"/>
    <cellStyle name="Millares 2 3 2 5 2 3" xfId="5767" xr:uid="{F4F1DD93-014C-41D2-95C7-5AB465BB77BB}"/>
    <cellStyle name="Millares 2 3 2 5 3" xfId="6122" xr:uid="{5C895C38-89AB-4702-BD92-655DFE42DE20}"/>
    <cellStyle name="Millares 2 3 2 5 4" xfId="5412" xr:uid="{9223CCA8-FE32-412F-B940-70BB339E25A5}"/>
    <cellStyle name="Millares 2 3 2 6" xfId="1877" xr:uid="{00000000-0005-0000-0000-00005B010000}"/>
    <cellStyle name="Millares 2 3 2 6 2" xfId="4082" xr:uid="{00000000-0005-0000-0000-00005C010000}"/>
    <cellStyle name="Millares 2 3 2 6 2 2" xfId="6314" xr:uid="{029EDF17-FD29-4709-9E77-4EC2AA03067B}"/>
    <cellStyle name="Millares 2 3 2 6 3" xfId="5604" xr:uid="{2F792E60-47A3-4AA8-A4AC-3CBB561E5464}"/>
    <cellStyle name="Millares 2 3 2 7" xfId="4417" xr:uid="{C67C9C7D-A5A9-4CAE-9232-68521165A4F3}"/>
    <cellStyle name="Millares 2 3 2 7 2" xfId="5959" xr:uid="{FEB39BFD-9EBA-4779-8798-2B742F974FD0}"/>
    <cellStyle name="Millares 2 3 2 8" xfId="4840" xr:uid="{3B55EAD2-04CB-4F87-B7F4-4207595B72F1}"/>
    <cellStyle name="Millares 2 3 2 9" xfId="5249" xr:uid="{D9F43C60-A5B9-491E-BCBC-977A5D27C122}"/>
    <cellStyle name="Millares 2 3 3" xfId="356" xr:uid="{00000000-0005-0000-0000-00005D010000}"/>
    <cellStyle name="Millares 2 3 3 10" xfId="7555" xr:uid="{0356F39C-4C31-423B-A17C-A26D72856095}"/>
    <cellStyle name="Millares 2 3 3 2" xfId="639" xr:uid="{00000000-0005-0000-0000-00005E010000}"/>
    <cellStyle name="Millares 2 3 3 2 2" xfId="894" xr:uid="{00000000-0005-0000-0000-00005F010000}"/>
    <cellStyle name="Millares 2 3 3 2 2 2" xfId="3726" xr:uid="{00000000-0005-0000-0000-000060010000}"/>
    <cellStyle name="Millares 2 3 3 2 2 3" xfId="2651" xr:uid="{00000000-0005-0000-0000-000061010000}"/>
    <cellStyle name="Millares 2 3 3 2 2 4" xfId="4792" xr:uid="{559EFED4-4497-4ED3-9FB2-E939336B0480}"/>
    <cellStyle name="Millares 2 3 3 2 2 5" xfId="5214" xr:uid="{0EA27418-6E86-47F6-BAD3-3E692DFCADA7}"/>
    <cellStyle name="Millares 2 3 3 2 2 6" xfId="7060" xr:uid="{F44DEA94-4017-42C6-A083-C66FC7CE2B20}"/>
    <cellStyle name="Millares 2 3 3 2 2 7" xfId="7482" xr:uid="{E1F7EDEF-588E-453D-8DE8-C22C354EFA8F}"/>
    <cellStyle name="Millares 2 3 3 2 2 8" xfId="7904" xr:uid="{7893B7A6-5AB7-4C12-9DDD-CB4153E67377}"/>
    <cellStyle name="Millares 2 3 3 2 3" xfId="1107" xr:uid="{00000000-0005-0000-0000-000062010000}"/>
    <cellStyle name="Millares 2 3 3 2 3 2" xfId="3183" xr:uid="{00000000-0005-0000-0000-000063010000}"/>
    <cellStyle name="Millares 2 3 3 2 3 2 2" xfId="6640" xr:uid="{97B78AD9-9A83-4540-9DC2-A79D7D0064F5}"/>
    <cellStyle name="Millares 2 3 3 2 3 2 3" xfId="5930" xr:uid="{B6B4B57C-EAFC-461B-84C5-806ADDEC787E}"/>
    <cellStyle name="Millares 2 3 3 2 3 3" xfId="6285" xr:uid="{79EDD34A-7106-4676-8918-3281116DDC49}"/>
    <cellStyle name="Millares 2 3 3 2 3 4" xfId="5575" xr:uid="{0293FE85-1145-4AAE-8573-09DB3A23FB76}"/>
    <cellStyle name="Millares 2 3 3 2 4" xfId="2108" xr:uid="{00000000-0005-0000-0000-000064010000}"/>
    <cellStyle name="Millares 2 3 3 2 5" xfId="4580" xr:uid="{4E17CBCD-5C6E-4C56-9D72-C49757FF14A8}"/>
    <cellStyle name="Millares 2 3 3 2 6" xfId="5003" xr:uid="{789F80F3-F15F-462C-B252-70EF30AD9E39}"/>
    <cellStyle name="Millares 2 3 3 2 7" xfId="6849" xr:uid="{2C2E5AB1-0167-4321-9623-102C733812B7}"/>
    <cellStyle name="Millares 2 3 3 2 8" xfId="7271" xr:uid="{C84FA12E-F452-4F9F-8115-D2FDEBF4146E}"/>
    <cellStyle name="Millares 2 3 3 2 9" xfId="7693" xr:uid="{4E32F128-81C0-4B2D-8425-C66A65B20713}"/>
    <cellStyle name="Millares 2 3 3 3" xfId="840" xr:uid="{00000000-0005-0000-0000-000065010000}"/>
    <cellStyle name="Millares 2 3 3 3 2" xfId="3450" xr:uid="{00000000-0005-0000-0000-000066010000}"/>
    <cellStyle name="Millares 2 3 3 3 3" xfId="2375" xr:uid="{00000000-0005-0000-0000-000067010000}"/>
    <cellStyle name="Millares 2 3 3 3 4" xfId="4654" xr:uid="{2794E8D9-3E50-4D99-BAEE-211E543F37DE}"/>
    <cellStyle name="Millares 2 3 3 3 5" xfId="5076" xr:uid="{3E9794BD-0892-4F9A-AD6D-A7BAAF75D614}"/>
    <cellStyle name="Millares 2 3 3 3 6" xfId="6922" xr:uid="{DC793FF4-C3C2-4DF4-ACA1-E0D62CA53D83}"/>
    <cellStyle name="Millares 2 3 3 3 7" xfId="7344" xr:uid="{D8DD3384-CBE9-49A9-853D-001E2119D734}"/>
    <cellStyle name="Millares 2 3 3 3 8" xfId="7766" xr:uid="{D6E9F83E-D54F-4897-8046-7B607BF9A701}"/>
    <cellStyle name="Millares 2 3 3 4" xfId="967" xr:uid="{00000000-0005-0000-0000-000068010000}"/>
    <cellStyle name="Millares 2 3 3 4 2" xfId="2911" xr:uid="{00000000-0005-0000-0000-000069010000}"/>
    <cellStyle name="Millares 2 3 3 4 2 2" xfId="6502" xr:uid="{628E90A7-F307-4C78-A96F-3EA8491AB5F4}"/>
    <cellStyle name="Millares 2 3 3 4 2 3" xfId="5792" xr:uid="{0BA1FCE2-DE8A-4402-9731-9A8DE9EB6D37}"/>
    <cellStyle name="Millares 2 3 3 4 3" xfId="6147" xr:uid="{8CCE6E56-097E-4559-89AE-44847780E0C0}"/>
    <cellStyle name="Millares 2 3 3 4 4" xfId="5437" xr:uid="{471EEA1C-63E9-48B8-BBC0-9CFEBD6ED323}"/>
    <cellStyle name="Millares 2 3 3 5" xfId="1820" xr:uid="{00000000-0005-0000-0000-00006A010000}"/>
    <cellStyle name="Millares 2 3 3 6" xfId="4442" xr:uid="{EB88509E-AD08-45CE-90C9-2935A446265D}"/>
    <cellStyle name="Millares 2 3 3 7" xfId="4865" xr:uid="{C687822F-9BCE-4B92-BC77-E903CB67D049}"/>
    <cellStyle name="Millares 2 3 3 8" xfId="6711" xr:uid="{CFB09737-784B-44EE-865A-BDE95DCAB55F}"/>
    <cellStyle name="Millares 2 3 3 9" xfId="7133" xr:uid="{14B2F672-2914-45ED-A088-D9712058A42C}"/>
    <cellStyle name="Millares 2 3 4" xfId="450" xr:uid="{00000000-0005-0000-0000-00006B010000}"/>
    <cellStyle name="Millares 2 3 4 10" xfId="6729" xr:uid="{5CE8BABF-C642-4C8B-9975-BDD55C7B7B1A}"/>
    <cellStyle name="Millares 2 3 4 11" xfId="7151" xr:uid="{5ECAE51A-DC1E-4994-A435-4E29E305AE05}"/>
    <cellStyle name="Millares 2 3 4 12" xfId="7573" xr:uid="{2231EE56-2A17-4CA2-B499-B978DC9943E4}"/>
    <cellStyle name="Millares 2 3 4 2" xfId="738" xr:uid="{00000000-0005-0000-0000-00006C010000}"/>
    <cellStyle name="Millares 2 3 4 2 10" xfId="7194" xr:uid="{9AF00FDC-A3F6-4F01-9DD6-63E9D5BA5964}"/>
    <cellStyle name="Millares 2 3 4 2 11" xfId="7616" xr:uid="{319C72E8-D03B-45C9-8824-9CA8F1BC46BB}"/>
    <cellStyle name="Millares 2 3 4 2 2" xfId="1028" xr:uid="{00000000-0005-0000-0000-00006D010000}"/>
    <cellStyle name="Millares 2 3 4 2 2 2" xfId="3817" xr:uid="{00000000-0005-0000-0000-00006E010000}"/>
    <cellStyle name="Millares 2 3 4 2 2 2 2" xfId="6563" xr:uid="{93D33682-2D08-4FA6-A48E-10D0EDDC9E7F}"/>
    <cellStyle name="Millares 2 3 4 2 2 2 3" xfId="5853" xr:uid="{23F3A362-96F0-47B0-9EB6-69C22D2B3A3C}"/>
    <cellStyle name="Millares 2 3 4 2 2 3" xfId="4360" xr:uid="{00000000-0005-0000-0000-00006F010000}"/>
    <cellStyle name="Millares 2 3 4 2 2 3 2" xfId="6208" xr:uid="{B4A12758-8090-4CE4-B05C-23D24F99EC03}"/>
    <cellStyle name="Millares 2 3 4 2 2 4" xfId="4715" xr:uid="{B8B08A1F-A86A-4C11-A736-528FEEE9ED11}"/>
    <cellStyle name="Millares 2 3 4 2 2 5" xfId="5137" xr:uid="{2C9791F7-D608-42FF-8666-5932606391EB}"/>
    <cellStyle name="Millares 2 3 4 2 2 6" xfId="5498" xr:uid="{AEDB4E68-E0E4-43A1-B5DF-51233032D600}"/>
    <cellStyle name="Millares 2 3 4 2 2 7" xfId="6983" xr:uid="{B6A3D2CF-605C-4F93-8191-BADC56EE011C}"/>
    <cellStyle name="Millares 2 3 4 2 2 8" xfId="7405" xr:uid="{236A897E-C708-4934-97DD-A0D43ACE92F3}"/>
    <cellStyle name="Millares 2 3 4 2 2 9" xfId="7827" xr:uid="{421DF645-1FCA-43AD-AD8E-257977C0CDC9}"/>
    <cellStyle name="Millares 2 3 4 2 3" xfId="2742" xr:uid="{00000000-0005-0000-0000-000070010000}"/>
    <cellStyle name="Millares 2 3 4 2 3 2" xfId="4218" xr:uid="{00000000-0005-0000-0000-000071010000}"/>
    <cellStyle name="Millares 2 3 4 2 3 2 2" xfId="6399" xr:uid="{E79C0A45-04BB-418C-9D58-4BF15713A56A}"/>
    <cellStyle name="Millares 2 3 4 2 3 3" xfId="5689" xr:uid="{E75CEC96-812A-4205-8AAD-9098DB100561}"/>
    <cellStyle name="Millares 2 3 4 2 4" xfId="1630" xr:uid="{00000000-0005-0000-0000-000072010000}"/>
    <cellStyle name="Millares 2 3 4 2 4 2" xfId="6044" xr:uid="{572DB3FB-434B-42BE-A1C1-31B2817A0AD4}"/>
    <cellStyle name="Millares 2 3 4 2 5" xfId="4026" xr:uid="{00000000-0005-0000-0000-000073010000}"/>
    <cellStyle name="Millares 2 3 4 2 6" xfId="4503" xr:uid="{4FDEE5A2-3689-4BB7-ACC8-1E73491F53BB}"/>
    <cellStyle name="Millares 2 3 4 2 7" xfId="4926" xr:uid="{48B49EFA-B2FA-46D1-AA17-0F64938062CB}"/>
    <cellStyle name="Millares 2 3 4 2 8" xfId="5334" xr:uid="{BB6C6E9D-6B8F-4A5F-9AE6-F38855FA11F9}"/>
    <cellStyle name="Millares 2 3 4 2 9" xfId="6772" xr:uid="{0D4DFF16-2F5A-4311-A886-9A60C594F472}"/>
    <cellStyle name="Millares 2 3 4 3" xfId="985" xr:uid="{00000000-0005-0000-0000-000074010000}"/>
    <cellStyle name="Millares 2 3 4 3 2" xfId="3274" xr:uid="{00000000-0005-0000-0000-000075010000}"/>
    <cellStyle name="Millares 2 3 4 3 2 2" xfId="6520" xr:uid="{731F36F6-FA51-4292-AABE-05C67B5B3909}"/>
    <cellStyle name="Millares 2 3 4 3 2 3" xfId="5810" xr:uid="{5DDE09FA-6CE7-4395-B10E-8B995591EDB7}"/>
    <cellStyle name="Millares 2 3 4 3 3" xfId="4265" xr:uid="{00000000-0005-0000-0000-000076010000}"/>
    <cellStyle name="Millares 2 3 4 3 3 2" xfId="6165" xr:uid="{261231DE-AC85-4E35-9825-726F6D305D9B}"/>
    <cellStyle name="Millares 2 3 4 3 4" xfId="4672" xr:uid="{3BD4B5F0-C6EE-4D27-A24A-E73ADA806555}"/>
    <cellStyle name="Millares 2 3 4 3 5" xfId="5094" xr:uid="{BA049EBB-D6D7-440A-89C9-710DA326B9E1}"/>
    <cellStyle name="Millares 2 3 4 3 6" xfId="5455" xr:uid="{8E8933D5-7F78-4623-9FBA-70CD68C12AF5}"/>
    <cellStyle name="Millares 2 3 4 3 7" xfId="6940" xr:uid="{C7AF16B5-EF00-471D-96A4-6850713712CB}"/>
    <cellStyle name="Millares 2 3 4 3 8" xfId="7362" xr:uid="{66FF6E1F-32A7-4696-A923-741ED9BF6FC7}"/>
    <cellStyle name="Millares 2 3 4 3 9" xfId="7784" xr:uid="{37E034ED-5AFA-4635-8D12-D1AE31CA2BFF}"/>
    <cellStyle name="Millares 2 3 4 4" xfId="2199" xr:uid="{00000000-0005-0000-0000-000077010000}"/>
    <cellStyle name="Millares 2 3 4 4 2" xfId="4123" xr:uid="{00000000-0005-0000-0000-000078010000}"/>
    <cellStyle name="Millares 2 3 4 4 2 2" xfId="6335" xr:uid="{83420B53-A2ED-4B18-BFE9-8AA51F7776CE}"/>
    <cellStyle name="Millares 2 3 4 4 3" xfId="5625" xr:uid="{76590D73-E3F0-40BB-8873-88B2C96129AA}"/>
    <cellStyle name="Millares 2 3 4 5" xfId="1146" xr:uid="{00000000-0005-0000-0000-000079010000}"/>
    <cellStyle name="Millares 2 3 4 5 2" xfId="5980" xr:uid="{8EEB7E84-D4BA-436A-9172-375D81FF5B18}"/>
    <cellStyle name="Millares 2 3 4 6" xfId="3931" xr:uid="{00000000-0005-0000-0000-00007A010000}"/>
    <cellStyle name="Millares 2 3 4 7" xfId="4460" xr:uid="{0A7DA4A1-F8D4-4EF1-8F01-F65B94ADEA92}"/>
    <cellStyle name="Millares 2 3 4 8" xfId="4883" xr:uid="{5E9BD285-187C-4629-A624-F77D86B4CB5B}"/>
    <cellStyle name="Millares 2 3 4 9" xfId="5270" xr:uid="{E31D9848-41C3-499E-818D-B4B5A268A420}"/>
    <cellStyle name="Millares 2 3 5" xfId="523" xr:uid="{00000000-0005-0000-0000-00007B010000}"/>
    <cellStyle name="Millares 2 3 5 2" xfId="858" xr:uid="{00000000-0005-0000-0000-00007C010000}"/>
    <cellStyle name="Millares 2 3 5 2 2" xfId="3600" xr:uid="{00000000-0005-0000-0000-00007D010000}"/>
    <cellStyle name="Millares 2 3 5 2 3" xfId="2525" xr:uid="{00000000-0005-0000-0000-00007E010000}"/>
    <cellStyle name="Millares 2 3 5 2 4" xfId="4752" xr:uid="{8F690846-8E29-4F00-A6CC-2741808A83F1}"/>
    <cellStyle name="Millares 2 3 5 2 5" xfId="5174" xr:uid="{313EC042-54A0-4253-B492-B01D9DB188EF}"/>
    <cellStyle name="Millares 2 3 5 2 6" xfId="7020" xr:uid="{4DF011CD-BF61-4B8F-A33B-B38276607593}"/>
    <cellStyle name="Millares 2 3 5 2 7" xfId="7442" xr:uid="{DC3233CC-8466-498B-A5F4-EEA7CE12CEC6}"/>
    <cellStyle name="Millares 2 3 5 2 8" xfId="7864" xr:uid="{61A12643-F8B4-4B9B-B6BA-8734687F2C43}"/>
    <cellStyle name="Millares 2 3 5 3" xfId="1065" xr:uid="{00000000-0005-0000-0000-00007F010000}"/>
    <cellStyle name="Millares 2 3 5 3 2" xfId="3073" xr:uid="{00000000-0005-0000-0000-000080010000}"/>
    <cellStyle name="Millares 2 3 5 3 2 2" xfId="6600" xr:uid="{C556A6FC-40E5-4DAE-ACE7-7FAECE6AE393}"/>
    <cellStyle name="Millares 2 3 5 3 2 3" xfId="5890" xr:uid="{2C546596-57DC-491D-A092-F04E44011771}"/>
    <cellStyle name="Millares 2 3 5 3 3" xfId="6245" xr:uid="{AE8588A0-5F8F-429D-BD70-70482EC25CA5}"/>
    <cellStyle name="Millares 2 3 5 3 4" xfId="5535" xr:uid="{59A38864-0939-4D84-82DA-EE5077638F54}"/>
    <cellStyle name="Millares 2 3 5 4" xfId="1982" xr:uid="{00000000-0005-0000-0000-000081010000}"/>
    <cellStyle name="Millares 2 3 5 5" xfId="4540" xr:uid="{D9A02BB0-EA83-47D2-A979-98EC37C43923}"/>
    <cellStyle name="Millares 2 3 5 6" xfId="4963" xr:uid="{508329F4-41D2-451C-9DD4-B3347A0449B2}"/>
    <cellStyle name="Millares 2 3 5 7" xfId="6809" xr:uid="{798925AF-8E48-472B-B48E-1C4DE156A92B}"/>
    <cellStyle name="Millares 2 3 5 8" xfId="7231" xr:uid="{E4D08A43-32BD-4199-968A-AD66FB03D43E}"/>
    <cellStyle name="Millares 2 3 5 9" xfId="7653" xr:uid="{E847C5D3-6652-46B5-8458-328859B257C5}"/>
    <cellStyle name="Millares 2 3 6" xfId="802" xr:uid="{00000000-0005-0000-0000-000082010000}"/>
    <cellStyle name="Millares 2 3 6 10" xfId="7722" xr:uid="{14ED88C1-FE70-4DC1-ABA7-5B74D2005CCE}"/>
    <cellStyle name="Millares 2 3 6 2" xfId="3358" xr:uid="{00000000-0005-0000-0000-000083010000}"/>
    <cellStyle name="Millares 2 3 6 2 2" xfId="4301" xr:uid="{00000000-0005-0000-0000-000084010000}"/>
    <cellStyle name="Millares 2 3 6 3" xfId="2283" xr:uid="{00000000-0005-0000-0000-000085010000}"/>
    <cellStyle name="Millares 2 3 6 3 2" xfId="4159" xr:uid="{00000000-0005-0000-0000-000086010000}"/>
    <cellStyle name="Millares 2 3 6 4" xfId="1230" xr:uid="{00000000-0005-0000-0000-000087010000}"/>
    <cellStyle name="Millares 2 3 6 5" xfId="3967" xr:uid="{00000000-0005-0000-0000-000088010000}"/>
    <cellStyle name="Millares 2 3 6 6" xfId="4610" xr:uid="{2E623C7C-F101-40E7-81EF-469525275831}"/>
    <cellStyle name="Millares 2 3 6 7" xfId="5032" xr:uid="{EAA5FEC4-86AD-4DB1-8E14-0AED07E1368E}"/>
    <cellStyle name="Millares 2 3 6 8" xfId="6878" xr:uid="{3542126F-1F9C-4191-8135-87E8F4C43535}"/>
    <cellStyle name="Millares 2 3 6 9" xfId="7300" xr:uid="{D0A149C4-E13D-40BB-A442-913ED7B8E88A}"/>
    <cellStyle name="Millares 2 3 7" xfId="917" xr:uid="{00000000-0005-0000-0000-000089010000}"/>
    <cellStyle name="Millares 2 3 7 2" xfId="2819" xr:uid="{00000000-0005-0000-0000-00008A010000}"/>
    <cellStyle name="Millares 2 3 7 2 2" xfId="6458" xr:uid="{DAED0B4E-F757-4652-8EEC-1FBDBE88EAA9}"/>
    <cellStyle name="Millares 2 3 7 2 3" xfId="5748" xr:uid="{04837FC4-16B0-4B13-98DE-2F7A76339135}"/>
    <cellStyle name="Millares 2 3 7 3" xfId="6103" xr:uid="{F5D4BB5F-3163-4C41-A200-540E1958F73C}"/>
    <cellStyle name="Millares 2 3 7 4" xfId="5393" xr:uid="{41A49013-AEBF-4C2F-B009-1AF65E180BF2}"/>
    <cellStyle name="Millares 2 3 8" xfId="1728" xr:uid="{00000000-0005-0000-0000-00008B010000}"/>
    <cellStyle name="Millares 2 3 8 2" xfId="4064" xr:uid="{00000000-0005-0000-0000-00008C010000}"/>
    <cellStyle name="Millares 2 3 9" xfId="4398" xr:uid="{AB75DC27-16CE-49F3-B2C4-4C4C64DEBA9E}"/>
    <cellStyle name="Millares 2 4" xfId="178" xr:uid="{00000000-0005-0000-0000-00008D010000}"/>
    <cellStyle name="Millares 2 4 10" xfId="6678" xr:uid="{7FCC361D-2E17-47FC-BFC6-E25916921CB2}"/>
    <cellStyle name="Millares 2 4 11" xfId="7100" xr:uid="{7A88A1E3-FD42-43A3-A626-2C5E48642E21}"/>
    <cellStyle name="Millares 2 4 12" xfId="7522" xr:uid="{16E4043B-ED73-4B70-965F-FD6F446626AB}"/>
    <cellStyle name="Millares 2 4 2" xfId="460" xr:uid="{00000000-0005-0000-0000-00008E010000}"/>
    <cellStyle name="Millares 2 4 2 10" xfId="6739" xr:uid="{36A7C9C7-5D15-4E9A-BD4B-F704FA1BFD98}"/>
    <cellStyle name="Millares 2 4 2 11" xfId="7161" xr:uid="{193B7E76-4506-4C82-8DD5-EE0BF5499AD5}"/>
    <cellStyle name="Millares 2 4 2 12" xfId="7583" xr:uid="{980F08C7-2BD2-422E-B98F-1E9A1DAADC94}"/>
    <cellStyle name="Millares 2 4 2 2" xfId="748" xr:uid="{00000000-0005-0000-0000-00008F010000}"/>
    <cellStyle name="Millares 2 4 2 2 10" xfId="7204" xr:uid="{540E87C7-E19D-418C-B0CA-BB4110A827E4}"/>
    <cellStyle name="Millares 2 4 2 2 11" xfId="7626" xr:uid="{BF792971-2BA8-4665-B766-16289B533F14}"/>
    <cellStyle name="Millares 2 4 2 2 2" xfId="1038" xr:uid="{00000000-0005-0000-0000-000090010000}"/>
    <cellStyle name="Millares 2 4 2 2 2 2" xfId="3827" xr:uid="{00000000-0005-0000-0000-000091010000}"/>
    <cellStyle name="Millares 2 4 2 2 2 2 2" xfId="6573" xr:uid="{B9732BFB-8F19-4B65-A73B-4D73194A4423}"/>
    <cellStyle name="Millares 2 4 2 2 2 2 3" xfId="5863" xr:uid="{9C6C13BD-8A6B-4562-9DFD-FC040DC94764}"/>
    <cellStyle name="Millares 2 4 2 2 2 3" xfId="4370" xr:uid="{00000000-0005-0000-0000-000092010000}"/>
    <cellStyle name="Millares 2 4 2 2 2 3 2" xfId="6218" xr:uid="{F4034742-F545-4BE3-9300-D0AA3A5A8DFB}"/>
    <cellStyle name="Millares 2 4 2 2 2 4" xfId="4725" xr:uid="{00E1F0F8-2783-4410-A8A1-09BB877BDE39}"/>
    <cellStyle name="Millares 2 4 2 2 2 5" xfId="5147" xr:uid="{A94BE41D-485F-4FCF-AB7A-B51644D04020}"/>
    <cellStyle name="Millares 2 4 2 2 2 6" xfId="5508" xr:uid="{AE211C09-6FCB-474B-B20C-DB478CE1B386}"/>
    <cellStyle name="Millares 2 4 2 2 2 7" xfId="6993" xr:uid="{2710B0D6-1A36-456B-8285-8DEA9A1662B3}"/>
    <cellStyle name="Millares 2 4 2 2 2 8" xfId="7415" xr:uid="{70FEA887-CA69-439D-BC88-0D8DD37EDED3}"/>
    <cellStyle name="Millares 2 4 2 2 2 9" xfId="7837" xr:uid="{C88C23C8-F7C2-48E9-BDDE-3924F98DE7D3}"/>
    <cellStyle name="Millares 2 4 2 2 3" xfId="2752" xr:uid="{00000000-0005-0000-0000-000093010000}"/>
    <cellStyle name="Millares 2 4 2 2 3 2" xfId="4228" xr:uid="{00000000-0005-0000-0000-000094010000}"/>
    <cellStyle name="Millares 2 4 2 2 3 2 2" xfId="6409" xr:uid="{5E97E631-6C19-4117-8DB8-1C7FA0D323C8}"/>
    <cellStyle name="Millares 2 4 2 2 3 3" xfId="5699" xr:uid="{E4BB7023-5C56-4D38-895A-4C6883F37683}"/>
    <cellStyle name="Millares 2 4 2 2 4" xfId="1640" xr:uid="{00000000-0005-0000-0000-000095010000}"/>
    <cellStyle name="Millares 2 4 2 2 4 2" xfId="6054" xr:uid="{63FC2E7B-888B-4F86-8441-CE392E778E49}"/>
    <cellStyle name="Millares 2 4 2 2 5" xfId="4036" xr:uid="{00000000-0005-0000-0000-000096010000}"/>
    <cellStyle name="Millares 2 4 2 2 6" xfId="4513" xr:uid="{929526B2-68D0-4170-ACB4-2B1A1927C069}"/>
    <cellStyle name="Millares 2 4 2 2 7" xfId="4936" xr:uid="{A78F0C62-8225-4DAB-95E7-F3469FB14CD7}"/>
    <cellStyle name="Millares 2 4 2 2 8" xfId="5344" xr:uid="{4CA6E619-3127-478B-89F6-93ACF815CCDE}"/>
    <cellStyle name="Millares 2 4 2 2 9" xfId="6782" xr:uid="{D4D36264-2BAF-4FF1-A3D6-73B83C9622C2}"/>
    <cellStyle name="Millares 2 4 2 3" xfId="995" xr:uid="{00000000-0005-0000-0000-000097010000}"/>
    <cellStyle name="Millares 2 4 2 3 2" xfId="3284" xr:uid="{00000000-0005-0000-0000-000098010000}"/>
    <cellStyle name="Millares 2 4 2 3 2 2" xfId="6530" xr:uid="{D3FED71B-B508-41BE-8366-69B5480B3248}"/>
    <cellStyle name="Millares 2 4 2 3 2 3" xfId="5820" xr:uid="{4A09DA46-17F7-4C47-8425-CCBE65DFA0B1}"/>
    <cellStyle name="Millares 2 4 2 3 3" xfId="4275" xr:uid="{00000000-0005-0000-0000-000099010000}"/>
    <cellStyle name="Millares 2 4 2 3 3 2" xfId="6175" xr:uid="{6026789D-4B17-45DE-88CA-059EA2B5ADEE}"/>
    <cellStyle name="Millares 2 4 2 3 4" xfId="4682" xr:uid="{BF128E76-3127-42F8-BC01-F6AC6A4CBC93}"/>
    <cellStyle name="Millares 2 4 2 3 5" xfId="5104" xr:uid="{FBF777D2-EC77-4949-BAD1-C8F069816397}"/>
    <cellStyle name="Millares 2 4 2 3 6" xfId="5465" xr:uid="{B0E82770-8679-4C70-81E0-B991CA4C94A8}"/>
    <cellStyle name="Millares 2 4 2 3 7" xfId="6950" xr:uid="{BAB6CDCF-1757-4E1D-A64A-6E7E080C69DC}"/>
    <cellStyle name="Millares 2 4 2 3 8" xfId="7372" xr:uid="{6CFB7949-D496-4401-8547-F98A2952C753}"/>
    <cellStyle name="Millares 2 4 2 3 9" xfId="7794" xr:uid="{469BF667-0C95-4ABA-8FA9-740BAF4D3415}"/>
    <cellStyle name="Millares 2 4 2 4" xfId="2209" xr:uid="{00000000-0005-0000-0000-00009A010000}"/>
    <cellStyle name="Millares 2 4 2 4 2" xfId="4133" xr:uid="{00000000-0005-0000-0000-00009B010000}"/>
    <cellStyle name="Millares 2 4 2 4 2 2" xfId="6345" xr:uid="{39E74D97-B7F4-4D8E-8278-DBB90F3763C9}"/>
    <cellStyle name="Millares 2 4 2 4 3" xfId="5635" xr:uid="{B1C3D69D-C8DC-4C52-B2BB-A9FCD542B923}"/>
    <cellStyle name="Millares 2 4 2 5" xfId="1156" xr:uid="{00000000-0005-0000-0000-00009C010000}"/>
    <cellStyle name="Millares 2 4 2 5 2" xfId="5990" xr:uid="{90E0DFC0-3D7D-4238-BDC1-CF4E4691F158}"/>
    <cellStyle name="Millares 2 4 2 6" xfId="3941" xr:uid="{00000000-0005-0000-0000-00009D010000}"/>
    <cellStyle name="Millares 2 4 2 7" xfId="4470" xr:uid="{2EF7F14E-9D00-4950-B255-A4F8ABD3CBFD}"/>
    <cellStyle name="Millares 2 4 2 8" xfId="4893" xr:uid="{D0FEBBE9-F8B4-49C3-9D2B-EA8F1271E2CE}"/>
    <cellStyle name="Millares 2 4 2 9" xfId="5280" xr:uid="{0FAEC809-5F30-4BA8-85D4-0AFB763A1237}"/>
    <cellStyle name="Millares 2 4 3" xfId="572" xr:uid="{00000000-0005-0000-0000-00009E010000}"/>
    <cellStyle name="Millares 2 4 3 10" xfId="7664" xr:uid="{81635AF0-3AA0-43B3-A586-601C56ECFD34}"/>
    <cellStyle name="Millares 2 4 3 2" xfId="768" xr:uid="{00000000-0005-0000-0000-00009F010000}"/>
    <cellStyle name="Millares 2 4 3 2 10" xfId="7453" xr:uid="{2C55FA7F-2763-41DA-A938-383445609DC6}"/>
    <cellStyle name="Millares 2 4 3 2 11" xfId="7875" xr:uid="{9D8899FC-66AD-4114-ABD3-12031B7FD72C}"/>
    <cellStyle name="Millares 2 4 3 2 2" xfId="3649" xr:uid="{00000000-0005-0000-0000-0000A0010000}"/>
    <cellStyle name="Millares 2 4 3 2 2 2" xfId="4331" xr:uid="{00000000-0005-0000-0000-0000A1010000}"/>
    <cellStyle name="Millares 2 4 3 2 2 2 2" xfId="6429" xr:uid="{4A0F1017-E88C-4006-8523-FB16FDE9AE70}"/>
    <cellStyle name="Millares 2 4 3 2 2 3" xfId="5719" xr:uid="{7FCD48B1-62B2-471C-AF35-07BEC8760753}"/>
    <cellStyle name="Millares 2 4 3 2 3" xfId="2574" xr:uid="{00000000-0005-0000-0000-0000A2010000}"/>
    <cellStyle name="Millares 2 4 3 2 3 2" xfId="4189" xr:uid="{00000000-0005-0000-0000-0000A3010000}"/>
    <cellStyle name="Millares 2 4 3 2 3 3" xfId="6074" xr:uid="{8DAD1D38-C0EC-4EF4-9485-5740C45260F4}"/>
    <cellStyle name="Millares 2 4 3 2 4" xfId="1484" xr:uid="{00000000-0005-0000-0000-0000A4010000}"/>
    <cellStyle name="Millares 2 4 3 2 5" xfId="3997" xr:uid="{00000000-0005-0000-0000-0000A5010000}"/>
    <cellStyle name="Millares 2 4 3 2 6" xfId="4763" xr:uid="{BBCB9AB9-B524-4466-8626-161A5D7396EE}"/>
    <cellStyle name="Millares 2 4 3 2 7" xfId="5185" xr:uid="{EDA01D80-B55F-44F7-8494-9512F13AF3C0}"/>
    <cellStyle name="Millares 2 4 3 2 8" xfId="5364" xr:uid="{C50F49F1-D59E-4281-8667-E6F7C45D8653}"/>
    <cellStyle name="Millares 2 4 3 2 9" xfId="7031" xr:uid="{804C82CB-3D6D-4CA8-A4DC-64CCC58C1AC1}"/>
    <cellStyle name="Millares 2 4 3 3" xfId="868" xr:uid="{00000000-0005-0000-0000-0000A6010000}"/>
    <cellStyle name="Millares 2 4 3 4" xfId="1077" xr:uid="{00000000-0005-0000-0000-0000A7010000}"/>
    <cellStyle name="Millares 2 4 3 4 2" xfId="2031" xr:uid="{00000000-0005-0000-0000-0000A8010000}"/>
    <cellStyle name="Millares 2 4 3 4 2 2" xfId="6611" xr:uid="{FB943DF9-122A-4782-96C2-E180E1D187F5}"/>
    <cellStyle name="Millares 2 4 3 4 2 3" xfId="5901" xr:uid="{401AE9FB-2D0A-49B5-9D69-6ADD83F1CA0F}"/>
    <cellStyle name="Millares 2 4 3 4 3" xfId="4094" xr:uid="{00000000-0005-0000-0000-0000A9010000}"/>
    <cellStyle name="Millares 2 4 3 4 3 2" xfId="6256" xr:uid="{FAD5E819-4E05-4891-80EC-4DE44E508762}"/>
    <cellStyle name="Millares 2 4 3 4 4" xfId="5546" xr:uid="{E7CFBB2B-529E-45C5-BBFB-EFA828CA3D2D}"/>
    <cellStyle name="Millares 2 4 3 5" xfId="4551" xr:uid="{6E5BE05B-F99A-42AB-A968-12BD975D333D}"/>
    <cellStyle name="Millares 2 4 3 5 2" xfId="6365" xr:uid="{9C419905-D971-4164-A0BB-D79B860DEF00}"/>
    <cellStyle name="Millares 2 4 3 5 3" xfId="5655" xr:uid="{C4F16F9A-C064-4C3F-824F-2D55DB884816}"/>
    <cellStyle name="Millares 2 4 3 6" xfId="4974" xr:uid="{4FC0D4A7-E7B3-459A-A474-82B1DD2EBB44}"/>
    <cellStyle name="Millares 2 4 3 6 2" xfId="6010" xr:uid="{61B284A2-9EFA-4E7D-A1ED-A596F31B9FCD}"/>
    <cellStyle name="Millares 2 4 3 7" xfId="5300" xr:uid="{9B1326C9-B022-48EB-954B-FAD36AC7E317}"/>
    <cellStyle name="Millares 2 4 3 8" xfId="6820" xr:uid="{58EF1A0B-51F9-4DBB-BDEA-1EACCEAA0BB4}"/>
    <cellStyle name="Millares 2 4 3 9" xfId="7242" xr:uid="{973CCD8D-93F8-4B2B-AD6C-B3180362CEE3}"/>
    <cellStyle name="Millares 2 4 4" xfId="812" xr:uid="{00000000-0005-0000-0000-0000AA010000}"/>
    <cellStyle name="Millares 2 4 4 10" xfId="7733" xr:uid="{E38456C0-AB26-46AC-AE95-927CC37F2EEE}"/>
    <cellStyle name="Millares 2 4 4 2" xfId="3499" xr:uid="{00000000-0005-0000-0000-0000AB010000}"/>
    <cellStyle name="Millares 2 4 4 2 2" xfId="4311" xr:uid="{00000000-0005-0000-0000-0000AC010000}"/>
    <cellStyle name="Millares 2 4 4 3" xfId="2424" xr:uid="{00000000-0005-0000-0000-0000AD010000}"/>
    <cellStyle name="Millares 2 4 4 3 2" xfId="4169" xr:uid="{00000000-0005-0000-0000-0000AE010000}"/>
    <cellStyle name="Millares 2 4 4 4" xfId="1354" xr:uid="{00000000-0005-0000-0000-0000AF010000}"/>
    <cellStyle name="Millares 2 4 4 5" xfId="3977" xr:uid="{00000000-0005-0000-0000-0000B0010000}"/>
    <cellStyle name="Millares 2 4 4 6" xfId="4621" xr:uid="{1D0B39E2-ABB3-4879-85D3-CB0E228E64DC}"/>
    <cellStyle name="Millares 2 4 4 7" xfId="5043" xr:uid="{DA069A24-8343-4450-9FA1-B165BE683D3C}"/>
    <cellStyle name="Millares 2 4 4 8" xfId="6889" xr:uid="{59602D98-244C-46AB-976E-7481D8CAEA1D}"/>
    <cellStyle name="Millares 2 4 4 9" xfId="7311" xr:uid="{329C623C-A045-45A1-99E8-275DD4587B21}"/>
    <cellStyle name="Millares 2 4 5" xfId="929" xr:uid="{00000000-0005-0000-0000-0000B1010000}"/>
    <cellStyle name="Millares 2 4 5 2" xfId="2960" xr:uid="{00000000-0005-0000-0000-0000B2010000}"/>
    <cellStyle name="Millares 2 4 5 2 2" xfId="6469" xr:uid="{A3CCA9CD-2035-4402-941B-2BFBC8CBCA60}"/>
    <cellStyle name="Millares 2 4 5 2 3" xfId="5759" xr:uid="{EF6A191E-422E-44AE-8BC5-31FBAE8D3466}"/>
    <cellStyle name="Millares 2 4 5 3" xfId="6114" xr:uid="{B9FA39D2-F31E-4F6D-92A0-2A6EA3BEACBC}"/>
    <cellStyle name="Millares 2 4 5 4" xfId="5404" xr:uid="{A315F1BE-171A-400F-BEA3-C692B899E213}"/>
    <cellStyle name="Millares 2 4 6" xfId="1869" xr:uid="{00000000-0005-0000-0000-0000B3010000}"/>
    <cellStyle name="Millares 2 4 6 2" xfId="4074" xr:uid="{00000000-0005-0000-0000-0000B4010000}"/>
    <cellStyle name="Millares 2 4 6 2 2" xfId="6306" xr:uid="{A396500C-D30A-4D8A-8A0D-C034DB9AA9AB}"/>
    <cellStyle name="Millares 2 4 6 3" xfId="5596" xr:uid="{F62036EB-634E-4E53-A92B-FF6A94E6439B}"/>
    <cellStyle name="Millares 2 4 7" xfId="4409" xr:uid="{BB6FAF1B-664E-4DB1-822D-B1EE4FA558CE}"/>
    <cellStyle name="Millares 2 4 7 2" xfId="5951" xr:uid="{88457861-E65F-49BB-A229-E4EE3E7058DA}"/>
    <cellStyle name="Millares 2 4 8" xfId="4832" xr:uid="{DA1C3723-1995-4317-A699-8833F3E96ADB}"/>
    <cellStyle name="Millares 2 4 9" xfId="5241" xr:uid="{C45D8886-50A7-447F-8B3C-F899FEB2FD89}"/>
    <cellStyle name="Millares 2 5" xfId="281" xr:uid="{00000000-0005-0000-0000-0000B5010000}"/>
    <cellStyle name="Millares 2 5 10" xfId="7540" xr:uid="{FA06C74E-58F8-4EAE-8D81-1E7A121F8C4D}"/>
    <cellStyle name="Millares 2 5 2" xfId="607" xr:uid="{00000000-0005-0000-0000-0000B6010000}"/>
    <cellStyle name="Millares 2 5 2 2" xfId="885" xr:uid="{00000000-0005-0000-0000-0000B7010000}"/>
    <cellStyle name="Millares 2 5 2 2 2" xfId="3684" xr:uid="{00000000-0005-0000-0000-0000B8010000}"/>
    <cellStyle name="Millares 2 5 2 2 3" xfId="2609" xr:uid="{00000000-0005-0000-0000-0000B9010000}"/>
    <cellStyle name="Millares 2 5 2 2 4" xfId="4781" xr:uid="{FB31FD21-5745-4760-950C-D906C0A5F178}"/>
    <cellStyle name="Millares 2 5 2 2 5" xfId="5203" xr:uid="{E7B4456A-56C0-4172-8442-00D0B3C482CB}"/>
    <cellStyle name="Millares 2 5 2 2 6" xfId="7049" xr:uid="{5282CFAE-7EF7-4BA0-8802-9A99A0CEC3E0}"/>
    <cellStyle name="Millares 2 5 2 2 7" xfId="7471" xr:uid="{0119A496-DC28-470A-8B28-5F7D562A4E14}"/>
    <cellStyle name="Millares 2 5 2 2 8" xfId="7893" xr:uid="{3E1C6A2C-9883-49AD-B1CD-969507A003B0}"/>
    <cellStyle name="Millares 2 5 2 3" xfId="1096" xr:uid="{00000000-0005-0000-0000-0000BA010000}"/>
    <cellStyle name="Millares 2 5 2 3 2" xfId="3141" xr:uid="{00000000-0005-0000-0000-0000BB010000}"/>
    <cellStyle name="Millares 2 5 2 3 2 2" xfId="6629" xr:uid="{86ECCB96-2D38-45A7-AF56-7F7980120B87}"/>
    <cellStyle name="Millares 2 5 2 3 2 3" xfId="5919" xr:uid="{E0896514-8BA7-47CF-AEBF-CC7EF04A7C5C}"/>
    <cellStyle name="Millares 2 5 2 3 3" xfId="6274" xr:uid="{3CAF4DC0-B833-46E5-8E72-84FEC209D6EE}"/>
    <cellStyle name="Millares 2 5 2 3 4" xfId="5564" xr:uid="{86E05163-2EB5-4144-9C68-B4455992A0DE}"/>
    <cellStyle name="Millares 2 5 2 4" xfId="2066" xr:uid="{00000000-0005-0000-0000-0000BC010000}"/>
    <cellStyle name="Millares 2 5 2 5" xfId="4569" xr:uid="{05F0986D-F18D-444E-B944-7346035EA9A8}"/>
    <cellStyle name="Millares 2 5 2 6" xfId="4992" xr:uid="{317EB424-BD6B-4EAC-AF10-E1574FAAE5DD}"/>
    <cellStyle name="Millares 2 5 2 7" xfId="6838" xr:uid="{820611BE-89B1-4B4C-8D58-301AEFA68E55}"/>
    <cellStyle name="Millares 2 5 2 8" xfId="7260" xr:uid="{449DDAC7-ED2A-4D0E-BF3C-2F19F0094D0B}"/>
    <cellStyle name="Millares 2 5 2 9" xfId="7682" xr:uid="{FCDF34B0-CF24-4FA7-BAF5-EEFB0296DB7A}"/>
    <cellStyle name="Millares 2 5 3" xfId="829" xr:uid="{00000000-0005-0000-0000-0000BD010000}"/>
    <cellStyle name="Millares 2 5 3 2" xfId="3534" xr:uid="{00000000-0005-0000-0000-0000BE010000}"/>
    <cellStyle name="Millares 2 5 3 3" xfId="2459" xr:uid="{00000000-0005-0000-0000-0000BF010000}"/>
    <cellStyle name="Millares 2 5 3 4" xfId="4639" xr:uid="{ABC1A89D-E15C-4F36-A493-3D162AF8F9E6}"/>
    <cellStyle name="Millares 2 5 3 5" xfId="5061" xr:uid="{D0AF7080-8C5F-4096-A2C7-DA1E1ABFE182}"/>
    <cellStyle name="Millares 2 5 3 6" xfId="6907" xr:uid="{27DCEB01-F29E-4EA8-9D84-D5E39DDFBCFA}"/>
    <cellStyle name="Millares 2 5 3 7" xfId="7329" xr:uid="{6D55CD6D-B1CE-4599-BA58-D3D598241102}"/>
    <cellStyle name="Millares 2 5 3 8" xfId="7751" xr:uid="{417C154B-B172-42D6-A42C-3F216F6BDDB8}"/>
    <cellStyle name="Millares 2 5 4" xfId="949" xr:uid="{00000000-0005-0000-0000-0000C0010000}"/>
    <cellStyle name="Millares 2 5 4 2" xfId="2995" xr:uid="{00000000-0005-0000-0000-0000C1010000}"/>
    <cellStyle name="Millares 2 5 4 2 2" xfId="6487" xr:uid="{20A7F396-7601-4CFE-BA6C-37ECFAB545EA}"/>
    <cellStyle name="Millares 2 5 4 2 3" xfId="5777" xr:uid="{BCA98BBD-19E2-4279-BE9D-9A0ACE007A11}"/>
    <cellStyle name="Millares 2 5 4 3" xfId="6132" xr:uid="{B0F5EC3B-D70C-4958-B4B0-7AC6417E6300}"/>
    <cellStyle name="Millares 2 5 4 4" xfId="5422" xr:uid="{D3E6B19C-0A6B-47AA-8E4D-68753C6D6063}"/>
    <cellStyle name="Millares 2 5 5" xfId="1904" xr:uid="{00000000-0005-0000-0000-0000C2010000}"/>
    <cellStyle name="Millares 2 5 6" xfId="4427" xr:uid="{4DB53D12-49E6-4C7B-A4CC-1AC06C02AB67}"/>
    <cellStyle name="Millares 2 5 7" xfId="4850" xr:uid="{3A089B90-F2DD-492F-BB46-9A0148154D06}"/>
    <cellStyle name="Millares 2 5 8" xfId="6696" xr:uid="{E5E95EC9-29CC-4397-A7AD-9981454452D3}"/>
    <cellStyle name="Millares 2 5 9" xfId="7118" xr:uid="{ADF70E07-4CED-4E88-A6DE-B78FE711397E}"/>
    <cellStyle name="Millares 2 6" xfId="240" xr:uid="{00000000-0005-0000-0000-0000C3010000}"/>
    <cellStyle name="Millares 2 6 2" xfId="598" xr:uid="{00000000-0005-0000-0000-0000C4010000}"/>
    <cellStyle name="Millares 2 6 2 2" xfId="1510" xr:uid="{00000000-0005-0000-0000-0000C5010000}"/>
    <cellStyle name="Millares 2 6 2 2 2" xfId="3675" xr:uid="{00000000-0005-0000-0000-0000C6010000}"/>
    <cellStyle name="Millares 2 6 2 2 3" xfId="2600" xr:uid="{00000000-0005-0000-0000-0000C7010000}"/>
    <cellStyle name="Millares 2 6 2 3" xfId="3132" xr:uid="{00000000-0005-0000-0000-0000C8010000}"/>
    <cellStyle name="Millares 2 6 2 4" xfId="2057" xr:uid="{00000000-0005-0000-0000-0000C9010000}"/>
    <cellStyle name="Millares 2 6 3" xfId="1380" xr:uid="{00000000-0005-0000-0000-0000CA010000}"/>
    <cellStyle name="Millares 2 6 3 2" xfId="3525" xr:uid="{00000000-0005-0000-0000-0000CB010000}"/>
    <cellStyle name="Millares 2 6 3 3" xfId="2450" xr:uid="{00000000-0005-0000-0000-0000CC010000}"/>
    <cellStyle name="Millares 2 6 4" xfId="2986" xr:uid="{00000000-0005-0000-0000-0000CD010000}"/>
    <cellStyle name="Millares 2 6 5" xfId="1895" xr:uid="{00000000-0005-0000-0000-0000CE010000}"/>
    <cellStyle name="Millares 2 7" xfId="348" xr:uid="{00000000-0005-0000-0000-0000CF010000}"/>
    <cellStyle name="Millares 2 7 10" xfId="7547" xr:uid="{701E9A9F-820D-463E-ADF9-09A0A1BA994D}"/>
    <cellStyle name="Millares 2 7 2" xfId="631" xr:uid="{00000000-0005-0000-0000-0000D0010000}"/>
    <cellStyle name="Millares 2 7 2 2" xfId="886" xr:uid="{00000000-0005-0000-0000-0000D1010000}"/>
    <cellStyle name="Millares 2 7 2 2 2" xfId="3718" xr:uid="{00000000-0005-0000-0000-0000D2010000}"/>
    <cellStyle name="Millares 2 7 2 2 3" xfId="2643" xr:uid="{00000000-0005-0000-0000-0000D3010000}"/>
    <cellStyle name="Millares 2 7 2 2 4" xfId="4784" xr:uid="{84592FDE-D64F-4897-BF23-9D3B1B0B0FCB}"/>
    <cellStyle name="Millares 2 7 2 2 5" xfId="5206" xr:uid="{E09251C1-F56F-4437-BD19-21FEDC27FD71}"/>
    <cellStyle name="Millares 2 7 2 2 6" xfId="7052" xr:uid="{81108F22-45BE-4DBE-8FBF-D5203131069F}"/>
    <cellStyle name="Millares 2 7 2 2 7" xfId="7474" xr:uid="{568BAC9F-9ADD-4011-B5AD-5A2FE94F3B7F}"/>
    <cellStyle name="Millares 2 7 2 2 8" xfId="7896" xr:uid="{64E756BC-F8D1-4513-8E56-FC16CAA1E9C7}"/>
    <cellStyle name="Millares 2 7 2 3" xfId="1099" xr:uid="{00000000-0005-0000-0000-0000D4010000}"/>
    <cellStyle name="Millares 2 7 2 3 2" xfId="3175" xr:uid="{00000000-0005-0000-0000-0000D5010000}"/>
    <cellStyle name="Millares 2 7 2 3 2 2" xfId="6632" xr:uid="{B59409B6-CC5E-4509-A9D3-0BD48D38D6CE}"/>
    <cellStyle name="Millares 2 7 2 3 2 3" xfId="5922" xr:uid="{F1E6AFD2-2C56-4767-9A28-FF0F7CDEE7D4}"/>
    <cellStyle name="Millares 2 7 2 3 3" xfId="6277" xr:uid="{73236318-DAB1-4FFA-97F4-2CE68864436C}"/>
    <cellStyle name="Millares 2 7 2 3 4" xfId="5567" xr:uid="{B0F34C75-2636-45BA-892E-87FA8298F98F}"/>
    <cellStyle name="Millares 2 7 2 4" xfId="2100" xr:uid="{00000000-0005-0000-0000-0000D6010000}"/>
    <cellStyle name="Millares 2 7 2 5" xfId="4572" xr:uid="{AB4E8E66-5F57-4358-8904-9A41525BAF56}"/>
    <cellStyle name="Millares 2 7 2 6" xfId="4995" xr:uid="{A3A22386-B1DD-4262-9189-43ADD2A8F202}"/>
    <cellStyle name="Millares 2 7 2 7" xfId="6841" xr:uid="{75A311E3-044A-480C-BBB8-0DE8AF82BDBA}"/>
    <cellStyle name="Millares 2 7 2 8" xfId="7263" xr:uid="{CBBAEB22-AD21-4B2B-A69A-A1F36F207CD6}"/>
    <cellStyle name="Millares 2 7 2 9" xfId="7685" xr:uid="{13F951EE-121D-4AF8-BEC2-E22A532BFD79}"/>
    <cellStyle name="Millares 2 7 3" xfId="832" xr:uid="{00000000-0005-0000-0000-0000D7010000}"/>
    <cellStyle name="Millares 2 7 3 2" xfId="3408" xr:uid="{00000000-0005-0000-0000-0000D8010000}"/>
    <cellStyle name="Millares 2 7 3 3" xfId="2333" xr:uid="{00000000-0005-0000-0000-0000D9010000}"/>
    <cellStyle name="Millares 2 7 3 4" xfId="4646" xr:uid="{00FEA13A-6598-48D6-9098-EC5C85EE3AA8}"/>
    <cellStyle name="Millares 2 7 3 5" xfId="5068" xr:uid="{5E502CE6-A84C-42FD-B2E2-1A72628FDEDC}"/>
    <cellStyle name="Millares 2 7 3 6" xfId="6914" xr:uid="{A63B8512-790F-415F-A369-A1D7E8633619}"/>
    <cellStyle name="Millares 2 7 3 7" xfId="7336" xr:uid="{FD46E48E-96A5-4595-B105-AC4913A769A9}"/>
    <cellStyle name="Millares 2 7 3 8" xfId="7758" xr:uid="{651B1E7C-3E7E-4F62-9E65-7EE2C7DDE9E9}"/>
    <cellStyle name="Millares 2 7 4" xfId="959" xr:uid="{00000000-0005-0000-0000-0000DA010000}"/>
    <cellStyle name="Millares 2 7 4 2" xfId="2869" xr:uid="{00000000-0005-0000-0000-0000DB010000}"/>
    <cellStyle name="Millares 2 7 4 2 2" xfId="6494" xr:uid="{B4C23CA1-D175-47BA-8780-20CB39BB2F20}"/>
    <cellStyle name="Millares 2 7 4 2 3" xfId="5784" xr:uid="{53A52157-B6CF-46BD-BA1C-DDC63460A0F5}"/>
    <cellStyle name="Millares 2 7 4 3" xfId="6139" xr:uid="{FDBA2AA6-F1E3-40A2-AC60-FAA11DD1082B}"/>
    <cellStyle name="Millares 2 7 4 4" xfId="5429" xr:uid="{DFECD130-788A-4D9E-89FE-4B1276FC81B7}"/>
    <cellStyle name="Millares 2 7 5" xfId="1778" xr:uid="{00000000-0005-0000-0000-0000DC010000}"/>
    <cellStyle name="Millares 2 7 6" xfId="4434" xr:uid="{0FAC7899-9F72-43DD-A9B3-DA27D8368254}"/>
    <cellStyle name="Millares 2 7 7" xfId="4857" xr:uid="{E6AA2DC8-0DED-4495-B7F4-36E634A3F065}"/>
    <cellStyle name="Millares 2 7 8" xfId="6703" xr:uid="{7785A7F7-7269-4211-B57D-0E50135CEA06}"/>
    <cellStyle name="Millares 2 7 9" xfId="7125" xr:uid="{2C30D49D-83A5-4740-A6B0-F8A6577F1571}"/>
    <cellStyle name="Millares 2 8" xfId="442" xr:uid="{00000000-0005-0000-0000-0000DD010000}"/>
    <cellStyle name="Millares 2 8 10" xfId="6721" xr:uid="{1D93D50F-91E2-459B-A419-7AFD88C0199F}"/>
    <cellStyle name="Millares 2 8 11" xfId="7143" xr:uid="{2A215472-2A45-48DC-8E28-077401551AC2}"/>
    <cellStyle name="Millares 2 8 12" xfId="7565" xr:uid="{DD6887C4-96F4-46FA-B8EA-818A1122C829}"/>
    <cellStyle name="Millares 2 8 2" xfId="730" xr:uid="{00000000-0005-0000-0000-0000DE010000}"/>
    <cellStyle name="Millares 2 8 2 10" xfId="7186" xr:uid="{CEB9F30C-F361-4EF4-85FA-0101CA315E8E}"/>
    <cellStyle name="Millares 2 8 2 11" xfId="7608" xr:uid="{AF93E892-870A-4751-A7DF-C41191AD935C}"/>
    <cellStyle name="Millares 2 8 2 2" xfId="1020" xr:uid="{00000000-0005-0000-0000-0000DF010000}"/>
    <cellStyle name="Millares 2 8 2 2 2" xfId="3809" xr:uid="{00000000-0005-0000-0000-0000E0010000}"/>
    <cellStyle name="Millares 2 8 2 2 2 2" xfId="6555" xr:uid="{785DA2BA-6633-412E-AD2F-920DABDFFA98}"/>
    <cellStyle name="Millares 2 8 2 2 2 3" xfId="5845" xr:uid="{6FA1BFD3-0E4E-4AE8-9998-09442B94A506}"/>
    <cellStyle name="Millares 2 8 2 2 3" xfId="4352" xr:uid="{00000000-0005-0000-0000-0000E1010000}"/>
    <cellStyle name="Millares 2 8 2 2 3 2" xfId="6200" xr:uid="{34EDD6CF-A1A9-4752-9606-DAEAAF62BCB0}"/>
    <cellStyle name="Millares 2 8 2 2 4" xfId="4707" xr:uid="{9739BE28-A4FB-4218-A284-21A4BF739910}"/>
    <cellStyle name="Millares 2 8 2 2 5" xfId="5129" xr:uid="{1048779B-78C0-474D-BFCD-9EF13022E252}"/>
    <cellStyle name="Millares 2 8 2 2 6" xfId="5490" xr:uid="{116B88B6-3702-40F9-A0DE-D98F39A3CC9C}"/>
    <cellStyle name="Millares 2 8 2 2 7" xfId="6975" xr:uid="{77108A7E-53AB-4C93-BEE8-B1C3CA4B6EA5}"/>
    <cellStyle name="Millares 2 8 2 2 8" xfId="7397" xr:uid="{5CB7AEDE-D26B-413C-95D6-636A0632347C}"/>
    <cellStyle name="Millares 2 8 2 2 9" xfId="7819" xr:uid="{A068A9B6-E3F2-4A87-A98D-7EF9CE8ABEE8}"/>
    <cellStyle name="Millares 2 8 2 3" xfId="2734" xr:uid="{00000000-0005-0000-0000-0000E2010000}"/>
    <cellStyle name="Millares 2 8 2 3 2" xfId="4210" xr:uid="{00000000-0005-0000-0000-0000E3010000}"/>
    <cellStyle name="Millares 2 8 2 3 2 2" xfId="6391" xr:uid="{A8F044ED-8CE0-4007-932E-28563FC903A1}"/>
    <cellStyle name="Millares 2 8 2 3 3" xfId="5681" xr:uid="{1D71C344-B3C4-49B9-8FF5-8BFC4B1F73F2}"/>
    <cellStyle name="Millares 2 8 2 4" xfId="1622" xr:uid="{00000000-0005-0000-0000-0000E4010000}"/>
    <cellStyle name="Millares 2 8 2 4 2" xfId="6036" xr:uid="{D50BB8A0-8A9C-4E26-B533-1F91CB0F87AC}"/>
    <cellStyle name="Millares 2 8 2 5" xfId="4018" xr:uid="{00000000-0005-0000-0000-0000E5010000}"/>
    <cellStyle name="Millares 2 8 2 6" xfId="4495" xr:uid="{A2D9245C-D4A4-4E90-ABE1-65DD62B59701}"/>
    <cellStyle name="Millares 2 8 2 7" xfId="4918" xr:uid="{8DB2CB35-C4B2-40B2-9F2A-61F74D39C00E}"/>
    <cellStyle name="Millares 2 8 2 8" xfId="5326" xr:uid="{97C0A102-914A-4B80-ACF3-216CBD0BF09D}"/>
    <cellStyle name="Millares 2 8 2 9" xfId="6764" xr:uid="{8C957E83-9C8A-46E8-8EEE-0E86C1E75652}"/>
    <cellStyle name="Millares 2 8 3" xfId="977" xr:uid="{00000000-0005-0000-0000-0000E6010000}"/>
    <cellStyle name="Millares 2 8 3 2" xfId="3266" xr:uid="{00000000-0005-0000-0000-0000E7010000}"/>
    <cellStyle name="Millares 2 8 3 2 2" xfId="6512" xr:uid="{D085A806-62F3-4551-819D-64B719504482}"/>
    <cellStyle name="Millares 2 8 3 2 3" xfId="5802" xr:uid="{15A785F3-3ECA-4826-941A-6E3F5D597580}"/>
    <cellStyle name="Millares 2 8 3 3" xfId="4257" xr:uid="{00000000-0005-0000-0000-0000E8010000}"/>
    <cellStyle name="Millares 2 8 3 3 2" xfId="6157" xr:uid="{C2869697-B971-4500-B0A8-BA9466119CC3}"/>
    <cellStyle name="Millares 2 8 3 4" xfId="4664" xr:uid="{058415C6-C2AE-4EBA-A10C-327D5C5602A4}"/>
    <cellStyle name="Millares 2 8 3 5" xfId="5086" xr:uid="{EC42509C-2E24-4F4A-92AC-103EDA02000C}"/>
    <cellStyle name="Millares 2 8 3 6" xfId="5447" xr:uid="{5E76E5D5-5D3D-43AD-A8FC-BD4B8F69C35B}"/>
    <cellStyle name="Millares 2 8 3 7" xfId="6932" xr:uid="{8C595E89-E9EF-48FD-9366-DF89F441E04D}"/>
    <cellStyle name="Millares 2 8 3 8" xfId="7354" xr:uid="{1C487F56-57FE-463B-A773-C0BEC5120DB6}"/>
    <cellStyle name="Millares 2 8 3 9" xfId="7776" xr:uid="{F4AED061-7E14-4F0F-A8B0-6948FEAFFDD9}"/>
    <cellStyle name="Millares 2 8 4" xfId="2191" xr:uid="{00000000-0005-0000-0000-0000E9010000}"/>
    <cellStyle name="Millares 2 8 4 2" xfId="4115" xr:uid="{00000000-0005-0000-0000-0000EA010000}"/>
    <cellStyle name="Millares 2 8 4 2 2" xfId="6327" xr:uid="{BED5CEDD-00C7-447E-87F0-F42995B8A4A8}"/>
    <cellStyle name="Millares 2 8 4 3" xfId="5617" xr:uid="{5AA7CE05-102D-46D9-BC97-386E839075BA}"/>
    <cellStyle name="Millares 2 8 5" xfId="1138" xr:uid="{00000000-0005-0000-0000-0000EB010000}"/>
    <cellStyle name="Millares 2 8 5 2" xfId="5972" xr:uid="{F81AA02F-9436-4B58-AEAD-07E4E242DEDF}"/>
    <cellStyle name="Millares 2 8 6" xfId="3923" xr:uid="{00000000-0005-0000-0000-0000EC010000}"/>
    <cellStyle name="Millares 2 8 7" xfId="4452" xr:uid="{FF42CF4A-609C-49A8-AB93-8F22D3350F05}"/>
    <cellStyle name="Millares 2 8 8" xfId="4875" xr:uid="{3982CED4-5670-4169-83F3-EEF80C521E25}"/>
    <cellStyle name="Millares 2 8 9" xfId="5262" xr:uid="{4DD48CA9-C0BD-47AF-84C1-A829994A219A}"/>
    <cellStyle name="Millares 2 9" xfId="481" xr:uid="{00000000-0005-0000-0000-0000ED010000}"/>
    <cellStyle name="Millares 2 9 2" xfId="850" xr:uid="{00000000-0005-0000-0000-0000EE010000}"/>
    <cellStyle name="Millares 2 9 2 2" xfId="3558" xr:uid="{00000000-0005-0000-0000-0000EF010000}"/>
    <cellStyle name="Millares 2 9 2 3" xfId="2483" xr:uid="{00000000-0005-0000-0000-0000F0010000}"/>
    <cellStyle name="Millares 2 9 2 4" xfId="4744" xr:uid="{9F2D6D36-15A4-4AB8-8CB8-37CE1897CCFE}"/>
    <cellStyle name="Millares 2 9 2 5" xfId="5166" xr:uid="{563576DD-9617-43C3-9381-CE817472A511}"/>
    <cellStyle name="Millares 2 9 2 6" xfId="7012" xr:uid="{EA50E0B1-5302-43CA-9F21-65ECBCF1D3D7}"/>
    <cellStyle name="Millares 2 9 2 7" xfId="7434" xr:uid="{835FF307-9715-4662-83EA-FFE0CB68DBD7}"/>
    <cellStyle name="Millares 2 9 2 8" xfId="7856" xr:uid="{4649D85E-6A5C-4A8F-8084-020AA49D2AFF}"/>
    <cellStyle name="Millares 2 9 3" xfId="1057" xr:uid="{00000000-0005-0000-0000-0000F1010000}"/>
    <cellStyle name="Millares 2 9 3 2" xfId="3031" xr:uid="{00000000-0005-0000-0000-0000F2010000}"/>
    <cellStyle name="Millares 2 9 3 2 2" xfId="6592" xr:uid="{C78C0A32-6758-40CA-96CE-1B8B2CD11D76}"/>
    <cellStyle name="Millares 2 9 3 2 3" xfId="5882" xr:uid="{194CDD2B-171A-489A-8FC9-791A460338C1}"/>
    <cellStyle name="Millares 2 9 3 3" xfId="6237" xr:uid="{2D40BB79-8CCE-4193-8598-AAFFF2016A4D}"/>
    <cellStyle name="Millares 2 9 3 4" xfId="5527" xr:uid="{DF7C83FB-80DC-4234-9547-9A6BDCBCDAEB}"/>
    <cellStyle name="Millares 2 9 4" xfId="1940" xr:uid="{00000000-0005-0000-0000-0000F3010000}"/>
    <cellStyle name="Millares 2 9 5" xfId="4532" xr:uid="{29DF3EDB-ACA9-4896-84AE-B6ECEDA1D8F6}"/>
    <cellStyle name="Millares 2 9 6" xfId="4955" xr:uid="{881BFCDD-4DC1-4482-BA98-187D9B325039}"/>
    <cellStyle name="Millares 2 9 7" xfId="6801" xr:uid="{735C00FA-93EC-4F11-9DC3-2CEAB71E59EA}"/>
    <cellStyle name="Millares 2 9 8" xfId="7223" xr:uid="{21EAC940-C728-4D1F-BC3B-2315376560B0}"/>
    <cellStyle name="Millares 2 9 9" xfId="7645" xr:uid="{ABB76B3A-4F0C-4E6F-9161-026B44E8B4A3}"/>
    <cellStyle name="Millares 4" xfId="22" xr:uid="{00000000-0005-0000-0000-0000F4010000}"/>
    <cellStyle name="Millares 4 10" xfId="483" xr:uid="{00000000-0005-0000-0000-0000F5010000}"/>
    <cellStyle name="Millares 4 10 2" xfId="852" xr:uid="{00000000-0005-0000-0000-0000F6010000}"/>
    <cellStyle name="Millares 4 10 2 2" xfId="3560" xr:uid="{00000000-0005-0000-0000-0000F7010000}"/>
    <cellStyle name="Millares 4 10 2 3" xfId="2485" xr:uid="{00000000-0005-0000-0000-0000F8010000}"/>
    <cellStyle name="Millares 4 10 2 4" xfId="4746" xr:uid="{ECE9E69B-F549-4F84-9C12-4564BA2C370D}"/>
    <cellStyle name="Millares 4 10 2 5" xfId="5168" xr:uid="{D63CE07B-7FEF-4339-97A5-C6C2008030B6}"/>
    <cellStyle name="Millares 4 10 2 6" xfId="7014" xr:uid="{823CE69F-EE06-44CB-9798-DDE405C055E3}"/>
    <cellStyle name="Millares 4 10 2 7" xfId="7436" xr:uid="{402E9FC3-6A6F-481B-A8AB-6FC185B8725A}"/>
    <cellStyle name="Millares 4 10 2 8" xfId="7858" xr:uid="{13C2E634-116C-41B6-8C6D-5B568FCC3C84}"/>
    <cellStyle name="Millares 4 10 3" xfId="1059" xr:uid="{00000000-0005-0000-0000-0000F9010000}"/>
    <cellStyle name="Millares 4 10 3 2" xfId="3033" xr:uid="{00000000-0005-0000-0000-0000FA010000}"/>
    <cellStyle name="Millares 4 10 3 2 2" xfId="6594" xr:uid="{7667DB38-C0FC-464C-A29E-5F6A25AE5CB3}"/>
    <cellStyle name="Millares 4 10 3 2 3" xfId="5884" xr:uid="{0F662E89-D0B6-461F-B7D9-73B6E5266AAE}"/>
    <cellStyle name="Millares 4 10 3 3" xfId="6239" xr:uid="{E7C535F6-0686-411D-861A-A8DF63F00C01}"/>
    <cellStyle name="Millares 4 10 3 4" xfId="5529" xr:uid="{3019B52E-3D62-43E3-99FB-67C8C9139820}"/>
    <cellStyle name="Millares 4 10 4" xfId="1942" xr:uid="{00000000-0005-0000-0000-0000FB010000}"/>
    <cellStyle name="Millares 4 10 5" xfId="4534" xr:uid="{3402BC1E-BDA1-47D0-9C82-0ED112542D7C}"/>
    <cellStyle name="Millares 4 10 6" xfId="4957" xr:uid="{9E468306-8875-45E4-B761-061A3F0C05F3}"/>
    <cellStyle name="Millares 4 10 7" xfId="6803" xr:uid="{B90790BE-5BA2-4A26-AD7C-4F0F5805572A}"/>
    <cellStyle name="Millares 4 10 8" xfId="7225" xr:uid="{4A05EF3B-177D-42C9-BE06-37B8ED83B766}"/>
    <cellStyle name="Millares 4 10 9" xfId="7647" xr:uid="{0970D791-BDBD-44F2-9B26-82D5D0DD49A0}"/>
    <cellStyle name="Millares 4 11" xfId="796" xr:uid="{00000000-0005-0000-0000-0000FC010000}"/>
    <cellStyle name="Millares 4 11 10" xfId="7716" xr:uid="{6898E5DD-571B-469C-B66A-C57EFEE9EB6F}"/>
    <cellStyle name="Millares 4 11 2" xfId="3318" xr:uid="{00000000-0005-0000-0000-0000FD010000}"/>
    <cellStyle name="Millares 4 11 2 2" xfId="4295" xr:uid="{00000000-0005-0000-0000-0000FE010000}"/>
    <cellStyle name="Millares 4 11 3" xfId="2243" xr:uid="{00000000-0005-0000-0000-0000FF010000}"/>
    <cellStyle name="Millares 4 11 3 2" xfId="4153" xr:uid="{00000000-0005-0000-0000-000000020000}"/>
    <cellStyle name="Millares 4 11 4" xfId="1190" xr:uid="{00000000-0005-0000-0000-000001020000}"/>
    <cellStyle name="Millares 4 11 5" xfId="3961" xr:uid="{00000000-0005-0000-0000-000002020000}"/>
    <cellStyle name="Millares 4 11 6" xfId="4604" xr:uid="{97BC10FE-B4DA-4BDD-A4C0-FFEE7D00380F}"/>
    <cellStyle name="Millares 4 11 7" xfId="5026" xr:uid="{5DEAB4A9-2DC4-4CFE-8669-5BE9A7DC6CAF}"/>
    <cellStyle name="Millares 4 11 8" xfId="6872" xr:uid="{237BDC3D-187D-4252-8D6A-A091A1A74768}"/>
    <cellStyle name="Millares 4 11 9" xfId="7294" xr:uid="{61D62AA9-19C3-4D75-BAB5-81AEFACE4883}"/>
    <cellStyle name="Millares 4 12" xfId="909" xr:uid="{00000000-0005-0000-0000-000003020000}"/>
    <cellStyle name="Millares 4 12 2" xfId="2779" xr:uid="{00000000-0005-0000-0000-000004020000}"/>
    <cellStyle name="Millares 4 12 2 2" xfId="6452" xr:uid="{F510B6DF-5442-4BD3-8B02-B092A4FCCC0F}"/>
    <cellStyle name="Millares 4 12 2 3" xfId="5742" xr:uid="{7F82CE44-5BE9-4978-8ECF-207E687078FC}"/>
    <cellStyle name="Millares 4 12 3" xfId="6097" xr:uid="{1DC74E3B-618C-48F8-AAFA-9D8813913AE2}"/>
    <cellStyle name="Millares 4 12 4" xfId="5387" xr:uid="{53A766B8-3163-43BE-9E4A-FFB75F5C9B4B}"/>
    <cellStyle name="Millares 4 13" xfId="1688" xr:uid="{00000000-0005-0000-0000-000005020000}"/>
    <cellStyle name="Millares 4 13 2" xfId="4058" xr:uid="{00000000-0005-0000-0000-000006020000}"/>
    <cellStyle name="Millares 4 14" xfId="4392" xr:uid="{B856439B-3861-4530-A9A1-E6634C0BD685}"/>
    <cellStyle name="Millares 4 15" xfId="4815" xr:uid="{1C3B0F14-31BB-42E3-87F5-D3D5096C4B33}"/>
    <cellStyle name="Millares 4 16" xfId="6661" xr:uid="{2AA69D16-9B93-44DE-AFCA-86E073A2A80A}"/>
    <cellStyle name="Millares 4 17" xfId="7083" xr:uid="{A8063FE3-3580-4D4B-A1E5-5D022867C4CB}"/>
    <cellStyle name="Millares 4 18" xfId="7505" xr:uid="{F6DD699A-B4BB-48EE-B939-B0FDD3B590EB}"/>
    <cellStyle name="Millares 4 2" xfId="23" xr:uid="{00000000-0005-0000-0000-000007020000}"/>
    <cellStyle name="Millares 4 2 2" xfId="24" xr:uid="{00000000-0005-0000-0000-000008020000}"/>
    <cellStyle name="Millares 4 2 2 2" xfId="25" xr:uid="{00000000-0005-0000-0000-000009020000}"/>
    <cellStyle name="Millares 4 2 2 2 2" xfId="84" xr:uid="{00000000-0005-0000-0000-00000A020000}"/>
    <cellStyle name="Millares 4 2 2 2 2 2" xfId="405" xr:uid="{00000000-0005-0000-0000-00000B020000}"/>
    <cellStyle name="Millares 4 2 2 2 2 2 2" xfId="683" xr:uid="{00000000-0005-0000-0000-00000C020000}"/>
    <cellStyle name="Millares 4 2 2 2 2 2 2 2" xfId="1586" xr:uid="{00000000-0005-0000-0000-00000D020000}"/>
    <cellStyle name="Millares 4 2 2 2 2 2 2 2 2" xfId="3773" xr:uid="{00000000-0005-0000-0000-00000E020000}"/>
    <cellStyle name="Millares 4 2 2 2 2 2 2 2 3" xfId="2698" xr:uid="{00000000-0005-0000-0000-00000F020000}"/>
    <cellStyle name="Millares 4 2 2 2 2 2 2 3" xfId="3230" xr:uid="{00000000-0005-0000-0000-000010020000}"/>
    <cellStyle name="Millares 4 2 2 2 2 2 2 4" xfId="2155" xr:uid="{00000000-0005-0000-0000-000011020000}"/>
    <cellStyle name="Millares 4 2 2 2 2 2 3" xfId="1317" xr:uid="{00000000-0005-0000-0000-000012020000}"/>
    <cellStyle name="Millares 4 2 2 2 2 2 3 2" xfId="3455" xr:uid="{00000000-0005-0000-0000-000013020000}"/>
    <cellStyle name="Millares 4 2 2 2 2 2 3 3" xfId="2380" xr:uid="{00000000-0005-0000-0000-000014020000}"/>
    <cellStyle name="Millares 4 2 2 2 2 2 4" xfId="2916" xr:uid="{00000000-0005-0000-0000-000015020000}"/>
    <cellStyle name="Millares 4 2 2 2 2 2 5" xfId="1825" xr:uid="{00000000-0005-0000-0000-000016020000}"/>
    <cellStyle name="Millares 4 2 2 2 2 3" xfId="528" xr:uid="{00000000-0005-0000-0000-000017020000}"/>
    <cellStyle name="Millares 4 2 2 2 2 3 2" xfId="1447" xr:uid="{00000000-0005-0000-0000-000018020000}"/>
    <cellStyle name="Millares 4 2 2 2 2 3 2 2" xfId="3605" xr:uid="{00000000-0005-0000-0000-000019020000}"/>
    <cellStyle name="Millares 4 2 2 2 2 3 2 3" xfId="2530" xr:uid="{00000000-0005-0000-0000-00001A020000}"/>
    <cellStyle name="Millares 4 2 2 2 2 3 3" xfId="3078" xr:uid="{00000000-0005-0000-0000-00001B020000}"/>
    <cellStyle name="Millares 4 2 2 2 2 3 4" xfId="1987" xr:uid="{00000000-0005-0000-0000-00001C020000}"/>
    <cellStyle name="Millares 4 2 2 2 2 4" xfId="1235" xr:uid="{00000000-0005-0000-0000-00001D020000}"/>
    <cellStyle name="Millares 4 2 2 2 2 4 2" xfId="3363" xr:uid="{00000000-0005-0000-0000-00001E020000}"/>
    <cellStyle name="Millares 4 2 2 2 2 4 3" xfId="2288" xr:uid="{00000000-0005-0000-0000-00001F020000}"/>
    <cellStyle name="Millares 4 2 2 2 2 5" xfId="2824" xr:uid="{00000000-0005-0000-0000-000020020000}"/>
    <cellStyle name="Millares 4 2 2 2 2 6" xfId="1733" xr:uid="{00000000-0005-0000-0000-000021020000}"/>
    <cellStyle name="Millares 4 2 2 2 3" xfId="372" xr:uid="{00000000-0005-0000-0000-000022020000}"/>
    <cellStyle name="Millares 4 2 2 2 3 2" xfId="650" xr:uid="{00000000-0005-0000-0000-000023020000}"/>
    <cellStyle name="Millares 4 2 2 2 3 2 2" xfId="1553" xr:uid="{00000000-0005-0000-0000-000024020000}"/>
    <cellStyle name="Millares 4 2 2 2 3 2 2 2" xfId="3740" xr:uid="{00000000-0005-0000-0000-000025020000}"/>
    <cellStyle name="Millares 4 2 2 2 3 2 2 3" xfId="2665" xr:uid="{00000000-0005-0000-0000-000026020000}"/>
    <cellStyle name="Millares 4 2 2 2 3 2 3" xfId="3197" xr:uid="{00000000-0005-0000-0000-000027020000}"/>
    <cellStyle name="Millares 4 2 2 2 3 2 4" xfId="2122" xr:uid="{00000000-0005-0000-0000-000028020000}"/>
    <cellStyle name="Millares 4 2 2 2 3 3" xfId="1283" xr:uid="{00000000-0005-0000-0000-000029020000}"/>
    <cellStyle name="Millares 4 2 2 2 3 3 2" xfId="3413" xr:uid="{00000000-0005-0000-0000-00002A020000}"/>
    <cellStyle name="Millares 4 2 2 2 3 3 3" xfId="2338" xr:uid="{00000000-0005-0000-0000-00002B020000}"/>
    <cellStyle name="Millares 4 2 2 2 3 4" xfId="2874" xr:uid="{00000000-0005-0000-0000-00002C020000}"/>
    <cellStyle name="Millares 4 2 2 2 3 5" xfId="1783" xr:uid="{00000000-0005-0000-0000-00002D020000}"/>
    <cellStyle name="Millares 4 2 2 2 4" xfId="486" xr:uid="{00000000-0005-0000-0000-00002E020000}"/>
    <cellStyle name="Millares 4 2 2 2 4 2" xfId="1413" xr:uid="{00000000-0005-0000-0000-00002F020000}"/>
    <cellStyle name="Millares 4 2 2 2 4 2 2" xfId="3563" xr:uid="{00000000-0005-0000-0000-000030020000}"/>
    <cellStyle name="Millares 4 2 2 2 4 2 3" xfId="2488" xr:uid="{00000000-0005-0000-0000-000031020000}"/>
    <cellStyle name="Millares 4 2 2 2 4 3" xfId="3036" xr:uid="{00000000-0005-0000-0000-000032020000}"/>
    <cellStyle name="Millares 4 2 2 2 4 4" xfId="1945" xr:uid="{00000000-0005-0000-0000-000033020000}"/>
    <cellStyle name="Millares 4 2 2 2 5" xfId="1193" xr:uid="{00000000-0005-0000-0000-000034020000}"/>
    <cellStyle name="Millares 4 2 2 2 5 2" xfId="3321" xr:uid="{00000000-0005-0000-0000-000035020000}"/>
    <cellStyle name="Millares 4 2 2 2 5 3" xfId="2246" xr:uid="{00000000-0005-0000-0000-000036020000}"/>
    <cellStyle name="Millares 4 2 2 2 6" xfId="2782" xr:uid="{00000000-0005-0000-0000-000037020000}"/>
    <cellStyle name="Millares 4 2 2 2 7" xfId="1691" xr:uid="{00000000-0005-0000-0000-000038020000}"/>
    <cellStyle name="Millares 4 2 2 3" xfId="83" xr:uid="{00000000-0005-0000-0000-000039020000}"/>
    <cellStyle name="Millares 4 2 2 3 2" xfId="404" xr:uid="{00000000-0005-0000-0000-00003A020000}"/>
    <cellStyle name="Millares 4 2 2 3 2 2" xfId="682" xr:uid="{00000000-0005-0000-0000-00003B020000}"/>
    <cellStyle name="Millares 4 2 2 3 2 2 2" xfId="1585" xr:uid="{00000000-0005-0000-0000-00003C020000}"/>
    <cellStyle name="Millares 4 2 2 3 2 2 2 2" xfId="3772" xr:uid="{00000000-0005-0000-0000-00003D020000}"/>
    <cellStyle name="Millares 4 2 2 3 2 2 2 3" xfId="2697" xr:uid="{00000000-0005-0000-0000-00003E020000}"/>
    <cellStyle name="Millares 4 2 2 3 2 2 3" xfId="3229" xr:uid="{00000000-0005-0000-0000-00003F020000}"/>
    <cellStyle name="Millares 4 2 2 3 2 2 4" xfId="2154" xr:uid="{00000000-0005-0000-0000-000040020000}"/>
    <cellStyle name="Millares 4 2 2 3 2 3" xfId="1316" xr:uid="{00000000-0005-0000-0000-000041020000}"/>
    <cellStyle name="Millares 4 2 2 3 2 3 2" xfId="3454" xr:uid="{00000000-0005-0000-0000-000042020000}"/>
    <cellStyle name="Millares 4 2 2 3 2 3 3" xfId="2379" xr:uid="{00000000-0005-0000-0000-000043020000}"/>
    <cellStyle name="Millares 4 2 2 3 2 4" xfId="2915" xr:uid="{00000000-0005-0000-0000-000044020000}"/>
    <cellStyle name="Millares 4 2 2 3 2 5" xfId="1824" xr:uid="{00000000-0005-0000-0000-000045020000}"/>
    <cellStyle name="Millares 4 2 2 3 3" xfId="527" xr:uid="{00000000-0005-0000-0000-000046020000}"/>
    <cellStyle name="Millares 4 2 2 3 3 2" xfId="1446" xr:uid="{00000000-0005-0000-0000-000047020000}"/>
    <cellStyle name="Millares 4 2 2 3 3 2 2" xfId="3604" xr:uid="{00000000-0005-0000-0000-000048020000}"/>
    <cellStyle name="Millares 4 2 2 3 3 2 3" xfId="2529" xr:uid="{00000000-0005-0000-0000-000049020000}"/>
    <cellStyle name="Millares 4 2 2 3 3 3" xfId="3077" xr:uid="{00000000-0005-0000-0000-00004A020000}"/>
    <cellStyle name="Millares 4 2 2 3 3 4" xfId="1986" xr:uid="{00000000-0005-0000-0000-00004B020000}"/>
    <cellStyle name="Millares 4 2 2 3 4" xfId="1234" xr:uid="{00000000-0005-0000-0000-00004C020000}"/>
    <cellStyle name="Millares 4 2 2 3 4 2" xfId="3362" xr:uid="{00000000-0005-0000-0000-00004D020000}"/>
    <cellStyle name="Millares 4 2 2 3 4 3" xfId="2287" xr:uid="{00000000-0005-0000-0000-00004E020000}"/>
    <cellStyle name="Millares 4 2 2 3 5" xfId="2823" xr:uid="{00000000-0005-0000-0000-00004F020000}"/>
    <cellStyle name="Millares 4 2 2 3 6" xfId="1732" xr:uid="{00000000-0005-0000-0000-000050020000}"/>
    <cellStyle name="Millares 4 2 2 4" xfId="371" xr:uid="{00000000-0005-0000-0000-000051020000}"/>
    <cellStyle name="Millares 4 2 2 4 2" xfId="649" xr:uid="{00000000-0005-0000-0000-000052020000}"/>
    <cellStyle name="Millares 4 2 2 4 2 2" xfId="1552" xr:uid="{00000000-0005-0000-0000-000053020000}"/>
    <cellStyle name="Millares 4 2 2 4 2 2 2" xfId="3739" xr:uid="{00000000-0005-0000-0000-000054020000}"/>
    <cellStyle name="Millares 4 2 2 4 2 2 3" xfId="2664" xr:uid="{00000000-0005-0000-0000-000055020000}"/>
    <cellStyle name="Millares 4 2 2 4 2 3" xfId="3196" xr:uid="{00000000-0005-0000-0000-000056020000}"/>
    <cellStyle name="Millares 4 2 2 4 2 4" xfId="2121" xr:uid="{00000000-0005-0000-0000-000057020000}"/>
    <cellStyle name="Millares 4 2 2 4 3" xfId="1282" xr:uid="{00000000-0005-0000-0000-000058020000}"/>
    <cellStyle name="Millares 4 2 2 4 3 2" xfId="3412" xr:uid="{00000000-0005-0000-0000-000059020000}"/>
    <cellStyle name="Millares 4 2 2 4 3 3" xfId="2337" xr:uid="{00000000-0005-0000-0000-00005A020000}"/>
    <cellStyle name="Millares 4 2 2 4 4" xfId="2873" xr:uid="{00000000-0005-0000-0000-00005B020000}"/>
    <cellStyle name="Millares 4 2 2 4 5" xfId="1782" xr:uid="{00000000-0005-0000-0000-00005C020000}"/>
    <cellStyle name="Millares 4 2 2 5" xfId="485" xr:uid="{00000000-0005-0000-0000-00005D020000}"/>
    <cellStyle name="Millares 4 2 2 5 2" xfId="1412" xr:uid="{00000000-0005-0000-0000-00005E020000}"/>
    <cellStyle name="Millares 4 2 2 5 2 2" xfId="3562" xr:uid="{00000000-0005-0000-0000-00005F020000}"/>
    <cellStyle name="Millares 4 2 2 5 2 3" xfId="2487" xr:uid="{00000000-0005-0000-0000-000060020000}"/>
    <cellStyle name="Millares 4 2 2 5 3" xfId="3035" xr:uid="{00000000-0005-0000-0000-000061020000}"/>
    <cellStyle name="Millares 4 2 2 5 4" xfId="1944" xr:uid="{00000000-0005-0000-0000-000062020000}"/>
    <cellStyle name="Millares 4 2 2 6" xfId="1192" xr:uid="{00000000-0005-0000-0000-000063020000}"/>
    <cellStyle name="Millares 4 2 2 6 2" xfId="3320" xr:uid="{00000000-0005-0000-0000-000064020000}"/>
    <cellStyle name="Millares 4 2 2 6 3" xfId="2245" xr:uid="{00000000-0005-0000-0000-000065020000}"/>
    <cellStyle name="Millares 4 2 2 7" xfId="2781" xr:uid="{00000000-0005-0000-0000-000066020000}"/>
    <cellStyle name="Millares 4 2 2 8" xfId="1690" xr:uid="{00000000-0005-0000-0000-000067020000}"/>
    <cellStyle name="Millares 4 2 3" xfId="26" xr:uid="{00000000-0005-0000-0000-000068020000}"/>
    <cellStyle name="Millares 4 2 3 2" xfId="85" xr:uid="{00000000-0005-0000-0000-000069020000}"/>
    <cellStyle name="Millares 4 2 3 2 2" xfId="406" xr:uid="{00000000-0005-0000-0000-00006A020000}"/>
    <cellStyle name="Millares 4 2 3 2 2 2" xfId="684" xr:uid="{00000000-0005-0000-0000-00006B020000}"/>
    <cellStyle name="Millares 4 2 3 2 2 2 2" xfId="1587" xr:uid="{00000000-0005-0000-0000-00006C020000}"/>
    <cellStyle name="Millares 4 2 3 2 2 2 2 2" xfId="3774" xr:uid="{00000000-0005-0000-0000-00006D020000}"/>
    <cellStyle name="Millares 4 2 3 2 2 2 2 3" xfId="2699" xr:uid="{00000000-0005-0000-0000-00006E020000}"/>
    <cellStyle name="Millares 4 2 3 2 2 2 3" xfId="3231" xr:uid="{00000000-0005-0000-0000-00006F020000}"/>
    <cellStyle name="Millares 4 2 3 2 2 2 4" xfId="2156" xr:uid="{00000000-0005-0000-0000-000070020000}"/>
    <cellStyle name="Millares 4 2 3 2 2 3" xfId="1318" xr:uid="{00000000-0005-0000-0000-000071020000}"/>
    <cellStyle name="Millares 4 2 3 2 2 3 2" xfId="3456" xr:uid="{00000000-0005-0000-0000-000072020000}"/>
    <cellStyle name="Millares 4 2 3 2 2 3 3" xfId="2381" xr:uid="{00000000-0005-0000-0000-000073020000}"/>
    <cellStyle name="Millares 4 2 3 2 2 4" xfId="2917" xr:uid="{00000000-0005-0000-0000-000074020000}"/>
    <cellStyle name="Millares 4 2 3 2 2 5" xfId="1826" xr:uid="{00000000-0005-0000-0000-000075020000}"/>
    <cellStyle name="Millares 4 2 3 2 3" xfId="529" xr:uid="{00000000-0005-0000-0000-000076020000}"/>
    <cellStyle name="Millares 4 2 3 2 3 2" xfId="1448" xr:uid="{00000000-0005-0000-0000-000077020000}"/>
    <cellStyle name="Millares 4 2 3 2 3 2 2" xfId="3606" xr:uid="{00000000-0005-0000-0000-000078020000}"/>
    <cellStyle name="Millares 4 2 3 2 3 2 3" xfId="2531" xr:uid="{00000000-0005-0000-0000-000079020000}"/>
    <cellStyle name="Millares 4 2 3 2 3 3" xfId="3079" xr:uid="{00000000-0005-0000-0000-00007A020000}"/>
    <cellStyle name="Millares 4 2 3 2 3 4" xfId="1988" xr:uid="{00000000-0005-0000-0000-00007B020000}"/>
    <cellStyle name="Millares 4 2 3 2 4" xfId="1236" xr:uid="{00000000-0005-0000-0000-00007C020000}"/>
    <cellStyle name="Millares 4 2 3 2 4 2" xfId="3364" xr:uid="{00000000-0005-0000-0000-00007D020000}"/>
    <cellStyle name="Millares 4 2 3 2 4 3" xfId="2289" xr:uid="{00000000-0005-0000-0000-00007E020000}"/>
    <cellStyle name="Millares 4 2 3 2 5" xfId="2825" xr:uid="{00000000-0005-0000-0000-00007F020000}"/>
    <cellStyle name="Millares 4 2 3 2 6" xfId="1734" xr:uid="{00000000-0005-0000-0000-000080020000}"/>
    <cellStyle name="Millares 4 2 3 3" xfId="373" xr:uid="{00000000-0005-0000-0000-000081020000}"/>
    <cellStyle name="Millares 4 2 3 3 2" xfId="651" xr:uid="{00000000-0005-0000-0000-000082020000}"/>
    <cellStyle name="Millares 4 2 3 3 2 2" xfId="1554" xr:uid="{00000000-0005-0000-0000-000083020000}"/>
    <cellStyle name="Millares 4 2 3 3 2 2 2" xfId="3741" xr:uid="{00000000-0005-0000-0000-000084020000}"/>
    <cellStyle name="Millares 4 2 3 3 2 2 3" xfId="2666" xr:uid="{00000000-0005-0000-0000-000085020000}"/>
    <cellStyle name="Millares 4 2 3 3 2 3" xfId="3198" xr:uid="{00000000-0005-0000-0000-000086020000}"/>
    <cellStyle name="Millares 4 2 3 3 2 4" xfId="2123" xr:uid="{00000000-0005-0000-0000-000087020000}"/>
    <cellStyle name="Millares 4 2 3 3 3" xfId="1284" xr:uid="{00000000-0005-0000-0000-000088020000}"/>
    <cellStyle name="Millares 4 2 3 3 3 2" xfId="3414" xr:uid="{00000000-0005-0000-0000-000089020000}"/>
    <cellStyle name="Millares 4 2 3 3 3 3" xfId="2339" xr:uid="{00000000-0005-0000-0000-00008A020000}"/>
    <cellStyle name="Millares 4 2 3 3 4" xfId="2875" xr:uid="{00000000-0005-0000-0000-00008B020000}"/>
    <cellStyle name="Millares 4 2 3 3 5" xfId="1784" xr:uid="{00000000-0005-0000-0000-00008C020000}"/>
    <cellStyle name="Millares 4 2 3 4" xfId="487" xr:uid="{00000000-0005-0000-0000-00008D020000}"/>
    <cellStyle name="Millares 4 2 3 4 2" xfId="1414" xr:uid="{00000000-0005-0000-0000-00008E020000}"/>
    <cellStyle name="Millares 4 2 3 4 2 2" xfId="3564" xr:uid="{00000000-0005-0000-0000-00008F020000}"/>
    <cellStyle name="Millares 4 2 3 4 2 3" xfId="2489" xr:uid="{00000000-0005-0000-0000-000090020000}"/>
    <cellStyle name="Millares 4 2 3 4 3" xfId="3037" xr:uid="{00000000-0005-0000-0000-000091020000}"/>
    <cellStyle name="Millares 4 2 3 4 4" xfId="1946" xr:uid="{00000000-0005-0000-0000-000092020000}"/>
    <cellStyle name="Millares 4 2 3 5" xfId="1194" xr:uid="{00000000-0005-0000-0000-000093020000}"/>
    <cellStyle name="Millares 4 2 3 5 2" xfId="3322" xr:uid="{00000000-0005-0000-0000-000094020000}"/>
    <cellStyle name="Millares 4 2 3 5 3" xfId="2247" xr:uid="{00000000-0005-0000-0000-000095020000}"/>
    <cellStyle name="Millares 4 2 3 6" xfId="2783" xr:uid="{00000000-0005-0000-0000-000096020000}"/>
    <cellStyle name="Millares 4 2 3 7" xfId="1692" xr:uid="{00000000-0005-0000-0000-000097020000}"/>
    <cellStyle name="Millares 4 2 4" xfId="82" xr:uid="{00000000-0005-0000-0000-000098020000}"/>
    <cellStyle name="Millares 4 2 4 2" xfId="403" xr:uid="{00000000-0005-0000-0000-000099020000}"/>
    <cellStyle name="Millares 4 2 4 2 2" xfId="681" xr:uid="{00000000-0005-0000-0000-00009A020000}"/>
    <cellStyle name="Millares 4 2 4 2 2 2" xfId="1584" xr:uid="{00000000-0005-0000-0000-00009B020000}"/>
    <cellStyle name="Millares 4 2 4 2 2 2 2" xfId="3771" xr:uid="{00000000-0005-0000-0000-00009C020000}"/>
    <cellStyle name="Millares 4 2 4 2 2 2 3" xfId="2696" xr:uid="{00000000-0005-0000-0000-00009D020000}"/>
    <cellStyle name="Millares 4 2 4 2 2 3" xfId="3228" xr:uid="{00000000-0005-0000-0000-00009E020000}"/>
    <cellStyle name="Millares 4 2 4 2 2 4" xfId="2153" xr:uid="{00000000-0005-0000-0000-00009F020000}"/>
    <cellStyle name="Millares 4 2 4 2 3" xfId="1315" xr:uid="{00000000-0005-0000-0000-0000A0020000}"/>
    <cellStyle name="Millares 4 2 4 2 3 2" xfId="3453" xr:uid="{00000000-0005-0000-0000-0000A1020000}"/>
    <cellStyle name="Millares 4 2 4 2 3 3" xfId="2378" xr:uid="{00000000-0005-0000-0000-0000A2020000}"/>
    <cellStyle name="Millares 4 2 4 2 4" xfId="2914" xr:uid="{00000000-0005-0000-0000-0000A3020000}"/>
    <cellStyle name="Millares 4 2 4 2 5" xfId="1823" xr:uid="{00000000-0005-0000-0000-0000A4020000}"/>
    <cellStyle name="Millares 4 2 4 3" xfId="526" xr:uid="{00000000-0005-0000-0000-0000A5020000}"/>
    <cellStyle name="Millares 4 2 4 3 2" xfId="1445" xr:uid="{00000000-0005-0000-0000-0000A6020000}"/>
    <cellStyle name="Millares 4 2 4 3 2 2" xfId="3603" xr:uid="{00000000-0005-0000-0000-0000A7020000}"/>
    <cellStyle name="Millares 4 2 4 3 2 3" xfId="2528" xr:uid="{00000000-0005-0000-0000-0000A8020000}"/>
    <cellStyle name="Millares 4 2 4 3 3" xfId="3076" xr:uid="{00000000-0005-0000-0000-0000A9020000}"/>
    <cellStyle name="Millares 4 2 4 3 4" xfId="1985" xr:uid="{00000000-0005-0000-0000-0000AA020000}"/>
    <cellStyle name="Millares 4 2 4 4" xfId="1233" xr:uid="{00000000-0005-0000-0000-0000AB020000}"/>
    <cellStyle name="Millares 4 2 4 4 2" xfId="3361" xr:uid="{00000000-0005-0000-0000-0000AC020000}"/>
    <cellStyle name="Millares 4 2 4 4 3" xfId="2286" xr:uid="{00000000-0005-0000-0000-0000AD020000}"/>
    <cellStyle name="Millares 4 2 4 5" xfId="2822" xr:uid="{00000000-0005-0000-0000-0000AE020000}"/>
    <cellStyle name="Millares 4 2 4 6" xfId="1731" xr:uid="{00000000-0005-0000-0000-0000AF020000}"/>
    <cellStyle name="Millares 4 2 5" xfId="370" xr:uid="{00000000-0005-0000-0000-0000B0020000}"/>
    <cellStyle name="Millares 4 2 5 2" xfId="648" xr:uid="{00000000-0005-0000-0000-0000B1020000}"/>
    <cellStyle name="Millares 4 2 5 2 2" xfId="1551" xr:uid="{00000000-0005-0000-0000-0000B2020000}"/>
    <cellStyle name="Millares 4 2 5 2 2 2" xfId="3738" xr:uid="{00000000-0005-0000-0000-0000B3020000}"/>
    <cellStyle name="Millares 4 2 5 2 2 3" xfId="2663" xr:uid="{00000000-0005-0000-0000-0000B4020000}"/>
    <cellStyle name="Millares 4 2 5 2 3" xfId="3195" xr:uid="{00000000-0005-0000-0000-0000B5020000}"/>
    <cellStyle name="Millares 4 2 5 2 4" xfId="2120" xr:uid="{00000000-0005-0000-0000-0000B6020000}"/>
    <cellStyle name="Millares 4 2 5 3" xfId="1281" xr:uid="{00000000-0005-0000-0000-0000B7020000}"/>
    <cellStyle name="Millares 4 2 5 3 2" xfId="3411" xr:uid="{00000000-0005-0000-0000-0000B8020000}"/>
    <cellStyle name="Millares 4 2 5 3 3" xfId="2336" xr:uid="{00000000-0005-0000-0000-0000B9020000}"/>
    <cellStyle name="Millares 4 2 5 4" xfId="2872" xr:uid="{00000000-0005-0000-0000-0000BA020000}"/>
    <cellStyle name="Millares 4 2 5 5" xfId="1781" xr:uid="{00000000-0005-0000-0000-0000BB020000}"/>
    <cellStyle name="Millares 4 2 6" xfId="484" xr:uid="{00000000-0005-0000-0000-0000BC020000}"/>
    <cellStyle name="Millares 4 2 6 2" xfId="1411" xr:uid="{00000000-0005-0000-0000-0000BD020000}"/>
    <cellStyle name="Millares 4 2 6 2 2" xfId="3561" xr:uid="{00000000-0005-0000-0000-0000BE020000}"/>
    <cellStyle name="Millares 4 2 6 2 3" xfId="2486" xr:uid="{00000000-0005-0000-0000-0000BF020000}"/>
    <cellStyle name="Millares 4 2 6 3" xfId="3034" xr:uid="{00000000-0005-0000-0000-0000C0020000}"/>
    <cellStyle name="Millares 4 2 6 4" xfId="1943" xr:uid="{00000000-0005-0000-0000-0000C1020000}"/>
    <cellStyle name="Millares 4 2 7" xfId="1191" xr:uid="{00000000-0005-0000-0000-0000C2020000}"/>
    <cellStyle name="Millares 4 2 7 2" xfId="3319" xr:uid="{00000000-0005-0000-0000-0000C3020000}"/>
    <cellStyle name="Millares 4 2 7 3" xfId="2244" xr:uid="{00000000-0005-0000-0000-0000C4020000}"/>
    <cellStyle name="Millares 4 2 8" xfId="2780" xr:uid="{00000000-0005-0000-0000-0000C5020000}"/>
    <cellStyle name="Millares 4 2 9" xfId="1689" xr:uid="{00000000-0005-0000-0000-0000C6020000}"/>
    <cellStyle name="Millares 4 3" xfId="27" xr:uid="{00000000-0005-0000-0000-0000C7020000}"/>
    <cellStyle name="Millares 4 3 10" xfId="1693" xr:uid="{00000000-0005-0000-0000-0000C8020000}"/>
    <cellStyle name="Millares 4 3 10 2" xfId="4059" xr:uid="{00000000-0005-0000-0000-0000C9020000}"/>
    <cellStyle name="Millares 4 3 11" xfId="4393" xr:uid="{8C2E539A-3CE9-4229-8F27-345BB0A97E37}"/>
    <cellStyle name="Millares 4 3 12" xfId="4816" xr:uid="{4F2F55FF-E547-430C-B8F9-7DE0185902DC}"/>
    <cellStyle name="Millares 4 3 13" xfId="6662" xr:uid="{E1746687-5998-4191-B241-D79030C97309}"/>
    <cellStyle name="Millares 4 3 14" xfId="7084" xr:uid="{214A185F-EBC2-482E-9643-1CC42DFFD4F4}"/>
    <cellStyle name="Millares 4 3 15" xfId="7506" xr:uid="{DFE922DB-EB9C-4CD9-B7BB-2A4F39DB93A9}"/>
    <cellStyle name="Millares 4 3 2" xfId="28" xr:uid="{00000000-0005-0000-0000-0000CA020000}"/>
    <cellStyle name="Millares 4 3 2 10" xfId="4394" xr:uid="{B16DBF75-7328-4507-B6BC-1D6E60CAA7D9}"/>
    <cellStyle name="Millares 4 3 2 11" xfId="4817" xr:uid="{689C451E-9624-4445-A520-CD81BD5D4829}"/>
    <cellStyle name="Millares 4 3 2 12" xfId="6663" xr:uid="{36044D81-7B35-455C-83B1-FF5AE499A6AC}"/>
    <cellStyle name="Millares 4 3 2 13" xfId="7085" xr:uid="{58E192F6-893E-4ABC-84E9-49E98D52E748}"/>
    <cellStyle name="Millares 4 3 2 14" xfId="7507" xr:uid="{CD272BE1-BBD6-48FE-AEB0-F570469E07C7}"/>
    <cellStyle name="Millares 4 3 2 2" xfId="87" xr:uid="{00000000-0005-0000-0000-0000CB020000}"/>
    <cellStyle name="Millares 4 3 2 2 10" xfId="4825" xr:uid="{B36D64FA-CAA8-4F16-9AF6-F936A203E52C}"/>
    <cellStyle name="Millares 4 3 2 2 11" xfId="6671" xr:uid="{B01573EE-AD4E-4E26-85AC-AA4204FC724E}"/>
    <cellStyle name="Millares 4 3 2 2 12" xfId="7093" xr:uid="{D382C220-0106-4EC7-9BF3-7B6D90B2E1A5}"/>
    <cellStyle name="Millares 4 3 2 2 13" xfId="7515" xr:uid="{8045708D-9862-4884-A69C-C2DDF7835CF9}"/>
    <cellStyle name="Millares 4 3 2 2 2" xfId="194" xr:uid="{00000000-0005-0000-0000-0000CC020000}"/>
    <cellStyle name="Millares 4 3 2 2 2 10" xfId="6690" xr:uid="{EDE196AD-7D8D-4D3A-AA0B-C413C3AFDBCC}"/>
    <cellStyle name="Millares 4 3 2 2 2 11" xfId="7112" xr:uid="{277E1F72-2C53-450B-98B7-B02948B52A33}"/>
    <cellStyle name="Millares 4 3 2 2 2 12" xfId="7534" xr:uid="{1C958E48-1485-414F-95AF-3D2297866643}"/>
    <cellStyle name="Millares 4 3 2 2 2 2" xfId="472" xr:uid="{00000000-0005-0000-0000-0000CD020000}"/>
    <cellStyle name="Millares 4 3 2 2 2 2 10" xfId="6751" xr:uid="{D00A18F1-3E56-451F-B65D-0F1EAEC82DEB}"/>
    <cellStyle name="Millares 4 3 2 2 2 2 11" xfId="7173" xr:uid="{1E59B2DD-C3AA-48EC-BB5E-9AC39ABF9802}"/>
    <cellStyle name="Millares 4 3 2 2 2 2 12" xfId="7595" xr:uid="{B794FCEC-796C-4188-A201-162EB4D5CEEA}"/>
    <cellStyle name="Millares 4 3 2 2 2 2 2" xfId="760" xr:uid="{00000000-0005-0000-0000-0000CE020000}"/>
    <cellStyle name="Millares 4 3 2 2 2 2 2 10" xfId="7216" xr:uid="{06086147-BC00-4B2C-800F-F351509DF87D}"/>
    <cellStyle name="Millares 4 3 2 2 2 2 2 11" xfId="7638" xr:uid="{ACE9F8FD-658C-4956-9F9E-F80DCA77D79F}"/>
    <cellStyle name="Millares 4 3 2 2 2 2 2 2" xfId="1050" xr:uid="{00000000-0005-0000-0000-0000CF020000}"/>
    <cellStyle name="Millares 4 3 2 2 2 2 2 2 2" xfId="3839" xr:uid="{00000000-0005-0000-0000-0000D0020000}"/>
    <cellStyle name="Millares 4 3 2 2 2 2 2 2 2 2" xfId="6585" xr:uid="{ED2B3BAC-A913-43A4-A206-AA3E10AB4BB1}"/>
    <cellStyle name="Millares 4 3 2 2 2 2 2 2 2 3" xfId="5875" xr:uid="{17C0DCF2-7BC1-4D35-800E-E86DCF03EC1C}"/>
    <cellStyle name="Millares 4 3 2 2 2 2 2 2 3" xfId="4382" xr:uid="{00000000-0005-0000-0000-0000D1020000}"/>
    <cellStyle name="Millares 4 3 2 2 2 2 2 2 3 2" xfId="6230" xr:uid="{EC91A3CF-4F90-4449-ABB6-2836F7734DBB}"/>
    <cellStyle name="Millares 4 3 2 2 2 2 2 2 4" xfId="4737" xr:uid="{2E936FD5-AAE4-4329-99F9-C4A35896FF61}"/>
    <cellStyle name="Millares 4 3 2 2 2 2 2 2 5" xfId="5159" xr:uid="{D7FC00C3-5E49-42D7-9FE2-FE859B620CF4}"/>
    <cellStyle name="Millares 4 3 2 2 2 2 2 2 6" xfId="5520" xr:uid="{C67B941A-DB61-4A17-961E-58793EEAD58E}"/>
    <cellStyle name="Millares 4 3 2 2 2 2 2 2 7" xfId="7005" xr:uid="{8B06B559-6DBD-4634-89A7-C845765EB15B}"/>
    <cellStyle name="Millares 4 3 2 2 2 2 2 2 8" xfId="7427" xr:uid="{813EC5B6-6527-4058-9634-ACE1743D23B5}"/>
    <cellStyle name="Millares 4 3 2 2 2 2 2 2 9" xfId="7849" xr:uid="{D4A1A77D-CAE5-4046-B515-3B49A618F27C}"/>
    <cellStyle name="Millares 4 3 2 2 2 2 2 3" xfId="2764" xr:uid="{00000000-0005-0000-0000-0000D2020000}"/>
    <cellStyle name="Millares 4 3 2 2 2 2 2 3 2" xfId="4240" xr:uid="{00000000-0005-0000-0000-0000D3020000}"/>
    <cellStyle name="Millares 4 3 2 2 2 2 2 3 2 2" xfId="6421" xr:uid="{B0FFB01C-A69B-4647-8283-55BD6173C05B}"/>
    <cellStyle name="Millares 4 3 2 2 2 2 2 3 3" xfId="5711" xr:uid="{A1E720BF-0120-4885-BD9A-BE02657B1C8F}"/>
    <cellStyle name="Millares 4 3 2 2 2 2 2 4" xfId="1652" xr:uid="{00000000-0005-0000-0000-0000D4020000}"/>
    <cellStyle name="Millares 4 3 2 2 2 2 2 4 2" xfId="6066" xr:uid="{F73AFEB1-5EBC-4BD5-A0E5-1E8CC97D78F6}"/>
    <cellStyle name="Millares 4 3 2 2 2 2 2 5" xfId="4048" xr:uid="{00000000-0005-0000-0000-0000D5020000}"/>
    <cellStyle name="Millares 4 3 2 2 2 2 2 6" xfId="4525" xr:uid="{C59E91D4-4541-441F-9904-0F24969934E3}"/>
    <cellStyle name="Millares 4 3 2 2 2 2 2 7" xfId="4948" xr:uid="{A64E449C-3803-4E83-9B69-0D618F0FB5A2}"/>
    <cellStyle name="Millares 4 3 2 2 2 2 2 8" xfId="5356" xr:uid="{8D5089B6-C76C-4394-81F4-31E8D14D36D1}"/>
    <cellStyle name="Millares 4 3 2 2 2 2 2 9" xfId="6794" xr:uid="{3EFAA281-FF8C-40E7-8192-C7C9C67B9417}"/>
    <cellStyle name="Millares 4 3 2 2 2 2 3" xfId="1007" xr:uid="{00000000-0005-0000-0000-0000D6020000}"/>
    <cellStyle name="Millares 4 3 2 2 2 2 3 2" xfId="3296" xr:uid="{00000000-0005-0000-0000-0000D7020000}"/>
    <cellStyle name="Millares 4 3 2 2 2 2 3 2 2" xfId="6542" xr:uid="{FE3468F9-7E88-4EDF-A775-25DF12153568}"/>
    <cellStyle name="Millares 4 3 2 2 2 2 3 2 3" xfId="5832" xr:uid="{E13C3AA5-2E90-4BCC-9290-5B892A4940E7}"/>
    <cellStyle name="Millares 4 3 2 2 2 2 3 3" xfId="4287" xr:uid="{00000000-0005-0000-0000-0000D8020000}"/>
    <cellStyle name="Millares 4 3 2 2 2 2 3 3 2" xfId="6187" xr:uid="{C7172E6D-E291-49BF-94EF-D892C1AFE413}"/>
    <cellStyle name="Millares 4 3 2 2 2 2 3 4" xfId="4694" xr:uid="{253569E8-BF92-4FAF-A1E3-D9493EAA625E}"/>
    <cellStyle name="Millares 4 3 2 2 2 2 3 5" xfId="5116" xr:uid="{37938A6F-3DEC-44C4-A54E-B6F912BB368A}"/>
    <cellStyle name="Millares 4 3 2 2 2 2 3 6" xfId="5477" xr:uid="{2F0E1E72-1456-41C0-B202-50F887E4AC64}"/>
    <cellStyle name="Millares 4 3 2 2 2 2 3 7" xfId="6962" xr:uid="{B906F399-FB9B-4BDC-AC16-CA210ADBCE25}"/>
    <cellStyle name="Millares 4 3 2 2 2 2 3 8" xfId="7384" xr:uid="{1D21B963-4DD6-4694-ADA1-F635A0583CCA}"/>
    <cellStyle name="Millares 4 3 2 2 2 2 3 9" xfId="7806" xr:uid="{71A00BF7-FEB2-481D-AF01-CFD8709C8153}"/>
    <cellStyle name="Millares 4 3 2 2 2 2 4" xfId="2221" xr:uid="{00000000-0005-0000-0000-0000D9020000}"/>
    <cellStyle name="Millares 4 3 2 2 2 2 4 2" xfId="4145" xr:uid="{00000000-0005-0000-0000-0000DA020000}"/>
    <cellStyle name="Millares 4 3 2 2 2 2 4 2 2" xfId="6357" xr:uid="{7CAABA89-8DDA-4513-B4E9-31E831D083F1}"/>
    <cellStyle name="Millares 4 3 2 2 2 2 4 3" xfId="5647" xr:uid="{67A8E7F8-D869-4EEA-B833-6303248FD369}"/>
    <cellStyle name="Millares 4 3 2 2 2 2 5" xfId="1168" xr:uid="{00000000-0005-0000-0000-0000DB020000}"/>
    <cellStyle name="Millares 4 3 2 2 2 2 5 2" xfId="6002" xr:uid="{B3E52798-A915-4609-8922-ED104DC58095}"/>
    <cellStyle name="Millares 4 3 2 2 2 2 6" xfId="3953" xr:uid="{00000000-0005-0000-0000-0000DC020000}"/>
    <cellStyle name="Millares 4 3 2 2 2 2 7" xfId="4482" xr:uid="{1DABD40E-B286-4FA8-9FB5-C3FDAE741F84}"/>
    <cellStyle name="Millares 4 3 2 2 2 2 8" xfId="4905" xr:uid="{9FA4A17A-D4D2-48C2-BC6B-9659EF305477}"/>
    <cellStyle name="Millares 4 3 2 2 2 2 9" xfId="5292" xr:uid="{07A196AE-D533-4E92-873F-EEF5EA56AF6F}"/>
    <cellStyle name="Millares 4 3 2 2 2 3" xfId="584" xr:uid="{00000000-0005-0000-0000-0000DD020000}"/>
    <cellStyle name="Millares 4 3 2 2 2 3 10" xfId="7676" xr:uid="{5AB9DAC7-8AF1-4E2E-ACEB-3CEA2AFB2A1B}"/>
    <cellStyle name="Millares 4 3 2 2 2 3 2" xfId="780" xr:uid="{00000000-0005-0000-0000-0000DE020000}"/>
    <cellStyle name="Millares 4 3 2 2 2 3 2 10" xfId="7465" xr:uid="{D43242A8-5E00-4449-B37C-AAE534D6FBEB}"/>
    <cellStyle name="Millares 4 3 2 2 2 3 2 11" xfId="7887" xr:uid="{8EC551BE-A02B-470A-88B7-29BDE2DF0088}"/>
    <cellStyle name="Millares 4 3 2 2 2 3 2 2" xfId="3661" xr:uid="{00000000-0005-0000-0000-0000DF020000}"/>
    <cellStyle name="Millares 4 3 2 2 2 3 2 2 2" xfId="4343" xr:uid="{00000000-0005-0000-0000-0000E0020000}"/>
    <cellStyle name="Millares 4 3 2 2 2 3 2 2 2 2" xfId="6441" xr:uid="{E9E4F489-85BC-4164-8894-8657EE084528}"/>
    <cellStyle name="Millares 4 3 2 2 2 3 2 2 3" xfId="5731" xr:uid="{B0A3842C-56B5-4928-95EE-37F5AD2F560C}"/>
    <cellStyle name="Millares 4 3 2 2 2 3 2 3" xfId="2586" xr:uid="{00000000-0005-0000-0000-0000E1020000}"/>
    <cellStyle name="Millares 4 3 2 2 2 3 2 3 2" xfId="4201" xr:uid="{00000000-0005-0000-0000-0000E2020000}"/>
    <cellStyle name="Millares 4 3 2 2 2 3 2 3 3" xfId="6086" xr:uid="{8CC96187-FD5E-45AA-B73E-63476D748B04}"/>
    <cellStyle name="Millares 4 3 2 2 2 3 2 4" xfId="1496" xr:uid="{00000000-0005-0000-0000-0000E3020000}"/>
    <cellStyle name="Millares 4 3 2 2 2 3 2 5" xfId="4009" xr:uid="{00000000-0005-0000-0000-0000E4020000}"/>
    <cellStyle name="Millares 4 3 2 2 2 3 2 6" xfId="4775" xr:uid="{6394D178-6430-43C3-8833-7154F9ADB3C8}"/>
    <cellStyle name="Millares 4 3 2 2 2 3 2 7" xfId="5197" xr:uid="{2E0C56CA-1A95-444E-B5F0-398F298C0A0C}"/>
    <cellStyle name="Millares 4 3 2 2 2 3 2 8" xfId="5376" xr:uid="{FDAD5299-33FA-437B-A865-8CCB57972916}"/>
    <cellStyle name="Millares 4 3 2 2 2 3 2 9" xfId="7043" xr:uid="{4BAF5768-50F2-4C68-A147-D0CEC9DBD9E9}"/>
    <cellStyle name="Millares 4 3 2 2 2 3 3" xfId="880" xr:uid="{00000000-0005-0000-0000-0000E5020000}"/>
    <cellStyle name="Millares 4 3 2 2 2 3 4" xfId="1089" xr:uid="{00000000-0005-0000-0000-0000E6020000}"/>
    <cellStyle name="Millares 4 3 2 2 2 3 4 2" xfId="2043" xr:uid="{00000000-0005-0000-0000-0000E7020000}"/>
    <cellStyle name="Millares 4 3 2 2 2 3 4 2 2" xfId="6623" xr:uid="{3DCAB8C6-7EDD-4BD1-9FDE-78093A34E8C9}"/>
    <cellStyle name="Millares 4 3 2 2 2 3 4 2 3" xfId="5913" xr:uid="{AF4521E0-1B86-4E29-8084-95E96F7C2023}"/>
    <cellStyle name="Millares 4 3 2 2 2 3 4 3" xfId="4106" xr:uid="{00000000-0005-0000-0000-0000E8020000}"/>
    <cellStyle name="Millares 4 3 2 2 2 3 4 3 2" xfId="6268" xr:uid="{BBE06667-A312-4934-89BD-94844E726799}"/>
    <cellStyle name="Millares 4 3 2 2 2 3 4 4" xfId="5558" xr:uid="{229C455C-1F30-413A-9238-9720EACAF76B}"/>
    <cellStyle name="Millares 4 3 2 2 2 3 5" xfId="4563" xr:uid="{6818F44F-A97B-4AEA-B519-0ACA5040B0EA}"/>
    <cellStyle name="Millares 4 3 2 2 2 3 5 2" xfId="6377" xr:uid="{BDA5C5D9-21B1-41C2-B0B6-64F12A54714B}"/>
    <cellStyle name="Millares 4 3 2 2 2 3 5 3" xfId="5667" xr:uid="{4198BD8E-ED77-4E94-9507-D0218223EF7D}"/>
    <cellStyle name="Millares 4 3 2 2 2 3 6" xfId="4986" xr:uid="{3B92D740-E9E2-4AD2-BFCD-303418CFC1A5}"/>
    <cellStyle name="Millares 4 3 2 2 2 3 6 2" xfId="6022" xr:uid="{ADEB6DFA-DDED-46E4-A57D-349E9B76C3D5}"/>
    <cellStyle name="Millares 4 3 2 2 2 3 7" xfId="5312" xr:uid="{40D1A3EE-494C-40E0-AB7A-D1C02BE434B4}"/>
    <cellStyle name="Millares 4 3 2 2 2 3 8" xfId="6832" xr:uid="{4693FBAA-5F2F-409A-AD2D-6C43E8315906}"/>
    <cellStyle name="Millares 4 3 2 2 2 3 9" xfId="7254" xr:uid="{D0BFFFB1-4F68-4A55-B9FD-2123A5D2E372}"/>
    <cellStyle name="Millares 4 3 2 2 2 4" xfId="824" xr:uid="{00000000-0005-0000-0000-0000E9020000}"/>
    <cellStyle name="Millares 4 3 2 2 2 4 10" xfId="7745" xr:uid="{C3F90B3B-8F46-42C4-94A4-D2A46844683E}"/>
    <cellStyle name="Millares 4 3 2 2 2 4 2" xfId="3511" xr:uid="{00000000-0005-0000-0000-0000EA020000}"/>
    <cellStyle name="Millares 4 3 2 2 2 4 2 2" xfId="4323" xr:uid="{00000000-0005-0000-0000-0000EB020000}"/>
    <cellStyle name="Millares 4 3 2 2 2 4 3" xfId="2436" xr:uid="{00000000-0005-0000-0000-0000EC020000}"/>
    <cellStyle name="Millares 4 3 2 2 2 4 3 2" xfId="4181" xr:uid="{00000000-0005-0000-0000-0000ED020000}"/>
    <cellStyle name="Millares 4 3 2 2 2 4 4" xfId="1366" xr:uid="{00000000-0005-0000-0000-0000EE020000}"/>
    <cellStyle name="Millares 4 3 2 2 2 4 5" xfId="3989" xr:uid="{00000000-0005-0000-0000-0000EF020000}"/>
    <cellStyle name="Millares 4 3 2 2 2 4 6" xfId="4633" xr:uid="{D1EF15CA-8CA0-4F04-993D-F2A13C69B12A}"/>
    <cellStyle name="Millares 4 3 2 2 2 4 7" xfId="5055" xr:uid="{121D4728-EB92-4CC7-B1AF-BBC730F6E717}"/>
    <cellStyle name="Millares 4 3 2 2 2 4 8" xfId="6901" xr:uid="{0BC02567-AB02-4126-B5F7-230A0D086366}"/>
    <cellStyle name="Millares 4 3 2 2 2 4 9" xfId="7323" xr:uid="{DDB7B884-E832-4B99-9461-C5020068B866}"/>
    <cellStyle name="Millares 4 3 2 2 2 5" xfId="942" xr:uid="{00000000-0005-0000-0000-0000F0020000}"/>
    <cellStyle name="Millares 4 3 2 2 2 5 2" xfId="2972" xr:uid="{00000000-0005-0000-0000-0000F1020000}"/>
    <cellStyle name="Millares 4 3 2 2 2 5 2 2" xfId="6481" xr:uid="{CDEF457C-B3D5-4512-836E-7B118F34C744}"/>
    <cellStyle name="Millares 4 3 2 2 2 5 2 3" xfId="5771" xr:uid="{74D24593-AD16-473B-B25B-A41DCDE03CC7}"/>
    <cellStyle name="Millares 4 3 2 2 2 5 3" xfId="6126" xr:uid="{E4AEF1FA-2504-49BC-8936-A626A728FE89}"/>
    <cellStyle name="Millares 4 3 2 2 2 5 4" xfId="5416" xr:uid="{3397BB1E-5414-4ABB-B211-4F33F3473B92}"/>
    <cellStyle name="Millares 4 3 2 2 2 6" xfId="1881" xr:uid="{00000000-0005-0000-0000-0000F2020000}"/>
    <cellStyle name="Millares 4 3 2 2 2 6 2" xfId="4086" xr:uid="{00000000-0005-0000-0000-0000F3020000}"/>
    <cellStyle name="Millares 4 3 2 2 2 6 2 2" xfId="6318" xr:uid="{AD5D06DA-3FC8-47B3-BFCA-23EA879285B5}"/>
    <cellStyle name="Millares 4 3 2 2 2 6 3" xfId="5608" xr:uid="{6A050B54-C07C-403B-A408-09C572C2B736}"/>
    <cellStyle name="Millares 4 3 2 2 2 7" xfId="4421" xr:uid="{A097F30F-FD0C-4753-B677-E63B14AF8DF7}"/>
    <cellStyle name="Millares 4 3 2 2 2 7 2" xfId="5963" xr:uid="{38AB61F9-D5A3-4B6F-9955-0262FA7D6507}"/>
    <cellStyle name="Millares 4 3 2 2 2 8" xfId="4844" xr:uid="{861A0798-36A5-4456-9E8F-B82B25BD9CCB}"/>
    <cellStyle name="Millares 4 3 2 2 2 9" xfId="5253" xr:uid="{F7B906A1-1DB8-42B1-BD2B-88EE2E3AE872}"/>
    <cellStyle name="Millares 4 3 2 2 3" xfId="360" xr:uid="{00000000-0005-0000-0000-0000F4020000}"/>
    <cellStyle name="Millares 4 3 2 2 3 10" xfId="7559" xr:uid="{092886F5-455C-4C99-87CB-103E7FC8BD12}"/>
    <cellStyle name="Millares 4 3 2 2 3 2" xfId="643" xr:uid="{00000000-0005-0000-0000-0000F5020000}"/>
    <cellStyle name="Millares 4 3 2 2 3 2 2" xfId="898" xr:uid="{00000000-0005-0000-0000-0000F6020000}"/>
    <cellStyle name="Millares 4 3 2 2 3 2 2 2" xfId="3730" xr:uid="{00000000-0005-0000-0000-0000F7020000}"/>
    <cellStyle name="Millares 4 3 2 2 3 2 2 3" xfId="2655" xr:uid="{00000000-0005-0000-0000-0000F8020000}"/>
    <cellStyle name="Millares 4 3 2 2 3 2 2 4" xfId="4796" xr:uid="{D9015EB1-C8DB-436D-BEE8-5A8C1F72A370}"/>
    <cellStyle name="Millares 4 3 2 2 3 2 2 5" xfId="5218" xr:uid="{2F92B1BF-9460-4000-9BE3-4FA6D5DFFD69}"/>
    <cellStyle name="Millares 4 3 2 2 3 2 2 6" xfId="7064" xr:uid="{69E9668A-2465-4C65-9FB2-337B9CF0BE98}"/>
    <cellStyle name="Millares 4 3 2 2 3 2 2 7" xfId="7486" xr:uid="{DE5D8D46-38C1-4E39-809E-A57D2E692825}"/>
    <cellStyle name="Millares 4 3 2 2 3 2 2 8" xfId="7908" xr:uid="{F1877DFD-B800-42DA-9C94-1E82FFA4A14B}"/>
    <cellStyle name="Millares 4 3 2 2 3 2 3" xfId="1111" xr:uid="{00000000-0005-0000-0000-0000F9020000}"/>
    <cellStyle name="Millares 4 3 2 2 3 2 3 2" xfId="3187" xr:uid="{00000000-0005-0000-0000-0000FA020000}"/>
    <cellStyle name="Millares 4 3 2 2 3 2 3 2 2" xfId="6644" xr:uid="{2BCDE101-C8A5-4082-A51A-F0D8EC567D92}"/>
    <cellStyle name="Millares 4 3 2 2 3 2 3 2 3" xfId="5934" xr:uid="{EFF50775-1982-4733-A078-9DC68BB1C44C}"/>
    <cellStyle name="Millares 4 3 2 2 3 2 3 3" xfId="6289" xr:uid="{635A7473-61A9-4294-BC34-8D298C4267B6}"/>
    <cellStyle name="Millares 4 3 2 2 3 2 3 4" xfId="5579" xr:uid="{A462BA4B-213C-44E5-BF84-5A25FFD0FB14}"/>
    <cellStyle name="Millares 4 3 2 2 3 2 4" xfId="2112" xr:uid="{00000000-0005-0000-0000-0000FB020000}"/>
    <cellStyle name="Millares 4 3 2 2 3 2 5" xfId="4584" xr:uid="{673857DF-211A-4155-93B6-34604015D6F3}"/>
    <cellStyle name="Millares 4 3 2 2 3 2 6" xfId="5007" xr:uid="{B1C1B936-9E10-4231-9FF5-A9FFAF134E6E}"/>
    <cellStyle name="Millares 4 3 2 2 3 2 7" xfId="6853" xr:uid="{18A74562-4FF9-420E-BAD3-58F13D58682D}"/>
    <cellStyle name="Millares 4 3 2 2 3 2 8" xfId="7275" xr:uid="{A5619529-8EDD-4FCF-84AA-5507FD46B92F}"/>
    <cellStyle name="Millares 4 3 2 2 3 2 9" xfId="7697" xr:uid="{35340117-238C-459B-B67F-D88FDE407547}"/>
    <cellStyle name="Millares 4 3 2 2 3 3" xfId="844" xr:uid="{00000000-0005-0000-0000-0000FC020000}"/>
    <cellStyle name="Millares 4 3 2 2 3 3 2" xfId="3458" xr:uid="{00000000-0005-0000-0000-0000FD020000}"/>
    <cellStyle name="Millares 4 3 2 2 3 3 3" xfId="2383" xr:uid="{00000000-0005-0000-0000-0000FE020000}"/>
    <cellStyle name="Millares 4 3 2 2 3 3 4" xfId="4658" xr:uid="{D459793D-C33D-46F8-A958-3B267DBBC335}"/>
    <cellStyle name="Millares 4 3 2 2 3 3 5" xfId="5080" xr:uid="{C2254899-B710-4012-94F9-3230BA471742}"/>
    <cellStyle name="Millares 4 3 2 2 3 3 6" xfId="6926" xr:uid="{26E90700-44D8-4EDE-8429-23C2DFF8A2E9}"/>
    <cellStyle name="Millares 4 3 2 2 3 3 7" xfId="7348" xr:uid="{F00A6728-33EA-496F-8C2D-38CE7513CA6C}"/>
    <cellStyle name="Millares 4 3 2 2 3 3 8" xfId="7770" xr:uid="{7037BB93-B0BF-4CF7-8D99-1826DBF58BA8}"/>
    <cellStyle name="Millares 4 3 2 2 3 4" xfId="971" xr:uid="{00000000-0005-0000-0000-0000FF020000}"/>
    <cellStyle name="Millares 4 3 2 2 3 4 2" xfId="2919" xr:uid="{00000000-0005-0000-0000-000000030000}"/>
    <cellStyle name="Millares 4 3 2 2 3 4 2 2" xfId="6506" xr:uid="{EBC143EC-47E5-49B5-8810-DD618209019E}"/>
    <cellStyle name="Millares 4 3 2 2 3 4 2 3" xfId="5796" xr:uid="{0EF9D485-7425-45F5-89F0-7CE136C803C8}"/>
    <cellStyle name="Millares 4 3 2 2 3 4 3" xfId="6151" xr:uid="{06B726C4-4A32-40C6-B7F5-FA6304609B77}"/>
    <cellStyle name="Millares 4 3 2 2 3 4 4" xfId="5441" xr:uid="{6A103D1C-9A3E-4FED-A57D-C0BDA5CA02B6}"/>
    <cellStyle name="Millares 4 3 2 2 3 5" xfId="1828" xr:uid="{00000000-0005-0000-0000-000001030000}"/>
    <cellStyle name="Millares 4 3 2 2 3 6" xfId="4446" xr:uid="{58E977CA-7C05-427C-A9E4-980EF75F9DBC}"/>
    <cellStyle name="Millares 4 3 2 2 3 7" xfId="4869" xr:uid="{AAF63BD6-A498-4338-ABE5-E12823BC9B6F}"/>
    <cellStyle name="Millares 4 3 2 2 3 8" xfId="6715" xr:uid="{8C4F3898-31D0-4DA4-BF73-4A48C479C7BE}"/>
    <cellStyle name="Millares 4 3 2 2 3 9" xfId="7137" xr:uid="{550B7315-EE8A-420E-9374-A0302B7414E1}"/>
    <cellStyle name="Millares 4 3 2 2 4" xfId="454" xr:uid="{00000000-0005-0000-0000-000002030000}"/>
    <cellStyle name="Millares 4 3 2 2 4 10" xfId="6733" xr:uid="{D901F45E-7E6D-4039-BE18-E045C462F393}"/>
    <cellStyle name="Millares 4 3 2 2 4 11" xfId="7155" xr:uid="{2013BCB5-1C94-4A99-B8DA-40F238D75F9C}"/>
    <cellStyle name="Millares 4 3 2 2 4 12" xfId="7577" xr:uid="{882E085A-CF75-4E41-88AE-EFEA02C0C6A8}"/>
    <cellStyle name="Millares 4 3 2 2 4 2" xfId="742" xr:uid="{00000000-0005-0000-0000-000003030000}"/>
    <cellStyle name="Millares 4 3 2 2 4 2 10" xfId="7198" xr:uid="{C40F4ECF-FCFF-4E95-8259-9DC8A216D7BA}"/>
    <cellStyle name="Millares 4 3 2 2 4 2 11" xfId="7620" xr:uid="{53005C6C-DDB4-46E3-8A5D-1697EB339E7B}"/>
    <cellStyle name="Millares 4 3 2 2 4 2 2" xfId="1032" xr:uid="{00000000-0005-0000-0000-000004030000}"/>
    <cellStyle name="Millares 4 3 2 2 4 2 2 2" xfId="3821" xr:uid="{00000000-0005-0000-0000-000005030000}"/>
    <cellStyle name="Millares 4 3 2 2 4 2 2 2 2" xfId="6567" xr:uid="{159A9B6A-051E-4E2B-B946-09A883081110}"/>
    <cellStyle name="Millares 4 3 2 2 4 2 2 2 3" xfId="5857" xr:uid="{1A2C5712-D90B-421A-8DEA-B6A1F21175ED}"/>
    <cellStyle name="Millares 4 3 2 2 4 2 2 3" xfId="4364" xr:uid="{00000000-0005-0000-0000-000006030000}"/>
    <cellStyle name="Millares 4 3 2 2 4 2 2 3 2" xfId="6212" xr:uid="{724D8C32-F22F-4C17-BD06-AED782EAE9B8}"/>
    <cellStyle name="Millares 4 3 2 2 4 2 2 4" xfId="4719" xr:uid="{056C0493-8D2F-4B4E-9EC4-C2265CEE3AB4}"/>
    <cellStyle name="Millares 4 3 2 2 4 2 2 5" xfId="5141" xr:uid="{B94F98D6-35CC-4CB1-970E-9216C6A2282D}"/>
    <cellStyle name="Millares 4 3 2 2 4 2 2 6" xfId="5502" xr:uid="{4542B7A6-2FAF-454B-9177-E02BDFCF2C0E}"/>
    <cellStyle name="Millares 4 3 2 2 4 2 2 7" xfId="6987" xr:uid="{C2E2443B-A14A-4C22-A38B-0C9B0288110E}"/>
    <cellStyle name="Millares 4 3 2 2 4 2 2 8" xfId="7409" xr:uid="{6F25806D-A784-4D56-9FA2-A3C9A8AAF7E9}"/>
    <cellStyle name="Millares 4 3 2 2 4 2 2 9" xfId="7831" xr:uid="{220AA945-41FB-4575-8345-57CE0D500A5E}"/>
    <cellStyle name="Millares 4 3 2 2 4 2 3" xfId="2746" xr:uid="{00000000-0005-0000-0000-000007030000}"/>
    <cellStyle name="Millares 4 3 2 2 4 2 3 2" xfId="4222" xr:uid="{00000000-0005-0000-0000-000008030000}"/>
    <cellStyle name="Millares 4 3 2 2 4 2 3 2 2" xfId="6403" xr:uid="{FA3D928A-E814-4611-8EFA-AFD827AF4C68}"/>
    <cellStyle name="Millares 4 3 2 2 4 2 3 3" xfId="5693" xr:uid="{D3178B2A-A8C0-42DB-9ADE-A79E1E56735B}"/>
    <cellStyle name="Millares 4 3 2 2 4 2 4" xfId="1634" xr:uid="{00000000-0005-0000-0000-000009030000}"/>
    <cellStyle name="Millares 4 3 2 2 4 2 4 2" xfId="6048" xr:uid="{E7A04D73-7BE8-4F5D-8F11-4DEED3B4DF63}"/>
    <cellStyle name="Millares 4 3 2 2 4 2 5" xfId="4030" xr:uid="{00000000-0005-0000-0000-00000A030000}"/>
    <cellStyle name="Millares 4 3 2 2 4 2 6" xfId="4507" xr:uid="{EF56F79B-AE46-475B-8421-30863ED0DCCC}"/>
    <cellStyle name="Millares 4 3 2 2 4 2 7" xfId="4930" xr:uid="{AF985865-4E6B-453A-AE46-9CD904E444B1}"/>
    <cellStyle name="Millares 4 3 2 2 4 2 8" xfId="5338" xr:uid="{FCD9E422-087A-4356-8167-7122F9863DB3}"/>
    <cellStyle name="Millares 4 3 2 2 4 2 9" xfId="6776" xr:uid="{6C36249F-02EC-44EE-B13D-9B8284890F12}"/>
    <cellStyle name="Millares 4 3 2 2 4 3" xfId="989" xr:uid="{00000000-0005-0000-0000-00000B030000}"/>
    <cellStyle name="Millares 4 3 2 2 4 3 2" xfId="3278" xr:uid="{00000000-0005-0000-0000-00000C030000}"/>
    <cellStyle name="Millares 4 3 2 2 4 3 2 2" xfId="6524" xr:uid="{956FA15B-2CE8-4243-8880-82A6EC26036F}"/>
    <cellStyle name="Millares 4 3 2 2 4 3 2 3" xfId="5814" xr:uid="{C5B1F59D-DD8C-4ED0-8CB1-061A1D418EAB}"/>
    <cellStyle name="Millares 4 3 2 2 4 3 3" xfId="4269" xr:uid="{00000000-0005-0000-0000-00000D030000}"/>
    <cellStyle name="Millares 4 3 2 2 4 3 3 2" xfId="6169" xr:uid="{0CED77EF-A13D-4C5D-A369-287C71A79B5C}"/>
    <cellStyle name="Millares 4 3 2 2 4 3 4" xfId="4676" xr:uid="{A99AC338-5149-4DEB-A9E5-256F3ECDE144}"/>
    <cellStyle name="Millares 4 3 2 2 4 3 5" xfId="5098" xr:uid="{3FCAA362-E076-4381-8EC7-574642FCDD60}"/>
    <cellStyle name="Millares 4 3 2 2 4 3 6" xfId="5459" xr:uid="{A200109C-811A-4CBC-BA19-27F6A9ED993E}"/>
    <cellStyle name="Millares 4 3 2 2 4 3 7" xfId="6944" xr:uid="{BE3D23DA-A143-40D3-B2DD-2BB47C42EAA4}"/>
    <cellStyle name="Millares 4 3 2 2 4 3 8" xfId="7366" xr:uid="{2AB7B06B-883F-4EED-9BFD-97E3AE2E3367}"/>
    <cellStyle name="Millares 4 3 2 2 4 3 9" xfId="7788" xr:uid="{167E9132-AA14-4228-B1C1-8440E937ADCB}"/>
    <cellStyle name="Millares 4 3 2 2 4 4" xfId="2203" xr:uid="{00000000-0005-0000-0000-00000E030000}"/>
    <cellStyle name="Millares 4 3 2 2 4 4 2" xfId="4127" xr:uid="{00000000-0005-0000-0000-00000F030000}"/>
    <cellStyle name="Millares 4 3 2 2 4 4 2 2" xfId="6339" xr:uid="{5D58893D-D057-4763-8A13-0F84E2D77F4F}"/>
    <cellStyle name="Millares 4 3 2 2 4 4 3" xfId="5629" xr:uid="{3C34A8CD-E23A-4D05-9A78-AEE65894AF9A}"/>
    <cellStyle name="Millares 4 3 2 2 4 5" xfId="1150" xr:uid="{00000000-0005-0000-0000-000010030000}"/>
    <cellStyle name="Millares 4 3 2 2 4 5 2" xfId="5984" xr:uid="{28009E16-86ED-435D-AFA1-F3089FC867AB}"/>
    <cellStyle name="Millares 4 3 2 2 4 6" xfId="3935" xr:uid="{00000000-0005-0000-0000-000011030000}"/>
    <cellStyle name="Millares 4 3 2 2 4 7" xfId="4464" xr:uid="{2EBAAA5D-2D4C-4ED8-837C-8AD42246F5A3}"/>
    <cellStyle name="Millares 4 3 2 2 4 8" xfId="4887" xr:uid="{312C6FD1-57A8-44B1-B05C-3F3E83DE2746}"/>
    <cellStyle name="Millares 4 3 2 2 4 9" xfId="5274" xr:uid="{D4ADCAC2-CBC9-4C88-9924-211DE214CB7C}"/>
    <cellStyle name="Millares 4 3 2 2 5" xfId="531" xr:uid="{00000000-0005-0000-0000-000012030000}"/>
    <cellStyle name="Millares 4 3 2 2 5 2" xfId="862" xr:uid="{00000000-0005-0000-0000-000013030000}"/>
    <cellStyle name="Millares 4 3 2 2 5 2 2" xfId="3608" xr:uid="{00000000-0005-0000-0000-000014030000}"/>
    <cellStyle name="Millares 4 3 2 2 5 2 3" xfId="2533" xr:uid="{00000000-0005-0000-0000-000015030000}"/>
    <cellStyle name="Millares 4 3 2 2 5 2 4" xfId="4756" xr:uid="{2DB92B11-D51A-4762-B728-1F897A4D8AF1}"/>
    <cellStyle name="Millares 4 3 2 2 5 2 5" xfId="5178" xr:uid="{8472831C-D118-4402-A1C1-5AF89A263E6B}"/>
    <cellStyle name="Millares 4 3 2 2 5 2 6" xfId="7024" xr:uid="{87DCD391-D61F-4AD0-ABBA-7A725FBD8642}"/>
    <cellStyle name="Millares 4 3 2 2 5 2 7" xfId="7446" xr:uid="{E6164764-C3C3-43E7-8231-4989620C3966}"/>
    <cellStyle name="Millares 4 3 2 2 5 2 8" xfId="7868" xr:uid="{84D0EEB3-D467-40BB-83B6-F3B84DD21976}"/>
    <cellStyle name="Millares 4 3 2 2 5 3" xfId="1069" xr:uid="{00000000-0005-0000-0000-000016030000}"/>
    <cellStyle name="Millares 4 3 2 2 5 3 2" xfId="3081" xr:uid="{00000000-0005-0000-0000-000017030000}"/>
    <cellStyle name="Millares 4 3 2 2 5 3 2 2" xfId="6604" xr:uid="{2FB686B7-3AF7-4D30-BCD4-4002E07D691A}"/>
    <cellStyle name="Millares 4 3 2 2 5 3 2 3" xfId="5894" xr:uid="{C424BDB1-1912-45CC-8DA2-2B448C697A3D}"/>
    <cellStyle name="Millares 4 3 2 2 5 3 3" xfId="6249" xr:uid="{B671EFCC-D113-4CA0-B832-8AB589CD2B62}"/>
    <cellStyle name="Millares 4 3 2 2 5 3 4" xfId="5539" xr:uid="{87666A6F-8DDA-4C9C-9A41-192193ECEAD0}"/>
    <cellStyle name="Millares 4 3 2 2 5 4" xfId="1990" xr:uid="{00000000-0005-0000-0000-000018030000}"/>
    <cellStyle name="Millares 4 3 2 2 5 5" xfId="4544" xr:uid="{BD099957-DC6B-4D44-9DD6-8515DF889530}"/>
    <cellStyle name="Millares 4 3 2 2 5 6" xfId="4967" xr:uid="{FE670333-F67E-4A25-BA84-11241530F774}"/>
    <cellStyle name="Millares 4 3 2 2 5 7" xfId="6813" xr:uid="{2D7E34AE-1C12-4EA7-B456-7219345185C2}"/>
    <cellStyle name="Millares 4 3 2 2 5 8" xfId="7235" xr:uid="{A85F4A21-F1E2-4372-ADCD-3FA998ECC379}"/>
    <cellStyle name="Millares 4 3 2 2 5 9" xfId="7657" xr:uid="{4C2774B5-3539-454B-99A3-C5254B8C9202}"/>
    <cellStyle name="Millares 4 3 2 2 6" xfId="806" xr:uid="{00000000-0005-0000-0000-000019030000}"/>
    <cellStyle name="Millares 4 3 2 2 6 10" xfId="7726" xr:uid="{DB7ECB46-9C89-41AD-8C72-CB7D070FFD0D}"/>
    <cellStyle name="Millares 4 3 2 2 6 2" xfId="3366" xr:uid="{00000000-0005-0000-0000-00001A030000}"/>
    <cellStyle name="Millares 4 3 2 2 6 2 2" xfId="4305" xr:uid="{00000000-0005-0000-0000-00001B030000}"/>
    <cellStyle name="Millares 4 3 2 2 6 3" xfId="2291" xr:uid="{00000000-0005-0000-0000-00001C030000}"/>
    <cellStyle name="Millares 4 3 2 2 6 3 2" xfId="4163" xr:uid="{00000000-0005-0000-0000-00001D030000}"/>
    <cellStyle name="Millares 4 3 2 2 6 4" xfId="1238" xr:uid="{00000000-0005-0000-0000-00001E030000}"/>
    <cellStyle name="Millares 4 3 2 2 6 5" xfId="3971" xr:uid="{00000000-0005-0000-0000-00001F030000}"/>
    <cellStyle name="Millares 4 3 2 2 6 6" xfId="4614" xr:uid="{138FD870-5F59-471C-ADAD-8CCF3750661C}"/>
    <cellStyle name="Millares 4 3 2 2 6 7" xfId="5036" xr:uid="{6C6704FE-3272-4E82-879C-612B515C26F9}"/>
    <cellStyle name="Millares 4 3 2 2 6 8" xfId="6882" xr:uid="{DE266011-95E7-401E-AC65-4D9B94DF1785}"/>
    <cellStyle name="Millares 4 3 2 2 6 9" xfId="7304" xr:uid="{E61BCFB6-5489-4519-93CF-CF70C934D798}"/>
    <cellStyle name="Millares 4 3 2 2 7" xfId="921" xr:uid="{00000000-0005-0000-0000-000020030000}"/>
    <cellStyle name="Millares 4 3 2 2 7 2" xfId="2827" xr:uid="{00000000-0005-0000-0000-000021030000}"/>
    <cellStyle name="Millares 4 3 2 2 7 2 2" xfId="6462" xr:uid="{A37056B4-77A5-484B-A5B8-C266CFF8986F}"/>
    <cellStyle name="Millares 4 3 2 2 7 2 3" xfId="5752" xr:uid="{0CD1D2AC-FB85-470A-9503-24CAE57A2895}"/>
    <cellStyle name="Millares 4 3 2 2 7 3" xfId="6107" xr:uid="{F54F65DF-F1A3-49C4-BE4B-A70AA3EFCF61}"/>
    <cellStyle name="Millares 4 3 2 2 7 4" xfId="5397" xr:uid="{34D62050-4806-4C42-A0BE-58FF442DECD1}"/>
    <cellStyle name="Millares 4 3 2 2 8" xfId="1736" xr:uid="{00000000-0005-0000-0000-000022030000}"/>
    <cellStyle name="Millares 4 3 2 2 8 2" xfId="4068" xr:uid="{00000000-0005-0000-0000-000023030000}"/>
    <cellStyle name="Millares 4 3 2 2 9" xfId="4402" xr:uid="{42CE35AE-83C8-4BAC-81F9-21226381BCF5}"/>
    <cellStyle name="Millares 4 3 2 3" xfId="182" xr:uid="{00000000-0005-0000-0000-000024030000}"/>
    <cellStyle name="Millares 4 3 2 3 10" xfId="6682" xr:uid="{FCBF4256-001D-407A-BA6F-AFCB02756A44}"/>
    <cellStyle name="Millares 4 3 2 3 11" xfId="7104" xr:uid="{AE9A1BAA-14FD-42CD-8755-BB3CCB4C5E2F}"/>
    <cellStyle name="Millares 4 3 2 3 12" xfId="7526" xr:uid="{9B072D4B-64E9-4380-9336-28EA118F321E}"/>
    <cellStyle name="Millares 4 3 2 3 2" xfId="464" xr:uid="{00000000-0005-0000-0000-000025030000}"/>
    <cellStyle name="Millares 4 3 2 3 2 10" xfId="6743" xr:uid="{413D9B99-829A-4A3B-9F55-A4AF00A59758}"/>
    <cellStyle name="Millares 4 3 2 3 2 11" xfId="7165" xr:uid="{7F30EC6F-C99B-41A4-AB70-27EBFC960C2D}"/>
    <cellStyle name="Millares 4 3 2 3 2 12" xfId="7587" xr:uid="{BAE19C8A-A1E2-45BC-A772-FE385E0A3011}"/>
    <cellStyle name="Millares 4 3 2 3 2 2" xfId="752" xr:uid="{00000000-0005-0000-0000-000026030000}"/>
    <cellStyle name="Millares 4 3 2 3 2 2 10" xfId="7208" xr:uid="{7ECF48CA-D1C3-408E-BDF5-6EA7212CFB37}"/>
    <cellStyle name="Millares 4 3 2 3 2 2 11" xfId="7630" xr:uid="{748ADEBA-9393-42CB-A6B8-1294BE2429A1}"/>
    <cellStyle name="Millares 4 3 2 3 2 2 2" xfId="1042" xr:uid="{00000000-0005-0000-0000-000027030000}"/>
    <cellStyle name="Millares 4 3 2 3 2 2 2 2" xfId="3831" xr:uid="{00000000-0005-0000-0000-000028030000}"/>
    <cellStyle name="Millares 4 3 2 3 2 2 2 2 2" xfId="6577" xr:uid="{D6122B28-B0E2-418A-8234-34A9CDA3CF7C}"/>
    <cellStyle name="Millares 4 3 2 3 2 2 2 2 3" xfId="5867" xr:uid="{372C0E17-DC04-4946-8C7E-15D923B050E0}"/>
    <cellStyle name="Millares 4 3 2 3 2 2 2 3" xfId="4374" xr:uid="{00000000-0005-0000-0000-000029030000}"/>
    <cellStyle name="Millares 4 3 2 3 2 2 2 3 2" xfId="6222" xr:uid="{4CDBC9E8-81F4-43B0-8B76-D24DB65EB7F1}"/>
    <cellStyle name="Millares 4 3 2 3 2 2 2 4" xfId="4729" xr:uid="{94FFC580-419E-4D6D-A539-19C127134ABC}"/>
    <cellStyle name="Millares 4 3 2 3 2 2 2 5" xfId="5151" xr:uid="{5AC4EF40-B4D5-4B08-B7D0-2D3902765F3B}"/>
    <cellStyle name="Millares 4 3 2 3 2 2 2 6" xfId="5512" xr:uid="{3332D56D-A244-4220-B515-2C7242B89BD2}"/>
    <cellStyle name="Millares 4 3 2 3 2 2 2 7" xfId="6997" xr:uid="{23942C38-57DA-4E2F-B69C-90A47E0F0861}"/>
    <cellStyle name="Millares 4 3 2 3 2 2 2 8" xfId="7419" xr:uid="{E49FB382-FECD-48CA-8444-C2225C940F2A}"/>
    <cellStyle name="Millares 4 3 2 3 2 2 2 9" xfId="7841" xr:uid="{14B52D12-8C4D-474D-88C0-F69714D0983E}"/>
    <cellStyle name="Millares 4 3 2 3 2 2 3" xfId="2756" xr:uid="{00000000-0005-0000-0000-00002A030000}"/>
    <cellStyle name="Millares 4 3 2 3 2 2 3 2" xfId="4232" xr:uid="{00000000-0005-0000-0000-00002B030000}"/>
    <cellStyle name="Millares 4 3 2 3 2 2 3 2 2" xfId="6413" xr:uid="{114C1074-F24F-4811-9F4B-389EC55939DD}"/>
    <cellStyle name="Millares 4 3 2 3 2 2 3 3" xfId="5703" xr:uid="{C26B0413-DCFD-4556-A760-51250AA826A5}"/>
    <cellStyle name="Millares 4 3 2 3 2 2 4" xfId="1644" xr:uid="{00000000-0005-0000-0000-00002C030000}"/>
    <cellStyle name="Millares 4 3 2 3 2 2 4 2" xfId="6058" xr:uid="{EFF20158-D702-4771-8B17-3FE4339195B5}"/>
    <cellStyle name="Millares 4 3 2 3 2 2 5" xfId="4040" xr:uid="{00000000-0005-0000-0000-00002D030000}"/>
    <cellStyle name="Millares 4 3 2 3 2 2 6" xfId="4517" xr:uid="{9CC3DA0A-0CF9-4C39-8421-1E22FAA7A4AC}"/>
    <cellStyle name="Millares 4 3 2 3 2 2 7" xfId="4940" xr:uid="{8A0F6C0A-0E54-4A29-8976-581F9ED0FF42}"/>
    <cellStyle name="Millares 4 3 2 3 2 2 8" xfId="5348" xr:uid="{3F022DF3-53EA-48A0-864C-2739E624A217}"/>
    <cellStyle name="Millares 4 3 2 3 2 2 9" xfId="6786" xr:uid="{B87426FB-F708-438B-BBF9-9143B1397295}"/>
    <cellStyle name="Millares 4 3 2 3 2 3" xfId="999" xr:uid="{00000000-0005-0000-0000-00002E030000}"/>
    <cellStyle name="Millares 4 3 2 3 2 3 2" xfId="3288" xr:uid="{00000000-0005-0000-0000-00002F030000}"/>
    <cellStyle name="Millares 4 3 2 3 2 3 2 2" xfId="6534" xr:uid="{D88A0BBB-55CE-4F4C-A2A2-1C5900D12ED1}"/>
    <cellStyle name="Millares 4 3 2 3 2 3 2 3" xfId="5824" xr:uid="{237703F8-81F7-4E2B-A9AE-71C52D685F66}"/>
    <cellStyle name="Millares 4 3 2 3 2 3 3" xfId="4279" xr:uid="{00000000-0005-0000-0000-000030030000}"/>
    <cellStyle name="Millares 4 3 2 3 2 3 3 2" xfId="6179" xr:uid="{FFFE898B-7F29-49BF-8F9F-50B9623E7C95}"/>
    <cellStyle name="Millares 4 3 2 3 2 3 4" xfId="4686" xr:uid="{3D71BEB9-522D-457A-8B86-D19BF61A155A}"/>
    <cellStyle name="Millares 4 3 2 3 2 3 5" xfId="5108" xr:uid="{4DFBD68A-6CB3-49C5-A921-48C587B8785E}"/>
    <cellStyle name="Millares 4 3 2 3 2 3 6" xfId="5469" xr:uid="{5419E371-E04A-4CDD-B2FF-F11724E95256}"/>
    <cellStyle name="Millares 4 3 2 3 2 3 7" xfId="6954" xr:uid="{2D425A21-1C09-447E-A847-688AA426F27F}"/>
    <cellStyle name="Millares 4 3 2 3 2 3 8" xfId="7376" xr:uid="{E362D8F4-EA38-4AED-8A70-49906107D1E8}"/>
    <cellStyle name="Millares 4 3 2 3 2 3 9" xfId="7798" xr:uid="{87B29BAD-BD46-4E52-AD8E-9E47C36EE86D}"/>
    <cellStyle name="Millares 4 3 2 3 2 4" xfId="2213" xr:uid="{00000000-0005-0000-0000-000031030000}"/>
    <cellStyle name="Millares 4 3 2 3 2 4 2" xfId="4137" xr:uid="{00000000-0005-0000-0000-000032030000}"/>
    <cellStyle name="Millares 4 3 2 3 2 4 2 2" xfId="6349" xr:uid="{63DB6789-A694-40BA-A60F-D05CA2873872}"/>
    <cellStyle name="Millares 4 3 2 3 2 4 3" xfId="5639" xr:uid="{236A62A7-3FBE-4DB0-AE8E-CD3B8ED07AF0}"/>
    <cellStyle name="Millares 4 3 2 3 2 5" xfId="1160" xr:uid="{00000000-0005-0000-0000-000033030000}"/>
    <cellStyle name="Millares 4 3 2 3 2 5 2" xfId="5994" xr:uid="{DB537AB8-4545-4F09-83DC-B5B72958B0B3}"/>
    <cellStyle name="Millares 4 3 2 3 2 6" xfId="3945" xr:uid="{00000000-0005-0000-0000-000034030000}"/>
    <cellStyle name="Millares 4 3 2 3 2 7" xfId="4474" xr:uid="{A52E4457-B4B0-4351-B315-D0121D944860}"/>
    <cellStyle name="Millares 4 3 2 3 2 8" xfId="4897" xr:uid="{A0BD7DF2-C84E-47CB-94CC-AFA0F838C50B}"/>
    <cellStyle name="Millares 4 3 2 3 2 9" xfId="5284" xr:uid="{5804FBC0-C124-4135-A65B-B6797DDD08F9}"/>
    <cellStyle name="Millares 4 3 2 3 3" xfId="576" xr:uid="{00000000-0005-0000-0000-000035030000}"/>
    <cellStyle name="Millares 4 3 2 3 3 10" xfId="7668" xr:uid="{2E543B3B-8CB0-4720-B236-726EA28CA16B}"/>
    <cellStyle name="Millares 4 3 2 3 3 2" xfId="772" xr:uid="{00000000-0005-0000-0000-000036030000}"/>
    <cellStyle name="Millares 4 3 2 3 3 2 10" xfId="7457" xr:uid="{95F62C2A-7316-420B-825A-44C0FF3CB5BA}"/>
    <cellStyle name="Millares 4 3 2 3 3 2 11" xfId="7879" xr:uid="{3C536683-859E-43B6-9791-B2038B7145A6}"/>
    <cellStyle name="Millares 4 3 2 3 3 2 2" xfId="3653" xr:uid="{00000000-0005-0000-0000-000037030000}"/>
    <cellStyle name="Millares 4 3 2 3 3 2 2 2" xfId="4335" xr:uid="{00000000-0005-0000-0000-000038030000}"/>
    <cellStyle name="Millares 4 3 2 3 3 2 2 2 2" xfId="6433" xr:uid="{307C66AF-A64F-4CDB-BEDE-3A8F8378A3F6}"/>
    <cellStyle name="Millares 4 3 2 3 3 2 2 3" xfId="5723" xr:uid="{3AFF9923-068F-4F05-9403-95A552035328}"/>
    <cellStyle name="Millares 4 3 2 3 3 2 3" xfId="2578" xr:uid="{00000000-0005-0000-0000-000039030000}"/>
    <cellStyle name="Millares 4 3 2 3 3 2 3 2" xfId="4193" xr:uid="{00000000-0005-0000-0000-00003A030000}"/>
    <cellStyle name="Millares 4 3 2 3 3 2 3 3" xfId="6078" xr:uid="{3A52A3EE-48FB-4CE0-8373-13C2ADCBF350}"/>
    <cellStyle name="Millares 4 3 2 3 3 2 4" xfId="1488" xr:uid="{00000000-0005-0000-0000-00003B030000}"/>
    <cellStyle name="Millares 4 3 2 3 3 2 5" xfId="4001" xr:uid="{00000000-0005-0000-0000-00003C030000}"/>
    <cellStyle name="Millares 4 3 2 3 3 2 6" xfId="4767" xr:uid="{97F42CC1-E949-44BA-9CEE-D1C208112D76}"/>
    <cellStyle name="Millares 4 3 2 3 3 2 7" xfId="5189" xr:uid="{AD71A38C-4BFF-431D-AB32-2604E01557AB}"/>
    <cellStyle name="Millares 4 3 2 3 3 2 8" xfId="5368" xr:uid="{7160F012-03EE-473D-ADAD-7302647EC535}"/>
    <cellStyle name="Millares 4 3 2 3 3 2 9" xfId="7035" xr:uid="{9B9CA1B5-91F9-4C57-AE52-D0CA2A603DE8}"/>
    <cellStyle name="Millares 4 3 2 3 3 3" xfId="872" xr:uid="{00000000-0005-0000-0000-00003D030000}"/>
    <cellStyle name="Millares 4 3 2 3 3 4" xfId="1081" xr:uid="{00000000-0005-0000-0000-00003E030000}"/>
    <cellStyle name="Millares 4 3 2 3 3 4 2" xfId="2035" xr:uid="{00000000-0005-0000-0000-00003F030000}"/>
    <cellStyle name="Millares 4 3 2 3 3 4 2 2" xfId="6615" xr:uid="{D64C5894-2A27-4E55-8D3C-0D92AA01772C}"/>
    <cellStyle name="Millares 4 3 2 3 3 4 2 3" xfId="5905" xr:uid="{E94142D9-F410-4F5F-88DE-AE4B063C7861}"/>
    <cellStyle name="Millares 4 3 2 3 3 4 3" xfId="4098" xr:uid="{00000000-0005-0000-0000-000040030000}"/>
    <cellStyle name="Millares 4 3 2 3 3 4 3 2" xfId="6260" xr:uid="{92026B7E-60E1-4B25-8F97-D0124C4AFAC7}"/>
    <cellStyle name="Millares 4 3 2 3 3 4 4" xfId="5550" xr:uid="{C86B8038-7422-4D8A-A74A-D7E10B2256FA}"/>
    <cellStyle name="Millares 4 3 2 3 3 5" xfId="4555" xr:uid="{380C3683-8685-41F9-AE82-01B09D35ACAC}"/>
    <cellStyle name="Millares 4 3 2 3 3 5 2" xfId="6369" xr:uid="{DE6969F7-4583-47CA-8A25-7E05C0F507D0}"/>
    <cellStyle name="Millares 4 3 2 3 3 5 3" xfId="5659" xr:uid="{5CD02E95-8460-48C0-94CE-02D16B2F91D8}"/>
    <cellStyle name="Millares 4 3 2 3 3 6" xfId="4978" xr:uid="{ED61CC24-C6BA-4EBE-B85C-918A815F813C}"/>
    <cellStyle name="Millares 4 3 2 3 3 6 2" xfId="6014" xr:uid="{85E7D883-AF91-4CBD-8D75-9F91AC8D95CE}"/>
    <cellStyle name="Millares 4 3 2 3 3 7" xfId="5304" xr:uid="{C8B62FFA-64E8-431D-A932-797B9C0975F8}"/>
    <cellStyle name="Millares 4 3 2 3 3 8" xfId="6824" xr:uid="{AE4BAE01-107A-4306-A7AA-32B76C83F2AB}"/>
    <cellStyle name="Millares 4 3 2 3 3 9" xfId="7246" xr:uid="{5144D602-56A1-48D9-93E1-F6975192C01E}"/>
    <cellStyle name="Millares 4 3 2 3 4" xfId="816" xr:uid="{00000000-0005-0000-0000-000041030000}"/>
    <cellStyle name="Millares 4 3 2 3 4 10" xfId="7737" xr:uid="{07CB73B9-D872-4020-AE29-F0C97F045119}"/>
    <cellStyle name="Millares 4 3 2 3 4 2" xfId="3503" xr:uid="{00000000-0005-0000-0000-000042030000}"/>
    <cellStyle name="Millares 4 3 2 3 4 2 2" xfId="4315" xr:uid="{00000000-0005-0000-0000-000043030000}"/>
    <cellStyle name="Millares 4 3 2 3 4 3" xfId="2428" xr:uid="{00000000-0005-0000-0000-000044030000}"/>
    <cellStyle name="Millares 4 3 2 3 4 3 2" xfId="4173" xr:uid="{00000000-0005-0000-0000-000045030000}"/>
    <cellStyle name="Millares 4 3 2 3 4 4" xfId="1358" xr:uid="{00000000-0005-0000-0000-000046030000}"/>
    <cellStyle name="Millares 4 3 2 3 4 5" xfId="3981" xr:uid="{00000000-0005-0000-0000-000047030000}"/>
    <cellStyle name="Millares 4 3 2 3 4 6" xfId="4625" xr:uid="{BB93CFE4-CF16-481C-BAA6-F117EE4BAFFA}"/>
    <cellStyle name="Millares 4 3 2 3 4 7" xfId="5047" xr:uid="{A51C3520-74E6-401E-9FC6-4094A01C29F0}"/>
    <cellStyle name="Millares 4 3 2 3 4 8" xfId="6893" xr:uid="{06200E46-0395-4C6E-A1AA-9BCA3C9E4C7F}"/>
    <cellStyle name="Millares 4 3 2 3 4 9" xfId="7315" xr:uid="{EC485155-CD0E-454E-A86D-6EF29C3D11B6}"/>
    <cellStyle name="Millares 4 3 2 3 5" xfId="933" xr:uid="{00000000-0005-0000-0000-000048030000}"/>
    <cellStyle name="Millares 4 3 2 3 5 2" xfId="2964" xr:uid="{00000000-0005-0000-0000-000049030000}"/>
    <cellStyle name="Millares 4 3 2 3 5 2 2" xfId="6473" xr:uid="{3CDBD7BC-E374-491F-B5C6-32560D124FD3}"/>
    <cellStyle name="Millares 4 3 2 3 5 2 3" xfId="5763" xr:uid="{37B2F63E-CDAA-43C4-9405-1FD94640D390}"/>
    <cellStyle name="Millares 4 3 2 3 5 3" xfId="6118" xr:uid="{3D93B809-F720-4C79-A95C-4DC5D546D69E}"/>
    <cellStyle name="Millares 4 3 2 3 5 4" xfId="5408" xr:uid="{26EA84A4-EBDF-4286-A700-E95C84F968C8}"/>
    <cellStyle name="Millares 4 3 2 3 6" xfId="1873" xr:uid="{00000000-0005-0000-0000-00004A030000}"/>
    <cellStyle name="Millares 4 3 2 3 6 2" xfId="4078" xr:uid="{00000000-0005-0000-0000-00004B030000}"/>
    <cellStyle name="Millares 4 3 2 3 6 2 2" xfId="6310" xr:uid="{0E0A2B77-B3FA-49BF-AEBB-C262BC514E2F}"/>
    <cellStyle name="Millares 4 3 2 3 6 3" xfId="5600" xr:uid="{F561C303-AA88-4633-AD4E-EB6ECE70B985}"/>
    <cellStyle name="Millares 4 3 2 3 7" xfId="4413" xr:uid="{35189832-08C7-4407-90AE-519CFA98ADF3}"/>
    <cellStyle name="Millares 4 3 2 3 7 2" xfId="5955" xr:uid="{057201AF-FA92-49DF-B245-D5FA6C58705F}"/>
    <cellStyle name="Millares 4 3 2 3 8" xfId="4836" xr:uid="{39913738-FB26-4EE2-B412-AF21CD8990E4}"/>
    <cellStyle name="Millares 4 3 2 3 9" xfId="5245" xr:uid="{F1F1D250-32E7-44BE-BEF9-886336D1293B}"/>
    <cellStyle name="Millares 4 3 2 4" xfId="352" xr:uid="{00000000-0005-0000-0000-00004C030000}"/>
    <cellStyle name="Millares 4 3 2 4 10" xfId="7551" xr:uid="{C15FD133-8B33-45AA-B7D4-E7D3B58CA926}"/>
    <cellStyle name="Millares 4 3 2 4 2" xfId="635" xr:uid="{00000000-0005-0000-0000-00004D030000}"/>
    <cellStyle name="Millares 4 3 2 4 2 2" xfId="890" xr:uid="{00000000-0005-0000-0000-00004E030000}"/>
    <cellStyle name="Millares 4 3 2 4 2 2 2" xfId="3722" xr:uid="{00000000-0005-0000-0000-00004F030000}"/>
    <cellStyle name="Millares 4 3 2 4 2 2 3" xfId="2647" xr:uid="{00000000-0005-0000-0000-000050030000}"/>
    <cellStyle name="Millares 4 3 2 4 2 2 4" xfId="4788" xr:uid="{754BCE0F-FB6D-46A9-B219-FDC901890985}"/>
    <cellStyle name="Millares 4 3 2 4 2 2 5" xfId="5210" xr:uid="{AFC0C156-5ED6-4AE7-8D77-03D054C55ED9}"/>
    <cellStyle name="Millares 4 3 2 4 2 2 6" xfId="7056" xr:uid="{C606AB3A-49A9-449F-9D89-092E9A17377D}"/>
    <cellStyle name="Millares 4 3 2 4 2 2 7" xfId="7478" xr:uid="{357D1849-C490-44D3-8497-1F6052CCFD29}"/>
    <cellStyle name="Millares 4 3 2 4 2 2 8" xfId="7900" xr:uid="{B6BDB934-B269-4A04-934E-8C122C8D2550}"/>
    <cellStyle name="Millares 4 3 2 4 2 3" xfId="1103" xr:uid="{00000000-0005-0000-0000-000051030000}"/>
    <cellStyle name="Millares 4 3 2 4 2 3 2" xfId="3179" xr:uid="{00000000-0005-0000-0000-000052030000}"/>
    <cellStyle name="Millares 4 3 2 4 2 3 2 2" xfId="6636" xr:uid="{77C9E4A4-FC14-4DAC-9AEB-E7D322A15926}"/>
    <cellStyle name="Millares 4 3 2 4 2 3 2 3" xfId="5926" xr:uid="{52C8543F-822B-4DD3-86C3-918DA5F47AF0}"/>
    <cellStyle name="Millares 4 3 2 4 2 3 3" xfId="6281" xr:uid="{085E802C-B551-4561-921A-2219ADC6C7EC}"/>
    <cellStyle name="Millares 4 3 2 4 2 3 4" xfId="5571" xr:uid="{79CC5FA3-C02E-4773-9C41-6BEC93610BCD}"/>
    <cellStyle name="Millares 4 3 2 4 2 4" xfId="2104" xr:uid="{00000000-0005-0000-0000-000053030000}"/>
    <cellStyle name="Millares 4 3 2 4 2 5" xfId="4576" xr:uid="{F40B81D1-A4EA-4569-B8C0-23E2638878EC}"/>
    <cellStyle name="Millares 4 3 2 4 2 6" xfId="4999" xr:uid="{957579BC-3B5A-42DE-9FD1-82D6A21E88F3}"/>
    <cellStyle name="Millares 4 3 2 4 2 7" xfId="6845" xr:uid="{8C9C49E7-0E03-4CBE-833E-EB10DA1E0113}"/>
    <cellStyle name="Millares 4 3 2 4 2 8" xfId="7267" xr:uid="{B3CCBA9A-D467-44EA-B186-08FE158C6871}"/>
    <cellStyle name="Millares 4 3 2 4 2 9" xfId="7689" xr:uid="{75D3734C-49DF-4E3D-A089-25ABE509605D}"/>
    <cellStyle name="Millares 4 3 2 4 3" xfId="836" xr:uid="{00000000-0005-0000-0000-000054030000}"/>
    <cellStyle name="Millares 4 3 2 4 3 2" xfId="3416" xr:uid="{00000000-0005-0000-0000-000055030000}"/>
    <cellStyle name="Millares 4 3 2 4 3 3" xfId="2341" xr:uid="{00000000-0005-0000-0000-000056030000}"/>
    <cellStyle name="Millares 4 3 2 4 3 4" xfId="4650" xr:uid="{47ABCA6B-5011-452E-9577-0252ADE6FA31}"/>
    <cellStyle name="Millares 4 3 2 4 3 5" xfId="5072" xr:uid="{99D1A0A3-3287-4C27-A3BB-5599F6C997FF}"/>
    <cellStyle name="Millares 4 3 2 4 3 6" xfId="6918" xr:uid="{A889A0F7-955B-4262-992B-928ABEDBF6B4}"/>
    <cellStyle name="Millares 4 3 2 4 3 7" xfId="7340" xr:uid="{738182B3-741A-4E87-9A1D-80DE05BD7194}"/>
    <cellStyle name="Millares 4 3 2 4 3 8" xfId="7762" xr:uid="{FA582FF9-4962-4E6C-A936-13A98186015D}"/>
    <cellStyle name="Millares 4 3 2 4 4" xfId="963" xr:uid="{00000000-0005-0000-0000-000057030000}"/>
    <cellStyle name="Millares 4 3 2 4 4 2" xfId="2877" xr:uid="{00000000-0005-0000-0000-000058030000}"/>
    <cellStyle name="Millares 4 3 2 4 4 2 2" xfId="6498" xr:uid="{16048A06-2FEB-402C-B7A5-6751B03CC8C5}"/>
    <cellStyle name="Millares 4 3 2 4 4 2 3" xfId="5788" xr:uid="{D3A5143A-B2E6-4605-A470-F7FB20F08282}"/>
    <cellStyle name="Millares 4 3 2 4 4 3" xfId="6143" xr:uid="{FD5D2955-2C2B-419C-A713-57E13074F51F}"/>
    <cellStyle name="Millares 4 3 2 4 4 4" xfId="5433" xr:uid="{20FADF04-0C8F-47CE-9284-D02CD1F9EFB6}"/>
    <cellStyle name="Millares 4 3 2 4 5" xfId="1786" xr:uid="{00000000-0005-0000-0000-000059030000}"/>
    <cellStyle name="Millares 4 3 2 4 6" xfId="4438" xr:uid="{E5CBD70C-271D-4096-A37E-4BA25204C2A3}"/>
    <cellStyle name="Millares 4 3 2 4 7" xfId="4861" xr:uid="{F29D4B71-B8BD-42BE-BB4B-47FA1842BA7B}"/>
    <cellStyle name="Millares 4 3 2 4 8" xfId="6707" xr:uid="{6B94433D-8F2A-4503-9641-C005E14F3DFA}"/>
    <cellStyle name="Millares 4 3 2 4 9" xfId="7129" xr:uid="{71BB348C-2F74-4353-AB77-936165D74BD8}"/>
    <cellStyle name="Millares 4 3 2 5" xfId="446" xr:uid="{00000000-0005-0000-0000-00005A030000}"/>
    <cellStyle name="Millares 4 3 2 5 10" xfId="6725" xr:uid="{6779CC8E-4014-4EC8-8031-759B2BA0BF9C}"/>
    <cellStyle name="Millares 4 3 2 5 11" xfId="7147" xr:uid="{4EC89318-20B0-49FC-8647-8F9D3AAF435F}"/>
    <cellStyle name="Millares 4 3 2 5 12" xfId="7569" xr:uid="{2466FF29-0283-49B3-9714-964D4741A1B0}"/>
    <cellStyle name="Millares 4 3 2 5 2" xfId="734" xr:uid="{00000000-0005-0000-0000-00005B030000}"/>
    <cellStyle name="Millares 4 3 2 5 2 10" xfId="7190" xr:uid="{15938F83-C53E-4FE2-9C97-9E7F62EDBFB3}"/>
    <cellStyle name="Millares 4 3 2 5 2 11" xfId="7612" xr:uid="{5464840E-DD9A-49DE-BA81-C6287C3ED4BB}"/>
    <cellStyle name="Millares 4 3 2 5 2 2" xfId="1024" xr:uid="{00000000-0005-0000-0000-00005C030000}"/>
    <cellStyle name="Millares 4 3 2 5 2 2 2" xfId="3813" xr:uid="{00000000-0005-0000-0000-00005D030000}"/>
    <cellStyle name="Millares 4 3 2 5 2 2 2 2" xfId="6559" xr:uid="{EEEFD2CC-B13D-4F73-A8E0-7AE80A009C0F}"/>
    <cellStyle name="Millares 4 3 2 5 2 2 2 3" xfId="5849" xr:uid="{F60E660E-873D-4620-B954-8B9FFD9C4F3F}"/>
    <cellStyle name="Millares 4 3 2 5 2 2 3" xfId="4356" xr:uid="{00000000-0005-0000-0000-00005E030000}"/>
    <cellStyle name="Millares 4 3 2 5 2 2 3 2" xfId="6204" xr:uid="{E2F01AA3-BBE0-4043-A3E1-B7A5B6923F0C}"/>
    <cellStyle name="Millares 4 3 2 5 2 2 4" xfId="4711" xr:uid="{6674317B-F477-40AE-90CD-CD4418098F2A}"/>
    <cellStyle name="Millares 4 3 2 5 2 2 5" xfId="5133" xr:uid="{EF97E809-ABB2-4C9F-B7B2-A7E2EE442F3E}"/>
    <cellStyle name="Millares 4 3 2 5 2 2 6" xfId="5494" xr:uid="{5311761F-A53E-4A45-B861-97EA1097E81A}"/>
    <cellStyle name="Millares 4 3 2 5 2 2 7" xfId="6979" xr:uid="{931F97AD-6E32-4580-BD04-E13EF8E8309B}"/>
    <cellStyle name="Millares 4 3 2 5 2 2 8" xfId="7401" xr:uid="{3CF729B2-96BC-4D11-8EE1-C45274083213}"/>
    <cellStyle name="Millares 4 3 2 5 2 2 9" xfId="7823" xr:uid="{4B4F6B55-242D-49DC-9F5B-5049E3D62D88}"/>
    <cellStyle name="Millares 4 3 2 5 2 3" xfId="2738" xr:uid="{00000000-0005-0000-0000-00005F030000}"/>
    <cellStyle name="Millares 4 3 2 5 2 3 2" xfId="4214" xr:uid="{00000000-0005-0000-0000-000060030000}"/>
    <cellStyle name="Millares 4 3 2 5 2 3 2 2" xfId="6395" xr:uid="{61B89F76-994B-40FD-9710-27F6913B7339}"/>
    <cellStyle name="Millares 4 3 2 5 2 3 3" xfId="5685" xr:uid="{6E9CA64B-3810-4021-9C26-9609E0431DCF}"/>
    <cellStyle name="Millares 4 3 2 5 2 4" xfId="1626" xr:uid="{00000000-0005-0000-0000-000061030000}"/>
    <cellStyle name="Millares 4 3 2 5 2 4 2" xfId="6040" xr:uid="{C02D4B15-B7B7-4DF5-98B0-D7ACC8D0112F}"/>
    <cellStyle name="Millares 4 3 2 5 2 5" xfId="4022" xr:uid="{00000000-0005-0000-0000-000062030000}"/>
    <cellStyle name="Millares 4 3 2 5 2 6" xfId="4499" xr:uid="{BF51032C-44CD-4348-AC7E-27DE15DE5E80}"/>
    <cellStyle name="Millares 4 3 2 5 2 7" xfId="4922" xr:uid="{A396A235-4D41-4CAD-9214-2F7135A70036}"/>
    <cellStyle name="Millares 4 3 2 5 2 8" xfId="5330" xr:uid="{DAEC8D60-FBC8-4F0C-9707-A54BF7D6935B}"/>
    <cellStyle name="Millares 4 3 2 5 2 9" xfId="6768" xr:uid="{09F89816-9FAA-42E6-AFFE-70BBD8D19E07}"/>
    <cellStyle name="Millares 4 3 2 5 3" xfId="981" xr:uid="{00000000-0005-0000-0000-000063030000}"/>
    <cellStyle name="Millares 4 3 2 5 3 2" xfId="3270" xr:uid="{00000000-0005-0000-0000-000064030000}"/>
    <cellStyle name="Millares 4 3 2 5 3 2 2" xfId="6516" xr:uid="{0A4DA59B-FA61-4D7F-83B2-B8508DE43A2A}"/>
    <cellStyle name="Millares 4 3 2 5 3 2 3" xfId="5806" xr:uid="{E2FA52CE-97E2-4FB5-B109-FFFAFADAC81F}"/>
    <cellStyle name="Millares 4 3 2 5 3 3" xfId="4261" xr:uid="{00000000-0005-0000-0000-000065030000}"/>
    <cellStyle name="Millares 4 3 2 5 3 3 2" xfId="6161" xr:uid="{DCA84C6F-0B9A-48FF-AB98-F94C77809866}"/>
    <cellStyle name="Millares 4 3 2 5 3 4" xfId="4668" xr:uid="{15C1F7A3-972E-41F8-BC6C-1FEE85CEA0F8}"/>
    <cellStyle name="Millares 4 3 2 5 3 5" xfId="5090" xr:uid="{DF1FA038-B9AF-495B-8BAC-83DBE90B7C2F}"/>
    <cellStyle name="Millares 4 3 2 5 3 6" xfId="5451" xr:uid="{8B41EE5A-361A-4CCA-9EF1-0C329B54E4BE}"/>
    <cellStyle name="Millares 4 3 2 5 3 7" xfId="6936" xr:uid="{0EB972D4-2BA2-40E7-98A3-7C585E38635C}"/>
    <cellStyle name="Millares 4 3 2 5 3 8" xfId="7358" xr:uid="{21C7957D-D72D-4886-B728-4E41A58DB55D}"/>
    <cellStyle name="Millares 4 3 2 5 3 9" xfId="7780" xr:uid="{DBD88268-AE20-4118-8377-FA1F8F90668D}"/>
    <cellStyle name="Millares 4 3 2 5 4" xfId="2195" xr:uid="{00000000-0005-0000-0000-000066030000}"/>
    <cellStyle name="Millares 4 3 2 5 4 2" xfId="4119" xr:uid="{00000000-0005-0000-0000-000067030000}"/>
    <cellStyle name="Millares 4 3 2 5 4 2 2" xfId="6331" xr:uid="{4E7C8481-222A-4E84-A599-8C936E5605BB}"/>
    <cellStyle name="Millares 4 3 2 5 4 3" xfId="5621" xr:uid="{45959319-BBFC-4960-9E10-D3AA1C2C7F01}"/>
    <cellStyle name="Millares 4 3 2 5 5" xfId="1142" xr:uid="{00000000-0005-0000-0000-000068030000}"/>
    <cellStyle name="Millares 4 3 2 5 5 2" xfId="5976" xr:uid="{0145CBF8-ED1E-4932-937D-675CAE9C68B0}"/>
    <cellStyle name="Millares 4 3 2 5 6" xfId="3927" xr:uid="{00000000-0005-0000-0000-000069030000}"/>
    <cellStyle name="Millares 4 3 2 5 7" xfId="4456" xr:uid="{089D4928-9168-4E9E-82BA-D78445753DFA}"/>
    <cellStyle name="Millares 4 3 2 5 8" xfId="4879" xr:uid="{44DA629A-6502-4FA7-B344-5F23A895631E}"/>
    <cellStyle name="Millares 4 3 2 5 9" xfId="5266" xr:uid="{FDEDC1E7-99EE-4835-AF5F-AC66AD4A2CBC}"/>
    <cellStyle name="Millares 4 3 2 6" xfId="489" xr:uid="{00000000-0005-0000-0000-00006A030000}"/>
    <cellStyle name="Millares 4 3 2 6 2" xfId="854" xr:uid="{00000000-0005-0000-0000-00006B030000}"/>
    <cellStyle name="Millares 4 3 2 6 2 2" xfId="3566" xr:uid="{00000000-0005-0000-0000-00006C030000}"/>
    <cellStyle name="Millares 4 3 2 6 2 3" xfId="2491" xr:uid="{00000000-0005-0000-0000-00006D030000}"/>
    <cellStyle name="Millares 4 3 2 6 2 4" xfId="4748" xr:uid="{1CA16DAB-960E-4E22-98F2-A744B77C7E92}"/>
    <cellStyle name="Millares 4 3 2 6 2 5" xfId="5170" xr:uid="{011ECF20-79C7-4473-AD45-740DB5A964DE}"/>
    <cellStyle name="Millares 4 3 2 6 2 6" xfId="7016" xr:uid="{8380050A-47D2-47B8-857B-C75D72672F56}"/>
    <cellStyle name="Millares 4 3 2 6 2 7" xfId="7438" xr:uid="{F294F686-3354-434E-84AB-C2B62962EB81}"/>
    <cellStyle name="Millares 4 3 2 6 2 8" xfId="7860" xr:uid="{99124EBB-B9DA-4147-9BC7-59B126564FD2}"/>
    <cellStyle name="Millares 4 3 2 6 3" xfId="1061" xr:uid="{00000000-0005-0000-0000-00006E030000}"/>
    <cellStyle name="Millares 4 3 2 6 3 2" xfId="3039" xr:uid="{00000000-0005-0000-0000-00006F030000}"/>
    <cellStyle name="Millares 4 3 2 6 3 2 2" xfId="6596" xr:uid="{EA13259C-6EE2-4718-AD8C-4F2CE708C2C6}"/>
    <cellStyle name="Millares 4 3 2 6 3 2 3" xfId="5886" xr:uid="{85D89719-4619-44D4-81BD-49AD85CBC54D}"/>
    <cellStyle name="Millares 4 3 2 6 3 3" xfId="6241" xr:uid="{1C64FD2A-3263-488C-A0DE-CFA316F5C824}"/>
    <cellStyle name="Millares 4 3 2 6 3 4" xfId="5531" xr:uid="{AD6AB0EC-D292-4175-80D9-CCE1C8E3B5EB}"/>
    <cellStyle name="Millares 4 3 2 6 4" xfId="1948" xr:uid="{00000000-0005-0000-0000-000070030000}"/>
    <cellStyle name="Millares 4 3 2 6 5" xfId="4536" xr:uid="{0F5D4D46-E2E7-427A-8542-812035231CE0}"/>
    <cellStyle name="Millares 4 3 2 6 6" xfId="4959" xr:uid="{E4A61048-5F4F-4398-83EC-3C35C4D927A7}"/>
    <cellStyle name="Millares 4 3 2 6 7" xfId="6805" xr:uid="{4767601E-FEC0-455A-8224-0BF268A36A23}"/>
    <cellStyle name="Millares 4 3 2 6 8" xfId="7227" xr:uid="{63776715-040B-4EC8-A3F0-14A81C59098C}"/>
    <cellStyle name="Millares 4 3 2 6 9" xfId="7649" xr:uid="{D7D23FF1-2570-4016-BA10-9B5181BC161D}"/>
    <cellStyle name="Millares 4 3 2 7" xfId="798" xr:uid="{00000000-0005-0000-0000-000071030000}"/>
    <cellStyle name="Millares 4 3 2 7 10" xfId="7718" xr:uid="{5146701D-D1B3-4D85-BD94-AA57D4A7D646}"/>
    <cellStyle name="Millares 4 3 2 7 2" xfId="3324" xr:uid="{00000000-0005-0000-0000-000072030000}"/>
    <cellStyle name="Millares 4 3 2 7 2 2" xfId="4297" xr:uid="{00000000-0005-0000-0000-000073030000}"/>
    <cellStyle name="Millares 4 3 2 7 3" xfId="2249" xr:uid="{00000000-0005-0000-0000-000074030000}"/>
    <cellStyle name="Millares 4 3 2 7 3 2" xfId="4155" xr:uid="{00000000-0005-0000-0000-000075030000}"/>
    <cellStyle name="Millares 4 3 2 7 4" xfId="1196" xr:uid="{00000000-0005-0000-0000-000076030000}"/>
    <cellStyle name="Millares 4 3 2 7 5" xfId="3963" xr:uid="{00000000-0005-0000-0000-000077030000}"/>
    <cellStyle name="Millares 4 3 2 7 6" xfId="4606" xr:uid="{658797EC-38DC-4283-A88D-8061ECA20EA4}"/>
    <cellStyle name="Millares 4 3 2 7 7" xfId="5028" xr:uid="{6E6ACC53-D398-4B09-9FEB-901FAE4CDC42}"/>
    <cellStyle name="Millares 4 3 2 7 8" xfId="6874" xr:uid="{51FC717C-9348-4FEC-A2E0-FD02132A8FF5}"/>
    <cellStyle name="Millares 4 3 2 7 9" xfId="7296" xr:uid="{96E4D553-5A03-46F6-B343-A270BDE7EADD}"/>
    <cellStyle name="Millares 4 3 2 8" xfId="911" xr:uid="{00000000-0005-0000-0000-000078030000}"/>
    <cellStyle name="Millares 4 3 2 8 2" xfId="2785" xr:uid="{00000000-0005-0000-0000-000079030000}"/>
    <cellStyle name="Millares 4 3 2 8 2 2" xfId="6454" xr:uid="{293B362E-2AEF-44B0-B03B-EF971D329ACC}"/>
    <cellStyle name="Millares 4 3 2 8 2 3" xfId="5744" xr:uid="{D55FEA01-878D-426D-B141-76E967482F59}"/>
    <cellStyle name="Millares 4 3 2 8 3" xfId="6099" xr:uid="{9ACA1990-A04C-4B41-A881-6332D0D59CB9}"/>
    <cellStyle name="Millares 4 3 2 8 4" xfId="5389" xr:uid="{71858E9B-751F-487E-BF85-7CE328E22951}"/>
    <cellStyle name="Millares 4 3 2 9" xfId="1694" xr:uid="{00000000-0005-0000-0000-00007A030000}"/>
    <cellStyle name="Millares 4 3 2 9 2" xfId="4060" xr:uid="{00000000-0005-0000-0000-00007B030000}"/>
    <cellStyle name="Millares 4 3 3" xfId="86" xr:uid="{00000000-0005-0000-0000-00007C030000}"/>
    <cellStyle name="Millares 4 3 3 10" xfId="4824" xr:uid="{26CB31D1-9A7E-43D6-B2D7-22A099ED1B54}"/>
    <cellStyle name="Millares 4 3 3 11" xfId="6670" xr:uid="{78F07CB6-96A4-4E8A-BDA4-F71CBF23F249}"/>
    <cellStyle name="Millares 4 3 3 12" xfId="7092" xr:uid="{7777B32A-BEAC-41C8-801C-85FBD0E91D0C}"/>
    <cellStyle name="Millares 4 3 3 13" xfId="7514" xr:uid="{1D5C35D5-1AFC-4F27-906D-6C5E4B0CC411}"/>
    <cellStyle name="Millares 4 3 3 2" xfId="193" xr:uid="{00000000-0005-0000-0000-00007D030000}"/>
    <cellStyle name="Millares 4 3 3 2 10" xfId="6689" xr:uid="{00492F7C-95C1-4C27-BB0B-B98AE1667D3F}"/>
    <cellStyle name="Millares 4 3 3 2 11" xfId="7111" xr:uid="{2B7F234F-F123-49F0-A2E9-FC931536A136}"/>
    <cellStyle name="Millares 4 3 3 2 12" xfId="7533" xr:uid="{EC9DD244-A778-42A6-A09C-0DBD3D90743F}"/>
    <cellStyle name="Millares 4 3 3 2 2" xfId="471" xr:uid="{00000000-0005-0000-0000-00007E030000}"/>
    <cellStyle name="Millares 4 3 3 2 2 10" xfId="6750" xr:uid="{3E5DF439-1634-4D2E-8EBB-A9A853CFCD27}"/>
    <cellStyle name="Millares 4 3 3 2 2 11" xfId="7172" xr:uid="{47D3E7B0-8B13-4DB3-8692-5BB86C722E58}"/>
    <cellStyle name="Millares 4 3 3 2 2 12" xfId="7594" xr:uid="{613BA6A9-ED7D-4749-A993-A736AFD1E4C4}"/>
    <cellStyle name="Millares 4 3 3 2 2 2" xfId="759" xr:uid="{00000000-0005-0000-0000-00007F030000}"/>
    <cellStyle name="Millares 4 3 3 2 2 2 10" xfId="7215" xr:uid="{0FC6EF14-CACA-4CF2-B3B7-798181124C8D}"/>
    <cellStyle name="Millares 4 3 3 2 2 2 11" xfId="7637" xr:uid="{8A0D67B0-B126-4E23-AA77-51978B0CE0B0}"/>
    <cellStyle name="Millares 4 3 3 2 2 2 2" xfId="1049" xr:uid="{00000000-0005-0000-0000-000080030000}"/>
    <cellStyle name="Millares 4 3 3 2 2 2 2 2" xfId="3838" xr:uid="{00000000-0005-0000-0000-000081030000}"/>
    <cellStyle name="Millares 4 3 3 2 2 2 2 2 2" xfId="6584" xr:uid="{1910AD76-5F1D-4C9B-845B-792EE084FF18}"/>
    <cellStyle name="Millares 4 3 3 2 2 2 2 2 3" xfId="5874" xr:uid="{11A51EAB-FE97-4787-B3D8-C23044F2F996}"/>
    <cellStyle name="Millares 4 3 3 2 2 2 2 3" xfId="4381" xr:uid="{00000000-0005-0000-0000-000082030000}"/>
    <cellStyle name="Millares 4 3 3 2 2 2 2 3 2" xfId="6229" xr:uid="{46A594CC-3B15-40E2-A331-7B6A20B23C80}"/>
    <cellStyle name="Millares 4 3 3 2 2 2 2 4" xfId="4736" xr:uid="{81C89666-3287-49BD-8FD8-CD351AFA20BD}"/>
    <cellStyle name="Millares 4 3 3 2 2 2 2 5" xfId="5158" xr:uid="{2C24ACFC-8B6C-4F0C-9954-08362A9B1D7D}"/>
    <cellStyle name="Millares 4 3 3 2 2 2 2 6" xfId="5519" xr:uid="{06508147-B9DF-4275-ACD6-DEF729717549}"/>
    <cellStyle name="Millares 4 3 3 2 2 2 2 7" xfId="7004" xr:uid="{EED42325-9573-4130-B585-21DC6940CBF7}"/>
    <cellStyle name="Millares 4 3 3 2 2 2 2 8" xfId="7426" xr:uid="{A7A2FE39-9257-4C78-9393-7C571D5139DA}"/>
    <cellStyle name="Millares 4 3 3 2 2 2 2 9" xfId="7848" xr:uid="{15981FED-29EC-4AA5-96A3-CAAD92FDD947}"/>
    <cellStyle name="Millares 4 3 3 2 2 2 3" xfId="2763" xr:uid="{00000000-0005-0000-0000-000083030000}"/>
    <cellStyle name="Millares 4 3 3 2 2 2 3 2" xfId="4239" xr:uid="{00000000-0005-0000-0000-000084030000}"/>
    <cellStyle name="Millares 4 3 3 2 2 2 3 2 2" xfId="6420" xr:uid="{E44ADE60-4EEA-4CF9-AEC0-37FC72B054CE}"/>
    <cellStyle name="Millares 4 3 3 2 2 2 3 3" xfId="5710" xr:uid="{FABBD1AF-0DC1-4D49-89BA-D30FF3670458}"/>
    <cellStyle name="Millares 4 3 3 2 2 2 4" xfId="1651" xr:uid="{00000000-0005-0000-0000-000085030000}"/>
    <cellStyle name="Millares 4 3 3 2 2 2 4 2" xfId="6065" xr:uid="{F1B1BE03-5B4C-4917-99AA-F95D2A5BA704}"/>
    <cellStyle name="Millares 4 3 3 2 2 2 5" xfId="4047" xr:uid="{00000000-0005-0000-0000-000086030000}"/>
    <cellStyle name="Millares 4 3 3 2 2 2 6" xfId="4524" xr:uid="{92D071DB-52F0-4D26-9520-9722D2AED1EA}"/>
    <cellStyle name="Millares 4 3 3 2 2 2 7" xfId="4947" xr:uid="{038ED120-726C-4841-AE85-87C302F20AB3}"/>
    <cellStyle name="Millares 4 3 3 2 2 2 8" xfId="5355" xr:uid="{41C99EB9-54BA-4382-9786-3A576C092C9C}"/>
    <cellStyle name="Millares 4 3 3 2 2 2 9" xfId="6793" xr:uid="{6B6DA159-6475-4244-98CC-744F1C1D73F8}"/>
    <cellStyle name="Millares 4 3 3 2 2 3" xfId="1006" xr:uid="{00000000-0005-0000-0000-000087030000}"/>
    <cellStyle name="Millares 4 3 3 2 2 3 2" xfId="3295" xr:uid="{00000000-0005-0000-0000-000088030000}"/>
    <cellStyle name="Millares 4 3 3 2 2 3 2 2" xfId="6541" xr:uid="{72AF15B3-EB38-4F76-83EE-B606EADC0B91}"/>
    <cellStyle name="Millares 4 3 3 2 2 3 2 3" xfId="5831" xr:uid="{AB06C4F6-8602-424A-9420-C2E77BF85B31}"/>
    <cellStyle name="Millares 4 3 3 2 2 3 3" xfId="4286" xr:uid="{00000000-0005-0000-0000-000089030000}"/>
    <cellStyle name="Millares 4 3 3 2 2 3 3 2" xfId="6186" xr:uid="{81AFBB5C-2542-4900-A762-EAE89AFFE554}"/>
    <cellStyle name="Millares 4 3 3 2 2 3 4" xfId="4693" xr:uid="{BBFA697B-E8F2-40D2-AEC1-5CE190B5D489}"/>
    <cellStyle name="Millares 4 3 3 2 2 3 5" xfId="5115" xr:uid="{E428234C-3AB0-458C-9164-DCBA204802D7}"/>
    <cellStyle name="Millares 4 3 3 2 2 3 6" xfId="5476" xr:uid="{6245E049-AF94-4711-9530-514465193D8D}"/>
    <cellStyle name="Millares 4 3 3 2 2 3 7" xfId="6961" xr:uid="{94BAF44C-1B1A-4870-BE96-89A7D82A04EF}"/>
    <cellStyle name="Millares 4 3 3 2 2 3 8" xfId="7383" xr:uid="{9915B2BF-0CD4-4C6F-87AF-11DCAA50042C}"/>
    <cellStyle name="Millares 4 3 3 2 2 3 9" xfId="7805" xr:uid="{2DECC4EC-D861-4B55-A0C6-493FF90C0A3F}"/>
    <cellStyle name="Millares 4 3 3 2 2 4" xfId="2220" xr:uid="{00000000-0005-0000-0000-00008A030000}"/>
    <cellStyle name="Millares 4 3 3 2 2 4 2" xfId="4144" xr:uid="{00000000-0005-0000-0000-00008B030000}"/>
    <cellStyle name="Millares 4 3 3 2 2 4 2 2" xfId="6356" xr:uid="{6A7B11F3-9A80-43AE-B283-403E8A499BE4}"/>
    <cellStyle name="Millares 4 3 3 2 2 4 3" xfId="5646" xr:uid="{0B5F526C-D312-44C4-94B9-9F15B80774AD}"/>
    <cellStyle name="Millares 4 3 3 2 2 5" xfId="1167" xr:uid="{00000000-0005-0000-0000-00008C030000}"/>
    <cellStyle name="Millares 4 3 3 2 2 5 2" xfId="6001" xr:uid="{BA89B1D9-6E78-4266-AFF3-6362E932B7BF}"/>
    <cellStyle name="Millares 4 3 3 2 2 6" xfId="3952" xr:uid="{00000000-0005-0000-0000-00008D030000}"/>
    <cellStyle name="Millares 4 3 3 2 2 7" xfId="4481" xr:uid="{8A935E25-CC87-45B5-B283-F0E6F9D52AB3}"/>
    <cellStyle name="Millares 4 3 3 2 2 8" xfId="4904" xr:uid="{4D9ED6D2-54BE-4C91-9AE7-320CE35166D8}"/>
    <cellStyle name="Millares 4 3 3 2 2 9" xfId="5291" xr:uid="{3818DF08-B749-4422-AB4A-C802ACC18BF3}"/>
    <cellStyle name="Millares 4 3 3 2 3" xfId="583" xr:uid="{00000000-0005-0000-0000-00008E030000}"/>
    <cellStyle name="Millares 4 3 3 2 3 10" xfId="7675" xr:uid="{3FF9F44C-17F7-4549-9A95-7658739F481A}"/>
    <cellStyle name="Millares 4 3 3 2 3 2" xfId="779" xr:uid="{00000000-0005-0000-0000-00008F030000}"/>
    <cellStyle name="Millares 4 3 3 2 3 2 10" xfId="7464" xr:uid="{A1485977-5F1C-4504-B1F9-C2FC16CE36E2}"/>
    <cellStyle name="Millares 4 3 3 2 3 2 11" xfId="7886" xr:uid="{82EB49FE-161D-4DF9-B3A1-02C691D6BF99}"/>
    <cellStyle name="Millares 4 3 3 2 3 2 2" xfId="3660" xr:uid="{00000000-0005-0000-0000-000090030000}"/>
    <cellStyle name="Millares 4 3 3 2 3 2 2 2" xfId="4342" xr:uid="{00000000-0005-0000-0000-000091030000}"/>
    <cellStyle name="Millares 4 3 3 2 3 2 2 2 2" xfId="6440" xr:uid="{4B8AC818-ACF9-4F6A-B498-1510CD6DB59D}"/>
    <cellStyle name="Millares 4 3 3 2 3 2 2 3" xfId="5730" xr:uid="{A0143244-17DB-49B8-8DC9-7ED3A6A64077}"/>
    <cellStyle name="Millares 4 3 3 2 3 2 3" xfId="2585" xr:uid="{00000000-0005-0000-0000-000092030000}"/>
    <cellStyle name="Millares 4 3 3 2 3 2 3 2" xfId="4200" xr:uid="{00000000-0005-0000-0000-000093030000}"/>
    <cellStyle name="Millares 4 3 3 2 3 2 3 3" xfId="6085" xr:uid="{590B9F6A-F9D9-414F-8B74-5E5CBB9E2B0A}"/>
    <cellStyle name="Millares 4 3 3 2 3 2 4" xfId="1495" xr:uid="{00000000-0005-0000-0000-000094030000}"/>
    <cellStyle name="Millares 4 3 3 2 3 2 5" xfId="4008" xr:uid="{00000000-0005-0000-0000-000095030000}"/>
    <cellStyle name="Millares 4 3 3 2 3 2 6" xfId="4774" xr:uid="{3AFB81F1-C313-441C-9C59-F548795E333D}"/>
    <cellStyle name="Millares 4 3 3 2 3 2 7" xfId="5196" xr:uid="{D8991372-1A41-48D5-83CB-F6B4C05F2631}"/>
    <cellStyle name="Millares 4 3 3 2 3 2 8" xfId="5375" xr:uid="{EBEF8F39-7FAE-4789-95DB-92BDEC518B21}"/>
    <cellStyle name="Millares 4 3 3 2 3 2 9" xfId="7042" xr:uid="{64E58E78-BABF-4DE0-8B13-E427333D95F5}"/>
    <cellStyle name="Millares 4 3 3 2 3 3" xfId="879" xr:uid="{00000000-0005-0000-0000-000096030000}"/>
    <cellStyle name="Millares 4 3 3 2 3 4" xfId="1088" xr:uid="{00000000-0005-0000-0000-000097030000}"/>
    <cellStyle name="Millares 4 3 3 2 3 4 2" xfId="2042" xr:uid="{00000000-0005-0000-0000-000098030000}"/>
    <cellStyle name="Millares 4 3 3 2 3 4 2 2" xfId="6622" xr:uid="{D486E58D-E872-44FD-998E-25DAB132C5D9}"/>
    <cellStyle name="Millares 4 3 3 2 3 4 2 3" xfId="5912" xr:uid="{7C7BD6B4-0EA9-4975-AF39-2F577D033AA7}"/>
    <cellStyle name="Millares 4 3 3 2 3 4 3" xfId="4105" xr:uid="{00000000-0005-0000-0000-000099030000}"/>
    <cellStyle name="Millares 4 3 3 2 3 4 3 2" xfId="6267" xr:uid="{21F29159-0D00-41DA-80E1-DDC3E0B1BD2E}"/>
    <cellStyle name="Millares 4 3 3 2 3 4 4" xfId="5557" xr:uid="{D818A0F7-595B-40AF-B01E-7AA4D8691640}"/>
    <cellStyle name="Millares 4 3 3 2 3 5" xfId="4562" xr:uid="{90C7D97A-38FA-4FFA-9C05-5C39A97AE933}"/>
    <cellStyle name="Millares 4 3 3 2 3 5 2" xfId="6376" xr:uid="{A403CBF5-2140-4D75-A2C9-BDE41379275C}"/>
    <cellStyle name="Millares 4 3 3 2 3 5 3" xfId="5666" xr:uid="{C7CE54A0-4811-4730-A3E7-AE6CB675462A}"/>
    <cellStyle name="Millares 4 3 3 2 3 6" xfId="4985" xr:uid="{0C9D9469-ABAD-4387-8B18-66946D84FB29}"/>
    <cellStyle name="Millares 4 3 3 2 3 6 2" xfId="6021" xr:uid="{261399F1-FF6C-4A7C-9458-623D7DF42E3D}"/>
    <cellStyle name="Millares 4 3 3 2 3 7" xfId="5311" xr:uid="{D5228067-693D-4F09-BE64-CA4E9E9E915F}"/>
    <cellStyle name="Millares 4 3 3 2 3 8" xfId="6831" xr:uid="{B41C33F1-D449-434B-B2CB-5D810B8CAA4D}"/>
    <cellStyle name="Millares 4 3 3 2 3 9" xfId="7253" xr:uid="{4581E9E3-41E5-4EA3-9292-5D4721086C68}"/>
    <cellStyle name="Millares 4 3 3 2 4" xfId="823" xr:uid="{00000000-0005-0000-0000-00009A030000}"/>
    <cellStyle name="Millares 4 3 3 2 4 10" xfId="7744" xr:uid="{F685FB3E-9214-49FB-8F10-FCF23192A709}"/>
    <cellStyle name="Millares 4 3 3 2 4 2" xfId="3510" xr:uid="{00000000-0005-0000-0000-00009B030000}"/>
    <cellStyle name="Millares 4 3 3 2 4 2 2" xfId="4322" xr:uid="{00000000-0005-0000-0000-00009C030000}"/>
    <cellStyle name="Millares 4 3 3 2 4 3" xfId="2435" xr:uid="{00000000-0005-0000-0000-00009D030000}"/>
    <cellStyle name="Millares 4 3 3 2 4 3 2" xfId="4180" xr:uid="{00000000-0005-0000-0000-00009E030000}"/>
    <cellStyle name="Millares 4 3 3 2 4 4" xfId="1365" xr:uid="{00000000-0005-0000-0000-00009F030000}"/>
    <cellStyle name="Millares 4 3 3 2 4 5" xfId="3988" xr:uid="{00000000-0005-0000-0000-0000A0030000}"/>
    <cellStyle name="Millares 4 3 3 2 4 6" xfId="4632" xr:uid="{150EE442-35E7-43D6-8F45-47C7B04455F2}"/>
    <cellStyle name="Millares 4 3 3 2 4 7" xfId="5054" xr:uid="{1E5FEB5B-B985-46CE-BECE-30A0FAA3D77C}"/>
    <cellStyle name="Millares 4 3 3 2 4 8" xfId="6900" xr:uid="{0A65C22B-0ECD-44D9-A3B3-6BBA201BBE9F}"/>
    <cellStyle name="Millares 4 3 3 2 4 9" xfId="7322" xr:uid="{68EEE191-6661-434F-8B8D-CAA2C2B2F685}"/>
    <cellStyle name="Millares 4 3 3 2 5" xfId="941" xr:uid="{00000000-0005-0000-0000-0000A1030000}"/>
    <cellStyle name="Millares 4 3 3 2 5 2" xfId="2971" xr:uid="{00000000-0005-0000-0000-0000A2030000}"/>
    <cellStyle name="Millares 4 3 3 2 5 2 2" xfId="6480" xr:uid="{CD46F261-06D8-4A3B-A77E-5033E011DAC6}"/>
    <cellStyle name="Millares 4 3 3 2 5 2 3" xfId="5770" xr:uid="{BC9CE5CA-CE57-4357-9DB9-71E240159DD9}"/>
    <cellStyle name="Millares 4 3 3 2 5 3" xfId="6125" xr:uid="{5C3EE4DA-8FB3-4959-9E04-B077238FB848}"/>
    <cellStyle name="Millares 4 3 3 2 5 4" xfId="5415" xr:uid="{539DABCF-0651-4D42-B681-3DEF719F887A}"/>
    <cellStyle name="Millares 4 3 3 2 6" xfId="1880" xr:uid="{00000000-0005-0000-0000-0000A3030000}"/>
    <cellStyle name="Millares 4 3 3 2 6 2" xfId="4085" xr:uid="{00000000-0005-0000-0000-0000A4030000}"/>
    <cellStyle name="Millares 4 3 3 2 6 2 2" xfId="6317" xr:uid="{BA08CA4D-815D-4E44-8BC7-233E2ED0A030}"/>
    <cellStyle name="Millares 4 3 3 2 6 3" xfId="5607" xr:uid="{71067D97-80B7-4362-877D-9970BA04EEAD}"/>
    <cellStyle name="Millares 4 3 3 2 7" xfId="4420" xr:uid="{B31946EE-70A7-4A93-A6C5-805B43DF05D6}"/>
    <cellStyle name="Millares 4 3 3 2 7 2" xfId="5962" xr:uid="{0804B600-1EAC-433E-A2AD-3F80E35465D2}"/>
    <cellStyle name="Millares 4 3 3 2 8" xfId="4843" xr:uid="{1E626F87-D668-4E53-B566-630040D77AD3}"/>
    <cellStyle name="Millares 4 3 3 2 9" xfId="5252" xr:uid="{AD407ACF-81E5-4DDD-9DD4-AE5930D56A24}"/>
    <cellStyle name="Millares 4 3 3 3" xfId="359" xr:uid="{00000000-0005-0000-0000-0000A5030000}"/>
    <cellStyle name="Millares 4 3 3 3 10" xfId="7558" xr:uid="{9D950D0E-0AD9-468B-9AEB-B9F071AC2A88}"/>
    <cellStyle name="Millares 4 3 3 3 2" xfId="642" xr:uid="{00000000-0005-0000-0000-0000A6030000}"/>
    <cellStyle name="Millares 4 3 3 3 2 2" xfId="897" xr:uid="{00000000-0005-0000-0000-0000A7030000}"/>
    <cellStyle name="Millares 4 3 3 3 2 2 2" xfId="3729" xr:uid="{00000000-0005-0000-0000-0000A8030000}"/>
    <cellStyle name="Millares 4 3 3 3 2 2 3" xfId="2654" xr:uid="{00000000-0005-0000-0000-0000A9030000}"/>
    <cellStyle name="Millares 4 3 3 3 2 2 4" xfId="4795" xr:uid="{5C14566E-3243-445C-94FC-7812C9C62AF1}"/>
    <cellStyle name="Millares 4 3 3 3 2 2 5" xfId="5217" xr:uid="{086C5188-2F40-453D-8145-5928813E4E4E}"/>
    <cellStyle name="Millares 4 3 3 3 2 2 6" xfId="7063" xr:uid="{1BA9ECC6-B947-4E28-8051-0AF807CCA164}"/>
    <cellStyle name="Millares 4 3 3 3 2 2 7" xfId="7485" xr:uid="{A415C125-2F9C-47E6-BAB7-94004B00C468}"/>
    <cellStyle name="Millares 4 3 3 3 2 2 8" xfId="7907" xr:uid="{53493B91-2418-4CC1-8DB3-0159DB61771F}"/>
    <cellStyle name="Millares 4 3 3 3 2 3" xfId="1110" xr:uid="{00000000-0005-0000-0000-0000AA030000}"/>
    <cellStyle name="Millares 4 3 3 3 2 3 2" xfId="3186" xr:uid="{00000000-0005-0000-0000-0000AB030000}"/>
    <cellStyle name="Millares 4 3 3 3 2 3 2 2" xfId="6643" xr:uid="{9303A6FB-1385-4CED-BB88-A481B833D9DD}"/>
    <cellStyle name="Millares 4 3 3 3 2 3 2 3" xfId="5933" xr:uid="{8FD03E16-4F23-4BA9-9FF5-3AF19B5DF5A8}"/>
    <cellStyle name="Millares 4 3 3 3 2 3 3" xfId="6288" xr:uid="{2AB26D8C-A886-4968-81DF-23EE1050BFAE}"/>
    <cellStyle name="Millares 4 3 3 3 2 3 4" xfId="5578" xr:uid="{8472A85E-73E2-4516-8A5C-3AB5B0D7CCD2}"/>
    <cellStyle name="Millares 4 3 3 3 2 4" xfId="2111" xr:uid="{00000000-0005-0000-0000-0000AC030000}"/>
    <cellStyle name="Millares 4 3 3 3 2 5" xfId="4583" xr:uid="{E25FC193-179A-4BFB-8020-593D77AC76DA}"/>
    <cellStyle name="Millares 4 3 3 3 2 6" xfId="5006" xr:uid="{1753A98E-0030-4567-85CA-EA05A6E0B277}"/>
    <cellStyle name="Millares 4 3 3 3 2 7" xfId="6852" xr:uid="{BDE172F0-CA0E-4D12-A956-FAC1C008DCA0}"/>
    <cellStyle name="Millares 4 3 3 3 2 8" xfId="7274" xr:uid="{E547CA7E-8637-4414-92F4-E8F9C10A6315}"/>
    <cellStyle name="Millares 4 3 3 3 2 9" xfId="7696" xr:uid="{4A13286C-98A9-41AF-9E21-EAFDEA9BD19A}"/>
    <cellStyle name="Millares 4 3 3 3 3" xfId="843" xr:uid="{00000000-0005-0000-0000-0000AD030000}"/>
    <cellStyle name="Millares 4 3 3 3 3 2" xfId="3457" xr:uid="{00000000-0005-0000-0000-0000AE030000}"/>
    <cellStyle name="Millares 4 3 3 3 3 3" xfId="2382" xr:uid="{00000000-0005-0000-0000-0000AF030000}"/>
    <cellStyle name="Millares 4 3 3 3 3 4" xfId="4657" xr:uid="{8D73468D-5737-472D-AA15-4D23E3A4C477}"/>
    <cellStyle name="Millares 4 3 3 3 3 5" xfId="5079" xr:uid="{6FF77B68-2C7C-49CF-B997-FDF8391582C3}"/>
    <cellStyle name="Millares 4 3 3 3 3 6" xfId="6925" xr:uid="{8DA56C95-497F-47BA-8615-F02E5F1737DC}"/>
    <cellStyle name="Millares 4 3 3 3 3 7" xfId="7347" xr:uid="{D5FA5EF0-F2FD-4FCD-B2F1-5B0069113284}"/>
    <cellStyle name="Millares 4 3 3 3 3 8" xfId="7769" xr:uid="{3E5E52CA-642A-4129-B835-F78D9A60C9D8}"/>
    <cellStyle name="Millares 4 3 3 3 4" xfId="970" xr:uid="{00000000-0005-0000-0000-0000B0030000}"/>
    <cellStyle name="Millares 4 3 3 3 4 2" xfId="2918" xr:uid="{00000000-0005-0000-0000-0000B1030000}"/>
    <cellStyle name="Millares 4 3 3 3 4 2 2" xfId="6505" xr:uid="{925FDBA5-8B88-40FF-92A9-DD8454D176A0}"/>
    <cellStyle name="Millares 4 3 3 3 4 2 3" xfId="5795" xr:uid="{CC6ED5AA-E570-41A1-A1DC-869A440A2023}"/>
    <cellStyle name="Millares 4 3 3 3 4 3" xfId="6150" xr:uid="{EAE8C507-A0ED-425D-BEF1-F02E7779DF92}"/>
    <cellStyle name="Millares 4 3 3 3 4 4" xfId="5440" xr:uid="{E5E30948-B221-4DBF-95C2-E0858C8B29B6}"/>
    <cellStyle name="Millares 4 3 3 3 5" xfId="1827" xr:uid="{00000000-0005-0000-0000-0000B2030000}"/>
    <cellStyle name="Millares 4 3 3 3 6" xfId="4445" xr:uid="{8858C227-CA88-401F-92A1-C8175B3E1EAB}"/>
    <cellStyle name="Millares 4 3 3 3 7" xfId="4868" xr:uid="{BFA20898-60E4-4231-9125-59EC50E27EF5}"/>
    <cellStyle name="Millares 4 3 3 3 8" xfId="6714" xr:uid="{2692280F-5840-47A5-8F39-79631818DAFC}"/>
    <cellStyle name="Millares 4 3 3 3 9" xfId="7136" xr:uid="{08AB3217-7999-4359-9309-EDA2DB7753A2}"/>
    <cellStyle name="Millares 4 3 3 4" xfId="453" xr:uid="{00000000-0005-0000-0000-0000B3030000}"/>
    <cellStyle name="Millares 4 3 3 4 10" xfId="6732" xr:uid="{450DD289-04C7-4308-B93C-50424F38BB40}"/>
    <cellStyle name="Millares 4 3 3 4 11" xfId="7154" xr:uid="{19D9F5B4-B896-4D5A-90BF-2252B73312FE}"/>
    <cellStyle name="Millares 4 3 3 4 12" xfId="7576" xr:uid="{A0638B18-9C32-44CB-AD54-254D01B61789}"/>
    <cellStyle name="Millares 4 3 3 4 2" xfId="741" xr:uid="{00000000-0005-0000-0000-0000B4030000}"/>
    <cellStyle name="Millares 4 3 3 4 2 10" xfId="7197" xr:uid="{85546999-F14F-41E2-B7BE-9461FF476050}"/>
    <cellStyle name="Millares 4 3 3 4 2 11" xfId="7619" xr:uid="{76D2AF35-C0C4-4CF3-9C8E-694A86530207}"/>
    <cellStyle name="Millares 4 3 3 4 2 2" xfId="1031" xr:uid="{00000000-0005-0000-0000-0000B5030000}"/>
    <cellStyle name="Millares 4 3 3 4 2 2 2" xfId="3820" xr:uid="{00000000-0005-0000-0000-0000B6030000}"/>
    <cellStyle name="Millares 4 3 3 4 2 2 2 2" xfId="6566" xr:uid="{51F13A98-4D35-41CD-8C06-C00D74BCC3D9}"/>
    <cellStyle name="Millares 4 3 3 4 2 2 2 3" xfId="5856" xr:uid="{735800EE-4D50-4E46-853F-E7F37199850B}"/>
    <cellStyle name="Millares 4 3 3 4 2 2 3" xfId="4363" xr:uid="{00000000-0005-0000-0000-0000B7030000}"/>
    <cellStyle name="Millares 4 3 3 4 2 2 3 2" xfId="6211" xr:uid="{BAAECDA5-5F83-44C3-AC6C-63F3F2E4FA63}"/>
    <cellStyle name="Millares 4 3 3 4 2 2 4" xfId="4718" xr:uid="{BBEE16CA-F05E-4FC0-B814-89D62DA0B659}"/>
    <cellStyle name="Millares 4 3 3 4 2 2 5" xfId="5140" xr:uid="{DABC57E0-6899-416C-B5E4-40F33A6E775C}"/>
    <cellStyle name="Millares 4 3 3 4 2 2 6" xfId="5501" xr:uid="{4F9FA8C2-C9B0-4FCA-A346-5348F3F9109A}"/>
    <cellStyle name="Millares 4 3 3 4 2 2 7" xfId="6986" xr:uid="{7ED9504F-4D1B-4010-96EA-77C209A6916D}"/>
    <cellStyle name="Millares 4 3 3 4 2 2 8" xfId="7408" xr:uid="{C23846F5-900C-4985-AA9E-E1C75A6FBC40}"/>
    <cellStyle name="Millares 4 3 3 4 2 2 9" xfId="7830" xr:uid="{CE1BA569-98C2-4930-9022-0E56D27F967C}"/>
    <cellStyle name="Millares 4 3 3 4 2 3" xfId="2745" xr:uid="{00000000-0005-0000-0000-0000B8030000}"/>
    <cellStyle name="Millares 4 3 3 4 2 3 2" xfId="4221" xr:uid="{00000000-0005-0000-0000-0000B9030000}"/>
    <cellStyle name="Millares 4 3 3 4 2 3 2 2" xfId="6402" xr:uid="{921ED4A7-1DF6-4293-ADA0-87D38E51450E}"/>
    <cellStyle name="Millares 4 3 3 4 2 3 3" xfId="5692" xr:uid="{D264D0BB-972B-4DBC-8E06-70D1C6E4E144}"/>
    <cellStyle name="Millares 4 3 3 4 2 4" xfId="1633" xr:uid="{00000000-0005-0000-0000-0000BA030000}"/>
    <cellStyle name="Millares 4 3 3 4 2 4 2" xfId="6047" xr:uid="{C2553B5B-0ABD-4C53-99B2-F5F732F53F0A}"/>
    <cellStyle name="Millares 4 3 3 4 2 5" xfId="4029" xr:uid="{00000000-0005-0000-0000-0000BB030000}"/>
    <cellStyle name="Millares 4 3 3 4 2 6" xfId="4506" xr:uid="{15AC6F56-3629-4D52-B55F-C900CC61A390}"/>
    <cellStyle name="Millares 4 3 3 4 2 7" xfId="4929" xr:uid="{00F89D74-9AD9-4FF4-A334-E4D9507903F2}"/>
    <cellStyle name="Millares 4 3 3 4 2 8" xfId="5337" xr:uid="{84788A05-A24B-4FC1-9628-D3F04FE84F32}"/>
    <cellStyle name="Millares 4 3 3 4 2 9" xfId="6775" xr:uid="{BBF06B9A-5729-47AE-8E4B-6ABF6ABA14AB}"/>
    <cellStyle name="Millares 4 3 3 4 3" xfId="988" xr:uid="{00000000-0005-0000-0000-0000BC030000}"/>
    <cellStyle name="Millares 4 3 3 4 3 2" xfId="3277" xr:uid="{00000000-0005-0000-0000-0000BD030000}"/>
    <cellStyle name="Millares 4 3 3 4 3 2 2" xfId="6523" xr:uid="{B7F1DCAD-74F5-4DA9-9B39-655FC8C0446B}"/>
    <cellStyle name="Millares 4 3 3 4 3 2 3" xfId="5813" xr:uid="{61DFFE9F-CABC-48AA-B6D0-49C3F65609BA}"/>
    <cellStyle name="Millares 4 3 3 4 3 3" xfId="4268" xr:uid="{00000000-0005-0000-0000-0000BE030000}"/>
    <cellStyle name="Millares 4 3 3 4 3 3 2" xfId="6168" xr:uid="{58A7640F-F258-4080-AD36-10AA47401E7B}"/>
    <cellStyle name="Millares 4 3 3 4 3 4" xfId="4675" xr:uid="{369B7506-A03F-4E6B-8B33-DBEC4B26437C}"/>
    <cellStyle name="Millares 4 3 3 4 3 5" xfId="5097" xr:uid="{09609180-8972-4EF7-8B6D-9B8A8EA407BC}"/>
    <cellStyle name="Millares 4 3 3 4 3 6" xfId="5458" xr:uid="{932E004A-1162-440D-9880-2519ACA45847}"/>
    <cellStyle name="Millares 4 3 3 4 3 7" xfId="6943" xr:uid="{478A16B9-5545-4F81-BE2C-1334AF6D3D28}"/>
    <cellStyle name="Millares 4 3 3 4 3 8" xfId="7365" xr:uid="{C8C96E41-C974-4080-9725-7D5D86469B50}"/>
    <cellStyle name="Millares 4 3 3 4 3 9" xfId="7787" xr:uid="{4303318F-3309-4F10-B348-B16718187991}"/>
    <cellStyle name="Millares 4 3 3 4 4" xfId="2202" xr:uid="{00000000-0005-0000-0000-0000BF030000}"/>
    <cellStyle name="Millares 4 3 3 4 4 2" xfId="4126" xr:uid="{00000000-0005-0000-0000-0000C0030000}"/>
    <cellStyle name="Millares 4 3 3 4 4 2 2" xfId="6338" xr:uid="{B84B627F-9DD0-43C6-B83E-50856F332F59}"/>
    <cellStyle name="Millares 4 3 3 4 4 3" xfId="5628" xr:uid="{84545BA8-04EF-4112-90DF-AB5C38186362}"/>
    <cellStyle name="Millares 4 3 3 4 5" xfId="1149" xr:uid="{00000000-0005-0000-0000-0000C1030000}"/>
    <cellStyle name="Millares 4 3 3 4 5 2" xfId="5983" xr:uid="{1EFDFA42-1EA4-4DF7-A642-34205252DA25}"/>
    <cellStyle name="Millares 4 3 3 4 6" xfId="3934" xr:uid="{00000000-0005-0000-0000-0000C2030000}"/>
    <cellStyle name="Millares 4 3 3 4 7" xfId="4463" xr:uid="{284E9593-5735-4A64-BB79-37C6F732BFA8}"/>
    <cellStyle name="Millares 4 3 3 4 8" xfId="4886" xr:uid="{3C7716D9-E471-4095-B755-5588534A8D05}"/>
    <cellStyle name="Millares 4 3 3 4 9" xfId="5273" xr:uid="{689532C6-AA46-405A-A5C0-247234B00A31}"/>
    <cellStyle name="Millares 4 3 3 5" xfId="530" xr:uid="{00000000-0005-0000-0000-0000C3030000}"/>
    <cellStyle name="Millares 4 3 3 5 2" xfId="861" xr:uid="{00000000-0005-0000-0000-0000C4030000}"/>
    <cellStyle name="Millares 4 3 3 5 2 2" xfId="3607" xr:uid="{00000000-0005-0000-0000-0000C5030000}"/>
    <cellStyle name="Millares 4 3 3 5 2 3" xfId="2532" xr:uid="{00000000-0005-0000-0000-0000C6030000}"/>
    <cellStyle name="Millares 4 3 3 5 2 4" xfId="4755" xr:uid="{94FDDBE1-43DE-4D87-9F69-38D5677D6D9C}"/>
    <cellStyle name="Millares 4 3 3 5 2 5" xfId="5177" xr:uid="{E4B792A2-FC73-4164-9FB2-455FE4C5D412}"/>
    <cellStyle name="Millares 4 3 3 5 2 6" xfId="7023" xr:uid="{B5C0A298-D74E-4570-89B5-06F3D678FF56}"/>
    <cellStyle name="Millares 4 3 3 5 2 7" xfId="7445" xr:uid="{5522862F-193D-4F1C-8298-FE3B177E7383}"/>
    <cellStyle name="Millares 4 3 3 5 2 8" xfId="7867" xr:uid="{6D390D8A-2A9C-4EE5-9E39-C3C17F23F935}"/>
    <cellStyle name="Millares 4 3 3 5 3" xfId="1068" xr:uid="{00000000-0005-0000-0000-0000C7030000}"/>
    <cellStyle name="Millares 4 3 3 5 3 2" xfId="3080" xr:uid="{00000000-0005-0000-0000-0000C8030000}"/>
    <cellStyle name="Millares 4 3 3 5 3 2 2" xfId="6603" xr:uid="{C2B6B8F6-F0FB-462F-B668-8D7FB3E33404}"/>
    <cellStyle name="Millares 4 3 3 5 3 2 3" xfId="5893" xr:uid="{FDF41EB1-5F4E-49AF-BE1C-5632A6943F28}"/>
    <cellStyle name="Millares 4 3 3 5 3 3" xfId="6248" xr:uid="{DE04C5FD-425F-4132-B402-BCE391A9777B}"/>
    <cellStyle name="Millares 4 3 3 5 3 4" xfId="5538" xr:uid="{1610154A-B0CC-4190-A39D-5A85E495E678}"/>
    <cellStyle name="Millares 4 3 3 5 4" xfId="1989" xr:uid="{00000000-0005-0000-0000-0000C9030000}"/>
    <cellStyle name="Millares 4 3 3 5 5" xfId="4543" xr:uid="{6E65441E-642F-412A-86F7-E812CB75233F}"/>
    <cellStyle name="Millares 4 3 3 5 6" xfId="4966" xr:uid="{654E3ECD-995D-42CF-8D78-340F156817B6}"/>
    <cellStyle name="Millares 4 3 3 5 7" xfId="6812" xr:uid="{35358326-BDCC-43E1-97E6-86E49BC66961}"/>
    <cellStyle name="Millares 4 3 3 5 8" xfId="7234" xr:uid="{D3557C06-D194-410D-AA97-BB709CDEDECF}"/>
    <cellStyle name="Millares 4 3 3 5 9" xfId="7656" xr:uid="{C3B9BE81-07F5-4991-A4E0-C015D4E4D103}"/>
    <cellStyle name="Millares 4 3 3 6" xfId="805" xr:uid="{00000000-0005-0000-0000-0000CA030000}"/>
    <cellStyle name="Millares 4 3 3 6 10" xfId="7725" xr:uid="{B787BCD3-98A1-42DD-95D7-4E3293813D7B}"/>
    <cellStyle name="Millares 4 3 3 6 2" xfId="3365" xr:uid="{00000000-0005-0000-0000-0000CB030000}"/>
    <cellStyle name="Millares 4 3 3 6 2 2" xfId="4304" xr:uid="{00000000-0005-0000-0000-0000CC030000}"/>
    <cellStyle name="Millares 4 3 3 6 3" xfId="2290" xr:uid="{00000000-0005-0000-0000-0000CD030000}"/>
    <cellStyle name="Millares 4 3 3 6 3 2" xfId="4162" xr:uid="{00000000-0005-0000-0000-0000CE030000}"/>
    <cellStyle name="Millares 4 3 3 6 4" xfId="1237" xr:uid="{00000000-0005-0000-0000-0000CF030000}"/>
    <cellStyle name="Millares 4 3 3 6 5" xfId="3970" xr:uid="{00000000-0005-0000-0000-0000D0030000}"/>
    <cellStyle name="Millares 4 3 3 6 6" xfId="4613" xr:uid="{AE5733C1-44CD-42E0-AFA8-E90C1AE5434F}"/>
    <cellStyle name="Millares 4 3 3 6 7" xfId="5035" xr:uid="{02492AE4-4AE2-441E-A1E1-5080E35F3C4F}"/>
    <cellStyle name="Millares 4 3 3 6 8" xfId="6881" xr:uid="{5A6CCFCD-70B6-416A-87EA-F39E5FAAE595}"/>
    <cellStyle name="Millares 4 3 3 6 9" xfId="7303" xr:uid="{09AFC1D1-0BC2-4FE8-88CD-36A6EA99DDD5}"/>
    <cellStyle name="Millares 4 3 3 7" xfId="920" xr:uid="{00000000-0005-0000-0000-0000D1030000}"/>
    <cellStyle name="Millares 4 3 3 7 2" xfId="2826" xr:uid="{00000000-0005-0000-0000-0000D2030000}"/>
    <cellStyle name="Millares 4 3 3 7 2 2" xfId="6461" xr:uid="{51FB7079-0AE4-484E-A34B-9B83D4AAD860}"/>
    <cellStyle name="Millares 4 3 3 7 2 3" xfId="5751" xr:uid="{3DC4F181-C62A-44C3-92ED-B3645FEBA8C4}"/>
    <cellStyle name="Millares 4 3 3 7 3" xfId="6106" xr:uid="{44348E5C-DD63-4875-88CB-8844EDCA849F}"/>
    <cellStyle name="Millares 4 3 3 7 4" xfId="5396" xr:uid="{FDBF706F-D87F-4CEF-B859-6EDAEFBCDC77}"/>
    <cellStyle name="Millares 4 3 3 8" xfId="1735" xr:uid="{00000000-0005-0000-0000-0000D3030000}"/>
    <cellStyle name="Millares 4 3 3 8 2" xfId="4067" xr:uid="{00000000-0005-0000-0000-0000D4030000}"/>
    <cellStyle name="Millares 4 3 3 9" xfId="4401" xr:uid="{CC8E170E-63F1-4577-AAF9-B05E441F791D}"/>
    <cellStyle name="Millares 4 3 4" xfId="181" xr:uid="{00000000-0005-0000-0000-0000D5030000}"/>
    <cellStyle name="Millares 4 3 4 10" xfId="6681" xr:uid="{1B3FB1CE-C703-444D-9AFD-19E5B333E159}"/>
    <cellStyle name="Millares 4 3 4 11" xfId="7103" xr:uid="{34DA27C5-AA2C-4BCB-9641-5CEE0EE9AFEC}"/>
    <cellStyle name="Millares 4 3 4 12" xfId="7525" xr:uid="{6613621C-5E5B-4035-89D9-C82833845F1E}"/>
    <cellStyle name="Millares 4 3 4 2" xfId="463" xr:uid="{00000000-0005-0000-0000-0000D6030000}"/>
    <cellStyle name="Millares 4 3 4 2 10" xfId="6742" xr:uid="{23709A82-899B-49C0-8935-B407A172BE04}"/>
    <cellStyle name="Millares 4 3 4 2 11" xfId="7164" xr:uid="{68C65292-6021-4AB0-9338-F2698F3390A1}"/>
    <cellStyle name="Millares 4 3 4 2 12" xfId="7586" xr:uid="{4F5A344D-A7FD-4C41-9249-D9473F42D51B}"/>
    <cellStyle name="Millares 4 3 4 2 2" xfId="751" xr:uid="{00000000-0005-0000-0000-0000D7030000}"/>
    <cellStyle name="Millares 4 3 4 2 2 10" xfId="7207" xr:uid="{7B6AE733-FB11-493B-95FE-0F92779A8894}"/>
    <cellStyle name="Millares 4 3 4 2 2 11" xfId="7629" xr:uid="{AECAEE14-CBEC-4DEA-9C89-F87158C5F101}"/>
    <cellStyle name="Millares 4 3 4 2 2 2" xfId="1041" xr:uid="{00000000-0005-0000-0000-0000D8030000}"/>
    <cellStyle name="Millares 4 3 4 2 2 2 2" xfId="3830" xr:uid="{00000000-0005-0000-0000-0000D9030000}"/>
    <cellStyle name="Millares 4 3 4 2 2 2 2 2" xfId="6576" xr:uid="{97E3E697-9FEB-485E-BB05-B3FEEEBDCDF5}"/>
    <cellStyle name="Millares 4 3 4 2 2 2 2 3" xfId="5866" xr:uid="{C5D613DF-AEA5-495F-AD76-0436BCEF32C5}"/>
    <cellStyle name="Millares 4 3 4 2 2 2 3" xfId="4373" xr:uid="{00000000-0005-0000-0000-0000DA030000}"/>
    <cellStyle name="Millares 4 3 4 2 2 2 3 2" xfId="6221" xr:uid="{4BF9B665-F759-47EA-836F-12BDF187A8F2}"/>
    <cellStyle name="Millares 4 3 4 2 2 2 4" xfId="4728" xr:uid="{E33B97BF-465F-4E07-8A87-BD61919A9766}"/>
    <cellStyle name="Millares 4 3 4 2 2 2 5" xfId="5150" xr:uid="{4EBD379D-C0AC-43CB-8BC0-592BD4A87E7C}"/>
    <cellStyle name="Millares 4 3 4 2 2 2 6" xfId="5511" xr:uid="{4A3F2DF6-9467-4B10-9EFC-CDB19E85B820}"/>
    <cellStyle name="Millares 4 3 4 2 2 2 7" xfId="6996" xr:uid="{A7FEC2AD-AB1A-4D98-BE35-ADB8C8AEC984}"/>
    <cellStyle name="Millares 4 3 4 2 2 2 8" xfId="7418" xr:uid="{23909DEC-2E87-416B-A3AA-983C19DEED1C}"/>
    <cellStyle name="Millares 4 3 4 2 2 2 9" xfId="7840" xr:uid="{2F29AF0D-EA83-4245-B86C-C07C6A6C0DF5}"/>
    <cellStyle name="Millares 4 3 4 2 2 3" xfId="2755" xr:uid="{00000000-0005-0000-0000-0000DB030000}"/>
    <cellStyle name="Millares 4 3 4 2 2 3 2" xfId="4231" xr:uid="{00000000-0005-0000-0000-0000DC030000}"/>
    <cellStyle name="Millares 4 3 4 2 2 3 2 2" xfId="6412" xr:uid="{BCA16ED1-26C6-4813-A5C3-9C876171A29F}"/>
    <cellStyle name="Millares 4 3 4 2 2 3 3" xfId="5702" xr:uid="{30EF0E2E-EEB5-4589-9BD9-B0291F3A00D1}"/>
    <cellStyle name="Millares 4 3 4 2 2 4" xfId="1643" xr:uid="{00000000-0005-0000-0000-0000DD030000}"/>
    <cellStyle name="Millares 4 3 4 2 2 4 2" xfId="6057" xr:uid="{B1EE285A-79B2-45B9-B67E-96D0F1744717}"/>
    <cellStyle name="Millares 4 3 4 2 2 5" xfId="4039" xr:uid="{00000000-0005-0000-0000-0000DE030000}"/>
    <cellStyle name="Millares 4 3 4 2 2 6" xfId="4516" xr:uid="{18BC26DF-DA22-4532-BC98-FDBB43B208E0}"/>
    <cellStyle name="Millares 4 3 4 2 2 7" xfId="4939" xr:uid="{50CFF356-4619-4AA4-903E-1B42608D2D90}"/>
    <cellStyle name="Millares 4 3 4 2 2 8" xfId="5347" xr:uid="{DBEEE086-52FE-46FA-AD8A-BCBF13418E94}"/>
    <cellStyle name="Millares 4 3 4 2 2 9" xfId="6785" xr:uid="{9663C358-7112-4B29-BE4A-A41B6CB54CA2}"/>
    <cellStyle name="Millares 4 3 4 2 3" xfId="998" xr:uid="{00000000-0005-0000-0000-0000DF030000}"/>
    <cellStyle name="Millares 4 3 4 2 3 2" xfId="3287" xr:uid="{00000000-0005-0000-0000-0000E0030000}"/>
    <cellStyle name="Millares 4 3 4 2 3 2 2" xfId="6533" xr:uid="{6200C2B7-EA0A-4A03-9717-8095FAD73D36}"/>
    <cellStyle name="Millares 4 3 4 2 3 2 3" xfId="5823" xr:uid="{6770BD69-1A25-4CA0-A005-3AE68B16C6F3}"/>
    <cellStyle name="Millares 4 3 4 2 3 3" xfId="4278" xr:uid="{00000000-0005-0000-0000-0000E1030000}"/>
    <cellStyle name="Millares 4 3 4 2 3 3 2" xfId="6178" xr:uid="{E4BA0422-87CC-42CA-9A59-8254264CA50F}"/>
    <cellStyle name="Millares 4 3 4 2 3 4" xfId="4685" xr:uid="{86D8E329-A8EF-49FC-AA10-974D0914B06D}"/>
    <cellStyle name="Millares 4 3 4 2 3 5" xfId="5107" xr:uid="{43A63C8F-F97D-4D92-ADF0-8E018120E4B7}"/>
    <cellStyle name="Millares 4 3 4 2 3 6" xfId="5468" xr:uid="{3D0E281C-FE98-4B07-81F8-544327BFA524}"/>
    <cellStyle name="Millares 4 3 4 2 3 7" xfId="6953" xr:uid="{4D42E9FF-382B-4F8E-B3A0-AAC2DD9E9CE3}"/>
    <cellStyle name="Millares 4 3 4 2 3 8" xfId="7375" xr:uid="{95CFEABB-6BF2-494F-BB63-4B3CE9E5F86C}"/>
    <cellStyle name="Millares 4 3 4 2 3 9" xfId="7797" xr:uid="{02F10D65-165C-47B0-BB78-3D20ED5D46B1}"/>
    <cellStyle name="Millares 4 3 4 2 4" xfId="2212" xr:uid="{00000000-0005-0000-0000-0000E2030000}"/>
    <cellStyle name="Millares 4 3 4 2 4 2" xfId="4136" xr:uid="{00000000-0005-0000-0000-0000E3030000}"/>
    <cellStyle name="Millares 4 3 4 2 4 2 2" xfId="6348" xr:uid="{F829954B-D4F5-4487-A240-1D968A9DA88C}"/>
    <cellStyle name="Millares 4 3 4 2 4 3" xfId="5638" xr:uid="{8823341F-690A-442E-96A9-13D450D8B127}"/>
    <cellStyle name="Millares 4 3 4 2 5" xfId="1159" xr:uid="{00000000-0005-0000-0000-0000E4030000}"/>
    <cellStyle name="Millares 4 3 4 2 5 2" xfId="5993" xr:uid="{A91C029B-1CE8-4FAA-AB4C-05B2471561E7}"/>
    <cellStyle name="Millares 4 3 4 2 6" xfId="3944" xr:uid="{00000000-0005-0000-0000-0000E5030000}"/>
    <cellStyle name="Millares 4 3 4 2 7" xfId="4473" xr:uid="{28C0B243-5185-4CAA-A441-E91CE4178165}"/>
    <cellStyle name="Millares 4 3 4 2 8" xfId="4896" xr:uid="{59B27D56-642A-41D3-B8C9-2CBDDA36D56D}"/>
    <cellStyle name="Millares 4 3 4 2 9" xfId="5283" xr:uid="{C2529441-0837-402F-90C4-BBFC4D6493E4}"/>
    <cellStyle name="Millares 4 3 4 3" xfId="575" xr:uid="{00000000-0005-0000-0000-0000E6030000}"/>
    <cellStyle name="Millares 4 3 4 3 10" xfId="7667" xr:uid="{081BE843-267F-4A1B-AED1-93CCC0B60DA4}"/>
    <cellStyle name="Millares 4 3 4 3 2" xfId="771" xr:uid="{00000000-0005-0000-0000-0000E7030000}"/>
    <cellStyle name="Millares 4 3 4 3 2 10" xfId="7456" xr:uid="{CF492836-2CF9-4356-A5D9-B28BD24C6C52}"/>
    <cellStyle name="Millares 4 3 4 3 2 11" xfId="7878" xr:uid="{3E2170BA-27E1-4F66-B2C8-E747F76811F3}"/>
    <cellStyle name="Millares 4 3 4 3 2 2" xfId="3652" xr:uid="{00000000-0005-0000-0000-0000E8030000}"/>
    <cellStyle name="Millares 4 3 4 3 2 2 2" xfId="4334" xr:uid="{00000000-0005-0000-0000-0000E9030000}"/>
    <cellStyle name="Millares 4 3 4 3 2 2 2 2" xfId="6432" xr:uid="{2177751F-ACC8-4F82-BF12-C2E23B78122F}"/>
    <cellStyle name="Millares 4 3 4 3 2 2 3" xfId="5722" xr:uid="{B062B37E-B100-44E1-B368-1B3FDBE91C3F}"/>
    <cellStyle name="Millares 4 3 4 3 2 3" xfId="2577" xr:uid="{00000000-0005-0000-0000-0000EA030000}"/>
    <cellStyle name="Millares 4 3 4 3 2 3 2" xfId="4192" xr:uid="{00000000-0005-0000-0000-0000EB030000}"/>
    <cellStyle name="Millares 4 3 4 3 2 3 3" xfId="6077" xr:uid="{4D58E6BB-D7CB-4702-A7E0-D02097F8E145}"/>
    <cellStyle name="Millares 4 3 4 3 2 4" xfId="1487" xr:uid="{00000000-0005-0000-0000-0000EC030000}"/>
    <cellStyle name="Millares 4 3 4 3 2 5" xfId="4000" xr:uid="{00000000-0005-0000-0000-0000ED030000}"/>
    <cellStyle name="Millares 4 3 4 3 2 6" xfId="4766" xr:uid="{A425555E-4170-44BF-BEE2-C33581354688}"/>
    <cellStyle name="Millares 4 3 4 3 2 7" xfId="5188" xr:uid="{9809F9C7-BA21-4752-975A-420EBD3453E2}"/>
    <cellStyle name="Millares 4 3 4 3 2 8" xfId="5367" xr:uid="{1C9B4665-CE90-4A7A-9AFC-C5A73481737E}"/>
    <cellStyle name="Millares 4 3 4 3 2 9" xfId="7034" xr:uid="{F3ACC326-F8FD-4BEC-96B6-5B16DF9E4156}"/>
    <cellStyle name="Millares 4 3 4 3 3" xfId="871" xr:uid="{00000000-0005-0000-0000-0000EE030000}"/>
    <cellStyle name="Millares 4 3 4 3 4" xfId="1080" xr:uid="{00000000-0005-0000-0000-0000EF030000}"/>
    <cellStyle name="Millares 4 3 4 3 4 2" xfId="2034" xr:uid="{00000000-0005-0000-0000-0000F0030000}"/>
    <cellStyle name="Millares 4 3 4 3 4 2 2" xfId="6614" xr:uid="{6D0B93F1-5358-4AD8-845E-D3C333083F30}"/>
    <cellStyle name="Millares 4 3 4 3 4 2 3" xfId="5904" xr:uid="{B927B5D1-8218-4717-A9B2-A46DB0F16E2E}"/>
    <cellStyle name="Millares 4 3 4 3 4 3" xfId="4097" xr:uid="{00000000-0005-0000-0000-0000F1030000}"/>
    <cellStyle name="Millares 4 3 4 3 4 3 2" xfId="6259" xr:uid="{51484D41-B940-4EDC-BF98-6A7F56FCEF63}"/>
    <cellStyle name="Millares 4 3 4 3 4 4" xfId="5549" xr:uid="{4DB8011A-0FDB-4EDC-A145-58713660C78B}"/>
    <cellStyle name="Millares 4 3 4 3 5" xfId="4554" xr:uid="{1B533B26-EA24-4804-8A87-746A9B1E7B02}"/>
    <cellStyle name="Millares 4 3 4 3 5 2" xfId="6368" xr:uid="{96E49EAE-3F98-4DF0-8914-E3E8BF5B7718}"/>
    <cellStyle name="Millares 4 3 4 3 5 3" xfId="5658" xr:uid="{74E3E635-57BC-40CD-890C-F111F3775578}"/>
    <cellStyle name="Millares 4 3 4 3 6" xfId="4977" xr:uid="{0463DB2B-CB8F-4955-B89A-465179E20FC1}"/>
    <cellStyle name="Millares 4 3 4 3 6 2" xfId="6013" xr:uid="{07751E55-357A-40EA-82B7-230772F902D4}"/>
    <cellStyle name="Millares 4 3 4 3 7" xfId="5303" xr:uid="{340421F9-7174-4718-9936-0B19E7B64303}"/>
    <cellStyle name="Millares 4 3 4 3 8" xfId="6823" xr:uid="{684DF27E-1309-46AE-B30C-63191B744B6F}"/>
    <cellStyle name="Millares 4 3 4 3 9" xfId="7245" xr:uid="{1EB95C82-2475-438A-81EE-24AEC542DC3C}"/>
    <cellStyle name="Millares 4 3 4 4" xfId="815" xr:uid="{00000000-0005-0000-0000-0000F2030000}"/>
    <cellStyle name="Millares 4 3 4 4 10" xfId="7736" xr:uid="{5FF99A1E-686B-4328-B85A-B70BDEBB56D6}"/>
    <cellStyle name="Millares 4 3 4 4 2" xfId="3502" xr:uid="{00000000-0005-0000-0000-0000F3030000}"/>
    <cellStyle name="Millares 4 3 4 4 2 2" xfId="4314" xr:uid="{00000000-0005-0000-0000-0000F4030000}"/>
    <cellStyle name="Millares 4 3 4 4 3" xfId="2427" xr:uid="{00000000-0005-0000-0000-0000F5030000}"/>
    <cellStyle name="Millares 4 3 4 4 3 2" xfId="4172" xr:uid="{00000000-0005-0000-0000-0000F6030000}"/>
    <cellStyle name="Millares 4 3 4 4 4" xfId="1357" xr:uid="{00000000-0005-0000-0000-0000F7030000}"/>
    <cellStyle name="Millares 4 3 4 4 5" xfId="3980" xr:uid="{00000000-0005-0000-0000-0000F8030000}"/>
    <cellStyle name="Millares 4 3 4 4 6" xfId="4624" xr:uid="{5D0A3233-5014-496B-A076-70A91B0B7B3D}"/>
    <cellStyle name="Millares 4 3 4 4 7" xfId="5046" xr:uid="{018E040E-DEF7-4E64-90C8-C239200680C3}"/>
    <cellStyle name="Millares 4 3 4 4 8" xfId="6892" xr:uid="{D21FB8D2-B14A-4DFB-A676-D0F6E9DD279A}"/>
    <cellStyle name="Millares 4 3 4 4 9" xfId="7314" xr:uid="{71E394C1-F7D0-4ECD-B984-2C5FC6BC4E46}"/>
    <cellStyle name="Millares 4 3 4 5" xfId="932" xr:uid="{00000000-0005-0000-0000-0000F9030000}"/>
    <cellStyle name="Millares 4 3 4 5 2" xfId="2963" xr:uid="{00000000-0005-0000-0000-0000FA030000}"/>
    <cellStyle name="Millares 4 3 4 5 2 2" xfId="6472" xr:uid="{3C1B1E8C-99C0-47B0-8E84-1440A99991E0}"/>
    <cellStyle name="Millares 4 3 4 5 2 3" xfId="5762" xr:uid="{3E47D9EA-F70E-4595-B385-39F52E4EC19D}"/>
    <cellStyle name="Millares 4 3 4 5 3" xfId="6117" xr:uid="{FE25B410-0EB2-4B38-9F34-BC1F5B8C15EA}"/>
    <cellStyle name="Millares 4 3 4 5 4" xfId="5407" xr:uid="{36B61B3D-D860-4E5B-BC6F-2975FAF143A8}"/>
    <cellStyle name="Millares 4 3 4 6" xfId="1872" xr:uid="{00000000-0005-0000-0000-0000FB030000}"/>
    <cellStyle name="Millares 4 3 4 6 2" xfId="4077" xr:uid="{00000000-0005-0000-0000-0000FC030000}"/>
    <cellStyle name="Millares 4 3 4 6 2 2" xfId="6309" xr:uid="{0BF6601B-7C6B-4FB5-87A0-40EBEF1A9B61}"/>
    <cellStyle name="Millares 4 3 4 6 3" xfId="5599" xr:uid="{46367EFB-4A73-4E80-856B-C83096949CA6}"/>
    <cellStyle name="Millares 4 3 4 7" xfId="4412" xr:uid="{5F75B106-68FC-4BA3-B0E8-85D209F9A912}"/>
    <cellStyle name="Millares 4 3 4 7 2" xfId="5954" xr:uid="{E3AEEDBC-8925-4F95-9E7A-187CD7A49C0E}"/>
    <cellStyle name="Millares 4 3 4 8" xfId="4835" xr:uid="{17828554-A827-4F4B-BE6D-91A732D60BB5}"/>
    <cellStyle name="Millares 4 3 4 9" xfId="5244" xr:uid="{254E134E-AC21-427E-87E4-4D1912F9FCB5}"/>
    <cellStyle name="Millares 4 3 5" xfId="351" xr:uid="{00000000-0005-0000-0000-0000FD030000}"/>
    <cellStyle name="Millares 4 3 5 10" xfId="7550" xr:uid="{B1032F0D-A47F-4021-BBF2-A0DEA0A8F264}"/>
    <cellStyle name="Millares 4 3 5 2" xfId="634" xr:uid="{00000000-0005-0000-0000-0000FE030000}"/>
    <cellStyle name="Millares 4 3 5 2 2" xfId="889" xr:uid="{00000000-0005-0000-0000-0000FF030000}"/>
    <cellStyle name="Millares 4 3 5 2 2 2" xfId="3721" xr:uid="{00000000-0005-0000-0000-000000040000}"/>
    <cellStyle name="Millares 4 3 5 2 2 3" xfId="2646" xr:uid="{00000000-0005-0000-0000-000001040000}"/>
    <cellStyle name="Millares 4 3 5 2 2 4" xfId="4787" xr:uid="{8545CA48-A83A-48BD-B5F2-B5962520E3CA}"/>
    <cellStyle name="Millares 4 3 5 2 2 5" xfId="5209" xr:uid="{4A478B71-410B-4443-92E5-C36A2F332628}"/>
    <cellStyle name="Millares 4 3 5 2 2 6" xfId="7055" xr:uid="{CBF21EE2-2F42-4373-87B8-E27CC4A1766F}"/>
    <cellStyle name="Millares 4 3 5 2 2 7" xfId="7477" xr:uid="{2133720C-BB2A-47BD-A3E3-1EBE554E3790}"/>
    <cellStyle name="Millares 4 3 5 2 2 8" xfId="7899" xr:uid="{FDCC84EE-E0B9-4E7C-8D13-651FBC5E9A36}"/>
    <cellStyle name="Millares 4 3 5 2 3" xfId="1102" xr:uid="{00000000-0005-0000-0000-000002040000}"/>
    <cellStyle name="Millares 4 3 5 2 3 2" xfId="3178" xr:uid="{00000000-0005-0000-0000-000003040000}"/>
    <cellStyle name="Millares 4 3 5 2 3 2 2" xfId="6635" xr:uid="{E2FF9AD2-B021-4B7F-9C8A-1688C29B474E}"/>
    <cellStyle name="Millares 4 3 5 2 3 2 3" xfId="5925" xr:uid="{0AA8F1E1-727A-40E9-AA89-18FADB9D9582}"/>
    <cellStyle name="Millares 4 3 5 2 3 3" xfId="6280" xr:uid="{9F1A28ED-12C8-4834-AF0C-44178E42783D}"/>
    <cellStyle name="Millares 4 3 5 2 3 4" xfId="5570" xr:uid="{08734B52-13FF-4164-81DA-535C1D6962CD}"/>
    <cellStyle name="Millares 4 3 5 2 4" xfId="2103" xr:uid="{00000000-0005-0000-0000-000004040000}"/>
    <cellStyle name="Millares 4 3 5 2 5" xfId="4575" xr:uid="{BFBAF0B8-3D6E-47F7-B560-B477318369F8}"/>
    <cellStyle name="Millares 4 3 5 2 6" xfId="4998" xr:uid="{8962C5F4-9E74-4352-BD4A-BA7FA00CB772}"/>
    <cellStyle name="Millares 4 3 5 2 7" xfId="6844" xr:uid="{0AF26550-207C-4060-A7F6-D64F38E804E4}"/>
    <cellStyle name="Millares 4 3 5 2 8" xfId="7266" xr:uid="{A6D60B33-BEEA-462E-9BD3-89C1CC24CC07}"/>
    <cellStyle name="Millares 4 3 5 2 9" xfId="7688" xr:uid="{089F9351-8849-4C1E-8288-B0FEF3FF31C6}"/>
    <cellStyle name="Millares 4 3 5 3" xfId="835" xr:uid="{00000000-0005-0000-0000-000005040000}"/>
    <cellStyle name="Millares 4 3 5 3 2" xfId="3415" xr:uid="{00000000-0005-0000-0000-000006040000}"/>
    <cellStyle name="Millares 4 3 5 3 3" xfId="2340" xr:uid="{00000000-0005-0000-0000-000007040000}"/>
    <cellStyle name="Millares 4 3 5 3 4" xfId="4649" xr:uid="{E8FDB951-001F-4C72-9627-17C58276172E}"/>
    <cellStyle name="Millares 4 3 5 3 5" xfId="5071" xr:uid="{48962143-3CA7-4EA7-984A-C7A73E13DA4F}"/>
    <cellStyle name="Millares 4 3 5 3 6" xfId="6917" xr:uid="{12F89AE9-586C-4205-8418-DFC98E884E82}"/>
    <cellStyle name="Millares 4 3 5 3 7" xfId="7339" xr:uid="{D87FD0EC-E269-46B8-91AF-66CF55E4BB39}"/>
    <cellStyle name="Millares 4 3 5 3 8" xfId="7761" xr:uid="{AC104FD5-80D0-4C69-B29D-7EDAB2234784}"/>
    <cellStyle name="Millares 4 3 5 4" xfId="962" xr:uid="{00000000-0005-0000-0000-000008040000}"/>
    <cellStyle name="Millares 4 3 5 4 2" xfId="2876" xr:uid="{00000000-0005-0000-0000-000009040000}"/>
    <cellStyle name="Millares 4 3 5 4 2 2" xfId="6497" xr:uid="{AF3F7B08-4042-4834-861E-D116794CE471}"/>
    <cellStyle name="Millares 4 3 5 4 2 3" xfId="5787" xr:uid="{1ED2B0CA-2AFF-4897-AE6B-80C3C7E55DA8}"/>
    <cellStyle name="Millares 4 3 5 4 3" xfId="6142" xr:uid="{A5A0DD28-ADE8-4882-8789-607F65D83493}"/>
    <cellStyle name="Millares 4 3 5 4 4" xfId="5432" xr:uid="{7972F94B-72EA-4EB7-A72E-29B844D5715C}"/>
    <cellStyle name="Millares 4 3 5 5" xfId="1785" xr:uid="{00000000-0005-0000-0000-00000A040000}"/>
    <cellStyle name="Millares 4 3 5 6" xfId="4437" xr:uid="{58C5D292-5330-4FC1-AF45-E6A6E96284F5}"/>
    <cellStyle name="Millares 4 3 5 7" xfId="4860" xr:uid="{C8E57571-9B1F-473B-BCDE-C8F939287ACA}"/>
    <cellStyle name="Millares 4 3 5 8" xfId="6706" xr:uid="{CE0DD49C-E667-4215-BB2D-3B130FBFA45C}"/>
    <cellStyle name="Millares 4 3 5 9" xfId="7128" xr:uid="{10C5A2AC-D14F-44DC-AD80-402C8BDF5F3A}"/>
    <cellStyle name="Millares 4 3 6" xfId="445" xr:uid="{00000000-0005-0000-0000-00000B040000}"/>
    <cellStyle name="Millares 4 3 6 10" xfId="6724" xr:uid="{A4562612-DB46-4C38-955C-D192CF284D85}"/>
    <cellStyle name="Millares 4 3 6 11" xfId="7146" xr:uid="{4E2EE3CF-6551-494A-B8B3-21C264E600C6}"/>
    <cellStyle name="Millares 4 3 6 12" xfId="7568" xr:uid="{16456DA7-0E21-4008-BF23-99103F88337F}"/>
    <cellStyle name="Millares 4 3 6 2" xfId="733" xr:uid="{00000000-0005-0000-0000-00000C040000}"/>
    <cellStyle name="Millares 4 3 6 2 10" xfId="7189" xr:uid="{F9AF76C0-74E3-4F05-ADA7-92FA1314032D}"/>
    <cellStyle name="Millares 4 3 6 2 11" xfId="7611" xr:uid="{D05400D3-E302-4920-898E-986702E82185}"/>
    <cellStyle name="Millares 4 3 6 2 2" xfId="1023" xr:uid="{00000000-0005-0000-0000-00000D040000}"/>
    <cellStyle name="Millares 4 3 6 2 2 2" xfId="3812" xr:uid="{00000000-0005-0000-0000-00000E040000}"/>
    <cellStyle name="Millares 4 3 6 2 2 2 2" xfId="6558" xr:uid="{12622C4F-391A-4051-82F3-668E9586A3C4}"/>
    <cellStyle name="Millares 4 3 6 2 2 2 3" xfId="5848" xr:uid="{1CB68288-C382-4334-B9DD-E2D5FDCDF3A6}"/>
    <cellStyle name="Millares 4 3 6 2 2 3" xfId="4355" xr:uid="{00000000-0005-0000-0000-00000F040000}"/>
    <cellStyle name="Millares 4 3 6 2 2 3 2" xfId="6203" xr:uid="{96CFC782-B0A2-4A1E-8271-E0BAC86B01FF}"/>
    <cellStyle name="Millares 4 3 6 2 2 4" xfId="4710" xr:uid="{9ECA5F84-BF0B-4C13-A148-C6C169686D16}"/>
    <cellStyle name="Millares 4 3 6 2 2 5" xfId="5132" xr:uid="{B05C77C6-2935-415D-8438-72EFB92BA030}"/>
    <cellStyle name="Millares 4 3 6 2 2 6" xfId="5493" xr:uid="{E060BC98-2F4E-400E-8A43-A5AD26BB5115}"/>
    <cellStyle name="Millares 4 3 6 2 2 7" xfId="6978" xr:uid="{AB114FD1-CD27-4C90-872C-1E89564373AF}"/>
    <cellStyle name="Millares 4 3 6 2 2 8" xfId="7400" xr:uid="{FE2B27B9-D444-4208-BD67-62FE342E45EA}"/>
    <cellStyle name="Millares 4 3 6 2 2 9" xfId="7822" xr:uid="{5EAA4FA9-4E0B-4B2E-A3A8-9617F2BF9906}"/>
    <cellStyle name="Millares 4 3 6 2 3" xfId="2737" xr:uid="{00000000-0005-0000-0000-000010040000}"/>
    <cellStyle name="Millares 4 3 6 2 3 2" xfId="4213" xr:uid="{00000000-0005-0000-0000-000011040000}"/>
    <cellStyle name="Millares 4 3 6 2 3 2 2" xfId="6394" xr:uid="{52B72340-EDF3-4136-88DE-0D483EF91A6B}"/>
    <cellStyle name="Millares 4 3 6 2 3 3" xfId="5684" xr:uid="{5D8675C7-6B96-4DB0-AE0E-8D1C5385AECA}"/>
    <cellStyle name="Millares 4 3 6 2 4" xfId="1625" xr:uid="{00000000-0005-0000-0000-000012040000}"/>
    <cellStyle name="Millares 4 3 6 2 4 2" xfId="6039" xr:uid="{6C667D2A-309A-4F71-9AA4-194E0C5DCA37}"/>
    <cellStyle name="Millares 4 3 6 2 5" xfId="4021" xr:uid="{00000000-0005-0000-0000-000013040000}"/>
    <cellStyle name="Millares 4 3 6 2 6" xfId="4498" xr:uid="{63AE6C4A-8B05-44D3-A0CD-35A78FE1F5FC}"/>
    <cellStyle name="Millares 4 3 6 2 7" xfId="4921" xr:uid="{B78F9918-EE72-4ABB-B9AE-26DBA9506CE2}"/>
    <cellStyle name="Millares 4 3 6 2 8" xfId="5329" xr:uid="{F873933B-1E89-49BF-B814-EF4BB4A24497}"/>
    <cellStyle name="Millares 4 3 6 2 9" xfId="6767" xr:uid="{19754148-7BFE-414F-B1AD-6B306B28BC4E}"/>
    <cellStyle name="Millares 4 3 6 3" xfId="980" xr:uid="{00000000-0005-0000-0000-000014040000}"/>
    <cellStyle name="Millares 4 3 6 3 2" xfId="3269" xr:uid="{00000000-0005-0000-0000-000015040000}"/>
    <cellStyle name="Millares 4 3 6 3 2 2" xfId="6515" xr:uid="{D600988A-8E09-4107-BDFC-2AA5E75B801D}"/>
    <cellStyle name="Millares 4 3 6 3 2 3" xfId="5805" xr:uid="{9E13DF7D-932F-4436-9835-8E6EE1543EA5}"/>
    <cellStyle name="Millares 4 3 6 3 3" xfId="4260" xr:uid="{00000000-0005-0000-0000-000016040000}"/>
    <cellStyle name="Millares 4 3 6 3 3 2" xfId="6160" xr:uid="{FFCB541B-D152-47B7-81B8-FE35D1166C77}"/>
    <cellStyle name="Millares 4 3 6 3 4" xfId="4667" xr:uid="{B1B3E7C0-3E01-47D9-AFC1-E14FE2A8F26D}"/>
    <cellStyle name="Millares 4 3 6 3 5" xfId="5089" xr:uid="{9675F334-5D42-44F8-8466-A4B47EED312A}"/>
    <cellStyle name="Millares 4 3 6 3 6" xfId="5450" xr:uid="{AFA20E90-625D-464C-86A8-2DE71AC5BF76}"/>
    <cellStyle name="Millares 4 3 6 3 7" xfId="6935" xr:uid="{A2D43ECC-0CC3-49C7-A4AC-C75FC0AFFC51}"/>
    <cellStyle name="Millares 4 3 6 3 8" xfId="7357" xr:uid="{DEDCE007-B6C2-461F-AF29-FABF3ED4032F}"/>
    <cellStyle name="Millares 4 3 6 3 9" xfId="7779" xr:uid="{F1F7067E-DD1E-415D-B335-71F0B5E509A3}"/>
    <cellStyle name="Millares 4 3 6 4" xfId="2194" xr:uid="{00000000-0005-0000-0000-000017040000}"/>
    <cellStyle name="Millares 4 3 6 4 2" xfId="4118" xr:uid="{00000000-0005-0000-0000-000018040000}"/>
    <cellStyle name="Millares 4 3 6 4 2 2" xfId="6330" xr:uid="{EE2EBFE9-70B8-471A-AC11-05BC5343C396}"/>
    <cellStyle name="Millares 4 3 6 4 3" xfId="5620" xr:uid="{809A7FCE-FA48-400A-9C94-987312B1E34A}"/>
    <cellStyle name="Millares 4 3 6 5" xfId="1141" xr:uid="{00000000-0005-0000-0000-000019040000}"/>
    <cellStyle name="Millares 4 3 6 5 2" xfId="5975" xr:uid="{03B35E56-9A7A-4B45-A3E5-0B5D7F4C8F01}"/>
    <cellStyle name="Millares 4 3 6 6" xfId="3926" xr:uid="{00000000-0005-0000-0000-00001A040000}"/>
    <cellStyle name="Millares 4 3 6 7" xfId="4455" xr:uid="{84E8085E-8AF9-4877-8FB6-84036BED8397}"/>
    <cellStyle name="Millares 4 3 6 8" xfId="4878" xr:uid="{3877EED3-B467-4E21-92A0-4E4F1520B9E6}"/>
    <cellStyle name="Millares 4 3 6 9" xfId="5265" xr:uid="{17885B9C-3F20-4CFE-800C-0651854B04FD}"/>
    <cellStyle name="Millares 4 3 7" xfId="488" xr:uid="{00000000-0005-0000-0000-00001B040000}"/>
    <cellStyle name="Millares 4 3 7 2" xfId="853" xr:uid="{00000000-0005-0000-0000-00001C040000}"/>
    <cellStyle name="Millares 4 3 7 2 2" xfId="3565" xr:uid="{00000000-0005-0000-0000-00001D040000}"/>
    <cellStyle name="Millares 4 3 7 2 3" xfId="2490" xr:uid="{00000000-0005-0000-0000-00001E040000}"/>
    <cellStyle name="Millares 4 3 7 2 4" xfId="4747" xr:uid="{F3E20639-0A2D-495C-AE82-12E06CCD7EAC}"/>
    <cellStyle name="Millares 4 3 7 2 5" xfId="5169" xr:uid="{198FE2DD-0D31-4E16-8984-909FE25CECA0}"/>
    <cellStyle name="Millares 4 3 7 2 6" xfId="7015" xr:uid="{AEB0413A-7582-4A20-8FAB-FE000712BEDD}"/>
    <cellStyle name="Millares 4 3 7 2 7" xfId="7437" xr:uid="{6982DB49-9B2C-4F13-8191-2868479C7DA0}"/>
    <cellStyle name="Millares 4 3 7 2 8" xfId="7859" xr:uid="{7507D663-70C7-4336-B925-533DA9617D03}"/>
    <cellStyle name="Millares 4 3 7 3" xfId="1060" xr:uid="{00000000-0005-0000-0000-00001F040000}"/>
    <cellStyle name="Millares 4 3 7 3 2" xfId="3038" xr:uid="{00000000-0005-0000-0000-000020040000}"/>
    <cellStyle name="Millares 4 3 7 3 2 2" xfId="6595" xr:uid="{C4CC47B7-1294-45AC-BE20-909FD1F2D795}"/>
    <cellStyle name="Millares 4 3 7 3 2 3" xfId="5885" xr:uid="{A3850949-552D-42BA-BC82-BA17783F7D48}"/>
    <cellStyle name="Millares 4 3 7 3 3" xfId="6240" xr:uid="{C19C48EA-E623-4265-B876-9BA6D4F3B811}"/>
    <cellStyle name="Millares 4 3 7 3 4" xfId="5530" xr:uid="{4FB9ED89-FD0A-48FC-8FB9-0E0BF24F1AB1}"/>
    <cellStyle name="Millares 4 3 7 4" xfId="1947" xr:uid="{00000000-0005-0000-0000-000021040000}"/>
    <cellStyle name="Millares 4 3 7 5" xfId="4535" xr:uid="{7EB44351-8A12-4D08-A770-EB630DE0D4AF}"/>
    <cellStyle name="Millares 4 3 7 6" xfId="4958" xr:uid="{CC0E8EC7-4A9A-4CD5-B240-CFA629D8B6D5}"/>
    <cellStyle name="Millares 4 3 7 7" xfId="6804" xr:uid="{0F2AB682-2C39-4EF4-AB71-0EA456931D9B}"/>
    <cellStyle name="Millares 4 3 7 8" xfId="7226" xr:uid="{1171BAD7-2E8D-4406-8044-512A2B1B3629}"/>
    <cellStyle name="Millares 4 3 7 9" xfId="7648" xr:uid="{8F6D7A12-3772-48FC-9682-2FC83D574F3A}"/>
    <cellStyle name="Millares 4 3 8" xfId="797" xr:uid="{00000000-0005-0000-0000-000022040000}"/>
    <cellStyle name="Millares 4 3 8 10" xfId="7717" xr:uid="{E4E12184-BEA9-4AF7-8E0C-FC4D53A8F2BC}"/>
    <cellStyle name="Millares 4 3 8 2" xfId="3323" xr:uid="{00000000-0005-0000-0000-000023040000}"/>
    <cellStyle name="Millares 4 3 8 2 2" xfId="4296" xr:uid="{00000000-0005-0000-0000-000024040000}"/>
    <cellStyle name="Millares 4 3 8 3" xfId="2248" xr:uid="{00000000-0005-0000-0000-000025040000}"/>
    <cellStyle name="Millares 4 3 8 3 2" xfId="4154" xr:uid="{00000000-0005-0000-0000-000026040000}"/>
    <cellStyle name="Millares 4 3 8 4" xfId="1195" xr:uid="{00000000-0005-0000-0000-000027040000}"/>
    <cellStyle name="Millares 4 3 8 5" xfId="3962" xr:uid="{00000000-0005-0000-0000-000028040000}"/>
    <cellStyle name="Millares 4 3 8 6" xfId="4605" xr:uid="{C362771D-EF7C-4C54-8738-6D69A27CB899}"/>
    <cellStyle name="Millares 4 3 8 7" xfId="5027" xr:uid="{0855CD39-5B35-4481-89C1-A1F4F603C2CC}"/>
    <cellStyle name="Millares 4 3 8 8" xfId="6873" xr:uid="{E0C49859-6819-4414-AA03-BDE5766A15BA}"/>
    <cellStyle name="Millares 4 3 8 9" xfId="7295" xr:uid="{33399133-E675-48D1-A8D4-3E1CFF71C916}"/>
    <cellStyle name="Millares 4 3 9" xfId="910" xr:uid="{00000000-0005-0000-0000-000029040000}"/>
    <cellStyle name="Millares 4 3 9 2" xfId="2784" xr:uid="{00000000-0005-0000-0000-00002A040000}"/>
    <cellStyle name="Millares 4 3 9 2 2" xfId="6453" xr:uid="{74E0B3B4-E973-4B7D-B25C-A2F7102DF153}"/>
    <cellStyle name="Millares 4 3 9 2 3" xfId="5743" xr:uid="{4E220359-A8A4-482C-8055-B4BFBE753F8F}"/>
    <cellStyle name="Millares 4 3 9 3" xfId="6098" xr:uid="{846FE07F-1E51-4DAA-B184-70C10021ED2C}"/>
    <cellStyle name="Millares 4 3 9 4" xfId="5388" xr:uid="{E1A06318-F4CC-44B6-94B1-C6600E8BDEF3}"/>
    <cellStyle name="Millares 4 4" xfId="29" xr:uid="{00000000-0005-0000-0000-00002B040000}"/>
    <cellStyle name="Millares 4 4 10" xfId="1695" xr:uid="{00000000-0005-0000-0000-00002C040000}"/>
    <cellStyle name="Millares 4 4 10 2" xfId="4061" xr:uid="{00000000-0005-0000-0000-00002D040000}"/>
    <cellStyle name="Millares 4 4 11" xfId="4395" xr:uid="{8783F8C4-2A1D-4C00-96C0-1F1CD5EB5DD8}"/>
    <cellStyle name="Millares 4 4 12" xfId="4818" xr:uid="{B2647F3B-03DE-47C1-A115-702F08403D11}"/>
    <cellStyle name="Millares 4 4 13" xfId="6664" xr:uid="{87281554-E1A4-4850-9E5F-3C7032780D39}"/>
    <cellStyle name="Millares 4 4 14" xfId="7086" xr:uid="{56224B76-7FCA-4906-9AC1-8D616E4207D3}"/>
    <cellStyle name="Millares 4 4 15" xfId="7508" xr:uid="{603C122E-D107-461D-B67E-EEE3FDFFCD51}"/>
    <cellStyle name="Millares 4 4 2" xfId="30" xr:uid="{00000000-0005-0000-0000-00002E040000}"/>
    <cellStyle name="Millares 4 4 2 10" xfId="4396" xr:uid="{9339C472-B5B7-46DB-9B69-B12E8BC131E6}"/>
    <cellStyle name="Millares 4 4 2 11" xfId="4819" xr:uid="{ECABF957-0254-49E0-8735-AB1857A0A3E5}"/>
    <cellStyle name="Millares 4 4 2 12" xfId="6665" xr:uid="{E170F963-E0DE-415A-9762-871DC4E76854}"/>
    <cellStyle name="Millares 4 4 2 13" xfId="7087" xr:uid="{0A0C4D22-DD3B-41DA-8067-1295DBEEF3FC}"/>
    <cellStyle name="Millares 4 4 2 14" xfId="7509" xr:uid="{94F03F5A-A4FC-4FE0-AAA7-581F59273B0F}"/>
    <cellStyle name="Millares 4 4 2 2" xfId="89" xr:uid="{00000000-0005-0000-0000-00002F040000}"/>
    <cellStyle name="Millares 4 4 2 2 10" xfId="4827" xr:uid="{743FA824-5EBE-4F2B-A3D2-19C0766179B8}"/>
    <cellStyle name="Millares 4 4 2 2 11" xfId="6673" xr:uid="{8BD4D2A2-A1E0-4297-A52C-4C16618CD5AD}"/>
    <cellStyle name="Millares 4 4 2 2 12" xfId="7095" xr:uid="{F33678C5-C3AC-48D2-95C9-D53384792520}"/>
    <cellStyle name="Millares 4 4 2 2 13" xfId="7517" xr:uid="{E19B034C-F86D-4BEB-A529-252BAD4ADCEC}"/>
    <cellStyle name="Millares 4 4 2 2 2" xfId="196" xr:uid="{00000000-0005-0000-0000-000030040000}"/>
    <cellStyle name="Millares 4 4 2 2 2 10" xfId="6692" xr:uid="{CF7A143E-4C7E-488C-AED6-F422CF7481B3}"/>
    <cellStyle name="Millares 4 4 2 2 2 11" xfId="7114" xr:uid="{F2BB81C7-77CA-4840-8F31-7F1D8D0E253A}"/>
    <cellStyle name="Millares 4 4 2 2 2 12" xfId="7536" xr:uid="{D928A696-5FE6-4EA3-8F40-A5456444BDD1}"/>
    <cellStyle name="Millares 4 4 2 2 2 2" xfId="474" xr:uid="{00000000-0005-0000-0000-000031040000}"/>
    <cellStyle name="Millares 4 4 2 2 2 2 10" xfId="6753" xr:uid="{0B56D2F5-FD4A-457C-B67E-4C0B6B42A12E}"/>
    <cellStyle name="Millares 4 4 2 2 2 2 11" xfId="7175" xr:uid="{9AB76635-0293-4060-9A21-329AFAE3C6AF}"/>
    <cellStyle name="Millares 4 4 2 2 2 2 12" xfId="7597" xr:uid="{E1FCF09B-C03F-4107-B4CB-0749B46AAAC7}"/>
    <cellStyle name="Millares 4 4 2 2 2 2 2" xfId="762" xr:uid="{00000000-0005-0000-0000-000032040000}"/>
    <cellStyle name="Millares 4 4 2 2 2 2 2 10" xfId="7218" xr:uid="{4AB783F6-7140-40A9-90CF-9EC466904214}"/>
    <cellStyle name="Millares 4 4 2 2 2 2 2 11" xfId="7640" xr:uid="{E1361AD1-D9CF-4A15-A9EF-F4CAA4DF7738}"/>
    <cellStyle name="Millares 4 4 2 2 2 2 2 2" xfId="1052" xr:uid="{00000000-0005-0000-0000-000033040000}"/>
    <cellStyle name="Millares 4 4 2 2 2 2 2 2 2" xfId="3841" xr:uid="{00000000-0005-0000-0000-000034040000}"/>
    <cellStyle name="Millares 4 4 2 2 2 2 2 2 2 2" xfId="6587" xr:uid="{EC66539A-086F-4CFD-B087-5890EE1B9506}"/>
    <cellStyle name="Millares 4 4 2 2 2 2 2 2 2 3" xfId="5877" xr:uid="{F43475BF-F65D-4FCF-81EF-2563C50FE179}"/>
    <cellStyle name="Millares 4 4 2 2 2 2 2 2 3" xfId="4384" xr:uid="{00000000-0005-0000-0000-000035040000}"/>
    <cellStyle name="Millares 4 4 2 2 2 2 2 2 3 2" xfId="6232" xr:uid="{1CAF10BB-1648-4CC6-AB9E-ADD50B81F06C}"/>
    <cellStyle name="Millares 4 4 2 2 2 2 2 2 4" xfId="4739" xr:uid="{53FC40D6-4EBD-4482-BE7C-C86D2C0AA1B7}"/>
    <cellStyle name="Millares 4 4 2 2 2 2 2 2 5" xfId="5161" xr:uid="{2A2C07EC-56CF-4C04-B8A4-AD55E17E8538}"/>
    <cellStyle name="Millares 4 4 2 2 2 2 2 2 6" xfId="5522" xr:uid="{4836F91E-F0AA-4CA1-841A-4044483D4048}"/>
    <cellStyle name="Millares 4 4 2 2 2 2 2 2 7" xfId="7007" xr:uid="{37AA4936-6C61-4C52-B524-3B0055B7DEC0}"/>
    <cellStyle name="Millares 4 4 2 2 2 2 2 2 8" xfId="7429" xr:uid="{95311D51-43FF-4093-9FB7-F0DC825D1CFC}"/>
    <cellStyle name="Millares 4 4 2 2 2 2 2 2 9" xfId="7851" xr:uid="{3C05F64B-1840-450C-A487-A0A08C941431}"/>
    <cellStyle name="Millares 4 4 2 2 2 2 2 3" xfId="2766" xr:uid="{00000000-0005-0000-0000-000036040000}"/>
    <cellStyle name="Millares 4 4 2 2 2 2 2 3 2" xfId="4242" xr:uid="{00000000-0005-0000-0000-000037040000}"/>
    <cellStyle name="Millares 4 4 2 2 2 2 2 3 2 2" xfId="6423" xr:uid="{4355756E-3240-404B-AC1F-97904BCF5D8F}"/>
    <cellStyle name="Millares 4 4 2 2 2 2 2 3 3" xfId="5713" xr:uid="{52BA108E-4E0B-4BB7-870F-C44C5B55B696}"/>
    <cellStyle name="Millares 4 4 2 2 2 2 2 4" xfId="1654" xr:uid="{00000000-0005-0000-0000-000038040000}"/>
    <cellStyle name="Millares 4 4 2 2 2 2 2 4 2" xfId="6068" xr:uid="{0F119C95-5F88-4E9B-8F85-46C35E926030}"/>
    <cellStyle name="Millares 4 4 2 2 2 2 2 5" xfId="4050" xr:uid="{00000000-0005-0000-0000-000039040000}"/>
    <cellStyle name="Millares 4 4 2 2 2 2 2 6" xfId="4527" xr:uid="{FC0B1F3B-E08F-4084-AFF1-C271EB7F7BA7}"/>
    <cellStyle name="Millares 4 4 2 2 2 2 2 7" xfId="4950" xr:uid="{9272FA21-810B-4895-B9B9-59FE5D9024FA}"/>
    <cellStyle name="Millares 4 4 2 2 2 2 2 8" xfId="5358" xr:uid="{9EE89D81-3363-404D-89DB-4E7CB0D6AC93}"/>
    <cellStyle name="Millares 4 4 2 2 2 2 2 9" xfId="6796" xr:uid="{0DBB5FDD-A979-43CA-96F4-E727522363BC}"/>
    <cellStyle name="Millares 4 4 2 2 2 2 3" xfId="1009" xr:uid="{00000000-0005-0000-0000-00003A040000}"/>
    <cellStyle name="Millares 4 4 2 2 2 2 3 2" xfId="3298" xr:uid="{00000000-0005-0000-0000-00003B040000}"/>
    <cellStyle name="Millares 4 4 2 2 2 2 3 2 2" xfId="6544" xr:uid="{597B4114-3D1A-4313-848C-C71C097F3B79}"/>
    <cellStyle name="Millares 4 4 2 2 2 2 3 2 3" xfId="5834" xr:uid="{5E30FFBC-07D1-4FF1-AC40-6267A7833C68}"/>
    <cellStyle name="Millares 4 4 2 2 2 2 3 3" xfId="4289" xr:uid="{00000000-0005-0000-0000-00003C040000}"/>
    <cellStyle name="Millares 4 4 2 2 2 2 3 3 2" xfId="6189" xr:uid="{89B60C24-32EA-4E46-BFA8-92216324B1B0}"/>
    <cellStyle name="Millares 4 4 2 2 2 2 3 4" xfId="4696" xr:uid="{249CE9FF-D4D1-4835-A0B3-39AB682C5816}"/>
    <cellStyle name="Millares 4 4 2 2 2 2 3 5" xfId="5118" xr:uid="{4EA89CD1-F417-4C7B-9641-676A72F599CD}"/>
    <cellStyle name="Millares 4 4 2 2 2 2 3 6" xfId="5479" xr:uid="{AB81B81C-E323-4E70-A508-EBD8BA3C3880}"/>
    <cellStyle name="Millares 4 4 2 2 2 2 3 7" xfId="6964" xr:uid="{3C4BF50B-0C32-403F-9977-1B4F9343D29B}"/>
    <cellStyle name="Millares 4 4 2 2 2 2 3 8" xfId="7386" xr:uid="{15A8833F-DDF2-4F58-BE09-8977D2678019}"/>
    <cellStyle name="Millares 4 4 2 2 2 2 3 9" xfId="7808" xr:uid="{3B231D74-CF8E-4924-93BE-BF66352987AF}"/>
    <cellStyle name="Millares 4 4 2 2 2 2 4" xfId="2223" xr:uid="{00000000-0005-0000-0000-00003D040000}"/>
    <cellStyle name="Millares 4 4 2 2 2 2 4 2" xfId="4147" xr:uid="{00000000-0005-0000-0000-00003E040000}"/>
    <cellStyle name="Millares 4 4 2 2 2 2 4 2 2" xfId="6359" xr:uid="{EFE05C66-1B59-4B64-90AF-AB42F627943C}"/>
    <cellStyle name="Millares 4 4 2 2 2 2 4 3" xfId="5649" xr:uid="{7796767D-89FD-49A5-8634-CAB845A842CA}"/>
    <cellStyle name="Millares 4 4 2 2 2 2 5" xfId="1170" xr:uid="{00000000-0005-0000-0000-00003F040000}"/>
    <cellStyle name="Millares 4 4 2 2 2 2 5 2" xfId="6004" xr:uid="{4E886677-00D2-4C10-9479-BE7E290D2E08}"/>
    <cellStyle name="Millares 4 4 2 2 2 2 6" xfId="3955" xr:uid="{00000000-0005-0000-0000-000040040000}"/>
    <cellStyle name="Millares 4 4 2 2 2 2 7" xfId="4484" xr:uid="{58FCF80E-E094-4B87-9B7D-7737A3AFD107}"/>
    <cellStyle name="Millares 4 4 2 2 2 2 8" xfId="4907" xr:uid="{D8A0F16B-49AE-472A-82CC-EA709C39A464}"/>
    <cellStyle name="Millares 4 4 2 2 2 2 9" xfId="5294" xr:uid="{E6E29231-5B0A-4C7D-A272-B675BA9B6CB4}"/>
    <cellStyle name="Millares 4 4 2 2 2 3" xfId="586" xr:uid="{00000000-0005-0000-0000-000041040000}"/>
    <cellStyle name="Millares 4 4 2 2 2 3 10" xfId="7678" xr:uid="{63D6638C-6944-45FF-A76A-14B12D4F23C3}"/>
    <cellStyle name="Millares 4 4 2 2 2 3 2" xfId="782" xr:uid="{00000000-0005-0000-0000-000042040000}"/>
    <cellStyle name="Millares 4 4 2 2 2 3 2 10" xfId="7467" xr:uid="{9961F743-D1A5-45DF-8BD8-186F4BE19CCE}"/>
    <cellStyle name="Millares 4 4 2 2 2 3 2 11" xfId="7889" xr:uid="{93F8FD2D-BC70-4195-B77B-F14A96766F65}"/>
    <cellStyle name="Millares 4 4 2 2 2 3 2 2" xfId="3663" xr:uid="{00000000-0005-0000-0000-000043040000}"/>
    <cellStyle name="Millares 4 4 2 2 2 3 2 2 2" xfId="4345" xr:uid="{00000000-0005-0000-0000-000044040000}"/>
    <cellStyle name="Millares 4 4 2 2 2 3 2 2 2 2" xfId="6443" xr:uid="{AF069927-E08B-457F-B66A-E90F4BFD14B1}"/>
    <cellStyle name="Millares 4 4 2 2 2 3 2 2 3" xfId="5733" xr:uid="{A96DAF2B-46F4-41AF-96AD-0A1AB9B2DDC0}"/>
    <cellStyle name="Millares 4 4 2 2 2 3 2 3" xfId="2588" xr:uid="{00000000-0005-0000-0000-000045040000}"/>
    <cellStyle name="Millares 4 4 2 2 2 3 2 3 2" xfId="4203" xr:uid="{00000000-0005-0000-0000-000046040000}"/>
    <cellStyle name="Millares 4 4 2 2 2 3 2 3 3" xfId="6088" xr:uid="{31AF3087-19D8-4B86-8B61-24CD781643C1}"/>
    <cellStyle name="Millares 4 4 2 2 2 3 2 4" xfId="1498" xr:uid="{00000000-0005-0000-0000-000047040000}"/>
    <cellStyle name="Millares 4 4 2 2 2 3 2 5" xfId="4011" xr:uid="{00000000-0005-0000-0000-000048040000}"/>
    <cellStyle name="Millares 4 4 2 2 2 3 2 6" xfId="4777" xr:uid="{FC64420D-2211-479D-BFB7-04085CD8E2A8}"/>
    <cellStyle name="Millares 4 4 2 2 2 3 2 7" xfId="5199" xr:uid="{470B9C4E-7CA6-45DE-AA5E-19040F05BAE4}"/>
    <cellStyle name="Millares 4 4 2 2 2 3 2 8" xfId="5378" xr:uid="{1D8CB31E-BEE9-4694-BCB0-584C4E0A6A5C}"/>
    <cellStyle name="Millares 4 4 2 2 2 3 2 9" xfId="7045" xr:uid="{91FD787F-DAC4-47B9-9403-BD9446559C6A}"/>
    <cellStyle name="Millares 4 4 2 2 2 3 3" xfId="882" xr:uid="{00000000-0005-0000-0000-000049040000}"/>
    <cellStyle name="Millares 4 4 2 2 2 3 4" xfId="1091" xr:uid="{00000000-0005-0000-0000-00004A040000}"/>
    <cellStyle name="Millares 4 4 2 2 2 3 4 2" xfId="2045" xr:uid="{00000000-0005-0000-0000-00004B040000}"/>
    <cellStyle name="Millares 4 4 2 2 2 3 4 2 2" xfId="6625" xr:uid="{BE74F3CD-E516-43AC-A5FB-C160E02EA6E1}"/>
    <cellStyle name="Millares 4 4 2 2 2 3 4 2 3" xfId="5915" xr:uid="{8A5D9DC8-0CC3-473C-8BA4-6ADD354CF646}"/>
    <cellStyle name="Millares 4 4 2 2 2 3 4 3" xfId="4108" xr:uid="{00000000-0005-0000-0000-00004C040000}"/>
    <cellStyle name="Millares 4 4 2 2 2 3 4 3 2" xfId="6270" xr:uid="{077FC473-1BBD-4214-8D00-43F2EE0257C1}"/>
    <cellStyle name="Millares 4 4 2 2 2 3 4 4" xfId="5560" xr:uid="{0F3443BF-F409-4DED-92D6-AF8C3207806E}"/>
    <cellStyle name="Millares 4 4 2 2 2 3 5" xfId="4565" xr:uid="{0FAFCBB9-617E-4919-8AA9-269EB5A136F8}"/>
    <cellStyle name="Millares 4 4 2 2 2 3 5 2" xfId="6379" xr:uid="{65167D5A-3DE4-42DE-82BF-FA93F69A04D9}"/>
    <cellStyle name="Millares 4 4 2 2 2 3 5 3" xfId="5669" xr:uid="{B29D2A42-6A39-4AA5-A03C-1A8B7FCA8548}"/>
    <cellStyle name="Millares 4 4 2 2 2 3 6" xfId="4988" xr:uid="{96AE0A7D-975C-4ED6-AA61-C4ADC2A0DFD3}"/>
    <cellStyle name="Millares 4 4 2 2 2 3 6 2" xfId="6024" xr:uid="{69A0315E-DD45-4A34-AF73-796E78766DD6}"/>
    <cellStyle name="Millares 4 4 2 2 2 3 7" xfId="5314" xr:uid="{666FABF5-F2CE-442A-8D50-03A5AE19AE67}"/>
    <cellStyle name="Millares 4 4 2 2 2 3 8" xfId="6834" xr:uid="{D8419235-A483-4AD3-A719-3BFA24ECC872}"/>
    <cellStyle name="Millares 4 4 2 2 2 3 9" xfId="7256" xr:uid="{763B7DCA-A13E-4FD9-8BDE-2C78D7F8C8F4}"/>
    <cellStyle name="Millares 4 4 2 2 2 4" xfId="826" xr:uid="{00000000-0005-0000-0000-00004D040000}"/>
    <cellStyle name="Millares 4 4 2 2 2 4 10" xfId="7747" xr:uid="{48B5830D-7B38-424C-A695-25F6DA4654E1}"/>
    <cellStyle name="Millares 4 4 2 2 2 4 2" xfId="3513" xr:uid="{00000000-0005-0000-0000-00004E040000}"/>
    <cellStyle name="Millares 4 4 2 2 2 4 2 2" xfId="4325" xr:uid="{00000000-0005-0000-0000-00004F040000}"/>
    <cellStyle name="Millares 4 4 2 2 2 4 3" xfId="2438" xr:uid="{00000000-0005-0000-0000-000050040000}"/>
    <cellStyle name="Millares 4 4 2 2 2 4 3 2" xfId="4183" xr:uid="{00000000-0005-0000-0000-000051040000}"/>
    <cellStyle name="Millares 4 4 2 2 2 4 4" xfId="1368" xr:uid="{00000000-0005-0000-0000-000052040000}"/>
    <cellStyle name="Millares 4 4 2 2 2 4 5" xfId="3991" xr:uid="{00000000-0005-0000-0000-000053040000}"/>
    <cellStyle name="Millares 4 4 2 2 2 4 6" xfId="4635" xr:uid="{178E94DB-1822-4F3E-84B9-63EBB85F16D7}"/>
    <cellStyle name="Millares 4 4 2 2 2 4 7" xfId="5057" xr:uid="{472B0BF4-F549-4DD6-A1F1-DE55F1A1C0BA}"/>
    <cellStyle name="Millares 4 4 2 2 2 4 8" xfId="6903" xr:uid="{EB4C02D2-8FB3-4BD5-93CE-82614490D540}"/>
    <cellStyle name="Millares 4 4 2 2 2 4 9" xfId="7325" xr:uid="{89803B30-3E43-43C9-A575-26BD3BE72E02}"/>
    <cellStyle name="Millares 4 4 2 2 2 5" xfId="944" xr:uid="{00000000-0005-0000-0000-000054040000}"/>
    <cellStyle name="Millares 4 4 2 2 2 5 2" xfId="2974" xr:uid="{00000000-0005-0000-0000-000055040000}"/>
    <cellStyle name="Millares 4 4 2 2 2 5 2 2" xfId="6483" xr:uid="{B80EAC02-884F-4B2A-AEEE-2A5E83FEFF29}"/>
    <cellStyle name="Millares 4 4 2 2 2 5 2 3" xfId="5773" xr:uid="{10D77B27-6DDF-42E8-AC60-D7AB23D3BE85}"/>
    <cellStyle name="Millares 4 4 2 2 2 5 3" xfId="6128" xr:uid="{C1218402-4A0D-4BA9-AB75-E46A97BD7D4B}"/>
    <cellStyle name="Millares 4 4 2 2 2 5 4" xfId="5418" xr:uid="{EAABD836-E727-455A-A178-1D06645F10B4}"/>
    <cellStyle name="Millares 4 4 2 2 2 6" xfId="1883" xr:uid="{00000000-0005-0000-0000-000056040000}"/>
    <cellStyle name="Millares 4 4 2 2 2 6 2" xfId="4088" xr:uid="{00000000-0005-0000-0000-000057040000}"/>
    <cellStyle name="Millares 4 4 2 2 2 6 2 2" xfId="6320" xr:uid="{658F1F6D-53BE-4B64-8B22-4007D24335E5}"/>
    <cellStyle name="Millares 4 4 2 2 2 6 3" xfId="5610" xr:uid="{61324A76-DB36-492A-8F9F-8EAA3AEBD212}"/>
    <cellStyle name="Millares 4 4 2 2 2 7" xfId="4423" xr:uid="{EB01A18A-406C-484B-A86B-032AA211D358}"/>
    <cellStyle name="Millares 4 4 2 2 2 7 2" xfId="5965" xr:uid="{E3CB6702-206F-48BB-B91B-9E32CC1CCA9F}"/>
    <cellStyle name="Millares 4 4 2 2 2 8" xfId="4846" xr:uid="{23ADAA7B-3A86-4B52-BF92-C2FBAF456A7F}"/>
    <cellStyle name="Millares 4 4 2 2 2 9" xfId="5255" xr:uid="{86CB02BA-B72C-4343-B775-5E74206F7DF6}"/>
    <cellStyle name="Millares 4 4 2 2 3" xfId="362" xr:uid="{00000000-0005-0000-0000-000058040000}"/>
    <cellStyle name="Millares 4 4 2 2 3 10" xfId="7561" xr:uid="{9DC4AA25-8884-4C89-BC45-58DF6EB2F0F2}"/>
    <cellStyle name="Millares 4 4 2 2 3 2" xfId="645" xr:uid="{00000000-0005-0000-0000-000059040000}"/>
    <cellStyle name="Millares 4 4 2 2 3 2 2" xfId="900" xr:uid="{00000000-0005-0000-0000-00005A040000}"/>
    <cellStyle name="Millares 4 4 2 2 3 2 2 2" xfId="3732" xr:uid="{00000000-0005-0000-0000-00005B040000}"/>
    <cellStyle name="Millares 4 4 2 2 3 2 2 3" xfId="2657" xr:uid="{00000000-0005-0000-0000-00005C040000}"/>
    <cellStyle name="Millares 4 4 2 2 3 2 2 4" xfId="4798" xr:uid="{83528A3A-0675-40B2-A6E9-FD553A26557F}"/>
    <cellStyle name="Millares 4 4 2 2 3 2 2 5" xfId="5220" xr:uid="{25F8CB0C-209A-4763-AEF5-803A1515AE2D}"/>
    <cellStyle name="Millares 4 4 2 2 3 2 2 6" xfId="7066" xr:uid="{30048561-635E-49B7-A2F5-A03541F40DFB}"/>
    <cellStyle name="Millares 4 4 2 2 3 2 2 7" xfId="7488" xr:uid="{0908229D-D5C8-475E-BE06-BE85B44E30DC}"/>
    <cellStyle name="Millares 4 4 2 2 3 2 2 8" xfId="7910" xr:uid="{FBA22697-DF72-46F1-8039-DF639EDA0CE0}"/>
    <cellStyle name="Millares 4 4 2 2 3 2 3" xfId="1113" xr:uid="{00000000-0005-0000-0000-00005D040000}"/>
    <cellStyle name="Millares 4 4 2 2 3 2 3 2" xfId="3189" xr:uid="{00000000-0005-0000-0000-00005E040000}"/>
    <cellStyle name="Millares 4 4 2 2 3 2 3 2 2" xfId="6646" xr:uid="{08711695-AFBE-4165-BFCC-366BB80B5BD8}"/>
    <cellStyle name="Millares 4 4 2 2 3 2 3 2 3" xfId="5936" xr:uid="{0DEFA723-B4B3-41BB-BFB8-2012850BB41D}"/>
    <cellStyle name="Millares 4 4 2 2 3 2 3 3" xfId="6291" xr:uid="{509A2B83-7036-4768-9FA2-E7A39EB298E8}"/>
    <cellStyle name="Millares 4 4 2 2 3 2 3 4" xfId="5581" xr:uid="{B78AAA36-7250-41D9-BAE7-9AC732AEE9AC}"/>
    <cellStyle name="Millares 4 4 2 2 3 2 4" xfId="2114" xr:uid="{00000000-0005-0000-0000-00005F040000}"/>
    <cellStyle name="Millares 4 4 2 2 3 2 5" xfId="4586" xr:uid="{A9903422-2C85-4B82-9C76-E5192E091C38}"/>
    <cellStyle name="Millares 4 4 2 2 3 2 6" xfId="5009" xr:uid="{B15B248D-846B-4861-98BD-2E29FB8A476B}"/>
    <cellStyle name="Millares 4 4 2 2 3 2 7" xfId="6855" xr:uid="{EC6612FD-4515-44CF-A9EC-E801AFCFFC9B}"/>
    <cellStyle name="Millares 4 4 2 2 3 2 8" xfId="7277" xr:uid="{32A66505-DBE5-43B6-8983-608C303F6AD2}"/>
    <cellStyle name="Millares 4 4 2 2 3 2 9" xfId="7699" xr:uid="{DBE68C3A-29AB-4849-834D-BAF13F5D64EB}"/>
    <cellStyle name="Millares 4 4 2 2 3 3" xfId="846" xr:uid="{00000000-0005-0000-0000-000060040000}"/>
    <cellStyle name="Millares 4 4 2 2 3 3 2" xfId="3460" xr:uid="{00000000-0005-0000-0000-000061040000}"/>
    <cellStyle name="Millares 4 4 2 2 3 3 3" xfId="2385" xr:uid="{00000000-0005-0000-0000-000062040000}"/>
    <cellStyle name="Millares 4 4 2 2 3 3 4" xfId="4660" xr:uid="{A9D77243-858F-425A-97E6-6326F5D9EF40}"/>
    <cellStyle name="Millares 4 4 2 2 3 3 5" xfId="5082" xr:uid="{245AFD05-4D99-4C4D-A838-40CF61C317EB}"/>
    <cellStyle name="Millares 4 4 2 2 3 3 6" xfId="6928" xr:uid="{3984B3E5-5F81-4229-A770-CB91CDEF7066}"/>
    <cellStyle name="Millares 4 4 2 2 3 3 7" xfId="7350" xr:uid="{D4DAE0C7-815D-4FC3-8EE3-F34D4B390825}"/>
    <cellStyle name="Millares 4 4 2 2 3 3 8" xfId="7772" xr:uid="{769EA7A7-A04C-46B5-A301-8001A9ECF6B5}"/>
    <cellStyle name="Millares 4 4 2 2 3 4" xfId="973" xr:uid="{00000000-0005-0000-0000-000063040000}"/>
    <cellStyle name="Millares 4 4 2 2 3 4 2" xfId="2921" xr:uid="{00000000-0005-0000-0000-000064040000}"/>
    <cellStyle name="Millares 4 4 2 2 3 4 2 2" xfId="6508" xr:uid="{87042716-8FBB-4788-9FA5-23F41A2E58BC}"/>
    <cellStyle name="Millares 4 4 2 2 3 4 2 3" xfId="5798" xr:uid="{475CC9EA-5593-407A-8D65-EEC2D4FDCB61}"/>
    <cellStyle name="Millares 4 4 2 2 3 4 3" xfId="6153" xr:uid="{1B17687A-5EA0-4302-81B0-7BFE98B8E1E4}"/>
    <cellStyle name="Millares 4 4 2 2 3 4 4" xfId="5443" xr:uid="{3E61EC74-3767-4BEA-B982-F05955B81C86}"/>
    <cellStyle name="Millares 4 4 2 2 3 5" xfId="1830" xr:uid="{00000000-0005-0000-0000-000065040000}"/>
    <cellStyle name="Millares 4 4 2 2 3 6" xfId="4448" xr:uid="{E9E20A7B-9442-4888-8DC7-821373E68716}"/>
    <cellStyle name="Millares 4 4 2 2 3 7" xfId="4871" xr:uid="{B887D814-3C17-4308-84A0-F9750DD02085}"/>
    <cellStyle name="Millares 4 4 2 2 3 8" xfId="6717" xr:uid="{1FA2996E-2DE4-444D-81B8-574888743B7B}"/>
    <cellStyle name="Millares 4 4 2 2 3 9" xfId="7139" xr:uid="{FEB9A209-C5FC-47E9-ACBE-D84D596950F9}"/>
    <cellStyle name="Millares 4 4 2 2 4" xfId="456" xr:uid="{00000000-0005-0000-0000-000066040000}"/>
    <cellStyle name="Millares 4 4 2 2 4 10" xfId="6735" xr:uid="{0061D523-323A-4D67-8C2E-42FF3DA9F5FC}"/>
    <cellStyle name="Millares 4 4 2 2 4 11" xfId="7157" xr:uid="{597AB1D1-447F-4EEE-81AD-4B1BF08B279E}"/>
    <cellStyle name="Millares 4 4 2 2 4 12" xfId="7579" xr:uid="{4A92C58C-058B-41B6-ADB8-39860E5BA5F4}"/>
    <cellStyle name="Millares 4 4 2 2 4 2" xfId="744" xr:uid="{00000000-0005-0000-0000-000067040000}"/>
    <cellStyle name="Millares 4 4 2 2 4 2 10" xfId="7200" xr:uid="{FF7B08C2-4911-4F43-AF41-71B7C5D52298}"/>
    <cellStyle name="Millares 4 4 2 2 4 2 11" xfId="7622" xr:uid="{A004E4C3-AAB7-4E7F-9A3B-F0DB29C6099D}"/>
    <cellStyle name="Millares 4 4 2 2 4 2 2" xfId="1034" xr:uid="{00000000-0005-0000-0000-000068040000}"/>
    <cellStyle name="Millares 4 4 2 2 4 2 2 2" xfId="3823" xr:uid="{00000000-0005-0000-0000-000069040000}"/>
    <cellStyle name="Millares 4 4 2 2 4 2 2 2 2" xfId="6569" xr:uid="{F59B062B-3CB7-4B18-8666-FFBB6C27A9FF}"/>
    <cellStyle name="Millares 4 4 2 2 4 2 2 2 3" xfId="5859" xr:uid="{8AECD277-591E-418C-B1A3-AF673A1EF496}"/>
    <cellStyle name="Millares 4 4 2 2 4 2 2 3" xfId="4366" xr:uid="{00000000-0005-0000-0000-00006A040000}"/>
    <cellStyle name="Millares 4 4 2 2 4 2 2 3 2" xfId="6214" xr:uid="{CBA97CF5-5224-405C-88F9-648047ACDB18}"/>
    <cellStyle name="Millares 4 4 2 2 4 2 2 4" xfId="4721" xr:uid="{ED98E0CE-39C9-4C1D-8AF7-65A3982D861E}"/>
    <cellStyle name="Millares 4 4 2 2 4 2 2 5" xfId="5143" xr:uid="{E3906530-F432-430A-A16B-E50038E6AC5F}"/>
    <cellStyle name="Millares 4 4 2 2 4 2 2 6" xfId="5504" xr:uid="{78DC9F70-6A42-4EA0-9FF4-C9854D84CEBF}"/>
    <cellStyle name="Millares 4 4 2 2 4 2 2 7" xfId="6989" xr:uid="{C285611D-C927-4891-A08A-F71AA6EDCBC6}"/>
    <cellStyle name="Millares 4 4 2 2 4 2 2 8" xfId="7411" xr:uid="{2F61EEDE-50C5-4FB6-9B6A-6F265A7E4026}"/>
    <cellStyle name="Millares 4 4 2 2 4 2 2 9" xfId="7833" xr:uid="{2B00A2B8-FDDF-452C-97A7-0A7EDE5E7A5A}"/>
    <cellStyle name="Millares 4 4 2 2 4 2 3" xfId="2748" xr:uid="{00000000-0005-0000-0000-00006B040000}"/>
    <cellStyle name="Millares 4 4 2 2 4 2 3 2" xfId="4224" xr:uid="{00000000-0005-0000-0000-00006C040000}"/>
    <cellStyle name="Millares 4 4 2 2 4 2 3 2 2" xfId="6405" xr:uid="{865E1869-6C00-4DE6-B0BA-40DC2BF5A572}"/>
    <cellStyle name="Millares 4 4 2 2 4 2 3 3" xfId="5695" xr:uid="{515647BA-14C4-4F72-B952-6F3940B1ADEF}"/>
    <cellStyle name="Millares 4 4 2 2 4 2 4" xfId="1636" xr:uid="{00000000-0005-0000-0000-00006D040000}"/>
    <cellStyle name="Millares 4 4 2 2 4 2 4 2" xfId="6050" xr:uid="{204E154F-86D7-4F0E-82DD-084C64B240EF}"/>
    <cellStyle name="Millares 4 4 2 2 4 2 5" xfId="4032" xr:uid="{00000000-0005-0000-0000-00006E040000}"/>
    <cellStyle name="Millares 4 4 2 2 4 2 6" xfId="4509" xr:uid="{097CC4ED-CE96-410A-BF5C-2B982CB1528F}"/>
    <cellStyle name="Millares 4 4 2 2 4 2 7" xfId="4932" xr:uid="{D83AEE6C-CBD4-4B33-B744-BF582BC571C8}"/>
    <cellStyle name="Millares 4 4 2 2 4 2 8" xfId="5340" xr:uid="{D11C4C6B-F2E9-409C-957A-CEC19196D560}"/>
    <cellStyle name="Millares 4 4 2 2 4 2 9" xfId="6778" xr:uid="{CA2B2741-5FBF-4F7B-ADCD-E83E286A3B75}"/>
    <cellStyle name="Millares 4 4 2 2 4 3" xfId="991" xr:uid="{00000000-0005-0000-0000-00006F040000}"/>
    <cellStyle name="Millares 4 4 2 2 4 3 2" xfId="3280" xr:uid="{00000000-0005-0000-0000-000070040000}"/>
    <cellStyle name="Millares 4 4 2 2 4 3 2 2" xfId="6526" xr:uid="{3B99F749-68C5-4C13-88BF-C2A3328EC84F}"/>
    <cellStyle name="Millares 4 4 2 2 4 3 2 3" xfId="5816" xr:uid="{D796A2BE-AA63-46DC-B21A-54C3991FE4CF}"/>
    <cellStyle name="Millares 4 4 2 2 4 3 3" xfId="4271" xr:uid="{00000000-0005-0000-0000-000071040000}"/>
    <cellStyle name="Millares 4 4 2 2 4 3 3 2" xfId="6171" xr:uid="{4FE18676-CF34-492F-97B5-0C14D34B559B}"/>
    <cellStyle name="Millares 4 4 2 2 4 3 4" xfId="4678" xr:uid="{EB53AEC8-9E2F-4717-92A0-9F9D209A0986}"/>
    <cellStyle name="Millares 4 4 2 2 4 3 5" xfId="5100" xr:uid="{EFC2AAFA-85A8-4630-A043-D0E09C23B1C0}"/>
    <cellStyle name="Millares 4 4 2 2 4 3 6" xfId="5461" xr:uid="{1FAC80CC-75A9-4802-89D7-0AE84436B31A}"/>
    <cellStyle name="Millares 4 4 2 2 4 3 7" xfId="6946" xr:uid="{AC83845C-F9D8-46C2-A559-BA647150A5A7}"/>
    <cellStyle name="Millares 4 4 2 2 4 3 8" xfId="7368" xr:uid="{C063FEDD-E2C6-4BF2-A205-01A65FC74170}"/>
    <cellStyle name="Millares 4 4 2 2 4 3 9" xfId="7790" xr:uid="{B73AB191-8D1E-404B-A78D-0F3FBF635A97}"/>
    <cellStyle name="Millares 4 4 2 2 4 4" xfId="2205" xr:uid="{00000000-0005-0000-0000-000072040000}"/>
    <cellStyle name="Millares 4 4 2 2 4 4 2" xfId="4129" xr:uid="{00000000-0005-0000-0000-000073040000}"/>
    <cellStyle name="Millares 4 4 2 2 4 4 2 2" xfId="6341" xr:uid="{4A5BF78A-4694-40C9-8A1E-B9F5189D0D14}"/>
    <cellStyle name="Millares 4 4 2 2 4 4 3" xfId="5631" xr:uid="{B750B10F-4DBF-49E1-93CF-E9F49BCB79A9}"/>
    <cellStyle name="Millares 4 4 2 2 4 5" xfId="1152" xr:uid="{00000000-0005-0000-0000-000074040000}"/>
    <cellStyle name="Millares 4 4 2 2 4 5 2" xfId="5986" xr:uid="{C869EBF8-0A04-400F-BB55-25A61C785AED}"/>
    <cellStyle name="Millares 4 4 2 2 4 6" xfId="3937" xr:uid="{00000000-0005-0000-0000-000075040000}"/>
    <cellStyle name="Millares 4 4 2 2 4 7" xfId="4466" xr:uid="{EED547D0-85D8-4F49-A9A0-9746D8164AB6}"/>
    <cellStyle name="Millares 4 4 2 2 4 8" xfId="4889" xr:uid="{DABE4468-CA9E-424C-AC97-5D8D0D8401AF}"/>
    <cellStyle name="Millares 4 4 2 2 4 9" xfId="5276" xr:uid="{A77E9EDB-C56B-4FC8-B6B6-E4133B29E5A8}"/>
    <cellStyle name="Millares 4 4 2 2 5" xfId="533" xr:uid="{00000000-0005-0000-0000-000076040000}"/>
    <cellStyle name="Millares 4 4 2 2 5 2" xfId="864" xr:uid="{00000000-0005-0000-0000-000077040000}"/>
    <cellStyle name="Millares 4 4 2 2 5 2 2" xfId="3610" xr:uid="{00000000-0005-0000-0000-000078040000}"/>
    <cellStyle name="Millares 4 4 2 2 5 2 3" xfId="2535" xr:uid="{00000000-0005-0000-0000-000079040000}"/>
    <cellStyle name="Millares 4 4 2 2 5 2 4" xfId="4758" xr:uid="{9E3EA126-0925-4538-BE07-00E7097D1AAA}"/>
    <cellStyle name="Millares 4 4 2 2 5 2 5" xfId="5180" xr:uid="{7FD5D7BD-EE0C-4AD4-BE95-A84B9CB9AAE3}"/>
    <cellStyle name="Millares 4 4 2 2 5 2 6" xfId="7026" xr:uid="{4D82E4A4-D9FE-4053-BE5B-6F4654C3A163}"/>
    <cellStyle name="Millares 4 4 2 2 5 2 7" xfId="7448" xr:uid="{8576A359-3811-4111-A4C7-A4E2FC4F8C04}"/>
    <cellStyle name="Millares 4 4 2 2 5 2 8" xfId="7870" xr:uid="{69F1D502-D171-4ACC-A31F-8278F83FA653}"/>
    <cellStyle name="Millares 4 4 2 2 5 3" xfId="1071" xr:uid="{00000000-0005-0000-0000-00007A040000}"/>
    <cellStyle name="Millares 4 4 2 2 5 3 2" xfId="3083" xr:uid="{00000000-0005-0000-0000-00007B040000}"/>
    <cellStyle name="Millares 4 4 2 2 5 3 2 2" xfId="6606" xr:uid="{9A7A92F8-4F55-41CC-A51D-3B3B2D28AA72}"/>
    <cellStyle name="Millares 4 4 2 2 5 3 2 3" xfId="5896" xr:uid="{75000339-8FE6-4FDB-9F1F-9A7B9326ED80}"/>
    <cellStyle name="Millares 4 4 2 2 5 3 3" xfId="6251" xr:uid="{F3960E1D-1F15-4BB2-BDD5-98D2530D7EF5}"/>
    <cellStyle name="Millares 4 4 2 2 5 3 4" xfId="5541" xr:uid="{D29BB206-1D70-416A-A603-CA0008DA0151}"/>
    <cellStyle name="Millares 4 4 2 2 5 4" xfId="1992" xr:uid="{00000000-0005-0000-0000-00007C040000}"/>
    <cellStyle name="Millares 4 4 2 2 5 5" xfId="4546" xr:uid="{7424BCBB-FB44-48FD-A5B9-E73D57C63BA5}"/>
    <cellStyle name="Millares 4 4 2 2 5 6" xfId="4969" xr:uid="{8D0E7C77-CE69-4BA1-8323-838A6E604267}"/>
    <cellStyle name="Millares 4 4 2 2 5 7" xfId="6815" xr:uid="{0392573D-6DC8-4856-8F80-F19DE89CD285}"/>
    <cellStyle name="Millares 4 4 2 2 5 8" xfId="7237" xr:uid="{FA34EB13-A954-48F9-AFD0-D52146EC2379}"/>
    <cellStyle name="Millares 4 4 2 2 5 9" xfId="7659" xr:uid="{1CCF931E-BF83-46D3-87AF-252A528C17C1}"/>
    <cellStyle name="Millares 4 4 2 2 6" xfId="808" xr:uid="{00000000-0005-0000-0000-00007D040000}"/>
    <cellStyle name="Millares 4 4 2 2 6 10" xfId="7728" xr:uid="{C6F13404-2FE9-4653-8C5A-338760E08A63}"/>
    <cellStyle name="Millares 4 4 2 2 6 2" xfId="3368" xr:uid="{00000000-0005-0000-0000-00007E040000}"/>
    <cellStyle name="Millares 4 4 2 2 6 2 2" xfId="4307" xr:uid="{00000000-0005-0000-0000-00007F040000}"/>
    <cellStyle name="Millares 4 4 2 2 6 3" xfId="2293" xr:uid="{00000000-0005-0000-0000-000080040000}"/>
    <cellStyle name="Millares 4 4 2 2 6 3 2" xfId="4165" xr:uid="{00000000-0005-0000-0000-000081040000}"/>
    <cellStyle name="Millares 4 4 2 2 6 4" xfId="1240" xr:uid="{00000000-0005-0000-0000-000082040000}"/>
    <cellStyle name="Millares 4 4 2 2 6 5" xfId="3973" xr:uid="{00000000-0005-0000-0000-000083040000}"/>
    <cellStyle name="Millares 4 4 2 2 6 6" xfId="4616" xr:uid="{AD493709-A928-4CA3-8BF7-9BBFE227077A}"/>
    <cellStyle name="Millares 4 4 2 2 6 7" xfId="5038" xr:uid="{B8915FF5-A4EF-41EC-A526-9C5F4E68D736}"/>
    <cellStyle name="Millares 4 4 2 2 6 8" xfId="6884" xr:uid="{C31A427B-7025-4FF0-AC6E-A6E00C00A34F}"/>
    <cellStyle name="Millares 4 4 2 2 6 9" xfId="7306" xr:uid="{2FA1FC07-5440-4CA9-8EE8-C6AEAD319D14}"/>
    <cellStyle name="Millares 4 4 2 2 7" xfId="923" xr:uid="{00000000-0005-0000-0000-000084040000}"/>
    <cellStyle name="Millares 4 4 2 2 7 2" xfId="2829" xr:uid="{00000000-0005-0000-0000-000085040000}"/>
    <cellStyle name="Millares 4 4 2 2 7 2 2" xfId="6464" xr:uid="{2A3E0A32-798F-4711-93AA-093162047938}"/>
    <cellStyle name="Millares 4 4 2 2 7 2 3" xfId="5754" xr:uid="{83A05396-120A-4173-964D-87C4FAA31A36}"/>
    <cellStyle name="Millares 4 4 2 2 7 3" xfId="6109" xr:uid="{A3616FFE-0A81-4CEF-AE76-4B1BFEE5481A}"/>
    <cellStyle name="Millares 4 4 2 2 7 4" xfId="5399" xr:uid="{E054D543-4976-406A-8CB8-ED5FED02708E}"/>
    <cellStyle name="Millares 4 4 2 2 8" xfId="1738" xr:uid="{00000000-0005-0000-0000-000086040000}"/>
    <cellStyle name="Millares 4 4 2 2 8 2" xfId="4070" xr:uid="{00000000-0005-0000-0000-000087040000}"/>
    <cellStyle name="Millares 4 4 2 2 9" xfId="4404" xr:uid="{78687468-206B-47A5-9D79-0F36E7564B90}"/>
    <cellStyle name="Millares 4 4 2 3" xfId="184" xr:uid="{00000000-0005-0000-0000-000088040000}"/>
    <cellStyle name="Millares 4 4 2 3 10" xfId="6684" xr:uid="{31D5D3CC-B763-4DBF-9558-430E9705FE30}"/>
    <cellStyle name="Millares 4 4 2 3 11" xfId="7106" xr:uid="{F221326E-6EE8-45BD-82C2-7CF6EB6E82BB}"/>
    <cellStyle name="Millares 4 4 2 3 12" xfId="7528" xr:uid="{D196CE4B-F5D5-4A52-8C51-D440ED816A6F}"/>
    <cellStyle name="Millares 4 4 2 3 2" xfId="466" xr:uid="{00000000-0005-0000-0000-000089040000}"/>
    <cellStyle name="Millares 4 4 2 3 2 10" xfId="6745" xr:uid="{02FED201-9D31-4C72-85CD-4532810F68A2}"/>
    <cellStyle name="Millares 4 4 2 3 2 11" xfId="7167" xr:uid="{AD3FA64F-AD23-4811-8DBE-86E62A73272D}"/>
    <cellStyle name="Millares 4 4 2 3 2 12" xfId="7589" xr:uid="{3B15466A-6CD8-48F9-9EE2-5B07BDDA3D69}"/>
    <cellStyle name="Millares 4 4 2 3 2 2" xfId="754" xr:uid="{00000000-0005-0000-0000-00008A040000}"/>
    <cellStyle name="Millares 4 4 2 3 2 2 10" xfId="7210" xr:uid="{1EDE47D3-C499-4DFD-A0B5-AF249396C77E}"/>
    <cellStyle name="Millares 4 4 2 3 2 2 11" xfId="7632" xr:uid="{024068E5-B954-4D2D-962C-FF2FCCFD1242}"/>
    <cellStyle name="Millares 4 4 2 3 2 2 2" xfId="1044" xr:uid="{00000000-0005-0000-0000-00008B040000}"/>
    <cellStyle name="Millares 4 4 2 3 2 2 2 2" xfId="3833" xr:uid="{00000000-0005-0000-0000-00008C040000}"/>
    <cellStyle name="Millares 4 4 2 3 2 2 2 2 2" xfId="6579" xr:uid="{7ECDC5C2-39BB-4874-9A8C-D87A846B4A90}"/>
    <cellStyle name="Millares 4 4 2 3 2 2 2 2 3" xfId="5869" xr:uid="{294D698D-DDD1-4ADC-8857-A675A6C1356A}"/>
    <cellStyle name="Millares 4 4 2 3 2 2 2 3" xfId="4376" xr:uid="{00000000-0005-0000-0000-00008D040000}"/>
    <cellStyle name="Millares 4 4 2 3 2 2 2 3 2" xfId="6224" xr:uid="{04CA5BFD-9C1F-4534-B352-48AB5F803EF9}"/>
    <cellStyle name="Millares 4 4 2 3 2 2 2 4" xfId="4731" xr:uid="{BD88D0E7-1CC8-425D-B028-BD015FBB516C}"/>
    <cellStyle name="Millares 4 4 2 3 2 2 2 5" xfId="5153" xr:uid="{75E03880-233A-4188-8D9E-89D9FA3743B6}"/>
    <cellStyle name="Millares 4 4 2 3 2 2 2 6" xfId="5514" xr:uid="{722C5B2A-D198-4EDE-9210-EBD88DF94201}"/>
    <cellStyle name="Millares 4 4 2 3 2 2 2 7" xfId="6999" xr:uid="{BBDEE19E-00ED-461D-B28E-F5C9561A425D}"/>
    <cellStyle name="Millares 4 4 2 3 2 2 2 8" xfId="7421" xr:uid="{A250A026-8A65-4318-932D-AE71244E2419}"/>
    <cellStyle name="Millares 4 4 2 3 2 2 2 9" xfId="7843" xr:uid="{DFA9ECB6-3205-41B4-BFC9-06821BBBA84B}"/>
    <cellStyle name="Millares 4 4 2 3 2 2 3" xfId="2758" xr:uid="{00000000-0005-0000-0000-00008E040000}"/>
    <cellStyle name="Millares 4 4 2 3 2 2 3 2" xfId="4234" xr:uid="{00000000-0005-0000-0000-00008F040000}"/>
    <cellStyle name="Millares 4 4 2 3 2 2 3 2 2" xfId="6415" xr:uid="{5D8DF16B-268C-48EC-A3BB-2974D885D28F}"/>
    <cellStyle name="Millares 4 4 2 3 2 2 3 3" xfId="5705" xr:uid="{D594AF7E-6C52-495B-85E0-31AF22D21D5A}"/>
    <cellStyle name="Millares 4 4 2 3 2 2 4" xfId="1646" xr:uid="{00000000-0005-0000-0000-000090040000}"/>
    <cellStyle name="Millares 4 4 2 3 2 2 4 2" xfId="6060" xr:uid="{6D2A077E-F25F-4D01-8439-9A041A8CEFDF}"/>
    <cellStyle name="Millares 4 4 2 3 2 2 5" xfId="4042" xr:uid="{00000000-0005-0000-0000-000091040000}"/>
    <cellStyle name="Millares 4 4 2 3 2 2 6" xfId="4519" xr:uid="{3CADA954-6153-4B06-9B97-CD31387E7F1B}"/>
    <cellStyle name="Millares 4 4 2 3 2 2 7" xfId="4942" xr:uid="{8A06685E-092E-4CC4-8511-3E2E243DB675}"/>
    <cellStyle name="Millares 4 4 2 3 2 2 8" xfId="5350" xr:uid="{F3C4A1BF-7D10-4301-B846-604B13E2C9E5}"/>
    <cellStyle name="Millares 4 4 2 3 2 2 9" xfId="6788" xr:uid="{CD6DD68B-BB0C-4D3A-A59B-01D5DB087A38}"/>
    <cellStyle name="Millares 4 4 2 3 2 3" xfId="1001" xr:uid="{00000000-0005-0000-0000-000092040000}"/>
    <cellStyle name="Millares 4 4 2 3 2 3 2" xfId="3290" xr:uid="{00000000-0005-0000-0000-000093040000}"/>
    <cellStyle name="Millares 4 4 2 3 2 3 2 2" xfId="6536" xr:uid="{CB984F64-040B-4C69-A952-B15DFD6381C5}"/>
    <cellStyle name="Millares 4 4 2 3 2 3 2 3" xfId="5826" xr:uid="{5359A124-D4FA-4791-9A5C-056DB9996AA8}"/>
    <cellStyle name="Millares 4 4 2 3 2 3 3" xfId="4281" xr:uid="{00000000-0005-0000-0000-000094040000}"/>
    <cellStyle name="Millares 4 4 2 3 2 3 3 2" xfId="6181" xr:uid="{3CB5A5EB-718B-46C1-9A1D-9A6D10A16D3E}"/>
    <cellStyle name="Millares 4 4 2 3 2 3 4" xfId="4688" xr:uid="{48B8CBC4-486E-4600-AA2D-3475CD4C05DD}"/>
    <cellStyle name="Millares 4 4 2 3 2 3 5" xfId="5110" xr:uid="{8FDCFFAE-D8AF-49D6-874D-831E06E4A04D}"/>
    <cellStyle name="Millares 4 4 2 3 2 3 6" xfId="5471" xr:uid="{38C2197A-663B-43CB-B3D6-3694E4B38BEB}"/>
    <cellStyle name="Millares 4 4 2 3 2 3 7" xfId="6956" xr:uid="{DBE0D8C5-776B-4C9C-B9C2-1C5BBE121D76}"/>
    <cellStyle name="Millares 4 4 2 3 2 3 8" xfId="7378" xr:uid="{A4D47603-A003-45D7-AE92-9F72C4261155}"/>
    <cellStyle name="Millares 4 4 2 3 2 3 9" xfId="7800" xr:uid="{523699A0-97FD-47B8-A0FE-0F3F873C6373}"/>
    <cellStyle name="Millares 4 4 2 3 2 4" xfId="2215" xr:uid="{00000000-0005-0000-0000-000095040000}"/>
    <cellStyle name="Millares 4 4 2 3 2 4 2" xfId="4139" xr:uid="{00000000-0005-0000-0000-000096040000}"/>
    <cellStyle name="Millares 4 4 2 3 2 4 2 2" xfId="6351" xr:uid="{26A46255-B8B6-4E37-B3D1-BD9FC25013A8}"/>
    <cellStyle name="Millares 4 4 2 3 2 4 3" xfId="5641" xr:uid="{50156C0D-4EB1-4E4B-94EA-781B7A5B711F}"/>
    <cellStyle name="Millares 4 4 2 3 2 5" xfId="1162" xr:uid="{00000000-0005-0000-0000-000097040000}"/>
    <cellStyle name="Millares 4 4 2 3 2 5 2" xfId="5996" xr:uid="{A224D2DC-FC67-40E5-9C4A-2DA4053A224E}"/>
    <cellStyle name="Millares 4 4 2 3 2 6" xfId="3947" xr:uid="{00000000-0005-0000-0000-000098040000}"/>
    <cellStyle name="Millares 4 4 2 3 2 7" xfId="4476" xr:uid="{416C993D-DEAA-450F-8977-B5C2E77FD824}"/>
    <cellStyle name="Millares 4 4 2 3 2 8" xfId="4899" xr:uid="{F966107E-F1B3-477A-841D-1ED9E25A06E1}"/>
    <cellStyle name="Millares 4 4 2 3 2 9" xfId="5286" xr:uid="{B5E7D34F-FDCB-4ABA-BB32-6E844C84E8CA}"/>
    <cellStyle name="Millares 4 4 2 3 3" xfId="578" xr:uid="{00000000-0005-0000-0000-000099040000}"/>
    <cellStyle name="Millares 4 4 2 3 3 10" xfId="7670" xr:uid="{0A70C035-4D1F-4BE7-9B2D-FD9C8C0B8F07}"/>
    <cellStyle name="Millares 4 4 2 3 3 2" xfId="774" xr:uid="{00000000-0005-0000-0000-00009A040000}"/>
    <cellStyle name="Millares 4 4 2 3 3 2 10" xfId="7459" xr:uid="{FDB0D3C5-9C10-43B0-9901-0D7514C30A8E}"/>
    <cellStyle name="Millares 4 4 2 3 3 2 11" xfId="7881" xr:uid="{3871F092-E34A-4DCA-A7CE-5004B6C41F88}"/>
    <cellStyle name="Millares 4 4 2 3 3 2 2" xfId="3655" xr:uid="{00000000-0005-0000-0000-00009B040000}"/>
    <cellStyle name="Millares 4 4 2 3 3 2 2 2" xfId="4337" xr:uid="{00000000-0005-0000-0000-00009C040000}"/>
    <cellStyle name="Millares 4 4 2 3 3 2 2 2 2" xfId="6435" xr:uid="{1D5D6ABD-FE4B-40EE-B324-D52A5ADC8BFE}"/>
    <cellStyle name="Millares 4 4 2 3 3 2 2 3" xfId="5725" xr:uid="{A7C20E55-7547-403E-AB3A-B2BC63C9E35B}"/>
    <cellStyle name="Millares 4 4 2 3 3 2 3" xfId="2580" xr:uid="{00000000-0005-0000-0000-00009D040000}"/>
    <cellStyle name="Millares 4 4 2 3 3 2 3 2" xfId="4195" xr:uid="{00000000-0005-0000-0000-00009E040000}"/>
    <cellStyle name="Millares 4 4 2 3 3 2 3 3" xfId="6080" xr:uid="{7F104CBC-9B25-4984-8FEA-7677EDD032E2}"/>
    <cellStyle name="Millares 4 4 2 3 3 2 4" xfId="1490" xr:uid="{00000000-0005-0000-0000-00009F040000}"/>
    <cellStyle name="Millares 4 4 2 3 3 2 5" xfId="4003" xr:uid="{00000000-0005-0000-0000-0000A0040000}"/>
    <cellStyle name="Millares 4 4 2 3 3 2 6" xfId="4769" xr:uid="{6999BF20-1D9C-4CE1-9ADD-CD21331C36EA}"/>
    <cellStyle name="Millares 4 4 2 3 3 2 7" xfId="5191" xr:uid="{C32CE4E8-D917-4ADC-B8ED-FC449FDF2905}"/>
    <cellStyle name="Millares 4 4 2 3 3 2 8" xfId="5370" xr:uid="{3AEB3ABE-AE18-460C-B445-6377CE900DA5}"/>
    <cellStyle name="Millares 4 4 2 3 3 2 9" xfId="7037" xr:uid="{9A757549-8A1E-465B-8BC3-7C1724479B7D}"/>
    <cellStyle name="Millares 4 4 2 3 3 3" xfId="874" xr:uid="{00000000-0005-0000-0000-0000A1040000}"/>
    <cellStyle name="Millares 4 4 2 3 3 4" xfId="1083" xr:uid="{00000000-0005-0000-0000-0000A2040000}"/>
    <cellStyle name="Millares 4 4 2 3 3 4 2" xfId="2037" xr:uid="{00000000-0005-0000-0000-0000A3040000}"/>
    <cellStyle name="Millares 4 4 2 3 3 4 2 2" xfId="6617" xr:uid="{C5BBC1A9-71CE-4348-874E-A2C49322CCCB}"/>
    <cellStyle name="Millares 4 4 2 3 3 4 2 3" xfId="5907" xr:uid="{E7173A2E-129C-496F-86D9-5160A7C6516E}"/>
    <cellStyle name="Millares 4 4 2 3 3 4 3" xfId="4100" xr:uid="{00000000-0005-0000-0000-0000A4040000}"/>
    <cellStyle name="Millares 4 4 2 3 3 4 3 2" xfId="6262" xr:uid="{344EE7C9-A8B8-4B8E-9A28-41FBD44D6B48}"/>
    <cellStyle name="Millares 4 4 2 3 3 4 4" xfId="5552" xr:uid="{37B864C5-7B31-41D0-81ED-A61B1273C5EE}"/>
    <cellStyle name="Millares 4 4 2 3 3 5" xfId="4557" xr:uid="{3C10F002-EA7F-4F6D-A243-352869E124EC}"/>
    <cellStyle name="Millares 4 4 2 3 3 5 2" xfId="6371" xr:uid="{F49A62CA-F7C3-4588-B9F5-951AEA1147E5}"/>
    <cellStyle name="Millares 4 4 2 3 3 5 3" xfId="5661" xr:uid="{02689D7F-F712-4668-BA81-023E2121F40B}"/>
    <cellStyle name="Millares 4 4 2 3 3 6" xfId="4980" xr:uid="{0DB8F40C-9A52-4E85-AB86-4F138AA8F18E}"/>
    <cellStyle name="Millares 4 4 2 3 3 6 2" xfId="6016" xr:uid="{F71B7C95-77B2-4007-8684-E977A51F6E88}"/>
    <cellStyle name="Millares 4 4 2 3 3 7" xfId="5306" xr:uid="{84DE86D3-4B95-496A-8399-F31667A6F8F9}"/>
    <cellStyle name="Millares 4 4 2 3 3 8" xfId="6826" xr:uid="{5395E780-D460-4E43-96E7-81A6004FDB06}"/>
    <cellStyle name="Millares 4 4 2 3 3 9" xfId="7248" xr:uid="{72A8F60F-419A-4034-8F37-88C3C255A1AD}"/>
    <cellStyle name="Millares 4 4 2 3 4" xfId="818" xr:uid="{00000000-0005-0000-0000-0000A5040000}"/>
    <cellStyle name="Millares 4 4 2 3 4 10" xfId="7739" xr:uid="{B6141D4C-5109-4CD7-8D8B-210A009526B7}"/>
    <cellStyle name="Millares 4 4 2 3 4 2" xfId="3505" xr:uid="{00000000-0005-0000-0000-0000A6040000}"/>
    <cellStyle name="Millares 4 4 2 3 4 2 2" xfId="4317" xr:uid="{00000000-0005-0000-0000-0000A7040000}"/>
    <cellStyle name="Millares 4 4 2 3 4 3" xfId="2430" xr:uid="{00000000-0005-0000-0000-0000A8040000}"/>
    <cellStyle name="Millares 4 4 2 3 4 3 2" xfId="4175" xr:uid="{00000000-0005-0000-0000-0000A9040000}"/>
    <cellStyle name="Millares 4 4 2 3 4 4" xfId="1360" xr:uid="{00000000-0005-0000-0000-0000AA040000}"/>
    <cellStyle name="Millares 4 4 2 3 4 5" xfId="3983" xr:uid="{00000000-0005-0000-0000-0000AB040000}"/>
    <cellStyle name="Millares 4 4 2 3 4 6" xfId="4627" xr:uid="{9412DB93-F467-4DC1-A1B7-653A75D46FBC}"/>
    <cellStyle name="Millares 4 4 2 3 4 7" xfId="5049" xr:uid="{BDE83952-BE3B-4AF3-90C8-E1F9B8A426E9}"/>
    <cellStyle name="Millares 4 4 2 3 4 8" xfId="6895" xr:uid="{01CE9FEA-DE32-4EA2-8F63-7142C687CED2}"/>
    <cellStyle name="Millares 4 4 2 3 4 9" xfId="7317" xr:uid="{0FC64B2D-3FB2-41C4-8FCE-85A5A76DC678}"/>
    <cellStyle name="Millares 4 4 2 3 5" xfId="935" xr:uid="{00000000-0005-0000-0000-0000AC040000}"/>
    <cellStyle name="Millares 4 4 2 3 5 2" xfId="2966" xr:uid="{00000000-0005-0000-0000-0000AD040000}"/>
    <cellStyle name="Millares 4 4 2 3 5 2 2" xfId="6475" xr:uid="{A69F137C-5152-409B-8610-DCF9F6FD1176}"/>
    <cellStyle name="Millares 4 4 2 3 5 2 3" xfId="5765" xr:uid="{5D4A1883-6DB6-4986-9E16-133D55843EE4}"/>
    <cellStyle name="Millares 4 4 2 3 5 3" xfId="6120" xr:uid="{E5323DA5-1603-403D-AA62-FD2FAFF79975}"/>
    <cellStyle name="Millares 4 4 2 3 5 4" xfId="5410" xr:uid="{43FA0D6D-21CD-4278-B615-DF82563DB442}"/>
    <cellStyle name="Millares 4 4 2 3 6" xfId="1875" xr:uid="{00000000-0005-0000-0000-0000AE040000}"/>
    <cellStyle name="Millares 4 4 2 3 6 2" xfId="4080" xr:uid="{00000000-0005-0000-0000-0000AF040000}"/>
    <cellStyle name="Millares 4 4 2 3 6 2 2" xfId="6312" xr:uid="{F1FEAC73-E27E-4255-92B8-E39D8FA8AF0C}"/>
    <cellStyle name="Millares 4 4 2 3 6 3" xfId="5602" xr:uid="{46822091-5E32-41D4-AAA8-D0D98DD3BA46}"/>
    <cellStyle name="Millares 4 4 2 3 7" xfId="4415" xr:uid="{B62AD345-A8B9-4463-9805-B4E5B99959B2}"/>
    <cellStyle name="Millares 4 4 2 3 7 2" xfId="5957" xr:uid="{DD1AE6AA-7CC3-4232-BE7A-DABE4BADB5B9}"/>
    <cellStyle name="Millares 4 4 2 3 8" xfId="4838" xr:uid="{56ABD5A7-8133-4216-88EC-6E0575B0092B}"/>
    <cellStyle name="Millares 4 4 2 3 9" xfId="5247" xr:uid="{073DD96A-7F48-4EE8-97E2-9A674C3F52F9}"/>
    <cellStyle name="Millares 4 4 2 4" xfId="354" xr:uid="{00000000-0005-0000-0000-0000B0040000}"/>
    <cellStyle name="Millares 4 4 2 4 10" xfId="7553" xr:uid="{14A2D6A1-E50C-46E9-86C8-39F98AD27F79}"/>
    <cellStyle name="Millares 4 4 2 4 2" xfId="637" xr:uid="{00000000-0005-0000-0000-0000B1040000}"/>
    <cellStyle name="Millares 4 4 2 4 2 2" xfId="892" xr:uid="{00000000-0005-0000-0000-0000B2040000}"/>
    <cellStyle name="Millares 4 4 2 4 2 2 2" xfId="3724" xr:uid="{00000000-0005-0000-0000-0000B3040000}"/>
    <cellStyle name="Millares 4 4 2 4 2 2 3" xfId="2649" xr:uid="{00000000-0005-0000-0000-0000B4040000}"/>
    <cellStyle name="Millares 4 4 2 4 2 2 4" xfId="4790" xr:uid="{58E16B2F-2414-47A6-A527-F2C287C61E99}"/>
    <cellStyle name="Millares 4 4 2 4 2 2 5" xfId="5212" xr:uid="{4409AFC9-D88B-4716-B86F-5C543856E35E}"/>
    <cellStyle name="Millares 4 4 2 4 2 2 6" xfId="7058" xr:uid="{8A93979F-AF2A-4FFE-9FAC-D0745F2E0EC4}"/>
    <cellStyle name="Millares 4 4 2 4 2 2 7" xfId="7480" xr:uid="{9347A311-DD01-407A-ACBE-FEFEAB677F4F}"/>
    <cellStyle name="Millares 4 4 2 4 2 2 8" xfId="7902" xr:uid="{69832CF8-1430-45DE-82C3-A5A39EBFA1A6}"/>
    <cellStyle name="Millares 4 4 2 4 2 3" xfId="1105" xr:uid="{00000000-0005-0000-0000-0000B5040000}"/>
    <cellStyle name="Millares 4 4 2 4 2 3 2" xfId="3181" xr:uid="{00000000-0005-0000-0000-0000B6040000}"/>
    <cellStyle name="Millares 4 4 2 4 2 3 2 2" xfId="6638" xr:uid="{270AAFD4-B0C7-4F76-9705-80C339B58281}"/>
    <cellStyle name="Millares 4 4 2 4 2 3 2 3" xfId="5928" xr:uid="{2598A34B-D63C-4D22-AEB1-ED1D8331BDA2}"/>
    <cellStyle name="Millares 4 4 2 4 2 3 3" xfId="6283" xr:uid="{E58BA093-7239-4D5C-B082-3CA34C2518A6}"/>
    <cellStyle name="Millares 4 4 2 4 2 3 4" xfId="5573" xr:uid="{6D7B16F9-F1A2-4EE9-AC19-AFEC4332432C}"/>
    <cellStyle name="Millares 4 4 2 4 2 4" xfId="2106" xr:uid="{00000000-0005-0000-0000-0000B7040000}"/>
    <cellStyle name="Millares 4 4 2 4 2 5" xfId="4578" xr:uid="{D805CEAE-1139-4C5F-BE51-42E63F266A68}"/>
    <cellStyle name="Millares 4 4 2 4 2 6" xfId="5001" xr:uid="{DC36A327-8D2C-4283-840C-0BBD05E6144F}"/>
    <cellStyle name="Millares 4 4 2 4 2 7" xfId="6847" xr:uid="{45575501-AC1A-46B2-B4A6-88452AD1E8EA}"/>
    <cellStyle name="Millares 4 4 2 4 2 8" xfId="7269" xr:uid="{87EAD156-83E9-4506-BF52-12BFD2CDD7FE}"/>
    <cellStyle name="Millares 4 4 2 4 2 9" xfId="7691" xr:uid="{07865172-BC60-4B21-8296-9330EDB85AD9}"/>
    <cellStyle name="Millares 4 4 2 4 3" xfId="838" xr:uid="{00000000-0005-0000-0000-0000B8040000}"/>
    <cellStyle name="Millares 4 4 2 4 3 2" xfId="3418" xr:uid="{00000000-0005-0000-0000-0000B9040000}"/>
    <cellStyle name="Millares 4 4 2 4 3 3" xfId="2343" xr:uid="{00000000-0005-0000-0000-0000BA040000}"/>
    <cellStyle name="Millares 4 4 2 4 3 4" xfId="4652" xr:uid="{F60D13F3-AA31-4B27-823A-7930BE59A84A}"/>
    <cellStyle name="Millares 4 4 2 4 3 5" xfId="5074" xr:uid="{BFD4C6D0-9788-4128-81E6-46451E913CFD}"/>
    <cellStyle name="Millares 4 4 2 4 3 6" xfId="6920" xr:uid="{F6F2C35A-DFA4-4CD3-BCDA-41519E3E33C4}"/>
    <cellStyle name="Millares 4 4 2 4 3 7" xfId="7342" xr:uid="{BDBBD639-9E31-4133-9910-ADAECDB9EBBD}"/>
    <cellStyle name="Millares 4 4 2 4 3 8" xfId="7764" xr:uid="{2FD0F472-0412-4F92-81EE-7756E1E304D6}"/>
    <cellStyle name="Millares 4 4 2 4 4" xfId="965" xr:uid="{00000000-0005-0000-0000-0000BB040000}"/>
    <cellStyle name="Millares 4 4 2 4 4 2" xfId="2879" xr:uid="{00000000-0005-0000-0000-0000BC040000}"/>
    <cellStyle name="Millares 4 4 2 4 4 2 2" xfId="6500" xr:uid="{FD185F1D-DA95-47F8-948A-D7C794A8B785}"/>
    <cellStyle name="Millares 4 4 2 4 4 2 3" xfId="5790" xr:uid="{556692B9-E2C7-4A3E-87C7-4B680742CE3B}"/>
    <cellStyle name="Millares 4 4 2 4 4 3" xfId="6145" xr:uid="{A8E72473-7EF5-416D-921B-746FA0A83CDF}"/>
    <cellStyle name="Millares 4 4 2 4 4 4" xfId="5435" xr:uid="{9D092982-7F66-49A3-A046-290406F8FC31}"/>
    <cellStyle name="Millares 4 4 2 4 5" xfId="1788" xr:uid="{00000000-0005-0000-0000-0000BD040000}"/>
    <cellStyle name="Millares 4 4 2 4 6" xfId="4440" xr:uid="{0D0C26FF-4F25-4B1F-8705-EDE291A68D30}"/>
    <cellStyle name="Millares 4 4 2 4 7" xfId="4863" xr:uid="{600D13FD-87FE-47C7-A515-9AC72F10D454}"/>
    <cellStyle name="Millares 4 4 2 4 8" xfId="6709" xr:uid="{2EEFBA19-B6E5-4E94-B9D5-C22D48A41D3E}"/>
    <cellStyle name="Millares 4 4 2 4 9" xfId="7131" xr:uid="{69A46E32-A579-4F94-95F4-6A3312898F92}"/>
    <cellStyle name="Millares 4 4 2 5" xfId="448" xr:uid="{00000000-0005-0000-0000-0000BE040000}"/>
    <cellStyle name="Millares 4 4 2 5 10" xfId="6727" xr:uid="{940BA198-358D-498D-B21F-441C59F3A47E}"/>
    <cellStyle name="Millares 4 4 2 5 11" xfId="7149" xr:uid="{7081A8D6-469C-4372-9029-9404CD78C78A}"/>
    <cellStyle name="Millares 4 4 2 5 12" xfId="7571" xr:uid="{EF11AB91-AFD0-410B-88F9-83FAB352F8AF}"/>
    <cellStyle name="Millares 4 4 2 5 2" xfId="736" xr:uid="{00000000-0005-0000-0000-0000BF040000}"/>
    <cellStyle name="Millares 4 4 2 5 2 10" xfId="7192" xr:uid="{675CEED1-BBCC-4F0A-BBFE-1F7704355926}"/>
    <cellStyle name="Millares 4 4 2 5 2 11" xfId="7614" xr:uid="{CE121866-FC80-4B7C-A917-CDCFD7940F74}"/>
    <cellStyle name="Millares 4 4 2 5 2 2" xfId="1026" xr:uid="{00000000-0005-0000-0000-0000C0040000}"/>
    <cellStyle name="Millares 4 4 2 5 2 2 2" xfId="3815" xr:uid="{00000000-0005-0000-0000-0000C1040000}"/>
    <cellStyle name="Millares 4 4 2 5 2 2 2 2" xfId="6561" xr:uid="{2E4DFD77-7FA9-4B3F-B9B0-28AB3CEE1397}"/>
    <cellStyle name="Millares 4 4 2 5 2 2 2 3" xfId="5851" xr:uid="{589A9B5B-9307-46D2-8208-32EBC2FD3401}"/>
    <cellStyle name="Millares 4 4 2 5 2 2 3" xfId="4358" xr:uid="{00000000-0005-0000-0000-0000C2040000}"/>
    <cellStyle name="Millares 4 4 2 5 2 2 3 2" xfId="6206" xr:uid="{ADFFB155-379D-438C-81BC-2BDC81E9368D}"/>
    <cellStyle name="Millares 4 4 2 5 2 2 4" xfId="4713" xr:uid="{9AC07C08-BFC0-4F65-872C-2EEEA5DC261E}"/>
    <cellStyle name="Millares 4 4 2 5 2 2 5" xfId="5135" xr:uid="{1E20DE33-3640-40EC-912E-F41C5EEA9D66}"/>
    <cellStyle name="Millares 4 4 2 5 2 2 6" xfId="5496" xr:uid="{73D92772-3DF2-4228-B095-53B9F0A1055F}"/>
    <cellStyle name="Millares 4 4 2 5 2 2 7" xfId="6981" xr:uid="{3145EB44-77CB-4893-BC49-4574E416BAB8}"/>
    <cellStyle name="Millares 4 4 2 5 2 2 8" xfId="7403" xr:uid="{B8504081-C213-402F-9000-D995A65C252C}"/>
    <cellStyle name="Millares 4 4 2 5 2 2 9" xfId="7825" xr:uid="{1F42C670-9C62-4462-9153-E759CA923B29}"/>
    <cellStyle name="Millares 4 4 2 5 2 3" xfId="2740" xr:uid="{00000000-0005-0000-0000-0000C3040000}"/>
    <cellStyle name="Millares 4 4 2 5 2 3 2" xfId="4216" xr:uid="{00000000-0005-0000-0000-0000C4040000}"/>
    <cellStyle name="Millares 4 4 2 5 2 3 2 2" xfId="6397" xr:uid="{444E8674-8DFB-4315-A075-8FBB9FADB00C}"/>
    <cellStyle name="Millares 4 4 2 5 2 3 3" xfId="5687" xr:uid="{61B9F190-3782-473A-9CC7-B72DF98AFCB8}"/>
    <cellStyle name="Millares 4 4 2 5 2 4" xfId="1628" xr:uid="{00000000-0005-0000-0000-0000C5040000}"/>
    <cellStyle name="Millares 4 4 2 5 2 4 2" xfId="6042" xr:uid="{60A6F1DA-C698-4DF6-B378-D46F54BC448E}"/>
    <cellStyle name="Millares 4 4 2 5 2 5" xfId="4024" xr:uid="{00000000-0005-0000-0000-0000C6040000}"/>
    <cellStyle name="Millares 4 4 2 5 2 6" xfId="4501" xr:uid="{AB5433E3-D185-4071-AF63-5777E5B184D2}"/>
    <cellStyle name="Millares 4 4 2 5 2 7" xfId="4924" xr:uid="{96019DDE-D2F6-4C5A-97A3-D98074F692A9}"/>
    <cellStyle name="Millares 4 4 2 5 2 8" xfId="5332" xr:uid="{A9C0FC84-5627-41D1-AB1B-5BA0058E7BD8}"/>
    <cellStyle name="Millares 4 4 2 5 2 9" xfId="6770" xr:uid="{3C6108EC-16C3-4BCC-A291-B85E41338AFA}"/>
    <cellStyle name="Millares 4 4 2 5 3" xfId="983" xr:uid="{00000000-0005-0000-0000-0000C7040000}"/>
    <cellStyle name="Millares 4 4 2 5 3 2" xfId="3272" xr:uid="{00000000-0005-0000-0000-0000C8040000}"/>
    <cellStyle name="Millares 4 4 2 5 3 2 2" xfId="6518" xr:uid="{B7B981A7-9828-45DD-BB43-151A8D037908}"/>
    <cellStyle name="Millares 4 4 2 5 3 2 3" xfId="5808" xr:uid="{F57D32AD-918E-46B7-8759-2622C3EA7B25}"/>
    <cellStyle name="Millares 4 4 2 5 3 3" xfId="4263" xr:uid="{00000000-0005-0000-0000-0000C9040000}"/>
    <cellStyle name="Millares 4 4 2 5 3 3 2" xfId="6163" xr:uid="{EF4C0F21-1E9B-4A2A-8218-6D427440A488}"/>
    <cellStyle name="Millares 4 4 2 5 3 4" xfId="4670" xr:uid="{AC9D22AD-ACF2-43CE-9EDC-27FBA49E5D51}"/>
    <cellStyle name="Millares 4 4 2 5 3 5" xfId="5092" xr:uid="{F0F0B665-9B6D-488A-B920-822B5A237FE4}"/>
    <cellStyle name="Millares 4 4 2 5 3 6" xfId="5453" xr:uid="{4C7B9E1B-BE41-41AC-AE2A-E3A31818E98C}"/>
    <cellStyle name="Millares 4 4 2 5 3 7" xfId="6938" xr:uid="{07EB85A6-CDEC-4CB5-8D52-6D217CA2F7BF}"/>
    <cellStyle name="Millares 4 4 2 5 3 8" xfId="7360" xr:uid="{2D97C660-74CB-44F0-9D36-35E357663DB2}"/>
    <cellStyle name="Millares 4 4 2 5 3 9" xfId="7782" xr:uid="{463C5A39-F5E7-4678-875E-32BC94D0733F}"/>
    <cellStyle name="Millares 4 4 2 5 4" xfId="2197" xr:uid="{00000000-0005-0000-0000-0000CA040000}"/>
    <cellStyle name="Millares 4 4 2 5 4 2" xfId="4121" xr:uid="{00000000-0005-0000-0000-0000CB040000}"/>
    <cellStyle name="Millares 4 4 2 5 4 2 2" xfId="6333" xr:uid="{C6E51BD5-06CE-4982-A9E6-DD66A2A6AAEE}"/>
    <cellStyle name="Millares 4 4 2 5 4 3" xfId="5623" xr:uid="{CCADD13E-33BA-45D9-8F83-30FDCC056104}"/>
    <cellStyle name="Millares 4 4 2 5 5" xfId="1144" xr:uid="{00000000-0005-0000-0000-0000CC040000}"/>
    <cellStyle name="Millares 4 4 2 5 5 2" xfId="5978" xr:uid="{1B9E6CB2-7028-46DD-8087-5B7FDBE407AC}"/>
    <cellStyle name="Millares 4 4 2 5 6" xfId="3929" xr:uid="{00000000-0005-0000-0000-0000CD040000}"/>
    <cellStyle name="Millares 4 4 2 5 7" xfId="4458" xr:uid="{5A0E0E31-E340-486E-9E37-C2AA9DF83B1B}"/>
    <cellStyle name="Millares 4 4 2 5 8" xfId="4881" xr:uid="{7256E0D6-B697-4BF1-8EAE-3DD48CF3D892}"/>
    <cellStyle name="Millares 4 4 2 5 9" xfId="5268" xr:uid="{66FF242E-2A62-4FB4-ADE2-EA0E6ED738E8}"/>
    <cellStyle name="Millares 4 4 2 6" xfId="491" xr:uid="{00000000-0005-0000-0000-0000CE040000}"/>
    <cellStyle name="Millares 4 4 2 6 2" xfId="856" xr:uid="{00000000-0005-0000-0000-0000CF040000}"/>
    <cellStyle name="Millares 4 4 2 6 2 2" xfId="3568" xr:uid="{00000000-0005-0000-0000-0000D0040000}"/>
    <cellStyle name="Millares 4 4 2 6 2 3" xfId="2493" xr:uid="{00000000-0005-0000-0000-0000D1040000}"/>
    <cellStyle name="Millares 4 4 2 6 2 4" xfId="4750" xr:uid="{B3B85461-2346-448A-83DF-32786BC4CFC1}"/>
    <cellStyle name="Millares 4 4 2 6 2 5" xfId="5172" xr:uid="{7455E271-80A0-4208-AFDA-77885D9A4099}"/>
    <cellStyle name="Millares 4 4 2 6 2 6" xfId="7018" xr:uid="{B32D3C64-D6DF-43A7-8AB6-42743A7E6022}"/>
    <cellStyle name="Millares 4 4 2 6 2 7" xfId="7440" xr:uid="{F1A501A4-0695-46FA-B32D-287D8D96391D}"/>
    <cellStyle name="Millares 4 4 2 6 2 8" xfId="7862" xr:uid="{57F22D4A-52F0-47F9-8325-B454416F1D0B}"/>
    <cellStyle name="Millares 4 4 2 6 3" xfId="1063" xr:uid="{00000000-0005-0000-0000-0000D2040000}"/>
    <cellStyle name="Millares 4 4 2 6 3 2" xfId="3041" xr:uid="{00000000-0005-0000-0000-0000D3040000}"/>
    <cellStyle name="Millares 4 4 2 6 3 2 2" xfId="6598" xr:uid="{D48C0F1B-0365-4209-A86C-022749CC92BA}"/>
    <cellStyle name="Millares 4 4 2 6 3 2 3" xfId="5888" xr:uid="{B68169C3-9C08-4B55-AFFB-C6CF44DA9594}"/>
    <cellStyle name="Millares 4 4 2 6 3 3" xfId="6243" xr:uid="{C0AF1215-5BD0-42E2-9012-2137C0AD25F7}"/>
    <cellStyle name="Millares 4 4 2 6 3 4" xfId="5533" xr:uid="{0792A543-2542-473A-AF52-C993E00C89FF}"/>
    <cellStyle name="Millares 4 4 2 6 4" xfId="1950" xr:uid="{00000000-0005-0000-0000-0000D4040000}"/>
    <cellStyle name="Millares 4 4 2 6 5" xfId="4538" xr:uid="{2AEEF0EB-6A01-47D2-B8CC-9A4E61E098CD}"/>
    <cellStyle name="Millares 4 4 2 6 6" xfId="4961" xr:uid="{993445FE-17B2-4970-BF53-4262B3CFAA24}"/>
    <cellStyle name="Millares 4 4 2 6 7" xfId="6807" xr:uid="{9A0802CC-0BED-41A0-A69C-369773FB8706}"/>
    <cellStyle name="Millares 4 4 2 6 8" xfId="7229" xr:uid="{52C7E87B-4494-4438-81DE-1E65415A283A}"/>
    <cellStyle name="Millares 4 4 2 6 9" xfId="7651" xr:uid="{0AF21ABB-AD0D-4E98-BE47-164B8E1E7E19}"/>
    <cellStyle name="Millares 4 4 2 7" xfId="800" xr:uid="{00000000-0005-0000-0000-0000D5040000}"/>
    <cellStyle name="Millares 4 4 2 7 10" xfId="7720" xr:uid="{85A74A75-DEE4-4512-868D-6C3F6CA12E03}"/>
    <cellStyle name="Millares 4 4 2 7 2" xfId="3326" xr:uid="{00000000-0005-0000-0000-0000D6040000}"/>
    <cellStyle name="Millares 4 4 2 7 2 2" xfId="4299" xr:uid="{00000000-0005-0000-0000-0000D7040000}"/>
    <cellStyle name="Millares 4 4 2 7 3" xfId="2251" xr:uid="{00000000-0005-0000-0000-0000D8040000}"/>
    <cellStyle name="Millares 4 4 2 7 3 2" xfId="4157" xr:uid="{00000000-0005-0000-0000-0000D9040000}"/>
    <cellStyle name="Millares 4 4 2 7 4" xfId="1198" xr:uid="{00000000-0005-0000-0000-0000DA040000}"/>
    <cellStyle name="Millares 4 4 2 7 5" xfId="3965" xr:uid="{00000000-0005-0000-0000-0000DB040000}"/>
    <cellStyle name="Millares 4 4 2 7 6" xfId="4608" xr:uid="{823A1E6F-73ED-43FF-B14C-F2D68FE34F46}"/>
    <cellStyle name="Millares 4 4 2 7 7" xfId="5030" xr:uid="{386FE94B-ECE5-4FF7-82D2-01CC39711925}"/>
    <cellStyle name="Millares 4 4 2 7 8" xfId="6876" xr:uid="{7564A451-A79B-44B5-8228-13AAA9636422}"/>
    <cellStyle name="Millares 4 4 2 7 9" xfId="7298" xr:uid="{29662C38-5069-46C8-B323-075FCC4027C7}"/>
    <cellStyle name="Millares 4 4 2 8" xfId="913" xr:uid="{00000000-0005-0000-0000-0000DC040000}"/>
    <cellStyle name="Millares 4 4 2 8 2" xfId="2787" xr:uid="{00000000-0005-0000-0000-0000DD040000}"/>
    <cellStyle name="Millares 4 4 2 8 2 2" xfId="6456" xr:uid="{2904C88A-A585-4F02-AED2-C54D591A8A75}"/>
    <cellStyle name="Millares 4 4 2 8 2 3" xfId="5746" xr:uid="{62928B57-224A-4516-823B-CA805E950BDE}"/>
    <cellStyle name="Millares 4 4 2 8 3" xfId="6101" xr:uid="{0DB7C41A-9913-41A2-BC69-316BA0D7985E}"/>
    <cellStyle name="Millares 4 4 2 8 4" xfId="5391" xr:uid="{0E0DB96B-99FD-44A2-B808-5F0C7A9B7AF6}"/>
    <cellStyle name="Millares 4 4 2 9" xfId="1696" xr:uid="{00000000-0005-0000-0000-0000DE040000}"/>
    <cellStyle name="Millares 4 4 2 9 2" xfId="4062" xr:uid="{00000000-0005-0000-0000-0000DF040000}"/>
    <cellStyle name="Millares 4 4 3" xfId="88" xr:uid="{00000000-0005-0000-0000-0000E0040000}"/>
    <cellStyle name="Millares 4 4 3 10" xfId="4826" xr:uid="{0F6A2A43-648F-46D2-A260-74FC3D871282}"/>
    <cellStyle name="Millares 4 4 3 11" xfId="6672" xr:uid="{D77D02C0-C0F4-466F-9036-DE3F3B58CB82}"/>
    <cellStyle name="Millares 4 4 3 12" xfId="7094" xr:uid="{0FEDD6B9-E2CF-43B9-A090-DADDDDD31092}"/>
    <cellStyle name="Millares 4 4 3 13" xfId="7516" xr:uid="{69074EAB-8850-4B73-8C3A-69387175B624}"/>
    <cellStyle name="Millares 4 4 3 2" xfId="195" xr:uid="{00000000-0005-0000-0000-0000E1040000}"/>
    <cellStyle name="Millares 4 4 3 2 10" xfId="6691" xr:uid="{DFEF1CA9-E78A-47E6-AB04-A288F8BB2EF0}"/>
    <cellStyle name="Millares 4 4 3 2 11" xfId="7113" xr:uid="{196D7653-49F4-430E-991E-071BF6B43AB6}"/>
    <cellStyle name="Millares 4 4 3 2 12" xfId="7535" xr:uid="{E42A2B6C-DBED-47C3-A232-C3DEECBB9B77}"/>
    <cellStyle name="Millares 4 4 3 2 2" xfId="473" xr:uid="{00000000-0005-0000-0000-0000E2040000}"/>
    <cellStyle name="Millares 4 4 3 2 2 10" xfId="6752" xr:uid="{B1AE5BB1-844E-4CB5-9233-E00AC7F35268}"/>
    <cellStyle name="Millares 4 4 3 2 2 11" xfId="7174" xr:uid="{A5317B8F-27C0-4DDD-A53B-0D92DA66BC4C}"/>
    <cellStyle name="Millares 4 4 3 2 2 12" xfId="7596" xr:uid="{C21E2DA8-7D51-46D6-8C08-A7AC073BB056}"/>
    <cellStyle name="Millares 4 4 3 2 2 2" xfId="761" xr:uid="{00000000-0005-0000-0000-0000E3040000}"/>
    <cellStyle name="Millares 4 4 3 2 2 2 10" xfId="7217" xr:uid="{F5873A4B-CE41-4125-B3D9-839FCEDCDB16}"/>
    <cellStyle name="Millares 4 4 3 2 2 2 11" xfId="7639" xr:uid="{324CC12D-DC21-4559-A04C-F7EE4A7FD319}"/>
    <cellStyle name="Millares 4 4 3 2 2 2 2" xfId="1051" xr:uid="{00000000-0005-0000-0000-0000E4040000}"/>
    <cellStyle name="Millares 4 4 3 2 2 2 2 2" xfId="3840" xr:uid="{00000000-0005-0000-0000-0000E5040000}"/>
    <cellStyle name="Millares 4 4 3 2 2 2 2 2 2" xfId="6586" xr:uid="{1C177831-A878-46FF-A833-C75082803A47}"/>
    <cellStyle name="Millares 4 4 3 2 2 2 2 2 3" xfId="5876" xr:uid="{0CFBAB34-6E3A-48A7-BE3E-A78C9822C9C9}"/>
    <cellStyle name="Millares 4 4 3 2 2 2 2 3" xfId="4383" xr:uid="{00000000-0005-0000-0000-0000E6040000}"/>
    <cellStyle name="Millares 4 4 3 2 2 2 2 3 2" xfId="6231" xr:uid="{1982CC56-F4D1-4F22-BDBA-DBB7C99B35A3}"/>
    <cellStyle name="Millares 4 4 3 2 2 2 2 4" xfId="4738" xr:uid="{83D152C9-7790-4A06-81A5-573EA463B711}"/>
    <cellStyle name="Millares 4 4 3 2 2 2 2 5" xfId="5160" xr:uid="{91C2C5CB-98AA-43B0-A8E4-C9EE40CE3E8B}"/>
    <cellStyle name="Millares 4 4 3 2 2 2 2 6" xfId="5521" xr:uid="{E103E748-C91D-49EE-A70E-55537386749E}"/>
    <cellStyle name="Millares 4 4 3 2 2 2 2 7" xfId="7006" xr:uid="{D4F3F1A3-198A-46AF-A46F-5CEAD6F74C66}"/>
    <cellStyle name="Millares 4 4 3 2 2 2 2 8" xfId="7428" xr:uid="{3033D57C-5E7B-44BD-8656-285C18E91986}"/>
    <cellStyle name="Millares 4 4 3 2 2 2 2 9" xfId="7850" xr:uid="{5F464A83-8769-4329-A8C6-ADE54ED01A15}"/>
    <cellStyle name="Millares 4 4 3 2 2 2 3" xfId="2765" xr:uid="{00000000-0005-0000-0000-0000E7040000}"/>
    <cellStyle name="Millares 4 4 3 2 2 2 3 2" xfId="4241" xr:uid="{00000000-0005-0000-0000-0000E8040000}"/>
    <cellStyle name="Millares 4 4 3 2 2 2 3 2 2" xfId="6422" xr:uid="{37426F78-9CD8-4379-B506-751A1DD72D53}"/>
    <cellStyle name="Millares 4 4 3 2 2 2 3 3" xfId="5712" xr:uid="{7D41F3D5-56EE-49BB-BAB7-F13098C3758A}"/>
    <cellStyle name="Millares 4 4 3 2 2 2 4" xfId="1653" xr:uid="{00000000-0005-0000-0000-0000E9040000}"/>
    <cellStyle name="Millares 4 4 3 2 2 2 4 2" xfId="6067" xr:uid="{6E0FAACB-86AE-417F-96AB-A381C31ED598}"/>
    <cellStyle name="Millares 4 4 3 2 2 2 5" xfId="4049" xr:uid="{00000000-0005-0000-0000-0000EA040000}"/>
    <cellStyle name="Millares 4 4 3 2 2 2 6" xfId="4526" xr:uid="{53794664-1EB5-49F9-9DA0-7B1CDDAB4DB4}"/>
    <cellStyle name="Millares 4 4 3 2 2 2 7" xfId="4949" xr:uid="{A7C65FD1-7920-4235-8C98-7D4C6F97E68E}"/>
    <cellStyle name="Millares 4 4 3 2 2 2 8" xfId="5357" xr:uid="{20E58F43-B8A7-4330-BC92-078A10A1AFD2}"/>
    <cellStyle name="Millares 4 4 3 2 2 2 9" xfId="6795" xr:uid="{4AEFCE07-7FB3-45BD-917D-FB0CFE56B590}"/>
    <cellStyle name="Millares 4 4 3 2 2 3" xfId="1008" xr:uid="{00000000-0005-0000-0000-0000EB040000}"/>
    <cellStyle name="Millares 4 4 3 2 2 3 2" xfId="3297" xr:uid="{00000000-0005-0000-0000-0000EC040000}"/>
    <cellStyle name="Millares 4 4 3 2 2 3 2 2" xfId="6543" xr:uid="{021D5357-E91E-4955-A467-91898B212EF5}"/>
    <cellStyle name="Millares 4 4 3 2 2 3 2 3" xfId="5833" xr:uid="{CDB5C0B1-067C-4D69-BAED-7746F7332453}"/>
    <cellStyle name="Millares 4 4 3 2 2 3 3" xfId="4288" xr:uid="{00000000-0005-0000-0000-0000ED040000}"/>
    <cellStyle name="Millares 4 4 3 2 2 3 3 2" xfId="6188" xr:uid="{D0D06834-A16C-422B-944D-3B4B49492DB7}"/>
    <cellStyle name="Millares 4 4 3 2 2 3 4" xfId="4695" xr:uid="{D288D8E8-869E-426C-9B6A-093CE28D7EFF}"/>
    <cellStyle name="Millares 4 4 3 2 2 3 5" xfId="5117" xr:uid="{FF9EA973-476D-4761-9CB7-829ED4723032}"/>
    <cellStyle name="Millares 4 4 3 2 2 3 6" xfId="5478" xr:uid="{1DA59AE3-4B84-4C45-962F-6AA5AB344D5B}"/>
    <cellStyle name="Millares 4 4 3 2 2 3 7" xfId="6963" xr:uid="{4B3E0D50-40E3-49DD-8A90-718081C707C9}"/>
    <cellStyle name="Millares 4 4 3 2 2 3 8" xfId="7385" xr:uid="{F292959C-A123-4D94-AE0F-D337674E4877}"/>
    <cellStyle name="Millares 4 4 3 2 2 3 9" xfId="7807" xr:uid="{7CAFE774-7C4C-42C0-B0DA-90B87F122891}"/>
    <cellStyle name="Millares 4 4 3 2 2 4" xfId="2222" xr:uid="{00000000-0005-0000-0000-0000EE040000}"/>
    <cellStyle name="Millares 4 4 3 2 2 4 2" xfId="4146" xr:uid="{00000000-0005-0000-0000-0000EF040000}"/>
    <cellStyle name="Millares 4 4 3 2 2 4 2 2" xfId="6358" xr:uid="{E8E38C2D-1410-4E19-9EA9-75FF0F62E6C0}"/>
    <cellStyle name="Millares 4 4 3 2 2 4 3" xfId="5648" xr:uid="{26C12B45-24E2-468B-8ABF-D75B8EF89108}"/>
    <cellStyle name="Millares 4 4 3 2 2 5" xfId="1169" xr:uid="{00000000-0005-0000-0000-0000F0040000}"/>
    <cellStyle name="Millares 4 4 3 2 2 5 2" xfId="6003" xr:uid="{5312486E-BE7B-4639-92F5-9EF5A8FE9605}"/>
    <cellStyle name="Millares 4 4 3 2 2 6" xfId="3954" xr:uid="{00000000-0005-0000-0000-0000F1040000}"/>
    <cellStyle name="Millares 4 4 3 2 2 7" xfId="4483" xr:uid="{6762C39F-8B2C-4A76-8EB6-CD32D655B60A}"/>
    <cellStyle name="Millares 4 4 3 2 2 8" xfId="4906" xr:uid="{5E3828EC-377A-436D-B6BF-B0DF4BF108F9}"/>
    <cellStyle name="Millares 4 4 3 2 2 9" xfId="5293" xr:uid="{2DD45D6D-D8DB-452F-9A49-7BD29E9B87B7}"/>
    <cellStyle name="Millares 4 4 3 2 3" xfId="585" xr:uid="{00000000-0005-0000-0000-0000F2040000}"/>
    <cellStyle name="Millares 4 4 3 2 3 10" xfId="7677" xr:uid="{8F1A84BA-761C-44CA-9B75-B9F94F8BAD7C}"/>
    <cellStyle name="Millares 4 4 3 2 3 2" xfId="781" xr:uid="{00000000-0005-0000-0000-0000F3040000}"/>
    <cellStyle name="Millares 4 4 3 2 3 2 10" xfId="7466" xr:uid="{1831878D-26E3-4BEF-A042-C8969240E588}"/>
    <cellStyle name="Millares 4 4 3 2 3 2 11" xfId="7888" xr:uid="{C7BBEC33-4334-4F90-BB00-FDCB56CAD380}"/>
    <cellStyle name="Millares 4 4 3 2 3 2 2" xfId="3662" xr:uid="{00000000-0005-0000-0000-0000F4040000}"/>
    <cellStyle name="Millares 4 4 3 2 3 2 2 2" xfId="4344" xr:uid="{00000000-0005-0000-0000-0000F5040000}"/>
    <cellStyle name="Millares 4 4 3 2 3 2 2 2 2" xfId="6442" xr:uid="{D5A16CAD-253A-4D28-B7EF-14EFBAEF5CB5}"/>
    <cellStyle name="Millares 4 4 3 2 3 2 2 3" xfId="5732" xr:uid="{B5773306-A3EF-412A-AFB6-EDE83941C1E9}"/>
    <cellStyle name="Millares 4 4 3 2 3 2 3" xfId="2587" xr:uid="{00000000-0005-0000-0000-0000F6040000}"/>
    <cellStyle name="Millares 4 4 3 2 3 2 3 2" xfId="4202" xr:uid="{00000000-0005-0000-0000-0000F7040000}"/>
    <cellStyle name="Millares 4 4 3 2 3 2 3 3" xfId="6087" xr:uid="{9D6F00F9-8540-45C1-AD9E-3367BD73209E}"/>
    <cellStyle name="Millares 4 4 3 2 3 2 4" xfId="1497" xr:uid="{00000000-0005-0000-0000-0000F8040000}"/>
    <cellStyle name="Millares 4 4 3 2 3 2 5" xfId="4010" xr:uid="{00000000-0005-0000-0000-0000F9040000}"/>
    <cellStyle name="Millares 4 4 3 2 3 2 6" xfId="4776" xr:uid="{D36365DA-8443-472E-A5A1-F6DA301828F1}"/>
    <cellStyle name="Millares 4 4 3 2 3 2 7" xfId="5198" xr:uid="{0E8126F2-316A-402F-9185-EA3F23161B19}"/>
    <cellStyle name="Millares 4 4 3 2 3 2 8" xfId="5377" xr:uid="{B348AEC6-809E-4CC0-9D0D-3DF19ADC30DA}"/>
    <cellStyle name="Millares 4 4 3 2 3 2 9" xfId="7044" xr:uid="{D100ADCF-FE44-4419-B906-7073A0E012E6}"/>
    <cellStyle name="Millares 4 4 3 2 3 3" xfId="881" xr:uid="{00000000-0005-0000-0000-0000FA040000}"/>
    <cellStyle name="Millares 4 4 3 2 3 4" xfId="1090" xr:uid="{00000000-0005-0000-0000-0000FB040000}"/>
    <cellStyle name="Millares 4 4 3 2 3 4 2" xfId="2044" xr:uid="{00000000-0005-0000-0000-0000FC040000}"/>
    <cellStyle name="Millares 4 4 3 2 3 4 2 2" xfId="6624" xr:uid="{0207F0FB-3C85-4280-8FDF-985DB778C11C}"/>
    <cellStyle name="Millares 4 4 3 2 3 4 2 3" xfId="5914" xr:uid="{FC772CDF-BC01-4BDB-A6EF-3DE94C75A10E}"/>
    <cellStyle name="Millares 4 4 3 2 3 4 3" xfId="4107" xr:uid="{00000000-0005-0000-0000-0000FD040000}"/>
    <cellStyle name="Millares 4 4 3 2 3 4 3 2" xfId="6269" xr:uid="{75533190-9660-4EE9-861C-28A1947C7960}"/>
    <cellStyle name="Millares 4 4 3 2 3 4 4" xfId="5559" xr:uid="{188D1E44-695F-4359-9F8D-371CC6091743}"/>
    <cellStyle name="Millares 4 4 3 2 3 5" xfId="4564" xr:uid="{06630CC7-F579-4F62-A687-5B6C3FF594BF}"/>
    <cellStyle name="Millares 4 4 3 2 3 5 2" xfId="6378" xr:uid="{2636056E-5C74-4A33-BF9A-28A707C85219}"/>
    <cellStyle name="Millares 4 4 3 2 3 5 3" xfId="5668" xr:uid="{681755BD-8EAF-4C00-B80F-7B6C35E2956C}"/>
    <cellStyle name="Millares 4 4 3 2 3 6" xfId="4987" xr:uid="{5E734FB6-259F-4BE0-9EF5-0A9C60B3CDD3}"/>
    <cellStyle name="Millares 4 4 3 2 3 6 2" xfId="6023" xr:uid="{381E299B-86CC-40A7-8C0E-49F762145A5B}"/>
    <cellStyle name="Millares 4 4 3 2 3 7" xfId="5313" xr:uid="{3BE8D28E-2D50-44C4-87A2-148CF706D968}"/>
    <cellStyle name="Millares 4 4 3 2 3 8" xfId="6833" xr:uid="{A6EB4581-7277-4914-96C0-A4FFF9519716}"/>
    <cellStyle name="Millares 4 4 3 2 3 9" xfId="7255" xr:uid="{89F1556F-C8BA-441F-BC45-94E76BE6075E}"/>
    <cellStyle name="Millares 4 4 3 2 4" xfId="825" xr:uid="{00000000-0005-0000-0000-0000FE040000}"/>
    <cellStyle name="Millares 4 4 3 2 4 10" xfId="7746" xr:uid="{40D33E2D-D719-4E73-94D1-7AE4E437C1CB}"/>
    <cellStyle name="Millares 4 4 3 2 4 2" xfId="3512" xr:uid="{00000000-0005-0000-0000-0000FF040000}"/>
    <cellStyle name="Millares 4 4 3 2 4 2 2" xfId="4324" xr:uid="{00000000-0005-0000-0000-000000050000}"/>
    <cellStyle name="Millares 4 4 3 2 4 3" xfId="2437" xr:uid="{00000000-0005-0000-0000-000001050000}"/>
    <cellStyle name="Millares 4 4 3 2 4 3 2" xfId="4182" xr:uid="{00000000-0005-0000-0000-000002050000}"/>
    <cellStyle name="Millares 4 4 3 2 4 4" xfId="1367" xr:uid="{00000000-0005-0000-0000-000003050000}"/>
    <cellStyle name="Millares 4 4 3 2 4 5" xfId="3990" xr:uid="{00000000-0005-0000-0000-000004050000}"/>
    <cellStyle name="Millares 4 4 3 2 4 6" xfId="4634" xr:uid="{2D73C85E-243F-44CF-A674-BD0CB29C5230}"/>
    <cellStyle name="Millares 4 4 3 2 4 7" xfId="5056" xr:uid="{DD1E17E6-57C0-4957-833A-39BEDBEC9592}"/>
    <cellStyle name="Millares 4 4 3 2 4 8" xfId="6902" xr:uid="{B343C28A-24AA-46E1-83E4-9D379E2F5718}"/>
    <cellStyle name="Millares 4 4 3 2 4 9" xfId="7324" xr:uid="{C18EFF51-6E14-43F9-9FDC-E276C147F641}"/>
    <cellStyle name="Millares 4 4 3 2 5" xfId="943" xr:uid="{00000000-0005-0000-0000-000005050000}"/>
    <cellStyle name="Millares 4 4 3 2 5 2" xfId="2973" xr:uid="{00000000-0005-0000-0000-000006050000}"/>
    <cellStyle name="Millares 4 4 3 2 5 2 2" xfId="6482" xr:uid="{63803A2C-87E4-4131-9067-0C879FFC138C}"/>
    <cellStyle name="Millares 4 4 3 2 5 2 3" xfId="5772" xr:uid="{7EC6B8B2-75C3-4DCD-8A59-7EB6C0396436}"/>
    <cellStyle name="Millares 4 4 3 2 5 3" xfId="6127" xr:uid="{4C390C15-61FE-4BC6-B972-AD30C3B4DFFF}"/>
    <cellStyle name="Millares 4 4 3 2 5 4" xfId="5417" xr:uid="{1A98B2A3-47E3-4A63-9C37-0B2F35E75CBC}"/>
    <cellStyle name="Millares 4 4 3 2 6" xfId="1882" xr:uid="{00000000-0005-0000-0000-000007050000}"/>
    <cellStyle name="Millares 4 4 3 2 6 2" xfId="4087" xr:uid="{00000000-0005-0000-0000-000008050000}"/>
    <cellStyle name="Millares 4 4 3 2 6 2 2" xfId="6319" xr:uid="{68DEF8E2-3A50-4E90-AEAC-0AAC69989CF4}"/>
    <cellStyle name="Millares 4 4 3 2 6 3" xfId="5609" xr:uid="{883FD794-1974-4413-A97E-F53C1CBA158C}"/>
    <cellStyle name="Millares 4 4 3 2 7" xfId="4422" xr:uid="{C91291B7-EFD7-485F-A30C-56A00AAFC662}"/>
    <cellStyle name="Millares 4 4 3 2 7 2" xfId="5964" xr:uid="{BF63124D-61C6-424B-87B6-99463FF3AF4C}"/>
    <cellStyle name="Millares 4 4 3 2 8" xfId="4845" xr:uid="{8EC6756A-06D4-4379-87B8-A52FD56F2CDD}"/>
    <cellStyle name="Millares 4 4 3 2 9" xfId="5254" xr:uid="{AE14C0B9-90FA-473D-AC7A-7460CE3C0EE2}"/>
    <cellStyle name="Millares 4 4 3 3" xfId="361" xr:uid="{00000000-0005-0000-0000-000009050000}"/>
    <cellStyle name="Millares 4 4 3 3 10" xfId="7560" xr:uid="{13B27BFC-A022-48CF-AE2C-B789A6A435A6}"/>
    <cellStyle name="Millares 4 4 3 3 2" xfId="644" xr:uid="{00000000-0005-0000-0000-00000A050000}"/>
    <cellStyle name="Millares 4 4 3 3 2 2" xfId="899" xr:uid="{00000000-0005-0000-0000-00000B050000}"/>
    <cellStyle name="Millares 4 4 3 3 2 2 2" xfId="3731" xr:uid="{00000000-0005-0000-0000-00000C050000}"/>
    <cellStyle name="Millares 4 4 3 3 2 2 3" xfId="2656" xr:uid="{00000000-0005-0000-0000-00000D050000}"/>
    <cellStyle name="Millares 4 4 3 3 2 2 4" xfId="4797" xr:uid="{BE717F10-FF99-4E1A-AB5D-5D47FBAD9F1C}"/>
    <cellStyle name="Millares 4 4 3 3 2 2 5" xfId="5219" xr:uid="{5CF4D5B5-DFDB-4ADE-ACC1-B17148DABCFD}"/>
    <cellStyle name="Millares 4 4 3 3 2 2 6" xfId="7065" xr:uid="{35AA58AE-ABE2-40A8-B8B4-F383C5B96A57}"/>
    <cellStyle name="Millares 4 4 3 3 2 2 7" xfId="7487" xr:uid="{71E91DFA-F823-4C1E-B03E-112565A6F628}"/>
    <cellStyle name="Millares 4 4 3 3 2 2 8" xfId="7909" xr:uid="{35415680-8CD1-407B-A6A8-495A76D0611A}"/>
    <cellStyle name="Millares 4 4 3 3 2 3" xfId="1112" xr:uid="{00000000-0005-0000-0000-00000E050000}"/>
    <cellStyle name="Millares 4 4 3 3 2 3 2" xfId="3188" xr:uid="{00000000-0005-0000-0000-00000F050000}"/>
    <cellStyle name="Millares 4 4 3 3 2 3 2 2" xfId="6645" xr:uid="{5F2D6D82-EC12-44A4-A34C-5781F4E26F2C}"/>
    <cellStyle name="Millares 4 4 3 3 2 3 2 3" xfId="5935" xr:uid="{562F56B1-337B-4992-A4EA-6805BCA7F3B4}"/>
    <cellStyle name="Millares 4 4 3 3 2 3 3" xfId="6290" xr:uid="{1C3EA6C2-F4B7-49E0-AFF0-3AEC5A7CC213}"/>
    <cellStyle name="Millares 4 4 3 3 2 3 4" xfId="5580" xr:uid="{0F336966-7B9D-404E-826A-046641107A32}"/>
    <cellStyle name="Millares 4 4 3 3 2 4" xfId="2113" xr:uid="{00000000-0005-0000-0000-000010050000}"/>
    <cellStyle name="Millares 4 4 3 3 2 5" xfId="4585" xr:uid="{F2D858C3-1C07-4EF6-A616-20F5C595905B}"/>
    <cellStyle name="Millares 4 4 3 3 2 6" xfId="5008" xr:uid="{A106B51E-301B-43AA-A7CE-440FDD6874C5}"/>
    <cellStyle name="Millares 4 4 3 3 2 7" xfId="6854" xr:uid="{32777833-7BF6-4698-9AB0-C8036554068B}"/>
    <cellStyle name="Millares 4 4 3 3 2 8" xfId="7276" xr:uid="{C695DF72-CD8A-4D1B-971C-CFD6197AC998}"/>
    <cellStyle name="Millares 4 4 3 3 2 9" xfId="7698" xr:uid="{2AE5DF03-05E0-4C0D-9B6E-695FA75B1E30}"/>
    <cellStyle name="Millares 4 4 3 3 3" xfId="845" xr:uid="{00000000-0005-0000-0000-000011050000}"/>
    <cellStyle name="Millares 4 4 3 3 3 2" xfId="3459" xr:uid="{00000000-0005-0000-0000-000012050000}"/>
    <cellStyle name="Millares 4 4 3 3 3 3" xfId="2384" xr:uid="{00000000-0005-0000-0000-000013050000}"/>
    <cellStyle name="Millares 4 4 3 3 3 4" xfId="4659" xr:uid="{C973CBDB-3F61-4AF9-B246-B4AA028128D8}"/>
    <cellStyle name="Millares 4 4 3 3 3 5" xfId="5081" xr:uid="{1BFFB352-64F3-41A4-9724-0C5CD4BE8E4D}"/>
    <cellStyle name="Millares 4 4 3 3 3 6" xfId="6927" xr:uid="{CFF09335-BB97-44C7-9490-1E73E7D306C0}"/>
    <cellStyle name="Millares 4 4 3 3 3 7" xfId="7349" xr:uid="{83FE33BC-195F-42F4-AA6B-B727022DB536}"/>
    <cellStyle name="Millares 4 4 3 3 3 8" xfId="7771" xr:uid="{273F07D4-0AE6-4EB2-8744-687F7598C982}"/>
    <cellStyle name="Millares 4 4 3 3 4" xfId="972" xr:uid="{00000000-0005-0000-0000-000014050000}"/>
    <cellStyle name="Millares 4 4 3 3 4 2" xfId="2920" xr:uid="{00000000-0005-0000-0000-000015050000}"/>
    <cellStyle name="Millares 4 4 3 3 4 2 2" xfId="6507" xr:uid="{9829C7BA-FBEC-4386-8D04-648EE582275D}"/>
    <cellStyle name="Millares 4 4 3 3 4 2 3" xfId="5797" xr:uid="{2DF9B5D3-0BF0-4D85-BEA0-09452D870C67}"/>
    <cellStyle name="Millares 4 4 3 3 4 3" xfId="6152" xr:uid="{E7AF55FA-5C7D-4DE8-B748-D495AF2F12CA}"/>
    <cellStyle name="Millares 4 4 3 3 4 4" xfId="5442" xr:uid="{434C3CC3-A2D7-4696-AE1C-9FBBE87CC673}"/>
    <cellStyle name="Millares 4 4 3 3 5" xfId="1829" xr:uid="{00000000-0005-0000-0000-000016050000}"/>
    <cellStyle name="Millares 4 4 3 3 6" xfId="4447" xr:uid="{4B203CAF-CF68-482F-B4D3-2920F3DDEE92}"/>
    <cellStyle name="Millares 4 4 3 3 7" xfId="4870" xr:uid="{C98FC754-E86C-4D7D-801B-A3E393F78C0D}"/>
    <cellStyle name="Millares 4 4 3 3 8" xfId="6716" xr:uid="{07FD5E13-BF1C-4304-9256-558743B65DE9}"/>
    <cellStyle name="Millares 4 4 3 3 9" xfId="7138" xr:uid="{FBA83FFC-7C66-4516-BC95-700082F6648C}"/>
    <cellStyle name="Millares 4 4 3 4" xfId="455" xr:uid="{00000000-0005-0000-0000-000017050000}"/>
    <cellStyle name="Millares 4 4 3 4 10" xfId="6734" xr:uid="{E348F2C0-099D-4516-A132-5CC46B817631}"/>
    <cellStyle name="Millares 4 4 3 4 11" xfId="7156" xr:uid="{6A5094AE-FD96-48E7-B897-04CC927CD001}"/>
    <cellStyle name="Millares 4 4 3 4 12" xfId="7578" xr:uid="{7E4A5364-E1DF-49D8-840B-B66555207433}"/>
    <cellStyle name="Millares 4 4 3 4 2" xfId="743" xr:uid="{00000000-0005-0000-0000-000018050000}"/>
    <cellStyle name="Millares 4 4 3 4 2 10" xfId="7199" xr:uid="{8B83B614-3FB9-4B2D-A36C-126E1A886BB6}"/>
    <cellStyle name="Millares 4 4 3 4 2 11" xfId="7621" xr:uid="{D630BBF5-F616-4479-833F-4FCD47A47523}"/>
    <cellStyle name="Millares 4 4 3 4 2 2" xfId="1033" xr:uid="{00000000-0005-0000-0000-000019050000}"/>
    <cellStyle name="Millares 4 4 3 4 2 2 2" xfId="3822" xr:uid="{00000000-0005-0000-0000-00001A050000}"/>
    <cellStyle name="Millares 4 4 3 4 2 2 2 2" xfId="6568" xr:uid="{EC522D58-0546-4428-927A-650D8051D852}"/>
    <cellStyle name="Millares 4 4 3 4 2 2 2 3" xfId="5858" xr:uid="{754C556D-C466-4902-9DAC-B111007925A2}"/>
    <cellStyle name="Millares 4 4 3 4 2 2 3" xfId="4365" xr:uid="{00000000-0005-0000-0000-00001B050000}"/>
    <cellStyle name="Millares 4 4 3 4 2 2 3 2" xfId="6213" xr:uid="{B4158905-5463-4C96-825E-77692E911E48}"/>
    <cellStyle name="Millares 4 4 3 4 2 2 4" xfId="4720" xr:uid="{9FB28F8A-9C9E-4AC6-8A60-EC56570F2821}"/>
    <cellStyle name="Millares 4 4 3 4 2 2 5" xfId="5142" xr:uid="{546F8D3D-C830-4546-8FD0-C1ED0E56B068}"/>
    <cellStyle name="Millares 4 4 3 4 2 2 6" xfId="5503" xr:uid="{21280073-E686-4AAB-B30D-2A4E612C9A12}"/>
    <cellStyle name="Millares 4 4 3 4 2 2 7" xfId="6988" xr:uid="{7AD0438D-2AE8-47EA-B448-17B835A8A818}"/>
    <cellStyle name="Millares 4 4 3 4 2 2 8" xfId="7410" xr:uid="{F2D97836-D5D1-4052-A9FB-44B76D901CC7}"/>
    <cellStyle name="Millares 4 4 3 4 2 2 9" xfId="7832" xr:uid="{433553FB-3465-4FBE-8EE4-8AD3CFFC763C}"/>
    <cellStyle name="Millares 4 4 3 4 2 3" xfId="2747" xr:uid="{00000000-0005-0000-0000-00001C050000}"/>
    <cellStyle name="Millares 4 4 3 4 2 3 2" xfId="4223" xr:uid="{00000000-0005-0000-0000-00001D050000}"/>
    <cellStyle name="Millares 4 4 3 4 2 3 2 2" xfId="6404" xr:uid="{299AB55C-F2A3-458F-97CD-7F7F76FD1E79}"/>
    <cellStyle name="Millares 4 4 3 4 2 3 3" xfId="5694" xr:uid="{C2ADAD3E-4282-4043-80E6-B3D6CCF3C98A}"/>
    <cellStyle name="Millares 4 4 3 4 2 4" xfId="1635" xr:uid="{00000000-0005-0000-0000-00001E050000}"/>
    <cellStyle name="Millares 4 4 3 4 2 4 2" xfId="6049" xr:uid="{EC3FE33E-8A55-4F73-9FB6-98C11FC6E719}"/>
    <cellStyle name="Millares 4 4 3 4 2 5" xfId="4031" xr:uid="{00000000-0005-0000-0000-00001F050000}"/>
    <cellStyle name="Millares 4 4 3 4 2 6" xfId="4508" xr:uid="{7A2F8513-12B4-48CD-A31F-B00AD73F3A3B}"/>
    <cellStyle name="Millares 4 4 3 4 2 7" xfId="4931" xr:uid="{48161FC8-3050-4D2A-B4A8-8F53DF248967}"/>
    <cellStyle name="Millares 4 4 3 4 2 8" xfId="5339" xr:uid="{BE1C40F3-43DF-483D-A026-626100B01C27}"/>
    <cellStyle name="Millares 4 4 3 4 2 9" xfId="6777" xr:uid="{5B5537E0-742A-435D-9091-5CABCD0E6250}"/>
    <cellStyle name="Millares 4 4 3 4 3" xfId="990" xr:uid="{00000000-0005-0000-0000-000020050000}"/>
    <cellStyle name="Millares 4 4 3 4 3 2" xfId="3279" xr:uid="{00000000-0005-0000-0000-000021050000}"/>
    <cellStyle name="Millares 4 4 3 4 3 2 2" xfId="6525" xr:uid="{C2ECECA8-19B5-4FE8-985A-0ABE2E9E444E}"/>
    <cellStyle name="Millares 4 4 3 4 3 2 3" xfId="5815" xr:uid="{E7962E3D-07D5-4974-8EE3-C10F08464045}"/>
    <cellStyle name="Millares 4 4 3 4 3 3" xfId="4270" xr:uid="{00000000-0005-0000-0000-000022050000}"/>
    <cellStyle name="Millares 4 4 3 4 3 3 2" xfId="6170" xr:uid="{0B598615-87F5-4F4C-B7CB-0D5B8099757D}"/>
    <cellStyle name="Millares 4 4 3 4 3 4" xfId="4677" xr:uid="{99F6A699-9D02-4A77-BBE5-FB8811A93056}"/>
    <cellStyle name="Millares 4 4 3 4 3 5" xfId="5099" xr:uid="{7BDD4BEC-D5E2-46C3-8F04-1D6259172976}"/>
    <cellStyle name="Millares 4 4 3 4 3 6" xfId="5460" xr:uid="{9A5760CC-313D-47DE-BAEE-5616E802AD71}"/>
    <cellStyle name="Millares 4 4 3 4 3 7" xfId="6945" xr:uid="{A6F85293-96B0-4552-8002-C12220C650B5}"/>
    <cellStyle name="Millares 4 4 3 4 3 8" xfId="7367" xr:uid="{79AE33BA-D27A-43B0-A7C8-C3D40ECDDB45}"/>
    <cellStyle name="Millares 4 4 3 4 3 9" xfId="7789" xr:uid="{82887262-DE49-48E6-83D1-5A62381D4D3E}"/>
    <cellStyle name="Millares 4 4 3 4 4" xfId="2204" xr:uid="{00000000-0005-0000-0000-000023050000}"/>
    <cellStyle name="Millares 4 4 3 4 4 2" xfId="4128" xr:uid="{00000000-0005-0000-0000-000024050000}"/>
    <cellStyle name="Millares 4 4 3 4 4 2 2" xfId="6340" xr:uid="{0D3298AE-FAD2-42DD-9035-52119C415B0C}"/>
    <cellStyle name="Millares 4 4 3 4 4 3" xfId="5630" xr:uid="{2CC8AE10-9DDE-475E-A4DD-E99051DAC813}"/>
    <cellStyle name="Millares 4 4 3 4 5" xfId="1151" xr:uid="{00000000-0005-0000-0000-000025050000}"/>
    <cellStyle name="Millares 4 4 3 4 5 2" xfId="5985" xr:uid="{91D3C723-524E-484C-B306-015F0421A27E}"/>
    <cellStyle name="Millares 4 4 3 4 6" xfId="3936" xr:uid="{00000000-0005-0000-0000-000026050000}"/>
    <cellStyle name="Millares 4 4 3 4 7" xfId="4465" xr:uid="{D3C85890-2CEA-427F-A9A3-4F300A948E72}"/>
    <cellStyle name="Millares 4 4 3 4 8" xfId="4888" xr:uid="{0BCE0014-1B61-485D-9FD7-E3CC304FAD48}"/>
    <cellStyle name="Millares 4 4 3 4 9" xfId="5275" xr:uid="{778C10DE-E14D-4E70-AF69-EE51DBED9C88}"/>
    <cellStyle name="Millares 4 4 3 5" xfId="532" xr:uid="{00000000-0005-0000-0000-000027050000}"/>
    <cellStyle name="Millares 4 4 3 5 2" xfId="863" xr:uid="{00000000-0005-0000-0000-000028050000}"/>
    <cellStyle name="Millares 4 4 3 5 2 2" xfId="3609" xr:uid="{00000000-0005-0000-0000-000029050000}"/>
    <cellStyle name="Millares 4 4 3 5 2 3" xfId="2534" xr:uid="{00000000-0005-0000-0000-00002A050000}"/>
    <cellStyle name="Millares 4 4 3 5 2 4" xfId="4757" xr:uid="{2CF8D8BF-28D8-4BCF-988D-05E7C3C67A44}"/>
    <cellStyle name="Millares 4 4 3 5 2 5" xfId="5179" xr:uid="{28D61A00-0921-4311-8404-850699073057}"/>
    <cellStyle name="Millares 4 4 3 5 2 6" xfId="7025" xr:uid="{05BDC365-712D-434D-97F1-674BA3FF6BB9}"/>
    <cellStyle name="Millares 4 4 3 5 2 7" xfId="7447" xr:uid="{440375B8-ED10-47CA-806F-31EBE4FE1C94}"/>
    <cellStyle name="Millares 4 4 3 5 2 8" xfId="7869" xr:uid="{6A61E885-6383-4F0F-B8FA-4E04434D011B}"/>
    <cellStyle name="Millares 4 4 3 5 3" xfId="1070" xr:uid="{00000000-0005-0000-0000-00002B050000}"/>
    <cellStyle name="Millares 4 4 3 5 3 2" xfId="3082" xr:uid="{00000000-0005-0000-0000-00002C050000}"/>
    <cellStyle name="Millares 4 4 3 5 3 2 2" xfId="6605" xr:uid="{87CC18B4-6C52-4022-B64E-166616654AD2}"/>
    <cellStyle name="Millares 4 4 3 5 3 2 3" xfId="5895" xr:uid="{F2AA1194-5C43-4AA9-B17D-C40692A8D691}"/>
    <cellStyle name="Millares 4 4 3 5 3 3" xfId="6250" xr:uid="{25E57F0D-6D34-41E5-8C72-61AF95EB17AA}"/>
    <cellStyle name="Millares 4 4 3 5 3 4" xfId="5540" xr:uid="{EC5B2B57-BA42-4296-9DED-2957DB7A24CC}"/>
    <cellStyle name="Millares 4 4 3 5 4" xfId="1991" xr:uid="{00000000-0005-0000-0000-00002D050000}"/>
    <cellStyle name="Millares 4 4 3 5 5" xfId="4545" xr:uid="{3CFB4208-D7AE-4465-B8F4-589851C45688}"/>
    <cellStyle name="Millares 4 4 3 5 6" xfId="4968" xr:uid="{988691E1-FAEB-4B13-9BF2-865E1A234FD1}"/>
    <cellStyle name="Millares 4 4 3 5 7" xfId="6814" xr:uid="{95112B11-1A67-4914-A633-96560D6B42D0}"/>
    <cellStyle name="Millares 4 4 3 5 8" xfId="7236" xr:uid="{4A93FCD5-228B-4BA9-B94A-7D582107385D}"/>
    <cellStyle name="Millares 4 4 3 5 9" xfId="7658" xr:uid="{C443BCF1-4F75-4DD0-BEE3-F5B4A570CE68}"/>
    <cellStyle name="Millares 4 4 3 6" xfId="807" xr:uid="{00000000-0005-0000-0000-00002E050000}"/>
    <cellStyle name="Millares 4 4 3 6 10" xfId="7727" xr:uid="{326C8843-81E4-455E-A48D-3E0A1F473251}"/>
    <cellStyle name="Millares 4 4 3 6 2" xfId="3367" xr:uid="{00000000-0005-0000-0000-00002F050000}"/>
    <cellStyle name="Millares 4 4 3 6 2 2" xfId="4306" xr:uid="{00000000-0005-0000-0000-000030050000}"/>
    <cellStyle name="Millares 4 4 3 6 3" xfId="2292" xr:uid="{00000000-0005-0000-0000-000031050000}"/>
    <cellStyle name="Millares 4 4 3 6 3 2" xfId="4164" xr:uid="{00000000-0005-0000-0000-000032050000}"/>
    <cellStyle name="Millares 4 4 3 6 4" xfId="1239" xr:uid="{00000000-0005-0000-0000-000033050000}"/>
    <cellStyle name="Millares 4 4 3 6 5" xfId="3972" xr:uid="{00000000-0005-0000-0000-000034050000}"/>
    <cellStyle name="Millares 4 4 3 6 6" xfId="4615" xr:uid="{CA84C304-76F1-4BA4-95FF-E83480AA64D2}"/>
    <cellStyle name="Millares 4 4 3 6 7" xfId="5037" xr:uid="{B00C9A32-927D-42E6-9AC4-3A0769F289F2}"/>
    <cellStyle name="Millares 4 4 3 6 8" xfId="6883" xr:uid="{221D25E7-8BAC-4DDE-9631-542884672850}"/>
    <cellStyle name="Millares 4 4 3 6 9" xfId="7305" xr:uid="{FF9EEDC6-1214-41D4-8125-373249C615A1}"/>
    <cellStyle name="Millares 4 4 3 7" xfId="922" xr:uid="{00000000-0005-0000-0000-000035050000}"/>
    <cellStyle name="Millares 4 4 3 7 2" xfId="2828" xr:uid="{00000000-0005-0000-0000-000036050000}"/>
    <cellStyle name="Millares 4 4 3 7 2 2" xfId="6463" xr:uid="{13A46421-612C-4FAC-837A-67FDE9372DE0}"/>
    <cellStyle name="Millares 4 4 3 7 2 3" xfId="5753" xr:uid="{99D08744-A76D-47E9-89E8-05BF869BE211}"/>
    <cellStyle name="Millares 4 4 3 7 3" xfId="6108" xr:uid="{AA9021EF-265D-40AB-A387-996BB7F3B223}"/>
    <cellStyle name="Millares 4 4 3 7 4" xfId="5398" xr:uid="{70DE9D9F-6463-4BEE-B272-7266521E5A1C}"/>
    <cellStyle name="Millares 4 4 3 8" xfId="1737" xr:uid="{00000000-0005-0000-0000-000037050000}"/>
    <cellStyle name="Millares 4 4 3 8 2" xfId="4069" xr:uid="{00000000-0005-0000-0000-000038050000}"/>
    <cellStyle name="Millares 4 4 3 9" xfId="4403" xr:uid="{99536545-3036-4975-9E47-D8028A48BB84}"/>
    <cellStyle name="Millares 4 4 4" xfId="183" xr:uid="{00000000-0005-0000-0000-000039050000}"/>
    <cellStyle name="Millares 4 4 4 10" xfId="6683" xr:uid="{25450B90-319D-4D34-B689-F51F25096FA9}"/>
    <cellStyle name="Millares 4 4 4 11" xfId="7105" xr:uid="{1EC8E78F-AF0F-4BC0-A90D-86A7695F2963}"/>
    <cellStyle name="Millares 4 4 4 12" xfId="7527" xr:uid="{13408331-2DF0-402C-BF92-3D30D5B55551}"/>
    <cellStyle name="Millares 4 4 4 2" xfId="465" xr:uid="{00000000-0005-0000-0000-00003A050000}"/>
    <cellStyle name="Millares 4 4 4 2 10" xfId="6744" xr:uid="{52B4F352-11C4-4C4E-9B48-D1097E8B4F56}"/>
    <cellStyle name="Millares 4 4 4 2 11" xfId="7166" xr:uid="{5AD8B7C1-B0A5-4968-A44A-1B83BF579221}"/>
    <cellStyle name="Millares 4 4 4 2 12" xfId="7588" xr:uid="{967BE6A2-9E91-469B-9E45-69A308989167}"/>
    <cellStyle name="Millares 4 4 4 2 2" xfId="753" xr:uid="{00000000-0005-0000-0000-00003B050000}"/>
    <cellStyle name="Millares 4 4 4 2 2 10" xfId="7209" xr:uid="{5BEFCFDC-0B8B-4E7E-88A9-6999EB951B9D}"/>
    <cellStyle name="Millares 4 4 4 2 2 11" xfId="7631" xr:uid="{C447B271-BD4F-4F43-ACFE-2EFFB4C0E4E0}"/>
    <cellStyle name="Millares 4 4 4 2 2 2" xfId="1043" xr:uid="{00000000-0005-0000-0000-00003C050000}"/>
    <cellStyle name="Millares 4 4 4 2 2 2 2" xfId="3832" xr:uid="{00000000-0005-0000-0000-00003D050000}"/>
    <cellStyle name="Millares 4 4 4 2 2 2 2 2" xfId="6578" xr:uid="{0C47A3B9-6FAC-448A-98AB-8B7DA8427B6A}"/>
    <cellStyle name="Millares 4 4 4 2 2 2 2 3" xfId="5868" xr:uid="{25055960-0D0C-4D3B-9AAD-562040D2F900}"/>
    <cellStyle name="Millares 4 4 4 2 2 2 3" xfId="4375" xr:uid="{00000000-0005-0000-0000-00003E050000}"/>
    <cellStyle name="Millares 4 4 4 2 2 2 3 2" xfId="6223" xr:uid="{E7868F3C-002A-469C-93C8-A420DA24B11D}"/>
    <cellStyle name="Millares 4 4 4 2 2 2 4" xfId="4730" xr:uid="{D907769D-4FE3-4713-8214-4FA11D2F50DD}"/>
    <cellStyle name="Millares 4 4 4 2 2 2 5" xfId="5152" xr:uid="{5297F3FC-A6AC-4C1C-82BD-09225C4189FA}"/>
    <cellStyle name="Millares 4 4 4 2 2 2 6" xfId="5513" xr:uid="{DEB25642-7B05-42ED-9722-00EFFCFB3273}"/>
    <cellStyle name="Millares 4 4 4 2 2 2 7" xfId="6998" xr:uid="{B0804FB6-43C1-48EA-8A25-058915C2DF14}"/>
    <cellStyle name="Millares 4 4 4 2 2 2 8" xfId="7420" xr:uid="{A06085C9-A022-4621-8B69-00B4DAD028F9}"/>
    <cellStyle name="Millares 4 4 4 2 2 2 9" xfId="7842" xr:uid="{DC962EEB-F49E-4371-9C5D-1029BDA7C4AE}"/>
    <cellStyle name="Millares 4 4 4 2 2 3" xfId="2757" xr:uid="{00000000-0005-0000-0000-00003F050000}"/>
    <cellStyle name="Millares 4 4 4 2 2 3 2" xfId="4233" xr:uid="{00000000-0005-0000-0000-000040050000}"/>
    <cellStyle name="Millares 4 4 4 2 2 3 2 2" xfId="6414" xr:uid="{C88D7339-56AF-4916-BA35-1E63EB12D246}"/>
    <cellStyle name="Millares 4 4 4 2 2 3 3" xfId="5704" xr:uid="{5EDFED9D-3CE7-4E2A-A350-742B1B752B98}"/>
    <cellStyle name="Millares 4 4 4 2 2 4" xfId="1645" xr:uid="{00000000-0005-0000-0000-000041050000}"/>
    <cellStyle name="Millares 4 4 4 2 2 4 2" xfId="6059" xr:uid="{661B9611-3349-4287-BC47-E46AFD329F31}"/>
    <cellStyle name="Millares 4 4 4 2 2 5" xfId="4041" xr:uid="{00000000-0005-0000-0000-000042050000}"/>
    <cellStyle name="Millares 4 4 4 2 2 6" xfId="4518" xr:uid="{78B651D4-8AF1-4AD3-9E77-9DAB102F383B}"/>
    <cellStyle name="Millares 4 4 4 2 2 7" xfId="4941" xr:uid="{AA7C4211-5951-4B30-983C-AB24ED5CD7EA}"/>
    <cellStyle name="Millares 4 4 4 2 2 8" xfId="5349" xr:uid="{F5CD0F57-6A3F-48FB-BBBD-5CD72067D5A6}"/>
    <cellStyle name="Millares 4 4 4 2 2 9" xfId="6787" xr:uid="{03AD6569-4EBF-49E3-B36D-AB7159D0A817}"/>
    <cellStyle name="Millares 4 4 4 2 3" xfId="1000" xr:uid="{00000000-0005-0000-0000-000043050000}"/>
    <cellStyle name="Millares 4 4 4 2 3 2" xfId="3289" xr:uid="{00000000-0005-0000-0000-000044050000}"/>
    <cellStyle name="Millares 4 4 4 2 3 2 2" xfId="6535" xr:uid="{2B13765D-F279-471E-A8C7-2035E7321460}"/>
    <cellStyle name="Millares 4 4 4 2 3 2 3" xfId="5825" xr:uid="{F1C49A66-72AF-437A-A817-3B5D30B3BDF9}"/>
    <cellStyle name="Millares 4 4 4 2 3 3" xfId="4280" xr:uid="{00000000-0005-0000-0000-000045050000}"/>
    <cellStyle name="Millares 4 4 4 2 3 3 2" xfId="6180" xr:uid="{3CEC19EB-4210-4BDC-94DA-8D1F672BE752}"/>
    <cellStyle name="Millares 4 4 4 2 3 4" xfId="4687" xr:uid="{7FDE68CB-2D3C-49E6-9691-0F241C6C24C2}"/>
    <cellStyle name="Millares 4 4 4 2 3 5" xfId="5109" xr:uid="{405754C3-9B94-4E48-8E39-8D4888B094CE}"/>
    <cellStyle name="Millares 4 4 4 2 3 6" xfId="5470" xr:uid="{301E1798-0636-4551-B7F6-8F31A9597C03}"/>
    <cellStyle name="Millares 4 4 4 2 3 7" xfId="6955" xr:uid="{459861D4-D0D6-4C17-A051-A3524F8FCD90}"/>
    <cellStyle name="Millares 4 4 4 2 3 8" xfId="7377" xr:uid="{ADA74B76-E3C1-4D77-9E28-82488F6BF1AA}"/>
    <cellStyle name="Millares 4 4 4 2 3 9" xfId="7799" xr:uid="{FBA92BDE-885E-40D9-9022-E0AA8729A8C2}"/>
    <cellStyle name="Millares 4 4 4 2 4" xfId="2214" xr:uid="{00000000-0005-0000-0000-000046050000}"/>
    <cellStyle name="Millares 4 4 4 2 4 2" xfId="4138" xr:uid="{00000000-0005-0000-0000-000047050000}"/>
    <cellStyle name="Millares 4 4 4 2 4 2 2" xfId="6350" xr:uid="{3B117047-6CEF-45AE-82E8-593BAC21143A}"/>
    <cellStyle name="Millares 4 4 4 2 4 3" xfId="5640" xr:uid="{1A927581-33B6-4C44-B537-667ED19E0BEE}"/>
    <cellStyle name="Millares 4 4 4 2 5" xfId="1161" xr:uid="{00000000-0005-0000-0000-000048050000}"/>
    <cellStyle name="Millares 4 4 4 2 5 2" xfId="5995" xr:uid="{2E233310-ED1A-49B8-8FB3-CB663E720CF2}"/>
    <cellStyle name="Millares 4 4 4 2 6" xfId="3946" xr:uid="{00000000-0005-0000-0000-000049050000}"/>
    <cellStyle name="Millares 4 4 4 2 7" xfId="4475" xr:uid="{F9E40877-0C0C-4551-9D94-1C74F945FAE0}"/>
    <cellStyle name="Millares 4 4 4 2 8" xfId="4898" xr:uid="{C320A9C7-0C80-44B8-9AE8-3B519E1D95F7}"/>
    <cellStyle name="Millares 4 4 4 2 9" xfId="5285" xr:uid="{D18A98B8-7D5E-41D5-825F-CF0A4FDE1583}"/>
    <cellStyle name="Millares 4 4 4 3" xfId="577" xr:uid="{00000000-0005-0000-0000-00004A050000}"/>
    <cellStyle name="Millares 4 4 4 3 10" xfId="7669" xr:uid="{EE57F3CC-5E5B-4D7D-A5FD-705B1741197C}"/>
    <cellStyle name="Millares 4 4 4 3 2" xfId="773" xr:uid="{00000000-0005-0000-0000-00004B050000}"/>
    <cellStyle name="Millares 4 4 4 3 2 10" xfId="7458" xr:uid="{EB5BFE96-8F62-4A62-93EC-82E74B9E258F}"/>
    <cellStyle name="Millares 4 4 4 3 2 11" xfId="7880" xr:uid="{8704F329-FE30-4B25-ABB0-DA67EC5CE7B2}"/>
    <cellStyle name="Millares 4 4 4 3 2 2" xfId="3654" xr:uid="{00000000-0005-0000-0000-00004C050000}"/>
    <cellStyle name="Millares 4 4 4 3 2 2 2" xfId="4336" xr:uid="{00000000-0005-0000-0000-00004D050000}"/>
    <cellStyle name="Millares 4 4 4 3 2 2 2 2" xfId="6434" xr:uid="{086B578F-A7D9-430F-AC71-53A04736D2D0}"/>
    <cellStyle name="Millares 4 4 4 3 2 2 3" xfId="5724" xr:uid="{79910998-F1DA-4D97-BE0D-CA060057D385}"/>
    <cellStyle name="Millares 4 4 4 3 2 3" xfId="2579" xr:uid="{00000000-0005-0000-0000-00004E050000}"/>
    <cellStyle name="Millares 4 4 4 3 2 3 2" xfId="4194" xr:uid="{00000000-0005-0000-0000-00004F050000}"/>
    <cellStyle name="Millares 4 4 4 3 2 3 3" xfId="6079" xr:uid="{8DBAD9F2-B2F9-4BD1-8DCE-325985F8712E}"/>
    <cellStyle name="Millares 4 4 4 3 2 4" xfId="1489" xr:uid="{00000000-0005-0000-0000-000050050000}"/>
    <cellStyle name="Millares 4 4 4 3 2 5" xfId="4002" xr:uid="{00000000-0005-0000-0000-000051050000}"/>
    <cellStyle name="Millares 4 4 4 3 2 6" xfId="4768" xr:uid="{86B98B8C-9B7F-47B6-BCC9-362944DBA340}"/>
    <cellStyle name="Millares 4 4 4 3 2 7" xfId="5190" xr:uid="{EC88DBAC-B369-4F53-AED9-65931DBF69D8}"/>
    <cellStyle name="Millares 4 4 4 3 2 8" xfId="5369" xr:uid="{970851F6-6163-4A13-9A3E-04B5AA4A032D}"/>
    <cellStyle name="Millares 4 4 4 3 2 9" xfId="7036" xr:uid="{E9238A62-9ECB-4C81-9B67-15023CB06594}"/>
    <cellStyle name="Millares 4 4 4 3 3" xfId="873" xr:uid="{00000000-0005-0000-0000-000052050000}"/>
    <cellStyle name="Millares 4 4 4 3 4" xfId="1082" xr:uid="{00000000-0005-0000-0000-000053050000}"/>
    <cellStyle name="Millares 4 4 4 3 4 2" xfId="2036" xr:uid="{00000000-0005-0000-0000-000054050000}"/>
    <cellStyle name="Millares 4 4 4 3 4 2 2" xfId="6616" xr:uid="{E297B094-5924-4D4C-B7BB-4F79C5F69957}"/>
    <cellStyle name="Millares 4 4 4 3 4 2 3" xfId="5906" xr:uid="{C409AF2A-344E-45AD-B8A9-954825EAC891}"/>
    <cellStyle name="Millares 4 4 4 3 4 3" xfId="4099" xr:uid="{00000000-0005-0000-0000-000055050000}"/>
    <cellStyle name="Millares 4 4 4 3 4 3 2" xfId="6261" xr:uid="{6C436ABB-C8DB-4A70-94EB-BA5A96241D61}"/>
    <cellStyle name="Millares 4 4 4 3 4 4" xfId="5551" xr:uid="{6B238BF1-9D90-42BD-8EB5-45E9BB11EF8B}"/>
    <cellStyle name="Millares 4 4 4 3 5" xfId="4556" xr:uid="{05D5C468-7CD0-4119-8647-A4CFA1CF3E66}"/>
    <cellStyle name="Millares 4 4 4 3 5 2" xfId="6370" xr:uid="{FD00F5F6-07D7-4DA3-94F5-3B5671D0BD76}"/>
    <cellStyle name="Millares 4 4 4 3 5 3" xfId="5660" xr:uid="{0648E726-B9E3-488A-A376-CA7044737F8C}"/>
    <cellStyle name="Millares 4 4 4 3 6" xfId="4979" xr:uid="{A62AE9C1-1205-4CE6-AD28-DE4763F84CC7}"/>
    <cellStyle name="Millares 4 4 4 3 6 2" xfId="6015" xr:uid="{41F5E49F-1E68-4899-8E2B-BBB5F3C416E5}"/>
    <cellStyle name="Millares 4 4 4 3 7" xfId="5305" xr:uid="{7B9D959A-7B2D-4F23-9594-16AC453C011F}"/>
    <cellStyle name="Millares 4 4 4 3 8" xfId="6825" xr:uid="{758ADA64-B4DB-4420-9A47-D244E8C68808}"/>
    <cellStyle name="Millares 4 4 4 3 9" xfId="7247" xr:uid="{B9885F2B-5613-41EC-8046-EEEF339531A1}"/>
    <cellStyle name="Millares 4 4 4 4" xfId="817" xr:uid="{00000000-0005-0000-0000-000056050000}"/>
    <cellStyle name="Millares 4 4 4 4 10" xfId="7738" xr:uid="{A12E236E-BD8B-44B0-881F-F3F6C57701EE}"/>
    <cellStyle name="Millares 4 4 4 4 2" xfId="3504" xr:uid="{00000000-0005-0000-0000-000057050000}"/>
    <cellStyle name="Millares 4 4 4 4 2 2" xfId="4316" xr:uid="{00000000-0005-0000-0000-000058050000}"/>
    <cellStyle name="Millares 4 4 4 4 3" xfId="2429" xr:uid="{00000000-0005-0000-0000-000059050000}"/>
    <cellStyle name="Millares 4 4 4 4 3 2" xfId="4174" xr:uid="{00000000-0005-0000-0000-00005A050000}"/>
    <cellStyle name="Millares 4 4 4 4 4" xfId="1359" xr:uid="{00000000-0005-0000-0000-00005B050000}"/>
    <cellStyle name="Millares 4 4 4 4 5" xfId="3982" xr:uid="{00000000-0005-0000-0000-00005C050000}"/>
    <cellStyle name="Millares 4 4 4 4 6" xfId="4626" xr:uid="{5E501D6E-B48E-4D61-8103-1507C162C8F3}"/>
    <cellStyle name="Millares 4 4 4 4 7" xfId="5048" xr:uid="{1176FB77-795D-49DD-9F18-A6114C561ED7}"/>
    <cellStyle name="Millares 4 4 4 4 8" xfId="6894" xr:uid="{C3F7EBC5-0EF2-469F-BA55-0EF9117324A0}"/>
    <cellStyle name="Millares 4 4 4 4 9" xfId="7316" xr:uid="{943399A5-F0C5-4F4B-8F52-1370591AECE7}"/>
    <cellStyle name="Millares 4 4 4 5" xfId="934" xr:uid="{00000000-0005-0000-0000-00005D050000}"/>
    <cellStyle name="Millares 4 4 4 5 2" xfId="2965" xr:uid="{00000000-0005-0000-0000-00005E050000}"/>
    <cellStyle name="Millares 4 4 4 5 2 2" xfId="6474" xr:uid="{3A020B11-6545-428F-AC8A-FFFCD2D80F9D}"/>
    <cellStyle name="Millares 4 4 4 5 2 3" xfId="5764" xr:uid="{3432D510-6786-4639-9798-C536C798D2FC}"/>
    <cellStyle name="Millares 4 4 4 5 3" xfId="6119" xr:uid="{C1A22717-2AF4-4302-AADC-0F851F85F45A}"/>
    <cellStyle name="Millares 4 4 4 5 4" xfId="5409" xr:uid="{DA2AEF4C-D3E6-4BD1-8B26-D7A051DC5281}"/>
    <cellStyle name="Millares 4 4 4 6" xfId="1874" xr:uid="{00000000-0005-0000-0000-00005F050000}"/>
    <cellStyle name="Millares 4 4 4 6 2" xfId="4079" xr:uid="{00000000-0005-0000-0000-000060050000}"/>
    <cellStyle name="Millares 4 4 4 6 2 2" xfId="6311" xr:uid="{918CD99C-4BA6-40CF-8A34-D1D89664D6AF}"/>
    <cellStyle name="Millares 4 4 4 6 3" xfId="5601" xr:uid="{AF87F3E8-81DC-49A2-AF14-38108CB151DD}"/>
    <cellStyle name="Millares 4 4 4 7" xfId="4414" xr:uid="{0D37B960-3A62-495A-A606-B927C9508C57}"/>
    <cellStyle name="Millares 4 4 4 7 2" xfId="5956" xr:uid="{472FA3AA-B511-4A37-A6E7-16635702AEA1}"/>
    <cellStyle name="Millares 4 4 4 8" xfId="4837" xr:uid="{DE1276B0-E384-4EA2-BC2B-846ECDB81CC5}"/>
    <cellStyle name="Millares 4 4 4 9" xfId="5246" xr:uid="{A85A7974-B3DF-46B0-A164-6C34AFE41165}"/>
    <cellStyle name="Millares 4 4 5" xfId="353" xr:uid="{00000000-0005-0000-0000-000061050000}"/>
    <cellStyle name="Millares 4 4 5 10" xfId="7552" xr:uid="{64E8F079-B6EE-4871-979F-AD6C4428EC37}"/>
    <cellStyle name="Millares 4 4 5 2" xfId="636" xr:uid="{00000000-0005-0000-0000-000062050000}"/>
    <cellStyle name="Millares 4 4 5 2 2" xfId="891" xr:uid="{00000000-0005-0000-0000-000063050000}"/>
    <cellStyle name="Millares 4 4 5 2 2 2" xfId="3723" xr:uid="{00000000-0005-0000-0000-000064050000}"/>
    <cellStyle name="Millares 4 4 5 2 2 3" xfId="2648" xr:uid="{00000000-0005-0000-0000-000065050000}"/>
    <cellStyle name="Millares 4 4 5 2 2 4" xfId="4789" xr:uid="{19F515AA-8B9F-44CD-A60A-5C84328AF538}"/>
    <cellStyle name="Millares 4 4 5 2 2 5" xfId="5211" xr:uid="{C7CBA34D-B169-4D91-847C-3F56EA49949B}"/>
    <cellStyle name="Millares 4 4 5 2 2 6" xfId="7057" xr:uid="{A9C10E86-DB5E-40D4-A3EC-DA97A8476BF3}"/>
    <cellStyle name="Millares 4 4 5 2 2 7" xfId="7479" xr:uid="{4B7EE287-A8FF-4209-87F8-62E1FDA1F462}"/>
    <cellStyle name="Millares 4 4 5 2 2 8" xfId="7901" xr:uid="{EFA20DC7-85E6-41A2-8142-F494C0BD9B5B}"/>
    <cellStyle name="Millares 4 4 5 2 3" xfId="1104" xr:uid="{00000000-0005-0000-0000-000066050000}"/>
    <cellStyle name="Millares 4 4 5 2 3 2" xfId="3180" xr:uid="{00000000-0005-0000-0000-000067050000}"/>
    <cellStyle name="Millares 4 4 5 2 3 2 2" xfId="6637" xr:uid="{761DC677-86D9-407F-B59D-58D261F0605B}"/>
    <cellStyle name="Millares 4 4 5 2 3 2 3" xfId="5927" xr:uid="{976B6316-A591-4106-91AD-B7DA82D13E4A}"/>
    <cellStyle name="Millares 4 4 5 2 3 3" xfId="6282" xr:uid="{B24C00E6-F7D3-4D06-BF82-8F4CE22BB6D0}"/>
    <cellStyle name="Millares 4 4 5 2 3 4" xfId="5572" xr:uid="{7AEF1CF5-4E4A-48DC-AEFB-A77C88689C2F}"/>
    <cellStyle name="Millares 4 4 5 2 4" xfId="2105" xr:uid="{00000000-0005-0000-0000-000068050000}"/>
    <cellStyle name="Millares 4 4 5 2 5" xfId="4577" xr:uid="{6BEE1B4D-D37F-4224-8123-91AF9028A476}"/>
    <cellStyle name="Millares 4 4 5 2 6" xfId="5000" xr:uid="{67D56173-ED08-4F74-BE6A-395C5ACBDD7D}"/>
    <cellStyle name="Millares 4 4 5 2 7" xfId="6846" xr:uid="{1717F073-419A-4BA6-A9D5-BBC46ACB9C68}"/>
    <cellStyle name="Millares 4 4 5 2 8" xfId="7268" xr:uid="{ACF63C65-5BF3-4466-815E-A917748123ED}"/>
    <cellStyle name="Millares 4 4 5 2 9" xfId="7690" xr:uid="{1C02D23B-72A3-4C28-BC43-D7BBC3BD8F36}"/>
    <cellStyle name="Millares 4 4 5 3" xfId="837" xr:uid="{00000000-0005-0000-0000-000069050000}"/>
    <cellStyle name="Millares 4 4 5 3 2" xfId="3417" xr:uid="{00000000-0005-0000-0000-00006A050000}"/>
    <cellStyle name="Millares 4 4 5 3 3" xfId="2342" xr:uid="{00000000-0005-0000-0000-00006B050000}"/>
    <cellStyle name="Millares 4 4 5 3 4" xfId="4651" xr:uid="{EF01447F-15D8-4F32-834F-A44BC0E24FBA}"/>
    <cellStyle name="Millares 4 4 5 3 5" xfId="5073" xr:uid="{FB157713-8070-4672-B6D7-F9C146F48B0F}"/>
    <cellStyle name="Millares 4 4 5 3 6" xfId="6919" xr:uid="{3DDD31F9-E453-4878-9BF2-73FB7A87CB0C}"/>
    <cellStyle name="Millares 4 4 5 3 7" xfId="7341" xr:uid="{ACAE172C-E234-4DF9-A371-43EE1825D604}"/>
    <cellStyle name="Millares 4 4 5 3 8" xfId="7763" xr:uid="{034B4C06-F357-4783-8BE6-F2F988DFB89B}"/>
    <cellStyle name="Millares 4 4 5 4" xfId="964" xr:uid="{00000000-0005-0000-0000-00006C050000}"/>
    <cellStyle name="Millares 4 4 5 4 2" xfId="2878" xr:uid="{00000000-0005-0000-0000-00006D050000}"/>
    <cellStyle name="Millares 4 4 5 4 2 2" xfId="6499" xr:uid="{2AFB33B3-FD60-49E1-A006-7F3ED1592A90}"/>
    <cellStyle name="Millares 4 4 5 4 2 3" xfId="5789" xr:uid="{9F7CDD65-CCCF-4A96-907E-B1A2F5A07309}"/>
    <cellStyle name="Millares 4 4 5 4 3" xfId="6144" xr:uid="{A9150AC1-5801-4B2C-B1F1-E8F5981BA4DC}"/>
    <cellStyle name="Millares 4 4 5 4 4" xfId="5434" xr:uid="{C9693ACC-0763-4688-8365-67EA297B447E}"/>
    <cellStyle name="Millares 4 4 5 5" xfId="1787" xr:uid="{00000000-0005-0000-0000-00006E050000}"/>
    <cellStyle name="Millares 4 4 5 6" xfId="4439" xr:uid="{7A0FC623-937E-4A20-BB7D-C045216275F4}"/>
    <cellStyle name="Millares 4 4 5 7" xfId="4862" xr:uid="{804EA856-DDC6-4941-8666-ADFD926DE711}"/>
    <cellStyle name="Millares 4 4 5 8" xfId="6708" xr:uid="{F52AD8BE-037B-49F7-84E5-2B370A03FEE8}"/>
    <cellStyle name="Millares 4 4 5 9" xfId="7130" xr:uid="{EAF31AEA-1810-4AFD-BD35-8B5F99AFD6C5}"/>
    <cellStyle name="Millares 4 4 6" xfId="447" xr:uid="{00000000-0005-0000-0000-00006F050000}"/>
    <cellStyle name="Millares 4 4 6 10" xfId="6726" xr:uid="{F1BF6595-8178-492B-A9E9-BAE6C4FD3A3B}"/>
    <cellStyle name="Millares 4 4 6 11" xfId="7148" xr:uid="{7D274C6C-C72A-4D44-B80E-CD5B65C8CC78}"/>
    <cellStyle name="Millares 4 4 6 12" xfId="7570" xr:uid="{748E9600-11BA-4F0E-9942-5BBB735C8DEB}"/>
    <cellStyle name="Millares 4 4 6 2" xfId="735" xr:uid="{00000000-0005-0000-0000-000070050000}"/>
    <cellStyle name="Millares 4 4 6 2 10" xfId="7191" xr:uid="{D2A172EF-DB3E-4FFB-9988-D0502351C7BF}"/>
    <cellStyle name="Millares 4 4 6 2 11" xfId="7613" xr:uid="{78C9C951-3912-48E6-A767-F3A2F5BE745B}"/>
    <cellStyle name="Millares 4 4 6 2 2" xfId="1025" xr:uid="{00000000-0005-0000-0000-000071050000}"/>
    <cellStyle name="Millares 4 4 6 2 2 2" xfId="3814" xr:uid="{00000000-0005-0000-0000-000072050000}"/>
    <cellStyle name="Millares 4 4 6 2 2 2 2" xfId="6560" xr:uid="{F77851C7-F70E-4554-8161-3953DDE294CF}"/>
    <cellStyle name="Millares 4 4 6 2 2 2 3" xfId="5850" xr:uid="{9498BBC1-B9F4-49B1-8316-315048FD241C}"/>
    <cellStyle name="Millares 4 4 6 2 2 3" xfId="4357" xr:uid="{00000000-0005-0000-0000-000073050000}"/>
    <cellStyle name="Millares 4 4 6 2 2 3 2" xfId="6205" xr:uid="{466EAF12-EF02-45A6-83E7-E6A95624EE36}"/>
    <cellStyle name="Millares 4 4 6 2 2 4" xfId="4712" xr:uid="{2D3B6612-5EF3-4FB4-ACCC-DEE8575C252B}"/>
    <cellStyle name="Millares 4 4 6 2 2 5" xfId="5134" xr:uid="{BF08ECC9-B697-421F-BFBF-388F07C8521A}"/>
    <cellStyle name="Millares 4 4 6 2 2 6" xfId="5495" xr:uid="{DE4A276A-4A0A-4079-BEEC-D806BE22F6E6}"/>
    <cellStyle name="Millares 4 4 6 2 2 7" xfId="6980" xr:uid="{775E051F-0119-4AA5-9279-1DD5D5FD9024}"/>
    <cellStyle name="Millares 4 4 6 2 2 8" xfId="7402" xr:uid="{0D38D079-5C73-48C4-AC78-D26BF5DE751C}"/>
    <cellStyle name="Millares 4 4 6 2 2 9" xfId="7824" xr:uid="{50B942B9-5FC0-47CE-906B-0389A98CD1A2}"/>
    <cellStyle name="Millares 4 4 6 2 3" xfId="2739" xr:uid="{00000000-0005-0000-0000-000074050000}"/>
    <cellStyle name="Millares 4 4 6 2 3 2" xfId="4215" xr:uid="{00000000-0005-0000-0000-000075050000}"/>
    <cellStyle name="Millares 4 4 6 2 3 2 2" xfId="6396" xr:uid="{F61EC2B7-41C1-4628-A908-9968708AD94C}"/>
    <cellStyle name="Millares 4 4 6 2 3 3" xfId="5686" xr:uid="{683D6F55-52FD-4BD6-880B-3325E15CE97A}"/>
    <cellStyle name="Millares 4 4 6 2 4" xfId="1627" xr:uid="{00000000-0005-0000-0000-000076050000}"/>
    <cellStyle name="Millares 4 4 6 2 4 2" xfId="6041" xr:uid="{6E449192-77AF-4FD4-87A7-61F2B462BC0A}"/>
    <cellStyle name="Millares 4 4 6 2 5" xfId="4023" xr:uid="{00000000-0005-0000-0000-000077050000}"/>
    <cellStyle name="Millares 4 4 6 2 6" xfId="4500" xr:uid="{7241D70A-4D47-498D-9FF8-0576069933B3}"/>
    <cellStyle name="Millares 4 4 6 2 7" xfId="4923" xr:uid="{F1C3BFB3-4A01-4F14-ABDE-2379EF3A722B}"/>
    <cellStyle name="Millares 4 4 6 2 8" xfId="5331" xr:uid="{1344AE1C-A0B5-4B55-A692-68C602459189}"/>
    <cellStyle name="Millares 4 4 6 2 9" xfId="6769" xr:uid="{27D70720-2F9E-41E5-9990-56DB27A0A9B5}"/>
    <cellStyle name="Millares 4 4 6 3" xfId="982" xr:uid="{00000000-0005-0000-0000-000078050000}"/>
    <cellStyle name="Millares 4 4 6 3 2" xfId="3271" xr:uid="{00000000-0005-0000-0000-000079050000}"/>
    <cellStyle name="Millares 4 4 6 3 2 2" xfId="6517" xr:uid="{09175E94-01A5-46AA-9C43-C8CA12E60395}"/>
    <cellStyle name="Millares 4 4 6 3 2 3" xfId="5807" xr:uid="{0ED01C8D-5078-4494-B3DD-09EABC699D17}"/>
    <cellStyle name="Millares 4 4 6 3 3" xfId="4262" xr:uid="{00000000-0005-0000-0000-00007A050000}"/>
    <cellStyle name="Millares 4 4 6 3 3 2" xfId="6162" xr:uid="{63F8D9BF-B08D-4EDA-AD9B-C9E39A0FAE53}"/>
    <cellStyle name="Millares 4 4 6 3 4" xfId="4669" xr:uid="{084DB1CC-FE96-4973-BED7-0966A33216FB}"/>
    <cellStyle name="Millares 4 4 6 3 5" xfId="5091" xr:uid="{8BC798B6-3F24-43E7-B805-BC3BC3BB90DF}"/>
    <cellStyle name="Millares 4 4 6 3 6" xfId="5452" xr:uid="{7849255D-F67C-4F6A-A658-A076E170743E}"/>
    <cellStyle name="Millares 4 4 6 3 7" xfId="6937" xr:uid="{8DC7311E-A37C-4782-8C01-24C556559D07}"/>
    <cellStyle name="Millares 4 4 6 3 8" xfId="7359" xr:uid="{5A028EAA-C94D-40DB-9325-5B5BA4F9D88F}"/>
    <cellStyle name="Millares 4 4 6 3 9" xfId="7781" xr:uid="{1D3A8484-3D18-4B65-996B-FB9341E90638}"/>
    <cellStyle name="Millares 4 4 6 4" xfId="2196" xr:uid="{00000000-0005-0000-0000-00007B050000}"/>
    <cellStyle name="Millares 4 4 6 4 2" xfId="4120" xr:uid="{00000000-0005-0000-0000-00007C050000}"/>
    <cellStyle name="Millares 4 4 6 4 2 2" xfId="6332" xr:uid="{F8B1488B-68A7-40FC-9E31-48833003A273}"/>
    <cellStyle name="Millares 4 4 6 4 3" xfId="5622" xr:uid="{3C2804ED-BCE5-419B-BD24-7EA906304C70}"/>
    <cellStyle name="Millares 4 4 6 5" xfId="1143" xr:uid="{00000000-0005-0000-0000-00007D050000}"/>
    <cellStyle name="Millares 4 4 6 5 2" xfId="5977" xr:uid="{4477435D-AC21-4B1A-B573-FDE1CA52F424}"/>
    <cellStyle name="Millares 4 4 6 6" xfId="3928" xr:uid="{00000000-0005-0000-0000-00007E050000}"/>
    <cellStyle name="Millares 4 4 6 7" xfId="4457" xr:uid="{BF687827-49FB-49DC-ACDE-ECA9490D29CE}"/>
    <cellStyle name="Millares 4 4 6 8" xfId="4880" xr:uid="{13FE0FFF-BF99-46CE-8990-ECB52CC0224F}"/>
    <cellStyle name="Millares 4 4 6 9" xfId="5267" xr:uid="{0E3FD2D4-5604-4B59-8B32-9912145E3791}"/>
    <cellStyle name="Millares 4 4 7" xfId="490" xr:uid="{00000000-0005-0000-0000-00007F050000}"/>
    <cellStyle name="Millares 4 4 7 2" xfId="855" xr:uid="{00000000-0005-0000-0000-000080050000}"/>
    <cellStyle name="Millares 4 4 7 2 2" xfId="3567" xr:uid="{00000000-0005-0000-0000-000081050000}"/>
    <cellStyle name="Millares 4 4 7 2 3" xfId="2492" xr:uid="{00000000-0005-0000-0000-000082050000}"/>
    <cellStyle name="Millares 4 4 7 2 4" xfId="4749" xr:uid="{A1A5B271-156D-4F8F-8B00-F1130CB6B966}"/>
    <cellStyle name="Millares 4 4 7 2 5" xfId="5171" xr:uid="{01E4F8CA-EEEE-4DD1-B40E-906EEDC46FCA}"/>
    <cellStyle name="Millares 4 4 7 2 6" xfId="7017" xr:uid="{BCB5E585-29AE-4677-91C1-867B15DEA152}"/>
    <cellStyle name="Millares 4 4 7 2 7" xfId="7439" xr:uid="{51C06F72-530E-4225-8F57-ED8419362D1E}"/>
    <cellStyle name="Millares 4 4 7 2 8" xfId="7861" xr:uid="{B06FADBB-BCE5-42F7-9B58-B955630DD1FA}"/>
    <cellStyle name="Millares 4 4 7 3" xfId="1062" xr:uid="{00000000-0005-0000-0000-000083050000}"/>
    <cellStyle name="Millares 4 4 7 3 2" xfId="3040" xr:uid="{00000000-0005-0000-0000-000084050000}"/>
    <cellStyle name="Millares 4 4 7 3 2 2" xfId="6597" xr:uid="{DD49C3AA-9451-407F-9902-175FE09A70CC}"/>
    <cellStyle name="Millares 4 4 7 3 2 3" xfId="5887" xr:uid="{3BE3F48A-740A-47E2-97C6-BE06A8A40C29}"/>
    <cellStyle name="Millares 4 4 7 3 3" xfId="6242" xr:uid="{6222116B-C646-493B-BAA6-CEB09ACB24B4}"/>
    <cellStyle name="Millares 4 4 7 3 4" xfId="5532" xr:uid="{E747073E-3B03-4354-80E5-DD8309EC94F9}"/>
    <cellStyle name="Millares 4 4 7 4" xfId="1949" xr:uid="{00000000-0005-0000-0000-000085050000}"/>
    <cellStyle name="Millares 4 4 7 5" xfId="4537" xr:uid="{490E6EDD-E83C-4B2D-A511-138F502C9A97}"/>
    <cellStyle name="Millares 4 4 7 6" xfId="4960" xr:uid="{7E782173-0475-49F6-AFC4-13F776334E4E}"/>
    <cellStyle name="Millares 4 4 7 7" xfId="6806" xr:uid="{370523DD-ECAF-46D5-82C4-E72087CCA9F1}"/>
    <cellStyle name="Millares 4 4 7 8" xfId="7228" xr:uid="{FFDDC1EE-497E-4692-B15D-99012DBAF9DA}"/>
    <cellStyle name="Millares 4 4 7 9" xfId="7650" xr:uid="{B38E3E8C-9F89-4E90-A489-7D7F652B5FCC}"/>
    <cellStyle name="Millares 4 4 8" xfId="799" xr:uid="{00000000-0005-0000-0000-000086050000}"/>
    <cellStyle name="Millares 4 4 8 10" xfId="7719" xr:uid="{1AD37B53-F11E-413D-9973-0803430CACF1}"/>
    <cellStyle name="Millares 4 4 8 2" xfId="3325" xr:uid="{00000000-0005-0000-0000-000087050000}"/>
    <cellStyle name="Millares 4 4 8 2 2" xfId="4298" xr:uid="{00000000-0005-0000-0000-000088050000}"/>
    <cellStyle name="Millares 4 4 8 3" xfId="2250" xr:uid="{00000000-0005-0000-0000-000089050000}"/>
    <cellStyle name="Millares 4 4 8 3 2" xfId="4156" xr:uid="{00000000-0005-0000-0000-00008A050000}"/>
    <cellStyle name="Millares 4 4 8 4" xfId="1197" xr:uid="{00000000-0005-0000-0000-00008B050000}"/>
    <cellStyle name="Millares 4 4 8 5" xfId="3964" xr:uid="{00000000-0005-0000-0000-00008C050000}"/>
    <cellStyle name="Millares 4 4 8 6" xfId="4607" xr:uid="{A47F417E-F94E-4D6E-B114-55B09C260D99}"/>
    <cellStyle name="Millares 4 4 8 7" xfId="5029" xr:uid="{84035B3C-F7CE-454B-BFAC-8903DEC5E7CB}"/>
    <cellStyle name="Millares 4 4 8 8" xfId="6875" xr:uid="{1027A497-E9D1-4741-95F5-DB22DFC58FD6}"/>
    <cellStyle name="Millares 4 4 8 9" xfId="7297" xr:uid="{102D274E-B930-4770-87BB-6C8C92864F2C}"/>
    <cellStyle name="Millares 4 4 9" xfId="912" xr:uid="{00000000-0005-0000-0000-00008D050000}"/>
    <cellStyle name="Millares 4 4 9 2" xfId="2786" xr:uid="{00000000-0005-0000-0000-00008E050000}"/>
    <cellStyle name="Millares 4 4 9 2 2" xfId="6455" xr:uid="{4E19385A-DBD5-47DC-99DF-FF1E84E76D38}"/>
    <cellStyle name="Millares 4 4 9 2 3" xfId="5745" xr:uid="{4DA1DCDB-4577-49B6-B55C-4FDF571EA40D}"/>
    <cellStyle name="Millares 4 4 9 3" xfId="6100" xr:uid="{E233F66B-EFE5-44D4-99A2-13124F850AD0}"/>
    <cellStyle name="Millares 4 4 9 4" xfId="5390" xr:uid="{4D555434-265B-4365-B387-E269B2D2914B}"/>
    <cellStyle name="Millares 4 5" xfId="31" xr:uid="{00000000-0005-0000-0000-00008F050000}"/>
    <cellStyle name="Millares 4 5 10" xfId="4397" xr:uid="{4B6C10DF-1DBB-41B1-AE7C-7CCD192523E2}"/>
    <cellStyle name="Millares 4 5 11" xfId="4820" xr:uid="{E9907E96-1313-437F-B9E8-E5514F463AB9}"/>
    <cellStyle name="Millares 4 5 12" xfId="6666" xr:uid="{AB790F2E-268B-4300-BA5B-79629D5CEDC2}"/>
    <cellStyle name="Millares 4 5 13" xfId="7088" xr:uid="{D4135E97-18F0-4675-B653-7357C74AE96E}"/>
    <cellStyle name="Millares 4 5 14" xfId="7510" xr:uid="{C9C5E46D-A5FD-45D9-ACEA-78C93A939B10}"/>
    <cellStyle name="Millares 4 5 2" xfId="90" xr:uid="{00000000-0005-0000-0000-000090050000}"/>
    <cellStyle name="Millares 4 5 2 10" xfId="4828" xr:uid="{B8A624E2-D125-4035-AACE-185D5D5B83BE}"/>
    <cellStyle name="Millares 4 5 2 11" xfId="6674" xr:uid="{3AF6CCBD-25B5-4FB0-9EB4-11E341262484}"/>
    <cellStyle name="Millares 4 5 2 12" xfId="7096" xr:uid="{5140962F-4FEF-4E70-AB3C-73245BAB40D7}"/>
    <cellStyle name="Millares 4 5 2 13" xfId="7518" xr:uid="{F0475372-05BA-4EAA-BC59-BAD56CDA6A01}"/>
    <cellStyle name="Millares 4 5 2 2" xfId="197" xr:uid="{00000000-0005-0000-0000-000091050000}"/>
    <cellStyle name="Millares 4 5 2 2 10" xfId="6693" xr:uid="{2ED4C295-310D-4306-A1CD-49E30AD274D9}"/>
    <cellStyle name="Millares 4 5 2 2 11" xfId="7115" xr:uid="{82A5F403-3EDD-46EA-B7DE-EC384E46F0DA}"/>
    <cellStyle name="Millares 4 5 2 2 12" xfId="7537" xr:uid="{938E13E2-6AB1-4A46-95AD-A81E26CE6998}"/>
    <cellStyle name="Millares 4 5 2 2 2" xfId="475" xr:uid="{00000000-0005-0000-0000-000092050000}"/>
    <cellStyle name="Millares 4 5 2 2 2 10" xfId="6754" xr:uid="{5C655D9D-CCA8-4CD3-B590-B4DC1116164F}"/>
    <cellStyle name="Millares 4 5 2 2 2 11" xfId="7176" xr:uid="{38A5232D-02CC-495B-989E-75DBF3D66E6E}"/>
    <cellStyle name="Millares 4 5 2 2 2 12" xfId="7598" xr:uid="{E8B58068-958D-41D6-9EDB-BBA509692C0C}"/>
    <cellStyle name="Millares 4 5 2 2 2 2" xfId="763" xr:uid="{00000000-0005-0000-0000-000093050000}"/>
    <cellStyle name="Millares 4 5 2 2 2 2 10" xfId="7219" xr:uid="{1DF8F86E-09F1-4550-8586-6800CFDF7302}"/>
    <cellStyle name="Millares 4 5 2 2 2 2 11" xfId="7641" xr:uid="{91E7000A-7315-4B20-B34F-681D08444870}"/>
    <cellStyle name="Millares 4 5 2 2 2 2 2" xfId="1053" xr:uid="{00000000-0005-0000-0000-000094050000}"/>
    <cellStyle name="Millares 4 5 2 2 2 2 2 2" xfId="3842" xr:uid="{00000000-0005-0000-0000-000095050000}"/>
    <cellStyle name="Millares 4 5 2 2 2 2 2 2 2" xfId="6588" xr:uid="{063C374A-30BF-4F83-99DA-1D8862256E0E}"/>
    <cellStyle name="Millares 4 5 2 2 2 2 2 2 3" xfId="5878" xr:uid="{1FC2594A-70A3-4413-A1CD-59BA5E685CC0}"/>
    <cellStyle name="Millares 4 5 2 2 2 2 2 3" xfId="4385" xr:uid="{00000000-0005-0000-0000-000096050000}"/>
    <cellStyle name="Millares 4 5 2 2 2 2 2 3 2" xfId="6233" xr:uid="{6659F9AF-FD13-47DA-9333-EC24D3B0C81A}"/>
    <cellStyle name="Millares 4 5 2 2 2 2 2 4" xfId="4740" xr:uid="{6A729C43-2EB9-4804-A59C-621C5EB50B4F}"/>
    <cellStyle name="Millares 4 5 2 2 2 2 2 5" xfId="5162" xr:uid="{C1BB73CB-256D-4307-9556-03991FBA9B2A}"/>
    <cellStyle name="Millares 4 5 2 2 2 2 2 6" xfId="5523" xr:uid="{2EB16FC2-BB85-4BA7-8DAD-932BA1BE8909}"/>
    <cellStyle name="Millares 4 5 2 2 2 2 2 7" xfId="7008" xr:uid="{9D54631A-A05F-410C-A90D-4D468E547860}"/>
    <cellStyle name="Millares 4 5 2 2 2 2 2 8" xfId="7430" xr:uid="{C9EF68D3-80CE-4015-A316-77317A1A75A9}"/>
    <cellStyle name="Millares 4 5 2 2 2 2 2 9" xfId="7852" xr:uid="{110EDAB4-3140-4449-AB7B-CC8DA1DE115B}"/>
    <cellStyle name="Millares 4 5 2 2 2 2 3" xfId="2767" xr:uid="{00000000-0005-0000-0000-000097050000}"/>
    <cellStyle name="Millares 4 5 2 2 2 2 3 2" xfId="4243" xr:uid="{00000000-0005-0000-0000-000098050000}"/>
    <cellStyle name="Millares 4 5 2 2 2 2 3 2 2" xfId="6424" xr:uid="{C97A259F-6098-4472-82F3-4411FD075823}"/>
    <cellStyle name="Millares 4 5 2 2 2 2 3 3" xfId="5714" xr:uid="{A6A147EA-0C8F-44A6-86EB-6DD774E466B1}"/>
    <cellStyle name="Millares 4 5 2 2 2 2 4" xfId="1655" xr:uid="{00000000-0005-0000-0000-000099050000}"/>
    <cellStyle name="Millares 4 5 2 2 2 2 4 2" xfId="6069" xr:uid="{B0291709-955D-46B6-B1A8-A164B536A89F}"/>
    <cellStyle name="Millares 4 5 2 2 2 2 5" xfId="4051" xr:uid="{00000000-0005-0000-0000-00009A050000}"/>
    <cellStyle name="Millares 4 5 2 2 2 2 6" xfId="4528" xr:uid="{F347C0D5-85EE-4724-8FEC-99A496A6FAF2}"/>
    <cellStyle name="Millares 4 5 2 2 2 2 7" xfId="4951" xr:uid="{686CFEF0-9A08-4989-9043-7BF939EDE1E5}"/>
    <cellStyle name="Millares 4 5 2 2 2 2 8" xfId="5359" xr:uid="{F8E5D688-7ED0-4EFD-88EA-B39CCC423D45}"/>
    <cellStyle name="Millares 4 5 2 2 2 2 9" xfId="6797" xr:uid="{877BB96F-D2DC-4876-8351-03C1E8BF74AD}"/>
    <cellStyle name="Millares 4 5 2 2 2 3" xfId="1010" xr:uid="{00000000-0005-0000-0000-00009B050000}"/>
    <cellStyle name="Millares 4 5 2 2 2 3 2" xfId="3299" xr:uid="{00000000-0005-0000-0000-00009C050000}"/>
    <cellStyle name="Millares 4 5 2 2 2 3 2 2" xfId="6545" xr:uid="{188C72DD-0A95-4F1C-98E5-672EB7234CBF}"/>
    <cellStyle name="Millares 4 5 2 2 2 3 2 3" xfId="5835" xr:uid="{78BFD877-379A-4D1A-AD03-47C2CE3704D8}"/>
    <cellStyle name="Millares 4 5 2 2 2 3 3" xfId="4290" xr:uid="{00000000-0005-0000-0000-00009D050000}"/>
    <cellStyle name="Millares 4 5 2 2 2 3 3 2" xfId="6190" xr:uid="{BE7D0877-26BA-40A9-AFF5-F9183580E369}"/>
    <cellStyle name="Millares 4 5 2 2 2 3 4" xfId="4697" xr:uid="{8EDFB387-E612-4610-9027-4F46A1554E60}"/>
    <cellStyle name="Millares 4 5 2 2 2 3 5" xfId="5119" xr:uid="{A816A63B-2B1D-4B74-8360-6FA32703A614}"/>
    <cellStyle name="Millares 4 5 2 2 2 3 6" xfId="5480" xr:uid="{CCA2CB3A-B2A8-4694-9B10-63560E312E83}"/>
    <cellStyle name="Millares 4 5 2 2 2 3 7" xfId="6965" xr:uid="{40178F90-5A36-42B7-A71E-3726FADD50EB}"/>
    <cellStyle name="Millares 4 5 2 2 2 3 8" xfId="7387" xr:uid="{2F7D5E86-871C-4CFD-BA52-E8905D5A6FD5}"/>
    <cellStyle name="Millares 4 5 2 2 2 3 9" xfId="7809" xr:uid="{B5EE5959-0D13-4258-ACFC-288228F78138}"/>
    <cellStyle name="Millares 4 5 2 2 2 4" xfId="2224" xr:uid="{00000000-0005-0000-0000-00009E050000}"/>
    <cellStyle name="Millares 4 5 2 2 2 4 2" xfId="4148" xr:uid="{00000000-0005-0000-0000-00009F050000}"/>
    <cellStyle name="Millares 4 5 2 2 2 4 2 2" xfId="6360" xr:uid="{CC38CA61-D03F-43F7-85B6-B489E84CB3E2}"/>
    <cellStyle name="Millares 4 5 2 2 2 4 3" xfId="5650" xr:uid="{77AEF210-AA26-421A-A645-B8E13889025D}"/>
    <cellStyle name="Millares 4 5 2 2 2 5" xfId="1171" xr:uid="{00000000-0005-0000-0000-0000A0050000}"/>
    <cellStyle name="Millares 4 5 2 2 2 5 2" xfId="6005" xr:uid="{A22CE25C-1055-4547-AAF9-3F3DE98BBC9C}"/>
    <cellStyle name="Millares 4 5 2 2 2 6" xfId="3956" xr:uid="{00000000-0005-0000-0000-0000A1050000}"/>
    <cellStyle name="Millares 4 5 2 2 2 7" xfId="4485" xr:uid="{567EEC83-4729-483A-AB50-4EE96349663A}"/>
    <cellStyle name="Millares 4 5 2 2 2 8" xfId="4908" xr:uid="{84113DB3-3A0D-488D-BA86-F7866B5F95EF}"/>
    <cellStyle name="Millares 4 5 2 2 2 9" xfId="5295" xr:uid="{6581DFE1-B65B-4ECE-8D5F-DC4C00197E97}"/>
    <cellStyle name="Millares 4 5 2 2 3" xfId="587" xr:uid="{00000000-0005-0000-0000-0000A2050000}"/>
    <cellStyle name="Millares 4 5 2 2 3 10" xfId="7679" xr:uid="{D8B05499-03E1-403C-86BE-C7279F9CDBE9}"/>
    <cellStyle name="Millares 4 5 2 2 3 2" xfId="783" xr:uid="{00000000-0005-0000-0000-0000A3050000}"/>
    <cellStyle name="Millares 4 5 2 2 3 2 10" xfId="7468" xr:uid="{A4E15F84-7815-4D57-9B38-916137A42AEA}"/>
    <cellStyle name="Millares 4 5 2 2 3 2 11" xfId="7890" xr:uid="{7B6F6216-497E-417F-B6BE-88D613DC4EA3}"/>
    <cellStyle name="Millares 4 5 2 2 3 2 2" xfId="3664" xr:uid="{00000000-0005-0000-0000-0000A4050000}"/>
    <cellStyle name="Millares 4 5 2 2 3 2 2 2" xfId="4346" xr:uid="{00000000-0005-0000-0000-0000A5050000}"/>
    <cellStyle name="Millares 4 5 2 2 3 2 2 2 2" xfId="6444" xr:uid="{D5D806F7-D2EC-4A39-B75F-B5B384E1050C}"/>
    <cellStyle name="Millares 4 5 2 2 3 2 2 3" xfId="5734" xr:uid="{CEFB3549-C104-40C8-ADDB-181BA05CC04D}"/>
    <cellStyle name="Millares 4 5 2 2 3 2 3" xfId="2589" xr:uid="{00000000-0005-0000-0000-0000A6050000}"/>
    <cellStyle name="Millares 4 5 2 2 3 2 3 2" xfId="4204" xr:uid="{00000000-0005-0000-0000-0000A7050000}"/>
    <cellStyle name="Millares 4 5 2 2 3 2 3 3" xfId="6089" xr:uid="{65530B4F-01DF-4635-8701-D7CC96048BCE}"/>
    <cellStyle name="Millares 4 5 2 2 3 2 4" xfId="1499" xr:uid="{00000000-0005-0000-0000-0000A8050000}"/>
    <cellStyle name="Millares 4 5 2 2 3 2 5" xfId="4012" xr:uid="{00000000-0005-0000-0000-0000A9050000}"/>
    <cellStyle name="Millares 4 5 2 2 3 2 6" xfId="4778" xr:uid="{4A3A7F14-CA5C-4A0D-A242-A539B353DCC1}"/>
    <cellStyle name="Millares 4 5 2 2 3 2 7" xfId="5200" xr:uid="{7AA7D064-6682-4E2D-BB5B-2A2B14B5EA06}"/>
    <cellStyle name="Millares 4 5 2 2 3 2 8" xfId="5379" xr:uid="{10C9823A-ECCA-46BF-ACEF-F0BF637D79DD}"/>
    <cellStyle name="Millares 4 5 2 2 3 2 9" xfId="7046" xr:uid="{7E1214B2-91EA-448E-B7E6-4E83C0C6BEDF}"/>
    <cellStyle name="Millares 4 5 2 2 3 3" xfId="883" xr:uid="{00000000-0005-0000-0000-0000AA050000}"/>
    <cellStyle name="Millares 4 5 2 2 3 4" xfId="1092" xr:uid="{00000000-0005-0000-0000-0000AB050000}"/>
    <cellStyle name="Millares 4 5 2 2 3 4 2" xfId="2046" xr:uid="{00000000-0005-0000-0000-0000AC050000}"/>
    <cellStyle name="Millares 4 5 2 2 3 4 2 2" xfId="6626" xr:uid="{041D075E-965D-4DE9-ACD7-7140C88BBB0C}"/>
    <cellStyle name="Millares 4 5 2 2 3 4 2 3" xfId="5916" xr:uid="{9768FA74-5758-4E34-BA9A-E9CDBD240013}"/>
    <cellStyle name="Millares 4 5 2 2 3 4 3" xfId="4109" xr:uid="{00000000-0005-0000-0000-0000AD050000}"/>
    <cellStyle name="Millares 4 5 2 2 3 4 3 2" xfId="6271" xr:uid="{47BEEF71-72CD-4F47-BEE6-BF98DA908CE9}"/>
    <cellStyle name="Millares 4 5 2 2 3 4 4" xfId="5561" xr:uid="{B4821064-8EDA-4757-A2C1-E0F5589F87B6}"/>
    <cellStyle name="Millares 4 5 2 2 3 5" xfId="4566" xr:uid="{597C60CE-F2E6-4057-8B32-C8126194AD69}"/>
    <cellStyle name="Millares 4 5 2 2 3 5 2" xfId="6380" xr:uid="{B263110D-7A8D-4007-B96A-8711A3434F88}"/>
    <cellStyle name="Millares 4 5 2 2 3 5 3" xfId="5670" xr:uid="{ED524B6C-2626-4D1B-99F4-5C345808F600}"/>
    <cellStyle name="Millares 4 5 2 2 3 6" xfId="4989" xr:uid="{EA62465A-23A2-44A6-B064-296EBAD137A1}"/>
    <cellStyle name="Millares 4 5 2 2 3 6 2" xfId="6025" xr:uid="{A5E1EB9C-C28F-42E0-95B2-97ED904227BF}"/>
    <cellStyle name="Millares 4 5 2 2 3 7" xfId="5315" xr:uid="{68FA47DC-07B0-4A01-89B0-116177A3DDB2}"/>
    <cellStyle name="Millares 4 5 2 2 3 8" xfId="6835" xr:uid="{D3C4FBB4-1A3D-4DE6-B8B6-96FEF2AD3268}"/>
    <cellStyle name="Millares 4 5 2 2 3 9" xfId="7257" xr:uid="{114A891F-3D8E-44B2-ADAB-444041D653D5}"/>
    <cellStyle name="Millares 4 5 2 2 4" xfId="827" xr:uid="{00000000-0005-0000-0000-0000AE050000}"/>
    <cellStyle name="Millares 4 5 2 2 4 10" xfId="7748" xr:uid="{29652A49-6A0C-4178-96A4-81D97BD42E16}"/>
    <cellStyle name="Millares 4 5 2 2 4 2" xfId="3514" xr:uid="{00000000-0005-0000-0000-0000AF050000}"/>
    <cellStyle name="Millares 4 5 2 2 4 2 2" xfId="4326" xr:uid="{00000000-0005-0000-0000-0000B0050000}"/>
    <cellStyle name="Millares 4 5 2 2 4 3" xfId="2439" xr:uid="{00000000-0005-0000-0000-0000B1050000}"/>
    <cellStyle name="Millares 4 5 2 2 4 3 2" xfId="4184" xr:uid="{00000000-0005-0000-0000-0000B2050000}"/>
    <cellStyle name="Millares 4 5 2 2 4 4" xfId="1369" xr:uid="{00000000-0005-0000-0000-0000B3050000}"/>
    <cellStyle name="Millares 4 5 2 2 4 5" xfId="3992" xr:uid="{00000000-0005-0000-0000-0000B4050000}"/>
    <cellStyle name="Millares 4 5 2 2 4 6" xfId="4636" xr:uid="{F080C33B-9A29-4DFA-AA73-D82B0F229732}"/>
    <cellStyle name="Millares 4 5 2 2 4 7" xfId="5058" xr:uid="{CE2A14BE-44F9-47F8-891E-F5238718036B}"/>
    <cellStyle name="Millares 4 5 2 2 4 8" xfId="6904" xr:uid="{19455737-1CC3-47B6-BF5C-0646D6ACE786}"/>
    <cellStyle name="Millares 4 5 2 2 4 9" xfId="7326" xr:uid="{D082709A-580D-469B-BD67-3C8DB1A324A1}"/>
    <cellStyle name="Millares 4 5 2 2 5" xfId="945" xr:uid="{00000000-0005-0000-0000-0000B5050000}"/>
    <cellStyle name="Millares 4 5 2 2 5 2" xfId="2975" xr:uid="{00000000-0005-0000-0000-0000B6050000}"/>
    <cellStyle name="Millares 4 5 2 2 5 2 2" xfId="6484" xr:uid="{CB7467FC-0A1F-4D89-B285-33B8DBAC5CC4}"/>
    <cellStyle name="Millares 4 5 2 2 5 2 3" xfId="5774" xr:uid="{5539385E-8595-45F2-8058-C1CE540ABFBC}"/>
    <cellStyle name="Millares 4 5 2 2 5 3" xfId="6129" xr:uid="{1D9E2AA5-0047-40C9-9564-62F4EF2FA1AA}"/>
    <cellStyle name="Millares 4 5 2 2 5 4" xfId="5419" xr:uid="{5176AEE1-EA7D-4DA7-B83A-E4784E403398}"/>
    <cellStyle name="Millares 4 5 2 2 6" xfId="1884" xr:uid="{00000000-0005-0000-0000-0000B7050000}"/>
    <cellStyle name="Millares 4 5 2 2 6 2" xfId="4089" xr:uid="{00000000-0005-0000-0000-0000B8050000}"/>
    <cellStyle name="Millares 4 5 2 2 6 2 2" xfId="6321" xr:uid="{9C2857F5-AFD0-4A0D-B19C-F97410A361B1}"/>
    <cellStyle name="Millares 4 5 2 2 6 3" xfId="5611" xr:uid="{670D2BBF-C374-434E-B6C8-DB3D07F00222}"/>
    <cellStyle name="Millares 4 5 2 2 7" xfId="4424" xr:uid="{223CC8F1-2FC0-4530-94CF-29C9137EFCB4}"/>
    <cellStyle name="Millares 4 5 2 2 7 2" xfId="5966" xr:uid="{215F4993-4CD2-4181-9F3C-12FE49E2C0DD}"/>
    <cellStyle name="Millares 4 5 2 2 8" xfId="4847" xr:uid="{9B9D8886-27A0-4998-B6A8-42B99C5D426F}"/>
    <cellStyle name="Millares 4 5 2 2 9" xfId="5256" xr:uid="{C8DC8EF3-8692-4293-8FAF-3F3A76751EB3}"/>
    <cellStyle name="Millares 4 5 2 3" xfId="363" xr:uid="{00000000-0005-0000-0000-0000B9050000}"/>
    <cellStyle name="Millares 4 5 2 3 10" xfId="7562" xr:uid="{CFBCEF2C-3FC9-4879-B06E-C0AC27891253}"/>
    <cellStyle name="Millares 4 5 2 3 2" xfId="646" xr:uid="{00000000-0005-0000-0000-0000BA050000}"/>
    <cellStyle name="Millares 4 5 2 3 2 2" xfId="901" xr:uid="{00000000-0005-0000-0000-0000BB050000}"/>
    <cellStyle name="Millares 4 5 2 3 2 2 2" xfId="3733" xr:uid="{00000000-0005-0000-0000-0000BC050000}"/>
    <cellStyle name="Millares 4 5 2 3 2 2 3" xfId="2658" xr:uid="{00000000-0005-0000-0000-0000BD050000}"/>
    <cellStyle name="Millares 4 5 2 3 2 2 4" xfId="4799" xr:uid="{23D5FC0F-399B-4043-9AB1-EE7FAC910FD0}"/>
    <cellStyle name="Millares 4 5 2 3 2 2 5" xfId="5221" xr:uid="{7E38B95A-D58E-4BBB-8794-50E209DBA964}"/>
    <cellStyle name="Millares 4 5 2 3 2 2 6" xfId="7067" xr:uid="{5AAC9986-3D32-4E21-B247-DD1D6E3CCA2F}"/>
    <cellStyle name="Millares 4 5 2 3 2 2 7" xfId="7489" xr:uid="{0390F69C-C1FE-436D-A888-F28BC4C51F85}"/>
    <cellStyle name="Millares 4 5 2 3 2 2 8" xfId="7911" xr:uid="{5195ED72-099A-410B-A0F9-340CA745208A}"/>
    <cellStyle name="Millares 4 5 2 3 2 3" xfId="1114" xr:uid="{00000000-0005-0000-0000-0000BE050000}"/>
    <cellStyle name="Millares 4 5 2 3 2 3 2" xfId="3190" xr:uid="{00000000-0005-0000-0000-0000BF050000}"/>
    <cellStyle name="Millares 4 5 2 3 2 3 2 2" xfId="6647" xr:uid="{D8F39AC7-2B7A-4422-B349-F5DA1316A09C}"/>
    <cellStyle name="Millares 4 5 2 3 2 3 2 3" xfId="5937" xr:uid="{9C2C8DE1-E42B-400D-AD1B-3645C0C818E0}"/>
    <cellStyle name="Millares 4 5 2 3 2 3 3" xfId="6292" xr:uid="{11C5E3E4-75C0-4AB0-970D-609C8B8AB62C}"/>
    <cellStyle name="Millares 4 5 2 3 2 3 4" xfId="5582" xr:uid="{CEAC7DB4-E1D5-42AB-9000-AA64D94FBD11}"/>
    <cellStyle name="Millares 4 5 2 3 2 4" xfId="2115" xr:uid="{00000000-0005-0000-0000-0000C0050000}"/>
    <cellStyle name="Millares 4 5 2 3 2 5" xfId="4587" xr:uid="{01ACD822-9D99-4891-B59D-6F86E8791326}"/>
    <cellStyle name="Millares 4 5 2 3 2 6" xfId="5010" xr:uid="{361CAABB-3149-46D6-B683-2FDE937F3BAE}"/>
    <cellStyle name="Millares 4 5 2 3 2 7" xfId="6856" xr:uid="{24E22EE3-F1D3-43EF-B2AA-9C804E4D974A}"/>
    <cellStyle name="Millares 4 5 2 3 2 8" xfId="7278" xr:uid="{F8FBC603-A8CF-4F45-AD22-DB1CAD91DFC3}"/>
    <cellStyle name="Millares 4 5 2 3 2 9" xfId="7700" xr:uid="{D4EB6D1A-D6EF-4580-8A95-17538CC78E6F}"/>
    <cellStyle name="Millares 4 5 2 3 3" xfId="847" xr:uid="{00000000-0005-0000-0000-0000C1050000}"/>
    <cellStyle name="Millares 4 5 2 3 3 2" xfId="3461" xr:uid="{00000000-0005-0000-0000-0000C2050000}"/>
    <cellStyle name="Millares 4 5 2 3 3 3" xfId="2386" xr:uid="{00000000-0005-0000-0000-0000C3050000}"/>
    <cellStyle name="Millares 4 5 2 3 3 4" xfId="4661" xr:uid="{2AC7AEF7-2EC6-4153-AC39-FFFA99988991}"/>
    <cellStyle name="Millares 4 5 2 3 3 5" xfId="5083" xr:uid="{ADC1AC65-3C81-48EC-9C0B-F08F895F2604}"/>
    <cellStyle name="Millares 4 5 2 3 3 6" xfId="6929" xr:uid="{B7DFB68E-BD88-407D-97E1-230AF8DD1B46}"/>
    <cellStyle name="Millares 4 5 2 3 3 7" xfId="7351" xr:uid="{808C2AF0-E02C-4BD6-8FED-A05EB3C2988F}"/>
    <cellStyle name="Millares 4 5 2 3 3 8" xfId="7773" xr:uid="{2AF41504-52F1-4F19-AF6D-0736B93AE0E4}"/>
    <cellStyle name="Millares 4 5 2 3 4" xfId="974" xr:uid="{00000000-0005-0000-0000-0000C4050000}"/>
    <cellStyle name="Millares 4 5 2 3 4 2" xfId="2922" xr:uid="{00000000-0005-0000-0000-0000C5050000}"/>
    <cellStyle name="Millares 4 5 2 3 4 2 2" xfId="6509" xr:uid="{D5B191B9-FAF6-454E-9DEF-36802FB913FF}"/>
    <cellStyle name="Millares 4 5 2 3 4 2 3" xfId="5799" xr:uid="{76B73361-AE74-4A23-B359-0E5D6DC05A55}"/>
    <cellStyle name="Millares 4 5 2 3 4 3" xfId="6154" xr:uid="{A7F75BBF-8964-4B54-BD8B-801925D6CD80}"/>
    <cellStyle name="Millares 4 5 2 3 4 4" xfId="5444" xr:uid="{FA3E3014-33FB-4191-9344-EBAFD410266D}"/>
    <cellStyle name="Millares 4 5 2 3 5" xfId="1831" xr:uid="{00000000-0005-0000-0000-0000C6050000}"/>
    <cellStyle name="Millares 4 5 2 3 6" xfId="4449" xr:uid="{47F5E8C4-1B0F-40B7-B32E-2E2E29DF08EA}"/>
    <cellStyle name="Millares 4 5 2 3 7" xfId="4872" xr:uid="{F284E036-5582-4263-92E7-9429AA1FF7D1}"/>
    <cellStyle name="Millares 4 5 2 3 8" xfId="6718" xr:uid="{FC065D03-ECD4-433B-9B8E-F19BEAC5C3C6}"/>
    <cellStyle name="Millares 4 5 2 3 9" xfId="7140" xr:uid="{4236D5FB-C09B-4B93-B528-C7F4E33B449A}"/>
    <cellStyle name="Millares 4 5 2 4" xfId="457" xr:uid="{00000000-0005-0000-0000-0000C7050000}"/>
    <cellStyle name="Millares 4 5 2 4 10" xfId="6736" xr:uid="{0B1BB5A5-1501-4A2A-AAC0-F4A091BA998F}"/>
    <cellStyle name="Millares 4 5 2 4 11" xfId="7158" xr:uid="{3AFCA2DE-A8B1-42BD-9B62-A7A36F77B2AE}"/>
    <cellStyle name="Millares 4 5 2 4 12" xfId="7580" xr:uid="{756BBE8C-68E8-43AE-8729-876FC7F6A44D}"/>
    <cellStyle name="Millares 4 5 2 4 2" xfId="745" xr:uid="{00000000-0005-0000-0000-0000C8050000}"/>
    <cellStyle name="Millares 4 5 2 4 2 10" xfId="7201" xr:uid="{6AB17BA7-8B07-4BA0-8246-F4F88AE59F22}"/>
    <cellStyle name="Millares 4 5 2 4 2 11" xfId="7623" xr:uid="{AA39B10A-58C3-4173-BD0C-5145440F9A96}"/>
    <cellStyle name="Millares 4 5 2 4 2 2" xfId="1035" xr:uid="{00000000-0005-0000-0000-0000C9050000}"/>
    <cellStyle name="Millares 4 5 2 4 2 2 2" xfId="3824" xr:uid="{00000000-0005-0000-0000-0000CA050000}"/>
    <cellStyle name="Millares 4 5 2 4 2 2 2 2" xfId="6570" xr:uid="{3D57188D-2701-43F1-A77D-21F7F4B11D83}"/>
    <cellStyle name="Millares 4 5 2 4 2 2 2 3" xfId="5860" xr:uid="{3700AD43-3F75-4588-B0EE-CAFACD2264A1}"/>
    <cellStyle name="Millares 4 5 2 4 2 2 3" xfId="4367" xr:uid="{00000000-0005-0000-0000-0000CB050000}"/>
    <cellStyle name="Millares 4 5 2 4 2 2 3 2" xfId="6215" xr:uid="{D2EAAF5A-1897-4F76-B4E6-7A866B4B21D5}"/>
    <cellStyle name="Millares 4 5 2 4 2 2 4" xfId="4722" xr:uid="{32FB592B-2FE9-4738-861D-6E7599A73DFE}"/>
    <cellStyle name="Millares 4 5 2 4 2 2 5" xfId="5144" xr:uid="{34178804-CF96-44DD-AA22-56D463307665}"/>
    <cellStyle name="Millares 4 5 2 4 2 2 6" xfId="5505" xr:uid="{97272186-A120-48F3-886D-711D273D9AEF}"/>
    <cellStyle name="Millares 4 5 2 4 2 2 7" xfId="6990" xr:uid="{A80BA4B0-2D7C-497B-BE29-B707152898E6}"/>
    <cellStyle name="Millares 4 5 2 4 2 2 8" xfId="7412" xr:uid="{5B109E4B-7B26-4344-AD22-2E1A6CF8B333}"/>
    <cellStyle name="Millares 4 5 2 4 2 2 9" xfId="7834" xr:uid="{CD184219-8083-4F8E-B9ED-1E4832AF36A0}"/>
    <cellStyle name="Millares 4 5 2 4 2 3" xfId="2749" xr:uid="{00000000-0005-0000-0000-0000CC050000}"/>
    <cellStyle name="Millares 4 5 2 4 2 3 2" xfId="4225" xr:uid="{00000000-0005-0000-0000-0000CD050000}"/>
    <cellStyle name="Millares 4 5 2 4 2 3 2 2" xfId="6406" xr:uid="{3581CCC6-A021-4810-9B82-9DD8C95E326D}"/>
    <cellStyle name="Millares 4 5 2 4 2 3 3" xfId="5696" xr:uid="{010E72CB-2446-4DFD-A793-4F4C670EB76E}"/>
    <cellStyle name="Millares 4 5 2 4 2 4" xfId="1637" xr:uid="{00000000-0005-0000-0000-0000CE050000}"/>
    <cellStyle name="Millares 4 5 2 4 2 4 2" xfId="6051" xr:uid="{02B3E790-5446-49CA-AE73-719D7B3072F2}"/>
    <cellStyle name="Millares 4 5 2 4 2 5" xfId="4033" xr:uid="{00000000-0005-0000-0000-0000CF050000}"/>
    <cellStyle name="Millares 4 5 2 4 2 6" xfId="4510" xr:uid="{A9E7AD65-4BA8-4487-B31B-97D570D12AB6}"/>
    <cellStyle name="Millares 4 5 2 4 2 7" xfId="4933" xr:uid="{49DECC0F-0552-4352-9827-BF893D7641E5}"/>
    <cellStyle name="Millares 4 5 2 4 2 8" xfId="5341" xr:uid="{4EA58012-7D84-4B8F-A688-16F716330A40}"/>
    <cellStyle name="Millares 4 5 2 4 2 9" xfId="6779" xr:uid="{D613F474-855F-4F74-8F20-E8A711897BBE}"/>
    <cellStyle name="Millares 4 5 2 4 3" xfId="992" xr:uid="{00000000-0005-0000-0000-0000D0050000}"/>
    <cellStyle name="Millares 4 5 2 4 3 2" xfId="3281" xr:uid="{00000000-0005-0000-0000-0000D1050000}"/>
    <cellStyle name="Millares 4 5 2 4 3 2 2" xfId="6527" xr:uid="{F79E18E0-6BDD-4BB0-987B-C8413EABA9CB}"/>
    <cellStyle name="Millares 4 5 2 4 3 2 3" xfId="5817" xr:uid="{F3773EC6-D14F-4664-94D4-026B911C6B4C}"/>
    <cellStyle name="Millares 4 5 2 4 3 3" xfId="4272" xr:uid="{00000000-0005-0000-0000-0000D2050000}"/>
    <cellStyle name="Millares 4 5 2 4 3 3 2" xfId="6172" xr:uid="{C974E431-119B-4677-8B31-56F05E985A1A}"/>
    <cellStyle name="Millares 4 5 2 4 3 4" xfId="4679" xr:uid="{91107FA9-461A-437D-ABC3-8636475C566B}"/>
    <cellStyle name="Millares 4 5 2 4 3 5" xfId="5101" xr:uid="{5138F9AE-4830-4FC7-A461-59F2B44B40DF}"/>
    <cellStyle name="Millares 4 5 2 4 3 6" xfId="5462" xr:uid="{DD3F859B-E94D-47EE-B1B0-5F3198F7B32F}"/>
    <cellStyle name="Millares 4 5 2 4 3 7" xfId="6947" xr:uid="{B0F3CA6C-B08D-4024-8AC6-A3D553D5070F}"/>
    <cellStyle name="Millares 4 5 2 4 3 8" xfId="7369" xr:uid="{7742C0BF-D836-45C1-B5F3-533940E38D05}"/>
    <cellStyle name="Millares 4 5 2 4 3 9" xfId="7791" xr:uid="{42241A1A-A628-4106-ACCF-2CFA51AFF0E1}"/>
    <cellStyle name="Millares 4 5 2 4 4" xfId="2206" xr:uid="{00000000-0005-0000-0000-0000D3050000}"/>
    <cellStyle name="Millares 4 5 2 4 4 2" xfId="4130" xr:uid="{00000000-0005-0000-0000-0000D4050000}"/>
    <cellStyle name="Millares 4 5 2 4 4 2 2" xfId="6342" xr:uid="{FCA16863-C498-4889-964A-5FE6BA2E4CFD}"/>
    <cellStyle name="Millares 4 5 2 4 4 3" xfId="5632" xr:uid="{7F46E319-8B76-42DA-A5DC-94A30F307BF1}"/>
    <cellStyle name="Millares 4 5 2 4 5" xfId="1153" xr:uid="{00000000-0005-0000-0000-0000D5050000}"/>
    <cellStyle name="Millares 4 5 2 4 5 2" xfId="5987" xr:uid="{34E64686-C522-4E07-A8FB-2CBD0A608C79}"/>
    <cellStyle name="Millares 4 5 2 4 6" xfId="3938" xr:uid="{00000000-0005-0000-0000-0000D6050000}"/>
    <cellStyle name="Millares 4 5 2 4 7" xfId="4467" xr:uid="{8791B8F2-A302-4139-A33C-2ECD4525AF3C}"/>
    <cellStyle name="Millares 4 5 2 4 8" xfId="4890" xr:uid="{9861C87D-494B-4EE3-B306-E4520738D304}"/>
    <cellStyle name="Millares 4 5 2 4 9" xfId="5277" xr:uid="{6175D2D6-399E-45CE-9BF4-AF832DBCD5E4}"/>
    <cellStyle name="Millares 4 5 2 5" xfId="534" xr:uid="{00000000-0005-0000-0000-0000D7050000}"/>
    <cellStyle name="Millares 4 5 2 5 2" xfId="865" xr:uid="{00000000-0005-0000-0000-0000D8050000}"/>
    <cellStyle name="Millares 4 5 2 5 2 2" xfId="3611" xr:uid="{00000000-0005-0000-0000-0000D9050000}"/>
    <cellStyle name="Millares 4 5 2 5 2 3" xfId="2536" xr:uid="{00000000-0005-0000-0000-0000DA050000}"/>
    <cellStyle name="Millares 4 5 2 5 2 4" xfId="4759" xr:uid="{804FA197-F8B6-42D6-B485-A441F7110553}"/>
    <cellStyle name="Millares 4 5 2 5 2 5" xfId="5181" xr:uid="{F56E06C9-950A-43A0-B52B-4B4C1C21E67C}"/>
    <cellStyle name="Millares 4 5 2 5 2 6" xfId="7027" xr:uid="{D8C63BFE-E985-4972-9B25-19ADF451E41E}"/>
    <cellStyle name="Millares 4 5 2 5 2 7" xfId="7449" xr:uid="{313B667A-5790-495E-A992-26650DB14E2F}"/>
    <cellStyle name="Millares 4 5 2 5 2 8" xfId="7871" xr:uid="{A5D11706-445D-4690-902E-EFDEC8D1EE37}"/>
    <cellStyle name="Millares 4 5 2 5 3" xfId="1072" xr:uid="{00000000-0005-0000-0000-0000DB050000}"/>
    <cellStyle name="Millares 4 5 2 5 3 2" xfId="3084" xr:uid="{00000000-0005-0000-0000-0000DC050000}"/>
    <cellStyle name="Millares 4 5 2 5 3 2 2" xfId="6607" xr:uid="{0DF209B7-8DB0-46C6-9D74-213FEB3C9F7D}"/>
    <cellStyle name="Millares 4 5 2 5 3 2 3" xfId="5897" xr:uid="{65B670AE-E8DC-4725-8882-B2A5922EBD67}"/>
    <cellStyle name="Millares 4 5 2 5 3 3" xfId="6252" xr:uid="{61283886-8529-417E-A163-411877202D09}"/>
    <cellStyle name="Millares 4 5 2 5 3 4" xfId="5542" xr:uid="{8F9750F6-6A8D-4EEA-B3F4-00CB92E7C89A}"/>
    <cellStyle name="Millares 4 5 2 5 4" xfId="1993" xr:uid="{00000000-0005-0000-0000-0000DD050000}"/>
    <cellStyle name="Millares 4 5 2 5 5" xfId="4547" xr:uid="{ECD49DCE-8B5F-43F8-B94B-1AAB2B7D17E8}"/>
    <cellStyle name="Millares 4 5 2 5 6" xfId="4970" xr:uid="{4E0AB6ED-0BB9-4DC6-AA1F-DB8F3B738B34}"/>
    <cellStyle name="Millares 4 5 2 5 7" xfId="6816" xr:uid="{E5099A94-68C2-4A7B-BFE6-D487F11B9D5E}"/>
    <cellStyle name="Millares 4 5 2 5 8" xfId="7238" xr:uid="{7ED933B7-CD98-4417-9FC5-E38A7484EC51}"/>
    <cellStyle name="Millares 4 5 2 5 9" xfId="7660" xr:uid="{B0C1FDEF-7EB5-4C00-8C54-A8C18535FBF5}"/>
    <cellStyle name="Millares 4 5 2 6" xfId="809" xr:uid="{00000000-0005-0000-0000-0000DE050000}"/>
    <cellStyle name="Millares 4 5 2 6 10" xfId="7729" xr:uid="{6D728E70-DD6A-4B33-B3C0-0693938480E9}"/>
    <cellStyle name="Millares 4 5 2 6 2" xfId="3369" xr:uid="{00000000-0005-0000-0000-0000DF050000}"/>
    <cellStyle name="Millares 4 5 2 6 2 2" xfId="4308" xr:uid="{00000000-0005-0000-0000-0000E0050000}"/>
    <cellStyle name="Millares 4 5 2 6 3" xfId="2294" xr:uid="{00000000-0005-0000-0000-0000E1050000}"/>
    <cellStyle name="Millares 4 5 2 6 3 2" xfId="4166" xr:uid="{00000000-0005-0000-0000-0000E2050000}"/>
    <cellStyle name="Millares 4 5 2 6 4" xfId="1241" xr:uid="{00000000-0005-0000-0000-0000E3050000}"/>
    <cellStyle name="Millares 4 5 2 6 5" xfId="3974" xr:uid="{00000000-0005-0000-0000-0000E4050000}"/>
    <cellStyle name="Millares 4 5 2 6 6" xfId="4617" xr:uid="{A7E17480-F0BB-44FB-9BEE-CA93C9002D9D}"/>
    <cellStyle name="Millares 4 5 2 6 7" xfId="5039" xr:uid="{EAE7F709-8CF7-48F9-BE43-B2012D85D384}"/>
    <cellStyle name="Millares 4 5 2 6 8" xfId="6885" xr:uid="{34131BA6-834B-45D1-AD10-5C406BDA1BF3}"/>
    <cellStyle name="Millares 4 5 2 6 9" xfId="7307" xr:uid="{D161443E-A16F-462B-AAB6-CAE8C58095BC}"/>
    <cellStyle name="Millares 4 5 2 7" xfId="924" xr:uid="{00000000-0005-0000-0000-0000E5050000}"/>
    <cellStyle name="Millares 4 5 2 7 2" xfId="2830" xr:uid="{00000000-0005-0000-0000-0000E6050000}"/>
    <cellStyle name="Millares 4 5 2 7 2 2" xfId="6465" xr:uid="{D2C3E561-EB7F-4DA3-BFC1-DF1DA126466B}"/>
    <cellStyle name="Millares 4 5 2 7 2 3" xfId="5755" xr:uid="{8DFDD6B2-51AB-4EEE-A3C8-87EE7AD82C38}"/>
    <cellStyle name="Millares 4 5 2 7 3" xfId="6110" xr:uid="{0A2912F2-AD3E-4484-A8AA-F243C708E4B5}"/>
    <cellStyle name="Millares 4 5 2 7 4" xfId="5400" xr:uid="{788132F4-7F14-4D07-AA76-799CF3660D64}"/>
    <cellStyle name="Millares 4 5 2 8" xfId="1739" xr:uid="{00000000-0005-0000-0000-0000E7050000}"/>
    <cellStyle name="Millares 4 5 2 8 2" xfId="4071" xr:uid="{00000000-0005-0000-0000-0000E8050000}"/>
    <cellStyle name="Millares 4 5 2 9" xfId="4405" xr:uid="{4E66D1F6-EA92-4DD5-8C91-2E4FF862BA0A}"/>
    <cellStyle name="Millares 4 5 3" xfId="185" xr:uid="{00000000-0005-0000-0000-0000E9050000}"/>
    <cellStyle name="Millares 4 5 3 10" xfId="6685" xr:uid="{0A37342B-7BAA-42C7-89F7-79E72D891D6E}"/>
    <cellStyle name="Millares 4 5 3 11" xfId="7107" xr:uid="{2EA4E615-22C9-4D78-B472-DE1E2A19B4CE}"/>
    <cellStyle name="Millares 4 5 3 12" xfId="7529" xr:uid="{7AF3FBE1-056D-47A0-A382-69202F897DE2}"/>
    <cellStyle name="Millares 4 5 3 2" xfId="467" xr:uid="{00000000-0005-0000-0000-0000EA050000}"/>
    <cellStyle name="Millares 4 5 3 2 10" xfId="6746" xr:uid="{EDB538E6-E9D7-4B64-AEBF-96D38123B49B}"/>
    <cellStyle name="Millares 4 5 3 2 11" xfId="7168" xr:uid="{BA6FE633-CB93-4DC9-8071-184958534B91}"/>
    <cellStyle name="Millares 4 5 3 2 12" xfId="7590" xr:uid="{5C23ED83-9D37-46CC-8789-73B60AD34D33}"/>
    <cellStyle name="Millares 4 5 3 2 2" xfId="755" xr:uid="{00000000-0005-0000-0000-0000EB050000}"/>
    <cellStyle name="Millares 4 5 3 2 2 10" xfId="7211" xr:uid="{77482164-BB28-4CF6-8107-1C5BDC3EF518}"/>
    <cellStyle name="Millares 4 5 3 2 2 11" xfId="7633" xr:uid="{27B95129-2921-4952-BD40-02862F7F648A}"/>
    <cellStyle name="Millares 4 5 3 2 2 2" xfId="1045" xr:uid="{00000000-0005-0000-0000-0000EC050000}"/>
    <cellStyle name="Millares 4 5 3 2 2 2 2" xfId="3834" xr:uid="{00000000-0005-0000-0000-0000ED050000}"/>
    <cellStyle name="Millares 4 5 3 2 2 2 2 2" xfId="6580" xr:uid="{C5F1E389-740F-424F-B474-DAA96FACF162}"/>
    <cellStyle name="Millares 4 5 3 2 2 2 2 3" xfId="5870" xr:uid="{6537A9F8-8258-4260-9F01-FF6C9AF1F025}"/>
    <cellStyle name="Millares 4 5 3 2 2 2 3" xfId="4377" xr:uid="{00000000-0005-0000-0000-0000EE050000}"/>
    <cellStyle name="Millares 4 5 3 2 2 2 3 2" xfId="6225" xr:uid="{196F9FDE-4A02-4252-9333-71AD25D821B4}"/>
    <cellStyle name="Millares 4 5 3 2 2 2 4" xfId="4732" xr:uid="{3083BF3D-FF64-489C-841B-6032D8FF8444}"/>
    <cellStyle name="Millares 4 5 3 2 2 2 5" xfId="5154" xr:uid="{96B919E9-BBC1-4022-9FF0-AB4BFDCFE2E6}"/>
    <cellStyle name="Millares 4 5 3 2 2 2 6" xfId="5515" xr:uid="{D070292F-2222-4A37-8FB5-91C3E33619F1}"/>
    <cellStyle name="Millares 4 5 3 2 2 2 7" xfId="7000" xr:uid="{778F1172-321B-4277-9C16-107E8B784FE8}"/>
    <cellStyle name="Millares 4 5 3 2 2 2 8" xfId="7422" xr:uid="{5784288F-E30F-4A02-83B1-60B556E21348}"/>
    <cellStyle name="Millares 4 5 3 2 2 2 9" xfId="7844" xr:uid="{FAC5457D-F9F6-441C-B54C-C7EB0D69F579}"/>
    <cellStyle name="Millares 4 5 3 2 2 3" xfId="2759" xr:uid="{00000000-0005-0000-0000-0000EF050000}"/>
    <cellStyle name="Millares 4 5 3 2 2 3 2" xfId="4235" xr:uid="{00000000-0005-0000-0000-0000F0050000}"/>
    <cellStyle name="Millares 4 5 3 2 2 3 2 2" xfId="6416" xr:uid="{CFEFC724-495D-4F0C-BE35-7D6EF390556D}"/>
    <cellStyle name="Millares 4 5 3 2 2 3 3" xfId="5706" xr:uid="{A4EDB3D7-3F0E-43C3-B687-A4C5A66FCA4A}"/>
    <cellStyle name="Millares 4 5 3 2 2 4" xfId="1647" xr:uid="{00000000-0005-0000-0000-0000F1050000}"/>
    <cellStyle name="Millares 4 5 3 2 2 4 2" xfId="6061" xr:uid="{B9A66676-48D4-4BA3-8D74-6544168F2811}"/>
    <cellStyle name="Millares 4 5 3 2 2 5" xfId="4043" xr:uid="{00000000-0005-0000-0000-0000F2050000}"/>
    <cellStyle name="Millares 4 5 3 2 2 6" xfId="4520" xr:uid="{E9659B4D-5A2B-45AC-8C05-9441AA47983D}"/>
    <cellStyle name="Millares 4 5 3 2 2 7" xfId="4943" xr:uid="{A2429FB3-3AFD-4303-8F1D-0E35318EBA7F}"/>
    <cellStyle name="Millares 4 5 3 2 2 8" xfId="5351" xr:uid="{10D6B07A-9F0E-44B4-9F9D-00700E109716}"/>
    <cellStyle name="Millares 4 5 3 2 2 9" xfId="6789" xr:uid="{F56880AC-F035-4D99-9FD5-443E7DE6D3EF}"/>
    <cellStyle name="Millares 4 5 3 2 3" xfId="1002" xr:uid="{00000000-0005-0000-0000-0000F3050000}"/>
    <cellStyle name="Millares 4 5 3 2 3 2" xfId="3291" xr:uid="{00000000-0005-0000-0000-0000F4050000}"/>
    <cellStyle name="Millares 4 5 3 2 3 2 2" xfId="6537" xr:uid="{4AD0E047-569C-4F18-853A-A8DB68BAD841}"/>
    <cellStyle name="Millares 4 5 3 2 3 2 3" xfId="5827" xr:uid="{2CC782D5-CB5D-4C2C-ABDA-72B8FDC5BA54}"/>
    <cellStyle name="Millares 4 5 3 2 3 3" xfId="4282" xr:uid="{00000000-0005-0000-0000-0000F5050000}"/>
    <cellStyle name="Millares 4 5 3 2 3 3 2" xfId="6182" xr:uid="{9F0C00AD-5666-4935-AD14-780E508559EB}"/>
    <cellStyle name="Millares 4 5 3 2 3 4" xfId="4689" xr:uid="{A51CCC9C-89DD-42AD-B8C8-292F8676491F}"/>
    <cellStyle name="Millares 4 5 3 2 3 5" xfId="5111" xr:uid="{01F21370-4747-426D-892F-4A4A88673ACE}"/>
    <cellStyle name="Millares 4 5 3 2 3 6" xfId="5472" xr:uid="{3A74A2E7-8FE9-48B1-9549-ACE6EC7D6647}"/>
    <cellStyle name="Millares 4 5 3 2 3 7" xfId="6957" xr:uid="{F237FBEB-D2AF-4383-85A5-817AF3A0D970}"/>
    <cellStyle name="Millares 4 5 3 2 3 8" xfId="7379" xr:uid="{85B3AF05-26AE-4579-B493-9F866C9F266B}"/>
    <cellStyle name="Millares 4 5 3 2 3 9" xfId="7801" xr:uid="{3A056355-C82F-4EAE-A151-3D8CF2AD00D4}"/>
    <cellStyle name="Millares 4 5 3 2 4" xfId="2216" xr:uid="{00000000-0005-0000-0000-0000F6050000}"/>
    <cellStyle name="Millares 4 5 3 2 4 2" xfId="4140" xr:uid="{00000000-0005-0000-0000-0000F7050000}"/>
    <cellStyle name="Millares 4 5 3 2 4 2 2" xfId="6352" xr:uid="{EA24A484-E330-42A8-898E-1CBDB88641C0}"/>
    <cellStyle name="Millares 4 5 3 2 4 3" xfId="5642" xr:uid="{6E54174C-0EBC-4DA6-9456-A611D87B4AE4}"/>
    <cellStyle name="Millares 4 5 3 2 5" xfId="1163" xr:uid="{00000000-0005-0000-0000-0000F8050000}"/>
    <cellStyle name="Millares 4 5 3 2 5 2" xfId="5997" xr:uid="{93029350-B08B-44D9-9014-DE71B4B385B8}"/>
    <cellStyle name="Millares 4 5 3 2 6" xfId="3948" xr:uid="{00000000-0005-0000-0000-0000F9050000}"/>
    <cellStyle name="Millares 4 5 3 2 7" xfId="4477" xr:uid="{96292334-84B0-4075-A916-8417DE6E1C4C}"/>
    <cellStyle name="Millares 4 5 3 2 8" xfId="4900" xr:uid="{81355050-9385-433E-A4D3-AB0C73E68026}"/>
    <cellStyle name="Millares 4 5 3 2 9" xfId="5287" xr:uid="{9AA1419B-1615-4C71-BEF7-58A8783222A0}"/>
    <cellStyle name="Millares 4 5 3 3" xfId="579" xr:uid="{00000000-0005-0000-0000-0000FA050000}"/>
    <cellStyle name="Millares 4 5 3 3 10" xfId="7671" xr:uid="{68C9CB44-F9D3-4B8E-9274-7F29A9356FC0}"/>
    <cellStyle name="Millares 4 5 3 3 2" xfId="775" xr:uid="{00000000-0005-0000-0000-0000FB050000}"/>
    <cellStyle name="Millares 4 5 3 3 2 10" xfId="7460" xr:uid="{1DFB02D2-994B-44B2-996C-AC4FA1203DB8}"/>
    <cellStyle name="Millares 4 5 3 3 2 11" xfId="7882" xr:uid="{B5EEC180-06C4-43CB-BAD6-40B2FC793192}"/>
    <cellStyle name="Millares 4 5 3 3 2 2" xfId="3656" xr:uid="{00000000-0005-0000-0000-0000FC050000}"/>
    <cellStyle name="Millares 4 5 3 3 2 2 2" xfId="4338" xr:uid="{00000000-0005-0000-0000-0000FD050000}"/>
    <cellStyle name="Millares 4 5 3 3 2 2 2 2" xfId="6436" xr:uid="{07EF7D5D-EE92-4634-B81B-359DE0CC10FB}"/>
    <cellStyle name="Millares 4 5 3 3 2 2 3" xfId="5726" xr:uid="{EBD68D11-F29B-43E4-A686-1EFC3B04A563}"/>
    <cellStyle name="Millares 4 5 3 3 2 3" xfId="2581" xr:uid="{00000000-0005-0000-0000-0000FE050000}"/>
    <cellStyle name="Millares 4 5 3 3 2 3 2" xfId="4196" xr:uid="{00000000-0005-0000-0000-0000FF050000}"/>
    <cellStyle name="Millares 4 5 3 3 2 3 3" xfId="6081" xr:uid="{BB371610-F263-4737-B1E2-AD9DF54E2842}"/>
    <cellStyle name="Millares 4 5 3 3 2 4" xfId="1491" xr:uid="{00000000-0005-0000-0000-000000060000}"/>
    <cellStyle name="Millares 4 5 3 3 2 5" xfId="4004" xr:uid="{00000000-0005-0000-0000-000001060000}"/>
    <cellStyle name="Millares 4 5 3 3 2 6" xfId="4770" xr:uid="{69C50287-6E94-4569-962D-781B272F3D75}"/>
    <cellStyle name="Millares 4 5 3 3 2 7" xfId="5192" xr:uid="{D95D5BDD-F852-4B1A-848E-6ADC6D06FD89}"/>
    <cellStyle name="Millares 4 5 3 3 2 8" xfId="5371" xr:uid="{720008E8-7DDB-4542-9BDB-2975480AD958}"/>
    <cellStyle name="Millares 4 5 3 3 2 9" xfId="7038" xr:uid="{F168722F-3FDF-46BE-A804-3E882FD7EBD0}"/>
    <cellStyle name="Millares 4 5 3 3 3" xfId="875" xr:uid="{00000000-0005-0000-0000-000002060000}"/>
    <cellStyle name="Millares 4 5 3 3 4" xfId="1084" xr:uid="{00000000-0005-0000-0000-000003060000}"/>
    <cellStyle name="Millares 4 5 3 3 4 2" xfId="2038" xr:uid="{00000000-0005-0000-0000-000004060000}"/>
    <cellStyle name="Millares 4 5 3 3 4 2 2" xfId="6618" xr:uid="{0768669B-3E97-4307-B968-5200D2E86E6D}"/>
    <cellStyle name="Millares 4 5 3 3 4 2 3" xfId="5908" xr:uid="{79AD51EE-59AB-42FD-9B14-3CDE75D5AA8A}"/>
    <cellStyle name="Millares 4 5 3 3 4 3" xfId="4101" xr:uid="{00000000-0005-0000-0000-000005060000}"/>
    <cellStyle name="Millares 4 5 3 3 4 3 2" xfId="6263" xr:uid="{863CEEA9-CA0B-46FE-877D-E543C2681315}"/>
    <cellStyle name="Millares 4 5 3 3 4 4" xfId="5553" xr:uid="{9A6D555F-4383-48AF-86F6-53A23CB2D379}"/>
    <cellStyle name="Millares 4 5 3 3 5" xfId="4558" xr:uid="{56773731-94F5-4E90-B8DB-2896EEEE1EF9}"/>
    <cellStyle name="Millares 4 5 3 3 5 2" xfId="6372" xr:uid="{72882686-264B-4273-AD05-6A92A14BB191}"/>
    <cellStyle name="Millares 4 5 3 3 5 3" xfId="5662" xr:uid="{B06EC3CA-A9A1-4F7E-BD66-252A086F7A97}"/>
    <cellStyle name="Millares 4 5 3 3 6" xfId="4981" xr:uid="{003DF14A-4F20-4D10-B312-5C0EB89B9184}"/>
    <cellStyle name="Millares 4 5 3 3 6 2" xfId="6017" xr:uid="{D34A23DC-2DCE-496F-81BB-E7973A5B9556}"/>
    <cellStyle name="Millares 4 5 3 3 7" xfId="5307" xr:uid="{60426E36-0891-477D-AAF4-934BFCAB8AD2}"/>
    <cellStyle name="Millares 4 5 3 3 8" xfId="6827" xr:uid="{73B59B8C-F655-420A-87F5-02E4C761F434}"/>
    <cellStyle name="Millares 4 5 3 3 9" xfId="7249" xr:uid="{1420292E-B66B-41C0-84BF-DB43B49A5591}"/>
    <cellStyle name="Millares 4 5 3 4" xfId="819" xr:uid="{00000000-0005-0000-0000-000006060000}"/>
    <cellStyle name="Millares 4 5 3 4 10" xfId="7740" xr:uid="{868A2BAC-843F-438C-9D9E-D9BC3C847EE1}"/>
    <cellStyle name="Millares 4 5 3 4 2" xfId="3506" xr:uid="{00000000-0005-0000-0000-000007060000}"/>
    <cellStyle name="Millares 4 5 3 4 2 2" xfId="4318" xr:uid="{00000000-0005-0000-0000-000008060000}"/>
    <cellStyle name="Millares 4 5 3 4 3" xfId="2431" xr:uid="{00000000-0005-0000-0000-000009060000}"/>
    <cellStyle name="Millares 4 5 3 4 3 2" xfId="4176" xr:uid="{00000000-0005-0000-0000-00000A060000}"/>
    <cellStyle name="Millares 4 5 3 4 4" xfId="1361" xr:uid="{00000000-0005-0000-0000-00000B060000}"/>
    <cellStyle name="Millares 4 5 3 4 5" xfId="3984" xr:uid="{00000000-0005-0000-0000-00000C060000}"/>
    <cellStyle name="Millares 4 5 3 4 6" xfId="4628" xr:uid="{31073B0C-DE2F-4118-BBDA-5C34AF59F04C}"/>
    <cellStyle name="Millares 4 5 3 4 7" xfId="5050" xr:uid="{E6260CE5-91E4-48B2-A9B5-94E73D1B9F52}"/>
    <cellStyle name="Millares 4 5 3 4 8" xfId="6896" xr:uid="{EF40196D-92FC-4E49-AC53-C0E9711EDB0D}"/>
    <cellStyle name="Millares 4 5 3 4 9" xfId="7318" xr:uid="{D0EC095A-8838-48D7-945F-D8519FF39C8E}"/>
    <cellStyle name="Millares 4 5 3 5" xfId="936" xr:uid="{00000000-0005-0000-0000-00000D060000}"/>
    <cellStyle name="Millares 4 5 3 5 2" xfId="2967" xr:uid="{00000000-0005-0000-0000-00000E060000}"/>
    <cellStyle name="Millares 4 5 3 5 2 2" xfId="6476" xr:uid="{58DC79B5-F9C3-4D72-A6FE-F1A11D30AF3C}"/>
    <cellStyle name="Millares 4 5 3 5 2 3" xfId="5766" xr:uid="{744CD5B3-AD8D-41B4-8949-2BC6F9573161}"/>
    <cellStyle name="Millares 4 5 3 5 3" xfId="6121" xr:uid="{91B03316-880F-4135-BD63-B7C9D419BDF6}"/>
    <cellStyle name="Millares 4 5 3 5 4" xfId="5411" xr:uid="{D75F118B-DE2B-47A4-80DC-3623696F8D66}"/>
    <cellStyle name="Millares 4 5 3 6" xfId="1876" xr:uid="{00000000-0005-0000-0000-00000F060000}"/>
    <cellStyle name="Millares 4 5 3 6 2" xfId="4081" xr:uid="{00000000-0005-0000-0000-000010060000}"/>
    <cellStyle name="Millares 4 5 3 6 2 2" xfId="6313" xr:uid="{22521C0C-9DC1-44F3-90D8-86ACA25ECFB1}"/>
    <cellStyle name="Millares 4 5 3 6 3" xfId="5603" xr:uid="{B41AB47E-D93F-4BEA-BFC5-F5BB522891E9}"/>
    <cellStyle name="Millares 4 5 3 7" xfId="4416" xr:uid="{529B2766-331A-4482-9496-E35263230F9C}"/>
    <cellStyle name="Millares 4 5 3 7 2" xfId="5958" xr:uid="{E39C8CC2-FAE0-46CF-9DF1-1BD7D6C31CF1}"/>
    <cellStyle name="Millares 4 5 3 8" xfId="4839" xr:uid="{1E3BD9F6-CEF0-4AD7-8BFB-AD3B384A6E40}"/>
    <cellStyle name="Millares 4 5 3 9" xfId="5248" xr:uid="{F30BCA91-EFC3-4610-BCE9-F16C839E6039}"/>
    <cellStyle name="Millares 4 5 4" xfId="355" xr:uid="{00000000-0005-0000-0000-000011060000}"/>
    <cellStyle name="Millares 4 5 4 10" xfId="7554" xr:uid="{058E5EE6-3AB6-45E6-A062-DA8C31E05223}"/>
    <cellStyle name="Millares 4 5 4 2" xfId="638" xr:uid="{00000000-0005-0000-0000-000012060000}"/>
    <cellStyle name="Millares 4 5 4 2 2" xfId="893" xr:uid="{00000000-0005-0000-0000-000013060000}"/>
    <cellStyle name="Millares 4 5 4 2 2 2" xfId="3725" xr:uid="{00000000-0005-0000-0000-000014060000}"/>
    <cellStyle name="Millares 4 5 4 2 2 3" xfId="2650" xr:uid="{00000000-0005-0000-0000-000015060000}"/>
    <cellStyle name="Millares 4 5 4 2 2 4" xfId="4791" xr:uid="{8FE7FC7C-776F-4E20-B55B-FE0F697E1E46}"/>
    <cellStyle name="Millares 4 5 4 2 2 5" xfId="5213" xr:uid="{BC2CD5F0-EA18-4405-9159-9D5C6D8895E5}"/>
    <cellStyle name="Millares 4 5 4 2 2 6" xfId="7059" xr:uid="{7E20C09A-E76F-451A-9050-D25D5A8695C2}"/>
    <cellStyle name="Millares 4 5 4 2 2 7" xfId="7481" xr:uid="{E4A80F5D-D1CE-47F1-976D-7D7F55FD5EB7}"/>
    <cellStyle name="Millares 4 5 4 2 2 8" xfId="7903" xr:uid="{A04944B2-383A-4F14-8FF1-3F8BFACCC9E4}"/>
    <cellStyle name="Millares 4 5 4 2 3" xfId="1106" xr:uid="{00000000-0005-0000-0000-000016060000}"/>
    <cellStyle name="Millares 4 5 4 2 3 2" xfId="3182" xr:uid="{00000000-0005-0000-0000-000017060000}"/>
    <cellStyle name="Millares 4 5 4 2 3 2 2" xfId="6639" xr:uid="{05DCD232-83B4-4B1B-ABDB-9C0D1727DC24}"/>
    <cellStyle name="Millares 4 5 4 2 3 2 3" xfId="5929" xr:uid="{2ABBE92B-783A-45FC-946E-B9E15C7BF04B}"/>
    <cellStyle name="Millares 4 5 4 2 3 3" xfId="6284" xr:uid="{D337D1CF-E723-47A7-A39B-3C2E6490C8B7}"/>
    <cellStyle name="Millares 4 5 4 2 3 4" xfId="5574" xr:uid="{B5CC03ED-B081-4D88-B2A6-A3646B0CC68E}"/>
    <cellStyle name="Millares 4 5 4 2 4" xfId="2107" xr:uid="{00000000-0005-0000-0000-000018060000}"/>
    <cellStyle name="Millares 4 5 4 2 5" xfId="4579" xr:uid="{53822172-C6E9-45B5-8FFF-F085C8FD948C}"/>
    <cellStyle name="Millares 4 5 4 2 6" xfId="5002" xr:uid="{BED90653-B019-4C86-9722-010BAA257CA0}"/>
    <cellStyle name="Millares 4 5 4 2 7" xfId="6848" xr:uid="{4C268B7B-B9E4-48B7-9C2A-4C2E91C091AE}"/>
    <cellStyle name="Millares 4 5 4 2 8" xfId="7270" xr:uid="{0C3D4438-474D-4912-BACB-EDE48E946FD9}"/>
    <cellStyle name="Millares 4 5 4 2 9" xfId="7692" xr:uid="{AE398E76-2474-4D77-BF53-5483D2032AFC}"/>
    <cellStyle name="Millares 4 5 4 3" xfId="839" xr:uid="{00000000-0005-0000-0000-000019060000}"/>
    <cellStyle name="Millares 4 5 4 3 2" xfId="3419" xr:uid="{00000000-0005-0000-0000-00001A060000}"/>
    <cellStyle name="Millares 4 5 4 3 3" xfId="2344" xr:uid="{00000000-0005-0000-0000-00001B060000}"/>
    <cellStyle name="Millares 4 5 4 3 4" xfId="4653" xr:uid="{564770DE-5D82-4834-B98D-0854B68C7427}"/>
    <cellStyle name="Millares 4 5 4 3 5" xfId="5075" xr:uid="{1592B918-95FB-4D14-BD8B-B7C09A0BAB8E}"/>
    <cellStyle name="Millares 4 5 4 3 6" xfId="6921" xr:uid="{A52FCD50-24C9-4D88-9E58-0BC8A03D00D2}"/>
    <cellStyle name="Millares 4 5 4 3 7" xfId="7343" xr:uid="{E3AFAE1F-C87D-4E72-9669-2104EE68E61C}"/>
    <cellStyle name="Millares 4 5 4 3 8" xfId="7765" xr:uid="{E3A8903F-ACFF-4576-AB3B-872BE656B5D6}"/>
    <cellStyle name="Millares 4 5 4 4" xfId="966" xr:uid="{00000000-0005-0000-0000-00001C060000}"/>
    <cellStyle name="Millares 4 5 4 4 2" xfId="2880" xr:uid="{00000000-0005-0000-0000-00001D060000}"/>
    <cellStyle name="Millares 4 5 4 4 2 2" xfId="6501" xr:uid="{5B407151-50E8-4CCA-9A7D-895FA6288419}"/>
    <cellStyle name="Millares 4 5 4 4 2 3" xfId="5791" xr:uid="{A20BD92D-136E-4B2F-916F-38589B22FC74}"/>
    <cellStyle name="Millares 4 5 4 4 3" xfId="6146" xr:uid="{A163FA9C-7B17-4E6F-8939-B9B07D2B2079}"/>
    <cellStyle name="Millares 4 5 4 4 4" xfId="5436" xr:uid="{A441BCA0-1F6C-47CE-8BA8-43EB2539646E}"/>
    <cellStyle name="Millares 4 5 4 5" xfId="1789" xr:uid="{00000000-0005-0000-0000-00001E060000}"/>
    <cellStyle name="Millares 4 5 4 6" xfId="4441" xr:uid="{F9B38824-6A38-460F-9F54-9E8A6363FF5C}"/>
    <cellStyle name="Millares 4 5 4 7" xfId="4864" xr:uid="{4736CBBD-14CD-4D11-AFF1-22A59B41D5E4}"/>
    <cellStyle name="Millares 4 5 4 8" xfId="6710" xr:uid="{F1BA3248-2CB3-4FE2-AE62-0FC26CD776CB}"/>
    <cellStyle name="Millares 4 5 4 9" xfId="7132" xr:uid="{7F0653DD-C4A2-4CE5-BAC3-54B3056235BF}"/>
    <cellStyle name="Millares 4 5 5" xfId="449" xr:uid="{00000000-0005-0000-0000-00001F060000}"/>
    <cellStyle name="Millares 4 5 5 10" xfId="6728" xr:uid="{84C4817D-294D-49E7-A8D5-27D2B7CC0C07}"/>
    <cellStyle name="Millares 4 5 5 11" xfId="7150" xr:uid="{F70F3239-5D49-48FF-83BF-FC232182B08F}"/>
    <cellStyle name="Millares 4 5 5 12" xfId="7572" xr:uid="{E31AF1B6-2FA3-424D-9D78-450986C66158}"/>
    <cellStyle name="Millares 4 5 5 2" xfId="737" xr:uid="{00000000-0005-0000-0000-000020060000}"/>
    <cellStyle name="Millares 4 5 5 2 10" xfId="7193" xr:uid="{0424A05B-ABC5-4BCD-9EA0-F1062076E100}"/>
    <cellStyle name="Millares 4 5 5 2 11" xfId="7615" xr:uid="{8984A7F9-7E4A-48CD-97B6-CB6911CC5A64}"/>
    <cellStyle name="Millares 4 5 5 2 2" xfId="1027" xr:uid="{00000000-0005-0000-0000-000021060000}"/>
    <cellStyle name="Millares 4 5 5 2 2 2" xfId="3816" xr:uid="{00000000-0005-0000-0000-000022060000}"/>
    <cellStyle name="Millares 4 5 5 2 2 2 2" xfId="6562" xr:uid="{FC5C4434-F587-4F8E-B686-FD52FBA8BEAC}"/>
    <cellStyle name="Millares 4 5 5 2 2 2 3" xfId="5852" xr:uid="{F48EAAF1-D944-43FD-9414-A06E314FC57B}"/>
    <cellStyle name="Millares 4 5 5 2 2 3" xfId="4359" xr:uid="{00000000-0005-0000-0000-000023060000}"/>
    <cellStyle name="Millares 4 5 5 2 2 3 2" xfId="6207" xr:uid="{9FC45746-0C9E-4263-8F70-18576FE387D9}"/>
    <cellStyle name="Millares 4 5 5 2 2 4" xfId="4714" xr:uid="{CDE69AE3-353E-4212-BDB6-1ACB9509C3CE}"/>
    <cellStyle name="Millares 4 5 5 2 2 5" xfId="5136" xr:uid="{95047552-CA1A-4A85-95E8-891158016EC0}"/>
    <cellStyle name="Millares 4 5 5 2 2 6" xfId="5497" xr:uid="{192C5CB2-E260-4B26-9D5F-B472DC06CD91}"/>
    <cellStyle name="Millares 4 5 5 2 2 7" xfId="6982" xr:uid="{F56F2B15-B898-4CF3-BBAA-0233707D3C05}"/>
    <cellStyle name="Millares 4 5 5 2 2 8" xfId="7404" xr:uid="{9BBB8809-4A27-4FAD-9FD9-1EC8167FB0CB}"/>
    <cellStyle name="Millares 4 5 5 2 2 9" xfId="7826" xr:uid="{183C2F93-BA55-4838-B18D-18AE61E1CEEB}"/>
    <cellStyle name="Millares 4 5 5 2 3" xfId="2741" xr:uid="{00000000-0005-0000-0000-000024060000}"/>
    <cellStyle name="Millares 4 5 5 2 3 2" xfId="4217" xr:uid="{00000000-0005-0000-0000-000025060000}"/>
    <cellStyle name="Millares 4 5 5 2 3 2 2" xfId="6398" xr:uid="{8B7F277B-7E5C-4CA7-A7F0-AFC6E3BB8A0A}"/>
    <cellStyle name="Millares 4 5 5 2 3 3" xfId="5688" xr:uid="{00999844-EA81-4D44-8849-B4AC73D55652}"/>
    <cellStyle name="Millares 4 5 5 2 4" xfId="1629" xr:uid="{00000000-0005-0000-0000-000026060000}"/>
    <cellStyle name="Millares 4 5 5 2 4 2" xfId="6043" xr:uid="{F351CE30-8F99-421C-8363-35DC9FA7B73E}"/>
    <cellStyle name="Millares 4 5 5 2 5" xfId="4025" xr:uid="{00000000-0005-0000-0000-000027060000}"/>
    <cellStyle name="Millares 4 5 5 2 6" xfId="4502" xr:uid="{BFA4E414-3575-4F71-BF02-DC51BEB714D0}"/>
    <cellStyle name="Millares 4 5 5 2 7" xfId="4925" xr:uid="{CD13FF9C-057E-401B-8BF3-97CADD168079}"/>
    <cellStyle name="Millares 4 5 5 2 8" xfId="5333" xr:uid="{B0D7F06D-399A-4B37-BDD2-5C48474DDB67}"/>
    <cellStyle name="Millares 4 5 5 2 9" xfId="6771" xr:uid="{18325C5F-CF53-4E3B-B9A7-87C65B7A3A87}"/>
    <cellStyle name="Millares 4 5 5 3" xfId="984" xr:uid="{00000000-0005-0000-0000-000028060000}"/>
    <cellStyle name="Millares 4 5 5 3 2" xfId="3273" xr:uid="{00000000-0005-0000-0000-000029060000}"/>
    <cellStyle name="Millares 4 5 5 3 2 2" xfId="6519" xr:uid="{F8093371-4A11-4149-8152-68BD32884932}"/>
    <cellStyle name="Millares 4 5 5 3 2 3" xfId="5809" xr:uid="{12C14669-3A92-431E-9A45-4DF956E68E30}"/>
    <cellStyle name="Millares 4 5 5 3 3" xfId="4264" xr:uid="{00000000-0005-0000-0000-00002A060000}"/>
    <cellStyle name="Millares 4 5 5 3 3 2" xfId="6164" xr:uid="{25B143E4-99CE-45CD-8BD6-9CAA34071E60}"/>
    <cellStyle name="Millares 4 5 5 3 4" xfId="4671" xr:uid="{81A3C4E2-8B18-4A9D-8C7A-9D364056A097}"/>
    <cellStyle name="Millares 4 5 5 3 5" xfId="5093" xr:uid="{1A8E0E12-76CA-4C14-9F06-8B290B44AEBC}"/>
    <cellStyle name="Millares 4 5 5 3 6" xfId="5454" xr:uid="{E06EAFA1-A0C7-49BD-8FD1-F0243D1919DA}"/>
    <cellStyle name="Millares 4 5 5 3 7" xfId="6939" xr:uid="{1BB95499-3AAF-49B3-97B7-11E9B878D625}"/>
    <cellStyle name="Millares 4 5 5 3 8" xfId="7361" xr:uid="{CE0CCFE7-73E8-4733-A82D-B05737802C8F}"/>
    <cellStyle name="Millares 4 5 5 3 9" xfId="7783" xr:uid="{93DE53B6-1A7F-4E84-9FD6-DEA5E8B7CF38}"/>
    <cellStyle name="Millares 4 5 5 4" xfId="2198" xr:uid="{00000000-0005-0000-0000-00002B060000}"/>
    <cellStyle name="Millares 4 5 5 4 2" xfId="4122" xr:uid="{00000000-0005-0000-0000-00002C060000}"/>
    <cellStyle name="Millares 4 5 5 4 2 2" xfId="6334" xr:uid="{DDCEC195-80E0-4460-838D-7747D9058D82}"/>
    <cellStyle name="Millares 4 5 5 4 3" xfId="5624" xr:uid="{E8B19DC3-511F-4D3D-A425-5AB002447BE7}"/>
    <cellStyle name="Millares 4 5 5 5" xfId="1145" xr:uid="{00000000-0005-0000-0000-00002D060000}"/>
    <cellStyle name="Millares 4 5 5 5 2" xfId="5979" xr:uid="{63E6E844-AA4E-4A56-9F9A-BE5A3F43E319}"/>
    <cellStyle name="Millares 4 5 5 6" xfId="3930" xr:uid="{00000000-0005-0000-0000-00002E060000}"/>
    <cellStyle name="Millares 4 5 5 7" xfId="4459" xr:uid="{3DAB7BE8-C101-4488-BE55-A428BE99A1DC}"/>
    <cellStyle name="Millares 4 5 5 8" xfId="4882" xr:uid="{2403DDFF-3BE1-4AEA-B9A0-7B2F64ADB97A}"/>
    <cellStyle name="Millares 4 5 5 9" xfId="5269" xr:uid="{F20C4F4A-825D-4219-BAB8-16FBD45950DD}"/>
    <cellStyle name="Millares 4 5 6" xfId="492" xr:uid="{00000000-0005-0000-0000-00002F060000}"/>
    <cellStyle name="Millares 4 5 6 2" xfId="857" xr:uid="{00000000-0005-0000-0000-000030060000}"/>
    <cellStyle name="Millares 4 5 6 2 2" xfId="3569" xr:uid="{00000000-0005-0000-0000-000031060000}"/>
    <cellStyle name="Millares 4 5 6 2 3" xfId="2494" xr:uid="{00000000-0005-0000-0000-000032060000}"/>
    <cellStyle name="Millares 4 5 6 2 4" xfId="4751" xr:uid="{CE2567D7-DCF4-46C0-B479-4C10A82E862F}"/>
    <cellStyle name="Millares 4 5 6 2 5" xfId="5173" xr:uid="{8F61B86A-A343-4FCE-80F9-27A2EF521B80}"/>
    <cellStyle name="Millares 4 5 6 2 6" xfId="7019" xr:uid="{5C892507-E78C-4CEF-920E-9CC196E5DE0F}"/>
    <cellStyle name="Millares 4 5 6 2 7" xfId="7441" xr:uid="{0DB44269-853D-47DC-B86A-7293CBA1394F}"/>
    <cellStyle name="Millares 4 5 6 2 8" xfId="7863" xr:uid="{91F2BC16-20FF-429D-923A-8D57ABAF5B05}"/>
    <cellStyle name="Millares 4 5 6 3" xfId="1064" xr:uid="{00000000-0005-0000-0000-000033060000}"/>
    <cellStyle name="Millares 4 5 6 3 2" xfId="3042" xr:uid="{00000000-0005-0000-0000-000034060000}"/>
    <cellStyle name="Millares 4 5 6 3 2 2" xfId="6599" xr:uid="{198009F4-90F0-43A6-99F5-2ADF04D932E2}"/>
    <cellStyle name="Millares 4 5 6 3 2 3" xfId="5889" xr:uid="{A89AD0FC-D108-4299-AB07-8084B5DC9FD7}"/>
    <cellStyle name="Millares 4 5 6 3 3" xfId="6244" xr:uid="{F8F97D15-A54B-421F-B73A-0F4598695CDC}"/>
    <cellStyle name="Millares 4 5 6 3 4" xfId="5534" xr:uid="{9DEE6A37-2C25-47FB-BFE2-984D4425BA00}"/>
    <cellStyle name="Millares 4 5 6 4" xfId="1951" xr:uid="{00000000-0005-0000-0000-000035060000}"/>
    <cellStyle name="Millares 4 5 6 5" xfId="4539" xr:uid="{E3FCC938-85C9-4516-92EC-54B78D912320}"/>
    <cellStyle name="Millares 4 5 6 6" xfId="4962" xr:uid="{E05679A2-ECC7-4AC1-A335-F3B25036FABE}"/>
    <cellStyle name="Millares 4 5 6 7" xfId="6808" xr:uid="{E3152A5A-F5A3-41ED-A2BD-029602286875}"/>
    <cellStyle name="Millares 4 5 6 8" xfId="7230" xr:uid="{320BEAE9-D0FB-4FFA-BB4B-61A73AEE85FE}"/>
    <cellStyle name="Millares 4 5 6 9" xfId="7652" xr:uid="{49393018-85EF-4E68-A301-616A81F73A32}"/>
    <cellStyle name="Millares 4 5 7" xfId="801" xr:uid="{00000000-0005-0000-0000-000036060000}"/>
    <cellStyle name="Millares 4 5 7 10" xfId="7721" xr:uid="{FC19D249-AC82-46BD-B955-56DA5837B1F5}"/>
    <cellStyle name="Millares 4 5 7 2" xfId="3327" xr:uid="{00000000-0005-0000-0000-000037060000}"/>
    <cellStyle name="Millares 4 5 7 2 2" xfId="4300" xr:uid="{00000000-0005-0000-0000-000038060000}"/>
    <cellStyle name="Millares 4 5 7 3" xfId="2252" xr:uid="{00000000-0005-0000-0000-000039060000}"/>
    <cellStyle name="Millares 4 5 7 3 2" xfId="4158" xr:uid="{00000000-0005-0000-0000-00003A060000}"/>
    <cellStyle name="Millares 4 5 7 4" xfId="1199" xr:uid="{00000000-0005-0000-0000-00003B060000}"/>
    <cellStyle name="Millares 4 5 7 5" xfId="3966" xr:uid="{00000000-0005-0000-0000-00003C060000}"/>
    <cellStyle name="Millares 4 5 7 6" xfId="4609" xr:uid="{A76F473E-87B6-4A65-ADBE-FE2A55AF0CA8}"/>
    <cellStyle name="Millares 4 5 7 7" xfId="5031" xr:uid="{740722F4-4B9A-4365-B9F8-3B376D2878A2}"/>
    <cellStyle name="Millares 4 5 7 8" xfId="6877" xr:uid="{2EBAC85D-EBB9-4320-824F-FCEB4E21B8C0}"/>
    <cellStyle name="Millares 4 5 7 9" xfId="7299" xr:uid="{16BA261C-FD4B-43C6-BF4C-7FD94E4B8184}"/>
    <cellStyle name="Millares 4 5 8" xfId="914" xr:uid="{00000000-0005-0000-0000-00003D060000}"/>
    <cellStyle name="Millares 4 5 8 2" xfId="2788" xr:uid="{00000000-0005-0000-0000-00003E060000}"/>
    <cellStyle name="Millares 4 5 8 2 2" xfId="6457" xr:uid="{04F9F584-5B8F-4D4C-B0EC-7F89F7E5D2DB}"/>
    <cellStyle name="Millares 4 5 8 2 3" xfId="5747" xr:uid="{F62D962E-2F1F-4369-9588-5D11AFB92DA7}"/>
    <cellStyle name="Millares 4 5 8 3" xfId="6102" xr:uid="{F0E966FD-C5BA-44E6-B8FF-E357F6F1E342}"/>
    <cellStyle name="Millares 4 5 8 4" xfId="5392" xr:uid="{F8D861E6-C3E9-4BDE-BCFA-7661AB1E0256}"/>
    <cellStyle name="Millares 4 5 9" xfId="1697" xr:uid="{00000000-0005-0000-0000-00003F060000}"/>
    <cellStyle name="Millares 4 5 9 2" xfId="4063" xr:uid="{00000000-0005-0000-0000-000040060000}"/>
    <cellStyle name="Millares 4 6" xfId="81" xr:uid="{00000000-0005-0000-0000-000041060000}"/>
    <cellStyle name="Millares 4 6 10" xfId="4823" xr:uid="{A1F72645-5567-432D-875A-1D99220040F8}"/>
    <cellStyle name="Millares 4 6 11" xfId="6669" xr:uid="{B941EDF2-2B7D-447E-8059-6EBE3A459439}"/>
    <cellStyle name="Millares 4 6 12" xfId="7091" xr:uid="{C3CA3D48-0B70-4B3A-9EDE-2E22A314D942}"/>
    <cellStyle name="Millares 4 6 13" xfId="7513" xr:uid="{4C494A35-63D2-4E48-AB32-6AF42F6F946D}"/>
    <cellStyle name="Millares 4 6 2" xfId="192" xr:uid="{00000000-0005-0000-0000-000042060000}"/>
    <cellStyle name="Millares 4 6 2 10" xfId="6688" xr:uid="{3F59323F-A6D3-423C-9736-05F5EE84B524}"/>
    <cellStyle name="Millares 4 6 2 11" xfId="7110" xr:uid="{AB20B679-38C1-4700-AE3C-E2AE7BAA176D}"/>
    <cellStyle name="Millares 4 6 2 12" xfId="7532" xr:uid="{22BF56B1-A303-4978-9FB9-83471008ADA9}"/>
    <cellStyle name="Millares 4 6 2 2" xfId="470" xr:uid="{00000000-0005-0000-0000-000043060000}"/>
    <cellStyle name="Millares 4 6 2 2 10" xfId="6749" xr:uid="{C1B63B6E-A88B-4BEF-8C30-1512C8A9C583}"/>
    <cellStyle name="Millares 4 6 2 2 11" xfId="7171" xr:uid="{CF32E2F4-F990-4CCB-99E8-2D36FD4CE6C3}"/>
    <cellStyle name="Millares 4 6 2 2 12" xfId="7593" xr:uid="{611C9B4F-E25B-4F36-93F6-2C19A5B98E53}"/>
    <cellStyle name="Millares 4 6 2 2 2" xfId="758" xr:uid="{00000000-0005-0000-0000-000044060000}"/>
    <cellStyle name="Millares 4 6 2 2 2 10" xfId="7214" xr:uid="{E222197D-4B06-46A8-BA73-83AE9E4049E4}"/>
    <cellStyle name="Millares 4 6 2 2 2 11" xfId="7636" xr:uid="{C2F421F3-F663-4FE1-8435-24F2A7C51102}"/>
    <cellStyle name="Millares 4 6 2 2 2 2" xfId="1048" xr:uid="{00000000-0005-0000-0000-000045060000}"/>
    <cellStyle name="Millares 4 6 2 2 2 2 2" xfId="3837" xr:uid="{00000000-0005-0000-0000-000046060000}"/>
    <cellStyle name="Millares 4 6 2 2 2 2 2 2" xfId="6583" xr:uid="{B3FA4E56-9392-4B25-9386-63EC8968BFE1}"/>
    <cellStyle name="Millares 4 6 2 2 2 2 2 3" xfId="5873" xr:uid="{3FFFE0E4-4BF1-4073-B744-2A8F5660C53B}"/>
    <cellStyle name="Millares 4 6 2 2 2 2 3" xfId="4380" xr:uid="{00000000-0005-0000-0000-000047060000}"/>
    <cellStyle name="Millares 4 6 2 2 2 2 3 2" xfId="6228" xr:uid="{E73DD591-119F-4E1F-B155-88EDB2E28641}"/>
    <cellStyle name="Millares 4 6 2 2 2 2 4" xfId="4735" xr:uid="{B3C4C51D-7B77-4616-A349-39C901B981B5}"/>
    <cellStyle name="Millares 4 6 2 2 2 2 5" xfId="5157" xr:uid="{D0121927-CEA4-41DC-8400-C1F1C297B952}"/>
    <cellStyle name="Millares 4 6 2 2 2 2 6" xfId="5518" xr:uid="{17AF260A-DFC2-4C2C-A9EC-87B3FECFA9E1}"/>
    <cellStyle name="Millares 4 6 2 2 2 2 7" xfId="7003" xr:uid="{3A8E46AF-6E04-4DBA-9A20-F7F2D5C94636}"/>
    <cellStyle name="Millares 4 6 2 2 2 2 8" xfId="7425" xr:uid="{FCB3857E-2CE9-4540-B507-2DA7D619A0A1}"/>
    <cellStyle name="Millares 4 6 2 2 2 2 9" xfId="7847" xr:uid="{568E4C41-55DB-439B-9838-1D532429C88C}"/>
    <cellStyle name="Millares 4 6 2 2 2 3" xfId="2762" xr:uid="{00000000-0005-0000-0000-000048060000}"/>
    <cellStyle name="Millares 4 6 2 2 2 3 2" xfId="4238" xr:uid="{00000000-0005-0000-0000-000049060000}"/>
    <cellStyle name="Millares 4 6 2 2 2 3 2 2" xfId="6419" xr:uid="{F048AFD9-8418-4252-8367-20EFC8FB9EAE}"/>
    <cellStyle name="Millares 4 6 2 2 2 3 3" xfId="5709" xr:uid="{D5D2D1F7-4FE2-4172-BA66-7C08E4D119A1}"/>
    <cellStyle name="Millares 4 6 2 2 2 4" xfId="1650" xr:uid="{00000000-0005-0000-0000-00004A060000}"/>
    <cellStyle name="Millares 4 6 2 2 2 4 2" xfId="6064" xr:uid="{7A46D9F0-CA59-431F-884A-E4FBAAF67344}"/>
    <cellStyle name="Millares 4 6 2 2 2 5" xfId="4046" xr:uid="{00000000-0005-0000-0000-00004B060000}"/>
    <cellStyle name="Millares 4 6 2 2 2 6" xfId="4523" xr:uid="{443E6945-6741-4ABF-9EDD-D249044FFDFE}"/>
    <cellStyle name="Millares 4 6 2 2 2 7" xfId="4946" xr:uid="{422D5315-9DEC-4CC5-9909-5C822E86492D}"/>
    <cellStyle name="Millares 4 6 2 2 2 8" xfId="5354" xr:uid="{5CDCC603-CC32-466F-BD08-E482D49C5E25}"/>
    <cellStyle name="Millares 4 6 2 2 2 9" xfId="6792" xr:uid="{DD5D1FA8-AC9B-4FD6-8828-3F0AB739F88E}"/>
    <cellStyle name="Millares 4 6 2 2 3" xfId="1005" xr:uid="{00000000-0005-0000-0000-00004C060000}"/>
    <cellStyle name="Millares 4 6 2 2 3 2" xfId="3294" xr:uid="{00000000-0005-0000-0000-00004D060000}"/>
    <cellStyle name="Millares 4 6 2 2 3 2 2" xfId="6540" xr:uid="{9D447803-64B3-43E6-8295-7CCB4A888706}"/>
    <cellStyle name="Millares 4 6 2 2 3 2 3" xfId="5830" xr:uid="{B4E91ED0-947A-40E6-8AA0-2FB2281EEE3D}"/>
    <cellStyle name="Millares 4 6 2 2 3 3" xfId="4285" xr:uid="{00000000-0005-0000-0000-00004E060000}"/>
    <cellStyle name="Millares 4 6 2 2 3 3 2" xfId="6185" xr:uid="{6F61CD70-19B7-4F67-8BA6-61FE6050074E}"/>
    <cellStyle name="Millares 4 6 2 2 3 4" xfId="4692" xr:uid="{F4F1A4C0-1263-4CB7-86FE-1E14BA1F953C}"/>
    <cellStyle name="Millares 4 6 2 2 3 5" xfId="5114" xr:uid="{92722A46-6BB1-452E-9DE5-29943DF36BB0}"/>
    <cellStyle name="Millares 4 6 2 2 3 6" xfId="5475" xr:uid="{E513BDEE-E641-4C09-B17D-2EF7431063FC}"/>
    <cellStyle name="Millares 4 6 2 2 3 7" xfId="6960" xr:uid="{2A34179B-376B-45A6-BB7F-85C570FAFA56}"/>
    <cellStyle name="Millares 4 6 2 2 3 8" xfId="7382" xr:uid="{06E766FA-07C1-40F6-B082-C055C691A819}"/>
    <cellStyle name="Millares 4 6 2 2 3 9" xfId="7804" xr:uid="{694E77EC-39CC-4F24-B9F4-643185AFEB87}"/>
    <cellStyle name="Millares 4 6 2 2 4" xfId="2219" xr:uid="{00000000-0005-0000-0000-00004F060000}"/>
    <cellStyle name="Millares 4 6 2 2 4 2" xfId="4143" xr:uid="{00000000-0005-0000-0000-000050060000}"/>
    <cellStyle name="Millares 4 6 2 2 4 2 2" xfId="6355" xr:uid="{15C8D7CB-A25F-4AE8-B695-45F5F0D1AA36}"/>
    <cellStyle name="Millares 4 6 2 2 4 3" xfId="5645" xr:uid="{6B3C4374-4EB5-4B92-AD35-CAE1B54B3CDC}"/>
    <cellStyle name="Millares 4 6 2 2 5" xfId="1166" xr:uid="{00000000-0005-0000-0000-000051060000}"/>
    <cellStyle name="Millares 4 6 2 2 5 2" xfId="6000" xr:uid="{2E891159-A8B7-41DF-8C05-B5728D6F54C4}"/>
    <cellStyle name="Millares 4 6 2 2 6" xfId="3951" xr:uid="{00000000-0005-0000-0000-000052060000}"/>
    <cellStyle name="Millares 4 6 2 2 7" xfId="4480" xr:uid="{BC5A2AE8-8281-440E-AA91-2F6C7C30C8CD}"/>
    <cellStyle name="Millares 4 6 2 2 8" xfId="4903" xr:uid="{33303B48-C776-465E-B22A-59D9E062587E}"/>
    <cellStyle name="Millares 4 6 2 2 9" xfId="5290" xr:uid="{B16FEBF2-41A9-48E2-AA37-C4AEC9BF8AB8}"/>
    <cellStyle name="Millares 4 6 2 3" xfId="582" xr:uid="{00000000-0005-0000-0000-000053060000}"/>
    <cellStyle name="Millares 4 6 2 3 10" xfId="7674" xr:uid="{511EED98-92C0-4C3B-85EA-D421B906CAF5}"/>
    <cellStyle name="Millares 4 6 2 3 2" xfId="778" xr:uid="{00000000-0005-0000-0000-000054060000}"/>
    <cellStyle name="Millares 4 6 2 3 2 10" xfId="7463" xr:uid="{5BBA116F-F091-4554-9402-4134CE6D3F7C}"/>
    <cellStyle name="Millares 4 6 2 3 2 11" xfId="7885" xr:uid="{1406707B-DC87-4F26-B729-C26822FE66CF}"/>
    <cellStyle name="Millares 4 6 2 3 2 2" xfId="3659" xr:uid="{00000000-0005-0000-0000-000055060000}"/>
    <cellStyle name="Millares 4 6 2 3 2 2 2" xfId="4341" xr:uid="{00000000-0005-0000-0000-000056060000}"/>
    <cellStyle name="Millares 4 6 2 3 2 2 2 2" xfId="6439" xr:uid="{9F4C5206-A8CC-483E-8752-333826501F9A}"/>
    <cellStyle name="Millares 4 6 2 3 2 2 3" xfId="5729" xr:uid="{4114E456-73FD-4D65-8E87-1A010666E376}"/>
    <cellStyle name="Millares 4 6 2 3 2 3" xfId="2584" xr:uid="{00000000-0005-0000-0000-000057060000}"/>
    <cellStyle name="Millares 4 6 2 3 2 3 2" xfId="4199" xr:uid="{00000000-0005-0000-0000-000058060000}"/>
    <cellStyle name="Millares 4 6 2 3 2 3 3" xfId="6084" xr:uid="{7A932429-87DC-4B2F-84F5-6EA6D8E74E53}"/>
    <cellStyle name="Millares 4 6 2 3 2 4" xfId="1494" xr:uid="{00000000-0005-0000-0000-000059060000}"/>
    <cellStyle name="Millares 4 6 2 3 2 5" xfId="4007" xr:uid="{00000000-0005-0000-0000-00005A060000}"/>
    <cellStyle name="Millares 4 6 2 3 2 6" xfId="4773" xr:uid="{F6A8A208-EDE8-40E9-AF71-F72ACAABD8D8}"/>
    <cellStyle name="Millares 4 6 2 3 2 7" xfId="5195" xr:uid="{E8DF0E7C-A496-4C7C-829B-EC77F69FDB91}"/>
    <cellStyle name="Millares 4 6 2 3 2 8" xfId="5374" xr:uid="{52526379-9BBC-48C6-AE5F-3F6E622DAEA0}"/>
    <cellStyle name="Millares 4 6 2 3 2 9" xfId="7041" xr:uid="{8166E0EA-19F8-4666-B53C-E7AF6E4A41A3}"/>
    <cellStyle name="Millares 4 6 2 3 3" xfId="878" xr:uid="{00000000-0005-0000-0000-00005B060000}"/>
    <cellStyle name="Millares 4 6 2 3 4" xfId="1087" xr:uid="{00000000-0005-0000-0000-00005C060000}"/>
    <cellStyle name="Millares 4 6 2 3 4 2" xfId="2041" xr:uid="{00000000-0005-0000-0000-00005D060000}"/>
    <cellStyle name="Millares 4 6 2 3 4 2 2" xfId="6621" xr:uid="{C010EB2B-A485-45F8-A743-037D94B48D15}"/>
    <cellStyle name="Millares 4 6 2 3 4 2 3" xfId="5911" xr:uid="{57C70DE3-D166-4190-9869-8245FB6EE814}"/>
    <cellStyle name="Millares 4 6 2 3 4 3" xfId="4104" xr:uid="{00000000-0005-0000-0000-00005E060000}"/>
    <cellStyle name="Millares 4 6 2 3 4 3 2" xfId="6266" xr:uid="{616DF3F1-AB12-4CF5-8047-AD0CC406FE39}"/>
    <cellStyle name="Millares 4 6 2 3 4 4" xfId="5556" xr:uid="{CDFBFC7A-D2E3-4CA7-8DC3-E24FCC653C19}"/>
    <cellStyle name="Millares 4 6 2 3 5" xfId="4561" xr:uid="{E040121B-424D-4856-87AA-E65E385C01EA}"/>
    <cellStyle name="Millares 4 6 2 3 5 2" xfId="6375" xr:uid="{6C6828DA-96F8-4D4B-82FD-84DC5FDAADBE}"/>
    <cellStyle name="Millares 4 6 2 3 5 3" xfId="5665" xr:uid="{24ECD31A-4ABD-4A78-8008-EED38398AE7D}"/>
    <cellStyle name="Millares 4 6 2 3 6" xfId="4984" xr:uid="{5E4C5CDA-050D-41FD-9802-229580B6829C}"/>
    <cellStyle name="Millares 4 6 2 3 6 2" xfId="6020" xr:uid="{953E61F6-4A7F-48CC-8EBE-1BCBD331798A}"/>
    <cellStyle name="Millares 4 6 2 3 7" xfId="5310" xr:uid="{E3A5D3DC-A1C4-407C-8594-124FC7624976}"/>
    <cellStyle name="Millares 4 6 2 3 8" xfId="6830" xr:uid="{02ED501F-7D1A-4D85-9D41-D9B5ABA3E6AD}"/>
    <cellStyle name="Millares 4 6 2 3 9" xfId="7252" xr:uid="{B44E4B68-CF46-4E0C-BDA6-6CF1096304C9}"/>
    <cellStyle name="Millares 4 6 2 4" xfId="822" xr:uid="{00000000-0005-0000-0000-00005F060000}"/>
    <cellStyle name="Millares 4 6 2 4 10" xfId="7743" xr:uid="{8B2FABA2-692B-4221-AB96-6D0F9A7FD55E}"/>
    <cellStyle name="Millares 4 6 2 4 2" xfId="3509" xr:uid="{00000000-0005-0000-0000-000060060000}"/>
    <cellStyle name="Millares 4 6 2 4 2 2" xfId="4321" xr:uid="{00000000-0005-0000-0000-000061060000}"/>
    <cellStyle name="Millares 4 6 2 4 3" xfId="2434" xr:uid="{00000000-0005-0000-0000-000062060000}"/>
    <cellStyle name="Millares 4 6 2 4 3 2" xfId="4179" xr:uid="{00000000-0005-0000-0000-000063060000}"/>
    <cellStyle name="Millares 4 6 2 4 4" xfId="1364" xr:uid="{00000000-0005-0000-0000-000064060000}"/>
    <cellStyle name="Millares 4 6 2 4 5" xfId="3987" xr:uid="{00000000-0005-0000-0000-000065060000}"/>
    <cellStyle name="Millares 4 6 2 4 6" xfId="4631" xr:uid="{8E58558D-83C1-4D3B-AD95-61B3A1E79FB3}"/>
    <cellStyle name="Millares 4 6 2 4 7" xfId="5053" xr:uid="{C6DA2B83-9E12-4FB0-B521-FE5D6E1756A1}"/>
    <cellStyle name="Millares 4 6 2 4 8" xfId="6899" xr:uid="{5E5EE140-883C-4C99-A249-F73FEF76C915}"/>
    <cellStyle name="Millares 4 6 2 4 9" xfId="7321" xr:uid="{31D56046-F22D-445F-9972-78500947B6E3}"/>
    <cellStyle name="Millares 4 6 2 5" xfId="940" xr:uid="{00000000-0005-0000-0000-000066060000}"/>
    <cellStyle name="Millares 4 6 2 5 2" xfId="2970" xr:uid="{00000000-0005-0000-0000-000067060000}"/>
    <cellStyle name="Millares 4 6 2 5 2 2" xfId="6479" xr:uid="{FAD969C7-6E6F-48DB-998B-E54EBD781122}"/>
    <cellStyle name="Millares 4 6 2 5 2 3" xfId="5769" xr:uid="{0A02A606-F95A-4B57-A6C0-4381E0A60176}"/>
    <cellStyle name="Millares 4 6 2 5 3" xfId="6124" xr:uid="{0A34C9D2-FBF6-403D-8259-968DB6D48A41}"/>
    <cellStyle name="Millares 4 6 2 5 4" xfId="5414" xr:uid="{2053D333-C735-47B7-BCC9-E92BD171F36B}"/>
    <cellStyle name="Millares 4 6 2 6" xfId="1879" xr:uid="{00000000-0005-0000-0000-000068060000}"/>
    <cellStyle name="Millares 4 6 2 6 2" xfId="4084" xr:uid="{00000000-0005-0000-0000-000069060000}"/>
    <cellStyle name="Millares 4 6 2 6 2 2" xfId="6316" xr:uid="{40BDFBE0-BFA8-463A-816F-1837D66FBB03}"/>
    <cellStyle name="Millares 4 6 2 6 3" xfId="5606" xr:uid="{8B556892-C3D4-4FC7-A517-DB41E28D82D4}"/>
    <cellStyle name="Millares 4 6 2 7" xfId="4419" xr:uid="{D9425697-3D80-4E9B-8D0F-71BF4626291F}"/>
    <cellStyle name="Millares 4 6 2 7 2" xfId="5961" xr:uid="{62AEBE34-DE3B-467B-8689-110722F98DEB}"/>
    <cellStyle name="Millares 4 6 2 8" xfId="4842" xr:uid="{6CDB8AC7-EEB2-4C53-AEFA-9F2AB4D1F6ED}"/>
    <cellStyle name="Millares 4 6 2 9" xfId="5251" xr:uid="{97529C32-8EB5-434D-AFEB-38AADC8EB9AE}"/>
    <cellStyle name="Millares 4 6 3" xfId="358" xr:uid="{00000000-0005-0000-0000-00006A060000}"/>
    <cellStyle name="Millares 4 6 3 10" xfId="7557" xr:uid="{499643EE-84AB-46DF-8FAB-528D901EFDA2}"/>
    <cellStyle name="Millares 4 6 3 2" xfId="641" xr:uid="{00000000-0005-0000-0000-00006B060000}"/>
    <cellStyle name="Millares 4 6 3 2 2" xfId="896" xr:uid="{00000000-0005-0000-0000-00006C060000}"/>
    <cellStyle name="Millares 4 6 3 2 2 2" xfId="3728" xr:uid="{00000000-0005-0000-0000-00006D060000}"/>
    <cellStyle name="Millares 4 6 3 2 2 3" xfId="2653" xr:uid="{00000000-0005-0000-0000-00006E060000}"/>
    <cellStyle name="Millares 4 6 3 2 2 4" xfId="4794" xr:uid="{99A690DF-8796-4C97-836C-8652D627A074}"/>
    <cellStyle name="Millares 4 6 3 2 2 5" xfId="5216" xr:uid="{91F64445-46CC-41C3-96C9-BC9A353E46C0}"/>
    <cellStyle name="Millares 4 6 3 2 2 6" xfId="7062" xr:uid="{AAB6FBE6-4A03-4AC6-8471-741D81F5F50B}"/>
    <cellStyle name="Millares 4 6 3 2 2 7" xfId="7484" xr:uid="{7613D54C-F71F-45C0-8AAB-A0923447681E}"/>
    <cellStyle name="Millares 4 6 3 2 2 8" xfId="7906" xr:uid="{DC90A3F7-88BA-45C5-8F19-036C71EBC08B}"/>
    <cellStyle name="Millares 4 6 3 2 3" xfId="1109" xr:uid="{00000000-0005-0000-0000-00006F060000}"/>
    <cellStyle name="Millares 4 6 3 2 3 2" xfId="3185" xr:uid="{00000000-0005-0000-0000-000070060000}"/>
    <cellStyle name="Millares 4 6 3 2 3 2 2" xfId="6642" xr:uid="{127B6EED-094A-4996-B1F8-46AF85E936BD}"/>
    <cellStyle name="Millares 4 6 3 2 3 2 3" xfId="5932" xr:uid="{21792B53-0BC5-4065-AFF0-1C5749624B6A}"/>
    <cellStyle name="Millares 4 6 3 2 3 3" xfId="6287" xr:uid="{B4582565-C290-4A81-8ADC-1C2A6C55BC15}"/>
    <cellStyle name="Millares 4 6 3 2 3 4" xfId="5577" xr:uid="{977E2C92-EE39-4A07-9D83-33C230C269E2}"/>
    <cellStyle name="Millares 4 6 3 2 4" xfId="2110" xr:uid="{00000000-0005-0000-0000-000071060000}"/>
    <cellStyle name="Millares 4 6 3 2 5" xfId="4582" xr:uid="{FC6E25B9-A2CF-440F-B68F-BB37283DB9CD}"/>
    <cellStyle name="Millares 4 6 3 2 6" xfId="5005" xr:uid="{9A68DAFC-66F5-4B46-AA20-1A39A29A295E}"/>
    <cellStyle name="Millares 4 6 3 2 7" xfId="6851" xr:uid="{3399CBE7-CADD-4BCA-BAFF-71CE4ACF67E0}"/>
    <cellStyle name="Millares 4 6 3 2 8" xfId="7273" xr:uid="{D24423D2-06FB-4571-987E-8FEB6967FA78}"/>
    <cellStyle name="Millares 4 6 3 2 9" xfId="7695" xr:uid="{2925599B-45D3-4559-BC31-B24D93687B68}"/>
    <cellStyle name="Millares 4 6 3 3" xfId="842" xr:uid="{00000000-0005-0000-0000-000072060000}"/>
    <cellStyle name="Millares 4 6 3 3 2" xfId="3452" xr:uid="{00000000-0005-0000-0000-000073060000}"/>
    <cellStyle name="Millares 4 6 3 3 3" xfId="2377" xr:uid="{00000000-0005-0000-0000-000074060000}"/>
    <cellStyle name="Millares 4 6 3 3 4" xfId="4656" xr:uid="{84A556BF-9315-4AC5-87E9-88F02A3599A9}"/>
    <cellStyle name="Millares 4 6 3 3 5" xfId="5078" xr:uid="{68D5811C-4CE4-4B00-A6A1-CD025DCA6E41}"/>
    <cellStyle name="Millares 4 6 3 3 6" xfId="6924" xr:uid="{A926903D-D835-4023-918D-E5C5C86147FB}"/>
    <cellStyle name="Millares 4 6 3 3 7" xfId="7346" xr:uid="{E062E56D-5FDE-4D66-8224-5BEDA4D0E26E}"/>
    <cellStyle name="Millares 4 6 3 3 8" xfId="7768" xr:uid="{9DD738CC-E464-4E80-BF5B-65C1D64188A9}"/>
    <cellStyle name="Millares 4 6 3 4" xfId="969" xr:uid="{00000000-0005-0000-0000-000075060000}"/>
    <cellStyle name="Millares 4 6 3 4 2" xfId="2913" xr:uid="{00000000-0005-0000-0000-000076060000}"/>
    <cellStyle name="Millares 4 6 3 4 2 2" xfId="6504" xr:uid="{6004AC78-E281-43B5-AAA1-4913A3C8364A}"/>
    <cellStyle name="Millares 4 6 3 4 2 3" xfId="5794" xr:uid="{C1888CF7-AD7C-4485-A08A-98A7E8B11808}"/>
    <cellStyle name="Millares 4 6 3 4 3" xfId="6149" xr:uid="{EFA220EB-3042-4CE0-9C90-536380B5B135}"/>
    <cellStyle name="Millares 4 6 3 4 4" xfId="5439" xr:uid="{A81330A4-A072-4D2A-A55D-2C5BEAAF6BAE}"/>
    <cellStyle name="Millares 4 6 3 5" xfId="1822" xr:uid="{00000000-0005-0000-0000-000077060000}"/>
    <cellStyle name="Millares 4 6 3 6" xfId="4444" xr:uid="{7E860B89-AA91-4BC0-BE36-15DD1CF20CAD}"/>
    <cellStyle name="Millares 4 6 3 7" xfId="4867" xr:uid="{3D6E3819-D4B0-4049-854D-FE7ABA1AC34C}"/>
    <cellStyle name="Millares 4 6 3 8" xfId="6713" xr:uid="{32C4F018-4A27-4F98-8BA9-56830307DAC3}"/>
    <cellStyle name="Millares 4 6 3 9" xfId="7135" xr:uid="{112517D6-284E-4373-978B-9D5F135E5DE6}"/>
    <cellStyle name="Millares 4 6 4" xfId="452" xr:uid="{00000000-0005-0000-0000-000078060000}"/>
    <cellStyle name="Millares 4 6 4 10" xfId="6731" xr:uid="{CAA8DD59-2088-44B9-888F-78356CC0BA0C}"/>
    <cellStyle name="Millares 4 6 4 11" xfId="7153" xr:uid="{EC0F79E5-67F1-4495-9E29-4EA82C6A586E}"/>
    <cellStyle name="Millares 4 6 4 12" xfId="7575" xr:uid="{3F739E37-951E-4330-8A52-810BB5A80359}"/>
    <cellStyle name="Millares 4 6 4 2" xfId="740" xr:uid="{00000000-0005-0000-0000-000079060000}"/>
    <cellStyle name="Millares 4 6 4 2 10" xfId="7196" xr:uid="{30EE6AEE-5EF4-4712-816C-A8274DECD9E0}"/>
    <cellStyle name="Millares 4 6 4 2 11" xfId="7618" xr:uid="{CF5A02E8-D06F-4143-8AF9-B82868B24D8C}"/>
    <cellStyle name="Millares 4 6 4 2 2" xfId="1030" xr:uid="{00000000-0005-0000-0000-00007A060000}"/>
    <cellStyle name="Millares 4 6 4 2 2 2" xfId="3819" xr:uid="{00000000-0005-0000-0000-00007B060000}"/>
    <cellStyle name="Millares 4 6 4 2 2 2 2" xfId="6565" xr:uid="{F6B70A36-17CF-442F-8C91-5A35E1DD5F1B}"/>
    <cellStyle name="Millares 4 6 4 2 2 2 3" xfId="5855" xr:uid="{A28DE02D-C2DE-4C66-BDF9-ED9A7C5FFF20}"/>
    <cellStyle name="Millares 4 6 4 2 2 3" xfId="4362" xr:uid="{00000000-0005-0000-0000-00007C060000}"/>
    <cellStyle name="Millares 4 6 4 2 2 3 2" xfId="6210" xr:uid="{6B81F5E5-A3BA-4683-B661-B56440111CDD}"/>
    <cellStyle name="Millares 4 6 4 2 2 4" xfId="4717" xr:uid="{EB735C8D-F9CB-4864-B27C-6FE0075B4F4B}"/>
    <cellStyle name="Millares 4 6 4 2 2 5" xfId="5139" xr:uid="{44B08CA2-2B98-4574-B84E-1350C4DFF877}"/>
    <cellStyle name="Millares 4 6 4 2 2 6" xfId="5500" xr:uid="{D6E8994C-CD84-4835-B802-C016D24C0BD8}"/>
    <cellStyle name="Millares 4 6 4 2 2 7" xfId="6985" xr:uid="{13E63ABB-540E-4701-969E-70E218644DAA}"/>
    <cellStyle name="Millares 4 6 4 2 2 8" xfId="7407" xr:uid="{ABC69E43-A6B9-4B37-8517-9B6BA60B442B}"/>
    <cellStyle name="Millares 4 6 4 2 2 9" xfId="7829" xr:uid="{BEF64004-AB66-4335-8412-7F2946C199C6}"/>
    <cellStyle name="Millares 4 6 4 2 3" xfId="2744" xr:uid="{00000000-0005-0000-0000-00007D060000}"/>
    <cellStyle name="Millares 4 6 4 2 3 2" xfId="4220" xr:uid="{00000000-0005-0000-0000-00007E060000}"/>
    <cellStyle name="Millares 4 6 4 2 3 2 2" xfId="6401" xr:uid="{E637ABDF-B47E-4894-81D6-E7602739EDCB}"/>
    <cellStyle name="Millares 4 6 4 2 3 3" xfId="5691" xr:uid="{01CE979F-E79F-4735-A205-6CB73043876F}"/>
    <cellStyle name="Millares 4 6 4 2 4" xfId="1632" xr:uid="{00000000-0005-0000-0000-00007F060000}"/>
    <cellStyle name="Millares 4 6 4 2 4 2" xfId="6046" xr:uid="{45D6BBFD-BB62-4B7C-A191-D8733CDF31EC}"/>
    <cellStyle name="Millares 4 6 4 2 5" xfId="4028" xr:uid="{00000000-0005-0000-0000-000080060000}"/>
    <cellStyle name="Millares 4 6 4 2 6" xfId="4505" xr:uid="{82C1F175-6F1A-446A-BEC9-4B30F8525065}"/>
    <cellStyle name="Millares 4 6 4 2 7" xfId="4928" xr:uid="{B1C61B71-C306-45B2-92D3-1308B92888D1}"/>
    <cellStyle name="Millares 4 6 4 2 8" xfId="5336" xr:uid="{4FFA9676-D094-442E-A625-474159D64C3D}"/>
    <cellStyle name="Millares 4 6 4 2 9" xfId="6774" xr:uid="{43647785-F80D-45FC-992D-DB5E1204CC58}"/>
    <cellStyle name="Millares 4 6 4 3" xfId="987" xr:uid="{00000000-0005-0000-0000-000081060000}"/>
    <cellStyle name="Millares 4 6 4 3 2" xfId="3276" xr:uid="{00000000-0005-0000-0000-000082060000}"/>
    <cellStyle name="Millares 4 6 4 3 2 2" xfId="6522" xr:uid="{1F7C63E8-3B53-4ECC-8315-FF1A2541D45C}"/>
    <cellStyle name="Millares 4 6 4 3 2 3" xfId="5812" xr:uid="{B92F8AB7-72C5-4409-A632-139D93F950FC}"/>
    <cellStyle name="Millares 4 6 4 3 3" xfId="4267" xr:uid="{00000000-0005-0000-0000-000083060000}"/>
    <cellStyle name="Millares 4 6 4 3 3 2" xfId="6167" xr:uid="{41407BA0-3425-48CC-BC32-A3872241AF1C}"/>
    <cellStyle name="Millares 4 6 4 3 4" xfId="4674" xr:uid="{552A9F07-973E-4CB5-9B16-B9B39588DF5A}"/>
    <cellStyle name="Millares 4 6 4 3 5" xfId="5096" xr:uid="{D85837CF-0520-40AA-AB50-7E0295AC6CEB}"/>
    <cellStyle name="Millares 4 6 4 3 6" xfId="5457" xr:uid="{0584FD85-7430-4FE9-83BE-3CDFAF20454D}"/>
    <cellStyle name="Millares 4 6 4 3 7" xfId="6942" xr:uid="{B511EE8A-C5F5-40FF-B4FB-81D55B111806}"/>
    <cellStyle name="Millares 4 6 4 3 8" xfId="7364" xr:uid="{3DA4785F-2AAF-4BEF-9B2B-CB28E5835FAF}"/>
    <cellStyle name="Millares 4 6 4 3 9" xfId="7786" xr:uid="{63BC629A-1704-4832-BE75-2B6EA5AFDC18}"/>
    <cellStyle name="Millares 4 6 4 4" xfId="2201" xr:uid="{00000000-0005-0000-0000-000084060000}"/>
    <cellStyle name="Millares 4 6 4 4 2" xfId="4125" xr:uid="{00000000-0005-0000-0000-000085060000}"/>
    <cellStyle name="Millares 4 6 4 4 2 2" xfId="6337" xr:uid="{97958934-F48A-43A6-833C-B62327DEBB41}"/>
    <cellStyle name="Millares 4 6 4 4 3" xfId="5627" xr:uid="{840E68FC-C341-4D64-8E32-53F6B5FCD268}"/>
    <cellStyle name="Millares 4 6 4 5" xfId="1148" xr:uid="{00000000-0005-0000-0000-000086060000}"/>
    <cellStyle name="Millares 4 6 4 5 2" xfId="5982" xr:uid="{577BDBD3-7D86-45C5-8FEC-5F80C40A00F8}"/>
    <cellStyle name="Millares 4 6 4 6" xfId="3933" xr:uid="{00000000-0005-0000-0000-000087060000}"/>
    <cellStyle name="Millares 4 6 4 7" xfId="4462" xr:uid="{B6928121-A047-40C4-BE37-708BB7E4709A}"/>
    <cellStyle name="Millares 4 6 4 8" xfId="4885" xr:uid="{67C7A313-4ACD-4487-A6C6-77C72C4CEC05}"/>
    <cellStyle name="Millares 4 6 4 9" xfId="5272" xr:uid="{5D983B5F-F9C2-4760-9332-CF5889A4646E}"/>
    <cellStyle name="Millares 4 6 5" xfId="525" xr:uid="{00000000-0005-0000-0000-000088060000}"/>
    <cellStyle name="Millares 4 6 5 2" xfId="860" xr:uid="{00000000-0005-0000-0000-000089060000}"/>
    <cellStyle name="Millares 4 6 5 2 2" xfId="3602" xr:uid="{00000000-0005-0000-0000-00008A060000}"/>
    <cellStyle name="Millares 4 6 5 2 3" xfId="2527" xr:uid="{00000000-0005-0000-0000-00008B060000}"/>
    <cellStyle name="Millares 4 6 5 2 4" xfId="4754" xr:uid="{5AFC1C9A-8743-4D6A-82FA-E405C0D06B77}"/>
    <cellStyle name="Millares 4 6 5 2 5" xfId="5176" xr:uid="{3B862D48-6C1F-4C5D-800E-C307DBF76417}"/>
    <cellStyle name="Millares 4 6 5 2 6" xfId="7022" xr:uid="{A7FCB62C-D847-496F-AC60-49AA4DBD4AE1}"/>
    <cellStyle name="Millares 4 6 5 2 7" xfId="7444" xr:uid="{2254FD3E-100F-471C-96B6-C9843341EC3C}"/>
    <cellStyle name="Millares 4 6 5 2 8" xfId="7866" xr:uid="{14FC4B9B-9826-408E-9BD5-F7C6EDEC2A9D}"/>
    <cellStyle name="Millares 4 6 5 3" xfId="1067" xr:uid="{00000000-0005-0000-0000-00008C060000}"/>
    <cellStyle name="Millares 4 6 5 3 2" xfId="3075" xr:uid="{00000000-0005-0000-0000-00008D060000}"/>
    <cellStyle name="Millares 4 6 5 3 2 2" xfId="6602" xr:uid="{AF8448BA-3B42-42CE-98CA-8F3062C8DA31}"/>
    <cellStyle name="Millares 4 6 5 3 2 3" xfId="5892" xr:uid="{EC6A40A4-258A-444F-86FB-A779E8D9F08B}"/>
    <cellStyle name="Millares 4 6 5 3 3" xfId="6247" xr:uid="{02DDF931-7117-464E-9E41-052D45EBA445}"/>
    <cellStyle name="Millares 4 6 5 3 4" xfId="5537" xr:uid="{47474F2F-E12D-4CE3-988F-F9E64B9E4A16}"/>
    <cellStyle name="Millares 4 6 5 4" xfId="1984" xr:uid="{00000000-0005-0000-0000-00008E060000}"/>
    <cellStyle name="Millares 4 6 5 5" xfId="4542" xr:uid="{2BE06E62-FB16-4FB7-9A00-22A9D17B094C}"/>
    <cellStyle name="Millares 4 6 5 6" xfId="4965" xr:uid="{BD7D6710-6B72-47DE-A6DC-8133F89BAADD}"/>
    <cellStyle name="Millares 4 6 5 7" xfId="6811" xr:uid="{A09C6B26-AA29-4C7F-91E7-032384C1545A}"/>
    <cellStyle name="Millares 4 6 5 8" xfId="7233" xr:uid="{1F012466-84BC-4F75-B410-241604A616B8}"/>
    <cellStyle name="Millares 4 6 5 9" xfId="7655" xr:uid="{56C90848-C33F-4CF3-A90C-A117A6F5E635}"/>
    <cellStyle name="Millares 4 6 6" xfId="804" xr:uid="{00000000-0005-0000-0000-00008F060000}"/>
    <cellStyle name="Millares 4 6 6 10" xfId="7724" xr:uid="{0353DC0A-7D3D-40BD-B7CC-6D51B72213A5}"/>
    <cellStyle name="Millares 4 6 6 2" xfId="3360" xr:uid="{00000000-0005-0000-0000-000090060000}"/>
    <cellStyle name="Millares 4 6 6 2 2" xfId="4303" xr:uid="{00000000-0005-0000-0000-000091060000}"/>
    <cellStyle name="Millares 4 6 6 3" xfId="2285" xr:uid="{00000000-0005-0000-0000-000092060000}"/>
    <cellStyle name="Millares 4 6 6 3 2" xfId="4161" xr:uid="{00000000-0005-0000-0000-000093060000}"/>
    <cellStyle name="Millares 4 6 6 4" xfId="1232" xr:uid="{00000000-0005-0000-0000-000094060000}"/>
    <cellStyle name="Millares 4 6 6 5" xfId="3969" xr:uid="{00000000-0005-0000-0000-000095060000}"/>
    <cellStyle name="Millares 4 6 6 6" xfId="4612" xr:uid="{60C4EEFC-9098-4F5F-B2DA-74237C45ED09}"/>
    <cellStyle name="Millares 4 6 6 7" xfId="5034" xr:uid="{F61966EE-EB94-4959-81C9-CA2BF3D6FCCD}"/>
    <cellStyle name="Millares 4 6 6 8" xfId="6880" xr:uid="{1F280834-171E-4B65-BBCE-3083820416D3}"/>
    <cellStyle name="Millares 4 6 6 9" xfId="7302" xr:uid="{9E30D23E-9C5B-488F-AC95-CA009BF94F4D}"/>
    <cellStyle name="Millares 4 6 7" xfId="919" xr:uid="{00000000-0005-0000-0000-000096060000}"/>
    <cellStyle name="Millares 4 6 7 2" xfId="2821" xr:uid="{00000000-0005-0000-0000-000097060000}"/>
    <cellStyle name="Millares 4 6 7 2 2" xfId="6460" xr:uid="{024E92F2-CA37-4431-99B1-15561B2C4283}"/>
    <cellStyle name="Millares 4 6 7 2 3" xfId="5750" xr:uid="{1C10C00C-86B1-41A4-8A23-FF016B3B611C}"/>
    <cellStyle name="Millares 4 6 7 3" xfId="6105" xr:uid="{3841BB28-A345-46EC-9F6D-1B487C2ED57B}"/>
    <cellStyle name="Millares 4 6 7 4" xfId="5395" xr:uid="{CDAF4CC2-C06B-499B-B5F4-47C628623563}"/>
    <cellStyle name="Millares 4 6 8" xfId="1730" xr:uid="{00000000-0005-0000-0000-000098060000}"/>
    <cellStyle name="Millares 4 6 8 2" xfId="4066" xr:uid="{00000000-0005-0000-0000-000099060000}"/>
    <cellStyle name="Millares 4 6 9" xfId="4400" xr:uid="{7F3C6388-D703-4607-AF3F-F61B5891E991}"/>
    <cellStyle name="Millares 4 7" xfId="180" xr:uid="{00000000-0005-0000-0000-00009A060000}"/>
    <cellStyle name="Millares 4 7 10" xfId="6680" xr:uid="{75792026-7D2D-41D5-B0E7-F946FAE42C77}"/>
    <cellStyle name="Millares 4 7 11" xfId="7102" xr:uid="{B3F37727-2E7A-4E51-8DFF-F4C6C67F8B0E}"/>
    <cellStyle name="Millares 4 7 12" xfId="7524" xr:uid="{5ED40D96-5C54-418E-B661-8009C406D890}"/>
    <cellStyle name="Millares 4 7 2" xfId="462" xr:uid="{00000000-0005-0000-0000-00009B060000}"/>
    <cellStyle name="Millares 4 7 2 10" xfId="6741" xr:uid="{AF6D4CC3-BCFF-4E5B-BB41-3C059489CCA2}"/>
    <cellStyle name="Millares 4 7 2 11" xfId="7163" xr:uid="{63F20E98-CF4C-4BC7-A3CA-AF83369FCC77}"/>
    <cellStyle name="Millares 4 7 2 12" xfId="7585" xr:uid="{017EF4D8-7731-4396-8E50-4FA4AF887155}"/>
    <cellStyle name="Millares 4 7 2 2" xfId="750" xr:uid="{00000000-0005-0000-0000-00009C060000}"/>
    <cellStyle name="Millares 4 7 2 2 10" xfId="7206" xr:uid="{37F0947C-714D-4F42-AF4E-0971EBAC06A0}"/>
    <cellStyle name="Millares 4 7 2 2 11" xfId="7628" xr:uid="{C434C789-281A-4B21-937D-D05C0CC23758}"/>
    <cellStyle name="Millares 4 7 2 2 2" xfId="1040" xr:uid="{00000000-0005-0000-0000-00009D060000}"/>
    <cellStyle name="Millares 4 7 2 2 2 2" xfId="3829" xr:uid="{00000000-0005-0000-0000-00009E060000}"/>
    <cellStyle name="Millares 4 7 2 2 2 2 2" xfId="6575" xr:uid="{2D9FF297-DFFB-4D8A-B508-CEED4ADF3C61}"/>
    <cellStyle name="Millares 4 7 2 2 2 2 3" xfId="5865" xr:uid="{F5A741BA-3DDE-4009-BC92-FD301580BC7B}"/>
    <cellStyle name="Millares 4 7 2 2 2 3" xfId="4372" xr:uid="{00000000-0005-0000-0000-00009F060000}"/>
    <cellStyle name="Millares 4 7 2 2 2 3 2" xfId="6220" xr:uid="{FD762D0E-BE32-459C-A950-F007B78AA7D3}"/>
    <cellStyle name="Millares 4 7 2 2 2 4" xfId="4727" xr:uid="{300A5EC4-DFBC-425D-A822-96C4DE6C60E2}"/>
    <cellStyle name="Millares 4 7 2 2 2 5" xfId="5149" xr:uid="{05F00E08-A70F-4956-A36C-8925F7AFB111}"/>
    <cellStyle name="Millares 4 7 2 2 2 6" xfId="5510" xr:uid="{59A596A5-F76F-4A1F-9F3B-03DA830D73A7}"/>
    <cellStyle name="Millares 4 7 2 2 2 7" xfId="6995" xr:uid="{88EB663E-5314-4DE9-9C07-0199DC2BB271}"/>
    <cellStyle name="Millares 4 7 2 2 2 8" xfId="7417" xr:uid="{496A404B-3AA5-4968-84C8-63C1A79CFD83}"/>
    <cellStyle name="Millares 4 7 2 2 2 9" xfId="7839" xr:uid="{334B1A67-5D54-4834-B9E0-ED0946DB040D}"/>
    <cellStyle name="Millares 4 7 2 2 3" xfId="2754" xr:uid="{00000000-0005-0000-0000-0000A0060000}"/>
    <cellStyle name="Millares 4 7 2 2 3 2" xfId="4230" xr:uid="{00000000-0005-0000-0000-0000A1060000}"/>
    <cellStyle name="Millares 4 7 2 2 3 2 2" xfId="6411" xr:uid="{7983B501-93BE-4334-86D6-9D3F1A5D78D9}"/>
    <cellStyle name="Millares 4 7 2 2 3 3" xfId="5701" xr:uid="{E1D982F3-E72A-4F92-B8F7-12AA2A6A42ED}"/>
    <cellStyle name="Millares 4 7 2 2 4" xfId="1642" xr:uid="{00000000-0005-0000-0000-0000A2060000}"/>
    <cellStyle name="Millares 4 7 2 2 4 2" xfId="6056" xr:uid="{90305EFD-7F05-4D3B-8F52-48BA153A22C3}"/>
    <cellStyle name="Millares 4 7 2 2 5" xfId="4038" xr:uid="{00000000-0005-0000-0000-0000A3060000}"/>
    <cellStyle name="Millares 4 7 2 2 6" xfId="4515" xr:uid="{A4F6AA18-003F-4AFB-9B79-AF6E05148CD8}"/>
    <cellStyle name="Millares 4 7 2 2 7" xfId="4938" xr:uid="{86EEC72D-CCAB-440D-92EF-97DD044C9170}"/>
    <cellStyle name="Millares 4 7 2 2 8" xfId="5346" xr:uid="{46276E92-9B27-4190-A38D-73304347DE6F}"/>
    <cellStyle name="Millares 4 7 2 2 9" xfId="6784" xr:uid="{55EEE2FF-3E3D-44B4-B793-C58E6159EEFA}"/>
    <cellStyle name="Millares 4 7 2 3" xfId="997" xr:uid="{00000000-0005-0000-0000-0000A4060000}"/>
    <cellStyle name="Millares 4 7 2 3 2" xfId="3286" xr:uid="{00000000-0005-0000-0000-0000A5060000}"/>
    <cellStyle name="Millares 4 7 2 3 2 2" xfId="6532" xr:uid="{1534EA92-587A-4803-8749-8151CCB0050C}"/>
    <cellStyle name="Millares 4 7 2 3 2 3" xfId="5822" xr:uid="{23367C91-BF59-4277-BF3F-DC673DCBBD6A}"/>
    <cellStyle name="Millares 4 7 2 3 3" xfId="4277" xr:uid="{00000000-0005-0000-0000-0000A6060000}"/>
    <cellStyle name="Millares 4 7 2 3 3 2" xfId="6177" xr:uid="{C506759B-2008-4EF2-BF00-FB9A103D0837}"/>
    <cellStyle name="Millares 4 7 2 3 4" xfId="4684" xr:uid="{5FB74AA5-7AA9-4982-B2F7-AFB43F8A30E3}"/>
    <cellStyle name="Millares 4 7 2 3 5" xfId="5106" xr:uid="{181E812D-77A6-4D8B-BA5B-65A29B2BD9E4}"/>
    <cellStyle name="Millares 4 7 2 3 6" xfId="5467" xr:uid="{FB78FDBB-11CB-4CD4-98A8-F2DB259730DD}"/>
    <cellStyle name="Millares 4 7 2 3 7" xfId="6952" xr:uid="{92584A89-44F8-44B7-A38E-53F515290B84}"/>
    <cellStyle name="Millares 4 7 2 3 8" xfId="7374" xr:uid="{A5EC197A-B34F-41C4-80BB-E80AEB2BD8EB}"/>
    <cellStyle name="Millares 4 7 2 3 9" xfId="7796" xr:uid="{F590227C-AA3D-418A-94B6-AF75D3759C8A}"/>
    <cellStyle name="Millares 4 7 2 4" xfId="2211" xr:uid="{00000000-0005-0000-0000-0000A7060000}"/>
    <cellStyle name="Millares 4 7 2 4 2" xfId="4135" xr:uid="{00000000-0005-0000-0000-0000A8060000}"/>
    <cellStyle name="Millares 4 7 2 4 2 2" xfId="6347" xr:uid="{9D934E3A-CD2B-47FB-85C8-2BD6A1649482}"/>
    <cellStyle name="Millares 4 7 2 4 3" xfId="5637" xr:uid="{E804442C-BFE0-42D2-9BDB-2F9D6F0E49B2}"/>
    <cellStyle name="Millares 4 7 2 5" xfId="1158" xr:uid="{00000000-0005-0000-0000-0000A9060000}"/>
    <cellStyle name="Millares 4 7 2 5 2" xfId="5992" xr:uid="{79CE35FA-19E3-4C0B-BC78-2836C59087F1}"/>
    <cellStyle name="Millares 4 7 2 6" xfId="3943" xr:uid="{00000000-0005-0000-0000-0000AA060000}"/>
    <cellStyle name="Millares 4 7 2 7" xfId="4472" xr:uid="{87697DF0-8B01-4E5E-BC0B-0B9CEA5FEF21}"/>
    <cellStyle name="Millares 4 7 2 8" xfId="4895" xr:uid="{63A8066F-122F-4ED7-AE89-F6B1238A6F02}"/>
    <cellStyle name="Millares 4 7 2 9" xfId="5282" xr:uid="{B70499C8-19D0-4C34-836C-B017F3371426}"/>
    <cellStyle name="Millares 4 7 3" xfId="574" xr:uid="{00000000-0005-0000-0000-0000AB060000}"/>
    <cellStyle name="Millares 4 7 3 10" xfId="7666" xr:uid="{06027AFE-5FBA-4ED5-BEC9-F48C33DD41F4}"/>
    <cellStyle name="Millares 4 7 3 2" xfId="770" xr:uid="{00000000-0005-0000-0000-0000AC060000}"/>
    <cellStyle name="Millares 4 7 3 2 10" xfId="7455" xr:uid="{3904DCF9-0816-43D0-AD14-BB143F9AB21A}"/>
    <cellStyle name="Millares 4 7 3 2 11" xfId="7877" xr:uid="{7490CAD8-C06F-4819-95A1-EA2D46F1E118}"/>
    <cellStyle name="Millares 4 7 3 2 2" xfId="3651" xr:uid="{00000000-0005-0000-0000-0000AD060000}"/>
    <cellStyle name="Millares 4 7 3 2 2 2" xfId="4333" xr:uid="{00000000-0005-0000-0000-0000AE060000}"/>
    <cellStyle name="Millares 4 7 3 2 2 2 2" xfId="6431" xr:uid="{8259F2EA-C79E-4620-81B6-A6426CE164CD}"/>
    <cellStyle name="Millares 4 7 3 2 2 3" xfId="5721" xr:uid="{1819FABF-7B0A-41D1-8FE4-9ED3C47AF3D7}"/>
    <cellStyle name="Millares 4 7 3 2 3" xfId="2576" xr:uid="{00000000-0005-0000-0000-0000AF060000}"/>
    <cellStyle name="Millares 4 7 3 2 3 2" xfId="4191" xr:uid="{00000000-0005-0000-0000-0000B0060000}"/>
    <cellStyle name="Millares 4 7 3 2 3 3" xfId="6076" xr:uid="{2A2C4377-90C1-492C-B692-27282A616EE4}"/>
    <cellStyle name="Millares 4 7 3 2 4" xfId="1486" xr:uid="{00000000-0005-0000-0000-0000B1060000}"/>
    <cellStyle name="Millares 4 7 3 2 5" xfId="3999" xr:uid="{00000000-0005-0000-0000-0000B2060000}"/>
    <cellStyle name="Millares 4 7 3 2 6" xfId="4765" xr:uid="{24C0076D-5B5C-4F47-BCB0-781FF2177094}"/>
    <cellStyle name="Millares 4 7 3 2 7" xfId="5187" xr:uid="{E2FB7FD5-9285-4777-AFEF-422B46724ECC}"/>
    <cellStyle name="Millares 4 7 3 2 8" xfId="5366" xr:uid="{42910821-19C7-4FDB-9B87-76CEFAD11CBE}"/>
    <cellStyle name="Millares 4 7 3 2 9" xfId="7033" xr:uid="{A806BC22-D174-4DFD-A6EA-7DAF975D59F7}"/>
    <cellStyle name="Millares 4 7 3 3" xfId="870" xr:uid="{00000000-0005-0000-0000-0000B3060000}"/>
    <cellStyle name="Millares 4 7 3 4" xfId="1079" xr:uid="{00000000-0005-0000-0000-0000B4060000}"/>
    <cellStyle name="Millares 4 7 3 4 2" xfId="2033" xr:uid="{00000000-0005-0000-0000-0000B5060000}"/>
    <cellStyle name="Millares 4 7 3 4 2 2" xfId="6613" xr:uid="{9A2E555F-6ABD-4A35-AA44-01C642457215}"/>
    <cellStyle name="Millares 4 7 3 4 2 3" xfId="5903" xr:uid="{CB56D0B2-BDC7-4B18-B739-547E9CFA9F93}"/>
    <cellStyle name="Millares 4 7 3 4 3" xfId="4096" xr:uid="{00000000-0005-0000-0000-0000B6060000}"/>
    <cellStyle name="Millares 4 7 3 4 3 2" xfId="6258" xr:uid="{68066459-F862-4993-93FA-40A32D1FC4C0}"/>
    <cellStyle name="Millares 4 7 3 4 4" xfId="5548" xr:uid="{C64E2845-FD94-43DF-9F15-8B7CEB689E48}"/>
    <cellStyle name="Millares 4 7 3 5" xfId="4553" xr:uid="{284AA7F3-1A59-426F-8DE0-F22B0A824E26}"/>
    <cellStyle name="Millares 4 7 3 5 2" xfId="6367" xr:uid="{B6D0913D-6D79-4A11-AC89-781258B92C2D}"/>
    <cellStyle name="Millares 4 7 3 5 3" xfId="5657" xr:uid="{11021145-300E-4F1D-AF88-DD2BBFCFDA64}"/>
    <cellStyle name="Millares 4 7 3 6" xfId="4976" xr:uid="{3E26D3DB-6F53-49F9-972B-42FF8F1AC9FF}"/>
    <cellStyle name="Millares 4 7 3 6 2" xfId="6012" xr:uid="{3B935945-BFFD-4FDD-BEFB-BCB81AE29698}"/>
    <cellStyle name="Millares 4 7 3 7" xfId="5302" xr:uid="{92ED6CD9-4439-4FE2-A646-10F7774E20E0}"/>
    <cellStyle name="Millares 4 7 3 8" xfId="6822" xr:uid="{D9CCAF7E-C886-4413-A4A0-6E182B7FB1D9}"/>
    <cellStyle name="Millares 4 7 3 9" xfId="7244" xr:uid="{5FF32218-FE16-4C9C-BA0B-62C0464FCCBD}"/>
    <cellStyle name="Millares 4 7 4" xfId="814" xr:uid="{00000000-0005-0000-0000-0000B7060000}"/>
    <cellStyle name="Millares 4 7 4 10" xfId="7735" xr:uid="{2BB59E43-8B9A-437B-9652-344F2B136500}"/>
    <cellStyle name="Millares 4 7 4 2" xfId="3501" xr:uid="{00000000-0005-0000-0000-0000B8060000}"/>
    <cellStyle name="Millares 4 7 4 2 2" xfId="4313" xr:uid="{00000000-0005-0000-0000-0000B9060000}"/>
    <cellStyle name="Millares 4 7 4 3" xfId="2426" xr:uid="{00000000-0005-0000-0000-0000BA060000}"/>
    <cellStyle name="Millares 4 7 4 3 2" xfId="4171" xr:uid="{00000000-0005-0000-0000-0000BB060000}"/>
    <cellStyle name="Millares 4 7 4 4" xfId="1356" xr:uid="{00000000-0005-0000-0000-0000BC060000}"/>
    <cellStyle name="Millares 4 7 4 5" xfId="3979" xr:uid="{00000000-0005-0000-0000-0000BD060000}"/>
    <cellStyle name="Millares 4 7 4 6" xfId="4623" xr:uid="{6760FCF3-4221-4D02-881C-AD5B1031DE74}"/>
    <cellStyle name="Millares 4 7 4 7" xfId="5045" xr:uid="{2D82FD8C-E868-41DD-B962-5DEFA52F7815}"/>
    <cellStyle name="Millares 4 7 4 8" xfId="6891" xr:uid="{49A951FA-AF6F-4131-AE4E-9DC81A89C048}"/>
    <cellStyle name="Millares 4 7 4 9" xfId="7313" xr:uid="{11848F3F-483C-4E2A-84A2-BD74D77A2FC4}"/>
    <cellStyle name="Millares 4 7 5" xfId="931" xr:uid="{00000000-0005-0000-0000-0000BE060000}"/>
    <cellStyle name="Millares 4 7 5 2" xfId="2962" xr:uid="{00000000-0005-0000-0000-0000BF060000}"/>
    <cellStyle name="Millares 4 7 5 2 2" xfId="6471" xr:uid="{1055A3B5-5A44-420F-AA0C-E353ADB550E0}"/>
    <cellStyle name="Millares 4 7 5 2 3" xfId="5761" xr:uid="{F2B61EF7-213E-4CCF-8740-88E826FA2A8F}"/>
    <cellStyle name="Millares 4 7 5 3" xfId="6116" xr:uid="{CB01475A-14E4-431E-8B4E-A0B0B2523213}"/>
    <cellStyle name="Millares 4 7 5 4" xfId="5406" xr:uid="{83EBA845-D573-484B-B057-A9E4B4577A05}"/>
    <cellStyle name="Millares 4 7 6" xfId="1871" xr:uid="{00000000-0005-0000-0000-0000C0060000}"/>
    <cellStyle name="Millares 4 7 6 2" xfId="4076" xr:uid="{00000000-0005-0000-0000-0000C1060000}"/>
    <cellStyle name="Millares 4 7 6 2 2" xfId="6308" xr:uid="{A59E12D2-718A-4A4A-B35E-CEDDE9DB1361}"/>
    <cellStyle name="Millares 4 7 6 3" xfId="5598" xr:uid="{CBEAB7D3-8339-45B1-962E-A7961D421915}"/>
    <cellStyle name="Millares 4 7 7" xfId="4411" xr:uid="{0664CBBD-20C6-48A9-8D9B-4F81EB31273A}"/>
    <cellStyle name="Millares 4 7 7 2" xfId="5953" xr:uid="{6CC11A7E-A010-4289-921E-4B79E0B155DC}"/>
    <cellStyle name="Millares 4 7 8" xfId="4834" xr:uid="{D3D940E2-E057-47EA-A9E8-C8508CC0FD57}"/>
    <cellStyle name="Millares 4 7 9" xfId="5243" xr:uid="{DB08DC6E-D8B8-4265-A221-70CC3D7BBE79}"/>
    <cellStyle name="Millares 4 8" xfId="350" xr:uid="{00000000-0005-0000-0000-0000C2060000}"/>
    <cellStyle name="Millares 4 8 10" xfId="7549" xr:uid="{37E1FC18-DC24-48D1-B5E9-37862433032D}"/>
    <cellStyle name="Millares 4 8 2" xfId="633" xr:uid="{00000000-0005-0000-0000-0000C3060000}"/>
    <cellStyle name="Millares 4 8 2 2" xfId="888" xr:uid="{00000000-0005-0000-0000-0000C4060000}"/>
    <cellStyle name="Millares 4 8 2 2 2" xfId="3720" xr:uid="{00000000-0005-0000-0000-0000C5060000}"/>
    <cellStyle name="Millares 4 8 2 2 3" xfId="2645" xr:uid="{00000000-0005-0000-0000-0000C6060000}"/>
    <cellStyle name="Millares 4 8 2 2 4" xfId="4786" xr:uid="{334C0591-9C67-4EAD-A273-F7F57026761B}"/>
    <cellStyle name="Millares 4 8 2 2 5" xfId="5208" xr:uid="{4B0B83A8-FE57-43FB-AE16-5E2378A298CF}"/>
    <cellStyle name="Millares 4 8 2 2 6" xfId="7054" xr:uid="{37ECB4A3-CA99-43D3-8D17-589AAA9AC996}"/>
    <cellStyle name="Millares 4 8 2 2 7" xfId="7476" xr:uid="{E2FF03BD-887B-4D09-BA64-BC1CFBCE3A35}"/>
    <cellStyle name="Millares 4 8 2 2 8" xfId="7898" xr:uid="{D4CCF68F-C546-42B2-BCFD-C304F970E5F1}"/>
    <cellStyle name="Millares 4 8 2 3" xfId="1101" xr:uid="{00000000-0005-0000-0000-0000C7060000}"/>
    <cellStyle name="Millares 4 8 2 3 2" xfId="3177" xr:uid="{00000000-0005-0000-0000-0000C8060000}"/>
    <cellStyle name="Millares 4 8 2 3 2 2" xfId="6634" xr:uid="{BAAB64BC-0291-43D7-9F49-4B9BF2AF9438}"/>
    <cellStyle name="Millares 4 8 2 3 2 3" xfId="5924" xr:uid="{56944120-FC6C-4450-BE34-0CB4272BBB83}"/>
    <cellStyle name="Millares 4 8 2 3 3" xfId="6279" xr:uid="{25E44D85-028B-4EFB-8E91-B0DFEF6C42B5}"/>
    <cellStyle name="Millares 4 8 2 3 4" xfId="5569" xr:uid="{AFA4ADF1-7B6D-4B6D-ABA4-097AB3A9E00B}"/>
    <cellStyle name="Millares 4 8 2 4" xfId="2102" xr:uid="{00000000-0005-0000-0000-0000C9060000}"/>
    <cellStyle name="Millares 4 8 2 5" xfId="4574" xr:uid="{3712CC70-CF41-47D0-9035-9410C48B41E8}"/>
    <cellStyle name="Millares 4 8 2 6" xfId="4997" xr:uid="{3B36D07E-8876-4B70-B67E-CE2C7CFC6612}"/>
    <cellStyle name="Millares 4 8 2 7" xfId="6843" xr:uid="{96CCA8A5-DDA3-48B9-B0EE-74A616A1025D}"/>
    <cellStyle name="Millares 4 8 2 8" xfId="7265" xr:uid="{D21CFDFF-2D1B-487F-A1F7-FAA208702D59}"/>
    <cellStyle name="Millares 4 8 2 9" xfId="7687" xr:uid="{5C2DC942-24CF-4489-B75A-919949AF87AC}"/>
    <cellStyle name="Millares 4 8 3" xfId="834" xr:uid="{00000000-0005-0000-0000-0000CA060000}"/>
    <cellStyle name="Millares 4 8 3 2" xfId="3410" xr:uid="{00000000-0005-0000-0000-0000CB060000}"/>
    <cellStyle name="Millares 4 8 3 3" xfId="2335" xr:uid="{00000000-0005-0000-0000-0000CC060000}"/>
    <cellStyle name="Millares 4 8 3 4" xfId="4648" xr:uid="{8A1FA10A-36B4-4D26-87DE-8593C38C588F}"/>
    <cellStyle name="Millares 4 8 3 5" xfId="5070" xr:uid="{2D90B514-72AB-4A25-9BA4-494C47498EE1}"/>
    <cellStyle name="Millares 4 8 3 6" xfId="6916" xr:uid="{15965CEF-9D62-40D1-BA89-36D28BF29451}"/>
    <cellStyle name="Millares 4 8 3 7" xfId="7338" xr:uid="{DF156AEF-4A7D-4659-A772-4E826EC3E915}"/>
    <cellStyle name="Millares 4 8 3 8" xfId="7760" xr:uid="{16933D97-61F1-4EDA-95D6-1AAB4582DCFB}"/>
    <cellStyle name="Millares 4 8 4" xfId="961" xr:uid="{00000000-0005-0000-0000-0000CD060000}"/>
    <cellStyle name="Millares 4 8 4 2" xfId="2871" xr:uid="{00000000-0005-0000-0000-0000CE060000}"/>
    <cellStyle name="Millares 4 8 4 2 2" xfId="6496" xr:uid="{66395443-4038-4794-8B3B-45560F741CB3}"/>
    <cellStyle name="Millares 4 8 4 2 3" xfId="5786" xr:uid="{495DC246-C206-4A9F-84FA-F9CABFE7980D}"/>
    <cellStyle name="Millares 4 8 4 3" xfId="6141" xr:uid="{8D5DC2B9-FA14-42AB-B7D4-39C35C6778A4}"/>
    <cellStyle name="Millares 4 8 4 4" xfId="5431" xr:uid="{BEB7C71C-3EA7-455A-9C52-C9F3C325382A}"/>
    <cellStyle name="Millares 4 8 5" xfId="1780" xr:uid="{00000000-0005-0000-0000-0000CF060000}"/>
    <cellStyle name="Millares 4 8 6" xfId="4436" xr:uid="{2CC8E630-07D4-4427-BCDE-FF350625F1AD}"/>
    <cellStyle name="Millares 4 8 7" xfId="4859" xr:uid="{F470C51A-3CC8-48F2-95E3-62C0AA354515}"/>
    <cellStyle name="Millares 4 8 8" xfId="6705" xr:uid="{BA0070F5-5362-4DD7-9418-036F635ABF4F}"/>
    <cellStyle name="Millares 4 8 9" xfId="7127" xr:uid="{F679F142-B6C3-424B-86E1-C520B3451E95}"/>
    <cellStyle name="Millares 4 9" xfId="444" xr:uid="{00000000-0005-0000-0000-0000D0060000}"/>
    <cellStyle name="Millares 4 9 10" xfId="6723" xr:uid="{F132EBED-D34E-458E-9E8C-DE5BC2C91E4C}"/>
    <cellStyle name="Millares 4 9 11" xfId="7145" xr:uid="{5417AFD1-814F-4FF2-9A1B-A52B938770CF}"/>
    <cellStyle name="Millares 4 9 12" xfId="7567" xr:uid="{73BEC7EB-AAAE-450B-B82B-5D98C189BB17}"/>
    <cellStyle name="Millares 4 9 2" xfId="732" xr:uid="{00000000-0005-0000-0000-0000D1060000}"/>
    <cellStyle name="Millares 4 9 2 10" xfId="7188" xr:uid="{9F6FD65E-A907-456A-91C7-7AB8D2537BD4}"/>
    <cellStyle name="Millares 4 9 2 11" xfId="7610" xr:uid="{FAF1CEFE-83A5-4B0D-8089-9A57DD7BF442}"/>
    <cellStyle name="Millares 4 9 2 2" xfId="1022" xr:uid="{00000000-0005-0000-0000-0000D2060000}"/>
    <cellStyle name="Millares 4 9 2 2 2" xfId="3811" xr:uid="{00000000-0005-0000-0000-0000D3060000}"/>
    <cellStyle name="Millares 4 9 2 2 2 2" xfId="6557" xr:uid="{44D3DF25-85FB-4B4E-A70C-2C9B3B3E8FE5}"/>
    <cellStyle name="Millares 4 9 2 2 2 3" xfId="5847" xr:uid="{6F4135D8-D0A0-4124-A0A9-96EDB659FE3D}"/>
    <cellStyle name="Millares 4 9 2 2 3" xfId="4354" xr:uid="{00000000-0005-0000-0000-0000D4060000}"/>
    <cellStyle name="Millares 4 9 2 2 3 2" xfId="6202" xr:uid="{1B7D98D5-1AA0-4708-8D9A-E8483432EEB5}"/>
    <cellStyle name="Millares 4 9 2 2 4" xfId="4709" xr:uid="{E9264B4A-9497-44AB-90DA-BB46D63501AE}"/>
    <cellStyle name="Millares 4 9 2 2 5" xfId="5131" xr:uid="{693B729C-9807-4B8B-A3BC-B98737A6EC20}"/>
    <cellStyle name="Millares 4 9 2 2 6" xfId="5492" xr:uid="{CC315CCE-0B62-41E6-8823-57B56750FC8C}"/>
    <cellStyle name="Millares 4 9 2 2 7" xfId="6977" xr:uid="{DDECA7BC-82E0-48CA-AE90-BEE3C9A33DC4}"/>
    <cellStyle name="Millares 4 9 2 2 8" xfId="7399" xr:uid="{F1141632-7BB9-499C-96E1-544AE84A1F00}"/>
    <cellStyle name="Millares 4 9 2 2 9" xfId="7821" xr:uid="{C74A6ACB-7A1E-4CA9-ABDC-068369ED912E}"/>
    <cellStyle name="Millares 4 9 2 3" xfId="2736" xr:uid="{00000000-0005-0000-0000-0000D5060000}"/>
    <cellStyle name="Millares 4 9 2 3 2" xfId="4212" xr:uid="{00000000-0005-0000-0000-0000D6060000}"/>
    <cellStyle name="Millares 4 9 2 3 2 2" xfId="6393" xr:uid="{41BEE66A-ECC8-4BF1-BB65-B75FC43FDB9E}"/>
    <cellStyle name="Millares 4 9 2 3 3" xfId="5683" xr:uid="{126040DA-4E76-44EC-B2FB-0FF7DC0908FA}"/>
    <cellStyle name="Millares 4 9 2 4" xfId="1624" xr:uid="{00000000-0005-0000-0000-0000D7060000}"/>
    <cellStyle name="Millares 4 9 2 4 2" xfId="6038" xr:uid="{1A26A17B-E271-4DD8-A24F-09B097E019E8}"/>
    <cellStyle name="Millares 4 9 2 5" xfId="4020" xr:uid="{00000000-0005-0000-0000-0000D8060000}"/>
    <cellStyle name="Millares 4 9 2 6" xfId="4497" xr:uid="{D3C1A754-FEAF-427A-A2B8-012379D574B7}"/>
    <cellStyle name="Millares 4 9 2 7" xfId="4920" xr:uid="{08A58301-A694-430E-BB65-BB507E69D7A3}"/>
    <cellStyle name="Millares 4 9 2 8" xfId="5328" xr:uid="{6D17CB1B-7011-46F5-B127-F59F57468977}"/>
    <cellStyle name="Millares 4 9 2 9" xfId="6766" xr:uid="{D0157F4E-A494-474B-B07E-2764F55B1CC6}"/>
    <cellStyle name="Millares 4 9 3" xfId="979" xr:uid="{00000000-0005-0000-0000-0000D9060000}"/>
    <cellStyle name="Millares 4 9 3 2" xfId="3268" xr:uid="{00000000-0005-0000-0000-0000DA060000}"/>
    <cellStyle name="Millares 4 9 3 2 2" xfId="6514" xr:uid="{3B06C02D-D978-47E8-AD7D-B6B1134B1239}"/>
    <cellStyle name="Millares 4 9 3 2 3" xfId="5804" xr:uid="{BA3425B6-B58B-4C34-9015-6B621C8222B4}"/>
    <cellStyle name="Millares 4 9 3 3" xfId="4259" xr:uid="{00000000-0005-0000-0000-0000DB060000}"/>
    <cellStyle name="Millares 4 9 3 3 2" xfId="6159" xr:uid="{18FB18A7-5C0B-48E2-B414-E4EBC38EDD25}"/>
    <cellStyle name="Millares 4 9 3 4" xfId="4666" xr:uid="{EF576AF6-291B-4607-B9F9-1DC7795B88BF}"/>
    <cellStyle name="Millares 4 9 3 5" xfId="5088" xr:uid="{BE481FAB-11CB-408F-A793-3BEDEE040C38}"/>
    <cellStyle name="Millares 4 9 3 6" xfId="5449" xr:uid="{DDD02068-63AC-4890-AB9B-89D562375C3D}"/>
    <cellStyle name="Millares 4 9 3 7" xfId="6934" xr:uid="{0202AC56-2F66-43E8-9F5A-D7EEF12B1DA3}"/>
    <cellStyle name="Millares 4 9 3 8" xfId="7356" xr:uid="{619144FF-7D53-4D86-9247-5418DD8B5D83}"/>
    <cellStyle name="Millares 4 9 3 9" xfId="7778" xr:uid="{85A71E9B-DE66-449E-A1E3-A197672F1DDA}"/>
    <cellStyle name="Millares 4 9 4" xfId="2193" xr:uid="{00000000-0005-0000-0000-0000DC060000}"/>
    <cellStyle name="Millares 4 9 4 2" xfId="4117" xr:uid="{00000000-0005-0000-0000-0000DD060000}"/>
    <cellStyle name="Millares 4 9 4 2 2" xfId="6329" xr:uid="{7F4C655D-C934-476B-8C0C-F921AA4C030B}"/>
    <cellStyle name="Millares 4 9 4 3" xfId="5619" xr:uid="{1DEA0CFD-0424-4D4C-B193-919CEF1D28EA}"/>
    <cellStyle name="Millares 4 9 5" xfId="1140" xr:uid="{00000000-0005-0000-0000-0000DE060000}"/>
    <cellStyle name="Millares 4 9 5 2" xfId="5974" xr:uid="{61E706C3-FA7C-4DB6-AB48-27C658C10E19}"/>
    <cellStyle name="Millares 4 9 6" xfId="3925" xr:uid="{00000000-0005-0000-0000-0000DF060000}"/>
    <cellStyle name="Millares 4 9 7" xfId="4454" xr:uid="{42A31E7E-07B8-4BAA-B4B3-26C77AC1E4AF}"/>
    <cellStyle name="Millares 4 9 8" xfId="4877" xr:uid="{51633322-6C95-4354-A012-C03251A0BFB6}"/>
    <cellStyle name="Millares 4 9 9" xfId="5264" xr:uid="{3F68AA80-D7BC-47D5-87E8-7D6538082BAF}"/>
    <cellStyle name="Moneda 10" xfId="1118" xr:uid="{00000000-0005-0000-0000-0000E0060000}"/>
    <cellStyle name="Moneda 10 2" xfId="4802" xr:uid="{6D5D1D10-BBE7-4D13-A6AA-71A5FEA4E7C3}"/>
    <cellStyle name="Moneda 10 2 2" xfId="5224" xr:uid="{C6FD5BA2-0415-456C-9053-23E982ABAFFA}"/>
    <cellStyle name="Moneda 10 2 2 2" xfId="6650" xr:uid="{F8AFEC3A-CA7D-46B1-8298-A04B094F96D5}"/>
    <cellStyle name="Moneda 10 2 3" xfId="5940" xr:uid="{D72D5F50-9510-44CB-881A-28D46B06C134}"/>
    <cellStyle name="Moneda 10 2 4" xfId="7070" xr:uid="{603239E3-B932-4538-82DC-E97FD0144B72}"/>
    <cellStyle name="Moneda 10 2 5" xfId="7492" xr:uid="{992EF80A-ECD1-45F3-B00B-E49355DA529C}"/>
    <cellStyle name="Moneda 10 2 6" xfId="7914" xr:uid="{7E7DA0BF-78FE-46D1-8DEA-37E238B5EAB1}"/>
    <cellStyle name="Moneda 10 3" xfId="4590" xr:uid="{85065D00-B016-4308-9468-A14EF98F6FF6}"/>
    <cellStyle name="Moneda 10 3 2" xfId="6295" xr:uid="{3EB9064C-B0D6-487B-B125-42E91E1CF3C7}"/>
    <cellStyle name="Moneda 10 4" xfId="5013" xr:uid="{45B43612-2E65-4D43-8FDA-FA8690D4DFFC}"/>
    <cellStyle name="Moneda 10 5" xfId="5585" xr:uid="{D6964A77-B80F-4D60-8F50-5F0AB4861ADA}"/>
    <cellStyle name="Moneda 10 6" xfId="6859" xr:uid="{44E16113-24C5-4E60-A9B1-7DF0E226B558}"/>
    <cellStyle name="Moneda 10 7" xfId="7281" xr:uid="{F992698E-8758-4529-9AF2-B321F0026D0D}"/>
    <cellStyle name="Moneda 10 8" xfId="7703" xr:uid="{8903CD6C-7EF9-4C8C-A958-5A12030E7DA7}"/>
    <cellStyle name="Moneda 11" xfId="1119" xr:uid="{00000000-0005-0000-0000-0000E1060000}"/>
    <cellStyle name="Moneda 11 2" xfId="4803" xr:uid="{92AF91E4-FA93-4129-B5ED-CDD1B4D2860F}"/>
    <cellStyle name="Moneda 11 2 2" xfId="5225" xr:uid="{A95F8CFF-3C5E-49C0-BCDF-C52395B041AC}"/>
    <cellStyle name="Moneda 11 2 2 2" xfId="6651" xr:uid="{FADE7916-0A94-4132-AC23-5E9E2425F531}"/>
    <cellStyle name="Moneda 11 2 3" xfId="5941" xr:uid="{FC5C85F1-EF6D-4980-950F-6F2EE2DF6C09}"/>
    <cellStyle name="Moneda 11 2 4" xfId="7071" xr:uid="{9A07E6FC-A1A3-4E87-BE01-94BBCAF9009C}"/>
    <cellStyle name="Moneda 11 2 5" xfId="7493" xr:uid="{EA505F29-7147-44FB-A1CD-871AA2337E8B}"/>
    <cellStyle name="Moneda 11 2 6" xfId="7915" xr:uid="{083BBB70-D73B-498E-8EEC-94C1C05958E4}"/>
    <cellStyle name="Moneda 11 3" xfId="4591" xr:uid="{F2A0EC6F-42B6-4600-8A18-0E4635B1AC02}"/>
    <cellStyle name="Moneda 11 3 2" xfId="6296" xr:uid="{A609B88D-3890-4BDD-931D-E5F401692C63}"/>
    <cellStyle name="Moneda 11 4" xfId="5014" xr:uid="{48924735-C82E-4C64-AB89-CFC5C1BA7438}"/>
    <cellStyle name="Moneda 11 5" xfId="5586" xr:uid="{4D606242-0E7B-4D95-BA05-FC757E2F23E1}"/>
    <cellStyle name="Moneda 11 6" xfId="6860" xr:uid="{E79D8236-04A5-4C47-BDED-6DEB2CF8FC5C}"/>
    <cellStyle name="Moneda 11 7" xfId="7282" xr:uid="{FD95BD39-DD59-4C14-8AAF-BFC4F6D8A0DC}"/>
    <cellStyle name="Moneda 11 8" xfId="7704" xr:uid="{F7EDC7EA-6995-40CA-AAB2-4A2F8F162368}"/>
    <cellStyle name="Moneda 12" xfId="1120" xr:uid="{00000000-0005-0000-0000-0000E2060000}"/>
    <cellStyle name="Moneda 12 2" xfId="4804" xr:uid="{3AA5E8AD-8556-4FF4-94B0-1BF2EBEF46AF}"/>
    <cellStyle name="Moneda 12 2 2" xfId="5226" xr:uid="{6DA13CC7-D890-4393-9533-3349DABAB21A}"/>
    <cellStyle name="Moneda 12 2 2 2" xfId="6652" xr:uid="{FAED9664-65AD-401E-871D-E79F748E8D66}"/>
    <cellStyle name="Moneda 12 2 3" xfId="5942" xr:uid="{EDE2594E-338A-4D3E-A8D4-270C7A70C14E}"/>
    <cellStyle name="Moneda 12 2 4" xfId="7072" xr:uid="{2A28147E-0F31-4B49-A49C-7745BAE78C64}"/>
    <cellStyle name="Moneda 12 2 5" xfId="7494" xr:uid="{283D3488-4926-441F-8213-82A85C72574D}"/>
    <cellStyle name="Moneda 12 2 6" xfId="7916" xr:uid="{6FA93ACB-96C6-41AD-9F28-1FE8168C96DA}"/>
    <cellStyle name="Moneda 12 3" xfId="4592" xr:uid="{4924294A-1A50-4853-B3F5-9C9C014D7CD1}"/>
    <cellStyle name="Moneda 12 3 2" xfId="6297" xr:uid="{D19ECFC7-B699-4797-8194-3F7301A8B7CA}"/>
    <cellStyle name="Moneda 12 4" xfId="5015" xr:uid="{28932232-D0AD-41F8-BCD6-AFA963A9EBD8}"/>
    <cellStyle name="Moneda 12 5" xfId="5587" xr:uid="{31125814-1E7E-421E-8863-935D22B6A534}"/>
    <cellStyle name="Moneda 12 6" xfId="6861" xr:uid="{C69354A1-52BB-4534-82FD-F05FDB4F1BD6}"/>
    <cellStyle name="Moneda 12 7" xfId="7283" xr:uid="{1CC692F4-C5A0-4D7A-A751-B50EC04A63F2}"/>
    <cellStyle name="Moneda 12 8" xfId="7705" xr:uid="{43EC1060-73D0-4EB9-9E1A-89D54AF785FA}"/>
    <cellStyle name="Moneda 13" xfId="1121" xr:uid="{00000000-0005-0000-0000-0000E3060000}"/>
    <cellStyle name="Moneda 13 2" xfId="4805" xr:uid="{A5705EF6-4C5C-42AA-BE76-A087859D5422}"/>
    <cellStyle name="Moneda 13 2 2" xfId="5227" xr:uid="{F02D96FF-8756-42F0-8EF2-5290A55B7CD2}"/>
    <cellStyle name="Moneda 13 2 2 2" xfId="6653" xr:uid="{51951E76-0076-45FA-B16E-8FB732F3881F}"/>
    <cellStyle name="Moneda 13 2 3" xfId="5943" xr:uid="{EB3D6DDF-C644-4A38-921B-AEF9433DB84C}"/>
    <cellStyle name="Moneda 13 2 4" xfId="7073" xr:uid="{DDE7F7EF-E37B-4D7F-A493-F6D184627200}"/>
    <cellStyle name="Moneda 13 2 5" xfId="7495" xr:uid="{565E6DE1-FC81-4AE8-BF45-0ADD133EE798}"/>
    <cellStyle name="Moneda 13 2 6" xfId="7917" xr:uid="{37D82DA7-EDD7-488B-9FB0-97F804C82EEF}"/>
    <cellStyle name="Moneda 13 3" xfId="4593" xr:uid="{C0822224-669B-417F-A392-A39630CE65BE}"/>
    <cellStyle name="Moneda 13 3 2" xfId="6298" xr:uid="{0FEC1138-92EE-4D12-BB26-10C3AC146ADE}"/>
    <cellStyle name="Moneda 13 4" xfId="5016" xr:uid="{E15AB1B7-06B6-4F4C-B48D-6512C66BE56A}"/>
    <cellStyle name="Moneda 13 5" xfId="5588" xr:uid="{69E8F40A-0E75-403F-AE67-6943CE336E74}"/>
    <cellStyle name="Moneda 13 6" xfId="6862" xr:uid="{E8B7BDD3-263A-4F07-863E-8BB5D3A84093}"/>
    <cellStyle name="Moneda 13 7" xfId="7284" xr:uid="{7A086B3B-95CB-4EDC-87CF-4B134A5D4526}"/>
    <cellStyle name="Moneda 13 8" xfId="7706" xr:uid="{C4AC6F47-DBF6-4AA7-91FD-EDD3F89B1ADA}"/>
    <cellStyle name="Moneda 14" xfId="1122" xr:uid="{00000000-0005-0000-0000-0000E4060000}"/>
    <cellStyle name="Moneda 14 2" xfId="4806" xr:uid="{BF7016EC-7C37-4D1B-A0C5-769CABF5EA42}"/>
    <cellStyle name="Moneda 14 2 2" xfId="5228" xr:uid="{B60B78E5-2B6E-4708-A2F9-B0B2CA47E552}"/>
    <cellStyle name="Moneda 14 2 2 2" xfId="6654" xr:uid="{4C061FE1-13A4-4886-B361-A37E2EB9DE90}"/>
    <cellStyle name="Moneda 14 2 3" xfId="5944" xr:uid="{F70C6C23-C132-4804-9C43-951173590243}"/>
    <cellStyle name="Moneda 14 2 4" xfId="7074" xr:uid="{96D56DC0-0A76-4E39-950B-CB4FBD830092}"/>
    <cellStyle name="Moneda 14 2 5" xfId="7496" xr:uid="{F9432336-9B51-4769-87CB-9752F8E70149}"/>
    <cellStyle name="Moneda 14 2 6" xfId="7918" xr:uid="{0B580CF7-3A6F-4DB1-BD8F-7349FEBAE55B}"/>
    <cellStyle name="Moneda 14 3" xfId="4594" xr:uid="{CE2BFE54-F9FE-4A27-A15E-26DFF6EC5130}"/>
    <cellStyle name="Moneda 14 3 2" xfId="6299" xr:uid="{F28FEFEF-7C13-417B-AD03-6357336CA72B}"/>
    <cellStyle name="Moneda 14 4" xfId="5017" xr:uid="{A53CC2D8-D220-40AB-9FAD-98CFA972BDEF}"/>
    <cellStyle name="Moneda 14 5" xfId="5589" xr:uid="{8A55151F-C012-4EFD-B52B-3A19BE57748D}"/>
    <cellStyle name="Moneda 14 6" xfId="6863" xr:uid="{A2992B5C-ECD9-49EC-B4AB-143D495BE86C}"/>
    <cellStyle name="Moneda 14 7" xfId="7285" xr:uid="{4D783B19-3973-4A3A-A4FE-2709D9A3AC3B}"/>
    <cellStyle name="Moneda 14 8" xfId="7707" xr:uid="{C5C1E003-2CC2-4BD2-AD1A-F6A83DA3B3B8}"/>
    <cellStyle name="Moneda 15" xfId="1123" xr:uid="{00000000-0005-0000-0000-0000E5060000}"/>
    <cellStyle name="Moneda 15 2" xfId="4807" xr:uid="{B2B7BB7F-7E69-41EF-B1D2-AEB869AD52BE}"/>
    <cellStyle name="Moneda 15 2 2" xfId="5229" xr:uid="{D85745A5-607C-4620-A92E-8A7095DD34E4}"/>
    <cellStyle name="Moneda 15 2 2 2" xfId="6655" xr:uid="{ABE3C9A3-32F1-46C0-A493-587F632586AB}"/>
    <cellStyle name="Moneda 15 2 3" xfId="5945" xr:uid="{19A6C2DE-437F-40B7-80B2-B4BE6DF60DB6}"/>
    <cellStyle name="Moneda 15 2 4" xfId="7075" xr:uid="{EC6A6AD0-3E9E-4BB2-A821-0CF46C433558}"/>
    <cellStyle name="Moneda 15 2 5" xfId="7497" xr:uid="{BE0CE748-A4F7-4B6C-A8F1-714DA8BF3E48}"/>
    <cellStyle name="Moneda 15 2 6" xfId="7919" xr:uid="{ABFDA765-8D91-4CAD-A55C-C9C1B7A337A1}"/>
    <cellStyle name="Moneda 15 3" xfId="4595" xr:uid="{F0D4E7B4-C681-48AF-8FB0-3A725410F02B}"/>
    <cellStyle name="Moneda 15 3 2" xfId="6300" xr:uid="{2CF21835-5634-4F5A-B8E7-7BD61AF102B5}"/>
    <cellStyle name="Moneda 15 4" xfId="5018" xr:uid="{F8710FF2-D9C7-485D-A27D-A91B02251CE0}"/>
    <cellStyle name="Moneda 15 5" xfId="5590" xr:uid="{B0C8EF50-9B22-4320-B746-BC503DAF713D}"/>
    <cellStyle name="Moneda 15 6" xfId="6864" xr:uid="{3BE8FF65-8CA8-4C0D-A813-5536FCE7904C}"/>
    <cellStyle name="Moneda 15 7" xfId="7286" xr:uid="{12101178-7A99-4A82-A793-95E6375A5CEE}"/>
    <cellStyle name="Moneda 15 8" xfId="7708" xr:uid="{564FFBEC-452A-4705-AC82-723178D0E3A0}"/>
    <cellStyle name="Moneda 16" xfId="1124" xr:uid="{00000000-0005-0000-0000-0000E6060000}"/>
    <cellStyle name="Moneda 16 2" xfId="4808" xr:uid="{BCBB73E4-F8B5-427C-B229-FFE4FA860F50}"/>
    <cellStyle name="Moneda 16 2 2" xfId="5230" xr:uid="{56F5A52A-A90E-4172-BCE9-385864363327}"/>
    <cellStyle name="Moneda 16 2 2 2" xfId="6656" xr:uid="{823259F4-127F-4486-BB38-879334962945}"/>
    <cellStyle name="Moneda 16 2 3" xfId="5946" xr:uid="{CEC30CD8-2AD9-4BBC-95ED-FAE3DDC79FB2}"/>
    <cellStyle name="Moneda 16 2 4" xfId="7076" xr:uid="{D346BE68-C828-4B05-890F-D74E10441390}"/>
    <cellStyle name="Moneda 16 2 5" xfId="7498" xr:uid="{E04D8EA8-7C31-4DA4-B0A0-3F738C45F13C}"/>
    <cellStyle name="Moneda 16 2 6" xfId="7920" xr:uid="{A08DECB8-4ABA-44B7-A3B5-79DB24E2D5D5}"/>
    <cellStyle name="Moneda 16 3" xfId="4596" xr:uid="{05E9B71D-DA65-465C-B7E1-82F9CA7C7D90}"/>
    <cellStyle name="Moneda 16 3 2" xfId="6301" xr:uid="{F6820FA5-EF53-420A-859F-FD5B466B96CA}"/>
    <cellStyle name="Moneda 16 4" xfId="5019" xr:uid="{2BCF59E3-2D4B-4E45-9F0B-0C1ED395D022}"/>
    <cellStyle name="Moneda 16 5" xfId="5591" xr:uid="{B80BC057-9377-49DD-80B5-A56659D77E65}"/>
    <cellStyle name="Moneda 16 6" xfId="6865" xr:uid="{AD56985D-2820-4ED3-BCB0-8349B20301A5}"/>
    <cellStyle name="Moneda 16 7" xfId="7287" xr:uid="{A4EF832B-52FD-4220-A0FE-EDA6AD119D9A}"/>
    <cellStyle name="Moneda 16 8" xfId="7709" xr:uid="{CB5BAF34-0738-4D48-8BE1-265870ADB5B1}"/>
    <cellStyle name="Moneda 17" xfId="1125" xr:uid="{00000000-0005-0000-0000-0000E7060000}"/>
    <cellStyle name="Moneda 2" xfId="32" xr:uid="{00000000-0005-0000-0000-0000E8060000}"/>
    <cellStyle name="Moneda 2 10" xfId="4600" xr:uid="{DF7A63C2-5568-4798-B5F2-71D5FB6AE37D}"/>
    <cellStyle name="Moneda 2 10 2" xfId="5022" xr:uid="{B16F58A5-A615-4FBB-840A-02796A78FE97}"/>
    <cellStyle name="Moneda 2 10 3" xfId="6868" xr:uid="{28607624-8D35-4D2A-95BC-8109080A2AC0}"/>
    <cellStyle name="Moneda 2 10 4" xfId="7290" xr:uid="{A9DA29D6-84BF-4376-A81A-487EA47B1551}"/>
    <cellStyle name="Moneda 2 10 5" xfId="7712" xr:uid="{74763E9E-9A46-4CA5-BF0D-F9F3BEFF2D9E}"/>
    <cellStyle name="Moneda 2 11" xfId="4388" xr:uid="{BB84D181-43C4-4E27-ADD2-DF13DF5CC99E}"/>
    <cellStyle name="Moneda 2 12" xfId="4811" xr:uid="{A19ED0E7-7EF5-4FA2-B3D0-A18AED6230D6}"/>
    <cellStyle name="Moneda 2 13" xfId="6657" xr:uid="{561F7B2D-B680-4E12-8D27-47A28DF1A11F}"/>
    <cellStyle name="Moneda 2 14" xfId="7079" xr:uid="{173E55DA-20AB-4CD0-BBAF-1FAB7F7A21A6}"/>
    <cellStyle name="Moneda 2 15" xfId="7501" xr:uid="{2D9A38E8-B4E9-4FF0-8821-C83596974EDA}"/>
    <cellStyle name="Moneda 2 2" xfId="186" xr:uid="{00000000-0005-0000-0000-0000E9060000}"/>
    <cellStyle name="Moneda 2 2 2" xfId="344" xr:uid="{00000000-0005-0000-0000-0000EA060000}"/>
    <cellStyle name="Moneda 2 2 2 2" xfId="957" xr:uid="{00000000-0005-0000-0000-0000EB060000}"/>
    <cellStyle name="Moneda 2 2 2 2 2" xfId="3868" xr:uid="{00000000-0005-0000-0000-0000EC060000}"/>
    <cellStyle name="Moneda 2 2 2 2 2 2" xfId="3898" xr:uid="{00000000-0005-0000-0000-0000ED060000}"/>
    <cellStyle name="Moneda 2 2 2 2 3" xfId="3881" xr:uid="{00000000-0005-0000-0000-0000EE060000}"/>
    <cellStyle name="Moneda 2 2 2 2 3 2" xfId="3911" xr:uid="{00000000-0005-0000-0000-0000EF060000}"/>
    <cellStyle name="Moneda 2 2 2 2 4" xfId="3897" xr:uid="{00000000-0005-0000-0000-0000F0060000}"/>
    <cellStyle name="Moneda 2 2 2 2 5" xfId="3867" xr:uid="{00000000-0005-0000-0000-0000F1060000}"/>
    <cellStyle name="Moneda 2 2 2 3" xfId="3866" xr:uid="{00000000-0005-0000-0000-0000F2060000}"/>
    <cellStyle name="Moneda 2 2 2 3 2" xfId="3880" xr:uid="{00000000-0005-0000-0000-0000F3060000}"/>
    <cellStyle name="Moneda 2 2 2 3 2 2" xfId="3910" xr:uid="{00000000-0005-0000-0000-0000F4060000}"/>
    <cellStyle name="Moneda 2 2 2 3 3" xfId="3896" xr:uid="{00000000-0005-0000-0000-0000F5060000}"/>
    <cellStyle name="Moneda 2 2 2 4" xfId="3864" xr:uid="{00000000-0005-0000-0000-0000F6060000}"/>
    <cellStyle name="Moneda 2 2 2 4 2" xfId="3878" xr:uid="{00000000-0005-0000-0000-0000F7060000}"/>
    <cellStyle name="Moneda 2 2 2 4 2 2" xfId="3908" xr:uid="{00000000-0005-0000-0000-0000F8060000}"/>
    <cellStyle name="Moneda 2 2 2 4 3" xfId="3894" xr:uid="{00000000-0005-0000-0000-0000F9060000}"/>
    <cellStyle name="Moneda 2 2 2 5" xfId="3877" xr:uid="{00000000-0005-0000-0000-0000FA060000}"/>
    <cellStyle name="Moneda 2 2 2 5 2" xfId="3907" xr:uid="{00000000-0005-0000-0000-0000FB060000}"/>
    <cellStyle name="Moneda 2 2 2 6" xfId="3893" xr:uid="{00000000-0005-0000-0000-0000FC060000}"/>
    <cellStyle name="Moneda 2 2 2 7" xfId="3863" xr:uid="{00000000-0005-0000-0000-0000FD060000}"/>
    <cellStyle name="Moneda 2 2 3" xfId="319" xr:uid="{00000000-0005-0000-0000-0000FE060000}"/>
    <cellStyle name="Moneda 2 2 3 10" xfId="5259" xr:uid="{84462ED7-0538-4364-90C5-39402BEDA731}"/>
    <cellStyle name="Moneda 2 2 3 11" xfId="6698" xr:uid="{5F5ED347-41D6-4C0A-844D-E3140FF5602B}"/>
    <cellStyle name="Moneda 2 2 3 12" xfId="7120" xr:uid="{CA7FEDEC-C506-4B8F-A52C-BE77FC12A805}"/>
    <cellStyle name="Moneda 2 2 3 13" xfId="7542" xr:uid="{BCA68FC8-1C91-4EF8-BD7E-FEC5FD93474C}"/>
    <cellStyle name="Moneda 2 2 3 2" xfId="727" xr:uid="{00000000-0005-0000-0000-0000FF060000}"/>
    <cellStyle name="Moneda 2 2 3 2 10" xfId="6761" xr:uid="{E22C63C1-3A9C-4342-A13E-5CC8BFE6767A}"/>
    <cellStyle name="Moneda 2 2 3 2 11" xfId="7183" xr:uid="{A3A54E06-4F04-47BB-8BB0-C02B38ADF605}"/>
    <cellStyle name="Moneda 2 2 3 2 12" xfId="7605" xr:uid="{64F2CBA3-6083-457C-99F6-E6E3753C9551}"/>
    <cellStyle name="Moneda 2 2 3 2 2" xfId="1017" xr:uid="{00000000-0005-0000-0000-000000070000}"/>
    <cellStyle name="Moneda 2 2 3 2 2 2" xfId="3706" xr:uid="{00000000-0005-0000-0000-000001070000}"/>
    <cellStyle name="Moneda 2 2 3 2 2 2 2" xfId="6552" xr:uid="{1D69DCDB-E605-4DCA-9F9B-0A5A4BA2E78F}"/>
    <cellStyle name="Moneda 2 2 3 2 2 2 3" xfId="5842" xr:uid="{12CAA5E8-179F-4677-9364-48C41DCA6465}"/>
    <cellStyle name="Moneda 2 2 3 2 2 3" xfId="4349" xr:uid="{00000000-0005-0000-0000-000002070000}"/>
    <cellStyle name="Moneda 2 2 3 2 2 3 2" xfId="6197" xr:uid="{D5BB5A00-A77F-4688-BB46-FABEE23ED750}"/>
    <cellStyle name="Moneda 2 2 3 2 2 4" xfId="4704" xr:uid="{4A4A73C5-52EB-4ABA-A53F-35B9B76D7780}"/>
    <cellStyle name="Moneda 2 2 3 2 2 5" xfId="5126" xr:uid="{B35CD5B0-5A0E-4B2E-8B5C-6DAA0EF52465}"/>
    <cellStyle name="Moneda 2 2 3 2 2 6" xfId="5487" xr:uid="{FF9013B1-E84D-4DB6-96CE-F945E1630D23}"/>
    <cellStyle name="Moneda 2 2 3 2 2 7" xfId="6972" xr:uid="{E4E9CCEB-5F97-4F59-8978-F4EA3BAC3B95}"/>
    <cellStyle name="Moneda 2 2 3 2 2 8" xfId="7394" xr:uid="{EA374232-B138-40C2-A42E-2B78CCF9E2A3}"/>
    <cellStyle name="Moneda 2 2 3 2 2 9" xfId="7816" xr:uid="{FE8627FA-B486-481A-A2D1-E657AFC35B87}"/>
    <cellStyle name="Moneda 2 2 3 2 3" xfId="2631" xr:uid="{00000000-0005-0000-0000-000003070000}"/>
    <cellStyle name="Moneda 2 2 3 2 3 2" xfId="4207" xr:uid="{00000000-0005-0000-0000-000004070000}"/>
    <cellStyle name="Moneda 2 2 3 2 3 2 2" xfId="6388" xr:uid="{4864D79F-056E-4A9B-8E20-0586CCDDE79A}"/>
    <cellStyle name="Moneda 2 2 3 2 3 3" xfId="5678" xr:uid="{1230F7AF-2477-48FE-93EF-D5CBCC067A7B}"/>
    <cellStyle name="Moneda 2 2 3 2 4" xfId="3903" xr:uid="{00000000-0005-0000-0000-000005070000}"/>
    <cellStyle name="Moneda 2 2 3 2 4 2" xfId="6033" xr:uid="{0C9DFDA3-233E-420A-8165-27B97F3CEA6D}"/>
    <cellStyle name="Moneda 2 2 3 2 5" xfId="1539" xr:uid="{00000000-0005-0000-0000-000006070000}"/>
    <cellStyle name="Moneda 2 2 3 2 6" xfId="4015" xr:uid="{00000000-0005-0000-0000-000007070000}"/>
    <cellStyle name="Moneda 2 2 3 2 7" xfId="4492" xr:uid="{2F8B9AF9-EE03-42D9-9997-338A6A62AB19}"/>
    <cellStyle name="Moneda 2 2 3 2 8" xfId="4915" xr:uid="{BA700DFF-9BCD-4591-B3BF-408DD1F291C7}"/>
    <cellStyle name="Moneda 2 2 3 2 9" xfId="5323" xr:uid="{869960FA-A03C-43A6-9842-E99CA29CEC31}"/>
    <cellStyle name="Moneda 2 2 3 3" xfId="952" xr:uid="{00000000-0005-0000-0000-000008070000}"/>
    <cellStyle name="Moneda 2 2 3 3 2" xfId="3163" xr:uid="{00000000-0005-0000-0000-000009070000}"/>
    <cellStyle name="Moneda 2 2 3 3 2 2" xfId="6489" xr:uid="{C518F7C3-F107-48F2-A5EE-02FD26CC9FF2}"/>
    <cellStyle name="Moneda 2 2 3 3 2 3" xfId="5779" xr:uid="{72918C4A-2808-4AD9-894D-BDEC2FA5B563}"/>
    <cellStyle name="Moneda 2 2 3 3 3" xfId="4254" xr:uid="{00000000-0005-0000-0000-00000A070000}"/>
    <cellStyle name="Moneda 2 2 3 3 3 2" xfId="6134" xr:uid="{A507E841-71BF-4805-9EFB-79BB0E135150}"/>
    <cellStyle name="Moneda 2 2 3 3 4" xfId="4641" xr:uid="{07AC80F1-4077-409D-B0E6-04568ECC0909}"/>
    <cellStyle name="Moneda 2 2 3 3 5" xfId="5063" xr:uid="{F6E407DB-60AC-4ECE-8CF6-8335C635F972}"/>
    <cellStyle name="Moneda 2 2 3 3 6" xfId="5424" xr:uid="{2972D3CB-8B0B-430E-A7B9-85EB34900320}"/>
    <cellStyle name="Moneda 2 2 3 3 7" xfId="6909" xr:uid="{08275CEE-E8B8-411B-860B-470B8F78BCD7}"/>
    <cellStyle name="Moneda 2 2 3 3 8" xfId="7331" xr:uid="{0BD3AD68-A4C0-410B-9DB5-BFAF4FC85F94}"/>
    <cellStyle name="Moneda 2 2 3 3 9" xfId="7753" xr:uid="{038F24C3-1FCF-46A5-91C2-168C63C2BB6F}"/>
    <cellStyle name="Moneda 2 2 3 4" xfId="2088" xr:uid="{00000000-0005-0000-0000-00000B070000}"/>
    <cellStyle name="Moneda 2 2 3 4 2" xfId="4112" xr:uid="{00000000-0005-0000-0000-00000C070000}"/>
    <cellStyle name="Moneda 2 2 3 4 2 2" xfId="6324" xr:uid="{88BE8C00-B04F-4217-93DF-A1CAC166309A}"/>
    <cellStyle name="Moneda 2 2 3 4 3" xfId="5614" xr:uid="{F19B1CA9-3B24-4256-BB6E-2BBF5B80991D}"/>
    <cellStyle name="Moneda 2 2 3 5" xfId="3873" xr:uid="{00000000-0005-0000-0000-00000D070000}"/>
    <cellStyle name="Moneda 2 2 3 5 2" xfId="5969" xr:uid="{5BF18BBA-ECD7-4C68-9286-961D129FA130}"/>
    <cellStyle name="Moneda 2 2 3 6" xfId="1135" xr:uid="{00000000-0005-0000-0000-00000E070000}"/>
    <cellStyle name="Moneda 2 2 3 7" xfId="3920" xr:uid="{00000000-0005-0000-0000-00000F070000}"/>
    <cellStyle name="Moneda 2 2 3 8" xfId="4429" xr:uid="{63453FDC-1BC3-4610-BB81-6434E96CF67D}"/>
    <cellStyle name="Moneda 2 2 3 9" xfId="4852" xr:uid="{BD005DC6-B0CA-4828-8836-F44098D5C21D}"/>
    <cellStyle name="Moneda 2 2 4" xfId="937" xr:uid="{00000000-0005-0000-0000-000010070000}"/>
    <cellStyle name="Moneda 2 2 4 2" xfId="3889" xr:uid="{00000000-0005-0000-0000-000011070000}"/>
    <cellStyle name="Moneda 2 2 5" xfId="3859" xr:uid="{00000000-0005-0000-0000-000012070000}"/>
    <cellStyle name="Moneda 2 3" xfId="176" xr:uid="{00000000-0005-0000-0000-000013070000}"/>
    <cellStyle name="Moneda 2 3 10" xfId="7099" xr:uid="{767380E4-219D-4208-A02F-31D9ECBA629C}"/>
    <cellStyle name="Moneda 2 3 11" xfId="7521" xr:uid="{B4699588-C086-44FD-AB51-20BEC315FED0}"/>
    <cellStyle name="Moneda 2 3 2" xfId="571" xr:uid="{00000000-0005-0000-0000-000014070000}"/>
    <cellStyle name="Moneda 2 3 2 10" xfId="7663" xr:uid="{63C9DE8C-3BDD-46EB-9EDA-C5D3B797B292}"/>
    <cellStyle name="Moneda 2 3 2 2" xfId="867" xr:uid="{00000000-0005-0000-0000-000015070000}"/>
    <cellStyle name="Moneda 2 3 2 2 2" xfId="3648" xr:uid="{00000000-0005-0000-0000-000016070000}"/>
    <cellStyle name="Moneda 2 3 2 2 3" xfId="2573" xr:uid="{00000000-0005-0000-0000-000017070000}"/>
    <cellStyle name="Moneda 2 3 2 2 4" xfId="3905" xr:uid="{00000000-0005-0000-0000-000018070000}"/>
    <cellStyle name="Moneda 2 3 2 2 5" xfId="4762" xr:uid="{069B8C76-1B40-4842-B738-D010608CCD30}"/>
    <cellStyle name="Moneda 2 3 2 2 6" xfId="5184" xr:uid="{0D2EC3CC-366F-4C43-89E3-9A4BEF8C7D20}"/>
    <cellStyle name="Moneda 2 3 2 2 7" xfId="7030" xr:uid="{13598F70-517B-4E10-AB3B-03EDA217D6DB}"/>
    <cellStyle name="Moneda 2 3 2 2 8" xfId="7452" xr:uid="{1360E478-BB68-4853-9E1A-BFFBD35673E9}"/>
    <cellStyle name="Moneda 2 3 2 2 9" xfId="7874" xr:uid="{7853773D-2AA7-4B37-976C-95720B525BB4}"/>
    <cellStyle name="Moneda 2 3 2 3" xfId="1076" xr:uid="{00000000-0005-0000-0000-000019070000}"/>
    <cellStyle name="Moneda 2 3 2 3 2" xfId="3121" xr:uid="{00000000-0005-0000-0000-00001A070000}"/>
    <cellStyle name="Moneda 2 3 2 3 2 2" xfId="6610" xr:uid="{5E89B064-F814-4FED-A680-00BB8091DB92}"/>
    <cellStyle name="Moneda 2 3 2 3 2 3" xfId="5900" xr:uid="{CF07F795-0877-4A17-A4BD-57ADB33D0821}"/>
    <cellStyle name="Moneda 2 3 2 3 3" xfId="6255" xr:uid="{D9576D2E-8D2D-4BC0-ADB7-26BBC71A88DA}"/>
    <cellStyle name="Moneda 2 3 2 3 4" xfId="5545" xr:uid="{1B6023A7-B988-4B94-B439-9B9EFD419E9D}"/>
    <cellStyle name="Moneda 2 3 2 4" xfId="2030" xr:uid="{00000000-0005-0000-0000-00001B070000}"/>
    <cellStyle name="Moneda 2 3 2 5" xfId="3875" xr:uid="{00000000-0005-0000-0000-00001C070000}"/>
    <cellStyle name="Moneda 2 3 2 6" xfId="4550" xr:uid="{FA05386A-91D8-4F7F-87D8-F25D617D07E1}"/>
    <cellStyle name="Moneda 2 3 2 7" xfId="4973" xr:uid="{296FB3DA-A79E-4837-A80C-024E167949A6}"/>
    <cellStyle name="Moneda 2 3 2 8" xfId="6819" xr:uid="{A1A9CDF7-5032-43A9-9F03-A91BDC92847E}"/>
    <cellStyle name="Moneda 2 3 2 9" xfId="7241" xr:uid="{8C427A59-D763-45C8-B4D6-7740556149CC}"/>
    <cellStyle name="Moneda 2 3 3" xfId="811" xr:uid="{00000000-0005-0000-0000-00001D070000}"/>
    <cellStyle name="Moneda 2 3 3 2" xfId="3498" xr:uid="{00000000-0005-0000-0000-00001E070000}"/>
    <cellStyle name="Moneda 2 3 3 3" xfId="2423" xr:uid="{00000000-0005-0000-0000-00001F070000}"/>
    <cellStyle name="Moneda 2 3 3 4" xfId="3891" xr:uid="{00000000-0005-0000-0000-000020070000}"/>
    <cellStyle name="Moneda 2 3 3 5" xfId="4620" xr:uid="{0E3077DB-F5BA-4980-A00F-2E5B6D297B1F}"/>
    <cellStyle name="Moneda 2 3 3 6" xfId="5042" xr:uid="{FD00503A-72F1-4D0B-AD1C-917BBB8FC426}"/>
    <cellStyle name="Moneda 2 3 3 7" xfId="6888" xr:uid="{A617285B-AD11-4449-86F5-04C26CD0DCED}"/>
    <cellStyle name="Moneda 2 3 3 8" xfId="7310" xr:uid="{FFC6AB38-E419-4626-95C0-2EA7BEA13FEF}"/>
    <cellStyle name="Moneda 2 3 3 9" xfId="7732" xr:uid="{C1E36B9F-5A67-41A8-8AE5-A3EB5B6A43AD}"/>
    <cellStyle name="Moneda 2 3 4" xfId="928" xr:uid="{00000000-0005-0000-0000-000021070000}"/>
    <cellStyle name="Moneda 2 3 4 2" xfId="2959" xr:uid="{00000000-0005-0000-0000-000022070000}"/>
    <cellStyle name="Moneda 2 3 4 2 2" xfId="6468" xr:uid="{DC2A5E95-E3DD-479C-9464-C6F2CFA2A57A}"/>
    <cellStyle name="Moneda 2 3 4 2 3" xfId="5758" xr:uid="{814718C9-FC74-4FF3-A8ED-FB1A90B88144}"/>
    <cellStyle name="Moneda 2 3 4 3" xfId="6113" xr:uid="{B0B1B0F5-ADD0-4884-B9DD-800793189EFE}"/>
    <cellStyle name="Moneda 2 3 4 4" xfId="5403" xr:uid="{2D814EED-C9BC-41E0-882C-DCEFA329B9A3}"/>
    <cellStyle name="Moneda 2 3 5" xfId="1868" xr:uid="{00000000-0005-0000-0000-000023070000}"/>
    <cellStyle name="Moneda 2 3 6" xfId="3861" xr:uid="{00000000-0005-0000-0000-000024070000}"/>
    <cellStyle name="Moneda 2 3 7" xfId="4408" xr:uid="{74B52BEF-6EBC-4880-8AD6-2F3E599F6BE3}"/>
    <cellStyle name="Moneda 2 3 8" xfId="4831" xr:uid="{B6273A71-2CFA-4B12-BE2B-E50958803013}"/>
    <cellStyle name="Moneda 2 3 9" xfId="6677" xr:uid="{0A7EBA4C-1018-4B09-981E-A77DB452931F}"/>
    <cellStyle name="Moneda 2 4" xfId="282" xr:uid="{00000000-0005-0000-0000-000025070000}"/>
    <cellStyle name="Moneda 2 4 2" xfId="950" xr:uid="{00000000-0005-0000-0000-000026070000}"/>
    <cellStyle name="Moneda 2 4 2 2" xfId="3901" xr:uid="{00000000-0005-0000-0000-000027070000}"/>
    <cellStyle name="Moneda 2 4 3" xfId="3871" xr:uid="{00000000-0005-0000-0000-000028070000}"/>
    <cellStyle name="Moneda 2 5" xfId="241" xr:uid="{00000000-0005-0000-0000-000029070000}"/>
    <cellStyle name="Moneda 2 5 2" xfId="599" xr:uid="{00000000-0005-0000-0000-00002A070000}"/>
    <cellStyle name="Moneda 2 5 2 2" xfId="1093" xr:uid="{00000000-0005-0000-0000-00002B070000}"/>
    <cellStyle name="Moneda 2 5 2 2 2" xfId="3676" xr:uid="{00000000-0005-0000-0000-00002C070000}"/>
    <cellStyle name="Moneda 2 5 2 2 3" xfId="2601" xr:uid="{00000000-0005-0000-0000-00002D070000}"/>
    <cellStyle name="Moneda 2 5 2 2 4" xfId="1511" xr:uid="{00000000-0005-0000-0000-00002E070000}"/>
    <cellStyle name="Moneda 2 5 2 3" xfId="3133" xr:uid="{00000000-0005-0000-0000-00002F070000}"/>
    <cellStyle name="Moneda 2 5 2 4" xfId="2058" xr:uid="{00000000-0005-0000-0000-000030070000}"/>
    <cellStyle name="Moneda 2 5 3" xfId="946" xr:uid="{00000000-0005-0000-0000-000031070000}"/>
    <cellStyle name="Moneda 2 5 3 2" xfId="3526" xr:uid="{00000000-0005-0000-0000-000032070000}"/>
    <cellStyle name="Moneda 2 5 3 3" xfId="2451" xr:uid="{00000000-0005-0000-0000-000033070000}"/>
    <cellStyle name="Moneda 2 5 3 4" xfId="1381" xr:uid="{00000000-0005-0000-0000-000034070000}"/>
    <cellStyle name="Moneda 2 5 4" xfId="2987" xr:uid="{00000000-0005-0000-0000-000035070000}"/>
    <cellStyle name="Moneda 2 5 5" xfId="1896" xr:uid="{00000000-0005-0000-0000-000036070000}"/>
    <cellStyle name="Moneda 2 5 6" xfId="3887" xr:uid="{00000000-0005-0000-0000-000037070000}"/>
    <cellStyle name="Moneda 2 6" xfId="333" xr:uid="{00000000-0005-0000-0000-000038070000}"/>
    <cellStyle name="Moneda 2 6 2" xfId="954" xr:uid="{00000000-0005-0000-0000-000039070000}"/>
    <cellStyle name="Moneda 2 7" xfId="318" xr:uid="{00000000-0005-0000-0000-00003A070000}"/>
    <cellStyle name="Moneda 2 7 2" xfId="1538" xr:uid="{00000000-0005-0000-0000-00003B070000}"/>
    <cellStyle name="Moneda 2 7 2 2" xfId="3705" xr:uid="{00000000-0005-0000-0000-00003C070000}"/>
    <cellStyle name="Moneda 2 7 2 3" xfId="2630" xr:uid="{00000000-0005-0000-0000-00003D070000}"/>
    <cellStyle name="Moneda 2 7 3" xfId="3162" xr:uid="{00000000-0005-0000-0000-00003E070000}"/>
    <cellStyle name="Moneda 2 7 4" xfId="2087" xr:uid="{00000000-0005-0000-0000-00003F070000}"/>
    <cellStyle name="Moneda 2 8" xfId="915" xr:uid="{00000000-0005-0000-0000-000040070000}"/>
    <cellStyle name="Moneda 2 8 2" xfId="1668" xr:uid="{00000000-0005-0000-0000-000041070000}"/>
    <cellStyle name="Moneda 2 9" xfId="902" xr:uid="{00000000-0005-0000-0000-000042070000}"/>
    <cellStyle name="Moneda 2 9 2" xfId="3857" xr:uid="{00000000-0005-0000-0000-000043070000}"/>
    <cellStyle name="Moneda 2 9 2 2" xfId="6448" xr:uid="{F67600FC-D9B6-4C1B-A055-45E0213BBC6B}"/>
    <cellStyle name="Moneda 2 9 2 3" xfId="5738" xr:uid="{D540148E-4362-40A8-B7C1-3CE27F213542}"/>
    <cellStyle name="Moneda 2 9 3" xfId="6093" xr:uid="{FEDE630D-9312-46DC-8A64-F262F91BA4D0}"/>
    <cellStyle name="Moneda 2 9 4" xfId="5383" xr:uid="{9C1BDDC6-913D-4E00-9C05-AD65C2F59DB3}"/>
    <cellStyle name="Moneda 3" xfId="121" xr:uid="{00000000-0005-0000-0000-000044070000}"/>
    <cellStyle name="Moneda 3 10" xfId="3858" xr:uid="{00000000-0005-0000-0000-000045070000}"/>
    <cellStyle name="Moneda 3 10 2" xfId="6303" xr:uid="{BA6FDB28-C64E-4595-84B6-633676744E7D}"/>
    <cellStyle name="Moneda 3 10 3" xfId="5593" xr:uid="{78BF100A-CFEF-4BCF-931E-C9E123F6EE35}"/>
    <cellStyle name="Moneda 3 11" xfId="4406" xr:uid="{58AEDBB3-6524-44BA-A095-5CACEC921148}"/>
    <cellStyle name="Moneda 3 11 2" xfId="5948" xr:uid="{DB654F3C-89C5-40A9-81E0-8CEE1E5930A8}"/>
    <cellStyle name="Moneda 3 12" xfId="4829" xr:uid="{891CB6C7-5AFA-40F2-A9C2-B0235C4947F6}"/>
    <cellStyle name="Moneda 3 13" xfId="5238" xr:uid="{DF04D6CF-1D0C-4CA7-9CB0-5DB21F22FCB6}"/>
    <cellStyle name="Moneda 3 14" xfId="6675" xr:uid="{6F94BC04-0EE9-4F9A-9E5E-06D1C8036B3A}"/>
    <cellStyle name="Moneda 3 15" xfId="7097" xr:uid="{0E3C0E0E-9E22-4FCD-92C1-29FFD5A73D62}"/>
    <cellStyle name="Moneda 3 16" xfId="7519" xr:uid="{69CB465B-C6EE-46C1-ABCD-35E0C4CC2AD1}"/>
    <cellStyle name="Moneda 3 2" xfId="123" xr:uid="{00000000-0005-0000-0000-000046070000}"/>
    <cellStyle name="Moneda 3 2 2" xfId="567" xr:uid="{00000000-0005-0000-0000-000047070000}"/>
    <cellStyle name="Moneda 3 2 2 2" xfId="1074" xr:uid="{00000000-0005-0000-0000-000048070000}"/>
    <cellStyle name="Moneda 3 2 2 2 2" xfId="3644" xr:uid="{00000000-0005-0000-0000-000049070000}"/>
    <cellStyle name="Moneda 3 2 2 2 3" xfId="2569" xr:uid="{00000000-0005-0000-0000-00004A070000}"/>
    <cellStyle name="Moneda 3 2 2 2 4" xfId="3906" xr:uid="{00000000-0005-0000-0000-00004B070000}"/>
    <cellStyle name="Moneda 3 2 2 2 5" xfId="1481" xr:uid="{00000000-0005-0000-0000-00004C070000}"/>
    <cellStyle name="Moneda 3 2 2 3" xfId="3117" xr:uid="{00000000-0005-0000-0000-00004D070000}"/>
    <cellStyle name="Moneda 3 2 2 4" xfId="2026" xr:uid="{00000000-0005-0000-0000-00004E070000}"/>
    <cellStyle name="Moneda 3 2 2 5" xfId="3876" xr:uid="{00000000-0005-0000-0000-00004F070000}"/>
    <cellStyle name="Moneda 3 2 3" xfId="926" xr:uid="{00000000-0005-0000-0000-000050070000}"/>
    <cellStyle name="Moneda 3 2 3 2" xfId="3494" xr:uid="{00000000-0005-0000-0000-000051070000}"/>
    <cellStyle name="Moneda 3 2 3 3" xfId="2419" xr:uid="{00000000-0005-0000-0000-000052070000}"/>
    <cellStyle name="Moneda 3 2 3 4" xfId="3892" xr:uid="{00000000-0005-0000-0000-000053070000}"/>
    <cellStyle name="Moneda 3 2 3 5" xfId="1351" xr:uid="{00000000-0005-0000-0000-000054070000}"/>
    <cellStyle name="Moneda 3 2 4" xfId="2955" xr:uid="{00000000-0005-0000-0000-000055070000}"/>
    <cellStyle name="Moneda 3 2 5" xfId="1864" xr:uid="{00000000-0005-0000-0000-000056070000}"/>
    <cellStyle name="Moneda 3 2 6" xfId="3862" xr:uid="{00000000-0005-0000-0000-000057070000}"/>
    <cellStyle name="Moneda 3 3" xfId="305" xr:uid="{00000000-0005-0000-0000-000058070000}"/>
    <cellStyle name="Moneda 3 3 10" xfId="4428" xr:uid="{75C3F0F1-257C-460E-A37F-45E8305A08A7}"/>
    <cellStyle name="Moneda 3 3 11" xfId="4851" xr:uid="{BCA65B27-BB6F-4ADE-BACD-9FDEE78D8B8C}"/>
    <cellStyle name="Moneda 3 3 12" xfId="5258" xr:uid="{F2142DBC-66DF-4F73-AA2F-A41420945A1F}"/>
    <cellStyle name="Moneda 3 3 13" xfId="6697" xr:uid="{D511CA89-ED1B-436B-AB48-BF54BD8663F6}"/>
    <cellStyle name="Moneda 3 3 14" xfId="7119" xr:uid="{DD372FA2-3A2B-401A-9D9F-2459876BED4E}"/>
    <cellStyle name="Moneda 3 3 15" xfId="7541" xr:uid="{C6820351-DF7B-4DE2-94FB-B059A3BEB976}"/>
    <cellStyle name="Moneda 3 3 2" xfId="477" xr:uid="{00000000-0005-0000-0000-000059070000}"/>
    <cellStyle name="Moneda 3 3 2 10" xfId="5297" xr:uid="{2023F1CA-144F-42F5-BDB7-07D967AFC121}"/>
    <cellStyle name="Moneda 3 3 2 11" xfId="6756" xr:uid="{9D406A27-A040-4AD7-8CB2-FDE16EADEAAA}"/>
    <cellStyle name="Moneda 3 3 2 12" xfId="7178" xr:uid="{1BD36E17-B722-4F3E-858F-E38F1DDB7659}"/>
    <cellStyle name="Moneda 3 3 2 13" xfId="7600" xr:uid="{AB4B1B6C-C6E3-4A64-A4DC-EB8B6B9A6FFC}"/>
    <cellStyle name="Moneda 3 3 2 2" xfId="765" xr:uid="{00000000-0005-0000-0000-00005A070000}"/>
    <cellStyle name="Moneda 3 3 2 2 10" xfId="7221" xr:uid="{F0E6EE38-6F18-49E5-9FD2-8D8B76A02050}"/>
    <cellStyle name="Moneda 3 3 2 2 11" xfId="7643" xr:uid="{AA18E50C-C464-494E-A5C6-F419FD36413F}"/>
    <cellStyle name="Moneda 3 3 2 2 2" xfId="1055" xr:uid="{00000000-0005-0000-0000-00005B070000}"/>
    <cellStyle name="Moneda 3 3 2 2 2 2" xfId="3844" xr:uid="{00000000-0005-0000-0000-00005C070000}"/>
    <cellStyle name="Moneda 3 3 2 2 2 2 2" xfId="6590" xr:uid="{D8810CCD-C963-436A-A6AC-1A08053F7B1D}"/>
    <cellStyle name="Moneda 3 3 2 2 2 2 3" xfId="5880" xr:uid="{EA55C448-E3E8-4BCF-8AA9-0B3F4DDF1826}"/>
    <cellStyle name="Moneda 3 3 2 2 2 3" xfId="4387" xr:uid="{00000000-0005-0000-0000-00005D070000}"/>
    <cellStyle name="Moneda 3 3 2 2 2 3 2" xfId="6235" xr:uid="{A6680E3E-1BE8-4A71-A60A-197E8F1975DD}"/>
    <cellStyle name="Moneda 3 3 2 2 2 4" xfId="4742" xr:uid="{71AAEA42-20CB-42EE-B82E-E4EAC4C99B1A}"/>
    <cellStyle name="Moneda 3 3 2 2 2 5" xfId="5164" xr:uid="{EAA29940-9B2A-44DC-B674-9AE907C831D0}"/>
    <cellStyle name="Moneda 3 3 2 2 2 6" xfId="5525" xr:uid="{D4F21EDC-7992-4D67-929B-5FDBA728DB79}"/>
    <cellStyle name="Moneda 3 3 2 2 2 7" xfId="7010" xr:uid="{F891D230-7363-4947-851A-B0885AE6538D}"/>
    <cellStyle name="Moneda 3 3 2 2 2 8" xfId="7432" xr:uid="{08CF4188-66EA-4D34-8162-13EBDFFBB123}"/>
    <cellStyle name="Moneda 3 3 2 2 2 9" xfId="7854" xr:uid="{78011835-D1AC-475F-84BE-3274B6836594}"/>
    <cellStyle name="Moneda 3 3 2 2 3" xfId="2769" xr:uid="{00000000-0005-0000-0000-00005E070000}"/>
    <cellStyle name="Moneda 3 3 2 2 3 2" xfId="4245" xr:uid="{00000000-0005-0000-0000-00005F070000}"/>
    <cellStyle name="Moneda 3 3 2 2 3 2 2" xfId="6426" xr:uid="{B4A4A992-B825-49BA-8ED7-9F40AD5EC844}"/>
    <cellStyle name="Moneda 3 3 2 2 3 3" xfId="5716" xr:uid="{1D0047F9-C547-42C9-A189-5B40BA8F4A97}"/>
    <cellStyle name="Moneda 3 3 2 2 4" xfId="1657" xr:uid="{00000000-0005-0000-0000-000060070000}"/>
    <cellStyle name="Moneda 3 3 2 2 4 2" xfId="6071" xr:uid="{43A47DDF-4CB6-4407-BD7C-B94D2A6506A4}"/>
    <cellStyle name="Moneda 3 3 2 2 5" xfId="4053" xr:uid="{00000000-0005-0000-0000-000061070000}"/>
    <cellStyle name="Moneda 3 3 2 2 6" xfId="4530" xr:uid="{4A9C5FFD-6FFB-4946-B917-7C38BDB6E829}"/>
    <cellStyle name="Moneda 3 3 2 2 7" xfId="4953" xr:uid="{7CDF4042-A179-4488-9598-BEB987500F82}"/>
    <cellStyle name="Moneda 3 3 2 2 8" xfId="5361" xr:uid="{99708B7C-8DD3-4AAA-AD8A-86AB7579566F}"/>
    <cellStyle name="Moneda 3 3 2 2 9" xfId="6799" xr:uid="{6B554763-61D4-44CD-857A-4152741CBAA1}"/>
    <cellStyle name="Moneda 3 3 2 3" xfId="1012" xr:uid="{00000000-0005-0000-0000-000062070000}"/>
    <cellStyle name="Moneda 3 3 2 3 2" xfId="3301" xr:uid="{00000000-0005-0000-0000-000063070000}"/>
    <cellStyle name="Moneda 3 3 2 3 2 2" xfId="6547" xr:uid="{84A6408A-8F67-481E-BA2B-A979FC64C731}"/>
    <cellStyle name="Moneda 3 3 2 3 2 3" xfId="5837" xr:uid="{7EFFD3D6-A34C-4132-ADD2-89705191EA99}"/>
    <cellStyle name="Moneda 3 3 2 3 3" xfId="4292" xr:uid="{00000000-0005-0000-0000-000064070000}"/>
    <cellStyle name="Moneda 3 3 2 3 3 2" xfId="6192" xr:uid="{272C928A-EA4C-4F33-810A-2DE21B3BAC62}"/>
    <cellStyle name="Moneda 3 3 2 3 4" xfId="4699" xr:uid="{E61F19D7-3E4C-437A-AF12-2C3899D64894}"/>
    <cellStyle name="Moneda 3 3 2 3 5" xfId="5121" xr:uid="{6D69A9B1-423D-40F3-84FC-191AFA695E95}"/>
    <cellStyle name="Moneda 3 3 2 3 6" xfId="5482" xr:uid="{2055716C-FAF6-4064-9248-283B8AEC2F92}"/>
    <cellStyle name="Moneda 3 3 2 3 7" xfId="6967" xr:uid="{83111BE8-9FC2-4A50-8A3C-2F88E8E5723A}"/>
    <cellStyle name="Moneda 3 3 2 3 8" xfId="7389" xr:uid="{75BA6E8C-4730-46B6-88D4-7930E6BFEA22}"/>
    <cellStyle name="Moneda 3 3 2 3 9" xfId="7811" xr:uid="{5251DD92-3927-4CDD-BA3B-980B147CD56B}"/>
    <cellStyle name="Moneda 3 3 2 4" xfId="2226" xr:uid="{00000000-0005-0000-0000-000065070000}"/>
    <cellStyle name="Moneda 3 3 2 4 2" xfId="4150" xr:uid="{00000000-0005-0000-0000-000066070000}"/>
    <cellStyle name="Moneda 3 3 2 4 2 2" xfId="6362" xr:uid="{A52C0B38-3470-45B9-BF43-D0E29EE54E30}"/>
    <cellStyle name="Moneda 3 3 2 4 3" xfId="5652" xr:uid="{2C6369F5-CBE8-44CB-817C-DD3B7A088CD2}"/>
    <cellStyle name="Moneda 3 3 2 5" xfId="3902" xr:uid="{00000000-0005-0000-0000-000067070000}"/>
    <cellStyle name="Moneda 3 3 2 5 2" xfId="6007" xr:uid="{9F57C478-BEF1-4EAB-85BE-2F956A3BEBD0}"/>
    <cellStyle name="Moneda 3 3 2 6" xfId="1173" xr:uid="{00000000-0005-0000-0000-000068070000}"/>
    <cellStyle name="Moneda 3 3 2 7" xfId="3958" xr:uid="{00000000-0005-0000-0000-000069070000}"/>
    <cellStyle name="Moneda 3 3 2 8" xfId="4487" xr:uid="{DFE8A010-D430-4667-B721-1E60608B9B73}"/>
    <cellStyle name="Moneda 3 3 2 9" xfId="4910" xr:uid="{06F5980F-FA71-4A69-80C3-64985437C687}"/>
    <cellStyle name="Moneda 3 3 3" xfId="623" xr:uid="{00000000-0005-0000-0000-00006A070000}"/>
    <cellStyle name="Moneda 3 3 3 10" xfId="6839" xr:uid="{F65722B3-EFEF-4768-8CF2-ECF80EC27D51}"/>
    <cellStyle name="Moneda 3 3 3 11" xfId="7261" xr:uid="{DC995ADF-3806-4FD6-9BDB-02D2FB29F216}"/>
    <cellStyle name="Moneda 3 3 3 12" xfId="7683" xr:uid="{1197B097-5DA5-4571-AB5B-546478966369}"/>
    <cellStyle name="Moneda 3 3 3 2" xfId="785" xr:uid="{00000000-0005-0000-0000-00006B070000}"/>
    <cellStyle name="Moneda 3 3 3 2 10" xfId="7472" xr:uid="{84C97CA7-1ED8-4F6F-B2AA-6431B1F7B759}"/>
    <cellStyle name="Moneda 3 3 3 2 11" xfId="7894" xr:uid="{7054CD9F-7E77-40FE-A916-B50E9C9BFFA9}"/>
    <cellStyle name="Moneda 3 3 3 2 2" xfId="3700" xr:uid="{00000000-0005-0000-0000-00006C070000}"/>
    <cellStyle name="Moneda 3 3 3 2 2 2" xfId="4348" xr:uid="{00000000-0005-0000-0000-00006D070000}"/>
    <cellStyle name="Moneda 3 3 3 2 2 2 2" xfId="6446" xr:uid="{3BD4C12D-E558-41A1-86BD-A61452C33667}"/>
    <cellStyle name="Moneda 3 3 3 2 2 3" xfId="5736" xr:uid="{C2FC8C0A-9EC3-44D4-9C97-38ED1CB6FBC1}"/>
    <cellStyle name="Moneda 3 3 3 2 3" xfId="2625" xr:uid="{00000000-0005-0000-0000-00006E070000}"/>
    <cellStyle name="Moneda 3 3 3 2 3 2" xfId="4206" xr:uid="{00000000-0005-0000-0000-00006F070000}"/>
    <cellStyle name="Moneda 3 3 3 2 3 3" xfId="6091" xr:uid="{DB5662CD-B9D5-4CFD-8BCE-440CAA53DCDC}"/>
    <cellStyle name="Moneda 3 3 3 2 4" xfId="1533" xr:uid="{00000000-0005-0000-0000-000070070000}"/>
    <cellStyle name="Moneda 3 3 3 2 5" xfId="4014" xr:uid="{00000000-0005-0000-0000-000071070000}"/>
    <cellStyle name="Moneda 3 3 3 2 6" xfId="4782" xr:uid="{5C177CE2-C020-4247-A25E-2D301A9E39F8}"/>
    <cellStyle name="Moneda 3 3 3 2 7" xfId="5204" xr:uid="{79DFCE0C-CB9A-44F7-B1A2-55730C39EEAA}"/>
    <cellStyle name="Moneda 3 3 3 2 8" xfId="5381" xr:uid="{DB0382DE-9063-4406-9BAD-581836286BBF}"/>
    <cellStyle name="Moneda 3 3 3 2 9" xfId="7050" xr:uid="{DD11DEFE-8E49-4F9A-B6CB-BF5BDE604536}"/>
    <cellStyle name="Moneda 3 3 3 3" xfId="1097" xr:uid="{00000000-0005-0000-0000-000072070000}"/>
    <cellStyle name="Moneda 3 3 3 3 2" xfId="3157" xr:uid="{00000000-0005-0000-0000-000073070000}"/>
    <cellStyle name="Moneda 3 3 3 3 2 2" xfId="6630" xr:uid="{8DE05781-17B7-4D2E-82FA-88BF8E05F5D6}"/>
    <cellStyle name="Moneda 3 3 3 3 2 3" xfId="5920" xr:uid="{FF480A14-6356-4EBB-B1D2-8C4E3C3E873D}"/>
    <cellStyle name="Moneda 3 3 3 3 3" xfId="4253" xr:uid="{00000000-0005-0000-0000-000074070000}"/>
    <cellStyle name="Moneda 3 3 3 3 3 2" xfId="6275" xr:uid="{62DE84F9-6F97-4679-9034-7F026EE37995}"/>
    <cellStyle name="Moneda 3 3 3 3 4" xfId="5565" xr:uid="{C9B9D590-9491-48B2-92C4-7D52AEC238F0}"/>
    <cellStyle name="Moneda 3 3 3 4" xfId="2082" xr:uid="{00000000-0005-0000-0000-000075070000}"/>
    <cellStyle name="Moneda 3 3 3 4 2" xfId="4111" xr:uid="{00000000-0005-0000-0000-000076070000}"/>
    <cellStyle name="Moneda 3 3 3 4 2 2" xfId="6382" xr:uid="{B93DC6CF-C29A-4886-A049-211CA6BD9C4F}"/>
    <cellStyle name="Moneda 3 3 3 4 3" xfId="5672" xr:uid="{711F04E8-A4FD-4950-92A9-FCC53CEE551E}"/>
    <cellStyle name="Moneda 3 3 3 5" xfId="1134" xr:uid="{00000000-0005-0000-0000-000077070000}"/>
    <cellStyle name="Moneda 3 3 3 5 2" xfId="6027" xr:uid="{E4AC7D61-0CA7-487E-9548-C946DFD7B9CC}"/>
    <cellStyle name="Moneda 3 3 3 6" xfId="3919" xr:uid="{00000000-0005-0000-0000-000078070000}"/>
    <cellStyle name="Moneda 3 3 3 7" xfId="4570" xr:uid="{45F83920-FCFE-4A15-AB60-8857706E8619}"/>
    <cellStyle name="Moneda 3 3 3 8" xfId="4993" xr:uid="{F3DAB5AB-2AE9-40E2-96C0-9C58C5B18F1D}"/>
    <cellStyle name="Moneda 3 3 3 9" xfId="5317" xr:uid="{19FE6F83-321D-43EC-AB52-1DFE3509A88D}"/>
    <cellStyle name="Moneda 3 3 4" xfId="726" xr:uid="{00000000-0005-0000-0000-000079070000}"/>
    <cellStyle name="Moneda 3 3 4 10" xfId="7182" xr:uid="{B5E94130-3758-4507-8697-3C38F44897C4}"/>
    <cellStyle name="Moneda 3 3 4 11" xfId="7604" xr:uid="{960ECD75-F217-4A27-8AB6-FD8EC652F4D7}"/>
    <cellStyle name="Moneda 3 3 4 2" xfId="1016" xr:uid="{00000000-0005-0000-0000-00007A070000}"/>
    <cellStyle name="Moneda 3 3 4 2 2" xfId="3550" xr:uid="{00000000-0005-0000-0000-00007B070000}"/>
    <cellStyle name="Moneda 3 3 4 2 2 2" xfId="6551" xr:uid="{FBFCB44E-C365-43C7-8032-22C496EA76AA}"/>
    <cellStyle name="Moneda 3 3 4 2 2 3" xfId="5841" xr:uid="{632D879C-1288-4FEA-998C-3DC1E88ED42D}"/>
    <cellStyle name="Moneda 3 3 4 2 3" xfId="4328" xr:uid="{00000000-0005-0000-0000-00007C070000}"/>
    <cellStyle name="Moneda 3 3 4 2 3 2" xfId="6196" xr:uid="{5DB5A932-55FC-443A-885F-D426A610A191}"/>
    <cellStyle name="Moneda 3 3 4 2 4" xfId="4703" xr:uid="{FC33DBB9-C2E8-42B8-B339-6C78AEB8F77E}"/>
    <cellStyle name="Moneda 3 3 4 2 5" xfId="5125" xr:uid="{D1A9C82A-62B3-408D-8EBF-9FC5DDB19D5B}"/>
    <cellStyle name="Moneda 3 3 4 2 6" xfId="5486" xr:uid="{BC650921-486F-4C5A-8EC9-91F993026A64}"/>
    <cellStyle name="Moneda 3 3 4 2 7" xfId="6971" xr:uid="{332ED285-289B-42FA-AA7A-2E901CC813B1}"/>
    <cellStyle name="Moneda 3 3 4 2 8" xfId="7393" xr:uid="{7D3D777A-2ABB-4D29-BD08-2583101253EC}"/>
    <cellStyle name="Moneda 3 3 4 2 9" xfId="7815" xr:uid="{650CA998-ACCF-49F8-AAC4-D2EE95CE4B87}"/>
    <cellStyle name="Moneda 3 3 4 3" xfId="2475" xr:uid="{00000000-0005-0000-0000-00007D070000}"/>
    <cellStyle name="Moneda 3 3 4 3 2" xfId="4186" xr:uid="{00000000-0005-0000-0000-00007E070000}"/>
    <cellStyle name="Moneda 3 3 4 3 2 2" xfId="6387" xr:uid="{1CFE7C23-ED8C-4435-B886-AE720083B593}"/>
    <cellStyle name="Moneda 3 3 4 3 3" xfId="5677" xr:uid="{1EED3821-D84F-4D2E-81EB-08FB998B617C}"/>
    <cellStyle name="Moneda 3 3 4 4" xfId="1403" xr:uid="{00000000-0005-0000-0000-00007F070000}"/>
    <cellStyle name="Moneda 3 3 4 4 2" xfId="6032" xr:uid="{F88D3C01-BDE9-463B-BEF4-B816636837B4}"/>
    <cellStyle name="Moneda 3 3 4 5" xfId="3994" xr:uid="{00000000-0005-0000-0000-000080070000}"/>
    <cellStyle name="Moneda 3 3 4 6" xfId="4491" xr:uid="{6C86EAA9-44A1-4754-9B4C-2BA960731274}"/>
    <cellStyle name="Moneda 3 3 4 7" xfId="4914" xr:uid="{9748BFB8-5AE9-4D77-A468-212C55D31373}"/>
    <cellStyle name="Moneda 3 3 4 8" xfId="5322" xr:uid="{4C471CF4-40A3-4558-9428-8F8229EF4EE5}"/>
    <cellStyle name="Moneda 3 3 4 9" xfId="6760" xr:uid="{8E7EC9DC-6D06-4092-81D2-9FDF5D47A639}"/>
    <cellStyle name="Moneda 3 3 5" xfId="951" xr:uid="{00000000-0005-0000-0000-000081070000}"/>
    <cellStyle name="Moneda 3 3 5 2" xfId="3011" xr:uid="{00000000-0005-0000-0000-000082070000}"/>
    <cellStyle name="Moneda 3 3 5 2 2" xfId="6488" xr:uid="{ABAFBA40-47C9-459F-B0DE-0B1FA690164A}"/>
    <cellStyle name="Moneda 3 3 5 2 3" xfId="5778" xr:uid="{09EACD7D-CA2A-40EF-8FA6-4664B1BB3C78}"/>
    <cellStyle name="Moneda 3 3 5 3" xfId="4249" xr:uid="{00000000-0005-0000-0000-000083070000}"/>
    <cellStyle name="Moneda 3 3 5 3 2" xfId="6133" xr:uid="{CB1F0695-69A0-461A-90FE-F6D460D9073F}"/>
    <cellStyle name="Moneda 3 3 5 4" xfId="4640" xr:uid="{F539BBE6-1AFE-4F52-96A9-139F4D1464A9}"/>
    <cellStyle name="Moneda 3 3 5 5" xfId="5062" xr:uid="{339CD43E-042B-4DD7-805D-11EA7F272193}"/>
    <cellStyle name="Moneda 3 3 5 6" xfId="5423" xr:uid="{B40E3EB3-7E25-48CF-A8C8-C24C230E5F7E}"/>
    <cellStyle name="Moneda 3 3 5 7" xfId="6908" xr:uid="{51590ECE-4A89-4B87-88AA-9C2CA04CE819}"/>
    <cellStyle name="Moneda 3 3 5 8" xfId="7330" xr:uid="{90CADD04-CFB8-45D6-8A73-E4C960AEECD1}"/>
    <cellStyle name="Moneda 3 3 5 9" xfId="7752" xr:uid="{2CB858F3-B369-4DF9-943B-978C14747676}"/>
    <cellStyle name="Moneda 3 3 6" xfId="1920" xr:uid="{00000000-0005-0000-0000-000084070000}"/>
    <cellStyle name="Moneda 3 3 6 2" xfId="4091" xr:uid="{00000000-0005-0000-0000-000085070000}"/>
    <cellStyle name="Moneda 3 3 6 2 2" xfId="6323" xr:uid="{DAA7ABF2-7B82-4610-8BE8-074EAFFA3B68}"/>
    <cellStyle name="Moneda 3 3 6 3" xfId="5613" xr:uid="{99F41A92-BF62-47E0-8978-3F9279B52C86}"/>
    <cellStyle name="Moneda 3 3 7" xfId="3872" xr:uid="{00000000-0005-0000-0000-000086070000}"/>
    <cellStyle name="Moneda 3 3 7 2" xfId="5968" xr:uid="{A2C17FB9-F0A6-4DDE-B79A-02668A697686}"/>
    <cellStyle name="Moneda 3 3 8" xfId="1130" xr:uid="{00000000-0005-0000-0000-000087070000}"/>
    <cellStyle name="Moneda 3 3 9" xfId="3915" xr:uid="{00000000-0005-0000-0000-000088070000}"/>
    <cellStyle name="Moneda 3 4" xfId="340" xr:uid="{00000000-0005-0000-0000-000089070000}"/>
    <cellStyle name="Moneda 3 4 10" xfId="4431" xr:uid="{3EEF2139-03B0-44FF-9C36-C2DE70CEF07F}"/>
    <cellStyle name="Moneda 3 4 11" xfId="4854" xr:uid="{BBC2019E-5F79-4B81-BFB7-33F690D5D6E1}"/>
    <cellStyle name="Moneda 3 4 12" xfId="5261" xr:uid="{AD13EDBA-35C8-4075-B1F6-034CB09398EC}"/>
    <cellStyle name="Moneda 3 4 13" xfId="6700" xr:uid="{97DCDAE5-FCD9-46A8-AD02-D48D21DB9DB0}"/>
    <cellStyle name="Moneda 3 4 14" xfId="7122" xr:uid="{7FB41A6A-A957-4439-8A17-AF6C706E6E6F}"/>
    <cellStyle name="Moneda 3 4 15" xfId="7544" xr:uid="{7E4B4AC5-6EFD-4A2A-8504-93238EA1BA99}"/>
    <cellStyle name="Moneda 3 4 2" xfId="459" xr:uid="{00000000-0005-0000-0000-00008A070000}"/>
    <cellStyle name="Moneda 3 4 2 10" xfId="6738" xr:uid="{9B1F82AC-3F7F-4B52-BCEC-A9D62D294367}"/>
    <cellStyle name="Moneda 3 4 2 11" xfId="7160" xr:uid="{10556161-3875-46F0-AF61-ADDD438909F3}"/>
    <cellStyle name="Moneda 3 4 2 12" xfId="7582" xr:uid="{82D1C100-C622-4B7A-8E88-1B206AEFA895}"/>
    <cellStyle name="Moneda 3 4 2 2" xfId="747" xr:uid="{00000000-0005-0000-0000-00008B070000}"/>
    <cellStyle name="Moneda 3 4 2 2 10" xfId="7203" xr:uid="{F87E226C-DB9D-4A4E-A5D7-ED2DE579E230}"/>
    <cellStyle name="Moneda 3 4 2 2 11" xfId="7625" xr:uid="{BFD7875C-F054-44E5-AC23-A1151A594236}"/>
    <cellStyle name="Moneda 3 4 2 2 2" xfId="1037" xr:uid="{00000000-0005-0000-0000-00008C070000}"/>
    <cellStyle name="Moneda 3 4 2 2 2 2" xfId="3826" xr:uid="{00000000-0005-0000-0000-00008D070000}"/>
    <cellStyle name="Moneda 3 4 2 2 2 2 2" xfId="6572" xr:uid="{9AA37DF3-E682-4E53-833C-D6910CCEE382}"/>
    <cellStyle name="Moneda 3 4 2 2 2 2 3" xfId="5862" xr:uid="{96822713-30F3-4A85-8EB0-C5A5CCF53FB5}"/>
    <cellStyle name="Moneda 3 4 2 2 2 3" xfId="4369" xr:uid="{00000000-0005-0000-0000-00008E070000}"/>
    <cellStyle name="Moneda 3 4 2 2 2 3 2" xfId="6217" xr:uid="{9E625122-F904-422C-8E70-2CB054D18601}"/>
    <cellStyle name="Moneda 3 4 2 2 2 4" xfId="4724" xr:uid="{A693010B-FCA1-49E9-9304-78BBEA8B6242}"/>
    <cellStyle name="Moneda 3 4 2 2 2 5" xfId="5146" xr:uid="{9FAE8A75-B7A9-4713-A34C-48E7CFA0158F}"/>
    <cellStyle name="Moneda 3 4 2 2 2 6" xfId="5507" xr:uid="{1A1D72D6-1AE8-4BD4-AA27-05604DB5CEBA}"/>
    <cellStyle name="Moneda 3 4 2 2 2 7" xfId="6992" xr:uid="{93691A1F-0F58-4C70-AA7D-3643EDD1BF56}"/>
    <cellStyle name="Moneda 3 4 2 2 2 8" xfId="7414" xr:uid="{86526D7F-8D5E-4C72-ACE0-D6471B4887F8}"/>
    <cellStyle name="Moneda 3 4 2 2 2 9" xfId="7836" xr:uid="{2BC04660-097D-456E-9B67-553E8C2E9BEE}"/>
    <cellStyle name="Moneda 3 4 2 2 3" xfId="2751" xr:uid="{00000000-0005-0000-0000-00008F070000}"/>
    <cellStyle name="Moneda 3 4 2 2 3 2" xfId="4227" xr:uid="{00000000-0005-0000-0000-000090070000}"/>
    <cellStyle name="Moneda 3 4 2 2 3 2 2" xfId="6408" xr:uid="{F2628E73-8A28-4203-9C8A-F7F82F3E2121}"/>
    <cellStyle name="Moneda 3 4 2 2 3 3" xfId="5698" xr:uid="{4F289E31-5E51-4FCA-92C8-F47DD3B90B24}"/>
    <cellStyle name="Moneda 3 4 2 2 4" xfId="1639" xr:uid="{00000000-0005-0000-0000-000091070000}"/>
    <cellStyle name="Moneda 3 4 2 2 4 2" xfId="6053" xr:uid="{CE387F2B-AB14-4148-8BC2-B6AC3F3FC879}"/>
    <cellStyle name="Moneda 3 4 2 2 5" xfId="4035" xr:uid="{00000000-0005-0000-0000-000092070000}"/>
    <cellStyle name="Moneda 3 4 2 2 6" xfId="4512" xr:uid="{9FE128A9-A647-4EA9-8A8A-C2BE71A10E6D}"/>
    <cellStyle name="Moneda 3 4 2 2 7" xfId="4935" xr:uid="{6CF40BC5-B59E-48F5-9514-37F0A004662E}"/>
    <cellStyle name="Moneda 3 4 2 2 8" xfId="5343" xr:uid="{DB429E3C-55F2-4CAE-9E72-E9493DBEED14}"/>
    <cellStyle name="Moneda 3 4 2 2 9" xfId="6781" xr:uid="{F534C5CB-C0A1-408A-8779-0DBD12FC9493}"/>
    <cellStyle name="Moneda 3 4 2 3" xfId="994" xr:uid="{00000000-0005-0000-0000-000093070000}"/>
    <cellStyle name="Moneda 3 4 2 3 2" xfId="3283" xr:uid="{00000000-0005-0000-0000-000094070000}"/>
    <cellStyle name="Moneda 3 4 2 3 2 2" xfId="6529" xr:uid="{0E044787-1C4F-483C-9ACD-936D75ACEBC7}"/>
    <cellStyle name="Moneda 3 4 2 3 2 3" xfId="5819" xr:uid="{E612C5D2-0840-4C90-B1C3-01C76E3D0C8A}"/>
    <cellStyle name="Moneda 3 4 2 3 3" xfId="4274" xr:uid="{00000000-0005-0000-0000-000095070000}"/>
    <cellStyle name="Moneda 3 4 2 3 3 2" xfId="6174" xr:uid="{C2455ADA-1423-4362-B770-839580D57A41}"/>
    <cellStyle name="Moneda 3 4 2 3 4" xfId="4681" xr:uid="{A9486644-DC77-4CFF-BD70-786B5D78826B}"/>
    <cellStyle name="Moneda 3 4 2 3 5" xfId="5103" xr:uid="{086D7E74-11CE-43B3-8B3F-C52FA8D53249}"/>
    <cellStyle name="Moneda 3 4 2 3 6" xfId="5464" xr:uid="{7EA2BDA0-1BD1-4E3B-8953-A79482B4BF7C}"/>
    <cellStyle name="Moneda 3 4 2 3 7" xfId="6949" xr:uid="{6A95B766-F969-4F05-BDBB-ED6B55DCFCF5}"/>
    <cellStyle name="Moneda 3 4 2 3 8" xfId="7371" xr:uid="{36A2ECA4-39DB-4E1C-9557-D2498AA1DF66}"/>
    <cellStyle name="Moneda 3 4 2 3 9" xfId="7793" xr:uid="{C06E0FF8-62C5-4298-BDED-6A45D39F746B}"/>
    <cellStyle name="Moneda 3 4 2 4" xfId="2208" xr:uid="{00000000-0005-0000-0000-000096070000}"/>
    <cellStyle name="Moneda 3 4 2 4 2" xfId="4132" xr:uid="{00000000-0005-0000-0000-000097070000}"/>
    <cellStyle name="Moneda 3 4 2 4 2 2" xfId="6344" xr:uid="{DBF38812-9720-42CC-BF41-178F3F46168A}"/>
    <cellStyle name="Moneda 3 4 2 4 3" xfId="5634" xr:uid="{CD75E37C-B0F4-4936-A8D2-15F4A6896CB2}"/>
    <cellStyle name="Moneda 3 4 2 5" xfId="1155" xr:uid="{00000000-0005-0000-0000-000098070000}"/>
    <cellStyle name="Moneda 3 4 2 5 2" xfId="5989" xr:uid="{1EEC28C0-032D-48D6-80B4-B661D9B8E2A5}"/>
    <cellStyle name="Moneda 3 4 2 6" xfId="3940" xr:uid="{00000000-0005-0000-0000-000099070000}"/>
    <cellStyle name="Moneda 3 4 2 7" xfId="4469" xr:uid="{403BE16F-6983-4440-A793-9810D23A144E}"/>
    <cellStyle name="Moneda 3 4 2 8" xfId="4892" xr:uid="{A7311A67-0AE3-469C-A1E1-96A9D1B93D3A}"/>
    <cellStyle name="Moneda 3 4 2 9" xfId="5279" xr:uid="{B482E9C5-CE37-47F2-92CA-BA61EF91FD27}"/>
    <cellStyle name="Moneda 3 4 3" xfId="630" xr:uid="{00000000-0005-0000-0000-00009A070000}"/>
    <cellStyle name="Moneda 3 4 3 10" xfId="6840" xr:uid="{F8CEA25D-B14E-475C-9331-DC111EC2589C}"/>
    <cellStyle name="Moneda 3 4 3 11" xfId="7262" xr:uid="{46DB0DCB-6571-4F90-A7DE-144067C626C0}"/>
    <cellStyle name="Moneda 3 4 3 12" xfId="7684" xr:uid="{A06A8E3D-203A-4BBC-B96C-C8BD834CC0D0}"/>
    <cellStyle name="Moneda 3 4 3 2" xfId="786" xr:uid="{00000000-0005-0000-0000-00009B070000}"/>
    <cellStyle name="Moneda 3 4 3 2 10" xfId="7473" xr:uid="{967D708B-A2D8-4E3F-922A-68FFE73E1CF8}"/>
    <cellStyle name="Moneda 3 4 3 2 11" xfId="7895" xr:uid="{8C06C057-FF90-46AC-BE86-DDB3D9D57B3D}"/>
    <cellStyle name="Moneda 3 4 3 2 2" xfId="3715" xr:uid="{00000000-0005-0000-0000-00009C070000}"/>
    <cellStyle name="Moneda 3 4 3 2 2 2" xfId="4351" xr:uid="{00000000-0005-0000-0000-00009D070000}"/>
    <cellStyle name="Moneda 3 4 3 2 2 2 2" xfId="6447" xr:uid="{051E56EB-1461-468F-802D-0C0214FC941D}"/>
    <cellStyle name="Moneda 3 4 3 2 2 3" xfId="5737" xr:uid="{EB1C6FFB-95FF-462E-81A7-FB44F1215E86}"/>
    <cellStyle name="Moneda 3 4 3 2 3" xfId="2640" xr:uid="{00000000-0005-0000-0000-00009E070000}"/>
    <cellStyle name="Moneda 3 4 3 2 3 2" xfId="4209" xr:uid="{00000000-0005-0000-0000-00009F070000}"/>
    <cellStyle name="Moneda 3 4 3 2 3 3" xfId="6092" xr:uid="{73EEAFA5-B629-49D1-8392-0B4293B97DC4}"/>
    <cellStyle name="Moneda 3 4 3 2 4" xfId="1548" xr:uid="{00000000-0005-0000-0000-0000A0070000}"/>
    <cellStyle name="Moneda 3 4 3 2 5" xfId="4017" xr:uid="{00000000-0005-0000-0000-0000A1070000}"/>
    <cellStyle name="Moneda 3 4 3 2 6" xfId="4783" xr:uid="{598C4561-6ECB-40EA-A644-EA8AFA2C1642}"/>
    <cellStyle name="Moneda 3 4 3 2 7" xfId="5205" xr:uid="{E9736AF8-B5EC-4159-B963-DF7FA038DCBA}"/>
    <cellStyle name="Moneda 3 4 3 2 8" xfId="5382" xr:uid="{6272C2B6-057D-4C7B-924C-D356C8FF7E53}"/>
    <cellStyle name="Moneda 3 4 3 2 9" xfId="7051" xr:uid="{05785668-F188-4462-A982-D7A7E8B6295F}"/>
    <cellStyle name="Moneda 3 4 3 3" xfId="1098" xr:uid="{00000000-0005-0000-0000-0000A2070000}"/>
    <cellStyle name="Moneda 3 4 3 3 2" xfId="3172" xr:uid="{00000000-0005-0000-0000-0000A3070000}"/>
    <cellStyle name="Moneda 3 4 3 3 2 2" xfId="6631" xr:uid="{C90B7FB0-5625-4D6C-BBC0-A49AF24FBEA7}"/>
    <cellStyle name="Moneda 3 4 3 3 2 3" xfId="5921" xr:uid="{E0007150-21D9-45D7-A080-1A7D423A858A}"/>
    <cellStyle name="Moneda 3 4 3 3 3" xfId="4256" xr:uid="{00000000-0005-0000-0000-0000A4070000}"/>
    <cellStyle name="Moneda 3 4 3 3 3 2" xfId="6276" xr:uid="{D171FE08-4D2B-49E7-803E-C5CCAC9EBC14}"/>
    <cellStyle name="Moneda 3 4 3 3 4" xfId="5566" xr:uid="{97B21F82-A627-427E-A99B-A18F52C7ECCB}"/>
    <cellStyle name="Moneda 3 4 3 4" xfId="2097" xr:uid="{00000000-0005-0000-0000-0000A5070000}"/>
    <cellStyle name="Moneda 3 4 3 4 2" xfId="4114" xr:uid="{00000000-0005-0000-0000-0000A6070000}"/>
    <cellStyle name="Moneda 3 4 3 4 2 2" xfId="6383" xr:uid="{D8611F53-A34B-4CAA-88B5-07A6EA76F2BC}"/>
    <cellStyle name="Moneda 3 4 3 4 3" xfId="5673" xr:uid="{4AD738CF-24D5-4FBD-8D33-C9B2ACA243AF}"/>
    <cellStyle name="Moneda 3 4 3 5" xfId="1137" xr:uid="{00000000-0005-0000-0000-0000A7070000}"/>
    <cellStyle name="Moneda 3 4 3 5 2" xfId="6028" xr:uid="{8EBD6B4C-AA5A-4C87-9B91-168745243840}"/>
    <cellStyle name="Moneda 3 4 3 6" xfId="3922" xr:uid="{00000000-0005-0000-0000-0000A8070000}"/>
    <cellStyle name="Moneda 3 4 3 7" xfId="4571" xr:uid="{D6149DED-37B5-405F-9EFD-76D89F23A69F}"/>
    <cellStyle name="Moneda 3 4 3 8" xfId="4994" xr:uid="{C5FCECA6-BC72-4502-8565-74AFEA597735}"/>
    <cellStyle name="Moneda 3 4 3 9" xfId="5318" xr:uid="{FC8008F1-7C11-4730-B578-9FB2059F6C1E}"/>
    <cellStyle name="Moneda 3 4 4" xfId="729" xr:uid="{00000000-0005-0000-0000-0000A9070000}"/>
    <cellStyle name="Moneda 3 4 4 10" xfId="7185" xr:uid="{59DDBF19-FEB7-4AB1-A07C-0EA4CA874ED9}"/>
    <cellStyle name="Moneda 3 4 4 11" xfId="7607" xr:uid="{14F0B82D-3129-4228-93E8-6BB28369F25E}"/>
    <cellStyle name="Moneda 3 4 4 2" xfId="1019" xr:uid="{00000000-0005-0000-0000-0000AA070000}"/>
    <cellStyle name="Moneda 3 4 4 2 2" xfId="3492" xr:uid="{00000000-0005-0000-0000-0000AB070000}"/>
    <cellStyle name="Moneda 3 4 4 2 2 2" xfId="6554" xr:uid="{428E3388-B412-445B-84A4-8B9535331C89}"/>
    <cellStyle name="Moneda 3 4 4 2 2 3" xfId="5844" xr:uid="{ECECA5AE-6CEB-450D-B8E2-E6A92AB239CE}"/>
    <cellStyle name="Moneda 3 4 4 2 3" xfId="4310" xr:uid="{00000000-0005-0000-0000-0000AC070000}"/>
    <cellStyle name="Moneda 3 4 4 2 3 2" xfId="6199" xr:uid="{0ABA8F65-4B70-4F54-B55E-4640EE77F59F}"/>
    <cellStyle name="Moneda 3 4 4 2 4" xfId="4706" xr:uid="{D7E0A9C6-54D4-4711-8E18-A97338B5D99A}"/>
    <cellStyle name="Moneda 3 4 4 2 5" xfId="5128" xr:uid="{F8B1B53F-F5BE-43B6-BF92-90D2AC6A6531}"/>
    <cellStyle name="Moneda 3 4 4 2 6" xfId="5489" xr:uid="{470702A1-BD92-49BD-8DA2-39CE66EBF833}"/>
    <cellStyle name="Moneda 3 4 4 2 7" xfId="6974" xr:uid="{B033E5F9-A0A3-4E5E-A0AB-82C1A17B31F2}"/>
    <cellStyle name="Moneda 3 4 4 2 8" xfId="7396" xr:uid="{A8113358-32A0-457F-89B3-DB7E5F7DBA9C}"/>
    <cellStyle name="Moneda 3 4 4 2 9" xfId="7818" xr:uid="{DDC23FED-7F41-4D93-BBC3-ABDF46B21BCA}"/>
    <cellStyle name="Moneda 3 4 4 3" xfId="2417" xr:uid="{00000000-0005-0000-0000-0000AD070000}"/>
    <cellStyle name="Moneda 3 4 4 3 2" xfId="4168" xr:uid="{00000000-0005-0000-0000-0000AE070000}"/>
    <cellStyle name="Moneda 3 4 4 3 2 2" xfId="6390" xr:uid="{C3AF8596-E83D-489D-937F-2293C2236026}"/>
    <cellStyle name="Moneda 3 4 4 3 3" xfId="5680" xr:uid="{265541A0-CACE-4CFC-BE05-D3B3DBAF5F9C}"/>
    <cellStyle name="Moneda 3 4 4 4" xfId="1349" xr:uid="{00000000-0005-0000-0000-0000AF070000}"/>
    <cellStyle name="Moneda 3 4 4 4 2" xfId="6035" xr:uid="{33E09F57-F089-4B4B-AF6D-8F4EF2CC92DA}"/>
    <cellStyle name="Moneda 3 4 4 5" xfId="3976" xr:uid="{00000000-0005-0000-0000-0000B0070000}"/>
    <cellStyle name="Moneda 3 4 4 6" xfId="4494" xr:uid="{D9950FF1-5565-4FB8-921A-DE75A2DDA79C}"/>
    <cellStyle name="Moneda 3 4 4 7" xfId="4917" xr:uid="{35B9D515-F384-4DDC-A861-01AA43222BB0}"/>
    <cellStyle name="Moneda 3 4 4 8" xfId="5325" xr:uid="{024A583E-0EF0-4DAC-BC98-83AB626F5AFE}"/>
    <cellStyle name="Moneda 3 4 4 9" xfId="6763" xr:uid="{5F2526CD-17E2-48A6-8669-29C01E6EA070}"/>
    <cellStyle name="Moneda 3 4 5" xfId="955" xr:uid="{00000000-0005-0000-0000-0000B1070000}"/>
    <cellStyle name="Moneda 3 4 5 2" xfId="2953" xr:uid="{00000000-0005-0000-0000-0000B2070000}"/>
    <cellStyle name="Moneda 3 4 5 2 2" xfId="6491" xr:uid="{6B923F41-F24D-49C9-A5EE-C3A140159330}"/>
    <cellStyle name="Moneda 3 4 5 2 3" xfId="5781" xr:uid="{8B8CDB6F-CC41-45D6-97B5-F05BC0A99AEF}"/>
    <cellStyle name="Moneda 3 4 5 3" xfId="4247" xr:uid="{00000000-0005-0000-0000-0000B3070000}"/>
    <cellStyle name="Moneda 3 4 5 3 2" xfId="6136" xr:uid="{DC259223-3991-4013-BC0D-F9FFCEBF0B91}"/>
    <cellStyle name="Moneda 3 4 5 4" xfId="4643" xr:uid="{65196512-D724-4DE1-894A-0B30DE14CF27}"/>
    <cellStyle name="Moneda 3 4 5 5" xfId="5065" xr:uid="{B99103B5-F417-4682-8E56-208D2BDD3B8B}"/>
    <cellStyle name="Moneda 3 4 5 6" xfId="5426" xr:uid="{7D427428-FC8B-469D-9C3C-4239A529636A}"/>
    <cellStyle name="Moneda 3 4 5 7" xfId="6911" xr:uid="{AEA93184-D535-4C25-9FBF-2EB29816C9FA}"/>
    <cellStyle name="Moneda 3 4 5 8" xfId="7333" xr:uid="{E4533E33-58AA-4BBB-AE15-CCAE97FBBBEA}"/>
    <cellStyle name="Moneda 3 4 5 9" xfId="7755" xr:uid="{C518F192-F9BC-4280-B333-3D02F3E21514}"/>
    <cellStyle name="Moneda 3 4 6" xfId="1862" xr:uid="{00000000-0005-0000-0000-0000B4070000}"/>
    <cellStyle name="Moneda 3 4 6 2" xfId="4073" xr:uid="{00000000-0005-0000-0000-0000B5070000}"/>
    <cellStyle name="Moneda 3 4 6 2 2" xfId="6326" xr:uid="{610F0689-7999-4608-B886-6F6D880F355F}"/>
    <cellStyle name="Moneda 3 4 6 3" xfId="5616" xr:uid="{24854186-816E-40E1-B9F1-04330EB92B66}"/>
    <cellStyle name="Moneda 3 4 7" xfId="3888" xr:uid="{00000000-0005-0000-0000-0000B6070000}"/>
    <cellStyle name="Moneda 3 4 7 2" xfId="5971" xr:uid="{E8AEF28F-16A5-4C8E-8FC4-7C85273E9DD8}"/>
    <cellStyle name="Moneda 3 4 8" xfId="1128" xr:uid="{00000000-0005-0000-0000-0000B7070000}"/>
    <cellStyle name="Moneda 3 4 9" xfId="3913" xr:uid="{00000000-0005-0000-0000-0000B8070000}"/>
    <cellStyle name="Moneda 3 5" xfId="323" xr:uid="{00000000-0005-0000-0000-0000B9070000}"/>
    <cellStyle name="Moneda 3 5 2" xfId="1541" xr:uid="{00000000-0005-0000-0000-0000BA070000}"/>
    <cellStyle name="Moneda 3 5 2 2" xfId="3708" xr:uid="{00000000-0005-0000-0000-0000BB070000}"/>
    <cellStyle name="Moneda 3 5 2 3" xfId="2633" xr:uid="{00000000-0005-0000-0000-0000BC070000}"/>
    <cellStyle name="Moneda 3 5 3" xfId="3165" xr:uid="{00000000-0005-0000-0000-0000BD070000}"/>
    <cellStyle name="Moneda 3 5 4" xfId="2090" xr:uid="{00000000-0005-0000-0000-0000BE070000}"/>
    <cellStyle name="Moneda 3 6" xfId="565" xr:uid="{00000000-0005-0000-0000-0000BF070000}"/>
    <cellStyle name="Moneda 3 6 10" xfId="6817" xr:uid="{5A0D19DA-3113-4391-9518-EC645E6F3080}"/>
    <cellStyle name="Moneda 3 6 11" xfId="7239" xr:uid="{95A98E2A-C871-40F6-973C-032AF0EF9485}"/>
    <cellStyle name="Moneda 3 6 12" xfId="7661" xr:uid="{B54FAC49-3099-436E-BA72-65FBA2005E75}"/>
    <cellStyle name="Moneda 3 6 2" xfId="767" xr:uid="{00000000-0005-0000-0000-0000C0070000}"/>
    <cellStyle name="Moneda 3 6 2 10" xfId="7450" xr:uid="{0B101B90-4082-4B34-900B-D5EF8668D24E}"/>
    <cellStyle name="Moneda 3 6 2 11" xfId="7872" xr:uid="{3B418EC0-A910-4CAC-8EDD-AD2FBCD04B7E}"/>
    <cellStyle name="Moneda 3 6 2 2" xfId="3642" xr:uid="{00000000-0005-0000-0000-0000C1070000}"/>
    <cellStyle name="Moneda 3 6 2 2 2" xfId="4330" xr:uid="{00000000-0005-0000-0000-0000C2070000}"/>
    <cellStyle name="Moneda 3 6 2 2 2 2" xfId="6428" xr:uid="{DB2F992F-DD28-4BE0-BB6D-9BC74EB114B7}"/>
    <cellStyle name="Moneda 3 6 2 2 3" xfId="5718" xr:uid="{3DD74435-CC32-4F80-B63D-F29FD1F2CD1A}"/>
    <cellStyle name="Moneda 3 6 2 3" xfId="2567" xr:uid="{00000000-0005-0000-0000-0000C3070000}"/>
    <cellStyle name="Moneda 3 6 2 3 2" xfId="4188" xr:uid="{00000000-0005-0000-0000-0000C4070000}"/>
    <cellStyle name="Moneda 3 6 2 3 3" xfId="6073" xr:uid="{F0A204AB-F69D-46D1-B5D2-8BD1DB68DC69}"/>
    <cellStyle name="Moneda 3 6 2 4" xfId="1479" xr:uid="{00000000-0005-0000-0000-0000C5070000}"/>
    <cellStyle name="Moneda 3 6 2 5" xfId="3996" xr:uid="{00000000-0005-0000-0000-0000C6070000}"/>
    <cellStyle name="Moneda 3 6 2 6" xfId="4760" xr:uid="{E27BEFFA-8781-454D-8BDA-5379398394BE}"/>
    <cellStyle name="Moneda 3 6 2 7" xfId="5182" xr:uid="{54531EAF-CB10-4BAC-B5E7-BD5C81D27FE6}"/>
    <cellStyle name="Moneda 3 6 2 8" xfId="5363" xr:uid="{6CF2E136-072B-449B-8978-87E49B6211B4}"/>
    <cellStyle name="Moneda 3 6 2 9" xfId="7028" xr:uid="{04C87771-F7DC-4FFF-A2F2-CF5658235C00}"/>
    <cellStyle name="Moneda 3 6 3" xfId="1073" xr:uid="{00000000-0005-0000-0000-0000C7070000}"/>
    <cellStyle name="Moneda 3 6 3 2" xfId="3115" xr:uid="{00000000-0005-0000-0000-0000C8070000}"/>
    <cellStyle name="Moneda 3 6 3 2 2" xfId="6608" xr:uid="{7C50E4C2-2264-4106-8DD4-5E8C5BB3D55A}"/>
    <cellStyle name="Moneda 3 6 3 2 3" xfId="5898" xr:uid="{D1C1FFC1-8EC0-4BEA-9B7A-D98E7DA4AC05}"/>
    <cellStyle name="Moneda 3 6 3 3" xfId="4251" xr:uid="{00000000-0005-0000-0000-0000C9070000}"/>
    <cellStyle name="Moneda 3 6 3 3 2" xfId="6253" xr:uid="{6EE0CE99-1910-4F18-B83A-FB07C36603FF}"/>
    <cellStyle name="Moneda 3 6 3 4" xfId="5543" xr:uid="{D1AA7D70-4897-4440-9285-345BEF509D78}"/>
    <cellStyle name="Moneda 3 6 4" xfId="2024" xr:uid="{00000000-0005-0000-0000-0000CA070000}"/>
    <cellStyle name="Moneda 3 6 4 2" xfId="4093" xr:uid="{00000000-0005-0000-0000-0000CB070000}"/>
    <cellStyle name="Moneda 3 6 4 2 2" xfId="6364" xr:uid="{B6E00644-8311-46B3-B373-3585C4D44708}"/>
    <cellStyle name="Moneda 3 6 4 3" xfId="5654" xr:uid="{F669468B-7C06-4285-BD93-05117657C15A}"/>
    <cellStyle name="Moneda 3 6 5" xfId="1132" xr:uid="{00000000-0005-0000-0000-0000CC070000}"/>
    <cellStyle name="Moneda 3 6 5 2" xfId="6009" xr:uid="{88F06B12-D18D-4214-A662-F9236D627CDC}"/>
    <cellStyle name="Moneda 3 6 6" xfId="3917" xr:uid="{00000000-0005-0000-0000-0000CD070000}"/>
    <cellStyle name="Moneda 3 6 7" xfId="4548" xr:uid="{C6FE78C9-5AA3-4620-9CAB-E51A90069DCA}"/>
    <cellStyle name="Moneda 3 6 8" xfId="4971" xr:uid="{E1680787-CE64-4583-A646-017F1866C42B}"/>
    <cellStyle name="Moneda 3 6 9" xfId="5299" xr:uid="{68C99B87-4B90-4DBE-9ABB-4E2060A3C628}"/>
    <cellStyle name="Moneda 3 7" xfId="724" xr:uid="{00000000-0005-0000-0000-0000CE070000}"/>
    <cellStyle name="Moneda 3 7 10" xfId="7602" xr:uid="{1B17CFC8-6C61-4509-8AF2-F2C76476C743}"/>
    <cellStyle name="Moneda 3 7 2" xfId="1014" xr:uid="{00000000-0005-0000-0000-0000CF070000}"/>
    <cellStyle name="Moneda 3 7 2 2" xfId="3401" xr:uid="{00000000-0005-0000-0000-0000D0070000}"/>
    <cellStyle name="Moneda 3 7 2 2 2" xfId="6549" xr:uid="{22F67A31-489D-429E-A232-1D39E4416A91}"/>
    <cellStyle name="Moneda 3 7 2 2 3" xfId="5839" xr:uid="{BC480D15-7F1E-4B30-82C1-7C610DDE13B6}"/>
    <cellStyle name="Moneda 3 7 2 3" xfId="4701" xr:uid="{B4AEAFFD-FCA1-44A6-93E1-1751C6A15E45}"/>
    <cellStyle name="Moneda 3 7 2 3 2" xfId="6194" xr:uid="{97552CCE-2AE6-4873-B4C0-D08D91D06E0C}"/>
    <cellStyle name="Moneda 3 7 2 4" xfId="5123" xr:uid="{0E2D7404-83FB-4717-845E-7A4B4DF4E520}"/>
    <cellStyle name="Moneda 3 7 2 5" xfId="5484" xr:uid="{376F1B04-EFB2-4637-A127-E38393212676}"/>
    <cellStyle name="Moneda 3 7 2 6" xfId="6969" xr:uid="{F3D8ACF2-9060-4C9E-A8E4-1294ECF933CE}"/>
    <cellStyle name="Moneda 3 7 2 7" xfId="7391" xr:uid="{1A10E849-8759-47D5-B0DC-B6F4E292BE49}"/>
    <cellStyle name="Moneda 3 7 2 8" xfId="7813" xr:uid="{59495460-BD30-4ADC-B9D4-9F64DF69EE6B}"/>
    <cellStyle name="Moneda 3 7 3" xfId="2326" xr:uid="{00000000-0005-0000-0000-0000D1070000}"/>
    <cellStyle name="Moneda 3 7 3 2" xfId="6385" xr:uid="{7E1B152B-832F-4A35-A75A-AB12141620CC}"/>
    <cellStyle name="Moneda 3 7 3 3" xfId="5675" xr:uid="{30E38006-7A5F-4E21-9A0A-4B3464F68A15}"/>
    <cellStyle name="Moneda 3 7 4" xfId="1274" xr:uid="{00000000-0005-0000-0000-0000D2070000}"/>
    <cellStyle name="Moneda 3 7 4 2" xfId="6030" xr:uid="{574E2C90-2FF8-4E8A-9309-6872EC894B62}"/>
    <cellStyle name="Moneda 3 7 5" xfId="4489" xr:uid="{566B915F-1D64-433A-944C-7B4A45F6A785}"/>
    <cellStyle name="Moneda 3 7 6" xfId="4912" xr:uid="{40CF4568-AC91-43DA-91D6-4A72D3493109}"/>
    <cellStyle name="Moneda 3 7 7" xfId="5320" xr:uid="{97F51D70-D8C5-4559-9076-0EDB01C35669}"/>
    <cellStyle name="Moneda 3 7 8" xfId="6758" xr:uid="{99DA51AF-3166-4024-B9B7-2B8ADDB65FE4}"/>
    <cellStyle name="Moneda 3 7 9" xfId="7180" xr:uid="{32871CBA-8C15-4AE8-91AE-ECD16DC0AA3C}"/>
    <cellStyle name="Moneda 3 8" xfId="925" xr:uid="{00000000-0005-0000-0000-0000D3070000}"/>
    <cellStyle name="Moneda 3 8 2" xfId="2862" xr:uid="{00000000-0005-0000-0000-0000D4070000}"/>
    <cellStyle name="Moneda 3 8 2 2" xfId="6466" xr:uid="{63508399-3DD9-4589-947D-A8A1ADF7B306}"/>
    <cellStyle name="Moneda 3 8 2 3" xfId="5756" xr:uid="{E034B44E-9018-4D82-B505-AD9E2E8E83C4}"/>
    <cellStyle name="Moneda 3 8 3" xfId="1669" xr:uid="{00000000-0005-0000-0000-0000D5070000}"/>
    <cellStyle name="Moneda 3 8 3 2" xfId="6111" xr:uid="{795291B9-B66E-40B7-8D2C-7001E6EC7FAA}"/>
    <cellStyle name="Moneda 3 8 4" xfId="5401" xr:uid="{9B74A036-D705-4160-B572-11BA6C415E6C}"/>
    <cellStyle name="Moneda 3 9" xfId="168" xr:uid="{00000000-0005-0000-0000-0000D6070000}"/>
    <cellStyle name="Moneda 3 9 2" xfId="1771" xr:uid="{00000000-0005-0000-0000-0000D7070000}"/>
    <cellStyle name="Moneda 3 9 2 2" xfId="6305" xr:uid="{D19378A5-E0A7-47D5-B75E-510BF0F9CE1B}"/>
    <cellStyle name="Moneda 3 9 2 3" xfId="5595" xr:uid="{BE82A6CD-888B-4C59-B87F-DAEBB256DAF7}"/>
    <cellStyle name="Moneda 3 9 3" xfId="4618" xr:uid="{B357F98D-14B1-422D-A150-9B0F0EFA579B}"/>
    <cellStyle name="Moneda 3 9 3 2" xfId="5950" xr:uid="{86390ED6-0D01-4393-9939-05221D88498A}"/>
    <cellStyle name="Moneda 3 9 4" xfId="5040" xr:uid="{AA6A4925-E1B0-4ECF-AE22-EDCF417EFC02}"/>
    <cellStyle name="Moneda 3 9 5" xfId="5240" xr:uid="{149A71C9-79E9-4CF0-AA02-89DA3BB15B03}"/>
    <cellStyle name="Moneda 3 9 6" xfId="6886" xr:uid="{4A6742FB-B764-4D4A-87BF-2E92164B40EA}"/>
    <cellStyle name="Moneda 3 9 7" xfId="7308" xr:uid="{C30E8895-CD55-4530-A43D-318F20000464}"/>
    <cellStyle name="Moneda 3 9 8" xfId="7730" xr:uid="{7F9C6931-9DCC-4BBD-AA32-8B054391D40C}"/>
    <cellStyle name="Moneda 4" xfId="5" xr:uid="{00000000-0005-0000-0000-0000D8070000}"/>
    <cellStyle name="Moneda 4 10" xfId="3860" xr:uid="{00000000-0005-0000-0000-0000D9070000}"/>
    <cellStyle name="Moneda 4 10 2" xfId="6302" xr:uid="{C9B5CA26-672F-4F32-89C4-FA93ED8EFB87}"/>
    <cellStyle name="Moneda 4 10 3" xfId="5592" xr:uid="{3AC1386C-5D45-4DF2-B432-E81AEC54338F}"/>
    <cellStyle name="Moneda 4 11" xfId="1127" xr:uid="{00000000-0005-0000-0000-0000DA070000}"/>
    <cellStyle name="Moneda 4 11 2" xfId="5947" xr:uid="{6DFF2A0B-F2E4-4920-8D48-70C7DE9A0C89}"/>
    <cellStyle name="Moneda 4 12" xfId="3912" xr:uid="{00000000-0005-0000-0000-0000DB070000}"/>
    <cellStyle name="Moneda 4 13" xfId="4389" xr:uid="{E035E0EC-8916-4840-9AB2-CD7019D4600F}"/>
    <cellStyle name="Moneda 4 14" xfId="4812" xr:uid="{FFB0EBCC-DF36-48F4-AD96-3E43B1C53E15}"/>
    <cellStyle name="Moneda 4 15" xfId="5235" xr:uid="{6F88669B-CB1F-425F-96AB-39DF8F90DA66}"/>
    <cellStyle name="Moneda 4 16" xfId="6658" xr:uid="{14EBD7E1-7AD5-45C7-8AC3-053836C40581}"/>
    <cellStyle name="Moneda 4 17" xfId="7080" xr:uid="{3C892539-1E65-4B6F-B1D6-33B290BD24F7}"/>
    <cellStyle name="Moneda 4 18" xfId="7502" xr:uid="{F885F805-1E93-4C72-8A2E-6AC0E212953F}"/>
    <cellStyle name="Moneda 4 2" xfId="242" xr:uid="{00000000-0005-0000-0000-0000DC070000}"/>
    <cellStyle name="Moneda 4 2 10" xfId="4425" xr:uid="{EE271142-ABE0-4599-A88A-FDB6AE114573}"/>
    <cellStyle name="Moneda 4 2 11" xfId="4848" xr:uid="{9AE96263-8081-4123-B3B3-D3CCC769E0AA}"/>
    <cellStyle name="Moneda 4 2 12" xfId="5257" xr:uid="{DEAA1066-1CFA-4DE6-956C-0C7E7ACA74EB}"/>
    <cellStyle name="Moneda 4 2 13" xfId="6694" xr:uid="{8FF4067D-51D6-4B9A-AECD-65A4A2F68731}"/>
    <cellStyle name="Moneda 4 2 14" xfId="7116" xr:uid="{44F8C4CC-AD48-4DD6-A056-F01FAF173F99}"/>
    <cellStyle name="Moneda 4 2 15" xfId="7538" xr:uid="{4966888E-D35B-45CF-8C36-4898C4A8FDFF}"/>
    <cellStyle name="Moneda 4 2 2" xfId="476" xr:uid="{00000000-0005-0000-0000-0000DD070000}"/>
    <cellStyle name="Moneda 4 2 2 10" xfId="5296" xr:uid="{ADE9318D-D7BF-431A-8ADF-7A3F1D8C1F67}"/>
    <cellStyle name="Moneda 4 2 2 11" xfId="6755" xr:uid="{9DA209C1-FF11-47BD-BCDB-5BEEEF6F150C}"/>
    <cellStyle name="Moneda 4 2 2 12" xfId="7177" xr:uid="{CB0A2EB9-AB46-4222-9E70-9C2947E045E8}"/>
    <cellStyle name="Moneda 4 2 2 13" xfId="7599" xr:uid="{BC447129-C0B6-4D73-AAE2-F1F66A75B5F5}"/>
    <cellStyle name="Moneda 4 2 2 2" xfId="764" xr:uid="{00000000-0005-0000-0000-0000DE070000}"/>
    <cellStyle name="Moneda 4 2 2 2 10" xfId="7220" xr:uid="{430126AF-3760-4DBC-BD0F-CE4B13BA6ECD}"/>
    <cellStyle name="Moneda 4 2 2 2 11" xfId="7642" xr:uid="{8E09F7D3-4215-4602-8A93-7D3563CFADBF}"/>
    <cellStyle name="Moneda 4 2 2 2 2" xfId="1054" xr:uid="{00000000-0005-0000-0000-0000DF070000}"/>
    <cellStyle name="Moneda 4 2 2 2 2 2" xfId="3843" xr:uid="{00000000-0005-0000-0000-0000E0070000}"/>
    <cellStyle name="Moneda 4 2 2 2 2 2 2" xfId="6589" xr:uid="{844C1699-64DE-4300-9A89-C7B2EF99E41F}"/>
    <cellStyle name="Moneda 4 2 2 2 2 2 3" xfId="5879" xr:uid="{712AFF87-FA3F-4742-9560-C122138441F9}"/>
    <cellStyle name="Moneda 4 2 2 2 2 3" xfId="4386" xr:uid="{00000000-0005-0000-0000-0000E1070000}"/>
    <cellStyle name="Moneda 4 2 2 2 2 3 2" xfId="6234" xr:uid="{7DF4357D-CF81-4FC5-B72D-CF9921EFD37D}"/>
    <cellStyle name="Moneda 4 2 2 2 2 4" xfId="4741" xr:uid="{AA30F9C9-AD63-46D1-9CDF-B6D9B1B9D624}"/>
    <cellStyle name="Moneda 4 2 2 2 2 5" xfId="5163" xr:uid="{759E2758-9A5E-4BD4-BDC2-9CD94FCD6BFB}"/>
    <cellStyle name="Moneda 4 2 2 2 2 6" xfId="5524" xr:uid="{A4E21529-6280-4CDC-B06A-D259B16907F1}"/>
    <cellStyle name="Moneda 4 2 2 2 2 7" xfId="7009" xr:uid="{37D4DD1D-0034-483E-AC92-B848535B821D}"/>
    <cellStyle name="Moneda 4 2 2 2 2 8" xfId="7431" xr:uid="{DBF1A3B6-FC48-4397-8B32-0AED11E85E43}"/>
    <cellStyle name="Moneda 4 2 2 2 2 9" xfId="7853" xr:uid="{575006C4-C55D-4670-8002-4C877708EB0D}"/>
    <cellStyle name="Moneda 4 2 2 2 3" xfId="2768" xr:uid="{00000000-0005-0000-0000-0000E2070000}"/>
    <cellStyle name="Moneda 4 2 2 2 3 2" xfId="4244" xr:uid="{00000000-0005-0000-0000-0000E3070000}"/>
    <cellStyle name="Moneda 4 2 2 2 3 2 2" xfId="6425" xr:uid="{338D9971-E643-4560-97E6-CD587AE967B0}"/>
    <cellStyle name="Moneda 4 2 2 2 3 3" xfId="5715" xr:uid="{57A389BB-3BF6-441C-9411-55605B37EB93}"/>
    <cellStyle name="Moneda 4 2 2 2 4" xfId="1656" xr:uid="{00000000-0005-0000-0000-0000E4070000}"/>
    <cellStyle name="Moneda 4 2 2 2 4 2" xfId="6070" xr:uid="{7D8B0BDD-E09B-4E8F-B59C-0A18DCEDAE03}"/>
    <cellStyle name="Moneda 4 2 2 2 5" xfId="4052" xr:uid="{00000000-0005-0000-0000-0000E5070000}"/>
    <cellStyle name="Moneda 4 2 2 2 6" xfId="4529" xr:uid="{17FDBDBB-5AC5-4859-8F67-F83777BF0C35}"/>
    <cellStyle name="Moneda 4 2 2 2 7" xfId="4952" xr:uid="{D9000C14-3A63-43EC-85E5-E192C9CBDCEB}"/>
    <cellStyle name="Moneda 4 2 2 2 8" xfId="5360" xr:uid="{1F0F0456-22F3-491E-8EAF-BF55976D1958}"/>
    <cellStyle name="Moneda 4 2 2 2 9" xfId="6798" xr:uid="{163DB4CA-9982-42E7-AD3A-6740A05C7586}"/>
    <cellStyle name="Moneda 4 2 2 3" xfId="1011" xr:uid="{00000000-0005-0000-0000-0000E6070000}"/>
    <cellStyle name="Moneda 4 2 2 3 2" xfId="3300" xr:uid="{00000000-0005-0000-0000-0000E7070000}"/>
    <cellStyle name="Moneda 4 2 2 3 2 2" xfId="6546" xr:uid="{8C28D92C-A01A-44BF-AA27-8CD4470C1D6E}"/>
    <cellStyle name="Moneda 4 2 2 3 2 3" xfId="5836" xr:uid="{DD85E224-049E-465D-A6B2-B61DEBC78CAF}"/>
    <cellStyle name="Moneda 4 2 2 3 3" xfId="4291" xr:uid="{00000000-0005-0000-0000-0000E8070000}"/>
    <cellStyle name="Moneda 4 2 2 3 3 2" xfId="6191" xr:uid="{A437BB79-25C0-4856-B76D-17743AF0C4BC}"/>
    <cellStyle name="Moneda 4 2 2 3 4" xfId="4698" xr:uid="{07278901-3CCF-4DA8-B535-087E8974944E}"/>
    <cellStyle name="Moneda 4 2 2 3 5" xfId="5120" xr:uid="{541E91EE-993C-43FD-952A-69E99465FD71}"/>
    <cellStyle name="Moneda 4 2 2 3 6" xfId="5481" xr:uid="{798B2A93-F129-4BB8-896F-436554D70DD8}"/>
    <cellStyle name="Moneda 4 2 2 3 7" xfId="6966" xr:uid="{AE7F0CAB-4D58-43FD-A36B-9A759DDC54C2}"/>
    <cellStyle name="Moneda 4 2 2 3 8" xfId="7388" xr:uid="{5FD6B0AD-947F-40F8-A80C-A9272D8EE5E0}"/>
    <cellStyle name="Moneda 4 2 2 3 9" xfId="7810" xr:uid="{2568F356-4499-4C75-B045-7C8838865ED1}"/>
    <cellStyle name="Moneda 4 2 2 4" xfId="2225" xr:uid="{00000000-0005-0000-0000-0000E9070000}"/>
    <cellStyle name="Moneda 4 2 2 4 2" xfId="4149" xr:uid="{00000000-0005-0000-0000-0000EA070000}"/>
    <cellStyle name="Moneda 4 2 2 4 2 2" xfId="6361" xr:uid="{FA7B06BD-3C71-4103-ABD0-A652CC795108}"/>
    <cellStyle name="Moneda 4 2 2 4 3" xfId="5651" xr:uid="{6DB71802-B67C-4A39-94CF-BB2994B09E81}"/>
    <cellStyle name="Moneda 4 2 2 5" xfId="3904" xr:uid="{00000000-0005-0000-0000-0000EB070000}"/>
    <cellStyle name="Moneda 4 2 2 5 2" xfId="6006" xr:uid="{F2E4E1E8-FE15-4699-BCEE-A23EDDB5F2D7}"/>
    <cellStyle name="Moneda 4 2 2 6" xfId="1172" xr:uid="{00000000-0005-0000-0000-0000EC070000}"/>
    <cellStyle name="Moneda 4 2 2 7" xfId="3957" xr:uid="{00000000-0005-0000-0000-0000ED070000}"/>
    <cellStyle name="Moneda 4 2 2 8" xfId="4486" xr:uid="{C42572E0-D9EF-45E5-B1E5-9A9EF7E6D304}"/>
    <cellStyle name="Moneda 4 2 2 9" xfId="4909" xr:uid="{4420C73F-6BC4-4C44-A63E-69912E01A35F}"/>
    <cellStyle name="Moneda 4 2 3" xfId="600" xr:uid="{00000000-0005-0000-0000-0000EE070000}"/>
    <cellStyle name="Moneda 4 2 3 10" xfId="6836" xr:uid="{D18F3296-DFB2-473E-BE48-44091009BF07}"/>
    <cellStyle name="Moneda 4 2 3 11" xfId="7258" xr:uid="{018FC697-F62C-4E0E-AC21-6287C212172C}"/>
    <cellStyle name="Moneda 4 2 3 12" xfId="7680" xr:uid="{D605A704-E532-4430-93CB-D1891A54AFAB}"/>
    <cellStyle name="Moneda 4 2 3 2" xfId="784" xr:uid="{00000000-0005-0000-0000-0000EF070000}"/>
    <cellStyle name="Moneda 4 2 3 2 10" xfId="7469" xr:uid="{D9D80CE8-7868-4841-9CAC-8557FE5B6800}"/>
    <cellStyle name="Moneda 4 2 3 2 11" xfId="7891" xr:uid="{39C8AF52-78F3-4DC9-955D-0754AE8F5197}"/>
    <cellStyle name="Moneda 4 2 3 2 2" xfId="3677" xr:uid="{00000000-0005-0000-0000-0000F0070000}"/>
    <cellStyle name="Moneda 4 2 3 2 2 2" xfId="4347" xr:uid="{00000000-0005-0000-0000-0000F1070000}"/>
    <cellStyle name="Moneda 4 2 3 2 2 2 2" xfId="6445" xr:uid="{05924D31-7C1A-47E6-803E-C587B49A30AC}"/>
    <cellStyle name="Moneda 4 2 3 2 2 3" xfId="5735" xr:uid="{F8BA8E52-AA34-4179-9FB1-6EED4A6C8FA4}"/>
    <cellStyle name="Moneda 4 2 3 2 3" xfId="2602" xr:uid="{00000000-0005-0000-0000-0000F2070000}"/>
    <cellStyle name="Moneda 4 2 3 2 3 2" xfId="4205" xr:uid="{00000000-0005-0000-0000-0000F3070000}"/>
    <cellStyle name="Moneda 4 2 3 2 3 3" xfId="6090" xr:uid="{329429EA-F53E-4D41-B09E-A63123E07D0E}"/>
    <cellStyle name="Moneda 4 2 3 2 4" xfId="1512" xr:uid="{00000000-0005-0000-0000-0000F4070000}"/>
    <cellStyle name="Moneda 4 2 3 2 5" xfId="4013" xr:uid="{00000000-0005-0000-0000-0000F5070000}"/>
    <cellStyle name="Moneda 4 2 3 2 6" xfId="4779" xr:uid="{C7CF2CAC-83B9-4845-A48A-18A9A4B8F940}"/>
    <cellStyle name="Moneda 4 2 3 2 7" xfId="5201" xr:uid="{81E74BCC-450D-4994-B73E-3D66DAB569F5}"/>
    <cellStyle name="Moneda 4 2 3 2 8" xfId="5380" xr:uid="{96FBD349-83A6-42A2-85AB-8318193FA6EC}"/>
    <cellStyle name="Moneda 4 2 3 2 9" xfId="7047" xr:uid="{2452EF28-58F3-4DC4-81F9-E6F2C1FD4F4A}"/>
    <cellStyle name="Moneda 4 2 3 3" xfId="1094" xr:uid="{00000000-0005-0000-0000-0000F6070000}"/>
    <cellStyle name="Moneda 4 2 3 3 2" xfId="3134" xr:uid="{00000000-0005-0000-0000-0000F7070000}"/>
    <cellStyle name="Moneda 4 2 3 3 2 2" xfId="6627" xr:uid="{B4EF6557-B885-41F7-9D7F-728BF3499E06}"/>
    <cellStyle name="Moneda 4 2 3 3 2 3" xfId="5917" xr:uid="{6555E4E3-9C2F-4B6C-965D-5D076D41B24E}"/>
    <cellStyle name="Moneda 4 2 3 3 3" xfId="4252" xr:uid="{00000000-0005-0000-0000-0000F8070000}"/>
    <cellStyle name="Moneda 4 2 3 3 3 2" xfId="6272" xr:uid="{FBAF75D5-57A9-47B9-B0FF-CBEACD619987}"/>
    <cellStyle name="Moneda 4 2 3 3 4" xfId="5562" xr:uid="{43FC9C40-EC09-40F1-8B3F-FE914E890D0A}"/>
    <cellStyle name="Moneda 4 2 3 4" xfId="2059" xr:uid="{00000000-0005-0000-0000-0000F9070000}"/>
    <cellStyle name="Moneda 4 2 3 4 2" xfId="4110" xr:uid="{00000000-0005-0000-0000-0000FA070000}"/>
    <cellStyle name="Moneda 4 2 3 4 2 2" xfId="6381" xr:uid="{D1C3509C-414B-4237-AB87-06B234988DE2}"/>
    <cellStyle name="Moneda 4 2 3 4 3" xfId="5671" xr:uid="{9484250F-BBCA-4B4E-894C-BBEEC80251E4}"/>
    <cellStyle name="Moneda 4 2 3 5" xfId="1133" xr:uid="{00000000-0005-0000-0000-0000FB070000}"/>
    <cellStyle name="Moneda 4 2 3 5 2" xfId="6026" xr:uid="{3DB45263-C384-431D-BA1A-FF0CA0EBB6D9}"/>
    <cellStyle name="Moneda 4 2 3 6" xfId="3918" xr:uid="{00000000-0005-0000-0000-0000FC070000}"/>
    <cellStyle name="Moneda 4 2 3 7" xfId="4567" xr:uid="{00DE81EB-AD44-4DB3-9598-399C32BB4A8C}"/>
    <cellStyle name="Moneda 4 2 3 8" xfId="4990" xr:uid="{49954DC7-90A2-4C32-B59D-31919254F52A}"/>
    <cellStyle name="Moneda 4 2 3 9" xfId="5316" xr:uid="{1EF8C500-89E8-4F31-86BB-5DC7D6D7BCCB}"/>
    <cellStyle name="Moneda 4 2 4" xfId="725" xr:uid="{00000000-0005-0000-0000-0000FD070000}"/>
    <cellStyle name="Moneda 4 2 4 10" xfId="7181" xr:uid="{8DE7BCDA-D530-4709-B45A-D096AF360EAF}"/>
    <cellStyle name="Moneda 4 2 4 11" xfId="7603" xr:uid="{EF71554F-7BEE-47A3-9007-D7121F793C39}"/>
    <cellStyle name="Moneda 4 2 4 2" xfId="1015" xr:uid="{00000000-0005-0000-0000-0000FE070000}"/>
    <cellStyle name="Moneda 4 2 4 2 2" xfId="3527" xr:uid="{00000000-0005-0000-0000-0000FF070000}"/>
    <cellStyle name="Moneda 4 2 4 2 2 2" xfId="6550" xr:uid="{F91BA971-EC9F-4E69-817E-86CEA5436EF5}"/>
    <cellStyle name="Moneda 4 2 4 2 2 3" xfId="5840" xr:uid="{1B3C94B2-5240-44FB-99FC-FBCB00D8D6F5}"/>
    <cellStyle name="Moneda 4 2 4 2 3" xfId="4327" xr:uid="{00000000-0005-0000-0000-000000080000}"/>
    <cellStyle name="Moneda 4 2 4 2 3 2" xfId="6195" xr:uid="{BB152E3F-5A03-4ADF-AB15-9C0E751417BE}"/>
    <cellStyle name="Moneda 4 2 4 2 4" xfId="4702" xr:uid="{95EBF3A7-DC25-4320-854C-511BDD684435}"/>
    <cellStyle name="Moneda 4 2 4 2 5" xfId="5124" xr:uid="{1D73198E-235B-492A-9AC2-E95C57A640FE}"/>
    <cellStyle name="Moneda 4 2 4 2 6" xfId="5485" xr:uid="{9E43B4A0-4A22-471D-B205-697D09E3F555}"/>
    <cellStyle name="Moneda 4 2 4 2 7" xfId="6970" xr:uid="{BDE93563-84EB-408B-9724-5001D2991BC8}"/>
    <cellStyle name="Moneda 4 2 4 2 8" xfId="7392" xr:uid="{087954BA-03EA-418C-A261-8AFA53B02646}"/>
    <cellStyle name="Moneda 4 2 4 2 9" xfId="7814" xr:uid="{588883F9-84CA-4AE7-B513-9F8D54F90073}"/>
    <cellStyle name="Moneda 4 2 4 3" xfId="2452" xr:uid="{00000000-0005-0000-0000-000001080000}"/>
    <cellStyle name="Moneda 4 2 4 3 2" xfId="4185" xr:uid="{00000000-0005-0000-0000-000002080000}"/>
    <cellStyle name="Moneda 4 2 4 3 2 2" xfId="6386" xr:uid="{B9F14876-FC8E-4FB4-8FCF-E5D93847ECF2}"/>
    <cellStyle name="Moneda 4 2 4 3 3" xfId="5676" xr:uid="{2D009635-EADD-4AA9-88E8-CBECF9219C91}"/>
    <cellStyle name="Moneda 4 2 4 4" xfId="1382" xr:uid="{00000000-0005-0000-0000-000003080000}"/>
    <cellStyle name="Moneda 4 2 4 4 2" xfId="6031" xr:uid="{2BAC185C-4CCE-45E3-B2D5-4945E9466550}"/>
    <cellStyle name="Moneda 4 2 4 5" xfId="3993" xr:uid="{00000000-0005-0000-0000-000004080000}"/>
    <cellStyle name="Moneda 4 2 4 6" xfId="4490" xr:uid="{3D317B83-D97C-4BAF-8E9F-B1B68D6A0AA6}"/>
    <cellStyle name="Moneda 4 2 4 7" xfId="4913" xr:uid="{BE6CBBF6-C707-4CDF-862A-64912C627BA3}"/>
    <cellStyle name="Moneda 4 2 4 8" xfId="5321" xr:uid="{E647CAEE-05CB-4344-8DB5-C04294F1EB5A}"/>
    <cellStyle name="Moneda 4 2 4 9" xfId="6759" xr:uid="{DB10B5A5-ECF5-4138-A2DB-FA579AAE8217}"/>
    <cellStyle name="Moneda 4 2 5" xfId="947" xr:uid="{00000000-0005-0000-0000-000005080000}"/>
    <cellStyle name="Moneda 4 2 5 10" xfId="7711" xr:uid="{042F9CEE-C0BB-4177-8309-7694EEEBBE90}"/>
    <cellStyle name="Moneda 4 2 5 2" xfId="2988" xr:uid="{00000000-0005-0000-0000-000006080000}"/>
    <cellStyle name="Moneda 4 2 5 2 2" xfId="4248" xr:uid="{00000000-0005-0000-0000-000007080000}"/>
    <cellStyle name="Moneda 4 2 5 2 2 2" xfId="6485" xr:uid="{03DAEBD5-D627-49B0-B411-F4D9649F33CC}"/>
    <cellStyle name="Moneda 4 2 5 2 3" xfId="4810" xr:uid="{A3C7CEBD-E3B7-4395-8BF8-DC91CEFC48EB}"/>
    <cellStyle name="Moneda 4 2 5 2 4" xfId="5232" xr:uid="{EEEEE537-EBA5-4105-B8CE-7C2854AA40B2}"/>
    <cellStyle name="Moneda 4 2 5 2 5" xfId="5775" xr:uid="{EA7FA3E5-B9C6-456B-B209-5991C4A22BA6}"/>
    <cellStyle name="Moneda 4 2 5 2 6" xfId="7078" xr:uid="{47D3EF1D-C4D5-4624-B90B-CA9674184292}"/>
    <cellStyle name="Moneda 4 2 5 2 7" xfId="7500" xr:uid="{6A06A711-CEF4-40CA-8EC6-C1877E2C0562}"/>
    <cellStyle name="Moneda 4 2 5 2 8" xfId="7922" xr:uid="{FC7183CC-B3C7-4B81-85CA-71979844CA04}"/>
    <cellStyle name="Moneda 4 2 5 3" xfId="1671" xr:uid="{00000000-0005-0000-0000-000008080000}"/>
    <cellStyle name="Moneda 4 2 5 3 2" xfId="6130" xr:uid="{E2588B5A-A961-4046-9B97-999C613A0ABB}"/>
    <cellStyle name="Moneda 4 2 5 4" xfId="4055" xr:uid="{00000000-0005-0000-0000-000009080000}"/>
    <cellStyle name="Moneda 4 2 5 5" xfId="4598" xr:uid="{7CC4C5A3-05DF-4A6C-BB9B-DA3B56A0ABC0}"/>
    <cellStyle name="Moneda 4 2 5 6" xfId="5021" xr:uid="{1F2F5006-3936-4B51-9CD1-93FF0ED85681}"/>
    <cellStyle name="Moneda 4 2 5 7" xfId="5420" xr:uid="{C39C018A-539C-4B34-8814-345114DCC496}"/>
    <cellStyle name="Moneda 4 2 5 8" xfId="6867" xr:uid="{41E13A66-B94B-4963-BDE5-C780BA930A98}"/>
    <cellStyle name="Moneda 4 2 5 9" xfId="7289" xr:uid="{7C3A5E27-073B-44F0-89A6-B8F6ABF63EB3}"/>
    <cellStyle name="Moneda 4 2 6" xfId="1897" xr:uid="{00000000-0005-0000-0000-00000A080000}"/>
    <cellStyle name="Moneda 4 2 6 2" xfId="4090" xr:uid="{00000000-0005-0000-0000-00000B080000}"/>
    <cellStyle name="Moneda 4 2 6 2 2" xfId="6322" xr:uid="{7005B85C-FBC6-4760-B797-F90359396BA8}"/>
    <cellStyle name="Moneda 4 2 6 3" xfId="4637" xr:uid="{C9A777FF-D31E-457A-B35A-0D84C0B7675E}"/>
    <cellStyle name="Moneda 4 2 6 4" xfId="5059" xr:uid="{5103A3C8-FB09-4598-ADB8-0600717FF8E5}"/>
    <cellStyle name="Moneda 4 2 6 5" xfId="5612" xr:uid="{4E19E168-365B-4D8D-B4C2-78723C5D3BA7}"/>
    <cellStyle name="Moneda 4 2 6 6" xfId="6905" xr:uid="{0BE2833E-DF99-4FB3-B3CF-1AA46725A2BD}"/>
    <cellStyle name="Moneda 4 2 6 7" xfId="7327" xr:uid="{AFFD9E10-ADD1-4D5E-A2A0-8717C6874B8D}"/>
    <cellStyle name="Moneda 4 2 6 8" xfId="7749" xr:uid="{91FFC11C-1700-45DB-BAFE-96C2E7CB71AA}"/>
    <cellStyle name="Moneda 4 2 7" xfId="3874" xr:uid="{00000000-0005-0000-0000-00000C080000}"/>
    <cellStyle name="Moneda 4 2 7 2" xfId="5967" xr:uid="{AE68D0E6-8848-442A-8FC8-2DF5042F3D1C}"/>
    <cellStyle name="Moneda 4 2 8" xfId="1129" xr:uid="{00000000-0005-0000-0000-00000D080000}"/>
    <cellStyle name="Moneda 4 2 9" xfId="3914" xr:uid="{00000000-0005-0000-0000-00000E080000}"/>
    <cellStyle name="Moneda 4 3" xfId="332" xr:uid="{00000000-0005-0000-0000-00000F080000}"/>
    <cellStyle name="Moneda 4 3 10" xfId="5260" xr:uid="{A41BB089-6D91-473D-BAF2-069B502E495A}"/>
    <cellStyle name="Moneda 4 3 11" xfId="6699" xr:uid="{6C3A34BC-D5CE-4D91-A595-C6E9B8EC9561}"/>
    <cellStyle name="Moneda 4 3 12" xfId="7121" xr:uid="{90487531-D1BA-4FEF-A331-559F37414F57}"/>
    <cellStyle name="Moneda 4 3 13" xfId="7543" xr:uid="{0AEE13AE-C7CA-4600-8DE9-70B23306CEE5}"/>
    <cellStyle name="Moneda 4 3 2" xfId="728" xr:uid="{00000000-0005-0000-0000-000010080000}"/>
    <cellStyle name="Moneda 4 3 2 10" xfId="7184" xr:uid="{29D8193B-9DE4-47BB-A014-116AD96F830F}"/>
    <cellStyle name="Moneda 4 3 2 11" xfId="7606" xr:uid="{D5220338-66D6-4D2F-9518-2CCA8A6558AE}"/>
    <cellStyle name="Moneda 4 3 2 2" xfId="1018" xr:uid="{00000000-0005-0000-0000-000011080000}"/>
    <cellStyle name="Moneda 4 3 2 2 2" xfId="3713" xr:uid="{00000000-0005-0000-0000-000012080000}"/>
    <cellStyle name="Moneda 4 3 2 2 2 2" xfId="6553" xr:uid="{2418AB6C-FA6F-4958-880E-113D638AD085}"/>
    <cellStyle name="Moneda 4 3 2 2 2 3" xfId="5843" xr:uid="{9A081B5D-AD16-4D43-9D82-FB6F9234A2F2}"/>
    <cellStyle name="Moneda 4 3 2 2 3" xfId="4350" xr:uid="{00000000-0005-0000-0000-000013080000}"/>
    <cellStyle name="Moneda 4 3 2 2 3 2" xfId="6198" xr:uid="{C45684D7-3BEB-4BC6-A480-C3D17F64F7CB}"/>
    <cellStyle name="Moneda 4 3 2 2 4" xfId="4705" xr:uid="{A6DB5A76-CDF5-496D-B46E-99EC60EEF28A}"/>
    <cellStyle name="Moneda 4 3 2 2 5" xfId="5127" xr:uid="{1F146DD4-DF8F-42F8-87ED-3E8D29739F2B}"/>
    <cellStyle name="Moneda 4 3 2 2 6" xfId="5488" xr:uid="{27B2AA66-3A5A-485D-B062-2298B85C9272}"/>
    <cellStyle name="Moneda 4 3 2 2 7" xfId="6973" xr:uid="{0493D520-A768-444C-8584-F1494FE4D684}"/>
    <cellStyle name="Moneda 4 3 2 2 8" xfId="7395" xr:uid="{3A8EEDE7-07C4-4012-8049-532D2061BE81}"/>
    <cellStyle name="Moneda 4 3 2 2 9" xfId="7817" xr:uid="{39B2E2CC-191D-47B3-8D75-26711966EA62}"/>
    <cellStyle name="Moneda 4 3 2 3" xfId="2638" xr:uid="{00000000-0005-0000-0000-000014080000}"/>
    <cellStyle name="Moneda 4 3 2 3 2" xfId="4208" xr:uid="{00000000-0005-0000-0000-000015080000}"/>
    <cellStyle name="Moneda 4 3 2 3 2 2" xfId="6389" xr:uid="{7986DB9E-3787-4E47-ACE7-B8AAABAB24D0}"/>
    <cellStyle name="Moneda 4 3 2 3 3" xfId="5679" xr:uid="{6A56168D-35DB-4A5F-A4CB-4A5225DAC979}"/>
    <cellStyle name="Moneda 4 3 2 4" xfId="1546" xr:uid="{00000000-0005-0000-0000-000016080000}"/>
    <cellStyle name="Moneda 4 3 2 4 2" xfId="6034" xr:uid="{1CCC63A4-EBE4-4AA1-8344-FC27073BD08A}"/>
    <cellStyle name="Moneda 4 3 2 5" xfId="4016" xr:uid="{00000000-0005-0000-0000-000017080000}"/>
    <cellStyle name="Moneda 4 3 2 6" xfId="4493" xr:uid="{925BAEA6-BE16-4A8E-8986-601A864557A8}"/>
    <cellStyle name="Moneda 4 3 2 7" xfId="4916" xr:uid="{B728174B-4E59-482E-85ED-4C782F37ED93}"/>
    <cellStyle name="Moneda 4 3 2 8" xfId="5324" xr:uid="{1EEDB3C7-EC95-4BF1-BCBF-66C425C89BAC}"/>
    <cellStyle name="Moneda 4 3 2 9" xfId="6762" xr:uid="{E86DB213-5AD3-4A59-B656-837A7473F38E}"/>
    <cellStyle name="Moneda 4 3 3" xfId="953" xr:uid="{00000000-0005-0000-0000-000018080000}"/>
    <cellStyle name="Moneda 4 3 3 2" xfId="3170" xr:uid="{00000000-0005-0000-0000-000019080000}"/>
    <cellStyle name="Moneda 4 3 3 2 2" xfId="6490" xr:uid="{61C980CF-79F3-4E82-AD38-4C9D643D11F1}"/>
    <cellStyle name="Moneda 4 3 3 2 3" xfId="5780" xr:uid="{053F7355-3B18-4671-B22C-FF9A98DE7C1D}"/>
    <cellStyle name="Moneda 4 3 3 3" xfId="4255" xr:uid="{00000000-0005-0000-0000-00001A080000}"/>
    <cellStyle name="Moneda 4 3 3 3 2" xfId="6135" xr:uid="{33DA374E-6BB8-494A-9080-88CC0BFC25DD}"/>
    <cellStyle name="Moneda 4 3 3 4" xfId="4642" xr:uid="{8CD91D60-2B1E-4620-8BF7-0D4BC060817D}"/>
    <cellStyle name="Moneda 4 3 3 5" xfId="5064" xr:uid="{AD384E55-A5C8-42A9-AD44-39ADCA4CD4EE}"/>
    <cellStyle name="Moneda 4 3 3 6" xfId="5425" xr:uid="{AE49C4EF-9019-49C9-A947-CD9FE0DC573B}"/>
    <cellStyle name="Moneda 4 3 3 7" xfId="6910" xr:uid="{792CE5EB-F350-4205-90C1-61B66006B205}"/>
    <cellStyle name="Moneda 4 3 3 8" xfId="7332" xr:uid="{192CAB9F-ABD9-4210-9050-B3333067A0D3}"/>
    <cellStyle name="Moneda 4 3 3 9" xfId="7754" xr:uid="{2AD2064F-827F-44A0-8F83-BFB8325EAF07}"/>
    <cellStyle name="Moneda 4 3 4" xfId="2095" xr:uid="{00000000-0005-0000-0000-00001B080000}"/>
    <cellStyle name="Moneda 4 3 4 2" xfId="4113" xr:uid="{00000000-0005-0000-0000-00001C080000}"/>
    <cellStyle name="Moneda 4 3 4 2 2" xfId="6325" xr:uid="{DC4F5628-850E-46D2-9098-DEF6285D9B44}"/>
    <cellStyle name="Moneda 4 3 4 3" xfId="5615" xr:uid="{E91CBA44-EB0B-487F-AF1F-5557A591AA48}"/>
    <cellStyle name="Moneda 4 3 5" xfId="3890" xr:uid="{00000000-0005-0000-0000-00001D080000}"/>
    <cellStyle name="Moneda 4 3 5 2" xfId="5970" xr:uid="{602226A5-6411-4C4E-BB2B-8A9425A840A5}"/>
    <cellStyle name="Moneda 4 3 6" xfId="1136" xr:uid="{00000000-0005-0000-0000-00001E080000}"/>
    <cellStyle name="Moneda 4 3 7" xfId="3921" xr:uid="{00000000-0005-0000-0000-00001F080000}"/>
    <cellStyle name="Moneda 4 3 8" xfId="4430" xr:uid="{4B156CB2-F99F-4EB3-AC6F-ACC1F8766D13}"/>
    <cellStyle name="Moneda 4 3 9" xfId="4853" xr:uid="{14933AC7-A2A5-41EB-94C2-5E84422715F3}"/>
    <cellStyle name="Moneda 4 4" xfId="324" xr:uid="{00000000-0005-0000-0000-000020080000}"/>
    <cellStyle name="Moneda 4 4 2" xfId="1542" xr:uid="{00000000-0005-0000-0000-000021080000}"/>
    <cellStyle name="Moneda 4 4 2 2" xfId="3709" xr:uid="{00000000-0005-0000-0000-000022080000}"/>
    <cellStyle name="Moneda 4 4 2 2 2" xfId="3909" xr:uid="{00000000-0005-0000-0000-000023080000}"/>
    <cellStyle name="Moneda 4 4 2 3" xfId="2634" xr:uid="{00000000-0005-0000-0000-000024080000}"/>
    <cellStyle name="Moneda 4 4 2 4" xfId="3879" xr:uid="{00000000-0005-0000-0000-000025080000}"/>
    <cellStyle name="Moneda 4 4 3" xfId="3166" xr:uid="{00000000-0005-0000-0000-000026080000}"/>
    <cellStyle name="Moneda 4 4 3 2" xfId="3895" xr:uid="{00000000-0005-0000-0000-000027080000}"/>
    <cellStyle name="Moneda 4 4 4" xfId="2091" xr:uid="{00000000-0005-0000-0000-000028080000}"/>
    <cellStyle name="Moneda 4 4 5" xfId="3865" xr:uid="{00000000-0005-0000-0000-000029080000}"/>
    <cellStyle name="Moneda 4 5" xfId="458" xr:uid="{00000000-0005-0000-0000-00002A080000}"/>
    <cellStyle name="Moneda 4 5 10" xfId="6737" xr:uid="{009D274F-EEFD-4D9D-BA89-C713B7CA351F}"/>
    <cellStyle name="Moneda 4 5 11" xfId="7159" xr:uid="{D00DF28E-18FE-4B91-B532-87AF978249E0}"/>
    <cellStyle name="Moneda 4 5 12" xfId="7581" xr:uid="{1918FD92-6FA0-4770-9556-41E1DF616F88}"/>
    <cellStyle name="Moneda 4 5 2" xfId="746" xr:uid="{00000000-0005-0000-0000-00002B080000}"/>
    <cellStyle name="Moneda 4 5 2 10" xfId="7202" xr:uid="{E197BB2B-9291-490D-8640-93CEA11F2B9B}"/>
    <cellStyle name="Moneda 4 5 2 11" xfId="7624" xr:uid="{3A33ED8F-BCBD-4A0E-88F9-1419003D96F3}"/>
    <cellStyle name="Moneda 4 5 2 2" xfId="1036" xr:uid="{00000000-0005-0000-0000-00002C080000}"/>
    <cellStyle name="Moneda 4 5 2 2 2" xfId="3825" xr:uid="{00000000-0005-0000-0000-00002D080000}"/>
    <cellStyle name="Moneda 4 5 2 2 2 2" xfId="6571" xr:uid="{1D76D3A1-92A4-4902-9B9E-8FC0AD0C7489}"/>
    <cellStyle name="Moneda 4 5 2 2 2 3" xfId="5861" xr:uid="{1A2C784E-2CCF-4C7E-A2E5-684167E78619}"/>
    <cellStyle name="Moneda 4 5 2 2 3" xfId="4368" xr:uid="{00000000-0005-0000-0000-00002E080000}"/>
    <cellStyle name="Moneda 4 5 2 2 3 2" xfId="6216" xr:uid="{FE713654-EB76-466D-A49C-9ED0BF1CDB08}"/>
    <cellStyle name="Moneda 4 5 2 2 4" xfId="4723" xr:uid="{57C0D29F-E427-42E3-9F7B-5C9EC007F3F4}"/>
    <cellStyle name="Moneda 4 5 2 2 5" xfId="5145" xr:uid="{9C8ECAA7-0560-41A4-81D7-EFDE2E54D5AD}"/>
    <cellStyle name="Moneda 4 5 2 2 6" xfId="5506" xr:uid="{C886E541-B569-4DF2-ACD7-57FF978AB118}"/>
    <cellStyle name="Moneda 4 5 2 2 7" xfId="6991" xr:uid="{DC3140CF-4336-4942-A680-394C05C0638E}"/>
    <cellStyle name="Moneda 4 5 2 2 8" xfId="7413" xr:uid="{06CAD42A-0586-411A-967A-BA59B78EEEED}"/>
    <cellStyle name="Moneda 4 5 2 2 9" xfId="7835" xr:uid="{4B158B29-CAC9-468A-B900-74A3844172DC}"/>
    <cellStyle name="Moneda 4 5 2 3" xfId="2750" xr:uid="{00000000-0005-0000-0000-00002F080000}"/>
    <cellStyle name="Moneda 4 5 2 3 2" xfId="4226" xr:uid="{00000000-0005-0000-0000-000030080000}"/>
    <cellStyle name="Moneda 4 5 2 3 2 2" xfId="6407" xr:uid="{AB5A3155-E707-4E69-9CF6-AEB0DB3FF740}"/>
    <cellStyle name="Moneda 4 5 2 3 3" xfId="5697" xr:uid="{57E8396E-7B18-4257-A08A-0893F27F8AC8}"/>
    <cellStyle name="Moneda 4 5 2 4" xfId="1638" xr:uid="{00000000-0005-0000-0000-000031080000}"/>
    <cellStyle name="Moneda 4 5 2 4 2" xfId="6052" xr:uid="{8D5AA733-C2B7-4C55-89D9-1173CAF572BC}"/>
    <cellStyle name="Moneda 4 5 2 5" xfId="4034" xr:uid="{00000000-0005-0000-0000-000032080000}"/>
    <cellStyle name="Moneda 4 5 2 6" xfId="4511" xr:uid="{81EDAB03-267D-4047-8A3A-8869DD338F4C}"/>
    <cellStyle name="Moneda 4 5 2 7" xfId="4934" xr:uid="{022CE450-98E0-4A66-AAA0-7B11A58B8F88}"/>
    <cellStyle name="Moneda 4 5 2 8" xfId="5342" xr:uid="{850AEB4C-FFD3-49DB-B504-56EA6FF0E077}"/>
    <cellStyle name="Moneda 4 5 2 9" xfId="6780" xr:uid="{92CF9FD4-D931-4F5A-8A5E-AEF5086D4DC3}"/>
    <cellStyle name="Moneda 4 5 3" xfId="993" xr:uid="{00000000-0005-0000-0000-000033080000}"/>
    <cellStyle name="Moneda 4 5 3 2" xfId="3282" xr:uid="{00000000-0005-0000-0000-000034080000}"/>
    <cellStyle name="Moneda 4 5 3 2 2" xfId="6528" xr:uid="{97F9A2AB-363B-4183-BAF8-9C1427DC2B6C}"/>
    <cellStyle name="Moneda 4 5 3 2 3" xfId="5818" xr:uid="{C9737945-245B-4540-8E26-49AC39832138}"/>
    <cellStyle name="Moneda 4 5 3 3" xfId="4273" xr:uid="{00000000-0005-0000-0000-000035080000}"/>
    <cellStyle name="Moneda 4 5 3 3 2" xfId="6173" xr:uid="{F5F088C5-D73C-400F-8797-B982499C18A3}"/>
    <cellStyle name="Moneda 4 5 3 4" xfId="4680" xr:uid="{00DEA5C1-755A-4F00-90CC-70D2B5F6A8BB}"/>
    <cellStyle name="Moneda 4 5 3 5" xfId="5102" xr:uid="{A644C3CB-4ACF-43DE-B454-7D469A258A1C}"/>
    <cellStyle name="Moneda 4 5 3 6" xfId="5463" xr:uid="{7F869692-E097-4467-B334-CE1F43043D84}"/>
    <cellStyle name="Moneda 4 5 3 7" xfId="6948" xr:uid="{2E19A4E6-CD85-433F-A15A-24753B618269}"/>
    <cellStyle name="Moneda 4 5 3 8" xfId="7370" xr:uid="{7E961AAC-F1AA-4FF0-9C7F-BAB37A14689E}"/>
    <cellStyle name="Moneda 4 5 3 9" xfId="7792" xr:uid="{94D51E81-8157-4306-86C2-0CC13D1098F8}"/>
    <cellStyle name="Moneda 4 5 4" xfId="2207" xr:uid="{00000000-0005-0000-0000-000036080000}"/>
    <cellStyle name="Moneda 4 5 4 2" xfId="4131" xr:uid="{00000000-0005-0000-0000-000037080000}"/>
    <cellStyle name="Moneda 4 5 4 2 2" xfId="6343" xr:uid="{FF9B45E5-AAD6-4022-BFA9-5EEFE10D8446}"/>
    <cellStyle name="Moneda 4 5 4 3" xfId="5633" xr:uid="{05263653-9D11-4DF4-B2EC-1851E8A745CE}"/>
    <cellStyle name="Moneda 4 5 5" xfId="1154" xr:uid="{00000000-0005-0000-0000-000038080000}"/>
    <cellStyle name="Moneda 4 5 5 2" xfId="5988" xr:uid="{97898F08-ED75-42A0-A83F-F226630EDF79}"/>
    <cellStyle name="Moneda 4 5 6" xfId="3939" xr:uid="{00000000-0005-0000-0000-000039080000}"/>
    <cellStyle name="Moneda 4 5 7" xfId="4468" xr:uid="{3C38C7A2-E9E8-4D5D-9CA9-F1973B21C4EE}"/>
    <cellStyle name="Moneda 4 5 8" xfId="4891" xr:uid="{ED78BA34-21D5-4D80-A2D3-57CD3B59C528}"/>
    <cellStyle name="Moneda 4 5 9" xfId="5278" xr:uid="{2CBE2953-357D-4E3E-A0EF-DBC2C8C4B529}"/>
    <cellStyle name="Moneda 4 6" xfId="480" xr:uid="{00000000-0005-0000-0000-00003A080000}"/>
    <cellStyle name="Moneda 4 6 10" xfId="6800" xr:uid="{EC96A7FF-FCD9-4CB1-BDC5-365D8DB47842}"/>
    <cellStyle name="Moneda 4 6 11" xfId="7222" xr:uid="{3A4D4261-88A4-463C-80C8-83BE95E5BAD4}"/>
    <cellStyle name="Moneda 4 6 12" xfId="7644" xr:uid="{7B5F96A6-357A-497D-8B7C-29A33051102C}"/>
    <cellStyle name="Moneda 4 6 2" xfId="766" xr:uid="{00000000-0005-0000-0000-00003B080000}"/>
    <cellStyle name="Moneda 4 6 2 10" xfId="7433" xr:uid="{27B1E90C-CF6F-437F-92BA-34B12A231403}"/>
    <cellStyle name="Moneda 4 6 2 11" xfId="7855" xr:uid="{4DEDF099-32F2-476C-B1DD-FED99835DAFD}"/>
    <cellStyle name="Moneda 4 6 2 2" xfId="3557" xr:uid="{00000000-0005-0000-0000-00003C080000}"/>
    <cellStyle name="Moneda 4 6 2 2 2" xfId="4329" xr:uid="{00000000-0005-0000-0000-00003D080000}"/>
    <cellStyle name="Moneda 4 6 2 2 2 2" xfId="6427" xr:uid="{6C3FBDA6-617E-4C6B-9FC4-7240CB12AF59}"/>
    <cellStyle name="Moneda 4 6 2 2 3" xfId="5717" xr:uid="{39716A34-5934-412D-9BC7-648CF57CCFF4}"/>
    <cellStyle name="Moneda 4 6 2 3" xfId="2482" xr:uid="{00000000-0005-0000-0000-00003E080000}"/>
    <cellStyle name="Moneda 4 6 2 3 2" xfId="4187" xr:uid="{00000000-0005-0000-0000-00003F080000}"/>
    <cellStyle name="Moneda 4 6 2 3 3" xfId="6072" xr:uid="{F96C0235-93EF-489B-9089-2E507EA07E59}"/>
    <cellStyle name="Moneda 4 6 2 4" xfId="1410" xr:uid="{00000000-0005-0000-0000-000040080000}"/>
    <cellStyle name="Moneda 4 6 2 5" xfId="3995" xr:uid="{00000000-0005-0000-0000-000041080000}"/>
    <cellStyle name="Moneda 4 6 2 6" xfId="4743" xr:uid="{00D97B7A-5088-4E35-BCB4-0DFAC166E497}"/>
    <cellStyle name="Moneda 4 6 2 7" xfId="5165" xr:uid="{0628F285-C641-4D3F-A3EF-AAC5B177ECF0}"/>
    <cellStyle name="Moneda 4 6 2 8" xfId="5362" xr:uid="{B41930EB-E266-44DB-BDD9-76C402548C7B}"/>
    <cellStyle name="Moneda 4 6 2 9" xfId="7011" xr:uid="{77DCA0C8-C3AF-4BE1-9B7B-0F9B021E6CC7}"/>
    <cellStyle name="Moneda 4 6 3" xfId="1056" xr:uid="{00000000-0005-0000-0000-000042080000}"/>
    <cellStyle name="Moneda 4 6 3 2" xfId="3030" xr:uid="{00000000-0005-0000-0000-000043080000}"/>
    <cellStyle name="Moneda 4 6 3 2 2" xfId="6591" xr:uid="{461083C1-0451-4421-8461-CB80B5235924}"/>
    <cellStyle name="Moneda 4 6 3 2 3" xfId="5881" xr:uid="{CBF7CEE5-3D86-4137-8AB2-4C19E9682E5F}"/>
    <cellStyle name="Moneda 4 6 3 3" xfId="4250" xr:uid="{00000000-0005-0000-0000-000044080000}"/>
    <cellStyle name="Moneda 4 6 3 3 2" xfId="6236" xr:uid="{88C06178-430C-4210-BAD9-27920B2524B1}"/>
    <cellStyle name="Moneda 4 6 3 4" xfId="5526" xr:uid="{A8836814-6F12-4B94-9765-34426152DD98}"/>
    <cellStyle name="Moneda 4 6 4" xfId="1939" xr:uid="{00000000-0005-0000-0000-000045080000}"/>
    <cellStyle name="Moneda 4 6 4 2" xfId="4092" xr:uid="{00000000-0005-0000-0000-000046080000}"/>
    <cellStyle name="Moneda 4 6 4 2 2" xfId="6363" xr:uid="{E7502806-A205-4E82-87B2-5C147D027353}"/>
    <cellStyle name="Moneda 4 6 4 3" xfId="5653" xr:uid="{1A723BFD-3C55-464E-8EBB-35E158B7CD9E}"/>
    <cellStyle name="Moneda 4 6 5" xfId="1131" xr:uid="{00000000-0005-0000-0000-000047080000}"/>
    <cellStyle name="Moneda 4 6 5 2" xfId="6008" xr:uid="{7B008F1D-CC46-4FD9-9992-511656BF09D6}"/>
    <cellStyle name="Moneda 4 6 6" xfId="3916" xr:uid="{00000000-0005-0000-0000-000048080000}"/>
    <cellStyle name="Moneda 4 6 7" xfId="4531" xr:uid="{E6EC239B-CECB-4F94-A5F8-586FED03E0AF}"/>
    <cellStyle name="Moneda 4 6 8" xfId="4954" xr:uid="{D0113BF5-1C3D-47AD-99FC-9B6052CBDC95}"/>
    <cellStyle name="Moneda 4 6 9" xfId="5298" xr:uid="{E1A40C1C-3E2D-4D75-8DA3-F3546B2A1CA4}"/>
    <cellStyle name="Moneda 4 7" xfId="723" xr:uid="{00000000-0005-0000-0000-000049080000}"/>
    <cellStyle name="Moneda 4 7 10" xfId="7179" xr:uid="{B3C7BC09-7F0D-4CAB-BDE6-6C7006E397C2}"/>
    <cellStyle name="Moneda 4 7 11" xfId="7601" xr:uid="{FBF9AFA2-C129-49EE-AB71-E6C834A7A114}"/>
    <cellStyle name="Moneda 4 7 2" xfId="1013" xr:uid="{00000000-0005-0000-0000-00004A080000}"/>
    <cellStyle name="Moneda 4 7 2 2" xfId="3407" xr:uid="{00000000-0005-0000-0000-00004B080000}"/>
    <cellStyle name="Moneda 4 7 2 2 2" xfId="6548" xr:uid="{FA2F0905-D676-4729-A358-42022F74F27C}"/>
    <cellStyle name="Moneda 4 7 2 2 3" xfId="5838" xr:uid="{49C5B899-4CFE-48B4-9A05-BE265BB85A29}"/>
    <cellStyle name="Moneda 4 7 2 3" xfId="4309" xr:uid="{00000000-0005-0000-0000-00004C080000}"/>
    <cellStyle name="Moneda 4 7 2 3 2" xfId="6193" xr:uid="{A9760AEC-9C93-4936-9770-BAE660B454EA}"/>
    <cellStyle name="Moneda 4 7 2 4" xfId="4700" xr:uid="{90238BDD-AD08-4944-86A6-9ABFDDAAF2C8}"/>
    <cellStyle name="Moneda 4 7 2 5" xfId="5122" xr:uid="{7364DB47-444C-45C0-9C2F-815BEFD16366}"/>
    <cellStyle name="Moneda 4 7 2 6" xfId="5483" xr:uid="{1C742480-A83F-4CB2-B764-A663A37FBA46}"/>
    <cellStyle name="Moneda 4 7 2 7" xfId="6968" xr:uid="{020184EE-D829-4D7A-8DAE-195C955C2BF5}"/>
    <cellStyle name="Moneda 4 7 2 8" xfId="7390" xr:uid="{BACA09FE-1B05-4D5D-82CB-E06E493E4B40}"/>
    <cellStyle name="Moneda 4 7 2 9" xfId="7812" xr:uid="{F3903452-FEE2-4658-A14F-9E19F58174FC}"/>
    <cellStyle name="Moneda 4 7 3" xfId="2332" xr:uid="{00000000-0005-0000-0000-00004D080000}"/>
    <cellStyle name="Moneda 4 7 3 2" xfId="4167" xr:uid="{00000000-0005-0000-0000-00004E080000}"/>
    <cellStyle name="Moneda 4 7 3 2 2" xfId="6384" xr:uid="{72C67F8B-5CC8-456E-9C3C-C6219F10C72E}"/>
    <cellStyle name="Moneda 4 7 3 3" xfId="5674" xr:uid="{D49398B2-B0A0-4447-BCF9-64A3523E0E01}"/>
    <cellStyle name="Moneda 4 7 4" xfId="1280" xr:uid="{00000000-0005-0000-0000-00004F080000}"/>
    <cellStyle name="Moneda 4 7 4 2" xfId="6029" xr:uid="{2A4FC504-CFDE-45B3-9EBA-FBD49CEE1E07}"/>
    <cellStyle name="Moneda 4 7 5" xfId="3975" xr:uid="{00000000-0005-0000-0000-000050080000}"/>
    <cellStyle name="Moneda 4 7 6" xfId="4488" xr:uid="{872E7331-987D-4D86-B37E-99FC7C88B6A2}"/>
    <cellStyle name="Moneda 4 7 7" xfId="4911" xr:uid="{0D7C292F-FE57-4120-96D0-A960E8E5141F}"/>
    <cellStyle name="Moneda 4 7 8" xfId="5319" xr:uid="{F4EA0AD7-9F04-4408-A2AB-8198F48711C5}"/>
    <cellStyle name="Moneda 4 7 9" xfId="6757" xr:uid="{939C3068-FCFB-45CC-9BF7-B54FEEAD9A1F}"/>
    <cellStyle name="Moneda 4 8" xfId="904" xr:uid="{00000000-0005-0000-0000-000051080000}"/>
    <cellStyle name="Moneda 4 8 10" xfId="7710" xr:uid="{7D27E3C4-4369-47BD-B0DB-4B0ABEDB4DD8}"/>
    <cellStyle name="Moneda 4 8 2" xfId="2868" xr:uid="{00000000-0005-0000-0000-000052080000}"/>
    <cellStyle name="Moneda 4 8 2 2" xfId="4246" xr:uid="{00000000-0005-0000-0000-000053080000}"/>
    <cellStyle name="Moneda 4 8 2 2 2" xfId="6449" xr:uid="{A013FC43-F820-4835-A8AB-EA3B7723CFCF}"/>
    <cellStyle name="Moneda 4 8 2 3" xfId="4809" xr:uid="{9C55A0FC-33F0-4325-8DDF-DE30666A3CDC}"/>
    <cellStyle name="Moneda 4 8 2 4" xfId="5231" xr:uid="{D91E6315-AF22-4AD9-8F89-818D20A54F8F}"/>
    <cellStyle name="Moneda 4 8 2 5" xfId="5739" xr:uid="{9AB50696-E42A-4771-B6C4-51AA0B54E830}"/>
    <cellStyle name="Moneda 4 8 2 6" xfId="7077" xr:uid="{732D9352-7894-4636-8621-75AB58BDA8AE}"/>
    <cellStyle name="Moneda 4 8 2 7" xfId="7499" xr:uid="{F59275FA-E6EC-454B-8B6E-029542613962}"/>
    <cellStyle name="Moneda 4 8 2 8" xfId="7921" xr:uid="{8901429C-706B-42D0-AE63-12FFE375D77A}"/>
    <cellStyle name="Moneda 4 8 3" xfId="1670" xr:uid="{00000000-0005-0000-0000-000054080000}"/>
    <cellStyle name="Moneda 4 8 3 2" xfId="6094" xr:uid="{B34552A7-C410-4C25-BD75-EE1A0E1BDEE1}"/>
    <cellStyle name="Moneda 4 8 4" xfId="4054" xr:uid="{00000000-0005-0000-0000-000055080000}"/>
    <cellStyle name="Moneda 4 8 5" xfId="4597" xr:uid="{9D0403B8-EDDE-47B8-86A8-1B153D840104}"/>
    <cellStyle name="Moneda 4 8 6" xfId="5020" xr:uid="{DF4F735A-2FFD-4C69-98BB-FC1EC5A73CC7}"/>
    <cellStyle name="Moneda 4 8 7" xfId="5384" xr:uid="{CA72BD42-0250-465C-B0B0-F2AA2C1A281F}"/>
    <cellStyle name="Moneda 4 8 8" xfId="6866" xr:uid="{11CB1F93-0E85-4822-A966-5F4BFFBA489C}"/>
    <cellStyle name="Moneda 4 8 9" xfId="7288" xr:uid="{B6429388-080A-43B6-84AA-04BA259E85E7}"/>
    <cellStyle name="Moneda 4 9" xfId="167" xr:uid="{00000000-0005-0000-0000-000056080000}"/>
    <cellStyle name="Moneda 4 9 2" xfId="1777" xr:uid="{00000000-0005-0000-0000-000057080000}"/>
    <cellStyle name="Moneda 4 9 2 2" xfId="6304" xr:uid="{63E30A0E-25EF-4C70-972D-0D2428B6019B}"/>
    <cellStyle name="Moneda 4 9 2 3" xfId="5594" xr:uid="{9846AF12-CFC9-44CE-983E-735EFCD3FDB5}"/>
    <cellStyle name="Moneda 4 9 3" xfId="4072" xr:uid="{00000000-0005-0000-0000-000058080000}"/>
    <cellStyle name="Moneda 4 9 3 2" xfId="5949" xr:uid="{8527C46D-EF8A-4B89-AE7A-58546F73D6A4}"/>
    <cellStyle name="Moneda 4 9 4" xfId="4601" xr:uid="{863C6D8D-0A46-44BC-8D1A-DEDE64963AFB}"/>
    <cellStyle name="Moneda 4 9 5" xfId="5023" xr:uid="{C0D7FCCE-0C44-486E-898A-46A99423DD5C}"/>
    <cellStyle name="Moneda 4 9 6" xfId="5239" xr:uid="{B403BD27-45BB-449D-94B7-A9662897C55D}"/>
    <cellStyle name="Moneda 4 9 7" xfId="6869" xr:uid="{76289498-DF96-4C6D-959A-62C0B29F54CF}"/>
    <cellStyle name="Moneda 4 9 8" xfId="7291" xr:uid="{0EEAFB16-C14F-4210-B492-6B30E562475A}"/>
    <cellStyle name="Moneda 4 9 9" xfId="7713" xr:uid="{2A2FD9A9-BD0F-4DE4-8692-7B6781679176}"/>
    <cellStyle name="Moneda 5" xfId="126" xr:uid="{00000000-0005-0000-0000-000059080000}"/>
    <cellStyle name="Moneda 5 10" xfId="4407" xr:uid="{7A49794B-C78C-4380-BBCB-903C0C10496E}"/>
    <cellStyle name="Moneda 5 11" xfId="4830" xr:uid="{EF058EB3-290D-4AD0-A368-C133885B9435}"/>
    <cellStyle name="Moneda 5 12" xfId="6676" xr:uid="{77456D49-AF8C-4642-BD7C-304693C6442A}"/>
    <cellStyle name="Moneda 5 13" xfId="7098" xr:uid="{FD5AA07B-DFE4-4E4B-B699-CB04D5052496}"/>
    <cellStyle name="Moneda 5 14" xfId="7520" xr:uid="{2FC70C20-6AD6-4DF5-89A0-0B7562E2D527}"/>
    <cellStyle name="Moneda 5 2" xfId="341" xr:uid="{00000000-0005-0000-0000-00005A080000}"/>
    <cellStyle name="Moneda 5 2 10" xfId="7545" xr:uid="{D296C8DF-5D53-4E3C-91F2-3EE8AE34AEC1}"/>
    <cellStyle name="Moneda 5 2 2" xfId="830" xr:uid="{00000000-0005-0000-0000-00005B080000}"/>
    <cellStyle name="Moneda 5 2 2 2" xfId="3716" xr:uid="{00000000-0005-0000-0000-00005C080000}"/>
    <cellStyle name="Moneda 5 2 2 3" xfId="2641" xr:uid="{00000000-0005-0000-0000-00005D080000}"/>
    <cellStyle name="Moneda 5 2 2 4" xfId="4644" xr:uid="{408A2633-895A-45F8-A111-891B7A85CF94}"/>
    <cellStyle name="Moneda 5 2 2 5" xfId="5066" xr:uid="{689A67E9-5F07-484B-9315-D5FC09FE55AF}"/>
    <cellStyle name="Moneda 5 2 2 6" xfId="6912" xr:uid="{2E6DAF2D-FC2B-45C7-863E-74DD22F73B1E}"/>
    <cellStyle name="Moneda 5 2 2 7" xfId="7334" xr:uid="{261D2ED0-A8D6-463B-B2B9-580316E672C8}"/>
    <cellStyle name="Moneda 5 2 2 8" xfId="7756" xr:uid="{9242F7C5-EA00-442F-BD4E-261CE56083DA}"/>
    <cellStyle name="Moneda 5 2 3" xfId="956" xr:uid="{00000000-0005-0000-0000-00005E080000}"/>
    <cellStyle name="Moneda 5 2 3 2" xfId="3173" xr:uid="{00000000-0005-0000-0000-00005F080000}"/>
    <cellStyle name="Moneda 5 2 3 2 2" xfId="6492" xr:uid="{BA5589DD-6B5A-4C63-BC4D-61B5EF94304D}"/>
    <cellStyle name="Moneda 5 2 3 2 3" xfId="5782" xr:uid="{5163ADEF-E94B-42DD-BCF8-E61207CB7A6A}"/>
    <cellStyle name="Moneda 5 2 3 3" xfId="6137" xr:uid="{1E623100-5239-4A2F-B084-5D26F1CC3C65}"/>
    <cellStyle name="Moneda 5 2 3 4" xfId="5427" xr:uid="{DEB095A6-AA6C-4834-9A10-F14D3DC3BC00}"/>
    <cellStyle name="Moneda 5 2 4" xfId="2098" xr:uid="{00000000-0005-0000-0000-000060080000}"/>
    <cellStyle name="Moneda 5 2 5" xfId="3899" xr:uid="{00000000-0005-0000-0000-000061080000}"/>
    <cellStyle name="Moneda 5 2 6" xfId="4432" xr:uid="{F0E12ECC-CA75-4371-AB56-D64E8F25E1B2}"/>
    <cellStyle name="Moneda 5 2 7" xfId="4855" xr:uid="{4D454C00-7151-4A4B-814A-64796F6F14DE}"/>
    <cellStyle name="Moneda 5 2 8" xfId="6701" xr:uid="{2B8F8D6D-F6A7-4FF9-BFCE-4EE1FF1AE0D0}"/>
    <cellStyle name="Moneda 5 2 9" xfId="7123" xr:uid="{C82B8AB8-2FB7-41EA-BDBE-731ED4AF13D4}"/>
    <cellStyle name="Moneda 5 3" xfId="325" xr:uid="{00000000-0005-0000-0000-000062080000}"/>
    <cellStyle name="Moneda 5 3 2" xfId="1543" xr:uid="{00000000-0005-0000-0000-000063080000}"/>
    <cellStyle name="Moneda 5 3 2 2" xfId="3710" xr:uid="{00000000-0005-0000-0000-000064080000}"/>
    <cellStyle name="Moneda 5 3 2 3" xfId="2635" xr:uid="{00000000-0005-0000-0000-000065080000}"/>
    <cellStyle name="Moneda 5 3 3" xfId="3167" xr:uid="{00000000-0005-0000-0000-000066080000}"/>
    <cellStyle name="Moneda 5 3 4" xfId="2092" xr:uid="{00000000-0005-0000-0000-000067080000}"/>
    <cellStyle name="Moneda 5 4" xfId="364" xr:uid="{00000000-0005-0000-0000-000068080000}"/>
    <cellStyle name="Moneda 5 4 2" xfId="848" xr:uid="{00000000-0005-0000-0000-000069080000}"/>
    <cellStyle name="Moneda 5 4 2 2" xfId="3734" xr:uid="{00000000-0005-0000-0000-00006A080000}"/>
    <cellStyle name="Moneda 5 4 2 3" xfId="2659" xr:uid="{00000000-0005-0000-0000-00006B080000}"/>
    <cellStyle name="Moneda 5 4 2 4" xfId="4662" xr:uid="{D83B65B5-2782-47D6-B5D6-EC8472853DD9}"/>
    <cellStyle name="Moneda 5 4 2 5" xfId="5084" xr:uid="{4D806677-0239-4034-9035-3ACC69296900}"/>
    <cellStyle name="Moneda 5 4 2 6" xfId="6930" xr:uid="{E810306E-5FCC-4A34-B253-51C76F4196B8}"/>
    <cellStyle name="Moneda 5 4 2 7" xfId="7352" xr:uid="{3B1F4865-475D-4C63-BCD0-A9271963B2C4}"/>
    <cellStyle name="Moneda 5 4 2 8" xfId="7774" xr:uid="{D37B4DD9-45F5-42B7-B653-5E36F4C1EA1A}"/>
    <cellStyle name="Moneda 5 4 3" xfId="975" xr:uid="{00000000-0005-0000-0000-00006C080000}"/>
    <cellStyle name="Moneda 5 4 3 2" xfId="3191" xr:uid="{00000000-0005-0000-0000-00006D080000}"/>
    <cellStyle name="Moneda 5 4 3 2 2" xfId="6510" xr:uid="{0E208AE4-2634-48E8-A343-6938FFD68029}"/>
    <cellStyle name="Moneda 5 4 3 2 3" xfId="5800" xr:uid="{2D5CEC9F-83ED-4110-B74F-0F2C082DDF9F}"/>
    <cellStyle name="Moneda 5 4 3 3" xfId="6155" xr:uid="{4B7D3479-D088-4CB2-98C4-183DE0C80246}"/>
    <cellStyle name="Moneda 5 4 3 4" xfId="5445" xr:uid="{FDE95D70-B4B1-4BDC-9689-32E5A62D0EE8}"/>
    <cellStyle name="Moneda 5 4 4" xfId="2116" xr:uid="{00000000-0005-0000-0000-00006E080000}"/>
    <cellStyle name="Moneda 5 4 5" xfId="4450" xr:uid="{7E77710D-82BC-4528-B9C4-DD046FC1786D}"/>
    <cellStyle name="Moneda 5 4 6" xfId="4873" xr:uid="{93F6AF1B-2808-4165-89ED-CFFCB1CE177A}"/>
    <cellStyle name="Moneda 5 4 7" xfId="6719" xr:uid="{3178253B-0C31-4E34-9F29-1EEDEE380969}"/>
    <cellStyle name="Moneda 5 4 8" xfId="7141" xr:uid="{99D05BCF-EB53-4B16-98C1-A28F81439B11}"/>
    <cellStyle name="Moneda 5 4 9" xfId="7563" xr:uid="{C464BF86-C4FA-482F-B3A5-4DB9D0AE91EB}"/>
    <cellStyle name="Moneda 5 5" xfId="569" xr:uid="{00000000-0005-0000-0000-00006F080000}"/>
    <cellStyle name="Moneda 5 5 2" xfId="866" xr:uid="{00000000-0005-0000-0000-000070080000}"/>
    <cellStyle name="Moneda 5 5 2 2" xfId="3646" xr:uid="{00000000-0005-0000-0000-000071080000}"/>
    <cellStyle name="Moneda 5 5 2 3" xfId="2571" xr:uid="{00000000-0005-0000-0000-000072080000}"/>
    <cellStyle name="Moneda 5 5 2 4" xfId="4761" xr:uid="{61DEFA86-E037-4B61-9CCE-65A4462DCF5A}"/>
    <cellStyle name="Moneda 5 5 2 5" xfId="5183" xr:uid="{5DA2F2F1-D4C9-418F-9577-9E0D706E75B7}"/>
    <cellStyle name="Moneda 5 5 2 6" xfId="7029" xr:uid="{03115187-57E2-4FE7-BAC3-0C4F161DF22F}"/>
    <cellStyle name="Moneda 5 5 2 7" xfId="7451" xr:uid="{4D1A18D6-B460-4E6B-8C36-020606417D21}"/>
    <cellStyle name="Moneda 5 5 2 8" xfId="7873" xr:uid="{B4B6DDC6-1A59-475C-B6F9-479B38951CEC}"/>
    <cellStyle name="Moneda 5 5 3" xfId="1075" xr:uid="{00000000-0005-0000-0000-000073080000}"/>
    <cellStyle name="Moneda 5 5 3 2" xfId="3119" xr:uid="{00000000-0005-0000-0000-000074080000}"/>
    <cellStyle name="Moneda 5 5 3 2 2" xfId="6609" xr:uid="{7C971FF2-7FC7-4284-B862-AC79553D1F58}"/>
    <cellStyle name="Moneda 5 5 3 2 3" xfId="5899" xr:uid="{BFA76404-6F0F-4EF5-88E7-A22A2B170A00}"/>
    <cellStyle name="Moneda 5 5 3 3" xfId="6254" xr:uid="{90041F2A-AF1E-411E-8EB6-DDA855EDBF49}"/>
    <cellStyle name="Moneda 5 5 3 4" xfId="5544" xr:uid="{8D21A9F6-C7E6-4E6D-9CCE-94526BDCB763}"/>
    <cellStyle name="Moneda 5 5 4" xfId="2028" xr:uid="{00000000-0005-0000-0000-000075080000}"/>
    <cellStyle name="Moneda 5 5 5" xfId="4549" xr:uid="{A9393C02-30FD-4577-B25B-1688E413E178}"/>
    <cellStyle name="Moneda 5 5 6" xfId="4972" xr:uid="{CF463960-F572-4BEC-A9EB-44A2A4C2BE2F}"/>
    <cellStyle name="Moneda 5 5 7" xfId="6818" xr:uid="{28C99C6A-44AB-4372-A6F9-D7FEC7E529AC}"/>
    <cellStyle name="Moneda 5 5 8" xfId="7240" xr:uid="{A1B1998C-2F24-43DC-A82D-0C482A50E982}"/>
    <cellStyle name="Moneda 5 5 9" xfId="7662" xr:uid="{58B24DA2-17A7-49A1-8600-ED3D855B7E1F}"/>
    <cellStyle name="Moneda 5 6" xfId="810" xr:uid="{00000000-0005-0000-0000-000076080000}"/>
    <cellStyle name="Moneda 5 6 2" xfId="3496" xr:uid="{00000000-0005-0000-0000-000077080000}"/>
    <cellStyle name="Moneda 5 6 3" xfId="2421" xr:uid="{00000000-0005-0000-0000-000078080000}"/>
    <cellStyle name="Moneda 5 6 4" xfId="4619" xr:uid="{F679B599-C41D-403D-A7D6-98C9B482C08D}"/>
    <cellStyle name="Moneda 5 6 5" xfId="5041" xr:uid="{6CF1D4C2-912A-4991-89D7-B51251A28FD9}"/>
    <cellStyle name="Moneda 5 6 6" xfId="6887" xr:uid="{A60C8EFD-44CE-4E3A-8166-11F566C42B59}"/>
    <cellStyle name="Moneda 5 6 7" xfId="7309" xr:uid="{6A57CABB-BA7E-449B-9BA1-9D691FDF5202}"/>
    <cellStyle name="Moneda 5 6 8" xfId="7731" xr:uid="{B64FA84B-DFBD-4B8A-88F8-CE306355E317}"/>
    <cellStyle name="Moneda 5 7" xfId="927" xr:uid="{00000000-0005-0000-0000-000079080000}"/>
    <cellStyle name="Moneda 5 7 2" xfId="2957" xr:uid="{00000000-0005-0000-0000-00007A080000}"/>
    <cellStyle name="Moneda 5 7 2 2" xfId="6467" xr:uid="{066D94B0-ECD5-4DC1-B419-D34060714E03}"/>
    <cellStyle name="Moneda 5 7 2 3" xfId="5757" xr:uid="{B778830F-9C2D-437E-B300-1DCB194C2056}"/>
    <cellStyle name="Moneda 5 7 3" xfId="6112" xr:uid="{80B2C68B-3B10-4502-858B-9F5B5185AF5F}"/>
    <cellStyle name="Moneda 5 7 4" xfId="5402" xr:uid="{8142A502-918A-4352-8860-1B3AA8345B1B}"/>
    <cellStyle name="Moneda 5 8" xfId="1866" xr:uid="{00000000-0005-0000-0000-00007B080000}"/>
    <cellStyle name="Moneda 5 9" xfId="3869" xr:uid="{00000000-0005-0000-0000-00007C080000}"/>
    <cellStyle name="Moneda 6" xfId="279" xr:uid="{00000000-0005-0000-0000-00007D080000}"/>
    <cellStyle name="Moneda 6 10" xfId="4849" xr:uid="{E5717E2E-43FD-47D6-8FF5-BEEC9E95D66C}"/>
    <cellStyle name="Moneda 6 11" xfId="6695" xr:uid="{3ECF5709-8445-4EAC-9209-7D17291B873F}"/>
    <cellStyle name="Moneda 6 12" xfId="7117" xr:uid="{E7BEDCBC-C681-4A65-A353-9726ACFD2E84}"/>
    <cellStyle name="Moneda 6 13" xfId="7539" xr:uid="{95FAB181-A70F-4970-81A0-4EF489D27001}"/>
    <cellStyle name="Moneda 6 2" xfId="347" xr:uid="{00000000-0005-0000-0000-00007E080000}"/>
    <cellStyle name="Moneda 6 2 10" xfId="7546" xr:uid="{27D5E5D9-F8AF-43B4-8877-914323C30D85}"/>
    <cellStyle name="Moneda 6 2 2" xfId="831" xr:uid="{00000000-0005-0000-0000-00007F080000}"/>
    <cellStyle name="Moneda 6 2 2 2" xfId="3717" xr:uid="{00000000-0005-0000-0000-000080080000}"/>
    <cellStyle name="Moneda 6 2 2 3" xfId="2642" xr:uid="{00000000-0005-0000-0000-000081080000}"/>
    <cellStyle name="Moneda 6 2 2 4" xfId="4645" xr:uid="{750C3216-2A32-4225-9D8E-9EF91EE54BB5}"/>
    <cellStyle name="Moneda 6 2 2 5" xfId="5067" xr:uid="{F7FE0B3B-E86A-4A54-9B86-33469818D27E}"/>
    <cellStyle name="Moneda 6 2 2 6" xfId="6913" xr:uid="{C8563445-156D-4D35-A31C-8AA4C90B6B2B}"/>
    <cellStyle name="Moneda 6 2 2 7" xfId="7335" xr:uid="{5D50B07A-3C99-489C-AA58-97939AE1BC85}"/>
    <cellStyle name="Moneda 6 2 2 8" xfId="7757" xr:uid="{8DCB232B-7759-4194-B0B0-5D2133FB52EE}"/>
    <cellStyle name="Moneda 6 2 3" xfId="958" xr:uid="{00000000-0005-0000-0000-000082080000}"/>
    <cellStyle name="Moneda 6 2 3 2" xfId="3174" xr:uid="{00000000-0005-0000-0000-000083080000}"/>
    <cellStyle name="Moneda 6 2 3 2 2" xfId="6493" xr:uid="{7C8FE633-288E-4BE1-81B3-FBA8FF4D9039}"/>
    <cellStyle name="Moneda 6 2 3 2 3" xfId="5783" xr:uid="{ACE5C3A0-09CA-4255-A02C-AA77BB5DAE3E}"/>
    <cellStyle name="Moneda 6 2 3 3" xfId="6138" xr:uid="{237C99ED-16FD-4A0D-B449-B47512CDCB9C}"/>
    <cellStyle name="Moneda 6 2 3 4" xfId="5428" xr:uid="{E763E807-3494-4135-8DBB-190935EA5C13}"/>
    <cellStyle name="Moneda 6 2 4" xfId="2099" xr:uid="{00000000-0005-0000-0000-000084080000}"/>
    <cellStyle name="Moneda 6 2 5" xfId="3900" xr:uid="{00000000-0005-0000-0000-000085080000}"/>
    <cellStyle name="Moneda 6 2 6" xfId="4433" xr:uid="{5C6E2002-76B4-4F28-A75C-10C5C5C43C92}"/>
    <cellStyle name="Moneda 6 2 7" xfId="4856" xr:uid="{2E7D25FF-1746-41B9-B64A-9F111BDD4A49}"/>
    <cellStyle name="Moneda 6 2 8" xfId="6702" xr:uid="{A78B7BCF-8BAE-4D55-9494-81F7EFFAA973}"/>
    <cellStyle name="Moneda 6 2 9" xfId="7124" xr:uid="{8AE9620D-CD52-47BF-8994-A6DA2171E7AD}"/>
    <cellStyle name="Moneda 6 3" xfId="329" xr:uid="{00000000-0005-0000-0000-000086080000}"/>
    <cellStyle name="Moneda 6 3 2" xfId="1545" xr:uid="{00000000-0005-0000-0000-000087080000}"/>
    <cellStyle name="Moneda 6 3 2 2" xfId="3712" xr:uid="{00000000-0005-0000-0000-000088080000}"/>
    <cellStyle name="Moneda 6 3 2 3" xfId="2637" xr:uid="{00000000-0005-0000-0000-000089080000}"/>
    <cellStyle name="Moneda 6 3 3" xfId="3169" xr:uid="{00000000-0005-0000-0000-00008A080000}"/>
    <cellStyle name="Moneda 6 3 4" xfId="2094" xr:uid="{00000000-0005-0000-0000-00008B080000}"/>
    <cellStyle name="Moneda 6 4" xfId="606" xr:uid="{00000000-0005-0000-0000-00008C080000}"/>
    <cellStyle name="Moneda 6 4 2" xfId="884" xr:uid="{00000000-0005-0000-0000-00008D080000}"/>
    <cellStyle name="Moneda 6 4 2 2" xfId="3683" xr:uid="{00000000-0005-0000-0000-00008E080000}"/>
    <cellStyle name="Moneda 6 4 2 3" xfId="2608" xr:uid="{00000000-0005-0000-0000-00008F080000}"/>
    <cellStyle name="Moneda 6 4 2 4" xfId="4780" xr:uid="{AB15D22C-7CD5-4B14-AC69-9E3CE3924FF4}"/>
    <cellStyle name="Moneda 6 4 2 5" xfId="5202" xr:uid="{1CCA777C-2403-4647-A045-03A1E1694918}"/>
    <cellStyle name="Moneda 6 4 2 6" xfId="7048" xr:uid="{A2997F2D-B136-4CD5-822D-8B36E0F69D17}"/>
    <cellStyle name="Moneda 6 4 2 7" xfId="7470" xr:uid="{2718C013-5FB7-4AA9-8AA6-298FF4925AE3}"/>
    <cellStyle name="Moneda 6 4 2 8" xfId="7892" xr:uid="{A23AACBB-1D37-41AC-89DE-85B50F4892AC}"/>
    <cellStyle name="Moneda 6 4 3" xfId="1095" xr:uid="{00000000-0005-0000-0000-000090080000}"/>
    <cellStyle name="Moneda 6 4 3 2" xfId="3140" xr:uid="{00000000-0005-0000-0000-000091080000}"/>
    <cellStyle name="Moneda 6 4 3 2 2" xfId="6628" xr:uid="{CDEC3C3F-B599-486C-8021-AAE35E426280}"/>
    <cellStyle name="Moneda 6 4 3 2 3" xfId="5918" xr:uid="{04FA576C-BE84-4622-8DF4-7B223A4C1336}"/>
    <cellStyle name="Moneda 6 4 3 3" xfId="6273" xr:uid="{CA6FB790-56FE-4A97-9D52-57A39936B2AA}"/>
    <cellStyle name="Moneda 6 4 3 4" xfId="5563" xr:uid="{80E978B3-C889-4EAE-84D6-1DF4366E054A}"/>
    <cellStyle name="Moneda 6 4 4" xfId="2065" xr:uid="{00000000-0005-0000-0000-000092080000}"/>
    <cellStyle name="Moneda 6 4 5" xfId="4568" xr:uid="{8EF95DB2-ECF5-4FB3-B547-39D6F4066893}"/>
    <cellStyle name="Moneda 6 4 6" xfId="4991" xr:uid="{36D44533-C85D-4CD7-99AA-66AEE55EB759}"/>
    <cellStyle name="Moneda 6 4 7" xfId="6837" xr:uid="{2D7D8710-AF2C-4749-9AF4-8962A6807EC0}"/>
    <cellStyle name="Moneda 6 4 8" xfId="7259" xr:uid="{F5B42F0E-6D4B-4EC1-BECA-9189F62409ED}"/>
    <cellStyle name="Moneda 6 4 9" xfId="7681" xr:uid="{4AAC746F-E256-4E7F-ABF5-1A65705679F8}"/>
    <cellStyle name="Moneda 6 5" xfId="828" xr:uid="{00000000-0005-0000-0000-000093080000}"/>
    <cellStyle name="Moneda 6 5 2" xfId="3533" xr:uid="{00000000-0005-0000-0000-000094080000}"/>
    <cellStyle name="Moneda 6 5 3" xfId="2458" xr:uid="{00000000-0005-0000-0000-000095080000}"/>
    <cellStyle name="Moneda 6 5 4" xfId="4638" xr:uid="{10495C2A-2BAF-43AD-A173-5A93A38AB835}"/>
    <cellStyle name="Moneda 6 5 5" xfId="5060" xr:uid="{6C9C8212-1F51-4235-A7AE-FD7C9721C3AD}"/>
    <cellStyle name="Moneda 6 5 6" xfId="6906" xr:uid="{13276674-9C17-4BAE-9F35-6BFD3525FB09}"/>
    <cellStyle name="Moneda 6 5 7" xfId="7328" xr:uid="{E750037D-4552-424F-A4B6-3C2ED7E2016D}"/>
    <cellStyle name="Moneda 6 5 8" xfId="7750" xr:uid="{F870E1FC-5088-44FF-9881-580B5EA29D32}"/>
    <cellStyle name="Moneda 6 6" xfId="948" xr:uid="{00000000-0005-0000-0000-000096080000}"/>
    <cellStyle name="Moneda 6 6 2" xfId="2994" xr:uid="{00000000-0005-0000-0000-000097080000}"/>
    <cellStyle name="Moneda 6 6 2 2" xfId="6486" xr:uid="{64708490-F320-49C8-9336-7B699C536CF9}"/>
    <cellStyle name="Moneda 6 6 2 3" xfId="5776" xr:uid="{6B080A4A-2356-41C7-A617-D164F3B6C485}"/>
    <cellStyle name="Moneda 6 6 3" xfId="6131" xr:uid="{6C551A6C-ADF0-412C-BD98-0C9605EC10C0}"/>
    <cellStyle name="Moneda 6 6 4" xfId="5421" xr:uid="{7B0C4DAD-E14B-469A-A2F2-639D17227559}"/>
    <cellStyle name="Moneda 6 7" xfId="1903" xr:uid="{00000000-0005-0000-0000-000098080000}"/>
    <cellStyle name="Moneda 6 8" xfId="3870" xr:uid="{00000000-0005-0000-0000-000099080000}"/>
    <cellStyle name="Moneda 6 9" xfId="4426" xr:uid="{8EB750FC-4672-4D0B-89F8-C62B42FD9D80}"/>
    <cellStyle name="Moneda 7" xfId="321" xr:uid="{00000000-0005-0000-0000-00009A080000}"/>
    <cellStyle name="Moneda 7 2" xfId="369" xr:uid="{00000000-0005-0000-0000-00009B080000}"/>
    <cellStyle name="Moneda 7 2 2" xfId="849" xr:uid="{00000000-0005-0000-0000-00009C080000}"/>
    <cellStyle name="Moneda 7 2 2 2" xfId="3737" xr:uid="{00000000-0005-0000-0000-00009D080000}"/>
    <cellStyle name="Moneda 7 2 2 3" xfId="2662" xr:uid="{00000000-0005-0000-0000-00009E080000}"/>
    <cellStyle name="Moneda 7 2 2 4" xfId="4663" xr:uid="{D7258255-27DB-4639-A550-7590DBA49774}"/>
    <cellStyle name="Moneda 7 2 2 5" xfId="5085" xr:uid="{33811671-974A-4682-B9AF-4BB1B7535FED}"/>
    <cellStyle name="Moneda 7 2 2 6" xfId="6931" xr:uid="{EBCE2924-CEE9-429B-94F6-15AED3DC331E}"/>
    <cellStyle name="Moneda 7 2 2 7" xfId="7353" xr:uid="{69977E32-4639-4AEC-B427-8448E3E7C1FC}"/>
    <cellStyle name="Moneda 7 2 2 8" xfId="7775" xr:uid="{E7CDB812-0850-49E7-A402-3C0E76FA706C}"/>
    <cellStyle name="Moneda 7 2 3" xfId="976" xr:uid="{00000000-0005-0000-0000-00009F080000}"/>
    <cellStyle name="Moneda 7 2 3 2" xfId="3194" xr:uid="{00000000-0005-0000-0000-0000A0080000}"/>
    <cellStyle name="Moneda 7 2 3 2 2" xfId="6511" xr:uid="{47238727-C082-406A-9B14-2EE39FDC2951}"/>
    <cellStyle name="Moneda 7 2 3 2 3" xfId="5801" xr:uid="{68EE3C69-1783-48A2-9BA3-F2C25449046F}"/>
    <cellStyle name="Moneda 7 2 3 3" xfId="6156" xr:uid="{0E128F67-74E2-4271-9161-4B328DA06D0D}"/>
    <cellStyle name="Moneda 7 2 3 4" xfId="5446" xr:uid="{F13BF259-C5AC-4273-82FA-73C059A692B0}"/>
    <cellStyle name="Moneda 7 2 4" xfId="2119" xr:uid="{00000000-0005-0000-0000-0000A1080000}"/>
    <cellStyle name="Moneda 7 2 5" xfId="4451" xr:uid="{25CBDD6F-75CF-4DFA-BB71-294C700F1761}"/>
    <cellStyle name="Moneda 7 2 6" xfId="4874" xr:uid="{96CC49E3-8985-4219-9036-4CC7E5912856}"/>
    <cellStyle name="Moneda 7 2 7" xfId="6720" xr:uid="{AAFF7E49-0D9D-44EE-B4D2-921D55B06F61}"/>
    <cellStyle name="Moneda 7 2 8" xfId="7142" xr:uid="{4910E3C5-21DC-4E47-B4CE-F8D7A0A9F2A1}"/>
    <cellStyle name="Moneda 7 2 9" xfId="7564" xr:uid="{166CB913-DE25-419A-A425-B4D27FCBB4E3}"/>
    <cellStyle name="Moneda 7 3" xfId="628" xr:uid="{00000000-0005-0000-0000-0000A2080000}"/>
    <cellStyle name="Moneda 7 3 2" xfId="1540" xr:uid="{00000000-0005-0000-0000-0000A3080000}"/>
    <cellStyle name="Moneda 7 3 2 2" xfId="3707" xr:uid="{00000000-0005-0000-0000-0000A4080000}"/>
    <cellStyle name="Moneda 7 3 2 3" xfId="2632" xr:uid="{00000000-0005-0000-0000-0000A5080000}"/>
    <cellStyle name="Moneda 7 3 3" xfId="3164" xr:uid="{00000000-0005-0000-0000-0000A6080000}"/>
    <cellStyle name="Moneda 7 3 4" xfId="2089" xr:uid="{00000000-0005-0000-0000-0000A7080000}"/>
    <cellStyle name="Moneda 7 4" xfId="1279" xr:uid="{00000000-0005-0000-0000-0000A8080000}"/>
    <cellStyle name="Moneda 7 4 2" xfId="3406" xr:uid="{00000000-0005-0000-0000-0000A9080000}"/>
    <cellStyle name="Moneda 7 4 3" xfId="2331" xr:uid="{00000000-0005-0000-0000-0000AA080000}"/>
    <cellStyle name="Moneda 7 5" xfId="2867" xr:uid="{00000000-0005-0000-0000-0000AB080000}"/>
    <cellStyle name="Moneda 7 6" xfId="1776" xr:uid="{00000000-0005-0000-0000-0000AC080000}"/>
    <cellStyle name="Moneda 7 7" xfId="3886" xr:uid="{00000000-0005-0000-0000-0000AD080000}"/>
    <cellStyle name="Moneda 8" xfId="1116" xr:uid="{00000000-0005-0000-0000-0000AE080000}"/>
    <cellStyle name="Moneda 8 2" xfId="4800" xr:uid="{36C778D8-612F-4F84-A256-F5375D2F1CB0}"/>
    <cellStyle name="Moneda 8 2 2" xfId="5222" xr:uid="{BA0F4BD8-B032-4054-93F0-F3BBCC184F10}"/>
    <cellStyle name="Moneda 8 2 2 2" xfId="6648" xr:uid="{3339B7C7-14DD-499D-BEB2-172D8A8A25F0}"/>
    <cellStyle name="Moneda 8 2 3" xfId="5938" xr:uid="{472242D4-2230-43B2-B0EC-A5F0D5B61FF6}"/>
    <cellStyle name="Moneda 8 2 4" xfId="7068" xr:uid="{EF23076C-27DD-4702-AFA8-A6CC729CB741}"/>
    <cellStyle name="Moneda 8 2 5" xfId="7490" xr:uid="{5E5DACAA-33AA-4666-A296-C644889DC677}"/>
    <cellStyle name="Moneda 8 2 6" xfId="7912" xr:uid="{57EB2CBC-C86A-4909-98D1-050E6232094A}"/>
    <cellStyle name="Moneda 8 3" xfId="4588" xr:uid="{1FA6BA29-EE0B-4991-B5C2-0B6D99161C09}"/>
    <cellStyle name="Moneda 8 3 2" xfId="6293" xr:uid="{7E8A2D7B-5D6F-4EA0-B6CA-E02221F9D752}"/>
    <cellStyle name="Moneda 8 4" xfId="5011" xr:uid="{064155B2-12B4-4CB7-9798-8AE46F61552C}"/>
    <cellStyle name="Moneda 8 5" xfId="5583" xr:uid="{FB29A51E-5C12-431C-A3E0-6167350DDFC6}"/>
    <cellStyle name="Moneda 8 6" xfId="6857" xr:uid="{CB09FEC7-C9D7-4639-B9CD-0532A8E859E9}"/>
    <cellStyle name="Moneda 8 7" xfId="7279" xr:uid="{CAB8BC5A-D321-4ED5-BA76-C7AF584ABAAF}"/>
    <cellStyle name="Moneda 8 8" xfId="7701" xr:uid="{F51E1C64-A02B-48A4-B994-54B0FED43E86}"/>
    <cellStyle name="Moneda 9" xfId="1117" xr:uid="{00000000-0005-0000-0000-0000AF080000}"/>
    <cellStyle name="Moneda 9 2" xfId="4801" xr:uid="{E53B5124-31C2-47F7-98DC-C2BECBD81D71}"/>
    <cellStyle name="Moneda 9 2 2" xfId="5223" xr:uid="{0F223020-746E-4472-9124-59AEC3D5DBBD}"/>
    <cellStyle name="Moneda 9 2 2 2" xfId="6649" xr:uid="{26870466-7B1F-4752-B47A-9E99AC36B500}"/>
    <cellStyle name="Moneda 9 2 3" xfId="5939" xr:uid="{62364169-668B-4739-800E-464AF39F2259}"/>
    <cellStyle name="Moneda 9 2 4" xfId="7069" xr:uid="{4909403A-634E-45EF-8AA7-5237DC305C10}"/>
    <cellStyle name="Moneda 9 2 5" xfId="7491" xr:uid="{E92D71B2-FE50-42CB-AF51-EF0EAFD5D6B3}"/>
    <cellStyle name="Moneda 9 2 6" xfId="7913" xr:uid="{C3438464-1E99-4B90-A218-A17E9135E237}"/>
    <cellStyle name="Moneda 9 3" xfId="4589" xr:uid="{F507B493-D40E-42A8-8E94-36B609C65DDC}"/>
    <cellStyle name="Moneda 9 3 2" xfId="6294" xr:uid="{C9F43EE9-F19A-4218-9E8F-D374A9502553}"/>
    <cellStyle name="Moneda 9 4" xfId="5012" xr:uid="{0B87FCD8-28B6-42A1-A1A8-4C9FDEA6A60B}"/>
    <cellStyle name="Moneda 9 5" xfId="5584" xr:uid="{ADFF6846-7734-461F-B559-80A7592A9357}"/>
    <cellStyle name="Moneda 9 6" xfId="6858" xr:uid="{71529FAE-8D40-4856-AB4E-C024BDBF9D3C}"/>
    <cellStyle name="Moneda 9 7" xfId="7280" xr:uid="{6F01755B-11B6-4A65-A414-AB86B8409307}"/>
    <cellStyle name="Moneda 9 8" xfId="7702" xr:uid="{2875054F-98EA-45A0-B2FB-02182F23B831}"/>
    <cellStyle name="Neutral" xfId="133" builtinId="28" customBuiltin="1"/>
    <cellStyle name="Normal" xfId="0" builtinId="0"/>
    <cellStyle name="Normal 10" xfId="33" xr:uid="{00000000-0005-0000-0000-0000B2080000}"/>
    <cellStyle name="Normal 10 10" xfId="2789" xr:uid="{00000000-0005-0000-0000-0000B3080000}"/>
    <cellStyle name="Normal 10 11" xfId="1698" xr:uid="{00000000-0005-0000-0000-0000B4080000}"/>
    <cellStyle name="Normal 10 2" xfId="91" xr:uid="{00000000-0005-0000-0000-0000B5080000}"/>
    <cellStyle name="Normal 10 2 2" xfId="303" xr:uid="{00000000-0005-0000-0000-0000B6080000}"/>
    <cellStyle name="Normal 10 2 2 2" xfId="621" xr:uid="{00000000-0005-0000-0000-0000B7080000}"/>
    <cellStyle name="Normal 10 2 2 2 2" xfId="1531" xr:uid="{00000000-0005-0000-0000-0000B8080000}"/>
    <cellStyle name="Normal 10 2 2 2 2 2" xfId="3698" xr:uid="{00000000-0005-0000-0000-0000B9080000}"/>
    <cellStyle name="Normal 10 2 2 2 2 3" xfId="2623" xr:uid="{00000000-0005-0000-0000-0000BA080000}"/>
    <cellStyle name="Normal 10 2 2 2 3" xfId="3155" xr:uid="{00000000-0005-0000-0000-0000BB080000}"/>
    <cellStyle name="Normal 10 2 2 2 4" xfId="2080" xr:uid="{00000000-0005-0000-0000-0000BC080000}"/>
    <cellStyle name="Normal 10 2 2 3" xfId="1401" xr:uid="{00000000-0005-0000-0000-0000BD080000}"/>
    <cellStyle name="Normal 10 2 2 3 2" xfId="3548" xr:uid="{00000000-0005-0000-0000-0000BE080000}"/>
    <cellStyle name="Normal 10 2 2 3 3" xfId="2473" xr:uid="{00000000-0005-0000-0000-0000BF080000}"/>
    <cellStyle name="Normal 10 2 2 4" xfId="3009" xr:uid="{00000000-0005-0000-0000-0000C0080000}"/>
    <cellStyle name="Normal 10 2 2 5" xfId="1918" xr:uid="{00000000-0005-0000-0000-0000C1080000}"/>
    <cellStyle name="Normal 10 2 3" xfId="244" xr:uid="{00000000-0005-0000-0000-0000C2080000}"/>
    <cellStyle name="Normal 10 2 4" xfId="407" xr:uid="{00000000-0005-0000-0000-0000C3080000}"/>
    <cellStyle name="Normal 10 2 4 2" xfId="685" xr:uid="{00000000-0005-0000-0000-0000C4080000}"/>
    <cellStyle name="Normal 10 2 4 2 2" xfId="1588" xr:uid="{00000000-0005-0000-0000-0000C5080000}"/>
    <cellStyle name="Normal 10 2 4 2 2 2" xfId="3775" xr:uid="{00000000-0005-0000-0000-0000C6080000}"/>
    <cellStyle name="Normal 10 2 4 2 2 3" xfId="2700" xr:uid="{00000000-0005-0000-0000-0000C7080000}"/>
    <cellStyle name="Normal 10 2 4 2 3" xfId="3232" xr:uid="{00000000-0005-0000-0000-0000C8080000}"/>
    <cellStyle name="Normal 10 2 4 2 4" xfId="2157" xr:uid="{00000000-0005-0000-0000-0000C9080000}"/>
    <cellStyle name="Normal 10 2 4 3" xfId="1319" xr:uid="{00000000-0005-0000-0000-0000CA080000}"/>
    <cellStyle name="Normal 10 2 4 3 2" xfId="3462" xr:uid="{00000000-0005-0000-0000-0000CB080000}"/>
    <cellStyle name="Normal 10 2 4 3 3" xfId="2387" xr:uid="{00000000-0005-0000-0000-0000CC080000}"/>
    <cellStyle name="Normal 10 2 4 4" xfId="2923" xr:uid="{00000000-0005-0000-0000-0000CD080000}"/>
    <cellStyle name="Normal 10 2 4 5" xfId="1832" xr:uid="{00000000-0005-0000-0000-0000CE080000}"/>
    <cellStyle name="Normal 10 2 5" xfId="535" xr:uid="{00000000-0005-0000-0000-0000CF080000}"/>
    <cellStyle name="Normal 10 2 5 2" xfId="1449" xr:uid="{00000000-0005-0000-0000-0000D0080000}"/>
    <cellStyle name="Normal 10 2 5 2 2" xfId="3612" xr:uid="{00000000-0005-0000-0000-0000D1080000}"/>
    <cellStyle name="Normal 10 2 5 2 3" xfId="2537" xr:uid="{00000000-0005-0000-0000-0000D2080000}"/>
    <cellStyle name="Normal 10 2 5 3" xfId="3085" xr:uid="{00000000-0005-0000-0000-0000D3080000}"/>
    <cellStyle name="Normal 10 2 5 4" xfId="1994" xr:uid="{00000000-0005-0000-0000-0000D4080000}"/>
    <cellStyle name="Normal 10 2 6" xfId="1242" xr:uid="{00000000-0005-0000-0000-0000D5080000}"/>
    <cellStyle name="Normal 10 2 6 2" xfId="3370" xr:uid="{00000000-0005-0000-0000-0000D6080000}"/>
    <cellStyle name="Normal 10 2 6 3" xfId="2295" xr:uid="{00000000-0005-0000-0000-0000D7080000}"/>
    <cellStyle name="Normal 10 2 7" xfId="2831" xr:uid="{00000000-0005-0000-0000-0000D8080000}"/>
    <cellStyle name="Normal 10 2 8" xfId="1740" xr:uid="{00000000-0005-0000-0000-0000D9080000}"/>
    <cellStyle name="Normal 10 3" xfId="243" xr:uid="{00000000-0005-0000-0000-0000DA080000}"/>
    <cellStyle name="Normal 10 3 2" xfId="601" xr:uid="{00000000-0005-0000-0000-0000DB080000}"/>
    <cellStyle name="Normal 10 3 2 2" xfId="1513" xr:uid="{00000000-0005-0000-0000-0000DC080000}"/>
    <cellStyle name="Normal 10 3 2 2 2" xfId="3678" xr:uid="{00000000-0005-0000-0000-0000DD080000}"/>
    <cellStyle name="Normal 10 3 2 2 3" xfId="2603" xr:uid="{00000000-0005-0000-0000-0000DE080000}"/>
    <cellStyle name="Normal 10 3 2 3" xfId="3135" xr:uid="{00000000-0005-0000-0000-0000DF080000}"/>
    <cellStyle name="Normal 10 3 2 4" xfId="2060" xr:uid="{00000000-0005-0000-0000-0000E0080000}"/>
    <cellStyle name="Normal 10 3 3" xfId="1383" xr:uid="{00000000-0005-0000-0000-0000E1080000}"/>
    <cellStyle name="Normal 10 3 3 2" xfId="3528" xr:uid="{00000000-0005-0000-0000-0000E2080000}"/>
    <cellStyle name="Normal 10 3 3 3" xfId="2453" xr:uid="{00000000-0005-0000-0000-0000E3080000}"/>
    <cellStyle name="Normal 10 3 4" xfId="1672" xr:uid="{00000000-0005-0000-0000-0000E4080000}"/>
    <cellStyle name="Normal 10 3 4 2" xfId="2989" xr:uid="{00000000-0005-0000-0000-0000E5080000}"/>
    <cellStyle name="Normal 10 3 5" xfId="1898" xr:uid="{00000000-0005-0000-0000-0000E6080000}"/>
    <cellStyle name="Normal 10 4" xfId="227" xr:uid="{00000000-0005-0000-0000-0000E7080000}"/>
    <cellStyle name="Normal 10 5" xfId="283" xr:uid="{00000000-0005-0000-0000-0000E8080000}"/>
    <cellStyle name="Normal 10 5 2" xfId="608" xr:uid="{00000000-0005-0000-0000-0000E9080000}"/>
    <cellStyle name="Normal 10 5 2 2" xfId="1518" xr:uid="{00000000-0005-0000-0000-0000EA080000}"/>
    <cellStyle name="Normal 10 5 2 2 2" xfId="3685" xr:uid="{00000000-0005-0000-0000-0000EB080000}"/>
    <cellStyle name="Normal 10 5 2 2 3" xfId="2610" xr:uid="{00000000-0005-0000-0000-0000EC080000}"/>
    <cellStyle name="Normal 10 5 2 3" xfId="3142" xr:uid="{00000000-0005-0000-0000-0000ED080000}"/>
    <cellStyle name="Normal 10 5 2 4" xfId="2067" xr:uid="{00000000-0005-0000-0000-0000EE080000}"/>
    <cellStyle name="Normal 10 5 3" xfId="1388" xr:uid="{00000000-0005-0000-0000-0000EF080000}"/>
    <cellStyle name="Normal 10 5 3 2" xfId="3535" xr:uid="{00000000-0005-0000-0000-0000F0080000}"/>
    <cellStyle name="Normal 10 5 3 3" xfId="2460" xr:uid="{00000000-0005-0000-0000-0000F1080000}"/>
    <cellStyle name="Normal 10 5 4" xfId="2996" xr:uid="{00000000-0005-0000-0000-0000F2080000}"/>
    <cellStyle name="Normal 10 5 5" xfId="1905" xr:uid="{00000000-0005-0000-0000-0000F3080000}"/>
    <cellStyle name="Normal 10 6" xfId="208" xr:uid="{00000000-0005-0000-0000-0000F4080000}"/>
    <cellStyle name="Normal 10 6 2" xfId="590" xr:uid="{00000000-0005-0000-0000-0000F5080000}"/>
    <cellStyle name="Normal 10 6 2 2" xfId="1502" xr:uid="{00000000-0005-0000-0000-0000F6080000}"/>
    <cellStyle name="Normal 10 6 2 2 2" xfId="3667" xr:uid="{00000000-0005-0000-0000-0000F7080000}"/>
    <cellStyle name="Normal 10 6 2 2 3" xfId="2592" xr:uid="{00000000-0005-0000-0000-0000F8080000}"/>
    <cellStyle name="Normal 10 6 2 3" xfId="3124" xr:uid="{00000000-0005-0000-0000-0000F9080000}"/>
    <cellStyle name="Normal 10 6 2 4" xfId="2049" xr:uid="{00000000-0005-0000-0000-0000FA080000}"/>
    <cellStyle name="Normal 10 6 3" xfId="1372" xr:uid="{00000000-0005-0000-0000-0000FB080000}"/>
    <cellStyle name="Normal 10 6 3 2" xfId="3517" xr:uid="{00000000-0005-0000-0000-0000FC080000}"/>
    <cellStyle name="Normal 10 6 3 3" xfId="2442" xr:uid="{00000000-0005-0000-0000-0000FD080000}"/>
    <cellStyle name="Normal 10 6 4" xfId="2978" xr:uid="{00000000-0005-0000-0000-0000FE080000}"/>
    <cellStyle name="Normal 10 6 5" xfId="1887" xr:uid="{00000000-0005-0000-0000-0000FF080000}"/>
    <cellStyle name="Normal 10 7" xfId="374" xr:uid="{00000000-0005-0000-0000-000000090000}"/>
    <cellStyle name="Normal 10 7 2" xfId="652" xr:uid="{00000000-0005-0000-0000-000001090000}"/>
    <cellStyle name="Normal 10 7 2 2" xfId="1555" xr:uid="{00000000-0005-0000-0000-000002090000}"/>
    <cellStyle name="Normal 10 7 2 2 2" xfId="3742" xr:uid="{00000000-0005-0000-0000-000003090000}"/>
    <cellStyle name="Normal 10 7 2 2 3" xfId="2667" xr:uid="{00000000-0005-0000-0000-000004090000}"/>
    <cellStyle name="Normal 10 7 2 3" xfId="3199" xr:uid="{00000000-0005-0000-0000-000005090000}"/>
    <cellStyle name="Normal 10 7 2 4" xfId="2124" xr:uid="{00000000-0005-0000-0000-000006090000}"/>
    <cellStyle name="Normal 10 7 3" xfId="1285" xr:uid="{00000000-0005-0000-0000-000007090000}"/>
    <cellStyle name="Normal 10 7 3 2" xfId="3420" xr:uid="{00000000-0005-0000-0000-000008090000}"/>
    <cellStyle name="Normal 10 7 3 3" xfId="2345" xr:uid="{00000000-0005-0000-0000-000009090000}"/>
    <cellStyle name="Normal 10 7 4" xfId="2881" xr:uid="{00000000-0005-0000-0000-00000A090000}"/>
    <cellStyle name="Normal 10 7 5" xfId="1790" xr:uid="{00000000-0005-0000-0000-00000B090000}"/>
    <cellStyle name="Normal 10 8" xfId="493" xr:uid="{00000000-0005-0000-0000-00000C090000}"/>
    <cellStyle name="Normal 10 8 2" xfId="1415" xr:uid="{00000000-0005-0000-0000-00000D090000}"/>
    <cellStyle name="Normal 10 8 2 2" xfId="3570" xr:uid="{00000000-0005-0000-0000-00000E090000}"/>
    <cellStyle name="Normal 10 8 2 3" xfId="2495" xr:uid="{00000000-0005-0000-0000-00000F090000}"/>
    <cellStyle name="Normal 10 8 3" xfId="3043" xr:uid="{00000000-0005-0000-0000-000010090000}"/>
    <cellStyle name="Normal 10 8 4" xfId="1952" xr:uid="{00000000-0005-0000-0000-000011090000}"/>
    <cellStyle name="Normal 10 9" xfId="1200" xr:uid="{00000000-0005-0000-0000-000012090000}"/>
    <cellStyle name="Normal 10 9 2" xfId="3328" xr:uid="{00000000-0005-0000-0000-000013090000}"/>
    <cellStyle name="Normal 10 9 3" xfId="2253" xr:uid="{00000000-0005-0000-0000-000014090000}"/>
    <cellStyle name="Normal 11" xfId="7" xr:uid="{00000000-0005-0000-0000-000015090000}"/>
    <cellStyle name="Normal 11 2" xfId="122" xr:uid="{00000000-0005-0000-0000-000016090000}"/>
    <cellStyle name="Normal 11 2 2" xfId="200" xr:uid="{00000000-0005-0000-0000-000017090000}"/>
    <cellStyle name="Normal 11 2 3" xfId="306" xr:uid="{00000000-0005-0000-0000-000018090000}"/>
    <cellStyle name="Normal 11 2 3 2" xfId="624" xr:uid="{00000000-0005-0000-0000-000019090000}"/>
    <cellStyle name="Normal 11 2 3 2 2" xfId="1534" xr:uid="{00000000-0005-0000-0000-00001A090000}"/>
    <cellStyle name="Normal 11 2 3 2 2 2" xfId="3701" xr:uid="{00000000-0005-0000-0000-00001B090000}"/>
    <cellStyle name="Normal 11 2 3 2 2 3" xfId="2626" xr:uid="{00000000-0005-0000-0000-00001C090000}"/>
    <cellStyle name="Normal 11 2 3 2 3" xfId="3158" xr:uid="{00000000-0005-0000-0000-00001D090000}"/>
    <cellStyle name="Normal 11 2 3 2 4" xfId="2083" xr:uid="{00000000-0005-0000-0000-00001E090000}"/>
    <cellStyle name="Normal 11 2 3 3" xfId="1404" xr:uid="{00000000-0005-0000-0000-00001F090000}"/>
    <cellStyle name="Normal 11 2 3 3 2" xfId="3551" xr:uid="{00000000-0005-0000-0000-000020090000}"/>
    <cellStyle name="Normal 11 2 3 3 3" xfId="2476" xr:uid="{00000000-0005-0000-0000-000021090000}"/>
    <cellStyle name="Normal 11 2 3 4" xfId="3012" xr:uid="{00000000-0005-0000-0000-000022090000}"/>
    <cellStyle name="Normal 11 2 3 5" xfId="1921" xr:uid="{00000000-0005-0000-0000-000023090000}"/>
    <cellStyle name="Normal 11 2 4" xfId="245" xr:uid="{00000000-0005-0000-0000-000024090000}"/>
    <cellStyle name="Normal 11 2 5" xfId="437" xr:uid="{00000000-0005-0000-0000-000025090000}"/>
    <cellStyle name="Normal 11 2 5 2" xfId="715" xr:uid="{00000000-0005-0000-0000-000026090000}"/>
    <cellStyle name="Normal 11 2 5 2 2" xfId="1618" xr:uid="{00000000-0005-0000-0000-000027090000}"/>
    <cellStyle name="Normal 11 2 5 2 2 2" xfId="3805" xr:uid="{00000000-0005-0000-0000-000028090000}"/>
    <cellStyle name="Normal 11 2 5 2 2 3" xfId="2730" xr:uid="{00000000-0005-0000-0000-000029090000}"/>
    <cellStyle name="Normal 11 2 5 2 3" xfId="3262" xr:uid="{00000000-0005-0000-0000-00002A090000}"/>
    <cellStyle name="Normal 11 2 5 2 4" xfId="2187" xr:uid="{00000000-0005-0000-0000-00002B090000}"/>
    <cellStyle name="Normal 11 2 5 3" xfId="1350" xr:uid="{00000000-0005-0000-0000-00002C090000}"/>
    <cellStyle name="Normal 11 2 5 3 2" xfId="3493" xr:uid="{00000000-0005-0000-0000-00002D090000}"/>
    <cellStyle name="Normal 11 2 5 3 3" xfId="2418" xr:uid="{00000000-0005-0000-0000-00002E090000}"/>
    <cellStyle name="Normal 11 2 5 4" xfId="2954" xr:uid="{00000000-0005-0000-0000-00002F090000}"/>
    <cellStyle name="Normal 11 2 5 5" xfId="1863" xr:uid="{00000000-0005-0000-0000-000030090000}"/>
    <cellStyle name="Normal 11 2 6" xfId="566" xr:uid="{00000000-0005-0000-0000-000031090000}"/>
    <cellStyle name="Normal 11 2 6 2" xfId="1480" xr:uid="{00000000-0005-0000-0000-000032090000}"/>
    <cellStyle name="Normal 11 2 6 2 2" xfId="3643" xr:uid="{00000000-0005-0000-0000-000033090000}"/>
    <cellStyle name="Normal 11 2 6 2 3" xfId="2568" xr:uid="{00000000-0005-0000-0000-000034090000}"/>
    <cellStyle name="Normal 11 2 6 3" xfId="3116" xr:uid="{00000000-0005-0000-0000-000035090000}"/>
    <cellStyle name="Normal 11 2 6 4" xfId="2025" xr:uid="{00000000-0005-0000-0000-000036090000}"/>
    <cellStyle name="Normal 11 2 7" xfId="3882" xr:uid="{00000000-0005-0000-0000-000037090000}"/>
    <cellStyle name="Normal 11 3" xfId="280" xr:uid="{00000000-0005-0000-0000-000038090000}"/>
    <cellStyle name="Normal 11 3 2" xfId="788" xr:uid="{00000000-0005-0000-0000-000039090000}"/>
    <cellStyle name="Normal 11 4" xfId="201" xr:uid="{00000000-0005-0000-0000-00003A090000}"/>
    <cellStyle name="Normal 11 5" xfId="1273" xr:uid="{00000000-0005-0000-0000-00003B090000}"/>
    <cellStyle name="Normal 11 5 2" xfId="3400" xr:uid="{00000000-0005-0000-0000-00003C090000}"/>
    <cellStyle name="Normal 11 5 3" xfId="2325" xr:uid="{00000000-0005-0000-0000-00003D090000}"/>
    <cellStyle name="Normal 11 6" xfId="2861" xr:uid="{00000000-0005-0000-0000-00003E090000}"/>
    <cellStyle name="Normal 11 7" xfId="1770" xr:uid="{00000000-0005-0000-0000-00003F090000}"/>
    <cellStyle name="Normal 11 8" xfId="3854" xr:uid="{00000000-0005-0000-0000-000040090000}"/>
    <cellStyle name="Normal 12" xfId="199" xr:uid="{00000000-0005-0000-0000-000041090000}"/>
    <cellStyle name="Normal 12 2" xfId="315" xr:uid="{00000000-0005-0000-0000-000042090000}"/>
    <cellStyle name="Normal 12 2 2" xfId="626" xr:uid="{00000000-0005-0000-0000-000043090000}"/>
    <cellStyle name="Normal 12 2 2 2" xfId="1536" xr:uid="{00000000-0005-0000-0000-000044090000}"/>
    <cellStyle name="Normal 12 2 2 2 2" xfId="3703" xr:uid="{00000000-0005-0000-0000-000045090000}"/>
    <cellStyle name="Normal 12 2 2 2 3" xfId="2628" xr:uid="{00000000-0005-0000-0000-000046090000}"/>
    <cellStyle name="Normal 12 2 2 3" xfId="3160" xr:uid="{00000000-0005-0000-0000-000047090000}"/>
    <cellStyle name="Normal 12 2 2 4" xfId="2085" xr:uid="{00000000-0005-0000-0000-000048090000}"/>
    <cellStyle name="Normal 12 2 3" xfId="1406" xr:uid="{00000000-0005-0000-0000-000049090000}"/>
    <cellStyle name="Normal 12 2 3 2" xfId="3553" xr:uid="{00000000-0005-0000-0000-00004A090000}"/>
    <cellStyle name="Normal 12 2 3 3" xfId="2478" xr:uid="{00000000-0005-0000-0000-00004B090000}"/>
    <cellStyle name="Normal 12 2 4" xfId="3014" xr:uid="{00000000-0005-0000-0000-00004C090000}"/>
    <cellStyle name="Normal 12 2 5" xfId="1923" xr:uid="{00000000-0005-0000-0000-00004D090000}"/>
    <cellStyle name="Normal 12 3" xfId="209" xr:uid="{00000000-0005-0000-0000-00004E090000}"/>
    <cellStyle name="Normal 12 3 2" xfId="591" xr:uid="{00000000-0005-0000-0000-00004F090000}"/>
    <cellStyle name="Normal 12 3 2 2" xfId="1503" xr:uid="{00000000-0005-0000-0000-000050090000}"/>
    <cellStyle name="Normal 12 3 2 2 2" xfId="3668" xr:uid="{00000000-0005-0000-0000-000051090000}"/>
    <cellStyle name="Normal 12 3 2 2 3" xfId="2593" xr:uid="{00000000-0005-0000-0000-000052090000}"/>
    <cellStyle name="Normal 12 3 2 3" xfId="3125" xr:uid="{00000000-0005-0000-0000-000053090000}"/>
    <cellStyle name="Normal 12 3 2 4" xfId="2050" xr:uid="{00000000-0005-0000-0000-000054090000}"/>
    <cellStyle name="Normal 12 3 3" xfId="1373" xr:uid="{00000000-0005-0000-0000-000055090000}"/>
    <cellStyle name="Normal 12 3 3 2" xfId="3518" xr:uid="{00000000-0005-0000-0000-000056090000}"/>
    <cellStyle name="Normal 12 3 3 3" xfId="2443" xr:uid="{00000000-0005-0000-0000-000057090000}"/>
    <cellStyle name="Normal 12 3 4" xfId="2979" xr:uid="{00000000-0005-0000-0000-000058090000}"/>
    <cellStyle name="Normal 12 3 5" xfId="1888" xr:uid="{00000000-0005-0000-0000-000059090000}"/>
    <cellStyle name="Normal 12 4" xfId="440" xr:uid="{00000000-0005-0000-0000-00005A090000}"/>
    <cellStyle name="Normal 12 4 2" xfId="717" xr:uid="{00000000-0005-0000-0000-00005B090000}"/>
    <cellStyle name="Normal 12 4 2 2" xfId="1620" xr:uid="{00000000-0005-0000-0000-00005C090000}"/>
    <cellStyle name="Normal 12 4 2 2 2" xfId="3807" xr:uid="{00000000-0005-0000-0000-00005D090000}"/>
    <cellStyle name="Normal 12 4 2 2 3" xfId="2732" xr:uid="{00000000-0005-0000-0000-00005E090000}"/>
    <cellStyle name="Normal 12 4 2 3" xfId="3264" xr:uid="{00000000-0005-0000-0000-00005F090000}"/>
    <cellStyle name="Normal 12 4 2 4" xfId="2189" xr:uid="{00000000-0005-0000-0000-000060090000}"/>
    <cellStyle name="Normal 12 4 3" xfId="1370" xr:uid="{00000000-0005-0000-0000-000061090000}"/>
    <cellStyle name="Normal 12 4 3 2" xfId="3515" xr:uid="{00000000-0005-0000-0000-000062090000}"/>
    <cellStyle name="Normal 12 4 3 3" xfId="2440" xr:uid="{00000000-0005-0000-0000-000063090000}"/>
    <cellStyle name="Normal 12 4 4" xfId="2976" xr:uid="{00000000-0005-0000-0000-000064090000}"/>
    <cellStyle name="Normal 12 4 5" xfId="1885" xr:uid="{00000000-0005-0000-0000-000065090000}"/>
    <cellStyle name="Normal 12 5" xfId="588" xr:uid="{00000000-0005-0000-0000-000066090000}"/>
    <cellStyle name="Normal 12 5 2" xfId="1500" xr:uid="{00000000-0005-0000-0000-000067090000}"/>
    <cellStyle name="Normal 12 5 2 2" xfId="3665" xr:uid="{00000000-0005-0000-0000-000068090000}"/>
    <cellStyle name="Normal 12 5 2 3" xfId="2590" xr:uid="{00000000-0005-0000-0000-000069090000}"/>
    <cellStyle name="Normal 12 5 3" xfId="3122" xr:uid="{00000000-0005-0000-0000-00006A090000}"/>
    <cellStyle name="Normal 12 5 4" xfId="2047" xr:uid="{00000000-0005-0000-0000-00006B090000}"/>
    <cellStyle name="Normal 12 6" xfId="1276" xr:uid="{00000000-0005-0000-0000-00006C090000}"/>
    <cellStyle name="Normal 12 6 2" xfId="3403" xr:uid="{00000000-0005-0000-0000-00006D090000}"/>
    <cellStyle name="Normal 12 6 3" xfId="2328" xr:uid="{00000000-0005-0000-0000-00006E090000}"/>
    <cellStyle name="Normal 12 7" xfId="1673" xr:uid="{00000000-0005-0000-0000-00006F090000}"/>
    <cellStyle name="Normal 12 7 2" xfId="2864" xr:uid="{00000000-0005-0000-0000-000070090000}"/>
    <cellStyle name="Normal 12 8" xfId="1773" xr:uid="{00000000-0005-0000-0000-000071090000}"/>
    <cellStyle name="Normal 124" xfId="223" xr:uid="{00000000-0005-0000-0000-000072090000}"/>
    <cellStyle name="Normal 125" xfId="3" xr:uid="{00000000-0005-0000-0000-000073090000}"/>
    <cellStyle name="Normal 13" xfId="177" xr:uid="{00000000-0005-0000-0000-000074090000}"/>
    <cellStyle name="Normal 13 2" xfId="312" xr:uid="{00000000-0005-0000-0000-000075090000}"/>
    <cellStyle name="Normal 13 3" xfId="210" xr:uid="{00000000-0005-0000-0000-000076090000}"/>
    <cellStyle name="Normal 13 3 2" xfId="592" xr:uid="{00000000-0005-0000-0000-000077090000}"/>
    <cellStyle name="Normal 13 3 2 2" xfId="1504" xr:uid="{00000000-0005-0000-0000-000078090000}"/>
    <cellStyle name="Normal 13 3 2 2 2" xfId="3669" xr:uid="{00000000-0005-0000-0000-000079090000}"/>
    <cellStyle name="Normal 13 3 2 2 3" xfId="2594" xr:uid="{00000000-0005-0000-0000-00007A090000}"/>
    <cellStyle name="Normal 13 3 2 3" xfId="3126" xr:uid="{00000000-0005-0000-0000-00007B090000}"/>
    <cellStyle name="Normal 13 3 2 4" xfId="2051" xr:uid="{00000000-0005-0000-0000-00007C090000}"/>
    <cellStyle name="Normal 13 3 3" xfId="1374" xr:uid="{00000000-0005-0000-0000-00007D090000}"/>
    <cellStyle name="Normal 13 3 3 2" xfId="3519" xr:uid="{00000000-0005-0000-0000-00007E090000}"/>
    <cellStyle name="Normal 13 3 3 3" xfId="2444" xr:uid="{00000000-0005-0000-0000-00007F090000}"/>
    <cellStyle name="Normal 13 3 4" xfId="2980" xr:uid="{00000000-0005-0000-0000-000080090000}"/>
    <cellStyle name="Normal 13 3 5" xfId="1889" xr:uid="{00000000-0005-0000-0000-000081090000}"/>
    <cellStyle name="Normal 13 4" xfId="439" xr:uid="{00000000-0005-0000-0000-000082090000}"/>
    <cellStyle name="Normal 13 5" xfId="365" xr:uid="{00000000-0005-0000-0000-000083090000}"/>
    <cellStyle name="Normal 13 5 2" xfId="1549" xr:uid="{00000000-0005-0000-0000-000084090000}"/>
    <cellStyle name="Normal 13 5 2 2" xfId="3735" xr:uid="{00000000-0005-0000-0000-000085090000}"/>
    <cellStyle name="Normal 13 5 2 3" xfId="2660" xr:uid="{00000000-0005-0000-0000-000086090000}"/>
    <cellStyle name="Normal 13 5 3" xfId="3192" xr:uid="{00000000-0005-0000-0000-000087090000}"/>
    <cellStyle name="Normal 13 5 4" xfId="2117" xr:uid="{00000000-0005-0000-0000-000088090000}"/>
    <cellStyle name="Normal 13 6" xfId="1277" xr:uid="{00000000-0005-0000-0000-000089090000}"/>
    <cellStyle name="Normal 13 6 2" xfId="3404" xr:uid="{00000000-0005-0000-0000-00008A090000}"/>
    <cellStyle name="Normal 13 6 3" xfId="2329" xr:uid="{00000000-0005-0000-0000-00008B090000}"/>
    <cellStyle name="Normal 13 7" xfId="1674" xr:uid="{00000000-0005-0000-0000-00008C090000}"/>
    <cellStyle name="Normal 13 7 2" xfId="2865" xr:uid="{00000000-0005-0000-0000-00008D090000}"/>
    <cellStyle name="Normal 13 8" xfId="1774" xr:uid="{00000000-0005-0000-0000-00008E090000}"/>
    <cellStyle name="Normal 13 9" xfId="3883" xr:uid="{00000000-0005-0000-0000-00008F090000}"/>
    <cellStyle name="Normal 14" xfId="366" xr:uid="{00000000-0005-0000-0000-000090090000}"/>
    <cellStyle name="Normal 14 2" xfId="647" xr:uid="{00000000-0005-0000-0000-000091090000}"/>
    <cellStyle name="Normal 14 2 2" xfId="1550" xr:uid="{00000000-0005-0000-0000-000092090000}"/>
    <cellStyle name="Normal 14 2 2 2" xfId="3736" xr:uid="{00000000-0005-0000-0000-000093090000}"/>
    <cellStyle name="Normal 14 2 2 3" xfId="2661" xr:uid="{00000000-0005-0000-0000-000094090000}"/>
    <cellStyle name="Normal 14 2 3" xfId="3193" xr:uid="{00000000-0005-0000-0000-000095090000}"/>
    <cellStyle name="Normal 14 2 4" xfId="2118" xr:uid="{00000000-0005-0000-0000-000096090000}"/>
    <cellStyle name="Normal 14 3" xfId="1278" xr:uid="{00000000-0005-0000-0000-000097090000}"/>
    <cellStyle name="Normal 14 3 2" xfId="3405" xr:uid="{00000000-0005-0000-0000-000098090000}"/>
    <cellStyle name="Normal 14 3 3" xfId="2330" xr:uid="{00000000-0005-0000-0000-000099090000}"/>
    <cellStyle name="Normal 14 3 4" xfId="4599" xr:uid="{F4E1262B-0936-4F1B-B078-DF4B8549354F}"/>
    <cellStyle name="Normal 14 4" xfId="1666" xr:uid="{00000000-0005-0000-0000-00009A090000}"/>
    <cellStyle name="Normal 14 4 2" xfId="2866" xr:uid="{00000000-0005-0000-0000-00009B090000}"/>
    <cellStyle name="Normal 14 5" xfId="1775" xr:uid="{00000000-0005-0000-0000-00009C090000}"/>
    <cellStyle name="Normal 15" xfId="441" xr:uid="{00000000-0005-0000-0000-00009D090000}"/>
    <cellStyle name="Normal 15 2" xfId="718" xr:uid="{00000000-0005-0000-0000-00009E090000}"/>
    <cellStyle name="Normal 15 2 2" xfId="1621" xr:uid="{00000000-0005-0000-0000-00009F090000}"/>
    <cellStyle name="Normal 15 2 2 2" xfId="3808" xr:uid="{00000000-0005-0000-0000-0000A0090000}"/>
    <cellStyle name="Normal 15 2 2 3" xfId="2733" xr:uid="{00000000-0005-0000-0000-0000A1090000}"/>
    <cellStyle name="Normal 15 2 3" xfId="3265" xr:uid="{00000000-0005-0000-0000-0000A2090000}"/>
    <cellStyle name="Normal 15 2 4" xfId="2190" xr:uid="{00000000-0005-0000-0000-0000A3090000}"/>
    <cellStyle name="Normal 15 3" xfId="1407" xr:uid="{00000000-0005-0000-0000-0000A4090000}"/>
    <cellStyle name="Normal 15 3 2" xfId="3554" xr:uid="{00000000-0005-0000-0000-0000A5090000}"/>
    <cellStyle name="Normal 15 3 3" xfId="2479" xr:uid="{00000000-0005-0000-0000-0000A6090000}"/>
    <cellStyle name="Normal 15 4" xfId="1685" xr:uid="{00000000-0005-0000-0000-0000A7090000}"/>
    <cellStyle name="Normal 15 4 2" xfId="3015" xr:uid="{00000000-0005-0000-0000-0000A8090000}"/>
    <cellStyle name="Normal 15 5" xfId="1924" xr:uid="{00000000-0005-0000-0000-0000A9090000}"/>
    <cellStyle name="Normal 16" xfId="478" xr:uid="{00000000-0005-0000-0000-0000AA090000}"/>
    <cellStyle name="Normal 16 2" xfId="719" xr:uid="{00000000-0005-0000-0000-0000AB090000}"/>
    <cellStyle name="Normal 16 2 2" xfId="1658" xr:uid="{00000000-0005-0000-0000-0000AC090000}"/>
    <cellStyle name="Normal 16 2 2 2" xfId="3845" xr:uid="{00000000-0005-0000-0000-0000AD090000}"/>
    <cellStyle name="Normal 16 2 2 3" xfId="2770" xr:uid="{00000000-0005-0000-0000-0000AE090000}"/>
    <cellStyle name="Normal 16 2 3" xfId="3302" xr:uid="{00000000-0005-0000-0000-0000AF090000}"/>
    <cellStyle name="Normal 16 2 4" xfId="2227" xr:uid="{00000000-0005-0000-0000-0000B0090000}"/>
    <cellStyle name="Normal 16 3" xfId="1408" xr:uid="{00000000-0005-0000-0000-0000B1090000}"/>
    <cellStyle name="Normal 16 3 2" xfId="3555" xr:uid="{00000000-0005-0000-0000-0000B2090000}"/>
    <cellStyle name="Normal 16 3 3" xfId="2480" xr:uid="{00000000-0005-0000-0000-0000B3090000}"/>
    <cellStyle name="Normal 16 4" xfId="3016" xr:uid="{00000000-0005-0000-0000-0000B4090000}"/>
    <cellStyle name="Normal 16 5" xfId="1925" xr:uid="{00000000-0005-0000-0000-0000B5090000}"/>
    <cellStyle name="Normal 17" xfId="479" xr:uid="{00000000-0005-0000-0000-0000B6090000}"/>
    <cellStyle name="Normal 17 2" xfId="1409" xr:uid="{00000000-0005-0000-0000-0000B7090000}"/>
    <cellStyle name="Normal 17 2 2" xfId="3556" xr:uid="{00000000-0005-0000-0000-0000B8090000}"/>
    <cellStyle name="Normal 17 2 3" xfId="2481" xr:uid="{00000000-0005-0000-0000-0000B9090000}"/>
    <cellStyle name="Normal 17 3" xfId="3029" xr:uid="{00000000-0005-0000-0000-0000BA090000}"/>
    <cellStyle name="Normal 17 4" xfId="1938" xr:uid="{00000000-0005-0000-0000-0000BB090000}"/>
    <cellStyle name="Normal 18" xfId="793" xr:uid="{00000000-0005-0000-0000-0000BC090000}"/>
    <cellStyle name="Normal 18 2" xfId="1187" xr:uid="{00000000-0005-0000-0000-0000BD090000}"/>
    <cellStyle name="Normal 19" xfId="1174" xr:uid="{00000000-0005-0000-0000-0000BE090000}"/>
    <cellStyle name="Normal 19 2" xfId="3303" xr:uid="{00000000-0005-0000-0000-0000BF090000}"/>
    <cellStyle name="Normal 19 3" xfId="2228" xr:uid="{00000000-0005-0000-0000-0000C0090000}"/>
    <cellStyle name="Normal 2" xfId="1" xr:uid="{00000000-0005-0000-0000-0000C1090000}"/>
    <cellStyle name="Normal 2 10" xfId="5234" xr:uid="{FBD76F20-3E71-4FE5-A200-28EE80168A2C}"/>
    <cellStyle name="Normal 2 11" xfId="211" xr:uid="{00000000-0005-0000-0000-0000C2090000}"/>
    <cellStyle name="Normal 2 16" xfId="34" xr:uid="{00000000-0005-0000-0000-0000C3090000}"/>
    <cellStyle name="Normal 2 16 10" xfId="212" xr:uid="{00000000-0005-0000-0000-0000C4090000}"/>
    <cellStyle name="Normal 2 2" xfId="2" xr:uid="{00000000-0005-0000-0000-0000C5090000}"/>
    <cellStyle name="Normal 2 2 10" xfId="278" xr:uid="{00000000-0005-0000-0000-0000C6090000}"/>
    <cellStyle name="Normal 2 2 11" xfId="204" xr:uid="{00000000-0005-0000-0000-0000C7090000}"/>
    <cellStyle name="Normal 2 2 12" xfId="368" xr:uid="{00000000-0005-0000-0000-0000C8090000}"/>
    <cellStyle name="Normal 2 2 2" xfId="36" xr:uid="{00000000-0005-0000-0000-0000C9090000}"/>
    <cellStyle name="Normal 2 2 2 2" xfId="247" xr:uid="{00000000-0005-0000-0000-0000CA090000}"/>
    <cellStyle name="Normal 2 2 2 3" xfId="246" xr:uid="{00000000-0005-0000-0000-0000CB090000}"/>
    <cellStyle name="Normal 2 2 2 4" xfId="234" xr:uid="{00000000-0005-0000-0000-0000CC090000}"/>
    <cellStyle name="Normal 2 2 2 5" xfId="285" xr:uid="{00000000-0005-0000-0000-0000CD090000}"/>
    <cellStyle name="Normal 2 2 2 6" xfId="213" xr:uid="{00000000-0005-0000-0000-0000CE090000}"/>
    <cellStyle name="Normal 2 2 2 7" xfId="335" xr:uid="{00000000-0005-0000-0000-0000CF090000}"/>
    <cellStyle name="Normal 2 2 3" xfId="37" xr:uid="{00000000-0005-0000-0000-0000D0090000}"/>
    <cellStyle name="Normal 2 2 3 2" xfId="286" xr:uid="{00000000-0005-0000-0000-0000D1090000}"/>
    <cellStyle name="Normal 2 2 3 3" xfId="248" xr:uid="{00000000-0005-0000-0000-0000D2090000}"/>
    <cellStyle name="Normal 2 2 3 4" xfId="336" xr:uid="{00000000-0005-0000-0000-0000D3090000}"/>
    <cellStyle name="Normal 2 2 3 5" xfId="327" xr:uid="{00000000-0005-0000-0000-0000D4090000}"/>
    <cellStyle name="Normal 2 2 4" xfId="35" xr:uid="{00000000-0005-0000-0000-0000D5090000}"/>
    <cellStyle name="Normal 2 2 4 2" xfId="284" xr:uid="{00000000-0005-0000-0000-0000D6090000}"/>
    <cellStyle name="Normal 2 2 4 3" xfId="249" xr:uid="{00000000-0005-0000-0000-0000D7090000}"/>
    <cellStyle name="Normal 2 2 4 4" xfId="334" xr:uid="{00000000-0005-0000-0000-0000D8090000}"/>
    <cellStyle name="Normal 2 2 4 5" xfId="320" xr:uid="{00000000-0005-0000-0000-0000D9090000}"/>
    <cellStyle name="Normal 2 2 5" xfId="172" xr:uid="{00000000-0005-0000-0000-0000DA090000}"/>
    <cellStyle name="Normal 2 2 5 2" xfId="308" xr:uid="{00000000-0005-0000-0000-0000DB090000}"/>
    <cellStyle name="Normal 2 2 5 3" xfId="250" xr:uid="{00000000-0005-0000-0000-0000DC090000}"/>
    <cellStyle name="Normal 2 2 6" xfId="251" xr:uid="{00000000-0005-0000-0000-0000DD090000}"/>
    <cellStyle name="Normal 2 2 7" xfId="252" xr:uid="{00000000-0005-0000-0000-0000DE090000}"/>
    <cellStyle name="Normal 2 2 8" xfId="232" xr:uid="{00000000-0005-0000-0000-0000DF090000}"/>
    <cellStyle name="Normal 2 2 8 2" xfId="789" xr:uid="{00000000-0005-0000-0000-0000E0090000}"/>
    <cellStyle name="Normal 2 2 9" xfId="4" xr:uid="{00000000-0005-0000-0000-0000E1090000}"/>
    <cellStyle name="Normal 2 3" xfId="38" xr:uid="{00000000-0005-0000-0000-0000E2090000}"/>
    <cellStyle name="Normal 2 3 2" xfId="187" xr:uid="{00000000-0005-0000-0000-0000E3090000}"/>
    <cellStyle name="Normal 2 3 2 2" xfId="313" xr:uid="{00000000-0005-0000-0000-0000E4090000}"/>
    <cellStyle name="Normal 2 3 2 3" xfId="254" xr:uid="{00000000-0005-0000-0000-0000E5090000}"/>
    <cellStyle name="Normal 2 3 2 4" xfId="345" xr:uid="{00000000-0005-0000-0000-0000E6090000}"/>
    <cellStyle name="Normal 2 3 2 5" xfId="330" xr:uid="{00000000-0005-0000-0000-0000E7090000}"/>
    <cellStyle name="Normal 2 3 3" xfId="173" xr:uid="{00000000-0005-0000-0000-0000E8090000}"/>
    <cellStyle name="Normal 2 3 3 2" xfId="309" xr:uid="{00000000-0005-0000-0000-0000E9090000}"/>
    <cellStyle name="Normal 2 3 3 3" xfId="255" xr:uid="{00000000-0005-0000-0000-0000EA090000}"/>
    <cellStyle name="Normal 2 3 3 4" xfId="342" xr:uid="{00000000-0005-0000-0000-0000EB090000}"/>
    <cellStyle name="Normal 2 3 3 5" xfId="326" xr:uid="{00000000-0005-0000-0000-0000EC090000}"/>
    <cellStyle name="Normal 2 3 4" xfId="253" xr:uid="{00000000-0005-0000-0000-0000ED090000}"/>
    <cellStyle name="Normal 2 3 4 2" xfId="346" xr:uid="{00000000-0005-0000-0000-0000EE090000}"/>
    <cellStyle name="Normal 2 3 4 3" xfId="322" xr:uid="{00000000-0005-0000-0000-0000EF090000}"/>
    <cellStyle name="Normal 2 3 5" xfId="287" xr:uid="{00000000-0005-0000-0000-0000F0090000}"/>
    <cellStyle name="Normal 2 3 6" xfId="221" xr:uid="{00000000-0005-0000-0000-0000F1090000}"/>
    <cellStyle name="Normal 2 3 7" xfId="337" xr:uid="{00000000-0005-0000-0000-0000F2090000}"/>
    <cellStyle name="Normal 2 3 8" xfId="317" xr:uid="{00000000-0005-0000-0000-0000F3090000}"/>
    <cellStyle name="Normal 2 4" xfId="39" xr:uid="{00000000-0005-0000-0000-0000F4090000}"/>
    <cellStyle name="Normal 2 4 2" xfId="188" xr:uid="{00000000-0005-0000-0000-0000F5090000}"/>
    <cellStyle name="Normal 2 4 2 2" xfId="790" xr:uid="{00000000-0005-0000-0000-0000F6090000}"/>
    <cellStyle name="Normal 2 4 3" xfId="169" xr:uid="{00000000-0005-0000-0000-0000F7090000}"/>
    <cellStyle name="Normal 2 4 4" xfId="288" xr:uid="{00000000-0005-0000-0000-0000F8090000}"/>
    <cellStyle name="Normal 2 4 5" xfId="256" xr:uid="{00000000-0005-0000-0000-0000F9090000}"/>
    <cellStyle name="Normal 2 4 6" xfId="338" xr:uid="{00000000-0005-0000-0000-0000FA090000}"/>
    <cellStyle name="Normal 2 4 7" xfId="328" xr:uid="{00000000-0005-0000-0000-0000FB090000}"/>
    <cellStyle name="Normal 2 4 7 2" xfId="1544" xr:uid="{00000000-0005-0000-0000-0000FC090000}"/>
    <cellStyle name="Normal 2 4 7 2 2" xfId="3711" xr:uid="{00000000-0005-0000-0000-0000FD090000}"/>
    <cellStyle name="Normal 2 4 7 2 3" xfId="2636" xr:uid="{00000000-0005-0000-0000-0000FE090000}"/>
    <cellStyle name="Normal 2 4 7 3" xfId="3168" xr:uid="{00000000-0005-0000-0000-0000FF090000}"/>
    <cellStyle name="Normal 2 4 7 4" xfId="2093" xr:uid="{00000000-0005-0000-0000-0000000A0000}"/>
    <cellStyle name="Normal 2 4 8" xfId="721" xr:uid="{00000000-0005-0000-0000-0000010A0000}"/>
    <cellStyle name="Normal 2 4 8 2" xfId="1115" xr:uid="{00000000-0005-0000-0000-0000020A0000}"/>
    <cellStyle name="Normal 2 4 8 3" xfId="916" xr:uid="{00000000-0005-0000-0000-0000030A0000}"/>
    <cellStyle name="Normal 2 4 9" xfId="5237" xr:uid="{A95384C0-13C7-492F-8135-257B1B3AC368}"/>
    <cellStyle name="Normal 2 5" xfId="174" xr:uid="{00000000-0005-0000-0000-0000040A0000}"/>
    <cellStyle name="Normal 2 5 2" xfId="310" xr:uid="{00000000-0005-0000-0000-0000050A0000}"/>
    <cellStyle name="Normal 2 5 2 2" xfId="40" xr:uid="{00000000-0005-0000-0000-0000060A0000}"/>
    <cellStyle name="Normal 2 5 2 3" xfId="791" xr:uid="{00000000-0005-0000-0000-0000070A0000}"/>
    <cellStyle name="Normal 2 5 3" xfId="257" xr:uid="{00000000-0005-0000-0000-0000080A0000}"/>
    <cellStyle name="Normal 2 5 3 2" xfId="602" xr:uid="{00000000-0005-0000-0000-0000090A0000}"/>
    <cellStyle name="Normal 2 5 3 2 2" xfId="1514" xr:uid="{00000000-0005-0000-0000-00000A0A0000}"/>
    <cellStyle name="Normal 2 5 3 2 2 2" xfId="3679" xr:uid="{00000000-0005-0000-0000-00000B0A0000}"/>
    <cellStyle name="Normal 2 5 3 2 2 3" xfId="2604" xr:uid="{00000000-0005-0000-0000-00000C0A0000}"/>
    <cellStyle name="Normal 2 5 3 2 3" xfId="3136" xr:uid="{00000000-0005-0000-0000-00000D0A0000}"/>
    <cellStyle name="Normal 2 5 3 2 4" xfId="2061" xr:uid="{00000000-0005-0000-0000-00000E0A0000}"/>
    <cellStyle name="Normal 2 5 3 3" xfId="1384" xr:uid="{00000000-0005-0000-0000-00000F0A0000}"/>
    <cellStyle name="Normal 2 5 3 3 2" xfId="3529" xr:uid="{00000000-0005-0000-0000-0000100A0000}"/>
    <cellStyle name="Normal 2 5 3 3 3" xfId="2454" xr:uid="{00000000-0005-0000-0000-0000110A0000}"/>
    <cellStyle name="Normal 2 5 3 4" xfId="2990" xr:uid="{00000000-0005-0000-0000-0000120A0000}"/>
    <cellStyle name="Normal 2 5 3 5" xfId="1899" xr:uid="{00000000-0005-0000-0000-0000130A0000}"/>
    <cellStyle name="Normal 2 5 4" xfId="343" xr:uid="{00000000-0005-0000-0000-0000140A0000}"/>
    <cellStyle name="Normal 2 6" xfId="170" xr:uid="{00000000-0005-0000-0000-0000150A0000}"/>
    <cellStyle name="Normal 2 6 2" xfId="307" xr:uid="{00000000-0005-0000-0000-0000160A0000}"/>
    <cellStyle name="Normal 2 6 2 2" xfId="792" xr:uid="{00000000-0005-0000-0000-0000170A0000}"/>
    <cellStyle name="Normal 2 6 3" xfId="258" xr:uid="{00000000-0005-0000-0000-0000180A0000}"/>
    <cellStyle name="Normal 2 6 4" xfId="720" xr:uid="{00000000-0005-0000-0000-0000190A0000}"/>
    <cellStyle name="Normal 2 7" xfId="259" xr:uid="{00000000-0005-0000-0000-00001A0A0000}"/>
    <cellStyle name="Normal 2 7 2" xfId="603" xr:uid="{00000000-0005-0000-0000-00001B0A0000}"/>
    <cellStyle name="Normal 2 7 2 2" xfId="1515" xr:uid="{00000000-0005-0000-0000-00001C0A0000}"/>
    <cellStyle name="Normal 2 7 2 2 2" xfId="3680" xr:uid="{00000000-0005-0000-0000-00001D0A0000}"/>
    <cellStyle name="Normal 2 7 2 2 3" xfId="2605" xr:uid="{00000000-0005-0000-0000-00001E0A0000}"/>
    <cellStyle name="Normal 2 7 2 3" xfId="3137" xr:uid="{00000000-0005-0000-0000-00001F0A0000}"/>
    <cellStyle name="Normal 2 7 2 4" xfId="2062" xr:uid="{00000000-0005-0000-0000-0000200A0000}"/>
    <cellStyle name="Normal 2 7 3" xfId="1385" xr:uid="{00000000-0005-0000-0000-0000210A0000}"/>
    <cellStyle name="Normal 2 7 3 2" xfId="3530" xr:uid="{00000000-0005-0000-0000-0000220A0000}"/>
    <cellStyle name="Normal 2 7 3 3" xfId="2455" xr:uid="{00000000-0005-0000-0000-0000230A0000}"/>
    <cellStyle name="Normal 2 7 4" xfId="1675" xr:uid="{00000000-0005-0000-0000-0000240A0000}"/>
    <cellStyle name="Normal 2 7 4 2" xfId="2991" xr:uid="{00000000-0005-0000-0000-0000250A0000}"/>
    <cellStyle name="Normal 2 7 5" xfId="1900" xr:uid="{00000000-0005-0000-0000-0000260A0000}"/>
    <cellStyle name="Normal 2 8" xfId="367" xr:uid="{00000000-0005-0000-0000-0000270A0000}"/>
    <cellStyle name="Normal 2 8 2" xfId="787" xr:uid="{00000000-0005-0000-0000-0000280A0000}"/>
    <cellStyle name="Normal 2 9" xfId="903" xr:uid="{00000000-0005-0000-0000-0000290A0000}"/>
    <cellStyle name="Normal 2 9 2" xfId="3853" xr:uid="{00000000-0005-0000-0000-00002A0A0000}"/>
    <cellStyle name="Normal 20" xfId="224" xr:uid="{00000000-0005-0000-0000-00002B0A0000}"/>
    <cellStyle name="Normal 20 2" xfId="596" xr:uid="{00000000-0005-0000-0000-00002C0A0000}"/>
    <cellStyle name="Normal 20 2 2" xfId="1508" xr:uid="{00000000-0005-0000-0000-00002D0A0000}"/>
    <cellStyle name="Normal 20 2 2 2" xfId="3673" xr:uid="{00000000-0005-0000-0000-00002E0A0000}"/>
    <cellStyle name="Normal 20 2 2 3" xfId="2598" xr:uid="{00000000-0005-0000-0000-00002F0A0000}"/>
    <cellStyle name="Normal 20 2 3" xfId="3130" xr:uid="{00000000-0005-0000-0000-0000300A0000}"/>
    <cellStyle name="Normal 20 2 4" xfId="2055" xr:uid="{00000000-0005-0000-0000-0000310A0000}"/>
    <cellStyle name="Normal 20 3" xfId="1378" xr:uid="{00000000-0005-0000-0000-0000320A0000}"/>
    <cellStyle name="Normal 20 3 2" xfId="3523" xr:uid="{00000000-0005-0000-0000-0000330A0000}"/>
    <cellStyle name="Normal 20 3 3" xfId="2448" xr:uid="{00000000-0005-0000-0000-0000340A0000}"/>
    <cellStyle name="Normal 20 4" xfId="1676" xr:uid="{00000000-0005-0000-0000-0000350A0000}"/>
    <cellStyle name="Normal 20 4 2" xfId="2984" xr:uid="{00000000-0005-0000-0000-0000360A0000}"/>
    <cellStyle name="Normal 20 5" xfId="1893" xr:uid="{00000000-0005-0000-0000-0000370A0000}"/>
    <cellStyle name="Normal 21" xfId="214" xr:uid="{00000000-0005-0000-0000-0000380A0000}"/>
    <cellStyle name="Normal 21 2" xfId="261" xr:uid="{00000000-0005-0000-0000-0000390A0000}"/>
    <cellStyle name="Normal 21 3" xfId="260" xr:uid="{00000000-0005-0000-0000-00003A0A0000}"/>
    <cellStyle name="Normal 21 4" xfId="228" xr:uid="{00000000-0005-0000-0000-00003B0A0000}"/>
    <cellStyle name="Normal 22" xfId="215" xr:uid="{00000000-0005-0000-0000-00003C0A0000}"/>
    <cellStyle name="Normal 22 2" xfId="263" xr:uid="{00000000-0005-0000-0000-00003D0A0000}"/>
    <cellStyle name="Normal 22 3" xfId="262" xr:uid="{00000000-0005-0000-0000-00003E0A0000}"/>
    <cellStyle name="Normal 22 4" xfId="229" xr:uid="{00000000-0005-0000-0000-00003F0A0000}"/>
    <cellStyle name="Normal 23" xfId="225" xr:uid="{00000000-0005-0000-0000-0000400A0000}"/>
    <cellStyle name="Normal 23 2" xfId="597" xr:uid="{00000000-0005-0000-0000-0000410A0000}"/>
    <cellStyle name="Normal 23 2 2" xfId="1509" xr:uid="{00000000-0005-0000-0000-0000420A0000}"/>
    <cellStyle name="Normal 23 2 2 2" xfId="3674" xr:uid="{00000000-0005-0000-0000-0000430A0000}"/>
    <cellStyle name="Normal 23 2 2 3" xfId="2599" xr:uid="{00000000-0005-0000-0000-0000440A0000}"/>
    <cellStyle name="Normal 23 2 3" xfId="3131" xr:uid="{00000000-0005-0000-0000-0000450A0000}"/>
    <cellStyle name="Normal 23 2 4" xfId="2056" xr:uid="{00000000-0005-0000-0000-0000460A0000}"/>
    <cellStyle name="Normal 23 3" xfId="1379" xr:uid="{00000000-0005-0000-0000-0000470A0000}"/>
    <cellStyle name="Normal 23 3 2" xfId="3524" xr:uid="{00000000-0005-0000-0000-0000480A0000}"/>
    <cellStyle name="Normal 23 3 3" xfId="2449" xr:uid="{00000000-0005-0000-0000-0000490A0000}"/>
    <cellStyle name="Normal 23 4" xfId="1677" xr:uid="{00000000-0005-0000-0000-00004A0A0000}"/>
    <cellStyle name="Normal 23 4 2" xfId="2985" xr:uid="{00000000-0005-0000-0000-00004B0A0000}"/>
    <cellStyle name="Normal 23 5" xfId="1894" xr:uid="{00000000-0005-0000-0000-00004C0A0000}"/>
    <cellStyle name="Normal 24" xfId="1659" xr:uid="{00000000-0005-0000-0000-00004D0A0000}"/>
    <cellStyle name="Normal 24 2" xfId="3846" xr:uid="{00000000-0005-0000-0000-00004E0A0000}"/>
    <cellStyle name="Normal 24 3" xfId="2771" xr:uid="{00000000-0005-0000-0000-00004F0A0000}"/>
    <cellStyle name="Normal 25" xfId="203" xr:uid="{00000000-0005-0000-0000-0000500A0000}"/>
    <cellStyle name="Normal 26" xfId="1660" xr:uid="{00000000-0005-0000-0000-0000510A0000}"/>
    <cellStyle name="Normal 26 2" xfId="3847" xr:uid="{00000000-0005-0000-0000-0000520A0000}"/>
    <cellStyle name="Normal 26 3" xfId="2772" xr:uid="{00000000-0005-0000-0000-0000530A0000}"/>
    <cellStyle name="Normal 27" xfId="1662" xr:uid="{00000000-0005-0000-0000-0000540A0000}"/>
    <cellStyle name="Normal 27 2" xfId="3849" xr:uid="{00000000-0005-0000-0000-0000550A0000}"/>
    <cellStyle name="Normal 27 3" xfId="2774" xr:uid="{00000000-0005-0000-0000-0000560A0000}"/>
    <cellStyle name="Normal 28" xfId="1664" xr:uid="{00000000-0005-0000-0000-0000570A0000}"/>
    <cellStyle name="Normal 28 2" xfId="3851" xr:uid="{00000000-0005-0000-0000-0000580A0000}"/>
    <cellStyle name="Normal 28 3" xfId="2776" xr:uid="{00000000-0005-0000-0000-0000590A0000}"/>
    <cellStyle name="Normal 29" xfId="1665" xr:uid="{00000000-0005-0000-0000-00005A0A0000}"/>
    <cellStyle name="Normal 3" xfId="41" xr:uid="{00000000-0005-0000-0000-00005B0A0000}"/>
    <cellStyle name="Normal 3 10" xfId="339" xr:uid="{00000000-0005-0000-0000-00005C0A0000}"/>
    <cellStyle name="Normal 3 10 2" xfId="629" xr:uid="{00000000-0005-0000-0000-00005D0A0000}"/>
    <cellStyle name="Normal 3 10 2 2" xfId="1547" xr:uid="{00000000-0005-0000-0000-00005E0A0000}"/>
    <cellStyle name="Normal 3 10 2 2 2" xfId="3714" xr:uid="{00000000-0005-0000-0000-00005F0A0000}"/>
    <cellStyle name="Normal 3 10 2 2 3" xfId="2639" xr:uid="{00000000-0005-0000-0000-0000600A0000}"/>
    <cellStyle name="Normal 3 10 2 3" xfId="3171" xr:uid="{00000000-0005-0000-0000-0000610A0000}"/>
    <cellStyle name="Normal 3 10 2 4" xfId="2096" xr:uid="{00000000-0005-0000-0000-0000620A0000}"/>
    <cellStyle name="Normal 3 10 3" xfId="1286" xr:uid="{00000000-0005-0000-0000-0000630A0000}"/>
    <cellStyle name="Normal 3 10 3 2" xfId="3421" xr:uid="{00000000-0005-0000-0000-0000640A0000}"/>
    <cellStyle name="Normal 3 10 3 3" xfId="2346" xr:uid="{00000000-0005-0000-0000-0000650A0000}"/>
    <cellStyle name="Normal 3 10 4" xfId="2882" xr:uid="{00000000-0005-0000-0000-0000660A0000}"/>
    <cellStyle name="Normal 3 10 5" xfId="1791" xr:uid="{00000000-0005-0000-0000-0000670A0000}"/>
    <cellStyle name="Normal 3 11" xfId="331" xr:uid="{00000000-0005-0000-0000-0000680A0000}"/>
    <cellStyle name="Normal 3 12" xfId="494" xr:uid="{00000000-0005-0000-0000-0000690A0000}"/>
    <cellStyle name="Normal 3 12 2" xfId="1416" xr:uid="{00000000-0005-0000-0000-00006A0A0000}"/>
    <cellStyle name="Normal 3 12 2 2" xfId="3571" xr:uid="{00000000-0005-0000-0000-00006B0A0000}"/>
    <cellStyle name="Normal 3 12 2 3" xfId="2496" xr:uid="{00000000-0005-0000-0000-00006C0A0000}"/>
    <cellStyle name="Normal 3 12 3" xfId="3044" xr:uid="{00000000-0005-0000-0000-00006D0A0000}"/>
    <cellStyle name="Normal 3 12 4" xfId="1953" xr:uid="{00000000-0005-0000-0000-00006E0A0000}"/>
    <cellStyle name="Normal 3 13" xfId="1201" xr:uid="{00000000-0005-0000-0000-00006F0A0000}"/>
    <cellStyle name="Normal 3 13 2" xfId="3329" xr:uid="{00000000-0005-0000-0000-0000700A0000}"/>
    <cellStyle name="Normal 3 13 3" xfId="2254" xr:uid="{00000000-0005-0000-0000-0000710A0000}"/>
    <cellStyle name="Normal 3 14" xfId="1661" xr:uid="{00000000-0005-0000-0000-0000720A0000}"/>
    <cellStyle name="Normal 3 14 2" xfId="3848" xr:uid="{00000000-0005-0000-0000-0000730A0000}"/>
    <cellStyle name="Normal 3 14 3" xfId="2773" xr:uid="{00000000-0005-0000-0000-0000740A0000}"/>
    <cellStyle name="Normal 3 15" xfId="1663" xr:uid="{00000000-0005-0000-0000-0000750A0000}"/>
    <cellStyle name="Normal 3 15 2" xfId="3850" xr:uid="{00000000-0005-0000-0000-0000760A0000}"/>
    <cellStyle name="Normal 3 15 3" xfId="2775" xr:uid="{00000000-0005-0000-0000-0000770A0000}"/>
    <cellStyle name="Normal 3 16" xfId="2790" xr:uid="{00000000-0005-0000-0000-0000780A0000}"/>
    <cellStyle name="Normal 3 17" xfId="1699" xr:uid="{00000000-0005-0000-0000-0000790A0000}"/>
    <cellStyle name="Normal 3 2" xfId="42" xr:uid="{00000000-0005-0000-0000-00007A0A0000}"/>
    <cellStyle name="Normal 3 2 2" xfId="43" xr:uid="{00000000-0005-0000-0000-00007B0A0000}"/>
    <cellStyle name="Normal 3 2 2 10" xfId="1700" xr:uid="{00000000-0005-0000-0000-00007C0A0000}"/>
    <cellStyle name="Normal 3 2 2 2" xfId="44" xr:uid="{00000000-0005-0000-0000-00007D0A0000}"/>
    <cellStyle name="Normal 3 2 2 2 2" xfId="94" xr:uid="{00000000-0005-0000-0000-00007E0A0000}"/>
    <cellStyle name="Normal 3 2 2 2 2 2" xfId="410" xr:uid="{00000000-0005-0000-0000-00007F0A0000}"/>
    <cellStyle name="Normal 3 2 2 2 2 2 2" xfId="688" xr:uid="{00000000-0005-0000-0000-0000800A0000}"/>
    <cellStyle name="Normal 3 2 2 2 2 2 2 2" xfId="1591" xr:uid="{00000000-0005-0000-0000-0000810A0000}"/>
    <cellStyle name="Normal 3 2 2 2 2 2 2 2 2" xfId="3778" xr:uid="{00000000-0005-0000-0000-0000820A0000}"/>
    <cellStyle name="Normal 3 2 2 2 2 2 2 2 3" xfId="2703" xr:uid="{00000000-0005-0000-0000-0000830A0000}"/>
    <cellStyle name="Normal 3 2 2 2 2 2 2 3" xfId="3235" xr:uid="{00000000-0005-0000-0000-0000840A0000}"/>
    <cellStyle name="Normal 3 2 2 2 2 2 2 4" xfId="2160" xr:uid="{00000000-0005-0000-0000-0000850A0000}"/>
    <cellStyle name="Normal 3 2 2 2 2 2 3" xfId="1322" xr:uid="{00000000-0005-0000-0000-0000860A0000}"/>
    <cellStyle name="Normal 3 2 2 2 2 2 3 2" xfId="3465" xr:uid="{00000000-0005-0000-0000-0000870A0000}"/>
    <cellStyle name="Normal 3 2 2 2 2 2 3 3" xfId="2390" xr:uid="{00000000-0005-0000-0000-0000880A0000}"/>
    <cellStyle name="Normal 3 2 2 2 2 2 4" xfId="2926" xr:uid="{00000000-0005-0000-0000-0000890A0000}"/>
    <cellStyle name="Normal 3 2 2 2 2 2 5" xfId="1835" xr:uid="{00000000-0005-0000-0000-00008A0A0000}"/>
    <cellStyle name="Normal 3 2 2 2 2 3" xfId="538" xr:uid="{00000000-0005-0000-0000-00008B0A0000}"/>
    <cellStyle name="Normal 3 2 2 2 2 3 2" xfId="1452" xr:uid="{00000000-0005-0000-0000-00008C0A0000}"/>
    <cellStyle name="Normal 3 2 2 2 2 3 2 2" xfId="3615" xr:uid="{00000000-0005-0000-0000-00008D0A0000}"/>
    <cellStyle name="Normal 3 2 2 2 2 3 2 3" xfId="2540" xr:uid="{00000000-0005-0000-0000-00008E0A0000}"/>
    <cellStyle name="Normal 3 2 2 2 2 3 3" xfId="3088" xr:uid="{00000000-0005-0000-0000-00008F0A0000}"/>
    <cellStyle name="Normal 3 2 2 2 2 3 4" xfId="1997" xr:uid="{00000000-0005-0000-0000-0000900A0000}"/>
    <cellStyle name="Normal 3 2 2 2 2 4" xfId="1245" xr:uid="{00000000-0005-0000-0000-0000910A0000}"/>
    <cellStyle name="Normal 3 2 2 2 2 4 2" xfId="3373" xr:uid="{00000000-0005-0000-0000-0000920A0000}"/>
    <cellStyle name="Normal 3 2 2 2 2 4 3" xfId="2298" xr:uid="{00000000-0005-0000-0000-0000930A0000}"/>
    <cellStyle name="Normal 3 2 2 2 2 5" xfId="2834" xr:uid="{00000000-0005-0000-0000-0000940A0000}"/>
    <cellStyle name="Normal 3 2 2 2 2 6" xfId="1743" xr:uid="{00000000-0005-0000-0000-0000950A0000}"/>
    <cellStyle name="Normal 3 2 2 2 3" xfId="376" xr:uid="{00000000-0005-0000-0000-0000960A0000}"/>
    <cellStyle name="Normal 3 2 2 2 3 2" xfId="654" xr:uid="{00000000-0005-0000-0000-0000970A0000}"/>
    <cellStyle name="Normal 3 2 2 2 3 2 2" xfId="1557" xr:uid="{00000000-0005-0000-0000-0000980A0000}"/>
    <cellStyle name="Normal 3 2 2 2 3 2 2 2" xfId="3744" xr:uid="{00000000-0005-0000-0000-0000990A0000}"/>
    <cellStyle name="Normal 3 2 2 2 3 2 2 3" xfId="2669" xr:uid="{00000000-0005-0000-0000-00009A0A0000}"/>
    <cellStyle name="Normal 3 2 2 2 3 2 3" xfId="3201" xr:uid="{00000000-0005-0000-0000-00009B0A0000}"/>
    <cellStyle name="Normal 3 2 2 2 3 2 4" xfId="2126" xr:uid="{00000000-0005-0000-0000-00009C0A0000}"/>
    <cellStyle name="Normal 3 2 2 2 3 3" xfId="1288" xr:uid="{00000000-0005-0000-0000-00009D0A0000}"/>
    <cellStyle name="Normal 3 2 2 2 3 3 2" xfId="3423" xr:uid="{00000000-0005-0000-0000-00009E0A0000}"/>
    <cellStyle name="Normal 3 2 2 2 3 3 3" xfId="2348" xr:uid="{00000000-0005-0000-0000-00009F0A0000}"/>
    <cellStyle name="Normal 3 2 2 2 3 4" xfId="2884" xr:uid="{00000000-0005-0000-0000-0000A00A0000}"/>
    <cellStyle name="Normal 3 2 2 2 3 5" xfId="1793" xr:uid="{00000000-0005-0000-0000-0000A10A0000}"/>
    <cellStyle name="Normal 3 2 2 2 4" xfId="496" xr:uid="{00000000-0005-0000-0000-0000A20A0000}"/>
    <cellStyle name="Normal 3 2 2 2 4 2" xfId="1418" xr:uid="{00000000-0005-0000-0000-0000A30A0000}"/>
    <cellStyle name="Normal 3 2 2 2 4 2 2" xfId="3573" xr:uid="{00000000-0005-0000-0000-0000A40A0000}"/>
    <cellStyle name="Normal 3 2 2 2 4 2 3" xfId="2498" xr:uid="{00000000-0005-0000-0000-0000A50A0000}"/>
    <cellStyle name="Normal 3 2 2 2 4 3" xfId="3046" xr:uid="{00000000-0005-0000-0000-0000A60A0000}"/>
    <cellStyle name="Normal 3 2 2 2 4 4" xfId="1955" xr:uid="{00000000-0005-0000-0000-0000A70A0000}"/>
    <cellStyle name="Normal 3 2 2 2 5" xfId="1203" xr:uid="{00000000-0005-0000-0000-0000A80A0000}"/>
    <cellStyle name="Normal 3 2 2 2 5 2" xfId="3331" xr:uid="{00000000-0005-0000-0000-0000A90A0000}"/>
    <cellStyle name="Normal 3 2 2 2 5 3" xfId="2256" xr:uid="{00000000-0005-0000-0000-0000AA0A0000}"/>
    <cellStyle name="Normal 3 2 2 2 6" xfId="2792" xr:uid="{00000000-0005-0000-0000-0000AB0A0000}"/>
    <cellStyle name="Normal 3 2 2 2 7" xfId="1701" xr:uid="{00000000-0005-0000-0000-0000AC0A0000}"/>
    <cellStyle name="Normal 3 2 2 3" xfId="93" xr:uid="{00000000-0005-0000-0000-0000AD0A0000}"/>
    <cellStyle name="Normal 3 2 2 3 2" xfId="409" xr:uid="{00000000-0005-0000-0000-0000AE0A0000}"/>
    <cellStyle name="Normal 3 2 2 3 2 2" xfId="687" xr:uid="{00000000-0005-0000-0000-0000AF0A0000}"/>
    <cellStyle name="Normal 3 2 2 3 2 2 2" xfId="1590" xr:uid="{00000000-0005-0000-0000-0000B00A0000}"/>
    <cellStyle name="Normal 3 2 2 3 2 2 2 2" xfId="3777" xr:uid="{00000000-0005-0000-0000-0000B10A0000}"/>
    <cellStyle name="Normal 3 2 2 3 2 2 2 3" xfId="2702" xr:uid="{00000000-0005-0000-0000-0000B20A0000}"/>
    <cellStyle name="Normal 3 2 2 3 2 2 3" xfId="3234" xr:uid="{00000000-0005-0000-0000-0000B30A0000}"/>
    <cellStyle name="Normal 3 2 2 3 2 2 4" xfId="2159" xr:uid="{00000000-0005-0000-0000-0000B40A0000}"/>
    <cellStyle name="Normal 3 2 2 3 2 3" xfId="1321" xr:uid="{00000000-0005-0000-0000-0000B50A0000}"/>
    <cellStyle name="Normal 3 2 2 3 2 3 2" xfId="3464" xr:uid="{00000000-0005-0000-0000-0000B60A0000}"/>
    <cellStyle name="Normal 3 2 2 3 2 3 3" xfId="2389" xr:uid="{00000000-0005-0000-0000-0000B70A0000}"/>
    <cellStyle name="Normal 3 2 2 3 2 4" xfId="2925" xr:uid="{00000000-0005-0000-0000-0000B80A0000}"/>
    <cellStyle name="Normal 3 2 2 3 2 5" xfId="1834" xr:uid="{00000000-0005-0000-0000-0000B90A0000}"/>
    <cellStyle name="Normal 3 2 2 3 3" xfId="537" xr:uid="{00000000-0005-0000-0000-0000BA0A0000}"/>
    <cellStyle name="Normal 3 2 2 3 3 2" xfId="1451" xr:uid="{00000000-0005-0000-0000-0000BB0A0000}"/>
    <cellStyle name="Normal 3 2 2 3 3 2 2" xfId="3614" xr:uid="{00000000-0005-0000-0000-0000BC0A0000}"/>
    <cellStyle name="Normal 3 2 2 3 3 2 3" xfId="2539" xr:uid="{00000000-0005-0000-0000-0000BD0A0000}"/>
    <cellStyle name="Normal 3 2 2 3 3 3" xfId="3087" xr:uid="{00000000-0005-0000-0000-0000BE0A0000}"/>
    <cellStyle name="Normal 3 2 2 3 3 4" xfId="1996" xr:uid="{00000000-0005-0000-0000-0000BF0A0000}"/>
    <cellStyle name="Normal 3 2 2 3 4" xfId="1244" xr:uid="{00000000-0005-0000-0000-0000C00A0000}"/>
    <cellStyle name="Normal 3 2 2 3 4 2" xfId="3372" xr:uid="{00000000-0005-0000-0000-0000C10A0000}"/>
    <cellStyle name="Normal 3 2 2 3 4 3" xfId="2297" xr:uid="{00000000-0005-0000-0000-0000C20A0000}"/>
    <cellStyle name="Normal 3 2 2 3 5" xfId="2833" xr:uid="{00000000-0005-0000-0000-0000C30A0000}"/>
    <cellStyle name="Normal 3 2 2 3 6" xfId="1742" xr:uid="{00000000-0005-0000-0000-0000C40A0000}"/>
    <cellStyle name="Normal 3 2 2 4" xfId="124" xr:uid="{00000000-0005-0000-0000-0000C50A0000}"/>
    <cellStyle name="Normal 3 2 2 4 2" xfId="438" xr:uid="{00000000-0005-0000-0000-0000C60A0000}"/>
    <cellStyle name="Normal 3 2 2 4 2 2" xfId="716" xr:uid="{00000000-0005-0000-0000-0000C70A0000}"/>
    <cellStyle name="Normal 3 2 2 4 2 2 2" xfId="1619" xr:uid="{00000000-0005-0000-0000-0000C80A0000}"/>
    <cellStyle name="Normal 3 2 2 4 2 2 2 2" xfId="3806" xr:uid="{00000000-0005-0000-0000-0000C90A0000}"/>
    <cellStyle name="Normal 3 2 2 4 2 2 2 3" xfId="2731" xr:uid="{00000000-0005-0000-0000-0000CA0A0000}"/>
    <cellStyle name="Normal 3 2 2 4 2 2 3" xfId="3263" xr:uid="{00000000-0005-0000-0000-0000CB0A0000}"/>
    <cellStyle name="Normal 3 2 2 4 2 2 4" xfId="2188" xr:uid="{00000000-0005-0000-0000-0000CC0A0000}"/>
    <cellStyle name="Normal 3 2 2 4 2 3" xfId="1352" xr:uid="{00000000-0005-0000-0000-0000CD0A0000}"/>
    <cellStyle name="Normal 3 2 2 4 2 3 2" xfId="3495" xr:uid="{00000000-0005-0000-0000-0000CE0A0000}"/>
    <cellStyle name="Normal 3 2 2 4 2 3 3" xfId="2420" xr:uid="{00000000-0005-0000-0000-0000CF0A0000}"/>
    <cellStyle name="Normal 3 2 2 4 2 4" xfId="2956" xr:uid="{00000000-0005-0000-0000-0000D00A0000}"/>
    <cellStyle name="Normal 3 2 2 4 2 5" xfId="1865" xr:uid="{00000000-0005-0000-0000-0000D10A0000}"/>
    <cellStyle name="Normal 3 2 2 4 3" xfId="568" xr:uid="{00000000-0005-0000-0000-0000D20A0000}"/>
    <cellStyle name="Normal 3 2 2 4 3 2" xfId="1482" xr:uid="{00000000-0005-0000-0000-0000D30A0000}"/>
    <cellStyle name="Normal 3 2 2 4 3 2 2" xfId="3645" xr:uid="{00000000-0005-0000-0000-0000D40A0000}"/>
    <cellStyle name="Normal 3 2 2 4 3 2 3" xfId="2570" xr:uid="{00000000-0005-0000-0000-0000D50A0000}"/>
    <cellStyle name="Normal 3 2 2 4 3 3" xfId="3118" xr:uid="{00000000-0005-0000-0000-0000D60A0000}"/>
    <cellStyle name="Normal 3 2 2 4 3 4" xfId="2027" xr:uid="{00000000-0005-0000-0000-0000D70A0000}"/>
    <cellStyle name="Normal 3 2 2 4 4" xfId="1275" xr:uid="{00000000-0005-0000-0000-0000D80A0000}"/>
    <cellStyle name="Normal 3 2 2 4 4 2" xfId="3402" xr:uid="{00000000-0005-0000-0000-0000D90A0000}"/>
    <cellStyle name="Normal 3 2 2 4 4 3" xfId="2327" xr:uid="{00000000-0005-0000-0000-0000DA0A0000}"/>
    <cellStyle name="Normal 3 2 2 4 5" xfId="2863" xr:uid="{00000000-0005-0000-0000-0000DB0A0000}"/>
    <cellStyle name="Normal 3 2 2 4 6" xfId="1772" xr:uid="{00000000-0005-0000-0000-0000DC0A0000}"/>
    <cellStyle name="Normal 3 2 2 5" xfId="125" xr:uid="{00000000-0005-0000-0000-0000DD0A0000}"/>
    <cellStyle name="Normal 3 2 2 6" xfId="375" xr:uid="{00000000-0005-0000-0000-0000DE0A0000}"/>
    <cellStyle name="Normal 3 2 2 6 2" xfId="653" xr:uid="{00000000-0005-0000-0000-0000DF0A0000}"/>
    <cellStyle name="Normal 3 2 2 6 2 2" xfId="1556" xr:uid="{00000000-0005-0000-0000-0000E00A0000}"/>
    <cellStyle name="Normal 3 2 2 6 2 2 2" xfId="3743" xr:uid="{00000000-0005-0000-0000-0000E10A0000}"/>
    <cellStyle name="Normal 3 2 2 6 2 2 3" xfId="2668" xr:uid="{00000000-0005-0000-0000-0000E20A0000}"/>
    <cellStyle name="Normal 3 2 2 6 2 3" xfId="3200" xr:uid="{00000000-0005-0000-0000-0000E30A0000}"/>
    <cellStyle name="Normal 3 2 2 6 2 4" xfId="2125" xr:uid="{00000000-0005-0000-0000-0000E40A0000}"/>
    <cellStyle name="Normal 3 2 2 6 3" xfId="1287" xr:uid="{00000000-0005-0000-0000-0000E50A0000}"/>
    <cellStyle name="Normal 3 2 2 6 3 2" xfId="3422" xr:uid="{00000000-0005-0000-0000-0000E60A0000}"/>
    <cellStyle name="Normal 3 2 2 6 3 3" xfId="2347" xr:uid="{00000000-0005-0000-0000-0000E70A0000}"/>
    <cellStyle name="Normal 3 2 2 6 4" xfId="2883" xr:uid="{00000000-0005-0000-0000-0000E80A0000}"/>
    <cellStyle name="Normal 3 2 2 6 5" xfId="1792" xr:uid="{00000000-0005-0000-0000-0000E90A0000}"/>
    <cellStyle name="Normal 3 2 2 7" xfId="495" xr:uid="{00000000-0005-0000-0000-0000EA0A0000}"/>
    <cellStyle name="Normal 3 2 2 7 2" xfId="1417" xr:uid="{00000000-0005-0000-0000-0000EB0A0000}"/>
    <cellStyle name="Normal 3 2 2 7 2 2" xfId="3572" xr:uid="{00000000-0005-0000-0000-0000EC0A0000}"/>
    <cellStyle name="Normal 3 2 2 7 2 3" xfId="2497" xr:uid="{00000000-0005-0000-0000-0000ED0A0000}"/>
    <cellStyle name="Normal 3 2 2 7 3" xfId="3045" xr:uid="{00000000-0005-0000-0000-0000EE0A0000}"/>
    <cellStyle name="Normal 3 2 2 7 4" xfId="1954" xr:uid="{00000000-0005-0000-0000-0000EF0A0000}"/>
    <cellStyle name="Normal 3 2 2 8" xfId="1202" xr:uid="{00000000-0005-0000-0000-0000F00A0000}"/>
    <cellStyle name="Normal 3 2 2 8 2" xfId="3330" xr:uid="{00000000-0005-0000-0000-0000F10A0000}"/>
    <cellStyle name="Normal 3 2 2 8 3" xfId="2255" xr:uid="{00000000-0005-0000-0000-0000F20A0000}"/>
    <cellStyle name="Normal 3 2 2 9" xfId="2791" xr:uid="{00000000-0005-0000-0000-0000F30A0000}"/>
    <cellStyle name="Normal 3 2 3" xfId="289" xr:uid="{00000000-0005-0000-0000-0000F40A0000}"/>
    <cellStyle name="Normal 3 2 4" xfId="216" xr:uid="{00000000-0005-0000-0000-0000F50A0000}"/>
    <cellStyle name="Normal 3 3" xfId="45" xr:uid="{00000000-0005-0000-0000-0000F60A0000}"/>
    <cellStyle name="Normal 3 4" xfId="46" xr:uid="{00000000-0005-0000-0000-0000F70A0000}"/>
    <cellStyle name="Normal 3 4 10" xfId="1702" xr:uid="{00000000-0005-0000-0000-0000F80A0000}"/>
    <cellStyle name="Normal 3 4 2" xfId="47" xr:uid="{00000000-0005-0000-0000-0000F90A0000}"/>
    <cellStyle name="Normal 3 4 2 2" xfId="96" xr:uid="{00000000-0005-0000-0000-0000FA0A0000}"/>
    <cellStyle name="Normal 3 4 2 2 2" xfId="412" xr:uid="{00000000-0005-0000-0000-0000FB0A0000}"/>
    <cellStyle name="Normal 3 4 2 2 2 2" xfId="690" xr:uid="{00000000-0005-0000-0000-0000FC0A0000}"/>
    <cellStyle name="Normal 3 4 2 2 2 2 2" xfId="1593" xr:uid="{00000000-0005-0000-0000-0000FD0A0000}"/>
    <cellStyle name="Normal 3 4 2 2 2 2 2 2" xfId="3780" xr:uid="{00000000-0005-0000-0000-0000FE0A0000}"/>
    <cellStyle name="Normal 3 4 2 2 2 2 2 3" xfId="2705" xr:uid="{00000000-0005-0000-0000-0000FF0A0000}"/>
    <cellStyle name="Normal 3 4 2 2 2 2 3" xfId="3237" xr:uid="{00000000-0005-0000-0000-0000000B0000}"/>
    <cellStyle name="Normal 3 4 2 2 2 2 4" xfId="2162" xr:uid="{00000000-0005-0000-0000-0000010B0000}"/>
    <cellStyle name="Normal 3 4 2 2 2 3" xfId="1324" xr:uid="{00000000-0005-0000-0000-0000020B0000}"/>
    <cellStyle name="Normal 3 4 2 2 2 3 2" xfId="3467" xr:uid="{00000000-0005-0000-0000-0000030B0000}"/>
    <cellStyle name="Normal 3 4 2 2 2 3 3" xfId="2392" xr:uid="{00000000-0005-0000-0000-0000040B0000}"/>
    <cellStyle name="Normal 3 4 2 2 2 4" xfId="2928" xr:uid="{00000000-0005-0000-0000-0000050B0000}"/>
    <cellStyle name="Normal 3 4 2 2 2 5" xfId="1837" xr:uid="{00000000-0005-0000-0000-0000060B0000}"/>
    <cellStyle name="Normal 3 4 2 2 3" xfId="540" xr:uid="{00000000-0005-0000-0000-0000070B0000}"/>
    <cellStyle name="Normal 3 4 2 2 3 2" xfId="1454" xr:uid="{00000000-0005-0000-0000-0000080B0000}"/>
    <cellStyle name="Normal 3 4 2 2 3 2 2" xfId="3617" xr:uid="{00000000-0005-0000-0000-0000090B0000}"/>
    <cellStyle name="Normal 3 4 2 2 3 2 3" xfId="2542" xr:uid="{00000000-0005-0000-0000-00000A0B0000}"/>
    <cellStyle name="Normal 3 4 2 2 3 3" xfId="3090" xr:uid="{00000000-0005-0000-0000-00000B0B0000}"/>
    <cellStyle name="Normal 3 4 2 2 3 4" xfId="1999" xr:uid="{00000000-0005-0000-0000-00000C0B0000}"/>
    <cellStyle name="Normal 3 4 2 2 4" xfId="1247" xr:uid="{00000000-0005-0000-0000-00000D0B0000}"/>
    <cellStyle name="Normal 3 4 2 2 4 2" xfId="3375" xr:uid="{00000000-0005-0000-0000-00000E0B0000}"/>
    <cellStyle name="Normal 3 4 2 2 4 3" xfId="2300" xr:uid="{00000000-0005-0000-0000-00000F0B0000}"/>
    <cellStyle name="Normal 3 4 2 2 5" xfId="2836" xr:uid="{00000000-0005-0000-0000-0000100B0000}"/>
    <cellStyle name="Normal 3 4 2 2 6" xfId="1745" xr:uid="{00000000-0005-0000-0000-0000110B0000}"/>
    <cellStyle name="Normal 3 4 2 3" xfId="378" xr:uid="{00000000-0005-0000-0000-0000120B0000}"/>
    <cellStyle name="Normal 3 4 2 3 2" xfId="656" xr:uid="{00000000-0005-0000-0000-0000130B0000}"/>
    <cellStyle name="Normal 3 4 2 3 2 2" xfId="1559" xr:uid="{00000000-0005-0000-0000-0000140B0000}"/>
    <cellStyle name="Normal 3 4 2 3 2 2 2" xfId="3746" xr:uid="{00000000-0005-0000-0000-0000150B0000}"/>
    <cellStyle name="Normal 3 4 2 3 2 2 3" xfId="2671" xr:uid="{00000000-0005-0000-0000-0000160B0000}"/>
    <cellStyle name="Normal 3 4 2 3 2 3" xfId="3203" xr:uid="{00000000-0005-0000-0000-0000170B0000}"/>
    <cellStyle name="Normal 3 4 2 3 2 4" xfId="2128" xr:uid="{00000000-0005-0000-0000-0000180B0000}"/>
    <cellStyle name="Normal 3 4 2 3 3" xfId="1290" xr:uid="{00000000-0005-0000-0000-0000190B0000}"/>
    <cellStyle name="Normal 3 4 2 3 3 2" xfId="3425" xr:uid="{00000000-0005-0000-0000-00001A0B0000}"/>
    <cellStyle name="Normal 3 4 2 3 3 3" xfId="2350" xr:uid="{00000000-0005-0000-0000-00001B0B0000}"/>
    <cellStyle name="Normal 3 4 2 3 4" xfId="2886" xr:uid="{00000000-0005-0000-0000-00001C0B0000}"/>
    <cellStyle name="Normal 3 4 2 3 5" xfId="1795" xr:uid="{00000000-0005-0000-0000-00001D0B0000}"/>
    <cellStyle name="Normal 3 4 2 4" xfId="498" xr:uid="{00000000-0005-0000-0000-00001E0B0000}"/>
    <cellStyle name="Normal 3 4 2 4 2" xfId="1420" xr:uid="{00000000-0005-0000-0000-00001F0B0000}"/>
    <cellStyle name="Normal 3 4 2 4 2 2" xfId="3575" xr:uid="{00000000-0005-0000-0000-0000200B0000}"/>
    <cellStyle name="Normal 3 4 2 4 2 3" xfId="2500" xr:uid="{00000000-0005-0000-0000-0000210B0000}"/>
    <cellStyle name="Normal 3 4 2 4 3" xfId="3048" xr:uid="{00000000-0005-0000-0000-0000220B0000}"/>
    <cellStyle name="Normal 3 4 2 4 4" xfId="1957" xr:uid="{00000000-0005-0000-0000-0000230B0000}"/>
    <cellStyle name="Normal 3 4 2 5" xfId="1205" xr:uid="{00000000-0005-0000-0000-0000240B0000}"/>
    <cellStyle name="Normal 3 4 2 5 2" xfId="3333" xr:uid="{00000000-0005-0000-0000-0000250B0000}"/>
    <cellStyle name="Normal 3 4 2 5 3" xfId="2258" xr:uid="{00000000-0005-0000-0000-0000260B0000}"/>
    <cellStyle name="Normal 3 4 2 6" xfId="2794" xr:uid="{00000000-0005-0000-0000-0000270B0000}"/>
    <cellStyle name="Normal 3 4 2 7" xfId="1703" xr:uid="{00000000-0005-0000-0000-0000280B0000}"/>
    <cellStyle name="Normal 3 4 3" xfId="95" xr:uid="{00000000-0005-0000-0000-0000290B0000}"/>
    <cellStyle name="Normal 3 4 3 2" xfId="411" xr:uid="{00000000-0005-0000-0000-00002A0B0000}"/>
    <cellStyle name="Normal 3 4 3 2 2" xfId="689" xr:uid="{00000000-0005-0000-0000-00002B0B0000}"/>
    <cellStyle name="Normal 3 4 3 2 2 2" xfId="1592" xr:uid="{00000000-0005-0000-0000-00002C0B0000}"/>
    <cellStyle name="Normal 3 4 3 2 2 2 2" xfId="3779" xr:uid="{00000000-0005-0000-0000-00002D0B0000}"/>
    <cellStyle name="Normal 3 4 3 2 2 2 3" xfId="2704" xr:uid="{00000000-0005-0000-0000-00002E0B0000}"/>
    <cellStyle name="Normal 3 4 3 2 2 3" xfId="3236" xr:uid="{00000000-0005-0000-0000-00002F0B0000}"/>
    <cellStyle name="Normal 3 4 3 2 2 4" xfId="2161" xr:uid="{00000000-0005-0000-0000-0000300B0000}"/>
    <cellStyle name="Normal 3 4 3 2 3" xfId="1323" xr:uid="{00000000-0005-0000-0000-0000310B0000}"/>
    <cellStyle name="Normal 3 4 3 2 3 2" xfId="3466" xr:uid="{00000000-0005-0000-0000-0000320B0000}"/>
    <cellStyle name="Normal 3 4 3 2 3 3" xfId="2391" xr:uid="{00000000-0005-0000-0000-0000330B0000}"/>
    <cellStyle name="Normal 3 4 3 2 4" xfId="2927" xr:uid="{00000000-0005-0000-0000-0000340B0000}"/>
    <cellStyle name="Normal 3 4 3 2 5" xfId="1836" xr:uid="{00000000-0005-0000-0000-0000350B0000}"/>
    <cellStyle name="Normal 3 4 3 3" xfId="539" xr:uid="{00000000-0005-0000-0000-0000360B0000}"/>
    <cellStyle name="Normal 3 4 3 3 2" xfId="1453" xr:uid="{00000000-0005-0000-0000-0000370B0000}"/>
    <cellStyle name="Normal 3 4 3 3 2 2" xfId="3616" xr:uid="{00000000-0005-0000-0000-0000380B0000}"/>
    <cellStyle name="Normal 3 4 3 3 2 3" xfId="2541" xr:uid="{00000000-0005-0000-0000-0000390B0000}"/>
    <cellStyle name="Normal 3 4 3 3 3" xfId="3089" xr:uid="{00000000-0005-0000-0000-00003A0B0000}"/>
    <cellStyle name="Normal 3 4 3 3 4" xfId="1998" xr:uid="{00000000-0005-0000-0000-00003B0B0000}"/>
    <cellStyle name="Normal 3 4 3 4" xfId="1246" xr:uid="{00000000-0005-0000-0000-00003C0B0000}"/>
    <cellStyle name="Normal 3 4 3 4 2" xfId="3374" xr:uid="{00000000-0005-0000-0000-00003D0B0000}"/>
    <cellStyle name="Normal 3 4 3 4 3" xfId="2299" xr:uid="{00000000-0005-0000-0000-00003E0B0000}"/>
    <cellStyle name="Normal 3 4 3 5" xfId="2835" xr:uid="{00000000-0005-0000-0000-00003F0B0000}"/>
    <cellStyle name="Normal 3 4 3 6" xfId="1744" xr:uid="{00000000-0005-0000-0000-0000400B0000}"/>
    <cellStyle name="Normal 3 4 4" xfId="290" xr:uid="{00000000-0005-0000-0000-0000410B0000}"/>
    <cellStyle name="Normal 3 4 4 2" xfId="609" xr:uid="{00000000-0005-0000-0000-0000420B0000}"/>
    <cellStyle name="Normal 3 4 4 2 2" xfId="1519" xr:uid="{00000000-0005-0000-0000-0000430B0000}"/>
    <cellStyle name="Normal 3 4 4 2 2 2" xfId="3686" xr:uid="{00000000-0005-0000-0000-0000440B0000}"/>
    <cellStyle name="Normal 3 4 4 2 2 3" xfId="2611" xr:uid="{00000000-0005-0000-0000-0000450B0000}"/>
    <cellStyle name="Normal 3 4 4 2 3" xfId="3143" xr:uid="{00000000-0005-0000-0000-0000460B0000}"/>
    <cellStyle name="Normal 3 4 4 2 4" xfId="2068" xr:uid="{00000000-0005-0000-0000-0000470B0000}"/>
    <cellStyle name="Normal 3 4 4 3" xfId="1389" xr:uid="{00000000-0005-0000-0000-0000480B0000}"/>
    <cellStyle name="Normal 3 4 4 3 2" xfId="3536" xr:uid="{00000000-0005-0000-0000-0000490B0000}"/>
    <cellStyle name="Normal 3 4 4 3 3" xfId="2461" xr:uid="{00000000-0005-0000-0000-00004A0B0000}"/>
    <cellStyle name="Normal 3 4 4 4" xfId="2997" xr:uid="{00000000-0005-0000-0000-00004B0B0000}"/>
    <cellStyle name="Normal 3 4 4 5" xfId="1906" xr:uid="{00000000-0005-0000-0000-00004C0B0000}"/>
    <cellStyle name="Normal 3 4 5" xfId="264" xr:uid="{00000000-0005-0000-0000-00004D0B0000}"/>
    <cellStyle name="Normal 3 4 5 2" xfId="604" xr:uid="{00000000-0005-0000-0000-00004E0B0000}"/>
    <cellStyle name="Normal 3 4 5 2 2" xfId="1516" xr:uid="{00000000-0005-0000-0000-00004F0B0000}"/>
    <cellStyle name="Normal 3 4 5 2 2 2" xfId="3681" xr:uid="{00000000-0005-0000-0000-0000500B0000}"/>
    <cellStyle name="Normal 3 4 5 2 2 3" xfId="2606" xr:uid="{00000000-0005-0000-0000-0000510B0000}"/>
    <cellStyle name="Normal 3 4 5 2 3" xfId="3138" xr:uid="{00000000-0005-0000-0000-0000520B0000}"/>
    <cellStyle name="Normal 3 4 5 2 4" xfId="2063" xr:uid="{00000000-0005-0000-0000-0000530B0000}"/>
    <cellStyle name="Normal 3 4 5 3" xfId="1386" xr:uid="{00000000-0005-0000-0000-0000540B0000}"/>
    <cellStyle name="Normal 3 4 5 3 2" xfId="3531" xr:uid="{00000000-0005-0000-0000-0000550B0000}"/>
    <cellStyle name="Normal 3 4 5 3 3" xfId="2456" xr:uid="{00000000-0005-0000-0000-0000560B0000}"/>
    <cellStyle name="Normal 3 4 5 4" xfId="2992" xr:uid="{00000000-0005-0000-0000-0000570B0000}"/>
    <cellStyle name="Normal 3 4 5 5" xfId="1901" xr:uid="{00000000-0005-0000-0000-0000580B0000}"/>
    <cellStyle name="Normal 3 4 6" xfId="377" xr:uid="{00000000-0005-0000-0000-0000590B0000}"/>
    <cellStyle name="Normal 3 4 6 2" xfId="655" xr:uid="{00000000-0005-0000-0000-00005A0B0000}"/>
    <cellStyle name="Normal 3 4 6 2 2" xfId="1558" xr:uid="{00000000-0005-0000-0000-00005B0B0000}"/>
    <cellStyle name="Normal 3 4 6 2 2 2" xfId="3745" xr:uid="{00000000-0005-0000-0000-00005C0B0000}"/>
    <cellStyle name="Normal 3 4 6 2 2 3" xfId="2670" xr:uid="{00000000-0005-0000-0000-00005D0B0000}"/>
    <cellStyle name="Normal 3 4 6 2 3" xfId="3202" xr:uid="{00000000-0005-0000-0000-00005E0B0000}"/>
    <cellStyle name="Normal 3 4 6 2 4" xfId="2127" xr:uid="{00000000-0005-0000-0000-00005F0B0000}"/>
    <cellStyle name="Normal 3 4 6 3" xfId="1289" xr:uid="{00000000-0005-0000-0000-0000600B0000}"/>
    <cellStyle name="Normal 3 4 6 3 2" xfId="3424" xr:uid="{00000000-0005-0000-0000-0000610B0000}"/>
    <cellStyle name="Normal 3 4 6 3 3" xfId="2349" xr:uid="{00000000-0005-0000-0000-0000620B0000}"/>
    <cellStyle name="Normal 3 4 6 4" xfId="2885" xr:uid="{00000000-0005-0000-0000-0000630B0000}"/>
    <cellStyle name="Normal 3 4 6 5" xfId="1794" xr:uid="{00000000-0005-0000-0000-0000640B0000}"/>
    <cellStyle name="Normal 3 4 7" xfId="497" xr:uid="{00000000-0005-0000-0000-0000650B0000}"/>
    <cellStyle name="Normal 3 4 7 2" xfId="1419" xr:uid="{00000000-0005-0000-0000-0000660B0000}"/>
    <cellStyle name="Normal 3 4 7 2 2" xfId="3574" xr:uid="{00000000-0005-0000-0000-0000670B0000}"/>
    <cellStyle name="Normal 3 4 7 2 3" xfId="2499" xr:uid="{00000000-0005-0000-0000-0000680B0000}"/>
    <cellStyle name="Normal 3 4 7 3" xfId="3047" xr:uid="{00000000-0005-0000-0000-0000690B0000}"/>
    <cellStyle name="Normal 3 4 7 4" xfId="1956" xr:uid="{00000000-0005-0000-0000-00006A0B0000}"/>
    <cellStyle name="Normal 3 4 8" xfId="1204" xr:uid="{00000000-0005-0000-0000-00006B0B0000}"/>
    <cellStyle name="Normal 3 4 8 2" xfId="3332" xr:uid="{00000000-0005-0000-0000-00006C0B0000}"/>
    <cellStyle name="Normal 3 4 8 3" xfId="2257" xr:uid="{00000000-0005-0000-0000-00006D0B0000}"/>
    <cellStyle name="Normal 3 4 9" xfId="1678" xr:uid="{00000000-0005-0000-0000-00006E0B0000}"/>
    <cellStyle name="Normal 3 4 9 2" xfId="2793" xr:uid="{00000000-0005-0000-0000-00006F0B0000}"/>
    <cellStyle name="Normal 3 5" xfId="48" xr:uid="{00000000-0005-0000-0000-0000700B0000}"/>
    <cellStyle name="Normal 3 5 2" xfId="49" xr:uid="{00000000-0005-0000-0000-0000710B0000}"/>
    <cellStyle name="Normal 3 5 2 2" xfId="98" xr:uid="{00000000-0005-0000-0000-0000720B0000}"/>
    <cellStyle name="Normal 3 5 2 2 2" xfId="414" xr:uid="{00000000-0005-0000-0000-0000730B0000}"/>
    <cellStyle name="Normal 3 5 2 2 2 2" xfId="692" xr:uid="{00000000-0005-0000-0000-0000740B0000}"/>
    <cellStyle name="Normal 3 5 2 2 2 2 2" xfId="1595" xr:uid="{00000000-0005-0000-0000-0000750B0000}"/>
    <cellStyle name="Normal 3 5 2 2 2 2 2 2" xfId="3782" xr:uid="{00000000-0005-0000-0000-0000760B0000}"/>
    <cellStyle name="Normal 3 5 2 2 2 2 2 3" xfId="2707" xr:uid="{00000000-0005-0000-0000-0000770B0000}"/>
    <cellStyle name="Normal 3 5 2 2 2 2 3" xfId="3239" xr:uid="{00000000-0005-0000-0000-0000780B0000}"/>
    <cellStyle name="Normal 3 5 2 2 2 2 4" xfId="2164" xr:uid="{00000000-0005-0000-0000-0000790B0000}"/>
    <cellStyle name="Normal 3 5 2 2 2 3" xfId="1326" xr:uid="{00000000-0005-0000-0000-00007A0B0000}"/>
    <cellStyle name="Normal 3 5 2 2 2 3 2" xfId="3469" xr:uid="{00000000-0005-0000-0000-00007B0B0000}"/>
    <cellStyle name="Normal 3 5 2 2 2 3 3" xfId="2394" xr:uid="{00000000-0005-0000-0000-00007C0B0000}"/>
    <cellStyle name="Normal 3 5 2 2 2 4" xfId="2930" xr:uid="{00000000-0005-0000-0000-00007D0B0000}"/>
    <cellStyle name="Normal 3 5 2 2 2 5" xfId="1839" xr:uid="{00000000-0005-0000-0000-00007E0B0000}"/>
    <cellStyle name="Normal 3 5 2 2 3" xfId="542" xr:uid="{00000000-0005-0000-0000-00007F0B0000}"/>
    <cellStyle name="Normal 3 5 2 2 3 2" xfId="1456" xr:uid="{00000000-0005-0000-0000-0000800B0000}"/>
    <cellStyle name="Normal 3 5 2 2 3 2 2" xfId="3619" xr:uid="{00000000-0005-0000-0000-0000810B0000}"/>
    <cellStyle name="Normal 3 5 2 2 3 2 3" xfId="2544" xr:uid="{00000000-0005-0000-0000-0000820B0000}"/>
    <cellStyle name="Normal 3 5 2 2 3 3" xfId="3092" xr:uid="{00000000-0005-0000-0000-0000830B0000}"/>
    <cellStyle name="Normal 3 5 2 2 3 4" xfId="2001" xr:uid="{00000000-0005-0000-0000-0000840B0000}"/>
    <cellStyle name="Normal 3 5 2 2 4" xfId="1249" xr:uid="{00000000-0005-0000-0000-0000850B0000}"/>
    <cellStyle name="Normal 3 5 2 2 4 2" xfId="3377" xr:uid="{00000000-0005-0000-0000-0000860B0000}"/>
    <cellStyle name="Normal 3 5 2 2 4 3" xfId="2302" xr:uid="{00000000-0005-0000-0000-0000870B0000}"/>
    <cellStyle name="Normal 3 5 2 2 5" xfId="2838" xr:uid="{00000000-0005-0000-0000-0000880B0000}"/>
    <cellStyle name="Normal 3 5 2 2 6" xfId="1747" xr:uid="{00000000-0005-0000-0000-0000890B0000}"/>
    <cellStyle name="Normal 3 5 2 3" xfId="380" xr:uid="{00000000-0005-0000-0000-00008A0B0000}"/>
    <cellStyle name="Normal 3 5 2 3 2" xfId="658" xr:uid="{00000000-0005-0000-0000-00008B0B0000}"/>
    <cellStyle name="Normal 3 5 2 3 2 2" xfId="1561" xr:uid="{00000000-0005-0000-0000-00008C0B0000}"/>
    <cellStyle name="Normal 3 5 2 3 2 2 2" xfId="3748" xr:uid="{00000000-0005-0000-0000-00008D0B0000}"/>
    <cellStyle name="Normal 3 5 2 3 2 2 3" xfId="2673" xr:uid="{00000000-0005-0000-0000-00008E0B0000}"/>
    <cellStyle name="Normal 3 5 2 3 2 3" xfId="3205" xr:uid="{00000000-0005-0000-0000-00008F0B0000}"/>
    <cellStyle name="Normal 3 5 2 3 2 4" xfId="2130" xr:uid="{00000000-0005-0000-0000-0000900B0000}"/>
    <cellStyle name="Normal 3 5 2 3 3" xfId="1292" xr:uid="{00000000-0005-0000-0000-0000910B0000}"/>
    <cellStyle name="Normal 3 5 2 3 3 2" xfId="3427" xr:uid="{00000000-0005-0000-0000-0000920B0000}"/>
    <cellStyle name="Normal 3 5 2 3 3 3" xfId="2352" xr:uid="{00000000-0005-0000-0000-0000930B0000}"/>
    <cellStyle name="Normal 3 5 2 3 4" xfId="2888" xr:uid="{00000000-0005-0000-0000-0000940B0000}"/>
    <cellStyle name="Normal 3 5 2 3 5" xfId="1797" xr:uid="{00000000-0005-0000-0000-0000950B0000}"/>
    <cellStyle name="Normal 3 5 2 4" xfId="500" xr:uid="{00000000-0005-0000-0000-0000960B0000}"/>
    <cellStyle name="Normal 3 5 2 4 2" xfId="1422" xr:uid="{00000000-0005-0000-0000-0000970B0000}"/>
    <cellStyle name="Normal 3 5 2 4 2 2" xfId="3577" xr:uid="{00000000-0005-0000-0000-0000980B0000}"/>
    <cellStyle name="Normal 3 5 2 4 2 3" xfId="2502" xr:uid="{00000000-0005-0000-0000-0000990B0000}"/>
    <cellStyle name="Normal 3 5 2 4 3" xfId="3050" xr:uid="{00000000-0005-0000-0000-00009A0B0000}"/>
    <cellStyle name="Normal 3 5 2 4 4" xfId="1959" xr:uid="{00000000-0005-0000-0000-00009B0B0000}"/>
    <cellStyle name="Normal 3 5 2 5" xfId="1207" xr:uid="{00000000-0005-0000-0000-00009C0B0000}"/>
    <cellStyle name="Normal 3 5 2 5 2" xfId="3335" xr:uid="{00000000-0005-0000-0000-00009D0B0000}"/>
    <cellStyle name="Normal 3 5 2 5 3" xfId="2260" xr:uid="{00000000-0005-0000-0000-00009E0B0000}"/>
    <cellStyle name="Normal 3 5 2 6" xfId="2796" xr:uid="{00000000-0005-0000-0000-00009F0B0000}"/>
    <cellStyle name="Normal 3 5 2 7" xfId="1705" xr:uid="{00000000-0005-0000-0000-0000A00B0000}"/>
    <cellStyle name="Normal 3 5 3" xfId="97" xr:uid="{00000000-0005-0000-0000-0000A10B0000}"/>
    <cellStyle name="Normal 3 5 3 2" xfId="413" xr:uid="{00000000-0005-0000-0000-0000A20B0000}"/>
    <cellStyle name="Normal 3 5 3 2 2" xfId="691" xr:uid="{00000000-0005-0000-0000-0000A30B0000}"/>
    <cellStyle name="Normal 3 5 3 2 2 2" xfId="1594" xr:uid="{00000000-0005-0000-0000-0000A40B0000}"/>
    <cellStyle name="Normal 3 5 3 2 2 2 2" xfId="3781" xr:uid="{00000000-0005-0000-0000-0000A50B0000}"/>
    <cellStyle name="Normal 3 5 3 2 2 2 3" xfId="2706" xr:uid="{00000000-0005-0000-0000-0000A60B0000}"/>
    <cellStyle name="Normal 3 5 3 2 2 3" xfId="3238" xr:uid="{00000000-0005-0000-0000-0000A70B0000}"/>
    <cellStyle name="Normal 3 5 3 2 2 4" xfId="2163" xr:uid="{00000000-0005-0000-0000-0000A80B0000}"/>
    <cellStyle name="Normal 3 5 3 2 3" xfId="1325" xr:uid="{00000000-0005-0000-0000-0000A90B0000}"/>
    <cellStyle name="Normal 3 5 3 2 3 2" xfId="3468" xr:uid="{00000000-0005-0000-0000-0000AA0B0000}"/>
    <cellStyle name="Normal 3 5 3 2 3 3" xfId="2393" xr:uid="{00000000-0005-0000-0000-0000AB0B0000}"/>
    <cellStyle name="Normal 3 5 3 2 4" xfId="2929" xr:uid="{00000000-0005-0000-0000-0000AC0B0000}"/>
    <cellStyle name="Normal 3 5 3 2 5" xfId="1838" xr:uid="{00000000-0005-0000-0000-0000AD0B0000}"/>
    <cellStyle name="Normal 3 5 3 3" xfId="541" xr:uid="{00000000-0005-0000-0000-0000AE0B0000}"/>
    <cellStyle name="Normal 3 5 3 3 2" xfId="1455" xr:uid="{00000000-0005-0000-0000-0000AF0B0000}"/>
    <cellStyle name="Normal 3 5 3 3 2 2" xfId="3618" xr:uid="{00000000-0005-0000-0000-0000B00B0000}"/>
    <cellStyle name="Normal 3 5 3 3 2 3" xfId="2543" xr:uid="{00000000-0005-0000-0000-0000B10B0000}"/>
    <cellStyle name="Normal 3 5 3 3 3" xfId="3091" xr:uid="{00000000-0005-0000-0000-0000B20B0000}"/>
    <cellStyle name="Normal 3 5 3 3 4" xfId="2000" xr:uid="{00000000-0005-0000-0000-0000B30B0000}"/>
    <cellStyle name="Normal 3 5 3 4" xfId="1248" xr:uid="{00000000-0005-0000-0000-0000B40B0000}"/>
    <cellStyle name="Normal 3 5 3 4 2" xfId="3376" xr:uid="{00000000-0005-0000-0000-0000B50B0000}"/>
    <cellStyle name="Normal 3 5 3 4 3" xfId="2301" xr:uid="{00000000-0005-0000-0000-0000B60B0000}"/>
    <cellStyle name="Normal 3 5 3 5" xfId="2837" xr:uid="{00000000-0005-0000-0000-0000B70B0000}"/>
    <cellStyle name="Normal 3 5 3 6" xfId="1746" xr:uid="{00000000-0005-0000-0000-0000B80B0000}"/>
    <cellStyle name="Normal 3 5 4" xfId="379" xr:uid="{00000000-0005-0000-0000-0000B90B0000}"/>
    <cellStyle name="Normal 3 5 4 2" xfId="657" xr:uid="{00000000-0005-0000-0000-0000BA0B0000}"/>
    <cellStyle name="Normal 3 5 4 2 2" xfId="1560" xr:uid="{00000000-0005-0000-0000-0000BB0B0000}"/>
    <cellStyle name="Normal 3 5 4 2 2 2" xfId="3747" xr:uid="{00000000-0005-0000-0000-0000BC0B0000}"/>
    <cellStyle name="Normal 3 5 4 2 2 3" xfId="2672" xr:uid="{00000000-0005-0000-0000-0000BD0B0000}"/>
    <cellStyle name="Normal 3 5 4 2 3" xfId="3204" xr:uid="{00000000-0005-0000-0000-0000BE0B0000}"/>
    <cellStyle name="Normal 3 5 4 2 4" xfId="2129" xr:uid="{00000000-0005-0000-0000-0000BF0B0000}"/>
    <cellStyle name="Normal 3 5 4 3" xfId="1291" xr:uid="{00000000-0005-0000-0000-0000C00B0000}"/>
    <cellStyle name="Normal 3 5 4 3 2" xfId="3426" xr:uid="{00000000-0005-0000-0000-0000C10B0000}"/>
    <cellStyle name="Normal 3 5 4 3 3" xfId="2351" xr:uid="{00000000-0005-0000-0000-0000C20B0000}"/>
    <cellStyle name="Normal 3 5 4 4" xfId="2887" xr:uid="{00000000-0005-0000-0000-0000C30B0000}"/>
    <cellStyle name="Normal 3 5 4 5" xfId="1796" xr:uid="{00000000-0005-0000-0000-0000C40B0000}"/>
    <cellStyle name="Normal 3 5 5" xfId="499" xr:uid="{00000000-0005-0000-0000-0000C50B0000}"/>
    <cellStyle name="Normal 3 5 5 2" xfId="1421" xr:uid="{00000000-0005-0000-0000-0000C60B0000}"/>
    <cellStyle name="Normal 3 5 5 2 2" xfId="3576" xr:uid="{00000000-0005-0000-0000-0000C70B0000}"/>
    <cellStyle name="Normal 3 5 5 2 3" xfId="2501" xr:uid="{00000000-0005-0000-0000-0000C80B0000}"/>
    <cellStyle name="Normal 3 5 5 3" xfId="3049" xr:uid="{00000000-0005-0000-0000-0000C90B0000}"/>
    <cellStyle name="Normal 3 5 5 4" xfId="1958" xr:uid="{00000000-0005-0000-0000-0000CA0B0000}"/>
    <cellStyle name="Normal 3 5 6" xfId="1206" xr:uid="{00000000-0005-0000-0000-0000CB0B0000}"/>
    <cellStyle name="Normal 3 5 6 2" xfId="3334" xr:uid="{00000000-0005-0000-0000-0000CC0B0000}"/>
    <cellStyle name="Normal 3 5 6 3" xfId="2259" xr:uid="{00000000-0005-0000-0000-0000CD0B0000}"/>
    <cellStyle name="Normal 3 5 7" xfId="1679" xr:uid="{00000000-0005-0000-0000-0000CE0B0000}"/>
    <cellStyle name="Normal 3 5 7 2" xfId="2795" xr:uid="{00000000-0005-0000-0000-0000CF0B0000}"/>
    <cellStyle name="Normal 3 5 8" xfId="1704" xr:uid="{00000000-0005-0000-0000-0000D00B0000}"/>
    <cellStyle name="Normal 3 6" xfId="50" xr:uid="{00000000-0005-0000-0000-0000D10B0000}"/>
    <cellStyle name="Normal 3 6 2" xfId="99" xr:uid="{00000000-0005-0000-0000-0000D20B0000}"/>
    <cellStyle name="Normal 3 6 2 2" xfId="415" xr:uid="{00000000-0005-0000-0000-0000D30B0000}"/>
    <cellStyle name="Normal 3 6 2 2 2" xfId="693" xr:uid="{00000000-0005-0000-0000-0000D40B0000}"/>
    <cellStyle name="Normal 3 6 2 2 2 2" xfId="1596" xr:uid="{00000000-0005-0000-0000-0000D50B0000}"/>
    <cellStyle name="Normal 3 6 2 2 2 2 2" xfId="3783" xr:uid="{00000000-0005-0000-0000-0000D60B0000}"/>
    <cellStyle name="Normal 3 6 2 2 2 2 3" xfId="2708" xr:uid="{00000000-0005-0000-0000-0000D70B0000}"/>
    <cellStyle name="Normal 3 6 2 2 2 3" xfId="3240" xr:uid="{00000000-0005-0000-0000-0000D80B0000}"/>
    <cellStyle name="Normal 3 6 2 2 2 4" xfId="2165" xr:uid="{00000000-0005-0000-0000-0000D90B0000}"/>
    <cellStyle name="Normal 3 6 2 2 3" xfId="1327" xr:uid="{00000000-0005-0000-0000-0000DA0B0000}"/>
    <cellStyle name="Normal 3 6 2 2 3 2" xfId="3470" xr:uid="{00000000-0005-0000-0000-0000DB0B0000}"/>
    <cellStyle name="Normal 3 6 2 2 3 3" xfId="2395" xr:uid="{00000000-0005-0000-0000-0000DC0B0000}"/>
    <cellStyle name="Normal 3 6 2 2 4" xfId="2931" xr:uid="{00000000-0005-0000-0000-0000DD0B0000}"/>
    <cellStyle name="Normal 3 6 2 2 5" xfId="1840" xr:uid="{00000000-0005-0000-0000-0000DE0B0000}"/>
    <cellStyle name="Normal 3 6 2 3" xfId="543" xr:uid="{00000000-0005-0000-0000-0000DF0B0000}"/>
    <cellStyle name="Normal 3 6 2 3 2" xfId="1457" xr:uid="{00000000-0005-0000-0000-0000E00B0000}"/>
    <cellStyle name="Normal 3 6 2 3 2 2" xfId="3620" xr:uid="{00000000-0005-0000-0000-0000E10B0000}"/>
    <cellStyle name="Normal 3 6 2 3 2 3" xfId="2545" xr:uid="{00000000-0005-0000-0000-0000E20B0000}"/>
    <cellStyle name="Normal 3 6 2 3 3" xfId="3093" xr:uid="{00000000-0005-0000-0000-0000E30B0000}"/>
    <cellStyle name="Normal 3 6 2 3 4" xfId="2002" xr:uid="{00000000-0005-0000-0000-0000E40B0000}"/>
    <cellStyle name="Normal 3 6 2 4" xfId="1250" xr:uid="{00000000-0005-0000-0000-0000E50B0000}"/>
    <cellStyle name="Normal 3 6 2 4 2" xfId="3378" xr:uid="{00000000-0005-0000-0000-0000E60B0000}"/>
    <cellStyle name="Normal 3 6 2 4 3" xfId="2303" xr:uid="{00000000-0005-0000-0000-0000E70B0000}"/>
    <cellStyle name="Normal 3 6 2 5" xfId="2839" xr:uid="{00000000-0005-0000-0000-0000E80B0000}"/>
    <cellStyle name="Normal 3 6 2 6" xfId="1748" xr:uid="{00000000-0005-0000-0000-0000E90B0000}"/>
    <cellStyle name="Normal 3 6 3" xfId="291" xr:uid="{00000000-0005-0000-0000-0000EA0B0000}"/>
    <cellStyle name="Normal 3 6 3 2" xfId="610" xr:uid="{00000000-0005-0000-0000-0000EB0B0000}"/>
    <cellStyle name="Normal 3 6 3 2 2" xfId="1520" xr:uid="{00000000-0005-0000-0000-0000EC0B0000}"/>
    <cellStyle name="Normal 3 6 3 2 2 2" xfId="3687" xr:uid="{00000000-0005-0000-0000-0000ED0B0000}"/>
    <cellStyle name="Normal 3 6 3 2 2 3" xfId="2612" xr:uid="{00000000-0005-0000-0000-0000EE0B0000}"/>
    <cellStyle name="Normal 3 6 3 2 3" xfId="3144" xr:uid="{00000000-0005-0000-0000-0000EF0B0000}"/>
    <cellStyle name="Normal 3 6 3 2 4" xfId="2069" xr:uid="{00000000-0005-0000-0000-0000F00B0000}"/>
    <cellStyle name="Normal 3 6 3 3" xfId="1390" xr:uid="{00000000-0005-0000-0000-0000F10B0000}"/>
    <cellStyle name="Normal 3 6 3 3 2" xfId="3537" xr:uid="{00000000-0005-0000-0000-0000F20B0000}"/>
    <cellStyle name="Normal 3 6 3 3 3" xfId="2462" xr:uid="{00000000-0005-0000-0000-0000F30B0000}"/>
    <cellStyle name="Normal 3 6 3 4" xfId="2998" xr:uid="{00000000-0005-0000-0000-0000F40B0000}"/>
    <cellStyle name="Normal 3 6 3 5" xfId="1907" xr:uid="{00000000-0005-0000-0000-0000F50B0000}"/>
    <cellStyle name="Normal 3 6 4" xfId="265" xr:uid="{00000000-0005-0000-0000-0000F60B0000}"/>
    <cellStyle name="Normal 3 6 5" xfId="381" xr:uid="{00000000-0005-0000-0000-0000F70B0000}"/>
    <cellStyle name="Normal 3 6 5 2" xfId="659" xr:uid="{00000000-0005-0000-0000-0000F80B0000}"/>
    <cellStyle name="Normal 3 6 5 2 2" xfId="1562" xr:uid="{00000000-0005-0000-0000-0000F90B0000}"/>
    <cellStyle name="Normal 3 6 5 2 2 2" xfId="3749" xr:uid="{00000000-0005-0000-0000-0000FA0B0000}"/>
    <cellStyle name="Normal 3 6 5 2 2 3" xfId="2674" xr:uid="{00000000-0005-0000-0000-0000FB0B0000}"/>
    <cellStyle name="Normal 3 6 5 2 3" xfId="3206" xr:uid="{00000000-0005-0000-0000-0000FC0B0000}"/>
    <cellStyle name="Normal 3 6 5 2 4" xfId="2131" xr:uid="{00000000-0005-0000-0000-0000FD0B0000}"/>
    <cellStyle name="Normal 3 6 5 3" xfId="1293" xr:uid="{00000000-0005-0000-0000-0000FE0B0000}"/>
    <cellStyle name="Normal 3 6 5 3 2" xfId="3428" xr:uid="{00000000-0005-0000-0000-0000FF0B0000}"/>
    <cellStyle name="Normal 3 6 5 3 3" xfId="2353" xr:uid="{00000000-0005-0000-0000-0000000C0000}"/>
    <cellStyle name="Normal 3 6 5 4" xfId="2889" xr:uid="{00000000-0005-0000-0000-0000010C0000}"/>
    <cellStyle name="Normal 3 6 5 5" xfId="1798" xr:uid="{00000000-0005-0000-0000-0000020C0000}"/>
    <cellStyle name="Normal 3 6 6" xfId="501" xr:uid="{00000000-0005-0000-0000-0000030C0000}"/>
    <cellStyle name="Normal 3 6 6 2" xfId="1423" xr:uid="{00000000-0005-0000-0000-0000040C0000}"/>
    <cellStyle name="Normal 3 6 6 2 2" xfId="3578" xr:uid="{00000000-0005-0000-0000-0000050C0000}"/>
    <cellStyle name="Normal 3 6 6 2 3" xfId="2503" xr:uid="{00000000-0005-0000-0000-0000060C0000}"/>
    <cellStyle name="Normal 3 6 6 3" xfId="3051" xr:uid="{00000000-0005-0000-0000-0000070C0000}"/>
    <cellStyle name="Normal 3 6 6 4" xfId="1960" xr:uid="{00000000-0005-0000-0000-0000080C0000}"/>
    <cellStyle name="Normal 3 6 7" xfId="1208" xr:uid="{00000000-0005-0000-0000-0000090C0000}"/>
    <cellStyle name="Normal 3 6 7 2" xfId="3336" xr:uid="{00000000-0005-0000-0000-00000A0C0000}"/>
    <cellStyle name="Normal 3 6 7 3" xfId="2261" xr:uid="{00000000-0005-0000-0000-00000B0C0000}"/>
    <cellStyle name="Normal 3 6 8" xfId="2797" xr:uid="{00000000-0005-0000-0000-00000C0C0000}"/>
    <cellStyle name="Normal 3 6 9" xfId="1706" xr:uid="{00000000-0005-0000-0000-00000D0C0000}"/>
    <cellStyle name="Normal 3 7" xfId="92" xr:uid="{00000000-0005-0000-0000-00000E0C0000}"/>
    <cellStyle name="Normal 3 7 2" xfId="408" xr:uid="{00000000-0005-0000-0000-00000F0C0000}"/>
    <cellStyle name="Normal 3 7 2 2" xfId="686" xr:uid="{00000000-0005-0000-0000-0000100C0000}"/>
    <cellStyle name="Normal 3 7 2 2 2" xfId="1589" xr:uid="{00000000-0005-0000-0000-0000110C0000}"/>
    <cellStyle name="Normal 3 7 2 2 2 2" xfId="3776" xr:uid="{00000000-0005-0000-0000-0000120C0000}"/>
    <cellStyle name="Normal 3 7 2 2 2 3" xfId="2701" xr:uid="{00000000-0005-0000-0000-0000130C0000}"/>
    <cellStyle name="Normal 3 7 2 2 3" xfId="3233" xr:uid="{00000000-0005-0000-0000-0000140C0000}"/>
    <cellStyle name="Normal 3 7 2 2 4" xfId="2158" xr:uid="{00000000-0005-0000-0000-0000150C0000}"/>
    <cellStyle name="Normal 3 7 2 3" xfId="1320" xr:uid="{00000000-0005-0000-0000-0000160C0000}"/>
    <cellStyle name="Normal 3 7 2 3 2" xfId="3463" xr:uid="{00000000-0005-0000-0000-0000170C0000}"/>
    <cellStyle name="Normal 3 7 2 3 3" xfId="2388" xr:uid="{00000000-0005-0000-0000-0000180C0000}"/>
    <cellStyle name="Normal 3 7 2 4" xfId="2924" xr:uid="{00000000-0005-0000-0000-0000190C0000}"/>
    <cellStyle name="Normal 3 7 2 5" xfId="1833" xr:uid="{00000000-0005-0000-0000-00001A0C0000}"/>
    <cellStyle name="Normal 3 7 3" xfId="536" xr:uid="{00000000-0005-0000-0000-00001B0C0000}"/>
    <cellStyle name="Normal 3 7 3 2" xfId="1450" xr:uid="{00000000-0005-0000-0000-00001C0C0000}"/>
    <cellStyle name="Normal 3 7 3 2 2" xfId="3613" xr:uid="{00000000-0005-0000-0000-00001D0C0000}"/>
    <cellStyle name="Normal 3 7 3 2 3" xfId="2538" xr:uid="{00000000-0005-0000-0000-00001E0C0000}"/>
    <cellStyle name="Normal 3 7 3 3" xfId="3086" xr:uid="{00000000-0005-0000-0000-00001F0C0000}"/>
    <cellStyle name="Normal 3 7 3 4" xfId="1995" xr:uid="{00000000-0005-0000-0000-0000200C0000}"/>
    <cellStyle name="Normal 3 7 4" xfId="1243" xr:uid="{00000000-0005-0000-0000-0000210C0000}"/>
    <cellStyle name="Normal 3 7 4 2" xfId="3371" xr:uid="{00000000-0005-0000-0000-0000220C0000}"/>
    <cellStyle name="Normal 3 7 4 3" xfId="2296" xr:uid="{00000000-0005-0000-0000-0000230C0000}"/>
    <cellStyle name="Normal 3 7 5" xfId="1680" xr:uid="{00000000-0005-0000-0000-0000240C0000}"/>
    <cellStyle name="Normal 3 7 5 2" xfId="2832" xr:uid="{00000000-0005-0000-0000-0000250C0000}"/>
    <cellStyle name="Normal 3 7 6" xfId="1741" xr:uid="{00000000-0005-0000-0000-0000260C0000}"/>
    <cellStyle name="Normal 3 8" xfId="230" xr:uid="{00000000-0005-0000-0000-0000270C0000}"/>
    <cellStyle name="Normal 3 9" xfId="205" xr:uid="{00000000-0005-0000-0000-0000280C0000}"/>
    <cellStyle name="Normal 3 9 2" xfId="589" xr:uid="{00000000-0005-0000-0000-0000290C0000}"/>
    <cellStyle name="Normal 3 9 2 2" xfId="1501" xr:uid="{00000000-0005-0000-0000-00002A0C0000}"/>
    <cellStyle name="Normal 3 9 2 2 2" xfId="3666" xr:uid="{00000000-0005-0000-0000-00002B0C0000}"/>
    <cellStyle name="Normal 3 9 2 2 3" xfId="2591" xr:uid="{00000000-0005-0000-0000-00002C0C0000}"/>
    <cellStyle name="Normal 3 9 2 3" xfId="3123" xr:uid="{00000000-0005-0000-0000-00002D0C0000}"/>
    <cellStyle name="Normal 3 9 2 4" xfId="2048" xr:uid="{00000000-0005-0000-0000-00002E0C0000}"/>
    <cellStyle name="Normal 3 9 3" xfId="1371" xr:uid="{00000000-0005-0000-0000-00002F0C0000}"/>
    <cellStyle name="Normal 3 9 3 2" xfId="3516" xr:uid="{00000000-0005-0000-0000-0000300C0000}"/>
    <cellStyle name="Normal 3 9 3 3" xfId="2441" xr:uid="{00000000-0005-0000-0000-0000310C0000}"/>
    <cellStyle name="Normal 3 9 4" xfId="2977" xr:uid="{00000000-0005-0000-0000-0000320C0000}"/>
    <cellStyle name="Normal 3 9 5" xfId="1886" xr:uid="{00000000-0005-0000-0000-0000330C0000}"/>
    <cellStyle name="Normal 30" xfId="3852" xr:uid="{00000000-0005-0000-0000-0000340C0000}"/>
    <cellStyle name="Normal 4" xfId="51" xr:uid="{00000000-0005-0000-0000-0000350C0000}"/>
    <cellStyle name="Normal 4 2" xfId="52" xr:uid="{00000000-0005-0000-0000-0000360C0000}"/>
    <cellStyle name="Normal 4 2 2" xfId="292" xr:uid="{00000000-0005-0000-0000-0000370C0000}"/>
    <cellStyle name="Normal 4 2 3" xfId="267" xr:uid="{00000000-0005-0000-0000-0000380C0000}"/>
    <cellStyle name="Normal 4 3" xfId="189" xr:uid="{00000000-0005-0000-0000-0000390C0000}"/>
    <cellStyle name="Normal 4 3 2" xfId="314" xr:uid="{00000000-0005-0000-0000-00003A0C0000}"/>
    <cellStyle name="Normal 4 3 3" xfId="268" xr:uid="{00000000-0005-0000-0000-00003B0C0000}"/>
    <cellStyle name="Normal 4 4" xfId="175" xr:uid="{00000000-0005-0000-0000-00003C0C0000}"/>
    <cellStyle name="Normal 4 4 2" xfId="311" xr:uid="{00000000-0005-0000-0000-00003D0C0000}"/>
    <cellStyle name="Normal 4 4 2 2" xfId="625" xr:uid="{00000000-0005-0000-0000-00003E0C0000}"/>
    <cellStyle name="Normal 4 4 2 2 2" xfId="1535" xr:uid="{00000000-0005-0000-0000-00003F0C0000}"/>
    <cellStyle name="Normal 4 4 2 2 2 2" xfId="3702" xr:uid="{00000000-0005-0000-0000-0000400C0000}"/>
    <cellStyle name="Normal 4 4 2 2 2 3" xfId="2627" xr:uid="{00000000-0005-0000-0000-0000410C0000}"/>
    <cellStyle name="Normal 4 4 2 2 3" xfId="3159" xr:uid="{00000000-0005-0000-0000-0000420C0000}"/>
    <cellStyle name="Normal 4 4 2 2 4" xfId="2084" xr:uid="{00000000-0005-0000-0000-0000430C0000}"/>
    <cellStyle name="Normal 4 4 2 3" xfId="1405" xr:uid="{00000000-0005-0000-0000-0000440C0000}"/>
    <cellStyle name="Normal 4 4 2 3 2" xfId="3552" xr:uid="{00000000-0005-0000-0000-0000450C0000}"/>
    <cellStyle name="Normal 4 4 2 3 3" xfId="2477" xr:uid="{00000000-0005-0000-0000-0000460C0000}"/>
    <cellStyle name="Normal 4 4 2 4" xfId="3013" xr:uid="{00000000-0005-0000-0000-0000470C0000}"/>
    <cellStyle name="Normal 4 4 2 5" xfId="1922" xr:uid="{00000000-0005-0000-0000-0000480C0000}"/>
    <cellStyle name="Normal 4 4 3" xfId="269" xr:uid="{00000000-0005-0000-0000-0000490C0000}"/>
    <cellStyle name="Normal 4 4 4" xfId="570" xr:uid="{00000000-0005-0000-0000-00004A0C0000}"/>
    <cellStyle name="Normal 4 4 4 2" xfId="1483" xr:uid="{00000000-0005-0000-0000-00004B0C0000}"/>
    <cellStyle name="Normal 4 4 4 2 2" xfId="3647" xr:uid="{00000000-0005-0000-0000-00004C0C0000}"/>
    <cellStyle name="Normal 4 4 4 2 3" xfId="2572" xr:uid="{00000000-0005-0000-0000-00004D0C0000}"/>
    <cellStyle name="Normal 4 4 4 3" xfId="3120" xr:uid="{00000000-0005-0000-0000-00004E0C0000}"/>
    <cellStyle name="Normal 4 4 4 4" xfId="2029" xr:uid="{00000000-0005-0000-0000-00004F0C0000}"/>
    <cellStyle name="Normal 4 4 5" xfId="1353" xr:uid="{00000000-0005-0000-0000-0000500C0000}"/>
    <cellStyle name="Normal 4 4 5 2" xfId="3497" xr:uid="{00000000-0005-0000-0000-0000510C0000}"/>
    <cellStyle name="Normal 4 4 5 3" xfId="2422" xr:uid="{00000000-0005-0000-0000-0000520C0000}"/>
    <cellStyle name="Normal 4 4 6" xfId="2958" xr:uid="{00000000-0005-0000-0000-0000530C0000}"/>
    <cellStyle name="Normal 4 4 7" xfId="1867" xr:uid="{00000000-0005-0000-0000-0000540C0000}"/>
    <cellStyle name="Normal 4 5" xfId="270" xr:uid="{00000000-0005-0000-0000-0000550C0000}"/>
    <cellStyle name="Normal 4 6" xfId="266" xr:uid="{00000000-0005-0000-0000-0000560C0000}"/>
    <cellStyle name="Normal 4 7" xfId="235" xr:uid="{00000000-0005-0000-0000-0000570C0000}"/>
    <cellStyle name="Normal 4 8" xfId="722" xr:uid="{00000000-0005-0000-0000-0000580C0000}"/>
    <cellStyle name="Normal 41 3 2" xfId="3855" xr:uid="{00000000-0005-0000-0000-0000590C0000}"/>
    <cellStyle name="Normal 41 3 2 181" xfId="3856" xr:uid="{00000000-0005-0000-0000-00005A0C0000}"/>
    <cellStyle name="Normal 41 3 2 61" xfId="3884" xr:uid="{00000000-0005-0000-0000-00005B0C0000}"/>
    <cellStyle name="Normal 5" xfId="53" xr:uid="{00000000-0005-0000-0000-00005C0C0000}"/>
    <cellStyle name="Normal 5 10" xfId="1209" xr:uid="{00000000-0005-0000-0000-00005D0C0000}"/>
    <cellStyle name="Normal 5 10 2" xfId="3337" xr:uid="{00000000-0005-0000-0000-00005E0C0000}"/>
    <cellStyle name="Normal 5 10 3" xfId="2262" xr:uid="{00000000-0005-0000-0000-00005F0C0000}"/>
    <cellStyle name="Normal 5 11" xfId="1681" xr:uid="{00000000-0005-0000-0000-0000600C0000}"/>
    <cellStyle name="Normal 5 11 2" xfId="2798" xr:uid="{00000000-0005-0000-0000-0000610C0000}"/>
    <cellStyle name="Normal 5 12" xfId="1707" xr:uid="{00000000-0005-0000-0000-0000620C0000}"/>
    <cellStyle name="Normal 5 2" xfId="54" xr:uid="{00000000-0005-0000-0000-0000630C0000}"/>
    <cellStyle name="Normal 5 2 10" xfId="1708" xr:uid="{00000000-0005-0000-0000-0000640C0000}"/>
    <cellStyle name="Normal 5 2 2" xfId="55" xr:uid="{00000000-0005-0000-0000-0000650C0000}"/>
    <cellStyle name="Normal 5 2 2 2" xfId="102" xr:uid="{00000000-0005-0000-0000-0000660C0000}"/>
    <cellStyle name="Normal 5 2 2 2 2" xfId="418" xr:uid="{00000000-0005-0000-0000-0000670C0000}"/>
    <cellStyle name="Normal 5 2 2 2 2 2" xfId="696" xr:uid="{00000000-0005-0000-0000-0000680C0000}"/>
    <cellStyle name="Normal 5 2 2 2 2 2 2" xfId="1599" xr:uid="{00000000-0005-0000-0000-0000690C0000}"/>
    <cellStyle name="Normal 5 2 2 2 2 2 2 2" xfId="3786" xr:uid="{00000000-0005-0000-0000-00006A0C0000}"/>
    <cellStyle name="Normal 5 2 2 2 2 2 2 3" xfId="2711" xr:uid="{00000000-0005-0000-0000-00006B0C0000}"/>
    <cellStyle name="Normal 5 2 2 2 2 2 3" xfId="3243" xr:uid="{00000000-0005-0000-0000-00006C0C0000}"/>
    <cellStyle name="Normal 5 2 2 2 2 2 4" xfId="2168" xr:uid="{00000000-0005-0000-0000-00006D0C0000}"/>
    <cellStyle name="Normal 5 2 2 2 2 3" xfId="1330" xr:uid="{00000000-0005-0000-0000-00006E0C0000}"/>
    <cellStyle name="Normal 5 2 2 2 2 3 2" xfId="3473" xr:uid="{00000000-0005-0000-0000-00006F0C0000}"/>
    <cellStyle name="Normal 5 2 2 2 2 3 3" xfId="2398" xr:uid="{00000000-0005-0000-0000-0000700C0000}"/>
    <cellStyle name="Normal 5 2 2 2 2 4" xfId="2934" xr:uid="{00000000-0005-0000-0000-0000710C0000}"/>
    <cellStyle name="Normal 5 2 2 2 2 5" xfId="1843" xr:uid="{00000000-0005-0000-0000-0000720C0000}"/>
    <cellStyle name="Normal 5 2 2 2 3" xfId="546" xr:uid="{00000000-0005-0000-0000-0000730C0000}"/>
    <cellStyle name="Normal 5 2 2 2 3 2" xfId="1460" xr:uid="{00000000-0005-0000-0000-0000740C0000}"/>
    <cellStyle name="Normal 5 2 2 2 3 2 2" xfId="3623" xr:uid="{00000000-0005-0000-0000-0000750C0000}"/>
    <cellStyle name="Normal 5 2 2 2 3 2 3" xfId="2548" xr:uid="{00000000-0005-0000-0000-0000760C0000}"/>
    <cellStyle name="Normal 5 2 2 2 3 3" xfId="3096" xr:uid="{00000000-0005-0000-0000-0000770C0000}"/>
    <cellStyle name="Normal 5 2 2 2 3 4" xfId="2005" xr:uid="{00000000-0005-0000-0000-0000780C0000}"/>
    <cellStyle name="Normal 5 2 2 2 4" xfId="1253" xr:uid="{00000000-0005-0000-0000-0000790C0000}"/>
    <cellStyle name="Normal 5 2 2 2 4 2" xfId="3381" xr:uid="{00000000-0005-0000-0000-00007A0C0000}"/>
    <cellStyle name="Normal 5 2 2 2 4 3" xfId="2306" xr:uid="{00000000-0005-0000-0000-00007B0C0000}"/>
    <cellStyle name="Normal 5 2 2 2 5" xfId="2842" xr:uid="{00000000-0005-0000-0000-00007C0C0000}"/>
    <cellStyle name="Normal 5 2 2 2 6" xfId="1751" xr:uid="{00000000-0005-0000-0000-00007D0C0000}"/>
    <cellStyle name="Normal 5 2 2 3" xfId="295" xr:uid="{00000000-0005-0000-0000-00007E0C0000}"/>
    <cellStyle name="Normal 5 2 2 3 2" xfId="613" xr:uid="{00000000-0005-0000-0000-00007F0C0000}"/>
    <cellStyle name="Normal 5 2 2 3 2 2" xfId="1523" xr:uid="{00000000-0005-0000-0000-0000800C0000}"/>
    <cellStyle name="Normal 5 2 2 3 2 2 2" xfId="3690" xr:uid="{00000000-0005-0000-0000-0000810C0000}"/>
    <cellStyle name="Normal 5 2 2 3 2 2 3" xfId="2615" xr:uid="{00000000-0005-0000-0000-0000820C0000}"/>
    <cellStyle name="Normal 5 2 2 3 2 3" xfId="3147" xr:uid="{00000000-0005-0000-0000-0000830C0000}"/>
    <cellStyle name="Normal 5 2 2 3 2 4" xfId="2072" xr:uid="{00000000-0005-0000-0000-0000840C0000}"/>
    <cellStyle name="Normal 5 2 2 3 3" xfId="1393" xr:uid="{00000000-0005-0000-0000-0000850C0000}"/>
    <cellStyle name="Normal 5 2 2 3 3 2" xfId="3540" xr:uid="{00000000-0005-0000-0000-0000860C0000}"/>
    <cellStyle name="Normal 5 2 2 3 3 3" xfId="2465" xr:uid="{00000000-0005-0000-0000-0000870C0000}"/>
    <cellStyle name="Normal 5 2 2 3 4" xfId="3001" xr:uid="{00000000-0005-0000-0000-0000880C0000}"/>
    <cellStyle name="Normal 5 2 2 3 5" xfId="1910" xr:uid="{00000000-0005-0000-0000-0000890C0000}"/>
    <cellStyle name="Normal 5 2 2 4" xfId="272" xr:uid="{00000000-0005-0000-0000-00008A0C0000}"/>
    <cellStyle name="Normal 5 2 2 5" xfId="384" xr:uid="{00000000-0005-0000-0000-00008B0C0000}"/>
    <cellStyle name="Normal 5 2 2 5 2" xfId="662" xr:uid="{00000000-0005-0000-0000-00008C0C0000}"/>
    <cellStyle name="Normal 5 2 2 5 2 2" xfId="1565" xr:uid="{00000000-0005-0000-0000-00008D0C0000}"/>
    <cellStyle name="Normal 5 2 2 5 2 2 2" xfId="3752" xr:uid="{00000000-0005-0000-0000-00008E0C0000}"/>
    <cellStyle name="Normal 5 2 2 5 2 2 3" xfId="2677" xr:uid="{00000000-0005-0000-0000-00008F0C0000}"/>
    <cellStyle name="Normal 5 2 2 5 2 3" xfId="3209" xr:uid="{00000000-0005-0000-0000-0000900C0000}"/>
    <cellStyle name="Normal 5 2 2 5 2 4" xfId="2134" xr:uid="{00000000-0005-0000-0000-0000910C0000}"/>
    <cellStyle name="Normal 5 2 2 5 3" xfId="1296" xr:uid="{00000000-0005-0000-0000-0000920C0000}"/>
    <cellStyle name="Normal 5 2 2 5 3 2" xfId="3431" xr:uid="{00000000-0005-0000-0000-0000930C0000}"/>
    <cellStyle name="Normal 5 2 2 5 3 3" xfId="2356" xr:uid="{00000000-0005-0000-0000-0000940C0000}"/>
    <cellStyle name="Normal 5 2 2 5 4" xfId="2892" xr:uid="{00000000-0005-0000-0000-0000950C0000}"/>
    <cellStyle name="Normal 5 2 2 5 5" xfId="1801" xr:uid="{00000000-0005-0000-0000-0000960C0000}"/>
    <cellStyle name="Normal 5 2 2 6" xfId="504" xr:uid="{00000000-0005-0000-0000-0000970C0000}"/>
    <cellStyle name="Normal 5 2 2 6 2" xfId="1426" xr:uid="{00000000-0005-0000-0000-0000980C0000}"/>
    <cellStyle name="Normal 5 2 2 6 2 2" xfId="3581" xr:uid="{00000000-0005-0000-0000-0000990C0000}"/>
    <cellStyle name="Normal 5 2 2 6 2 3" xfId="2506" xr:uid="{00000000-0005-0000-0000-00009A0C0000}"/>
    <cellStyle name="Normal 5 2 2 6 3" xfId="3054" xr:uid="{00000000-0005-0000-0000-00009B0C0000}"/>
    <cellStyle name="Normal 5 2 2 6 4" xfId="1963" xr:uid="{00000000-0005-0000-0000-00009C0C0000}"/>
    <cellStyle name="Normal 5 2 2 7" xfId="1211" xr:uid="{00000000-0005-0000-0000-00009D0C0000}"/>
    <cellStyle name="Normal 5 2 2 7 2" xfId="3339" xr:uid="{00000000-0005-0000-0000-00009E0C0000}"/>
    <cellStyle name="Normal 5 2 2 7 3" xfId="2264" xr:uid="{00000000-0005-0000-0000-00009F0C0000}"/>
    <cellStyle name="Normal 5 2 2 8" xfId="2800" xr:uid="{00000000-0005-0000-0000-0000A00C0000}"/>
    <cellStyle name="Normal 5 2 2 9" xfId="1709" xr:uid="{00000000-0005-0000-0000-0000A10C0000}"/>
    <cellStyle name="Normal 5 2 3" xfId="101" xr:uid="{00000000-0005-0000-0000-0000A20C0000}"/>
    <cellStyle name="Normal 5 2 3 2" xfId="417" xr:uid="{00000000-0005-0000-0000-0000A30C0000}"/>
    <cellStyle name="Normal 5 2 3 2 2" xfId="695" xr:uid="{00000000-0005-0000-0000-0000A40C0000}"/>
    <cellStyle name="Normal 5 2 3 2 2 2" xfId="1598" xr:uid="{00000000-0005-0000-0000-0000A50C0000}"/>
    <cellStyle name="Normal 5 2 3 2 2 2 2" xfId="3785" xr:uid="{00000000-0005-0000-0000-0000A60C0000}"/>
    <cellStyle name="Normal 5 2 3 2 2 2 3" xfId="2710" xr:uid="{00000000-0005-0000-0000-0000A70C0000}"/>
    <cellStyle name="Normal 5 2 3 2 2 3" xfId="3242" xr:uid="{00000000-0005-0000-0000-0000A80C0000}"/>
    <cellStyle name="Normal 5 2 3 2 2 4" xfId="2167" xr:uid="{00000000-0005-0000-0000-0000A90C0000}"/>
    <cellStyle name="Normal 5 2 3 2 3" xfId="1329" xr:uid="{00000000-0005-0000-0000-0000AA0C0000}"/>
    <cellStyle name="Normal 5 2 3 2 3 2" xfId="3472" xr:uid="{00000000-0005-0000-0000-0000AB0C0000}"/>
    <cellStyle name="Normal 5 2 3 2 3 3" xfId="2397" xr:uid="{00000000-0005-0000-0000-0000AC0C0000}"/>
    <cellStyle name="Normal 5 2 3 2 4" xfId="2933" xr:uid="{00000000-0005-0000-0000-0000AD0C0000}"/>
    <cellStyle name="Normal 5 2 3 2 5" xfId="1842" xr:uid="{00000000-0005-0000-0000-0000AE0C0000}"/>
    <cellStyle name="Normal 5 2 3 3" xfId="545" xr:uid="{00000000-0005-0000-0000-0000AF0C0000}"/>
    <cellStyle name="Normal 5 2 3 3 2" xfId="1459" xr:uid="{00000000-0005-0000-0000-0000B00C0000}"/>
    <cellStyle name="Normal 5 2 3 3 2 2" xfId="3622" xr:uid="{00000000-0005-0000-0000-0000B10C0000}"/>
    <cellStyle name="Normal 5 2 3 3 2 3" xfId="2547" xr:uid="{00000000-0005-0000-0000-0000B20C0000}"/>
    <cellStyle name="Normal 5 2 3 3 3" xfId="3095" xr:uid="{00000000-0005-0000-0000-0000B30C0000}"/>
    <cellStyle name="Normal 5 2 3 3 4" xfId="2004" xr:uid="{00000000-0005-0000-0000-0000B40C0000}"/>
    <cellStyle name="Normal 5 2 3 4" xfId="1252" xr:uid="{00000000-0005-0000-0000-0000B50C0000}"/>
    <cellStyle name="Normal 5 2 3 4 2" xfId="3380" xr:uid="{00000000-0005-0000-0000-0000B60C0000}"/>
    <cellStyle name="Normal 5 2 3 4 3" xfId="2305" xr:uid="{00000000-0005-0000-0000-0000B70C0000}"/>
    <cellStyle name="Normal 5 2 3 5" xfId="2841" xr:uid="{00000000-0005-0000-0000-0000B80C0000}"/>
    <cellStyle name="Normal 5 2 3 6" xfId="1750" xr:uid="{00000000-0005-0000-0000-0000B90C0000}"/>
    <cellStyle name="Normal 5 2 4" xfId="294" xr:uid="{00000000-0005-0000-0000-0000BA0C0000}"/>
    <cellStyle name="Normal 5 2 4 2" xfId="612" xr:uid="{00000000-0005-0000-0000-0000BB0C0000}"/>
    <cellStyle name="Normal 5 2 4 2 2" xfId="1522" xr:uid="{00000000-0005-0000-0000-0000BC0C0000}"/>
    <cellStyle name="Normal 5 2 4 2 2 2" xfId="3689" xr:uid="{00000000-0005-0000-0000-0000BD0C0000}"/>
    <cellStyle name="Normal 5 2 4 2 2 3" xfId="2614" xr:uid="{00000000-0005-0000-0000-0000BE0C0000}"/>
    <cellStyle name="Normal 5 2 4 2 3" xfId="3146" xr:uid="{00000000-0005-0000-0000-0000BF0C0000}"/>
    <cellStyle name="Normal 5 2 4 2 4" xfId="2071" xr:uid="{00000000-0005-0000-0000-0000C00C0000}"/>
    <cellStyle name="Normal 5 2 4 3" xfId="1392" xr:uid="{00000000-0005-0000-0000-0000C10C0000}"/>
    <cellStyle name="Normal 5 2 4 3 2" xfId="3539" xr:uid="{00000000-0005-0000-0000-0000C20C0000}"/>
    <cellStyle name="Normal 5 2 4 3 3" xfId="2464" xr:uid="{00000000-0005-0000-0000-0000C30C0000}"/>
    <cellStyle name="Normal 5 2 4 4" xfId="3000" xr:uid="{00000000-0005-0000-0000-0000C40C0000}"/>
    <cellStyle name="Normal 5 2 4 5" xfId="1909" xr:uid="{00000000-0005-0000-0000-0000C50C0000}"/>
    <cellStyle name="Normal 5 2 5" xfId="271" xr:uid="{00000000-0005-0000-0000-0000C60C0000}"/>
    <cellStyle name="Normal 5 2 6" xfId="383" xr:uid="{00000000-0005-0000-0000-0000C70C0000}"/>
    <cellStyle name="Normal 5 2 6 2" xfId="661" xr:uid="{00000000-0005-0000-0000-0000C80C0000}"/>
    <cellStyle name="Normal 5 2 6 2 2" xfId="1564" xr:uid="{00000000-0005-0000-0000-0000C90C0000}"/>
    <cellStyle name="Normal 5 2 6 2 2 2" xfId="3751" xr:uid="{00000000-0005-0000-0000-0000CA0C0000}"/>
    <cellStyle name="Normal 5 2 6 2 2 3" xfId="2676" xr:uid="{00000000-0005-0000-0000-0000CB0C0000}"/>
    <cellStyle name="Normal 5 2 6 2 3" xfId="3208" xr:uid="{00000000-0005-0000-0000-0000CC0C0000}"/>
    <cellStyle name="Normal 5 2 6 2 4" xfId="2133" xr:uid="{00000000-0005-0000-0000-0000CD0C0000}"/>
    <cellStyle name="Normal 5 2 6 3" xfId="1295" xr:uid="{00000000-0005-0000-0000-0000CE0C0000}"/>
    <cellStyle name="Normal 5 2 6 3 2" xfId="3430" xr:uid="{00000000-0005-0000-0000-0000CF0C0000}"/>
    <cellStyle name="Normal 5 2 6 3 3" xfId="2355" xr:uid="{00000000-0005-0000-0000-0000D00C0000}"/>
    <cellStyle name="Normal 5 2 6 4" xfId="2891" xr:uid="{00000000-0005-0000-0000-0000D10C0000}"/>
    <cellStyle name="Normal 5 2 6 5" xfId="1800" xr:uid="{00000000-0005-0000-0000-0000D20C0000}"/>
    <cellStyle name="Normal 5 2 7" xfId="503" xr:uid="{00000000-0005-0000-0000-0000D30C0000}"/>
    <cellStyle name="Normal 5 2 7 2" xfId="1425" xr:uid="{00000000-0005-0000-0000-0000D40C0000}"/>
    <cellStyle name="Normal 5 2 7 2 2" xfId="3580" xr:uid="{00000000-0005-0000-0000-0000D50C0000}"/>
    <cellStyle name="Normal 5 2 7 2 3" xfId="2505" xr:uid="{00000000-0005-0000-0000-0000D60C0000}"/>
    <cellStyle name="Normal 5 2 7 3" xfId="3053" xr:uid="{00000000-0005-0000-0000-0000D70C0000}"/>
    <cellStyle name="Normal 5 2 7 4" xfId="1962" xr:uid="{00000000-0005-0000-0000-0000D80C0000}"/>
    <cellStyle name="Normal 5 2 8" xfId="1210" xr:uid="{00000000-0005-0000-0000-0000D90C0000}"/>
    <cellStyle name="Normal 5 2 8 2" xfId="3338" xr:uid="{00000000-0005-0000-0000-0000DA0C0000}"/>
    <cellStyle name="Normal 5 2 8 3" xfId="2263" xr:uid="{00000000-0005-0000-0000-0000DB0C0000}"/>
    <cellStyle name="Normal 5 2 9" xfId="2799" xr:uid="{00000000-0005-0000-0000-0000DC0C0000}"/>
    <cellStyle name="Normal 5 3" xfId="56" xr:uid="{00000000-0005-0000-0000-0000DD0C0000}"/>
    <cellStyle name="Normal 5 3 10" xfId="1710" xr:uid="{00000000-0005-0000-0000-0000DE0C0000}"/>
    <cellStyle name="Normal 5 3 2" xfId="57" xr:uid="{00000000-0005-0000-0000-0000DF0C0000}"/>
    <cellStyle name="Normal 5 3 2 2" xfId="104" xr:uid="{00000000-0005-0000-0000-0000E00C0000}"/>
    <cellStyle name="Normal 5 3 2 2 2" xfId="420" xr:uid="{00000000-0005-0000-0000-0000E10C0000}"/>
    <cellStyle name="Normal 5 3 2 2 2 2" xfId="698" xr:uid="{00000000-0005-0000-0000-0000E20C0000}"/>
    <cellStyle name="Normal 5 3 2 2 2 2 2" xfId="1601" xr:uid="{00000000-0005-0000-0000-0000E30C0000}"/>
    <cellStyle name="Normal 5 3 2 2 2 2 2 2" xfId="3788" xr:uid="{00000000-0005-0000-0000-0000E40C0000}"/>
    <cellStyle name="Normal 5 3 2 2 2 2 2 3" xfId="2713" xr:uid="{00000000-0005-0000-0000-0000E50C0000}"/>
    <cellStyle name="Normal 5 3 2 2 2 2 3" xfId="3245" xr:uid="{00000000-0005-0000-0000-0000E60C0000}"/>
    <cellStyle name="Normal 5 3 2 2 2 2 4" xfId="2170" xr:uid="{00000000-0005-0000-0000-0000E70C0000}"/>
    <cellStyle name="Normal 5 3 2 2 2 3" xfId="1332" xr:uid="{00000000-0005-0000-0000-0000E80C0000}"/>
    <cellStyle name="Normal 5 3 2 2 2 3 2" xfId="3475" xr:uid="{00000000-0005-0000-0000-0000E90C0000}"/>
    <cellStyle name="Normal 5 3 2 2 2 3 3" xfId="2400" xr:uid="{00000000-0005-0000-0000-0000EA0C0000}"/>
    <cellStyle name="Normal 5 3 2 2 2 4" xfId="2936" xr:uid="{00000000-0005-0000-0000-0000EB0C0000}"/>
    <cellStyle name="Normal 5 3 2 2 2 5" xfId="1845" xr:uid="{00000000-0005-0000-0000-0000EC0C0000}"/>
    <cellStyle name="Normal 5 3 2 2 3" xfId="548" xr:uid="{00000000-0005-0000-0000-0000ED0C0000}"/>
    <cellStyle name="Normal 5 3 2 2 3 2" xfId="1462" xr:uid="{00000000-0005-0000-0000-0000EE0C0000}"/>
    <cellStyle name="Normal 5 3 2 2 3 2 2" xfId="3625" xr:uid="{00000000-0005-0000-0000-0000EF0C0000}"/>
    <cellStyle name="Normal 5 3 2 2 3 2 3" xfId="2550" xr:uid="{00000000-0005-0000-0000-0000F00C0000}"/>
    <cellStyle name="Normal 5 3 2 2 3 3" xfId="3098" xr:uid="{00000000-0005-0000-0000-0000F10C0000}"/>
    <cellStyle name="Normal 5 3 2 2 3 4" xfId="2007" xr:uid="{00000000-0005-0000-0000-0000F20C0000}"/>
    <cellStyle name="Normal 5 3 2 2 4" xfId="1255" xr:uid="{00000000-0005-0000-0000-0000F30C0000}"/>
    <cellStyle name="Normal 5 3 2 2 4 2" xfId="3383" xr:uid="{00000000-0005-0000-0000-0000F40C0000}"/>
    <cellStyle name="Normal 5 3 2 2 4 3" xfId="2308" xr:uid="{00000000-0005-0000-0000-0000F50C0000}"/>
    <cellStyle name="Normal 5 3 2 2 5" xfId="2844" xr:uid="{00000000-0005-0000-0000-0000F60C0000}"/>
    <cellStyle name="Normal 5 3 2 2 6" xfId="1753" xr:uid="{00000000-0005-0000-0000-0000F70C0000}"/>
    <cellStyle name="Normal 5 3 2 3" xfId="386" xr:uid="{00000000-0005-0000-0000-0000F80C0000}"/>
    <cellStyle name="Normal 5 3 2 3 2" xfId="664" xr:uid="{00000000-0005-0000-0000-0000F90C0000}"/>
    <cellStyle name="Normal 5 3 2 3 2 2" xfId="1567" xr:uid="{00000000-0005-0000-0000-0000FA0C0000}"/>
    <cellStyle name="Normal 5 3 2 3 2 2 2" xfId="3754" xr:uid="{00000000-0005-0000-0000-0000FB0C0000}"/>
    <cellStyle name="Normal 5 3 2 3 2 2 3" xfId="2679" xr:uid="{00000000-0005-0000-0000-0000FC0C0000}"/>
    <cellStyle name="Normal 5 3 2 3 2 3" xfId="3211" xr:uid="{00000000-0005-0000-0000-0000FD0C0000}"/>
    <cellStyle name="Normal 5 3 2 3 2 4" xfId="2136" xr:uid="{00000000-0005-0000-0000-0000FE0C0000}"/>
    <cellStyle name="Normal 5 3 2 3 3" xfId="1298" xr:uid="{00000000-0005-0000-0000-0000FF0C0000}"/>
    <cellStyle name="Normal 5 3 2 3 3 2" xfId="3433" xr:uid="{00000000-0005-0000-0000-0000000D0000}"/>
    <cellStyle name="Normal 5 3 2 3 3 3" xfId="2358" xr:uid="{00000000-0005-0000-0000-0000010D0000}"/>
    <cellStyle name="Normal 5 3 2 3 4" xfId="2894" xr:uid="{00000000-0005-0000-0000-0000020D0000}"/>
    <cellStyle name="Normal 5 3 2 3 5" xfId="1803" xr:uid="{00000000-0005-0000-0000-0000030D0000}"/>
    <cellStyle name="Normal 5 3 2 4" xfId="506" xr:uid="{00000000-0005-0000-0000-0000040D0000}"/>
    <cellStyle name="Normal 5 3 2 4 2" xfId="1428" xr:uid="{00000000-0005-0000-0000-0000050D0000}"/>
    <cellStyle name="Normal 5 3 2 4 2 2" xfId="3583" xr:uid="{00000000-0005-0000-0000-0000060D0000}"/>
    <cellStyle name="Normal 5 3 2 4 2 3" xfId="2508" xr:uid="{00000000-0005-0000-0000-0000070D0000}"/>
    <cellStyle name="Normal 5 3 2 4 3" xfId="3056" xr:uid="{00000000-0005-0000-0000-0000080D0000}"/>
    <cellStyle name="Normal 5 3 2 4 4" xfId="1965" xr:uid="{00000000-0005-0000-0000-0000090D0000}"/>
    <cellStyle name="Normal 5 3 2 5" xfId="1213" xr:uid="{00000000-0005-0000-0000-00000A0D0000}"/>
    <cellStyle name="Normal 5 3 2 5 2" xfId="3341" xr:uid="{00000000-0005-0000-0000-00000B0D0000}"/>
    <cellStyle name="Normal 5 3 2 5 3" xfId="2266" xr:uid="{00000000-0005-0000-0000-00000C0D0000}"/>
    <cellStyle name="Normal 5 3 2 6" xfId="2802" xr:uid="{00000000-0005-0000-0000-00000D0D0000}"/>
    <cellStyle name="Normal 5 3 2 7" xfId="1711" xr:uid="{00000000-0005-0000-0000-00000E0D0000}"/>
    <cellStyle name="Normal 5 3 3" xfId="103" xr:uid="{00000000-0005-0000-0000-00000F0D0000}"/>
    <cellStyle name="Normal 5 3 3 2" xfId="419" xr:uid="{00000000-0005-0000-0000-0000100D0000}"/>
    <cellStyle name="Normal 5 3 3 2 2" xfId="697" xr:uid="{00000000-0005-0000-0000-0000110D0000}"/>
    <cellStyle name="Normal 5 3 3 2 2 2" xfId="1600" xr:uid="{00000000-0005-0000-0000-0000120D0000}"/>
    <cellStyle name="Normal 5 3 3 2 2 2 2" xfId="3787" xr:uid="{00000000-0005-0000-0000-0000130D0000}"/>
    <cellStyle name="Normal 5 3 3 2 2 2 3" xfId="2712" xr:uid="{00000000-0005-0000-0000-0000140D0000}"/>
    <cellStyle name="Normal 5 3 3 2 2 3" xfId="3244" xr:uid="{00000000-0005-0000-0000-0000150D0000}"/>
    <cellStyle name="Normal 5 3 3 2 2 4" xfId="2169" xr:uid="{00000000-0005-0000-0000-0000160D0000}"/>
    <cellStyle name="Normal 5 3 3 2 3" xfId="1331" xr:uid="{00000000-0005-0000-0000-0000170D0000}"/>
    <cellStyle name="Normal 5 3 3 2 3 2" xfId="3474" xr:uid="{00000000-0005-0000-0000-0000180D0000}"/>
    <cellStyle name="Normal 5 3 3 2 3 3" xfId="2399" xr:uid="{00000000-0005-0000-0000-0000190D0000}"/>
    <cellStyle name="Normal 5 3 3 2 4" xfId="2935" xr:uid="{00000000-0005-0000-0000-00001A0D0000}"/>
    <cellStyle name="Normal 5 3 3 2 5" xfId="1844" xr:uid="{00000000-0005-0000-0000-00001B0D0000}"/>
    <cellStyle name="Normal 5 3 3 3" xfId="547" xr:uid="{00000000-0005-0000-0000-00001C0D0000}"/>
    <cellStyle name="Normal 5 3 3 3 2" xfId="1461" xr:uid="{00000000-0005-0000-0000-00001D0D0000}"/>
    <cellStyle name="Normal 5 3 3 3 2 2" xfId="3624" xr:uid="{00000000-0005-0000-0000-00001E0D0000}"/>
    <cellStyle name="Normal 5 3 3 3 2 3" xfId="2549" xr:uid="{00000000-0005-0000-0000-00001F0D0000}"/>
    <cellStyle name="Normal 5 3 3 3 3" xfId="3097" xr:uid="{00000000-0005-0000-0000-0000200D0000}"/>
    <cellStyle name="Normal 5 3 3 3 4" xfId="2006" xr:uid="{00000000-0005-0000-0000-0000210D0000}"/>
    <cellStyle name="Normal 5 3 3 4" xfId="1254" xr:uid="{00000000-0005-0000-0000-0000220D0000}"/>
    <cellStyle name="Normal 5 3 3 4 2" xfId="3382" xr:uid="{00000000-0005-0000-0000-0000230D0000}"/>
    <cellStyle name="Normal 5 3 3 4 3" xfId="2307" xr:uid="{00000000-0005-0000-0000-0000240D0000}"/>
    <cellStyle name="Normal 5 3 3 5" xfId="2843" xr:uid="{00000000-0005-0000-0000-0000250D0000}"/>
    <cellStyle name="Normal 5 3 3 6" xfId="1752" xr:uid="{00000000-0005-0000-0000-0000260D0000}"/>
    <cellStyle name="Normal 5 3 4" xfId="296" xr:uid="{00000000-0005-0000-0000-0000270D0000}"/>
    <cellStyle name="Normal 5 3 4 2" xfId="614" xr:uid="{00000000-0005-0000-0000-0000280D0000}"/>
    <cellStyle name="Normal 5 3 4 2 2" xfId="1524" xr:uid="{00000000-0005-0000-0000-0000290D0000}"/>
    <cellStyle name="Normal 5 3 4 2 2 2" xfId="3691" xr:uid="{00000000-0005-0000-0000-00002A0D0000}"/>
    <cellStyle name="Normal 5 3 4 2 2 3" xfId="2616" xr:uid="{00000000-0005-0000-0000-00002B0D0000}"/>
    <cellStyle name="Normal 5 3 4 2 3" xfId="3148" xr:uid="{00000000-0005-0000-0000-00002C0D0000}"/>
    <cellStyle name="Normal 5 3 4 2 4" xfId="2073" xr:uid="{00000000-0005-0000-0000-00002D0D0000}"/>
    <cellStyle name="Normal 5 3 4 3" xfId="1394" xr:uid="{00000000-0005-0000-0000-00002E0D0000}"/>
    <cellStyle name="Normal 5 3 4 3 2" xfId="3541" xr:uid="{00000000-0005-0000-0000-00002F0D0000}"/>
    <cellStyle name="Normal 5 3 4 3 3" xfId="2466" xr:uid="{00000000-0005-0000-0000-0000300D0000}"/>
    <cellStyle name="Normal 5 3 4 4" xfId="3002" xr:uid="{00000000-0005-0000-0000-0000310D0000}"/>
    <cellStyle name="Normal 5 3 4 5" xfId="1911" xr:uid="{00000000-0005-0000-0000-0000320D0000}"/>
    <cellStyle name="Normal 5 3 5" xfId="273" xr:uid="{00000000-0005-0000-0000-0000330D0000}"/>
    <cellStyle name="Normal 5 3 5 2" xfId="605" xr:uid="{00000000-0005-0000-0000-0000340D0000}"/>
    <cellStyle name="Normal 5 3 5 2 2" xfId="1517" xr:uid="{00000000-0005-0000-0000-0000350D0000}"/>
    <cellStyle name="Normal 5 3 5 2 2 2" xfId="3682" xr:uid="{00000000-0005-0000-0000-0000360D0000}"/>
    <cellStyle name="Normal 5 3 5 2 2 3" xfId="2607" xr:uid="{00000000-0005-0000-0000-0000370D0000}"/>
    <cellStyle name="Normal 5 3 5 2 3" xfId="3139" xr:uid="{00000000-0005-0000-0000-0000380D0000}"/>
    <cellStyle name="Normal 5 3 5 2 4" xfId="2064" xr:uid="{00000000-0005-0000-0000-0000390D0000}"/>
    <cellStyle name="Normal 5 3 5 3" xfId="1387" xr:uid="{00000000-0005-0000-0000-00003A0D0000}"/>
    <cellStyle name="Normal 5 3 5 3 2" xfId="3532" xr:uid="{00000000-0005-0000-0000-00003B0D0000}"/>
    <cellStyle name="Normal 5 3 5 3 3" xfId="2457" xr:uid="{00000000-0005-0000-0000-00003C0D0000}"/>
    <cellStyle name="Normal 5 3 5 4" xfId="2993" xr:uid="{00000000-0005-0000-0000-00003D0D0000}"/>
    <cellStyle name="Normal 5 3 5 5" xfId="1902" xr:uid="{00000000-0005-0000-0000-00003E0D0000}"/>
    <cellStyle name="Normal 5 3 6" xfId="385" xr:uid="{00000000-0005-0000-0000-00003F0D0000}"/>
    <cellStyle name="Normal 5 3 6 2" xfId="663" xr:uid="{00000000-0005-0000-0000-0000400D0000}"/>
    <cellStyle name="Normal 5 3 6 2 2" xfId="1566" xr:uid="{00000000-0005-0000-0000-0000410D0000}"/>
    <cellStyle name="Normal 5 3 6 2 2 2" xfId="3753" xr:uid="{00000000-0005-0000-0000-0000420D0000}"/>
    <cellStyle name="Normal 5 3 6 2 2 3" xfId="2678" xr:uid="{00000000-0005-0000-0000-0000430D0000}"/>
    <cellStyle name="Normal 5 3 6 2 3" xfId="3210" xr:uid="{00000000-0005-0000-0000-0000440D0000}"/>
    <cellStyle name="Normal 5 3 6 2 4" xfId="2135" xr:uid="{00000000-0005-0000-0000-0000450D0000}"/>
    <cellStyle name="Normal 5 3 6 3" xfId="1297" xr:uid="{00000000-0005-0000-0000-0000460D0000}"/>
    <cellStyle name="Normal 5 3 6 3 2" xfId="3432" xr:uid="{00000000-0005-0000-0000-0000470D0000}"/>
    <cellStyle name="Normal 5 3 6 3 3" xfId="2357" xr:uid="{00000000-0005-0000-0000-0000480D0000}"/>
    <cellStyle name="Normal 5 3 6 4" xfId="2893" xr:uid="{00000000-0005-0000-0000-0000490D0000}"/>
    <cellStyle name="Normal 5 3 6 5" xfId="1802" xr:uid="{00000000-0005-0000-0000-00004A0D0000}"/>
    <cellStyle name="Normal 5 3 7" xfId="505" xr:uid="{00000000-0005-0000-0000-00004B0D0000}"/>
    <cellStyle name="Normal 5 3 7 2" xfId="1427" xr:uid="{00000000-0005-0000-0000-00004C0D0000}"/>
    <cellStyle name="Normal 5 3 7 2 2" xfId="3582" xr:uid="{00000000-0005-0000-0000-00004D0D0000}"/>
    <cellStyle name="Normal 5 3 7 2 3" xfId="2507" xr:uid="{00000000-0005-0000-0000-00004E0D0000}"/>
    <cellStyle name="Normal 5 3 7 3" xfId="3055" xr:uid="{00000000-0005-0000-0000-00004F0D0000}"/>
    <cellStyle name="Normal 5 3 7 4" xfId="1964" xr:uid="{00000000-0005-0000-0000-0000500D0000}"/>
    <cellStyle name="Normal 5 3 8" xfId="1212" xr:uid="{00000000-0005-0000-0000-0000510D0000}"/>
    <cellStyle name="Normal 5 3 8 2" xfId="3340" xr:uid="{00000000-0005-0000-0000-0000520D0000}"/>
    <cellStyle name="Normal 5 3 8 3" xfId="2265" xr:uid="{00000000-0005-0000-0000-0000530D0000}"/>
    <cellStyle name="Normal 5 3 9" xfId="1682" xr:uid="{00000000-0005-0000-0000-0000540D0000}"/>
    <cellStyle name="Normal 5 3 9 2" xfId="2801" xr:uid="{00000000-0005-0000-0000-0000550D0000}"/>
    <cellStyle name="Normal 5 4" xfId="58" xr:uid="{00000000-0005-0000-0000-0000560D0000}"/>
    <cellStyle name="Normal 5 4 2" xfId="105" xr:uid="{00000000-0005-0000-0000-0000570D0000}"/>
    <cellStyle name="Normal 5 4 2 2" xfId="304" xr:uid="{00000000-0005-0000-0000-0000580D0000}"/>
    <cellStyle name="Normal 5 4 2 2 2" xfId="622" xr:uid="{00000000-0005-0000-0000-0000590D0000}"/>
    <cellStyle name="Normal 5 4 2 2 2 2" xfId="1532" xr:uid="{00000000-0005-0000-0000-00005A0D0000}"/>
    <cellStyle name="Normal 5 4 2 2 2 2 2" xfId="3699" xr:uid="{00000000-0005-0000-0000-00005B0D0000}"/>
    <cellStyle name="Normal 5 4 2 2 2 2 3" xfId="2624" xr:uid="{00000000-0005-0000-0000-00005C0D0000}"/>
    <cellStyle name="Normal 5 4 2 2 2 3" xfId="3156" xr:uid="{00000000-0005-0000-0000-00005D0D0000}"/>
    <cellStyle name="Normal 5 4 2 2 2 4" xfId="2081" xr:uid="{00000000-0005-0000-0000-00005E0D0000}"/>
    <cellStyle name="Normal 5 4 2 2 3" xfId="1402" xr:uid="{00000000-0005-0000-0000-00005F0D0000}"/>
    <cellStyle name="Normal 5 4 2 2 3 2" xfId="3549" xr:uid="{00000000-0005-0000-0000-0000600D0000}"/>
    <cellStyle name="Normal 5 4 2 2 3 3" xfId="2474" xr:uid="{00000000-0005-0000-0000-0000610D0000}"/>
    <cellStyle name="Normal 5 4 2 2 4" xfId="3010" xr:uid="{00000000-0005-0000-0000-0000620D0000}"/>
    <cellStyle name="Normal 5 4 2 2 5" xfId="1919" xr:uid="{00000000-0005-0000-0000-0000630D0000}"/>
    <cellStyle name="Normal 5 4 2 3" xfId="275" xr:uid="{00000000-0005-0000-0000-0000640D0000}"/>
    <cellStyle name="Normal 5 4 2 4" xfId="421" xr:uid="{00000000-0005-0000-0000-0000650D0000}"/>
    <cellStyle name="Normal 5 4 2 4 2" xfId="699" xr:uid="{00000000-0005-0000-0000-0000660D0000}"/>
    <cellStyle name="Normal 5 4 2 4 2 2" xfId="1602" xr:uid="{00000000-0005-0000-0000-0000670D0000}"/>
    <cellStyle name="Normal 5 4 2 4 2 2 2" xfId="3789" xr:uid="{00000000-0005-0000-0000-0000680D0000}"/>
    <cellStyle name="Normal 5 4 2 4 2 2 3" xfId="2714" xr:uid="{00000000-0005-0000-0000-0000690D0000}"/>
    <cellStyle name="Normal 5 4 2 4 2 3" xfId="3246" xr:uid="{00000000-0005-0000-0000-00006A0D0000}"/>
    <cellStyle name="Normal 5 4 2 4 2 4" xfId="2171" xr:uid="{00000000-0005-0000-0000-00006B0D0000}"/>
    <cellStyle name="Normal 5 4 2 4 3" xfId="1333" xr:uid="{00000000-0005-0000-0000-00006C0D0000}"/>
    <cellStyle name="Normal 5 4 2 4 3 2" xfId="3476" xr:uid="{00000000-0005-0000-0000-00006D0D0000}"/>
    <cellStyle name="Normal 5 4 2 4 3 3" xfId="2401" xr:uid="{00000000-0005-0000-0000-00006E0D0000}"/>
    <cellStyle name="Normal 5 4 2 4 4" xfId="2937" xr:uid="{00000000-0005-0000-0000-00006F0D0000}"/>
    <cellStyle name="Normal 5 4 2 4 5" xfId="1846" xr:uid="{00000000-0005-0000-0000-0000700D0000}"/>
    <cellStyle name="Normal 5 4 2 5" xfId="549" xr:uid="{00000000-0005-0000-0000-0000710D0000}"/>
    <cellStyle name="Normal 5 4 2 5 2" xfId="1463" xr:uid="{00000000-0005-0000-0000-0000720D0000}"/>
    <cellStyle name="Normal 5 4 2 5 2 2" xfId="3626" xr:uid="{00000000-0005-0000-0000-0000730D0000}"/>
    <cellStyle name="Normal 5 4 2 5 2 3" xfId="2551" xr:uid="{00000000-0005-0000-0000-0000740D0000}"/>
    <cellStyle name="Normal 5 4 2 5 3" xfId="3099" xr:uid="{00000000-0005-0000-0000-0000750D0000}"/>
    <cellStyle name="Normal 5 4 2 5 4" xfId="2008" xr:uid="{00000000-0005-0000-0000-0000760D0000}"/>
    <cellStyle name="Normal 5 4 2 6" xfId="1256" xr:uid="{00000000-0005-0000-0000-0000770D0000}"/>
    <cellStyle name="Normal 5 4 2 6 2" xfId="3384" xr:uid="{00000000-0005-0000-0000-0000780D0000}"/>
    <cellStyle name="Normal 5 4 2 6 3" xfId="2309" xr:uid="{00000000-0005-0000-0000-0000790D0000}"/>
    <cellStyle name="Normal 5 4 2 7" xfId="2845" xr:uid="{00000000-0005-0000-0000-00007A0D0000}"/>
    <cellStyle name="Normal 5 4 2 8" xfId="1754" xr:uid="{00000000-0005-0000-0000-00007B0D0000}"/>
    <cellStyle name="Normal 5 4 3" xfId="297" xr:uid="{00000000-0005-0000-0000-00007C0D0000}"/>
    <cellStyle name="Normal 5 4 3 2" xfId="615" xr:uid="{00000000-0005-0000-0000-00007D0D0000}"/>
    <cellStyle name="Normal 5 4 3 2 2" xfId="1525" xr:uid="{00000000-0005-0000-0000-00007E0D0000}"/>
    <cellStyle name="Normal 5 4 3 2 2 2" xfId="3692" xr:uid="{00000000-0005-0000-0000-00007F0D0000}"/>
    <cellStyle name="Normal 5 4 3 2 2 3" xfId="2617" xr:uid="{00000000-0005-0000-0000-0000800D0000}"/>
    <cellStyle name="Normal 5 4 3 2 3" xfId="3149" xr:uid="{00000000-0005-0000-0000-0000810D0000}"/>
    <cellStyle name="Normal 5 4 3 2 4" xfId="2074" xr:uid="{00000000-0005-0000-0000-0000820D0000}"/>
    <cellStyle name="Normal 5 4 3 3" xfId="1395" xr:uid="{00000000-0005-0000-0000-0000830D0000}"/>
    <cellStyle name="Normal 5 4 3 3 2" xfId="3542" xr:uid="{00000000-0005-0000-0000-0000840D0000}"/>
    <cellStyle name="Normal 5 4 3 3 3" xfId="2467" xr:uid="{00000000-0005-0000-0000-0000850D0000}"/>
    <cellStyle name="Normal 5 4 3 4" xfId="3003" xr:uid="{00000000-0005-0000-0000-0000860D0000}"/>
    <cellStyle name="Normal 5 4 3 5" xfId="1912" xr:uid="{00000000-0005-0000-0000-0000870D0000}"/>
    <cellStyle name="Normal 5 4 4" xfId="274" xr:uid="{00000000-0005-0000-0000-0000880D0000}"/>
    <cellStyle name="Normal 5 4 5" xfId="387" xr:uid="{00000000-0005-0000-0000-0000890D0000}"/>
    <cellStyle name="Normal 5 4 5 2" xfId="665" xr:uid="{00000000-0005-0000-0000-00008A0D0000}"/>
    <cellStyle name="Normal 5 4 5 2 2" xfId="1568" xr:uid="{00000000-0005-0000-0000-00008B0D0000}"/>
    <cellStyle name="Normal 5 4 5 2 2 2" xfId="3755" xr:uid="{00000000-0005-0000-0000-00008C0D0000}"/>
    <cellStyle name="Normal 5 4 5 2 2 3" xfId="2680" xr:uid="{00000000-0005-0000-0000-00008D0D0000}"/>
    <cellStyle name="Normal 5 4 5 2 3" xfId="3212" xr:uid="{00000000-0005-0000-0000-00008E0D0000}"/>
    <cellStyle name="Normal 5 4 5 2 4" xfId="2137" xr:uid="{00000000-0005-0000-0000-00008F0D0000}"/>
    <cellStyle name="Normal 5 4 5 3" xfId="1299" xr:uid="{00000000-0005-0000-0000-0000900D0000}"/>
    <cellStyle name="Normal 5 4 5 3 2" xfId="3434" xr:uid="{00000000-0005-0000-0000-0000910D0000}"/>
    <cellStyle name="Normal 5 4 5 3 3" xfId="2359" xr:uid="{00000000-0005-0000-0000-0000920D0000}"/>
    <cellStyle name="Normal 5 4 5 4" xfId="2895" xr:uid="{00000000-0005-0000-0000-0000930D0000}"/>
    <cellStyle name="Normal 5 4 5 5" xfId="1804" xr:uid="{00000000-0005-0000-0000-0000940D0000}"/>
    <cellStyle name="Normal 5 4 6" xfId="507" xr:uid="{00000000-0005-0000-0000-0000950D0000}"/>
    <cellStyle name="Normal 5 4 6 2" xfId="1429" xr:uid="{00000000-0005-0000-0000-0000960D0000}"/>
    <cellStyle name="Normal 5 4 6 2 2" xfId="3584" xr:uid="{00000000-0005-0000-0000-0000970D0000}"/>
    <cellStyle name="Normal 5 4 6 2 3" xfId="2509" xr:uid="{00000000-0005-0000-0000-0000980D0000}"/>
    <cellStyle name="Normal 5 4 6 3" xfId="3057" xr:uid="{00000000-0005-0000-0000-0000990D0000}"/>
    <cellStyle name="Normal 5 4 6 4" xfId="1966" xr:uid="{00000000-0005-0000-0000-00009A0D0000}"/>
    <cellStyle name="Normal 5 4 7" xfId="1214" xr:uid="{00000000-0005-0000-0000-00009B0D0000}"/>
    <cellStyle name="Normal 5 4 7 2" xfId="3342" xr:uid="{00000000-0005-0000-0000-00009C0D0000}"/>
    <cellStyle name="Normal 5 4 7 3" xfId="2267" xr:uid="{00000000-0005-0000-0000-00009D0D0000}"/>
    <cellStyle name="Normal 5 4 8" xfId="2803" xr:uid="{00000000-0005-0000-0000-00009E0D0000}"/>
    <cellStyle name="Normal 5 4 9" xfId="1712" xr:uid="{00000000-0005-0000-0000-00009F0D0000}"/>
    <cellStyle name="Normal 5 5" xfId="100" xr:uid="{00000000-0005-0000-0000-0000A00D0000}"/>
    <cellStyle name="Normal 5 5 2" xfId="416" xr:uid="{00000000-0005-0000-0000-0000A10D0000}"/>
    <cellStyle name="Normal 5 5 2 2" xfId="694" xr:uid="{00000000-0005-0000-0000-0000A20D0000}"/>
    <cellStyle name="Normal 5 5 2 2 2" xfId="1597" xr:uid="{00000000-0005-0000-0000-0000A30D0000}"/>
    <cellStyle name="Normal 5 5 2 2 2 2" xfId="3784" xr:uid="{00000000-0005-0000-0000-0000A40D0000}"/>
    <cellStyle name="Normal 5 5 2 2 2 3" xfId="2709" xr:uid="{00000000-0005-0000-0000-0000A50D0000}"/>
    <cellStyle name="Normal 5 5 2 2 3" xfId="3241" xr:uid="{00000000-0005-0000-0000-0000A60D0000}"/>
    <cellStyle name="Normal 5 5 2 2 4" xfId="2166" xr:uid="{00000000-0005-0000-0000-0000A70D0000}"/>
    <cellStyle name="Normal 5 5 2 3" xfId="1328" xr:uid="{00000000-0005-0000-0000-0000A80D0000}"/>
    <cellStyle name="Normal 5 5 2 3 2" xfId="3471" xr:uid="{00000000-0005-0000-0000-0000A90D0000}"/>
    <cellStyle name="Normal 5 5 2 3 3" xfId="2396" xr:uid="{00000000-0005-0000-0000-0000AA0D0000}"/>
    <cellStyle name="Normal 5 5 2 4" xfId="2932" xr:uid="{00000000-0005-0000-0000-0000AB0D0000}"/>
    <cellStyle name="Normal 5 5 2 5" xfId="1841" xr:uid="{00000000-0005-0000-0000-0000AC0D0000}"/>
    <cellStyle name="Normal 5 5 3" xfId="544" xr:uid="{00000000-0005-0000-0000-0000AD0D0000}"/>
    <cellStyle name="Normal 5 5 3 2" xfId="1458" xr:uid="{00000000-0005-0000-0000-0000AE0D0000}"/>
    <cellStyle name="Normal 5 5 3 2 2" xfId="3621" xr:uid="{00000000-0005-0000-0000-0000AF0D0000}"/>
    <cellStyle name="Normal 5 5 3 2 3" xfId="2546" xr:uid="{00000000-0005-0000-0000-0000B00D0000}"/>
    <cellStyle name="Normal 5 5 3 3" xfId="3094" xr:uid="{00000000-0005-0000-0000-0000B10D0000}"/>
    <cellStyle name="Normal 5 5 3 4" xfId="2003" xr:uid="{00000000-0005-0000-0000-0000B20D0000}"/>
    <cellStyle name="Normal 5 5 4" xfId="1251" xr:uid="{00000000-0005-0000-0000-0000B30D0000}"/>
    <cellStyle name="Normal 5 5 4 2" xfId="3379" xr:uid="{00000000-0005-0000-0000-0000B40D0000}"/>
    <cellStyle name="Normal 5 5 4 3" xfId="2304" xr:uid="{00000000-0005-0000-0000-0000B50D0000}"/>
    <cellStyle name="Normal 5 5 5" xfId="2840" xr:uid="{00000000-0005-0000-0000-0000B60D0000}"/>
    <cellStyle name="Normal 5 5 6" xfId="1749" xr:uid="{00000000-0005-0000-0000-0000B70D0000}"/>
    <cellStyle name="Normal 5 6" xfId="293" xr:uid="{00000000-0005-0000-0000-0000B80D0000}"/>
    <cellStyle name="Normal 5 6 2" xfId="611" xr:uid="{00000000-0005-0000-0000-0000B90D0000}"/>
    <cellStyle name="Normal 5 6 2 2" xfId="1521" xr:uid="{00000000-0005-0000-0000-0000BA0D0000}"/>
    <cellStyle name="Normal 5 6 2 2 2" xfId="3688" xr:uid="{00000000-0005-0000-0000-0000BB0D0000}"/>
    <cellStyle name="Normal 5 6 2 2 3" xfId="2613" xr:uid="{00000000-0005-0000-0000-0000BC0D0000}"/>
    <cellStyle name="Normal 5 6 2 3" xfId="3145" xr:uid="{00000000-0005-0000-0000-0000BD0D0000}"/>
    <cellStyle name="Normal 5 6 2 4" xfId="2070" xr:uid="{00000000-0005-0000-0000-0000BE0D0000}"/>
    <cellStyle name="Normal 5 6 3" xfId="1391" xr:uid="{00000000-0005-0000-0000-0000BF0D0000}"/>
    <cellStyle name="Normal 5 6 3 2" xfId="3538" xr:uid="{00000000-0005-0000-0000-0000C00D0000}"/>
    <cellStyle name="Normal 5 6 3 3" xfId="2463" xr:uid="{00000000-0005-0000-0000-0000C10D0000}"/>
    <cellStyle name="Normal 5 6 4" xfId="2999" xr:uid="{00000000-0005-0000-0000-0000C20D0000}"/>
    <cellStyle name="Normal 5 6 5" xfId="1908" xr:uid="{00000000-0005-0000-0000-0000C30D0000}"/>
    <cellStyle name="Normal 5 7" xfId="217" xr:uid="{00000000-0005-0000-0000-0000C40D0000}"/>
    <cellStyle name="Normal 5 7 2" xfId="593" xr:uid="{00000000-0005-0000-0000-0000C50D0000}"/>
    <cellStyle name="Normal 5 7 2 2" xfId="1505" xr:uid="{00000000-0005-0000-0000-0000C60D0000}"/>
    <cellStyle name="Normal 5 7 2 2 2" xfId="3670" xr:uid="{00000000-0005-0000-0000-0000C70D0000}"/>
    <cellStyle name="Normal 5 7 2 2 3" xfId="2595" xr:uid="{00000000-0005-0000-0000-0000C80D0000}"/>
    <cellStyle name="Normal 5 7 2 3" xfId="3127" xr:uid="{00000000-0005-0000-0000-0000C90D0000}"/>
    <cellStyle name="Normal 5 7 2 4" xfId="2052" xr:uid="{00000000-0005-0000-0000-0000CA0D0000}"/>
    <cellStyle name="Normal 5 7 2 5" xfId="3885" xr:uid="{00000000-0005-0000-0000-0000CB0D0000}"/>
    <cellStyle name="Normal 5 7 3" xfId="1375" xr:uid="{00000000-0005-0000-0000-0000CC0D0000}"/>
    <cellStyle name="Normal 5 7 3 2" xfId="3520" xr:uid="{00000000-0005-0000-0000-0000CD0D0000}"/>
    <cellStyle name="Normal 5 7 3 3" xfId="2445" xr:uid="{00000000-0005-0000-0000-0000CE0D0000}"/>
    <cellStyle name="Normal 5 7 4" xfId="2981" xr:uid="{00000000-0005-0000-0000-0000CF0D0000}"/>
    <cellStyle name="Normal 5 7 5" xfId="1890" xr:uid="{00000000-0005-0000-0000-0000D00D0000}"/>
    <cellStyle name="Normal 5 8" xfId="382" xr:uid="{00000000-0005-0000-0000-0000D10D0000}"/>
    <cellStyle name="Normal 5 8 2" xfId="660" xr:uid="{00000000-0005-0000-0000-0000D20D0000}"/>
    <cellStyle name="Normal 5 8 2 2" xfId="1563" xr:uid="{00000000-0005-0000-0000-0000D30D0000}"/>
    <cellStyle name="Normal 5 8 2 2 2" xfId="3750" xr:uid="{00000000-0005-0000-0000-0000D40D0000}"/>
    <cellStyle name="Normal 5 8 2 2 3" xfId="2675" xr:uid="{00000000-0005-0000-0000-0000D50D0000}"/>
    <cellStyle name="Normal 5 8 2 3" xfId="3207" xr:uid="{00000000-0005-0000-0000-0000D60D0000}"/>
    <cellStyle name="Normal 5 8 2 4" xfId="2132" xr:uid="{00000000-0005-0000-0000-0000D70D0000}"/>
    <cellStyle name="Normal 5 8 3" xfId="1294" xr:uid="{00000000-0005-0000-0000-0000D80D0000}"/>
    <cellStyle name="Normal 5 8 3 2" xfId="3429" xr:uid="{00000000-0005-0000-0000-0000D90D0000}"/>
    <cellStyle name="Normal 5 8 3 3" xfId="2354" xr:uid="{00000000-0005-0000-0000-0000DA0D0000}"/>
    <cellStyle name="Normal 5 8 4" xfId="2890" xr:uid="{00000000-0005-0000-0000-0000DB0D0000}"/>
    <cellStyle name="Normal 5 8 5" xfId="1799" xr:uid="{00000000-0005-0000-0000-0000DC0D0000}"/>
    <cellStyle name="Normal 5 9" xfId="502" xr:uid="{00000000-0005-0000-0000-0000DD0D0000}"/>
    <cellStyle name="Normal 5 9 2" xfId="1424" xr:uid="{00000000-0005-0000-0000-0000DE0D0000}"/>
    <cellStyle name="Normal 5 9 2 2" xfId="3579" xr:uid="{00000000-0005-0000-0000-0000DF0D0000}"/>
    <cellStyle name="Normal 5 9 2 3" xfId="2504" xr:uid="{00000000-0005-0000-0000-0000E00D0000}"/>
    <cellStyle name="Normal 5 9 3" xfId="3052" xr:uid="{00000000-0005-0000-0000-0000E10D0000}"/>
    <cellStyle name="Normal 5 9 4" xfId="1961" xr:uid="{00000000-0005-0000-0000-0000E20D0000}"/>
    <cellStyle name="Normal 6" xfId="59" xr:uid="{00000000-0005-0000-0000-0000E30D0000}"/>
    <cellStyle name="Normal 6 10" xfId="231" xr:uid="{00000000-0005-0000-0000-0000E40D0000}"/>
    <cellStyle name="Normal 6 11" xfId="508" xr:uid="{00000000-0005-0000-0000-0000E50D0000}"/>
    <cellStyle name="Normal 6 11 2" xfId="1430" xr:uid="{00000000-0005-0000-0000-0000E60D0000}"/>
    <cellStyle name="Normal 6 11 2 2" xfId="3585" xr:uid="{00000000-0005-0000-0000-0000E70D0000}"/>
    <cellStyle name="Normal 6 11 2 3" xfId="2510" xr:uid="{00000000-0005-0000-0000-0000E80D0000}"/>
    <cellStyle name="Normal 6 11 3" xfId="3058" xr:uid="{00000000-0005-0000-0000-0000E90D0000}"/>
    <cellStyle name="Normal 6 11 4" xfId="1967" xr:uid="{00000000-0005-0000-0000-0000EA0D0000}"/>
    <cellStyle name="Normal 6 12" xfId="1215" xr:uid="{00000000-0005-0000-0000-0000EB0D0000}"/>
    <cellStyle name="Normal 6 12 2" xfId="3343" xr:uid="{00000000-0005-0000-0000-0000EC0D0000}"/>
    <cellStyle name="Normal 6 12 3" xfId="2268" xr:uid="{00000000-0005-0000-0000-0000ED0D0000}"/>
    <cellStyle name="Normal 6 13" xfId="2804" xr:uid="{00000000-0005-0000-0000-0000EE0D0000}"/>
    <cellStyle name="Normal 6 14" xfId="1713" xr:uid="{00000000-0005-0000-0000-0000EF0D0000}"/>
    <cellStyle name="Normal 6 2" xfId="60" xr:uid="{00000000-0005-0000-0000-0000F00D0000}"/>
    <cellStyle name="Normal 6 2 2" xfId="61" xr:uid="{00000000-0005-0000-0000-0000F10D0000}"/>
    <cellStyle name="Normal 6 2 2 2" xfId="108" xr:uid="{00000000-0005-0000-0000-0000F20D0000}"/>
    <cellStyle name="Normal 6 2 2 2 2" xfId="424" xr:uid="{00000000-0005-0000-0000-0000F30D0000}"/>
    <cellStyle name="Normal 6 2 2 2 2 2" xfId="702" xr:uid="{00000000-0005-0000-0000-0000F40D0000}"/>
    <cellStyle name="Normal 6 2 2 2 2 2 2" xfId="1605" xr:uid="{00000000-0005-0000-0000-0000F50D0000}"/>
    <cellStyle name="Normal 6 2 2 2 2 2 2 2" xfId="3792" xr:uid="{00000000-0005-0000-0000-0000F60D0000}"/>
    <cellStyle name="Normal 6 2 2 2 2 2 2 3" xfId="2717" xr:uid="{00000000-0005-0000-0000-0000F70D0000}"/>
    <cellStyle name="Normal 6 2 2 2 2 2 3" xfId="3249" xr:uid="{00000000-0005-0000-0000-0000F80D0000}"/>
    <cellStyle name="Normal 6 2 2 2 2 2 4" xfId="2174" xr:uid="{00000000-0005-0000-0000-0000F90D0000}"/>
    <cellStyle name="Normal 6 2 2 2 2 3" xfId="1336" xr:uid="{00000000-0005-0000-0000-0000FA0D0000}"/>
    <cellStyle name="Normal 6 2 2 2 2 3 2" xfId="3479" xr:uid="{00000000-0005-0000-0000-0000FB0D0000}"/>
    <cellStyle name="Normal 6 2 2 2 2 3 3" xfId="2404" xr:uid="{00000000-0005-0000-0000-0000FC0D0000}"/>
    <cellStyle name="Normal 6 2 2 2 2 4" xfId="2940" xr:uid="{00000000-0005-0000-0000-0000FD0D0000}"/>
    <cellStyle name="Normal 6 2 2 2 2 5" xfId="1849" xr:uid="{00000000-0005-0000-0000-0000FE0D0000}"/>
    <cellStyle name="Normal 6 2 2 2 3" xfId="552" xr:uid="{00000000-0005-0000-0000-0000FF0D0000}"/>
    <cellStyle name="Normal 6 2 2 2 3 2" xfId="1466" xr:uid="{00000000-0005-0000-0000-0000000E0000}"/>
    <cellStyle name="Normal 6 2 2 2 3 2 2" xfId="3629" xr:uid="{00000000-0005-0000-0000-0000010E0000}"/>
    <cellStyle name="Normal 6 2 2 2 3 2 3" xfId="2554" xr:uid="{00000000-0005-0000-0000-0000020E0000}"/>
    <cellStyle name="Normal 6 2 2 2 3 3" xfId="3102" xr:uid="{00000000-0005-0000-0000-0000030E0000}"/>
    <cellStyle name="Normal 6 2 2 2 3 4" xfId="2011" xr:uid="{00000000-0005-0000-0000-0000040E0000}"/>
    <cellStyle name="Normal 6 2 2 2 4" xfId="1259" xr:uid="{00000000-0005-0000-0000-0000050E0000}"/>
    <cellStyle name="Normal 6 2 2 2 4 2" xfId="3387" xr:uid="{00000000-0005-0000-0000-0000060E0000}"/>
    <cellStyle name="Normal 6 2 2 2 4 3" xfId="2312" xr:uid="{00000000-0005-0000-0000-0000070E0000}"/>
    <cellStyle name="Normal 6 2 2 2 5" xfId="2848" xr:uid="{00000000-0005-0000-0000-0000080E0000}"/>
    <cellStyle name="Normal 6 2 2 2 6" xfId="1757" xr:uid="{00000000-0005-0000-0000-0000090E0000}"/>
    <cellStyle name="Normal 6 2 2 3" xfId="390" xr:uid="{00000000-0005-0000-0000-00000A0E0000}"/>
    <cellStyle name="Normal 6 2 2 3 2" xfId="668" xr:uid="{00000000-0005-0000-0000-00000B0E0000}"/>
    <cellStyle name="Normal 6 2 2 3 2 2" xfId="1571" xr:uid="{00000000-0005-0000-0000-00000C0E0000}"/>
    <cellStyle name="Normal 6 2 2 3 2 2 2" xfId="3758" xr:uid="{00000000-0005-0000-0000-00000D0E0000}"/>
    <cellStyle name="Normal 6 2 2 3 2 2 3" xfId="2683" xr:uid="{00000000-0005-0000-0000-00000E0E0000}"/>
    <cellStyle name="Normal 6 2 2 3 2 3" xfId="3215" xr:uid="{00000000-0005-0000-0000-00000F0E0000}"/>
    <cellStyle name="Normal 6 2 2 3 2 4" xfId="2140" xr:uid="{00000000-0005-0000-0000-0000100E0000}"/>
    <cellStyle name="Normal 6 2 2 3 3" xfId="1302" xr:uid="{00000000-0005-0000-0000-0000110E0000}"/>
    <cellStyle name="Normal 6 2 2 3 3 2" xfId="3437" xr:uid="{00000000-0005-0000-0000-0000120E0000}"/>
    <cellStyle name="Normal 6 2 2 3 3 3" xfId="2362" xr:uid="{00000000-0005-0000-0000-0000130E0000}"/>
    <cellStyle name="Normal 6 2 2 3 4" xfId="2898" xr:uid="{00000000-0005-0000-0000-0000140E0000}"/>
    <cellStyle name="Normal 6 2 2 3 5" xfId="1807" xr:uid="{00000000-0005-0000-0000-0000150E0000}"/>
    <cellStyle name="Normal 6 2 2 4" xfId="510" xr:uid="{00000000-0005-0000-0000-0000160E0000}"/>
    <cellStyle name="Normal 6 2 2 4 2" xfId="1432" xr:uid="{00000000-0005-0000-0000-0000170E0000}"/>
    <cellStyle name="Normal 6 2 2 4 2 2" xfId="3587" xr:uid="{00000000-0005-0000-0000-0000180E0000}"/>
    <cellStyle name="Normal 6 2 2 4 2 3" xfId="2512" xr:uid="{00000000-0005-0000-0000-0000190E0000}"/>
    <cellStyle name="Normal 6 2 2 4 3" xfId="3060" xr:uid="{00000000-0005-0000-0000-00001A0E0000}"/>
    <cellStyle name="Normal 6 2 2 4 4" xfId="1969" xr:uid="{00000000-0005-0000-0000-00001B0E0000}"/>
    <cellStyle name="Normal 6 2 2 5" xfId="1217" xr:uid="{00000000-0005-0000-0000-00001C0E0000}"/>
    <cellStyle name="Normal 6 2 2 5 2" xfId="3345" xr:uid="{00000000-0005-0000-0000-00001D0E0000}"/>
    <cellStyle name="Normal 6 2 2 5 3" xfId="2270" xr:uid="{00000000-0005-0000-0000-00001E0E0000}"/>
    <cellStyle name="Normal 6 2 2 6" xfId="2806" xr:uid="{00000000-0005-0000-0000-00001F0E0000}"/>
    <cellStyle name="Normal 6 2 2 7" xfId="1715" xr:uid="{00000000-0005-0000-0000-0000200E0000}"/>
    <cellStyle name="Normal 6 2 3" xfId="107" xr:uid="{00000000-0005-0000-0000-0000210E0000}"/>
    <cellStyle name="Normal 6 2 3 2" xfId="423" xr:uid="{00000000-0005-0000-0000-0000220E0000}"/>
    <cellStyle name="Normal 6 2 3 2 2" xfId="701" xr:uid="{00000000-0005-0000-0000-0000230E0000}"/>
    <cellStyle name="Normal 6 2 3 2 2 2" xfId="1604" xr:uid="{00000000-0005-0000-0000-0000240E0000}"/>
    <cellStyle name="Normal 6 2 3 2 2 2 2" xfId="3791" xr:uid="{00000000-0005-0000-0000-0000250E0000}"/>
    <cellStyle name="Normal 6 2 3 2 2 2 3" xfId="2716" xr:uid="{00000000-0005-0000-0000-0000260E0000}"/>
    <cellStyle name="Normal 6 2 3 2 2 3" xfId="3248" xr:uid="{00000000-0005-0000-0000-0000270E0000}"/>
    <cellStyle name="Normal 6 2 3 2 2 4" xfId="2173" xr:uid="{00000000-0005-0000-0000-0000280E0000}"/>
    <cellStyle name="Normal 6 2 3 2 3" xfId="1335" xr:uid="{00000000-0005-0000-0000-0000290E0000}"/>
    <cellStyle name="Normal 6 2 3 2 3 2" xfId="3478" xr:uid="{00000000-0005-0000-0000-00002A0E0000}"/>
    <cellStyle name="Normal 6 2 3 2 3 3" xfId="2403" xr:uid="{00000000-0005-0000-0000-00002B0E0000}"/>
    <cellStyle name="Normal 6 2 3 2 4" xfId="2939" xr:uid="{00000000-0005-0000-0000-00002C0E0000}"/>
    <cellStyle name="Normal 6 2 3 2 5" xfId="1848" xr:uid="{00000000-0005-0000-0000-00002D0E0000}"/>
    <cellStyle name="Normal 6 2 3 3" xfId="551" xr:uid="{00000000-0005-0000-0000-00002E0E0000}"/>
    <cellStyle name="Normal 6 2 3 3 2" xfId="1465" xr:uid="{00000000-0005-0000-0000-00002F0E0000}"/>
    <cellStyle name="Normal 6 2 3 3 2 2" xfId="3628" xr:uid="{00000000-0005-0000-0000-0000300E0000}"/>
    <cellStyle name="Normal 6 2 3 3 2 3" xfId="2553" xr:uid="{00000000-0005-0000-0000-0000310E0000}"/>
    <cellStyle name="Normal 6 2 3 3 3" xfId="3101" xr:uid="{00000000-0005-0000-0000-0000320E0000}"/>
    <cellStyle name="Normal 6 2 3 3 4" xfId="2010" xr:uid="{00000000-0005-0000-0000-0000330E0000}"/>
    <cellStyle name="Normal 6 2 3 4" xfId="1258" xr:uid="{00000000-0005-0000-0000-0000340E0000}"/>
    <cellStyle name="Normal 6 2 3 4 2" xfId="3386" xr:uid="{00000000-0005-0000-0000-0000350E0000}"/>
    <cellStyle name="Normal 6 2 3 4 3" xfId="2311" xr:uid="{00000000-0005-0000-0000-0000360E0000}"/>
    <cellStyle name="Normal 6 2 3 5" xfId="2847" xr:uid="{00000000-0005-0000-0000-0000370E0000}"/>
    <cellStyle name="Normal 6 2 3 6" xfId="1756" xr:uid="{00000000-0005-0000-0000-0000380E0000}"/>
    <cellStyle name="Normal 6 2 4" xfId="389" xr:uid="{00000000-0005-0000-0000-0000390E0000}"/>
    <cellStyle name="Normal 6 2 4 2" xfId="667" xr:uid="{00000000-0005-0000-0000-00003A0E0000}"/>
    <cellStyle name="Normal 6 2 4 2 2" xfId="1570" xr:uid="{00000000-0005-0000-0000-00003B0E0000}"/>
    <cellStyle name="Normal 6 2 4 2 2 2" xfId="3757" xr:uid="{00000000-0005-0000-0000-00003C0E0000}"/>
    <cellStyle name="Normal 6 2 4 2 2 3" xfId="2682" xr:uid="{00000000-0005-0000-0000-00003D0E0000}"/>
    <cellStyle name="Normal 6 2 4 2 3" xfId="3214" xr:uid="{00000000-0005-0000-0000-00003E0E0000}"/>
    <cellStyle name="Normal 6 2 4 2 4" xfId="2139" xr:uid="{00000000-0005-0000-0000-00003F0E0000}"/>
    <cellStyle name="Normal 6 2 4 3" xfId="1301" xr:uid="{00000000-0005-0000-0000-0000400E0000}"/>
    <cellStyle name="Normal 6 2 4 3 2" xfId="3436" xr:uid="{00000000-0005-0000-0000-0000410E0000}"/>
    <cellStyle name="Normal 6 2 4 3 3" xfId="2361" xr:uid="{00000000-0005-0000-0000-0000420E0000}"/>
    <cellStyle name="Normal 6 2 4 4" xfId="2897" xr:uid="{00000000-0005-0000-0000-0000430E0000}"/>
    <cellStyle name="Normal 6 2 4 5" xfId="1806" xr:uid="{00000000-0005-0000-0000-0000440E0000}"/>
    <cellStyle name="Normal 6 2 5" xfId="509" xr:uid="{00000000-0005-0000-0000-0000450E0000}"/>
    <cellStyle name="Normal 6 2 5 2" xfId="1431" xr:uid="{00000000-0005-0000-0000-0000460E0000}"/>
    <cellStyle name="Normal 6 2 5 2 2" xfId="3586" xr:uid="{00000000-0005-0000-0000-0000470E0000}"/>
    <cellStyle name="Normal 6 2 5 2 3" xfId="2511" xr:uid="{00000000-0005-0000-0000-0000480E0000}"/>
    <cellStyle name="Normal 6 2 5 3" xfId="3059" xr:uid="{00000000-0005-0000-0000-0000490E0000}"/>
    <cellStyle name="Normal 6 2 5 4" xfId="1968" xr:uid="{00000000-0005-0000-0000-00004A0E0000}"/>
    <cellStyle name="Normal 6 2 6" xfId="1216" xr:uid="{00000000-0005-0000-0000-00004B0E0000}"/>
    <cellStyle name="Normal 6 2 6 2" xfId="3344" xr:uid="{00000000-0005-0000-0000-00004C0E0000}"/>
    <cellStyle name="Normal 6 2 6 3" xfId="2269" xr:uid="{00000000-0005-0000-0000-00004D0E0000}"/>
    <cellStyle name="Normal 6 2 7" xfId="2805" xr:uid="{00000000-0005-0000-0000-00004E0E0000}"/>
    <cellStyle name="Normal 6 2 8" xfId="1714" xr:uid="{00000000-0005-0000-0000-00004F0E0000}"/>
    <cellStyle name="Normal 6 3" xfId="62" xr:uid="{00000000-0005-0000-0000-0000500E0000}"/>
    <cellStyle name="Normal 6 4" xfId="63" xr:uid="{00000000-0005-0000-0000-0000510E0000}"/>
    <cellStyle name="Normal 6 4 2" xfId="64" xr:uid="{00000000-0005-0000-0000-0000520E0000}"/>
    <cellStyle name="Normal 6 4 2 2" xfId="110" xr:uid="{00000000-0005-0000-0000-0000530E0000}"/>
    <cellStyle name="Normal 6 4 2 2 2" xfId="426" xr:uid="{00000000-0005-0000-0000-0000540E0000}"/>
    <cellStyle name="Normal 6 4 2 2 2 2" xfId="704" xr:uid="{00000000-0005-0000-0000-0000550E0000}"/>
    <cellStyle name="Normal 6 4 2 2 2 2 2" xfId="1607" xr:uid="{00000000-0005-0000-0000-0000560E0000}"/>
    <cellStyle name="Normal 6 4 2 2 2 2 2 2" xfId="3794" xr:uid="{00000000-0005-0000-0000-0000570E0000}"/>
    <cellStyle name="Normal 6 4 2 2 2 2 2 3" xfId="2719" xr:uid="{00000000-0005-0000-0000-0000580E0000}"/>
    <cellStyle name="Normal 6 4 2 2 2 2 3" xfId="3251" xr:uid="{00000000-0005-0000-0000-0000590E0000}"/>
    <cellStyle name="Normal 6 4 2 2 2 2 4" xfId="2176" xr:uid="{00000000-0005-0000-0000-00005A0E0000}"/>
    <cellStyle name="Normal 6 4 2 2 2 3" xfId="1338" xr:uid="{00000000-0005-0000-0000-00005B0E0000}"/>
    <cellStyle name="Normal 6 4 2 2 2 3 2" xfId="3481" xr:uid="{00000000-0005-0000-0000-00005C0E0000}"/>
    <cellStyle name="Normal 6 4 2 2 2 3 3" xfId="2406" xr:uid="{00000000-0005-0000-0000-00005D0E0000}"/>
    <cellStyle name="Normal 6 4 2 2 2 4" xfId="2942" xr:uid="{00000000-0005-0000-0000-00005E0E0000}"/>
    <cellStyle name="Normal 6 4 2 2 2 5" xfId="1851" xr:uid="{00000000-0005-0000-0000-00005F0E0000}"/>
    <cellStyle name="Normal 6 4 2 2 3" xfId="554" xr:uid="{00000000-0005-0000-0000-0000600E0000}"/>
    <cellStyle name="Normal 6 4 2 2 3 2" xfId="1468" xr:uid="{00000000-0005-0000-0000-0000610E0000}"/>
    <cellStyle name="Normal 6 4 2 2 3 2 2" xfId="3631" xr:uid="{00000000-0005-0000-0000-0000620E0000}"/>
    <cellStyle name="Normal 6 4 2 2 3 2 3" xfId="2556" xr:uid="{00000000-0005-0000-0000-0000630E0000}"/>
    <cellStyle name="Normal 6 4 2 2 3 3" xfId="3104" xr:uid="{00000000-0005-0000-0000-0000640E0000}"/>
    <cellStyle name="Normal 6 4 2 2 3 4" xfId="2013" xr:uid="{00000000-0005-0000-0000-0000650E0000}"/>
    <cellStyle name="Normal 6 4 2 2 4" xfId="1261" xr:uid="{00000000-0005-0000-0000-0000660E0000}"/>
    <cellStyle name="Normal 6 4 2 2 4 2" xfId="3389" xr:uid="{00000000-0005-0000-0000-0000670E0000}"/>
    <cellStyle name="Normal 6 4 2 2 4 3" xfId="2314" xr:uid="{00000000-0005-0000-0000-0000680E0000}"/>
    <cellStyle name="Normal 6 4 2 2 5" xfId="2850" xr:uid="{00000000-0005-0000-0000-0000690E0000}"/>
    <cellStyle name="Normal 6 4 2 2 6" xfId="1759" xr:uid="{00000000-0005-0000-0000-00006A0E0000}"/>
    <cellStyle name="Normal 6 4 2 3" xfId="392" xr:uid="{00000000-0005-0000-0000-00006B0E0000}"/>
    <cellStyle name="Normal 6 4 2 3 2" xfId="670" xr:uid="{00000000-0005-0000-0000-00006C0E0000}"/>
    <cellStyle name="Normal 6 4 2 3 2 2" xfId="1573" xr:uid="{00000000-0005-0000-0000-00006D0E0000}"/>
    <cellStyle name="Normal 6 4 2 3 2 2 2" xfId="3760" xr:uid="{00000000-0005-0000-0000-00006E0E0000}"/>
    <cellStyle name="Normal 6 4 2 3 2 2 3" xfId="2685" xr:uid="{00000000-0005-0000-0000-00006F0E0000}"/>
    <cellStyle name="Normal 6 4 2 3 2 3" xfId="3217" xr:uid="{00000000-0005-0000-0000-0000700E0000}"/>
    <cellStyle name="Normal 6 4 2 3 2 4" xfId="2142" xr:uid="{00000000-0005-0000-0000-0000710E0000}"/>
    <cellStyle name="Normal 6 4 2 3 3" xfId="1304" xr:uid="{00000000-0005-0000-0000-0000720E0000}"/>
    <cellStyle name="Normal 6 4 2 3 3 2" xfId="3439" xr:uid="{00000000-0005-0000-0000-0000730E0000}"/>
    <cellStyle name="Normal 6 4 2 3 3 3" xfId="2364" xr:uid="{00000000-0005-0000-0000-0000740E0000}"/>
    <cellStyle name="Normal 6 4 2 3 4" xfId="2900" xr:uid="{00000000-0005-0000-0000-0000750E0000}"/>
    <cellStyle name="Normal 6 4 2 3 5" xfId="1809" xr:uid="{00000000-0005-0000-0000-0000760E0000}"/>
    <cellStyle name="Normal 6 4 2 4" xfId="512" xr:uid="{00000000-0005-0000-0000-0000770E0000}"/>
    <cellStyle name="Normal 6 4 2 4 2" xfId="1434" xr:uid="{00000000-0005-0000-0000-0000780E0000}"/>
    <cellStyle name="Normal 6 4 2 4 2 2" xfId="3589" xr:uid="{00000000-0005-0000-0000-0000790E0000}"/>
    <cellStyle name="Normal 6 4 2 4 2 3" xfId="2514" xr:uid="{00000000-0005-0000-0000-00007A0E0000}"/>
    <cellStyle name="Normal 6 4 2 4 3" xfId="3062" xr:uid="{00000000-0005-0000-0000-00007B0E0000}"/>
    <cellStyle name="Normal 6 4 2 4 4" xfId="1971" xr:uid="{00000000-0005-0000-0000-00007C0E0000}"/>
    <cellStyle name="Normal 6 4 2 5" xfId="1219" xr:uid="{00000000-0005-0000-0000-00007D0E0000}"/>
    <cellStyle name="Normal 6 4 2 5 2" xfId="3347" xr:uid="{00000000-0005-0000-0000-00007E0E0000}"/>
    <cellStyle name="Normal 6 4 2 5 3" xfId="2272" xr:uid="{00000000-0005-0000-0000-00007F0E0000}"/>
    <cellStyle name="Normal 6 4 2 6" xfId="2808" xr:uid="{00000000-0005-0000-0000-0000800E0000}"/>
    <cellStyle name="Normal 6 4 2 7" xfId="1717" xr:uid="{00000000-0005-0000-0000-0000810E0000}"/>
    <cellStyle name="Normal 6 4 3" xfId="109" xr:uid="{00000000-0005-0000-0000-0000820E0000}"/>
    <cellStyle name="Normal 6 4 3 2" xfId="425" xr:uid="{00000000-0005-0000-0000-0000830E0000}"/>
    <cellStyle name="Normal 6 4 3 2 2" xfId="703" xr:uid="{00000000-0005-0000-0000-0000840E0000}"/>
    <cellStyle name="Normal 6 4 3 2 2 2" xfId="1606" xr:uid="{00000000-0005-0000-0000-0000850E0000}"/>
    <cellStyle name="Normal 6 4 3 2 2 2 2" xfId="3793" xr:uid="{00000000-0005-0000-0000-0000860E0000}"/>
    <cellStyle name="Normal 6 4 3 2 2 2 3" xfId="2718" xr:uid="{00000000-0005-0000-0000-0000870E0000}"/>
    <cellStyle name="Normal 6 4 3 2 2 3" xfId="3250" xr:uid="{00000000-0005-0000-0000-0000880E0000}"/>
    <cellStyle name="Normal 6 4 3 2 2 4" xfId="2175" xr:uid="{00000000-0005-0000-0000-0000890E0000}"/>
    <cellStyle name="Normal 6 4 3 2 3" xfId="1337" xr:uid="{00000000-0005-0000-0000-00008A0E0000}"/>
    <cellStyle name="Normal 6 4 3 2 3 2" xfId="3480" xr:uid="{00000000-0005-0000-0000-00008B0E0000}"/>
    <cellStyle name="Normal 6 4 3 2 3 3" xfId="2405" xr:uid="{00000000-0005-0000-0000-00008C0E0000}"/>
    <cellStyle name="Normal 6 4 3 2 4" xfId="2941" xr:uid="{00000000-0005-0000-0000-00008D0E0000}"/>
    <cellStyle name="Normal 6 4 3 2 5" xfId="1850" xr:uid="{00000000-0005-0000-0000-00008E0E0000}"/>
    <cellStyle name="Normal 6 4 3 3" xfId="553" xr:uid="{00000000-0005-0000-0000-00008F0E0000}"/>
    <cellStyle name="Normal 6 4 3 3 2" xfId="1467" xr:uid="{00000000-0005-0000-0000-0000900E0000}"/>
    <cellStyle name="Normal 6 4 3 3 2 2" xfId="3630" xr:uid="{00000000-0005-0000-0000-0000910E0000}"/>
    <cellStyle name="Normal 6 4 3 3 2 3" xfId="2555" xr:uid="{00000000-0005-0000-0000-0000920E0000}"/>
    <cellStyle name="Normal 6 4 3 3 3" xfId="3103" xr:uid="{00000000-0005-0000-0000-0000930E0000}"/>
    <cellStyle name="Normal 6 4 3 3 4" xfId="2012" xr:uid="{00000000-0005-0000-0000-0000940E0000}"/>
    <cellStyle name="Normal 6 4 3 4" xfId="1260" xr:uid="{00000000-0005-0000-0000-0000950E0000}"/>
    <cellStyle name="Normal 6 4 3 4 2" xfId="3388" xr:uid="{00000000-0005-0000-0000-0000960E0000}"/>
    <cellStyle name="Normal 6 4 3 4 3" xfId="2313" xr:uid="{00000000-0005-0000-0000-0000970E0000}"/>
    <cellStyle name="Normal 6 4 3 5" xfId="2849" xr:uid="{00000000-0005-0000-0000-0000980E0000}"/>
    <cellStyle name="Normal 6 4 3 6" xfId="1758" xr:uid="{00000000-0005-0000-0000-0000990E0000}"/>
    <cellStyle name="Normal 6 4 4" xfId="391" xr:uid="{00000000-0005-0000-0000-00009A0E0000}"/>
    <cellStyle name="Normal 6 4 4 2" xfId="669" xr:uid="{00000000-0005-0000-0000-00009B0E0000}"/>
    <cellStyle name="Normal 6 4 4 2 2" xfId="1572" xr:uid="{00000000-0005-0000-0000-00009C0E0000}"/>
    <cellStyle name="Normal 6 4 4 2 2 2" xfId="3759" xr:uid="{00000000-0005-0000-0000-00009D0E0000}"/>
    <cellStyle name="Normal 6 4 4 2 2 3" xfId="2684" xr:uid="{00000000-0005-0000-0000-00009E0E0000}"/>
    <cellStyle name="Normal 6 4 4 2 3" xfId="3216" xr:uid="{00000000-0005-0000-0000-00009F0E0000}"/>
    <cellStyle name="Normal 6 4 4 2 4" xfId="2141" xr:uid="{00000000-0005-0000-0000-0000A00E0000}"/>
    <cellStyle name="Normal 6 4 4 3" xfId="1303" xr:uid="{00000000-0005-0000-0000-0000A10E0000}"/>
    <cellStyle name="Normal 6 4 4 3 2" xfId="3438" xr:uid="{00000000-0005-0000-0000-0000A20E0000}"/>
    <cellStyle name="Normal 6 4 4 3 3" xfId="2363" xr:uid="{00000000-0005-0000-0000-0000A30E0000}"/>
    <cellStyle name="Normal 6 4 4 4" xfId="2899" xr:uid="{00000000-0005-0000-0000-0000A40E0000}"/>
    <cellStyle name="Normal 6 4 4 5" xfId="1808" xr:uid="{00000000-0005-0000-0000-0000A50E0000}"/>
    <cellStyle name="Normal 6 4 5" xfId="511" xr:uid="{00000000-0005-0000-0000-0000A60E0000}"/>
    <cellStyle name="Normal 6 4 5 2" xfId="1433" xr:uid="{00000000-0005-0000-0000-0000A70E0000}"/>
    <cellStyle name="Normal 6 4 5 2 2" xfId="3588" xr:uid="{00000000-0005-0000-0000-0000A80E0000}"/>
    <cellStyle name="Normal 6 4 5 2 3" xfId="2513" xr:uid="{00000000-0005-0000-0000-0000A90E0000}"/>
    <cellStyle name="Normal 6 4 5 3" xfId="3061" xr:uid="{00000000-0005-0000-0000-0000AA0E0000}"/>
    <cellStyle name="Normal 6 4 5 4" xfId="1970" xr:uid="{00000000-0005-0000-0000-0000AB0E0000}"/>
    <cellStyle name="Normal 6 4 6" xfId="1218" xr:uid="{00000000-0005-0000-0000-0000AC0E0000}"/>
    <cellStyle name="Normal 6 4 6 2" xfId="3346" xr:uid="{00000000-0005-0000-0000-0000AD0E0000}"/>
    <cellStyle name="Normal 6 4 6 3" xfId="2271" xr:uid="{00000000-0005-0000-0000-0000AE0E0000}"/>
    <cellStyle name="Normal 6 4 7" xfId="2807" xr:uid="{00000000-0005-0000-0000-0000AF0E0000}"/>
    <cellStyle name="Normal 6 4 8" xfId="1716" xr:uid="{00000000-0005-0000-0000-0000B00E0000}"/>
    <cellStyle name="Normal 6 5" xfId="65" xr:uid="{00000000-0005-0000-0000-0000B10E0000}"/>
    <cellStyle name="Normal 6 5 2" xfId="111" xr:uid="{00000000-0005-0000-0000-0000B20E0000}"/>
    <cellStyle name="Normal 6 5 2 2" xfId="427" xr:uid="{00000000-0005-0000-0000-0000B30E0000}"/>
    <cellStyle name="Normal 6 5 2 2 2" xfId="705" xr:uid="{00000000-0005-0000-0000-0000B40E0000}"/>
    <cellStyle name="Normal 6 5 2 2 2 2" xfId="1608" xr:uid="{00000000-0005-0000-0000-0000B50E0000}"/>
    <cellStyle name="Normal 6 5 2 2 2 2 2" xfId="3795" xr:uid="{00000000-0005-0000-0000-0000B60E0000}"/>
    <cellStyle name="Normal 6 5 2 2 2 2 3" xfId="2720" xr:uid="{00000000-0005-0000-0000-0000B70E0000}"/>
    <cellStyle name="Normal 6 5 2 2 2 3" xfId="3252" xr:uid="{00000000-0005-0000-0000-0000B80E0000}"/>
    <cellStyle name="Normal 6 5 2 2 2 4" xfId="2177" xr:uid="{00000000-0005-0000-0000-0000B90E0000}"/>
    <cellStyle name="Normal 6 5 2 2 3" xfId="1339" xr:uid="{00000000-0005-0000-0000-0000BA0E0000}"/>
    <cellStyle name="Normal 6 5 2 2 3 2" xfId="3482" xr:uid="{00000000-0005-0000-0000-0000BB0E0000}"/>
    <cellStyle name="Normal 6 5 2 2 3 3" xfId="2407" xr:uid="{00000000-0005-0000-0000-0000BC0E0000}"/>
    <cellStyle name="Normal 6 5 2 2 4" xfId="2943" xr:uid="{00000000-0005-0000-0000-0000BD0E0000}"/>
    <cellStyle name="Normal 6 5 2 2 5" xfId="1852" xr:uid="{00000000-0005-0000-0000-0000BE0E0000}"/>
    <cellStyle name="Normal 6 5 2 3" xfId="555" xr:uid="{00000000-0005-0000-0000-0000BF0E0000}"/>
    <cellStyle name="Normal 6 5 2 3 2" xfId="1469" xr:uid="{00000000-0005-0000-0000-0000C00E0000}"/>
    <cellStyle name="Normal 6 5 2 3 2 2" xfId="3632" xr:uid="{00000000-0005-0000-0000-0000C10E0000}"/>
    <cellStyle name="Normal 6 5 2 3 2 3" xfId="2557" xr:uid="{00000000-0005-0000-0000-0000C20E0000}"/>
    <cellStyle name="Normal 6 5 2 3 3" xfId="3105" xr:uid="{00000000-0005-0000-0000-0000C30E0000}"/>
    <cellStyle name="Normal 6 5 2 3 4" xfId="2014" xr:uid="{00000000-0005-0000-0000-0000C40E0000}"/>
    <cellStyle name="Normal 6 5 2 4" xfId="1262" xr:uid="{00000000-0005-0000-0000-0000C50E0000}"/>
    <cellStyle name="Normal 6 5 2 4 2" xfId="3390" xr:uid="{00000000-0005-0000-0000-0000C60E0000}"/>
    <cellStyle name="Normal 6 5 2 4 3" xfId="2315" xr:uid="{00000000-0005-0000-0000-0000C70E0000}"/>
    <cellStyle name="Normal 6 5 2 5" xfId="2851" xr:uid="{00000000-0005-0000-0000-0000C80E0000}"/>
    <cellStyle name="Normal 6 5 2 6" xfId="1760" xr:uid="{00000000-0005-0000-0000-0000C90E0000}"/>
    <cellStyle name="Normal 6 5 3" xfId="393" xr:uid="{00000000-0005-0000-0000-0000CA0E0000}"/>
    <cellStyle name="Normal 6 5 3 2" xfId="671" xr:uid="{00000000-0005-0000-0000-0000CB0E0000}"/>
    <cellStyle name="Normal 6 5 3 2 2" xfId="1574" xr:uid="{00000000-0005-0000-0000-0000CC0E0000}"/>
    <cellStyle name="Normal 6 5 3 2 2 2" xfId="3761" xr:uid="{00000000-0005-0000-0000-0000CD0E0000}"/>
    <cellStyle name="Normal 6 5 3 2 2 3" xfId="2686" xr:uid="{00000000-0005-0000-0000-0000CE0E0000}"/>
    <cellStyle name="Normal 6 5 3 2 3" xfId="3218" xr:uid="{00000000-0005-0000-0000-0000CF0E0000}"/>
    <cellStyle name="Normal 6 5 3 2 4" xfId="2143" xr:uid="{00000000-0005-0000-0000-0000D00E0000}"/>
    <cellStyle name="Normal 6 5 3 3" xfId="1305" xr:uid="{00000000-0005-0000-0000-0000D10E0000}"/>
    <cellStyle name="Normal 6 5 3 3 2" xfId="3440" xr:uid="{00000000-0005-0000-0000-0000D20E0000}"/>
    <cellStyle name="Normal 6 5 3 3 3" xfId="2365" xr:uid="{00000000-0005-0000-0000-0000D30E0000}"/>
    <cellStyle name="Normal 6 5 3 4" xfId="2901" xr:uid="{00000000-0005-0000-0000-0000D40E0000}"/>
    <cellStyle name="Normal 6 5 3 5" xfId="1810" xr:uid="{00000000-0005-0000-0000-0000D50E0000}"/>
    <cellStyle name="Normal 6 5 4" xfId="513" xr:uid="{00000000-0005-0000-0000-0000D60E0000}"/>
    <cellStyle name="Normal 6 5 4 2" xfId="1435" xr:uid="{00000000-0005-0000-0000-0000D70E0000}"/>
    <cellStyle name="Normal 6 5 4 2 2" xfId="3590" xr:uid="{00000000-0005-0000-0000-0000D80E0000}"/>
    <cellStyle name="Normal 6 5 4 2 3" xfId="2515" xr:uid="{00000000-0005-0000-0000-0000D90E0000}"/>
    <cellStyle name="Normal 6 5 4 3" xfId="3063" xr:uid="{00000000-0005-0000-0000-0000DA0E0000}"/>
    <cellStyle name="Normal 6 5 4 4" xfId="1972" xr:uid="{00000000-0005-0000-0000-0000DB0E0000}"/>
    <cellStyle name="Normal 6 5 5" xfId="1220" xr:uid="{00000000-0005-0000-0000-0000DC0E0000}"/>
    <cellStyle name="Normal 6 5 5 2" xfId="3348" xr:uid="{00000000-0005-0000-0000-0000DD0E0000}"/>
    <cellStyle name="Normal 6 5 5 3" xfId="2273" xr:uid="{00000000-0005-0000-0000-0000DE0E0000}"/>
    <cellStyle name="Normal 6 5 6" xfId="2809" xr:uid="{00000000-0005-0000-0000-0000DF0E0000}"/>
    <cellStyle name="Normal 6 5 7" xfId="1718" xr:uid="{00000000-0005-0000-0000-0000E00E0000}"/>
    <cellStyle name="Normal 6 6" xfId="106" xr:uid="{00000000-0005-0000-0000-0000E10E0000}"/>
    <cellStyle name="Normal 6 6 2" xfId="422" xr:uid="{00000000-0005-0000-0000-0000E20E0000}"/>
    <cellStyle name="Normal 6 6 2 2" xfId="700" xr:uid="{00000000-0005-0000-0000-0000E30E0000}"/>
    <cellStyle name="Normal 6 6 2 2 2" xfId="1603" xr:uid="{00000000-0005-0000-0000-0000E40E0000}"/>
    <cellStyle name="Normal 6 6 2 2 2 2" xfId="3790" xr:uid="{00000000-0005-0000-0000-0000E50E0000}"/>
    <cellStyle name="Normal 6 6 2 2 2 3" xfId="2715" xr:uid="{00000000-0005-0000-0000-0000E60E0000}"/>
    <cellStyle name="Normal 6 6 2 2 3" xfId="3247" xr:uid="{00000000-0005-0000-0000-0000E70E0000}"/>
    <cellStyle name="Normal 6 6 2 2 4" xfId="2172" xr:uid="{00000000-0005-0000-0000-0000E80E0000}"/>
    <cellStyle name="Normal 6 6 2 3" xfId="1334" xr:uid="{00000000-0005-0000-0000-0000E90E0000}"/>
    <cellStyle name="Normal 6 6 2 3 2" xfId="3477" xr:uid="{00000000-0005-0000-0000-0000EA0E0000}"/>
    <cellStyle name="Normal 6 6 2 3 3" xfId="2402" xr:uid="{00000000-0005-0000-0000-0000EB0E0000}"/>
    <cellStyle name="Normal 6 6 2 4" xfId="2938" xr:uid="{00000000-0005-0000-0000-0000EC0E0000}"/>
    <cellStyle name="Normal 6 6 2 5" xfId="1847" xr:uid="{00000000-0005-0000-0000-0000ED0E0000}"/>
    <cellStyle name="Normal 6 6 3" xfId="550" xr:uid="{00000000-0005-0000-0000-0000EE0E0000}"/>
    <cellStyle name="Normal 6 6 3 2" xfId="1464" xr:uid="{00000000-0005-0000-0000-0000EF0E0000}"/>
    <cellStyle name="Normal 6 6 3 2 2" xfId="3627" xr:uid="{00000000-0005-0000-0000-0000F00E0000}"/>
    <cellStyle name="Normal 6 6 3 2 3" xfId="2552" xr:uid="{00000000-0005-0000-0000-0000F10E0000}"/>
    <cellStyle name="Normal 6 6 3 3" xfId="3100" xr:uid="{00000000-0005-0000-0000-0000F20E0000}"/>
    <cellStyle name="Normal 6 6 3 4" xfId="2009" xr:uid="{00000000-0005-0000-0000-0000F30E0000}"/>
    <cellStyle name="Normal 6 6 4" xfId="1257" xr:uid="{00000000-0005-0000-0000-0000F40E0000}"/>
    <cellStyle name="Normal 6 6 4 2" xfId="3385" xr:uid="{00000000-0005-0000-0000-0000F50E0000}"/>
    <cellStyle name="Normal 6 6 4 3" xfId="2310" xr:uid="{00000000-0005-0000-0000-0000F60E0000}"/>
    <cellStyle name="Normal 6 6 5" xfId="2846" xr:uid="{00000000-0005-0000-0000-0000F70E0000}"/>
    <cellStyle name="Normal 6 6 6" xfId="1755" xr:uid="{00000000-0005-0000-0000-0000F80E0000}"/>
    <cellStyle name="Normal 6 7" xfId="298" xr:uid="{00000000-0005-0000-0000-0000F90E0000}"/>
    <cellStyle name="Normal 6 7 2" xfId="616" xr:uid="{00000000-0005-0000-0000-0000FA0E0000}"/>
    <cellStyle name="Normal 6 7 2 2" xfId="1526" xr:uid="{00000000-0005-0000-0000-0000FB0E0000}"/>
    <cellStyle name="Normal 6 7 2 2 2" xfId="3693" xr:uid="{00000000-0005-0000-0000-0000FC0E0000}"/>
    <cellStyle name="Normal 6 7 2 2 3" xfId="2618" xr:uid="{00000000-0005-0000-0000-0000FD0E0000}"/>
    <cellStyle name="Normal 6 7 2 3" xfId="3150" xr:uid="{00000000-0005-0000-0000-0000FE0E0000}"/>
    <cellStyle name="Normal 6 7 2 4" xfId="2075" xr:uid="{00000000-0005-0000-0000-0000FF0E0000}"/>
    <cellStyle name="Normal 6 7 3" xfId="1396" xr:uid="{00000000-0005-0000-0000-0000000F0000}"/>
    <cellStyle name="Normal 6 7 3 2" xfId="3543" xr:uid="{00000000-0005-0000-0000-0000010F0000}"/>
    <cellStyle name="Normal 6 7 3 3" xfId="2468" xr:uid="{00000000-0005-0000-0000-0000020F0000}"/>
    <cellStyle name="Normal 6 7 4" xfId="3004" xr:uid="{00000000-0005-0000-0000-0000030F0000}"/>
    <cellStyle name="Normal 6 7 5" xfId="1913" xr:uid="{00000000-0005-0000-0000-0000040F0000}"/>
    <cellStyle name="Normal 6 8" xfId="202" xr:uid="{00000000-0005-0000-0000-0000050F0000}"/>
    <cellStyle name="Normal 6 9" xfId="388" xr:uid="{00000000-0005-0000-0000-0000060F0000}"/>
    <cellStyle name="Normal 6 9 2" xfId="666" xr:uid="{00000000-0005-0000-0000-0000070F0000}"/>
    <cellStyle name="Normal 6 9 2 2" xfId="1569" xr:uid="{00000000-0005-0000-0000-0000080F0000}"/>
    <cellStyle name="Normal 6 9 2 2 2" xfId="3756" xr:uid="{00000000-0005-0000-0000-0000090F0000}"/>
    <cellStyle name="Normal 6 9 2 2 3" xfId="2681" xr:uid="{00000000-0005-0000-0000-00000A0F0000}"/>
    <cellStyle name="Normal 6 9 2 3" xfId="3213" xr:uid="{00000000-0005-0000-0000-00000B0F0000}"/>
    <cellStyle name="Normal 6 9 2 4" xfId="2138" xr:uid="{00000000-0005-0000-0000-00000C0F0000}"/>
    <cellStyle name="Normal 6 9 3" xfId="1300" xr:uid="{00000000-0005-0000-0000-00000D0F0000}"/>
    <cellStyle name="Normal 6 9 3 2" xfId="3435" xr:uid="{00000000-0005-0000-0000-00000E0F0000}"/>
    <cellStyle name="Normal 6 9 3 3" xfId="2360" xr:uid="{00000000-0005-0000-0000-00000F0F0000}"/>
    <cellStyle name="Normal 6 9 4" xfId="2896" xr:uid="{00000000-0005-0000-0000-0000100F0000}"/>
    <cellStyle name="Normal 6 9 5" xfId="1805" xr:uid="{00000000-0005-0000-0000-0000110F0000}"/>
    <cellStyle name="Normal 7" xfId="66" xr:uid="{00000000-0005-0000-0000-0000120F0000}"/>
    <cellStyle name="Normal 7 10" xfId="1221" xr:uid="{00000000-0005-0000-0000-0000130F0000}"/>
    <cellStyle name="Normal 7 10 2" xfId="3349" xr:uid="{00000000-0005-0000-0000-0000140F0000}"/>
    <cellStyle name="Normal 7 10 3" xfId="2274" xr:uid="{00000000-0005-0000-0000-0000150F0000}"/>
    <cellStyle name="Normal 7 11" xfId="2810" xr:uid="{00000000-0005-0000-0000-0000160F0000}"/>
    <cellStyle name="Normal 7 12" xfId="1719" xr:uid="{00000000-0005-0000-0000-0000170F0000}"/>
    <cellStyle name="Normal 7 2" xfId="67" xr:uid="{00000000-0005-0000-0000-0000180F0000}"/>
    <cellStyle name="Normal 7 3" xfId="68" xr:uid="{00000000-0005-0000-0000-0000190F0000}"/>
    <cellStyle name="Normal 7 3 2" xfId="69" xr:uid="{00000000-0005-0000-0000-00001A0F0000}"/>
    <cellStyle name="Normal 7 3 2 2" xfId="114" xr:uid="{00000000-0005-0000-0000-00001B0F0000}"/>
    <cellStyle name="Normal 7 3 2 2 2" xfId="430" xr:uid="{00000000-0005-0000-0000-00001C0F0000}"/>
    <cellStyle name="Normal 7 3 2 2 2 2" xfId="708" xr:uid="{00000000-0005-0000-0000-00001D0F0000}"/>
    <cellStyle name="Normal 7 3 2 2 2 2 2" xfId="1611" xr:uid="{00000000-0005-0000-0000-00001E0F0000}"/>
    <cellStyle name="Normal 7 3 2 2 2 2 2 2" xfId="3798" xr:uid="{00000000-0005-0000-0000-00001F0F0000}"/>
    <cellStyle name="Normal 7 3 2 2 2 2 2 3" xfId="2723" xr:uid="{00000000-0005-0000-0000-0000200F0000}"/>
    <cellStyle name="Normal 7 3 2 2 2 2 3" xfId="3255" xr:uid="{00000000-0005-0000-0000-0000210F0000}"/>
    <cellStyle name="Normal 7 3 2 2 2 2 4" xfId="2180" xr:uid="{00000000-0005-0000-0000-0000220F0000}"/>
    <cellStyle name="Normal 7 3 2 2 2 3" xfId="1342" xr:uid="{00000000-0005-0000-0000-0000230F0000}"/>
    <cellStyle name="Normal 7 3 2 2 2 3 2" xfId="3485" xr:uid="{00000000-0005-0000-0000-0000240F0000}"/>
    <cellStyle name="Normal 7 3 2 2 2 3 3" xfId="2410" xr:uid="{00000000-0005-0000-0000-0000250F0000}"/>
    <cellStyle name="Normal 7 3 2 2 2 4" xfId="2946" xr:uid="{00000000-0005-0000-0000-0000260F0000}"/>
    <cellStyle name="Normal 7 3 2 2 2 5" xfId="1855" xr:uid="{00000000-0005-0000-0000-0000270F0000}"/>
    <cellStyle name="Normal 7 3 2 2 3" xfId="558" xr:uid="{00000000-0005-0000-0000-0000280F0000}"/>
    <cellStyle name="Normal 7 3 2 2 3 2" xfId="1472" xr:uid="{00000000-0005-0000-0000-0000290F0000}"/>
    <cellStyle name="Normal 7 3 2 2 3 2 2" xfId="3635" xr:uid="{00000000-0005-0000-0000-00002A0F0000}"/>
    <cellStyle name="Normal 7 3 2 2 3 2 3" xfId="2560" xr:uid="{00000000-0005-0000-0000-00002B0F0000}"/>
    <cellStyle name="Normal 7 3 2 2 3 3" xfId="3108" xr:uid="{00000000-0005-0000-0000-00002C0F0000}"/>
    <cellStyle name="Normal 7 3 2 2 3 4" xfId="2017" xr:uid="{00000000-0005-0000-0000-00002D0F0000}"/>
    <cellStyle name="Normal 7 3 2 2 4" xfId="1265" xr:uid="{00000000-0005-0000-0000-00002E0F0000}"/>
    <cellStyle name="Normal 7 3 2 2 4 2" xfId="3393" xr:uid="{00000000-0005-0000-0000-00002F0F0000}"/>
    <cellStyle name="Normal 7 3 2 2 4 3" xfId="2318" xr:uid="{00000000-0005-0000-0000-0000300F0000}"/>
    <cellStyle name="Normal 7 3 2 2 5" xfId="2854" xr:uid="{00000000-0005-0000-0000-0000310F0000}"/>
    <cellStyle name="Normal 7 3 2 2 6" xfId="1763" xr:uid="{00000000-0005-0000-0000-0000320F0000}"/>
    <cellStyle name="Normal 7 3 2 3" xfId="396" xr:uid="{00000000-0005-0000-0000-0000330F0000}"/>
    <cellStyle name="Normal 7 3 2 3 2" xfId="674" xr:uid="{00000000-0005-0000-0000-0000340F0000}"/>
    <cellStyle name="Normal 7 3 2 3 2 2" xfId="1577" xr:uid="{00000000-0005-0000-0000-0000350F0000}"/>
    <cellStyle name="Normal 7 3 2 3 2 2 2" xfId="3764" xr:uid="{00000000-0005-0000-0000-0000360F0000}"/>
    <cellStyle name="Normal 7 3 2 3 2 2 3" xfId="2689" xr:uid="{00000000-0005-0000-0000-0000370F0000}"/>
    <cellStyle name="Normal 7 3 2 3 2 3" xfId="3221" xr:uid="{00000000-0005-0000-0000-0000380F0000}"/>
    <cellStyle name="Normal 7 3 2 3 2 4" xfId="2146" xr:uid="{00000000-0005-0000-0000-0000390F0000}"/>
    <cellStyle name="Normal 7 3 2 3 3" xfId="1308" xr:uid="{00000000-0005-0000-0000-00003A0F0000}"/>
    <cellStyle name="Normal 7 3 2 3 3 2" xfId="3443" xr:uid="{00000000-0005-0000-0000-00003B0F0000}"/>
    <cellStyle name="Normal 7 3 2 3 3 3" xfId="2368" xr:uid="{00000000-0005-0000-0000-00003C0F0000}"/>
    <cellStyle name="Normal 7 3 2 3 4" xfId="2904" xr:uid="{00000000-0005-0000-0000-00003D0F0000}"/>
    <cellStyle name="Normal 7 3 2 3 5" xfId="1813" xr:uid="{00000000-0005-0000-0000-00003E0F0000}"/>
    <cellStyle name="Normal 7 3 2 4" xfId="516" xr:uid="{00000000-0005-0000-0000-00003F0F0000}"/>
    <cellStyle name="Normal 7 3 2 4 2" xfId="1438" xr:uid="{00000000-0005-0000-0000-0000400F0000}"/>
    <cellStyle name="Normal 7 3 2 4 2 2" xfId="3593" xr:uid="{00000000-0005-0000-0000-0000410F0000}"/>
    <cellStyle name="Normal 7 3 2 4 2 3" xfId="2518" xr:uid="{00000000-0005-0000-0000-0000420F0000}"/>
    <cellStyle name="Normal 7 3 2 4 3" xfId="3066" xr:uid="{00000000-0005-0000-0000-0000430F0000}"/>
    <cellStyle name="Normal 7 3 2 4 4" xfId="1975" xr:uid="{00000000-0005-0000-0000-0000440F0000}"/>
    <cellStyle name="Normal 7 3 2 5" xfId="1223" xr:uid="{00000000-0005-0000-0000-0000450F0000}"/>
    <cellStyle name="Normal 7 3 2 5 2" xfId="3351" xr:uid="{00000000-0005-0000-0000-0000460F0000}"/>
    <cellStyle name="Normal 7 3 2 5 3" xfId="2276" xr:uid="{00000000-0005-0000-0000-0000470F0000}"/>
    <cellStyle name="Normal 7 3 2 6" xfId="2812" xr:uid="{00000000-0005-0000-0000-0000480F0000}"/>
    <cellStyle name="Normal 7 3 2 7" xfId="1721" xr:uid="{00000000-0005-0000-0000-0000490F0000}"/>
    <cellStyle name="Normal 7 3 3" xfId="113" xr:uid="{00000000-0005-0000-0000-00004A0F0000}"/>
    <cellStyle name="Normal 7 3 3 2" xfId="429" xr:uid="{00000000-0005-0000-0000-00004B0F0000}"/>
    <cellStyle name="Normal 7 3 3 2 2" xfId="707" xr:uid="{00000000-0005-0000-0000-00004C0F0000}"/>
    <cellStyle name="Normal 7 3 3 2 2 2" xfId="1610" xr:uid="{00000000-0005-0000-0000-00004D0F0000}"/>
    <cellStyle name="Normal 7 3 3 2 2 2 2" xfId="3797" xr:uid="{00000000-0005-0000-0000-00004E0F0000}"/>
    <cellStyle name="Normal 7 3 3 2 2 2 3" xfId="2722" xr:uid="{00000000-0005-0000-0000-00004F0F0000}"/>
    <cellStyle name="Normal 7 3 3 2 2 3" xfId="3254" xr:uid="{00000000-0005-0000-0000-0000500F0000}"/>
    <cellStyle name="Normal 7 3 3 2 2 4" xfId="2179" xr:uid="{00000000-0005-0000-0000-0000510F0000}"/>
    <cellStyle name="Normal 7 3 3 2 3" xfId="1341" xr:uid="{00000000-0005-0000-0000-0000520F0000}"/>
    <cellStyle name="Normal 7 3 3 2 3 2" xfId="3484" xr:uid="{00000000-0005-0000-0000-0000530F0000}"/>
    <cellStyle name="Normal 7 3 3 2 3 3" xfId="2409" xr:uid="{00000000-0005-0000-0000-0000540F0000}"/>
    <cellStyle name="Normal 7 3 3 2 4" xfId="2945" xr:uid="{00000000-0005-0000-0000-0000550F0000}"/>
    <cellStyle name="Normal 7 3 3 2 5" xfId="1854" xr:uid="{00000000-0005-0000-0000-0000560F0000}"/>
    <cellStyle name="Normal 7 3 3 3" xfId="557" xr:uid="{00000000-0005-0000-0000-0000570F0000}"/>
    <cellStyle name="Normal 7 3 3 3 2" xfId="1471" xr:uid="{00000000-0005-0000-0000-0000580F0000}"/>
    <cellStyle name="Normal 7 3 3 3 2 2" xfId="3634" xr:uid="{00000000-0005-0000-0000-0000590F0000}"/>
    <cellStyle name="Normal 7 3 3 3 2 3" xfId="2559" xr:uid="{00000000-0005-0000-0000-00005A0F0000}"/>
    <cellStyle name="Normal 7 3 3 3 3" xfId="3107" xr:uid="{00000000-0005-0000-0000-00005B0F0000}"/>
    <cellStyle name="Normal 7 3 3 3 4" xfId="2016" xr:uid="{00000000-0005-0000-0000-00005C0F0000}"/>
    <cellStyle name="Normal 7 3 3 4" xfId="1264" xr:uid="{00000000-0005-0000-0000-00005D0F0000}"/>
    <cellStyle name="Normal 7 3 3 4 2" xfId="3392" xr:uid="{00000000-0005-0000-0000-00005E0F0000}"/>
    <cellStyle name="Normal 7 3 3 4 3" xfId="2317" xr:uid="{00000000-0005-0000-0000-00005F0F0000}"/>
    <cellStyle name="Normal 7 3 3 5" xfId="2853" xr:uid="{00000000-0005-0000-0000-0000600F0000}"/>
    <cellStyle name="Normal 7 3 3 6" xfId="1762" xr:uid="{00000000-0005-0000-0000-0000610F0000}"/>
    <cellStyle name="Normal 7 3 4" xfId="395" xr:uid="{00000000-0005-0000-0000-0000620F0000}"/>
    <cellStyle name="Normal 7 3 4 2" xfId="673" xr:uid="{00000000-0005-0000-0000-0000630F0000}"/>
    <cellStyle name="Normal 7 3 4 2 2" xfId="1576" xr:uid="{00000000-0005-0000-0000-0000640F0000}"/>
    <cellStyle name="Normal 7 3 4 2 2 2" xfId="3763" xr:uid="{00000000-0005-0000-0000-0000650F0000}"/>
    <cellStyle name="Normal 7 3 4 2 2 3" xfId="2688" xr:uid="{00000000-0005-0000-0000-0000660F0000}"/>
    <cellStyle name="Normal 7 3 4 2 3" xfId="3220" xr:uid="{00000000-0005-0000-0000-0000670F0000}"/>
    <cellStyle name="Normal 7 3 4 2 4" xfId="2145" xr:uid="{00000000-0005-0000-0000-0000680F0000}"/>
    <cellStyle name="Normal 7 3 4 3" xfId="1307" xr:uid="{00000000-0005-0000-0000-0000690F0000}"/>
    <cellStyle name="Normal 7 3 4 3 2" xfId="3442" xr:uid="{00000000-0005-0000-0000-00006A0F0000}"/>
    <cellStyle name="Normal 7 3 4 3 3" xfId="2367" xr:uid="{00000000-0005-0000-0000-00006B0F0000}"/>
    <cellStyle name="Normal 7 3 4 4" xfId="2903" xr:uid="{00000000-0005-0000-0000-00006C0F0000}"/>
    <cellStyle name="Normal 7 3 4 5" xfId="1812" xr:uid="{00000000-0005-0000-0000-00006D0F0000}"/>
    <cellStyle name="Normal 7 3 5" xfId="515" xr:uid="{00000000-0005-0000-0000-00006E0F0000}"/>
    <cellStyle name="Normal 7 3 5 2" xfId="1437" xr:uid="{00000000-0005-0000-0000-00006F0F0000}"/>
    <cellStyle name="Normal 7 3 5 2 2" xfId="3592" xr:uid="{00000000-0005-0000-0000-0000700F0000}"/>
    <cellStyle name="Normal 7 3 5 2 3" xfId="2517" xr:uid="{00000000-0005-0000-0000-0000710F0000}"/>
    <cellStyle name="Normal 7 3 5 3" xfId="3065" xr:uid="{00000000-0005-0000-0000-0000720F0000}"/>
    <cellStyle name="Normal 7 3 5 4" xfId="1974" xr:uid="{00000000-0005-0000-0000-0000730F0000}"/>
    <cellStyle name="Normal 7 3 6" xfId="1222" xr:uid="{00000000-0005-0000-0000-0000740F0000}"/>
    <cellStyle name="Normal 7 3 6 2" xfId="3350" xr:uid="{00000000-0005-0000-0000-0000750F0000}"/>
    <cellStyle name="Normal 7 3 6 3" xfId="2275" xr:uid="{00000000-0005-0000-0000-0000760F0000}"/>
    <cellStyle name="Normal 7 3 7" xfId="2811" xr:uid="{00000000-0005-0000-0000-0000770F0000}"/>
    <cellStyle name="Normal 7 3 8" xfId="1720" xr:uid="{00000000-0005-0000-0000-0000780F0000}"/>
    <cellStyle name="Normal 7 4" xfId="70" xr:uid="{00000000-0005-0000-0000-0000790F0000}"/>
    <cellStyle name="Normal 7 4 2" xfId="115" xr:uid="{00000000-0005-0000-0000-00007A0F0000}"/>
    <cellStyle name="Normal 7 4 2 2" xfId="431" xr:uid="{00000000-0005-0000-0000-00007B0F0000}"/>
    <cellStyle name="Normal 7 4 2 2 2" xfId="709" xr:uid="{00000000-0005-0000-0000-00007C0F0000}"/>
    <cellStyle name="Normal 7 4 2 2 2 2" xfId="1612" xr:uid="{00000000-0005-0000-0000-00007D0F0000}"/>
    <cellStyle name="Normal 7 4 2 2 2 2 2" xfId="3799" xr:uid="{00000000-0005-0000-0000-00007E0F0000}"/>
    <cellStyle name="Normal 7 4 2 2 2 2 3" xfId="2724" xr:uid="{00000000-0005-0000-0000-00007F0F0000}"/>
    <cellStyle name="Normal 7 4 2 2 2 3" xfId="3256" xr:uid="{00000000-0005-0000-0000-0000800F0000}"/>
    <cellStyle name="Normal 7 4 2 2 2 4" xfId="2181" xr:uid="{00000000-0005-0000-0000-0000810F0000}"/>
    <cellStyle name="Normal 7 4 2 2 3" xfId="1343" xr:uid="{00000000-0005-0000-0000-0000820F0000}"/>
    <cellStyle name="Normal 7 4 2 2 3 2" xfId="3486" xr:uid="{00000000-0005-0000-0000-0000830F0000}"/>
    <cellStyle name="Normal 7 4 2 2 3 3" xfId="2411" xr:uid="{00000000-0005-0000-0000-0000840F0000}"/>
    <cellStyle name="Normal 7 4 2 2 4" xfId="2947" xr:uid="{00000000-0005-0000-0000-0000850F0000}"/>
    <cellStyle name="Normal 7 4 2 2 5" xfId="1856" xr:uid="{00000000-0005-0000-0000-0000860F0000}"/>
    <cellStyle name="Normal 7 4 2 3" xfId="559" xr:uid="{00000000-0005-0000-0000-0000870F0000}"/>
    <cellStyle name="Normal 7 4 2 3 2" xfId="1473" xr:uid="{00000000-0005-0000-0000-0000880F0000}"/>
    <cellStyle name="Normal 7 4 2 3 2 2" xfId="3636" xr:uid="{00000000-0005-0000-0000-0000890F0000}"/>
    <cellStyle name="Normal 7 4 2 3 2 3" xfId="2561" xr:uid="{00000000-0005-0000-0000-00008A0F0000}"/>
    <cellStyle name="Normal 7 4 2 3 3" xfId="3109" xr:uid="{00000000-0005-0000-0000-00008B0F0000}"/>
    <cellStyle name="Normal 7 4 2 3 4" xfId="2018" xr:uid="{00000000-0005-0000-0000-00008C0F0000}"/>
    <cellStyle name="Normal 7 4 2 4" xfId="1266" xr:uid="{00000000-0005-0000-0000-00008D0F0000}"/>
    <cellStyle name="Normal 7 4 2 4 2" xfId="3394" xr:uid="{00000000-0005-0000-0000-00008E0F0000}"/>
    <cellStyle name="Normal 7 4 2 4 3" xfId="2319" xr:uid="{00000000-0005-0000-0000-00008F0F0000}"/>
    <cellStyle name="Normal 7 4 2 5" xfId="2855" xr:uid="{00000000-0005-0000-0000-0000900F0000}"/>
    <cellStyle name="Normal 7 4 2 6" xfId="1764" xr:uid="{00000000-0005-0000-0000-0000910F0000}"/>
    <cellStyle name="Normal 7 4 3" xfId="397" xr:uid="{00000000-0005-0000-0000-0000920F0000}"/>
    <cellStyle name="Normal 7 4 3 2" xfId="675" xr:uid="{00000000-0005-0000-0000-0000930F0000}"/>
    <cellStyle name="Normal 7 4 3 2 2" xfId="1578" xr:uid="{00000000-0005-0000-0000-0000940F0000}"/>
    <cellStyle name="Normal 7 4 3 2 2 2" xfId="3765" xr:uid="{00000000-0005-0000-0000-0000950F0000}"/>
    <cellStyle name="Normal 7 4 3 2 2 3" xfId="2690" xr:uid="{00000000-0005-0000-0000-0000960F0000}"/>
    <cellStyle name="Normal 7 4 3 2 3" xfId="3222" xr:uid="{00000000-0005-0000-0000-0000970F0000}"/>
    <cellStyle name="Normal 7 4 3 2 4" xfId="2147" xr:uid="{00000000-0005-0000-0000-0000980F0000}"/>
    <cellStyle name="Normal 7 4 3 3" xfId="1309" xr:uid="{00000000-0005-0000-0000-0000990F0000}"/>
    <cellStyle name="Normal 7 4 3 3 2" xfId="3444" xr:uid="{00000000-0005-0000-0000-00009A0F0000}"/>
    <cellStyle name="Normal 7 4 3 3 3" xfId="2369" xr:uid="{00000000-0005-0000-0000-00009B0F0000}"/>
    <cellStyle name="Normal 7 4 3 4" xfId="2905" xr:uid="{00000000-0005-0000-0000-00009C0F0000}"/>
    <cellStyle name="Normal 7 4 3 5" xfId="1814" xr:uid="{00000000-0005-0000-0000-00009D0F0000}"/>
    <cellStyle name="Normal 7 4 4" xfId="517" xr:uid="{00000000-0005-0000-0000-00009E0F0000}"/>
    <cellStyle name="Normal 7 4 4 2" xfId="1439" xr:uid="{00000000-0005-0000-0000-00009F0F0000}"/>
    <cellStyle name="Normal 7 4 4 2 2" xfId="3594" xr:uid="{00000000-0005-0000-0000-0000A00F0000}"/>
    <cellStyle name="Normal 7 4 4 2 3" xfId="2519" xr:uid="{00000000-0005-0000-0000-0000A10F0000}"/>
    <cellStyle name="Normal 7 4 4 3" xfId="3067" xr:uid="{00000000-0005-0000-0000-0000A20F0000}"/>
    <cellStyle name="Normal 7 4 4 4" xfId="1976" xr:uid="{00000000-0005-0000-0000-0000A30F0000}"/>
    <cellStyle name="Normal 7 4 5" xfId="1224" xr:uid="{00000000-0005-0000-0000-0000A40F0000}"/>
    <cellStyle name="Normal 7 4 5 2" xfId="3352" xr:uid="{00000000-0005-0000-0000-0000A50F0000}"/>
    <cellStyle name="Normal 7 4 5 3" xfId="2277" xr:uid="{00000000-0005-0000-0000-0000A60F0000}"/>
    <cellStyle name="Normal 7 4 6" xfId="2813" xr:uid="{00000000-0005-0000-0000-0000A70F0000}"/>
    <cellStyle name="Normal 7 4 7" xfId="1722" xr:uid="{00000000-0005-0000-0000-0000A80F0000}"/>
    <cellStyle name="Normal 7 5" xfId="112" xr:uid="{00000000-0005-0000-0000-0000A90F0000}"/>
    <cellStyle name="Normal 7 5 2" xfId="428" xr:uid="{00000000-0005-0000-0000-0000AA0F0000}"/>
    <cellStyle name="Normal 7 5 2 2" xfId="706" xr:uid="{00000000-0005-0000-0000-0000AB0F0000}"/>
    <cellStyle name="Normal 7 5 2 2 2" xfId="1609" xr:uid="{00000000-0005-0000-0000-0000AC0F0000}"/>
    <cellStyle name="Normal 7 5 2 2 2 2" xfId="3796" xr:uid="{00000000-0005-0000-0000-0000AD0F0000}"/>
    <cellStyle name="Normal 7 5 2 2 2 3" xfId="2721" xr:uid="{00000000-0005-0000-0000-0000AE0F0000}"/>
    <cellStyle name="Normal 7 5 2 2 3" xfId="3253" xr:uid="{00000000-0005-0000-0000-0000AF0F0000}"/>
    <cellStyle name="Normal 7 5 2 2 4" xfId="2178" xr:uid="{00000000-0005-0000-0000-0000B00F0000}"/>
    <cellStyle name="Normal 7 5 2 3" xfId="1340" xr:uid="{00000000-0005-0000-0000-0000B10F0000}"/>
    <cellStyle name="Normal 7 5 2 3 2" xfId="3483" xr:uid="{00000000-0005-0000-0000-0000B20F0000}"/>
    <cellStyle name="Normal 7 5 2 3 3" xfId="2408" xr:uid="{00000000-0005-0000-0000-0000B30F0000}"/>
    <cellStyle name="Normal 7 5 2 4" xfId="2944" xr:uid="{00000000-0005-0000-0000-0000B40F0000}"/>
    <cellStyle name="Normal 7 5 2 5" xfId="1853" xr:uid="{00000000-0005-0000-0000-0000B50F0000}"/>
    <cellStyle name="Normal 7 5 3" xfId="556" xr:uid="{00000000-0005-0000-0000-0000B60F0000}"/>
    <cellStyle name="Normal 7 5 3 2" xfId="1470" xr:uid="{00000000-0005-0000-0000-0000B70F0000}"/>
    <cellStyle name="Normal 7 5 3 2 2" xfId="3633" xr:uid="{00000000-0005-0000-0000-0000B80F0000}"/>
    <cellStyle name="Normal 7 5 3 2 3" xfId="2558" xr:uid="{00000000-0005-0000-0000-0000B90F0000}"/>
    <cellStyle name="Normal 7 5 3 3" xfId="3106" xr:uid="{00000000-0005-0000-0000-0000BA0F0000}"/>
    <cellStyle name="Normal 7 5 3 4" xfId="2015" xr:uid="{00000000-0005-0000-0000-0000BB0F0000}"/>
    <cellStyle name="Normal 7 5 4" xfId="1263" xr:uid="{00000000-0005-0000-0000-0000BC0F0000}"/>
    <cellStyle name="Normal 7 5 4 2" xfId="3391" xr:uid="{00000000-0005-0000-0000-0000BD0F0000}"/>
    <cellStyle name="Normal 7 5 4 3" xfId="2316" xr:uid="{00000000-0005-0000-0000-0000BE0F0000}"/>
    <cellStyle name="Normal 7 5 5" xfId="2852" xr:uid="{00000000-0005-0000-0000-0000BF0F0000}"/>
    <cellStyle name="Normal 7 5 6" xfId="1761" xr:uid="{00000000-0005-0000-0000-0000C00F0000}"/>
    <cellStyle name="Normal 7 6" xfId="299" xr:uid="{00000000-0005-0000-0000-0000C10F0000}"/>
    <cellStyle name="Normal 7 6 2" xfId="617" xr:uid="{00000000-0005-0000-0000-0000C20F0000}"/>
    <cellStyle name="Normal 7 6 2 2" xfId="1527" xr:uid="{00000000-0005-0000-0000-0000C30F0000}"/>
    <cellStyle name="Normal 7 6 2 2 2" xfId="3694" xr:uid="{00000000-0005-0000-0000-0000C40F0000}"/>
    <cellStyle name="Normal 7 6 2 2 3" xfId="2619" xr:uid="{00000000-0005-0000-0000-0000C50F0000}"/>
    <cellStyle name="Normal 7 6 2 3" xfId="3151" xr:uid="{00000000-0005-0000-0000-0000C60F0000}"/>
    <cellStyle name="Normal 7 6 2 4" xfId="2076" xr:uid="{00000000-0005-0000-0000-0000C70F0000}"/>
    <cellStyle name="Normal 7 6 3" xfId="1397" xr:uid="{00000000-0005-0000-0000-0000C80F0000}"/>
    <cellStyle name="Normal 7 6 3 2" xfId="3544" xr:uid="{00000000-0005-0000-0000-0000C90F0000}"/>
    <cellStyle name="Normal 7 6 3 3" xfId="2469" xr:uid="{00000000-0005-0000-0000-0000CA0F0000}"/>
    <cellStyle name="Normal 7 6 4" xfId="3005" xr:uid="{00000000-0005-0000-0000-0000CB0F0000}"/>
    <cellStyle name="Normal 7 6 5" xfId="1914" xr:uid="{00000000-0005-0000-0000-0000CC0F0000}"/>
    <cellStyle name="Normal 7 7" xfId="218" xr:uid="{00000000-0005-0000-0000-0000CD0F0000}"/>
    <cellStyle name="Normal 7 8" xfId="394" xr:uid="{00000000-0005-0000-0000-0000CE0F0000}"/>
    <cellStyle name="Normal 7 8 2" xfId="672" xr:uid="{00000000-0005-0000-0000-0000CF0F0000}"/>
    <cellStyle name="Normal 7 8 2 2" xfId="1575" xr:uid="{00000000-0005-0000-0000-0000D00F0000}"/>
    <cellStyle name="Normal 7 8 2 2 2" xfId="3762" xr:uid="{00000000-0005-0000-0000-0000D10F0000}"/>
    <cellStyle name="Normal 7 8 2 2 3" xfId="2687" xr:uid="{00000000-0005-0000-0000-0000D20F0000}"/>
    <cellStyle name="Normal 7 8 2 3" xfId="3219" xr:uid="{00000000-0005-0000-0000-0000D30F0000}"/>
    <cellStyle name="Normal 7 8 2 4" xfId="2144" xr:uid="{00000000-0005-0000-0000-0000D40F0000}"/>
    <cellStyle name="Normal 7 8 3" xfId="1306" xr:uid="{00000000-0005-0000-0000-0000D50F0000}"/>
    <cellStyle name="Normal 7 8 3 2" xfId="3441" xr:uid="{00000000-0005-0000-0000-0000D60F0000}"/>
    <cellStyle name="Normal 7 8 3 3" xfId="2366" xr:uid="{00000000-0005-0000-0000-0000D70F0000}"/>
    <cellStyle name="Normal 7 8 4" xfId="2902" xr:uid="{00000000-0005-0000-0000-0000D80F0000}"/>
    <cellStyle name="Normal 7 8 5" xfId="1811" xr:uid="{00000000-0005-0000-0000-0000D90F0000}"/>
    <cellStyle name="Normal 7 9" xfId="514" xr:uid="{00000000-0005-0000-0000-0000DA0F0000}"/>
    <cellStyle name="Normal 7 9 2" xfId="1436" xr:uid="{00000000-0005-0000-0000-0000DB0F0000}"/>
    <cellStyle name="Normal 7 9 2 2" xfId="3591" xr:uid="{00000000-0005-0000-0000-0000DC0F0000}"/>
    <cellStyle name="Normal 7 9 2 3" xfId="2516" xr:uid="{00000000-0005-0000-0000-0000DD0F0000}"/>
    <cellStyle name="Normal 7 9 3" xfId="3064" xr:uid="{00000000-0005-0000-0000-0000DE0F0000}"/>
    <cellStyle name="Normal 7 9 4" xfId="1973" xr:uid="{00000000-0005-0000-0000-0000DF0F0000}"/>
    <cellStyle name="Normal 8" xfId="71" xr:uid="{00000000-0005-0000-0000-0000E00F0000}"/>
    <cellStyle name="Normal 8 10" xfId="1723" xr:uid="{00000000-0005-0000-0000-0000E10F0000}"/>
    <cellStyle name="Normal 8 2" xfId="72" xr:uid="{00000000-0005-0000-0000-0000E20F0000}"/>
    <cellStyle name="Normal 8 2 2" xfId="117" xr:uid="{00000000-0005-0000-0000-0000E30F0000}"/>
    <cellStyle name="Normal 8 2 2 2" xfId="433" xr:uid="{00000000-0005-0000-0000-0000E40F0000}"/>
    <cellStyle name="Normal 8 2 2 2 2" xfId="711" xr:uid="{00000000-0005-0000-0000-0000E50F0000}"/>
    <cellStyle name="Normal 8 2 2 2 2 2" xfId="1614" xr:uid="{00000000-0005-0000-0000-0000E60F0000}"/>
    <cellStyle name="Normal 8 2 2 2 2 2 2" xfId="3801" xr:uid="{00000000-0005-0000-0000-0000E70F0000}"/>
    <cellStyle name="Normal 8 2 2 2 2 2 3" xfId="2726" xr:uid="{00000000-0005-0000-0000-0000E80F0000}"/>
    <cellStyle name="Normal 8 2 2 2 2 3" xfId="3258" xr:uid="{00000000-0005-0000-0000-0000E90F0000}"/>
    <cellStyle name="Normal 8 2 2 2 2 4" xfId="2183" xr:uid="{00000000-0005-0000-0000-0000EA0F0000}"/>
    <cellStyle name="Normal 8 2 2 2 3" xfId="1345" xr:uid="{00000000-0005-0000-0000-0000EB0F0000}"/>
    <cellStyle name="Normal 8 2 2 2 3 2" xfId="3488" xr:uid="{00000000-0005-0000-0000-0000EC0F0000}"/>
    <cellStyle name="Normal 8 2 2 2 3 3" xfId="2413" xr:uid="{00000000-0005-0000-0000-0000ED0F0000}"/>
    <cellStyle name="Normal 8 2 2 2 4" xfId="2949" xr:uid="{00000000-0005-0000-0000-0000EE0F0000}"/>
    <cellStyle name="Normal 8 2 2 2 5" xfId="1858" xr:uid="{00000000-0005-0000-0000-0000EF0F0000}"/>
    <cellStyle name="Normal 8 2 2 3" xfId="561" xr:uid="{00000000-0005-0000-0000-0000F00F0000}"/>
    <cellStyle name="Normal 8 2 2 3 2" xfId="1475" xr:uid="{00000000-0005-0000-0000-0000F10F0000}"/>
    <cellStyle name="Normal 8 2 2 3 2 2" xfId="3638" xr:uid="{00000000-0005-0000-0000-0000F20F0000}"/>
    <cellStyle name="Normal 8 2 2 3 2 3" xfId="2563" xr:uid="{00000000-0005-0000-0000-0000F30F0000}"/>
    <cellStyle name="Normal 8 2 2 3 3" xfId="3111" xr:uid="{00000000-0005-0000-0000-0000F40F0000}"/>
    <cellStyle name="Normal 8 2 2 3 4" xfId="2020" xr:uid="{00000000-0005-0000-0000-0000F50F0000}"/>
    <cellStyle name="Normal 8 2 2 4" xfId="1268" xr:uid="{00000000-0005-0000-0000-0000F60F0000}"/>
    <cellStyle name="Normal 8 2 2 4 2" xfId="3396" xr:uid="{00000000-0005-0000-0000-0000F70F0000}"/>
    <cellStyle name="Normal 8 2 2 4 3" xfId="2321" xr:uid="{00000000-0005-0000-0000-0000F80F0000}"/>
    <cellStyle name="Normal 8 2 2 5" xfId="2857" xr:uid="{00000000-0005-0000-0000-0000F90F0000}"/>
    <cellStyle name="Normal 8 2 2 6" xfId="1766" xr:uid="{00000000-0005-0000-0000-0000FA0F0000}"/>
    <cellStyle name="Normal 8 2 3" xfId="399" xr:uid="{00000000-0005-0000-0000-0000FB0F0000}"/>
    <cellStyle name="Normal 8 2 3 2" xfId="677" xr:uid="{00000000-0005-0000-0000-0000FC0F0000}"/>
    <cellStyle name="Normal 8 2 3 2 2" xfId="1580" xr:uid="{00000000-0005-0000-0000-0000FD0F0000}"/>
    <cellStyle name="Normal 8 2 3 2 2 2" xfId="3767" xr:uid="{00000000-0005-0000-0000-0000FE0F0000}"/>
    <cellStyle name="Normal 8 2 3 2 2 3" xfId="2692" xr:uid="{00000000-0005-0000-0000-0000FF0F0000}"/>
    <cellStyle name="Normal 8 2 3 2 3" xfId="3224" xr:uid="{00000000-0005-0000-0000-000000100000}"/>
    <cellStyle name="Normal 8 2 3 2 4" xfId="2149" xr:uid="{00000000-0005-0000-0000-000001100000}"/>
    <cellStyle name="Normal 8 2 3 3" xfId="1311" xr:uid="{00000000-0005-0000-0000-000002100000}"/>
    <cellStyle name="Normal 8 2 3 3 2" xfId="3446" xr:uid="{00000000-0005-0000-0000-000003100000}"/>
    <cellStyle name="Normal 8 2 3 3 3" xfId="2371" xr:uid="{00000000-0005-0000-0000-000004100000}"/>
    <cellStyle name="Normal 8 2 3 4" xfId="2907" xr:uid="{00000000-0005-0000-0000-000005100000}"/>
    <cellStyle name="Normal 8 2 3 5" xfId="1816" xr:uid="{00000000-0005-0000-0000-000006100000}"/>
    <cellStyle name="Normal 8 2 4" xfId="519" xr:uid="{00000000-0005-0000-0000-000007100000}"/>
    <cellStyle name="Normal 8 2 4 2" xfId="1441" xr:uid="{00000000-0005-0000-0000-000008100000}"/>
    <cellStyle name="Normal 8 2 4 2 2" xfId="3596" xr:uid="{00000000-0005-0000-0000-000009100000}"/>
    <cellStyle name="Normal 8 2 4 2 3" xfId="2521" xr:uid="{00000000-0005-0000-0000-00000A100000}"/>
    <cellStyle name="Normal 8 2 4 3" xfId="3069" xr:uid="{00000000-0005-0000-0000-00000B100000}"/>
    <cellStyle name="Normal 8 2 4 4" xfId="1978" xr:uid="{00000000-0005-0000-0000-00000C100000}"/>
    <cellStyle name="Normal 8 2 5" xfId="1226" xr:uid="{00000000-0005-0000-0000-00000D100000}"/>
    <cellStyle name="Normal 8 2 5 2" xfId="3354" xr:uid="{00000000-0005-0000-0000-00000E100000}"/>
    <cellStyle name="Normal 8 2 5 3" xfId="2279" xr:uid="{00000000-0005-0000-0000-00000F100000}"/>
    <cellStyle name="Normal 8 2 6" xfId="2815" xr:uid="{00000000-0005-0000-0000-000010100000}"/>
    <cellStyle name="Normal 8 2 7" xfId="1724" xr:uid="{00000000-0005-0000-0000-000011100000}"/>
    <cellStyle name="Normal 8 3" xfId="116" xr:uid="{00000000-0005-0000-0000-000012100000}"/>
    <cellStyle name="Normal 8 3 2" xfId="432" xr:uid="{00000000-0005-0000-0000-000013100000}"/>
    <cellStyle name="Normal 8 3 2 2" xfId="710" xr:uid="{00000000-0005-0000-0000-000014100000}"/>
    <cellStyle name="Normal 8 3 2 2 2" xfId="1613" xr:uid="{00000000-0005-0000-0000-000015100000}"/>
    <cellStyle name="Normal 8 3 2 2 2 2" xfId="3800" xr:uid="{00000000-0005-0000-0000-000016100000}"/>
    <cellStyle name="Normal 8 3 2 2 2 3" xfId="2725" xr:uid="{00000000-0005-0000-0000-000017100000}"/>
    <cellStyle name="Normal 8 3 2 2 3" xfId="3257" xr:uid="{00000000-0005-0000-0000-000018100000}"/>
    <cellStyle name="Normal 8 3 2 2 4" xfId="2182" xr:uid="{00000000-0005-0000-0000-000019100000}"/>
    <cellStyle name="Normal 8 3 2 3" xfId="1344" xr:uid="{00000000-0005-0000-0000-00001A100000}"/>
    <cellStyle name="Normal 8 3 2 3 2" xfId="3487" xr:uid="{00000000-0005-0000-0000-00001B100000}"/>
    <cellStyle name="Normal 8 3 2 3 3" xfId="2412" xr:uid="{00000000-0005-0000-0000-00001C100000}"/>
    <cellStyle name="Normal 8 3 2 4" xfId="2948" xr:uid="{00000000-0005-0000-0000-00001D100000}"/>
    <cellStyle name="Normal 8 3 2 5" xfId="1857" xr:uid="{00000000-0005-0000-0000-00001E100000}"/>
    <cellStyle name="Normal 8 3 3" xfId="560" xr:uid="{00000000-0005-0000-0000-00001F100000}"/>
    <cellStyle name="Normal 8 3 3 2" xfId="1474" xr:uid="{00000000-0005-0000-0000-000020100000}"/>
    <cellStyle name="Normal 8 3 3 2 2" xfId="3637" xr:uid="{00000000-0005-0000-0000-000021100000}"/>
    <cellStyle name="Normal 8 3 3 2 3" xfId="2562" xr:uid="{00000000-0005-0000-0000-000022100000}"/>
    <cellStyle name="Normal 8 3 3 3" xfId="3110" xr:uid="{00000000-0005-0000-0000-000023100000}"/>
    <cellStyle name="Normal 8 3 3 4" xfId="2019" xr:uid="{00000000-0005-0000-0000-000024100000}"/>
    <cellStyle name="Normal 8 3 4" xfId="1267" xr:uid="{00000000-0005-0000-0000-000025100000}"/>
    <cellStyle name="Normal 8 3 4 2" xfId="3395" xr:uid="{00000000-0005-0000-0000-000026100000}"/>
    <cellStyle name="Normal 8 3 4 3" xfId="2320" xr:uid="{00000000-0005-0000-0000-000027100000}"/>
    <cellStyle name="Normal 8 3 5" xfId="2856" xr:uid="{00000000-0005-0000-0000-000028100000}"/>
    <cellStyle name="Normal 8 3 6" xfId="1765" xr:uid="{00000000-0005-0000-0000-000029100000}"/>
    <cellStyle name="Normal 8 4" xfId="300" xr:uid="{00000000-0005-0000-0000-00002A100000}"/>
    <cellStyle name="Normal 8 4 2" xfId="618" xr:uid="{00000000-0005-0000-0000-00002B100000}"/>
    <cellStyle name="Normal 8 4 2 2" xfId="1528" xr:uid="{00000000-0005-0000-0000-00002C100000}"/>
    <cellStyle name="Normal 8 4 2 2 2" xfId="3695" xr:uid="{00000000-0005-0000-0000-00002D100000}"/>
    <cellStyle name="Normal 8 4 2 2 3" xfId="2620" xr:uid="{00000000-0005-0000-0000-00002E100000}"/>
    <cellStyle name="Normal 8 4 2 3" xfId="3152" xr:uid="{00000000-0005-0000-0000-00002F100000}"/>
    <cellStyle name="Normal 8 4 2 4" xfId="2077" xr:uid="{00000000-0005-0000-0000-000030100000}"/>
    <cellStyle name="Normal 8 4 3" xfId="1398" xr:uid="{00000000-0005-0000-0000-000031100000}"/>
    <cellStyle name="Normal 8 4 3 2" xfId="3545" xr:uid="{00000000-0005-0000-0000-000032100000}"/>
    <cellStyle name="Normal 8 4 3 3" xfId="2470" xr:uid="{00000000-0005-0000-0000-000033100000}"/>
    <cellStyle name="Normal 8 4 4" xfId="3006" xr:uid="{00000000-0005-0000-0000-000034100000}"/>
    <cellStyle name="Normal 8 4 5" xfId="1915" xr:uid="{00000000-0005-0000-0000-000035100000}"/>
    <cellStyle name="Normal 8 5" xfId="219" xr:uid="{00000000-0005-0000-0000-000036100000}"/>
    <cellStyle name="Normal 8 5 2" xfId="594" xr:uid="{00000000-0005-0000-0000-000037100000}"/>
    <cellStyle name="Normal 8 5 2 2" xfId="1506" xr:uid="{00000000-0005-0000-0000-000038100000}"/>
    <cellStyle name="Normal 8 5 2 2 2" xfId="3671" xr:uid="{00000000-0005-0000-0000-000039100000}"/>
    <cellStyle name="Normal 8 5 2 2 3" xfId="2596" xr:uid="{00000000-0005-0000-0000-00003A100000}"/>
    <cellStyle name="Normal 8 5 2 3" xfId="3128" xr:uid="{00000000-0005-0000-0000-00003B100000}"/>
    <cellStyle name="Normal 8 5 2 4" xfId="2053" xr:uid="{00000000-0005-0000-0000-00003C100000}"/>
    <cellStyle name="Normal 8 5 3" xfId="1376" xr:uid="{00000000-0005-0000-0000-00003D100000}"/>
    <cellStyle name="Normal 8 5 3 2" xfId="3521" xr:uid="{00000000-0005-0000-0000-00003E100000}"/>
    <cellStyle name="Normal 8 5 3 3" xfId="2446" xr:uid="{00000000-0005-0000-0000-00003F100000}"/>
    <cellStyle name="Normal 8 5 4" xfId="2982" xr:uid="{00000000-0005-0000-0000-000040100000}"/>
    <cellStyle name="Normal 8 5 5" xfId="1891" xr:uid="{00000000-0005-0000-0000-000041100000}"/>
    <cellStyle name="Normal 8 6" xfId="398" xr:uid="{00000000-0005-0000-0000-000042100000}"/>
    <cellStyle name="Normal 8 6 2" xfId="676" xr:uid="{00000000-0005-0000-0000-000043100000}"/>
    <cellStyle name="Normal 8 6 2 2" xfId="1579" xr:uid="{00000000-0005-0000-0000-000044100000}"/>
    <cellStyle name="Normal 8 6 2 2 2" xfId="3766" xr:uid="{00000000-0005-0000-0000-000045100000}"/>
    <cellStyle name="Normal 8 6 2 2 3" xfId="2691" xr:uid="{00000000-0005-0000-0000-000046100000}"/>
    <cellStyle name="Normal 8 6 2 3" xfId="3223" xr:uid="{00000000-0005-0000-0000-000047100000}"/>
    <cellStyle name="Normal 8 6 2 4" xfId="2148" xr:uid="{00000000-0005-0000-0000-000048100000}"/>
    <cellStyle name="Normal 8 6 3" xfId="1310" xr:uid="{00000000-0005-0000-0000-000049100000}"/>
    <cellStyle name="Normal 8 6 3 2" xfId="3445" xr:uid="{00000000-0005-0000-0000-00004A100000}"/>
    <cellStyle name="Normal 8 6 3 3" xfId="2370" xr:uid="{00000000-0005-0000-0000-00004B100000}"/>
    <cellStyle name="Normal 8 6 4" xfId="2906" xr:uid="{00000000-0005-0000-0000-00004C100000}"/>
    <cellStyle name="Normal 8 6 5" xfId="1815" xr:uid="{00000000-0005-0000-0000-00004D100000}"/>
    <cellStyle name="Normal 8 7" xfId="518" xr:uid="{00000000-0005-0000-0000-00004E100000}"/>
    <cellStyle name="Normal 8 7 2" xfId="1440" xr:uid="{00000000-0005-0000-0000-00004F100000}"/>
    <cellStyle name="Normal 8 7 2 2" xfId="3595" xr:uid="{00000000-0005-0000-0000-000050100000}"/>
    <cellStyle name="Normal 8 7 2 3" xfId="2520" xr:uid="{00000000-0005-0000-0000-000051100000}"/>
    <cellStyle name="Normal 8 7 3" xfId="3068" xr:uid="{00000000-0005-0000-0000-000052100000}"/>
    <cellStyle name="Normal 8 7 4" xfId="1977" xr:uid="{00000000-0005-0000-0000-000053100000}"/>
    <cellStyle name="Normal 8 8" xfId="1225" xr:uid="{00000000-0005-0000-0000-000054100000}"/>
    <cellStyle name="Normal 8 8 2" xfId="3353" xr:uid="{00000000-0005-0000-0000-000055100000}"/>
    <cellStyle name="Normal 8 8 3" xfId="2278" xr:uid="{00000000-0005-0000-0000-000056100000}"/>
    <cellStyle name="Normal 8 9" xfId="1683" xr:uid="{00000000-0005-0000-0000-000057100000}"/>
    <cellStyle name="Normal 8 9 2" xfId="2814" xr:uid="{00000000-0005-0000-0000-000058100000}"/>
    <cellStyle name="Normal 9" xfId="73" xr:uid="{00000000-0005-0000-0000-000059100000}"/>
    <cellStyle name="Normal 9 2" xfId="118" xr:uid="{00000000-0005-0000-0000-00005A100000}"/>
    <cellStyle name="Normal 9 2 2" xfId="434" xr:uid="{00000000-0005-0000-0000-00005B100000}"/>
    <cellStyle name="Normal 9 2 2 2" xfId="712" xr:uid="{00000000-0005-0000-0000-00005C100000}"/>
    <cellStyle name="Normal 9 2 2 2 2" xfId="1615" xr:uid="{00000000-0005-0000-0000-00005D100000}"/>
    <cellStyle name="Normal 9 2 2 2 2 2" xfId="3802" xr:uid="{00000000-0005-0000-0000-00005E100000}"/>
    <cellStyle name="Normal 9 2 2 2 2 3" xfId="2727" xr:uid="{00000000-0005-0000-0000-00005F100000}"/>
    <cellStyle name="Normal 9 2 2 2 3" xfId="3259" xr:uid="{00000000-0005-0000-0000-000060100000}"/>
    <cellStyle name="Normal 9 2 2 2 4" xfId="2184" xr:uid="{00000000-0005-0000-0000-000061100000}"/>
    <cellStyle name="Normal 9 2 2 3" xfId="1346" xr:uid="{00000000-0005-0000-0000-000062100000}"/>
    <cellStyle name="Normal 9 2 2 3 2" xfId="3489" xr:uid="{00000000-0005-0000-0000-000063100000}"/>
    <cellStyle name="Normal 9 2 2 3 3" xfId="2414" xr:uid="{00000000-0005-0000-0000-000064100000}"/>
    <cellStyle name="Normal 9 2 2 4" xfId="2950" xr:uid="{00000000-0005-0000-0000-000065100000}"/>
    <cellStyle name="Normal 9 2 2 5" xfId="1859" xr:uid="{00000000-0005-0000-0000-000066100000}"/>
    <cellStyle name="Normal 9 2 3" xfId="562" xr:uid="{00000000-0005-0000-0000-000067100000}"/>
    <cellStyle name="Normal 9 2 3 2" xfId="1476" xr:uid="{00000000-0005-0000-0000-000068100000}"/>
    <cellStyle name="Normal 9 2 3 2 2" xfId="3639" xr:uid="{00000000-0005-0000-0000-000069100000}"/>
    <cellStyle name="Normal 9 2 3 2 3" xfId="2564" xr:uid="{00000000-0005-0000-0000-00006A100000}"/>
    <cellStyle name="Normal 9 2 3 3" xfId="3112" xr:uid="{00000000-0005-0000-0000-00006B100000}"/>
    <cellStyle name="Normal 9 2 3 4" xfId="2021" xr:uid="{00000000-0005-0000-0000-00006C100000}"/>
    <cellStyle name="Normal 9 2 4" xfId="1269" xr:uid="{00000000-0005-0000-0000-00006D100000}"/>
    <cellStyle name="Normal 9 2 4 2" xfId="3397" xr:uid="{00000000-0005-0000-0000-00006E100000}"/>
    <cellStyle name="Normal 9 2 4 3" xfId="2322" xr:uid="{00000000-0005-0000-0000-00006F100000}"/>
    <cellStyle name="Normal 9 2 5" xfId="2858" xr:uid="{00000000-0005-0000-0000-000070100000}"/>
    <cellStyle name="Normal 9 2 6" xfId="1767" xr:uid="{00000000-0005-0000-0000-000071100000}"/>
    <cellStyle name="Normal 9 3" xfId="301" xr:uid="{00000000-0005-0000-0000-000072100000}"/>
    <cellStyle name="Normal 9 3 2" xfId="619" xr:uid="{00000000-0005-0000-0000-000073100000}"/>
    <cellStyle name="Normal 9 3 2 2" xfId="1529" xr:uid="{00000000-0005-0000-0000-000074100000}"/>
    <cellStyle name="Normal 9 3 2 2 2" xfId="3696" xr:uid="{00000000-0005-0000-0000-000075100000}"/>
    <cellStyle name="Normal 9 3 2 2 3" xfId="2621" xr:uid="{00000000-0005-0000-0000-000076100000}"/>
    <cellStyle name="Normal 9 3 2 3" xfId="3153" xr:uid="{00000000-0005-0000-0000-000077100000}"/>
    <cellStyle name="Normal 9 3 2 4" xfId="2078" xr:uid="{00000000-0005-0000-0000-000078100000}"/>
    <cellStyle name="Normal 9 3 3" xfId="1399" xr:uid="{00000000-0005-0000-0000-000079100000}"/>
    <cellStyle name="Normal 9 3 3 2" xfId="3546" xr:uid="{00000000-0005-0000-0000-00007A100000}"/>
    <cellStyle name="Normal 9 3 3 3" xfId="2471" xr:uid="{00000000-0005-0000-0000-00007B100000}"/>
    <cellStyle name="Normal 9 3 4" xfId="3007" xr:uid="{00000000-0005-0000-0000-00007C100000}"/>
    <cellStyle name="Normal 9 3 5" xfId="1916" xr:uid="{00000000-0005-0000-0000-00007D100000}"/>
    <cellStyle name="Normal 9 4" xfId="220" xr:uid="{00000000-0005-0000-0000-00007E100000}"/>
    <cellStyle name="Normal 9 4 2" xfId="595" xr:uid="{00000000-0005-0000-0000-00007F100000}"/>
    <cellStyle name="Normal 9 4 2 2" xfId="1507" xr:uid="{00000000-0005-0000-0000-000080100000}"/>
    <cellStyle name="Normal 9 4 2 2 2" xfId="3672" xr:uid="{00000000-0005-0000-0000-000081100000}"/>
    <cellStyle name="Normal 9 4 2 2 3" xfId="2597" xr:uid="{00000000-0005-0000-0000-000082100000}"/>
    <cellStyle name="Normal 9 4 2 3" xfId="3129" xr:uid="{00000000-0005-0000-0000-000083100000}"/>
    <cellStyle name="Normal 9 4 2 4" xfId="2054" xr:uid="{00000000-0005-0000-0000-000084100000}"/>
    <cellStyle name="Normal 9 4 3" xfId="1377" xr:uid="{00000000-0005-0000-0000-000085100000}"/>
    <cellStyle name="Normal 9 4 3 2" xfId="3522" xr:uid="{00000000-0005-0000-0000-000086100000}"/>
    <cellStyle name="Normal 9 4 3 3" xfId="2447" xr:uid="{00000000-0005-0000-0000-000087100000}"/>
    <cellStyle name="Normal 9 4 4" xfId="2983" xr:uid="{00000000-0005-0000-0000-000088100000}"/>
    <cellStyle name="Normal 9 4 5" xfId="1892" xr:uid="{00000000-0005-0000-0000-000089100000}"/>
    <cellStyle name="Normal 9 5" xfId="400" xr:uid="{00000000-0005-0000-0000-00008A100000}"/>
    <cellStyle name="Normal 9 5 2" xfId="678" xr:uid="{00000000-0005-0000-0000-00008B100000}"/>
    <cellStyle name="Normal 9 5 2 2" xfId="1581" xr:uid="{00000000-0005-0000-0000-00008C100000}"/>
    <cellStyle name="Normal 9 5 2 2 2" xfId="3768" xr:uid="{00000000-0005-0000-0000-00008D100000}"/>
    <cellStyle name="Normal 9 5 2 2 3" xfId="2693" xr:uid="{00000000-0005-0000-0000-00008E100000}"/>
    <cellStyle name="Normal 9 5 2 3" xfId="3225" xr:uid="{00000000-0005-0000-0000-00008F100000}"/>
    <cellStyle name="Normal 9 5 2 4" xfId="2150" xr:uid="{00000000-0005-0000-0000-000090100000}"/>
    <cellStyle name="Normal 9 5 3" xfId="1312" xr:uid="{00000000-0005-0000-0000-000091100000}"/>
    <cellStyle name="Normal 9 5 3 2" xfId="3447" xr:uid="{00000000-0005-0000-0000-000092100000}"/>
    <cellStyle name="Normal 9 5 3 3" xfId="2372" xr:uid="{00000000-0005-0000-0000-000093100000}"/>
    <cellStyle name="Normal 9 5 4" xfId="2908" xr:uid="{00000000-0005-0000-0000-000094100000}"/>
    <cellStyle name="Normal 9 5 5" xfId="1817" xr:uid="{00000000-0005-0000-0000-000095100000}"/>
    <cellStyle name="Normal 9 6" xfId="520" xr:uid="{00000000-0005-0000-0000-000096100000}"/>
    <cellStyle name="Normal 9 6 2" xfId="1442" xr:uid="{00000000-0005-0000-0000-000097100000}"/>
    <cellStyle name="Normal 9 6 2 2" xfId="3597" xr:uid="{00000000-0005-0000-0000-000098100000}"/>
    <cellStyle name="Normal 9 6 2 3" xfId="2522" xr:uid="{00000000-0005-0000-0000-000099100000}"/>
    <cellStyle name="Normal 9 6 3" xfId="3070" xr:uid="{00000000-0005-0000-0000-00009A100000}"/>
    <cellStyle name="Normal 9 6 4" xfId="1979" xr:uid="{00000000-0005-0000-0000-00009B100000}"/>
    <cellStyle name="Normal 9 7" xfId="1227" xr:uid="{00000000-0005-0000-0000-00009C100000}"/>
    <cellStyle name="Normal 9 7 2" xfId="3355" xr:uid="{00000000-0005-0000-0000-00009D100000}"/>
    <cellStyle name="Normal 9 7 3" xfId="2280" xr:uid="{00000000-0005-0000-0000-00009E100000}"/>
    <cellStyle name="Normal 9 8" xfId="1684" xr:uid="{00000000-0005-0000-0000-00009F100000}"/>
    <cellStyle name="Normal 9 8 2" xfId="2816" xr:uid="{00000000-0005-0000-0000-0000A0100000}"/>
    <cellStyle name="Normal 9 9" xfId="1725" xr:uid="{00000000-0005-0000-0000-0000A1100000}"/>
    <cellStyle name="Notas" xfId="140" builtinId="10" customBuiltin="1"/>
    <cellStyle name="Notas 2" xfId="627" xr:uid="{00000000-0005-0000-0000-0000A3100000}"/>
    <cellStyle name="Notas 2 2" xfId="1537" xr:uid="{00000000-0005-0000-0000-0000A4100000}"/>
    <cellStyle name="Notas 2 2 2" xfId="3704" xr:uid="{00000000-0005-0000-0000-0000A5100000}"/>
    <cellStyle name="Notas 2 2 3" xfId="2629" xr:uid="{00000000-0005-0000-0000-0000A6100000}"/>
    <cellStyle name="Notas 2 3" xfId="3161" xr:uid="{00000000-0005-0000-0000-0000A7100000}"/>
    <cellStyle name="Notas 2 4" xfId="2086" xr:uid="{00000000-0005-0000-0000-0000A8100000}"/>
    <cellStyle name="Porcentaje" xfId="1126" builtinId="5"/>
    <cellStyle name="Porcentaje 2" xfId="74" xr:uid="{00000000-0005-0000-0000-0000AA100000}"/>
    <cellStyle name="Porcentaje 2 10" xfId="1726" xr:uid="{00000000-0005-0000-0000-0000AB100000}"/>
    <cellStyle name="Porcentaje 2 2" xfId="75" xr:uid="{00000000-0005-0000-0000-0000AC100000}"/>
    <cellStyle name="Porcentaje 2 2 2" xfId="120" xr:uid="{00000000-0005-0000-0000-0000AD100000}"/>
    <cellStyle name="Porcentaje 2 2 2 2" xfId="436" xr:uid="{00000000-0005-0000-0000-0000AE100000}"/>
    <cellStyle name="Porcentaje 2 2 2 2 2" xfId="714" xr:uid="{00000000-0005-0000-0000-0000AF100000}"/>
    <cellStyle name="Porcentaje 2 2 2 2 2 2" xfId="1617" xr:uid="{00000000-0005-0000-0000-0000B0100000}"/>
    <cellStyle name="Porcentaje 2 2 2 2 2 2 2" xfId="3804" xr:uid="{00000000-0005-0000-0000-0000B1100000}"/>
    <cellStyle name="Porcentaje 2 2 2 2 2 2 3" xfId="2729" xr:uid="{00000000-0005-0000-0000-0000B2100000}"/>
    <cellStyle name="Porcentaje 2 2 2 2 2 3" xfId="3261" xr:uid="{00000000-0005-0000-0000-0000B3100000}"/>
    <cellStyle name="Porcentaje 2 2 2 2 2 4" xfId="2186" xr:uid="{00000000-0005-0000-0000-0000B4100000}"/>
    <cellStyle name="Porcentaje 2 2 2 2 3" xfId="1348" xr:uid="{00000000-0005-0000-0000-0000B5100000}"/>
    <cellStyle name="Porcentaje 2 2 2 2 3 2" xfId="3491" xr:uid="{00000000-0005-0000-0000-0000B6100000}"/>
    <cellStyle name="Porcentaje 2 2 2 2 3 3" xfId="2416" xr:uid="{00000000-0005-0000-0000-0000B7100000}"/>
    <cellStyle name="Porcentaje 2 2 2 2 4" xfId="2952" xr:uid="{00000000-0005-0000-0000-0000B8100000}"/>
    <cellStyle name="Porcentaje 2 2 2 2 5" xfId="1861" xr:uid="{00000000-0005-0000-0000-0000B9100000}"/>
    <cellStyle name="Porcentaje 2 2 2 3" xfId="564" xr:uid="{00000000-0005-0000-0000-0000BA100000}"/>
    <cellStyle name="Porcentaje 2 2 2 3 2" xfId="1478" xr:uid="{00000000-0005-0000-0000-0000BB100000}"/>
    <cellStyle name="Porcentaje 2 2 2 3 2 2" xfId="3641" xr:uid="{00000000-0005-0000-0000-0000BC100000}"/>
    <cellStyle name="Porcentaje 2 2 2 3 2 3" xfId="2566" xr:uid="{00000000-0005-0000-0000-0000BD100000}"/>
    <cellStyle name="Porcentaje 2 2 2 3 3" xfId="3114" xr:uid="{00000000-0005-0000-0000-0000BE100000}"/>
    <cellStyle name="Porcentaje 2 2 2 3 4" xfId="2023" xr:uid="{00000000-0005-0000-0000-0000BF100000}"/>
    <cellStyle name="Porcentaje 2 2 2 4" xfId="1271" xr:uid="{00000000-0005-0000-0000-0000C0100000}"/>
    <cellStyle name="Porcentaje 2 2 2 4 2" xfId="3399" xr:uid="{00000000-0005-0000-0000-0000C1100000}"/>
    <cellStyle name="Porcentaje 2 2 2 4 3" xfId="2324" xr:uid="{00000000-0005-0000-0000-0000C2100000}"/>
    <cellStyle name="Porcentaje 2 2 2 5" xfId="2860" xr:uid="{00000000-0005-0000-0000-0000C3100000}"/>
    <cellStyle name="Porcentaje 2 2 2 6" xfId="1769" xr:uid="{00000000-0005-0000-0000-0000C4100000}"/>
    <cellStyle name="Porcentaje 2 2 3" xfId="402" xr:uid="{00000000-0005-0000-0000-0000C5100000}"/>
    <cellStyle name="Porcentaje 2 2 3 2" xfId="680" xr:uid="{00000000-0005-0000-0000-0000C6100000}"/>
    <cellStyle name="Porcentaje 2 2 3 2 2" xfId="1583" xr:uid="{00000000-0005-0000-0000-0000C7100000}"/>
    <cellStyle name="Porcentaje 2 2 3 2 2 2" xfId="3770" xr:uid="{00000000-0005-0000-0000-0000C8100000}"/>
    <cellStyle name="Porcentaje 2 2 3 2 2 3" xfId="2695" xr:uid="{00000000-0005-0000-0000-0000C9100000}"/>
    <cellStyle name="Porcentaje 2 2 3 2 3" xfId="3227" xr:uid="{00000000-0005-0000-0000-0000CA100000}"/>
    <cellStyle name="Porcentaje 2 2 3 2 4" xfId="2152" xr:uid="{00000000-0005-0000-0000-0000CB100000}"/>
    <cellStyle name="Porcentaje 2 2 3 3" xfId="1314" xr:uid="{00000000-0005-0000-0000-0000CC100000}"/>
    <cellStyle name="Porcentaje 2 2 3 3 2" xfId="3449" xr:uid="{00000000-0005-0000-0000-0000CD100000}"/>
    <cellStyle name="Porcentaje 2 2 3 3 3" xfId="2374" xr:uid="{00000000-0005-0000-0000-0000CE100000}"/>
    <cellStyle name="Porcentaje 2 2 3 4" xfId="2910" xr:uid="{00000000-0005-0000-0000-0000CF100000}"/>
    <cellStyle name="Porcentaje 2 2 3 5" xfId="1819" xr:uid="{00000000-0005-0000-0000-0000D0100000}"/>
    <cellStyle name="Porcentaje 2 2 4" xfId="522" xr:uid="{00000000-0005-0000-0000-0000D1100000}"/>
    <cellStyle name="Porcentaje 2 2 4 2" xfId="1444" xr:uid="{00000000-0005-0000-0000-0000D2100000}"/>
    <cellStyle name="Porcentaje 2 2 4 2 2" xfId="3599" xr:uid="{00000000-0005-0000-0000-0000D3100000}"/>
    <cellStyle name="Porcentaje 2 2 4 2 3" xfId="2524" xr:uid="{00000000-0005-0000-0000-0000D4100000}"/>
    <cellStyle name="Porcentaje 2 2 4 3" xfId="3072" xr:uid="{00000000-0005-0000-0000-0000D5100000}"/>
    <cellStyle name="Porcentaje 2 2 4 4" xfId="1981" xr:uid="{00000000-0005-0000-0000-0000D6100000}"/>
    <cellStyle name="Porcentaje 2 2 5" xfId="1229" xr:uid="{00000000-0005-0000-0000-0000D7100000}"/>
    <cellStyle name="Porcentaje 2 2 5 2" xfId="3357" xr:uid="{00000000-0005-0000-0000-0000D8100000}"/>
    <cellStyle name="Porcentaje 2 2 5 3" xfId="2282" xr:uid="{00000000-0005-0000-0000-0000D9100000}"/>
    <cellStyle name="Porcentaje 2 2 6" xfId="2818" xr:uid="{00000000-0005-0000-0000-0000DA100000}"/>
    <cellStyle name="Porcentaje 2 2 7" xfId="1727" xr:uid="{00000000-0005-0000-0000-0000DB100000}"/>
    <cellStyle name="Porcentaje 2 3" xfId="119" xr:uid="{00000000-0005-0000-0000-0000DC100000}"/>
    <cellStyle name="Porcentaje 2 3 2" xfId="435" xr:uid="{00000000-0005-0000-0000-0000DD100000}"/>
    <cellStyle name="Porcentaje 2 3 2 2" xfId="713" xr:uid="{00000000-0005-0000-0000-0000DE100000}"/>
    <cellStyle name="Porcentaje 2 3 2 2 2" xfId="1616" xr:uid="{00000000-0005-0000-0000-0000DF100000}"/>
    <cellStyle name="Porcentaje 2 3 2 2 2 2" xfId="3803" xr:uid="{00000000-0005-0000-0000-0000E0100000}"/>
    <cellStyle name="Porcentaje 2 3 2 2 2 3" xfId="2728" xr:uid="{00000000-0005-0000-0000-0000E1100000}"/>
    <cellStyle name="Porcentaje 2 3 2 2 3" xfId="3260" xr:uid="{00000000-0005-0000-0000-0000E2100000}"/>
    <cellStyle name="Porcentaje 2 3 2 2 4" xfId="2185" xr:uid="{00000000-0005-0000-0000-0000E3100000}"/>
    <cellStyle name="Porcentaje 2 3 2 3" xfId="1347" xr:uid="{00000000-0005-0000-0000-0000E4100000}"/>
    <cellStyle name="Porcentaje 2 3 2 3 2" xfId="3490" xr:uid="{00000000-0005-0000-0000-0000E5100000}"/>
    <cellStyle name="Porcentaje 2 3 2 3 3" xfId="2415" xr:uid="{00000000-0005-0000-0000-0000E6100000}"/>
    <cellStyle name="Porcentaje 2 3 2 4" xfId="2951" xr:uid="{00000000-0005-0000-0000-0000E7100000}"/>
    <cellStyle name="Porcentaje 2 3 2 5" xfId="1860" xr:uid="{00000000-0005-0000-0000-0000E8100000}"/>
    <cellStyle name="Porcentaje 2 3 3" xfId="563" xr:uid="{00000000-0005-0000-0000-0000E9100000}"/>
    <cellStyle name="Porcentaje 2 3 3 2" xfId="1477" xr:uid="{00000000-0005-0000-0000-0000EA100000}"/>
    <cellStyle name="Porcentaje 2 3 3 2 2" xfId="3640" xr:uid="{00000000-0005-0000-0000-0000EB100000}"/>
    <cellStyle name="Porcentaje 2 3 3 2 3" xfId="2565" xr:uid="{00000000-0005-0000-0000-0000EC100000}"/>
    <cellStyle name="Porcentaje 2 3 3 3" xfId="3113" xr:uid="{00000000-0005-0000-0000-0000ED100000}"/>
    <cellStyle name="Porcentaje 2 3 3 4" xfId="2022" xr:uid="{00000000-0005-0000-0000-0000EE100000}"/>
    <cellStyle name="Porcentaje 2 3 4" xfId="1270" xr:uid="{00000000-0005-0000-0000-0000EF100000}"/>
    <cellStyle name="Porcentaje 2 3 4 2" xfId="3398" xr:uid="{00000000-0005-0000-0000-0000F0100000}"/>
    <cellStyle name="Porcentaje 2 3 4 3" xfId="2323" xr:uid="{00000000-0005-0000-0000-0000F1100000}"/>
    <cellStyle name="Porcentaje 2 3 5" xfId="2859" xr:uid="{00000000-0005-0000-0000-0000F2100000}"/>
    <cellStyle name="Porcentaje 2 3 6" xfId="1768" xr:uid="{00000000-0005-0000-0000-0000F3100000}"/>
    <cellStyle name="Porcentaje 2 4" xfId="302" xr:uid="{00000000-0005-0000-0000-0000F4100000}"/>
    <cellStyle name="Porcentaje 2 4 2" xfId="620" xr:uid="{00000000-0005-0000-0000-0000F5100000}"/>
    <cellStyle name="Porcentaje 2 4 2 2" xfId="1530" xr:uid="{00000000-0005-0000-0000-0000F6100000}"/>
    <cellStyle name="Porcentaje 2 4 2 2 2" xfId="3697" xr:uid="{00000000-0005-0000-0000-0000F7100000}"/>
    <cellStyle name="Porcentaje 2 4 2 2 3" xfId="2622" xr:uid="{00000000-0005-0000-0000-0000F8100000}"/>
    <cellStyle name="Porcentaje 2 4 2 3" xfId="3154" xr:uid="{00000000-0005-0000-0000-0000F9100000}"/>
    <cellStyle name="Porcentaje 2 4 2 4" xfId="2079" xr:uid="{00000000-0005-0000-0000-0000FA100000}"/>
    <cellStyle name="Porcentaje 2 4 3" xfId="1400" xr:uid="{00000000-0005-0000-0000-0000FB100000}"/>
    <cellStyle name="Porcentaje 2 4 3 2" xfId="3547" xr:uid="{00000000-0005-0000-0000-0000FC100000}"/>
    <cellStyle name="Porcentaje 2 4 3 3" xfId="2472" xr:uid="{00000000-0005-0000-0000-0000FD100000}"/>
    <cellStyle name="Porcentaje 2 4 4" xfId="3008" xr:uid="{00000000-0005-0000-0000-0000FE100000}"/>
    <cellStyle name="Porcentaje 2 4 5" xfId="1917" xr:uid="{00000000-0005-0000-0000-0000FF100000}"/>
    <cellStyle name="Porcentaje 2 5" xfId="276" xr:uid="{00000000-0005-0000-0000-000000110000}"/>
    <cellStyle name="Porcentaje 2 6" xfId="401" xr:uid="{00000000-0005-0000-0000-000001110000}"/>
    <cellStyle name="Porcentaje 2 6 2" xfId="679" xr:uid="{00000000-0005-0000-0000-000002110000}"/>
    <cellStyle name="Porcentaje 2 6 2 2" xfId="1582" xr:uid="{00000000-0005-0000-0000-000003110000}"/>
    <cellStyle name="Porcentaje 2 6 2 2 2" xfId="3769" xr:uid="{00000000-0005-0000-0000-000004110000}"/>
    <cellStyle name="Porcentaje 2 6 2 2 3" xfId="2694" xr:uid="{00000000-0005-0000-0000-000005110000}"/>
    <cellStyle name="Porcentaje 2 6 2 3" xfId="3226" xr:uid="{00000000-0005-0000-0000-000006110000}"/>
    <cellStyle name="Porcentaje 2 6 2 4" xfId="2151" xr:uid="{00000000-0005-0000-0000-000007110000}"/>
    <cellStyle name="Porcentaje 2 6 3" xfId="1313" xr:uid="{00000000-0005-0000-0000-000008110000}"/>
    <cellStyle name="Porcentaje 2 6 3 2" xfId="3448" xr:uid="{00000000-0005-0000-0000-000009110000}"/>
    <cellStyle name="Porcentaje 2 6 3 3" xfId="2373" xr:uid="{00000000-0005-0000-0000-00000A110000}"/>
    <cellStyle name="Porcentaje 2 6 4" xfId="2909" xr:uid="{00000000-0005-0000-0000-00000B110000}"/>
    <cellStyle name="Porcentaje 2 6 5" xfId="1818" xr:uid="{00000000-0005-0000-0000-00000C110000}"/>
    <cellStyle name="Porcentaje 2 7" xfId="521" xr:uid="{00000000-0005-0000-0000-00000D110000}"/>
    <cellStyle name="Porcentaje 2 7 2" xfId="1443" xr:uid="{00000000-0005-0000-0000-00000E110000}"/>
    <cellStyle name="Porcentaje 2 7 2 2" xfId="3598" xr:uid="{00000000-0005-0000-0000-00000F110000}"/>
    <cellStyle name="Porcentaje 2 7 2 3" xfId="2523" xr:uid="{00000000-0005-0000-0000-000010110000}"/>
    <cellStyle name="Porcentaje 2 7 3" xfId="3071" xr:uid="{00000000-0005-0000-0000-000011110000}"/>
    <cellStyle name="Porcentaje 2 7 4" xfId="1980" xr:uid="{00000000-0005-0000-0000-000012110000}"/>
    <cellStyle name="Porcentaje 2 8" xfId="1228" xr:uid="{00000000-0005-0000-0000-000013110000}"/>
    <cellStyle name="Porcentaje 2 8 2" xfId="3356" xr:uid="{00000000-0005-0000-0000-000014110000}"/>
    <cellStyle name="Porcentaje 2 8 3" xfId="2281" xr:uid="{00000000-0005-0000-0000-000015110000}"/>
    <cellStyle name="Porcentaje 2 9" xfId="2817" xr:uid="{00000000-0005-0000-0000-000016110000}"/>
    <cellStyle name="Porcentaje 3" xfId="76" xr:uid="{00000000-0005-0000-0000-000017110000}"/>
    <cellStyle name="Porcentaje 4" xfId="77" xr:uid="{00000000-0005-0000-0000-000018110000}"/>
    <cellStyle name="Porcentaje 5" xfId="198" xr:uid="{00000000-0005-0000-0000-000019110000}"/>
    <cellStyle name="Porcentaje 6" xfId="1272" xr:uid="{00000000-0005-0000-0000-00001A110000}"/>
    <cellStyle name="Porcentual 2" xfId="277" xr:uid="{00000000-0005-0000-0000-00001B110000}"/>
    <cellStyle name="Salida" xfId="135" builtinId="21" customBuiltin="1"/>
    <cellStyle name="Style 1" xfId="78" xr:uid="{00000000-0005-0000-0000-00001D110000}"/>
    <cellStyle name="Texto de advertencia" xfId="139" builtinId="11" customBuiltin="1"/>
    <cellStyle name="Texto explicativo" xfId="141" builtinId="53" customBuiltin="1"/>
    <cellStyle name="Título" xfId="5233" builtinId="15" customBuiltin="1"/>
    <cellStyle name="Título 2" xfId="128" builtinId="17" customBuiltin="1"/>
    <cellStyle name="Título 3" xfId="129" builtinId="18" customBuiltin="1"/>
    <cellStyle name="Título 4" xfId="316" xr:uid="{00000000-0005-0000-0000-000022110000}"/>
    <cellStyle name="Total" xfId="142" builtinId="25" customBuiltin="1"/>
  </cellStyles>
  <dxfs count="225">
    <dxf>
      <font>
        <color theme="0"/>
      </font>
      <fill>
        <patternFill>
          <bgColor rgb="FF0070C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.kiosko@soportegrupocan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B0F0"/>
  </sheetPr>
  <dimension ref="A1:EK27"/>
  <sheetViews>
    <sheetView showGridLines="0" tabSelected="1" zoomScale="89" zoomScaleNormal="89" workbookViewId="0">
      <pane xSplit="7" topLeftCell="H1" activePane="topRight" state="frozen"/>
      <selection pane="topRight" activeCell="E9" sqref="E9"/>
    </sheetView>
  </sheetViews>
  <sheetFormatPr baseColWidth="10" defaultColWidth="11.42578125" defaultRowHeight="15"/>
  <cols>
    <col min="1" max="1" width="38.140625" bestFit="1" customWidth="1"/>
    <col min="2" max="2" width="15.140625" style="1" bestFit="1" customWidth="1"/>
    <col min="3" max="3" width="29.140625" style="14" customWidth="1"/>
    <col min="4" max="4" width="15.85546875" style="14" customWidth="1"/>
    <col min="5" max="5" width="34.85546875" style="14" customWidth="1"/>
    <col min="6" max="6" width="27.7109375" style="14" customWidth="1"/>
    <col min="7" max="7" width="19.28515625" style="14" customWidth="1"/>
    <col min="8" max="8" width="14.140625" style="2" bestFit="1" customWidth="1"/>
    <col min="9" max="9" width="10.140625" style="2" bestFit="1" customWidth="1"/>
    <col min="10" max="10" width="14.28515625" style="3" bestFit="1" customWidth="1"/>
    <col min="11" max="11" width="17.28515625" style="2" bestFit="1" customWidth="1"/>
    <col min="12" max="12" width="14.140625" style="2" bestFit="1" customWidth="1"/>
    <col min="13" max="13" width="10.140625" style="2" bestFit="1" customWidth="1"/>
    <col min="14" max="14" width="14.28515625" style="3" bestFit="1" customWidth="1"/>
    <col min="15" max="15" width="17.28515625" style="2" bestFit="1" customWidth="1"/>
    <col min="16" max="16" width="14.140625" style="2" bestFit="1" customWidth="1"/>
    <col min="17" max="17" width="10.140625" style="2" bestFit="1" customWidth="1"/>
    <col min="18" max="18" width="14.28515625" style="3" bestFit="1" customWidth="1"/>
    <col min="19" max="19" width="17.28515625" style="2" bestFit="1" customWidth="1"/>
    <col min="20" max="20" width="14.140625" style="2" bestFit="1" customWidth="1"/>
    <col min="21" max="21" width="10.140625" style="2" bestFit="1" customWidth="1"/>
    <col min="22" max="22" width="14.28515625" style="3" bestFit="1" customWidth="1"/>
    <col min="23" max="23" width="17.28515625" style="2" bestFit="1" customWidth="1"/>
    <col min="24" max="24" width="20" style="2" bestFit="1" customWidth="1"/>
    <col min="25" max="25" width="10.140625" style="2" bestFit="1" customWidth="1"/>
    <col min="26" max="26" width="14.28515625" style="3" bestFit="1" customWidth="1"/>
    <col min="27" max="27" width="16.28515625" style="2" bestFit="1" customWidth="1"/>
    <col min="28" max="28" width="20" style="2" bestFit="1" customWidth="1"/>
    <col min="29" max="29" width="10.140625" style="2" bestFit="1" customWidth="1"/>
    <col min="30" max="30" width="13.5703125" style="3" bestFit="1" customWidth="1"/>
    <col min="31" max="31" width="16.28515625" style="2" bestFit="1" customWidth="1"/>
    <col min="32" max="32" width="14.140625" style="2" bestFit="1" customWidth="1"/>
    <col min="33" max="33" width="10.140625" style="2" bestFit="1" customWidth="1"/>
    <col min="34" max="34" width="13.5703125" style="3" bestFit="1" customWidth="1"/>
    <col min="35" max="35" width="17.28515625" style="2" bestFit="1" customWidth="1"/>
    <col min="36" max="36" width="14.140625" style="2" bestFit="1" customWidth="1"/>
    <col min="37" max="37" width="10.140625" style="2" bestFit="1" customWidth="1"/>
    <col min="38" max="38" width="14.28515625" style="3" bestFit="1" customWidth="1"/>
    <col min="39" max="39" width="17.28515625" style="2" bestFit="1" customWidth="1"/>
    <col min="40" max="40" width="14.140625" style="2" bestFit="1" customWidth="1"/>
    <col min="41" max="41" width="10.140625" style="2" bestFit="1" customWidth="1"/>
    <col min="42" max="42" width="14.28515625" style="3" bestFit="1" customWidth="1"/>
    <col min="43" max="43" width="17.28515625" style="2" bestFit="1" customWidth="1"/>
    <col min="44" max="44" width="14.140625" style="2" bestFit="1" customWidth="1"/>
    <col min="45" max="45" width="10.140625" style="2" bestFit="1" customWidth="1"/>
    <col min="46" max="46" width="14.28515625" style="3" bestFit="1" customWidth="1"/>
    <col min="47" max="47" width="17.28515625" style="2" bestFit="1" customWidth="1"/>
    <col min="48" max="48" width="14.140625" style="2" bestFit="1" customWidth="1"/>
    <col min="49" max="49" width="10.140625" style="2" bestFit="1" customWidth="1"/>
    <col min="50" max="50" width="14.28515625" style="3" bestFit="1" customWidth="1"/>
    <col min="51" max="51" width="17.28515625" style="2" bestFit="1" customWidth="1"/>
    <col min="52" max="52" width="13.42578125" style="2" bestFit="1" customWidth="1"/>
    <col min="53" max="53" width="10.140625" style="2" bestFit="1" customWidth="1"/>
    <col min="54" max="54" width="13.5703125" style="3" bestFit="1" customWidth="1"/>
    <col min="55" max="55" width="16.28515625" style="2" bestFit="1" customWidth="1"/>
    <col min="56" max="56" width="13.42578125" style="2" bestFit="1" customWidth="1"/>
    <col min="57" max="57" width="10.140625" style="2" bestFit="1" customWidth="1"/>
    <col min="58" max="58" width="13.5703125" style="3" bestFit="1" customWidth="1"/>
    <col min="59" max="59" width="16.28515625" style="2" bestFit="1" customWidth="1"/>
    <col min="60" max="60" width="14.140625" style="2" bestFit="1" customWidth="1"/>
    <col min="61" max="61" width="10.140625" style="2" bestFit="1" customWidth="1"/>
    <col min="62" max="62" width="14.28515625" style="3" bestFit="1" customWidth="1"/>
    <col min="63" max="63" width="17.28515625" style="2" bestFit="1" customWidth="1"/>
    <col min="64" max="64" width="14.140625" style="2" bestFit="1" customWidth="1"/>
    <col min="65" max="65" width="10.140625" style="2" bestFit="1" customWidth="1"/>
    <col min="66" max="66" width="14.28515625" style="3" bestFit="1" customWidth="1"/>
    <col min="67" max="67" width="17.28515625" style="2" bestFit="1" customWidth="1"/>
    <col min="68" max="68" width="14.140625" style="2" bestFit="1" customWidth="1"/>
    <col min="69" max="69" width="10.140625" style="2" bestFit="1" customWidth="1"/>
    <col min="70" max="70" width="14.28515625" style="3" bestFit="1" customWidth="1"/>
    <col min="71" max="71" width="17.28515625" style="2" bestFit="1" customWidth="1"/>
    <col min="72" max="72" width="14.140625" style="2" bestFit="1" customWidth="1"/>
    <col min="73" max="73" width="10.140625" style="2" bestFit="1" customWidth="1"/>
    <col min="74" max="74" width="14.28515625" style="3" bestFit="1" customWidth="1"/>
    <col min="75" max="75" width="17.28515625" style="2" bestFit="1" customWidth="1"/>
    <col min="76" max="76" width="14.140625" style="2" bestFit="1" customWidth="1"/>
    <col min="77" max="77" width="10.140625" style="2" bestFit="1" customWidth="1"/>
    <col min="78" max="78" width="14.28515625" style="3" bestFit="1" customWidth="1"/>
    <col min="79" max="79" width="17.28515625" style="2" bestFit="1" customWidth="1"/>
    <col min="80" max="80" width="13.42578125" style="2" bestFit="1" customWidth="1"/>
    <col min="81" max="81" width="10.140625" style="2" bestFit="1" customWidth="1"/>
    <col min="82" max="82" width="13.5703125" style="3" bestFit="1" customWidth="1"/>
    <col min="83" max="83" width="16.28515625" style="2" bestFit="1" customWidth="1"/>
    <col min="84" max="84" width="14.140625" style="2" bestFit="1" customWidth="1"/>
    <col min="85" max="85" width="10.140625" style="2" bestFit="1" customWidth="1"/>
    <col min="86" max="86" width="14.28515625" style="3" bestFit="1" customWidth="1"/>
    <col min="87" max="87" width="17.28515625" style="2" bestFit="1" customWidth="1"/>
    <col min="88" max="88" width="13.42578125" style="2" bestFit="1" customWidth="1"/>
    <col min="89" max="89" width="10.140625" style="2" bestFit="1" customWidth="1"/>
    <col min="90" max="90" width="13.5703125" style="3" bestFit="1" customWidth="1"/>
    <col min="91" max="91" width="16.28515625" style="2" bestFit="1" customWidth="1"/>
    <col min="92" max="92" width="13.42578125" style="2" bestFit="1" customWidth="1"/>
    <col min="93" max="93" width="10.140625" style="2" bestFit="1" customWidth="1"/>
    <col min="94" max="94" width="13.5703125" style="3" bestFit="1" customWidth="1"/>
    <col min="95" max="95" width="16.28515625" style="2" bestFit="1" customWidth="1"/>
    <col min="96" max="96" width="13.42578125" style="2" bestFit="1" customWidth="1"/>
    <col min="97" max="97" width="10.140625" style="2" bestFit="1" customWidth="1"/>
    <col min="98" max="98" width="13.5703125" style="3" customWidth="1"/>
    <col min="99" max="99" width="16.28515625" style="2" customWidth="1"/>
    <col min="100" max="100" width="13.42578125" style="2" bestFit="1" customWidth="1"/>
    <col min="101" max="101" width="10.140625" style="2" bestFit="1" customWidth="1"/>
    <col min="102" max="102" width="13.5703125" style="3" customWidth="1"/>
    <col min="103" max="103" width="16.28515625" style="2" customWidth="1"/>
    <col min="104" max="104" width="13.42578125" style="2" bestFit="1" customWidth="1"/>
    <col min="105" max="105" width="10.140625" style="2" bestFit="1" customWidth="1"/>
    <col min="106" max="106" width="13.5703125" style="3" bestFit="1" customWidth="1"/>
    <col min="107" max="107" width="16.28515625" style="2" bestFit="1" customWidth="1"/>
    <col min="108" max="108" width="13.42578125" style="2" bestFit="1" customWidth="1"/>
    <col min="109" max="109" width="10.140625" style="2" bestFit="1" customWidth="1"/>
    <col min="110" max="110" width="13.5703125" style="3" customWidth="1"/>
    <col min="111" max="111" width="16.28515625" style="2" customWidth="1"/>
    <col min="112" max="112" width="13.42578125" style="2" bestFit="1" customWidth="1"/>
    <col min="113" max="113" width="9.5703125" style="2" bestFit="1" customWidth="1"/>
    <col min="114" max="114" width="13.5703125" style="3" customWidth="1"/>
    <col min="115" max="115" width="16.28515625" style="2" customWidth="1"/>
    <col min="116" max="116" width="13.42578125" style="2" bestFit="1" customWidth="1"/>
    <col min="117" max="117" width="10.140625" style="2" bestFit="1" customWidth="1"/>
    <col min="118" max="118" width="13.5703125" style="3" bestFit="1" customWidth="1"/>
    <col min="119" max="119" width="16.28515625" style="2" bestFit="1" customWidth="1"/>
    <col min="120" max="120" width="13.7109375" customWidth="1"/>
    <col min="121" max="121" width="10.42578125" bestFit="1" customWidth="1"/>
    <col min="122" max="122" width="17.140625" customWidth="1"/>
    <col min="123" max="123" width="13.5703125" bestFit="1" customWidth="1"/>
    <col min="124" max="124" width="15" style="14" bestFit="1" customWidth="1"/>
    <col min="125" max="125" width="10" bestFit="1" customWidth="1"/>
    <col min="126" max="126" width="18.5703125" customWidth="1"/>
    <col min="127" max="127" width="10" customWidth="1"/>
    <col min="128" max="128" width="13.42578125" bestFit="1" customWidth="1"/>
    <col min="129" max="129" width="11.42578125" style="14"/>
  </cols>
  <sheetData>
    <row r="1" spans="1:141" s="53" customFormat="1" ht="9" customHeight="1">
      <c r="B1" s="54"/>
      <c r="H1" s="55" t="s">
        <v>46</v>
      </c>
      <c r="I1" s="56">
        <f>+SUMIFS(J6:J27,$C$6:$C$27,"KIOSCO")</f>
        <v>1.5416666666666679</v>
      </c>
      <c r="J1" s="56">
        <f>+I1+I2</f>
        <v>3.0416666666666687</v>
      </c>
      <c r="K1" s="117" t="str">
        <f>+Adherencia_In!B10</f>
        <v>Incompleto</v>
      </c>
      <c r="L1" s="55" t="s">
        <v>46</v>
      </c>
      <c r="M1" s="56">
        <f>+SUMIFS(N6:N27,$C$6:$C$27,"KIOSCO")</f>
        <v>3.7708333333333397</v>
      </c>
      <c r="N1" s="56">
        <f>+M1+M2</f>
        <v>7.145833333333341</v>
      </c>
      <c r="O1" s="117" t="str">
        <f>+Adherencia_In!C10</f>
        <v>Completo</v>
      </c>
      <c r="P1" s="55" t="s">
        <v>46</v>
      </c>
      <c r="Q1" s="56">
        <f>+SUMIFS(R6:R27,$C$6:$C$27,"KIOSCO")</f>
        <v>3.6666666666666714</v>
      </c>
      <c r="R1" s="56">
        <f t="shared" ref="R1" si="0">+Q1+Q2</f>
        <v>6.8750000000000053</v>
      </c>
      <c r="S1" s="117" t="str">
        <f>+Adherencia_In!D10</f>
        <v>Completo</v>
      </c>
      <c r="T1" s="55" t="s">
        <v>46</v>
      </c>
      <c r="U1" s="56">
        <f>+SUMIFS(V6:V27,$C$6:$C$27,"KIOSCO")</f>
        <v>3.2291666666666705</v>
      </c>
      <c r="V1" s="56">
        <f t="shared" ref="V1" si="1">+U1+U2</f>
        <v>6.4375000000000053</v>
      </c>
      <c r="W1" s="117" t="str">
        <f>+Adherencia_In!E10</f>
        <v>Completo</v>
      </c>
      <c r="X1" s="55" t="s">
        <v>46</v>
      </c>
      <c r="Y1" s="56">
        <f>+SUMIFS(Z6:Z27,$C$6:$C$27,"KIOSCO")</f>
        <v>3.3750000000000058</v>
      </c>
      <c r="Z1" s="56">
        <f t="shared" ref="Z1" si="2">+Y1+Y2</f>
        <v>6.5833333333333419</v>
      </c>
      <c r="AA1" s="117" t="str">
        <f>+Adherencia_In!F10</f>
        <v>Completo</v>
      </c>
      <c r="AB1" s="55" t="s">
        <v>46</v>
      </c>
      <c r="AC1" s="56">
        <f>+SUMIFS(AD6:AD27,$C$6:$C$27,"KIOSCO")</f>
        <v>3.4791666666666732</v>
      </c>
      <c r="AD1" s="56">
        <f t="shared" ref="AD1" si="3">+AC1+AC2</f>
        <v>6.7708333333333428</v>
      </c>
      <c r="AE1" s="117" t="str">
        <f>+Adherencia_In!G10</f>
        <v>Completo</v>
      </c>
      <c r="AF1" s="55" t="s">
        <v>46</v>
      </c>
      <c r="AG1" s="56">
        <f>+SUMIFS(AH6:AH27,$C$6:$C$27,"KIOSCO")</f>
        <v>2.791666666666671</v>
      </c>
      <c r="AH1" s="56">
        <f t="shared" ref="AH1" si="4">+AG1+AG2</f>
        <v>4.5833333333333393</v>
      </c>
      <c r="AI1" s="117" t="str">
        <f>+Adherencia_In!H10</f>
        <v>Incompleto</v>
      </c>
      <c r="AJ1" s="55" t="s">
        <v>46</v>
      </c>
      <c r="AK1" s="56">
        <f>+SUMIFS(AL6:AL27,$C$6:$C$27,"KIOSCO")</f>
        <v>1.5833333333333339</v>
      </c>
      <c r="AL1" s="56">
        <f t="shared" ref="AL1" si="5">+AK1+AK2</f>
        <v>3.5000000000000009</v>
      </c>
      <c r="AM1" s="117" t="str">
        <f>+Adherencia_In!I10</f>
        <v>Incompleto</v>
      </c>
      <c r="AN1" s="55" t="s">
        <v>46</v>
      </c>
      <c r="AO1" s="56">
        <f>+SUMIFS(AP6:AP27,$C$6:$C$27,"KIOSCO")</f>
        <v>0</v>
      </c>
      <c r="AP1" s="56">
        <f t="shared" ref="AP1" si="6">+AO1+AO2</f>
        <v>0</v>
      </c>
      <c r="AQ1" s="117" t="str">
        <f>+Adherencia_In!J10</f>
        <v>Incompleto</v>
      </c>
      <c r="AR1" s="55" t="s">
        <v>46</v>
      </c>
      <c r="AS1" s="56">
        <f>+SUMIFS(AT6:AT27,$C$6:$C$27,"KIOSCO")</f>
        <v>0</v>
      </c>
      <c r="AT1" s="56">
        <f t="shared" ref="AT1" si="7">+AS1+AS2</f>
        <v>0</v>
      </c>
      <c r="AU1" s="117" t="str">
        <f>+Adherencia_In!K10</f>
        <v>Incompleto</v>
      </c>
      <c r="AV1" s="55" t="s">
        <v>46</v>
      </c>
      <c r="AW1" s="56">
        <f>+SUMIFS(AX6:AX27,$C$6:$C$27,"KIOSCO")</f>
        <v>0</v>
      </c>
      <c r="AX1" s="56">
        <f t="shared" ref="AX1" si="8">+AW1+AW2</f>
        <v>0</v>
      </c>
      <c r="AY1" s="117" t="str">
        <f>+Adherencia_In!L10</f>
        <v>Incompleto</v>
      </c>
      <c r="AZ1" s="55" t="s">
        <v>46</v>
      </c>
      <c r="BA1" s="56">
        <f>+SUMIFS(BB6:BB27,$C$6:$C$27,"KIOSCO")</f>
        <v>0</v>
      </c>
      <c r="BB1" s="56">
        <f t="shared" ref="BB1" si="9">+BA1+BA2</f>
        <v>0</v>
      </c>
      <c r="BC1" s="117" t="str">
        <f>+Adherencia_In!M10</f>
        <v>Incompleto</v>
      </c>
      <c r="BD1" s="55" t="s">
        <v>46</v>
      </c>
      <c r="BE1" s="56">
        <f>+SUMIFS(BF6:BF27,$C$6:$C$27,"KIOSCO")</f>
        <v>0</v>
      </c>
      <c r="BF1" s="56">
        <f t="shared" ref="BF1" si="10">+BE1+BE2</f>
        <v>0</v>
      </c>
      <c r="BG1" s="117" t="str">
        <f>+Adherencia_In!N10</f>
        <v>Incompleto</v>
      </c>
      <c r="BH1" s="55" t="s">
        <v>46</v>
      </c>
      <c r="BI1" s="56">
        <f>+SUMIFS(BJ6:BJ27,$C$6:$C$27,"KIOSCO")</f>
        <v>0</v>
      </c>
      <c r="BJ1" s="56">
        <f t="shared" ref="BJ1" si="11">+BI1+BI2</f>
        <v>0</v>
      </c>
      <c r="BK1" s="117" t="str">
        <f>+Adherencia_In!O10</f>
        <v>Incompleto</v>
      </c>
      <c r="BL1" s="55" t="s">
        <v>46</v>
      </c>
      <c r="BM1" s="56">
        <f>+SUMIFS(BN6:BN27,$C$6:$C$27,"KIOSCO")</f>
        <v>0</v>
      </c>
      <c r="BN1" s="56">
        <f t="shared" ref="BN1" si="12">+BM1+BM2</f>
        <v>0</v>
      </c>
      <c r="BO1" s="117" t="str">
        <f>+Adherencia_In!P10</f>
        <v>Incompleto</v>
      </c>
      <c r="BP1" s="55" t="s">
        <v>46</v>
      </c>
      <c r="BQ1" s="56">
        <f>+SUMIFS(BR6:BR27,$C$6:$C$27,"KIOSCO")</f>
        <v>0</v>
      </c>
      <c r="BR1" s="56">
        <f t="shared" ref="BR1" si="13">+BQ1+BQ2</f>
        <v>0</v>
      </c>
      <c r="BS1" s="117" t="str">
        <f>+Adherencia_In!Q10</f>
        <v>Incompleto</v>
      </c>
      <c r="BT1" s="55" t="s">
        <v>46</v>
      </c>
      <c r="BU1" s="56">
        <f>+SUMIFS(BV6:BV27,$C$6:$C$27,"KIOSCO")</f>
        <v>0</v>
      </c>
      <c r="BV1" s="56">
        <f t="shared" ref="BV1" si="14">+BU1+BU2</f>
        <v>0</v>
      </c>
      <c r="BW1" s="117" t="str">
        <f>+Adherencia_In!R10</f>
        <v>Incompleto</v>
      </c>
      <c r="BX1" s="55" t="s">
        <v>46</v>
      </c>
      <c r="BY1" s="56">
        <f>+SUMIFS(BZ6:BZ27,$C$6:$C$27,"KIOSCO")</f>
        <v>0</v>
      </c>
      <c r="BZ1" s="56">
        <f t="shared" ref="BZ1" si="15">+BY1+BY2</f>
        <v>0</v>
      </c>
      <c r="CA1" s="117" t="str">
        <f>+Adherencia_In!S10</f>
        <v>Incompleto</v>
      </c>
      <c r="CB1" s="55" t="s">
        <v>46</v>
      </c>
      <c r="CC1" s="56">
        <f>+SUMIFS(CD6:CD27,$C$6:$C$27,"KIOSCO")</f>
        <v>0</v>
      </c>
      <c r="CD1" s="56">
        <f t="shared" ref="CD1" si="16">+CC1+CC2</f>
        <v>0</v>
      </c>
      <c r="CE1" s="117" t="str">
        <f>+Adherencia_In!T10</f>
        <v>Incompleto</v>
      </c>
      <c r="CF1" s="55" t="s">
        <v>46</v>
      </c>
      <c r="CG1" s="56">
        <f>+SUMIFS(CH6:CH27,$C$6:$C$27,"KIOSCO")</f>
        <v>0</v>
      </c>
      <c r="CH1" s="56">
        <f t="shared" ref="CH1" si="17">+CG1+CG2</f>
        <v>0</v>
      </c>
      <c r="CI1" s="117" t="str">
        <f>+Adherencia_In!U10</f>
        <v>Incompleto</v>
      </c>
      <c r="CJ1" s="55" t="s">
        <v>46</v>
      </c>
      <c r="CK1" s="56">
        <f>+SUMIFS(CL6:CL27,$C$6:$C$27,"KIOSCO")</f>
        <v>0</v>
      </c>
      <c r="CL1" s="56">
        <f t="shared" ref="CL1" si="18">+CK1+CK2</f>
        <v>0</v>
      </c>
      <c r="CM1" s="117" t="str">
        <f>+Adherencia_In!V10</f>
        <v>Incompleto</v>
      </c>
      <c r="CN1" s="55" t="s">
        <v>46</v>
      </c>
      <c r="CO1" s="56">
        <f>+SUMIFS(CP6:CP27,$C$6:$C$27,"KIOSCO")</f>
        <v>0</v>
      </c>
      <c r="CP1" s="56">
        <f t="shared" ref="CP1" si="19">+CO1+CO2</f>
        <v>0</v>
      </c>
      <c r="CQ1" s="117" t="str">
        <f>+Adherencia_In!W10</f>
        <v>Incompleto</v>
      </c>
      <c r="CR1" s="55" t="s">
        <v>46</v>
      </c>
      <c r="CS1" s="56">
        <f>+SUMIFS(CT6:CT27,$C$6:$C$27,"KIOSCO")</f>
        <v>0</v>
      </c>
      <c r="CT1" s="56">
        <f t="shared" ref="CT1" si="20">+CS1+CS2</f>
        <v>0</v>
      </c>
      <c r="CU1" s="117" t="str">
        <f>+Adherencia_In!X10</f>
        <v>Incompleto</v>
      </c>
      <c r="CV1" s="55" t="s">
        <v>46</v>
      </c>
      <c r="CW1" s="56">
        <f>+SUMIFS(CX6:CX27,$C$6:$C$27,"KIOSCO")</f>
        <v>0</v>
      </c>
      <c r="CX1" s="56">
        <f t="shared" ref="CX1" si="21">+CW1+CW2</f>
        <v>0</v>
      </c>
      <c r="CY1" s="117" t="str">
        <f>+Adherencia_In!Y10</f>
        <v>Incompleto</v>
      </c>
      <c r="CZ1" s="55" t="s">
        <v>46</v>
      </c>
      <c r="DA1" s="56">
        <f>+SUMIFS(DB6:DB27,$C$6:$C$27,"KIOSCO")</f>
        <v>0</v>
      </c>
      <c r="DB1" s="56">
        <f t="shared" ref="DB1" si="22">+DA1+DA2</f>
        <v>0</v>
      </c>
      <c r="DC1" s="117" t="str">
        <f>+Adherencia_In!Z10</f>
        <v>Incompleto</v>
      </c>
      <c r="DD1" s="55" t="s">
        <v>46</v>
      </c>
      <c r="DE1" s="56">
        <f>+SUMIFS(DF6:DF27,$C$6:$C$27,"KIOSCO")</f>
        <v>0</v>
      </c>
      <c r="DF1" s="56">
        <f t="shared" ref="DF1" si="23">+DE1+DE2</f>
        <v>0</v>
      </c>
      <c r="DG1" s="117" t="str">
        <f>+Adherencia_In!AA10</f>
        <v>Incompleto</v>
      </c>
      <c r="DH1" s="55" t="s">
        <v>46</v>
      </c>
      <c r="DI1" s="56">
        <f>+SUMIFS(DJ6:DJ27,$C$6:$C$27,"KIOSCO")</f>
        <v>0</v>
      </c>
      <c r="DJ1" s="56">
        <f t="shared" ref="DJ1" si="24">+DI1+DI2</f>
        <v>0</v>
      </c>
      <c r="DK1" s="117" t="str">
        <f>+Adherencia_In!AB10</f>
        <v>Incompleto</v>
      </c>
      <c r="DL1" s="55"/>
      <c r="DM1" s="55"/>
      <c r="DN1" s="55"/>
      <c r="DO1" s="55"/>
      <c r="DP1" s="55" t="s">
        <v>46</v>
      </c>
      <c r="DQ1" s="56">
        <f>+SUMIFS(DZ6:DZ27,$C$6:$C$27,"KIOSCO")</f>
        <v>0</v>
      </c>
      <c r="DR1" s="56">
        <f t="shared" ref="DR1" si="25">+DQ1+DQ2</f>
        <v>0</v>
      </c>
      <c r="DS1" s="117" t="str">
        <f>+Adherencia_In!AC10</f>
        <v>Incompleto</v>
      </c>
    </row>
    <row r="2" spans="1:141" s="53" customFormat="1" ht="9" customHeight="1" thickBot="1">
      <c r="B2" s="54"/>
      <c r="H2" s="55" t="s">
        <v>40</v>
      </c>
      <c r="I2" s="56">
        <f>+SUMIFS(J6:J27,$C$6:$C$27,"VIDEO LLAMADA")</f>
        <v>1.5000000000000009</v>
      </c>
      <c r="J2" s="57"/>
      <c r="K2" s="118"/>
      <c r="L2" s="55" t="s">
        <v>40</v>
      </c>
      <c r="M2" s="56">
        <f>+SUMIFS(N6:N27,$C$6:$C$27,"VIDEO LLAMADA")</f>
        <v>3.3750000000000009</v>
      </c>
      <c r="N2" s="57"/>
      <c r="O2" s="118"/>
      <c r="P2" s="55" t="s">
        <v>40</v>
      </c>
      <c r="Q2" s="56">
        <f>+SUMIFS(R6:R27,$C$6:$C$27,"VIDEO LLAMADA")</f>
        <v>3.2083333333333339</v>
      </c>
      <c r="R2" s="57"/>
      <c r="S2" s="118"/>
      <c r="T2" s="55" t="s">
        <v>40</v>
      </c>
      <c r="U2" s="56">
        <f>+SUMIFS(V6:V27,$C$6:$C$27,"VIDEO LLAMADA")</f>
        <v>3.2083333333333348</v>
      </c>
      <c r="V2" s="57"/>
      <c r="W2" s="118"/>
      <c r="X2" s="55" t="s">
        <v>40</v>
      </c>
      <c r="Y2" s="56">
        <f>+SUMIFS(Z6:Z27,$C$6:$C$27,"VIDEO LLAMADA")</f>
        <v>3.2083333333333361</v>
      </c>
      <c r="Z2" s="57"/>
      <c r="AA2" s="118"/>
      <c r="AB2" s="55" t="s">
        <v>40</v>
      </c>
      <c r="AC2" s="56">
        <f>+SUMIFS(AD6:AD27,$C$6:$C$27,"VIDEO LLAMADA")</f>
        <v>3.2916666666666692</v>
      </c>
      <c r="AD2" s="57"/>
      <c r="AE2" s="118"/>
      <c r="AF2" s="55" t="s">
        <v>40</v>
      </c>
      <c r="AG2" s="56">
        <f>+SUMIFS(AH6:AH27,$C$6:$C$27,"VIDEO LLAMADA")</f>
        <v>1.7916666666666679</v>
      </c>
      <c r="AH2" s="57"/>
      <c r="AI2" s="118"/>
      <c r="AJ2" s="55" t="s">
        <v>40</v>
      </c>
      <c r="AK2" s="56">
        <f>+SUMIFS(AL6:AL27,$C$6:$C$27,"VIDEO LLAMADA")</f>
        <v>1.916666666666667</v>
      </c>
      <c r="AL2" s="57"/>
      <c r="AM2" s="118"/>
      <c r="AN2" s="55" t="s">
        <v>40</v>
      </c>
      <c r="AO2" s="56">
        <f>+SUMIFS(AP6:AP27,$C$6:$C$27,"VIDEO LLAMADA")</f>
        <v>0</v>
      </c>
      <c r="AP2" s="57"/>
      <c r="AQ2" s="118"/>
      <c r="AR2" s="55" t="s">
        <v>40</v>
      </c>
      <c r="AS2" s="56">
        <f>+SUMIFS(AT6:AT27,$C$6:$C$27,"VIDEO LLAMADA")</f>
        <v>0</v>
      </c>
      <c r="AT2" s="57" t="str">
        <f>+Adherencia_In!K5</f>
        <v>97:00:00</v>
      </c>
      <c r="AU2" s="118"/>
      <c r="AV2" s="55" t="s">
        <v>40</v>
      </c>
      <c r="AW2" s="56">
        <f>+SUMIFS(AX6:AX27,$C$6:$C$27,"VIDEO LLAMADA")</f>
        <v>0</v>
      </c>
      <c r="AX2" s="57"/>
      <c r="AY2" s="118"/>
      <c r="AZ2" s="55" t="s">
        <v>40</v>
      </c>
      <c r="BA2" s="56">
        <f>+SUMIFS(BB6:BB27,$C$6:$C$27,"VIDEO LLAMADA")</f>
        <v>0</v>
      </c>
      <c r="BB2" s="57"/>
      <c r="BC2" s="118"/>
      <c r="BD2" s="55" t="s">
        <v>40</v>
      </c>
      <c r="BE2" s="56">
        <f>+SUMIFS(BF6:BF27,$C$6:$C$27,"VIDEO LLAMADA")</f>
        <v>0</v>
      </c>
      <c r="BF2" s="57"/>
      <c r="BG2" s="118"/>
      <c r="BH2" s="55" t="s">
        <v>40</v>
      </c>
      <c r="BI2" s="56">
        <f>+SUMIFS(BJ6:BJ27,$C$6:$C$27,"VIDEO LLAMADA")</f>
        <v>0</v>
      </c>
      <c r="BJ2" s="57"/>
      <c r="BK2" s="118"/>
      <c r="BL2" s="55" t="s">
        <v>40</v>
      </c>
      <c r="BM2" s="56">
        <f>+SUMIFS(BN6:BN27,$C$6:$C$27,"VIDEO LLAMADA")</f>
        <v>0</v>
      </c>
      <c r="BN2" s="57"/>
      <c r="BO2" s="118"/>
      <c r="BP2" s="55" t="s">
        <v>40</v>
      </c>
      <c r="BQ2" s="56">
        <f>+SUMIFS(BR6:BR27,$C$6:$C$27,"VIDEO LLAMADA")</f>
        <v>0</v>
      </c>
      <c r="BR2" s="57"/>
      <c r="BS2" s="118"/>
      <c r="BT2" s="55" t="s">
        <v>40</v>
      </c>
      <c r="BU2" s="56">
        <f>+SUMIFS(BV6:BV27,$C$6:$C$27,"VIDEO LLAMADA")</f>
        <v>0</v>
      </c>
      <c r="BV2" s="57"/>
      <c r="BW2" s="118"/>
      <c r="BX2" s="55" t="s">
        <v>40</v>
      </c>
      <c r="BY2" s="56">
        <f>+SUMIFS(BZ6:BZ27,$C$6:$C$27,"VIDEO LLAMADA")</f>
        <v>0</v>
      </c>
      <c r="BZ2" s="57"/>
      <c r="CA2" s="118"/>
      <c r="CB2" s="55" t="s">
        <v>40</v>
      </c>
      <c r="CC2" s="56">
        <f>+SUMIFS(CD6:CD27,$C$6:$C$27,"VIDEO LLAMADA")</f>
        <v>0</v>
      </c>
      <c r="CD2" s="57"/>
      <c r="CE2" s="118"/>
      <c r="CF2" s="55" t="s">
        <v>40</v>
      </c>
      <c r="CG2" s="56">
        <f>+SUMIFS(CH6:CH27,$C$6:$C$27,"VIDEO LLAMADA")</f>
        <v>0</v>
      </c>
      <c r="CH2" s="57"/>
      <c r="CI2" s="118"/>
      <c r="CJ2" s="55" t="s">
        <v>40</v>
      </c>
      <c r="CK2" s="56">
        <f>+SUMIFS(CL6:CL27,$C$6:$C$27,"VIDEO LLAMADA")</f>
        <v>0</v>
      </c>
      <c r="CL2" s="57"/>
      <c r="CM2" s="118"/>
      <c r="CN2" s="55" t="s">
        <v>40</v>
      </c>
      <c r="CO2" s="56">
        <f>+SUMIFS(CP6:CP27,$C$6:$C$27,"VIDEO LLAMADA")</f>
        <v>0</v>
      </c>
      <c r="CP2" s="57"/>
      <c r="CQ2" s="118"/>
      <c r="CR2" s="55" t="s">
        <v>40</v>
      </c>
      <c r="CS2" s="56">
        <f>+SUMIFS(CT6:CT27,$C$6:$C$27,"VIDEO LLAMADA")</f>
        <v>0</v>
      </c>
      <c r="CT2" s="57"/>
      <c r="CU2" s="118"/>
      <c r="CV2" s="55" t="s">
        <v>40</v>
      </c>
      <c r="CW2" s="56">
        <f>+SUMIFS(CX6:CX27,$C$6:$C$27,"VIDEO LLAMADA")</f>
        <v>0</v>
      </c>
      <c r="CX2" s="57"/>
      <c r="CY2" s="118"/>
      <c r="CZ2" s="55" t="s">
        <v>40</v>
      </c>
      <c r="DA2" s="56">
        <f>+SUMIFS(DB6:DB27,$C$6:$C$27,"VIDEO LLAMADA")</f>
        <v>0</v>
      </c>
      <c r="DB2" s="57"/>
      <c r="DC2" s="118"/>
      <c r="DD2" s="55" t="s">
        <v>40</v>
      </c>
      <c r="DE2" s="56">
        <f>+SUMIFS(DF6:DF27,$C$6:$C$27,"VIDEO LLAMADA")</f>
        <v>0</v>
      </c>
      <c r="DF2" s="57"/>
      <c r="DG2" s="118"/>
      <c r="DH2" s="55" t="s">
        <v>40</v>
      </c>
      <c r="DI2" s="56">
        <f>+SUMIFS(DJ6:DJ27,$C$6:$C$27,"VIDEO LLAMADA")</f>
        <v>0</v>
      </c>
      <c r="DJ2" s="57"/>
      <c r="DK2" s="118"/>
      <c r="DL2" s="55"/>
      <c r="DM2" s="55"/>
      <c r="DN2" s="55"/>
      <c r="DO2" s="55"/>
      <c r="DP2" s="55" t="s">
        <v>40</v>
      </c>
      <c r="DQ2" s="56">
        <f>+SUMIFS(DZ6:DZ27,$C$6:$C$27,"VIDEO LLAMADA")</f>
        <v>0</v>
      </c>
      <c r="DR2" s="57"/>
      <c r="DS2" s="118"/>
    </row>
    <row r="3" spans="1:141">
      <c r="A3" s="12"/>
      <c r="B3" s="67"/>
      <c r="C3" s="12"/>
      <c r="D3" s="12"/>
      <c r="E3" s="12"/>
      <c r="F3" s="12"/>
      <c r="G3" s="12"/>
      <c r="H3" s="114">
        <f>+H4</f>
        <v>46082</v>
      </c>
      <c r="I3" s="115"/>
      <c r="J3" s="115"/>
      <c r="K3" s="116"/>
      <c r="L3" s="114">
        <f t="shared" ref="L3" si="26">+L4</f>
        <v>46083</v>
      </c>
      <c r="M3" s="115"/>
      <c r="N3" s="115"/>
      <c r="O3" s="116"/>
      <c r="P3" s="114">
        <f t="shared" ref="P3" si="27">+P4</f>
        <v>46084</v>
      </c>
      <c r="Q3" s="115"/>
      <c r="R3" s="115"/>
      <c r="S3" s="116"/>
      <c r="T3" s="114">
        <f t="shared" ref="T3" si="28">+T4</f>
        <v>46085</v>
      </c>
      <c r="U3" s="115"/>
      <c r="V3" s="115"/>
      <c r="W3" s="116"/>
      <c r="X3" s="114">
        <f t="shared" ref="X3" si="29">+X4</f>
        <v>46086</v>
      </c>
      <c r="Y3" s="115"/>
      <c r="Z3" s="115"/>
      <c r="AA3" s="116"/>
      <c r="AB3" s="114">
        <f t="shared" ref="AB3" si="30">+AB4</f>
        <v>46087</v>
      </c>
      <c r="AC3" s="115"/>
      <c r="AD3" s="115"/>
      <c r="AE3" s="116"/>
      <c r="AF3" s="114">
        <f t="shared" ref="AF3" si="31">+AF4</f>
        <v>46088</v>
      </c>
      <c r="AG3" s="115"/>
      <c r="AH3" s="115"/>
      <c r="AI3" s="116"/>
      <c r="AJ3" s="114">
        <f t="shared" ref="AJ3" si="32">+AJ4</f>
        <v>46089</v>
      </c>
      <c r="AK3" s="115"/>
      <c r="AL3" s="115"/>
      <c r="AM3" s="116"/>
      <c r="AN3" s="114">
        <f t="shared" ref="AN3" si="33">+AN4</f>
        <v>46090</v>
      </c>
      <c r="AO3" s="115"/>
      <c r="AP3" s="115"/>
      <c r="AQ3" s="116"/>
      <c r="AR3" s="114">
        <f t="shared" ref="AR3" si="34">+AR4</f>
        <v>46091</v>
      </c>
      <c r="AS3" s="115"/>
      <c r="AT3" s="115"/>
      <c r="AU3" s="116"/>
      <c r="AV3" s="114">
        <f t="shared" ref="AV3" si="35">+AV4</f>
        <v>46092</v>
      </c>
      <c r="AW3" s="115"/>
      <c r="AX3" s="115"/>
      <c r="AY3" s="116"/>
      <c r="AZ3" s="114">
        <f t="shared" ref="AZ3" si="36">+AZ4</f>
        <v>46093</v>
      </c>
      <c r="BA3" s="115"/>
      <c r="BB3" s="115"/>
      <c r="BC3" s="116"/>
      <c r="BD3" s="114">
        <f t="shared" ref="BD3" si="37">+BD4</f>
        <v>46094</v>
      </c>
      <c r="BE3" s="115"/>
      <c r="BF3" s="115"/>
      <c r="BG3" s="116"/>
      <c r="BH3" s="114">
        <f t="shared" ref="BH3" si="38">+BH4</f>
        <v>46095</v>
      </c>
      <c r="BI3" s="115"/>
      <c r="BJ3" s="115"/>
      <c r="BK3" s="116"/>
      <c r="BL3" s="114">
        <f t="shared" ref="BL3" si="39">+BL4</f>
        <v>46096</v>
      </c>
      <c r="BM3" s="115"/>
      <c r="BN3" s="115"/>
      <c r="BO3" s="116"/>
      <c r="BP3" s="114">
        <f t="shared" ref="BP3" si="40">+BP4</f>
        <v>46097</v>
      </c>
      <c r="BQ3" s="115"/>
      <c r="BR3" s="115"/>
      <c r="BS3" s="116"/>
      <c r="BT3" s="114">
        <f t="shared" ref="BT3" si="41">+BT4</f>
        <v>46098</v>
      </c>
      <c r="BU3" s="115"/>
      <c r="BV3" s="115"/>
      <c r="BW3" s="116"/>
      <c r="BX3" s="114">
        <f t="shared" ref="BX3" si="42">+BX4</f>
        <v>46099</v>
      </c>
      <c r="BY3" s="115"/>
      <c r="BZ3" s="115"/>
      <c r="CA3" s="116"/>
      <c r="CB3" s="114">
        <f t="shared" ref="CB3" si="43">+CB4</f>
        <v>46100</v>
      </c>
      <c r="CC3" s="115"/>
      <c r="CD3" s="115"/>
      <c r="CE3" s="116"/>
      <c r="CF3" s="114">
        <f t="shared" ref="CF3" si="44">+CF4</f>
        <v>46101</v>
      </c>
      <c r="CG3" s="115"/>
      <c r="CH3" s="115"/>
      <c r="CI3" s="116"/>
      <c r="CJ3" s="114">
        <f t="shared" ref="CJ3" si="45">+CJ4</f>
        <v>46102</v>
      </c>
      <c r="CK3" s="115"/>
      <c r="CL3" s="115"/>
      <c r="CM3" s="116"/>
      <c r="CN3" s="114">
        <f t="shared" ref="CN3" si="46">+CN4</f>
        <v>46103</v>
      </c>
      <c r="CO3" s="115"/>
      <c r="CP3" s="115"/>
      <c r="CQ3" s="116"/>
      <c r="CR3" s="114">
        <f t="shared" ref="CR3" si="47">+CR4</f>
        <v>46104</v>
      </c>
      <c r="CS3" s="115"/>
      <c r="CT3" s="115"/>
      <c r="CU3" s="116"/>
      <c r="CV3" s="114">
        <f t="shared" ref="CV3" si="48">+CV4</f>
        <v>46105</v>
      </c>
      <c r="CW3" s="115"/>
      <c r="CX3" s="115"/>
      <c r="CY3" s="116"/>
      <c r="CZ3" s="114">
        <f t="shared" ref="CZ3" si="49">+CZ4</f>
        <v>46106</v>
      </c>
      <c r="DA3" s="115"/>
      <c r="DB3" s="115"/>
      <c r="DC3" s="116"/>
      <c r="DD3" s="114">
        <f t="shared" ref="DD3" si="50">+DD4</f>
        <v>46107</v>
      </c>
      <c r="DE3" s="115"/>
      <c r="DF3" s="115"/>
      <c r="DG3" s="116"/>
      <c r="DH3" s="114">
        <f t="shared" ref="DH3" si="51">+DH4</f>
        <v>46108</v>
      </c>
      <c r="DI3" s="115"/>
      <c r="DJ3" s="115"/>
      <c r="DK3" s="116"/>
      <c r="DL3" s="114">
        <f t="shared" ref="DL3" si="52">+DL4</f>
        <v>46109</v>
      </c>
      <c r="DM3" s="115"/>
      <c r="DN3" s="115"/>
      <c r="DO3" s="116"/>
      <c r="DP3" s="114">
        <f t="shared" ref="DP3" si="53">+DP4</f>
        <v>46110</v>
      </c>
      <c r="DQ3" s="115"/>
      <c r="DR3" s="115"/>
      <c r="DS3" s="116"/>
      <c r="DT3" s="114">
        <f t="shared" ref="DT3" si="54">+DT4</f>
        <v>46111</v>
      </c>
      <c r="DU3" s="115"/>
      <c r="DV3" s="115"/>
      <c r="DW3" s="116"/>
      <c r="DX3" s="114">
        <f t="shared" ref="DX3" si="55">+DX4</f>
        <v>46112</v>
      </c>
      <c r="DY3" s="115"/>
      <c r="DZ3" s="115"/>
      <c r="EA3" s="116"/>
      <c r="EB3" s="12"/>
      <c r="EC3" s="12"/>
      <c r="ED3" s="17" t="s">
        <v>238</v>
      </c>
      <c r="EE3" s="17" t="s">
        <v>112</v>
      </c>
      <c r="EF3" s="109">
        <v>7.125</v>
      </c>
      <c r="EG3" s="49"/>
      <c r="EH3" s="14" t="s">
        <v>277</v>
      </c>
      <c r="EI3" s="50">
        <f>482/171</f>
        <v>2.8187134502923978</v>
      </c>
      <c r="EJ3" s="14"/>
      <c r="EK3" s="14"/>
    </row>
    <row r="4" spans="1:141" ht="15.75" thickBot="1">
      <c r="A4" s="12"/>
      <c r="B4" s="67"/>
      <c r="C4" s="12"/>
      <c r="D4" s="12"/>
      <c r="E4" s="12"/>
      <c r="F4" s="12"/>
      <c r="G4" s="12"/>
      <c r="H4" s="111">
        <v>46082</v>
      </c>
      <c r="I4" s="112"/>
      <c r="J4" s="112"/>
      <c r="K4" s="113"/>
      <c r="L4" s="111">
        <v>46083</v>
      </c>
      <c r="M4" s="112"/>
      <c r="N4" s="112"/>
      <c r="O4" s="113"/>
      <c r="P4" s="111">
        <v>46084</v>
      </c>
      <c r="Q4" s="112"/>
      <c r="R4" s="112"/>
      <c r="S4" s="113"/>
      <c r="T4" s="111">
        <v>46085</v>
      </c>
      <c r="U4" s="112"/>
      <c r="V4" s="112"/>
      <c r="W4" s="113"/>
      <c r="X4" s="111">
        <v>46086</v>
      </c>
      <c r="Y4" s="112"/>
      <c r="Z4" s="112"/>
      <c r="AA4" s="113"/>
      <c r="AB4" s="111">
        <v>46087</v>
      </c>
      <c r="AC4" s="112"/>
      <c r="AD4" s="112"/>
      <c r="AE4" s="113"/>
      <c r="AF4" s="111">
        <v>46088</v>
      </c>
      <c r="AG4" s="112"/>
      <c r="AH4" s="112"/>
      <c r="AI4" s="113"/>
      <c r="AJ4" s="111">
        <v>46089</v>
      </c>
      <c r="AK4" s="112"/>
      <c r="AL4" s="112"/>
      <c r="AM4" s="113"/>
      <c r="AN4" s="111">
        <v>46090</v>
      </c>
      <c r="AO4" s="112"/>
      <c r="AP4" s="112"/>
      <c r="AQ4" s="113"/>
      <c r="AR4" s="111">
        <v>46091</v>
      </c>
      <c r="AS4" s="112"/>
      <c r="AT4" s="112"/>
      <c r="AU4" s="113"/>
      <c r="AV4" s="111">
        <v>46092</v>
      </c>
      <c r="AW4" s="112"/>
      <c r="AX4" s="112"/>
      <c r="AY4" s="113"/>
      <c r="AZ4" s="111">
        <v>46093</v>
      </c>
      <c r="BA4" s="112"/>
      <c r="BB4" s="112"/>
      <c r="BC4" s="113"/>
      <c r="BD4" s="111">
        <v>46094</v>
      </c>
      <c r="BE4" s="112"/>
      <c r="BF4" s="112"/>
      <c r="BG4" s="113"/>
      <c r="BH4" s="111">
        <v>46095</v>
      </c>
      <c r="BI4" s="112"/>
      <c r="BJ4" s="112"/>
      <c r="BK4" s="113"/>
      <c r="BL4" s="111">
        <v>46096</v>
      </c>
      <c r="BM4" s="112"/>
      <c r="BN4" s="112"/>
      <c r="BO4" s="113"/>
      <c r="BP4" s="111">
        <v>46097</v>
      </c>
      <c r="BQ4" s="112"/>
      <c r="BR4" s="112"/>
      <c r="BS4" s="113"/>
      <c r="BT4" s="111">
        <v>46098</v>
      </c>
      <c r="BU4" s="112"/>
      <c r="BV4" s="112"/>
      <c r="BW4" s="113"/>
      <c r="BX4" s="111">
        <v>46099</v>
      </c>
      <c r="BY4" s="112"/>
      <c r="BZ4" s="112"/>
      <c r="CA4" s="113"/>
      <c r="CB4" s="111">
        <v>46100</v>
      </c>
      <c r="CC4" s="112"/>
      <c r="CD4" s="112"/>
      <c r="CE4" s="113"/>
      <c r="CF4" s="111">
        <v>46101</v>
      </c>
      <c r="CG4" s="112"/>
      <c r="CH4" s="112"/>
      <c r="CI4" s="113"/>
      <c r="CJ4" s="111">
        <v>46102</v>
      </c>
      <c r="CK4" s="112"/>
      <c r="CL4" s="112"/>
      <c r="CM4" s="113"/>
      <c r="CN4" s="111">
        <v>46103</v>
      </c>
      <c r="CO4" s="112"/>
      <c r="CP4" s="112"/>
      <c r="CQ4" s="113"/>
      <c r="CR4" s="111">
        <v>46104</v>
      </c>
      <c r="CS4" s="112"/>
      <c r="CT4" s="112"/>
      <c r="CU4" s="113"/>
      <c r="CV4" s="111">
        <v>46105</v>
      </c>
      <c r="CW4" s="112"/>
      <c r="CX4" s="112"/>
      <c r="CY4" s="113"/>
      <c r="CZ4" s="111">
        <v>46106</v>
      </c>
      <c r="DA4" s="112"/>
      <c r="DB4" s="112"/>
      <c r="DC4" s="113"/>
      <c r="DD4" s="111">
        <v>46107</v>
      </c>
      <c r="DE4" s="112"/>
      <c r="DF4" s="112"/>
      <c r="DG4" s="113"/>
      <c r="DH4" s="111">
        <v>46108</v>
      </c>
      <c r="DI4" s="112"/>
      <c r="DJ4" s="112"/>
      <c r="DK4" s="113"/>
      <c r="DL4" s="111">
        <v>46109</v>
      </c>
      <c r="DM4" s="112"/>
      <c r="DN4" s="112"/>
      <c r="DO4" s="113"/>
      <c r="DP4" s="111">
        <v>46110</v>
      </c>
      <c r="DQ4" s="112"/>
      <c r="DR4" s="112"/>
      <c r="DS4" s="113"/>
      <c r="DT4" s="111">
        <v>46111</v>
      </c>
      <c r="DU4" s="112"/>
      <c r="DV4" s="112"/>
      <c r="DW4" s="113"/>
      <c r="DX4" s="111">
        <v>46112</v>
      </c>
      <c r="DY4" s="112"/>
      <c r="DZ4" s="112"/>
      <c r="EA4" s="113"/>
      <c r="EB4" s="12"/>
      <c r="EC4" s="12"/>
      <c r="ED4" s="12"/>
      <c r="EE4" s="12"/>
      <c r="EF4" s="109">
        <v>7.125</v>
      </c>
      <c r="EG4" s="14"/>
      <c r="EH4" s="14" t="s">
        <v>283</v>
      </c>
      <c r="EI4" s="50">
        <f>482/171</f>
        <v>2.8187134502923978</v>
      </c>
      <c r="EJ4" s="14"/>
      <c r="EK4" s="14"/>
    </row>
    <row r="5" spans="1:141" s="4" customFormat="1" ht="48" customHeight="1">
      <c r="A5" s="32" t="s">
        <v>0</v>
      </c>
      <c r="B5" s="33" t="s">
        <v>1</v>
      </c>
      <c r="C5" s="34" t="s">
        <v>2</v>
      </c>
      <c r="D5" s="35" t="s">
        <v>41</v>
      </c>
      <c r="E5" s="34" t="s">
        <v>43</v>
      </c>
      <c r="F5" s="36" t="s">
        <v>3</v>
      </c>
      <c r="G5" s="89" t="s">
        <v>32</v>
      </c>
      <c r="H5" s="92" t="s">
        <v>2</v>
      </c>
      <c r="I5" s="37" t="s">
        <v>4</v>
      </c>
      <c r="J5" s="38" t="s">
        <v>5</v>
      </c>
      <c r="K5" s="93" t="s">
        <v>6</v>
      </c>
      <c r="L5" s="92" t="s">
        <v>2</v>
      </c>
      <c r="M5" s="37" t="s">
        <v>4</v>
      </c>
      <c r="N5" s="38" t="s">
        <v>5</v>
      </c>
      <c r="O5" s="93" t="s">
        <v>6</v>
      </c>
      <c r="P5" s="92" t="s">
        <v>2</v>
      </c>
      <c r="Q5" s="37" t="s">
        <v>4</v>
      </c>
      <c r="R5" s="38" t="s">
        <v>5</v>
      </c>
      <c r="S5" s="93" t="s">
        <v>6</v>
      </c>
      <c r="T5" s="92" t="s">
        <v>2</v>
      </c>
      <c r="U5" s="37" t="s">
        <v>4</v>
      </c>
      <c r="V5" s="38" t="s">
        <v>5</v>
      </c>
      <c r="W5" s="93" t="s">
        <v>6</v>
      </c>
      <c r="X5" s="92" t="s">
        <v>2</v>
      </c>
      <c r="Y5" s="37" t="s">
        <v>4</v>
      </c>
      <c r="Z5" s="38" t="s">
        <v>5</v>
      </c>
      <c r="AA5" s="93" t="s">
        <v>6</v>
      </c>
      <c r="AB5" s="92" t="s">
        <v>2</v>
      </c>
      <c r="AC5" s="37" t="s">
        <v>4</v>
      </c>
      <c r="AD5" s="38" t="s">
        <v>5</v>
      </c>
      <c r="AE5" s="93" t="s">
        <v>6</v>
      </c>
      <c r="AF5" s="92" t="s">
        <v>2</v>
      </c>
      <c r="AG5" s="37" t="s">
        <v>4</v>
      </c>
      <c r="AH5" s="38" t="s">
        <v>5</v>
      </c>
      <c r="AI5" s="93" t="s">
        <v>6</v>
      </c>
      <c r="AJ5" s="92" t="s">
        <v>2</v>
      </c>
      <c r="AK5" s="37" t="s">
        <v>4</v>
      </c>
      <c r="AL5" s="38" t="s">
        <v>5</v>
      </c>
      <c r="AM5" s="93" t="s">
        <v>6</v>
      </c>
      <c r="AN5" s="92" t="s">
        <v>2</v>
      </c>
      <c r="AO5" s="37" t="s">
        <v>4</v>
      </c>
      <c r="AP5" s="38" t="s">
        <v>5</v>
      </c>
      <c r="AQ5" s="93" t="s">
        <v>6</v>
      </c>
      <c r="AR5" s="92" t="s">
        <v>2</v>
      </c>
      <c r="AS5" s="37" t="s">
        <v>4</v>
      </c>
      <c r="AT5" s="38" t="s">
        <v>5</v>
      </c>
      <c r="AU5" s="93" t="s">
        <v>6</v>
      </c>
      <c r="AV5" s="92" t="s">
        <v>2</v>
      </c>
      <c r="AW5" s="37" t="s">
        <v>4</v>
      </c>
      <c r="AX5" s="38" t="s">
        <v>5</v>
      </c>
      <c r="AY5" s="93" t="s">
        <v>6</v>
      </c>
      <c r="AZ5" s="92" t="s">
        <v>2</v>
      </c>
      <c r="BA5" s="37" t="s">
        <v>4</v>
      </c>
      <c r="BB5" s="38" t="s">
        <v>5</v>
      </c>
      <c r="BC5" s="93" t="s">
        <v>6</v>
      </c>
      <c r="BD5" s="92" t="s">
        <v>2</v>
      </c>
      <c r="BE5" s="37" t="s">
        <v>4</v>
      </c>
      <c r="BF5" s="38" t="s">
        <v>5</v>
      </c>
      <c r="BG5" s="93" t="s">
        <v>6</v>
      </c>
      <c r="BH5" s="92" t="s">
        <v>2</v>
      </c>
      <c r="BI5" s="37" t="s">
        <v>4</v>
      </c>
      <c r="BJ5" s="38" t="s">
        <v>5</v>
      </c>
      <c r="BK5" s="93" t="s">
        <v>6</v>
      </c>
      <c r="BL5" s="92" t="s">
        <v>2</v>
      </c>
      <c r="BM5" s="37" t="s">
        <v>4</v>
      </c>
      <c r="BN5" s="38" t="s">
        <v>5</v>
      </c>
      <c r="BO5" s="93" t="s">
        <v>6</v>
      </c>
      <c r="BP5" s="92" t="s">
        <v>2</v>
      </c>
      <c r="BQ5" s="37" t="s">
        <v>4</v>
      </c>
      <c r="BR5" s="38" t="s">
        <v>5</v>
      </c>
      <c r="BS5" s="93" t="s">
        <v>6</v>
      </c>
      <c r="BT5" s="92" t="s">
        <v>2</v>
      </c>
      <c r="BU5" s="37" t="s">
        <v>4</v>
      </c>
      <c r="BV5" s="38" t="s">
        <v>5</v>
      </c>
      <c r="BW5" s="93" t="s">
        <v>6</v>
      </c>
      <c r="BX5" s="92" t="s">
        <v>2</v>
      </c>
      <c r="BY5" s="37" t="s">
        <v>4</v>
      </c>
      <c r="BZ5" s="38" t="s">
        <v>5</v>
      </c>
      <c r="CA5" s="93" t="s">
        <v>6</v>
      </c>
      <c r="CB5" s="92" t="s">
        <v>2</v>
      </c>
      <c r="CC5" s="37" t="s">
        <v>4</v>
      </c>
      <c r="CD5" s="38" t="s">
        <v>5</v>
      </c>
      <c r="CE5" s="93" t="s">
        <v>6</v>
      </c>
      <c r="CF5" s="92" t="s">
        <v>2</v>
      </c>
      <c r="CG5" s="37" t="s">
        <v>4</v>
      </c>
      <c r="CH5" s="38" t="s">
        <v>5</v>
      </c>
      <c r="CI5" s="93" t="s">
        <v>6</v>
      </c>
      <c r="CJ5" s="92" t="s">
        <v>2</v>
      </c>
      <c r="CK5" s="37" t="s">
        <v>4</v>
      </c>
      <c r="CL5" s="38" t="s">
        <v>5</v>
      </c>
      <c r="CM5" s="93" t="s">
        <v>6</v>
      </c>
      <c r="CN5" s="92" t="s">
        <v>2</v>
      </c>
      <c r="CO5" s="37" t="s">
        <v>4</v>
      </c>
      <c r="CP5" s="38" t="s">
        <v>5</v>
      </c>
      <c r="CQ5" s="93" t="s">
        <v>6</v>
      </c>
      <c r="CR5" s="92" t="s">
        <v>2</v>
      </c>
      <c r="CS5" s="37" t="s">
        <v>4</v>
      </c>
      <c r="CT5" s="38" t="s">
        <v>5</v>
      </c>
      <c r="CU5" s="93" t="s">
        <v>6</v>
      </c>
      <c r="CV5" s="92" t="s">
        <v>2</v>
      </c>
      <c r="CW5" s="37" t="s">
        <v>4</v>
      </c>
      <c r="CX5" s="38" t="s">
        <v>5</v>
      </c>
      <c r="CY5" s="93" t="s">
        <v>6</v>
      </c>
      <c r="CZ5" s="92" t="s">
        <v>2</v>
      </c>
      <c r="DA5" s="37" t="s">
        <v>4</v>
      </c>
      <c r="DB5" s="38" t="s">
        <v>5</v>
      </c>
      <c r="DC5" s="93" t="s">
        <v>6</v>
      </c>
      <c r="DD5" s="92" t="s">
        <v>2</v>
      </c>
      <c r="DE5" s="37" t="s">
        <v>4</v>
      </c>
      <c r="DF5" s="38" t="s">
        <v>5</v>
      </c>
      <c r="DG5" s="93" t="s">
        <v>6</v>
      </c>
      <c r="DH5" s="92" t="s">
        <v>2</v>
      </c>
      <c r="DI5" s="37" t="s">
        <v>4</v>
      </c>
      <c r="DJ5" s="38" t="s">
        <v>5</v>
      </c>
      <c r="DK5" s="93" t="s">
        <v>6</v>
      </c>
      <c r="DL5" s="92" t="s">
        <v>2</v>
      </c>
      <c r="DM5" s="37" t="s">
        <v>4</v>
      </c>
      <c r="DN5" s="38" t="s">
        <v>5</v>
      </c>
      <c r="DO5" s="93" t="s">
        <v>6</v>
      </c>
      <c r="DP5" s="92" t="s">
        <v>2</v>
      </c>
      <c r="DQ5" s="37" t="s">
        <v>4</v>
      </c>
      <c r="DR5" s="38" t="s">
        <v>5</v>
      </c>
      <c r="DS5" s="93" t="s">
        <v>6</v>
      </c>
      <c r="DT5" s="92" t="s">
        <v>2</v>
      </c>
      <c r="DU5" s="37" t="s">
        <v>4</v>
      </c>
      <c r="DV5" s="38" t="s">
        <v>5</v>
      </c>
      <c r="DW5" s="93" t="s">
        <v>6</v>
      </c>
      <c r="DX5" s="92" t="s">
        <v>2</v>
      </c>
      <c r="DY5" s="37" t="s">
        <v>4</v>
      </c>
      <c r="DZ5" s="38" t="s">
        <v>5</v>
      </c>
      <c r="EA5" s="93" t="s">
        <v>6</v>
      </c>
      <c r="EB5" s="39" t="s">
        <v>7</v>
      </c>
      <c r="EC5" s="39" t="s">
        <v>19</v>
      </c>
      <c r="ED5" s="39" t="s">
        <v>31</v>
      </c>
      <c r="EE5" s="39" t="s">
        <v>34</v>
      </c>
      <c r="EF5" s="39" t="s">
        <v>111</v>
      </c>
      <c r="EG5" s="39" t="s">
        <v>246</v>
      </c>
      <c r="EH5" s="39" t="s">
        <v>247</v>
      </c>
      <c r="EI5" s="39" t="s">
        <v>249</v>
      </c>
      <c r="EJ5" s="40" t="s">
        <v>248</v>
      </c>
      <c r="EK5" s="98"/>
    </row>
    <row r="6" spans="1:141" ht="14.45" customHeight="1">
      <c r="A6" s="70" t="s">
        <v>44</v>
      </c>
      <c r="B6" s="6">
        <v>1804744736</v>
      </c>
      <c r="C6" s="18" t="s">
        <v>46</v>
      </c>
      <c r="D6" s="5"/>
      <c r="E6" s="5"/>
      <c r="F6" s="13" t="s">
        <v>8</v>
      </c>
      <c r="G6" s="90" t="s">
        <v>33</v>
      </c>
      <c r="H6" s="94" t="s">
        <v>46</v>
      </c>
      <c r="I6" s="5">
        <v>0</v>
      </c>
      <c r="J6" s="64">
        <v>0</v>
      </c>
      <c r="K6" s="95">
        <v>0</v>
      </c>
      <c r="L6" s="94" t="s">
        <v>46</v>
      </c>
      <c r="M6" s="5" t="s">
        <v>75</v>
      </c>
      <c r="N6" s="64">
        <v>0.27083333333333398</v>
      </c>
      <c r="O6" s="95" t="s">
        <v>10</v>
      </c>
      <c r="P6" s="94" t="s">
        <v>46</v>
      </c>
      <c r="Q6" s="5" t="s">
        <v>80</v>
      </c>
      <c r="R6" s="64">
        <v>0.375</v>
      </c>
      <c r="S6" s="95" t="s">
        <v>10</v>
      </c>
      <c r="T6" s="94" t="s">
        <v>46</v>
      </c>
      <c r="U6" s="5" t="s">
        <v>92</v>
      </c>
      <c r="V6" s="64">
        <v>0.33333333333333398</v>
      </c>
      <c r="W6" s="95" t="s">
        <v>10</v>
      </c>
      <c r="X6" s="94" t="s">
        <v>46</v>
      </c>
      <c r="Y6" s="5" t="s">
        <v>75</v>
      </c>
      <c r="Z6" s="64">
        <v>0.27083333333333398</v>
      </c>
      <c r="AA6" s="95" t="s">
        <v>10</v>
      </c>
      <c r="AB6" s="94" t="s">
        <v>46</v>
      </c>
      <c r="AC6" s="5" t="s">
        <v>104</v>
      </c>
      <c r="AD6" s="64">
        <v>0.25</v>
      </c>
      <c r="AE6" s="95" t="s">
        <v>10</v>
      </c>
      <c r="AF6" s="94" t="s">
        <v>46</v>
      </c>
      <c r="AG6" s="5" t="s">
        <v>75</v>
      </c>
      <c r="AH6" s="64">
        <v>0.27083333333333398</v>
      </c>
      <c r="AI6" s="95" t="s">
        <v>305</v>
      </c>
      <c r="AJ6" s="94" t="s">
        <v>46</v>
      </c>
      <c r="AK6" s="5" t="s">
        <v>75</v>
      </c>
      <c r="AL6" s="64">
        <v>0.25</v>
      </c>
      <c r="AM6" s="95" t="s">
        <v>13</v>
      </c>
      <c r="AN6" s="94" t="s">
        <v>46</v>
      </c>
      <c r="AO6" s="5"/>
      <c r="AP6" s="64"/>
      <c r="AQ6" s="95"/>
      <c r="AR6" s="94" t="s">
        <v>46</v>
      </c>
      <c r="AS6" s="5"/>
      <c r="AT6" s="64"/>
      <c r="AU6" s="95"/>
      <c r="AV6" s="94" t="s">
        <v>46</v>
      </c>
      <c r="AW6" s="5"/>
      <c r="AX6" s="64"/>
      <c r="AY6" s="95"/>
      <c r="AZ6" s="94" t="s">
        <v>46</v>
      </c>
      <c r="BA6" s="5"/>
      <c r="BB6" s="64"/>
      <c r="BC6" s="95"/>
      <c r="BD6" s="94" t="s">
        <v>46</v>
      </c>
      <c r="BE6" s="5"/>
      <c r="BF6" s="64"/>
      <c r="BG6" s="95"/>
      <c r="BH6" s="94" t="s">
        <v>46</v>
      </c>
      <c r="BI6" s="5"/>
      <c r="BJ6" s="64"/>
      <c r="BK6" s="95"/>
      <c r="BL6" s="94" t="s">
        <v>46</v>
      </c>
      <c r="BM6" s="5"/>
      <c r="BN6" s="64"/>
      <c r="BO6" s="95"/>
      <c r="BP6" s="94" t="s">
        <v>46</v>
      </c>
      <c r="BQ6" s="5"/>
      <c r="BR6" s="64"/>
      <c r="BS6" s="95"/>
      <c r="BT6" s="94" t="s">
        <v>46</v>
      </c>
      <c r="BU6" s="5"/>
      <c r="BV6" s="64"/>
      <c r="BW6" s="95"/>
      <c r="BX6" s="94" t="s">
        <v>46</v>
      </c>
      <c r="BY6" s="5"/>
      <c r="BZ6" s="64"/>
      <c r="CA6" s="95"/>
      <c r="CB6" s="94" t="s">
        <v>46</v>
      </c>
      <c r="CC6" s="5"/>
      <c r="CD6" s="64"/>
      <c r="CE6" s="95"/>
      <c r="CF6" s="94" t="s">
        <v>46</v>
      </c>
      <c r="CG6" s="5"/>
      <c r="CH6" s="64"/>
      <c r="CI6" s="95"/>
      <c r="CJ6" s="94" t="s">
        <v>46</v>
      </c>
      <c r="CK6" s="5"/>
      <c r="CL6" s="64"/>
      <c r="CM6" s="95"/>
      <c r="CN6" s="94" t="s">
        <v>46</v>
      </c>
      <c r="CO6" s="5"/>
      <c r="CP6" s="64"/>
      <c r="CQ6" s="95"/>
      <c r="CR6" s="94" t="s">
        <v>46</v>
      </c>
      <c r="CS6" s="5"/>
      <c r="CT6" s="64"/>
      <c r="CU6" s="95"/>
      <c r="CV6" s="94" t="s">
        <v>46</v>
      </c>
      <c r="CW6" s="5"/>
      <c r="CX6" s="64"/>
      <c r="CY6" s="95"/>
      <c r="CZ6" s="94" t="s">
        <v>46</v>
      </c>
      <c r="DA6" s="5"/>
      <c r="DB6" s="64"/>
      <c r="DC6" s="95"/>
      <c r="DD6" s="94" t="s">
        <v>46</v>
      </c>
      <c r="DE6" s="5"/>
      <c r="DF6" s="64"/>
      <c r="DG6" s="95"/>
      <c r="DH6" s="94" t="s">
        <v>46</v>
      </c>
      <c r="DI6" s="5"/>
      <c r="DJ6" s="64"/>
      <c r="DK6" s="95"/>
      <c r="DL6" s="94" t="s">
        <v>46</v>
      </c>
      <c r="DM6" s="5"/>
      <c r="DN6" s="64"/>
      <c r="DO6" s="95"/>
      <c r="DP6" s="94" t="s">
        <v>46</v>
      </c>
      <c r="DQ6" s="5"/>
      <c r="DR6" s="64"/>
      <c r="DS6" s="95"/>
      <c r="DT6" s="94" t="s">
        <v>46</v>
      </c>
      <c r="DU6" s="5"/>
      <c r="DV6" s="64"/>
      <c r="DW6" s="95"/>
      <c r="DX6" s="94" t="s">
        <v>46</v>
      </c>
      <c r="DY6" s="5"/>
      <c r="DZ6" s="64"/>
      <c r="EA6" s="95"/>
      <c r="EB6" s="65">
        <f t="shared" ref="EB6:EB25" si="56">+SUM(J6,N6,R6,V6,Z6,AD6,AH6,AL6,AP6,AT6,AX6,BB6,BF6,BJ6,BN6,BR6,BV6,BZ6,CD6,CH6,CL6,CP6,CT6,CX6,DB6,DF6,DJ6,DV6,DN6,DR6,DZ6)</f>
        <v>2.0208333333333357</v>
      </c>
      <c r="EC6" s="5">
        <f t="shared" ref="EC6:EC27" si="57">COUNTIF(H6:EA6,"AT")</f>
        <v>1</v>
      </c>
      <c r="ED6" s="5">
        <f t="shared" ref="ED6:ED27" si="58">SUM(COUNTIF(K6,"FI"), COUNTIF(O6,"FI"), COUNTIF(S6,"FI"), COUNTIF(W6,"FI"), COUNTIF(AA6,"FI"), COUNTIF(AE6,"FI"), COUNTIF(AI6,"FI"), COUNTIF(AM6,"FI"), COUNTIF(AQ6,"FI"), COUNTIF(AU6,"FI"), COUNTIF(AY6,"FI"), COUNTIF(BC6,"FI"), COUNTIF(BG6,"FI"), COUNTIF(BK6,"FI"), COUNTIF(BO6,"FI"), COUNTIF(BS6,"FI"), COUNTIF(BW6,"FI"), COUNTIF(CA6,"FI"), COUNTIF(CE6,"FI"), COUNTIF(CI6,"FI"), COUNTIF(CM6,"FI"), COUNTIF(CQ6,"FI"), COUNTIF(CU6,"FI"), COUNTIF(CY6,"FI"), COUNTIF(DC6,"FI"), COUNTIF(DG6,"FI"), COUNTIF(DK6,"FI"), COUNTIF(EA6,"FI"))</f>
        <v>0</v>
      </c>
      <c r="EE6" s="5">
        <f t="shared" ref="EE6:EE27" si="59">SUM(COUNTIF(K6,"V"), COUNTIF(O6,"V"), COUNTIF(S6,"V"), COUNTIF(W6,"V"), COUNTIF(AA6,"V"), COUNTIF(AE6,"V"), COUNTIF(AI6,"V"), COUNTIF(AM6,"V"), COUNTIF(AQ6,"V"), COUNTIF(AU6,"V"), COUNTIF(AY6,"V"), COUNTIF(BC6,"V"), COUNTIF(BG6,"V"), COUNTIF(BK6,"V"), COUNTIF(BO6,"V"), COUNTIF(BS6,"V"), COUNTIF(BW6,"V"), COUNTIF(CA6,"V"), COUNTIF(CE6,"V"), COUNTIF(CI6,"V"), COUNTIF(CM6,"V"), COUNTIF(CQ6,"V"), COUNTIF(CU6,"V"), COUNTIF(CY6,"V"), COUNTIF(DC6,"V"), COUNTIF(DG6,"V"), COUNTIF(DK6,"V"), COUNTIF(EA6,"V"))</f>
        <v>0</v>
      </c>
      <c r="EF6" s="30">
        <f t="shared" ref="EF6:EF27" si="60">+EB6/$EF$3</f>
        <v>0.28362573099415239</v>
      </c>
      <c r="EG6" s="110">
        <f t="shared" ref="EG6:EG26" si="61">+$EF$3</f>
        <v>7.125</v>
      </c>
      <c r="EH6" s="68">
        <f t="shared" ref="EH6:EH9" si="62">+$EF$3-EB6</f>
        <v>5.1041666666666643</v>
      </c>
      <c r="EI6" s="88">
        <f t="shared" ref="EI6:EI27" si="63">+EB6*$EI$3</f>
        <v>5.6961500974658943</v>
      </c>
      <c r="EJ6" s="69">
        <f t="shared" ref="EJ6:EJ27" si="64">+EB6+$EG$3</f>
        <v>2.0208333333333357</v>
      </c>
      <c r="EK6" s="14"/>
    </row>
    <row r="7" spans="1:141">
      <c r="A7" s="70" t="s">
        <v>67</v>
      </c>
      <c r="B7" s="6">
        <v>1717668501</v>
      </c>
      <c r="C7" s="18" t="s">
        <v>46</v>
      </c>
      <c r="D7" s="5"/>
      <c r="E7" s="5"/>
      <c r="F7" s="13" t="s">
        <v>8</v>
      </c>
      <c r="G7" s="90" t="s">
        <v>33</v>
      </c>
      <c r="H7" s="94" t="s">
        <v>46</v>
      </c>
      <c r="I7" s="5" t="s">
        <v>80</v>
      </c>
      <c r="J7" s="64">
        <v>0.375</v>
      </c>
      <c r="K7" s="95" t="s">
        <v>10</v>
      </c>
      <c r="L7" s="94" t="s">
        <v>46</v>
      </c>
      <c r="M7" s="5" t="s">
        <v>75</v>
      </c>
      <c r="N7" s="64">
        <v>0.27083333333333398</v>
      </c>
      <c r="O7" s="95" t="s">
        <v>10</v>
      </c>
      <c r="P7" s="94" t="s">
        <v>46</v>
      </c>
      <c r="Q7" s="5" t="s">
        <v>75</v>
      </c>
      <c r="R7" s="64">
        <v>0.27083333333333398</v>
      </c>
      <c r="S7" s="95" t="s">
        <v>10</v>
      </c>
      <c r="T7" s="94" t="s">
        <v>46</v>
      </c>
      <c r="U7" s="5" t="s">
        <v>75</v>
      </c>
      <c r="V7" s="64">
        <v>0.25</v>
      </c>
      <c r="W7" s="95" t="s">
        <v>10</v>
      </c>
      <c r="X7" s="94" t="s">
        <v>46</v>
      </c>
      <c r="Y7" s="5" t="s">
        <v>75</v>
      </c>
      <c r="Z7" s="64">
        <v>0.27083333333333398</v>
      </c>
      <c r="AA7" s="95" t="s">
        <v>10</v>
      </c>
      <c r="AB7" s="94" t="s">
        <v>46</v>
      </c>
      <c r="AC7" s="5" t="s">
        <v>75</v>
      </c>
      <c r="AD7" s="64">
        <v>0.27083333333333398</v>
      </c>
      <c r="AE7" s="95" t="s">
        <v>10</v>
      </c>
      <c r="AF7" s="94" t="s">
        <v>46</v>
      </c>
      <c r="AG7" s="5" t="s">
        <v>75</v>
      </c>
      <c r="AH7" s="64">
        <v>0.27083333333333398</v>
      </c>
      <c r="AI7" s="95" t="s">
        <v>10</v>
      </c>
      <c r="AJ7" s="94" t="s">
        <v>46</v>
      </c>
      <c r="AK7" s="5">
        <v>0</v>
      </c>
      <c r="AL7" s="64">
        <v>0</v>
      </c>
      <c r="AM7" s="95">
        <v>0</v>
      </c>
      <c r="AN7" s="94" t="s">
        <v>46</v>
      </c>
      <c r="AO7" s="5"/>
      <c r="AP7" s="64"/>
      <c r="AQ7" s="95"/>
      <c r="AR7" s="94" t="s">
        <v>46</v>
      </c>
      <c r="AS7" s="5"/>
      <c r="AT7" s="64"/>
      <c r="AU7" s="95"/>
      <c r="AV7" s="94" t="s">
        <v>46</v>
      </c>
      <c r="AW7" s="5"/>
      <c r="AX7" s="64"/>
      <c r="AY7" s="95"/>
      <c r="AZ7" s="94" t="s">
        <v>46</v>
      </c>
      <c r="BA7" s="5"/>
      <c r="BB7" s="64"/>
      <c r="BC7" s="95"/>
      <c r="BD7" s="94" t="s">
        <v>46</v>
      </c>
      <c r="BE7" s="5"/>
      <c r="BF7" s="64"/>
      <c r="BG7" s="95"/>
      <c r="BH7" s="94" t="s">
        <v>46</v>
      </c>
      <c r="BI7" s="5"/>
      <c r="BJ7" s="64"/>
      <c r="BK7" s="95"/>
      <c r="BL7" s="94" t="s">
        <v>46</v>
      </c>
      <c r="BM7" s="5"/>
      <c r="BN7" s="64"/>
      <c r="BO7" s="95"/>
      <c r="BP7" s="94" t="s">
        <v>46</v>
      </c>
      <c r="BQ7" s="5"/>
      <c r="BR7" s="64"/>
      <c r="BS7" s="95"/>
      <c r="BT7" s="94" t="s">
        <v>46</v>
      </c>
      <c r="BU7" s="5"/>
      <c r="BV7" s="64"/>
      <c r="BW7" s="95"/>
      <c r="BX7" s="94" t="s">
        <v>46</v>
      </c>
      <c r="BY7" s="5"/>
      <c r="BZ7" s="64"/>
      <c r="CA7" s="95"/>
      <c r="CB7" s="94" t="s">
        <v>46</v>
      </c>
      <c r="CC7" s="5"/>
      <c r="CD7" s="64"/>
      <c r="CE7" s="95"/>
      <c r="CF7" s="94" t="s">
        <v>46</v>
      </c>
      <c r="CG7" s="5"/>
      <c r="CH7" s="64"/>
      <c r="CI7" s="95"/>
      <c r="CJ7" s="94" t="s">
        <v>46</v>
      </c>
      <c r="CK7" s="5"/>
      <c r="CL7" s="64"/>
      <c r="CM7" s="95"/>
      <c r="CN7" s="94" t="s">
        <v>46</v>
      </c>
      <c r="CO7" s="5"/>
      <c r="CP7" s="64"/>
      <c r="CQ7" s="95"/>
      <c r="CR7" s="94" t="s">
        <v>46</v>
      </c>
      <c r="CS7" s="5"/>
      <c r="CT7" s="64"/>
      <c r="CU7" s="95"/>
      <c r="CV7" s="94" t="s">
        <v>46</v>
      </c>
      <c r="CW7" s="5"/>
      <c r="CX7" s="64"/>
      <c r="CY7" s="95"/>
      <c r="CZ7" s="94" t="s">
        <v>46</v>
      </c>
      <c r="DA7" s="5"/>
      <c r="DB7" s="64"/>
      <c r="DC7" s="95"/>
      <c r="DD7" s="94" t="s">
        <v>46</v>
      </c>
      <c r="DE7" s="5"/>
      <c r="DF7" s="64"/>
      <c r="DG7" s="95"/>
      <c r="DH7" s="94" t="s">
        <v>46</v>
      </c>
      <c r="DI7" s="5"/>
      <c r="DJ7" s="64"/>
      <c r="DK7" s="95"/>
      <c r="DL7" s="94" t="s">
        <v>46</v>
      </c>
      <c r="DM7" s="5"/>
      <c r="DN7" s="64"/>
      <c r="DO7" s="95"/>
      <c r="DP7" s="94" t="s">
        <v>46</v>
      </c>
      <c r="DQ7" s="5"/>
      <c r="DR7" s="64"/>
      <c r="DS7" s="95"/>
      <c r="DT7" s="94" t="s">
        <v>46</v>
      </c>
      <c r="DU7" s="5"/>
      <c r="DV7" s="64"/>
      <c r="DW7" s="95"/>
      <c r="DX7" s="94" t="s">
        <v>46</v>
      </c>
      <c r="DY7" s="5"/>
      <c r="DZ7" s="64"/>
      <c r="EA7" s="95"/>
      <c r="EB7" s="65">
        <f t="shared" si="56"/>
        <v>1.9791666666666696</v>
      </c>
      <c r="EC7" s="5">
        <f t="shared" si="57"/>
        <v>0</v>
      </c>
      <c r="ED7" s="5">
        <f t="shared" si="58"/>
        <v>0</v>
      </c>
      <c r="EE7" s="5">
        <f t="shared" si="59"/>
        <v>0</v>
      </c>
      <c r="EF7" s="30">
        <f t="shared" si="60"/>
        <v>0.27777777777777818</v>
      </c>
      <c r="EG7" s="110">
        <f t="shared" si="61"/>
        <v>7.125</v>
      </c>
      <c r="EH7" s="68">
        <f t="shared" si="62"/>
        <v>5.1458333333333304</v>
      </c>
      <c r="EI7" s="88">
        <f t="shared" si="63"/>
        <v>5.5787037037037122</v>
      </c>
      <c r="EJ7" s="69">
        <f t="shared" si="64"/>
        <v>1.9791666666666696</v>
      </c>
      <c r="EK7" s="14"/>
    </row>
    <row r="8" spans="1:141">
      <c r="A8" s="70" t="s">
        <v>259</v>
      </c>
      <c r="B8" s="31">
        <v>1752920445</v>
      </c>
      <c r="C8" s="18" t="s">
        <v>46</v>
      </c>
      <c r="D8" s="5"/>
      <c r="E8" s="5"/>
      <c r="F8" s="13" t="s">
        <v>8</v>
      </c>
      <c r="G8" s="90" t="s">
        <v>33</v>
      </c>
      <c r="H8" s="94" t="s">
        <v>46</v>
      </c>
      <c r="I8" s="5">
        <v>0</v>
      </c>
      <c r="J8" s="64">
        <v>0</v>
      </c>
      <c r="K8" s="95">
        <v>0</v>
      </c>
      <c r="L8" s="94" t="s">
        <v>46</v>
      </c>
      <c r="M8" s="5" t="s">
        <v>80</v>
      </c>
      <c r="N8" s="64">
        <v>0.375</v>
      </c>
      <c r="O8" s="95" t="s">
        <v>10</v>
      </c>
      <c r="P8" s="94" t="s">
        <v>46</v>
      </c>
      <c r="Q8" s="5" t="s">
        <v>75</v>
      </c>
      <c r="R8" s="64">
        <v>0.27083333333333398</v>
      </c>
      <c r="S8" s="95" t="s">
        <v>10</v>
      </c>
      <c r="T8" s="94" t="s">
        <v>46</v>
      </c>
      <c r="U8" s="5" t="s">
        <v>75</v>
      </c>
      <c r="V8" s="64">
        <v>0.27083333333333398</v>
      </c>
      <c r="W8" s="95" t="s">
        <v>13</v>
      </c>
      <c r="X8" s="94" t="s">
        <v>46</v>
      </c>
      <c r="Y8" s="5" t="s">
        <v>75</v>
      </c>
      <c r="Z8" s="64">
        <v>0.27083333333333398</v>
      </c>
      <c r="AA8" s="95" t="s">
        <v>10</v>
      </c>
      <c r="AB8" s="94" t="s">
        <v>46</v>
      </c>
      <c r="AC8" s="5" t="s">
        <v>75</v>
      </c>
      <c r="AD8" s="64">
        <v>0.27083333333333398</v>
      </c>
      <c r="AE8" s="95" t="s">
        <v>10</v>
      </c>
      <c r="AF8" s="94" t="s">
        <v>46</v>
      </c>
      <c r="AG8" s="5">
        <v>0</v>
      </c>
      <c r="AH8" s="64">
        <v>0</v>
      </c>
      <c r="AI8" s="95">
        <v>0</v>
      </c>
      <c r="AJ8" s="94" t="s">
        <v>46</v>
      </c>
      <c r="AK8" s="5" t="s">
        <v>104</v>
      </c>
      <c r="AL8" s="64">
        <v>0.22916666666666699</v>
      </c>
      <c r="AM8" s="95" t="s">
        <v>13</v>
      </c>
      <c r="AN8" s="94" t="s">
        <v>46</v>
      </c>
      <c r="AO8" s="5"/>
      <c r="AP8" s="64"/>
      <c r="AQ8" s="95"/>
      <c r="AR8" s="94" t="s">
        <v>46</v>
      </c>
      <c r="AS8" s="5"/>
      <c r="AT8" s="64"/>
      <c r="AU8" s="95"/>
      <c r="AV8" s="94" t="s">
        <v>46</v>
      </c>
      <c r="AW8" s="5"/>
      <c r="AX8" s="64"/>
      <c r="AY8" s="95"/>
      <c r="AZ8" s="94" t="s">
        <v>46</v>
      </c>
      <c r="BA8" s="5"/>
      <c r="BB8" s="64"/>
      <c r="BC8" s="95"/>
      <c r="BD8" s="94" t="s">
        <v>46</v>
      </c>
      <c r="BE8" s="5"/>
      <c r="BF8" s="64"/>
      <c r="BG8" s="95"/>
      <c r="BH8" s="94" t="s">
        <v>46</v>
      </c>
      <c r="BI8" s="5"/>
      <c r="BJ8" s="64"/>
      <c r="BK8" s="95"/>
      <c r="BL8" s="94" t="s">
        <v>46</v>
      </c>
      <c r="BM8" s="5"/>
      <c r="BN8" s="64"/>
      <c r="BO8" s="95"/>
      <c r="BP8" s="94" t="s">
        <v>46</v>
      </c>
      <c r="BQ8" s="5"/>
      <c r="BR8" s="64"/>
      <c r="BS8" s="95"/>
      <c r="BT8" s="94" t="s">
        <v>46</v>
      </c>
      <c r="BU8" s="5"/>
      <c r="BV8" s="64"/>
      <c r="BW8" s="95"/>
      <c r="BX8" s="94" t="s">
        <v>46</v>
      </c>
      <c r="BY8" s="5"/>
      <c r="BZ8" s="64"/>
      <c r="CA8" s="95"/>
      <c r="CB8" s="94" t="s">
        <v>46</v>
      </c>
      <c r="CC8" s="5"/>
      <c r="CD8" s="64"/>
      <c r="CE8" s="95"/>
      <c r="CF8" s="94" t="s">
        <v>46</v>
      </c>
      <c r="CG8" s="5"/>
      <c r="CH8" s="64"/>
      <c r="CI8" s="95"/>
      <c r="CJ8" s="94" t="s">
        <v>46</v>
      </c>
      <c r="CK8" s="5"/>
      <c r="CL8" s="64"/>
      <c r="CM8" s="95"/>
      <c r="CN8" s="94" t="s">
        <v>46</v>
      </c>
      <c r="CO8" s="5"/>
      <c r="CP8" s="64"/>
      <c r="CQ8" s="95"/>
      <c r="CR8" s="94" t="s">
        <v>46</v>
      </c>
      <c r="CS8" s="5"/>
      <c r="CT8" s="64"/>
      <c r="CU8" s="95"/>
      <c r="CV8" s="94" t="s">
        <v>46</v>
      </c>
      <c r="CW8" s="5"/>
      <c r="CX8" s="64"/>
      <c r="CY8" s="95"/>
      <c r="CZ8" s="94" t="s">
        <v>46</v>
      </c>
      <c r="DA8" s="5"/>
      <c r="DB8" s="64"/>
      <c r="DC8" s="95"/>
      <c r="DD8" s="94" t="s">
        <v>46</v>
      </c>
      <c r="DE8" s="5"/>
      <c r="DF8" s="64"/>
      <c r="DG8" s="95"/>
      <c r="DH8" s="94" t="s">
        <v>46</v>
      </c>
      <c r="DI8" s="5"/>
      <c r="DJ8" s="64"/>
      <c r="DK8" s="95"/>
      <c r="DL8" s="94" t="s">
        <v>46</v>
      </c>
      <c r="DM8" s="5"/>
      <c r="DN8" s="64"/>
      <c r="DO8" s="95"/>
      <c r="DP8" s="94" t="s">
        <v>46</v>
      </c>
      <c r="DQ8" s="5"/>
      <c r="DR8" s="64"/>
      <c r="DS8" s="95"/>
      <c r="DT8" s="94" t="s">
        <v>46</v>
      </c>
      <c r="DU8" s="5"/>
      <c r="DV8" s="64"/>
      <c r="DW8" s="95"/>
      <c r="DX8" s="94" t="s">
        <v>46</v>
      </c>
      <c r="DY8" s="5"/>
      <c r="DZ8" s="64"/>
      <c r="EA8" s="95"/>
      <c r="EB8" s="65">
        <f t="shared" si="56"/>
        <v>1.6875000000000027</v>
      </c>
      <c r="EC8" s="5">
        <f t="shared" si="57"/>
        <v>2</v>
      </c>
      <c r="ED8" s="5">
        <f t="shared" si="58"/>
        <v>0</v>
      </c>
      <c r="EE8" s="5">
        <f t="shared" si="59"/>
        <v>0</v>
      </c>
      <c r="EF8" s="30">
        <f t="shared" si="60"/>
        <v>0.23684210526315827</v>
      </c>
      <c r="EG8" s="110">
        <f t="shared" si="61"/>
        <v>7.125</v>
      </c>
      <c r="EH8" s="68">
        <f t="shared" si="62"/>
        <v>5.4374999999999973</v>
      </c>
      <c r="EI8" s="88">
        <f t="shared" si="63"/>
        <v>4.7565789473684292</v>
      </c>
      <c r="EJ8" s="69">
        <f t="shared" si="64"/>
        <v>1.6875000000000027</v>
      </c>
      <c r="EK8" s="14"/>
    </row>
    <row r="9" spans="1:141">
      <c r="A9" s="70" t="s">
        <v>286</v>
      </c>
      <c r="B9" s="31" t="s">
        <v>287</v>
      </c>
      <c r="C9" s="18" t="s">
        <v>46</v>
      </c>
      <c r="D9" s="5"/>
      <c r="E9" s="5"/>
      <c r="F9" s="13"/>
      <c r="G9" s="90"/>
      <c r="H9" s="94" t="s">
        <v>46</v>
      </c>
      <c r="I9" s="5" t="s">
        <v>184</v>
      </c>
      <c r="J9" s="64">
        <v>0.1875</v>
      </c>
      <c r="K9" s="95" t="s">
        <v>10</v>
      </c>
      <c r="L9" s="94" t="s">
        <v>46</v>
      </c>
      <c r="M9" s="5" t="s">
        <v>75</v>
      </c>
      <c r="N9" s="64">
        <v>0.27083333333333398</v>
      </c>
      <c r="O9" s="95" t="s">
        <v>10</v>
      </c>
      <c r="P9" s="94" t="s">
        <v>46</v>
      </c>
      <c r="Q9" s="5" t="s">
        <v>75</v>
      </c>
      <c r="R9" s="64">
        <v>0.27083333333333398</v>
      </c>
      <c r="S9" s="95" t="s">
        <v>10</v>
      </c>
      <c r="T9" s="94" t="s">
        <v>46</v>
      </c>
      <c r="U9" s="5" t="s">
        <v>75</v>
      </c>
      <c r="V9" s="64">
        <v>0.27083333333333398</v>
      </c>
      <c r="W9" s="95" t="s">
        <v>10</v>
      </c>
      <c r="X9" s="94" t="s">
        <v>46</v>
      </c>
      <c r="Y9" s="5" t="s">
        <v>75</v>
      </c>
      <c r="Z9" s="64">
        <v>0.27083333333333398</v>
      </c>
      <c r="AA9" s="95" t="s">
        <v>10</v>
      </c>
      <c r="AB9" s="94" t="s">
        <v>46</v>
      </c>
      <c r="AC9" s="5" t="s">
        <v>75</v>
      </c>
      <c r="AD9" s="64">
        <v>0.27083333333333398</v>
      </c>
      <c r="AE9" s="95" t="s">
        <v>10</v>
      </c>
      <c r="AF9" s="94" t="s">
        <v>46</v>
      </c>
      <c r="AG9" s="5" t="s">
        <v>84</v>
      </c>
      <c r="AH9" s="64">
        <v>0.33333333333333398</v>
      </c>
      <c r="AI9" s="95" t="s">
        <v>10</v>
      </c>
      <c r="AJ9" s="94" t="s">
        <v>46</v>
      </c>
      <c r="AK9" s="5">
        <v>0</v>
      </c>
      <c r="AL9" s="64">
        <v>0</v>
      </c>
      <c r="AM9" s="95">
        <v>0</v>
      </c>
      <c r="AN9" s="94" t="s">
        <v>46</v>
      </c>
      <c r="AO9" s="5"/>
      <c r="AP9" s="64"/>
      <c r="AQ9" s="95"/>
      <c r="AR9" s="94" t="s">
        <v>46</v>
      </c>
      <c r="AS9" s="5"/>
      <c r="AT9" s="64"/>
      <c r="AU9" s="95"/>
      <c r="AV9" s="94" t="s">
        <v>46</v>
      </c>
      <c r="AW9" s="5"/>
      <c r="AX9" s="64"/>
      <c r="AY9" s="95"/>
      <c r="AZ9" s="94" t="s">
        <v>46</v>
      </c>
      <c r="BA9" s="5"/>
      <c r="BB9" s="64"/>
      <c r="BC9" s="95"/>
      <c r="BD9" s="94" t="s">
        <v>46</v>
      </c>
      <c r="BE9" s="5"/>
      <c r="BF9" s="64"/>
      <c r="BG9" s="95"/>
      <c r="BH9" s="94" t="s">
        <v>46</v>
      </c>
      <c r="BI9" s="5"/>
      <c r="BJ9" s="64"/>
      <c r="BK9" s="95"/>
      <c r="BL9" s="94" t="s">
        <v>46</v>
      </c>
      <c r="BM9" s="5"/>
      <c r="BN9" s="64"/>
      <c r="BO9" s="95"/>
      <c r="BP9" s="94" t="s">
        <v>46</v>
      </c>
      <c r="BQ9" s="5"/>
      <c r="BR9" s="64"/>
      <c r="BS9" s="95"/>
      <c r="BT9" s="94" t="s">
        <v>46</v>
      </c>
      <c r="BU9" s="5"/>
      <c r="BV9" s="64"/>
      <c r="BW9" s="95"/>
      <c r="BX9" s="94" t="s">
        <v>46</v>
      </c>
      <c r="BY9" s="5"/>
      <c r="BZ9" s="64"/>
      <c r="CA9" s="95"/>
      <c r="CB9" s="94" t="s">
        <v>46</v>
      </c>
      <c r="CC9" s="5"/>
      <c r="CD9" s="64"/>
      <c r="CE9" s="95"/>
      <c r="CF9" s="94" t="s">
        <v>46</v>
      </c>
      <c r="CG9" s="5"/>
      <c r="CH9" s="64"/>
      <c r="CI9" s="95"/>
      <c r="CJ9" s="94" t="s">
        <v>46</v>
      </c>
      <c r="CK9" s="5"/>
      <c r="CL9" s="64"/>
      <c r="CM9" s="95"/>
      <c r="CN9" s="94" t="s">
        <v>46</v>
      </c>
      <c r="CO9" s="5"/>
      <c r="CP9" s="64"/>
      <c r="CQ9" s="95"/>
      <c r="CR9" s="94" t="s">
        <v>46</v>
      </c>
      <c r="CS9" s="5"/>
      <c r="CT9" s="64"/>
      <c r="CU9" s="95"/>
      <c r="CV9" s="94" t="s">
        <v>46</v>
      </c>
      <c r="CW9" s="5"/>
      <c r="CX9" s="64"/>
      <c r="CY9" s="95"/>
      <c r="CZ9" s="94" t="s">
        <v>46</v>
      </c>
      <c r="DA9" s="5"/>
      <c r="DB9" s="64"/>
      <c r="DC9" s="95"/>
      <c r="DD9" s="94" t="s">
        <v>46</v>
      </c>
      <c r="DE9" s="5"/>
      <c r="DF9" s="64"/>
      <c r="DG9" s="95"/>
      <c r="DH9" s="94" t="s">
        <v>46</v>
      </c>
      <c r="DI9" s="5"/>
      <c r="DJ9" s="64"/>
      <c r="DK9" s="95"/>
      <c r="DL9" s="94" t="s">
        <v>46</v>
      </c>
      <c r="DM9" s="5"/>
      <c r="DN9" s="64"/>
      <c r="DO9" s="95"/>
      <c r="DP9" s="94" t="s">
        <v>46</v>
      </c>
      <c r="DQ9" s="5"/>
      <c r="DR9" s="64"/>
      <c r="DS9" s="95"/>
      <c r="DT9" s="94" t="s">
        <v>46</v>
      </c>
      <c r="DU9" s="5"/>
      <c r="DV9" s="64"/>
      <c r="DW9" s="95"/>
      <c r="DX9" s="94" t="s">
        <v>46</v>
      </c>
      <c r="DY9" s="5"/>
      <c r="DZ9" s="64"/>
      <c r="EA9" s="95"/>
      <c r="EB9" s="65">
        <f t="shared" si="56"/>
        <v>1.8750000000000038</v>
      </c>
      <c r="EC9" s="5">
        <f t="shared" si="57"/>
        <v>0</v>
      </c>
      <c r="ED9" s="5">
        <f t="shared" si="58"/>
        <v>0</v>
      </c>
      <c r="EE9" s="5">
        <f t="shared" si="59"/>
        <v>0</v>
      </c>
      <c r="EF9" s="30">
        <f t="shared" si="60"/>
        <v>0.26315789473684265</v>
      </c>
      <c r="EG9" s="110">
        <f t="shared" si="61"/>
        <v>7.125</v>
      </c>
      <c r="EH9" s="68">
        <f t="shared" si="62"/>
        <v>5.2499999999999964</v>
      </c>
      <c r="EI9" s="88">
        <f t="shared" si="63"/>
        <v>5.2850877192982564</v>
      </c>
      <c r="EJ9" s="69">
        <f t="shared" si="64"/>
        <v>1.8750000000000038</v>
      </c>
      <c r="EK9" s="14"/>
    </row>
    <row r="10" spans="1:141">
      <c r="A10" s="70" t="s">
        <v>289</v>
      </c>
      <c r="B10" s="31" t="s">
        <v>290</v>
      </c>
      <c r="C10" s="18" t="s">
        <v>46</v>
      </c>
      <c r="D10" s="5"/>
      <c r="E10" s="5"/>
      <c r="F10" s="13"/>
      <c r="G10" s="90"/>
      <c r="H10" s="94" t="s">
        <v>46</v>
      </c>
      <c r="I10" s="5">
        <v>0</v>
      </c>
      <c r="J10" s="64">
        <v>0</v>
      </c>
      <c r="K10" s="95">
        <v>0</v>
      </c>
      <c r="L10" s="94" t="s">
        <v>46</v>
      </c>
      <c r="M10" s="5" t="s">
        <v>80</v>
      </c>
      <c r="N10" s="64">
        <v>0.375</v>
      </c>
      <c r="O10" s="95" t="s">
        <v>10</v>
      </c>
      <c r="P10" s="94" t="s">
        <v>46</v>
      </c>
      <c r="Q10" s="5" t="s">
        <v>80</v>
      </c>
      <c r="R10" s="64">
        <v>0.375</v>
      </c>
      <c r="S10" s="95" t="s">
        <v>10</v>
      </c>
      <c r="T10" s="94" t="s">
        <v>46</v>
      </c>
      <c r="U10" s="5" t="s">
        <v>80</v>
      </c>
      <c r="V10" s="64">
        <v>0.375</v>
      </c>
      <c r="W10" s="95" t="s">
        <v>10</v>
      </c>
      <c r="X10" s="94" t="s">
        <v>46</v>
      </c>
      <c r="Y10" s="5" t="s">
        <v>80</v>
      </c>
      <c r="Z10" s="64">
        <v>0.3125</v>
      </c>
      <c r="AA10" s="95" t="s">
        <v>10</v>
      </c>
      <c r="AB10" s="94" t="s">
        <v>46</v>
      </c>
      <c r="AC10" s="5" t="s">
        <v>75</v>
      </c>
      <c r="AD10" s="64">
        <v>0.27083333333333398</v>
      </c>
      <c r="AE10" s="95" t="s">
        <v>10</v>
      </c>
      <c r="AF10" s="94" t="s">
        <v>46</v>
      </c>
      <c r="AG10" s="5" t="s">
        <v>75</v>
      </c>
      <c r="AH10" s="64">
        <v>0.27083333333333398</v>
      </c>
      <c r="AI10" s="95" t="s">
        <v>10</v>
      </c>
      <c r="AJ10" s="94" t="s">
        <v>46</v>
      </c>
      <c r="AK10" s="5" t="s">
        <v>80</v>
      </c>
      <c r="AL10" s="64">
        <v>0.375</v>
      </c>
      <c r="AM10" s="95" t="s">
        <v>10</v>
      </c>
      <c r="AN10" s="94" t="s">
        <v>46</v>
      </c>
      <c r="AO10" s="5"/>
      <c r="AP10" s="64"/>
      <c r="AQ10" s="95"/>
      <c r="AR10" s="94" t="s">
        <v>46</v>
      </c>
      <c r="AS10" s="5"/>
      <c r="AT10" s="64"/>
      <c r="AU10" s="95"/>
      <c r="AV10" s="94" t="s">
        <v>46</v>
      </c>
      <c r="AW10" s="5"/>
      <c r="AX10" s="64"/>
      <c r="AY10" s="95"/>
      <c r="AZ10" s="94" t="s">
        <v>46</v>
      </c>
      <c r="BA10" s="5"/>
      <c r="BB10" s="64"/>
      <c r="BC10" s="95"/>
      <c r="BD10" s="94" t="s">
        <v>46</v>
      </c>
      <c r="BE10" s="5"/>
      <c r="BF10" s="64"/>
      <c r="BG10" s="95"/>
      <c r="BH10" s="94" t="s">
        <v>46</v>
      </c>
      <c r="BI10" s="5"/>
      <c r="BJ10" s="64"/>
      <c r="BK10" s="95"/>
      <c r="BL10" s="94" t="s">
        <v>46</v>
      </c>
      <c r="BM10" s="5"/>
      <c r="BN10" s="64"/>
      <c r="BO10" s="95"/>
      <c r="BP10" s="94" t="s">
        <v>46</v>
      </c>
      <c r="BQ10" s="5"/>
      <c r="BR10" s="64"/>
      <c r="BS10" s="95"/>
      <c r="BT10" s="94" t="s">
        <v>46</v>
      </c>
      <c r="BU10" s="5"/>
      <c r="BV10" s="64"/>
      <c r="BW10" s="95"/>
      <c r="BX10" s="94" t="s">
        <v>46</v>
      </c>
      <c r="BY10" s="5"/>
      <c r="BZ10" s="64"/>
      <c r="CA10" s="95"/>
      <c r="CB10" s="94" t="s">
        <v>46</v>
      </c>
      <c r="CC10" s="5"/>
      <c r="CD10" s="64"/>
      <c r="CE10" s="95"/>
      <c r="CF10" s="94" t="s">
        <v>46</v>
      </c>
      <c r="CG10" s="5"/>
      <c r="CH10" s="64"/>
      <c r="CI10" s="95"/>
      <c r="CJ10" s="94" t="s">
        <v>46</v>
      </c>
      <c r="CK10" s="5"/>
      <c r="CL10" s="64"/>
      <c r="CM10" s="95"/>
      <c r="CN10" s="94" t="s">
        <v>46</v>
      </c>
      <c r="CO10" s="5"/>
      <c r="CP10" s="64"/>
      <c r="CQ10" s="95"/>
      <c r="CR10" s="94" t="s">
        <v>46</v>
      </c>
      <c r="CS10" s="5"/>
      <c r="CT10" s="64"/>
      <c r="CU10" s="95"/>
      <c r="CV10" s="94" t="s">
        <v>46</v>
      </c>
      <c r="CW10" s="5"/>
      <c r="CX10" s="64"/>
      <c r="CY10" s="95"/>
      <c r="CZ10" s="94" t="s">
        <v>46</v>
      </c>
      <c r="DA10" s="5"/>
      <c r="DB10" s="64"/>
      <c r="DC10" s="95"/>
      <c r="DD10" s="94" t="s">
        <v>46</v>
      </c>
      <c r="DE10" s="5"/>
      <c r="DF10" s="64"/>
      <c r="DG10" s="95"/>
      <c r="DH10" s="94" t="s">
        <v>46</v>
      </c>
      <c r="DI10" s="5"/>
      <c r="DJ10" s="64"/>
      <c r="DK10" s="95"/>
      <c r="DL10" s="94" t="s">
        <v>46</v>
      </c>
      <c r="DM10" s="5"/>
      <c r="DN10" s="64"/>
      <c r="DO10" s="95"/>
      <c r="DP10" s="94" t="s">
        <v>46</v>
      </c>
      <c r="DQ10" s="5"/>
      <c r="DR10" s="64"/>
      <c r="DS10" s="95"/>
      <c r="DT10" s="94" t="s">
        <v>46</v>
      </c>
      <c r="DU10" s="5"/>
      <c r="DV10" s="64"/>
      <c r="DW10" s="95"/>
      <c r="DX10" s="94" t="s">
        <v>46</v>
      </c>
      <c r="DY10" s="5"/>
      <c r="DZ10" s="64"/>
      <c r="EA10" s="95"/>
      <c r="EB10" s="65">
        <f t="shared" si="56"/>
        <v>2.3541666666666679</v>
      </c>
      <c r="EC10" s="5">
        <f t="shared" si="57"/>
        <v>0</v>
      </c>
      <c r="ED10" s="5">
        <f t="shared" si="58"/>
        <v>0</v>
      </c>
      <c r="EE10" s="5">
        <f t="shared" si="59"/>
        <v>0</v>
      </c>
      <c r="EF10" s="30">
        <f t="shared" ref="EF10:EF11" si="65">+EB10/$EF$3</f>
        <v>0.33040935672514637</v>
      </c>
      <c r="EG10" s="110">
        <f t="shared" si="61"/>
        <v>7.125</v>
      </c>
      <c r="EH10" s="68">
        <f t="shared" ref="EH10:EH11" si="66">+$EF$3-EB10</f>
        <v>4.7708333333333321</v>
      </c>
      <c r="EI10" s="88">
        <f t="shared" ref="EI10:EI11" si="67">+EB10*$EI$3</f>
        <v>6.6357212475633567</v>
      </c>
      <c r="EJ10" s="69">
        <f t="shared" ref="EJ10:EJ11" si="68">+EB10+$EG$3</f>
        <v>2.3541666666666679</v>
      </c>
      <c r="EK10" s="14"/>
    </row>
    <row r="11" spans="1:141" ht="16.5" customHeight="1">
      <c r="A11" s="70" t="s">
        <v>291</v>
      </c>
      <c r="B11" s="31" t="s">
        <v>292</v>
      </c>
      <c r="C11" s="18" t="s">
        <v>46</v>
      </c>
      <c r="D11" s="5"/>
      <c r="E11" s="5"/>
      <c r="F11" s="13"/>
      <c r="G11" s="90"/>
      <c r="H11" s="94" t="s">
        <v>46</v>
      </c>
      <c r="I11" s="5">
        <v>0</v>
      </c>
      <c r="J11" s="64">
        <v>0</v>
      </c>
      <c r="K11" s="95">
        <v>0</v>
      </c>
      <c r="L11" s="94" t="s">
        <v>46</v>
      </c>
      <c r="M11" s="5" t="s">
        <v>75</v>
      </c>
      <c r="N11" s="64">
        <v>0.27083333333333398</v>
      </c>
      <c r="O11" s="95" t="s">
        <v>10</v>
      </c>
      <c r="P11" s="94" t="s">
        <v>46</v>
      </c>
      <c r="Q11" s="5" t="s">
        <v>75</v>
      </c>
      <c r="R11" s="64">
        <v>0.27083333333333398</v>
      </c>
      <c r="S11" s="95" t="s">
        <v>10</v>
      </c>
      <c r="T11" s="94" t="s">
        <v>46</v>
      </c>
      <c r="U11" s="5" t="s">
        <v>75</v>
      </c>
      <c r="V11" s="64">
        <v>0.27083333333333398</v>
      </c>
      <c r="W11" s="95" t="s">
        <v>10</v>
      </c>
      <c r="X11" s="94" t="s">
        <v>46</v>
      </c>
      <c r="Y11" s="5" t="s">
        <v>75</v>
      </c>
      <c r="Z11" s="64">
        <v>0.25</v>
      </c>
      <c r="AA11" s="95" t="s">
        <v>10</v>
      </c>
      <c r="AB11" s="94" t="s">
        <v>46</v>
      </c>
      <c r="AC11" s="5" t="s">
        <v>75</v>
      </c>
      <c r="AD11" s="64">
        <v>0.27083333333333398</v>
      </c>
      <c r="AE11" s="95" t="s">
        <v>10</v>
      </c>
      <c r="AF11" s="94" t="s">
        <v>46</v>
      </c>
      <c r="AG11" s="5" t="s">
        <v>75</v>
      </c>
      <c r="AH11" s="64">
        <v>0.25</v>
      </c>
      <c r="AI11" s="95" t="s">
        <v>10</v>
      </c>
      <c r="AJ11" s="94" t="s">
        <v>46</v>
      </c>
      <c r="AK11" s="5" t="s">
        <v>75</v>
      </c>
      <c r="AL11" s="64">
        <v>0.25</v>
      </c>
      <c r="AM11" s="95" t="s">
        <v>10</v>
      </c>
      <c r="AN11" s="94" t="s">
        <v>46</v>
      </c>
      <c r="AO11" s="5"/>
      <c r="AP11" s="64"/>
      <c r="AQ11" s="95"/>
      <c r="AR11" s="94" t="s">
        <v>46</v>
      </c>
      <c r="AS11" s="5"/>
      <c r="AT11" s="64"/>
      <c r="AU11" s="95"/>
      <c r="AV11" s="94" t="s">
        <v>46</v>
      </c>
      <c r="AW11" s="5"/>
      <c r="AX11" s="64"/>
      <c r="AY11" s="95"/>
      <c r="AZ11" s="94" t="s">
        <v>46</v>
      </c>
      <c r="BA11" s="5"/>
      <c r="BB11" s="64"/>
      <c r="BC11" s="95"/>
      <c r="BD11" s="94" t="s">
        <v>46</v>
      </c>
      <c r="BE11" s="5"/>
      <c r="BF11" s="64"/>
      <c r="BG11" s="95"/>
      <c r="BH11" s="94" t="s">
        <v>46</v>
      </c>
      <c r="BI11" s="5"/>
      <c r="BJ11" s="64"/>
      <c r="BK11" s="95"/>
      <c r="BL11" s="94" t="s">
        <v>46</v>
      </c>
      <c r="BM11" s="5"/>
      <c r="BN11" s="64"/>
      <c r="BO11" s="95"/>
      <c r="BP11" s="94" t="s">
        <v>46</v>
      </c>
      <c r="BQ11" s="5"/>
      <c r="BR11" s="64"/>
      <c r="BS11" s="95"/>
      <c r="BT11" s="94" t="s">
        <v>46</v>
      </c>
      <c r="BU11" s="5"/>
      <c r="BV11" s="64"/>
      <c r="BW11" s="95"/>
      <c r="BX11" s="94" t="s">
        <v>46</v>
      </c>
      <c r="BY11" s="5"/>
      <c r="BZ11" s="64"/>
      <c r="CA11" s="95"/>
      <c r="CB11" s="94" t="s">
        <v>46</v>
      </c>
      <c r="CC11" s="5"/>
      <c r="CD11" s="64"/>
      <c r="CE11" s="95"/>
      <c r="CF11" s="94" t="s">
        <v>46</v>
      </c>
      <c r="CG11" s="5"/>
      <c r="CH11" s="64"/>
      <c r="CI11" s="95"/>
      <c r="CJ11" s="94" t="s">
        <v>46</v>
      </c>
      <c r="CK11" s="5"/>
      <c r="CL11" s="64"/>
      <c r="CM11" s="95"/>
      <c r="CN11" s="94" t="s">
        <v>46</v>
      </c>
      <c r="CO11" s="5"/>
      <c r="CP11" s="64"/>
      <c r="CQ11" s="95"/>
      <c r="CR11" s="94" t="s">
        <v>46</v>
      </c>
      <c r="CS11" s="5"/>
      <c r="CT11" s="64"/>
      <c r="CU11" s="95"/>
      <c r="CV11" s="94" t="s">
        <v>46</v>
      </c>
      <c r="CW11" s="5"/>
      <c r="CX11" s="64"/>
      <c r="CY11" s="95"/>
      <c r="CZ11" s="94" t="s">
        <v>46</v>
      </c>
      <c r="DA11" s="5"/>
      <c r="DB11" s="64"/>
      <c r="DC11" s="95"/>
      <c r="DD11" s="94" t="s">
        <v>46</v>
      </c>
      <c r="DE11" s="5"/>
      <c r="DF11" s="64"/>
      <c r="DG11" s="95"/>
      <c r="DH11" s="94" t="s">
        <v>46</v>
      </c>
      <c r="DI11" s="5"/>
      <c r="DJ11" s="64"/>
      <c r="DK11" s="95"/>
      <c r="DL11" s="94" t="s">
        <v>46</v>
      </c>
      <c r="DM11" s="5"/>
      <c r="DN11" s="64"/>
      <c r="DO11" s="95"/>
      <c r="DP11" s="94" t="s">
        <v>46</v>
      </c>
      <c r="DQ11" s="5"/>
      <c r="DR11" s="64"/>
      <c r="DS11" s="95"/>
      <c r="DT11" s="94" t="s">
        <v>46</v>
      </c>
      <c r="DU11" s="5"/>
      <c r="DV11" s="64"/>
      <c r="DW11" s="95"/>
      <c r="DX11" s="94" t="s">
        <v>46</v>
      </c>
      <c r="DY11" s="5"/>
      <c r="DZ11" s="64"/>
      <c r="EA11" s="95"/>
      <c r="EB11" s="65">
        <f t="shared" si="56"/>
        <v>1.8333333333333359</v>
      </c>
      <c r="EC11" s="5">
        <f t="shared" si="57"/>
        <v>0</v>
      </c>
      <c r="ED11" s="5">
        <f t="shared" si="58"/>
        <v>0</v>
      </c>
      <c r="EE11" s="5">
        <f t="shared" si="59"/>
        <v>0</v>
      </c>
      <c r="EF11" s="30">
        <f t="shared" si="65"/>
        <v>0.25730994152046821</v>
      </c>
      <c r="EG11" s="110">
        <f t="shared" si="61"/>
        <v>7.125</v>
      </c>
      <c r="EH11" s="68">
        <f t="shared" si="66"/>
        <v>5.2916666666666643</v>
      </c>
      <c r="EI11" s="88">
        <f t="shared" si="67"/>
        <v>5.1676413255360698</v>
      </c>
      <c r="EJ11" s="69">
        <f t="shared" si="68"/>
        <v>1.8333333333333359</v>
      </c>
      <c r="EK11" s="14"/>
    </row>
    <row r="12" spans="1:141">
      <c r="A12" s="70" t="s">
        <v>293</v>
      </c>
      <c r="B12" s="31" t="s">
        <v>296</v>
      </c>
      <c r="C12" s="18" t="s">
        <v>46</v>
      </c>
      <c r="D12" s="5"/>
      <c r="E12" s="5"/>
      <c r="F12" s="13"/>
      <c r="G12" s="90"/>
      <c r="H12" s="94" t="s">
        <v>46</v>
      </c>
      <c r="I12" s="5">
        <v>0</v>
      </c>
      <c r="J12" s="64">
        <v>0</v>
      </c>
      <c r="K12" s="95">
        <v>0</v>
      </c>
      <c r="L12" s="94" t="s">
        <v>46</v>
      </c>
      <c r="M12" s="5" t="s">
        <v>75</v>
      </c>
      <c r="N12" s="64">
        <v>0.27083333333333398</v>
      </c>
      <c r="O12" s="95" t="s">
        <v>10</v>
      </c>
      <c r="P12" s="94" t="s">
        <v>46</v>
      </c>
      <c r="Q12" s="5" t="s">
        <v>75</v>
      </c>
      <c r="R12" s="64">
        <v>0.27083333333333398</v>
      </c>
      <c r="S12" s="95" t="s">
        <v>10</v>
      </c>
      <c r="T12" s="94" t="s">
        <v>46</v>
      </c>
      <c r="U12" s="5" t="s">
        <v>320</v>
      </c>
      <c r="V12" s="64">
        <v>0.16666666666666699</v>
      </c>
      <c r="W12" s="95" t="s">
        <v>10</v>
      </c>
      <c r="X12" s="94" t="s">
        <v>46</v>
      </c>
      <c r="Y12" s="5" t="s">
        <v>75</v>
      </c>
      <c r="Z12" s="64">
        <v>0.27083333333333398</v>
      </c>
      <c r="AA12" s="95" t="s">
        <v>10</v>
      </c>
      <c r="AB12" s="94" t="s">
        <v>46</v>
      </c>
      <c r="AC12" s="5" t="s">
        <v>75</v>
      </c>
      <c r="AD12" s="64">
        <v>0.27083333333333398</v>
      </c>
      <c r="AE12" s="95" t="s">
        <v>10</v>
      </c>
      <c r="AF12" s="94" t="s">
        <v>46</v>
      </c>
      <c r="AG12" s="5">
        <v>0</v>
      </c>
      <c r="AH12" s="64">
        <v>0</v>
      </c>
      <c r="AI12" s="95">
        <v>0</v>
      </c>
      <c r="AJ12" s="94" t="s">
        <v>46</v>
      </c>
      <c r="AK12" s="5" t="s">
        <v>74</v>
      </c>
      <c r="AL12" s="64">
        <v>0.29166666666666702</v>
      </c>
      <c r="AM12" s="95" t="s">
        <v>10</v>
      </c>
      <c r="AN12" s="94" t="s">
        <v>46</v>
      </c>
      <c r="AO12" s="5"/>
      <c r="AP12" s="64"/>
      <c r="AQ12" s="95"/>
      <c r="AR12" s="94" t="s">
        <v>46</v>
      </c>
      <c r="AS12" s="5"/>
      <c r="AT12" s="64"/>
      <c r="AU12" s="95"/>
      <c r="AV12" s="94" t="s">
        <v>46</v>
      </c>
      <c r="AW12" s="5"/>
      <c r="AX12" s="64"/>
      <c r="AY12" s="95"/>
      <c r="AZ12" s="94" t="s">
        <v>46</v>
      </c>
      <c r="BA12" s="5"/>
      <c r="BB12" s="64"/>
      <c r="BC12" s="95"/>
      <c r="BD12" s="94" t="s">
        <v>46</v>
      </c>
      <c r="BE12" s="5"/>
      <c r="BF12" s="64"/>
      <c r="BG12" s="95"/>
      <c r="BH12" s="94" t="s">
        <v>46</v>
      </c>
      <c r="BI12" s="5"/>
      <c r="BJ12" s="64"/>
      <c r="BK12" s="95"/>
      <c r="BL12" s="94" t="s">
        <v>46</v>
      </c>
      <c r="BM12" s="5"/>
      <c r="BN12" s="64"/>
      <c r="BO12" s="95"/>
      <c r="BP12" s="94" t="s">
        <v>46</v>
      </c>
      <c r="BQ12" s="5"/>
      <c r="BR12" s="64"/>
      <c r="BS12" s="95"/>
      <c r="BT12" s="94" t="s">
        <v>46</v>
      </c>
      <c r="BU12" s="5"/>
      <c r="BV12" s="64"/>
      <c r="BW12" s="95"/>
      <c r="BX12" s="94" t="s">
        <v>46</v>
      </c>
      <c r="BY12" s="5"/>
      <c r="BZ12" s="64"/>
      <c r="CA12" s="95"/>
      <c r="CB12" s="94" t="s">
        <v>46</v>
      </c>
      <c r="CC12" s="5"/>
      <c r="CD12" s="64"/>
      <c r="CE12" s="95"/>
      <c r="CF12" s="94" t="s">
        <v>46</v>
      </c>
      <c r="CG12" s="5"/>
      <c r="CH12" s="64"/>
      <c r="CI12" s="95"/>
      <c r="CJ12" s="94" t="s">
        <v>46</v>
      </c>
      <c r="CK12" s="5"/>
      <c r="CL12" s="64"/>
      <c r="CM12" s="95"/>
      <c r="CN12" s="94" t="s">
        <v>46</v>
      </c>
      <c r="CO12" s="5"/>
      <c r="CP12" s="64"/>
      <c r="CQ12" s="95"/>
      <c r="CR12" s="94" t="s">
        <v>46</v>
      </c>
      <c r="CS12" s="5"/>
      <c r="CT12" s="64"/>
      <c r="CU12" s="95"/>
      <c r="CV12" s="94" t="s">
        <v>46</v>
      </c>
      <c r="CW12" s="5"/>
      <c r="CX12" s="64"/>
      <c r="CY12" s="95"/>
      <c r="CZ12" s="94" t="s">
        <v>46</v>
      </c>
      <c r="DA12" s="5"/>
      <c r="DB12" s="64"/>
      <c r="DC12" s="95"/>
      <c r="DD12" s="94" t="s">
        <v>46</v>
      </c>
      <c r="DE12" s="5"/>
      <c r="DF12" s="64"/>
      <c r="DG12" s="95"/>
      <c r="DH12" s="94" t="s">
        <v>46</v>
      </c>
      <c r="DI12" s="5"/>
      <c r="DJ12" s="64"/>
      <c r="DK12" s="95"/>
      <c r="DL12" s="94" t="s">
        <v>46</v>
      </c>
      <c r="DM12" s="5"/>
      <c r="DN12" s="64"/>
      <c r="DO12" s="95"/>
      <c r="DP12" s="94" t="s">
        <v>46</v>
      </c>
      <c r="DQ12" s="5"/>
      <c r="DR12" s="64"/>
      <c r="DS12" s="95"/>
      <c r="DT12" s="94" t="s">
        <v>46</v>
      </c>
      <c r="DU12" s="5"/>
      <c r="DV12" s="64"/>
      <c r="DW12" s="95"/>
      <c r="DX12" s="94" t="s">
        <v>46</v>
      </c>
      <c r="DY12" s="5"/>
      <c r="DZ12" s="64"/>
      <c r="EA12" s="95"/>
      <c r="EB12" s="65">
        <f t="shared" si="56"/>
        <v>1.5416666666666698</v>
      </c>
      <c r="EC12" s="5">
        <f t="shared" si="57"/>
        <v>0</v>
      </c>
      <c r="ED12" s="5">
        <f t="shared" si="58"/>
        <v>0</v>
      </c>
      <c r="EE12" s="5">
        <f t="shared" si="59"/>
        <v>0</v>
      </c>
      <c r="EF12" s="30">
        <f t="shared" ref="EF12" si="69">+EB12/$EF$3</f>
        <v>0.21637426900584841</v>
      </c>
      <c r="EG12" s="110">
        <f t="shared" si="61"/>
        <v>7.125</v>
      </c>
      <c r="EH12" s="68">
        <f t="shared" ref="EH12" si="70">+$EF$3-EB12</f>
        <v>5.5833333333333304</v>
      </c>
      <c r="EI12" s="88">
        <f t="shared" ref="EI12" si="71">+EB12*$EI$3</f>
        <v>4.3455165692007887</v>
      </c>
      <c r="EJ12" s="69">
        <f t="shared" ref="EJ12" si="72">+EB12+$EG$3</f>
        <v>1.5416666666666698</v>
      </c>
      <c r="EK12" s="14"/>
    </row>
    <row r="13" spans="1:141">
      <c r="A13" s="70" t="s">
        <v>294</v>
      </c>
      <c r="B13" s="31">
        <v>1724242761</v>
      </c>
      <c r="C13" s="18" t="s">
        <v>46</v>
      </c>
      <c r="D13" s="5"/>
      <c r="E13" s="5"/>
      <c r="F13" s="13"/>
      <c r="G13" s="90"/>
      <c r="H13" s="94" t="s">
        <v>46</v>
      </c>
      <c r="I13" s="5" t="s">
        <v>104</v>
      </c>
      <c r="J13" s="64">
        <v>0.20833333333333401</v>
      </c>
      <c r="K13" s="95" t="s">
        <v>13</v>
      </c>
      <c r="L13" s="94" t="s">
        <v>46</v>
      </c>
      <c r="M13" s="5" t="s">
        <v>75</v>
      </c>
      <c r="N13" s="64">
        <v>0.27083333333333398</v>
      </c>
      <c r="O13" s="95" t="s">
        <v>10</v>
      </c>
      <c r="P13" s="94" t="s">
        <v>46</v>
      </c>
      <c r="Q13" s="5" t="s">
        <v>75</v>
      </c>
      <c r="R13" s="64">
        <v>0.27083333333333398</v>
      </c>
      <c r="S13" s="95" t="s">
        <v>10</v>
      </c>
      <c r="T13" s="94" t="s">
        <v>46</v>
      </c>
      <c r="U13" s="5" t="s">
        <v>75</v>
      </c>
      <c r="V13" s="64">
        <v>0.27083333333333398</v>
      </c>
      <c r="W13" s="95" t="s">
        <v>10</v>
      </c>
      <c r="X13" s="94" t="s">
        <v>46</v>
      </c>
      <c r="Y13" s="5" t="s">
        <v>75</v>
      </c>
      <c r="Z13" s="64">
        <v>0.27083333333333398</v>
      </c>
      <c r="AA13" s="95" t="s">
        <v>10</v>
      </c>
      <c r="AB13" s="94" t="s">
        <v>46</v>
      </c>
      <c r="AC13" s="5" t="s">
        <v>80</v>
      </c>
      <c r="AD13" s="64">
        <v>0.39583333333333398</v>
      </c>
      <c r="AE13" s="95" t="s">
        <v>10</v>
      </c>
      <c r="AF13" s="94" t="s">
        <v>46</v>
      </c>
      <c r="AG13" s="5" t="s">
        <v>80</v>
      </c>
      <c r="AH13" s="64">
        <v>0.375</v>
      </c>
      <c r="AI13" s="95" t="s">
        <v>13</v>
      </c>
      <c r="AJ13" s="94" t="s">
        <v>46</v>
      </c>
      <c r="AK13" s="5">
        <v>0</v>
      </c>
      <c r="AL13" s="64">
        <v>0</v>
      </c>
      <c r="AM13" s="95">
        <v>0</v>
      </c>
      <c r="AN13" s="94" t="s">
        <v>46</v>
      </c>
      <c r="AO13" s="5"/>
      <c r="AP13" s="64"/>
      <c r="AQ13" s="95"/>
      <c r="AR13" s="94" t="s">
        <v>46</v>
      </c>
      <c r="AS13" s="5"/>
      <c r="AT13" s="64"/>
      <c r="AU13" s="95"/>
      <c r="AV13" s="94" t="s">
        <v>46</v>
      </c>
      <c r="AW13" s="5"/>
      <c r="AX13" s="64"/>
      <c r="AY13" s="95"/>
      <c r="AZ13" s="94" t="s">
        <v>46</v>
      </c>
      <c r="BA13" s="5"/>
      <c r="BB13" s="64"/>
      <c r="BC13" s="95"/>
      <c r="BD13" s="94" t="s">
        <v>46</v>
      </c>
      <c r="BE13" s="5"/>
      <c r="BF13" s="64"/>
      <c r="BG13" s="95"/>
      <c r="BH13" s="94" t="s">
        <v>46</v>
      </c>
      <c r="BI13" s="5"/>
      <c r="BJ13" s="64"/>
      <c r="BK13" s="95"/>
      <c r="BL13" s="94" t="s">
        <v>46</v>
      </c>
      <c r="BM13" s="5"/>
      <c r="BN13" s="64"/>
      <c r="BO13" s="95"/>
      <c r="BP13" s="94" t="s">
        <v>46</v>
      </c>
      <c r="BQ13" s="5"/>
      <c r="BR13" s="64"/>
      <c r="BS13" s="95"/>
      <c r="BT13" s="94" t="s">
        <v>46</v>
      </c>
      <c r="BU13" s="5"/>
      <c r="BV13" s="64"/>
      <c r="BW13" s="95"/>
      <c r="BX13" s="94" t="s">
        <v>46</v>
      </c>
      <c r="BY13" s="5"/>
      <c r="BZ13" s="64"/>
      <c r="CA13" s="95"/>
      <c r="CB13" s="94" t="s">
        <v>46</v>
      </c>
      <c r="CC13" s="5"/>
      <c r="CD13" s="64"/>
      <c r="CE13" s="95"/>
      <c r="CF13" s="94" t="s">
        <v>46</v>
      </c>
      <c r="CG13" s="5"/>
      <c r="CH13" s="64"/>
      <c r="CI13" s="95"/>
      <c r="CJ13" s="94" t="s">
        <v>46</v>
      </c>
      <c r="CK13" s="5"/>
      <c r="CL13" s="64"/>
      <c r="CM13" s="95"/>
      <c r="CN13" s="94" t="s">
        <v>46</v>
      </c>
      <c r="CO13" s="5"/>
      <c r="CP13" s="64"/>
      <c r="CQ13" s="95"/>
      <c r="CR13" s="94" t="s">
        <v>46</v>
      </c>
      <c r="CS13" s="5"/>
      <c r="CT13" s="64"/>
      <c r="CU13" s="95"/>
      <c r="CV13" s="94" t="s">
        <v>46</v>
      </c>
      <c r="CW13" s="5"/>
      <c r="CX13" s="64"/>
      <c r="CY13" s="95"/>
      <c r="CZ13" s="94" t="s">
        <v>46</v>
      </c>
      <c r="DA13" s="5"/>
      <c r="DB13" s="64"/>
      <c r="DC13" s="95"/>
      <c r="DD13" s="94" t="s">
        <v>46</v>
      </c>
      <c r="DE13" s="5"/>
      <c r="DF13" s="64"/>
      <c r="DG13" s="95"/>
      <c r="DH13" s="94" t="s">
        <v>46</v>
      </c>
      <c r="DI13" s="5"/>
      <c r="DJ13" s="64"/>
      <c r="DK13" s="95"/>
      <c r="DL13" s="94" t="s">
        <v>46</v>
      </c>
      <c r="DM13" s="5"/>
      <c r="DN13" s="64"/>
      <c r="DO13" s="95"/>
      <c r="DP13" s="94" t="s">
        <v>46</v>
      </c>
      <c r="DQ13" s="5"/>
      <c r="DR13" s="64"/>
      <c r="DS13" s="95"/>
      <c r="DT13" s="94" t="s">
        <v>46</v>
      </c>
      <c r="DU13" s="5"/>
      <c r="DV13" s="64"/>
      <c r="DW13" s="95"/>
      <c r="DX13" s="94" t="s">
        <v>46</v>
      </c>
      <c r="DY13" s="5"/>
      <c r="DZ13" s="64"/>
      <c r="EA13" s="95"/>
      <c r="EB13" s="65">
        <f t="shared" si="56"/>
        <v>2.0625000000000036</v>
      </c>
      <c r="EC13" s="5">
        <f t="shared" si="57"/>
        <v>2</v>
      </c>
      <c r="ED13" s="5">
        <f t="shared" si="58"/>
        <v>0</v>
      </c>
      <c r="EE13" s="5">
        <f t="shared" si="59"/>
        <v>0</v>
      </c>
      <c r="EF13" s="30">
        <f t="shared" ref="EF13:EF14" si="73">+EB13/$EF$3</f>
        <v>0.28947368421052683</v>
      </c>
      <c r="EG13" s="110">
        <f t="shared" si="61"/>
        <v>7.125</v>
      </c>
      <c r="EH13" s="68">
        <f t="shared" ref="EH13:EH14" si="74">+$EF$3-EB13</f>
        <v>5.0624999999999964</v>
      </c>
      <c r="EI13" s="88">
        <f t="shared" ref="EI13:EI14" si="75">+EB13*$EI$3</f>
        <v>5.8135964912280809</v>
      </c>
      <c r="EJ13" s="69">
        <f t="shared" ref="EJ13:EJ14" si="76">+EB13+$EG$3</f>
        <v>2.0625000000000036</v>
      </c>
      <c r="EK13" s="14"/>
    </row>
    <row r="14" spans="1:141">
      <c r="A14" s="70" t="s">
        <v>295</v>
      </c>
      <c r="B14" s="31" t="s">
        <v>297</v>
      </c>
      <c r="C14" s="18" t="s">
        <v>46</v>
      </c>
      <c r="D14" s="5"/>
      <c r="E14" s="5"/>
      <c r="F14" s="13"/>
      <c r="G14" s="90"/>
      <c r="H14" s="94" t="s">
        <v>46</v>
      </c>
      <c r="I14" s="5" t="s">
        <v>75</v>
      </c>
      <c r="J14" s="64">
        <v>0.25</v>
      </c>
      <c r="K14" s="95" t="s">
        <v>10</v>
      </c>
      <c r="L14" s="94" t="s">
        <v>46</v>
      </c>
      <c r="M14" s="5" t="s">
        <v>75</v>
      </c>
      <c r="N14" s="64">
        <v>0.27083333333333398</v>
      </c>
      <c r="O14" s="95" t="s">
        <v>10</v>
      </c>
      <c r="P14" s="94" t="s">
        <v>46</v>
      </c>
      <c r="Q14" s="5" t="s">
        <v>75</v>
      </c>
      <c r="R14" s="64">
        <v>0.27083333333333398</v>
      </c>
      <c r="S14" s="95" t="s">
        <v>10</v>
      </c>
      <c r="T14" s="94" t="s">
        <v>46</v>
      </c>
      <c r="U14" s="5" t="s">
        <v>75</v>
      </c>
      <c r="V14" s="64">
        <v>0.25</v>
      </c>
      <c r="W14" s="95" t="s">
        <v>10</v>
      </c>
      <c r="X14" s="94" t="s">
        <v>46</v>
      </c>
      <c r="Y14" s="5" t="s">
        <v>75</v>
      </c>
      <c r="Z14" s="64">
        <v>0.27083333333333398</v>
      </c>
      <c r="AA14" s="95" t="s">
        <v>10</v>
      </c>
      <c r="AB14" s="94" t="s">
        <v>46</v>
      </c>
      <c r="AC14" s="5" t="s">
        <v>80</v>
      </c>
      <c r="AD14" s="64">
        <v>0.39583333333333398</v>
      </c>
      <c r="AE14" s="95" t="s">
        <v>10</v>
      </c>
      <c r="AF14" s="94" t="s">
        <v>46</v>
      </c>
      <c r="AG14" s="5" t="s">
        <v>75</v>
      </c>
      <c r="AH14" s="64">
        <v>0.27083333333333398</v>
      </c>
      <c r="AI14" s="95" t="s">
        <v>13</v>
      </c>
      <c r="AJ14" s="94" t="s">
        <v>46</v>
      </c>
      <c r="AK14" s="5">
        <v>0</v>
      </c>
      <c r="AL14" s="64">
        <v>0</v>
      </c>
      <c r="AM14" s="95">
        <v>0</v>
      </c>
      <c r="AN14" s="94" t="s">
        <v>46</v>
      </c>
      <c r="AO14" s="5"/>
      <c r="AP14" s="64"/>
      <c r="AQ14" s="95"/>
      <c r="AR14" s="94" t="s">
        <v>46</v>
      </c>
      <c r="AS14" s="5"/>
      <c r="AT14" s="64"/>
      <c r="AU14" s="95"/>
      <c r="AV14" s="94" t="s">
        <v>46</v>
      </c>
      <c r="AW14" s="5"/>
      <c r="AX14" s="64"/>
      <c r="AY14" s="95"/>
      <c r="AZ14" s="94" t="s">
        <v>46</v>
      </c>
      <c r="BA14" s="5"/>
      <c r="BB14" s="64"/>
      <c r="BC14" s="95"/>
      <c r="BD14" s="94" t="s">
        <v>46</v>
      </c>
      <c r="BE14" s="5"/>
      <c r="BF14" s="64"/>
      <c r="BG14" s="95"/>
      <c r="BH14" s="94" t="s">
        <v>46</v>
      </c>
      <c r="BI14" s="5"/>
      <c r="BJ14" s="64"/>
      <c r="BK14" s="95"/>
      <c r="BL14" s="94" t="s">
        <v>46</v>
      </c>
      <c r="BM14" s="5"/>
      <c r="BN14" s="64"/>
      <c r="BO14" s="95"/>
      <c r="BP14" s="94" t="s">
        <v>46</v>
      </c>
      <c r="BQ14" s="5"/>
      <c r="BR14" s="64"/>
      <c r="BS14" s="95"/>
      <c r="BT14" s="94" t="s">
        <v>46</v>
      </c>
      <c r="BU14" s="5"/>
      <c r="BV14" s="64"/>
      <c r="BW14" s="95"/>
      <c r="BX14" s="94" t="s">
        <v>46</v>
      </c>
      <c r="BY14" s="5"/>
      <c r="BZ14" s="64"/>
      <c r="CA14" s="95"/>
      <c r="CB14" s="94" t="s">
        <v>46</v>
      </c>
      <c r="CC14" s="5"/>
      <c r="CD14" s="64"/>
      <c r="CE14" s="95"/>
      <c r="CF14" s="94" t="s">
        <v>46</v>
      </c>
      <c r="CG14" s="5"/>
      <c r="CH14" s="64"/>
      <c r="CI14" s="95"/>
      <c r="CJ14" s="94" t="s">
        <v>46</v>
      </c>
      <c r="CK14" s="5"/>
      <c r="CL14" s="64"/>
      <c r="CM14" s="95"/>
      <c r="CN14" s="94" t="s">
        <v>46</v>
      </c>
      <c r="CO14" s="5"/>
      <c r="CP14" s="64"/>
      <c r="CQ14" s="95"/>
      <c r="CR14" s="94" t="s">
        <v>46</v>
      </c>
      <c r="CS14" s="5"/>
      <c r="CT14" s="64"/>
      <c r="CU14" s="95"/>
      <c r="CV14" s="94" t="s">
        <v>46</v>
      </c>
      <c r="CW14" s="5"/>
      <c r="CX14" s="64"/>
      <c r="CY14" s="95"/>
      <c r="CZ14" s="94" t="s">
        <v>46</v>
      </c>
      <c r="DA14" s="5"/>
      <c r="DB14" s="64"/>
      <c r="DC14" s="95"/>
      <c r="DD14" s="94" t="s">
        <v>46</v>
      </c>
      <c r="DE14" s="5"/>
      <c r="DF14" s="64"/>
      <c r="DG14" s="95"/>
      <c r="DH14" s="94" t="s">
        <v>46</v>
      </c>
      <c r="DI14" s="5"/>
      <c r="DJ14" s="64"/>
      <c r="DK14" s="95"/>
      <c r="DL14" s="94" t="s">
        <v>46</v>
      </c>
      <c r="DM14" s="5"/>
      <c r="DN14" s="64"/>
      <c r="DO14" s="95"/>
      <c r="DP14" s="94" t="s">
        <v>46</v>
      </c>
      <c r="DQ14" s="5"/>
      <c r="DR14" s="64"/>
      <c r="DS14" s="95"/>
      <c r="DT14" s="94" t="s">
        <v>46</v>
      </c>
      <c r="DU14" s="5"/>
      <c r="DV14" s="64"/>
      <c r="DW14" s="95"/>
      <c r="DX14" s="94" t="s">
        <v>46</v>
      </c>
      <c r="DY14" s="5"/>
      <c r="DZ14" s="64"/>
      <c r="EA14" s="95"/>
      <c r="EB14" s="65">
        <f t="shared" si="56"/>
        <v>1.9791666666666696</v>
      </c>
      <c r="EC14" s="5">
        <f t="shared" si="57"/>
        <v>1</v>
      </c>
      <c r="ED14" s="5">
        <f t="shared" si="58"/>
        <v>0</v>
      </c>
      <c r="EE14" s="5">
        <f t="shared" si="59"/>
        <v>0</v>
      </c>
      <c r="EF14" s="30">
        <f t="shared" si="73"/>
        <v>0.27777777777777818</v>
      </c>
      <c r="EG14" s="110">
        <f t="shared" si="61"/>
        <v>7.125</v>
      </c>
      <c r="EH14" s="68">
        <f t="shared" si="74"/>
        <v>5.1458333333333304</v>
      </c>
      <c r="EI14" s="88">
        <f t="shared" si="75"/>
        <v>5.5787037037037122</v>
      </c>
      <c r="EJ14" s="69">
        <f t="shared" si="76"/>
        <v>1.9791666666666696</v>
      </c>
      <c r="EK14" s="14"/>
    </row>
    <row r="15" spans="1:141">
      <c r="A15" s="70" t="s">
        <v>298</v>
      </c>
      <c r="B15" s="31" t="s">
        <v>300</v>
      </c>
      <c r="C15" s="18" t="s">
        <v>46</v>
      </c>
      <c r="D15" s="5"/>
      <c r="E15" s="5"/>
      <c r="F15" s="13"/>
      <c r="G15" s="90"/>
      <c r="H15" s="94" t="s">
        <v>46</v>
      </c>
      <c r="I15" s="5" t="s">
        <v>75</v>
      </c>
      <c r="J15" s="64">
        <v>0.27083333333333398</v>
      </c>
      <c r="K15" s="95" t="s">
        <v>10</v>
      </c>
      <c r="L15" s="94" t="s">
        <v>46</v>
      </c>
      <c r="M15" s="5" t="s">
        <v>75</v>
      </c>
      <c r="N15" s="64">
        <v>0.27083333333333398</v>
      </c>
      <c r="O15" s="95" t="s">
        <v>10</v>
      </c>
      <c r="P15" s="94" t="s">
        <v>46</v>
      </c>
      <c r="Q15" s="5" t="s">
        <v>75</v>
      </c>
      <c r="R15" s="64">
        <v>0.27083333333333398</v>
      </c>
      <c r="S15" s="95" t="s">
        <v>10</v>
      </c>
      <c r="T15" s="94" t="s">
        <v>46</v>
      </c>
      <c r="U15" s="5" t="s">
        <v>75</v>
      </c>
      <c r="V15" s="64">
        <v>0.25</v>
      </c>
      <c r="W15" s="95" t="s">
        <v>10</v>
      </c>
      <c r="X15" s="94" t="s">
        <v>46</v>
      </c>
      <c r="Y15" s="5" t="s">
        <v>75</v>
      </c>
      <c r="Z15" s="64">
        <v>0.27083333333333398</v>
      </c>
      <c r="AA15" s="95" t="s">
        <v>10</v>
      </c>
      <c r="AB15" s="94" t="s">
        <v>46</v>
      </c>
      <c r="AC15" s="5" t="s">
        <v>75</v>
      </c>
      <c r="AD15" s="64">
        <v>0.27083333333333398</v>
      </c>
      <c r="AE15" s="95" t="s">
        <v>10</v>
      </c>
      <c r="AF15" s="94" t="s">
        <v>46</v>
      </c>
      <c r="AG15" s="5" t="s">
        <v>75</v>
      </c>
      <c r="AH15" s="64">
        <v>0.27083333333333398</v>
      </c>
      <c r="AI15" s="95" t="s">
        <v>13</v>
      </c>
      <c r="AJ15" s="94" t="s">
        <v>46</v>
      </c>
      <c r="AK15" s="5">
        <v>0</v>
      </c>
      <c r="AL15" s="64">
        <v>0</v>
      </c>
      <c r="AM15" s="95">
        <v>0</v>
      </c>
      <c r="AN15" s="94" t="s">
        <v>46</v>
      </c>
      <c r="AO15" s="5"/>
      <c r="AP15" s="64"/>
      <c r="AQ15" s="95"/>
      <c r="AR15" s="94" t="s">
        <v>46</v>
      </c>
      <c r="AS15" s="5"/>
      <c r="AT15" s="64"/>
      <c r="AU15" s="95"/>
      <c r="AV15" s="94" t="s">
        <v>46</v>
      </c>
      <c r="AW15" s="5"/>
      <c r="AX15" s="64"/>
      <c r="AY15" s="95"/>
      <c r="AZ15" s="94" t="s">
        <v>46</v>
      </c>
      <c r="BA15" s="5"/>
      <c r="BB15" s="64"/>
      <c r="BC15" s="95"/>
      <c r="BD15" s="94" t="s">
        <v>46</v>
      </c>
      <c r="BE15" s="5"/>
      <c r="BF15" s="64"/>
      <c r="BG15" s="95"/>
      <c r="BH15" s="94" t="s">
        <v>46</v>
      </c>
      <c r="BI15" s="5"/>
      <c r="BJ15" s="64"/>
      <c r="BK15" s="95"/>
      <c r="BL15" s="94" t="s">
        <v>46</v>
      </c>
      <c r="BM15" s="5"/>
      <c r="BN15" s="64"/>
      <c r="BO15" s="95"/>
      <c r="BP15" s="94" t="s">
        <v>46</v>
      </c>
      <c r="BQ15" s="5"/>
      <c r="BR15" s="64"/>
      <c r="BS15" s="95"/>
      <c r="BT15" s="94" t="s">
        <v>46</v>
      </c>
      <c r="BU15" s="5"/>
      <c r="BV15" s="64"/>
      <c r="BW15" s="95"/>
      <c r="BX15" s="94" t="s">
        <v>46</v>
      </c>
      <c r="BY15" s="5"/>
      <c r="BZ15" s="64"/>
      <c r="CA15" s="95"/>
      <c r="CB15" s="94" t="s">
        <v>46</v>
      </c>
      <c r="CC15" s="5"/>
      <c r="CD15" s="64"/>
      <c r="CE15" s="95"/>
      <c r="CF15" s="94" t="s">
        <v>46</v>
      </c>
      <c r="CG15" s="5"/>
      <c r="CH15" s="64"/>
      <c r="CI15" s="95"/>
      <c r="CJ15" s="94" t="s">
        <v>46</v>
      </c>
      <c r="CK15" s="5"/>
      <c r="CL15" s="64"/>
      <c r="CM15" s="95"/>
      <c r="CN15" s="94" t="s">
        <v>46</v>
      </c>
      <c r="CO15" s="5"/>
      <c r="CP15" s="64"/>
      <c r="CQ15" s="95"/>
      <c r="CR15" s="94" t="s">
        <v>46</v>
      </c>
      <c r="CS15" s="5"/>
      <c r="CT15" s="64"/>
      <c r="CU15" s="95"/>
      <c r="CV15" s="94" t="s">
        <v>46</v>
      </c>
      <c r="CW15" s="5"/>
      <c r="CX15" s="64"/>
      <c r="CY15" s="95"/>
      <c r="CZ15" s="94" t="s">
        <v>46</v>
      </c>
      <c r="DA15" s="5"/>
      <c r="DB15" s="64"/>
      <c r="DC15" s="95"/>
      <c r="DD15" s="94" t="s">
        <v>46</v>
      </c>
      <c r="DE15" s="5"/>
      <c r="DF15" s="64"/>
      <c r="DG15" s="95"/>
      <c r="DH15" s="94" t="s">
        <v>46</v>
      </c>
      <c r="DI15" s="5"/>
      <c r="DJ15" s="64"/>
      <c r="DK15" s="95"/>
      <c r="DL15" s="94" t="s">
        <v>46</v>
      </c>
      <c r="DM15" s="5"/>
      <c r="DN15" s="64"/>
      <c r="DO15" s="95"/>
      <c r="DP15" s="94" t="s">
        <v>46</v>
      </c>
      <c r="DQ15" s="5"/>
      <c r="DR15" s="64"/>
      <c r="DS15" s="95"/>
      <c r="DT15" s="94" t="s">
        <v>46</v>
      </c>
      <c r="DU15" s="5"/>
      <c r="DV15" s="64"/>
      <c r="DW15" s="95"/>
      <c r="DX15" s="94" t="s">
        <v>46</v>
      </c>
      <c r="DY15" s="5"/>
      <c r="DZ15" s="64"/>
      <c r="EA15" s="95"/>
      <c r="EB15" s="65">
        <f t="shared" si="56"/>
        <v>1.8750000000000038</v>
      </c>
      <c r="EC15" s="5">
        <f t="shared" si="57"/>
        <v>1</v>
      </c>
      <c r="ED15" s="5">
        <f t="shared" si="58"/>
        <v>0</v>
      </c>
      <c r="EE15" s="5">
        <f t="shared" si="59"/>
        <v>0</v>
      </c>
      <c r="EF15" s="30">
        <f t="shared" ref="EF15:EF16" si="77">+EB15/$EF$3</f>
        <v>0.26315789473684265</v>
      </c>
      <c r="EG15" s="110">
        <f t="shared" si="61"/>
        <v>7.125</v>
      </c>
      <c r="EH15" s="68">
        <f t="shared" ref="EH15:EH16" si="78">+$EF$3-EB15</f>
        <v>5.2499999999999964</v>
      </c>
      <c r="EI15" s="88">
        <f t="shared" ref="EI15:EI16" si="79">+EB15*$EI$3</f>
        <v>5.2850877192982564</v>
      </c>
      <c r="EJ15" s="69">
        <f t="shared" ref="EJ15:EJ16" si="80">+EB15+$EG$3</f>
        <v>1.8750000000000038</v>
      </c>
      <c r="EK15" s="14"/>
    </row>
    <row r="16" spans="1:141">
      <c r="A16" s="70" t="s">
        <v>299</v>
      </c>
      <c r="B16" s="31" t="s">
        <v>301</v>
      </c>
      <c r="C16" s="18" t="s">
        <v>46</v>
      </c>
      <c r="D16" s="5"/>
      <c r="E16" s="5"/>
      <c r="F16" s="13"/>
      <c r="G16" s="90"/>
      <c r="H16" s="94" t="s">
        <v>46</v>
      </c>
      <c r="I16" s="5">
        <v>0</v>
      </c>
      <c r="J16" s="64">
        <v>0</v>
      </c>
      <c r="K16" s="95">
        <v>0</v>
      </c>
      <c r="L16" s="94" t="s">
        <v>46</v>
      </c>
      <c r="M16" s="5" t="s">
        <v>75</v>
      </c>
      <c r="N16" s="64">
        <v>0.27083333333333398</v>
      </c>
      <c r="O16" s="95" t="s">
        <v>10</v>
      </c>
      <c r="P16" s="94" t="s">
        <v>46</v>
      </c>
      <c r="Q16" s="5" t="s">
        <v>75</v>
      </c>
      <c r="R16" s="64">
        <v>0.25</v>
      </c>
      <c r="S16" s="95" t="s">
        <v>10</v>
      </c>
      <c r="T16" s="94" t="s">
        <v>46</v>
      </c>
      <c r="U16" s="5" t="s">
        <v>11</v>
      </c>
      <c r="V16" s="64">
        <v>0</v>
      </c>
      <c r="W16" s="95" t="s">
        <v>11</v>
      </c>
      <c r="X16" s="94" t="s">
        <v>46</v>
      </c>
      <c r="Y16" s="5">
        <v>0</v>
      </c>
      <c r="Z16" s="64">
        <v>0</v>
      </c>
      <c r="AA16" s="95">
        <v>0</v>
      </c>
      <c r="AB16" s="94" t="s">
        <v>46</v>
      </c>
      <c r="AC16" s="5">
        <v>0</v>
      </c>
      <c r="AD16" s="64">
        <v>0</v>
      </c>
      <c r="AE16" s="95" t="s">
        <v>11</v>
      </c>
      <c r="AF16" s="94" t="s">
        <v>46</v>
      </c>
      <c r="AG16" s="5">
        <v>0</v>
      </c>
      <c r="AH16" s="64">
        <v>0</v>
      </c>
      <c r="AI16" s="95">
        <v>0</v>
      </c>
      <c r="AJ16" s="94" t="s">
        <v>46</v>
      </c>
      <c r="AK16" s="5">
        <v>0</v>
      </c>
      <c r="AL16" s="64">
        <v>0</v>
      </c>
      <c r="AM16" s="95">
        <v>0</v>
      </c>
      <c r="AN16" s="94" t="s">
        <v>46</v>
      </c>
      <c r="AO16" s="5"/>
      <c r="AP16" s="64"/>
      <c r="AQ16" s="95"/>
      <c r="AR16" s="94" t="s">
        <v>46</v>
      </c>
      <c r="AS16" s="5"/>
      <c r="AT16" s="64"/>
      <c r="AU16" s="95"/>
      <c r="AV16" s="94" t="s">
        <v>46</v>
      </c>
      <c r="AW16" s="5"/>
      <c r="AX16" s="64"/>
      <c r="AY16" s="95"/>
      <c r="AZ16" s="94" t="s">
        <v>46</v>
      </c>
      <c r="BA16" s="5"/>
      <c r="BB16" s="64"/>
      <c r="BC16" s="95"/>
      <c r="BD16" s="94" t="s">
        <v>46</v>
      </c>
      <c r="BE16" s="5"/>
      <c r="BF16" s="64"/>
      <c r="BG16" s="95"/>
      <c r="BH16" s="94" t="s">
        <v>46</v>
      </c>
      <c r="BI16" s="5"/>
      <c r="BJ16" s="64"/>
      <c r="BK16" s="95"/>
      <c r="BL16" s="94" t="s">
        <v>46</v>
      </c>
      <c r="BM16" s="5"/>
      <c r="BN16" s="64"/>
      <c r="BO16" s="95"/>
      <c r="BP16" s="94" t="s">
        <v>46</v>
      </c>
      <c r="BQ16" s="5"/>
      <c r="BR16" s="64"/>
      <c r="BS16" s="95"/>
      <c r="BT16" s="94" t="s">
        <v>46</v>
      </c>
      <c r="BU16" s="5"/>
      <c r="BV16" s="64"/>
      <c r="BW16" s="95"/>
      <c r="BX16" s="94" t="s">
        <v>46</v>
      </c>
      <c r="BY16" s="5"/>
      <c r="BZ16" s="64"/>
      <c r="CA16" s="95"/>
      <c r="CB16" s="94" t="s">
        <v>46</v>
      </c>
      <c r="CC16" s="5"/>
      <c r="CD16" s="64"/>
      <c r="CE16" s="95"/>
      <c r="CF16" s="94" t="s">
        <v>46</v>
      </c>
      <c r="CG16" s="5"/>
      <c r="CH16" s="64"/>
      <c r="CI16" s="95"/>
      <c r="CJ16" s="94" t="s">
        <v>46</v>
      </c>
      <c r="CK16" s="5"/>
      <c r="CL16" s="64"/>
      <c r="CM16" s="95"/>
      <c r="CN16" s="94" t="s">
        <v>46</v>
      </c>
      <c r="CO16" s="5"/>
      <c r="CP16" s="64"/>
      <c r="CQ16" s="95"/>
      <c r="CR16" s="94" t="s">
        <v>46</v>
      </c>
      <c r="CS16" s="5"/>
      <c r="CT16" s="64"/>
      <c r="CU16" s="95"/>
      <c r="CV16" s="94" t="s">
        <v>46</v>
      </c>
      <c r="CW16" s="5"/>
      <c r="CX16" s="64"/>
      <c r="CY16" s="95"/>
      <c r="CZ16" s="94" t="s">
        <v>46</v>
      </c>
      <c r="DA16" s="5"/>
      <c r="DB16" s="64"/>
      <c r="DC16" s="95"/>
      <c r="DD16" s="94" t="s">
        <v>46</v>
      </c>
      <c r="DE16" s="5"/>
      <c r="DF16" s="64"/>
      <c r="DG16" s="95"/>
      <c r="DH16" s="94" t="s">
        <v>46</v>
      </c>
      <c r="DI16" s="5"/>
      <c r="DJ16" s="64"/>
      <c r="DK16" s="95"/>
      <c r="DL16" s="94" t="s">
        <v>46</v>
      </c>
      <c r="DM16" s="5"/>
      <c r="DN16" s="64"/>
      <c r="DO16" s="95"/>
      <c r="DP16" s="94" t="s">
        <v>46</v>
      </c>
      <c r="DQ16" s="5"/>
      <c r="DR16" s="64"/>
      <c r="DS16" s="95"/>
      <c r="DT16" s="94" t="s">
        <v>46</v>
      </c>
      <c r="DU16" s="5"/>
      <c r="DV16" s="64"/>
      <c r="DW16" s="95"/>
      <c r="DX16" s="94" t="s">
        <v>46</v>
      </c>
      <c r="DY16" s="5"/>
      <c r="DZ16" s="64"/>
      <c r="EA16" s="95"/>
      <c r="EB16" s="65">
        <f t="shared" si="56"/>
        <v>0.52083333333333393</v>
      </c>
      <c r="EC16" s="5">
        <f t="shared" si="57"/>
        <v>0</v>
      </c>
      <c r="ED16" s="5">
        <f t="shared" si="58"/>
        <v>2</v>
      </c>
      <c r="EE16" s="5">
        <f t="shared" si="59"/>
        <v>0</v>
      </c>
      <c r="EF16" s="30">
        <f t="shared" si="77"/>
        <v>7.3099415204678442E-2</v>
      </c>
      <c r="EG16" s="110">
        <f t="shared" si="61"/>
        <v>7.125</v>
      </c>
      <c r="EH16" s="68">
        <f t="shared" si="78"/>
        <v>6.6041666666666661</v>
      </c>
      <c r="EI16" s="88">
        <f t="shared" si="79"/>
        <v>1.4680799220272922</v>
      </c>
      <c r="EJ16" s="69">
        <f t="shared" si="80"/>
        <v>0.52083333333333393</v>
      </c>
      <c r="EK16" s="14"/>
    </row>
    <row r="17" spans="1:141">
      <c r="A17" s="70" t="s">
        <v>302</v>
      </c>
      <c r="B17" s="31" t="s">
        <v>303</v>
      </c>
      <c r="C17" s="18" t="s">
        <v>46</v>
      </c>
      <c r="D17" s="5"/>
      <c r="E17" s="5"/>
      <c r="F17" s="13"/>
      <c r="G17" s="90"/>
      <c r="H17" s="94" t="s">
        <v>46</v>
      </c>
      <c r="I17" s="5" t="s">
        <v>75</v>
      </c>
      <c r="J17" s="64">
        <v>0.25</v>
      </c>
      <c r="K17" s="95" t="s">
        <v>10</v>
      </c>
      <c r="L17" s="94" t="s">
        <v>46</v>
      </c>
      <c r="M17" s="5" t="s">
        <v>75</v>
      </c>
      <c r="N17" s="64">
        <v>0.27083333333333398</v>
      </c>
      <c r="O17" s="95" t="s">
        <v>10</v>
      </c>
      <c r="P17" s="94" t="s">
        <v>46</v>
      </c>
      <c r="Q17" s="5" t="s">
        <v>75</v>
      </c>
      <c r="R17" s="64">
        <v>0.25</v>
      </c>
      <c r="S17" s="95" t="s">
        <v>10</v>
      </c>
      <c r="T17" s="94" t="s">
        <v>46</v>
      </c>
      <c r="U17" s="5" t="s">
        <v>75</v>
      </c>
      <c r="V17" s="64">
        <v>0.27083333333333398</v>
      </c>
      <c r="W17" s="95" t="s">
        <v>10</v>
      </c>
      <c r="X17" s="94" t="s">
        <v>46</v>
      </c>
      <c r="Y17" s="5" t="s">
        <v>75</v>
      </c>
      <c r="Z17" s="64">
        <v>0.27083333333333398</v>
      </c>
      <c r="AA17" s="95" t="s">
        <v>10</v>
      </c>
      <c r="AB17" s="94" t="s">
        <v>46</v>
      </c>
      <c r="AC17" s="5" t="s">
        <v>75</v>
      </c>
      <c r="AD17" s="64">
        <v>0.27083333333333398</v>
      </c>
      <c r="AE17" s="95" t="s">
        <v>10</v>
      </c>
      <c r="AF17" s="94" t="s">
        <v>46</v>
      </c>
      <c r="AG17" s="5" t="s">
        <v>77</v>
      </c>
      <c r="AH17" s="64">
        <v>0.22916666666666699</v>
      </c>
      <c r="AI17" s="95" t="s">
        <v>10</v>
      </c>
      <c r="AJ17" s="94" t="s">
        <v>46</v>
      </c>
      <c r="AK17" s="5">
        <v>0</v>
      </c>
      <c r="AL17" s="64">
        <v>0</v>
      </c>
      <c r="AM17" s="95">
        <v>0</v>
      </c>
      <c r="AN17" s="94" t="s">
        <v>46</v>
      </c>
      <c r="AO17" s="5"/>
      <c r="AP17" s="64"/>
      <c r="AQ17" s="95"/>
      <c r="AR17" s="94" t="s">
        <v>46</v>
      </c>
      <c r="AS17" s="5"/>
      <c r="AT17" s="64"/>
      <c r="AU17" s="95"/>
      <c r="AV17" s="94" t="s">
        <v>46</v>
      </c>
      <c r="AW17" s="5"/>
      <c r="AX17" s="64"/>
      <c r="AY17" s="95"/>
      <c r="AZ17" s="94" t="s">
        <v>46</v>
      </c>
      <c r="BA17" s="5"/>
      <c r="BB17" s="64"/>
      <c r="BC17" s="95"/>
      <c r="BD17" s="94" t="s">
        <v>46</v>
      </c>
      <c r="BE17" s="5"/>
      <c r="BF17" s="64"/>
      <c r="BG17" s="95"/>
      <c r="BH17" s="94" t="s">
        <v>46</v>
      </c>
      <c r="BI17" s="5"/>
      <c r="BJ17" s="64"/>
      <c r="BK17" s="95"/>
      <c r="BL17" s="94" t="s">
        <v>46</v>
      </c>
      <c r="BM17" s="5"/>
      <c r="BN17" s="64"/>
      <c r="BO17" s="95"/>
      <c r="BP17" s="94" t="s">
        <v>46</v>
      </c>
      <c r="BQ17" s="5"/>
      <c r="BR17" s="64"/>
      <c r="BS17" s="95"/>
      <c r="BT17" s="94" t="s">
        <v>46</v>
      </c>
      <c r="BU17" s="5"/>
      <c r="BV17" s="64"/>
      <c r="BW17" s="95"/>
      <c r="BX17" s="94" t="s">
        <v>46</v>
      </c>
      <c r="BY17" s="5"/>
      <c r="BZ17" s="64"/>
      <c r="CA17" s="95"/>
      <c r="CB17" s="94" t="s">
        <v>46</v>
      </c>
      <c r="CC17" s="5"/>
      <c r="CD17" s="64"/>
      <c r="CE17" s="95"/>
      <c r="CF17" s="94" t="s">
        <v>46</v>
      </c>
      <c r="CG17" s="5"/>
      <c r="CH17" s="64"/>
      <c r="CI17" s="95"/>
      <c r="CJ17" s="94" t="s">
        <v>46</v>
      </c>
      <c r="CK17" s="5"/>
      <c r="CL17" s="64"/>
      <c r="CM17" s="95"/>
      <c r="CN17" s="94" t="s">
        <v>46</v>
      </c>
      <c r="CO17" s="5"/>
      <c r="CP17" s="64"/>
      <c r="CQ17" s="95"/>
      <c r="CR17" s="94" t="s">
        <v>46</v>
      </c>
      <c r="CS17" s="5"/>
      <c r="CT17" s="64"/>
      <c r="CU17" s="95"/>
      <c r="CV17" s="94" t="s">
        <v>46</v>
      </c>
      <c r="CW17" s="5"/>
      <c r="CX17" s="64"/>
      <c r="CY17" s="95"/>
      <c r="CZ17" s="94" t="s">
        <v>46</v>
      </c>
      <c r="DA17" s="5"/>
      <c r="DB17" s="64"/>
      <c r="DC17" s="95"/>
      <c r="DD17" s="94" t="s">
        <v>46</v>
      </c>
      <c r="DE17" s="5"/>
      <c r="DF17" s="64"/>
      <c r="DG17" s="95"/>
      <c r="DH17" s="94" t="s">
        <v>46</v>
      </c>
      <c r="DI17" s="5"/>
      <c r="DJ17" s="64"/>
      <c r="DK17" s="95"/>
      <c r="DL17" s="94" t="s">
        <v>46</v>
      </c>
      <c r="DM17" s="5"/>
      <c r="DN17" s="64"/>
      <c r="DO17" s="95"/>
      <c r="DP17" s="94" t="s">
        <v>46</v>
      </c>
      <c r="DQ17" s="5"/>
      <c r="DR17" s="64"/>
      <c r="DS17" s="95"/>
      <c r="DT17" s="94" t="s">
        <v>46</v>
      </c>
      <c r="DU17" s="5"/>
      <c r="DV17" s="64"/>
      <c r="DW17" s="95"/>
      <c r="DX17" s="94" t="s">
        <v>46</v>
      </c>
      <c r="DY17" s="5"/>
      <c r="DZ17" s="64"/>
      <c r="EA17" s="95"/>
      <c r="EB17" s="65">
        <f t="shared" si="56"/>
        <v>1.8125000000000027</v>
      </c>
      <c r="EC17" s="5">
        <f t="shared" si="57"/>
        <v>0</v>
      </c>
      <c r="ED17" s="5">
        <f t="shared" si="58"/>
        <v>0</v>
      </c>
      <c r="EE17" s="5">
        <f t="shared" si="59"/>
        <v>0</v>
      </c>
      <c r="EF17" s="30">
        <f t="shared" ref="EF17" si="81">+EB17/$EF$3</f>
        <v>0.25438596491228105</v>
      </c>
      <c r="EG17" s="110">
        <f t="shared" si="61"/>
        <v>7.125</v>
      </c>
      <c r="EH17" s="68">
        <f t="shared" ref="EH17" si="82">+$EF$3-EB17</f>
        <v>5.3124999999999973</v>
      </c>
      <c r="EI17" s="88">
        <f t="shared" ref="EI17" si="83">+EB17*$EI$3</f>
        <v>5.1089181286549783</v>
      </c>
      <c r="EJ17" s="69">
        <f t="shared" ref="EJ17" si="84">+EB17+$EG$3</f>
        <v>1.8125000000000027</v>
      </c>
      <c r="EK17" s="14"/>
    </row>
    <row r="18" spans="1:141">
      <c r="A18" s="70" t="s">
        <v>304</v>
      </c>
      <c r="B18" s="31">
        <v>1720635547</v>
      </c>
      <c r="C18" s="18" t="s">
        <v>46</v>
      </c>
      <c r="D18" s="5"/>
      <c r="E18" s="5"/>
      <c r="F18" s="13"/>
      <c r="G18" s="90"/>
      <c r="H18" s="94" t="s">
        <v>46</v>
      </c>
      <c r="I18" s="5">
        <v>0</v>
      </c>
      <c r="J18" s="64">
        <v>0</v>
      </c>
      <c r="K18" s="95">
        <v>0</v>
      </c>
      <c r="L18" s="94" t="s">
        <v>46</v>
      </c>
      <c r="M18" s="5" t="s">
        <v>74</v>
      </c>
      <c r="N18" s="64">
        <v>0.3125</v>
      </c>
      <c r="O18" s="95" t="s">
        <v>10</v>
      </c>
      <c r="P18" s="94" t="s">
        <v>46</v>
      </c>
      <c r="Q18" s="5" t="s">
        <v>75</v>
      </c>
      <c r="R18" s="64">
        <v>0.25</v>
      </c>
      <c r="S18" s="95" t="s">
        <v>10</v>
      </c>
      <c r="T18" s="94" t="s">
        <v>46</v>
      </c>
      <c r="U18" s="5" t="s">
        <v>75</v>
      </c>
      <c r="V18" s="64">
        <v>0.25</v>
      </c>
      <c r="W18" s="95" t="s">
        <v>10</v>
      </c>
      <c r="X18" s="94" t="s">
        <v>46</v>
      </c>
      <c r="Y18" s="5" t="s">
        <v>80</v>
      </c>
      <c r="Z18" s="64">
        <v>0.375</v>
      </c>
      <c r="AA18" s="95" t="s">
        <v>10</v>
      </c>
      <c r="AB18" s="94" t="s">
        <v>46</v>
      </c>
      <c r="AC18" s="5" t="s">
        <v>75</v>
      </c>
      <c r="AD18" s="64">
        <v>0.27083333333333398</v>
      </c>
      <c r="AE18" s="95" t="s">
        <v>10</v>
      </c>
      <c r="AF18" s="94" t="s">
        <v>46</v>
      </c>
      <c r="AG18" s="5" t="s">
        <v>75</v>
      </c>
      <c r="AH18" s="64">
        <v>0.25</v>
      </c>
      <c r="AI18" s="95" t="s">
        <v>10</v>
      </c>
      <c r="AJ18" s="94" t="s">
        <v>46</v>
      </c>
      <c r="AK18" s="5" t="s">
        <v>184</v>
      </c>
      <c r="AL18" s="64">
        <v>0.1875</v>
      </c>
      <c r="AM18" s="95" t="s">
        <v>13</v>
      </c>
      <c r="AN18" s="94" t="s">
        <v>46</v>
      </c>
      <c r="AO18" s="5"/>
      <c r="AP18" s="64"/>
      <c r="AQ18" s="95"/>
      <c r="AR18" s="94" t="s">
        <v>46</v>
      </c>
      <c r="AS18" s="5"/>
      <c r="AT18" s="64"/>
      <c r="AU18" s="95"/>
      <c r="AV18" s="94" t="s">
        <v>46</v>
      </c>
      <c r="AW18" s="5"/>
      <c r="AX18" s="64"/>
      <c r="AY18" s="95"/>
      <c r="AZ18" s="94" t="s">
        <v>46</v>
      </c>
      <c r="BA18" s="5"/>
      <c r="BB18" s="64"/>
      <c r="BC18" s="95"/>
      <c r="BD18" s="94" t="s">
        <v>46</v>
      </c>
      <c r="BE18" s="5"/>
      <c r="BF18" s="64"/>
      <c r="BG18" s="95"/>
      <c r="BH18" s="94" t="s">
        <v>46</v>
      </c>
      <c r="BI18" s="5"/>
      <c r="BJ18" s="64"/>
      <c r="BK18" s="95"/>
      <c r="BL18" s="94" t="s">
        <v>46</v>
      </c>
      <c r="BM18" s="5"/>
      <c r="BN18" s="64"/>
      <c r="BO18" s="95"/>
      <c r="BP18" s="94" t="s">
        <v>46</v>
      </c>
      <c r="BQ18" s="5"/>
      <c r="BR18" s="64"/>
      <c r="BS18" s="95"/>
      <c r="BT18" s="94" t="s">
        <v>46</v>
      </c>
      <c r="BU18" s="5"/>
      <c r="BV18" s="64"/>
      <c r="BW18" s="95"/>
      <c r="BX18" s="94" t="s">
        <v>46</v>
      </c>
      <c r="BY18" s="5"/>
      <c r="BZ18" s="64"/>
      <c r="CA18" s="95"/>
      <c r="CB18" s="94" t="s">
        <v>46</v>
      </c>
      <c r="CC18" s="5"/>
      <c r="CD18" s="64"/>
      <c r="CE18" s="95"/>
      <c r="CF18" s="94" t="s">
        <v>46</v>
      </c>
      <c r="CG18" s="5"/>
      <c r="CH18" s="64"/>
      <c r="CI18" s="95"/>
      <c r="CJ18" s="94" t="s">
        <v>46</v>
      </c>
      <c r="CK18" s="5"/>
      <c r="CL18" s="64"/>
      <c r="CM18" s="95"/>
      <c r="CN18" s="94" t="s">
        <v>46</v>
      </c>
      <c r="CO18" s="5"/>
      <c r="CP18" s="64"/>
      <c r="CQ18" s="95"/>
      <c r="CR18" s="94" t="s">
        <v>46</v>
      </c>
      <c r="CS18" s="5"/>
      <c r="CT18" s="64"/>
      <c r="CU18" s="95"/>
      <c r="CV18" s="94" t="s">
        <v>46</v>
      </c>
      <c r="CW18" s="5"/>
      <c r="CX18" s="64"/>
      <c r="CY18" s="95"/>
      <c r="CZ18" s="94" t="s">
        <v>46</v>
      </c>
      <c r="DA18" s="5"/>
      <c r="DB18" s="64"/>
      <c r="DC18" s="95"/>
      <c r="DD18" s="94" t="s">
        <v>46</v>
      </c>
      <c r="DE18" s="5"/>
      <c r="DF18" s="64"/>
      <c r="DG18" s="95"/>
      <c r="DH18" s="94" t="s">
        <v>46</v>
      </c>
      <c r="DI18" s="5"/>
      <c r="DJ18" s="64"/>
      <c r="DK18" s="95"/>
      <c r="DL18" s="94" t="s">
        <v>46</v>
      </c>
      <c r="DM18" s="5"/>
      <c r="DN18" s="64"/>
      <c r="DO18" s="95"/>
      <c r="DP18" s="94" t="s">
        <v>46</v>
      </c>
      <c r="DQ18" s="5"/>
      <c r="DR18" s="64"/>
      <c r="DS18" s="95"/>
      <c r="DT18" s="94" t="s">
        <v>46</v>
      </c>
      <c r="DU18" s="5"/>
      <c r="DV18" s="64"/>
      <c r="DW18" s="95"/>
      <c r="DX18" s="94" t="s">
        <v>46</v>
      </c>
      <c r="DY18" s="5"/>
      <c r="DZ18" s="64"/>
      <c r="EA18" s="95"/>
      <c r="EB18" s="65">
        <f t="shared" si="56"/>
        <v>1.8958333333333339</v>
      </c>
      <c r="EC18" s="5">
        <f t="shared" si="57"/>
        <v>1</v>
      </c>
      <c r="ED18" s="5">
        <f t="shared" si="58"/>
        <v>0</v>
      </c>
      <c r="EE18" s="5">
        <f t="shared" si="59"/>
        <v>0</v>
      </c>
      <c r="EF18" s="30">
        <f t="shared" ref="EF18" si="85">+EB18/$EF$3</f>
        <v>0.26608187134502931</v>
      </c>
      <c r="EG18" s="110">
        <f t="shared" si="61"/>
        <v>7.125</v>
      </c>
      <c r="EH18" s="68">
        <f t="shared" ref="EH18" si="86">+$EF$3-EB18</f>
        <v>5.2291666666666661</v>
      </c>
      <c r="EI18" s="88">
        <f t="shared" ref="EI18" si="87">+EB18*$EI$3</f>
        <v>5.343810916179339</v>
      </c>
      <c r="EJ18" s="69">
        <f t="shared" ref="EJ18" si="88">+EB18+$EG$3</f>
        <v>1.8958333333333339</v>
      </c>
      <c r="EK18" s="14"/>
    </row>
    <row r="19" spans="1:141">
      <c r="A19" s="70" t="s">
        <v>55</v>
      </c>
      <c r="B19" s="6">
        <v>1759772500</v>
      </c>
      <c r="C19" s="19" t="s">
        <v>40</v>
      </c>
      <c r="D19" s="5"/>
      <c r="E19" s="5"/>
      <c r="F19" s="13" t="s">
        <v>8</v>
      </c>
      <c r="G19" s="90" t="s">
        <v>33</v>
      </c>
      <c r="H19" s="94" t="s">
        <v>40</v>
      </c>
      <c r="I19" s="5" t="s">
        <v>98</v>
      </c>
      <c r="J19" s="64">
        <v>0.25</v>
      </c>
      <c r="K19" s="95" t="s">
        <v>10</v>
      </c>
      <c r="L19" s="94" t="s">
        <v>40</v>
      </c>
      <c r="M19" s="5" t="s">
        <v>316</v>
      </c>
      <c r="N19" s="64">
        <v>0.54166666666666696</v>
      </c>
      <c r="O19" s="95" t="s">
        <v>10</v>
      </c>
      <c r="P19" s="94" t="s">
        <v>40</v>
      </c>
      <c r="Q19" s="5" t="s">
        <v>308</v>
      </c>
      <c r="R19" s="64">
        <v>0.5</v>
      </c>
      <c r="S19" s="95" t="s">
        <v>10</v>
      </c>
      <c r="T19" s="94" t="s">
        <v>40</v>
      </c>
      <c r="U19" s="5" t="s">
        <v>307</v>
      </c>
      <c r="V19" s="64">
        <v>0.54166666666666696</v>
      </c>
      <c r="W19" s="95" t="s">
        <v>305</v>
      </c>
      <c r="X19" s="94" t="s">
        <v>40</v>
      </c>
      <c r="Y19" s="5" t="s">
        <v>308</v>
      </c>
      <c r="Z19" s="64">
        <v>0.41666666666666702</v>
      </c>
      <c r="AA19" s="95" t="s">
        <v>305</v>
      </c>
      <c r="AB19" s="94" t="s">
        <v>40</v>
      </c>
      <c r="AC19" s="5" t="s">
        <v>312</v>
      </c>
      <c r="AD19" s="64">
        <v>0.45833333333333398</v>
      </c>
      <c r="AE19" s="95" t="s">
        <v>10</v>
      </c>
      <c r="AF19" s="94" t="s">
        <v>40</v>
      </c>
      <c r="AG19" s="5" t="s">
        <v>321</v>
      </c>
      <c r="AH19" s="64">
        <v>0.5</v>
      </c>
      <c r="AI19" s="95" t="s">
        <v>305</v>
      </c>
      <c r="AJ19" s="94" t="s">
        <v>40</v>
      </c>
      <c r="AK19" s="5">
        <v>0</v>
      </c>
      <c r="AL19" s="64">
        <v>0</v>
      </c>
      <c r="AM19" s="95">
        <v>0</v>
      </c>
      <c r="AN19" s="94" t="s">
        <v>40</v>
      </c>
      <c r="AO19" s="5"/>
      <c r="AP19" s="64"/>
      <c r="AQ19" s="95"/>
      <c r="AR19" s="94" t="s">
        <v>40</v>
      </c>
      <c r="AS19" s="5"/>
      <c r="AT19" s="64"/>
      <c r="AU19" s="95"/>
      <c r="AV19" s="94" t="s">
        <v>40</v>
      </c>
      <c r="AW19" s="5"/>
      <c r="AX19" s="64"/>
      <c r="AY19" s="95"/>
      <c r="AZ19" s="94" t="s">
        <v>40</v>
      </c>
      <c r="BA19" s="5"/>
      <c r="BB19" s="64"/>
      <c r="BC19" s="95"/>
      <c r="BD19" s="94" t="s">
        <v>40</v>
      </c>
      <c r="BE19" s="5"/>
      <c r="BF19" s="64"/>
      <c r="BG19" s="95"/>
      <c r="BH19" s="94" t="s">
        <v>40</v>
      </c>
      <c r="BI19" s="5"/>
      <c r="BJ19" s="64"/>
      <c r="BK19" s="95"/>
      <c r="BL19" s="94" t="s">
        <v>40</v>
      </c>
      <c r="BM19" s="5"/>
      <c r="BN19" s="64"/>
      <c r="BO19" s="95"/>
      <c r="BP19" s="94" t="s">
        <v>40</v>
      </c>
      <c r="BQ19" s="5"/>
      <c r="BR19" s="64"/>
      <c r="BS19" s="95"/>
      <c r="BT19" s="94" t="s">
        <v>40</v>
      </c>
      <c r="BU19" s="5"/>
      <c r="BV19" s="64"/>
      <c r="BW19" s="95"/>
      <c r="BX19" s="94" t="s">
        <v>40</v>
      </c>
      <c r="BY19" s="5"/>
      <c r="BZ19" s="64"/>
      <c r="CA19" s="95"/>
      <c r="CB19" s="94" t="s">
        <v>40</v>
      </c>
      <c r="CC19" s="5"/>
      <c r="CD19" s="64"/>
      <c r="CE19" s="95"/>
      <c r="CF19" s="94" t="s">
        <v>40</v>
      </c>
      <c r="CG19" s="5"/>
      <c r="CH19" s="64"/>
      <c r="CI19" s="95"/>
      <c r="CJ19" s="94" t="s">
        <v>40</v>
      </c>
      <c r="CK19" s="5"/>
      <c r="CL19" s="64"/>
      <c r="CM19" s="95"/>
      <c r="CN19" s="94" t="s">
        <v>40</v>
      </c>
      <c r="CO19" s="5"/>
      <c r="CP19" s="64"/>
      <c r="CQ19" s="95"/>
      <c r="CR19" s="94" t="s">
        <v>40</v>
      </c>
      <c r="CS19" s="5"/>
      <c r="CT19" s="64"/>
      <c r="CU19" s="95"/>
      <c r="CV19" s="94" t="s">
        <v>40</v>
      </c>
      <c r="CW19" s="5"/>
      <c r="CX19" s="64"/>
      <c r="CY19" s="95"/>
      <c r="CZ19" s="94" t="s">
        <v>40</v>
      </c>
      <c r="DA19" s="5"/>
      <c r="DB19" s="64"/>
      <c r="DC19" s="95"/>
      <c r="DD19" s="94" t="s">
        <v>40</v>
      </c>
      <c r="DE19" s="5"/>
      <c r="DF19" s="64"/>
      <c r="DG19" s="95"/>
      <c r="DH19" s="94" t="s">
        <v>40</v>
      </c>
      <c r="DI19" s="5"/>
      <c r="DJ19" s="64"/>
      <c r="DK19" s="95"/>
      <c r="DL19" s="94" t="s">
        <v>40</v>
      </c>
      <c r="DM19" s="5"/>
      <c r="DN19" s="64"/>
      <c r="DO19" s="95"/>
      <c r="DP19" s="94" t="s">
        <v>40</v>
      </c>
      <c r="DQ19" s="5"/>
      <c r="DR19" s="64"/>
      <c r="DS19" s="95"/>
      <c r="DT19" s="94" t="s">
        <v>40</v>
      </c>
      <c r="DU19" s="5"/>
      <c r="DV19" s="64"/>
      <c r="DW19" s="95"/>
      <c r="DX19" s="94" t="s">
        <v>40</v>
      </c>
      <c r="DY19" s="5"/>
      <c r="DZ19" s="64"/>
      <c r="EA19" s="95"/>
      <c r="EB19" s="65">
        <f t="shared" si="56"/>
        <v>3.2083333333333348</v>
      </c>
      <c r="EC19" s="5">
        <f t="shared" si="57"/>
        <v>0</v>
      </c>
      <c r="ED19" s="5">
        <f t="shared" si="58"/>
        <v>0</v>
      </c>
      <c r="EE19" s="5">
        <f t="shared" si="59"/>
        <v>0</v>
      </c>
      <c r="EF19" s="30">
        <f t="shared" si="60"/>
        <v>0.45029239766081891</v>
      </c>
      <c r="EG19" s="110">
        <f>$EF$4</f>
        <v>7.125</v>
      </c>
      <c r="EH19" s="68">
        <f>+$EF$4-EB19</f>
        <v>3.9166666666666652</v>
      </c>
      <c r="EI19" s="88">
        <f t="shared" si="63"/>
        <v>9.0433723196881139</v>
      </c>
      <c r="EJ19" s="69">
        <f t="shared" si="64"/>
        <v>3.2083333333333348</v>
      </c>
      <c r="EK19" s="14"/>
    </row>
    <row r="20" spans="1:141">
      <c r="A20" s="70" t="s">
        <v>56</v>
      </c>
      <c r="B20" s="6">
        <v>1723878433</v>
      </c>
      <c r="C20" s="19" t="s">
        <v>40</v>
      </c>
      <c r="D20" s="5"/>
      <c r="E20" s="5"/>
      <c r="F20" s="13" t="s">
        <v>8</v>
      </c>
      <c r="G20" s="90" t="s">
        <v>33</v>
      </c>
      <c r="H20" s="94" t="s">
        <v>40</v>
      </c>
      <c r="I20" s="5">
        <v>0</v>
      </c>
      <c r="J20" s="64">
        <v>0</v>
      </c>
      <c r="K20" s="95">
        <v>0</v>
      </c>
      <c r="L20" s="94" t="s">
        <v>40</v>
      </c>
      <c r="M20" s="5" t="s">
        <v>317</v>
      </c>
      <c r="N20" s="64">
        <v>0.54166666666666696</v>
      </c>
      <c r="O20" s="95" t="s">
        <v>10</v>
      </c>
      <c r="P20" s="94" t="s">
        <v>40</v>
      </c>
      <c r="Q20" s="5" t="s">
        <v>308</v>
      </c>
      <c r="R20" s="64">
        <v>0.5</v>
      </c>
      <c r="S20" s="95" t="s">
        <v>10</v>
      </c>
      <c r="T20" s="94" t="s">
        <v>40</v>
      </c>
      <c r="U20" s="5" t="s">
        <v>311</v>
      </c>
      <c r="V20" s="64">
        <v>0.54166666666666696</v>
      </c>
      <c r="W20" s="95" t="s">
        <v>10</v>
      </c>
      <c r="X20" s="94" t="s">
        <v>40</v>
      </c>
      <c r="Y20" s="5" t="s">
        <v>311</v>
      </c>
      <c r="Z20" s="64">
        <v>0.41666666666666702</v>
      </c>
      <c r="AA20" s="95" t="s">
        <v>10</v>
      </c>
      <c r="AB20" s="94" t="s">
        <v>40</v>
      </c>
      <c r="AC20" s="5" t="s">
        <v>311</v>
      </c>
      <c r="AD20" s="64">
        <v>0.41666666666666702</v>
      </c>
      <c r="AE20" s="95" t="s">
        <v>305</v>
      </c>
      <c r="AF20" s="94" t="s">
        <v>40</v>
      </c>
      <c r="AG20" s="5" t="s">
        <v>310</v>
      </c>
      <c r="AH20" s="64">
        <v>0.45833333333333398</v>
      </c>
      <c r="AI20" s="95" t="s">
        <v>10</v>
      </c>
      <c r="AJ20" s="94" t="s">
        <v>40</v>
      </c>
      <c r="AK20" s="5">
        <v>0</v>
      </c>
      <c r="AL20" s="64">
        <v>0</v>
      </c>
      <c r="AM20" s="95">
        <v>0</v>
      </c>
      <c r="AN20" s="94" t="s">
        <v>40</v>
      </c>
      <c r="AO20" s="5"/>
      <c r="AP20" s="64"/>
      <c r="AQ20" s="95"/>
      <c r="AR20" s="94" t="s">
        <v>40</v>
      </c>
      <c r="AS20" s="5"/>
      <c r="AT20" s="64"/>
      <c r="AU20" s="95"/>
      <c r="AV20" s="94" t="s">
        <v>40</v>
      </c>
      <c r="AW20" s="5"/>
      <c r="AX20" s="64"/>
      <c r="AY20" s="95"/>
      <c r="AZ20" s="94" t="s">
        <v>40</v>
      </c>
      <c r="BA20" s="5"/>
      <c r="BB20" s="64"/>
      <c r="BC20" s="95"/>
      <c r="BD20" s="94" t="s">
        <v>40</v>
      </c>
      <c r="BE20" s="5"/>
      <c r="BF20" s="64"/>
      <c r="BG20" s="95"/>
      <c r="BH20" s="94" t="s">
        <v>40</v>
      </c>
      <c r="BI20" s="5"/>
      <c r="BJ20" s="64"/>
      <c r="BK20" s="95"/>
      <c r="BL20" s="94" t="s">
        <v>40</v>
      </c>
      <c r="BM20" s="5"/>
      <c r="BN20" s="64"/>
      <c r="BO20" s="95"/>
      <c r="BP20" s="94" t="s">
        <v>40</v>
      </c>
      <c r="BQ20" s="5"/>
      <c r="BR20" s="64"/>
      <c r="BS20" s="95"/>
      <c r="BT20" s="94" t="s">
        <v>40</v>
      </c>
      <c r="BU20" s="5"/>
      <c r="BV20" s="64"/>
      <c r="BW20" s="95"/>
      <c r="BX20" s="94" t="s">
        <v>40</v>
      </c>
      <c r="BY20" s="5"/>
      <c r="BZ20" s="64"/>
      <c r="CA20" s="95"/>
      <c r="CB20" s="94" t="s">
        <v>40</v>
      </c>
      <c r="CC20" s="5"/>
      <c r="CD20" s="64"/>
      <c r="CE20" s="95"/>
      <c r="CF20" s="94" t="s">
        <v>40</v>
      </c>
      <c r="CG20" s="5"/>
      <c r="CH20" s="64"/>
      <c r="CI20" s="95"/>
      <c r="CJ20" s="94" t="s">
        <v>40</v>
      </c>
      <c r="CK20" s="5"/>
      <c r="CL20" s="64"/>
      <c r="CM20" s="95"/>
      <c r="CN20" s="94" t="s">
        <v>40</v>
      </c>
      <c r="CO20" s="5"/>
      <c r="CP20" s="64"/>
      <c r="CQ20" s="95"/>
      <c r="CR20" s="94" t="s">
        <v>40</v>
      </c>
      <c r="CS20" s="5"/>
      <c r="CT20" s="64"/>
      <c r="CU20" s="95"/>
      <c r="CV20" s="94" t="s">
        <v>40</v>
      </c>
      <c r="CW20" s="5"/>
      <c r="CX20" s="64"/>
      <c r="CY20" s="95"/>
      <c r="CZ20" s="94" t="s">
        <v>40</v>
      </c>
      <c r="DA20" s="5"/>
      <c r="DB20" s="64"/>
      <c r="DC20" s="95"/>
      <c r="DD20" s="94" t="s">
        <v>40</v>
      </c>
      <c r="DE20" s="5"/>
      <c r="DF20" s="64"/>
      <c r="DG20" s="95"/>
      <c r="DH20" s="94" t="s">
        <v>40</v>
      </c>
      <c r="DI20" s="5"/>
      <c r="DJ20" s="64"/>
      <c r="DK20" s="95"/>
      <c r="DL20" s="94" t="s">
        <v>40</v>
      </c>
      <c r="DM20" s="5"/>
      <c r="DN20" s="64"/>
      <c r="DO20" s="95"/>
      <c r="DP20" s="94" t="s">
        <v>40</v>
      </c>
      <c r="DQ20" s="5"/>
      <c r="DR20" s="64"/>
      <c r="DS20" s="95"/>
      <c r="DT20" s="94" t="s">
        <v>40</v>
      </c>
      <c r="DU20" s="5"/>
      <c r="DV20" s="64"/>
      <c r="DW20" s="95"/>
      <c r="DX20" s="94" t="s">
        <v>40</v>
      </c>
      <c r="DY20" s="5"/>
      <c r="DZ20" s="64"/>
      <c r="EA20" s="95"/>
      <c r="EB20" s="65">
        <f t="shared" si="56"/>
        <v>2.8750000000000018</v>
      </c>
      <c r="EC20" s="5">
        <f t="shared" si="57"/>
        <v>0</v>
      </c>
      <c r="ED20" s="5">
        <f t="shared" si="58"/>
        <v>0</v>
      </c>
      <c r="EE20" s="5">
        <f t="shared" si="59"/>
        <v>0</v>
      </c>
      <c r="EF20" s="30">
        <f t="shared" si="60"/>
        <v>0.40350877192982482</v>
      </c>
      <c r="EG20" s="110">
        <f t="shared" ref="EG20:EG27" si="89">$EF$4</f>
        <v>7.125</v>
      </c>
      <c r="EH20" s="68">
        <f t="shared" ref="EH20:EH27" si="90">+$EF$4-EB20</f>
        <v>4.2499999999999982</v>
      </c>
      <c r="EI20" s="88">
        <f t="shared" si="63"/>
        <v>8.103801169590648</v>
      </c>
      <c r="EJ20" s="69">
        <f t="shared" si="64"/>
        <v>2.8750000000000018</v>
      </c>
      <c r="EK20" s="14"/>
    </row>
    <row r="21" spans="1:141">
      <c r="A21" s="70" t="s">
        <v>57</v>
      </c>
      <c r="B21" s="6">
        <v>1755840962</v>
      </c>
      <c r="C21" s="19" t="s">
        <v>40</v>
      </c>
      <c r="D21" s="5"/>
      <c r="E21" s="5"/>
      <c r="F21" s="13" t="s">
        <v>8</v>
      </c>
      <c r="G21" s="90" t="s">
        <v>33</v>
      </c>
      <c r="H21" s="94" t="s">
        <v>40</v>
      </c>
      <c r="I21" s="5" t="s">
        <v>79</v>
      </c>
      <c r="J21" s="64">
        <v>0.29166666666666702</v>
      </c>
      <c r="K21" s="95" t="s">
        <v>10</v>
      </c>
      <c r="L21" s="94" t="s">
        <v>40</v>
      </c>
      <c r="M21" s="5" t="s">
        <v>265</v>
      </c>
      <c r="N21" s="64">
        <v>0.5</v>
      </c>
      <c r="O21" s="95" t="s">
        <v>10</v>
      </c>
      <c r="P21" s="94" t="s">
        <v>40</v>
      </c>
      <c r="Q21" s="5" t="s">
        <v>318</v>
      </c>
      <c r="R21" s="64">
        <v>0.5</v>
      </c>
      <c r="S21" s="95" t="s">
        <v>10</v>
      </c>
      <c r="T21" s="94" t="s">
        <v>40</v>
      </c>
      <c r="U21" s="5" t="s">
        <v>96</v>
      </c>
      <c r="V21" s="64">
        <v>0.41666666666666702</v>
      </c>
      <c r="W21" s="95" t="s">
        <v>10</v>
      </c>
      <c r="X21" s="94" t="s">
        <v>40</v>
      </c>
      <c r="Y21" s="5" t="s">
        <v>96</v>
      </c>
      <c r="Z21" s="64">
        <v>0.41666666666666702</v>
      </c>
      <c r="AA21" s="95" t="s">
        <v>10</v>
      </c>
      <c r="AB21" s="94" t="s">
        <v>40</v>
      </c>
      <c r="AC21" s="5" t="s">
        <v>313</v>
      </c>
      <c r="AD21" s="64">
        <v>0.41666666666666702</v>
      </c>
      <c r="AE21" s="95" t="s">
        <v>10</v>
      </c>
      <c r="AF21" s="94" t="s">
        <v>40</v>
      </c>
      <c r="AG21" s="5">
        <v>0</v>
      </c>
      <c r="AH21" s="64">
        <v>0</v>
      </c>
      <c r="AI21" s="95">
        <v>0</v>
      </c>
      <c r="AJ21" s="94" t="s">
        <v>40</v>
      </c>
      <c r="AK21" s="5" t="s">
        <v>81</v>
      </c>
      <c r="AL21" s="64">
        <v>0.5</v>
      </c>
      <c r="AM21" s="95" t="s">
        <v>10</v>
      </c>
      <c r="AN21" s="94" t="s">
        <v>40</v>
      </c>
      <c r="AO21" s="5"/>
      <c r="AP21" s="64"/>
      <c r="AQ21" s="95"/>
      <c r="AR21" s="94" t="s">
        <v>40</v>
      </c>
      <c r="AS21" s="5"/>
      <c r="AT21" s="64"/>
      <c r="AU21" s="95"/>
      <c r="AV21" s="94" t="s">
        <v>40</v>
      </c>
      <c r="AW21" s="5"/>
      <c r="AX21" s="64"/>
      <c r="AY21" s="95"/>
      <c r="AZ21" s="94" t="s">
        <v>40</v>
      </c>
      <c r="BA21" s="5"/>
      <c r="BB21" s="64"/>
      <c r="BC21" s="95"/>
      <c r="BD21" s="94" t="s">
        <v>40</v>
      </c>
      <c r="BE21" s="5"/>
      <c r="BF21" s="64"/>
      <c r="BG21" s="95"/>
      <c r="BH21" s="94" t="s">
        <v>40</v>
      </c>
      <c r="BI21" s="5"/>
      <c r="BJ21" s="64"/>
      <c r="BK21" s="95"/>
      <c r="BL21" s="94" t="s">
        <v>40</v>
      </c>
      <c r="BM21" s="5"/>
      <c r="BN21" s="64"/>
      <c r="BO21" s="95"/>
      <c r="BP21" s="94" t="s">
        <v>40</v>
      </c>
      <c r="BQ21" s="5"/>
      <c r="BR21" s="64"/>
      <c r="BS21" s="95"/>
      <c r="BT21" s="94" t="s">
        <v>40</v>
      </c>
      <c r="BU21" s="5"/>
      <c r="BV21" s="64"/>
      <c r="BW21" s="95"/>
      <c r="BX21" s="94" t="s">
        <v>40</v>
      </c>
      <c r="BY21" s="5"/>
      <c r="BZ21" s="64"/>
      <c r="CA21" s="95"/>
      <c r="CB21" s="94" t="s">
        <v>40</v>
      </c>
      <c r="CC21" s="5"/>
      <c r="CD21" s="64"/>
      <c r="CE21" s="95"/>
      <c r="CF21" s="94" t="s">
        <v>40</v>
      </c>
      <c r="CG21" s="5"/>
      <c r="CH21" s="64"/>
      <c r="CI21" s="95"/>
      <c r="CJ21" s="94" t="s">
        <v>40</v>
      </c>
      <c r="CK21" s="5"/>
      <c r="CL21" s="64"/>
      <c r="CM21" s="95"/>
      <c r="CN21" s="94" t="s">
        <v>40</v>
      </c>
      <c r="CO21" s="5"/>
      <c r="CP21" s="64"/>
      <c r="CQ21" s="95"/>
      <c r="CR21" s="94" t="s">
        <v>40</v>
      </c>
      <c r="CS21" s="5"/>
      <c r="CT21" s="64"/>
      <c r="CU21" s="95"/>
      <c r="CV21" s="94" t="s">
        <v>40</v>
      </c>
      <c r="CW21" s="5"/>
      <c r="CX21" s="64"/>
      <c r="CY21" s="95"/>
      <c r="CZ21" s="94" t="s">
        <v>40</v>
      </c>
      <c r="DA21" s="5"/>
      <c r="DB21" s="64"/>
      <c r="DC21" s="95"/>
      <c r="DD21" s="94" t="s">
        <v>40</v>
      </c>
      <c r="DE21" s="5"/>
      <c r="DF21" s="64"/>
      <c r="DG21" s="95"/>
      <c r="DH21" s="94" t="s">
        <v>40</v>
      </c>
      <c r="DI21" s="5"/>
      <c r="DJ21" s="64"/>
      <c r="DK21" s="95"/>
      <c r="DL21" s="94" t="s">
        <v>40</v>
      </c>
      <c r="DM21" s="5"/>
      <c r="DN21" s="64"/>
      <c r="DO21" s="95"/>
      <c r="DP21" s="94" t="s">
        <v>40</v>
      </c>
      <c r="DQ21" s="5"/>
      <c r="DR21" s="64"/>
      <c r="DS21" s="95"/>
      <c r="DT21" s="94" t="s">
        <v>40</v>
      </c>
      <c r="DU21" s="5"/>
      <c r="DV21" s="64"/>
      <c r="DW21" s="95"/>
      <c r="DX21" s="94" t="s">
        <v>40</v>
      </c>
      <c r="DY21" s="5"/>
      <c r="DZ21" s="64"/>
      <c r="EA21" s="95"/>
      <c r="EB21" s="65">
        <f t="shared" si="56"/>
        <v>3.0416666666666679</v>
      </c>
      <c r="EC21" s="5">
        <f t="shared" si="57"/>
        <v>0</v>
      </c>
      <c r="ED21" s="5">
        <f t="shared" si="58"/>
        <v>0</v>
      </c>
      <c r="EE21" s="5">
        <f t="shared" si="59"/>
        <v>0</v>
      </c>
      <c r="EF21" s="30">
        <f t="shared" si="60"/>
        <v>0.42690058479532178</v>
      </c>
      <c r="EG21" s="110">
        <f t="shared" si="89"/>
        <v>7.125</v>
      </c>
      <c r="EH21" s="68">
        <f t="shared" si="90"/>
        <v>4.0833333333333321</v>
      </c>
      <c r="EI21" s="88">
        <f t="shared" si="63"/>
        <v>8.5735867446393801</v>
      </c>
      <c r="EJ21" s="69">
        <f t="shared" si="64"/>
        <v>3.0416666666666679</v>
      </c>
      <c r="EK21" s="14"/>
    </row>
    <row r="22" spans="1:141">
      <c r="A22" s="70" t="s">
        <v>58</v>
      </c>
      <c r="B22" s="6">
        <v>1727104927</v>
      </c>
      <c r="C22" s="19" t="s">
        <v>40</v>
      </c>
      <c r="D22" s="5"/>
      <c r="E22" s="5"/>
      <c r="F22" s="13" t="s">
        <v>8</v>
      </c>
      <c r="G22" s="90" t="s">
        <v>33</v>
      </c>
      <c r="H22" s="94" t="s">
        <v>40</v>
      </c>
      <c r="I22" s="64" t="s">
        <v>306</v>
      </c>
      <c r="J22" s="64">
        <v>0.375</v>
      </c>
      <c r="K22" s="99" t="s">
        <v>10</v>
      </c>
      <c r="L22" s="94" t="s">
        <v>40</v>
      </c>
      <c r="M22" s="64" t="s">
        <v>306</v>
      </c>
      <c r="N22" s="64">
        <v>0.375</v>
      </c>
      <c r="O22" s="99" t="s">
        <v>10</v>
      </c>
      <c r="P22" s="94" t="s">
        <v>40</v>
      </c>
      <c r="Q22" s="64" t="s">
        <v>319</v>
      </c>
      <c r="R22" s="64">
        <v>0.375</v>
      </c>
      <c r="S22" s="99" t="s">
        <v>10</v>
      </c>
      <c r="T22" s="94" t="s">
        <v>40</v>
      </c>
      <c r="U22" s="64" t="s">
        <v>306</v>
      </c>
      <c r="V22" s="64">
        <v>0.375</v>
      </c>
      <c r="W22" s="99" t="s">
        <v>10</v>
      </c>
      <c r="X22" s="94" t="s">
        <v>40</v>
      </c>
      <c r="Y22" s="64" t="s">
        <v>306</v>
      </c>
      <c r="Z22" s="64">
        <v>0.375</v>
      </c>
      <c r="AA22" s="99" t="s">
        <v>10</v>
      </c>
      <c r="AB22" s="94" t="s">
        <v>40</v>
      </c>
      <c r="AC22" s="64" t="s">
        <v>306</v>
      </c>
      <c r="AD22" s="64">
        <v>0.375</v>
      </c>
      <c r="AE22" s="99" t="s">
        <v>10</v>
      </c>
      <c r="AF22" s="94" t="s">
        <v>40</v>
      </c>
      <c r="AG22" s="64" t="s">
        <v>119</v>
      </c>
      <c r="AH22" s="64">
        <v>0.33333333333333398</v>
      </c>
      <c r="AI22" s="99" t="s">
        <v>10</v>
      </c>
      <c r="AJ22" s="94" t="s">
        <v>40</v>
      </c>
      <c r="AK22" s="64">
        <v>0</v>
      </c>
      <c r="AL22" s="64">
        <v>0</v>
      </c>
      <c r="AM22" s="99">
        <v>0</v>
      </c>
      <c r="AN22" s="94" t="s">
        <v>40</v>
      </c>
      <c r="AO22" s="64"/>
      <c r="AP22" s="64"/>
      <c r="AQ22" s="99"/>
      <c r="AR22" s="94" t="s">
        <v>40</v>
      </c>
      <c r="AS22" s="64"/>
      <c r="AT22" s="64"/>
      <c r="AU22" s="99"/>
      <c r="AV22" s="94" t="s">
        <v>40</v>
      </c>
      <c r="AW22" s="64"/>
      <c r="AX22" s="64"/>
      <c r="AY22" s="99"/>
      <c r="AZ22" s="94" t="s">
        <v>40</v>
      </c>
      <c r="BA22" s="64"/>
      <c r="BB22" s="64"/>
      <c r="BC22" s="99"/>
      <c r="BD22" s="94" t="s">
        <v>40</v>
      </c>
      <c r="BE22" s="64"/>
      <c r="BF22" s="64"/>
      <c r="BG22" s="99"/>
      <c r="BH22" s="94" t="s">
        <v>40</v>
      </c>
      <c r="BI22" s="64"/>
      <c r="BJ22" s="64"/>
      <c r="BK22" s="99"/>
      <c r="BL22" s="94" t="s">
        <v>40</v>
      </c>
      <c r="BM22" s="64"/>
      <c r="BN22" s="64"/>
      <c r="BO22" s="99"/>
      <c r="BP22" s="94" t="s">
        <v>40</v>
      </c>
      <c r="BQ22" s="64"/>
      <c r="BR22" s="64"/>
      <c r="BS22" s="99"/>
      <c r="BT22" s="94" t="s">
        <v>40</v>
      </c>
      <c r="BU22" s="64"/>
      <c r="BV22" s="64"/>
      <c r="BW22" s="99"/>
      <c r="BX22" s="94" t="s">
        <v>40</v>
      </c>
      <c r="BY22" s="64"/>
      <c r="BZ22" s="64"/>
      <c r="CA22" s="99"/>
      <c r="CB22" s="94" t="s">
        <v>40</v>
      </c>
      <c r="CC22" s="64"/>
      <c r="CD22" s="64"/>
      <c r="CE22" s="99"/>
      <c r="CF22" s="94" t="s">
        <v>40</v>
      </c>
      <c r="CG22" s="64"/>
      <c r="CH22" s="64"/>
      <c r="CI22" s="99"/>
      <c r="CJ22" s="94" t="s">
        <v>40</v>
      </c>
      <c r="CK22" s="64"/>
      <c r="CL22" s="64"/>
      <c r="CM22" s="99"/>
      <c r="CN22" s="94" t="s">
        <v>40</v>
      </c>
      <c r="CO22" s="64"/>
      <c r="CP22" s="64"/>
      <c r="CQ22" s="99"/>
      <c r="CR22" s="94" t="s">
        <v>40</v>
      </c>
      <c r="CS22" s="64"/>
      <c r="CT22" s="64"/>
      <c r="CU22" s="99"/>
      <c r="CV22" s="94" t="s">
        <v>40</v>
      </c>
      <c r="CW22" s="64"/>
      <c r="CX22" s="64"/>
      <c r="CY22" s="99"/>
      <c r="CZ22" s="94" t="s">
        <v>40</v>
      </c>
      <c r="DA22" s="64"/>
      <c r="DB22" s="64"/>
      <c r="DC22" s="99"/>
      <c r="DD22" s="94" t="s">
        <v>40</v>
      </c>
      <c r="DE22" s="64"/>
      <c r="DF22" s="64"/>
      <c r="DG22" s="99"/>
      <c r="DH22" s="94" t="s">
        <v>40</v>
      </c>
      <c r="DI22" s="64"/>
      <c r="DJ22" s="64"/>
      <c r="DK22" s="99"/>
      <c r="DL22" s="94" t="s">
        <v>40</v>
      </c>
      <c r="DM22" s="64"/>
      <c r="DN22" s="64"/>
      <c r="DO22" s="99"/>
      <c r="DP22" s="94" t="s">
        <v>40</v>
      </c>
      <c r="DQ22" s="64"/>
      <c r="DR22" s="64"/>
      <c r="DS22" s="99"/>
      <c r="DT22" s="94" t="s">
        <v>40</v>
      </c>
      <c r="DU22" s="64"/>
      <c r="DV22" s="64"/>
      <c r="DW22" s="99"/>
      <c r="DX22" s="94" t="s">
        <v>40</v>
      </c>
      <c r="DY22" s="64"/>
      <c r="DZ22" s="64"/>
      <c r="EA22" s="99"/>
      <c r="EB22" s="65">
        <f t="shared" si="56"/>
        <v>2.5833333333333339</v>
      </c>
      <c r="EC22" s="5">
        <f t="shared" si="57"/>
        <v>0</v>
      </c>
      <c r="ED22" s="5">
        <f t="shared" si="58"/>
        <v>0</v>
      </c>
      <c r="EE22" s="5">
        <f t="shared" si="59"/>
        <v>0</v>
      </c>
      <c r="EF22" s="30">
        <f t="shared" si="60"/>
        <v>0.36257309941520477</v>
      </c>
      <c r="EG22" s="110">
        <f t="shared" si="89"/>
        <v>7.125</v>
      </c>
      <c r="EH22" s="68">
        <f t="shared" si="90"/>
        <v>4.5416666666666661</v>
      </c>
      <c r="EI22" s="88">
        <f t="shared" si="63"/>
        <v>7.2816764132553624</v>
      </c>
      <c r="EJ22" s="69">
        <f t="shared" si="64"/>
        <v>2.5833333333333339</v>
      </c>
      <c r="EK22" s="14"/>
    </row>
    <row r="23" spans="1:141">
      <c r="A23" s="70" t="s">
        <v>50</v>
      </c>
      <c r="B23" s="6">
        <v>1728879139</v>
      </c>
      <c r="C23" s="19" t="s">
        <v>40</v>
      </c>
      <c r="D23" s="5"/>
      <c r="E23" s="5"/>
      <c r="F23" s="13" t="s">
        <v>8</v>
      </c>
      <c r="G23" s="90" t="s">
        <v>33</v>
      </c>
      <c r="H23" s="94" t="s">
        <v>40</v>
      </c>
      <c r="I23" s="5" t="s">
        <v>78</v>
      </c>
      <c r="J23" s="64">
        <v>0.29166666666666702</v>
      </c>
      <c r="K23" s="95" t="s">
        <v>10</v>
      </c>
      <c r="L23" s="94" t="s">
        <v>40</v>
      </c>
      <c r="M23" s="5" t="s">
        <v>308</v>
      </c>
      <c r="N23" s="64">
        <v>0.5</v>
      </c>
      <c r="O23" s="95" t="s">
        <v>10</v>
      </c>
      <c r="P23" s="94" t="s">
        <v>40</v>
      </c>
      <c r="Q23" s="5" t="s">
        <v>309</v>
      </c>
      <c r="R23" s="64">
        <v>0.45833333333333398</v>
      </c>
      <c r="S23" s="95" t="s">
        <v>10</v>
      </c>
      <c r="T23" s="94" t="s">
        <v>40</v>
      </c>
      <c r="U23" s="5" t="s">
        <v>241</v>
      </c>
      <c r="V23" s="64">
        <v>0.5</v>
      </c>
      <c r="W23" s="95" t="s">
        <v>10</v>
      </c>
      <c r="X23" s="94" t="s">
        <v>40</v>
      </c>
      <c r="Y23" s="5" t="s">
        <v>241</v>
      </c>
      <c r="Z23" s="64">
        <v>0.41666666666666702</v>
      </c>
      <c r="AA23" s="95" t="s">
        <v>10</v>
      </c>
      <c r="AB23" s="94" t="s">
        <v>40</v>
      </c>
      <c r="AC23" s="5" t="s">
        <v>80</v>
      </c>
      <c r="AD23" s="64">
        <v>0.41666666666666702</v>
      </c>
      <c r="AE23" s="95" t="s">
        <v>10</v>
      </c>
      <c r="AF23" s="94" t="s">
        <v>40</v>
      </c>
      <c r="AG23" s="5">
        <v>0</v>
      </c>
      <c r="AH23" s="64">
        <v>0</v>
      </c>
      <c r="AI23" s="95">
        <v>0</v>
      </c>
      <c r="AJ23" s="94" t="s">
        <v>40</v>
      </c>
      <c r="AK23" s="5" t="s">
        <v>306</v>
      </c>
      <c r="AL23" s="64">
        <v>0.41666666666666702</v>
      </c>
      <c r="AM23" s="95" t="s">
        <v>10</v>
      </c>
      <c r="AN23" s="94" t="s">
        <v>40</v>
      </c>
      <c r="AO23" s="5"/>
      <c r="AP23" s="64"/>
      <c r="AQ23" s="95"/>
      <c r="AR23" s="94" t="s">
        <v>40</v>
      </c>
      <c r="AS23" s="5"/>
      <c r="AT23" s="64"/>
      <c r="AU23" s="95"/>
      <c r="AV23" s="94" t="s">
        <v>40</v>
      </c>
      <c r="AW23" s="5"/>
      <c r="AX23" s="64"/>
      <c r="AY23" s="95"/>
      <c r="AZ23" s="94" t="s">
        <v>40</v>
      </c>
      <c r="BA23" s="5"/>
      <c r="BB23" s="64"/>
      <c r="BC23" s="95"/>
      <c r="BD23" s="94" t="s">
        <v>40</v>
      </c>
      <c r="BE23" s="5"/>
      <c r="BF23" s="64"/>
      <c r="BG23" s="95"/>
      <c r="BH23" s="94" t="s">
        <v>40</v>
      </c>
      <c r="BI23" s="5"/>
      <c r="BJ23" s="64"/>
      <c r="BK23" s="95"/>
      <c r="BL23" s="94" t="s">
        <v>40</v>
      </c>
      <c r="BM23" s="5"/>
      <c r="BN23" s="64"/>
      <c r="BO23" s="95"/>
      <c r="BP23" s="94" t="s">
        <v>40</v>
      </c>
      <c r="BQ23" s="5"/>
      <c r="BR23" s="64"/>
      <c r="BS23" s="95"/>
      <c r="BT23" s="94" t="s">
        <v>40</v>
      </c>
      <c r="BU23" s="5"/>
      <c r="BV23" s="64"/>
      <c r="BW23" s="95"/>
      <c r="BX23" s="94" t="s">
        <v>40</v>
      </c>
      <c r="BY23" s="5"/>
      <c r="BZ23" s="64"/>
      <c r="CA23" s="95"/>
      <c r="CB23" s="94" t="s">
        <v>40</v>
      </c>
      <c r="CC23" s="5"/>
      <c r="CD23" s="64"/>
      <c r="CE23" s="95"/>
      <c r="CF23" s="94" t="s">
        <v>40</v>
      </c>
      <c r="CG23" s="5"/>
      <c r="CH23" s="64"/>
      <c r="CI23" s="95"/>
      <c r="CJ23" s="94" t="s">
        <v>40</v>
      </c>
      <c r="CK23" s="5"/>
      <c r="CL23" s="64"/>
      <c r="CM23" s="95"/>
      <c r="CN23" s="94" t="s">
        <v>40</v>
      </c>
      <c r="CO23" s="5"/>
      <c r="CP23" s="64"/>
      <c r="CQ23" s="95"/>
      <c r="CR23" s="94" t="s">
        <v>40</v>
      </c>
      <c r="CS23" s="5"/>
      <c r="CT23" s="64"/>
      <c r="CU23" s="95"/>
      <c r="CV23" s="94" t="s">
        <v>40</v>
      </c>
      <c r="CW23" s="5"/>
      <c r="CX23" s="64"/>
      <c r="CY23" s="95"/>
      <c r="CZ23" s="94" t="s">
        <v>40</v>
      </c>
      <c r="DA23" s="5"/>
      <c r="DB23" s="64"/>
      <c r="DC23" s="95"/>
      <c r="DD23" s="94" t="s">
        <v>40</v>
      </c>
      <c r="DE23" s="5"/>
      <c r="DF23" s="64"/>
      <c r="DG23" s="95"/>
      <c r="DH23" s="94" t="s">
        <v>40</v>
      </c>
      <c r="DI23" s="5"/>
      <c r="DJ23" s="64"/>
      <c r="DK23" s="95"/>
      <c r="DL23" s="94" t="s">
        <v>40</v>
      </c>
      <c r="DM23" s="5"/>
      <c r="DN23" s="64"/>
      <c r="DO23" s="95"/>
      <c r="DP23" s="94" t="s">
        <v>40</v>
      </c>
      <c r="DQ23" s="5"/>
      <c r="DR23" s="64"/>
      <c r="DS23" s="95"/>
      <c r="DT23" s="94" t="s">
        <v>40</v>
      </c>
      <c r="DU23" s="5"/>
      <c r="DV23" s="64"/>
      <c r="DW23" s="95"/>
      <c r="DX23" s="94" t="s">
        <v>40</v>
      </c>
      <c r="DY23" s="5"/>
      <c r="DZ23" s="64"/>
      <c r="EA23" s="95"/>
      <c r="EB23" s="65">
        <f t="shared" si="56"/>
        <v>3.0000000000000018</v>
      </c>
      <c r="EC23" s="5">
        <f t="shared" si="57"/>
        <v>0</v>
      </c>
      <c r="ED23" s="5">
        <f t="shared" si="58"/>
        <v>0</v>
      </c>
      <c r="EE23" s="5">
        <f t="shared" si="59"/>
        <v>0</v>
      </c>
      <c r="EF23" s="30">
        <f t="shared" si="60"/>
        <v>0.42105263157894762</v>
      </c>
      <c r="EG23" s="110">
        <f t="shared" si="89"/>
        <v>7.125</v>
      </c>
      <c r="EH23" s="68">
        <f t="shared" si="90"/>
        <v>4.1249999999999982</v>
      </c>
      <c r="EI23" s="88">
        <f t="shared" si="63"/>
        <v>8.4561403508771988</v>
      </c>
      <c r="EJ23" s="69">
        <f t="shared" si="64"/>
        <v>3.0000000000000018</v>
      </c>
      <c r="EK23" s="14"/>
    </row>
    <row r="24" spans="1:141" ht="14.25" customHeight="1">
      <c r="A24" s="101" t="s">
        <v>285</v>
      </c>
      <c r="B24" s="102">
        <v>1751400308</v>
      </c>
      <c r="C24" s="19" t="s">
        <v>40</v>
      </c>
      <c r="D24" s="103"/>
      <c r="E24" s="103"/>
      <c r="F24" s="104"/>
      <c r="G24" s="105"/>
      <c r="H24" s="94" t="s">
        <v>40</v>
      </c>
      <c r="I24" s="103" t="s">
        <v>89</v>
      </c>
      <c r="J24" s="106">
        <v>0.29166666666666702</v>
      </c>
      <c r="K24" s="107">
        <v>0</v>
      </c>
      <c r="L24" s="94" t="s">
        <v>40</v>
      </c>
      <c r="M24" s="103" t="s">
        <v>242</v>
      </c>
      <c r="N24" s="106">
        <v>0.54166666666666696</v>
      </c>
      <c r="O24" s="107" t="s">
        <v>10</v>
      </c>
      <c r="P24" s="94" t="s">
        <v>40</v>
      </c>
      <c r="Q24" s="103" t="s">
        <v>311</v>
      </c>
      <c r="R24" s="106">
        <v>0.5</v>
      </c>
      <c r="S24" s="107" t="s">
        <v>10</v>
      </c>
      <c r="T24" s="94" t="s">
        <v>40</v>
      </c>
      <c r="U24" s="103" t="s">
        <v>314</v>
      </c>
      <c r="V24" s="106">
        <v>0.45833333333333398</v>
      </c>
      <c r="W24" s="107" t="s">
        <v>10</v>
      </c>
      <c r="X24" s="94" t="s">
        <v>40</v>
      </c>
      <c r="Y24" s="103" t="s">
        <v>314</v>
      </c>
      <c r="Z24" s="106">
        <v>0.45833333333333398</v>
      </c>
      <c r="AA24" s="107" t="s">
        <v>10</v>
      </c>
      <c r="AB24" s="94" t="s">
        <v>40</v>
      </c>
      <c r="AC24" s="103" t="s">
        <v>311</v>
      </c>
      <c r="AD24" s="106">
        <v>0.41666666666666702</v>
      </c>
      <c r="AE24" s="107" t="s">
        <v>10</v>
      </c>
      <c r="AF24" s="94" t="s">
        <v>40</v>
      </c>
      <c r="AG24" s="103">
        <v>0</v>
      </c>
      <c r="AH24" s="106">
        <v>0</v>
      </c>
      <c r="AI24" s="107">
        <v>0</v>
      </c>
      <c r="AJ24" s="94" t="s">
        <v>40</v>
      </c>
      <c r="AK24" s="103" t="s">
        <v>308</v>
      </c>
      <c r="AL24" s="106">
        <v>0.5</v>
      </c>
      <c r="AM24" s="107" t="s">
        <v>10</v>
      </c>
      <c r="AN24" s="94" t="s">
        <v>40</v>
      </c>
      <c r="AO24" s="103"/>
      <c r="AP24" s="106"/>
      <c r="AQ24" s="107"/>
      <c r="AR24" s="94" t="s">
        <v>40</v>
      </c>
      <c r="AS24" s="103"/>
      <c r="AT24" s="106"/>
      <c r="AU24" s="107"/>
      <c r="AV24" s="94" t="s">
        <v>40</v>
      </c>
      <c r="AW24" s="103"/>
      <c r="AX24" s="106"/>
      <c r="AY24" s="107"/>
      <c r="AZ24" s="94" t="s">
        <v>40</v>
      </c>
      <c r="BA24" s="103"/>
      <c r="BB24" s="106"/>
      <c r="BC24" s="107"/>
      <c r="BD24" s="94" t="s">
        <v>40</v>
      </c>
      <c r="BE24" s="103"/>
      <c r="BF24" s="106"/>
      <c r="BG24" s="107"/>
      <c r="BH24" s="94" t="s">
        <v>40</v>
      </c>
      <c r="BI24" s="103"/>
      <c r="BJ24" s="106"/>
      <c r="BK24" s="107"/>
      <c r="BL24" s="94" t="s">
        <v>40</v>
      </c>
      <c r="BM24" s="103"/>
      <c r="BN24" s="106"/>
      <c r="BO24" s="107"/>
      <c r="BP24" s="94" t="s">
        <v>40</v>
      </c>
      <c r="BQ24" s="103"/>
      <c r="BR24" s="106"/>
      <c r="BS24" s="107"/>
      <c r="BT24" s="94" t="s">
        <v>40</v>
      </c>
      <c r="BU24" s="103"/>
      <c r="BV24" s="106"/>
      <c r="BW24" s="107"/>
      <c r="BX24" s="94" t="s">
        <v>40</v>
      </c>
      <c r="BY24" s="103"/>
      <c r="BZ24" s="106"/>
      <c r="CA24" s="107"/>
      <c r="CB24" s="94" t="s">
        <v>40</v>
      </c>
      <c r="CC24" s="103"/>
      <c r="CD24" s="106"/>
      <c r="CE24" s="107"/>
      <c r="CF24" s="94" t="s">
        <v>40</v>
      </c>
      <c r="CG24" s="103"/>
      <c r="CH24" s="106"/>
      <c r="CI24" s="107"/>
      <c r="CJ24" s="94" t="s">
        <v>40</v>
      </c>
      <c r="CK24" s="103"/>
      <c r="CL24" s="106"/>
      <c r="CM24" s="107"/>
      <c r="CN24" s="94" t="s">
        <v>40</v>
      </c>
      <c r="CO24" s="103"/>
      <c r="CP24" s="106"/>
      <c r="CQ24" s="107"/>
      <c r="CR24" s="94" t="s">
        <v>40</v>
      </c>
      <c r="CS24" s="103"/>
      <c r="CT24" s="106"/>
      <c r="CU24" s="107"/>
      <c r="CV24" s="94" t="s">
        <v>40</v>
      </c>
      <c r="CW24" s="103"/>
      <c r="CX24" s="106"/>
      <c r="CY24" s="107"/>
      <c r="CZ24" s="94" t="s">
        <v>40</v>
      </c>
      <c r="DA24" s="103"/>
      <c r="DB24" s="106"/>
      <c r="DC24" s="107"/>
      <c r="DD24" s="94" t="s">
        <v>40</v>
      </c>
      <c r="DE24" s="103"/>
      <c r="DF24" s="106"/>
      <c r="DG24" s="107"/>
      <c r="DH24" s="94" t="s">
        <v>40</v>
      </c>
      <c r="DI24" s="103"/>
      <c r="DJ24" s="106"/>
      <c r="DK24" s="107"/>
      <c r="DL24" s="94" t="s">
        <v>40</v>
      </c>
      <c r="DM24" s="103"/>
      <c r="DN24" s="106"/>
      <c r="DO24" s="107"/>
      <c r="DP24" s="94" t="s">
        <v>40</v>
      </c>
      <c r="DQ24" s="103"/>
      <c r="DR24" s="106"/>
      <c r="DS24" s="107"/>
      <c r="DT24" s="94" t="s">
        <v>40</v>
      </c>
      <c r="DU24" s="103"/>
      <c r="DV24" s="106"/>
      <c r="DW24" s="107"/>
      <c r="DX24" s="94" t="s">
        <v>40</v>
      </c>
      <c r="DY24" s="103"/>
      <c r="DZ24" s="106"/>
      <c r="EA24" s="107"/>
      <c r="EB24" s="65">
        <f t="shared" si="56"/>
        <v>3.1666666666666687</v>
      </c>
      <c r="EC24" s="5">
        <f t="shared" si="57"/>
        <v>0</v>
      </c>
      <c r="ED24" s="5">
        <f t="shared" si="58"/>
        <v>0</v>
      </c>
      <c r="EE24" s="5">
        <f t="shared" si="59"/>
        <v>0</v>
      </c>
      <c r="EF24" s="30">
        <f t="shared" si="60"/>
        <v>0.44444444444444475</v>
      </c>
      <c r="EG24" s="110">
        <f t="shared" si="89"/>
        <v>7.125</v>
      </c>
      <c r="EH24" s="68">
        <f>+$EF$4-EB24</f>
        <v>3.9583333333333313</v>
      </c>
      <c r="EI24" s="88">
        <f t="shared" si="63"/>
        <v>8.9259259259259327</v>
      </c>
      <c r="EJ24" s="69">
        <f t="shared" si="64"/>
        <v>3.1666666666666687</v>
      </c>
      <c r="EK24" s="14"/>
    </row>
    <row r="25" spans="1:141" ht="14.25" customHeight="1">
      <c r="A25" s="101" t="s">
        <v>288</v>
      </c>
      <c r="B25" s="102">
        <v>1315686541</v>
      </c>
      <c r="C25" s="19" t="s">
        <v>40</v>
      </c>
      <c r="D25" s="103"/>
      <c r="E25" s="103"/>
      <c r="F25" s="104"/>
      <c r="G25" s="105"/>
      <c r="H25" s="108" t="s">
        <v>40</v>
      </c>
      <c r="I25" s="103">
        <v>0</v>
      </c>
      <c r="J25" s="106">
        <v>0</v>
      </c>
      <c r="K25" s="107">
        <v>0</v>
      </c>
      <c r="L25" s="108" t="s">
        <v>40</v>
      </c>
      <c r="M25" s="103" t="s">
        <v>65</v>
      </c>
      <c r="N25" s="106">
        <v>0.375</v>
      </c>
      <c r="O25" s="107" t="s">
        <v>10</v>
      </c>
      <c r="P25" s="108" t="s">
        <v>40</v>
      </c>
      <c r="Q25" s="103" t="s">
        <v>65</v>
      </c>
      <c r="R25" s="106">
        <v>0.375</v>
      </c>
      <c r="S25" s="107" t="s">
        <v>10</v>
      </c>
      <c r="T25" s="108" t="s">
        <v>40</v>
      </c>
      <c r="U25" s="103" t="s">
        <v>65</v>
      </c>
      <c r="V25" s="106">
        <v>0.375</v>
      </c>
      <c r="W25" s="107" t="s">
        <v>10</v>
      </c>
      <c r="X25" s="108" t="s">
        <v>40</v>
      </c>
      <c r="Y25" s="103" t="s">
        <v>65</v>
      </c>
      <c r="Z25" s="106">
        <v>0.375</v>
      </c>
      <c r="AA25" s="107" t="s">
        <v>10</v>
      </c>
      <c r="AB25" s="108" t="s">
        <v>40</v>
      </c>
      <c r="AC25" s="103" t="s">
        <v>65</v>
      </c>
      <c r="AD25" s="106">
        <v>0.375</v>
      </c>
      <c r="AE25" s="107" t="s">
        <v>10</v>
      </c>
      <c r="AF25" s="108" t="s">
        <v>40</v>
      </c>
      <c r="AG25" s="103">
        <v>0</v>
      </c>
      <c r="AH25" s="106">
        <v>0</v>
      </c>
      <c r="AI25" s="107">
        <v>0</v>
      </c>
      <c r="AJ25" s="108" t="s">
        <v>40</v>
      </c>
      <c r="AK25" s="103">
        <v>0</v>
      </c>
      <c r="AL25" s="106">
        <v>0</v>
      </c>
      <c r="AM25" s="107">
        <v>0</v>
      </c>
      <c r="AN25" s="108" t="s">
        <v>40</v>
      </c>
      <c r="AO25" s="103"/>
      <c r="AP25" s="106"/>
      <c r="AQ25" s="107"/>
      <c r="AR25" s="108" t="s">
        <v>40</v>
      </c>
      <c r="AS25" s="103"/>
      <c r="AT25" s="106"/>
      <c r="AU25" s="107"/>
      <c r="AV25" s="108" t="s">
        <v>40</v>
      </c>
      <c r="AW25" s="103"/>
      <c r="AX25" s="106"/>
      <c r="AY25" s="107"/>
      <c r="AZ25" s="108" t="s">
        <v>40</v>
      </c>
      <c r="BA25" s="103"/>
      <c r="BB25" s="106"/>
      <c r="BC25" s="107"/>
      <c r="BD25" s="108" t="s">
        <v>40</v>
      </c>
      <c r="BE25" s="103"/>
      <c r="BF25" s="106"/>
      <c r="BG25" s="107"/>
      <c r="BH25" s="108" t="s">
        <v>40</v>
      </c>
      <c r="BI25" s="103"/>
      <c r="BJ25" s="106"/>
      <c r="BK25" s="107"/>
      <c r="BL25" s="108" t="s">
        <v>40</v>
      </c>
      <c r="BM25" s="103"/>
      <c r="BN25" s="106"/>
      <c r="BO25" s="107"/>
      <c r="BP25" s="108" t="s">
        <v>40</v>
      </c>
      <c r="BQ25" s="103"/>
      <c r="BR25" s="106"/>
      <c r="BS25" s="107"/>
      <c r="BT25" s="108" t="s">
        <v>40</v>
      </c>
      <c r="BU25" s="103"/>
      <c r="BV25" s="106"/>
      <c r="BW25" s="107"/>
      <c r="BX25" s="108" t="s">
        <v>40</v>
      </c>
      <c r="BY25" s="103"/>
      <c r="BZ25" s="106"/>
      <c r="CA25" s="107"/>
      <c r="CB25" s="108" t="s">
        <v>40</v>
      </c>
      <c r="CC25" s="103"/>
      <c r="CD25" s="106"/>
      <c r="CE25" s="107"/>
      <c r="CF25" s="108" t="s">
        <v>40</v>
      </c>
      <c r="CG25" s="103"/>
      <c r="CH25" s="106"/>
      <c r="CI25" s="107"/>
      <c r="CJ25" s="108" t="s">
        <v>40</v>
      </c>
      <c r="CK25" s="103"/>
      <c r="CL25" s="106"/>
      <c r="CM25" s="107"/>
      <c r="CN25" s="108" t="s">
        <v>40</v>
      </c>
      <c r="CO25" s="103"/>
      <c r="CP25" s="106"/>
      <c r="CQ25" s="107"/>
      <c r="CR25" s="108" t="s">
        <v>40</v>
      </c>
      <c r="CS25" s="103"/>
      <c r="CT25" s="106"/>
      <c r="CU25" s="107"/>
      <c r="CV25" s="108" t="s">
        <v>40</v>
      </c>
      <c r="CW25" s="103"/>
      <c r="CX25" s="106"/>
      <c r="CY25" s="107"/>
      <c r="CZ25" s="108" t="s">
        <v>40</v>
      </c>
      <c r="DA25" s="103"/>
      <c r="DB25" s="106"/>
      <c r="DC25" s="107"/>
      <c r="DD25" s="108" t="s">
        <v>40</v>
      </c>
      <c r="DE25" s="103"/>
      <c r="DF25" s="106"/>
      <c r="DG25" s="107"/>
      <c r="DH25" s="108" t="s">
        <v>40</v>
      </c>
      <c r="DI25" s="103"/>
      <c r="DJ25" s="106"/>
      <c r="DK25" s="107"/>
      <c r="DL25" s="108" t="s">
        <v>40</v>
      </c>
      <c r="DM25" s="103"/>
      <c r="DN25" s="106"/>
      <c r="DO25" s="107"/>
      <c r="DP25" s="108" t="s">
        <v>40</v>
      </c>
      <c r="DQ25" s="103"/>
      <c r="DR25" s="106"/>
      <c r="DS25" s="107"/>
      <c r="DT25" s="108" t="s">
        <v>40</v>
      </c>
      <c r="DU25" s="103"/>
      <c r="DV25" s="106"/>
      <c r="DW25" s="107"/>
      <c r="DX25" s="94" t="s">
        <v>40</v>
      </c>
      <c r="DY25" s="103"/>
      <c r="DZ25" s="106"/>
      <c r="EA25" s="107"/>
      <c r="EB25" s="65">
        <f t="shared" si="56"/>
        <v>1.875</v>
      </c>
      <c r="EC25" s="5">
        <f t="shared" si="57"/>
        <v>0</v>
      </c>
      <c r="ED25" s="5">
        <f t="shared" si="58"/>
        <v>0</v>
      </c>
      <c r="EE25" s="5">
        <f t="shared" si="59"/>
        <v>0</v>
      </c>
      <c r="EF25" s="30">
        <f t="shared" ref="EF25" si="91">+EB25/$EF$3</f>
        <v>0.26315789473684209</v>
      </c>
      <c r="EG25" s="110">
        <f t="shared" si="89"/>
        <v>7.125</v>
      </c>
      <c r="EH25" s="68">
        <f t="shared" si="90"/>
        <v>5.25</v>
      </c>
      <c r="EI25" s="88">
        <f t="shared" ref="EI25" si="92">+EB25*$EI$3</f>
        <v>5.2850877192982457</v>
      </c>
      <c r="EJ25" s="69">
        <f t="shared" ref="EJ25" si="93">+EB25+$EG$3</f>
        <v>1.875</v>
      </c>
      <c r="EK25" s="14"/>
    </row>
    <row r="26" spans="1:141">
      <c r="A26" s="70" t="s">
        <v>281</v>
      </c>
      <c r="B26" s="31">
        <v>1755795612</v>
      </c>
      <c r="C26" s="19" t="s">
        <v>40</v>
      </c>
      <c r="D26" s="5"/>
      <c r="E26" s="5"/>
      <c r="F26" s="13"/>
      <c r="G26" s="90"/>
      <c r="H26" s="108" t="s">
        <v>40</v>
      </c>
      <c r="I26" s="5">
        <v>0</v>
      </c>
      <c r="J26" s="64">
        <v>0</v>
      </c>
      <c r="K26" s="95" t="s">
        <v>14</v>
      </c>
      <c r="L26" s="108" t="s">
        <v>40</v>
      </c>
      <c r="M26" s="5" t="s">
        <v>14</v>
      </c>
      <c r="N26" s="64">
        <v>0</v>
      </c>
      <c r="O26" s="95" t="s">
        <v>14</v>
      </c>
      <c r="P26" s="108" t="s">
        <v>40</v>
      </c>
      <c r="Q26" s="5">
        <v>0</v>
      </c>
      <c r="R26" s="64">
        <v>0</v>
      </c>
      <c r="S26" s="95" t="s">
        <v>14</v>
      </c>
      <c r="T26" s="108" t="s">
        <v>40</v>
      </c>
      <c r="U26" s="5" t="s">
        <v>14</v>
      </c>
      <c r="V26" s="64">
        <v>0</v>
      </c>
      <c r="W26" s="95" t="s">
        <v>14</v>
      </c>
      <c r="X26" s="108" t="s">
        <v>40</v>
      </c>
      <c r="Y26" s="5" t="s">
        <v>97</v>
      </c>
      <c r="Z26" s="64">
        <v>0.33333333333333398</v>
      </c>
      <c r="AA26" s="95" t="s">
        <v>10</v>
      </c>
      <c r="AB26" s="108" t="s">
        <v>40</v>
      </c>
      <c r="AC26" s="5" t="s">
        <v>96</v>
      </c>
      <c r="AD26" s="64">
        <v>0.41666666666666702</v>
      </c>
      <c r="AE26" s="95" t="s">
        <v>10</v>
      </c>
      <c r="AF26" s="108" t="s">
        <v>40</v>
      </c>
      <c r="AG26" s="5" t="s">
        <v>315</v>
      </c>
      <c r="AH26" s="64">
        <v>0.5</v>
      </c>
      <c r="AI26" s="95" t="s">
        <v>10</v>
      </c>
      <c r="AJ26" s="108" t="s">
        <v>40</v>
      </c>
      <c r="AK26" s="5" t="s">
        <v>315</v>
      </c>
      <c r="AL26" s="64">
        <v>0.5</v>
      </c>
      <c r="AM26" s="95" t="s">
        <v>10</v>
      </c>
      <c r="AN26" s="108" t="s">
        <v>40</v>
      </c>
      <c r="AO26" s="5"/>
      <c r="AP26" s="64"/>
      <c r="AQ26" s="95"/>
      <c r="AR26" s="108" t="s">
        <v>40</v>
      </c>
      <c r="AS26" s="5"/>
      <c r="AT26" s="64"/>
      <c r="AU26" s="95"/>
      <c r="AV26" s="108" t="s">
        <v>40</v>
      </c>
      <c r="AW26" s="5"/>
      <c r="AX26" s="64"/>
      <c r="AY26" s="95"/>
      <c r="AZ26" s="108" t="s">
        <v>40</v>
      </c>
      <c r="BA26" s="5"/>
      <c r="BB26" s="64"/>
      <c r="BC26" s="95"/>
      <c r="BD26" s="108" t="s">
        <v>40</v>
      </c>
      <c r="BE26" s="5"/>
      <c r="BF26" s="64"/>
      <c r="BG26" s="95"/>
      <c r="BH26" s="108" t="s">
        <v>40</v>
      </c>
      <c r="BI26" s="5"/>
      <c r="BJ26" s="64"/>
      <c r="BK26" s="95"/>
      <c r="BL26" s="108" t="s">
        <v>40</v>
      </c>
      <c r="BM26" s="5"/>
      <c r="BN26" s="64"/>
      <c r="BO26" s="95"/>
      <c r="BP26" s="108" t="s">
        <v>40</v>
      </c>
      <c r="BQ26" s="5"/>
      <c r="BR26" s="64"/>
      <c r="BS26" s="95"/>
      <c r="BT26" s="108" t="s">
        <v>40</v>
      </c>
      <c r="BU26" s="5"/>
      <c r="BV26" s="64"/>
      <c r="BW26" s="95"/>
      <c r="BX26" s="108" t="s">
        <v>40</v>
      </c>
      <c r="BY26" s="5"/>
      <c r="BZ26" s="64"/>
      <c r="CA26" s="95"/>
      <c r="CB26" s="108" t="s">
        <v>40</v>
      </c>
      <c r="CC26" s="5"/>
      <c r="CD26" s="64"/>
      <c r="CE26" s="95"/>
      <c r="CF26" s="108" t="s">
        <v>40</v>
      </c>
      <c r="CG26" s="5"/>
      <c r="CH26" s="64"/>
      <c r="CI26" s="95"/>
      <c r="CJ26" s="108" t="s">
        <v>40</v>
      </c>
      <c r="CK26" s="5"/>
      <c r="CL26" s="64"/>
      <c r="CM26" s="95"/>
      <c r="CN26" s="108" t="s">
        <v>40</v>
      </c>
      <c r="CO26" s="5"/>
      <c r="CP26" s="64"/>
      <c r="CQ26" s="95"/>
      <c r="CR26" s="108" t="s">
        <v>40</v>
      </c>
      <c r="CS26" s="5"/>
      <c r="CT26" s="64"/>
      <c r="CU26" s="95"/>
      <c r="CV26" s="108" t="s">
        <v>40</v>
      </c>
      <c r="CW26" s="5"/>
      <c r="CX26" s="64"/>
      <c r="CY26" s="95"/>
      <c r="CZ26" s="108" t="s">
        <v>40</v>
      </c>
      <c r="DA26" s="5"/>
      <c r="DB26" s="64"/>
      <c r="DC26" s="95"/>
      <c r="DD26" s="108" t="s">
        <v>40</v>
      </c>
      <c r="DE26" s="5"/>
      <c r="DF26" s="64"/>
      <c r="DG26" s="95"/>
      <c r="DH26" s="108" t="s">
        <v>40</v>
      </c>
      <c r="DI26" s="5"/>
      <c r="DJ26" s="64"/>
      <c r="DK26" s="95"/>
      <c r="DL26" s="108" t="s">
        <v>40</v>
      </c>
      <c r="DM26" s="5"/>
      <c r="DN26" s="64"/>
      <c r="DO26" s="95"/>
      <c r="DP26" s="108" t="s">
        <v>40</v>
      </c>
      <c r="DQ26" s="5"/>
      <c r="DR26" s="64"/>
      <c r="DS26" s="95"/>
      <c r="DT26" s="108" t="s">
        <v>40</v>
      </c>
      <c r="DU26" s="5"/>
      <c r="DV26" s="64"/>
      <c r="DW26" s="95"/>
      <c r="DX26" s="94" t="s">
        <v>40</v>
      </c>
      <c r="DY26" s="5"/>
      <c r="DZ26" s="64"/>
      <c r="EA26" s="95"/>
      <c r="EB26" s="65">
        <f>+SUM(J26,N26,R26,V26,Z26,AD26,AH26,AL26,AP26,AT26,AX26,BB26,BF26,BJ26,BN26,BR26,BV26,BZ26,CD26,CH26,CL26,CP26,CT26,CX26,DB26,DF26,DJ26,DV26,DN26,DR26,DZ26)</f>
        <v>1.7500000000000009</v>
      </c>
      <c r="EC26" s="5">
        <f t="shared" si="57"/>
        <v>0</v>
      </c>
      <c r="ED26" s="5">
        <f t="shared" si="58"/>
        <v>0</v>
      </c>
      <c r="EE26" s="5">
        <f t="shared" si="59"/>
        <v>4</v>
      </c>
      <c r="EF26" s="30">
        <f>+EB26/$EF$3</f>
        <v>0.24561403508771942</v>
      </c>
      <c r="EG26" s="110">
        <f t="shared" si="61"/>
        <v>7.125</v>
      </c>
      <c r="EH26" s="68">
        <f>+$EF$3-EB26</f>
        <v>5.3749999999999991</v>
      </c>
      <c r="EI26" s="88">
        <f>+EB26*$EI$3</f>
        <v>4.9327485380116984</v>
      </c>
      <c r="EJ26" s="69">
        <f>+EB26+$EG$3</f>
        <v>1.7500000000000009</v>
      </c>
      <c r="EK26" s="14"/>
    </row>
    <row r="27" spans="1:141" ht="15.75" thickBot="1">
      <c r="A27" s="71" t="s">
        <v>48</v>
      </c>
      <c r="B27" s="42">
        <v>1757878556</v>
      </c>
      <c r="C27" s="100" t="s">
        <v>9</v>
      </c>
      <c r="D27" s="42"/>
      <c r="E27" s="43" t="s">
        <v>66</v>
      </c>
      <c r="F27" s="44" t="s">
        <v>61</v>
      </c>
      <c r="G27" s="91" t="s">
        <v>33</v>
      </c>
      <c r="H27" s="96" t="s">
        <v>46</v>
      </c>
      <c r="I27" s="42" t="s">
        <v>80</v>
      </c>
      <c r="J27" s="66">
        <v>0.41666666666666669</v>
      </c>
      <c r="K27" s="97" t="s">
        <v>10</v>
      </c>
      <c r="L27" s="96" t="s">
        <v>46</v>
      </c>
      <c r="M27" s="42" t="s">
        <v>80</v>
      </c>
      <c r="N27" s="66">
        <v>0.41666666666666669</v>
      </c>
      <c r="O27" s="97" t="s">
        <v>10</v>
      </c>
      <c r="P27" s="96" t="s">
        <v>46</v>
      </c>
      <c r="Q27" s="42" t="s">
        <v>80</v>
      </c>
      <c r="R27" s="66">
        <v>0.41666666666666669</v>
      </c>
      <c r="S27" s="97" t="s">
        <v>10</v>
      </c>
      <c r="T27" s="96" t="s">
        <v>46</v>
      </c>
      <c r="U27" s="42" t="s">
        <v>80</v>
      </c>
      <c r="V27" s="66">
        <v>0.41666666666666669</v>
      </c>
      <c r="W27" s="97" t="s">
        <v>10</v>
      </c>
      <c r="X27" s="96" t="s">
        <v>46</v>
      </c>
      <c r="Y27" s="42" t="s">
        <v>80</v>
      </c>
      <c r="Z27" s="66">
        <v>0.41666666666666669</v>
      </c>
      <c r="AA27" s="97" t="s">
        <v>10</v>
      </c>
      <c r="AB27" s="96" t="s">
        <v>46</v>
      </c>
      <c r="AC27" s="42" t="s">
        <v>80</v>
      </c>
      <c r="AD27" s="66">
        <v>0.41666666666666669</v>
      </c>
      <c r="AE27" s="97" t="s">
        <v>10</v>
      </c>
      <c r="AF27" s="96" t="s">
        <v>46</v>
      </c>
      <c r="AG27" s="66">
        <v>0</v>
      </c>
      <c r="AH27" s="66">
        <v>0</v>
      </c>
      <c r="AI27" s="97">
        <v>0</v>
      </c>
      <c r="AJ27" s="96" t="s">
        <v>46</v>
      </c>
      <c r="AK27" s="66">
        <v>0</v>
      </c>
      <c r="AL27" s="66">
        <v>0</v>
      </c>
      <c r="AM27" s="97">
        <v>0</v>
      </c>
      <c r="AN27" s="96" t="s">
        <v>46</v>
      </c>
      <c r="AO27" s="42"/>
      <c r="AP27" s="66"/>
      <c r="AQ27" s="97"/>
      <c r="AR27" s="96" t="s">
        <v>46</v>
      </c>
      <c r="AS27" s="42"/>
      <c r="AT27" s="66"/>
      <c r="AU27" s="97"/>
      <c r="AV27" s="96" t="s">
        <v>46</v>
      </c>
      <c r="AW27" s="42"/>
      <c r="AX27" s="66"/>
      <c r="AY27" s="97"/>
      <c r="AZ27" s="96" t="s">
        <v>46</v>
      </c>
      <c r="BA27" s="42"/>
      <c r="BB27" s="66"/>
      <c r="BC27" s="97"/>
      <c r="BD27" s="96" t="s">
        <v>46</v>
      </c>
      <c r="BE27" s="42"/>
      <c r="BF27" s="66"/>
      <c r="BG27" s="97"/>
      <c r="BH27" s="96" t="s">
        <v>46</v>
      </c>
      <c r="BI27" s="42"/>
      <c r="BJ27" s="66"/>
      <c r="BK27" s="97"/>
      <c r="BL27" s="96" t="s">
        <v>46</v>
      </c>
      <c r="BM27" s="42"/>
      <c r="BN27" s="66"/>
      <c r="BO27" s="97"/>
      <c r="BP27" s="96" t="s">
        <v>46</v>
      </c>
      <c r="BQ27" s="42"/>
      <c r="BR27" s="66"/>
      <c r="BS27" s="97"/>
      <c r="BT27" s="96" t="s">
        <v>46</v>
      </c>
      <c r="BU27" s="42"/>
      <c r="BV27" s="66"/>
      <c r="BW27" s="97"/>
      <c r="BX27" s="96" t="s">
        <v>46</v>
      </c>
      <c r="BY27" s="42"/>
      <c r="BZ27" s="66"/>
      <c r="CA27" s="97"/>
      <c r="CB27" s="96" t="s">
        <v>46</v>
      </c>
      <c r="CC27" s="42"/>
      <c r="CD27" s="66"/>
      <c r="CE27" s="97"/>
      <c r="CF27" s="96" t="s">
        <v>46</v>
      </c>
      <c r="CG27" s="42"/>
      <c r="CH27" s="66"/>
      <c r="CI27" s="97"/>
      <c r="CJ27" s="96" t="s">
        <v>46</v>
      </c>
      <c r="CK27" s="42"/>
      <c r="CL27" s="66"/>
      <c r="CM27" s="97"/>
      <c r="CN27" s="96" t="s">
        <v>46</v>
      </c>
      <c r="CO27" s="42"/>
      <c r="CP27" s="66"/>
      <c r="CQ27" s="97"/>
      <c r="CR27" s="96" t="s">
        <v>46</v>
      </c>
      <c r="CS27" s="42"/>
      <c r="CT27" s="66"/>
      <c r="CU27" s="97"/>
      <c r="CV27" s="96" t="s">
        <v>46</v>
      </c>
      <c r="CW27" s="42"/>
      <c r="CX27" s="66"/>
      <c r="CY27" s="97"/>
      <c r="CZ27" s="96" t="s">
        <v>46</v>
      </c>
      <c r="DA27" s="42"/>
      <c r="DB27" s="66"/>
      <c r="DC27" s="97"/>
      <c r="DD27" s="96" t="s">
        <v>46</v>
      </c>
      <c r="DE27" s="42"/>
      <c r="DF27" s="66"/>
      <c r="DG27" s="97"/>
      <c r="DH27" s="96" t="s">
        <v>46</v>
      </c>
      <c r="DI27" s="42"/>
      <c r="DJ27" s="66"/>
      <c r="DK27" s="97"/>
      <c r="DL27" s="96" t="s">
        <v>46</v>
      </c>
      <c r="DM27" s="42"/>
      <c r="DN27" s="66"/>
      <c r="DO27" s="97"/>
      <c r="DP27" s="96" t="s">
        <v>46</v>
      </c>
      <c r="DQ27" s="42"/>
      <c r="DR27" s="66"/>
      <c r="DS27" s="97"/>
      <c r="DT27" s="96" t="s">
        <v>46</v>
      </c>
      <c r="DU27" s="42"/>
      <c r="DV27" s="66"/>
      <c r="DW27" s="97"/>
      <c r="DX27" s="96" t="s">
        <v>46</v>
      </c>
      <c r="DY27" s="42"/>
      <c r="DZ27" s="66"/>
      <c r="EA27" s="97"/>
      <c r="EB27" s="65">
        <f>+SUM(J27,N27,R27,V27,Z27,AD27,AH27,AL27,AP27,AT27,AX27,BB27,BF27,BJ27,BN27,BR27,BV27,BZ27,CD27,CH27,CL27,CP27,CT27,CX27,DB27,DF27,DJ27,DV27,DN27,DR27,DZ27)</f>
        <v>2.5</v>
      </c>
      <c r="EC27" s="5">
        <f t="shared" si="57"/>
        <v>0</v>
      </c>
      <c r="ED27" s="5">
        <f t="shared" si="58"/>
        <v>0</v>
      </c>
      <c r="EE27" s="5">
        <f t="shared" si="59"/>
        <v>0</v>
      </c>
      <c r="EF27" s="30">
        <f t="shared" si="60"/>
        <v>0.35087719298245612</v>
      </c>
      <c r="EG27" s="110">
        <f t="shared" si="89"/>
        <v>7.125</v>
      </c>
      <c r="EH27" s="68">
        <f t="shared" si="90"/>
        <v>4.625</v>
      </c>
      <c r="EI27" s="88">
        <f t="shared" si="63"/>
        <v>7.0467836257309946</v>
      </c>
      <c r="EJ27" s="69">
        <f t="shared" si="64"/>
        <v>2.5</v>
      </c>
      <c r="EK27" s="14"/>
    </row>
  </sheetData>
  <mergeCells count="90">
    <mergeCell ref="CY1:CY2"/>
    <mergeCell ref="DC1:DC2"/>
    <mergeCell ref="DG1:DG2"/>
    <mergeCell ref="DK1:DK2"/>
    <mergeCell ref="DS1:DS2"/>
    <mergeCell ref="K1:K2"/>
    <mergeCell ref="O1:O2"/>
    <mergeCell ref="S1:S2"/>
    <mergeCell ref="W1:W2"/>
    <mergeCell ref="CE1:CE2"/>
    <mergeCell ref="AU1:AU2"/>
    <mergeCell ref="AY1:AY2"/>
    <mergeCell ref="BC1:BC2"/>
    <mergeCell ref="BG1:BG2"/>
    <mergeCell ref="AA1:AA2"/>
    <mergeCell ref="AE1:AE2"/>
    <mergeCell ref="AI1:AI2"/>
    <mergeCell ref="AM1:AM2"/>
    <mergeCell ref="AQ1:AQ2"/>
    <mergeCell ref="CI1:CI2"/>
    <mergeCell ref="CM1:CM2"/>
    <mergeCell ref="CQ1:CQ2"/>
    <mergeCell ref="CU1:CU2"/>
    <mergeCell ref="BK1:BK2"/>
    <mergeCell ref="BO1:BO2"/>
    <mergeCell ref="BS1:BS2"/>
    <mergeCell ref="BW1:BW2"/>
    <mergeCell ref="CA1:CA2"/>
    <mergeCell ref="H3:K3"/>
    <mergeCell ref="L3:O3"/>
    <mergeCell ref="P3:S3"/>
    <mergeCell ref="T3:W3"/>
    <mergeCell ref="X3:AA3"/>
    <mergeCell ref="DH3:DK3"/>
    <mergeCell ref="DX3:EA3"/>
    <mergeCell ref="BT3:BW3"/>
    <mergeCell ref="CV3:CY3"/>
    <mergeCell ref="BD3:BG3"/>
    <mergeCell ref="CB3:CE3"/>
    <mergeCell ref="CF3:CI3"/>
    <mergeCell ref="CJ3:CM3"/>
    <mergeCell ref="CN3:CQ3"/>
    <mergeCell ref="CR3:CU3"/>
    <mergeCell ref="BL3:BO3"/>
    <mergeCell ref="BP3:BS3"/>
    <mergeCell ref="DP3:DS3"/>
    <mergeCell ref="DT3:DW3"/>
    <mergeCell ref="DL3:DO3"/>
    <mergeCell ref="AB4:AE4"/>
    <mergeCell ref="AF4:AI4"/>
    <mergeCell ref="AJ4:AM4"/>
    <mergeCell ref="CZ3:DC3"/>
    <mergeCell ref="DD3:DG3"/>
    <mergeCell ref="AZ3:BC3"/>
    <mergeCell ref="AB3:AE3"/>
    <mergeCell ref="BX3:CA3"/>
    <mergeCell ref="AF3:AI3"/>
    <mergeCell ref="AJ3:AM3"/>
    <mergeCell ref="AN3:AQ3"/>
    <mergeCell ref="AR3:AU3"/>
    <mergeCell ref="AV3:AY3"/>
    <mergeCell ref="BH3:BK3"/>
    <mergeCell ref="AN4:AQ4"/>
    <mergeCell ref="AR4:AU4"/>
    <mergeCell ref="H4:K4"/>
    <mergeCell ref="L4:O4"/>
    <mergeCell ref="P4:S4"/>
    <mergeCell ref="T4:W4"/>
    <mergeCell ref="X4:AA4"/>
    <mergeCell ref="AV4:AY4"/>
    <mergeCell ref="AZ4:BC4"/>
    <mergeCell ref="BD4:BG4"/>
    <mergeCell ref="BH4:BK4"/>
    <mergeCell ref="BL4:BO4"/>
    <mergeCell ref="BP4:BS4"/>
    <mergeCell ref="BT4:BW4"/>
    <mergeCell ref="BX4:CA4"/>
    <mergeCell ref="CB4:CE4"/>
    <mergeCell ref="CF4:CI4"/>
    <mergeCell ref="DD4:DG4"/>
    <mergeCell ref="DH4:DK4"/>
    <mergeCell ref="DX4:EA4"/>
    <mergeCell ref="CJ4:CM4"/>
    <mergeCell ref="CN4:CQ4"/>
    <mergeCell ref="CR4:CU4"/>
    <mergeCell ref="CV4:CY4"/>
    <mergeCell ref="CZ4:DC4"/>
    <mergeCell ref="DP4:DS4"/>
    <mergeCell ref="DT4:DW4"/>
    <mergeCell ref="DL4:DO4"/>
  </mergeCells>
  <phoneticPr fontId="8" type="noConversion"/>
  <conditionalFormatting sqref="A3:A5">
    <cfRule type="duplicateValues" dxfId="224" priority="349710"/>
    <cfRule type="duplicateValues" dxfId="223" priority="276070"/>
    <cfRule type="duplicateValues" dxfId="222" priority="349629"/>
  </conditionalFormatting>
  <conditionalFormatting sqref="A6">
    <cfRule type="duplicateValues" dxfId="221" priority="252461"/>
    <cfRule type="duplicateValues" dxfId="220" priority="252475"/>
    <cfRule type="duplicateValues" dxfId="219" priority="252476"/>
    <cfRule type="duplicateValues" dxfId="218" priority="353795"/>
  </conditionalFormatting>
  <conditionalFormatting sqref="A6:A27">
    <cfRule type="duplicateValues" dxfId="217" priority="362708"/>
  </conditionalFormatting>
  <conditionalFormatting sqref="A6:A51">
    <cfRule type="duplicateValues" dxfId="216" priority="362710"/>
  </conditionalFormatting>
  <conditionalFormatting sqref="A7">
    <cfRule type="duplicateValues" dxfId="215" priority="357790"/>
    <cfRule type="duplicateValues" dxfId="214" priority="357789"/>
    <cfRule type="duplicateValues" dxfId="213" priority="357791"/>
  </conditionalFormatting>
  <conditionalFormatting sqref="A19">
    <cfRule type="duplicateValues" dxfId="212" priority="16074"/>
    <cfRule type="duplicateValues" dxfId="211" priority="16073"/>
    <cfRule type="duplicateValues" dxfId="210" priority="16075"/>
    <cfRule type="duplicateValues" dxfId="209" priority="16014"/>
    <cfRule type="duplicateValues" dxfId="208" priority="16015"/>
    <cfRule type="duplicateValues" dxfId="207" priority="16016"/>
  </conditionalFormatting>
  <conditionalFormatting sqref="A19:A22">
    <cfRule type="duplicateValues" dxfId="206" priority="354891"/>
    <cfRule type="duplicateValues" dxfId="205" priority="354897"/>
    <cfRule type="duplicateValues" dxfId="204" priority="354893"/>
    <cfRule type="duplicateValues" dxfId="203" priority="354892"/>
  </conditionalFormatting>
  <conditionalFormatting sqref="A20">
    <cfRule type="duplicateValues" dxfId="202" priority="16006"/>
    <cfRule type="duplicateValues" dxfId="201" priority="16007"/>
    <cfRule type="duplicateValues" dxfId="200" priority="16008"/>
    <cfRule type="duplicateValues" dxfId="199" priority="16009"/>
    <cfRule type="duplicateValues" dxfId="198" priority="16010"/>
    <cfRule type="duplicateValues" dxfId="197" priority="16076"/>
    <cfRule type="duplicateValues" dxfId="196" priority="16077"/>
    <cfRule type="duplicateValues" dxfId="195" priority="16078"/>
  </conditionalFormatting>
  <conditionalFormatting sqref="A21 A19">
    <cfRule type="duplicateValues" dxfId="194" priority="16070"/>
    <cfRule type="duplicateValues" dxfId="193" priority="16071"/>
    <cfRule type="duplicateValues" dxfId="192" priority="16072"/>
  </conditionalFormatting>
  <conditionalFormatting sqref="A21">
    <cfRule type="duplicateValues" dxfId="191" priority="16068"/>
    <cfRule type="duplicateValues" dxfId="190" priority="16069"/>
  </conditionalFormatting>
  <conditionalFormatting sqref="A21:A22">
    <cfRule type="duplicateValues" dxfId="189" priority="350899"/>
    <cfRule type="duplicateValues" dxfId="188" priority="350898"/>
    <cfRule type="duplicateValues" dxfId="187" priority="350897"/>
  </conditionalFormatting>
  <conditionalFormatting sqref="A23">
    <cfRule type="duplicateValues" dxfId="186" priority="362498"/>
    <cfRule type="duplicateValues" dxfId="185" priority="362504"/>
    <cfRule type="duplicateValues" dxfId="184" priority="362503"/>
    <cfRule type="duplicateValues" dxfId="183" priority="362502"/>
    <cfRule type="duplicateValues" dxfId="182" priority="362501"/>
    <cfRule type="duplicateValues" dxfId="181" priority="362500"/>
    <cfRule type="duplicateValues" dxfId="180" priority="362499"/>
  </conditionalFormatting>
  <conditionalFormatting sqref="A24:A25">
    <cfRule type="duplicateValues" dxfId="179" priority="359162"/>
    <cfRule type="duplicateValues" dxfId="178" priority="359161"/>
    <cfRule type="duplicateValues" dxfId="177" priority="359160"/>
    <cfRule type="duplicateValues" dxfId="176" priority="359159"/>
    <cfRule type="duplicateValues" dxfId="175" priority="359158"/>
    <cfRule type="duplicateValues" dxfId="174" priority="359157"/>
    <cfRule type="duplicateValues" dxfId="173" priority="359156"/>
    <cfRule type="duplicateValues" dxfId="172" priority="359155"/>
  </conditionalFormatting>
  <conditionalFormatting sqref="A26 A7:A18">
    <cfRule type="duplicateValues" dxfId="171" priority="358604"/>
  </conditionalFormatting>
  <conditionalFormatting sqref="A26 A8:A18">
    <cfRule type="duplicateValues" dxfId="170" priority="358209"/>
    <cfRule type="duplicateValues" dxfId="169" priority="358208"/>
    <cfRule type="duplicateValues" dxfId="168" priority="358210"/>
    <cfRule type="duplicateValues" dxfId="167" priority="358207"/>
  </conditionalFormatting>
  <conditionalFormatting sqref="A27 A19:A25 A6">
    <cfRule type="duplicateValues" dxfId="166" priority="359145"/>
  </conditionalFormatting>
  <conditionalFormatting sqref="A27 A19:A25 A6:A7">
    <cfRule type="duplicateValues" dxfId="165" priority="359148"/>
  </conditionalFormatting>
  <conditionalFormatting sqref="A27">
    <cfRule type="duplicateValues" dxfId="164" priority="355605"/>
    <cfRule type="duplicateValues" dxfId="163" priority="355610"/>
    <cfRule type="duplicateValues" dxfId="162" priority="355609"/>
    <cfRule type="duplicateValues" dxfId="161" priority="355608"/>
    <cfRule type="duplicateValues" dxfId="160" priority="355607"/>
    <cfRule type="duplicateValues" dxfId="159" priority="355606"/>
    <cfRule type="duplicateValues" dxfId="158" priority="355604"/>
  </conditionalFormatting>
  <conditionalFormatting sqref="A28:A1048576 A3:A5">
    <cfRule type="duplicateValues" dxfId="157" priority="350787"/>
  </conditionalFormatting>
  <conditionalFormatting sqref="A1:DS2">
    <cfRule type="containsText" dxfId="156" priority="732" operator="containsText" text="Incompleto">
      <formula>NOT(ISERROR(SEARCH("Incompleto",A1)))</formula>
    </cfRule>
    <cfRule type="containsText" dxfId="155" priority="733" operator="containsText" text="Completo">
      <formula>NOT(ISERROR(SEARCH("Completo",A1)))</formula>
    </cfRule>
  </conditionalFormatting>
  <conditionalFormatting sqref="B3:B5">
    <cfRule type="duplicateValues" dxfId="154" priority="276068"/>
    <cfRule type="duplicateValues" dxfId="153" priority="349691"/>
  </conditionalFormatting>
  <conditionalFormatting sqref="B6">
    <cfRule type="duplicateValues" dxfId="152" priority="353821"/>
    <cfRule type="duplicateValues" dxfId="151" priority="252494"/>
    <cfRule type="duplicateValues" dxfId="150" priority="252493"/>
    <cfRule type="duplicateValues" dxfId="149" priority="252459"/>
  </conditionalFormatting>
  <conditionalFormatting sqref="B7">
    <cfRule type="duplicateValues" dxfId="148" priority="358606"/>
    <cfRule type="duplicateValues" dxfId="147" priority="357808"/>
    <cfRule type="duplicateValues" dxfId="146" priority="357807"/>
    <cfRule type="duplicateValues" dxfId="145" priority="357806"/>
  </conditionalFormatting>
  <conditionalFormatting sqref="B19">
    <cfRule type="duplicateValues" dxfId="144" priority="16027"/>
    <cfRule type="duplicateValues" dxfId="143" priority="16028"/>
    <cfRule type="duplicateValues" dxfId="142" priority="16026"/>
    <cfRule type="duplicateValues" dxfId="141" priority="16022"/>
    <cfRule type="duplicateValues" dxfId="140" priority="16021"/>
    <cfRule type="duplicateValues" dxfId="139" priority="16023"/>
    <cfRule type="duplicateValues" dxfId="138" priority="16024"/>
    <cfRule type="duplicateValues" dxfId="137" priority="16025"/>
    <cfRule type="duplicateValues" dxfId="136" priority="16029"/>
  </conditionalFormatting>
  <conditionalFormatting sqref="B19:B22">
    <cfRule type="duplicateValues" dxfId="135" priority="354938"/>
    <cfRule type="duplicateValues" dxfId="134" priority="354937"/>
    <cfRule type="duplicateValues" dxfId="133" priority="354936"/>
    <cfRule type="duplicateValues" dxfId="132" priority="354935"/>
    <cfRule type="duplicateValues" dxfId="131" priority="354933"/>
  </conditionalFormatting>
  <conditionalFormatting sqref="B20">
    <cfRule type="duplicateValues" dxfId="130" priority="16020"/>
    <cfRule type="duplicateValues" dxfId="129" priority="16017"/>
    <cfRule type="duplicateValues" dxfId="128" priority="16018"/>
    <cfRule type="duplicateValues" dxfId="127" priority="16106"/>
    <cfRule type="duplicateValues" dxfId="126" priority="16105"/>
    <cfRule type="duplicateValues" dxfId="125" priority="16104"/>
    <cfRule type="duplicateValues" dxfId="124" priority="16103"/>
    <cfRule type="duplicateValues" dxfId="123" priority="16102"/>
    <cfRule type="duplicateValues" dxfId="122" priority="16101"/>
    <cfRule type="duplicateValues" dxfId="121" priority="16107"/>
    <cfRule type="duplicateValues" dxfId="120" priority="16100"/>
    <cfRule type="duplicateValues" dxfId="119" priority="16099"/>
    <cfRule type="duplicateValues" dxfId="118" priority="16019"/>
  </conditionalFormatting>
  <conditionalFormatting sqref="B21">
    <cfRule type="duplicateValues" dxfId="117" priority="16098"/>
    <cfRule type="duplicateValues" dxfId="116" priority="16097"/>
    <cfRule type="duplicateValues" dxfId="115" priority="16096"/>
    <cfRule type="duplicateValues" dxfId="114" priority="16095"/>
  </conditionalFormatting>
  <conditionalFormatting sqref="B21:B22 B19">
    <cfRule type="duplicateValues" dxfId="113" priority="350906"/>
    <cfRule type="duplicateValues" dxfId="112" priority="350905"/>
    <cfRule type="duplicateValues" dxfId="111" priority="350907"/>
  </conditionalFormatting>
  <conditionalFormatting sqref="B23">
    <cfRule type="duplicateValues" dxfId="110" priority="362517"/>
    <cfRule type="duplicateValues" dxfId="109" priority="362518"/>
    <cfRule type="duplicateValues" dxfId="108" priority="362519"/>
  </conditionalFormatting>
  <conditionalFormatting sqref="B24:B25">
    <cfRule type="duplicateValues" dxfId="107" priority="359171"/>
    <cfRule type="duplicateValues" dxfId="106" priority="359172"/>
    <cfRule type="duplicateValues" dxfId="105" priority="359170"/>
  </conditionalFormatting>
  <conditionalFormatting sqref="B26 B8:B18">
    <cfRule type="duplicateValues" dxfId="104" priority="357135"/>
    <cfRule type="duplicateValues" dxfId="103" priority="357134"/>
  </conditionalFormatting>
  <conditionalFormatting sqref="B27 B19:B25 B6">
    <cfRule type="duplicateValues" dxfId="102" priority="359164"/>
  </conditionalFormatting>
  <conditionalFormatting sqref="B27 B19:B25 B6:B7">
    <cfRule type="duplicateValues" dxfId="101" priority="359167"/>
  </conditionalFormatting>
  <conditionalFormatting sqref="B27">
    <cfRule type="duplicateValues" dxfId="100" priority="355623"/>
    <cfRule type="duplicateValues" dxfId="99" priority="355622"/>
    <cfRule type="duplicateValues" dxfId="98" priority="355621"/>
    <cfRule type="duplicateValues" dxfId="97" priority="355620"/>
    <cfRule type="duplicateValues" dxfId="96" priority="355625"/>
    <cfRule type="duplicateValues" dxfId="95" priority="355624"/>
  </conditionalFormatting>
  <conditionalFormatting sqref="I6:I18 M6:M18 Q6:Q18 U6:U18 Y6:Y18 AC6:AC18 AG6:AG18 AK6:AK18 AO6:AO18 AS6:AS18 AW6:AW18 BA6:BA18 BE6:BE18 BI6:BI18 BM6:BM18 BQ6:BQ18 BU6:BU18 BY6:BY18 CC6:CC18 CG6:CG18 CK6:CK18 CO6:CO18 CS6:CS18 CW6:CW18 DA6:DA18 DE6:DE18 DI6:DI18 DM6:DM18 DQ6:DQ18 DU6:DU18 DY6:DY18 K6:K27 O6:O27 S6:S27 W6:W27 AA6:AA27 AE6:AE27 AI6:AI27 AM6:AM27 AQ6:AQ27 AU6:AU27 AY6:AY27 BC6:BC27 BG6:BG27 BK6:BK27 BO6:BO27 BS6:BS27 BW6:BW27 CA6:CA27 CE6:CE27 CI6:CI27 CM6:CM27 CQ6:CQ27 CU6:CU27 CY6:CY27 DC6:DC27 DG6:DG27 DK6:DK27 DO6:DO27 DS6:DS27 DW6:DW27 EA6:EA27 I24:I26 M24:M26 Q24:Q26 U24:U26 Y24:Y26 AC24:AC26 AG24:AG26 AK24:AK26 AO24:AO26 AS24:AS26 AW24:AW26 BA24:BA26 BE24:BE26 BI24:BI26 BM24:BM26 BQ24:BQ26 BU24:BU26 BY24:BY26 CC24:CC26 CG24:CG26 CK24:CK26 CO24:CO26 CS24:CS26 CW24:CW26 DA24:DA26 DE24:DE26 DI24:DI26 DM24:DM26 DQ24:DQ26 DU24:DU26 DY24:DY26">
    <cfRule type="containsText" dxfId="94" priority="299" operator="containsText" text="V">
      <formula>NOT(ISERROR(SEARCH("V",I6)))</formula>
    </cfRule>
    <cfRule type="containsText" dxfId="93" priority="300" operator="containsText" text="FI">
      <formula>NOT(ISERROR(SEARCH("FI",I6)))</formula>
    </cfRule>
    <cfRule type="containsText" dxfId="92" priority="2" operator="containsText" text="FJ">
      <formula>NOT(ISERROR(SEARCH("FJ",I6)))</formula>
    </cfRule>
  </conditionalFormatting>
  <conditionalFormatting sqref="EB6:EB27">
    <cfRule type="colorScale" priority="3627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C6:EC27">
    <cfRule type="colorScale" priority="362714">
      <colorScale>
        <cfvo type="min"/>
        <cfvo type="max"/>
        <color rgb="FFFCFCFF"/>
        <color rgb="FFF8696B"/>
      </colorScale>
    </cfRule>
  </conditionalFormatting>
  <conditionalFormatting sqref="EC1:XFD2">
    <cfRule type="containsText" dxfId="91" priority="898" operator="containsText" text="Completo">
      <formula>NOT(ISERROR(SEARCH("Completo",EC1)))</formula>
    </cfRule>
    <cfRule type="containsText" dxfId="90" priority="897" operator="containsText" text="Incompleto">
      <formula>NOT(ISERROR(SEARCH("Incompleto",EC1)))</formula>
    </cfRule>
  </conditionalFormatting>
  <conditionalFormatting sqref="ED6:ED27">
    <cfRule type="colorScale" priority="362716">
      <colorScale>
        <cfvo type="min"/>
        <cfvo type="max"/>
        <color rgb="FFF8696B"/>
        <color rgb="FFFCFCFF"/>
      </colorScale>
    </cfRule>
  </conditionalFormatting>
  <conditionalFormatting sqref="EE6:EE27">
    <cfRule type="colorScale" priority="362718">
      <colorScale>
        <cfvo type="min"/>
        <cfvo type="max"/>
        <color rgb="FFFCFCFF"/>
        <color rgb="FF63BE7B"/>
      </colorScale>
    </cfRule>
  </conditionalFormatting>
  <conditionalFormatting sqref="EF6:EF27">
    <cfRule type="colorScale" priority="3627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H6:EH27">
    <cfRule type="colorScale" priority="3627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E27" r:id="rId1" xr:uid="{00000000-0004-0000-0000-000000000000}"/>
  </hyperlinks>
  <pageMargins left="0.7" right="0.7" top="0.75" bottom="0.75" header="0.3" footer="0.3"/>
  <pageSetup orientation="portrait" r:id="rId2"/>
  <ignoredErrors>
    <ignoredError sqref="B9 B10:B11 B12 B14:B17" numberStoredAsText="1"/>
    <ignoredError sqref="I1:I2 M1:M2 Q1:Q2 U1:Y2 DP1:DS1 AC2:AS2 DP2:DS2 AU2:DK2 AC1:DK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17"/>
  <sheetViews>
    <sheetView workbookViewId="0">
      <pane xSplit="1" topLeftCell="R1" activePane="topRight" state="frozen"/>
      <selection activeCell="G18" sqref="G18"/>
      <selection pane="topRight" activeCell="AE15" sqref="AE15"/>
    </sheetView>
  </sheetViews>
  <sheetFormatPr baseColWidth="10" defaultColWidth="11.42578125" defaultRowHeight="15"/>
  <cols>
    <col min="1" max="1" width="28.7109375" style="14" customWidth="1"/>
    <col min="2" max="31" width="9.85546875" style="14" bestFit="1" customWidth="1"/>
    <col min="32" max="32" width="9" style="14" bestFit="1" customWidth="1"/>
    <col min="33" max="33" width="12.42578125" style="14" customWidth="1"/>
    <col min="34" max="34" width="11.5703125" style="14" bestFit="1" customWidth="1"/>
    <col min="35" max="35" width="10.85546875" style="14" bestFit="1" customWidth="1"/>
    <col min="36" max="36" width="15.28515625" style="14" bestFit="1" customWidth="1"/>
    <col min="37" max="16384" width="11.42578125" style="14"/>
  </cols>
  <sheetData>
    <row r="1" spans="1:38">
      <c r="A1" s="119" t="s">
        <v>256</v>
      </c>
      <c r="B1" s="76">
        <f>+B2</f>
        <v>45778</v>
      </c>
      <c r="C1" s="73">
        <f>+C2</f>
        <v>45779</v>
      </c>
      <c r="D1" s="73">
        <f t="shared" ref="D1:AF1" si="0">+D2</f>
        <v>45780</v>
      </c>
      <c r="E1" s="73">
        <f t="shared" si="0"/>
        <v>45781</v>
      </c>
      <c r="F1" s="73">
        <f t="shared" si="0"/>
        <v>45782</v>
      </c>
      <c r="G1" s="73">
        <f t="shared" si="0"/>
        <v>45783</v>
      </c>
      <c r="H1" s="73">
        <f t="shared" si="0"/>
        <v>45784</v>
      </c>
      <c r="I1" s="73">
        <f t="shared" si="0"/>
        <v>45785</v>
      </c>
      <c r="J1" s="73">
        <f t="shared" si="0"/>
        <v>45786</v>
      </c>
      <c r="K1" s="73">
        <f t="shared" si="0"/>
        <v>45787</v>
      </c>
      <c r="L1" s="73">
        <f t="shared" si="0"/>
        <v>45788</v>
      </c>
      <c r="M1" s="73">
        <f t="shared" si="0"/>
        <v>45789</v>
      </c>
      <c r="N1" s="73">
        <f t="shared" si="0"/>
        <v>45790</v>
      </c>
      <c r="O1" s="73">
        <f t="shared" si="0"/>
        <v>45791</v>
      </c>
      <c r="P1" s="73">
        <f t="shared" si="0"/>
        <v>45792</v>
      </c>
      <c r="Q1" s="73">
        <f t="shared" si="0"/>
        <v>45793</v>
      </c>
      <c r="R1" s="73">
        <f t="shared" si="0"/>
        <v>45794</v>
      </c>
      <c r="S1" s="73">
        <f t="shared" si="0"/>
        <v>45795</v>
      </c>
      <c r="T1" s="73">
        <f t="shared" si="0"/>
        <v>45796</v>
      </c>
      <c r="U1" s="73">
        <f t="shared" si="0"/>
        <v>45797</v>
      </c>
      <c r="V1" s="73">
        <f t="shared" si="0"/>
        <v>45798</v>
      </c>
      <c r="W1" s="73">
        <f t="shared" si="0"/>
        <v>45799</v>
      </c>
      <c r="X1" s="73">
        <f t="shared" si="0"/>
        <v>45800</v>
      </c>
      <c r="Y1" s="73">
        <f t="shared" si="0"/>
        <v>45801</v>
      </c>
      <c r="Z1" s="73">
        <f t="shared" si="0"/>
        <v>45802</v>
      </c>
      <c r="AA1" s="73">
        <f t="shared" si="0"/>
        <v>45803</v>
      </c>
      <c r="AB1" s="73">
        <f t="shared" si="0"/>
        <v>45804</v>
      </c>
      <c r="AC1" s="73">
        <f t="shared" si="0"/>
        <v>45805</v>
      </c>
      <c r="AD1" s="73">
        <f t="shared" si="0"/>
        <v>45806</v>
      </c>
      <c r="AE1" s="73">
        <f t="shared" si="0"/>
        <v>45807</v>
      </c>
      <c r="AF1" s="73">
        <f t="shared" si="0"/>
        <v>45808</v>
      </c>
    </row>
    <row r="2" spans="1:38" s="51" customFormat="1" ht="15.75" thickBot="1">
      <c r="A2" s="120"/>
      <c r="B2" s="77">
        <v>45778</v>
      </c>
      <c r="C2" s="77">
        <v>45779</v>
      </c>
      <c r="D2" s="77">
        <v>45780</v>
      </c>
      <c r="E2" s="77">
        <v>45781</v>
      </c>
      <c r="F2" s="77">
        <v>45782</v>
      </c>
      <c r="G2" s="77">
        <v>45783</v>
      </c>
      <c r="H2" s="77">
        <v>45784</v>
      </c>
      <c r="I2" s="77">
        <v>45785</v>
      </c>
      <c r="J2" s="77">
        <v>45786</v>
      </c>
      <c r="K2" s="77">
        <v>45787</v>
      </c>
      <c r="L2" s="77">
        <v>45788</v>
      </c>
      <c r="M2" s="77">
        <v>45789</v>
      </c>
      <c r="N2" s="77">
        <v>45790</v>
      </c>
      <c r="O2" s="77">
        <v>45791</v>
      </c>
      <c r="P2" s="77">
        <v>45792</v>
      </c>
      <c r="Q2" s="77">
        <v>45793</v>
      </c>
      <c r="R2" s="77">
        <v>45794</v>
      </c>
      <c r="S2" s="77">
        <v>45795</v>
      </c>
      <c r="T2" s="77">
        <v>45796</v>
      </c>
      <c r="U2" s="77">
        <v>45797</v>
      </c>
      <c r="V2" s="77">
        <v>45798</v>
      </c>
      <c r="W2" s="77">
        <v>45799</v>
      </c>
      <c r="X2" s="77">
        <v>45800</v>
      </c>
      <c r="Y2" s="77">
        <v>45801</v>
      </c>
      <c r="Z2" s="77">
        <v>45802</v>
      </c>
      <c r="AA2" s="77">
        <v>45803</v>
      </c>
      <c r="AB2" s="77">
        <v>45804</v>
      </c>
      <c r="AC2" s="77">
        <v>45805</v>
      </c>
      <c r="AD2" s="77">
        <v>45806</v>
      </c>
      <c r="AE2" s="77">
        <v>45807</v>
      </c>
      <c r="AF2" s="77">
        <v>45808</v>
      </c>
      <c r="AG2" s="14"/>
    </row>
    <row r="3" spans="1:38">
      <c r="A3" s="85" t="s">
        <v>46</v>
      </c>
      <c r="B3" s="78">
        <v>71</v>
      </c>
      <c r="C3" s="5">
        <v>52</v>
      </c>
      <c r="D3" s="5">
        <v>42</v>
      </c>
      <c r="E3" s="5">
        <v>35</v>
      </c>
      <c r="F3" s="5">
        <v>75</v>
      </c>
      <c r="G3" s="5">
        <v>71</v>
      </c>
      <c r="H3" s="5">
        <v>71</v>
      </c>
      <c r="I3" s="5">
        <v>71</v>
      </c>
      <c r="J3" s="5">
        <v>71</v>
      </c>
      <c r="K3" s="5">
        <v>52</v>
      </c>
      <c r="L3" s="5">
        <v>39</v>
      </c>
      <c r="M3" s="5">
        <v>75</v>
      </c>
      <c r="N3" s="5">
        <v>71</v>
      </c>
      <c r="O3" s="5">
        <v>71</v>
      </c>
      <c r="P3" s="5">
        <v>71</v>
      </c>
      <c r="Q3" s="5">
        <v>71</v>
      </c>
      <c r="R3" s="5">
        <v>52</v>
      </c>
      <c r="S3" s="5">
        <v>39</v>
      </c>
      <c r="T3" s="5">
        <v>75</v>
      </c>
      <c r="U3" s="5">
        <v>71</v>
      </c>
      <c r="V3" s="5">
        <v>71</v>
      </c>
      <c r="W3" s="5">
        <v>71</v>
      </c>
      <c r="X3" s="5">
        <v>0</v>
      </c>
      <c r="Y3" s="5">
        <v>0</v>
      </c>
      <c r="Z3" s="5">
        <v>0</v>
      </c>
      <c r="AA3" s="5">
        <v>75</v>
      </c>
      <c r="AB3" s="5">
        <v>71</v>
      </c>
      <c r="AC3" s="5">
        <v>71</v>
      </c>
      <c r="AD3" s="5">
        <v>71</v>
      </c>
      <c r="AE3" s="5">
        <v>64</v>
      </c>
      <c r="AF3" s="5">
        <v>46</v>
      </c>
    </row>
    <row r="4" spans="1:38">
      <c r="A4" s="83" t="s">
        <v>253</v>
      </c>
      <c r="B4" s="78">
        <v>73</v>
      </c>
      <c r="C4" s="5">
        <v>45</v>
      </c>
      <c r="D4" s="5">
        <v>45</v>
      </c>
      <c r="E4" s="5">
        <v>45</v>
      </c>
      <c r="F4" s="5">
        <v>73</v>
      </c>
      <c r="G4" s="5">
        <v>73</v>
      </c>
      <c r="H4" s="5">
        <v>73</v>
      </c>
      <c r="I4" s="5">
        <v>73</v>
      </c>
      <c r="J4" s="5">
        <v>58</v>
      </c>
      <c r="K4" s="5">
        <v>45</v>
      </c>
      <c r="L4" s="5">
        <v>45</v>
      </c>
      <c r="M4" s="5">
        <v>73</v>
      </c>
      <c r="N4" s="5">
        <v>73</v>
      </c>
      <c r="O4" s="5">
        <v>73</v>
      </c>
      <c r="P4" s="5">
        <v>73</v>
      </c>
      <c r="Q4" s="5">
        <v>58</v>
      </c>
      <c r="R4" s="5">
        <v>45</v>
      </c>
      <c r="S4" s="5">
        <v>45</v>
      </c>
      <c r="T4" s="5">
        <v>73</v>
      </c>
      <c r="U4" s="5">
        <v>73</v>
      </c>
      <c r="V4" s="5">
        <v>73</v>
      </c>
      <c r="W4" s="5">
        <v>73</v>
      </c>
      <c r="X4" s="5">
        <v>45</v>
      </c>
      <c r="Y4" s="5">
        <v>45</v>
      </c>
      <c r="Z4" s="5">
        <v>45</v>
      </c>
      <c r="AA4" s="5">
        <v>73</v>
      </c>
      <c r="AB4" s="5">
        <v>73</v>
      </c>
      <c r="AC4" s="5">
        <v>73</v>
      </c>
      <c r="AD4" s="5">
        <v>73</v>
      </c>
      <c r="AE4" s="5">
        <v>58</v>
      </c>
      <c r="AF4" s="5">
        <v>45</v>
      </c>
      <c r="AH4" s="28" t="s">
        <v>258</v>
      </c>
      <c r="AI4" s="28" t="s">
        <v>254</v>
      </c>
      <c r="AJ4" s="28" t="s">
        <v>111</v>
      </c>
      <c r="AK4" s="28" t="s">
        <v>277</v>
      </c>
      <c r="AL4" s="28" t="s">
        <v>278</v>
      </c>
    </row>
    <row r="5" spans="1:38">
      <c r="A5" s="84" t="s">
        <v>255</v>
      </c>
      <c r="B5" s="78" t="str">
        <f>+CONCATENATE(SUM(B3:B4),":00:00")</f>
        <v>144:00:00</v>
      </c>
      <c r="C5" s="5" t="str">
        <f t="shared" ref="C5:AF5" si="1">+CONCATENATE(SUM(C3:C4),":00:00")</f>
        <v>97:00:00</v>
      </c>
      <c r="D5" s="5" t="str">
        <f t="shared" si="1"/>
        <v>87:00:00</v>
      </c>
      <c r="E5" s="5" t="str">
        <f t="shared" si="1"/>
        <v>80:00:00</v>
      </c>
      <c r="F5" s="5" t="str">
        <f t="shared" si="1"/>
        <v>148:00:00</v>
      </c>
      <c r="G5" s="5" t="str">
        <f t="shared" si="1"/>
        <v>144:00:00</v>
      </c>
      <c r="H5" s="5" t="str">
        <f t="shared" si="1"/>
        <v>144:00:00</v>
      </c>
      <c r="I5" s="5" t="str">
        <f t="shared" si="1"/>
        <v>144:00:00</v>
      </c>
      <c r="J5" s="5" t="str">
        <f t="shared" si="1"/>
        <v>129:00:00</v>
      </c>
      <c r="K5" s="5" t="str">
        <f t="shared" si="1"/>
        <v>97:00:00</v>
      </c>
      <c r="L5" s="5" t="str">
        <f t="shared" si="1"/>
        <v>84:00:00</v>
      </c>
      <c r="M5" s="5" t="str">
        <f t="shared" si="1"/>
        <v>148:00:00</v>
      </c>
      <c r="N5" s="5" t="str">
        <f t="shared" si="1"/>
        <v>144:00:00</v>
      </c>
      <c r="O5" s="5" t="str">
        <f t="shared" si="1"/>
        <v>144:00:00</v>
      </c>
      <c r="P5" s="5" t="str">
        <f t="shared" si="1"/>
        <v>144:00:00</v>
      </c>
      <c r="Q5" s="5" t="str">
        <f t="shared" si="1"/>
        <v>129:00:00</v>
      </c>
      <c r="R5" s="5" t="str">
        <f t="shared" si="1"/>
        <v>97:00:00</v>
      </c>
      <c r="S5" s="5" t="str">
        <f t="shared" si="1"/>
        <v>84:00:00</v>
      </c>
      <c r="T5" s="5" t="str">
        <f t="shared" si="1"/>
        <v>148:00:00</v>
      </c>
      <c r="U5" s="5" t="str">
        <f t="shared" si="1"/>
        <v>144:00:00</v>
      </c>
      <c r="V5" s="5" t="str">
        <f t="shared" si="1"/>
        <v>144:00:00</v>
      </c>
      <c r="W5" s="5" t="str">
        <f t="shared" si="1"/>
        <v>144:00:00</v>
      </c>
      <c r="X5" s="5" t="str">
        <f t="shared" si="1"/>
        <v>45:00:00</v>
      </c>
      <c r="Y5" s="5" t="str">
        <f t="shared" si="1"/>
        <v>45:00:00</v>
      </c>
      <c r="Z5" s="5" t="str">
        <f t="shared" si="1"/>
        <v>45:00:00</v>
      </c>
      <c r="AA5" s="5" t="str">
        <f t="shared" si="1"/>
        <v>148:00:00</v>
      </c>
      <c r="AB5" s="5" t="str">
        <f t="shared" si="1"/>
        <v>144:00:00</v>
      </c>
      <c r="AC5" s="5" t="str">
        <f t="shared" si="1"/>
        <v>144:00:00</v>
      </c>
      <c r="AD5" s="5" t="str">
        <f t="shared" si="1"/>
        <v>144:00:00</v>
      </c>
      <c r="AE5" s="5" t="str">
        <f t="shared" si="1"/>
        <v>122:00:00</v>
      </c>
      <c r="AF5" s="5" t="str">
        <f t="shared" si="1"/>
        <v>91:00:00</v>
      </c>
      <c r="AH5" s="7">
        <f>+B5+C5+D5+E5+F5+G5+H5+I5+J5+K5+L5+M5+N5+O5+P5+Q5+R5+S5+T5+U5+V5+W5+X5+Y5+Z5+AA5+AB5+AC5+AD5+AE5+AF5</f>
        <v>154</v>
      </c>
      <c r="AI5" s="7" t="e">
        <f>+B6+C6+D6+E6+F6+G6+H6+I6+J6+K6+L6+M6+N6+O6+P6+Q6+R6+S6+T6+U6+V6+W6+X6+Y6+Z6+AA6+AB6+AC6+AD6+AE6+AF6</f>
        <v>#REF!</v>
      </c>
      <c r="AJ5" s="72" t="e">
        <f>+AI5/AH5</f>
        <v>#REF!</v>
      </c>
      <c r="AK5" s="46">
        <f>+SUM(B3:AF3)</f>
        <v>1786</v>
      </c>
      <c r="AL5" s="46">
        <f>+SUM(B4:AF4)</f>
        <v>1910</v>
      </c>
    </row>
    <row r="6" spans="1:38">
      <c r="A6" s="84" t="s">
        <v>254</v>
      </c>
      <c r="B6" s="79">
        <f>+'CONTROL INBOUND'!J1</f>
        <v>3.0416666666666687</v>
      </c>
      <c r="C6" s="65">
        <f>+'CONTROL INBOUND'!N1</f>
        <v>7.145833333333341</v>
      </c>
      <c r="D6" s="65">
        <f>+'CONTROL INBOUND'!R1</f>
        <v>6.8750000000000053</v>
      </c>
      <c r="E6" s="65">
        <f>+'CONTROL INBOUND'!V1</f>
        <v>6.4375000000000053</v>
      </c>
      <c r="F6" s="65">
        <f>+'CONTROL INBOUND'!Z1</f>
        <v>6.5833333333333419</v>
      </c>
      <c r="G6" s="65">
        <f>+'CONTROL INBOUND'!AD1</f>
        <v>6.7708333333333428</v>
      </c>
      <c r="H6" s="65">
        <f>+'CONTROL INBOUND'!AH1</f>
        <v>4.5833333333333393</v>
      </c>
      <c r="I6" s="65">
        <f>+'CONTROL INBOUND'!AL1</f>
        <v>3.5000000000000009</v>
      </c>
      <c r="J6" s="65">
        <f>+'CONTROL INBOUND'!AP1</f>
        <v>0</v>
      </c>
      <c r="K6" s="65">
        <f>+'CONTROL INBOUND'!AT1</f>
        <v>0</v>
      </c>
      <c r="L6" s="65">
        <f>+'CONTROL INBOUND'!AX1</f>
        <v>0</v>
      </c>
      <c r="M6" s="65">
        <f>+'CONTROL INBOUND'!BB1</f>
        <v>0</v>
      </c>
      <c r="N6" s="65">
        <f>+'CONTROL INBOUND'!BF1</f>
        <v>0</v>
      </c>
      <c r="O6" s="65">
        <f>+'CONTROL INBOUND'!BJ1</f>
        <v>0</v>
      </c>
      <c r="P6" s="65">
        <f>+'CONTROL INBOUND'!BN1</f>
        <v>0</v>
      </c>
      <c r="Q6" s="65">
        <f>+'CONTROL INBOUND'!BR1</f>
        <v>0</v>
      </c>
      <c r="R6" s="65">
        <f>+'CONTROL INBOUND'!BV1</f>
        <v>0</v>
      </c>
      <c r="S6" s="65">
        <f>+'CONTROL INBOUND'!BZ1</f>
        <v>0</v>
      </c>
      <c r="T6" s="65">
        <f>+'CONTROL INBOUND'!CD1</f>
        <v>0</v>
      </c>
      <c r="U6" s="65">
        <f>+'CONTROL INBOUND'!CH1</f>
        <v>0</v>
      </c>
      <c r="V6" s="65">
        <f>+'CONTROL INBOUND'!CL1</f>
        <v>0</v>
      </c>
      <c r="W6" s="65">
        <f>+'CONTROL INBOUND'!CP1</f>
        <v>0</v>
      </c>
      <c r="X6" s="65">
        <f>+'CONTROL INBOUND'!CT1</f>
        <v>0</v>
      </c>
      <c r="Y6" s="65">
        <f>+'CONTROL INBOUND'!CX1</f>
        <v>0</v>
      </c>
      <c r="Z6" s="65">
        <f>+'CONTROL INBOUND'!DB1</f>
        <v>0</v>
      </c>
      <c r="AA6" s="65">
        <f>+'CONTROL INBOUND'!DF1</f>
        <v>0</v>
      </c>
      <c r="AB6" s="65">
        <f>+'CONTROL INBOUND'!DJ1</f>
        <v>0</v>
      </c>
      <c r="AC6" s="65">
        <f>+'CONTROL INBOUND'!DR1</f>
        <v>0</v>
      </c>
      <c r="AD6" s="65" t="e">
        <f>+'CONTROL INBOUND'!#REF!</f>
        <v>#REF!</v>
      </c>
      <c r="AE6" s="65" t="e">
        <f>+'CONTROL INBOUND'!#REF!</f>
        <v>#REF!</v>
      </c>
      <c r="AF6" s="65" t="e">
        <f>+'CONTROL INBOUND'!#REF!</f>
        <v>#REF!</v>
      </c>
      <c r="AH6" s="49"/>
    </row>
    <row r="7" spans="1:38" s="52" customFormat="1" hidden="1">
      <c r="A7" s="59"/>
      <c r="B7" s="80">
        <f>+B5*1</f>
        <v>6</v>
      </c>
      <c r="C7" s="74">
        <f t="shared" ref="C7:AF7" si="2">+C5*1</f>
        <v>4.041666666666667</v>
      </c>
      <c r="D7" s="74">
        <f t="shared" si="2"/>
        <v>3.625</v>
      </c>
      <c r="E7" s="74">
        <f t="shared" si="2"/>
        <v>3.3333333333333335</v>
      </c>
      <c r="F7" s="74">
        <f t="shared" si="2"/>
        <v>6.166666666666667</v>
      </c>
      <c r="G7" s="74">
        <f t="shared" si="2"/>
        <v>6</v>
      </c>
      <c r="H7" s="74">
        <f t="shared" si="2"/>
        <v>6</v>
      </c>
      <c r="I7" s="74">
        <f t="shared" si="2"/>
        <v>6</v>
      </c>
      <c r="J7" s="74">
        <f t="shared" si="2"/>
        <v>5.375</v>
      </c>
      <c r="K7" s="74">
        <f t="shared" si="2"/>
        <v>4.041666666666667</v>
      </c>
      <c r="L7" s="74">
        <f t="shared" si="2"/>
        <v>3.5</v>
      </c>
      <c r="M7" s="74">
        <f t="shared" si="2"/>
        <v>6.166666666666667</v>
      </c>
      <c r="N7" s="74">
        <f t="shared" si="2"/>
        <v>6</v>
      </c>
      <c r="O7" s="74">
        <f t="shared" si="2"/>
        <v>6</v>
      </c>
      <c r="P7" s="74">
        <f t="shared" si="2"/>
        <v>6</v>
      </c>
      <c r="Q7" s="74">
        <f t="shared" si="2"/>
        <v>5.375</v>
      </c>
      <c r="R7" s="74">
        <f t="shared" si="2"/>
        <v>4.041666666666667</v>
      </c>
      <c r="S7" s="74">
        <f t="shared" si="2"/>
        <v>3.5</v>
      </c>
      <c r="T7" s="74">
        <f t="shared" si="2"/>
        <v>6.166666666666667</v>
      </c>
      <c r="U7" s="74">
        <f t="shared" si="2"/>
        <v>6</v>
      </c>
      <c r="V7" s="74">
        <f t="shared" si="2"/>
        <v>6</v>
      </c>
      <c r="W7" s="74">
        <f t="shared" si="2"/>
        <v>6</v>
      </c>
      <c r="X7" s="74">
        <f t="shared" si="2"/>
        <v>1.875</v>
      </c>
      <c r="Y7" s="74">
        <f t="shared" si="2"/>
        <v>1.875</v>
      </c>
      <c r="Z7" s="74">
        <f t="shared" si="2"/>
        <v>1.875</v>
      </c>
      <c r="AA7" s="74">
        <f t="shared" si="2"/>
        <v>6.166666666666667</v>
      </c>
      <c r="AB7" s="74">
        <f t="shared" si="2"/>
        <v>6</v>
      </c>
      <c r="AC7" s="74">
        <f t="shared" si="2"/>
        <v>6</v>
      </c>
      <c r="AD7" s="74">
        <f t="shared" si="2"/>
        <v>6</v>
      </c>
      <c r="AE7" s="74">
        <f t="shared" si="2"/>
        <v>5.083333333333333</v>
      </c>
      <c r="AF7" s="74">
        <f t="shared" si="2"/>
        <v>3.7916666666666665</v>
      </c>
      <c r="AG7" s="14"/>
    </row>
    <row r="8" spans="1:38" s="52" customFormat="1" hidden="1">
      <c r="A8" s="59"/>
      <c r="B8" s="80">
        <f>+B6*1</f>
        <v>3.0416666666666687</v>
      </c>
      <c r="C8" s="74">
        <f t="shared" ref="C8:AF8" si="3">+C6*1</f>
        <v>7.145833333333341</v>
      </c>
      <c r="D8" s="74">
        <f t="shared" si="3"/>
        <v>6.8750000000000053</v>
      </c>
      <c r="E8" s="74">
        <f t="shared" si="3"/>
        <v>6.4375000000000053</v>
      </c>
      <c r="F8" s="74">
        <f t="shared" si="3"/>
        <v>6.5833333333333419</v>
      </c>
      <c r="G8" s="74">
        <f t="shared" si="3"/>
        <v>6.7708333333333428</v>
      </c>
      <c r="H8" s="74">
        <f t="shared" si="3"/>
        <v>4.5833333333333393</v>
      </c>
      <c r="I8" s="74">
        <f t="shared" si="3"/>
        <v>3.5000000000000009</v>
      </c>
      <c r="J8" s="74">
        <f t="shared" si="3"/>
        <v>0</v>
      </c>
      <c r="K8" s="74">
        <f t="shared" si="3"/>
        <v>0</v>
      </c>
      <c r="L8" s="74">
        <f t="shared" si="3"/>
        <v>0</v>
      </c>
      <c r="M8" s="74">
        <f t="shared" si="3"/>
        <v>0</v>
      </c>
      <c r="N8" s="74">
        <f t="shared" si="3"/>
        <v>0</v>
      </c>
      <c r="O8" s="74">
        <f t="shared" si="3"/>
        <v>0</v>
      </c>
      <c r="P8" s="74">
        <f t="shared" si="3"/>
        <v>0</v>
      </c>
      <c r="Q8" s="74">
        <f t="shared" si="3"/>
        <v>0</v>
      </c>
      <c r="R8" s="74">
        <f t="shared" si="3"/>
        <v>0</v>
      </c>
      <c r="S8" s="74">
        <f t="shared" si="3"/>
        <v>0</v>
      </c>
      <c r="T8" s="74">
        <f t="shared" si="3"/>
        <v>0</v>
      </c>
      <c r="U8" s="74">
        <f t="shared" si="3"/>
        <v>0</v>
      </c>
      <c r="V8" s="74">
        <f t="shared" si="3"/>
        <v>0</v>
      </c>
      <c r="W8" s="74">
        <f t="shared" si="3"/>
        <v>0</v>
      </c>
      <c r="X8" s="74">
        <f t="shared" si="3"/>
        <v>0</v>
      </c>
      <c r="Y8" s="74">
        <f t="shared" si="3"/>
        <v>0</v>
      </c>
      <c r="Z8" s="74">
        <f t="shared" si="3"/>
        <v>0</v>
      </c>
      <c r="AA8" s="74">
        <f t="shared" si="3"/>
        <v>0</v>
      </c>
      <c r="AB8" s="74">
        <f t="shared" si="3"/>
        <v>0</v>
      </c>
      <c r="AC8" s="74">
        <f t="shared" si="3"/>
        <v>0</v>
      </c>
      <c r="AD8" s="74" t="e">
        <f t="shared" si="3"/>
        <v>#REF!</v>
      </c>
      <c r="AE8" s="74" t="e">
        <f t="shared" si="3"/>
        <v>#REF!</v>
      </c>
      <c r="AF8" s="74" t="e">
        <f t="shared" si="3"/>
        <v>#REF!</v>
      </c>
      <c r="AG8" s="14"/>
    </row>
    <row r="9" spans="1:38" hidden="1">
      <c r="A9" s="58"/>
      <c r="B9" s="81">
        <f>+B7-B8</f>
        <v>2.9583333333333313</v>
      </c>
      <c r="C9" s="75">
        <f t="shared" ref="C9:L9" si="4">+C7-C8</f>
        <v>-3.1041666666666741</v>
      </c>
      <c r="D9" s="75">
        <f t="shared" si="4"/>
        <v>-3.2500000000000053</v>
      </c>
      <c r="E9" s="75">
        <f t="shared" si="4"/>
        <v>-3.1041666666666718</v>
      </c>
      <c r="F9" s="75">
        <f t="shared" si="4"/>
        <v>-0.41666666666667496</v>
      </c>
      <c r="G9" s="75">
        <f t="shared" si="4"/>
        <v>-0.77083333333334281</v>
      </c>
      <c r="H9" s="75">
        <f t="shared" si="4"/>
        <v>1.4166666666666607</v>
      </c>
      <c r="I9" s="75">
        <f t="shared" si="4"/>
        <v>2.4999999999999991</v>
      </c>
      <c r="J9" s="75">
        <f t="shared" si="4"/>
        <v>5.375</v>
      </c>
      <c r="K9" s="75">
        <f t="shared" si="4"/>
        <v>4.041666666666667</v>
      </c>
      <c r="L9" s="75">
        <f t="shared" si="4"/>
        <v>3.5</v>
      </c>
      <c r="M9" s="75">
        <f t="shared" ref="M9" si="5">+M7-M8</f>
        <v>6.166666666666667</v>
      </c>
      <c r="N9" s="75">
        <f t="shared" ref="N9" si="6">+N7-N8</f>
        <v>6</v>
      </c>
      <c r="O9" s="75">
        <f t="shared" ref="O9" si="7">+O7-O8</f>
        <v>6</v>
      </c>
      <c r="P9" s="75">
        <f t="shared" ref="P9" si="8">+P7-P8</f>
        <v>6</v>
      </c>
      <c r="Q9" s="75">
        <f t="shared" ref="Q9" si="9">+Q7-Q8</f>
        <v>5.375</v>
      </c>
      <c r="R9" s="75">
        <f t="shared" ref="R9" si="10">+R7-R8</f>
        <v>4.041666666666667</v>
      </c>
      <c r="S9" s="75">
        <f t="shared" ref="S9" si="11">+S7-S8</f>
        <v>3.5</v>
      </c>
      <c r="T9" s="75">
        <f t="shared" ref="T9" si="12">+T7-T8</f>
        <v>6.166666666666667</v>
      </c>
      <c r="U9" s="75">
        <f t="shared" ref="U9:V9" si="13">+U7-U8</f>
        <v>6</v>
      </c>
      <c r="V9" s="75">
        <f t="shared" si="13"/>
        <v>6</v>
      </c>
      <c r="W9" s="75">
        <f t="shared" ref="W9" si="14">+W7-W8</f>
        <v>6</v>
      </c>
      <c r="X9" s="75">
        <f t="shared" ref="X9" si="15">+X7-X8</f>
        <v>1.875</v>
      </c>
      <c r="Y9" s="75">
        <f t="shared" ref="Y9" si="16">+Y7-Y8</f>
        <v>1.875</v>
      </c>
      <c r="Z9" s="75">
        <f t="shared" ref="Z9" si="17">+Z7-Z8</f>
        <v>1.875</v>
      </c>
      <c r="AA9" s="75">
        <f t="shared" ref="AA9" si="18">+AA7-AA8</f>
        <v>6.166666666666667</v>
      </c>
      <c r="AB9" s="75">
        <f t="shared" ref="AB9" si="19">+AB7-AB8</f>
        <v>6</v>
      </c>
      <c r="AC9" s="75">
        <f t="shared" ref="AC9" si="20">+AC7-AC8</f>
        <v>6</v>
      </c>
      <c r="AD9" s="75" t="e">
        <f t="shared" ref="AD9" si="21">+AD7-AD8</f>
        <v>#REF!</v>
      </c>
      <c r="AE9" s="75" t="e">
        <f t="shared" ref="AE9:AF9" si="22">+AE7-AE8</f>
        <v>#REF!</v>
      </c>
      <c r="AF9" s="75" t="e">
        <f t="shared" si="22"/>
        <v>#REF!</v>
      </c>
    </row>
    <row r="10" spans="1:38">
      <c r="A10" s="84" t="s">
        <v>257</v>
      </c>
      <c r="B10" s="78" t="str">
        <f>+IF(B9&gt;0,"Incompleto","Completo")</f>
        <v>Incompleto</v>
      </c>
      <c r="C10" s="5" t="str">
        <f t="shared" ref="C10:F10" si="23">+IF(C9&gt;0,"Incompleto","Completo")</f>
        <v>Completo</v>
      </c>
      <c r="D10" s="5" t="str">
        <f t="shared" si="23"/>
        <v>Completo</v>
      </c>
      <c r="E10" s="5" t="str">
        <f t="shared" si="23"/>
        <v>Completo</v>
      </c>
      <c r="F10" s="5" t="str">
        <f t="shared" si="23"/>
        <v>Completo</v>
      </c>
      <c r="G10" s="5" t="str">
        <f>+IF(G9&gt;0,"Incompleto","Completo")</f>
        <v>Completo</v>
      </c>
      <c r="H10" s="5" t="str">
        <f t="shared" ref="H10:AF10" si="24">+IF(H9&gt;0,"Incompleto","Completo")</f>
        <v>Incompleto</v>
      </c>
      <c r="I10" s="5" t="str">
        <f t="shared" si="24"/>
        <v>Incompleto</v>
      </c>
      <c r="J10" s="5" t="str">
        <f t="shared" si="24"/>
        <v>Incompleto</v>
      </c>
      <c r="K10" s="5" t="str">
        <f t="shared" si="24"/>
        <v>Incompleto</v>
      </c>
      <c r="L10" s="5" t="str">
        <f t="shared" si="24"/>
        <v>Incompleto</v>
      </c>
      <c r="M10" s="5" t="str">
        <f t="shared" si="24"/>
        <v>Incompleto</v>
      </c>
      <c r="N10" s="5" t="str">
        <f t="shared" si="24"/>
        <v>Incompleto</v>
      </c>
      <c r="O10" s="5" t="str">
        <f t="shared" si="24"/>
        <v>Incompleto</v>
      </c>
      <c r="P10" s="5" t="str">
        <f t="shared" si="24"/>
        <v>Incompleto</v>
      </c>
      <c r="Q10" s="5" t="str">
        <f t="shared" si="24"/>
        <v>Incompleto</v>
      </c>
      <c r="R10" s="5" t="str">
        <f t="shared" si="24"/>
        <v>Incompleto</v>
      </c>
      <c r="S10" s="5" t="str">
        <f t="shared" si="24"/>
        <v>Incompleto</v>
      </c>
      <c r="T10" s="5" t="str">
        <f t="shared" si="24"/>
        <v>Incompleto</v>
      </c>
      <c r="U10" s="5" t="str">
        <f t="shared" si="24"/>
        <v>Incompleto</v>
      </c>
      <c r="V10" s="5" t="str">
        <f t="shared" si="24"/>
        <v>Incompleto</v>
      </c>
      <c r="W10" s="5" t="str">
        <f t="shared" si="24"/>
        <v>Incompleto</v>
      </c>
      <c r="X10" s="5" t="str">
        <f t="shared" si="24"/>
        <v>Incompleto</v>
      </c>
      <c r="Y10" s="5" t="str">
        <f t="shared" si="24"/>
        <v>Incompleto</v>
      </c>
      <c r="Z10" s="5" t="str">
        <f t="shared" si="24"/>
        <v>Incompleto</v>
      </c>
      <c r="AA10" s="5" t="str">
        <f t="shared" si="24"/>
        <v>Incompleto</v>
      </c>
      <c r="AB10" s="5" t="str">
        <f t="shared" si="24"/>
        <v>Incompleto</v>
      </c>
      <c r="AC10" s="5" t="str">
        <f t="shared" si="24"/>
        <v>Incompleto</v>
      </c>
      <c r="AD10" s="5" t="e">
        <f t="shared" si="24"/>
        <v>#REF!</v>
      </c>
      <c r="AE10" s="5" t="e">
        <f t="shared" si="24"/>
        <v>#REF!</v>
      </c>
      <c r="AF10" s="5" t="e">
        <f t="shared" si="24"/>
        <v>#REF!</v>
      </c>
      <c r="AH10" s="49"/>
    </row>
    <row r="11" spans="1:38" ht="15.75" thickBot="1">
      <c r="A11" s="60" t="s">
        <v>276</v>
      </c>
      <c r="B11" s="82">
        <f>+B6-B5</f>
        <v>-2.9583333333333313</v>
      </c>
      <c r="C11" s="82">
        <f t="shared" ref="C11:AF11" si="25">+C6-C5</f>
        <v>3.1041666666666741</v>
      </c>
      <c r="D11" s="82">
        <f t="shared" si="25"/>
        <v>3.2500000000000053</v>
      </c>
      <c r="E11" s="82">
        <f t="shared" si="25"/>
        <v>3.1041666666666718</v>
      </c>
      <c r="F11" s="82">
        <f t="shared" si="25"/>
        <v>0.41666666666667496</v>
      </c>
      <c r="G11" s="82">
        <f t="shared" si="25"/>
        <v>0.77083333333334281</v>
      </c>
      <c r="H11" s="82">
        <f t="shared" si="25"/>
        <v>-1.4166666666666607</v>
      </c>
      <c r="I11" s="82">
        <f t="shared" si="25"/>
        <v>-2.4999999999999991</v>
      </c>
      <c r="J11" s="82">
        <f t="shared" si="25"/>
        <v>-5.375</v>
      </c>
      <c r="K11" s="82">
        <f t="shared" si="25"/>
        <v>-4.041666666666667</v>
      </c>
      <c r="L11" s="82">
        <f t="shared" si="25"/>
        <v>-3.5</v>
      </c>
      <c r="M11" s="82">
        <f t="shared" si="25"/>
        <v>-6.166666666666667</v>
      </c>
      <c r="N11" s="82">
        <f t="shared" si="25"/>
        <v>-6</v>
      </c>
      <c r="O11" s="82">
        <f t="shared" si="25"/>
        <v>-6</v>
      </c>
      <c r="P11" s="82">
        <f t="shared" si="25"/>
        <v>-6</v>
      </c>
      <c r="Q11" s="82">
        <f t="shared" si="25"/>
        <v>-5.375</v>
      </c>
      <c r="R11" s="82">
        <f t="shared" si="25"/>
        <v>-4.041666666666667</v>
      </c>
      <c r="S11" s="82">
        <f t="shared" si="25"/>
        <v>-3.5</v>
      </c>
      <c r="T11" s="82">
        <f t="shared" si="25"/>
        <v>-6.166666666666667</v>
      </c>
      <c r="U11" s="82">
        <f t="shared" si="25"/>
        <v>-6</v>
      </c>
      <c r="V11" s="82">
        <f t="shared" si="25"/>
        <v>-6</v>
      </c>
      <c r="W11" s="82">
        <f t="shared" si="25"/>
        <v>-6</v>
      </c>
      <c r="X11" s="82">
        <f t="shared" si="25"/>
        <v>-1.875</v>
      </c>
      <c r="Y11" s="82">
        <f t="shared" si="25"/>
        <v>-1.875</v>
      </c>
      <c r="Z11" s="82">
        <f t="shared" si="25"/>
        <v>-1.875</v>
      </c>
      <c r="AA11" s="82">
        <f t="shared" si="25"/>
        <v>-6.166666666666667</v>
      </c>
      <c r="AB11" s="82">
        <f t="shared" si="25"/>
        <v>-6</v>
      </c>
      <c r="AC11" s="82">
        <f t="shared" si="25"/>
        <v>-6</v>
      </c>
      <c r="AD11" s="82" t="e">
        <f t="shared" si="25"/>
        <v>#REF!</v>
      </c>
      <c r="AE11" s="82" t="e">
        <f t="shared" si="25"/>
        <v>#REF!</v>
      </c>
      <c r="AF11" s="82" t="e">
        <f t="shared" si="25"/>
        <v>#REF!</v>
      </c>
      <c r="AH11" s="14" t="s">
        <v>284</v>
      </c>
      <c r="AI11" s="87" t="e">
        <f>+SUM(B11:AF11)</f>
        <v>#REF!</v>
      </c>
    </row>
    <row r="14" spans="1:38">
      <c r="B14" s="49"/>
    </row>
    <row r="16" spans="1:38">
      <c r="X16" s="86"/>
    </row>
    <row r="17" spans="24:24">
      <c r="X17" s="86"/>
    </row>
  </sheetData>
  <mergeCells count="1">
    <mergeCell ref="A1:A2"/>
  </mergeCells>
  <conditionalFormatting sqref="A11">
    <cfRule type="containsText" dxfId="89" priority="5" operator="containsText" text="Incompleto">
      <formula>NOT(ISERROR(SEARCH("Incompleto",A11)))</formula>
    </cfRule>
    <cfRule type="containsText" dxfId="88" priority="6" operator="containsText" text="Completo">
      <formula>NOT(ISERROR(SEARCH("Completo",A11)))</formula>
    </cfRule>
  </conditionalFormatting>
  <conditionalFormatting sqref="A10:AF10">
    <cfRule type="containsText" dxfId="87" priority="3" operator="containsText" text="Incompleto">
      <formula>NOT(ISERROR(SEARCH("Incompleto",A10)))</formula>
    </cfRule>
    <cfRule type="containsText" dxfId="86" priority="4" operator="containsText" text="Completo">
      <formula>NOT(ISERROR(SEARCH("Completo",A10)))</formula>
    </cfRule>
  </conditionalFormatting>
  <conditionalFormatting sqref="B11:AF1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AH5:AI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10:XFD10">
    <cfRule type="containsText" dxfId="85" priority="13" operator="containsText" text="Incompleto">
      <formula>NOT(ISERROR(SEARCH("Incompleto",AH10)))</formula>
    </cfRule>
    <cfRule type="containsText" dxfId="84" priority="14" operator="containsText" text="Completo">
      <formula>NOT(ISERROR(SEARCH("Completo",AH10)))</formula>
    </cfRule>
  </conditionalFormatting>
  <pageMargins left="0.7" right="0.7" top="0.75" bottom="0.75" header="0.3" footer="0.3"/>
  <pageSetup orientation="portrait" horizontalDpi="204" verticalDpi="196" r:id="rId1"/>
  <ignoredErrors>
    <ignoredError sqref="B5:AF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"/>
  <sheetViews>
    <sheetView workbookViewId="0">
      <selection activeCell="E2" sqref="E2"/>
    </sheetView>
  </sheetViews>
  <sheetFormatPr baseColWidth="10" defaultRowHeight="15"/>
  <cols>
    <col min="1" max="1" width="32.7109375" bestFit="1" customWidth="1"/>
    <col min="2" max="2" width="10.140625" style="14" bestFit="1" customWidth="1"/>
    <col min="3" max="3" width="11" style="14" bestFit="1" customWidth="1"/>
    <col min="4" max="4" width="16.42578125" style="14" bestFit="1" customWidth="1"/>
    <col min="5" max="5" width="8.5703125" style="14" bestFit="1" customWidth="1"/>
    <col min="6" max="6" width="14.28515625" style="14" bestFit="1" customWidth="1"/>
    <col min="7" max="7" width="12.140625" style="14" bestFit="1" customWidth="1"/>
  </cols>
  <sheetData>
    <row r="1" spans="1:7">
      <c r="A1" s="28" t="s">
        <v>105</v>
      </c>
      <c r="B1" s="29" t="s">
        <v>106</v>
      </c>
      <c r="C1" s="29" t="s">
        <v>107</v>
      </c>
      <c r="D1" s="28" t="s">
        <v>6</v>
      </c>
      <c r="E1" s="29" t="s">
        <v>108</v>
      </c>
      <c r="F1" s="28" t="s">
        <v>109</v>
      </c>
      <c r="G1" s="29" t="s">
        <v>239</v>
      </c>
    </row>
    <row r="2" spans="1:7">
      <c r="A2" s="41" t="s">
        <v>47</v>
      </c>
      <c r="B2" s="8" t="str">
        <f>+TRIM(G2)</f>
        <v>10:00 - 18:00</v>
      </c>
      <c r="C2" s="15"/>
      <c r="D2" s="6"/>
      <c r="E2" s="6">
        <f>IFERROR(VLOOKUP(B2,id_horario!A:E,2,0),"ROTATIVO")</f>
        <v>58</v>
      </c>
      <c r="F2" s="16">
        <f>IFERROR(VLOOKUP(B2,id_horario!A:E,5,0),"ROTATIVO")</f>
        <v>7</v>
      </c>
      <c r="G2" s="8" t="s">
        <v>74</v>
      </c>
    </row>
    <row r="3" spans="1:7">
      <c r="A3" s="41" t="s">
        <v>60</v>
      </c>
      <c r="B3" s="8" t="str">
        <f t="shared" ref="B3:B22" si="0">+TRIM(G3)</f>
        <v>10:00 - 18:00</v>
      </c>
      <c r="C3" s="15"/>
      <c r="D3" s="6"/>
      <c r="E3" s="6">
        <f>IFERROR(VLOOKUP(B3,id_horario!A:E,2,0),"ROTATIVO")</f>
        <v>58</v>
      </c>
      <c r="F3" s="16">
        <f>IFERROR(VLOOKUP(B3,id_horario!A:E,5,0),"ROTATIVO")</f>
        <v>7</v>
      </c>
      <c r="G3" s="8" t="s">
        <v>74</v>
      </c>
    </row>
    <row r="4" spans="1:7">
      <c r="A4" s="41" t="s">
        <v>49</v>
      </c>
      <c r="B4" s="8" t="str">
        <f t="shared" si="0"/>
        <v>10:00 - 18:00</v>
      </c>
      <c r="C4" s="15"/>
      <c r="D4" s="6"/>
      <c r="E4" s="6">
        <f>IFERROR(VLOOKUP(B4,id_horario!A:E,2,0),"ROTATIVO")</f>
        <v>58</v>
      </c>
      <c r="F4" s="16">
        <f>IFERROR(VLOOKUP(B4,id_horario!A:E,5,0),"ROTATIVO")</f>
        <v>7</v>
      </c>
      <c r="G4" s="8" t="s">
        <v>74</v>
      </c>
    </row>
    <row r="5" spans="1:7">
      <c r="A5" s="41" t="s">
        <v>51</v>
      </c>
      <c r="B5" s="8" t="str">
        <f t="shared" si="0"/>
        <v>11:00 - 18:00</v>
      </c>
      <c r="C5" s="15"/>
      <c r="D5" s="6"/>
      <c r="E5" s="6">
        <f>IFERROR(VLOOKUP(B5,id_horario!A:E,2,0),"ROTATIVO")</f>
        <v>68</v>
      </c>
      <c r="F5" s="16">
        <f>IFERROR(VLOOKUP(B5,id_horario!A:E,5,0),"ROTATIVO")</f>
        <v>6</v>
      </c>
      <c r="G5" s="8" t="s">
        <v>76</v>
      </c>
    </row>
    <row r="6" spans="1:7">
      <c r="A6" s="41" t="s">
        <v>52</v>
      </c>
      <c r="B6" s="8" t="str">
        <f t="shared" si="0"/>
        <v>10:00 - 18:00</v>
      </c>
      <c r="C6" s="15"/>
      <c r="D6" s="6"/>
      <c r="E6" s="6">
        <f>IFERROR(VLOOKUP(B6,id_horario!A:E,2,0),"ROTATIVO")</f>
        <v>58</v>
      </c>
      <c r="F6" s="16">
        <f>IFERROR(VLOOKUP(B6,id_horario!A:E,5,0),"ROTATIVO")</f>
        <v>7</v>
      </c>
      <c r="G6" s="8" t="s">
        <v>74</v>
      </c>
    </row>
    <row r="7" spans="1:7">
      <c r="A7" s="41" t="s">
        <v>44</v>
      </c>
      <c r="B7" s="8" t="str">
        <f t="shared" si="0"/>
        <v>10:00 - 18:00</v>
      </c>
      <c r="C7" s="15"/>
      <c r="D7" s="6"/>
      <c r="E7" s="6">
        <f>IFERROR(VLOOKUP(B7,id_horario!A:E,2,0),"ROTATIVO")</f>
        <v>58</v>
      </c>
      <c r="F7" s="16">
        <f>IFERROR(VLOOKUP(B7,id_horario!A:E,5,0),"ROTATIVO")</f>
        <v>7</v>
      </c>
      <c r="G7" s="8" t="s">
        <v>74</v>
      </c>
    </row>
    <row r="8" spans="1:7">
      <c r="A8" s="41" t="s">
        <v>53</v>
      </c>
      <c r="B8" s="8" t="str">
        <f t="shared" si="0"/>
        <v>-</v>
      </c>
      <c r="C8" s="15"/>
      <c r="D8" s="6"/>
      <c r="E8" s="6">
        <f>IFERROR(VLOOKUP(B8,id_horario!A:E,2,0),"ROTATIVO")</f>
        <v>0</v>
      </c>
      <c r="F8" s="16">
        <f>IFERROR(VLOOKUP(B8,id_horario!A:E,5,0),"ROTATIVO")</f>
        <v>0</v>
      </c>
      <c r="G8" s="8" t="s">
        <v>39</v>
      </c>
    </row>
    <row r="9" spans="1:7">
      <c r="A9" s="41" t="s">
        <v>62</v>
      </c>
      <c r="B9" s="8" t="str">
        <f t="shared" si="0"/>
        <v>10:00 - 18:00</v>
      </c>
      <c r="C9" s="15"/>
      <c r="D9" s="6"/>
      <c r="E9" s="6">
        <f>IFERROR(VLOOKUP(B9,id_horario!A:E,2,0),"ROTATIVO")</f>
        <v>58</v>
      </c>
      <c r="F9" s="16">
        <f>IFERROR(VLOOKUP(B9,id_horario!A:E,5,0),"ROTATIVO")</f>
        <v>7</v>
      </c>
      <c r="G9" s="8" t="s">
        <v>74</v>
      </c>
    </row>
    <row r="10" spans="1:7">
      <c r="A10" s="41" t="s">
        <v>63</v>
      </c>
      <c r="B10" s="8" t="str">
        <f t="shared" si="0"/>
        <v>10:00 - 18:00</v>
      </c>
      <c r="C10" s="15"/>
      <c r="D10" s="6"/>
      <c r="E10" s="6">
        <f>IFERROR(VLOOKUP(B10,id_horario!A:E,2,0),"ROTATIVO")</f>
        <v>58</v>
      </c>
      <c r="F10" s="16">
        <f>IFERROR(VLOOKUP(B10,id_horario!A:E,5,0),"ROTATIVO")</f>
        <v>7</v>
      </c>
      <c r="G10" s="8" t="s">
        <v>74</v>
      </c>
    </row>
    <row r="11" spans="1:7">
      <c r="A11" s="41" t="s">
        <v>67</v>
      </c>
      <c r="B11" s="8" t="str">
        <f t="shared" si="0"/>
        <v>12:00 - 18:00</v>
      </c>
      <c r="C11" s="15"/>
      <c r="D11" s="6"/>
      <c r="E11" s="6">
        <f>IFERROR(VLOOKUP(B11,id_horario!A:E,2,0),"ROTATIVO")</f>
        <v>122</v>
      </c>
      <c r="F11" s="16">
        <f>IFERROR(VLOOKUP(B11,id_horario!A:E,5,0),"ROTATIVO")</f>
        <v>6</v>
      </c>
      <c r="G11" s="8" t="s">
        <v>85</v>
      </c>
    </row>
    <row r="12" spans="1:7">
      <c r="A12" s="41" t="s">
        <v>240</v>
      </c>
      <c r="B12" s="8" t="str">
        <f t="shared" si="0"/>
        <v>10:00 - 18:00</v>
      </c>
      <c r="C12" s="15"/>
      <c r="D12" s="6"/>
      <c r="E12" s="6">
        <f>IFERROR(VLOOKUP(B12,id_horario!A:E,2,0),"ROTATIVO")</f>
        <v>58</v>
      </c>
      <c r="F12" s="16">
        <f>IFERROR(VLOOKUP(B12,id_horario!A:E,5,0),"ROTATIVO")</f>
        <v>7</v>
      </c>
      <c r="G12" s="8" t="s">
        <v>74</v>
      </c>
    </row>
    <row r="13" spans="1:7">
      <c r="A13" s="41" t="s">
        <v>243</v>
      </c>
      <c r="B13" s="8" t="str">
        <f t="shared" si="0"/>
        <v>10:00 - 18:00</v>
      </c>
      <c r="C13" s="15"/>
      <c r="D13" s="6"/>
      <c r="E13" s="6">
        <f>IFERROR(VLOOKUP(B13,id_horario!A:E,2,0),"ROTATIVO")</f>
        <v>58</v>
      </c>
      <c r="F13" s="16">
        <f>IFERROR(VLOOKUP(B13,id_horario!A:E,5,0),"ROTATIVO")</f>
        <v>7</v>
      </c>
      <c r="G13" s="8" t="s">
        <v>74</v>
      </c>
    </row>
    <row r="14" spans="1:7">
      <c r="A14" s="41" t="s">
        <v>250</v>
      </c>
      <c r="B14" s="8" t="str">
        <f t="shared" si="0"/>
        <v>10:00 - 17:00</v>
      </c>
      <c r="C14" s="15"/>
      <c r="D14" s="6"/>
      <c r="E14" s="6">
        <f>IFERROR(VLOOKUP(B14,id_horario!A:E,2,0),"ROTATIVO")</f>
        <v>57</v>
      </c>
      <c r="F14" s="16">
        <f>IFERROR(VLOOKUP(B14,id_horario!A:E,5,0),"ROTATIVO")</f>
        <v>7</v>
      </c>
      <c r="G14" s="8" t="s">
        <v>75</v>
      </c>
    </row>
    <row r="15" spans="1:7">
      <c r="A15" s="41" t="s">
        <v>251</v>
      </c>
      <c r="B15" s="8" t="str">
        <f t="shared" si="0"/>
        <v>10:00 - 16:00</v>
      </c>
      <c r="C15" s="15"/>
      <c r="D15" s="6"/>
      <c r="E15" s="6">
        <f>IFERROR(VLOOKUP(B15,id_horario!A:E,2,0),"ROTATIVO")</f>
        <v>56</v>
      </c>
      <c r="F15" s="16">
        <f>IFERROR(VLOOKUP(B15,id_horario!A:E,5,0),"ROTATIVO")</f>
        <v>6</v>
      </c>
      <c r="G15" s="8" t="s">
        <v>77</v>
      </c>
    </row>
    <row r="16" spans="1:7">
      <c r="A16" s="41" t="s">
        <v>54</v>
      </c>
      <c r="B16" s="8" t="str">
        <f t="shared" si="0"/>
        <v>00:00 - 07:00</v>
      </c>
      <c r="C16" s="15"/>
      <c r="D16" s="6"/>
      <c r="E16" s="6">
        <f>IFERROR(VLOOKUP(B16,id_horario!A:E,2,0),"ROTATIVO")</f>
        <v>17</v>
      </c>
      <c r="F16" s="16">
        <f>IFERROR(VLOOKUP(B16,id_horario!A:E,5,0),"ROTATIVO")</f>
        <v>7</v>
      </c>
      <c r="G16" s="8" t="s">
        <v>82</v>
      </c>
    </row>
    <row r="17" spans="1:7">
      <c r="A17" s="41" t="s">
        <v>55</v>
      </c>
      <c r="B17" s="8" t="str">
        <f t="shared" si="0"/>
        <v>07:00 - 20:00</v>
      </c>
      <c r="C17" s="15"/>
      <c r="D17" s="6"/>
      <c r="E17" s="6" t="str">
        <f>IFERROR(VLOOKUP(B17,id_horario!A:E,2,0),"ROTATIVO")</f>
        <v>ROTATIVO</v>
      </c>
      <c r="F17" s="16" t="str">
        <f>IFERROR(VLOOKUP(B17,id_horario!A:E,5,0),"ROTATIVO")</f>
        <v>ROTATIVO</v>
      </c>
      <c r="G17" s="8" t="s">
        <v>245</v>
      </c>
    </row>
    <row r="18" spans="1:7">
      <c r="A18" s="41" t="s">
        <v>56</v>
      </c>
      <c r="B18" s="8" t="str">
        <f t="shared" si="0"/>
        <v>09:00 - 18:00</v>
      </c>
      <c r="C18" s="15"/>
      <c r="D18" s="6"/>
      <c r="E18" s="6">
        <f>IFERROR(VLOOKUP(B18,id_horario!A:E,2,0),"ROTATIVO")</f>
        <v>4</v>
      </c>
      <c r="F18" s="16">
        <f>IFERROR(VLOOKUP(B18,id_horario!A:E,5,0),"ROTATIVO")</f>
        <v>8</v>
      </c>
      <c r="G18" s="8" t="s">
        <v>65</v>
      </c>
    </row>
    <row r="19" spans="1:7">
      <c r="A19" s="41" t="s">
        <v>57</v>
      </c>
      <c r="B19" s="8" t="str">
        <f t="shared" si="0"/>
        <v>10:00 - 18:00</v>
      </c>
      <c r="C19" s="15"/>
      <c r="D19" s="6"/>
      <c r="E19" s="6">
        <f>IFERROR(VLOOKUP(B19,id_horario!A:E,2,0),"ROTATIVO")</f>
        <v>58</v>
      </c>
      <c r="F19" s="16">
        <f>IFERROR(VLOOKUP(B19,id_horario!A:E,5,0),"ROTATIVO")</f>
        <v>7</v>
      </c>
      <c r="G19" s="8" t="s">
        <v>74</v>
      </c>
    </row>
    <row r="20" spans="1:7">
      <c r="A20" s="41" t="s">
        <v>58</v>
      </c>
      <c r="B20" s="8" t="str">
        <f t="shared" si="0"/>
        <v>10:00 - 00:00</v>
      </c>
      <c r="C20" s="15"/>
      <c r="D20" s="6"/>
      <c r="E20" s="6" t="str">
        <f>IFERROR(VLOOKUP(B20,id_horario!A:E,2,0),"ROTATIVO")</f>
        <v>ROTATIVO</v>
      </c>
      <c r="F20" s="16" t="str">
        <f>IFERROR(VLOOKUP(B20,id_horario!A:E,5,0),"ROTATIVO")</f>
        <v>ROTATIVO</v>
      </c>
      <c r="G20" s="8" t="s">
        <v>241</v>
      </c>
    </row>
    <row r="21" spans="1:7">
      <c r="A21" s="41" t="s">
        <v>42</v>
      </c>
      <c r="B21" s="8" t="str">
        <f t="shared" si="0"/>
        <v>07:00 - 00:00</v>
      </c>
      <c r="C21" s="15"/>
      <c r="D21" s="6"/>
      <c r="E21" s="6" t="str">
        <f>IFERROR(VLOOKUP(B21,id_horario!A:E,2,0),"ROTATIVO")</f>
        <v>ROTATIVO</v>
      </c>
      <c r="F21" s="16" t="str">
        <f>IFERROR(VLOOKUP(B21,id_horario!A:E,5,0),"ROTATIVO")</f>
        <v>ROTATIVO</v>
      </c>
      <c r="G21" s="8" t="s">
        <v>242</v>
      </c>
    </row>
    <row r="22" spans="1:7">
      <c r="A22" s="41" t="s">
        <v>50</v>
      </c>
      <c r="B22" s="8" t="str">
        <f t="shared" si="0"/>
        <v>10:00 - 17:00</v>
      </c>
      <c r="C22" s="15"/>
      <c r="D22" s="6"/>
      <c r="E22" s="6">
        <f>IFERROR(VLOOKUP(B22,id_horario!A:E,2,0),"ROTATIVO")</f>
        <v>57</v>
      </c>
      <c r="F22" s="16">
        <f>IFERROR(VLOOKUP(B22,id_horario!A:E,5,0),"ROTATIVO")</f>
        <v>7</v>
      </c>
      <c r="G22" s="8" t="s">
        <v>75</v>
      </c>
    </row>
    <row r="23" spans="1:7">
      <c r="A23" s="41" t="s">
        <v>45</v>
      </c>
      <c r="B23" s="8"/>
      <c r="C23" s="15"/>
      <c r="D23" s="6"/>
      <c r="E23" s="6"/>
      <c r="F23" s="16"/>
      <c r="G23" s="8"/>
    </row>
  </sheetData>
  <conditionalFormatting sqref="A2">
    <cfRule type="duplicateValues" dxfId="83" priority="85"/>
    <cfRule type="duplicateValues" dxfId="82" priority="87"/>
    <cfRule type="duplicateValues" dxfId="81" priority="86"/>
  </conditionalFormatting>
  <conditionalFormatting sqref="A2:A23">
    <cfRule type="duplicateValues" dxfId="80" priority="10"/>
    <cfRule type="duplicateValues" dxfId="79" priority="47"/>
    <cfRule type="duplicateValues" dxfId="78" priority="46"/>
    <cfRule type="duplicateValues" dxfId="77" priority="45"/>
  </conditionalFormatting>
  <conditionalFormatting sqref="A3">
    <cfRule type="duplicateValues" dxfId="76" priority="84"/>
    <cfRule type="duplicateValues" dxfId="75" priority="83"/>
    <cfRule type="duplicateValues" dxfId="74" priority="82"/>
    <cfRule type="duplicateValues" dxfId="73" priority="81"/>
    <cfRule type="duplicateValues" dxfId="72" priority="80"/>
  </conditionalFormatting>
  <conditionalFormatting sqref="A6">
    <cfRule type="duplicateValues" dxfId="71" priority="77"/>
    <cfRule type="duplicateValues" dxfId="70" priority="79"/>
    <cfRule type="duplicateValues" dxfId="69" priority="78"/>
    <cfRule type="duplicateValues" dxfId="68" priority="76"/>
    <cfRule type="duplicateValues" dxfId="67" priority="75"/>
    <cfRule type="duplicateValues" dxfId="66" priority="74"/>
    <cfRule type="duplicateValues" dxfId="65" priority="73"/>
  </conditionalFormatting>
  <conditionalFormatting sqref="A7">
    <cfRule type="duplicateValues" dxfId="64" priority="72"/>
    <cfRule type="duplicateValues" dxfId="63" priority="71"/>
    <cfRule type="duplicateValues" dxfId="62" priority="70"/>
  </conditionalFormatting>
  <conditionalFormatting sqref="A8">
    <cfRule type="duplicateValues" dxfId="61" priority="68"/>
    <cfRule type="duplicateValues" dxfId="60" priority="66"/>
    <cfRule type="duplicateValues" dxfId="59" priority="65"/>
    <cfRule type="duplicateValues" dxfId="58" priority="64"/>
    <cfRule type="duplicateValues" dxfId="57" priority="63"/>
    <cfRule type="duplicateValues" dxfId="56" priority="67"/>
    <cfRule type="duplicateValues" dxfId="55" priority="69"/>
  </conditionalFormatting>
  <conditionalFormatting sqref="A9">
    <cfRule type="duplicateValues" dxfId="54" priority="61"/>
    <cfRule type="duplicateValues" dxfId="53" priority="60"/>
    <cfRule type="duplicateValues" dxfId="52" priority="62"/>
  </conditionalFormatting>
  <conditionalFormatting sqref="A9:A15">
    <cfRule type="duplicateValues" dxfId="51" priority="5"/>
  </conditionalFormatting>
  <conditionalFormatting sqref="A10:A11">
    <cfRule type="duplicateValues" dxfId="50" priority="58"/>
    <cfRule type="duplicateValues" dxfId="49" priority="57"/>
    <cfRule type="duplicateValues" dxfId="48" priority="59"/>
  </conditionalFormatting>
  <conditionalFormatting sqref="A12:A15 A9">
    <cfRule type="duplicateValues" dxfId="47" priority="4"/>
  </conditionalFormatting>
  <conditionalFormatting sqref="A12:A15">
    <cfRule type="duplicateValues" dxfId="46" priority="1"/>
    <cfRule type="duplicateValues" dxfId="45" priority="3"/>
    <cfRule type="duplicateValues" dxfId="44" priority="2"/>
  </conditionalFormatting>
  <conditionalFormatting sqref="A16 A3">
    <cfRule type="duplicateValues" dxfId="43" priority="56"/>
    <cfRule type="duplicateValues" dxfId="42" priority="55"/>
    <cfRule type="duplicateValues" dxfId="41" priority="54"/>
  </conditionalFormatting>
  <conditionalFormatting sqref="A16">
    <cfRule type="duplicateValues" dxfId="40" priority="51"/>
    <cfRule type="duplicateValues" dxfId="39" priority="52"/>
    <cfRule type="duplicateValues" dxfId="38" priority="53"/>
    <cfRule type="duplicateValues" dxfId="37" priority="48"/>
    <cfRule type="duplicateValues" dxfId="36" priority="49"/>
    <cfRule type="duplicateValues" dxfId="35" priority="50"/>
  </conditionalFormatting>
  <conditionalFormatting sqref="A16:A20">
    <cfRule type="duplicateValues" dxfId="34" priority="44"/>
  </conditionalFormatting>
  <conditionalFormatting sqref="A17">
    <cfRule type="duplicateValues" dxfId="33" priority="41"/>
    <cfRule type="duplicateValues" dxfId="32" priority="38"/>
    <cfRule type="duplicateValues" dxfId="31" priority="40"/>
    <cfRule type="duplicateValues" dxfId="30" priority="39"/>
    <cfRule type="duplicateValues" dxfId="29" priority="43"/>
    <cfRule type="duplicateValues" dxfId="28" priority="42"/>
  </conditionalFormatting>
  <conditionalFormatting sqref="A18 A16">
    <cfRule type="duplicateValues" dxfId="27" priority="37"/>
    <cfRule type="duplicateValues" dxfId="26" priority="36"/>
    <cfRule type="duplicateValues" dxfId="25" priority="35"/>
  </conditionalFormatting>
  <conditionalFormatting sqref="A18">
    <cfRule type="duplicateValues" dxfId="24" priority="34"/>
    <cfRule type="duplicateValues" dxfId="23" priority="33"/>
    <cfRule type="duplicateValues" dxfId="22" priority="32"/>
    <cfRule type="duplicateValues" dxfId="21" priority="31"/>
    <cfRule type="duplicateValues" dxfId="20" priority="30"/>
  </conditionalFormatting>
  <conditionalFormatting sqref="A19 A2 A17">
    <cfRule type="duplicateValues" dxfId="19" priority="29"/>
    <cfRule type="duplicateValues" dxfId="18" priority="27"/>
    <cfRule type="duplicateValues" dxfId="17" priority="28"/>
  </conditionalFormatting>
  <conditionalFormatting sqref="A19">
    <cfRule type="duplicateValues" dxfId="16" priority="26"/>
    <cfRule type="duplicateValues" dxfId="15" priority="25"/>
  </conditionalFormatting>
  <conditionalFormatting sqref="A21 A7">
    <cfRule type="duplicateValues" dxfId="14" priority="21"/>
  </conditionalFormatting>
  <conditionalFormatting sqref="A21">
    <cfRule type="duplicateValues" dxfId="13" priority="20"/>
    <cfRule type="duplicateValues" dxfId="12" priority="19"/>
    <cfRule type="duplicateValues" dxfId="11" priority="18"/>
  </conditionalFormatting>
  <conditionalFormatting sqref="A22 A4:A5">
    <cfRule type="duplicateValues" dxfId="10" priority="15"/>
    <cfRule type="duplicateValues" dxfId="9" priority="17"/>
    <cfRule type="duplicateValues" dxfId="8" priority="16"/>
    <cfRule type="duplicateValues" dxfId="7" priority="14"/>
    <cfRule type="duplicateValues" dxfId="6" priority="13"/>
    <cfRule type="duplicateValues" dxfId="5" priority="12"/>
    <cfRule type="duplicateValues" dxfId="4" priority="11"/>
  </conditionalFormatting>
  <pageMargins left="0.7" right="0.7" top="0.75" bottom="0.75" header="0.3" footer="0.3"/>
  <pageSetup orientation="portrait" horizontalDpi="204" verticalDpi="196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H26"/>
  <sheetViews>
    <sheetView showGridLines="0" workbookViewId="0">
      <pane xSplit="1" topLeftCell="B1" activePane="topRight" state="frozen"/>
      <selection activeCell="G18" sqref="G18"/>
      <selection pane="topRight" activeCell="F7" sqref="F7"/>
    </sheetView>
  </sheetViews>
  <sheetFormatPr baseColWidth="10" defaultRowHeight="15"/>
  <cols>
    <col min="1" max="1" width="39.140625" bestFit="1" customWidth="1"/>
    <col min="2" max="2" width="11" bestFit="1" customWidth="1"/>
    <col min="3" max="3" width="13.85546875" bestFit="1" customWidth="1"/>
    <col min="4" max="17" width="15.28515625" style="14" bestFit="1" customWidth="1"/>
    <col min="18" max="18" width="12" style="14" bestFit="1" customWidth="1"/>
    <col min="19" max="20" width="12.5703125" style="14" bestFit="1" customWidth="1"/>
    <col min="21" max="21" width="15.140625" style="14" bestFit="1" customWidth="1"/>
    <col min="22" max="22" width="12" style="14" bestFit="1" customWidth="1"/>
    <col min="23" max="24" width="12.5703125" style="14" bestFit="1" customWidth="1"/>
    <col min="25" max="25" width="13.42578125" style="14" bestFit="1" customWidth="1"/>
    <col min="26" max="26" width="10.7109375" style="14" bestFit="1" customWidth="1"/>
    <col min="27" max="33" width="15.28515625" style="14" bestFit="1" customWidth="1"/>
    <col min="34" max="34" width="11.140625" style="14" customWidth="1"/>
  </cols>
  <sheetData>
    <row r="1" spans="1:34" ht="26.25" customHeight="1">
      <c r="A1" s="121" t="s">
        <v>105</v>
      </c>
      <c r="B1" s="123" t="s">
        <v>252</v>
      </c>
      <c r="C1" s="123" t="s">
        <v>2</v>
      </c>
      <c r="D1" s="47" t="str">
        <f>UPPER(TEXT(D2,"DDDD"))</f>
        <v>JUEVES</v>
      </c>
      <c r="E1" s="47" t="str">
        <f t="shared" ref="E1:AH1" si="0">UPPER(TEXT(E2,"DDDD"))</f>
        <v>VIERNES</v>
      </c>
      <c r="F1" s="47" t="str">
        <f t="shared" si="0"/>
        <v>SÁBADO</v>
      </c>
      <c r="G1" s="47" t="str">
        <f t="shared" si="0"/>
        <v>DOMINGO</v>
      </c>
      <c r="H1" s="47" t="str">
        <f t="shared" si="0"/>
        <v>LUNES</v>
      </c>
      <c r="I1" s="47" t="str">
        <f t="shared" si="0"/>
        <v>MARTES</v>
      </c>
      <c r="J1" s="47" t="str">
        <f t="shared" si="0"/>
        <v>MIÉRCOLES</v>
      </c>
      <c r="K1" s="47" t="str">
        <f t="shared" si="0"/>
        <v>JUEVES</v>
      </c>
      <c r="L1" s="47" t="str">
        <f t="shared" si="0"/>
        <v>VIERNES</v>
      </c>
      <c r="M1" s="47" t="str">
        <f t="shared" si="0"/>
        <v>SÁBADO</v>
      </c>
      <c r="N1" s="47" t="str">
        <f t="shared" si="0"/>
        <v>DOMINGO</v>
      </c>
      <c r="O1" s="47" t="str">
        <f t="shared" si="0"/>
        <v>LUNES</v>
      </c>
      <c r="P1" s="47" t="str">
        <f t="shared" si="0"/>
        <v>MARTES</v>
      </c>
      <c r="Q1" s="47" t="str">
        <f t="shared" si="0"/>
        <v>MIÉRCOLES</v>
      </c>
      <c r="R1" s="47" t="str">
        <f t="shared" si="0"/>
        <v>JUEVES</v>
      </c>
      <c r="S1" s="47" t="str">
        <f t="shared" si="0"/>
        <v>VIERNES</v>
      </c>
      <c r="T1" s="47" t="str">
        <f t="shared" si="0"/>
        <v>SÁBADO</v>
      </c>
      <c r="U1" s="47" t="str">
        <f t="shared" si="0"/>
        <v>DOMINGO</v>
      </c>
      <c r="V1" s="47" t="str">
        <f t="shared" si="0"/>
        <v>LUNES</v>
      </c>
      <c r="W1" s="47" t="str">
        <f t="shared" si="0"/>
        <v>MARTES</v>
      </c>
      <c r="X1" s="47" t="str">
        <f t="shared" si="0"/>
        <v>MIÉRCOLES</v>
      </c>
      <c r="Y1" s="47" t="str">
        <f t="shared" si="0"/>
        <v>JUEVES</v>
      </c>
      <c r="Z1" s="47" t="str">
        <f t="shared" si="0"/>
        <v>VIERNES</v>
      </c>
      <c r="AA1" s="47" t="str">
        <f t="shared" si="0"/>
        <v>SÁBADO</v>
      </c>
      <c r="AB1" s="47" t="str">
        <f t="shared" si="0"/>
        <v>DOMINGO</v>
      </c>
      <c r="AC1" s="47" t="str">
        <f t="shared" si="0"/>
        <v>LUNES</v>
      </c>
      <c r="AD1" s="47" t="str">
        <f t="shared" si="0"/>
        <v>MARTES</v>
      </c>
      <c r="AE1" s="47" t="str">
        <f t="shared" si="0"/>
        <v>MIÉRCOLES</v>
      </c>
      <c r="AF1" s="47" t="str">
        <f t="shared" si="0"/>
        <v>JUEVES</v>
      </c>
      <c r="AG1" s="47" t="str">
        <f t="shared" si="0"/>
        <v>VIERNES</v>
      </c>
      <c r="AH1" s="47" t="str">
        <f t="shared" si="0"/>
        <v>SÁBADO</v>
      </c>
    </row>
    <row r="2" spans="1:34">
      <c r="A2" s="122"/>
      <c r="B2" s="124"/>
      <c r="C2" s="124"/>
      <c r="D2" s="48">
        <v>45778</v>
      </c>
      <c r="E2" s="48">
        <v>45779</v>
      </c>
      <c r="F2" s="48">
        <v>45780</v>
      </c>
      <c r="G2" s="48">
        <v>45781</v>
      </c>
      <c r="H2" s="48">
        <v>45782</v>
      </c>
      <c r="I2" s="48">
        <v>45783</v>
      </c>
      <c r="J2" s="48">
        <v>45784</v>
      </c>
      <c r="K2" s="48">
        <v>45785</v>
      </c>
      <c r="L2" s="48">
        <v>45786</v>
      </c>
      <c r="M2" s="48">
        <v>45787</v>
      </c>
      <c r="N2" s="48">
        <v>45788</v>
      </c>
      <c r="O2" s="48">
        <v>45789</v>
      </c>
      <c r="P2" s="48">
        <v>45790</v>
      </c>
      <c r="Q2" s="48">
        <v>45791</v>
      </c>
      <c r="R2" s="48">
        <v>45792</v>
      </c>
      <c r="S2" s="48">
        <v>45793</v>
      </c>
      <c r="T2" s="48">
        <v>45794</v>
      </c>
      <c r="U2" s="48">
        <v>45795</v>
      </c>
      <c r="V2" s="48">
        <v>45796</v>
      </c>
      <c r="W2" s="48">
        <v>45797</v>
      </c>
      <c r="X2" s="48">
        <v>45798</v>
      </c>
      <c r="Y2" s="48">
        <v>45799</v>
      </c>
      <c r="Z2" s="48">
        <v>45800</v>
      </c>
      <c r="AA2" s="48">
        <v>45801</v>
      </c>
      <c r="AB2" s="48">
        <v>45802</v>
      </c>
      <c r="AC2" s="48">
        <v>45803</v>
      </c>
      <c r="AD2" s="48">
        <v>45804</v>
      </c>
      <c r="AE2" s="48">
        <v>45805</v>
      </c>
      <c r="AF2" s="48">
        <v>45806</v>
      </c>
      <c r="AG2" s="48">
        <v>45807</v>
      </c>
      <c r="AH2" s="48">
        <v>45808</v>
      </c>
    </row>
    <row r="3" spans="1:34">
      <c r="A3" s="45" t="s">
        <v>47</v>
      </c>
      <c r="B3" s="45">
        <v>1723900344</v>
      </c>
      <c r="C3" s="18" t="s">
        <v>46</v>
      </c>
      <c r="D3" s="46" t="str">
        <f>IFERROR(VLOOKUP(TRIM(VLOOKUP(A3,'CONTROL INBOUND'!$A:$DO,Hoja2!$A$1,0)),id_horario!A:E,2,0),"ROTATIVO")</f>
        <v>ROTATIVO</v>
      </c>
      <c r="E3" s="46" t="str">
        <f>IFERROR(VLOOKUP(TRIM(VLOOKUP(A3,'CONTROL INBOUND'!$A:$DO,Hoja2!$B$1,0)),id_horario!A:E,2,0),"ROTATIVO")</f>
        <v>ROTATIVO</v>
      </c>
      <c r="F3" s="46" t="str">
        <f>IFERROR(VLOOKUP(TRIM(VLOOKUP(A3,'CONTROL INBOUND'!$A:$DO,Hoja2!$C$1,0)),id_horario!A:E,2,0),"ROTATIVO")</f>
        <v>ROTATIVO</v>
      </c>
      <c r="G3" s="46" t="str">
        <f>IFERROR(VLOOKUP(TRIM(VLOOKUP(A3,'CONTROL INBOUND'!$A:$DO,Hoja2!$D$1,0)),id_horario!A:E,2,0),"ROTATIVO")</f>
        <v>ROTATIVO</v>
      </c>
      <c r="H3" s="46" t="str">
        <f>IFERROR(VLOOKUP(TRIM(VLOOKUP(A3,'CONTROL INBOUND'!$A:$DO,Hoja2!$E$1,0)),id_horario!A:E,2,0),"ROTATIVO")</f>
        <v>ROTATIVO</v>
      </c>
      <c r="I3" s="46" t="str">
        <f>IFERROR(VLOOKUP(TRIM(VLOOKUP(A3,'CONTROL INBOUND'!$A:$DO,Hoja2!$F$1,0)),id_horario!A:E,2,0),"ROTATIVO")</f>
        <v>ROTATIVO</v>
      </c>
      <c r="J3" s="46" t="str">
        <f>IFERROR(VLOOKUP(TRIM(VLOOKUP(A3,'CONTROL INBOUND'!$A:$DO,Hoja2!$G$1,0)),id_horario!A:E,2,0),"ROTATIVO")</f>
        <v>ROTATIVO</v>
      </c>
      <c r="K3" s="46" t="str">
        <f>IFERROR(VLOOKUP(TRIM(VLOOKUP(A3,'CONTROL INBOUND'!$A:$DO,Hoja2!$H$1,0)),id_horario!A:E,2,0),"ROTATIVO")</f>
        <v>ROTATIVO</v>
      </c>
      <c r="L3" s="46" t="str">
        <f>IFERROR(VLOOKUP(TRIM(VLOOKUP(A3,'CONTROL INBOUND'!$A:$DO,Hoja2!$I$1,0)),id_horario!A:E,2,0),"ROTATIVO")</f>
        <v>ROTATIVO</v>
      </c>
      <c r="M3" s="46" t="str">
        <f>IFERROR(VLOOKUP(TRIM(VLOOKUP(A3,'CONTROL INBOUND'!$A:$DO,Hoja2!$J$1,0)),id_horario!A:E,2,0),"ROTATIVO")</f>
        <v>ROTATIVO</v>
      </c>
      <c r="N3" s="46" t="str">
        <f>IFERROR(VLOOKUP(TRIM(VLOOKUP(A3,'CONTROL INBOUND'!$A:$DO,Hoja2!$K$1,0)),id_horario!A:E,2,0),"ROTATIVO")</f>
        <v>ROTATIVO</v>
      </c>
      <c r="O3" s="46" t="str">
        <f>IFERROR(VLOOKUP(TRIM(VLOOKUP(A3,'CONTROL INBOUND'!$A:$DO,Hoja2!$L$1,0)),id_horario!A:E,2,0),"ROTATIVO")</f>
        <v>ROTATIVO</v>
      </c>
      <c r="P3" s="46" t="str">
        <f>IFERROR(VLOOKUP(TRIM(VLOOKUP(A3,'CONTROL INBOUND'!$A:$DO,Hoja2!$M$1,0)),id_horario!A:E,2,0),"ROTATIVO")</f>
        <v>ROTATIVO</v>
      </c>
      <c r="Q3" s="46" t="str">
        <f>IFERROR(VLOOKUP(TRIM(VLOOKUP(A3,'CONTROL INBOUND'!$A:$DO,Hoja2!$N$1,0)),id_horario!A:E,2,0),"ROTATIVO")</f>
        <v>ROTATIVO</v>
      </c>
      <c r="R3" s="46" t="str">
        <f>IFERROR(VLOOKUP(TRIM(VLOOKUP(A3,'CONTROL INBOUND'!$A:$DO,Hoja2!$O$1,0)),id_horario!A:E,2,0),"ROTATIVO")</f>
        <v>ROTATIVO</v>
      </c>
      <c r="S3" s="46" t="str">
        <f>IFERROR(VLOOKUP(TRIM(VLOOKUP(A3,'CONTROL INBOUND'!$A:$DO,Hoja2!$P$1,0)),id_horario!A:E,2,0),"ROTATIVO")</f>
        <v>ROTATIVO</v>
      </c>
      <c r="T3" s="46" t="str">
        <f>IFERROR(VLOOKUP(TRIM(VLOOKUP(A3,'CONTROL INBOUND'!$A:$DO,Hoja2!$Q$1,0)),id_horario!A:E,2,0),"ROTATIVO")</f>
        <v>ROTATIVO</v>
      </c>
      <c r="U3" s="46" t="str">
        <f>IFERROR(VLOOKUP(TRIM(VLOOKUP(A3,'CONTROL INBOUND'!$A:$DO,Hoja2!$R$1,0)),id_horario!A:E,2,0),"ROTATIVO")</f>
        <v>ROTATIVO</v>
      </c>
      <c r="V3" s="46" t="str">
        <f>IFERROR(VLOOKUP(TRIM(VLOOKUP(A3,'CONTROL INBOUND'!$A:$DO,Hoja2!$S$1,0)),id_horario!A:E,2,0),"ROTATIVO")</f>
        <v>ROTATIVO</v>
      </c>
      <c r="W3" s="46" t="str">
        <f>IFERROR(VLOOKUP(TRIM(VLOOKUP(A3,'CONTROL INBOUND'!$A:$DO,Hoja2!$T$1,0)),id_horario!A:E,2,0),"ROTATIVO")</f>
        <v>ROTATIVO</v>
      </c>
      <c r="X3" s="46" t="str">
        <f>IFERROR(VLOOKUP(TRIM(VLOOKUP(A3,'CONTROL INBOUND'!$A:$DO,Hoja2!$U$1,0)),id_horario!A:E,2,0),"ROTATIVO")</f>
        <v>ROTATIVO</v>
      </c>
      <c r="Y3" s="46" t="str">
        <f>IFERROR(VLOOKUP(TRIM(VLOOKUP(A3,'CONTROL INBOUND'!$A:$DO,Hoja2!$V$1,0)),id_horario!A:E,2,0),"ROTATIVO")</f>
        <v>ROTATIVO</v>
      </c>
      <c r="Z3" s="46" t="str">
        <f>IFERROR(VLOOKUP(TRIM(VLOOKUP(A3,'CONTROL INBOUND'!$A:$DO,Hoja2!$W$1,0)),id_horario!A:E,2,0),"ROTATIVO")</f>
        <v>ROTATIVO</v>
      </c>
      <c r="AA3" s="46" t="str">
        <f>IFERROR(VLOOKUP(TRIM(VLOOKUP(A3,'CONTROL INBOUND'!$A:$DO,Hoja2!$X$1,0)),id_horario!A:E,2,0),"ROTATIVO")</f>
        <v>ROTATIVO</v>
      </c>
      <c r="AB3" s="46" t="str">
        <f>IFERROR(VLOOKUP(TRIM(VLOOKUP(A3,'CONTROL INBOUND'!$A:$DO,Hoja2!$Y$1,0)),id_horario!A:E,2,0),"ROTATIVO")</f>
        <v>ROTATIVO</v>
      </c>
      <c r="AC3" s="46" t="str">
        <f>IFERROR(VLOOKUP(TRIM(VLOOKUP(A3,'CONTROL INBOUND'!$A:$DO,Hoja2!$Z$1,0)),id_horario!A:E,2,0),"ROTATIVO")</f>
        <v>ROTATIVO</v>
      </c>
      <c r="AD3" s="46" t="str">
        <f>IFERROR(VLOOKUP(TRIM(VLOOKUP(A3,'CONTROL INBOUND'!$A:$DO,Hoja2!$AA$1,0)),id_horario!A:E,2,0),"ROTATIVO")</f>
        <v>ROTATIVO</v>
      </c>
      <c r="AE3" s="46" t="str">
        <f>IFERROR(VLOOKUP(TRIM(VLOOKUP(A3,'CONTROL INBOUND'!$A:$DO,Hoja2!$AB$1,0)),id_horario!A:E,2,0),"ROTATIVO")</f>
        <v>ROTATIVO</v>
      </c>
      <c r="AF3" s="46" t="str">
        <f>IFERROR(VLOOKUP(TRIM(VLOOKUP(A3,'CONTROL INBOUND'!$A:$DO,Hoja2!$AC$1,0)),id_horario!A:E,2,0),"ROTATIVO")</f>
        <v>ROTATIVO</v>
      </c>
      <c r="AG3" s="46" t="str">
        <f>IFERROR(VLOOKUP(TRIM(VLOOKUP(A3,'CONTROL INBOUND'!$A:$DO,Hoja2!$AD$1,0)),id_horario!A:E,2,0),"ROTATIVO")</f>
        <v>ROTATIVO</v>
      </c>
      <c r="AH3" s="46" t="str">
        <f>IFERROR(VLOOKUP(TRIM(VLOOKUP(A3,'CONTROL INBOUND'!$A:$DO,Hoja2!$AE$1,0)),id_horario!A:E,2,0),"ROTATIVO")</f>
        <v>ROTATIVO</v>
      </c>
    </row>
    <row r="4" spans="1:34">
      <c r="A4" s="45" t="s">
        <v>60</v>
      </c>
      <c r="B4" s="45">
        <v>1725106304</v>
      </c>
      <c r="C4" s="18" t="s">
        <v>46</v>
      </c>
      <c r="D4" s="46" t="str">
        <f>IFERROR(VLOOKUP(TRIM(VLOOKUP(A4,'CONTROL INBOUND'!$A:$DO,Hoja2!$A$1,0)),id_horario!A:E,2,0),"ROTATIVO")</f>
        <v>ROTATIVO</v>
      </c>
      <c r="E4" s="46" t="str">
        <f>IFERROR(VLOOKUP(TRIM(VLOOKUP(A4,'CONTROL INBOUND'!$A:$DO,Hoja2!$B$1,0)),id_horario!A:E,2,0),"ROTATIVO")</f>
        <v>ROTATIVO</v>
      </c>
      <c r="F4" s="46" t="str">
        <f>IFERROR(VLOOKUP(TRIM(VLOOKUP(A4,'CONTROL INBOUND'!$A:$DO,Hoja2!$C$1,0)),id_horario!A:E,2,0),"ROTATIVO")</f>
        <v>ROTATIVO</v>
      </c>
      <c r="G4" s="46" t="str">
        <f>IFERROR(VLOOKUP(TRIM(VLOOKUP(A4,'CONTROL INBOUND'!$A:$DO,Hoja2!$D$1,0)),id_horario!A:E,2,0),"ROTATIVO")</f>
        <v>ROTATIVO</v>
      </c>
      <c r="H4" s="46" t="str">
        <f>IFERROR(VLOOKUP(TRIM(VLOOKUP(A4,'CONTROL INBOUND'!$A:$DO,Hoja2!$E$1,0)),id_horario!A:E,2,0),"ROTATIVO")</f>
        <v>ROTATIVO</v>
      </c>
      <c r="I4" s="46" t="str">
        <f>IFERROR(VLOOKUP(TRIM(VLOOKUP(A4,'CONTROL INBOUND'!$A:$DO,Hoja2!$F$1,0)),id_horario!A:E,2,0),"ROTATIVO")</f>
        <v>ROTATIVO</v>
      </c>
      <c r="J4" s="46" t="str">
        <f>IFERROR(VLOOKUP(TRIM(VLOOKUP(A4,'CONTROL INBOUND'!$A:$DO,Hoja2!$G$1,0)),id_horario!A:E,2,0),"ROTATIVO")</f>
        <v>ROTATIVO</v>
      </c>
      <c r="K4" s="46" t="str">
        <f>IFERROR(VLOOKUP(TRIM(VLOOKUP(A4,'CONTROL INBOUND'!$A:$DO,Hoja2!$H$1,0)),id_horario!A:E,2,0),"ROTATIVO")</f>
        <v>ROTATIVO</v>
      </c>
      <c r="L4" s="46" t="str">
        <f>IFERROR(VLOOKUP(TRIM(VLOOKUP(A4,'CONTROL INBOUND'!$A:$DO,Hoja2!$I$1,0)),id_horario!A:E,2,0),"ROTATIVO")</f>
        <v>ROTATIVO</v>
      </c>
      <c r="M4" s="46" t="str">
        <f>IFERROR(VLOOKUP(TRIM(VLOOKUP(A4,'CONTROL INBOUND'!$A:$DO,Hoja2!$J$1,0)),id_horario!A:E,2,0),"ROTATIVO")</f>
        <v>ROTATIVO</v>
      </c>
      <c r="N4" s="46" t="str">
        <f>IFERROR(VLOOKUP(TRIM(VLOOKUP(A4,'CONTROL INBOUND'!$A:$DO,Hoja2!$K$1,0)),id_horario!A:E,2,0),"ROTATIVO")</f>
        <v>ROTATIVO</v>
      </c>
      <c r="O4" s="46" t="str">
        <f>IFERROR(VLOOKUP(TRIM(VLOOKUP(A4,'CONTROL INBOUND'!$A:$DO,Hoja2!$L$1,0)),id_horario!A:E,2,0),"ROTATIVO")</f>
        <v>ROTATIVO</v>
      </c>
      <c r="P4" s="46" t="str">
        <f>IFERROR(VLOOKUP(TRIM(VLOOKUP(A4,'CONTROL INBOUND'!$A:$DO,Hoja2!$M$1,0)),id_horario!A:E,2,0),"ROTATIVO")</f>
        <v>ROTATIVO</v>
      </c>
      <c r="Q4" s="46" t="str">
        <f>IFERROR(VLOOKUP(TRIM(VLOOKUP(A4,'CONTROL INBOUND'!$A:$DO,Hoja2!$N$1,0)),id_horario!A:E,2,0),"ROTATIVO")</f>
        <v>ROTATIVO</v>
      </c>
      <c r="R4" s="46" t="str">
        <f>IFERROR(VLOOKUP(TRIM(VLOOKUP(A4,'CONTROL INBOUND'!$A:$DO,Hoja2!$O$1,0)),id_horario!A:E,2,0),"ROTATIVO")</f>
        <v>ROTATIVO</v>
      </c>
      <c r="S4" s="46" t="str">
        <f>IFERROR(VLOOKUP(TRIM(VLOOKUP(A4,'CONTROL INBOUND'!$A:$DO,Hoja2!$P$1,0)),id_horario!A:E,2,0),"ROTATIVO")</f>
        <v>ROTATIVO</v>
      </c>
      <c r="T4" s="46" t="str">
        <f>IFERROR(VLOOKUP(TRIM(VLOOKUP(A4,'CONTROL INBOUND'!$A:$DO,Hoja2!$Q$1,0)),id_horario!A:E,2,0),"ROTATIVO")</f>
        <v>ROTATIVO</v>
      </c>
      <c r="U4" s="46" t="str">
        <f>IFERROR(VLOOKUP(TRIM(VLOOKUP(A4,'CONTROL INBOUND'!$A:$DO,Hoja2!$R$1,0)),id_horario!A:E,2,0),"ROTATIVO")</f>
        <v>ROTATIVO</v>
      </c>
      <c r="V4" s="46" t="str">
        <f>IFERROR(VLOOKUP(TRIM(VLOOKUP(A4,'CONTROL INBOUND'!$A:$DO,Hoja2!$S$1,0)),id_horario!A:E,2,0),"ROTATIVO")</f>
        <v>ROTATIVO</v>
      </c>
      <c r="W4" s="46" t="str">
        <f>IFERROR(VLOOKUP(TRIM(VLOOKUP(A4,'CONTROL INBOUND'!$A:$DO,Hoja2!$T$1,0)),id_horario!A:E,2,0),"ROTATIVO")</f>
        <v>ROTATIVO</v>
      </c>
      <c r="X4" s="46" t="str">
        <f>IFERROR(VLOOKUP(TRIM(VLOOKUP(A4,'CONTROL INBOUND'!$A:$DO,Hoja2!$U$1,0)),id_horario!A:E,2,0),"ROTATIVO")</f>
        <v>ROTATIVO</v>
      </c>
      <c r="Y4" s="46" t="str">
        <f>IFERROR(VLOOKUP(TRIM(VLOOKUP(A4,'CONTROL INBOUND'!$A:$DO,Hoja2!$V$1,0)),id_horario!A:E,2,0),"ROTATIVO")</f>
        <v>ROTATIVO</v>
      </c>
      <c r="Z4" s="46" t="str">
        <f>IFERROR(VLOOKUP(TRIM(VLOOKUP(A4,'CONTROL INBOUND'!$A:$DO,Hoja2!$W$1,0)),id_horario!A:E,2,0),"ROTATIVO")</f>
        <v>ROTATIVO</v>
      </c>
      <c r="AA4" s="46" t="str">
        <f>IFERROR(VLOOKUP(TRIM(VLOOKUP(A4,'CONTROL INBOUND'!$A:$DO,Hoja2!$X$1,0)),id_horario!A:E,2,0),"ROTATIVO")</f>
        <v>ROTATIVO</v>
      </c>
      <c r="AB4" s="46" t="str">
        <f>IFERROR(VLOOKUP(TRIM(VLOOKUP(A4,'CONTROL INBOUND'!$A:$DO,Hoja2!$Y$1,0)),id_horario!A:E,2,0),"ROTATIVO")</f>
        <v>ROTATIVO</v>
      </c>
      <c r="AC4" s="46" t="str">
        <f>IFERROR(VLOOKUP(TRIM(VLOOKUP(A4,'CONTROL INBOUND'!$A:$DO,Hoja2!$Z$1,0)),id_horario!A:E,2,0),"ROTATIVO")</f>
        <v>ROTATIVO</v>
      </c>
      <c r="AD4" s="46" t="str">
        <f>IFERROR(VLOOKUP(TRIM(VLOOKUP(A4,'CONTROL INBOUND'!$A:$DO,Hoja2!$AA$1,0)),id_horario!A:E,2,0),"ROTATIVO")</f>
        <v>ROTATIVO</v>
      </c>
      <c r="AE4" s="46" t="str">
        <f>IFERROR(VLOOKUP(TRIM(VLOOKUP(A4,'CONTROL INBOUND'!$A:$DO,Hoja2!$AB$1,0)),id_horario!A:E,2,0),"ROTATIVO")</f>
        <v>ROTATIVO</v>
      </c>
      <c r="AF4" s="46" t="str">
        <f>IFERROR(VLOOKUP(TRIM(VLOOKUP(A4,'CONTROL INBOUND'!$A:$DO,Hoja2!$AC$1,0)),id_horario!A:E,2,0),"ROTATIVO")</f>
        <v>ROTATIVO</v>
      </c>
      <c r="AG4" s="46" t="str">
        <f>IFERROR(VLOOKUP(TRIM(VLOOKUP(A4,'CONTROL INBOUND'!$A:$DO,Hoja2!$AD$1,0)),id_horario!A:E,2,0),"ROTATIVO")</f>
        <v>ROTATIVO</v>
      </c>
      <c r="AH4" s="46" t="str">
        <f>IFERROR(VLOOKUP(TRIM(VLOOKUP(A4,'CONTROL INBOUND'!$A:$DO,Hoja2!$AE$1,0)),id_horario!A:E,2,0),"ROTATIVO")</f>
        <v>ROTATIVO</v>
      </c>
    </row>
    <row r="5" spans="1:34">
      <c r="A5" s="45" t="s">
        <v>49</v>
      </c>
      <c r="B5" s="45">
        <v>1759843053</v>
      </c>
      <c r="C5" s="18" t="s">
        <v>46</v>
      </c>
      <c r="D5" s="46" t="str">
        <f>IFERROR(VLOOKUP(TRIM(VLOOKUP(A5,'CONTROL INBOUND'!$A:$DO,Hoja2!$A$1,0)),id_horario!A:E,2,0),"ROTATIVO")</f>
        <v>ROTATIVO</v>
      </c>
      <c r="E5" s="46" t="str">
        <f>IFERROR(VLOOKUP(TRIM(VLOOKUP(A5,'CONTROL INBOUND'!$A:$DO,Hoja2!$B$1,0)),id_horario!A:E,2,0),"ROTATIVO")</f>
        <v>ROTATIVO</v>
      </c>
      <c r="F5" s="46" t="str">
        <f>IFERROR(VLOOKUP(TRIM(VLOOKUP(A5,'CONTROL INBOUND'!$A:$DO,Hoja2!$C$1,0)),id_horario!A:E,2,0),"ROTATIVO")</f>
        <v>ROTATIVO</v>
      </c>
      <c r="G5" s="46" t="str">
        <f>IFERROR(VLOOKUP(TRIM(VLOOKUP(A5,'CONTROL INBOUND'!$A:$DO,Hoja2!$D$1,0)),id_horario!A:E,2,0),"ROTATIVO")</f>
        <v>ROTATIVO</v>
      </c>
      <c r="H5" s="46" t="str">
        <f>IFERROR(VLOOKUP(TRIM(VLOOKUP(A5,'CONTROL INBOUND'!$A:$DO,Hoja2!$E$1,0)),id_horario!A:E,2,0),"ROTATIVO")</f>
        <v>ROTATIVO</v>
      </c>
      <c r="I5" s="46" t="str">
        <f>IFERROR(VLOOKUP(TRIM(VLOOKUP(A5,'CONTROL INBOUND'!$A:$DO,Hoja2!$F$1,0)),id_horario!A:E,2,0),"ROTATIVO")</f>
        <v>ROTATIVO</v>
      </c>
      <c r="J5" s="46" t="str">
        <f>IFERROR(VLOOKUP(TRIM(VLOOKUP(A5,'CONTROL INBOUND'!$A:$DO,Hoja2!$G$1,0)),id_horario!A:E,2,0),"ROTATIVO")</f>
        <v>ROTATIVO</v>
      </c>
      <c r="K5" s="46" t="str">
        <f>IFERROR(VLOOKUP(TRIM(VLOOKUP(A5,'CONTROL INBOUND'!$A:$DO,Hoja2!$H$1,0)),id_horario!A:E,2,0),"ROTATIVO")</f>
        <v>ROTATIVO</v>
      </c>
      <c r="L5" s="46" t="str">
        <f>IFERROR(VLOOKUP(TRIM(VLOOKUP(A5,'CONTROL INBOUND'!$A:$DO,Hoja2!$I$1,0)),id_horario!A:E,2,0),"ROTATIVO")</f>
        <v>ROTATIVO</v>
      </c>
      <c r="M5" s="46" t="str">
        <f>IFERROR(VLOOKUP(TRIM(VLOOKUP(A5,'CONTROL INBOUND'!$A:$DO,Hoja2!$J$1,0)),id_horario!A:E,2,0),"ROTATIVO")</f>
        <v>ROTATIVO</v>
      </c>
      <c r="N5" s="46" t="str">
        <f>IFERROR(VLOOKUP(TRIM(VLOOKUP(A5,'CONTROL INBOUND'!$A:$DO,Hoja2!$K$1,0)),id_horario!A:E,2,0),"ROTATIVO")</f>
        <v>ROTATIVO</v>
      </c>
      <c r="O5" s="46" t="str">
        <f>IFERROR(VLOOKUP(TRIM(VLOOKUP(A5,'CONTROL INBOUND'!$A:$DO,Hoja2!$L$1,0)),id_horario!A:E,2,0),"ROTATIVO")</f>
        <v>ROTATIVO</v>
      </c>
      <c r="P5" s="46" t="str">
        <f>IFERROR(VLOOKUP(TRIM(VLOOKUP(A5,'CONTROL INBOUND'!$A:$DO,Hoja2!$M$1,0)),id_horario!A:E,2,0),"ROTATIVO")</f>
        <v>ROTATIVO</v>
      </c>
      <c r="Q5" s="46" t="str">
        <f>IFERROR(VLOOKUP(TRIM(VLOOKUP(A5,'CONTROL INBOUND'!$A:$DO,Hoja2!$N$1,0)),id_horario!A:E,2,0),"ROTATIVO")</f>
        <v>ROTATIVO</v>
      </c>
      <c r="R5" s="46" t="str">
        <f>IFERROR(VLOOKUP(TRIM(VLOOKUP(A5,'CONTROL INBOUND'!$A:$DO,Hoja2!$O$1,0)),id_horario!A:E,2,0),"ROTATIVO")</f>
        <v>ROTATIVO</v>
      </c>
      <c r="S5" s="46" t="str">
        <f>IFERROR(VLOOKUP(TRIM(VLOOKUP(A5,'CONTROL INBOUND'!$A:$DO,Hoja2!$P$1,0)),id_horario!A:E,2,0),"ROTATIVO")</f>
        <v>ROTATIVO</v>
      </c>
      <c r="T5" s="46" t="str">
        <f>IFERROR(VLOOKUP(TRIM(VLOOKUP(A5,'CONTROL INBOUND'!$A:$DO,Hoja2!$Q$1,0)),id_horario!A:E,2,0),"ROTATIVO")</f>
        <v>ROTATIVO</v>
      </c>
      <c r="U5" s="46" t="str">
        <f>IFERROR(VLOOKUP(TRIM(VLOOKUP(A5,'CONTROL INBOUND'!$A:$DO,Hoja2!$R$1,0)),id_horario!A:E,2,0),"ROTATIVO")</f>
        <v>ROTATIVO</v>
      </c>
      <c r="V5" s="46" t="str">
        <f>IFERROR(VLOOKUP(TRIM(VLOOKUP(A5,'CONTROL INBOUND'!$A:$DO,Hoja2!$S$1,0)),id_horario!A:E,2,0),"ROTATIVO")</f>
        <v>ROTATIVO</v>
      </c>
      <c r="W5" s="46" t="str">
        <f>IFERROR(VLOOKUP(TRIM(VLOOKUP(A5,'CONTROL INBOUND'!$A:$DO,Hoja2!$T$1,0)),id_horario!A:E,2,0),"ROTATIVO")</f>
        <v>ROTATIVO</v>
      </c>
      <c r="X5" s="46" t="str">
        <f>IFERROR(VLOOKUP(TRIM(VLOOKUP(A5,'CONTROL INBOUND'!$A:$DO,Hoja2!$U$1,0)),id_horario!A:E,2,0),"ROTATIVO")</f>
        <v>ROTATIVO</v>
      </c>
      <c r="Y5" s="46" t="str">
        <f>IFERROR(VLOOKUP(TRIM(VLOOKUP(A5,'CONTROL INBOUND'!$A:$DO,Hoja2!$V$1,0)),id_horario!A:E,2,0),"ROTATIVO")</f>
        <v>ROTATIVO</v>
      </c>
      <c r="Z5" s="46" t="str">
        <f>IFERROR(VLOOKUP(TRIM(VLOOKUP(A5,'CONTROL INBOUND'!$A:$DO,Hoja2!$W$1,0)),id_horario!A:E,2,0),"ROTATIVO")</f>
        <v>ROTATIVO</v>
      </c>
      <c r="AA5" s="46" t="str">
        <f>IFERROR(VLOOKUP(TRIM(VLOOKUP(A5,'CONTROL INBOUND'!$A:$DO,Hoja2!$X$1,0)),id_horario!A:E,2,0),"ROTATIVO")</f>
        <v>ROTATIVO</v>
      </c>
      <c r="AB5" s="46" t="str">
        <f>IFERROR(VLOOKUP(TRIM(VLOOKUP(A5,'CONTROL INBOUND'!$A:$DO,Hoja2!$Y$1,0)),id_horario!A:E,2,0),"ROTATIVO")</f>
        <v>ROTATIVO</v>
      </c>
      <c r="AC5" s="46" t="str">
        <f>IFERROR(VLOOKUP(TRIM(VLOOKUP(A5,'CONTROL INBOUND'!$A:$DO,Hoja2!$Z$1,0)),id_horario!A:E,2,0),"ROTATIVO")</f>
        <v>ROTATIVO</v>
      </c>
      <c r="AD5" s="46" t="str">
        <f>IFERROR(VLOOKUP(TRIM(VLOOKUP(A5,'CONTROL INBOUND'!$A:$DO,Hoja2!$AA$1,0)),id_horario!A:E,2,0),"ROTATIVO")</f>
        <v>ROTATIVO</v>
      </c>
      <c r="AE5" s="46" t="str">
        <f>IFERROR(VLOOKUP(TRIM(VLOOKUP(A5,'CONTROL INBOUND'!$A:$DO,Hoja2!$AB$1,0)),id_horario!A:E,2,0),"ROTATIVO")</f>
        <v>ROTATIVO</v>
      </c>
      <c r="AF5" s="46" t="str">
        <f>IFERROR(VLOOKUP(TRIM(VLOOKUP(A5,'CONTROL INBOUND'!$A:$DO,Hoja2!$AC$1,0)),id_horario!A:E,2,0),"ROTATIVO")</f>
        <v>ROTATIVO</v>
      </c>
      <c r="AG5" s="46" t="str">
        <f>IFERROR(VLOOKUP(TRIM(VLOOKUP(A5,'CONTROL INBOUND'!$A:$DO,Hoja2!$AD$1,0)),id_horario!A:E,2,0),"ROTATIVO")</f>
        <v>ROTATIVO</v>
      </c>
      <c r="AH5" s="46" t="str">
        <f>IFERROR(VLOOKUP(TRIM(VLOOKUP(A5,'CONTROL INBOUND'!$A:$DO,Hoja2!$AE$1,0)),id_horario!A:E,2,0),"ROTATIVO")</f>
        <v>ROTATIVO</v>
      </c>
    </row>
    <row r="6" spans="1:34">
      <c r="A6" s="45" t="s">
        <v>52</v>
      </c>
      <c r="B6" s="45">
        <v>1720635547</v>
      </c>
      <c r="C6" s="18" t="s">
        <v>46</v>
      </c>
      <c r="D6" s="46" t="str">
        <f>IFERROR(VLOOKUP(TRIM(VLOOKUP(A6,'CONTROL INBOUND'!$A:$DO,Hoja2!$A$1,0)),id_horario!A:E,2,0),"ROTATIVO")</f>
        <v>ROTATIVO</v>
      </c>
      <c r="E6" s="46" t="str">
        <f>IFERROR(VLOOKUP(TRIM(VLOOKUP(A6,'CONTROL INBOUND'!$A:$DO,Hoja2!$B$1,0)),id_horario!A:E,2,0),"ROTATIVO")</f>
        <v>ROTATIVO</v>
      </c>
      <c r="F6" s="46" t="str">
        <f>IFERROR(VLOOKUP(TRIM(VLOOKUP(A6,'CONTROL INBOUND'!$A:$DO,Hoja2!$C$1,0)),id_horario!A:E,2,0),"ROTATIVO")</f>
        <v>ROTATIVO</v>
      </c>
      <c r="G6" s="46" t="str">
        <f>IFERROR(VLOOKUP(TRIM(VLOOKUP(A6,'CONTROL INBOUND'!$A:$DO,Hoja2!$D$1,0)),id_horario!A:E,2,0),"ROTATIVO")</f>
        <v>ROTATIVO</v>
      </c>
      <c r="H6" s="46" t="str">
        <f>IFERROR(VLOOKUP(TRIM(VLOOKUP(A6,'CONTROL INBOUND'!$A:$DO,Hoja2!$E$1,0)),id_horario!A:E,2,0),"ROTATIVO")</f>
        <v>ROTATIVO</v>
      </c>
      <c r="I6" s="46" t="str">
        <f>IFERROR(VLOOKUP(TRIM(VLOOKUP(A6,'CONTROL INBOUND'!$A:$DO,Hoja2!$F$1,0)),id_horario!A:E,2,0),"ROTATIVO")</f>
        <v>ROTATIVO</v>
      </c>
      <c r="J6" s="46" t="str">
        <f>IFERROR(VLOOKUP(TRIM(VLOOKUP(A6,'CONTROL INBOUND'!$A:$DO,Hoja2!$G$1,0)),id_horario!A:E,2,0),"ROTATIVO")</f>
        <v>ROTATIVO</v>
      </c>
      <c r="K6" s="46" t="str">
        <f>IFERROR(VLOOKUP(TRIM(VLOOKUP(A6,'CONTROL INBOUND'!$A:$DO,Hoja2!$H$1,0)),id_horario!A:E,2,0),"ROTATIVO")</f>
        <v>ROTATIVO</v>
      </c>
      <c r="L6" s="46" t="str">
        <f>IFERROR(VLOOKUP(TRIM(VLOOKUP(A6,'CONTROL INBOUND'!$A:$DO,Hoja2!$I$1,0)),id_horario!A:E,2,0),"ROTATIVO")</f>
        <v>ROTATIVO</v>
      </c>
      <c r="M6" s="46" t="str">
        <f>IFERROR(VLOOKUP(TRIM(VLOOKUP(A6,'CONTROL INBOUND'!$A:$DO,Hoja2!$J$1,0)),id_horario!A:E,2,0),"ROTATIVO")</f>
        <v>ROTATIVO</v>
      </c>
      <c r="N6" s="46" t="str">
        <f>IFERROR(VLOOKUP(TRIM(VLOOKUP(A6,'CONTROL INBOUND'!$A:$DO,Hoja2!$K$1,0)),id_horario!A:E,2,0),"ROTATIVO")</f>
        <v>ROTATIVO</v>
      </c>
      <c r="O6" s="46" t="str">
        <f>IFERROR(VLOOKUP(TRIM(VLOOKUP(A6,'CONTROL INBOUND'!$A:$DO,Hoja2!$L$1,0)),id_horario!A:E,2,0),"ROTATIVO")</f>
        <v>ROTATIVO</v>
      </c>
      <c r="P6" s="46" t="str">
        <f>IFERROR(VLOOKUP(TRIM(VLOOKUP(A6,'CONTROL INBOUND'!$A:$DO,Hoja2!$M$1,0)),id_horario!A:E,2,0),"ROTATIVO")</f>
        <v>ROTATIVO</v>
      </c>
      <c r="Q6" s="46" t="str">
        <f>IFERROR(VLOOKUP(TRIM(VLOOKUP(A6,'CONTROL INBOUND'!$A:$DO,Hoja2!$N$1,0)),id_horario!A:E,2,0),"ROTATIVO")</f>
        <v>ROTATIVO</v>
      </c>
      <c r="R6" s="46" t="str">
        <f>IFERROR(VLOOKUP(TRIM(VLOOKUP(A6,'CONTROL INBOUND'!$A:$DO,Hoja2!$O$1,0)),id_horario!A:E,2,0),"ROTATIVO")</f>
        <v>ROTATIVO</v>
      </c>
      <c r="S6" s="46" t="str">
        <f>IFERROR(VLOOKUP(TRIM(VLOOKUP(A6,'CONTROL INBOUND'!$A:$DO,Hoja2!$P$1,0)),id_horario!A:E,2,0),"ROTATIVO")</f>
        <v>ROTATIVO</v>
      </c>
      <c r="T6" s="46" t="str">
        <f>IFERROR(VLOOKUP(TRIM(VLOOKUP(A6,'CONTROL INBOUND'!$A:$DO,Hoja2!$Q$1,0)),id_horario!A:E,2,0),"ROTATIVO")</f>
        <v>ROTATIVO</v>
      </c>
      <c r="U6" s="46" t="str">
        <f>IFERROR(VLOOKUP(TRIM(VLOOKUP(A6,'CONTROL INBOUND'!$A:$DO,Hoja2!$R$1,0)),id_horario!A:E,2,0),"ROTATIVO")</f>
        <v>ROTATIVO</v>
      </c>
      <c r="V6" s="46" t="str">
        <f>IFERROR(VLOOKUP(TRIM(VLOOKUP(A6,'CONTROL INBOUND'!$A:$DO,Hoja2!$S$1,0)),id_horario!A:E,2,0),"ROTATIVO")</f>
        <v>ROTATIVO</v>
      </c>
      <c r="W6" s="46" t="str">
        <f>IFERROR(VLOOKUP(TRIM(VLOOKUP(A6,'CONTROL INBOUND'!$A:$DO,Hoja2!$T$1,0)),id_horario!A:E,2,0),"ROTATIVO")</f>
        <v>ROTATIVO</v>
      </c>
      <c r="X6" s="46" t="str">
        <f>IFERROR(VLOOKUP(TRIM(VLOOKUP(A6,'CONTROL INBOUND'!$A:$DO,Hoja2!$U$1,0)),id_horario!A:E,2,0),"ROTATIVO")</f>
        <v>ROTATIVO</v>
      </c>
      <c r="Y6" s="46" t="str">
        <f>IFERROR(VLOOKUP(TRIM(VLOOKUP(A6,'CONTROL INBOUND'!$A:$DO,Hoja2!$V$1,0)),id_horario!A:E,2,0),"ROTATIVO")</f>
        <v>ROTATIVO</v>
      </c>
      <c r="Z6" s="46" t="str">
        <f>IFERROR(VLOOKUP(TRIM(VLOOKUP(A6,'CONTROL INBOUND'!$A:$DO,Hoja2!$W$1,0)),id_horario!A:E,2,0),"ROTATIVO")</f>
        <v>ROTATIVO</v>
      </c>
      <c r="AA6" s="46" t="str">
        <f>IFERROR(VLOOKUP(TRIM(VLOOKUP(A6,'CONTROL INBOUND'!$A:$DO,Hoja2!$X$1,0)),id_horario!A:E,2,0),"ROTATIVO")</f>
        <v>ROTATIVO</v>
      </c>
      <c r="AB6" s="46" t="str">
        <f>IFERROR(VLOOKUP(TRIM(VLOOKUP(A6,'CONTROL INBOUND'!$A:$DO,Hoja2!$Y$1,0)),id_horario!A:E,2,0),"ROTATIVO")</f>
        <v>ROTATIVO</v>
      </c>
      <c r="AC6" s="46" t="str">
        <f>IFERROR(VLOOKUP(TRIM(VLOOKUP(A6,'CONTROL INBOUND'!$A:$DO,Hoja2!$Z$1,0)),id_horario!A:E,2,0),"ROTATIVO")</f>
        <v>ROTATIVO</v>
      </c>
      <c r="AD6" s="46" t="str">
        <f>IFERROR(VLOOKUP(TRIM(VLOOKUP(A6,'CONTROL INBOUND'!$A:$DO,Hoja2!$AA$1,0)),id_horario!A:E,2,0),"ROTATIVO")</f>
        <v>ROTATIVO</v>
      </c>
      <c r="AE6" s="46" t="str">
        <f>IFERROR(VLOOKUP(TRIM(VLOOKUP(A6,'CONTROL INBOUND'!$A:$DO,Hoja2!$AB$1,0)),id_horario!A:E,2,0),"ROTATIVO")</f>
        <v>ROTATIVO</v>
      </c>
      <c r="AF6" s="46" t="str">
        <f>IFERROR(VLOOKUP(TRIM(VLOOKUP(A6,'CONTROL INBOUND'!$A:$DO,Hoja2!$AC$1,0)),id_horario!A:E,2,0),"ROTATIVO")</f>
        <v>ROTATIVO</v>
      </c>
      <c r="AG6" s="46" t="str">
        <f>IFERROR(VLOOKUP(TRIM(VLOOKUP(A6,'CONTROL INBOUND'!$A:$DO,Hoja2!$AD$1,0)),id_horario!A:E,2,0),"ROTATIVO")</f>
        <v>ROTATIVO</v>
      </c>
      <c r="AH6" s="46" t="str">
        <f>IFERROR(VLOOKUP(TRIM(VLOOKUP(A6,'CONTROL INBOUND'!$A:$DO,Hoja2!$AE$1,0)),id_horario!A:E,2,0),"ROTATIVO")</f>
        <v>ROTATIVO</v>
      </c>
    </row>
    <row r="7" spans="1:34">
      <c r="A7" s="45" t="s">
        <v>44</v>
      </c>
      <c r="B7" s="45">
        <v>1804744736</v>
      </c>
      <c r="C7" s="18" t="s">
        <v>46</v>
      </c>
      <c r="D7" s="46" t="str">
        <f>IFERROR(VLOOKUP(TRIM(VLOOKUP(A7,'CONTROL INBOUND'!$A:$DO,Hoja2!$A$1,0)),id_horario!A:E,2,0),"ROTATIVO")</f>
        <v>ROTATIVO</v>
      </c>
      <c r="E7" s="46">
        <f>IFERROR(VLOOKUP(TRIM(VLOOKUP(A7,'CONTROL INBOUND'!$A:$DO,Hoja2!$B$1,0)),id_horario!A:E,2,0),"ROTATIVO")</f>
        <v>57</v>
      </c>
      <c r="F7" s="46">
        <f>IFERROR(VLOOKUP(TRIM(VLOOKUP(A7,'CONTROL INBOUND'!$A:$DO,Hoja2!$C$1,0)),id_horario!A:E,2,0),"ROTATIVO")</f>
        <v>54</v>
      </c>
      <c r="G7" s="46">
        <f>IFERROR(VLOOKUP(TRIM(VLOOKUP(A7,'CONTROL INBOUND'!$A:$DO,Hoja2!$D$1,0)),id_horario!A:E,2,0),"ROTATIVO")</f>
        <v>70</v>
      </c>
      <c r="H7" s="46">
        <f>IFERROR(VLOOKUP(TRIM(VLOOKUP(A7,'CONTROL INBOUND'!$A:$DO,Hoja2!$E$1,0)),id_horario!A:E,2,0),"ROTATIVO")</f>
        <v>57</v>
      </c>
      <c r="I7" s="46">
        <f>IFERROR(VLOOKUP(TRIM(VLOOKUP(A7,'CONTROL INBOUND'!$A:$DO,Hoja2!$F$1,0)),id_horario!A:E,2,0),"ROTATIVO")</f>
        <v>67</v>
      </c>
      <c r="J7" s="46">
        <f>IFERROR(VLOOKUP(TRIM(VLOOKUP(A7,'CONTROL INBOUND'!$A:$DO,Hoja2!$G$1,0)),id_horario!A:E,2,0),"ROTATIVO")</f>
        <v>57</v>
      </c>
      <c r="K7" s="46">
        <f>IFERROR(VLOOKUP(TRIM(VLOOKUP(A7,'CONTROL INBOUND'!$A:$DO,Hoja2!$H$1,0)),id_horario!A:E,2,0),"ROTATIVO")</f>
        <v>57</v>
      </c>
      <c r="L7" s="46" t="str">
        <f>IFERROR(VLOOKUP(TRIM(VLOOKUP(A7,'CONTROL INBOUND'!$A:$DO,Hoja2!$I$1,0)),id_horario!A:E,2,0),"ROTATIVO")</f>
        <v>ROTATIVO</v>
      </c>
      <c r="M7" s="46" t="str">
        <f>IFERROR(VLOOKUP(TRIM(VLOOKUP(A7,'CONTROL INBOUND'!$A:$DO,Hoja2!$J$1,0)),id_horario!A:E,2,0),"ROTATIVO")</f>
        <v>ROTATIVO</v>
      </c>
      <c r="N7" s="46" t="str">
        <f>IFERROR(VLOOKUP(TRIM(VLOOKUP(A7,'CONTROL INBOUND'!$A:$DO,Hoja2!$K$1,0)),id_horario!A:E,2,0),"ROTATIVO")</f>
        <v>ROTATIVO</v>
      </c>
      <c r="O7" s="46" t="str">
        <f>IFERROR(VLOOKUP(TRIM(VLOOKUP(A7,'CONTROL INBOUND'!$A:$DO,Hoja2!$L$1,0)),id_horario!A:E,2,0),"ROTATIVO")</f>
        <v>ROTATIVO</v>
      </c>
      <c r="P7" s="46" t="str">
        <f>IFERROR(VLOOKUP(TRIM(VLOOKUP(A7,'CONTROL INBOUND'!$A:$DO,Hoja2!$M$1,0)),id_horario!A:E,2,0),"ROTATIVO")</f>
        <v>ROTATIVO</v>
      </c>
      <c r="Q7" s="46" t="str">
        <f>IFERROR(VLOOKUP(TRIM(VLOOKUP(A7,'CONTROL INBOUND'!$A:$DO,Hoja2!$N$1,0)),id_horario!A:E,2,0),"ROTATIVO")</f>
        <v>ROTATIVO</v>
      </c>
      <c r="R7" s="46" t="str">
        <f>IFERROR(VLOOKUP(TRIM(VLOOKUP(A7,'CONTROL INBOUND'!$A:$DO,Hoja2!$O$1,0)),id_horario!A:E,2,0),"ROTATIVO")</f>
        <v>ROTATIVO</v>
      </c>
      <c r="S7" s="46" t="str">
        <f>IFERROR(VLOOKUP(TRIM(VLOOKUP(A7,'CONTROL INBOUND'!$A:$DO,Hoja2!$P$1,0)),id_horario!A:E,2,0),"ROTATIVO")</f>
        <v>ROTATIVO</v>
      </c>
      <c r="T7" s="46" t="str">
        <f>IFERROR(VLOOKUP(TRIM(VLOOKUP(A7,'CONTROL INBOUND'!$A:$DO,Hoja2!$Q$1,0)),id_horario!A:E,2,0),"ROTATIVO")</f>
        <v>ROTATIVO</v>
      </c>
      <c r="U7" s="46" t="str">
        <f>IFERROR(VLOOKUP(TRIM(VLOOKUP(A7,'CONTROL INBOUND'!$A:$DO,Hoja2!$R$1,0)),id_horario!A:E,2,0),"ROTATIVO")</f>
        <v>ROTATIVO</v>
      </c>
      <c r="V7" s="46" t="str">
        <f>IFERROR(VLOOKUP(TRIM(VLOOKUP(A7,'CONTROL INBOUND'!$A:$DO,Hoja2!$S$1,0)),id_horario!A:E,2,0),"ROTATIVO")</f>
        <v>ROTATIVO</v>
      </c>
      <c r="W7" s="46" t="str">
        <f>IFERROR(VLOOKUP(TRIM(VLOOKUP(A7,'CONTROL INBOUND'!$A:$DO,Hoja2!$T$1,0)),id_horario!A:E,2,0),"ROTATIVO")</f>
        <v>ROTATIVO</v>
      </c>
      <c r="X7" s="46" t="str">
        <f>IFERROR(VLOOKUP(TRIM(VLOOKUP(A7,'CONTROL INBOUND'!$A:$DO,Hoja2!$U$1,0)),id_horario!A:E,2,0),"ROTATIVO")</f>
        <v>ROTATIVO</v>
      </c>
      <c r="Y7" s="46" t="str">
        <f>IFERROR(VLOOKUP(TRIM(VLOOKUP(A7,'CONTROL INBOUND'!$A:$DO,Hoja2!$V$1,0)),id_horario!A:E,2,0),"ROTATIVO")</f>
        <v>ROTATIVO</v>
      </c>
      <c r="Z7" s="46" t="str">
        <f>IFERROR(VLOOKUP(TRIM(VLOOKUP(A7,'CONTROL INBOUND'!$A:$DO,Hoja2!$W$1,0)),id_horario!A:E,2,0),"ROTATIVO")</f>
        <v>ROTATIVO</v>
      </c>
      <c r="AA7" s="46" t="str">
        <f>IFERROR(VLOOKUP(TRIM(VLOOKUP(A7,'CONTROL INBOUND'!$A:$DO,Hoja2!$X$1,0)),id_horario!A:E,2,0),"ROTATIVO")</f>
        <v>ROTATIVO</v>
      </c>
      <c r="AB7" s="46" t="str">
        <f>IFERROR(VLOOKUP(TRIM(VLOOKUP(A7,'CONTROL INBOUND'!$A:$DO,Hoja2!$Y$1,0)),id_horario!A:E,2,0),"ROTATIVO")</f>
        <v>ROTATIVO</v>
      </c>
      <c r="AC7" s="46" t="str">
        <f>IFERROR(VLOOKUP(TRIM(VLOOKUP(A7,'CONTROL INBOUND'!$A:$DO,Hoja2!$Z$1,0)),id_horario!A:E,2,0),"ROTATIVO")</f>
        <v>ROTATIVO</v>
      </c>
      <c r="AD7" s="46" t="str">
        <f>IFERROR(VLOOKUP(TRIM(VLOOKUP(A7,'CONTROL INBOUND'!$A:$DO,Hoja2!$AA$1,0)),id_horario!A:E,2,0),"ROTATIVO")</f>
        <v>ROTATIVO</v>
      </c>
      <c r="AE7" s="46" t="str">
        <f>IFERROR(VLOOKUP(TRIM(VLOOKUP(A7,'CONTROL INBOUND'!$A:$DO,Hoja2!$AB$1,0)),id_horario!A:E,2,0),"ROTATIVO")</f>
        <v>ROTATIVO</v>
      </c>
      <c r="AF7" s="46" t="str">
        <f>IFERROR(VLOOKUP(TRIM(VLOOKUP(A7,'CONTROL INBOUND'!$A:$DO,Hoja2!$AC$1,0)),id_horario!A:E,2,0),"ROTATIVO")</f>
        <v>ROTATIVO</v>
      </c>
      <c r="AG7" s="46" t="str">
        <f>IFERROR(VLOOKUP(TRIM(VLOOKUP(A7,'CONTROL INBOUND'!$A:$DO,Hoja2!$AD$1,0)),id_horario!A:E,2,0),"ROTATIVO")</f>
        <v>ROTATIVO</v>
      </c>
      <c r="AH7" s="46" t="str">
        <f>IFERROR(VLOOKUP(TRIM(VLOOKUP(A7,'CONTROL INBOUND'!$A:$DO,Hoja2!$AE$1,0)),id_horario!A:E,2,0),"ROTATIVO")</f>
        <v>ROTATIVO</v>
      </c>
    </row>
    <row r="8" spans="1:34">
      <c r="A8" s="45" t="s">
        <v>63</v>
      </c>
      <c r="B8" s="45">
        <v>1723541122</v>
      </c>
      <c r="C8" s="18" t="s">
        <v>46</v>
      </c>
      <c r="D8" s="46" t="str">
        <f>IFERROR(VLOOKUP(TRIM(VLOOKUP(A8,'CONTROL INBOUND'!$A:$DO,Hoja2!$A$1,0)),id_horario!A:E,2,0),"ROTATIVO")</f>
        <v>ROTATIVO</v>
      </c>
      <c r="E8" s="46" t="str">
        <f>IFERROR(VLOOKUP(TRIM(VLOOKUP(A8,'CONTROL INBOUND'!$A:$DO,Hoja2!$B$1,0)),id_horario!A:E,2,0),"ROTATIVO")</f>
        <v>ROTATIVO</v>
      </c>
      <c r="F8" s="46" t="str">
        <f>IFERROR(VLOOKUP(TRIM(VLOOKUP(A8,'CONTROL INBOUND'!$A:$DO,Hoja2!$C$1,0)),id_horario!A:E,2,0),"ROTATIVO")</f>
        <v>ROTATIVO</v>
      </c>
      <c r="G8" s="46" t="str">
        <f>IFERROR(VLOOKUP(TRIM(VLOOKUP(A8,'CONTROL INBOUND'!$A:$DO,Hoja2!$D$1,0)),id_horario!A:E,2,0),"ROTATIVO")</f>
        <v>ROTATIVO</v>
      </c>
      <c r="H8" s="46" t="str">
        <f>IFERROR(VLOOKUP(TRIM(VLOOKUP(A8,'CONTROL INBOUND'!$A:$DO,Hoja2!$E$1,0)),id_horario!A:E,2,0),"ROTATIVO")</f>
        <v>ROTATIVO</v>
      </c>
      <c r="I8" s="46" t="str">
        <f>IFERROR(VLOOKUP(TRIM(VLOOKUP(A8,'CONTROL INBOUND'!$A:$DO,Hoja2!$F$1,0)),id_horario!A:E,2,0),"ROTATIVO")</f>
        <v>ROTATIVO</v>
      </c>
      <c r="J8" s="46" t="str">
        <f>IFERROR(VLOOKUP(TRIM(VLOOKUP(A8,'CONTROL INBOUND'!$A:$DO,Hoja2!$G$1,0)),id_horario!A:E,2,0),"ROTATIVO")</f>
        <v>ROTATIVO</v>
      </c>
      <c r="K8" s="46" t="str">
        <f>IFERROR(VLOOKUP(TRIM(VLOOKUP(A8,'CONTROL INBOUND'!$A:$DO,Hoja2!$H$1,0)),id_horario!A:E,2,0),"ROTATIVO")</f>
        <v>ROTATIVO</v>
      </c>
      <c r="L8" s="46" t="str">
        <f>IFERROR(VLOOKUP(TRIM(VLOOKUP(A8,'CONTROL INBOUND'!$A:$DO,Hoja2!$I$1,0)),id_horario!A:E,2,0),"ROTATIVO")</f>
        <v>ROTATIVO</v>
      </c>
      <c r="M8" s="46" t="str">
        <f>IFERROR(VLOOKUP(TRIM(VLOOKUP(A8,'CONTROL INBOUND'!$A:$DO,Hoja2!$J$1,0)),id_horario!A:E,2,0),"ROTATIVO")</f>
        <v>ROTATIVO</v>
      </c>
      <c r="N8" s="46" t="str">
        <f>IFERROR(VLOOKUP(TRIM(VLOOKUP(A8,'CONTROL INBOUND'!$A:$DO,Hoja2!$K$1,0)),id_horario!A:E,2,0),"ROTATIVO")</f>
        <v>ROTATIVO</v>
      </c>
      <c r="O8" s="46" t="str">
        <f>IFERROR(VLOOKUP(TRIM(VLOOKUP(A8,'CONTROL INBOUND'!$A:$DO,Hoja2!$L$1,0)),id_horario!A:E,2,0),"ROTATIVO")</f>
        <v>ROTATIVO</v>
      </c>
      <c r="P8" s="46" t="str">
        <f>IFERROR(VLOOKUP(TRIM(VLOOKUP(A8,'CONTROL INBOUND'!$A:$DO,Hoja2!$M$1,0)),id_horario!A:E,2,0),"ROTATIVO")</f>
        <v>ROTATIVO</v>
      </c>
      <c r="Q8" s="46" t="str">
        <f>IFERROR(VLOOKUP(TRIM(VLOOKUP(A8,'CONTROL INBOUND'!$A:$DO,Hoja2!$N$1,0)),id_horario!A:E,2,0),"ROTATIVO")</f>
        <v>ROTATIVO</v>
      </c>
      <c r="R8" s="46" t="str">
        <f>IFERROR(VLOOKUP(TRIM(VLOOKUP(A8,'CONTROL INBOUND'!$A:$DO,Hoja2!$O$1,0)),id_horario!A:E,2,0),"ROTATIVO")</f>
        <v>ROTATIVO</v>
      </c>
      <c r="S8" s="46" t="str">
        <f>IFERROR(VLOOKUP(TRIM(VLOOKUP(A8,'CONTROL INBOUND'!$A:$DO,Hoja2!$P$1,0)),id_horario!A:E,2,0),"ROTATIVO")</f>
        <v>ROTATIVO</v>
      </c>
      <c r="T8" s="46" t="str">
        <f>IFERROR(VLOOKUP(TRIM(VLOOKUP(A8,'CONTROL INBOUND'!$A:$DO,Hoja2!$Q$1,0)),id_horario!A:E,2,0),"ROTATIVO")</f>
        <v>ROTATIVO</v>
      </c>
      <c r="U8" s="46" t="str">
        <f>IFERROR(VLOOKUP(TRIM(VLOOKUP(A8,'CONTROL INBOUND'!$A:$DO,Hoja2!$R$1,0)),id_horario!A:E,2,0),"ROTATIVO")</f>
        <v>ROTATIVO</v>
      </c>
      <c r="V8" s="46" t="str">
        <f>IFERROR(VLOOKUP(TRIM(VLOOKUP(A8,'CONTROL INBOUND'!$A:$DO,Hoja2!$S$1,0)),id_horario!A:E,2,0),"ROTATIVO")</f>
        <v>ROTATIVO</v>
      </c>
      <c r="W8" s="46" t="str">
        <f>IFERROR(VLOOKUP(TRIM(VLOOKUP(A8,'CONTROL INBOUND'!$A:$DO,Hoja2!$T$1,0)),id_horario!A:E,2,0),"ROTATIVO")</f>
        <v>ROTATIVO</v>
      </c>
      <c r="X8" s="46" t="str">
        <f>IFERROR(VLOOKUP(TRIM(VLOOKUP(A8,'CONTROL INBOUND'!$A:$DO,Hoja2!$U$1,0)),id_horario!A:E,2,0),"ROTATIVO")</f>
        <v>ROTATIVO</v>
      </c>
      <c r="Y8" s="46" t="str">
        <f>IFERROR(VLOOKUP(TRIM(VLOOKUP(A8,'CONTROL INBOUND'!$A:$DO,Hoja2!$V$1,0)),id_horario!A:E,2,0),"ROTATIVO")</f>
        <v>ROTATIVO</v>
      </c>
      <c r="Z8" s="46" t="str">
        <f>IFERROR(VLOOKUP(TRIM(VLOOKUP(A8,'CONTROL INBOUND'!$A:$DO,Hoja2!$W$1,0)),id_horario!A:E,2,0),"ROTATIVO")</f>
        <v>ROTATIVO</v>
      </c>
      <c r="AA8" s="46" t="str">
        <f>IFERROR(VLOOKUP(TRIM(VLOOKUP(A8,'CONTROL INBOUND'!$A:$DO,Hoja2!$X$1,0)),id_horario!A:E,2,0),"ROTATIVO")</f>
        <v>ROTATIVO</v>
      </c>
      <c r="AB8" s="46" t="str">
        <f>IFERROR(VLOOKUP(TRIM(VLOOKUP(A8,'CONTROL INBOUND'!$A:$DO,Hoja2!$Y$1,0)),id_horario!A:E,2,0),"ROTATIVO")</f>
        <v>ROTATIVO</v>
      </c>
      <c r="AC8" s="46" t="str">
        <f>IFERROR(VLOOKUP(TRIM(VLOOKUP(A8,'CONTROL INBOUND'!$A:$DO,Hoja2!$Z$1,0)),id_horario!A:E,2,0),"ROTATIVO")</f>
        <v>ROTATIVO</v>
      </c>
      <c r="AD8" s="46" t="str">
        <f>IFERROR(VLOOKUP(TRIM(VLOOKUP(A8,'CONTROL INBOUND'!$A:$DO,Hoja2!$AA$1,0)),id_horario!A:E,2,0),"ROTATIVO")</f>
        <v>ROTATIVO</v>
      </c>
      <c r="AE8" s="46" t="str">
        <f>IFERROR(VLOOKUP(TRIM(VLOOKUP(A8,'CONTROL INBOUND'!$A:$DO,Hoja2!$AB$1,0)),id_horario!A:E,2,0),"ROTATIVO")</f>
        <v>ROTATIVO</v>
      </c>
      <c r="AF8" s="46" t="str">
        <f>IFERROR(VLOOKUP(TRIM(VLOOKUP(A8,'CONTROL INBOUND'!$A:$DO,Hoja2!$AC$1,0)),id_horario!A:E,2,0),"ROTATIVO")</f>
        <v>ROTATIVO</v>
      </c>
      <c r="AG8" s="46" t="str">
        <f>IFERROR(VLOOKUP(TRIM(VLOOKUP(A8,'CONTROL INBOUND'!$A:$DO,Hoja2!$AD$1,0)),id_horario!A:E,2,0),"ROTATIVO")</f>
        <v>ROTATIVO</v>
      </c>
      <c r="AH8" s="46" t="str">
        <f>IFERROR(VLOOKUP(TRIM(VLOOKUP(A8,'CONTROL INBOUND'!$A:$DO,Hoja2!$AE$1,0)),id_horario!A:E,2,0),"ROTATIVO")</f>
        <v>ROTATIVO</v>
      </c>
    </row>
    <row r="9" spans="1:34">
      <c r="A9" s="45" t="s">
        <v>67</v>
      </c>
      <c r="B9" s="45">
        <v>1717668501</v>
      </c>
      <c r="C9" s="18" t="s">
        <v>46</v>
      </c>
      <c r="D9" s="46">
        <f>IFERROR(VLOOKUP(TRIM(VLOOKUP(A9,'CONTROL INBOUND'!$A:$DO,Hoja2!$A$1,0)),id_horario!A:E,2,0),"ROTATIVO")</f>
        <v>54</v>
      </c>
      <c r="E9" s="46">
        <f>IFERROR(VLOOKUP(TRIM(VLOOKUP(A9,'CONTROL INBOUND'!$A:$DO,Hoja2!$B$1,0)),id_horario!A:E,2,0),"ROTATIVO")</f>
        <v>57</v>
      </c>
      <c r="F9" s="46">
        <f>IFERROR(VLOOKUP(TRIM(VLOOKUP(A9,'CONTROL INBOUND'!$A:$DO,Hoja2!$C$1,0)),id_horario!A:E,2,0),"ROTATIVO")</f>
        <v>57</v>
      </c>
      <c r="G9" s="46">
        <f>IFERROR(VLOOKUP(TRIM(VLOOKUP(A9,'CONTROL INBOUND'!$A:$DO,Hoja2!$D$1,0)),id_horario!A:E,2,0),"ROTATIVO")</f>
        <v>57</v>
      </c>
      <c r="H9" s="46">
        <f>IFERROR(VLOOKUP(TRIM(VLOOKUP(A9,'CONTROL INBOUND'!$A:$DO,Hoja2!$E$1,0)),id_horario!A:E,2,0),"ROTATIVO")</f>
        <v>57</v>
      </c>
      <c r="I9" s="46">
        <f>IFERROR(VLOOKUP(TRIM(VLOOKUP(A9,'CONTROL INBOUND'!$A:$DO,Hoja2!$F$1,0)),id_horario!A:E,2,0),"ROTATIVO")</f>
        <v>57</v>
      </c>
      <c r="J9" s="46">
        <f>IFERROR(VLOOKUP(TRIM(VLOOKUP(A9,'CONTROL INBOUND'!$A:$DO,Hoja2!$G$1,0)),id_horario!A:E,2,0),"ROTATIVO")</f>
        <v>57</v>
      </c>
      <c r="K9" s="46" t="str">
        <f>IFERROR(VLOOKUP(TRIM(VLOOKUP(A9,'CONTROL INBOUND'!$A:$DO,Hoja2!$H$1,0)),id_horario!A:E,2,0),"ROTATIVO")</f>
        <v>ROTATIVO</v>
      </c>
      <c r="L9" s="46" t="str">
        <f>IFERROR(VLOOKUP(TRIM(VLOOKUP(A9,'CONTROL INBOUND'!$A:$DO,Hoja2!$I$1,0)),id_horario!A:E,2,0),"ROTATIVO")</f>
        <v>ROTATIVO</v>
      </c>
      <c r="M9" s="46" t="str">
        <f>IFERROR(VLOOKUP(TRIM(VLOOKUP(A9,'CONTROL INBOUND'!$A:$DO,Hoja2!$J$1,0)),id_horario!A:E,2,0),"ROTATIVO")</f>
        <v>ROTATIVO</v>
      </c>
      <c r="N9" s="46" t="str">
        <f>IFERROR(VLOOKUP(TRIM(VLOOKUP(A9,'CONTROL INBOUND'!$A:$DO,Hoja2!$K$1,0)),id_horario!A:E,2,0),"ROTATIVO")</f>
        <v>ROTATIVO</v>
      </c>
      <c r="O9" s="46" t="str">
        <f>IFERROR(VLOOKUP(TRIM(VLOOKUP(A9,'CONTROL INBOUND'!$A:$DO,Hoja2!$L$1,0)),id_horario!A:E,2,0),"ROTATIVO")</f>
        <v>ROTATIVO</v>
      </c>
      <c r="P9" s="46" t="str">
        <f>IFERROR(VLOOKUP(TRIM(VLOOKUP(A9,'CONTROL INBOUND'!$A:$DO,Hoja2!$M$1,0)),id_horario!A:E,2,0),"ROTATIVO")</f>
        <v>ROTATIVO</v>
      </c>
      <c r="Q9" s="46" t="str">
        <f>IFERROR(VLOOKUP(TRIM(VLOOKUP(A9,'CONTROL INBOUND'!$A:$DO,Hoja2!$N$1,0)),id_horario!A:E,2,0),"ROTATIVO")</f>
        <v>ROTATIVO</v>
      </c>
      <c r="R9" s="46" t="str">
        <f>IFERROR(VLOOKUP(TRIM(VLOOKUP(A9,'CONTROL INBOUND'!$A:$DO,Hoja2!$O$1,0)),id_horario!A:E,2,0),"ROTATIVO")</f>
        <v>ROTATIVO</v>
      </c>
      <c r="S9" s="46" t="str">
        <f>IFERROR(VLOOKUP(TRIM(VLOOKUP(A9,'CONTROL INBOUND'!$A:$DO,Hoja2!$P$1,0)),id_horario!A:E,2,0),"ROTATIVO")</f>
        <v>ROTATIVO</v>
      </c>
      <c r="T9" s="46" t="str">
        <f>IFERROR(VLOOKUP(TRIM(VLOOKUP(A9,'CONTROL INBOUND'!$A:$DO,Hoja2!$Q$1,0)),id_horario!A:E,2,0),"ROTATIVO")</f>
        <v>ROTATIVO</v>
      </c>
      <c r="U9" s="46" t="str">
        <f>IFERROR(VLOOKUP(TRIM(VLOOKUP(A9,'CONTROL INBOUND'!$A:$DO,Hoja2!$R$1,0)),id_horario!A:E,2,0),"ROTATIVO")</f>
        <v>ROTATIVO</v>
      </c>
      <c r="V9" s="46" t="str">
        <f>IFERROR(VLOOKUP(TRIM(VLOOKUP(A9,'CONTROL INBOUND'!$A:$DO,Hoja2!$S$1,0)),id_horario!A:E,2,0),"ROTATIVO")</f>
        <v>ROTATIVO</v>
      </c>
      <c r="W9" s="46" t="str">
        <f>IFERROR(VLOOKUP(TRIM(VLOOKUP(A9,'CONTROL INBOUND'!$A:$DO,Hoja2!$T$1,0)),id_horario!A:E,2,0),"ROTATIVO")</f>
        <v>ROTATIVO</v>
      </c>
      <c r="X9" s="46" t="str">
        <f>IFERROR(VLOOKUP(TRIM(VLOOKUP(A9,'CONTROL INBOUND'!$A:$DO,Hoja2!$U$1,0)),id_horario!A:E,2,0),"ROTATIVO")</f>
        <v>ROTATIVO</v>
      </c>
      <c r="Y9" s="46" t="str">
        <f>IFERROR(VLOOKUP(TRIM(VLOOKUP(A9,'CONTROL INBOUND'!$A:$DO,Hoja2!$V$1,0)),id_horario!A:E,2,0),"ROTATIVO")</f>
        <v>ROTATIVO</v>
      </c>
      <c r="Z9" s="46" t="str">
        <f>IFERROR(VLOOKUP(TRIM(VLOOKUP(A9,'CONTROL INBOUND'!$A:$DO,Hoja2!$W$1,0)),id_horario!A:E,2,0),"ROTATIVO")</f>
        <v>ROTATIVO</v>
      </c>
      <c r="AA9" s="46" t="str">
        <f>IFERROR(VLOOKUP(TRIM(VLOOKUP(A9,'CONTROL INBOUND'!$A:$DO,Hoja2!$X$1,0)),id_horario!A:E,2,0),"ROTATIVO")</f>
        <v>ROTATIVO</v>
      </c>
      <c r="AB9" s="46" t="str">
        <f>IFERROR(VLOOKUP(TRIM(VLOOKUP(A9,'CONTROL INBOUND'!$A:$DO,Hoja2!$Y$1,0)),id_horario!A:E,2,0),"ROTATIVO")</f>
        <v>ROTATIVO</v>
      </c>
      <c r="AC9" s="46" t="str">
        <f>IFERROR(VLOOKUP(TRIM(VLOOKUP(A9,'CONTROL INBOUND'!$A:$DO,Hoja2!$Z$1,0)),id_horario!A:E,2,0),"ROTATIVO")</f>
        <v>ROTATIVO</v>
      </c>
      <c r="AD9" s="46" t="str">
        <f>IFERROR(VLOOKUP(TRIM(VLOOKUP(A9,'CONTROL INBOUND'!$A:$DO,Hoja2!$AA$1,0)),id_horario!A:E,2,0),"ROTATIVO")</f>
        <v>ROTATIVO</v>
      </c>
      <c r="AE9" s="46" t="str">
        <f>IFERROR(VLOOKUP(TRIM(VLOOKUP(A9,'CONTROL INBOUND'!$A:$DO,Hoja2!$AB$1,0)),id_horario!A:E,2,0),"ROTATIVO")</f>
        <v>ROTATIVO</v>
      </c>
      <c r="AF9" s="46" t="str">
        <f>IFERROR(VLOOKUP(TRIM(VLOOKUP(A9,'CONTROL INBOUND'!$A:$DO,Hoja2!$AC$1,0)),id_horario!A:E,2,0),"ROTATIVO")</f>
        <v>ROTATIVO</v>
      </c>
      <c r="AG9" s="46" t="str">
        <f>IFERROR(VLOOKUP(TRIM(VLOOKUP(A9,'CONTROL INBOUND'!$A:$DO,Hoja2!$AD$1,0)),id_horario!A:E,2,0),"ROTATIVO")</f>
        <v>ROTATIVO</v>
      </c>
      <c r="AH9" s="46" t="str">
        <f>IFERROR(VLOOKUP(TRIM(VLOOKUP(A9,'CONTROL INBOUND'!$A:$DO,Hoja2!$AE$1,0)),id_horario!A:E,2,0),"ROTATIVO")</f>
        <v>ROTATIVO</v>
      </c>
    </row>
    <row r="10" spans="1:34">
      <c r="A10" s="45" t="s">
        <v>243</v>
      </c>
      <c r="B10" s="45" t="s">
        <v>244</v>
      </c>
      <c r="C10" s="18" t="s">
        <v>46</v>
      </c>
      <c r="D10" s="46" t="str">
        <f>IFERROR(VLOOKUP(TRIM(VLOOKUP(A10,'CONTROL INBOUND'!$A:$DO,Hoja2!$A$1,0)),id_horario!A:E,2,0),"ROTATIVO")</f>
        <v>ROTATIVO</v>
      </c>
      <c r="E10" s="46" t="str">
        <f>IFERROR(VLOOKUP(TRIM(VLOOKUP(A10,'CONTROL INBOUND'!$A:$DO,Hoja2!$B$1,0)),id_horario!A:E,2,0),"ROTATIVO")</f>
        <v>ROTATIVO</v>
      </c>
      <c r="F10" s="46" t="str">
        <f>IFERROR(VLOOKUP(TRIM(VLOOKUP(A10,'CONTROL INBOUND'!$A:$DO,Hoja2!$C$1,0)),id_horario!A:E,2,0),"ROTATIVO")</f>
        <v>ROTATIVO</v>
      </c>
      <c r="G10" s="46" t="str">
        <f>IFERROR(VLOOKUP(TRIM(VLOOKUP(A10,'CONTROL INBOUND'!$A:$DO,Hoja2!$D$1,0)),id_horario!A:E,2,0),"ROTATIVO")</f>
        <v>ROTATIVO</v>
      </c>
      <c r="H10" s="46" t="str">
        <f>IFERROR(VLOOKUP(TRIM(VLOOKUP(A10,'CONTROL INBOUND'!$A:$DO,Hoja2!$E$1,0)),id_horario!A:E,2,0),"ROTATIVO")</f>
        <v>ROTATIVO</v>
      </c>
      <c r="I10" s="46" t="str">
        <f>IFERROR(VLOOKUP(TRIM(VLOOKUP(A10,'CONTROL INBOUND'!$A:$DO,Hoja2!$F$1,0)),id_horario!A:E,2,0),"ROTATIVO")</f>
        <v>ROTATIVO</v>
      </c>
      <c r="J10" s="46" t="str">
        <f>IFERROR(VLOOKUP(TRIM(VLOOKUP(A10,'CONTROL INBOUND'!$A:$DO,Hoja2!$G$1,0)),id_horario!A:E,2,0),"ROTATIVO")</f>
        <v>ROTATIVO</v>
      </c>
      <c r="K10" s="46" t="str">
        <f>IFERROR(VLOOKUP(TRIM(VLOOKUP(A10,'CONTROL INBOUND'!$A:$DO,Hoja2!$H$1,0)),id_horario!A:E,2,0),"ROTATIVO")</f>
        <v>ROTATIVO</v>
      </c>
      <c r="L10" s="46" t="str">
        <f>IFERROR(VLOOKUP(TRIM(VLOOKUP(A10,'CONTROL INBOUND'!$A:$DO,Hoja2!$I$1,0)),id_horario!A:E,2,0),"ROTATIVO")</f>
        <v>ROTATIVO</v>
      </c>
      <c r="M10" s="46" t="str">
        <f>IFERROR(VLOOKUP(TRIM(VLOOKUP(A10,'CONTROL INBOUND'!$A:$DO,Hoja2!$J$1,0)),id_horario!A:E,2,0),"ROTATIVO")</f>
        <v>ROTATIVO</v>
      </c>
      <c r="N10" s="46" t="str">
        <f>IFERROR(VLOOKUP(TRIM(VLOOKUP(A10,'CONTROL INBOUND'!$A:$DO,Hoja2!$K$1,0)),id_horario!A:E,2,0),"ROTATIVO")</f>
        <v>ROTATIVO</v>
      </c>
      <c r="O10" s="46" t="str">
        <f>IFERROR(VLOOKUP(TRIM(VLOOKUP(A10,'CONTROL INBOUND'!$A:$DO,Hoja2!$L$1,0)),id_horario!A:E,2,0),"ROTATIVO")</f>
        <v>ROTATIVO</v>
      </c>
      <c r="P10" s="46" t="str">
        <f>IFERROR(VLOOKUP(TRIM(VLOOKUP(A10,'CONTROL INBOUND'!$A:$DO,Hoja2!$M$1,0)),id_horario!A:E,2,0),"ROTATIVO")</f>
        <v>ROTATIVO</v>
      </c>
      <c r="Q10" s="46" t="str">
        <f>IFERROR(VLOOKUP(TRIM(VLOOKUP(A10,'CONTROL INBOUND'!$A:$DO,Hoja2!$N$1,0)),id_horario!A:E,2,0),"ROTATIVO")</f>
        <v>ROTATIVO</v>
      </c>
      <c r="R10" s="46" t="str">
        <f>IFERROR(VLOOKUP(TRIM(VLOOKUP(A10,'CONTROL INBOUND'!$A:$DO,Hoja2!$O$1,0)),id_horario!A:E,2,0),"ROTATIVO")</f>
        <v>ROTATIVO</v>
      </c>
      <c r="S10" s="46" t="str">
        <f>IFERROR(VLOOKUP(TRIM(VLOOKUP(A10,'CONTROL INBOUND'!$A:$DO,Hoja2!$P$1,0)),id_horario!A:E,2,0),"ROTATIVO")</f>
        <v>ROTATIVO</v>
      </c>
      <c r="T10" s="46" t="str">
        <f>IFERROR(VLOOKUP(TRIM(VLOOKUP(A10,'CONTROL INBOUND'!$A:$DO,Hoja2!$Q$1,0)),id_horario!A:E,2,0),"ROTATIVO")</f>
        <v>ROTATIVO</v>
      </c>
      <c r="U10" s="46" t="str">
        <f>IFERROR(VLOOKUP(TRIM(VLOOKUP(A10,'CONTROL INBOUND'!$A:$DO,Hoja2!$R$1,0)),id_horario!A:E,2,0),"ROTATIVO")</f>
        <v>ROTATIVO</v>
      </c>
      <c r="V10" s="46" t="str">
        <f>IFERROR(VLOOKUP(TRIM(VLOOKUP(A10,'CONTROL INBOUND'!$A:$DO,Hoja2!$S$1,0)),id_horario!A:E,2,0),"ROTATIVO")</f>
        <v>ROTATIVO</v>
      </c>
      <c r="W10" s="46" t="str">
        <f>IFERROR(VLOOKUP(TRIM(VLOOKUP(A10,'CONTROL INBOUND'!$A:$DO,Hoja2!$T$1,0)),id_horario!A:E,2,0),"ROTATIVO")</f>
        <v>ROTATIVO</v>
      </c>
      <c r="X10" s="46" t="str">
        <f>IFERROR(VLOOKUP(TRIM(VLOOKUP(A10,'CONTROL INBOUND'!$A:$DO,Hoja2!$U$1,0)),id_horario!A:E,2,0),"ROTATIVO")</f>
        <v>ROTATIVO</v>
      </c>
      <c r="Y10" s="46" t="str">
        <f>IFERROR(VLOOKUP(TRIM(VLOOKUP(A10,'CONTROL INBOUND'!$A:$DO,Hoja2!$V$1,0)),id_horario!A:E,2,0),"ROTATIVO")</f>
        <v>ROTATIVO</v>
      </c>
      <c r="Z10" s="46" t="str">
        <f>IFERROR(VLOOKUP(TRIM(VLOOKUP(A10,'CONTROL INBOUND'!$A:$DO,Hoja2!$W$1,0)),id_horario!A:E,2,0),"ROTATIVO")</f>
        <v>ROTATIVO</v>
      </c>
      <c r="AA10" s="46" t="str">
        <f>IFERROR(VLOOKUP(TRIM(VLOOKUP(A10,'CONTROL INBOUND'!$A:$DO,Hoja2!$X$1,0)),id_horario!A:E,2,0),"ROTATIVO")</f>
        <v>ROTATIVO</v>
      </c>
      <c r="AB10" s="46" t="str">
        <f>IFERROR(VLOOKUP(TRIM(VLOOKUP(A10,'CONTROL INBOUND'!$A:$DO,Hoja2!$Y$1,0)),id_horario!A:E,2,0),"ROTATIVO")</f>
        <v>ROTATIVO</v>
      </c>
      <c r="AC10" s="46" t="str">
        <f>IFERROR(VLOOKUP(TRIM(VLOOKUP(A10,'CONTROL INBOUND'!$A:$DO,Hoja2!$Z$1,0)),id_horario!A:E,2,0),"ROTATIVO")</f>
        <v>ROTATIVO</v>
      </c>
      <c r="AD10" s="46" t="str">
        <f>IFERROR(VLOOKUP(TRIM(VLOOKUP(A10,'CONTROL INBOUND'!$A:$DO,Hoja2!$AA$1,0)),id_horario!A:E,2,0),"ROTATIVO")</f>
        <v>ROTATIVO</v>
      </c>
      <c r="AE10" s="46" t="str">
        <f>IFERROR(VLOOKUP(TRIM(VLOOKUP(A10,'CONTROL INBOUND'!$A:$DO,Hoja2!$AB$1,0)),id_horario!A:E,2,0),"ROTATIVO")</f>
        <v>ROTATIVO</v>
      </c>
      <c r="AF10" s="46" t="str">
        <f>IFERROR(VLOOKUP(TRIM(VLOOKUP(A10,'CONTROL INBOUND'!$A:$DO,Hoja2!$AC$1,0)),id_horario!A:E,2,0),"ROTATIVO")</f>
        <v>ROTATIVO</v>
      </c>
      <c r="AG10" s="46" t="str">
        <f>IFERROR(VLOOKUP(TRIM(VLOOKUP(A10,'CONTROL INBOUND'!$A:$DO,Hoja2!$AD$1,0)),id_horario!A:E,2,0),"ROTATIVO")</f>
        <v>ROTATIVO</v>
      </c>
      <c r="AH10" s="46" t="str">
        <f>IFERROR(VLOOKUP(TRIM(VLOOKUP(A10,'CONTROL INBOUND'!$A:$DO,Hoja2!$AE$1,0)),id_horario!A:E,2,0),"ROTATIVO")</f>
        <v>ROTATIVO</v>
      </c>
    </row>
    <row r="11" spans="1:34">
      <c r="A11" s="45" t="s">
        <v>251</v>
      </c>
      <c r="B11" s="45">
        <v>1751056746</v>
      </c>
      <c r="C11" s="18" t="s">
        <v>46</v>
      </c>
      <c r="D11" s="46" t="str">
        <f>IFERROR(VLOOKUP(TRIM(VLOOKUP(A11,'CONTROL INBOUND'!$A:$DO,Hoja2!$A$1,0)),id_horario!A:E,2,0),"ROTATIVO")</f>
        <v>ROTATIVO</v>
      </c>
      <c r="E11" s="46" t="str">
        <f>IFERROR(VLOOKUP(TRIM(VLOOKUP(A11,'CONTROL INBOUND'!$A:$DO,Hoja2!$B$1,0)),id_horario!A:E,2,0),"ROTATIVO")</f>
        <v>ROTATIVO</v>
      </c>
      <c r="F11" s="46" t="str">
        <f>IFERROR(VLOOKUP(TRIM(VLOOKUP(A11,'CONTROL INBOUND'!$A:$DO,Hoja2!$C$1,0)),id_horario!A:E,2,0),"ROTATIVO")</f>
        <v>ROTATIVO</v>
      </c>
      <c r="G11" s="46" t="str">
        <f>IFERROR(VLOOKUP(TRIM(VLOOKUP(A11,'CONTROL INBOUND'!$A:$DO,Hoja2!$D$1,0)),id_horario!A:E,2,0),"ROTATIVO")</f>
        <v>ROTATIVO</v>
      </c>
      <c r="H11" s="46" t="str">
        <f>IFERROR(VLOOKUP(TRIM(VLOOKUP(A11,'CONTROL INBOUND'!$A:$DO,Hoja2!$E$1,0)),id_horario!A:E,2,0),"ROTATIVO")</f>
        <v>ROTATIVO</v>
      </c>
      <c r="I11" s="46" t="str">
        <f>IFERROR(VLOOKUP(TRIM(VLOOKUP(A11,'CONTROL INBOUND'!$A:$DO,Hoja2!$F$1,0)),id_horario!A:E,2,0),"ROTATIVO")</f>
        <v>ROTATIVO</v>
      </c>
      <c r="J11" s="46" t="str">
        <f>IFERROR(VLOOKUP(TRIM(VLOOKUP(A11,'CONTROL INBOUND'!$A:$DO,Hoja2!$G$1,0)),id_horario!A:E,2,0),"ROTATIVO")</f>
        <v>ROTATIVO</v>
      </c>
      <c r="K11" s="46" t="str">
        <f>IFERROR(VLOOKUP(TRIM(VLOOKUP(A11,'CONTROL INBOUND'!$A:$DO,Hoja2!$H$1,0)),id_horario!A:E,2,0),"ROTATIVO")</f>
        <v>ROTATIVO</v>
      </c>
      <c r="L11" s="46" t="str">
        <f>IFERROR(VLOOKUP(TRIM(VLOOKUP(A11,'CONTROL INBOUND'!$A:$DO,Hoja2!$I$1,0)),id_horario!A:E,2,0),"ROTATIVO")</f>
        <v>ROTATIVO</v>
      </c>
      <c r="M11" s="46" t="str">
        <f>IFERROR(VLOOKUP(TRIM(VLOOKUP(A11,'CONTROL INBOUND'!$A:$DO,Hoja2!$J$1,0)),id_horario!A:E,2,0),"ROTATIVO")</f>
        <v>ROTATIVO</v>
      </c>
      <c r="N11" s="46" t="str">
        <f>IFERROR(VLOOKUP(TRIM(VLOOKUP(A11,'CONTROL INBOUND'!$A:$DO,Hoja2!$K$1,0)),id_horario!A:E,2,0),"ROTATIVO")</f>
        <v>ROTATIVO</v>
      </c>
      <c r="O11" s="46" t="str">
        <f>IFERROR(VLOOKUP(TRIM(VLOOKUP(A11,'CONTROL INBOUND'!$A:$DO,Hoja2!$L$1,0)),id_horario!A:E,2,0),"ROTATIVO")</f>
        <v>ROTATIVO</v>
      </c>
      <c r="P11" s="46" t="str">
        <f>IFERROR(VLOOKUP(TRIM(VLOOKUP(A11,'CONTROL INBOUND'!$A:$DO,Hoja2!$M$1,0)),id_horario!A:E,2,0),"ROTATIVO")</f>
        <v>ROTATIVO</v>
      </c>
      <c r="Q11" s="46" t="str">
        <f>IFERROR(VLOOKUP(TRIM(VLOOKUP(A11,'CONTROL INBOUND'!$A:$DO,Hoja2!$N$1,0)),id_horario!A:E,2,0),"ROTATIVO")</f>
        <v>ROTATIVO</v>
      </c>
      <c r="R11" s="46" t="str">
        <f>IFERROR(VLOOKUP(TRIM(VLOOKUP(A11,'CONTROL INBOUND'!$A:$DO,Hoja2!$O$1,0)),id_horario!A:E,2,0),"ROTATIVO")</f>
        <v>ROTATIVO</v>
      </c>
      <c r="S11" s="46" t="str">
        <f>IFERROR(VLOOKUP(TRIM(VLOOKUP(A11,'CONTROL INBOUND'!$A:$DO,Hoja2!$P$1,0)),id_horario!A:E,2,0),"ROTATIVO")</f>
        <v>ROTATIVO</v>
      </c>
      <c r="T11" s="46" t="str">
        <f>IFERROR(VLOOKUP(TRIM(VLOOKUP(A11,'CONTROL INBOUND'!$A:$DO,Hoja2!$Q$1,0)),id_horario!A:E,2,0),"ROTATIVO")</f>
        <v>ROTATIVO</v>
      </c>
      <c r="U11" s="46" t="str">
        <f>IFERROR(VLOOKUP(TRIM(VLOOKUP(A11,'CONTROL INBOUND'!$A:$DO,Hoja2!$R$1,0)),id_horario!A:E,2,0),"ROTATIVO")</f>
        <v>ROTATIVO</v>
      </c>
      <c r="V11" s="46" t="str">
        <f>IFERROR(VLOOKUP(TRIM(VLOOKUP(A11,'CONTROL INBOUND'!$A:$DO,Hoja2!$S$1,0)),id_horario!A:E,2,0),"ROTATIVO")</f>
        <v>ROTATIVO</v>
      </c>
      <c r="W11" s="46" t="str">
        <f>IFERROR(VLOOKUP(TRIM(VLOOKUP(A11,'CONTROL INBOUND'!$A:$DO,Hoja2!$T$1,0)),id_horario!A:E,2,0),"ROTATIVO")</f>
        <v>ROTATIVO</v>
      </c>
      <c r="X11" s="46" t="str">
        <f>IFERROR(VLOOKUP(TRIM(VLOOKUP(A11,'CONTROL INBOUND'!$A:$DO,Hoja2!$U$1,0)),id_horario!A:E,2,0),"ROTATIVO")</f>
        <v>ROTATIVO</v>
      </c>
      <c r="Y11" s="46" t="str">
        <f>IFERROR(VLOOKUP(TRIM(VLOOKUP(A11,'CONTROL INBOUND'!$A:$DO,Hoja2!$V$1,0)),id_horario!A:E,2,0),"ROTATIVO")</f>
        <v>ROTATIVO</v>
      </c>
      <c r="Z11" s="46" t="str">
        <f>IFERROR(VLOOKUP(TRIM(VLOOKUP(A11,'CONTROL INBOUND'!$A:$DO,Hoja2!$W$1,0)),id_horario!A:E,2,0),"ROTATIVO")</f>
        <v>ROTATIVO</v>
      </c>
      <c r="AA11" s="46" t="str">
        <f>IFERROR(VLOOKUP(TRIM(VLOOKUP(A11,'CONTROL INBOUND'!$A:$DO,Hoja2!$X$1,0)),id_horario!A:E,2,0),"ROTATIVO")</f>
        <v>ROTATIVO</v>
      </c>
      <c r="AB11" s="46" t="str">
        <f>IFERROR(VLOOKUP(TRIM(VLOOKUP(A11,'CONTROL INBOUND'!$A:$DO,Hoja2!$Y$1,0)),id_horario!A:E,2,0),"ROTATIVO")</f>
        <v>ROTATIVO</v>
      </c>
      <c r="AC11" s="46" t="str">
        <f>IFERROR(VLOOKUP(TRIM(VLOOKUP(A11,'CONTROL INBOUND'!$A:$DO,Hoja2!$Z$1,0)),id_horario!A:E,2,0),"ROTATIVO")</f>
        <v>ROTATIVO</v>
      </c>
      <c r="AD11" s="46" t="str">
        <f>IFERROR(VLOOKUP(TRIM(VLOOKUP(A11,'CONTROL INBOUND'!$A:$DO,Hoja2!$AA$1,0)),id_horario!A:E,2,0),"ROTATIVO")</f>
        <v>ROTATIVO</v>
      </c>
      <c r="AE11" s="46" t="str">
        <f>IFERROR(VLOOKUP(TRIM(VLOOKUP(A11,'CONTROL INBOUND'!$A:$DO,Hoja2!$AB$1,0)),id_horario!A:E,2,0),"ROTATIVO")</f>
        <v>ROTATIVO</v>
      </c>
      <c r="AF11" s="46" t="str">
        <f>IFERROR(VLOOKUP(TRIM(VLOOKUP(A11,'CONTROL INBOUND'!$A:$DO,Hoja2!$AC$1,0)),id_horario!A:E,2,0),"ROTATIVO")</f>
        <v>ROTATIVO</v>
      </c>
      <c r="AG11" s="46" t="str">
        <f>IFERROR(VLOOKUP(TRIM(VLOOKUP(A11,'CONTROL INBOUND'!$A:$DO,Hoja2!$AD$1,0)),id_horario!A:E,2,0),"ROTATIVO")</f>
        <v>ROTATIVO</v>
      </c>
      <c r="AH11" s="46" t="str">
        <f>IFERROR(VLOOKUP(TRIM(VLOOKUP(A11,'CONTROL INBOUND'!$A:$DO,Hoja2!$AE$1,0)),id_horario!A:E,2,0),"ROTATIVO")</f>
        <v>ROTATIVO</v>
      </c>
    </row>
    <row r="12" spans="1:34">
      <c r="A12" s="45" t="s">
        <v>259</v>
      </c>
      <c r="B12" s="45">
        <v>1752920445</v>
      </c>
      <c r="C12" s="18" t="s">
        <v>46</v>
      </c>
      <c r="D12" s="46" t="str">
        <f>IFERROR(VLOOKUP(TRIM(VLOOKUP(A12,'CONTROL INBOUND'!$A:$DO,Hoja2!$A$1,0)),id_horario!A:E,2,0),"ROTATIVO")</f>
        <v>ROTATIVO</v>
      </c>
      <c r="E12" s="46">
        <f>IFERROR(VLOOKUP(TRIM(VLOOKUP(A12,'CONTROL INBOUND'!$A:$DO,Hoja2!$B$1,0)),id_horario!A:E,2,0),"ROTATIVO")</f>
        <v>54</v>
      </c>
      <c r="F12" s="46">
        <f>IFERROR(VLOOKUP(TRIM(VLOOKUP(A12,'CONTROL INBOUND'!$A:$DO,Hoja2!$C$1,0)),id_horario!A:E,2,0),"ROTATIVO")</f>
        <v>57</v>
      </c>
      <c r="G12" s="46">
        <f>IFERROR(VLOOKUP(TRIM(VLOOKUP(A12,'CONTROL INBOUND'!$A:$DO,Hoja2!$D$1,0)),id_horario!A:E,2,0),"ROTATIVO")</f>
        <v>57</v>
      </c>
      <c r="H12" s="46">
        <f>IFERROR(VLOOKUP(TRIM(VLOOKUP(A12,'CONTROL INBOUND'!$A:$DO,Hoja2!$E$1,0)),id_horario!A:E,2,0),"ROTATIVO")</f>
        <v>57</v>
      </c>
      <c r="I12" s="46">
        <f>IFERROR(VLOOKUP(TRIM(VLOOKUP(A12,'CONTROL INBOUND'!$A:$DO,Hoja2!$F$1,0)),id_horario!A:E,2,0),"ROTATIVO")</f>
        <v>57</v>
      </c>
      <c r="J12" s="46" t="str">
        <f>IFERROR(VLOOKUP(TRIM(VLOOKUP(A12,'CONTROL INBOUND'!$A:$DO,Hoja2!$G$1,0)),id_horario!A:E,2,0),"ROTATIVO")</f>
        <v>ROTATIVO</v>
      </c>
      <c r="K12" s="46">
        <f>IFERROR(VLOOKUP(TRIM(VLOOKUP(A12,'CONTROL INBOUND'!$A:$DO,Hoja2!$H$1,0)),id_horario!A:E,2,0),"ROTATIVO")</f>
        <v>67</v>
      </c>
      <c r="L12" s="46" t="str">
        <f>IFERROR(VLOOKUP(TRIM(VLOOKUP(A12,'CONTROL INBOUND'!$A:$DO,Hoja2!$I$1,0)),id_horario!A:E,2,0),"ROTATIVO")</f>
        <v>ROTATIVO</v>
      </c>
      <c r="M12" s="46" t="str">
        <f>IFERROR(VLOOKUP(TRIM(VLOOKUP(A12,'CONTROL INBOUND'!$A:$DO,Hoja2!$J$1,0)),id_horario!A:E,2,0),"ROTATIVO")</f>
        <v>ROTATIVO</v>
      </c>
      <c r="N12" s="46" t="str">
        <f>IFERROR(VLOOKUP(TRIM(VLOOKUP(A12,'CONTROL INBOUND'!$A:$DO,Hoja2!$K$1,0)),id_horario!A:E,2,0),"ROTATIVO")</f>
        <v>ROTATIVO</v>
      </c>
      <c r="O12" s="46" t="str">
        <f>IFERROR(VLOOKUP(TRIM(VLOOKUP(A12,'CONTROL INBOUND'!$A:$DO,Hoja2!$L$1,0)),id_horario!A:E,2,0),"ROTATIVO")</f>
        <v>ROTATIVO</v>
      </c>
      <c r="P12" s="46" t="str">
        <f>IFERROR(VLOOKUP(TRIM(VLOOKUP(A12,'CONTROL INBOUND'!$A:$DO,Hoja2!$M$1,0)),id_horario!A:E,2,0),"ROTATIVO")</f>
        <v>ROTATIVO</v>
      </c>
      <c r="Q12" s="46" t="str">
        <f>IFERROR(VLOOKUP(TRIM(VLOOKUP(A12,'CONTROL INBOUND'!$A:$DO,Hoja2!$N$1,0)),id_horario!A:E,2,0),"ROTATIVO")</f>
        <v>ROTATIVO</v>
      </c>
      <c r="R12" s="46" t="str">
        <f>IFERROR(VLOOKUP(TRIM(VLOOKUP(A12,'CONTROL INBOUND'!$A:$DO,Hoja2!$O$1,0)),id_horario!A:E,2,0),"ROTATIVO")</f>
        <v>ROTATIVO</v>
      </c>
      <c r="S12" s="46" t="str">
        <f>IFERROR(VLOOKUP(TRIM(VLOOKUP(A12,'CONTROL INBOUND'!$A:$DO,Hoja2!$P$1,0)),id_horario!A:E,2,0),"ROTATIVO")</f>
        <v>ROTATIVO</v>
      </c>
      <c r="T12" s="46" t="str">
        <f>IFERROR(VLOOKUP(TRIM(VLOOKUP(A12,'CONTROL INBOUND'!$A:$DO,Hoja2!$Q$1,0)),id_horario!A:E,2,0),"ROTATIVO")</f>
        <v>ROTATIVO</v>
      </c>
      <c r="U12" s="46" t="str">
        <f>IFERROR(VLOOKUP(TRIM(VLOOKUP(A12,'CONTROL INBOUND'!$A:$DO,Hoja2!$R$1,0)),id_horario!A:E,2,0),"ROTATIVO")</f>
        <v>ROTATIVO</v>
      </c>
      <c r="V12" s="46" t="str">
        <f>IFERROR(VLOOKUP(TRIM(VLOOKUP(A12,'CONTROL INBOUND'!$A:$DO,Hoja2!$S$1,0)),id_horario!A:E,2,0),"ROTATIVO")</f>
        <v>ROTATIVO</v>
      </c>
      <c r="W12" s="46" t="str">
        <f>IFERROR(VLOOKUP(TRIM(VLOOKUP(A12,'CONTROL INBOUND'!$A:$DO,Hoja2!$T$1,0)),id_horario!A:E,2,0),"ROTATIVO")</f>
        <v>ROTATIVO</v>
      </c>
      <c r="X12" s="46" t="str">
        <f>IFERROR(VLOOKUP(TRIM(VLOOKUP(A12,'CONTROL INBOUND'!$A:$DO,Hoja2!$U$1,0)),id_horario!A:E,2,0),"ROTATIVO")</f>
        <v>ROTATIVO</v>
      </c>
      <c r="Y12" s="46" t="str">
        <f>IFERROR(VLOOKUP(TRIM(VLOOKUP(A12,'CONTROL INBOUND'!$A:$DO,Hoja2!$V$1,0)),id_horario!A:E,2,0),"ROTATIVO")</f>
        <v>ROTATIVO</v>
      </c>
      <c r="Z12" s="46" t="str">
        <f>IFERROR(VLOOKUP(TRIM(VLOOKUP(A12,'CONTROL INBOUND'!$A:$DO,Hoja2!$W$1,0)),id_horario!A:E,2,0),"ROTATIVO")</f>
        <v>ROTATIVO</v>
      </c>
      <c r="AA12" s="46" t="str">
        <f>IFERROR(VLOOKUP(TRIM(VLOOKUP(A12,'CONTROL INBOUND'!$A:$DO,Hoja2!$X$1,0)),id_horario!A:E,2,0),"ROTATIVO")</f>
        <v>ROTATIVO</v>
      </c>
      <c r="AB12" s="46" t="str">
        <f>IFERROR(VLOOKUP(TRIM(VLOOKUP(A12,'CONTROL INBOUND'!$A:$DO,Hoja2!$Y$1,0)),id_horario!A:E,2,0),"ROTATIVO")</f>
        <v>ROTATIVO</v>
      </c>
      <c r="AC12" s="46" t="str">
        <f>IFERROR(VLOOKUP(TRIM(VLOOKUP(A12,'CONTROL INBOUND'!$A:$DO,Hoja2!$Z$1,0)),id_horario!A:E,2,0),"ROTATIVO")</f>
        <v>ROTATIVO</v>
      </c>
      <c r="AD12" s="46" t="str">
        <f>IFERROR(VLOOKUP(TRIM(VLOOKUP(A12,'CONTROL INBOUND'!$A:$DO,Hoja2!$AA$1,0)),id_horario!A:E,2,0),"ROTATIVO")</f>
        <v>ROTATIVO</v>
      </c>
      <c r="AE12" s="46" t="str">
        <f>IFERROR(VLOOKUP(TRIM(VLOOKUP(A12,'CONTROL INBOUND'!$A:$DO,Hoja2!$AB$1,0)),id_horario!A:E,2,0),"ROTATIVO")</f>
        <v>ROTATIVO</v>
      </c>
      <c r="AF12" s="46" t="str">
        <f>IFERROR(VLOOKUP(TRIM(VLOOKUP(A12,'CONTROL INBOUND'!$A:$DO,Hoja2!$AC$1,0)),id_horario!A:E,2,0),"ROTATIVO")</f>
        <v>ROTATIVO</v>
      </c>
      <c r="AG12" s="46" t="str">
        <f>IFERROR(VLOOKUP(TRIM(VLOOKUP(A12,'CONTROL INBOUND'!$A:$DO,Hoja2!$AD$1,0)),id_horario!A:E,2,0),"ROTATIVO")</f>
        <v>ROTATIVO</v>
      </c>
      <c r="AH12" s="46" t="str">
        <f>IFERROR(VLOOKUP(TRIM(VLOOKUP(A12,'CONTROL INBOUND'!$A:$DO,Hoja2!$AE$1,0)),id_horario!A:E,2,0),"ROTATIVO")</f>
        <v>ROTATIVO</v>
      </c>
    </row>
    <row r="13" spans="1:34">
      <c r="A13" s="45" t="s">
        <v>280</v>
      </c>
      <c r="B13" s="45">
        <v>1722005228</v>
      </c>
      <c r="C13" s="18" t="s">
        <v>46</v>
      </c>
      <c r="D13" s="46" t="str">
        <f>IFERROR(VLOOKUP(TRIM(VLOOKUP(A13,'CONTROL INBOUND'!$A:$DO,Hoja2!$A$1,0)),id_horario!A:E,2,0),"ROTATIVO")</f>
        <v>ROTATIVO</v>
      </c>
      <c r="E13" s="46" t="str">
        <f>IFERROR(VLOOKUP(TRIM(VLOOKUP(A13,'CONTROL INBOUND'!$A:$DO,Hoja2!$B$1,0)),id_horario!A:E,2,0),"ROTATIVO")</f>
        <v>ROTATIVO</v>
      </c>
      <c r="F13" s="46" t="str">
        <f>IFERROR(VLOOKUP(TRIM(VLOOKUP(A13,'CONTROL INBOUND'!$A:$DO,Hoja2!$C$1,0)),id_horario!A:E,2,0),"ROTATIVO")</f>
        <v>ROTATIVO</v>
      </c>
      <c r="G13" s="46" t="str">
        <f>IFERROR(VLOOKUP(TRIM(VLOOKUP(A13,'CONTROL INBOUND'!$A:$DO,Hoja2!$D$1,0)),id_horario!A:E,2,0),"ROTATIVO")</f>
        <v>ROTATIVO</v>
      </c>
      <c r="H13" s="46" t="str">
        <f>IFERROR(VLOOKUP(TRIM(VLOOKUP(A13,'CONTROL INBOUND'!$A:$DO,Hoja2!$E$1,0)),id_horario!A:E,2,0),"ROTATIVO")</f>
        <v>ROTATIVO</v>
      </c>
      <c r="I13" s="46" t="str">
        <f>IFERROR(VLOOKUP(TRIM(VLOOKUP(A13,'CONTROL INBOUND'!$A:$DO,Hoja2!$F$1,0)),id_horario!A:E,2,0),"ROTATIVO")</f>
        <v>ROTATIVO</v>
      </c>
      <c r="J13" s="46" t="str">
        <f>IFERROR(VLOOKUP(TRIM(VLOOKUP(A13,'CONTROL INBOUND'!$A:$DO,Hoja2!$G$1,0)),id_horario!A:E,2,0),"ROTATIVO")</f>
        <v>ROTATIVO</v>
      </c>
      <c r="K13" s="46" t="str">
        <f>IFERROR(VLOOKUP(TRIM(VLOOKUP(A13,'CONTROL INBOUND'!$A:$DO,Hoja2!$H$1,0)),id_horario!A:E,2,0),"ROTATIVO")</f>
        <v>ROTATIVO</v>
      </c>
      <c r="L13" s="46" t="str">
        <f>IFERROR(VLOOKUP(TRIM(VLOOKUP(A13,'CONTROL INBOUND'!$A:$DO,Hoja2!$I$1,0)),id_horario!A:E,2,0),"ROTATIVO")</f>
        <v>ROTATIVO</v>
      </c>
      <c r="M13" s="46" t="str">
        <f>IFERROR(VLOOKUP(TRIM(VLOOKUP(A13,'CONTROL INBOUND'!$A:$DO,Hoja2!$J$1,0)),id_horario!A:E,2,0),"ROTATIVO")</f>
        <v>ROTATIVO</v>
      </c>
      <c r="N13" s="46" t="str">
        <f>IFERROR(VLOOKUP(TRIM(VLOOKUP(A13,'CONTROL INBOUND'!$A:$DO,Hoja2!$K$1,0)),id_horario!A:E,2,0),"ROTATIVO")</f>
        <v>ROTATIVO</v>
      </c>
      <c r="O13" s="46" t="str">
        <f>IFERROR(VLOOKUP(TRIM(VLOOKUP(A13,'CONTROL INBOUND'!$A:$DO,Hoja2!$L$1,0)),id_horario!A:E,2,0),"ROTATIVO")</f>
        <v>ROTATIVO</v>
      </c>
      <c r="P13" s="46" t="str">
        <f>IFERROR(VLOOKUP(TRIM(VLOOKUP(A13,'CONTROL INBOUND'!$A:$DO,Hoja2!$M$1,0)),id_horario!A:E,2,0),"ROTATIVO")</f>
        <v>ROTATIVO</v>
      </c>
      <c r="Q13" s="46" t="str">
        <f>IFERROR(VLOOKUP(TRIM(VLOOKUP(A13,'CONTROL INBOUND'!$A:$DO,Hoja2!$N$1,0)),id_horario!A:E,2,0),"ROTATIVO")</f>
        <v>ROTATIVO</v>
      </c>
      <c r="R13" s="46" t="str">
        <f>IFERROR(VLOOKUP(TRIM(VLOOKUP(A13,'CONTROL INBOUND'!$A:$DO,Hoja2!$O$1,0)),id_horario!A:E,2,0),"ROTATIVO")</f>
        <v>ROTATIVO</v>
      </c>
      <c r="S13" s="46" t="str">
        <f>IFERROR(VLOOKUP(TRIM(VLOOKUP(A13,'CONTROL INBOUND'!$A:$DO,Hoja2!$P$1,0)),id_horario!A:E,2,0),"ROTATIVO")</f>
        <v>ROTATIVO</v>
      </c>
      <c r="T13" s="46" t="str">
        <f>IFERROR(VLOOKUP(TRIM(VLOOKUP(A13,'CONTROL INBOUND'!$A:$DO,Hoja2!$Q$1,0)),id_horario!A:E,2,0),"ROTATIVO")</f>
        <v>ROTATIVO</v>
      </c>
      <c r="U13" s="46" t="str">
        <f>IFERROR(VLOOKUP(TRIM(VLOOKUP(A13,'CONTROL INBOUND'!$A:$DO,Hoja2!$R$1,0)),id_horario!A:E,2,0),"ROTATIVO")</f>
        <v>ROTATIVO</v>
      </c>
      <c r="V13" s="46" t="str">
        <f>IFERROR(VLOOKUP(TRIM(VLOOKUP(A13,'CONTROL INBOUND'!$A:$DO,Hoja2!$S$1,0)),id_horario!A:E,2,0),"ROTATIVO")</f>
        <v>ROTATIVO</v>
      </c>
      <c r="W13" s="46" t="str">
        <f>IFERROR(VLOOKUP(TRIM(VLOOKUP(A13,'CONTROL INBOUND'!$A:$DO,Hoja2!$T$1,0)),id_horario!A:E,2,0),"ROTATIVO")</f>
        <v>ROTATIVO</v>
      </c>
      <c r="X13" s="46" t="str">
        <f>IFERROR(VLOOKUP(TRIM(VLOOKUP(A13,'CONTROL INBOUND'!$A:$DO,Hoja2!$U$1,0)),id_horario!A:E,2,0),"ROTATIVO")</f>
        <v>ROTATIVO</v>
      </c>
      <c r="Y13" s="46" t="str">
        <f>IFERROR(VLOOKUP(TRIM(VLOOKUP(A13,'CONTROL INBOUND'!$A:$DO,Hoja2!$V$1,0)),id_horario!A:E,2,0),"ROTATIVO")</f>
        <v>ROTATIVO</v>
      </c>
      <c r="Z13" s="46" t="str">
        <f>IFERROR(VLOOKUP(TRIM(VLOOKUP(A13,'CONTROL INBOUND'!$A:$DO,Hoja2!$W$1,0)),id_horario!A:E,2,0),"ROTATIVO")</f>
        <v>ROTATIVO</v>
      </c>
      <c r="AA13" s="46" t="str">
        <f>IFERROR(VLOOKUP(TRIM(VLOOKUP(A13,'CONTROL INBOUND'!$A:$DO,Hoja2!$X$1,0)),id_horario!A:E,2,0),"ROTATIVO")</f>
        <v>ROTATIVO</v>
      </c>
      <c r="AB13" s="46" t="str">
        <f>IFERROR(VLOOKUP(TRIM(VLOOKUP(A13,'CONTROL INBOUND'!$A:$DO,Hoja2!$Y$1,0)),id_horario!A:E,2,0),"ROTATIVO")</f>
        <v>ROTATIVO</v>
      </c>
      <c r="AC13" s="46" t="str">
        <f>IFERROR(VLOOKUP(TRIM(VLOOKUP(A13,'CONTROL INBOUND'!$A:$DO,Hoja2!$Z$1,0)),id_horario!A:E,2,0),"ROTATIVO")</f>
        <v>ROTATIVO</v>
      </c>
      <c r="AD13" s="46" t="str">
        <f>IFERROR(VLOOKUP(TRIM(VLOOKUP(A13,'CONTROL INBOUND'!$A:$DO,Hoja2!$AA$1,0)),id_horario!A:E,2,0),"ROTATIVO")</f>
        <v>ROTATIVO</v>
      </c>
      <c r="AE13" s="46" t="str">
        <f>IFERROR(VLOOKUP(TRIM(VLOOKUP(A13,'CONTROL INBOUND'!$A:$DO,Hoja2!$AB$1,0)),id_horario!A:E,2,0),"ROTATIVO")</f>
        <v>ROTATIVO</v>
      </c>
      <c r="AF13" s="46" t="str">
        <f>IFERROR(VLOOKUP(TRIM(VLOOKUP(A13,'CONTROL INBOUND'!$A:$DO,Hoja2!$AC$1,0)),id_horario!A:E,2,0),"ROTATIVO")</f>
        <v>ROTATIVO</v>
      </c>
      <c r="AG13" s="46" t="str">
        <f>IFERROR(VLOOKUP(TRIM(VLOOKUP(A13,'CONTROL INBOUND'!$A:$DO,Hoja2!$AD$1,0)),id_horario!A:E,2,0),"ROTATIVO")</f>
        <v>ROTATIVO</v>
      </c>
      <c r="AH13" s="46" t="str">
        <f>IFERROR(VLOOKUP(TRIM(VLOOKUP(A13,'CONTROL INBOUND'!$A:$DO,Hoja2!$AE$1,0)),id_horario!A:E,2,0),"ROTATIVO")</f>
        <v>ROTATIVO</v>
      </c>
    </row>
    <row r="14" spans="1:34">
      <c r="A14" s="45" t="s">
        <v>281</v>
      </c>
      <c r="B14" s="45">
        <v>1755795612</v>
      </c>
      <c r="C14" s="18" t="s">
        <v>46</v>
      </c>
      <c r="D14" s="46" t="str">
        <f>IFERROR(VLOOKUP(TRIM(VLOOKUP(A14,'CONTROL INBOUND'!$A:$DO,Hoja2!$A$1,0)),id_horario!A:E,2,0),"ROTATIVO")</f>
        <v>ROTATIVO</v>
      </c>
      <c r="E14" s="46" t="str">
        <f>IFERROR(VLOOKUP(TRIM(VLOOKUP(A14,'CONTROL INBOUND'!$A:$DO,Hoja2!$B$1,0)),id_horario!A:E,2,0),"ROTATIVO")</f>
        <v>V</v>
      </c>
      <c r="F14" s="46" t="str">
        <f>IFERROR(VLOOKUP(TRIM(VLOOKUP(A14,'CONTROL INBOUND'!$A:$DO,Hoja2!$C$1,0)),id_horario!A:E,2,0),"ROTATIVO")</f>
        <v>ROTATIVO</v>
      </c>
      <c r="G14" s="46" t="str">
        <f>IFERROR(VLOOKUP(TRIM(VLOOKUP(A14,'CONTROL INBOUND'!$A:$DO,Hoja2!$D$1,0)),id_horario!A:E,2,0),"ROTATIVO")</f>
        <v>V</v>
      </c>
      <c r="H14" s="46">
        <f>IFERROR(VLOOKUP(TRIM(VLOOKUP(A14,'CONTROL INBOUND'!$A:$DO,Hoja2!$E$1,0)),id_horario!A:E,2,0),"ROTATIVO")</f>
        <v>85</v>
      </c>
      <c r="I14" s="46">
        <f>IFERROR(VLOOKUP(TRIM(VLOOKUP(A14,'CONTROL INBOUND'!$A:$DO,Hoja2!$F$1,0)),id_horario!A:E,2,0),"ROTATIVO")</f>
        <v>48</v>
      </c>
      <c r="J14" s="46" t="str">
        <f>IFERROR(VLOOKUP(TRIM(VLOOKUP(A14,'CONTROL INBOUND'!$A:$DO,Hoja2!$G$1,0)),id_horario!A:E,2,0),"ROTATIVO")</f>
        <v>ROTATIVO</v>
      </c>
      <c r="K14" s="46" t="str">
        <f>IFERROR(VLOOKUP(TRIM(VLOOKUP(A14,'CONTROL INBOUND'!$A:$DO,Hoja2!$H$1,0)),id_horario!A:E,2,0),"ROTATIVO")</f>
        <v>ROTATIVO</v>
      </c>
      <c r="L14" s="46" t="str">
        <f>IFERROR(VLOOKUP(TRIM(VLOOKUP(A14,'CONTROL INBOUND'!$A:$DO,Hoja2!$I$1,0)),id_horario!A:E,2,0),"ROTATIVO")</f>
        <v>ROTATIVO</v>
      </c>
      <c r="M14" s="46" t="str">
        <f>IFERROR(VLOOKUP(TRIM(VLOOKUP(A14,'CONTROL INBOUND'!$A:$DO,Hoja2!$J$1,0)),id_horario!A:E,2,0),"ROTATIVO")</f>
        <v>ROTATIVO</v>
      </c>
      <c r="N14" s="46" t="str">
        <f>IFERROR(VLOOKUP(TRIM(VLOOKUP(A14,'CONTROL INBOUND'!$A:$DO,Hoja2!$K$1,0)),id_horario!A:E,2,0),"ROTATIVO")</f>
        <v>ROTATIVO</v>
      </c>
      <c r="O14" s="46" t="str">
        <f>IFERROR(VLOOKUP(TRIM(VLOOKUP(A14,'CONTROL INBOUND'!$A:$DO,Hoja2!$L$1,0)),id_horario!A:E,2,0),"ROTATIVO")</f>
        <v>ROTATIVO</v>
      </c>
      <c r="P14" s="46" t="str">
        <f>IFERROR(VLOOKUP(TRIM(VLOOKUP(A14,'CONTROL INBOUND'!$A:$DO,Hoja2!$M$1,0)),id_horario!A:E,2,0),"ROTATIVO")</f>
        <v>ROTATIVO</v>
      </c>
      <c r="Q14" s="46" t="str">
        <f>IFERROR(VLOOKUP(TRIM(VLOOKUP(A14,'CONTROL INBOUND'!$A:$DO,Hoja2!$N$1,0)),id_horario!A:E,2,0),"ROTATIVO")</f>
        <v>ROTATIVO</v>
      </c>
      <c r="R14" s="46" t="str">
        <f>IFERROR(VLOOKUP(TRIM(VLOOKUP(A14,'CONTROL INBOUND'!$A:$DO,Hoja2!$O$1,0)),id_horario!A:E,2,0),"ROTATIVO")</f>
        <v>ROTATIVO</v>
      </c>
      <c r="S14" s="46" t="str">
        <f>IFERROR(VLOOKUP(TRIM(VLOOKUP(A14,'CONTROL INBOUND'!$A:$DO,Hoja2!$P$1,0)),id_horario!A:E,2,0),"ROTATIVO")</f>
        <v>ROTATIVO</v>
      </c>
      <c r="T14" s="46" t="str">
        <f>IFERROR(VLOOKUP(TRIM(VLOOKUP(A14,'CONTROL INBOUND'!$A:$DO,Hoja2!$Q$1,0)),id_horario!A:E,2,0),"ROTATIVO")</f>
        <v>ROTATIVO</v>
      </c>
      <c r="U14" s="46" t="str">
        <f>IFERROR(VLOOKUP(TRIM(VLOOKUP(A14,'CONTROL INBOUND'!$A:$DO,Hoja2!$R$1,0)),id_horario!A:E,2,0),"ROTATIVO")</f>
        <v>ROTATIVO</v>
      </c>
      <c r="V14" s="46" t="str">
        <f>IFERROR(VLOOKUP(TRIM(VLOOKUP(A14,'CONTROL INBOUND'!$A:$DO,Hoja2!$S$1,0)),id_horario!A:E,2,0),"ROTATIVO")</f>
        <v>ROTATIVO</v>
      </c>
      <c r="W14" s="46" t="str">
        <f>IFERROR(VLOOKUP(TRIM(VLOOKUP(A14,'CONTROL INBOUND'!$A:$DO,Hoja2!$T$1,0)),id_horario!A:E,2,0),"ROTATIVO")</f>
        <v>ROTATIVO</v>
      </c>
      <c r="X14" s="46" t="str">
        <f>IFERROR(VLOOKUP(TRIM(VLOOKUP(A14,'CONTROL INBOUND'!$A:$DO,Hoja2!$U$1,0)),id_horario!A:E,2,0),"ROTATIVO")</f>
        <v>ROTATIVO</v>
      </c>
      <c r="Y14" s="46" t="str">
        <f>IFERROR(VLOOKUP(TRIM(VLOOKUP(A14,'CONTROL INBOUND'!$A:$DO,Hoja2!$V$1,0)),id_horario!A:E,2,0),"ROTATIVO")</f>
        <v>ROTATIVO</v>
      </c>
      <c r="Z14" s="46" t="str">
        <f>IFERROR(VLOOKUP(TRIM(VLOOKUP(A14,'CONTROL INBOUND'!$A:$DO,Hoja2!$W$1,0)),id_horario!A:E,2,0),"ROTATIVO")</f>
        <v>ROTATIVO</v>
      </c>
      <c r="AA14" s="46" t="str">
        <f>IFERROR(VLOOKUP(TRIM(VLOOKUP(A14,'CONTROL INBOUND'!$A:$DO,Hoja2!$X$1,0)),id_horario!A:E,2,0),"ROTATIVO")</f>
        <v>ROTATIVO</v>
      </c>
      <c r="AB14" s="46" t="str">
        <f>IFERROR(VLOOKUP(TRIM(VLOOKUP(A14,'CONTROL INBOUND'!$A:$DO,Hoja2!$Y$1,0)),id_horario!A:E,2,0),"ROTATIVO")</f>
        <v>ROTATIVO</v>
      </c>
      <c r="AC14" s="46" t="str">
        <f>IFERROR(VLOOKUP(TRIM(VLOOKUP(A14,'CONTROL INBOUND'!$A:$DO,Hoja2!$Z$1,0)),id_horario!A:E,2,0),"ROTATIVO")</f>
        <v>ROTATIVO</v>
      </c>
      <c r="AD14" s="46" t="str">
        <f>IFERROR(VLOOKUP(TRIM(VLOOKUP(A14,'CONTROL INBOUND'!$A:$DO,Hoja2!$AA$1,0)),id_horario!A:E,2,0),"ROTATIVO")</f>
        <v>ROTATIVO</v>
      </c>
      <c r="AE14" s="46" t="str">
        <f>IFERROR(VLOOKUP(TRIM(VLOOKUP(A14,'CONTROL INBOUND'!$A:$DO,Hoja2!$AB$1,0)),id_horario!A:E,2,0),"ROTATIVO")</f>
        <v>ROTATIVO</v>
      </c>
      <c r="AF14" s="46" t="str">
        <f>IFERROR(VLOOKUP(TRIM(VLOOKUP(A14,'CONTROL INBOUND'!$A:$DO,Hoja2!$AC$1,0)),id_horario!A:E,2,0),"ROTATIVO")</f>
        <v>ROTATIVO</v>
      </c>
      <c r="AG14" s="46" t="str">
        <f>IFERROR(VLOOKUP(TRIM(VLOOKUP(A14,'CONTROL INBOUND'!$A:$DO,Hoja2!$AD$1,0)),id_horario!A:E,2,0),"ROTATIVO")</f>
        <v>ROTATIVO</v>
      </c>
      <c r="AH14" s="46" t="str">
        <f>IFERROR(VLOOKUP(TRIM(VLOOKUP(A14,'CONTROL INBOUND'!$A:$DO,Hoja2!$AE$1,0)),id_horario!A:E,2,0),"ROTATIVO")</f>
        <v>ROTATIVO</v>
      </c>
    </row>
    <row r="15" spans="1:34">
      <c r="A15" s="45" t="s">
        <v>282</v>
      </c>
      <c r="B15" s="45">
        <v>1719560417</v>
      </c>
      <c r="C15" s="18" t="s">
        <v>46</v>
      </c>
      <c r="D15" s="46" t="str">
        <f>IFERROR(VLOOKUP(TRIM(VLOOKUP(A15,'CONTROL INBOUND'!$A:$DO,Hoja2!$A$1,0)),id_horario!A:E,2,0),"ROTATIVO")</f>
        <v>ROTATIVO</v>
      </c>
      <c r="E15" s="46" t="str">
        <f>IFERROR(VLOOKUP(TRIM(VLOOKUP(A15,'CONTROL INBOUND'!$A:$DO,Hoja2!$B$1,0)),id_horario!A:E,2,0),"ROTATIVO")</f>
        <v>ROTATIVO</v>
      </c>
      <c r="F15" s="46" t="str">
        <f>IFERROR(VLOOKUP(TRIM(VLOOKUP(A15,'CONTROL INBOUND'!$A:$DO,Hoja2!$C$1,0)),id_horario!A:E,2,0),"ROTATIVO")</f>
        <v>ROTATIVO</v>
      </c>
      <c r="G15" s="46" t="str">
        <f>IFERROR(VLOOKUP(TRIM(VLOOKUP(A15,'CONTROL INBOUND'!$A:$DO,Hoja2!$D$1,0)),id_horario!A:E,2,0),"ROTATIVO")</f>
        <v>ROTATIVO</v>
      </c>
      <c r="H15" s="46" t="str">
        <f>IFERROR(VLOOKUP(TRIM(VLOOKUP(A15,'CONTROL INBOUND'!$A:$DO,Hoja2!$E$1,0)),id_horario!A:E,2,0),"ROTATIVO")</f>
        <v>ROTATIVO</v>
      </c>
      <c r="I15" s="46" t="str">
        <f>IFERROR(VLOOKUP(TRIM(VLOOKUP(A15,'CONTROL INBOUND'!$A:$DO,Hoja2!$F$1,0)),id_horario!A:E,2,0),"ROTATIVO")</f>
        <v>ROTATIVO</v>
      </c>
      <c r="J15" s="46" t="str">
        <f>IFERROR(VLOOKUP(TRIM(VLOOKUP(A15,'CONTROL INBOUND'!$A:$DO,Hoja2!$G$1,0)),id_horario!A:E,2,0),"ROTATIVO")</f>
        <v>ROTATIVO</v>
      </c>
      <c r="K15" s="46" t="str">
        <f>IFERROR(VLOOKUP(TRIM(VLOOKUP(A15,'CONTROL INBOUND'!$A:$DO,Hoja2!$H$1,0)),id_horario!A:E,2,0),"ROTATIVO")</f>
        <v>ROTATIVO</v>
      </c>
      <c r="L15" s="46" t="str">
        <f>IFERROR(VLOOKUP(TRIM(VLOOKUP(A15,'CONTROL INBOUND'!$A:$DO,Hoja2!$I$1,0)),id_horario!A:E,2,0),"ROTATIVO")</f>
        <v>ROTATIVO</v>
      </c>
      <c r="M15" s="46" t="str">
        <f>IFERROR(VLOOKUP(TRIM(VLOOKUP(A15,'CONTROL INBOUND'!$A:$DO,Hoja2!$J$1,0)),id_horario!A:E,2,0),"ROTATIVO")</f>
        <v>ROTATIVO</v>
      </c>
      <c r="N15" s="46" t="str">
        <f>IFERROR(VLOOKUP(TRIM(VLOOKUP(A15,'CONTROL INBOUND'!$A:$DO,Hoja2!$K$1,0)),id_horario!A:E,2,0),"ROTATIVO")</f>
        <v>ROTATIVO</v>
      </c>
      <c r="O15" s="46" t="str">
        <f>IFERROR(VLOOKUP(TRIM(VLOOKUP(A15,'CONTROL INBOUND'!$A:$DO,Hoja2!$L$1,0)),id_horario!A:E,2,0),"ROTATIVO")</f>
        <v>ROTATIVO</v>
      </c>
      <c r="P15" s="46" t="str">
        <f>IFERROR(VLOOKUP(TRIM(VLOOKUP(A15,'CONTROL INBOUND'!$A:$DO,Hoja2!$M$1,0)),id_horario!A:E,2,0),"ROTATIVO")</f>
        <v>ROTATIVO</v>
      </c>
      <c r="Q15" s="46" t="str">
        <f>IFERROR(VLOOKUP(TRIM(VLOOKUP(A15,'CONTROL INBOUND'!$A:$DO,Hoja2!$N$1,0)),id_horario!A:E,2,0),"ROTATIVO")</f>
        <v>ROTATIVO</v>
      </c>
      <c r="R15" s="46" t="str">
        <f>IFERROR(VLOOKUP(TRIM(VLOOKUP(A15,'CONTROL INBOUND'!$A:$DO,Hoja2!$O$1,0)),id_horario!A:E,2,0),"ROTATIVO")</f>
        <v>ROTATIVO</v>
      </c>
      <c r="S15" s="46" t="str">
        <f>IFERROR(VLOOKUP(TRIM(VLOOKUP(A15,'CONTROL INBOUND'!$A:$DO,Hoja2!$P$1,0)),id_horario!A:E,2,0),"ROTATIVO")</f>
        <v>ROTATIVO</v>
      </c>
      <c r="T15" s="46" t="str">
        <f>IFERROR(VLOOKUP(TRIM(VLOOKUP(A15,'CONTROL INBOUND'!$A:$DO,Hoja2!$Q$1,0)),id_horario!A:E,2,0),"ROTATIVO")</f>
        <v>ROTATIVO</v>
      </c>
      <c r="U15" s="46" t="str">
        <f>IFERROR(VLOOKUP(TRIM(VLOOKUP(A15,'CONTROL INBOUND'!$A:$DO,Hoja2!$R$1,0)),id_horario!A:E,2,0),"ROTATIVO")</f>
        <v>ROTATIVO</v>
      </c>
      <c r="V15" s="46" t="str">
        <f>IFERROR(VLOOKUP(TRIM(VLOOKUP(A15,'CONTROL INBOUND'!$A:$DO,Hoja2!$S$1,0)),id_horario!A:E,2,0),"ROTATIVO")</f>
        <v>ROTATIVO</v>
      </c>
      <c r="W15" s="46" t="str">
        <f>IFERROR(VLOOKUP(TRIM(VLOOKUP(A15,'CONTROL INBOUND'!$A:$DO,Hoja2!$T$1,0)),id_horario!A:E,2,0),"ROTATIVO")</f>
        <v>ROTATIVO</v>
      </c>
      <c r="X15" s="46" t="str">
        <f>IFERROR(VLOOKUP(TRIM(VLOOKUP(A15,'CONTROL INBOUND'!$A:$DO,Hoja2!$U$1,0)),id_horario!A:E,2,0),"ROTATIVO")</f>
        <v>ROTATIVO</v>
      </c>
      <c r="Y15" s="46" t="str">
        <f>IFERROR(VLOOKUP(TRIM(VLOOKUP(A15,'CONTROL INBOUND'!$A:$DO,Hoja2!$V$1,0)),id_horario!A:E,2,0),"ROTATIVO")</f>
        <v>ROTATIVO</v>
      </c>
      <c r="Z15" s="46" t="str">
        <f>IFERROR(VLOOKUP(TRIM(VLOOKUP(A15,'CONTROL INBOUND'!$A:$DO,Hoja2!$W$1,0)),id_horario!A:E,2,0),"ROTATIVO")</f>
        <v>ROTATIVO</v>
      </c>
      <c r="AA15" s="46" t="str">
        <f>IFERROR(VLOOKUP(TRIM(VLOOKUP(A15,'CONTROL INBOUND'!$A:$DO,Hoja2!$X$1,0)),id_horario!A:E,2,0),"ROTATIVO")</f>
        <v>ROTATIVO</v>
      </c>
      <c r="AB15" s="46" t="str">
        <f>IFERROR(VLOOKUP(TRIM(VLOOKUP(A15,'CONTROL INBOUND'!$A:$DO,Hoja2!$Y$1,0)),id_horario!A:E,2,0),"ROTATIVO")</f>
        <v>ROTATIVO</v>
      </c>
      <c r="AC15" s="46" t="str">
        <f>IFERROR(VLOOKUP(TRIM(VLOOKUP(A15,'CONTROL INBOUND'!$A:$DO,Hoja2!$Z$1,0)),id_horario!A:E,2,0),"ROTATIVO")</f>
        <v>ROTATIVO</v>
      </c>
      <c r="AD15" s="46" t="str">
        <f>IFERROR(VLOOKUP(TRIM(VLOOKUP(A15,'CONTROL INBOUND'!$A:$DO,Hoja2!$AA$1,0)),id_horario!A:E,2,0),"ROTATIVO")</f>
        <v>ROTATIVO</v>
      </c>
      <c r="AE15" s="46" t="str">
        <f>IFERROR(VLOOKUP(TRIM(VLOOKUP(A15,'CONTROL INBOUND'!$A:$DO,Hoja2!$AB$1,0)),id_horario!A:E,2,0),"ROTATIVO")</f>
        <v>ROTATIVO</v>
      </c>
      <c r="AF15" s="46" t="str">
        <f>IFERROR(VLOOKUP(TRIM(VLOOKUP(A15,'CONTROL INBOUND'!$A:$DO,Hoja2!$AC$1,0)),id_horario!A:E,2,0),"ROTATIVO")</f>
        <v>ROTATIVO</v>
      </c>
      <c r="AG15" s="46" t="str">
        <f>IFERROR(VLOOKUP(TRIM(VLOOKUP(A15,'CONTROL INBOUND'!$A:$DO,Hoja2!$AD$1,0)),id_horario!A:E,2,0),"ROTATIVO")</f>
        <v>ROTATIVO</v>
      </c>
      <c r="AH15" s="46" t="str">
        <f>IFERROR(VLOOKUP(TRIM(VLOOKUP(A15,'CONTROL INBOUND'!$A:$DO,Hoja2!$AE$1,0)),id_horario!A:E,2,0),"ROTATIVO")</f>
        <v>ROTATIVO</v>
      </c>
    </row>
    <row r="16" spans="1:34">
      <c r="A16" s="45" t="s">
        <v>54</v>
      </c>
      <c r="B16" s="45">
        <v>1751400308</v>
      </c>
      <c r="C16" s="19" t="s">
        <v>40</v>
      </c>
      <c r="D16" s="46" t="str">
        <f>IFERROR(VLOOKUP(TRIM(VLOOKUP(A16,'CONTROL INBOUND'!$A:$DO,Hoja2!$A$1,0)),id_horario!A:E,2,0),"ROTATIVO")</f>
        <v>ROTATIVO</v>
      </c>
      <c r="E16" s="46" t="str">
        <f>IFERROR(VLOOKUP(TRIM(VLOOKUP(A16,'CONTROL INBOUND'!$A:$DO,Hoja2!$B$1,0)),id_horario!A:E,2,0),"ROTATIVO")</f>
        <v>ROTATIVO</v>
      </c>
      <c r="F16" s="46" t="str">
        <f>IFERROR(VLOOKUP(TRIM(VLOOKUP(A16,'CONTROL INBOUND'!$A:$DO,Hoja2!$C$1,0)),id_horario!A:E,2,0),"ROTATIVO")</f>
        <v>ROTATIVO</v>
      </c>
      <c r="G16" s="46" t="str">
        <f>IFERROR(VLOOKUP(TRIM(VLOOKUP(A16,'CONTROL INBOUND'!$A:$DO,Hoja2!$D$1,0)),id_horario!A:E,2,0),"ROTATIVO")</f>
        <v>ROTATIVO</v>
      </c>
      <c r="H16" s="46" t="str">
        <f>IFERROR(VLOOKUP(TRIM(VLOOKUP(A16,'CONTROL INBOUND'!$A:$DO,Hoja2!$E$1,0)),id_horario!A:E,2,0),"ROTATIVO")</f>
        <v>ROTATIVO</v>
      </c>
      <c r="I16" s="46" t="str">
        <f>IFERROR(VLOOKUP(TRIM(VLOOKUP(A16,'CONTROL INBOUND'!$A:$DO,Hoja2!$F$1,0)),id_horario!A:E,2,0),"ROTATIVO")</f>
        <v>ROTATIVO</v>
      </c>
      <c r="J16" s="46" t="str">
        <f>IFERROR(VLOOKUP(TRIM(VLOOKUP(A16,'CONTROL INBOUND'!$A:$DO,Hoja2!$G$1,0)),id_horario!A:E,2,0),"ROTATIVO")</f>
        <v>ROTATIVO</v>
      </c>
      <c r="K16" s="46" t="str">
        <f>IFERROR(VLOOKUP(TRIM(VLOOKUP(A16,'CONTROL INBOUND'!$A:$DO,Hoja2!$H$1,0)),id_horario!A:E,2,0),"ROTATIVO")</f>
        <v>ROTATIVO</v>
      </c>
      <c r="L16" s="46" t="str">
        <f>IFERROR(VLOOKUP(TRIM(VLOOKUP(A16,'CONTROL INBOUND'!$A:$DO,Hoja2!$I$1,0)),id_horario!A:E,2,0),"ROTATIVO")</f>
        <v>ROTATIVO</v>
      </c>
      <c r="M16" s="46" t="str">
        <f>IFERROR(VLOOKUP(TRIM(VLOOKUP(A16,'CONTROL INBOUND'!$A:$DO,Hoja2!$J$1,0)),id_horario!A:E,2,0),"ROTATIVO")</f>
        <v>ROTATIVO</v>
      </c>
      <c r="N16" s="46" t="str">
        <f>IFERROR(VLOOKUP(TRIM(VLOOKUP(A16,'CONTROL INBOUND'!$A:$DO,Hoja2!$K$1,0)),id_horario!A:E,2,0),"ROTATIVO")</f>
        <v>ROTATIVO</v>
      </c>
      <c r="O16" s="46" t="str">
        <f>IFERROR(VLOOKUP(TRIM(VLOOKUP(A16,'CONTROL INBOUND'!$A:$DO,Hoja2!$L$1,0)),id_horario!A:E,2,0),"ROTATIVO")</f>
        <v>ROTATIVO</v>
      </c>
      <c r="P16" s="46" t="str">
        <f>IFERROR(VLOOKUP(TRIM(VLOOKUP(A16,'CONTROL INBOUND'!$A:$DO,Hoja2!$M$1,0)),id_horario!A:E,2,0),"ROTATIVO")</f>
        <v>ROTATIVO</v>
      </c>
      <c r="Q16" s="46" t="str">
        <f>IFERROR(VLOOKUP(TRIM(VLOOKUP(A16,'CONTROL INBOUND'!$A:$DO,Hoja2!$N$1,0)),id_horario!A:E,2,0),"ROTATIVO")</f>
        <v>ROTATIVO</v>
      </c>
      <c r="R16" s="46" t="str">
        <f>IFERROR(VLOOKUP(TRIM(VLOOKUP(A16,'CONTROL INBOUND'!$A:$DO,Hoja2!$O$1,0)),id_horario!A:E,2,0),"ROTATIVO")</f>
        <v>ROTATIVO</v>
      </c>
      <c r="S16" s="46" t="str">
        <f>IFERROR(VLOOKUP(TRIM(VLOOKUP(A16,'CONTROL INBOUND'!$A:$DO,Hoja2!$P$1,0)),id_horario!A:E,2,0),"ROTATIVO")</f>
        <v>ROTATIVO</v>
      </c>
      <c r="T16" s="46" t="str">
        <f>IFERROR(VLOOKUP(TRIM(VLOOKUP(A16,'CONTROL INBOUND'!$A:$DO,Hoja2!$Q$1,0)),id_horario!A:E,2,0),"ROTATIVO")</f>
        <v>ROTATIVO</v>
      </c>
      <c r="U16" s="46" t="str">
        <f>IFERROR(VLOOKUP(TRIM(VLOOKUP(A16,'CONTROL INBOUND'!$A:$DO,Hoja2!$R$1,0)),id_horario!A:E,2,0),"ROTATIVO")</f>
        <v>ROTATIVO</v>
      </c>
      <c r="V16" s="46" t="str">
        <f>IFERROR(VLOOKUP(TRIM(VLOOKUP(A16,'CONTROL INBOUND'!$A:$DO,Hoja2!$S$1,0)),id_horario!A:E,2,0),"ROTATIVO")</f>
        <v>ROTATIVO</v>
      </c>
      <c r="W16" s="46" t="str">
        <f>IFERROR(VLOOKUP(TRIM(VLOOKUP(A16,'CONTROL INBOUND'!$A:$DO,Hoja2!$T$1,0)),id_horario!A:E,2,0),"ROTATIVO")</f>
        <v>ROTATIVO</v>
      </c>
      <c r="X16" s="46" t="str">
        <f>IFERROR(VLOOKUP(TRIM(VLOOKUP(A16,'CONTROL INBOUND'!$A:$DO,Hoja2!$U$1,0)),id_horario!A:E,2,0),"ROTATIVO")</f>
        <v>ROTATIVO</v>
      </c>
      <c r="Y16" s="46" t="str">
        <f>IFERROR(VLOOKUP(TRIM(VLOOKUP(A16,'CONTROL INBOUND'!$A:$DO,Hoja2!$V$1,0)),id_horario!A:E,2,0),"ROTATIVO")</f>
        <v>ROTATIVO</v>
      </c>
      <c r="Z16" s="46" t="str">
        <f>IFERROR(VLOOKUP(TRIM(VLOOKUP(A16,'CONTROL INBOUND'!$A:$DO,Hoja2!$W$1,0)),id_horario!A:E,2,0),"ROTATIVO")</f>
        <v>ROTATIVO</v>
      </c>
      <c r="AA16" s="46" t="str">
        <f>IFERROR(VLOOKUP(TRIM(VLOOKUP(A16,'CONTROL INBOUND'!$A:$DO,Hoja2!$X$1,0)),id_horario!A:E,2,0),"ROTATIVO")</f>
        <v>ROTATIVO</v>
      </c>
      <c r="AB16" s="46" t="str">
        <f>IFERROR(VLOOKUP(TRIM(VLOOKUP(A16,'CONTROL INBOUND'!$A:$DO,Hoja2!$Y$1,0)),id_horario!A:E,2,0),"ROTATIVO")</f>
        <v>ROTATIVO</v>
      </c>
      <c r="AC16" s="46" t="str">
        <f>IFERROR(VLOOKUP(TRIM(VLOOKUP(A16,'CONTROL INBOUND'!$A:$DO,Hoja2!$Z$1,0)),id_horario!A:E,2,0),"ROTATIVO")</f>
        <v>ROTATIVO</v>
      </c>
      <c r="AD16" s="46" t="str">
        <f>IFERROR(VLOOKUP(TRIM(VLOOKUP(A16,'CONTROL INBOUND'!$A:$DO,Hoja2!$AA$1,0)),id_horario!A:E,2,0),"ROTATIVO")</f>
        <v>ROTATIVO</v>
      </c>
      <c r="AE16" s="46" t="str">
        <f>IFERROR(VLOOKUP(TRIM(VLOOKUP(A16,'CONTROL INBOUND'!$A:$DO,Hoja2!$AB$1,0)),id_horario!A:E,2,0),"ROTATIVO")</f>
        <v>ROTATIVO</v>
      </c>
      <c r="AF16" s="46" t="str">
        <f>IFERROR(VLOOKUP(TRIM(VLOOKUP(A16,'CONTROL INBOUND'!$A:$DO,Hoja2!$AC$1,0)),id_horario!A:E,2,0),"ROTATIVO")</f>
        <v>ROTATIVO</v>
      </c>
      <c r="AG16" s="46" t="str">
        <f>IFERROR(VLOOKUP(TRIM(VLOOKUP(A16,'CONTROL INBOUND'!$A:$DO,Hoja2!$AD$1,0)),id_horario!A:E,2,0),"ROTATIVO")</f>
        <v>ROTATIVO</v>
      </c>
      <c r="AH16" s="46" t="str">
        <f>IFERROR(VLOOKUP(TRIM(VLOOKUP(A16,'CONTROL INBOUND'!$A:$DO,Hoja2!$AE$1,0)),id_horario!A:E,2,0),"ROTATIVO")</f>
        <v>ROTATIVO</v>
      </c>
    </row>
    <row r="17" spans="1:34">
      <c r="A17" s="45" t="s">
        <v>55</v>
      </c>
      <c r="B17" s="45">
        <v>1759772500</v>
      </c>
      <c r="C17" s="19" t="s">
        <v>40</v>
      </c>
      <c r="D17" s="46">
        <f>IFERROR(VLOOKUP(TRIM(VLOOKUP(A17,'CONTROL INBOUND'!$A:$DO,Hoja2!$A$1,0)),id_horario!A:E,2,0),"ROTATIVO")</f>
        <v>45</v>
      </c>
      <c r="E17" s="46" t="str">
        <f>IFERROR(VLOOKUP(TRIM(VLOOKUP(A17,'CONTROL INBOUND'!$A:$DO,Hoja2!$B$1,0)),id_horario!A:E,2,0),"ROTATIVO")</f>
        <v>ROTATIVO</v>
      </c>
      <c r="F17" s="46" t="str">
        <f>IFERROR(VLOOKUP(TRIM(VLOOKUP(A17,'CONTROL INBOUND'!$A:$DO,Hoja2!$C$1,0)),id_horario!A:E,2,0),"ROTATIVO")</f>
        <v>ROTATIVO</v>
      </c>
      <c r="G17" s="46" t="str">
        <f>IFERROR(VLOOKUP(TRIM(VLOOKUP(A17,'CONTROL INBOUND'!$A:$DO,Hoja2!$D$1,0)),id_horario!A:E,2,0),"ROTATIVO")</f>
        <v>ROTATIVO</v>
      </c>
      <c r="H17" s="46" t="str">
        <f>IFERROR(VLOOKUP(TRIM(VLOOKUP(A17,'CONTROL INBOUND'!$A:$DO,Hoja2!$E$1,0)),id_horario!A:E,2,0),"ROTATIVO")</f>
        <v>ROTATIVO</v>
      </c>
      <c r="I17" s="46" t="str">
        <f>IFERROR(VLOOKUP(TRIM(VLOOKUP(A17,'CONTROL INBOUND'!$A:$DO,Hoja2!$F$1,0)),id_horario!A:E,2,0),"ROTATIVO")</f>
        <v>ROTATIVO</v>
      </c>
      <c r="J17" s="46" t="str">
        <f>IFERROR(VLOOKUP(TRIM(VLOOKUP(A17,'CONTROL INBOUND'!$A:$DO,Hoja2!$G$1,0)),id_horario!A:E,2,0),"ROTATIVO")</f>
        <v>ROTATIVO</v>
      </c>
      <c r="K17" s="46" t="str">
        <f>IFERROR(VLOOKUP(TRIM(VLOOKUP(A17,'CONTROL INBOUND'!$A:$DO,Hoja2!$H$1,0)),id_horario!A:E,2,0),"ROTATIVO")</f>
        <v>ROTATIVO</v>
      </c>
      <c r="L17" s="46" t="str">
        <f>IFERROR(VLOOKUP(TRIM(VLOOKUP(A17,'CONTROL INBOUND'!$A:$DO,Hoja2!$I$1,0)),id_horario!A:E,2,0),"ROTATIVO")</f>
        <v>ROTATIVO</v>
      </c>
      <c r="M17" s="46" t="str">
        <f>IFERROR(VLOOKUP(TRIM(VLOOKUP(A17,'CONTROL INBOUND'!$A:$DO,Hoja2!$J$1,0)),id_horario!A:E,2,0),"ROTATIVO")</f>
        <v>ROTATIVO</v>
      </c>
      <c r="N17" s="46" t="str">
        <f>IFERROR(VLOOKUP(TRIM(VLOOKUP(A17,'CONTROL INBOUND'!$A:$DO,Hoja2!$K$1,0)),id_horario!A:E,2,0),"ROTATIVO")</f>
        <v>ROTATIVO</v>
      </c>
      <c r="O17" s="46" t="str">
        <f>IFERROR(VLOOKUP(TRIM(VLOOKUP(A17,'CONTROL INBOUND'!$A:$DO,Hoja2!$L$1,0)),id_horario!A:E,2,0),"ROTATIVO")</f>
        <v>ROTATIVO</v>
      </c>
      <c r="P17" s="46" t="str">
        <f>IFERROR(VLOOKUP(TRIM(VLOOKUP(A17,'CONTROL INBOUND'!$A:$DO,Hoja2!$M$1,0)),id_horario!A:E,2,0),"ROTATIVO")</f>
        <v>ROTATIVO</v>
      </c>
      <c r="Q17" s="46" t="str">
        <f>IFERROR(VLOOKUP(TRIM(VLOOKUP(A17,'CONTROL INBOUND'!$A:$DO,Hoja2!$N$1,0)),id_horario!A:E,2,0),"ROTATIVO")</f>
        <v>ROTATIVO</v>
      </c>
      <c r="R17" s="46" t="str">
        <f>IFERROR(VLOOKUP(TRIM(VLOOKUP(A17,'CONTROL INBOUND'!$A:$DO,Hoja2!$O$1,0)),id_horario!A:E,2,0),"ROTATIVO")</f>
        <v>ROTATIVO</v>
      </c>
      <c r="S17" s="46" t="str">
        <f>IFERROR(VLOOKUP(TRIM(VLOOKUP(A17,'CONTROL INBOUND'!$A:$DO,Hoja2!$P$1,0)),id_horario!A:E,2,0),"ROTATIVO")</f>
        <v>ROTATIVO</v>
      </c>
      <c r="T17" s="46" t="str">
        <f>IFERROR(VLOOKUP(TRIM(VLOOKUP(A17,'CONTROL INBOUND'!$A:$DO,Hoja2!$Q$1,0)),id_horario!A:E,2,0),"ROTATIVO")</f>
        <v>ROTATIVO</v>
      </c>
      <c r="U17" s="46" t="str">
        <f>IFERROR(VLOOKUP(TRIM(VLOOKUP(A17,'CONTROL INBOUND'!$A:$DO,Hoja2!$R$1,0)),id_horario!A:E,2,0),"ROTATIVO")</f>
        <v>ROTATIVO</v>
      </c>
      <c r="V17" s="46" t="str">
        <f>IFERROR(VLOOKUP(TRIM(VLOOKUP(A17,'CONTROL INBOUND'!$A:$DO,Hoja2!$S$1,0)),id_horario!A:E,2,0),"ROTATIVO")</f>
        <v>ROTATIVO</v>
      </c>
      <c r="W17" s="46" t="str">
        <f>IFERROR(VLOOKUP(TRIM(VLOOKUP(A17,'CONTROL INBOUND'!$A:$DO,Hoja2!$T$1,0)),id_horario!A:E,2,0),"ROTATIVO")</f>
        <v>ROTATIVO</v>
      </c>
      <c r="X17" s="46" t="str">
        <f>IFERROR(VLOOKUP(TRIM(VLOOKUP(A17,'CONTROL INBOUND'!$A:$DO,Hoja2!$U$1,0)),id_horario!A:E,2,0),"ROTATIVO")</f>
        <v>ROTATIVO</v>
      </c>
      <c r="Y17" s="46" t="str">
        <f>IFERROR(VLOOKUP(TRIM(VLOOKUP(A17,'CONTROL INBOUND'!$A:$DO,Hoja2!$V$1,0)),id_horario!A:E,2,0),"ROTATIVO")</f>
        <v>ROTATIVO</v>
      </c>
      <c r="Z17" s="46" t="str">
        <f>IFERROR(VLOOKUP(TRIM(VLOOKUP(A17,'CONTROL INBOUND'!$A:$DO,Hoja2!$W$1,0)),id_horario!A:E,2,0),"ROTATIVO")</f>
        <v>ROTATIVO</v>
      </c>
      <c r="AA17" s="46" t="str">
        <f>IFERROR(VLOOKUP(TRIM(VLOOKUP(A17,'CONTROL INBOUND'!$A:$DO,Hoja2!$X$1,0)),id_horario!A:E,2,0),"ROTATIVO")</f>
        <v>ROTATIVO</v>
      </c>
      <c r="AB17" s="46" t="str">
        <f>IFERROR(VLOOKUP(TRIM(VLOOKUP(A17,'CONTROL INBOUND'!$A:$DO,Hoja2!$Y$1,0)),id_horario!A:E,2,0),"ROTATIVO")</f>
        <v>ROTATIVO</v>
      </c>
      <c r="AC17" s="46" t="str">
        <f>IFERROR(VLOOKUP(TRIM(VLOOKUP(A17,'CONTROL INBOUND'!$A:$DO,Hoja2!$Z$1,0)),id_horario!A:E,2,0),"ROTATIVO")</f>
        <v>ROTATIVO</v>
      </c>
      <c r="AD17" s="46" t="str">
        <f>IFERROR(VLOOKUP(TRIM(VLOOKUP(A17,'CONTROL INBOUND'!$A:$DO,Hoja2!$AA$1,0)),id_horario!A:E,2,0),"ROTATIVO")</f>
        <v>ROTATIVO</v>
      </c>
      <c r="AE17" s="46" t="str">
        <f>IFERROR(VLOOKUP(TRIM(VLOOKUP(A17,'CONTROL INBOUND'!$A:$DO,Hoja2!$AB$1,0)),id_horario!A:E,2,0),"ROTATIVO")</f>
        <v>ROTATIVO</v>
      </c>
      <c r="AF17" s="46" t="str">
        <f>IFERROR(VLOOKUP(TRIM(VLOOKUP(A17,'CONTROL INBOUND'!$A:$DO,Hoja2!$AC$1,0)),id_horario!A:E,2,0),"ROTATIVO")</f>
        <v>ROTATIVO</v>
      </c>
      <c r="AG17" s="46" t="str">
        <f>IFERROR(VLOOKUP(TRIM(VLOOKUP(A17,'CONTROL INBOUND'!$A:$DO,Hoja2!$AD$1,0)),id_horario!A:E,2,0),"ROTATIVO")</f>
        <v>ROTATIVO</v>
      </c>
      <c r="AH17" s="46" t="str">
        <f>IFERROR(VLOOKUP(TRIM(VLOOKUP(A17,'CONTROL INBOUND'!$A:$DO,Hoja2!$AE$1,0)),id_horario!A:E,2,0),"ROTATIVO")</f>
        <v>ROTATIVO</v>
      </c>
    </row>
    <row r="18" spans="1:34">
      <c r="A18" s="45" t="s">
        <v>56</v>
      </c>
      <c r="B18" s="45">
        <v>1723878433</v>
      </c>
      <c r="C18" s="19" t="s">
        <v>40</v>
      </c>
      <c r="D18" s="46" t="str">
        <f>IFERROR(VLOOKUP(TRIM(VLOOKUP(A18,'CONTROL INBOUND'!$A:$DO,Hoja2!$A$1,0)),id_horario!A:E,2,0),"ROTATIVO")</f>
        <v>ROTATIVO</v>
      </c>
      <c r="E18" s="46" t="str">
        <f>IFERROR(VLOOKUP(TRIM(VLOOKUP(A18,'CONTROL INBOUND'!$A:$DO,Hoja2!$B$1,0)),id_horario!A:E,2,0),"ROTATIVO")</f>
        <v>ROTATIVO</v>
      </c>
      <c r="F18" s="46" t="str">
        <f>IFERROR(VLOOKUP(TRIM(VLOOKUP(A18,'CONTROL INBOUND'!$A:$DO,Hoja2!$C$1,0)),id_horario!A:E,2,0),"ROTATIVO")</f>
        <v>ROTATIVO</v>
      </c>
      <c r="G18" s="46" t="str">
        <f>IFERROR(VLOOKUP(TRIM(VLOOKUP(A18,'CONTROL INBOUND'!$A:$DO,Hoja2!$D$1,0)),id_horario!A:E,2,0),"ROTATIVO")</f>
        <v>ROTATIVO</v>
      </c>
      <c r="H18" s="46" t="str">
        <f>IFERROR(VLOOKUP(TRIM(VLOOKUP(A18,'CONTROL INBOUND'!$A:$DO,Hoja2!$E$1,0)),id_horario!A:E,2,0),"ROTATIVO")</f>
        <v>ROTATIVO</v>
      </c>
      <c r="I18" s="46" t="str">
        <f>IFERROR(VLOOKUP(TRIM(VLOOKUP(A18,'CONTROL INBOUND'!$A:$DO,Hoja2!$F$1,0)),id_horario!A:E,2,0),"ROTATIVO")</f>
        <v>ROTATIVO</v>
      </c>
      <c r="J18" s="46" t="str">
        <f>IFERROR(VLOOKUP(TRIM(VLOOKUP(A18,'CONTROL INBOUND'!$A:$DO,Hoja2!$G$1,0)),id_horario!A:E,2,0),"ROTATIVO")</f>
        <v>ROTATIVO</v>
      </c>
      <c r="K18" s="46" t="str">
        <f>IFERROR(VLOOKUP(TRIM(VLOOKUP(A18,'CONTROL INBOUND'!$A:$DO,Hoja2!$H$1,0)),id_horario!A:E,2,0),"ROTATIVO")</f>
        <v>ROTATIVO</v>
      </c>
      <c r="L18" s="46" t="str">
        <f>IFERROR(VLOOKUP(TRIM(VLOOKUP(A18,'CONTROL INBOUND'!$A:$DO,Hoja2!$I$1,0)),id_horario!A:E,2,0),"ROTATIVO")</f>
        <v>ROTATIVO</v>
      </c>
      <c r="M18" s="46" t="str">
        <f>IFERROR(VLOOKUP(TRIM(VLOOKUP(A18,'CONTROL INBOUND'!$A:$DO,Hoja2!$J$1,0)),id_horario!A:E,2,0),"ROTATIVO")</f>
        <v>ROTATIVO</v>
      </c>
      <c r="N18" s="46" t="str">
        <f>IFERROR(VLOOKUP(TRIM(VLOOKUP(A18,'CONTROL INBOUND'!$A:$DO,Hoja2!$K$1,0)),id_horario!A:E,2,0),"ROTATIVO")</f>
        <v>ROTATIVO</v>
      </c>
      <c r="O18" s="46" t="str">
        <f>IFERROR(VLOOKUP(TRIM(VLOOKUP(A18,'CONTROL INBOUND'!$A:$DO,Hoja2!$L$1,0)),id_horario!A:E,2,0),"ROTATIVO")</f>
        <v>ROTATIVO</v>
      </c>
      <c r="P18" s="46" t="str">
        <f>IFERROR(VLOOKUP(TRIM(VLOOKUP(A18,'CONTROL INBOUND'!$A:$DO,Hoja2!$M$1,0)),id_horario!A:E,2,0),"ROTATIVO")</f>
        <v>ROTATIVO</v>
      </c>
      <c r="Q18" s="46" t="str">
        <f>IFERROR(VLOOKUP(TRIM(VLOOKUP(A18,'CONTROL INBOUND'!$A:$DO,Hoja2!$N$1,0)),id_horario!A:E,2,0),"ROTATIVO")</f>
        <v>ROTATIVO</v>
      </c>
      <c r="R18" s="46" t="str">
        <f>IFERROR(VLOOKUP(TRIM(VLOOKUP(A18,'CONTROL INBOUND'!$A:$DO,Hoja2!$O$1,0)),id_horario!A:E,2,0),"ROTATIVO")</f>
        <v>ROTATIVO</v>
      </c>
      <c r="S18" s="46" t="str">
        <f>IFERROR(VLOOKUP(TRIM(VLOOKUP(A18,'CONTROL INBOUND'!$A:$DO,Hoja2!$P$1,0)),id_horario!A:E,2,0),"ROTATIVO")</f>
        <v>ROTATIVO</v>
      </c>
      <c r="T18" s="46" t="str">
        <f>IFERROR(VLOOKUP(TRIM(VLOOKUP(A18,'CONTROL INBOUND'!$A:$DO,Hoja2!$Q$1,0)),id_horario!A:E,2,0),"ROTATIVO")</f>
        <v>ROTATIVO</v>
      </c>
      <c r="U18" s="46" t="str">
        <f>IFERROR(VLOOKUP(TRIM(VLOOKUP(A18,'CONTROL INBOUND'!$A:$DO,Hoja2!$R$1,0)),id_horario!A:E,2,0),"ROTATIVO")</f>
        <v>ROTATIVO</v>
      </c>
      <c r="V18" s="46" t="str">
        <f>IFERROR(VLOOKUP(TRIM(VLOOKUP(A18,'CONTROL INBOUND'!$A:$DO,Hoja2!$S$1,0)),id_horario!A:E,2,0),"ROTATIVO")</f>
        <v>ROTATIVO</v>
      </c>
      <c r="W18" s="46" t="str">
        <f>IFERROR(VLOOKUP(TRIM(VLOOKUP(A18,'CONTROL INBOUND'!$A:$DO,Hoja2!$T$1,0)),id_horario!A:E,2,0),"ROTATIVO")</f>
        <v>ROTATIVO</v>
      </c>
      <c r="X18" s="46" t="str">
        <f>IFERROR(VLOOKUP(TRIM(VLOOKUP(A18,'CONTROL INBOUND'!$A:$DO,Hoja2!$U$1,0)),id_horario!A:E,2,0),"ROTATIVO")</f>
        <v>ROTATIVO</v>
      </c>
      <c r="Y18" s="46" t="str">
        <f>IFERROR(VLOOKUP(TRIM(VLOOKUP(A18,'CONTROL INBOUND'!$A:$DO,Hoja2!$V$1,0)),id_horario!A:E,2,0),"ROTATIVO")</f>
        <v>ROTATIVO</v>
      </c>
      <c r="Z18" s="46" t="str">
        <f>IFERROR(VLOOKUP(TRIM(VLOOKUP(A18,'CONTROL INBOUND'!$A:$DO,Hoja2!$W$1,0)),id_horario!A:E,2,0),"ROTATIVO")</f>
        <v>ROTATIVO</v>
      </c>
      <c r="AA18" s="46" t="str">
        <f>IFERROR(VLOOKUP(TRIM(VLOOKUP(A18,'CONTROL INBOUND'!$A:$DO,Hoja2!$X$1,0)),id_horario!A:E,2,0),"ROTATIVO")</f>
        <v>ROTATIVO</v>
      </c>
      <c r="AB18" s="46" t="str">
        <f>IFERROR(VLOOKUP(TRIM(VLOOKUP(A18,'CONTROL INBOUND'!$A:$DO,Hoja2!$Y$1,0)),id_horario!A:E,2,0),"ROTATIVO")</f>
        <v>ROTATIVO</v>
      </c>
      <c r="AC18" s="46" t="str">
        <f>IFERROR(VLOOKUP(TRIM(VLOOKUP(A18,'CONTROL INBOUND'!$A:$DO,Hoja2!$Z$1,0)),id_horario!A:E,2,0),"ROTATIVO")</f>
        <v>ROTATIVO</v>
      </c>
      <c r="AD18" s="46" t="str">
        <f>IFERROR(VLOOKUP(TRIM(VLOOKUP(A18,'CONTROL INBOUND'!$A:$DO,Hoja2!$AA$1,0)),id_horario!A:E,2,0),"ROTATIVO")</f>
        <v>ROTATIVO</v>
      </c>
      <c r="AE18" s="46" t="str">
        <f>IFERROR(VLOOKUP(TRIM(VLOOKUP(A18,'CONTROL INBOUND'!$A:$DO,Hoja2!$AB$1,0)),id_horario!A:E,2,0),"ROTATIVO")</f>
        <v>ROTATIVO</v>
      </c>
      <c r="AF18" s="46" t="str">
        <f>IFERROR(VLOOKUP(TRIM(VLOOKUP(A18,'CONTROL INBOUND'!$A:$DO,Hoja2!$AC$1,0)),id_horario!A:E,2,0),"ROTATIVO")</f>
        <v>ROTATIVO</v>
      </c>
      <c r="AG18" s="46" t="str">
        <f>IFERROR(VLOOKUP(TRIM(VLOOKUP(A18,'CONTROL INBOUND'!$A:$DO,Hoja2!$AD$1,0)),id_horario!A:E,2,0),"ROTATIVO")</f>
        <v>ROTATIVO</v>
      </c>
      <c r="AH18" s="46" t="str">
        <f>IFERROR(VLOOKUP(TRIM(VLOOKUP(A18,'CONTROL INBOUND'!$A:$DO,Hoja2!$AE$1,0)),id_horario!A:E,2,0),"ROTATIVO")</f>
        <v>ROTATIVO</v>
      </c>
    </row>
    <row r="19" spans="1:34">
      <c r="A19" s="45" t="s">
        <v>57</v>
      </c>
      <c r="B19" s="45">
        <v>1755840962</v>
      </c>
      <c r="C19" s="19" t="s">
        <v>40</v>
      </c>
      <c r="D19" s="46">
        <f>IFERROR(VLOOKUP(TRIM(VLOOKUP(A19,'CONTROL INBOUND'!$A:$DO,Hoja2!$A$1,0)),id_horario!A:E,2,0),"ROTATIVO")</f>
        <v>90</v>
      </c>
      <c r="E19" s="46">
        <f>IFERROR(VLOOKUP(TRIM(VLOOKUP(A19,'CONTROL INBOUND'!$A:$DO,Hoja2!$B$1,0)),id_horario!A:E,2,0),"ROTATIVO")</f>
        <v>195</v>
      </c>
      <c r="F19" s="46" t="str">
        <f>IFERROR(VLOOKUP(TRIM(VLOOKUP(A19,'CONTROL INBOUND'!$A:$DO,Hoja2!$C$1,0)),id_horario!A:E,2,0),"ROTATIVO")</f>
        <v>ROTATIVO</v>
      </c>
      <c r="G19" s="46">
        <f>IFERROR(VLOOKUP(TRIM(VLOOKUP(A19,'CONTROL INBOUND'!$A:$DO,Hoja2!$D$1,0)),id_horario!A:E,2,0),"ROTATIVO")</f>
        <v>48</v>
      </c>
      <c r="H19" s="46">
        <f>IFERROR(VLOOKUP(TRIM(VLOOKUP(A19,'CONTROL INBOUND'!$A:$DO,Hoja2!$E$1,0)),id_horario!A:E,2,0),"ROTATIVO")</f>
        <v>48</v>
      </c>
      <c r="I19" s="46" t="str">
        <f>IFERROR(VLOOKUP(TRIM(VLOOKUP(A19,'CONTROL INBOUND'!$A:$DO,Hoja2!$F$1,0)),id_horario!A:E,2,0),"ROTATIVO")</f>
        <v>ROTATIVO</v>
      </c>
      <c r="J19" s="46" t="str">
        <f>IFERROR(VLOOKUP(TRIM(VLOOKUP(A19,'CONTROL INBOUND'!$A:$DO,Hoja2!$G$1,0)),id_horario!A:E,2,0),"ROTATIVO")</f>
        <v>ROTATIVO</v>
      </c>
      <c r="K19" s="46">
        <f>IFERROR(VLOOKUP(TRIM(VLOOKUP(A19,'CONTROL INBOUND'!$A:$DO,Hoja2!$H$1,0)),id_horario!A:E,2,0),"ROTATIVO")</f>
        <v>154</v>
      </c>
      <c r="L19" s="46" t="str">
        <f>IFERROR(VLOOKUP(TRIM(VLOOKUP(A19,'CONTROL INBOUND'!$A:$DO,Hoja2!$I$1,0)),id_horario!A:E,2,0),"ROTATIVO")</f>
        <v>ROTATIVO</v>
      </c>
      <c r="M19" s="46" t="str">
        <f>IFERROR(VLOOKUP(TRIM(VLOOKUP(A19,'CONTROL INBOUND'!$A:$DO,Hoja2!$J$1,0)),id_horario!A:E,2,0),"ROTATIVO")</f>
        <v>ROTATIVO</v>
      </c>
      <c r="N19" s="46" t="str">
        <f>IFERROR(VLOOKUP(TRIM(VLOOKUP(A19,'CONTROL INBOUND'!$A:$DO,Hoja2!$K$1,0)),id_horario!A:E,2,0),"ROTATIVO")</f>
        <v>ROTATIVO</v>
      </c>
      <c r="O19" s="46" t="str">
        <f>IFERROR(VLOOKUP(TRIM(VLOOKUP(A19,'CONTROL INBOUND'!$A:$DO,Hoja2!$L$1,0)),id_horario!A:E,2,0),"ROTATIVO")</f>
        <v>ROTATIVO</v>
      </c>
      <c r="P19" s="46" t="str">
        <f>IFERROR(VLOOKUP(TRIM(VLOOKUP(A19,'CONTROL INBOUND'!$A:$DO,Hoja2!$M$1,0)),id_horario!A:E,2,0),"ROTATIVO")</f>
        <v>ROTATIVO</v>
      </c>
      <c r="Q19" s="46" t="str">
        <f>IFERROR(VLOOKUP(TRIM(VLOOKUP(A19,'CONTROL INBOUND'!$A:$DO,Hoja2!$N$1,0)),id_horario!A:E,2,0),"ROTATIVO")</f>
        <v>ROTATIVO</v>
      </c>
      <c r="R19" s="46" t="str">
        <f>IFERROR(VLOOKUP(TRIM(VLOOKUP(A19,'CONTROL INBOUND'!$A:$DO,Hoja2!$O$1,0)),id_horario!A:E,2,0),"ROTATIVO")</f>
        <v>ROTATIVO</v>
      </c>
      <c r="S19" s="46" t="str">
        <f>IFERROR(VLOOKUP(TRIM(VLOOKUP(A19,'CONTROL INBOUND'!$A:$DO,Hoja2!$P$1,0)),id_horario!A:E,2,0),"ROTATIVO")</f>
        <v>ROTATIVO</v>
      </c>
      <c r="T19" s="46" t="str">
        <f>IFERROR(VLOOKUP(TRIM(VLOOKUP(A19,'CONTROL INBOUND'!$A:$DO,Hoja2!$Q$1,0)),id_horario!A:E,2,0),"ROTATIVO")</f>
        <v>ROTATIVO</v>
      </c>
      <c r="U19" s="46" t="str">
        <f>IFERROR(VLOOKUP(TRIM(VLOOKUP(A19,'CONTROL INBOUND'!$A:$DO,Hoja2!$R$1,0)),id_horario!A:E,2,0),"ROTATIVO")</f>
        <v>ROTATIVO</v>
      </c>
      <c r="V19" s="46" t="str">
        <f>IFERROR(VLOOKUP(TRIM(VLOOKUP(A19,'CONTROL INBOUND'!$A:$DO,Hoja2!$S$1,0)),id_horario!A:E,2,0),"ROTATIVO")</f>
        <v>ROTATIVO</v>
      </c>
      <c r="W19" s="46" t="str">
        <f>IFERROR(VLOOKUP(TRIM(VLOOKUP(A19,'CONTROL INBOUND'!$A:$DO,Hoja2!$T$1,0)),id_horario!A:E,2,0),"ROTATIVO")</f>
        <v>ROTATIVO</v>
      </c>
      <c r="X19" s="46" t="str">
        <f>IFERROR(VLOOKUP(TRIM(VLOOKUP(A19,'CONTROL INBOUND'!$A:$DO,Hoja2!$U$1,0)),id_horario!A:E,2,0),"ROTATIVO")</f>
        <v>ROTATIVO</v>
      </c>
      <c r="Y19" s="46" t="str">
        <f>IFERROR(VLOOKUP(TRIM(VLOOKUP(A19,'CONTROL INBOUND'!$A:$DO,Hoja2!$V$1,0)),id_horario!A:E,2,0),"ROTATIVO")</f>
        <v>ROTATIVO</v>
      </c>
      <c r="Z19" s="46" t="str">
        <f>IFERROR(VLOOKUP(TRIM(VLOOKUP(A19,'CONTROL INBOUND'!$A:$DO,Hoja2!$W$1,0)),id_horario!A:E,2,0),"ROTATIVO")</f>
        <v>ROTATIVO</v>
      </c>
      <c r="AA19" s="46" t="str">
        <f>IFERROR(VLOOKUP(TRIM(VLOOKUP(A19,'CONTROL INBOUND'!$A:$DO,Hoja2!$X$1,0)),id_horario!A:E,2,0),"ROTATIVO")</f>
        <v>ROTATIVO</v>
      </c>
      <c r="AB19" s="46" t="str">
        <f>IFERROR(VLOOKUP(TRIM(VLOOKUP(A19,'CONTROL INBOUND'!$A:$DO,Hoja2!$Y$1,0)),id_horario!A:E,2,0),"ROTATIVO")</f>
        <v>ROTATIVO</v>
      </c>
      <c r="AC19" s="46" t="str">
        <f>IFERROR(VLOOKUP(TRIM(VLOOKUP(A19,'CONTROL INBOUND'!$A:$DO,Hoja2!$Z$1,0)),id_horario!A:E,2,0),"ROTATIVO")</f>
        <v>ROTATIVO</v>
      </c>
      <c r="AD19" s="46" t="str">
        <f>IFERROR(VLOOKUP(TRIM(VLOOKUP(A19,'CONTROL INBOUND'!$A:$DO,Hoja2!$AA$1,0)),id_horario!A:E,2,0),"ROTATIVO")</f>
        <v>ROTATIVO</v>
      </c>
      <c r="AE19" s="46" t="str">
        <f>IFERROR(VLOOKUP(TRIM(VLOOKUP(A19,'CONTROL INBOUND'!$A:$DO,Hoja2!$AB$1,0)),id_horario!A:E,2,0),"ROTATIVO")</f>
        <v>ROTATIVO</v>
      </c>
      <c r="AF19" s="46" t="str">
        <f>IFERROR(VLOOKUP(TRIM(VLOOKUP(A19,'CONTROL INBOUND'!$A:$DO,Hoja2!$AC$1,0)),id_horario!A:E,2,0),"ROTATIVO")</f>
        <v>ROTATIVO</v>
      </c>
      <c r="AG19" s="46" t="str">
        <f>IFERROR(VLOOKUP(TRIM(VLOOKUP(A19,'CONTROL INBOUND'!$A:$DO,Hoja2!$AD$1,0)),id_horario!A:E,2,0),"ROTATIVO")</f>
        <v>ROTATIVO</v>
      </c>
      <c r="AH19" s="46" t="str">
        <f>IFERROR(VLOOKUP(TRIM(VLOOKUP(A19,'CONTROL INBOUND'!$A:$DO,Hoja2!$AE$1,0)),id_horario!A:E,2,0),"ROTATIVO")</f>
        <v>ROTATIVO</v>
      </c>
    </row>
    <row r="20" spans="1:34">
      <c r="A20" s="45" t="s">
        <v>58</v>
      </c>
      <c r="B20" s="45">
        <v>1727104927</v>
      </c>
      <c r="C20" s="19" t="s">
        <v>40</v>
      </c>
      <c r="D20" s="46" t="str">
        <f>IFERROR(VLOOKUP(TRIM(VLOOKUP(A20,'CONTROL INBOUND'!$A:$DO,Hoja2!$A$1,0)),id_horario!A:E,2,0),"ROTATIVO")</f>
        <v>ROTATIVO</v>
      </c>
      <c r="E20" s="46" t="str">
        <f>IFERROR(VLOOKUP(TRIM(VLOOKUP(A20,'CONTROL INBOUND'!$A:$DO,Hoja2!$B$1,0)),id_horario!A:E,2,0),"ROTATIVO")</f>
        <v>ROTATIVO</v>
      </c>
      <c r="F20" s="46" t="str">
        <f>IFERROR(VLOOKUP(TRIM(VLOOKUP(A20,'CONTROL INBOUND'!$A:$DO,Hoja2!$C$1,0)),id_horario!A:E,2,0),"ROTATIVO")</f>
        <v>ROTATIVO</v>
      </c>
      <c r="G20" s="46" t="str">
        <f>IFERROR(VLOOKUP(TRIM(VLOOKUP(A20,'CONTROL INBOUND'!$A:$DO,Hoja2!$D$1,0)),id_horario!A:E,2,0),"ROTATIVO")</f>
        <v>ROTATIVO</v>
      </c>
      <c r="H20" s="46" t="str">
        <f>IFERROR(VLOOKUP(TRIM(VLOOKUP(A20,'CONTROL INBOUND'!$A:$DO,Hoja2!$E$1,0)),id_horario!A:E,2,0),"ROTATIVO")</f>
        <v>ROTATIVO</v>
      </c>
      <c r="I20" s="46" t="str">
        <f>IFERROR(VLOOKUP(TRIM(VLOOKUP(A20,'CONTROL INBOUND'!$A:$DO,Hoja2!$F$1,0)),id_horario!A:E,2,0),"ROTATIVO")</f>
        <v>ROTATIVO</v>
      </c>
      <c r="J20" s="46">
        <f>IFERROR(VLOOKUP(TRIM(VLOOKUP(A20,'CONTROL INBOUND'!$A:$DO,Hoja2!$G$1,0)),id_horario!A:E,2,0),"ROTATIVO")</f>
        <v>18</v>
      </c>
      <c r="K20" s="46" t="str">
        <f>IFERROR(VLOOKUP(TRIM(VLOOKUP(A20,'CONTROL INBOUND'!$A:$DO,Hoja2!$H$1,0)),id_horario!A:E,2,0),"ROTATIVO")</f>
        <v>ROTATIVO</v>
      </c>
      <c r="L20" s="46" t="str">
        <f>IFERROR(VLOOKUP(TRIM(VLOOKUP(A20,'CONTROL INBOUND'!$A:$DO,Hoja2!$I$1,0)),id_horario!A:E,2,0),"ROTATIVO")</f>
        <v>ROTATIVO</v>
      </c>
      <c r="M20" s="46" t="str">
        <f>IFERROR(VLOOKUP(TRIM(VLOOKUP(A20,'CONTROL INBOUND'!$A:$DO,Hoja2!$J$1,0)),id_horario!A:E,2,0),"ROTATIVO")</f>
        <v>ROTATIVO</v>
      </c>
      <c r="N20" s="46" t="str">
        <f>IFERROR(VLOOKUP(TRIM(VLOOKUP(A20,'CONTROL INBOUND'!$A:$DO,Hoja2!$K$1,0)),id_horario!A:E,2,0),"ROTATIVO")</f>
        <v>ROTATIVO</v>
      </c>
      <c r="O20" s="46" t="str">
        <f>IFERROR(VLOOKUP(TRIM(VLOOKUP(A20,'CONTROL INBOUND'!$A:$DO,Hoja2!$L$1,0)),id_horario!A:E,2,0),"ROTATIVO")</f>
        <v>ROTATIVO</v>
      </c>
      <c r="P20" s="46" t="str">
        <f>IFERROR(VLOOKUP(TRIM(VLOOKUP(A20,'CONTROL INBOUND'!$A:$DO,Hoja2!$M$1,0)),id_horario!A:E,2,0),"ROTATIVO")</f>
        <v>ROTATIVO</v>
      </c>
      <c r="Q20" s="46" t="str">
        <f>IFERROR(VLOOKUP(TRIM(VLOOKUP(A20,'CONTROL INBOUND'!$A:$DO,Hoja2!$N$1,0)),id_horario!A:E,2,0),"ROTATIVO")</f>
        <v>ROTATIVO</v>
      </c>
      <c r="R20" s="46" t="str">
        <f>IFERROR(VLOOKUP(TRIM(VLOOKUP(A20,'CONTROL INBOUND'!$A:$DO,Hoja2!$O$1,0)),id_horario!A:E,2,0),"ROTATIVO")</f>
        <v>ROTATIVO</v>
      </c>
      <c r="S20" s="46" t="str">
        <f>IFERROR(VLOOKUP(TRIM(VLOOKUP(A20,'CONTROL INBOUND'!$A:$DO,Hoja2!$P$1,0)),id_horario!A:E,2,0),"ROTATIVO")</f>
        <v>ROTATIVO</v>
      </c>
      <c r="T20" s="46" t="str">
        <f>IFERROR(VLOOKUP(TRIM(VLOOKUP(A20,'CONTROL INBOUND'!$A:$DO,Hoja2!$Q$1,0)),id_horario!A:E,2,0),"ROTATIVO")</f>
        <v>ROTATIVO</v>
      </c>
      <c r="U20" s="46" t="str">
        <f>IFERROR(VLOOKUP(TRIM(VLOOKUP(A20,'CONTROL INBOUND'!$A:$DO,Hoja2!$R$1,0)),id_horario!A:E,2,0),"ROTATIVO")</f>
        <v>ROTATIVO</v>
      </c>
      <c r="V20" s="46" t="str">
        <f>IFERROR(VLOOKUP(TRIM(VLOOKUP(A20,'CONTROL INBOUND'!$A:$DO,Hoja2!$S$1,0)),id_horario!A:E,2,0),"ROTATIVO")</f>
        <v>ROTATIVO</v>
      </c>
      <c r="W20" s="46" t="str">
        <f>IFERROR(VLOOKUP(TRIM(VLOOKUP(A20,'CONTROL INBOUND'!$A:$DO,Hoja2!$T$1,0)),id_horario!A:E,2,0),"ROTATIVO")</f>
        <v>ROTATIVO</v>
      </c>
      <c r="X20" s="46" t="str">
        <f>IFERROR(VLOOKUP(TRIM(VLOOKUP(A20,'CONTROL INBOUND'!$A:$DO,Hoja2!$U$1,0)),id_horario!A:E,2,0),"ROTATIVO")</f>
        <v>ROTATIVO</v>
      </c>
      <c r="Y20" s="46" t="str">
        <f>IFERROR(VLOOKUP(TRIM(VLOOKUP(A20,'CONTROL INBOUND'!$A:$DO,Hoja2!$V$1,0)),id_horario!A:E,2,0),"ROTATIVO")</f>
        <v>ROTATIVO</v>
      </c>
      <c r="Z20" s="46" t="str">
        <f>IFERROR(VLOOKUP(TRIM(VLOOKUP(A20,'CONTROL INBOUND'!$A:$DO,Hoja2!$W$1,0)),id_horario!A:E,2,0),"ROTATIVO")</f>
        <v>ROTATIVO</v>
      </c>
      <c r="AA20" s="46" t="str">
        <f>IFERROR(VLOOKUP(TRIM(VLOOKUP(A20,'CONTROL INBOUND'!$A:$DO,Hoja2!$X$1,0)),id_horario!A:E,2,0),"ROTATIVO")</f>
        <v>ROTATIVO</v>
      </c>
      <c r="AB20" s="46" t="str">
        <f>IFERROR(VLOOKUP(TRIM(VLOOKUP(A20,'CONTROL INBOUND'!$A:$DO,Hoja2!$Y$1,0)),id_horario!A:E,2,0),"ROTATIVO")</f>
        <v>ROTATIVO</v>
      </c>
      <c r="AC20" s="46" t="str">
        <f>IFERROR(VLOOKUP(TRIM(VLOOKUP(A20,'CONTROL INBOUND'!$A:$DO,Hoja2!$Z$1,0)),id_horario!A:E,2,0),"ROTATIVO")</f>
        <v>ROTATIVO</v>
      </c>
      <c r="AD20" s="46" t="str">
        <f>IFERROR(VLOOKUP(TRIM(VLOOKUP(A20,'CONTROL INBOUND'!$A:$DO,Hoja2!$AA$1,0)),id_horario!A:E,2,0),"ROTATIVO")</f>
        <v>ROTATIVO</v>
      </c>
      <c r="AE20" s="46" t="str">
        <f>IFERROR(VLOOKUP(TRIM(VLOOKUP(A20,'CONTROL INBOUND'!$A:$DO,Hoja2!$AB$1,0)),id_horario!A:E,2,0),"ROTATIVO")</f>
        <v>ROTATIVO</v>
      </c>
      <c r="AF20" s="46" t="str">
        <f>IFERROR(VLOOKUP(TRIM(VLOOKUP(A20,'CONTROL INBOUND'!$A:$DO,Hoja2!$AC$1,0)),id_horario!A:E,2,0),"ROTATIVO")</f>
        <v>ROTATIVO</v>
      </c>
      <c r="AG20" s="46" t="str">
        <f>IFERROR(VLOOKUP(TRIM(VLOOKUP(A20,'CONTROL INBOUND'!$A:$DO,Hoja2!$AD$1,0)),id_horario!A:E,2,0),"ROTATIVO")</f>
        <v>ROTATIVO</v>
      </c>
      <c r="AH20" s="46" t="str">
        <f>IFERROR(VLOOKUP(TRIM(VLOOKUP(A20,'CONTROL INBOUND'!$A:$DO,Hoja2!$AE$1,0)),id_horario!A:E,2,0),"ROTATIVO")</f>
        <v>ROTATIVO</v>
      </c>
    </row>
    <row r="21" spans="1:34">
      <c r="A21" s="45" t="s">
        <v>42</v>
      </c>
      <c r="B21" s="45">
        <v>1722884358</v>
      </c>
      <c r="C21" s="19" t="s">
        <v>40</v>
      </c>
      <c r="D21" s="46" t="str">
        <f>IFERROR(VLOOKUP(TRIM(VLOOKUP(A21,'CONTROL INBOUND'!$A:$DO,Hoja2!$A$1,0)),id_horario!A:E,2,0),"ROTATIVO")</f>
        <v>ROTATIVO</v>
      </c>
      <c r="E21" s="46" t="str">
        <f>IFERROR(VLOOKUP(TRIM(VLOOKUP(A21,'CONTROL INBOUND'!$A:$DO,Hoja2!$B$1,0)),id_horario!A:E,2,0),"ROTATIVO")</f>
        <v>ROTATIVO</v>
      </c>
      <c r="F21" s="46" t="str">
        <f>IFERROR(VLOOKUP(TRIM(VLOOKUP(A21,'CONTROL INBOUND'!$A:$DO,Hoja2!$C$1,0)),id_horario!A:E,2,0),"ROTATIVO")</f>
        <v>ROTATIVO</v>
      </c>
      <c r="G21" s="46" t="str">
        <f>IFERROR(VLOOKUP(TRIM(VLOOKUP(A21,'CONTROL INBOUND'!$A:$DO,Hoja2!$D$1,0)),id_horario!A:E,2,0),"ROTATIVO")</f>
        <v>ROTATIVO</v>
      </c>
      <c r="H21" s="46" t="str">
        <f>IFERROR(VLOOKUP(TRIM(VLOOKUP(A21,'CONTROL INBOUND'!$A:$DO,Hoja2!$E$1,0)),id_horario!A:E,2,0),"ROTATIVO")</f>
        <v>ROTATIVO</v>
      </c>
      <c r="I21" s="46" t="str">
        <f>IFERROR(VLOOKUP(TRIM(VLOOKUP(A21,'CONTROL INBOUND'!$A:$DO,Hoja2!$F$1,0)),id_horario!A:E,2,0),"ROTATIVO")</f>
        <v>ROTATIVO</v>
      </c>
      <c r="J21" s="46" t="str">
        <f>IFERROR(VLOOKUP(TRIM(VLOOKUP(A21,'CONTROL INBOUND'!$A:$DO,Hoja2!$G$1,0)),id_horario!A:E,2,0),"ROTATIVO")</f>
        <v>ROTATIVO</v>
      </c>
      <c r="K21" s="46" t="str">
        <f>IFERROR(VLOOKUP(TRIM(VLOOKUP(A21,'CONTROL INBOUND'!$A:$DO,Hoja2!$H$1,0)),id_horario!A:E,2,0),"ROTATIVO")</f>
        <v>ROTATIVO</v>
      </c>
      <c r="L21" s="46" t="str">
        <f>IFERROR(VLOOKUP(TRIM(VLOOKUP(A21,'CONTROL INBOUND'!$A:$DO,Hoja2!$I$1,0)),id_horario!A:E,2,0),"ROTATIVO")</f>
        <v>ROTATIVO</v>
      </c>
      <c r="M21" s="46" t="str">
        <f>IFERROR(VLOOKUP(TRIM(VLOOKUP(A21,'CONTROL INBOUND'!$A:$DO,Hoja2!$J$1,0)),id_horario!A:E,2,0),"ROTATIVO")</f>
        <v>ROTATIVO</v>
      </c>
      <c r="N21" s="46" t="str">
        <f>IFERROR(VLOOKUP(TRIM(VLOOKUP(A21,'CONTROL INBOUND'!$A:$DO,Hoja2!$K$1,0)),id_horario!A:E,2,0),"ROTATIVO")</f>
        <v>ROTATIVO</v>
      </c>
      <c r="O21" s="46" t="str">
        <f>IFERROR(VLOOKUP(TRIM(VLOOKUP(A21,'CONTROL INBOUND'!$A:$DO,Hoja2!$L$1,0)),id_horario!A:E,2,0),"ROTATIVO")</f>
        <v>ROTATIVO</v>
      </c>
      <c r="P21" s="46" t="str">
        <f>IFERROR(VLOOKUP(TRIM(VLOOKUP(A21,'CONTROL INBOUND'!$A:$DO,Hoja2!$M$1,0)),id_horario!A:E,2,0),"ROTATIVO")</f>
        <v>ROTATIVO</v>
      </c>
      <c r="Q21" s="46" t="str">
        <f>IFERROR(VLOOKUP(TRIM(VLOOKUP(A21,'CONTROL INBOUND'!$A:$DO,Hoja2!$N$1,0)),id_horario!A:E,2,0),"ROTATIVO")</f>
        <v>ROTATIVO</v>
      </c>
      <c r="R21" s="46" t="str">
        <f>IFERROR(VLOOKUP(TRIM(VLOOKUP(A21,'CONTROL INBOUND'!$A:$DO,Hoja2!$O$1,0)),id_horario!A:E,2,0),"ROTATIVO")</f>
        <v>ROTATIVO</v>
      </c>
      <c r="S21" s="46" t="str">
        <f>IFERROR(VLOOKUP(TRIM(VLOOKUP(A21,'CONTROL INBOUND'!$A:$DO,Hoja2!$P$1,0)),id_horario!A:E,2,0),"ROTATIVO")</f>
        <v>ROTATIVO</v>
      </c>
      <c r="T21" s="46" t="str">
        <f>IFERROR(VLOOKUP(TRIM(VLOOKUP(A21,'CONTROL INBOUND'!$A:$DO,Hoja2!$Q$1,0)),id_horario!A:E,2,0),"ROTATIVO")</f>
        <v>ROTATIVO</v>
      </c>
      <c r="U21" s="46" t="str">
        <f>IFERROR(VLOOKUP(TRIM(VLOOKUP(A21,'CONTROL INBOUND'!$A:$DO,Hoja2!$R$1,0)),id_horario!A:E,2,0),"ROTATIVO")</f>
        <v>ROTATIVO</v>
      </c>
      <c r="V21" s="46" t="str">
        <f>IFERROR(VLOOKUP(TRIM(VLOOKUP(A21,'CONTROL INBOUND'!$A:$DO,Hoja2!$S$1,0)),id_horario!A:E,2,0),"ROTATIVO")</f>
        <v>ROTATIVO</v>
      </c>
      <c r="W21" s="46" t="str">
        <f>IFERROR(VLOOKUP(TRIM(VLOOKUP(A21,'CONTROL INBOUND'!$A:$DO,Hoja2!$T$1,0)),id_horario!A:E,2,0),"ROTATIVO")</f>
        <v>ROTATIVO</v>
      </c>
      <c r="X21" s="46" t="str">
        <f>IFERROR(VLOOKUP(TRIM(VLOOKUP(A21,'CONTROL INBOUND'!$A:$DO,Hoja2!$U$1,0)),id_horario!A:E,2,0),"ROTATIVO")</f>
        <v>ROTATIVO</v>
      </c>
      <c r="Y21" s="46" t="str">
        <f>IFERROR(VLOOKUP(TRIM(VLOOKUP(A21,'CONTROL INBOUND'!$A:$DO,Hoja2!$V$1,0)),id_horario!A:E,2,0),"ROTATIVO")</f>
        <v>ROTATIVO</v>
      </c>
      <c r="Z21" s="46" t="str">
        <f>IFERROR(VLOOKUP(TRIM(VLOOKUP(A21,'CONTROL INBOUND'!$A:$DO,Hoja2!$W$1,0)),id_horario!A:E,2,0),"ROTATIVO")</f>
        <v>ROTATIVO</v>
      </c>
      <c r="AA21" s="46" t="str">
        <f>IFERROR(VLOOKUP(TRIM(VLOOKUP(A21,'CONTROL INBOUND'!$A:$DO,Hoja2!$X$1,0)),id_horario!A:E,2,0),"ROTATIVO")</f>
        <v>ROTATIVO</v>
      </c>
      <c r="AB21" s="46" t="str">
        <f>IFERROR(VLOOKUP(TRIM(VLOOKUP(A21,'CONTROL INBOUND'!$A:$DO,Hoja2!$Y$1,0)),id_horario!A:E,2,0),"ROTATIVO")</f>
        <v>ROTATIVO</v>
      </c>
      <c r="AC21" s="46" t="str">
        <f>IFERROR(VLOOKUP(TRIM(VLOOKUP(A21,'CONTROL INBOUND'!$A:$DO,Hoja2!$Z$1,0)),id_horario!A:E,2,0),"ROTATIVO")</f>
        <v>ROTATIVO</v>
      </c>
      <c r="AD21" s="46" t="str">
        <f>IFERROR(VLOOKUP(TRIM(VLOOKUP(A21,'CONTROL INBOUND'!$A:$DO,Hoja2!$AA$1,0)),id_horario!A:E,2,0),"ROTATIVO")</f>
        <v>ROTATIVO</v>
      </c>
      <c r="AE21" s="46" t="str">
        <f>IFERROR(VLOOKUP(TRIM(VLOOKUP(A21,'CONTROL INBOUND'!$A:$DO,Hoja2!$AB$1,0)),id_horario!A:E,2,0),"ROTATIVO")</f>
        <v>ROTATIVO</v>
      </c>
      <c r="AF21" s="46" t="str">
        <f>IFERROR(VLOOKUP(TRIM(VLOOKUP(A21,'CONTROL INBOUND'!$A:$DO,Hoja2!$AC$1,0)),id_horario!A:E,2,0),"ROTATIVO")</f>
        <v>ROTATIVO</v>
      </c>
      <c r="AG21" s="46" t="str">
        <f>IFERROR(VLOOKUP(TRIM(VLOOKUP(A21,'CONTROL INBOUND'!$A:$DO,Hoja2!$AD$1,0)),id_horario!A:E,2,0),"ROTATIVO")</f>
        <v>ROTATIVO</v>
      </c>
      <c r="AH21" s="46" t="str">
        <f>IFERROR(VLOOKUP(TRIM(VLOOKUP(A21,'CONTROL INBOUND'!$A:$DO,Hoja2!$AE$1,0)),id_horario!A:E,2,0),"ROTATIVO")</f>
        <v>ROTATIVO</v>
      </c>
    </row>
    <row r="22" spans="1:34">
      <c r="A22" s="45" t="s">
        <v>50</v>
      </c>
      <c r="B22" s="45">
        <v>1728879139</v>
      </c>
      <c r="C22" s="19" t="s">
        <v>40</v>
      </c>
      <c r="D22" s="46">
        <f>IFERROR(VLOOKUP(TRIM(VLOOKUP(A22,'CONTROL INBOUND'!$A:$DO,Hoja2!$A$1,0)),id_horario!A:E,2,0),"ROTATIVO")</f>
        <v>30</v>
      </c>
      <c r="E22" s="46" t="str">
        <f>IFERROR(VLOOKUP(TRIM(VLOOKUP(A22,'CONTROL INBOUND'!$A:$DO,Hoja2!$B$1,0)),id_horario!A:E,2,0),"ROTATIVO")</f>
        <v>ROTATIVO</v>
      </c>
      <c r="F22" s="46" t="str">
        <f>IFERROR(VLOOKUP(TRIM(VLOOKUP(A22,'CONTROL INBOUND'!$A:$DO,Hoja2!$C$1,0)),id_horario!A:E,2,0),"ROTATIVO")</f>
        <v>ROTATIVO</v>
      </c>
      <c r="G22" s="46" t="str">
        <f>IFERROR(VLOOKUP(TRIM(VLOOKUP(A22,'CONTROL INBOUND'!$A:$DO,Hoja2!$D$1,0)),id_horario!A:E,2,0),"ROTATIVO")</f>
        <v>ROTATIVO</v>
      </c>
      <c r="H22" s="46" t="str">
        <f>IFERROR(VLOOKUP(TRIM(VLOOKUP(A22,'CONTROL INBOUND'!$A:$DO,Hoja2!$E$1,0)),id_horario!A:E,2,0),"ROTATIVO")</f>
        <v>ROTATIVO</v>
      </c>
      <c r="I22" s="46">
        <f>IFERROR(VLOOKUP(TRIM(VLOOKUP(A22,'CONTROL INBOUND'!$A:$DO,Hoja2!$F$1,0)),id_horario!A:E,2,0),"ROTATIVO")</f>
        <v>54</v>
      </c>
      <c r="J22" s="46" t="str">
        <f>IFERROR(VLOOKUP(TRIM(VLOOKUP(A22,'CONTROL INBOUND'!$A:$DO,Hoja2!$G$1,0)),id_horario!A:E,2,0),"ROTATIVO")</f>
        <v>ROTATIVO</v>
      </c>
      <c r="K22" s="46" t="str">
        <f>IFERROR(VLOOKUP(TRIM(VLOOKUP(A22,'CONTROL INBOUND'!$A:$DO,Hoja2!$H$1,0)),id_horario!A:E,2,0),"ROTATIVO")</f>
        <v>ROTATIVO</v>
      </c>
      <c r="L22" s="46" t="str">
        <f>IFERROR(VLOOKUP(TRIM(VLOOKUP(A22,'CONTROL INBOUND'!$A:$DO,Hoja2!$I$1,0)),id_horario!A:E,2,0),"ROTATIVO")</f>
        <v>ROTATIVO</v>
      </c>
      <c r="M22" s="46" t="str">
        <f>IFERROR(VLOOKUP(TRIM(VLOOKUP(A22,'CONTROL INBOUND'!$A:$DO,Hoja2!$J$1,0)),id_horario!A:E,2,0),"ROTATIVO")</f>
        <v>ROTATIVO</v>
      </c>
      <c r="N22" s="46" t="str">
        <f>IFERROR(VLOOKUP(TRIM(VLOOKUP(A22,'CONTROL INBOUND'!$A:$DO,Hoja2!$K$1,0)),id_horario!A:E,2,0),"ROTATIVO")</f>
        <v>ROTATIVO</v>
      </c>
      <c r="O22" s="46" t="str">
        <f>IFERROR(VLOOKUP(TRIM(VLOOKUP(A22,'CONTROL INBOUND'!$A:$DO,Hoja2!$L$1,0)),id_horario!A:E,2,0),"ROTATIVO")</f>
        <v>ROTATIVO</v>
      </c>
      <c r="P22" s="46" t="str">
        <f>IFERROR(VLOOKUP(TRIM(VLOOKUP(A22,'CONTROL INBOUND'!$A:$DO,Hoja2!$M$1,0)),id_horario!A:E,2,0),"ROTATIVO")</f>
        <v>ROTATIVO</v>
      </c>
      <c r="Q22" s="46" t="str">
        <f>IFERROR(VLOOKUP(TRIM(VLOOKUP(A22,'CONTROL INBOUND'!$A:$DO,Hoja2!$N$1,0)),id_horario!A:E,2,0),"ROTATIVO")</f>
        <v>ROTATIVO</v>
      </c>
      <c r="R22" s="46" t="str">
        <f>IFERROR(VLOOKUP(TRIM(VLOOKUP(A22,'CONTROL INBOUND'!$A:$DO,Hoja2!$O$1,0)),id_horario!A:E,2,0),"ROTATIVO")</f>
        <v>ROTATIVO</v>
      </c>
      <c r="S22" s="46" t="str">
        <f>IFERROR(VLOOKUP(TRIM(VLOOKUP(A22,'CONTROL INBOUND'!$A:$DO,Hoja2!$P$1,0)),id_horario!A:E,2,0),"ROTATIVO")</f>
        <v>ROTATIVO</v>
      </c>
      <c r="T22" s="46" t="str">
        <f>IFERROR(VLOOKUP(TRIM(VLOOKUP(A22,'CONTROL INBOUND'!$A:$DO,Hoja2!$Q$1,0)),id_horario!A:E,2,0),"ROTATIVO")</f>
        <v>ROTATIVO</v>
      </c>
      <c r="U22" s="46" t="str">
        <f>IFERROR(VLOOKUP(TRIM(VLOOKUP(A22,'CONTROL INBOUND'!$A:$DO,Hoja2!$R$1,0)),id_horario!A:E,2,0),"ROTATIVO")</f>
        <v>ROTATIVO</v>
      </c>
      <c r="V22" s="46" t="str">
        <f>IFERROR(VLOOKUP(TRIM(VLOOKUP(A22,'CONTROL INBOUND'!$A:$DO,Hoja2!$S$1,0)),id_horario!A:E,2,0),"ROTATIVO")</f>
        <v>ROTATIVO</v>
      </c>
      <c r="W22" s="46" t="str">
        <f>IFERROR(VLOOKUP(TRIM(VLOOKUP(A22,'CONTROL INBOUND'!$A:$DO,Hoja2!$T$1,0)),id_horario!A:E,2,0),"ROTATIVO")</f>
        <v>ROTATIVO</v>
      </c>
      <c r="X22" s="46" t="str">
        <f>IFERROR(VLOOKUP(TRIM(VLOOKUP(A22,'CONTROL INBOUND'!$A:$DO,Hoja2!$U$1,0)),id_horario!A:E,2,0),"ROTATIVO")</f>
        <v>ROTATIVO</v>
      </c>
      <c r="Y22" s="46" t="str">
        <f>IFERROR(VLOOKUP(TRIM(VLOOKUP(A22,'CONTROL INBOUND'!$A:$DO,Hoja2!$V$1,0)),id_horario!A:E,2,0),"ROTATIVO")</f>
        <v>ROTATIVO</v>
      </c>
      <c r="Z22" s="46" t="str">
        <f>IFERROR(VLOOKUP(TRIM(VLOOKUP(A22,'CONTROL INBOUND'!$A:$DO,Hoja2!$W$1,0)),id_horario!A:E,2,0),"ROTATIVO")</f>
        <v>ROTATIVO</v>
      </c>
      <c r="AA22" s="46" t="str">
        <f>IFERROR(VLOOKUP(TRIM(VLOOKUP(A22,'CONTROL INBOUND'!$A:$DO,Hoja2!$X$1,0)),id_horario!A:E,2,0),"ROTATIVO")</f>
        <v>ROTATIVO</v>
      </c>
      <c r="AB22" s="46" t="str">
        <f>IFERROR(VLOOKUP(TRIM(VLOOKUP(A22,'CONTROL INBOUND'!$A:$DO,Hoja2!$Y$1,0)),id_horario!A:E,2,0),"ROTATIVO")</f>
        <v>ROTATIVO</v>
      </c>
      <c r="AC22" s="46" t="str">
        <f>IFERROR(VLOOKUP(TRIM(VLOOKUP(A22,'CONTROL INBOUND'!$A:$DO,Hoja2!$Z$1,0)),id_horario!A:E,2,0),"ROTATIVO")</f>
        <v>ROTATIVO</v>
      </c>
      <c r="AD22" s="46" t="str">
        <f>IFERROR(VLOOKUP(TRIM(VLOOKUP(A22,'CONTROL INBOUND'!$A:$DO,Hoja2!$AA$1,0)),id_horario!A:E,2,0),"ROTATIVO")</f>
        <v>ROTATIVO</v>
      </c>
      <c r="AE22" s="46" t="str">
        <f>IFERROR(VLOOKUP(TRIM(VLOOKUP(A22,'CONTROL INBOUND'!$A:$DO,Hoja2!$AB$1,0)),id_horario!A:E,2,0),"ROTATIVO")</f>
        <v>ROTATIVO</v>
      </c>
      <c r="AF22" s="46" t="str">
        <f>IFERROR(VLOOKUP(TRIM(VLOOKUP(A22,'CONTROL INBOUND'!$A:$DO,Hoja2!$AC$1,0)),id_horario!A:E,2,0),"ROTATIVO")</f>
        <v>ROTATIVO</v>
      </c>
      <c r="AG22" s="46" t="str">
        <f>IFERROR(VLOOKUP(TRIM(VLOOKUP(A22,'CONTROL INBOUND'!$A:$DO,Hoja2!$AD$1,0)),id_horario!A:E,2,0),"ROTATIVO")</f>
        <v>ROTATIVO</v>
      </c>
      <c r="AH22" s="46" t="str">
        <f>IFERROR(VLOOKUP(TRIM(VLOOKUP(A22,'CONTROL INBOUND'!$A:$DO,Hoja2!$AE$1,0)),id_horario!A:E,2,0),"ROTATIVO")</f>
        <v>ROTATIVO</v>
      </c>
    </row>
    <row r="23" spans="1:34">
      <c r="A23" s="45" t="s">
        <v>279</v>
      </c>
      <c r="B23" s="45">
        <v>1710298579</v>
      </c>
      <c r="C23" s="19" t="s">
        <v>40</v>
      </c>
      <c r="D23" s="46" t="str">
        <f>IFERROR(VLOOKUP(TRIM(VLOOKUP(A23,'CONTROL INBOUND'!$A:$DO,Hoja2!$A$1,0)),id_horario!A:E,2,0),"ROTATIVO")</f>
        <v>ROTATIVO</v>
      </c>
      <c r="E23" s="46" t="str">
        <f>IFERROR(VLOOKUP(TRIM(VLOOKUP(A23,'CONTROL INBOUND'!$A:$DO,Hoja2!$B$1,0)),id_horario!A:E,2,0),"ROTATIVO")</f>
        <v>ROTATIVO</v>
      </c>
      <c r="F23" s="46" t="str">
        <f>IFERROR(VLOOKUP(TRIM(VLOOKUP(A23,'CONTROL INBOUND'!$A:$DO,Hoja2!$C$1,0)),id_horario!A:E,2,0),"ROTATIVO")</f>
        <v>ROTATIVO</v>
      </c>
      <c r="G23" s="46" t="str">
        <f>IFERROR(VLOOKUP(TRIM(VLOOKUP(A23,'CONTROL INBOUND'!$A:$DO,Hoja2!$D$1,0)),id_horario!A:E,2,0),"ROTATIVO")</f>
        <v>ROTATIVO</v>
      </c>
      <c r="H23" s="46" t="str">
        <f>IFERROR(VLOOKUP(TRIM(VLOOKUP(A23,'CONTROL INBOUND'!$A:$DO,Hoja2!$E$1,0)),id_horario!A:E,2,0),"ROTATIVO")</f>
        <v>ROTATIVO</v>
      </c>
      <c r="I23" s="46" t="str">
        <f>IFERROR(VLOOKUP(TRIM(VLOOKUP(A23,'CONTROL INBOUND'!$A:$DO,Hoja2!$F$1,0)),id_horario!A:E,2,0),"ROTATIVO")</f>
        <v>ROTATIVO</v>
      </c>
      <c r="J23" s="46" t="str">
        <f>IFERROR(VLOOKUP(TRIM(VLOOKUP(A23,'CONTROL INBOUND'!$A:$DO,Hoja2!$G$1,0)),id_horario!A:E,2,0),"ROTATIVO")</f>
        <v>ROTATIVO</v>
      </c>
      <c r="K23" s="46" t="str">
        <f>IFERROR(VLOOKUP(TRIM(VLOOKUP(A23,'CONTROL INBOUND'!$A:$DO,Hoja2!$H$1,0)),id_horario!A:E,2,0),"ROTATIVO")</f>
        <v>ROTATIVO</v>
      </c>
      <c r="L23" s="46" t="str">
        <f>IFERROR(VLOOKUP(TRIM(VLOOKUP(A23,'CONTROL INBOUND'!$A:$DO,Hoja2!$I$1,0)),id_horario!A:E,2,0),"ROTATIVO")</f>
        <v>ROTATIVO</v>
      </c>
      <c r="M23" s="46" t="str">
        <f>IFERROR(VLOOKUP(TRIM(VLOOKUP(A23,'CONTROL INBOUND'!$A:$DO,Hoja2!$J$1,0)),id_horario!A:E,2,0),"ROTATIVO")</f>
        <v>ROTATIVO</v>
      </c>
      <c r="N23" s="46" t="str">
        <f>IFERROR(VLOOKUP(TRIM(VLOOKUP(A23,'CONTROL INBOUND'!$A:$DO,Hoja2!$K$1,0)),id_horario!A:E,2,0),"ROTATIVO")</f>
        <v>ROTATIVO</v>
      </c>
      <c r="O23" s="46" t="str">
        <f>IFERROR(VLOOKUP(TRIM(VLOOKUP(A23,'CONTROL INBOUND'!$A:$DO,Hoja2!$L$1,0)),id_horario!A:E,2,0),"ROTATIVO")</f>
        <v>ROTATIVO</v>
      </c>
      <c r="P23" s="46" t="str">
        <f>IFERROR(VLOOKUP(TRIM(VLOOKUP(A23,'CONTROL INBOUND'!$A:$DO,Hoja2!$M$1,0)),id_horario!A:E,2,0),"ROTATIVO")</f>
        <v>ROTATIVO</v>
      </c>
      <c r="Q23" s="46" t="str">
        <f>IFERROR(VLOOKUP(TRIM(VLOOKUP(A23,'CONTROL INBOUND'!$A:$DO,Hoja2!$N$1,0)),id_horario!A:E,2,0),"ROTATIVO")</f>
        <v>ROTATIVO</v>
      </c>
      <c r="R23" s="46" t="str">
        <f>IFERROR(VLOOKUP(TRIM(VLOOKUP(A23,'CONTROL INBOUND'!$A:$DO,Hoja2!$O$1,0)),id_horario!A:E,2,0),"ROTATIVO")</f>
        <v>ROTATIVO</v>
      </c>
      <c r="S23" s="46" t="str">
        <f>IFERROR(VLOOKUP(TRIM(VLOOKUP(A23,'CONTROL INBOUND'!$A:$DO,Hoja2!$P$1,0)),id_horario!A:E,2,0),"ROTATIVO")</f>
        <v>ROTATIVO</v>
      </c>
      <c r="T23" s="46" t="str">
        <f>IFERROR(VLOOKUP(TRIM(VLOOKUP(A23,'CONTROL INBOUND'!$A:$DO,Hoja2!$Q$1,0)),id_horario!A:E,2,0),"ROTATIVO")</f>
        <v>ROTATIVO</v>
      </c>
      <c r="U23" s="46" t="str">
        <f>IFERROR(VLOOKUP(TRIM(VLOOKUP(A23,'CONTROL INBOUND'!$A:$DO,Hoja2!$R$1,0)),id_horario!A:E,2,0),"ROTATIVO")</f>
        <v>ROTATIVO</v>
      </c>
      <c r="V23" s="46" t="str">
        <f>IFERROR(VLOOKUP(TRIM(VLOOKUP(A23,'CONTROL INBOUND'!$A:$DO,Hoja2!$S$1,0)),id_horario!A:E,2,0),"ROTATIVO")</f>
        <v>ROTATIVO</v>
      </c>
      <c r="W23" s="46" t="str">
        <f>IFERROR(VLOOKUP(TRIM(VLOOKUP(A23,'CONTROL INBOUND'!$A:$DO,Hoja2!$T$1,0)),id_horario!A:E,2,0),"ROTATIVO")</f>
        <v>ROTATIVO</v>
      </c>
      <c r="X23" s="46" t="str">
        <f>IFERROR(VLOOKUP(TRIM(VLOOKUP(A23,'CONTROL INBOUND'!$A:$DO,Hoja2!$U$1,0)),id_horario!A:E,2,0),"ROTATIVO")</f>
        <v>ROTATIVO</v>
      </c>
      <c r="Y23" s="46" t="str">
        <f>IFERROR(VLOOKUP(TRIM(VLOOKUP(A23,'CONTROL INBOUND'!$A:$DO,Hoja2!$V$1,0)),id_horario!A:E,2,0),"ROTATIVO")</f>
        <v>ROTATIVO</v>
      </c>
      <c r="Z23" s="46" t="str">
        <f>IFERROR(VLOOKUP(TRIM(VLOOKUP(A23,'CONTROL INBOUND'!$A:$DO,Hoja2!$W$1,0)),id_horario!A:E,2,0),"ROTATIVO")</f>
        <v>ROTATIVO</v>
      </c>
      <c r="AA23" s="46" t="str">
        <f>IFERROR(VLOOKUP(TRIM(VLOOKUP(A23,'CONTROL INBOUND'!$A:$DO,Hoja2!$X$1,0)),id_horario!A:E,2,0),"ROTATIVO")</f>
        <v>ROTATIVO</v>
      </c>
      <c r="AB23" s="46" t="str">
        <f>IFERROR(VLOOKUP(TRIM(VLOOKUP(A23,'CONTROL INBOUND'!$A:$DO,Hoja2!$Y$1,0)),id_horario!A:E,2,0),"ROTATIVO")</f>
        <v>ROTATIVO</v>
      </c>
      <c r="AC23" s="46" t="str">
        <f>IFERROR(VLOOKUP(TRIM(VLOOKUP(A23,'CONTROL INBOUND'!$A:$DO,Hoja2!$Z$1,0)),id_horario!A:E,2,0),"ROTATIVO")</f>
        <v>ROTATIVO</v>
      </c>
      <c r="AD23" s="46" t="str">
        <f>IFERROR(VLOOKUP(TRIM(VLOOKUP(A23,'CONTROL INBOUND'!$A:$DO,Hoja2!$AA$1,0)),id_horario!A:E,2,0),"ROTATIVO")</f>
        <v>ROTATIVO</v>
      </c>
      <c r="AE23" s="46" t="str">
        <f>IFERROR(VLOOKUP(TRIM(VLOOKUP(A23,'CONTROL INBOUND'!$A:$DO,Hoja2!$AB$1,0)),id_horario!A:E,2,0),"ROTATIVO")</f>
        <v>ROTATIVO</v>
      </c>
      <c r="AF23" s="46" t="str">
        <f>IFERROR(VLOOKUP(TRIM(VLOOKUP(A23,'CONTROL INBOUND'!$A:$DO,Hoja2!$AC$1,0)),id_horario!A:E,2,0),"ROTATIVO")</f>
        <v>ROTATIVO</v>
      </c>
      <c r="AG23" s="46" t="str">
        <f>IFERROR(VLOOKUP(TRIM(VLOOKUP(A23,'CONTROL INBOUND'!$A:$DO,Hoja2!$AD$1,0)),id_horario!A:E,2,0),"ROTATIVO")</f>
        <v>ROTATIVO</v>
      </c>
      <c r="AH23" s="46" t="str">
        <f>IFERROR(VLOOKUP(TRIM(VLOOKUP(A23,'CONTROL INBOUND'!$A:$DO,Hoja2!$AE$1,0)),id_horario!A:E,2,0),"ROTATIVO")</f>
        <v>ROTATIVO</v>
      </c>
    </row>
    <row r="24" spans="1:34">
      <c r="A24" s="45" t="s">
        <v>51</v>
      </c>
      <c r="B24" s="45">
        <v>1756171060</v>
      </c>
      <c r="C24" s="19" t="s">
        <v>40</v>
      </c>
      <c r="D24" s="46" t="str">
        <f>IFERROR(VLOOKUP(TRIM(VLOOKUP(A24,'CONTROL INBOUND'!$A:$DO,Hoja2!$A$1,0)),id_horario!A:E,2,0),"ROTATIVO")</f>
        <v>ROTATIVO</v>
      </c>
      <c r="E24" s="46" t="str">
        <f>IFERROR(VLOOKUP(TRIM(VLOOKUP(A24,'CONTROL INBOUND'!$A:$DO,Hoja2!$B$1,0)),id_horario!A:E,2,0),"ROTATIVO")</f>
        <v>ROTATIVO</v>
      </c>
      <c r="F24" s="46" t="str">
        <f>IFERROR(VLOOKUP(TRIM(VLOOKUP(A24,'CONTROL INBOUND'!$A:$DO,Hoja2!$C$1,0)),id_horario!A:E,2,0),"ROTATIVO")</f>
        <v>ROTATIVO</v>
      </c>
      <c r="G24" s="46" t="str">
        <f>IFERROR(VLOOKUP(TRIM(VLOOKUP(A24,'CONTROL INBOUND'!$A:$DO,Hoja2!$D$1,0)),id_horario!A:E,2,0),"ROTATIVO")</f>
        <v>ROTATIVO</v>
      </c>
      <c r="H24" s="46" t="str">
        <f>IFERROR(VLOOKUP(TRIM(VLOOKUP(A24,'CONTROL INBOUND'!$A:$DO,Hoja2!$E$1,0)),id_horario!A:E,2,0),"ROTATIVO")</f>
        <v>ROTATIVO</v>
      </c>
      <c r="I24" s="46" t="str">
        <f>IFERROR(VLOOKUP(TRIM(VLOOKUP(A24,'CONTROL INBOUND'!$A:$DO,Hoja2!$F$1,0)),id_horario!A:E,2,0),"ROTATIVO")</f>
        <v>ROTATIVO</v>
      </c>
      <c r="J24" s="46" t="str">
        <f>IFERROR(VLOOKUP(TRIM(VLOOKUP(A24,'CONTROL INBOUND'!$A:$DO,Hoja2!$G$1,0)),id_horario!A:E,2,0),"ROTATIVO")</f>
        <v>ROTATIVO</v>
      </c>
      <c r="K24" s="46" t="str">
        <f>IFERROR(VLOOKUP(TRIM(VLOOKUP(A24,'CONTROL INBOUND'!$A:$DO,Hoja2!$H$1,0)),id_horario!A:E,2,0),"ROTATIVO")</f>
        <v>ROTATIVO</v>
      </c>
      <c r="L24" s="46" t="str">
        <f>IFERROR(VLOOKUP(TRIM(VLOOKUP(A24,'CONTROL INBOUND'!$A:$DO,Hoja2!$I$1,0)),id_horario!A:E,2,0),"ROTATIVO")</f>
        <v>ROTATIVO</v>
      </c>
      <c r="M24" s="46" t="str">
        <f>IFERROR(VLOOKUP(TRIM(VLOOKUP(A24,'CONTROL INBOUND'!$A:$DO,Hoja2!$J$1,0)),id_horario!A:E,2,0),"ROTATIVO")</f>
        <v>ROTATIVO</v>
      </c>
      <c r="N24" s="46" t="str">
        <f>IFERROR(VLOOKUP(TRIM(VLOOKUP(A24,'CONTROL INBOUND'!$A:$DO,Hoja2!$K$1,0)),id_horario!A:E,2,0),"ROTATIVO")</f>
        <v>ROTATIVO</v>
      </c>
      <c r="O24" s="46" t="str">
        <f>IFERROR(VLOOKUP(TRIM(VLOOKUP(A24,'CONTROL INBOUND'!$A:$DO,Hoja2!$L$1,0)),id_horario!A:E,2,0),"ROTATIVO")</f>
        <v>ROTATIVO</v>
      </c>
      <c r="P24" s="46" t="str">
        <f>IFERROR(VLOOKUP(TRIM(VLOOKUP(A24,'CONTROL INBOUND'!$A:$DO,Hoja2!$M$1,0)),id_horario!A:E,2,0),"ROTATIVO")</f>
        <v>ROTATIVO</v>
      </c>
      <c r="Q24" s="46" t="str">
        <f>IFERROR(VLOOKUP(TRIM(VLOOKUP(A24,'CONTROL INBOUND'!$A:$DO,Hoja2!$N$1,0)),id_horario!A:E,2,0),"ROTATIVO")</f>
        <v>ROTATIVO</v>
      </c>
      <c r="R24" s="46" t="str">
        <f>IFERROR(VLOOKUP(TRIM(VLOOKUP(A24,'CONTROL INBOUND'!$A:$DO,Hoja2!$O$1,0)),id_horario!A:E,2,0),"ROTATIVO")</f>
        <v>ROTATIVO</v>
      </c>
      <c r="S24" s="46" t="str">
        <f>IFERROR(VLOOKUP(TRIM(VLOOKUP(A24,'CONTROL INBOUND'!$A:$DO,Hoja2!$P$1,0)),id_horario!A:E,2,0),"ROTATIVO")</f>
        <v>ROTATIVO</v>
      </c>
      <c r="T24" s="46" t="str">
        <f>IFERROR(VLOOKUP(TRIM(VLOOKUP(A24,'CONTROL INBOUND'!$A:$DO,Hoja2!$Q$1,0)),id_horario!A:E,2,0),"ROTATIVO")</f>
        <v>ROTATIVO</v>
      </c>
      <c r="U24" s="46" t="str">
        <f>IFERROR(VLOOKUP(TRIM(VLOOKUP(A24,'CONTROL INBOUND'!$A:$DO,Hoja2!$R$1,0)),id_horario!A:E,2,0),"ROTATIVO")</f>
        <v>ROTATIVO</v>
      </c>
      <c r="V24" s="46" t="str">
        <f>IFERROR(VLOOKUP(TRIM(VLOOKUP(A24,'CONTROL INBOUND'!$A:$DO,Hoja2!$S$1,0)),id_horario!A:E,2,0),"ROTATIVO")</f>
        <v>ROTATIVO</v>
      </c>
      <c r="W24" s="46" t="str">
        <f>IFERROR(VLOOKUP(TRIM(VLOOKUP(A24,'CONTROL INBOUND'!$A:$DO,Hoja2!$T$1,0)),id_horario!A:E,2,0),"ROTATIVO")</f>
        <v>ROTATIVO</v>
      </c>
      <c r="X24" s="46" t="str">
        <f>IFERROR(VLOOKUP(TRIM(VLOOKUP(A24,'CONTROL INBOUND'!$A:$DO,Hoja2!$U$1,0)),id_horario!A:E,2,0),"ROTATIVO")</f>
        <v>ROTATIVO</v>
      </c>
      <c r="Y24" s="46" t="str">
        <f>IFERROR(VLOOKUP(TRIM(VLOOKUP(A24,'CONTROL INBOUND'!$A:$DO,Hoja2!$V$1,0)),id_horario!A:E,2,0),"ROTATIVO")</f>
        <v>ROTATIVO</v>
      </c>
      <c r="Z24" s="46" t="str">
        <f>IFERROR(VLOOKUP(TRIM(VLOOKUP(A24,'CONTROL INBOUND'!$A:$DO,Hoja2!$W$1,0)),id_horario!A:E,2,0),"ROTATIVO")</f>
        <v>ROTATIVO</v>
      </c>
      <c r="AA24" s="46" t="str">
        <f>IFERROR(VLOOKUP(TRIM(VLOOKUP(A24,'CONTROL INBOUND'!$A:$DO,Hoja2!$X$1,0)),id_horario!A:E,2,0),"ROTATIVO")</f>
        <v>ROTATIVO</v>
      </c>
      <c r="AB24" s="46" t="str">
        <f>IFERROR(VLOOKUP(TRIM(VLOOKUP(A24,'CONTROL INBOUND'!$A:$DO,Hoja2!$Y$1,0)),id_horario!A:E,2,0),"ROTATIVO")</f>
        <v>ROTATIVO</v>
      </c>
      <c r="AC24" s="46" t="str">
        <f>IFERROR(VLOOKUP(TRIM(VLOOKUP(A24,'CONTROL INBOUND'!$A:$DO,Hoja2!$Z$1,0)),id_horario!A:E,2,0),"ROTATIVO")</f>
        <v>ROTATIVO</v>
      </c>
      <c r="AD24" s="46" t="str">
        <f>IFERROR(VLOOKUP(TRIM(VLOOKUP(A24,'CONTROL INBOUND'!$A:$DO,Hoja2!$AA$1,0)),id_horario!A:E,2,0),"ROTATIVO")</f>
        <v>ROTATIVO</v>
      </c>
      <c r="AE24" s="46" t="str">
        <f>IFERROR(VLOOKUP(TRIM(VLOOKUP(A24,'CONTROL INBOUND'!$A:$DO,Hoja2!$AB$1,0)),id_horario!A:E,2,0),"ROTATIVO")</f>
        <v>ROTATIVO</v>
      </c>
      <c r="AF24" s="46" t="str">
        <f>IFERROR(VLOOKUP(TRIM(VLOOKUP(A24,'CONTROL INBOUND'!$A:$DO,Hoja2!$AC$1,0)),id_horario!A:E,2,0),"ROTATIVO")</f>
        <v>ROTATIVO</v>
      </c>
      <c r="AG24" s="46" t="str">
        <f>IFERROR(VLOOKUP(TRIM(VLOOKUP(A24,'CONTROL INBOUND'!$A:$DO,Hoja2!$AD$1,0)),id_horario!A:E,2,0),"ROTATIVO")</f>
        <v>ROTATIVO</v>
      </c>
      <c r="AH24" s="46" t="str">
        <f>IFERROR(VLOOKUP(TRIM(VLOOKUP(A24,'CONTROL INBOUND'!$A:$DO,Hoja2!$AE$1,0)),id_horario!A:E,2,0),"ROTATIVO")</f>
        <v>ROTATIVO</v>
      </c>
    </row>
    <row r="25" spans="1:34" hidden="1">
      <c r="A25" s="45" t="s">
        <v>59</v>
      </c>
      <c r="B25" s="45">
        <v>1723986103</v>
      </c>
      <c r="C25" s="45"/>
      <c r="D25" s="46" t="str">
        <f>IFERROR(VLOOKUP(TRIM(VLOOKUP(A25,'CONTROL INBOUND'!$A:$DO,Hoja2!$A$1,0)),id_horario!A:E,2,0),"ROTATIVO")</f>
        <v>ROTATIVO</v>
      </c>
      <c r="E25" s="46" t="str">
        <f>IFERROR(VLOOKUP(TRIM(VLOOKUP(A25,'CONTROL INBOUND'!$A:$DO,Hoja2!$B$1,0)),id_horario!A:E,2,0),"ROTATIVO")</f>
        <v>ROTATIVO</v>
      </c>
      <c r="F25" s="46" t="str">
        <f>IFERROR(VLOOKUP(TRIM(VLOOKUP(A25,'CONTROL INBOUND'!$A:$DO,Hoja2!$C$1,0)),id_horario!A:E,2,0),"ROTATIVO")</f>
        <v>ROTATIVO</v>
      </c>
      <c r="G25" s="46" t="str">
        <f>IFERROR(VLOOKUP(TRIM(VLOOKUP(A25,'CONTROL INBOUND'!$A:$DO,Hoja2!$D$1,0)),id_horario!A:E,2,0),"ROTATIVO")</f>
        <v>ROTATIVO</v>
      </c>
      <c r="H25" s="46" t="str">
        <f>IFERROR(VLOOKUP(TRIM(VLOOKUP(A25,'CONTROL INBOUND'!$A:$DO,Hoja2!$E$1,0)),id_horario!A:E,2,0),"ROTATIVO")</f>
        <v>ROTATIVO</v>
      </c>
      <c r="I25" s="46" t="str">
        <f>IFERROR(VLOOKUP(TRIM(VLOOKUP(A25,'CONTROL INBOUND'!$A:$DO,Hoja2!$F$1,0)),id_horario!A:E,2,0),"ROTATIVO")</f>
        <v>ROTATIVO</v>
      </c>
      <c r="J25" s="46" t="str">
        <f>IFERROR(VLOOKUP(TRIM(VLOOKUP(A25,'CONTROL INBOUND'!$A:$DO,Hoja2!$G$1,0)),id_horario!A:E,2,0),"ROTATIVO")</f>
        <v>ROTATIVO</v>
      </c>
      <c r="K25" s="46" t="str">
        <f>IFERROR(VLOOKUP(TRIM(VLOOKUP(A25,'CONTROL INBOUND'!$A:$DO,Hoja2!$H$1,0)),id_horario!A:E,2,0),"ROTATIVO")</f>
        <v>ROTATIVO</v>
      </c>
      <c r="L25" s="46" t="str">
        <f>IFERROR(VLOOKUP(TRIM(VLOOKUP(A25,'CONTROL INBOUND'!$A:$DO,Hoja2!$I$1,0)),id_horario!A:E,2,0),"ROTATIVO")</f>
        <v>ROTATIVO</v>
      </c>
      <c r="M25" s="46" t="str">
        <f>IFERROR(VLOOKUP(TRIM(VLOOKUP(A25,'CONTROL INBOUND'!$A:$DO,Hoja2!$J$1,0)),id_horario!A:E,2,0),"ROTATIVO")</f>
        <v>ROTATIVO</v>
      </c>
      <c r="N25" s="46" t="str">
        <f>IFERROR(VLOOKUP(TRIM(VLOOKUP(A25,'CONTROL INBOUND'!$A:$DO,Hoja2!$K$1,0)),id_horario!A:E,2,0),"ROTATIVO")</f>
        <v>ROTATIVO</v>
      </c>
      <c r="O25" s="46" t="str">
        <f>IFERROR(VLOOKUP(TRIM(VLOOKUP(A25,'CONTROL INBOUND'!$A:$DO,Hoja2!$L$1,0)),id_horario!A:E,2,0),"ROTATIVO")</f>
        <v>ROTATIVO</v>
      </c>
      <c r="P25" s="46" t="str">
        <f>IFERROR(VLOOKUP(TRIM(VLOOKUP(A25,'CONTROL INBOUND'!$A:$DO,Hoja2!$M$1,0)),id_horario!A:E,2,0),"ROTATIVO")</f>
        <v>ROTATIVO</v>
      </c>
      <c r="Q25" s="46" t="str">
        <f>IFERROR(VLOOKUP(TRIM(VLOOKUP(A25,'CONTROL INBOUND'!$A:$DO,Hoja2!$N$1,0)),id_horario!A:E,2,0),"ROTATIVO")</f>
        <v>ROTATIVO</v>
      </c>
      <c r="R25" s="46" t="str">
        <f>IFERROR(VLOOKUP(TRIM(VLOOKUP(A25,'CONTROL INBOUND'!$A:$DO,Hoja2!$O$1,0)),id_horario!A:E,2,0),"ROTATIVO")</f>
        <v>ROTATIVO</v>
      </c>
      <c r="S25" s="46" t="str">
        <f>IFERROR(VLOOKUP(TRIM(VLOOKUP(A25,'CONTROL INBOUND'!$A:$DO,Hoja2!$P$1,0)),id_horario!A:E,2,0),"ROTATIVO")</f>
        <v>ROTATIVO</v>
      </c>
      <c r="T25" s="46" t="str">
        <f>IFERROR(VLOOKUP(TRIM(VLOOKUP(A25,'CONTROL INBOUND'!$A:$DO,Hoja2!$Q$1,0)),id_horario!A:E,2,0),"ROTATIVO")</f>
        <v>ROTATIVO</v>
      </c>
      <c r="U25" s="46" t="str">
        <f>IFERROR(VLOOKUP(TRIM(VLOOKUP(A25,'CONTROL INBOUND'!$A:$DO,Hoja2!$R$1,0)),id_horario!A:E,2,0),"ROTATIVO")</f>
        <v>ROTATIVO</v>
      </c>
      <c r="V25" s="46" t="str">
        <f>IFERROR(VLOOKUP(TRIM(VLOOKUP(A25,'CONTROL INBOUND'!$A:$DO,Hoja2!$S$1,0)),id_horario!A:E,2,0),"ROTATIVO")</f>
        <v>ROTATIVO</v>
      </c>
      <c r="W25" s="46" t="str">
        <f>IFERROR(VLOOKUP(TRIM(VLOOKUP(A25,'CONTROL INBOUND'!$A:$DO,Hoja2!$T$1,0)),id_horario!A:E,2,0),"ROTATIVO")</f>
        <v>ROTATIVO</v>
      </c>
      <c r="X25" s="46" t="str">
        <f>IFERROR(VLOOKUP(TRIM(VLOOKUP(A25,'CONTROL INBOUND'!$A:$DO,Hoja2!$U$1,0)),id_horario!A:E,2,0),"ROTATIVO")</f>
        <v>ROTATIVO</v>
      </c>
      <c r="Y25" s="46" t="str">
        <f>IFERROR(VLOOKUP(TRIM(VLOOKUP(A25,'CONTROL INBOUND'!$A:$DO,Hoja2!$V$1,0)),id_horario!A:E,2,0),"ROTATIVO")</f>
        <v>ROTATIVO</v>
      </c>
      <c r="Z25" s="46" t="str">
        <f>IFERROR(VLOOKUP(TRIM(VLOOKUP(A25,'CONTROL INBOUND'!$A:$DO,Hoja2!$W$1,0)),id_horario!A:E,2,0),"ROTATIVO")</f>
        <v>ROTATIVO</v>
      </c>
      <c r="AA25" s="46" t="str">
        <f>IFERROR(VLOOKUP(TRIM(VLOOKUP(A25,'CONTROL INBOUND'!$A:$DO,Hoja2!$X$1,0)),id_horario!A:E,2,0),"ROTATIVO")</f>
        <v>ROTATIVO</v>
      </c>
      <c r="AB25" s="46" t="str">
        <f>IFERROR(VLOOKUP(TRIM(VLOOKUP(A25,'CONTROL INBOUND'!$A:$DO,Hoja2!$Y$1,0)),id_horario!A:E,2,0),"ROTATIVO")</f>
        <v>ROTATIVO</v>
      </c>
      <c r="AC25" s="46" t="str">
        <f>IFERROR(VLOOKUP(TRIM(VLOOKUP(A25,'CONTROL INBOUND'!$A:$DO,Hoja2!$Z$1,0)),id_horario!A:E,2,0),"ROTATIVO")</f>
        <v>ROTATIVO</v>
      </c>
      <c r="AD25" s="46" t="str">
        <f>IFERROR(VLOOKUP(TRIM(VLOOKUP(A25,'CONTROL INBOUND'!$A:$DO,Hoja2!$AA$1,0)),id_horario!A:E,2,0),"ROTATIVO")</f>
        <v>ROTATIVO</v>
      </c>
      <c r="AE25" s="46" t="str">
        <f>IFERROR(VLOOKUP(TRIM(VLOOKUP(A25,'CONTROL INBOUND'!$A:$DO,Hoja2!$AB$1,0)),id_horario!A:E,2,0),"ROTATIVO")</f>
        <v>ROTATIVO</v>
      </c>
      <c r="AF25" s="46" t="str">
        <f>IFERROR(VLOOKUP(TRIM(VLOOKUP(A25,'CONTROL INBOUND'!$A:$DO,Hoja2!$AC$1,0)),id_horario!A:E,2,0),"ROTATIVO")</f>
        <v>ROTATIVO</v>
      </c>
      <c r="AG25" s="46" t="str">
        <f>IFERROR(VLOOKUP(TRIM(VLOOKUP(A25,'CONTROL INBOUND'!$A:$DO,Hoja2!$AD$1,0)),id_horario!A:E,2,0),"ROTATIVO")</f>
        <v>ROTATIVO</v>
      </c>
      <c r="AH25" s="46" t="str">
        <f>IFERROR(VLOOKUP(TRIM(VLOOKUP(A25,'CONTROL INBOUND'!$A:$DO,Hoja2!$AE$1,0)),id_horario!A:E,2,0),"ROTATIVO")</f>
        <v>ROTATIVO</v>
      </c>
    </row>
    <row r="26" spans="1:34" hidden="1">
      <c r="A26" s="45" t="s">
        <v>48</v>
      </c>
      <c r="B26" s="45">
        <v>1757878556</v>
      </c>
      <c r="C26" s="45"/>
      <c r="D26" s="46">
        <f>IFERROR(VLOOKUP(TRIM(VLOOKUP(A26,'CONTROL INBOUND'!$A:$DO,Hoja2!$A$1,0)),id_horario!A:E,2,0),"ROTATIVO")</f>
        <v>54</v>
      </c>
      <c r="E26" s="46">
        <f>IFERROR(VLOOKUP(TRIM(VLOOKUP(A26,'CONTROL INBOUND'!$A:$DO,Hoja2!$B$1,0)),id_horario!A:E,2,0),"ROTATIVO")</f>
        <v>54</v>
      </c>
      <c r="F26" s="46">
        <f>IFERROR(VLOOKUP(TRIM(VLOOKUP(A26,'CONTROL INBOUND'!$A:$DO,Hoja2!$C$1,0)),id_horario!A:E,2,0),"ROTATIVO")</f>
        <v>54</v>
      </c>
      <c r="G26" s="46">
        <f>IFERROR(VLOOKUP(TRIM(VLOOKUP(A26,'CONTROL INBOUND'!$A:$DO,Hoja2!$D$1,0)),id_horario!A:E,2,0),"ROTATIVO")</f>
        <v>54</v>
      </c>
      <c r="H26" s="46">
        <f>IFERROR(VLOOKUP(TRIM(VLOOKUP(A26,'CONTROL INBOUND'!$A:$DO,Hoja2!$E$1,0)),id_horario!A:E,2,0),"ROTATIVO")</f>
        <v>54</v>
      </c>
      <c r="I26" s="46">
        <f>IFERROR(VLOOKUP(TRIM(VLOOKUP(A26,'CONTROL INBOUND'!$A:$DO,Hoja2!$F$1,0)),id_horario!A:E,2,0),"ROTATIVO")</f>
        <v>54</v>
      </c>
      <c r="J26" s="46" t="str">
        <f>IFERROR(VLOOKUP(TRIM(VLOOKUP(A26,'CONTROL INBOUND'!$A:$DO,Hoja2!$G$1,0)),id_horario!A:E,2,0),"ROTATIVO")</f>
        <v>ROTATIVO</v>
      </c>
      <c r="K26" s="46" t="str">
        <f>IFERROR(VLOOKUP(TRIM(VLOOKUP(A26,'CONTROL INBOUND'!$A:$DO,Hoja2!$H$1,0)),id_horario!A:E,2,0),"ROTATIVO")</f>
        <v>ROTATIVO</v>
      </c>
      <c r="L26" s="46" t="str">
        <f>IFERROR(VLOOKUP(TRIM(VLOOKUP(A26,'CONTROL INBOUND'!$A:$DO,Hoja2!$I$1,0)),id_horario!A:E,2,0),"ROTATIVO")</f>
        <v>ROTATIVO</v>
      </c>
      <c r="M26" s="46" t="str">
        <f>IFERROR(VLOOKUP(TRIM(VLOOKUP(A26,'CONTROL INBOUND'!$A:$DO,Hoja2!$J$1,0)),id_horario!A:E,2,0),"ROTATIVO")</f>
        <v>ROTATIVO</v>
      </c>
      <c r="N26" s="46" t="str">
        <f>IFERROR(VLOOKUP(TRIM(VLOOKUP(A26,'CONTROL INBOUND'!$A:$DO,Hoja2!$K$1,0)),id_horario!A:E,2,0),"ROTATIVO")</f>
        <v>ROTATIVO</v>
      </c>
      <c r="O26" s="46" t="str">
        <f>IFERROR(VLOOKUP(TRIM(VLOOKUP(A26,'CONTROL INBOUND'!$A:$DO,Hoja2!$L$1,0)),id_horario!A:E,2,0),"ROTATIVO")</f>
        <v>ROTATIVO</v>
      </c>
      <c r="P26" s="46" t="str">
        <f>IFERROR(VLOOKUP(TRIM(VLOOKUP(A26,'CONTROL INBOUND'!$A:$DO,Hoja2!$M$1,0)),id_horario!A:E,2,0),"ROTATIVO")</f>
        <v>ROTATIVO</v>
      </c>
      <c r="Q26" s="46" t="str">
        <f>IFERROR(VLOOKUP(TRIM(VLOOKUP(A26,'CONTROL INBOUND'!$A:$DO,Hoja2!$N$1,0)),id_horario!A:E,2,0),"ROTATIVO")</f>
        <v>ROTATIVO</v>
      </c>
      <c r="R26" s="46" t="str">
        <f>IFERROR(VLOOKUP(TRIM(VLOOKUP(A26,'CONTROL INBOUND'!$A:$DO,Hoja2!$O$1,0)),id_horario!A:E,2,0),"ROTATIVO")</f>
        <v>ROTATIVO</v>
      </c>
      <c r="S26" s="46" t="str">
        <f>IFERROR(VLOOKUP(TRIM(VLOOKUP(A26,'CONTROL INBOUND'!$A:$DO,Hoja2!$P$1,0)),id_horario!A:E,2,0),"ROTATIVO")</f>
        <v>ROTATIVO</v>
      </c>
      <c r="T26" s="46" t="str">
        <f>IFERROR(VLOOKUP(TRIM(VLOOKUP(A26,'CONTROL INBOUND'!$A:$DO,Hoja2!$Q$1,0)),id_horario!A:E,2,0),"ROTATIVO")</f>
        <v>ROTATIVO</v>
      </c>
      <c r="U26" s="46" t="str">
        <f>IFERROR(VLOOKUP(TRIM(VLOOKUP(A26,'CONTROL INBOUND'!$A:$DO,Hoja2!$R$1,0)),id_horario!A:E,2,0),"ROTATIVO")</f>
        <v>ROTATIVO</v>
      </c>
      <c r="V26" s="46" t="str">
        <f>IFERROR(VLOOKUP(TRIM(VLOOKUP(A26,'CONTROL INBOUND'!$A:$DO,Hoja2!$S$1,0)),id_horario!A:E,2,0),"ROTATIVO")</f>
        <v>ROTATIVO</v>
      </c>
      <c r="W26" s="46" t="str">
        <f>IFERROR(VLOOKUP(TRIM(VLOOKUP(A26,'CONTROL INBOUND'!$A:$DO,Hoja2!$T$1,0)),id_horario!A:E,2,0),"ROTATIVO")</f>
        <v>ROTATIVO</v>
      </c>
      <c r="X26" s="46" t="str">
        <f>IFERROR(VLOOKUP(TRIM(VLOOKUP(A26,'CONTROL INBOUND'!$A:$DO,Hoja2!$U$1,0)),id_horario!A:E,2,0),"ROTATIVO")</f>
        <v>ROTATIVO</v>
      </c>
      <c r="Y26" s="46" t="str">
        <f>IFERROR(VLOOKUP(TRIM(VLOOKUP(A26,'CONTROL INBOUND'!$A:$DO,Hoja2!$V$1,0)),id_horario!A:E,2,0),"ROTATIVO")</f>
        <v>ROTATIVO</v>
      </c>
      <c r="Z26" s="46" t="str">
        <f>IFERROR(VLOOKUP(TRIM(VLOOKUP(A26,'CONTROL INBOUND'!$A:$DO,Hoja2!$W$1,0)),id_horario!A:E,2,0),"ROTATIVO")</f>
        <v>ROTATIVO</v>
      </c>
      <c r="AA26" s="46" t="str">
        <f>IFERROR(VLOOKUP(TRIM(VLOOKUP(A26,'CONTROL INBOUND'!$A:$DO,Hoja2!$X$1,0)),id_horario!A:E,2,0),"ROTATIVO")</f>
        <v>ROTATIVO</v>
      </c>
      <c r="AB26" s="46" t="str">
        <f>IFERROR(VLOOKUP(TRIM(VLOOKUP(A26,'CONTROL INBOUND'!$A:$DO,Hoja2!$Y$1,0)),id_horario!A:E,2,0),"ROTATIVO")</f>
        <v>ROTATIVO</v>
      </c>
      <c r="AC26" s="46" t="str">
        <f>IFERROR(VLOOKUP(TRIM(VLOOKUP(A26,'CONTROL INBOUND'!$A:$DO,Hoja2!$Z$1,0)),id_horario!A:E,2,0),"ROTATIVO")</f>
        <v>ROTATIVO</v>
      </c>
      <c r="AD26" s="46" t="str">
        <f>IFERROR(VLOOKUP(TRIM(VLOOKUP(A26,'CONTROL INBOUND'!$A:$DO,Hoja2!$AA$1,0)),id_horario!A:E,2,0),"ROTATIVO")</f>
        <v>ROTATIVO</v>
      </c>
      <c r="AE26" s="46" t="str">
        <f>IFERROR(VLOOKUP(TRIM(VLOOKUP(A26,'CONTROL INBOUND'!$A:$DO,Hoja2!$AB$1,0)),id_horario!A:E,2,0),"ROTATIVO")</f>
        <v>ROTATIVO</v>
      </c>
      <c r="AF26" s="46" t="str">
        <f>IFERROR(VLOOKUP(TRIM(VLOOKUP(A26,'CONTROL INBOUND'!$A:$DO,Hoja2!$AC$1,0)),id_horario!A:E,2,0),"ROTATIVO")</f>
        <v>ROTATIVO</v>
      </c>
      <c r="AG26" s="46" t="str">
        <f>IFERROR(VLOOKUP(TRIM(VLOOKUP(A26,'CONTROL INBOUND'!$A:$DO,Hoja2!$AD$1,0)),id_horario!A:E,2,0),"ROTATIVO")</f>
        <v>ROTATIVO</v>
      </c>
      <c r="AH26" s="46" t="str">
        <f>IFERROR(VLOOKUP(TRIM(VLOOKUP(A26,'CONTROL INBOUND'!$A:$DO,Hoja2!$AE$1,0)),id_horario!A:E,2,0),"ROTATIVO")</f>
        <v>ROTATIVO</v>
      </c>
    </row>
  </sheetData>
  <autoFilter ref="A1:AH26" xr:uid="{00000000-0009-0000-0000-000003000000}">
    <filterColumn colId="0">
      <filters>
        <filter val="ALBAN VILLACIS NELLY CECILIA"/>
        <filter val="ALBARRAN CALAO MANUEL ALEJANDRO"/>
        <filter val="AMAGUA PANTOJA ARACELY PILAR"/>
        <filter val="ARMAS MEJIA JUDITH MARCELA"/>
        <filter val="CADENA LLUMIPANTA LISSA GABRIELA"/>
        <filter val="CARRERA ECHEVERRIA SHIRLEY VANESSA"/>
        <filter val="CASA SANCHEZ GENESIS ALEJANDRA"/>
        <filter val="GARCIA LOYO EDWIN JESUS DE NAZARETH"/>
        <filter val="HERRERA RIOS JOSUE SEBASTIAN"/>
        <filter val="LEON DE LA CRUZ ANA LUCIA"/>
        <filter val="MORALES MARTINEZ JOSUE JAVIER"/>
        <filter val="MORALES PAZ CARLOS ANDRES"/>
        <filter val="MORENO ALVARADO DANIELA DEL CISNE"/>
        <filter val="OROZCO CRUZ NAYELIE BRIGITE"/>
        <filter val="QUIJIJE QUIJIJE ANDREA JACQUELINE"/>
        <filter val="QUISHPE SOTO SAMANTA BELEN"/>
        <filter val="RAMOS ENCARNACION JESUS MARIA"/>
        <filter val="RAMOS REINA MARCO ESTEBAN"/>
        <filter val="RODRIGUEZ BUSTAMANTE MARY ELIZA"/>
        <filter val="SÁNCHEZ PINARGOTE MATEO IGNACIO"/>
        <filter val="SILVA CONTRERAS SERGIO FABIAN"/>
        <filter val="TIPAN MEJIA ANTHONY MANOLO"/>
        <filter val="VALERO ENDARA DIANA LEOLENA"/>
        <filter val="VIZUETE ELBAY DAVID ALEJANDRO"/>
      </filters>
    </filterColumn>
  </autoFilter>
  <mergeCells count="3">
    <mergeCell ref="A1:A2"/>
    <mergeCell ref="B1:B2"/>
    <mergeCell ref="C1:C2"/>
  </mergeCells>
  <conditionalFormatting sqref="D3:AH26">
    <cfRule type="beginsWith" dxfId="3" priority="1" operator="beginsWith" text="FI">
      <formula>LEFT(D3,LEN("FI"))="FI"</formula>
    </cfRule>
    <cfRule type="endsWith" dxfId="2" priority="2" operator="endsWith" text="R">
      <formula>RIGHT(D3,LEN("R"))="R"</formula>
    </cfRule>
    <cfRule type="containsText" priority="3" operator="containsText" text="ROTATIVO">
      <formula>NOT(ISERROR(SEARCH("ROTATIVO",D3)))</formula>
    </cfRule>
    <cfRule type="beginsWith" dxfId="1" priority="4" operator="beginsWith" text="R,FI">
      <formula>LEFT(D3,LEN("R,FI"))="R,FI"</formula>
    </cfRule>
    <cfRule type="beginsWith" dxfId="0" priority="5" operator="beginsWith" text="V">
      <formula>LEFT(D3,LEN("V"))="V"</formula>
    </cfRule>
  </conditionalFormatting>
  <pageMargins left="0.7" right="0.7" top="0.75" bottom="0.75" header="0.3" footer="0.3"/>
  <pageSetup orientation="portrait" horizontalDpi="204" verticalDpi="196" r:id="rId1"/>
  <ignoredErrors>
    <ignoredError sqref="B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1"/>
  <sheetViews>
    <sheetView topLeftCell="X1" workbookViewId="0">
      <selection activeCell="AJ1" sqref="AJ1"/>
    </sheetView>
  </sheetViews>
  <sheetFormatPr baseColWidth="10" defaultRowHeight="15"/>
  <sheetData>
    <row r="1" spans="1:39">
      <c r="A1">
        <v>9</v>
      </c>
      <c r="B1">
        <v>13</v>
      </c>
      <c r="C1">
        <v>17</v>
      </c>
      <c r="D1">
        <v>21</v>
      </c>
      <c r="E1">
        <v>25</v>
      </c>
      <c r="F1">
        <v>29</v>
      </c>
      <c r="G1">
        <v>33</v>
      </c>
      <c r="H1">
        <v>37</v>
      </c>
      <c r="I1">
        <v>41</v>
      </c>
      <c r="J1">
        <v>45</v>
      </c>
      <c r="K1">
        <v>49</v>
      </c>
      <c r="L1">
        <v>53</v>
      </c>
      <c r="M1">
        <v>57</v>
      </c>
      <c r="N1">
        <v>61</v>
      </c>
      <c r="O1">
        <v>65</v>
      </c>
      <c r="P1">
        <v>69</v>
      </c>
      <c r="Q1">
        <v>73</v>
      </c>
      <c r="R1">
        <v>77</v>
      </c>
      <c r="S1">
        <v>81</v>
      </c>
      <c r="T1">
        <v>85</v>
      </c>
      <c r="U1">
        <v>89</v>
      </c>
      <c r="V1">
        <v>93</v>
      </c>
      <c r="W1">
        <v>97</v>
      </c>
      <c r="X1">
        <v>101</v>
      </c>
      <c r="Y1">
        <v>105</v>
      </c>
      <c r="Z1">
        <v>109</v>
      </c>
      <c r="AA1">
        <v>113</v>
      </c>
      <c r="AB1">
        <v>117</v>
      </c>
      <c r="AC1">
        <v>121</v>
      </c>
      <c r="AD1">
        <v>125</v>
      </c>
      <c r="AE1">
        <v>129</v>
      </c>
      <c r="AF1">
        <v>133</v>
      </c>
      <c r="AG1">
        <v>137</v>
      </c>
      <c r="AH1">
        <v>141</v>
      </c>
      <c r="AI1">
        <v>145</v>
      </c>
      <c r="AJ1">
        <v>149</v>
      </c>
      <c r="AK1">
        <v>153</v>
      </c>
      <c r="AL1">
        <v>157</v>
      </c>
      <c r="AM1">
        <v>161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B2:C15"/>
  <sheetViews>
    <sheetView showGridLines="0" workbookViewId="0">
      <selection activeCell="C10" sqref="C10"/>
    </sheetView>
  </sheetViews>
  <sheetFormatPr baseColWidth="10" defaultRowHeight="15"/>
  <cols>
    <col min="3" max="3" width="33.85546875" bestFit="1" customWidth="1"/>
  </cols>
  <sheetData>
    <row r="2" spans="2:3">
      <c r="B2" s="125" t="s">
        <v>6</v>
      </c>
      <c r="C2" s="125"/>
    </row>
    <row r="3" spans="2:3">
      <c r="B3" s="9" t="s">
        <v>10</v>
      </c>
      <c r="C3" s="10" t="s">
        <v>18</v>
      </c>
    </row>
    <row r="4" spans="2:3">
      <c r="B4" s="63" t="s">
        <v>13</v>
      </c>
      <c r="C4" s="11" t="s">
        <v>19</v>
      </c>
    </row>
    <row r="5" spans="2:3">
      <c r="B5" s="62" t="s">
        <v>11</v>
      </c>
      <c r="C5" s="11" t="s">
        <v>20</v>
      </c>
    </row>
    <row r="6" spans="2:3">
      <c r="B6" s="9" t="s">
        <v>17</v>
      </c>
      <c r="C6" s="11" t="s">
        <v>21</v>
      </c>
    </row>
    <row r="7" spans="2:3">
      <c r="B7" s="9" t="s">
        <v>22</v>
      </c>
      <c r="C7" s="11" t="s">
        <v>23</v>
      </c>
    </row>
    <row r="8" spans="2:3">
      <c r="B8" s="9" t="s">
        <v>24</v>
      </c>
      <c r="C8" s="11" t="s">
        <v>25</v>
      </c>
    </row>
    <row r="9" spans="2:3">
      <c r="B9" s="9" t="s">
        <v>15</v>
      </c>
      <c r="C9" s="11" t="s">
        <v>26</v>
      </c>
    </row>
    <row r="10" spans="2:3">
      <c r="B10" s="9" t="s">
        <v>35</v>
      </c>
      <c r="C10" s="11" t="s">
        <v>36</v>
      </c>
    </row>
    <row r="11" spans="2:3">
      <c r="B11" s="61" t="s">
        <v>14</v>
      </c>
      <c r="C11" s="11" t="s">
        <v>27</v>
      </c>
    </row>
    <row r="12" spans="2:3">
      <c r="B12" s="62" t="s">
        <v>16</v>
      </c>
      <c r="C12" s="11" t="s">
        <v>28</v>
      </c>
    </row>
    <row r="13" spans="2:3">
      <c r="B13" s="9" t="s">
        <v>12</v>
      </c>
      <c r="C13" s="11" t="s">
        <v>29</v>
      </c>
    </row>
    <row r="14" spans="2:3">
      <c r="B14" s="9">
        <v>0</v>
      </c>
      <c r="C14" s="11" t="s">
        <v>30</v>
      </c>
    </row>
    <row r="15" spans="2:3">
      <c r="B15" s="9" t="s">
        <v>37</v>
      </c>
      <c r="C15" s="11" t="s">
        <v>38</v>
      </c>
    </row>
  </sheetData>
  <mergeCells count="1">
    <mergeCell ref="B2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6"/>
  <sheetViews>
    <sheetView topLeftCell="A171" workbookViewId="0">
      <selection activeCell="F186" sqref="F186"/>
    </sheetView>
  </sheetViews>
  <sheetFormatPr baseColWidth="10" defaultRowHeight="15"/>
  <cols>
    <col min="1" max="1" width="14.5703125" bestFit="1" customWidth="1"/>
    <col min="2" max="2" width="5.140625" bestFit="1" customWidth="1"/>
    <col min="3" max="3" width="14.5703125" bestFit="1" customWidth="1"/>
    <col min="4" max="4" width="13.140625" bestFit="1" customWidth="1"/>
    <col min="5" max="5" width="17" bestFit="1" customWidth="1"/>
  </cols>
  <sheetData>
    <row r="1" spans="1:5" ht="16.5" thickBot="1">
      <c r="A1" s="24" t="s">
        <v>117</v>
      </c>
      <c r="B1" s="25" t="s">
        <v>114</v>
      </c>
      <c r="C1" s="24" t="s">
        <v>115</v>
      </c>
      <c r="D1" s="24" t="s">
        <v>116</v>
      </c>
      <c r="E1" s="24" t="s">
        <v>109</v>
      </c>
    </row>
    <row r="2" spans="1:5" ht="16.5" thickBot="1">
      <c r="A2" s="20" t="s">
        <v>118</v>
      </c>
      <c r="B2" s="20">
        <v>165</v>
      </c>
      <c r="C2" s="21">
        <v>0</v>
      </c>
      <c r="D2" s="21">
        <v>0.25</v>
      </c>
      <c r="E2" s="20">
        <v>6</v>
      </c>
    </row>
    <row r="3" spans="1:5" ht="16.5" thickBot="1">
      <c r="A3" s="20" t="s">
        <v>82</v>
      </c>
      <c r="B3" s="20">
        <v>17</v>
      </c>
      <c r="C3" s="21">
        <v>0</v>
      </c>
      <c r="D3" s="21">
        <v>0.29166666666666669</v>
      </c>
      <c r="E3" s="20">
        <v>7</v>
      </c>
    </row>
    <row r="4" spans="1:5" ht="16.5" thickBot="1">
      <c r="A4" s="20" t="s">
        <v>119</v>
      </c>
      <c r="B4" s="20">
        <v>18</v>
      </c>
      <c r="C4" s="21">
        <v>0</v>
      </c>
      <c r="D4" s="21">
        <v>0.33333333333333331</v>
      </c>
      <c r="E4" s="20">
        <v>8</v>
      </c>
    </row>
    <row r="5" spans="1:5" ht="16.5" thickBot="1">
      <c r="A5" s="20" t="s">
        <v>261</v>
      </c>
      <c r="B5" s="20">
        <v>146</v>
      </c>
      <c r="C5" s="21">
        <v>0</v>
      </c>
      <c r="D5" s="21">
        <v>0.375</v>
      </c>
      <c r="E5" s="20">
        <v>9</v>
      </c>
    </row>
    <row r="6" spans="1:5" ht="16.5" thickBot="1">
      <c r="A6" s="20" t="s">
        <v>262</v>
      </c>
      <c r="B6" s="20">
        <v>227</v>
      </c>
      <c r="C6" s="21">
        <v>0</v>
      </c>
      <c r="D6" s="21">
        <v>0.41666666666666669</v>
      </c>
      <c r="E6" s="20">
        <v>10</v>
      </c>
    </row>
    <row r="7" spans="1:5" ht="16.5" thickBot="1">
      <c r="A7" s="20" t="s">
        <v>263</v>
      </c>
      <c r="B7" s="20">
        <v>245</v>
      </c>
      <c r="C7" s="21">
        <v>0</v>
      </c>
      <c r="D7" s="21">
        <v>0.54166666666666663</v>
      </c>
      <c r="E7" s="20">
        <v>13</v>
      </c>
    </row>
    <row r="8" spans="1:5" ht="16.5" thickBot="1">
      <c r="A8" s="20" t="s">
        <v>120</v>
      </c>
      <c r="B8" s="20">
        <v>133</v>
      </c>
      <c r="C8" s="21">
        <v>0.20833333333333334</v>
      </c>
      <c r="D8" s="21">
        <v>0.5</v>
      </c>
      <c r="E8" s="20">
        <v>7</v>
      </c>
    </row>
    <row r="9" spans="1:5" ht="16.5" thickBot="1">
      <c r="A9" s="20" t="s">
        <v>121</v>
      </c>
      <c r="B9" s="20">
        <v>134</v>
      </c>
      <c r="C9" s="21">
        <v>0.20833333333333334</v>
      </c>
      <c r="D9" s="21">
        <v>0.54166666666666663</v>
      </c>
      <c r="E9" s="20">
        <v>8</v>
      </c>
    </row>
    <row r="10" spans="1:5" ht="16.5" thickBot="1">
      <c r="A10" s="20" t="s">
        <v>94</v>
      </c>
      <c r="B10" s="20">
        <v>22</v>
      </c>
      <c r="C10" s="21">
        <v>0.25</v>
      </c>
      <c r="D10" s="21">
        <v>0.5</v>
      </c>
      <c r="E10" s="20">
        <v>6</v>
      </c>
    </row>
    <row r="11" spans="1:5" ht="16.5" thickBot="1">
      <c r="A11" s="20" t="s">
        <v>110</v>
      </c>
      <c r="B11" s="20">
        <v>23</v>
      </c>
      <c r="C11" s="21">
        <v>0.25</v>
      </c>
      <c r="D11" s="21">
        <v>0.54166666666666663</v>
      </c>
      <c r="E11" s="20">
        <v>7</v>
      </c>
    </row>
    <row r="12" spans="1:5" ht="16.5" thickBot="1">
      <c r="A12" s="20" t="s">
        <v>70</v>
      </c>
      <c r="B12" s="20">
        <v>24</v>
      </c>
      <c r="C12" s="21">
        <v>0.25</v>
      </c>
      <c r="D12" s="21">
        <v>0.58333333333333337</v>
      </c>
      <c r="E12" s="20">
        <v>8</v>
      </c>
    </row>
    <row r="13" spans="1:5" ht="16.5" thickBot="1">
      <c r="A13" s="20" t="s">
        <v>122</v>
      </c>
      <c r="B13" s="20">
        <v>25</v>
      </c>
      <c r="C13" s="21">
        <v>0.25</v>
      </c>
      <c r="D13" s="21">
        <v>0.625</v>
      </c>
      <c r="E13" s="20">
        <v>9</v>
      </c>
    </row>
    <row r="14" spans="1:5" ht="16.5" thickBot="1">
      <c r="A14" s="20" t="s">
        <v>123</v>
      </c>
      <c r="B14" s="20">
        <v>26</v>
      </c>
      <c r="C14" s="21">
        <v>0.25</v>
      </c>
      <c r="D14" s="21">
        <v>0.64583333333333337</v>
      </c>
      <c r="E14" s="20">
        <v>9.5</v>
      </c>
    </row>
    <row r="15" spans="1:5" ht="16.5" thickBot="1">
      <c r="A15" s="20" t="s">
        <v>113</v>
      </c>
      <c r="B15" s="20">
        <v>28</v>
      </c>
      <c r="C15" s="21">
        <v>0.29166666666666669</v>
      </c>
      <c r="D15" s="21">
        <v>0.5</v>
      </c>
      <c r="E15" s="20">
        <v>5</v>
      </c>
    </row>
    <row r="16" spans="1:5" ht="16.5" thickBot="1">
      <c r="A16" s="20" t="s">
        <v>124</v>
      </c>
      <c r="B16" s="20">
        <v>29</v>
      </c>
      <c r="C16" s="21">
        <v>0.29166666666666669</v>
      </c>
      <c r="D16" s="21">
        <v>0.54166666666666663</v>
      </c>
      <c r="E16" s="20">
        <v>6</v>
      </c>
    </row>
    <row r="17" spans="1:5" ht="16.5" thickBot="1">
      <c r="A17" s="20" t="s">
        <v>78</v>
      </c>
      <c r="B17" s="20">
        <v>30</v>
      </c>
      <c r="C17" s="21">
        <v>0.29166666666666669</v>
      </c>
      <c r="D17" s="21">
        <v>0.58333333333333337</v>
      </c>
      <c r="E17" s="20">
        <v>7</v>
      </c>
    </row>
    <row r="18" spans="1:5" ht="16.5" thickBot="1">
      <c r="A18" s="20" t="s">
        <v>68</v>
      </c>
      <c r="B18" s="20">
        <v>31</v>
      </c>
      <c r="C18" s="21">
        <v>0.29166666666666669</v>
      </c>
      <c r="D18" s="21">
        <v>0.625</v>
      </c>
      <c r="E18" s="20">
        <v>8</v>
      </c>
    </row>
    <row r="19" spans="1:5" ht="16.5" thickBot="1">
      <c r="A19" s="20" t="s">
        <v>125</v>
      </c>
      <c r="B19" s="20">
        <v>32</v>
      </c>
      <c r="C19" s="21">
        <v>0.29166666666666669</v>
      </c>
      <c r="D19" s="21">
        <v>0.64583333333333337</v>
      </c>
      <c r="E19" s="20">
        <v>8.5</v>
      </c>
    </row>
    <row r="20" spans="1:5" ht="16.5" thickBot="1">
      <c r="A20" s="20" t="s">
        <v>64</v>
      </c>
      <c r="B20" s="20">
        <v>33</v>
      </c>
      <c r="C20" s="21">
        <v>0.29166666666666669</v>
      </c>
      <c r="D20" s="21">
        <v>0.66666666666666663</v>
      </c>
      <c r="E20" s="20">
        <v>9</v>
      </c>
    </row>
    <row r="21" spans="1:5" ht="16.5" thickBot="1">
      <c r="A21" s="20" t="s">
        <v>264</v>
      </c>
      <c r="B21" s="20">
        <v>198</v>
      </c>
      <c r="C21" s="21">
        <v>0.29166666666666669</v>
      </c>
      <c r="D21" s="21">
        <v>0.70833333333333337</v>
      </c>
      <c r="E21" s="20">
        <v>10</v>
      </c>
    </row>
    <row r="22" spans="1:5" ht="16.5" thickBot="1">
      <c r="A22" s="20" t="s">
        <v>265</v>
      </c>
      <c r="B22" s="20">
        <v>195</v>
      </c>
      <c r="C22" s="21">
        <v>0.29166666666666669</v>
      </c>
      <c r="D22" s="22">
        <v>0.79166666666666663</v>
      </c>
      <c r="E22" s="20">
        <v>12</v>
      </c>
    </row>
    <row r="23" spans="1:5" ht="16.5" thickBot="1">
      <c r="A23" s="20" t="s">
        <v>126</v>
      </c>
      <c r="B23" s="20">
        <v>124</v>
      </c>
      <c r="C23" s="21">
        <v>0.3125</v>
      </c>
      <c r="D23" s="21">
        <v>0.5625</v>
      </c>
      <c r="E23" s="20">
        <v>6</v>
      </c>
    </row>
    <row r="24" spans="1:5" ht="16.5" thickBot="1">
      <c r="A24" s="20" t="s">
        <v>127</v>
      </c>
      <c r="B24" s="20">
        <v>150</v>
      </c>
      <c r="C24" s="21">
        <v>0.3125</v>
      </c>
      <c r="D24" s="21">
        <v>0.60416666666666663</v>
      </c>
      <c r="E24" s="20">
        <v>7</v>
      </c>
    </row>
    <row r="25" spans="1:5" ht="16.5" thickBot="1">
      <c r="A25" s="20" t="s">
        <v>128</v>
      </c>
      <c r="B25" s="20">
        <v>151</v>
      </c>
      <c r="C25" s="21">
        <v>0.3125</v>
      </c>
      <c r="D25" s="21">
        <v>0.625</v>
      </c>
      <c r="E25" s="20">
        <v>7.5</v>
      </c>
    </row>
    <row r="26" spans="1:5" ht="16.5" thickBot="1">
      <c r="A26" s="20" t="s">
        <v>129</v>
      </c>
      <c r="B26" s="20">
        <v>172</v>
      </c>
      <c r="C26" s="21">
        <v>0.3125</v>
      </c>
      <c r="D26" s="21">
        <v>0.64583333333333337</v>
      </c>
      <c r="E26" s="20">
        <v>8</v>
      </c>
    </row>
    <row r="27" spans="1:5" ht="16.5" thickBot="1">
      <c r="A27" s="20" t="s">
        <v>130</v>
      </c>
      <c r="B27" s="20">
        <v>8</v>
      </c>
      <c r="C27" s="21">
        <v>0.3125</v>
      </c>
      <c r="D27" s="21">
        <v>0.6875</v>
      </c>
      <c r="E27" s="20">
        <v>9</v>
      </c>
    </row>
    <row r="28" spans="1:5" ht="16.5" thickBot="1">
      <c r="A28" s="20" t="s">
        <v>131</v>
      </c>
      <c r="B28" s="20">
        <v>212</v>
      </c>
      <c r="C28" s="21">
        <v>0.3125</v>
      </c>
      <c r="D28" s="21">
        <v>0.70833333333333337</v>
      </c>
      <c r="E28" s="20">
        <v>9.5</v>
      </c>
    </row>
    <row r="29" spans="1:5" ht="16.5" thickBot="1">
      <c r="A29" s="20" t="s">
        <v>266</v>
      </c>
      <c r="B29" s="20">
        <v>149</v>
      </c>
      <c r="C29" s="21">
        <v>0.3125</v>
      </c>
      <c r="D29" s="21">
        <v>0.75</v>
      </c>
      <c r="E29" s="20">
        <v>10.5</v>
      </c>
    </row>
    <row r="30" spans="1:5" ht="16.5" thickBot="1">
      <c r="A30" s="20" t="s">
        <v>132</v>
      </c>
      <c r="B30" s="20">
        <v>126</v>
      </c>
      <c r="C30" s="21">
        <v>0.3125</v>
      </c>
      <c r="D30" s="21">
        <v>0.8125</v>
      </c>
      <c r="E30" s="20">
        <v>12</v>
      </c>
    </row>
    <row r="31" spans="1:5" ht="16.5" thickBot="1">
      <c r="A31" s="20" t="s">
        <v>133</v>
      </c>
      <c r="B31" s="20">
        <v>35</v>
      </c>
      <c r="C31" s="21">
        <v>0.33333333333333331</v>
      </c>
      <c r="D31" s="21">
        <v>0.54166666666666663</v>
      </c>
      <c r="E31" s="20">
        <v>5</v>
      </c>
    </row>
    <row r="32" spans="1:5" ht="16.5" thickBot="1">
      <c r="A32" s="20" t="s">
        <v>134</v>
      </c>
      <c r="B32" s="20">
        <v>217</v>
      </c>
      <c r="C32" s="21">
        <v>0.33333333333333331</v>
      </c>
      <c r="D32" s="21">
        <v>0.5625</v>
      </c>
      <c r="E32" s="20">
        <v>5.5</v>
      </c>
    </row>
    <row r="33" spans="1:5" ht="16.5" thickBot="1">
      <c r="A33" s="20" t="s">
        <v>88</v>
      </c>
      <c r="B33" s="20">
        <v>12</v>
      </c>
      <c r="C33" s="21">
        <v>0.33333333333333331</v>
      </c>
      <c r="D33" s="21">
        <v>0.58333333333333337</v>
      </c>
      <c r="E33" s="20">
        <v>6</v>
      </c>
    </row>
    <row r="34" spans="1:5" ht="16.5" thickBot="1">
      <c r="A34" s="20" t="s">
        <v>135</v>
      </c>
      <c r="B34" s="23">
        <v>70</v>
      </c>
      <c r="C34" s="21">
        <v>0.33333333333333331</v>
      </c>
      <c r="D34" s="21">
        <v>0.60416666666666663</v>
      </c>
      <c r="E34" s="20">
        <v>6.5</v>
      </c>
    </row>
    <row r="35" spans="1:5" ht="16.5" thickBot="1">
      <c r="A35" s="20" t="s">
        <v>69</v>
      </c>
      <c r="B35" s="20">
        <v>36</v>
      </c>
      <c r="C35" s="21">
        <v>0.33333333333333331</v>
      </c>
      <c r="D35" s="21">
        <v>0.625</v>
      </c>
      <c r="E35" s="20">
        <v>7</v>
      </c>
    </row>
    <row r="36" spans="1:5" ht="16.5" thickBot="1">
      <c r="A36" s="20" t="s">
        <v>136</v>
      </c>
      <c r="B36" s="20">
        <v>206</v>
      </c>
      <c r="C36" s="21">
        <v>0.33333333333333331</v>
      </c>
      <c r="D36" s="21">
        <v>0.64583333333333337</v>
      </c>
      <c r="E36" s="20">
        <v>7.5</v>
      </c>
    </row>
    <row r="37" spans="1:5" ht="16.5" thickBot="1">
      <c r="A37" s="20" t="s">
        <v>72</v>
      </c>
      <c r="B37" s="20">
        <v>38</v>
      </c>
      <c r="C37" s="21">
        <v>0.33333333333333331</v>
      </c>
      <c r="D37" s="21">
        <v>0.66666666666666663</v>
      </c>
      <c r="E37" s="20">
        <v>8</v>
      </c>
    </row>
    <row r="38" spans="1:5" ht="16.5" thickBot="1">
      <c r="A38" s="20" t="s">
        <v>137</v>
      </c>
      <c r="B38" s="20">
        <v>156</v>
      </c>
      <c r="C38" s="21">
        <v>0.33333333333333331</v>
      </c>
      <c r="D38" s="21">
        <v>0.6875</v>
      </c>
      <c r="E38" s="20">
        <v>8.5</v>
      </c>
    </row>
    <row r="39" spans="1:5" ht="16.5" thickBot="1">
      <c r="A39" s="20" t="s">
        <v>138</v>
      </c>
      <c r="B39" s="20">
        <v>10</v>
      </c>
      <c r="C39" s="21">
        <v>0.33333333333333331</v>
      </c>
      <c r="D39" s="21">
        <v>0.70833333333333337</v>
      </c>
      <c r="E39" s="20">
        <v>8</v>
      </c>
    </row>
    <row r="40" spans="1:5" ht="16.5" thickBot="1">
      <c r="A40" s="20" t="s">
        <v>139</v>
      </c>
      <c r="B40" s="20">
        <v>170</v>
      </c>
      <c r="C40" s="21">
        <v>0.33333333333333331</v>
      </c>
      <c r="D40" s="21">
        <v>0.72916666666666663</v>
      </c>
      <c r="E40" s="20">
        <v>9.5</v>
      </c>
    </row>
    <row r="41" spans="1:5" ht="16.5" thickBot="1">
      <c r="A41" s="20" t="s">
        <v>140</v>
      </c>
      <c r="B41" s="20">
        <v>37</v>
      </c>
      <c r="C41" s="21">
        <v>0.33333333333333331</v>
      </c>
      <c r="D41" s="21">
        <v>0.75</v>
      </c>
      <c r="E41" s="20">
        <v>10</v>
      </c>
    </row>
    <row r="42" spans="1:5" ht="16.5" thickBot="1">
      <c r="A42" s="20" t="s">
        <v>141</v>
      </c>
      <c r="B42" s="20">
        <v>199</v>
      </c>
      <c r="C42" s="21">
        <v>0.33333333333333331</v>
      </c>
      <c r="D42" s="21">
        <v>0.79166666666666663</v>
      </c>
      <c r="E42" s="20">
        <v>11</v>
      </c>
    </row>
    <row r="43" spans="1:5" ht="16.5" thickBot="1">
      <c r="A43" s="20" t="s">
        <v>142</v>
      </c>
      <c r="B43" s="20">
        <v>157</v>
      </c>
      <c r="C43" s="21">
        <v>0.35416666666666669</v>
      </c>
      <c r="D43" s="21">
        <v>0.5625</v>
      </c>
      <c r="E43" s="20">
        <v>5</v>
      </c>
    </row>
    <row r="44" spans="1:5" ht="16.5" thickBot="1">
      <c r="A44" s="20" t="s">
        <v>143</v>
      </c>
      <c r="B44" s="20">
        <v>269</v>
      </c>
      <c r="C44" s="21">
        <v>0.35416666666666669</v>
      </c>
      <c r="D44" s="21">
        <v>0.58333333333333337</v>
      </c>
      <c r="E44" s="20">
        <v>5.5</v>
      </c>
    </row>
    <row r="45" spans="1:5" ht="16.5" thickBot="1">
      <c r="A45" s="20" t="s">
        <v>144</v>
      </c>
      <c r="B45" s="20">
        <v>39</v>
      </c>
      <c r="C45" s="21">
        <v>0.35416666666666669</v>
      </c>
      <c r="D45" s="21">
        <v>0.60416666666666663</v>
      </c>
      <c r="E45" s="20">
        <v>6</v>
      </c>
    </row>
    <row r="46" spans="1:5" ht="16.5" thickBot="1">
      <c r="A46" s="20" t="s">
        <v>145</v>
      </c>
      <c r="B46" s="20">
        <v>186</v>
      </c>
      <c r="C46" s="21">
        <v>0.35416666666666669</v>
      </c>
      <c r="D46" s="21">
        <v>0.625</v>
      </c>
      <c r="E46" s="20">
        <v>6.5</v>
      </c>
    </row>
    <row r="47" spans="1:5" ht="16.5" thickBot="1">
      <c r="A47" s="20" t="s">
        <v>146</v>
      </c>
      <c r="B47" s="20">
        <v>1</v>
      </c>
      <c r="C47" s="21">
        <v>0.35416666666666669</v>
      </c>
      <c r="D47" s="21">
        <v>0.64583333333333337</v>
      </c>
      <c r="E47" s="20">
        <v>7</v>
      </c>
    </row>
    <row r="48" spans="1:5" ht="16.5" thickBot="1">
      <c r="A48" s="20" t="s">
        <v>147</v>
      </c>
      <c r="B48" s="20">
        <v>240</v>
      </c>
      <c r="C48" s="21">
        <v>0.35416666666666669</v>
      </c>
      <c r="D48" s="21">
        <v>0.66666666666666663</v>
      </c>
      <c r="E48" s="20">
        <v>7.5</v>
      </c>
    </row>
    <row r="49" spans="1:5" ht="16.5" thickBot="1">
      <c r="A49" s="20" t="s">
        <v>148</v>
      </c>
      <c r="B49" s="20">
        <v>40</v>
      </c>
      <c r="C49" s="21">
        <v>0.35416666666666669</v>
      </c>
      <c r="D49" s="21">
        <v>0.6875</v>
      </c>
      <c r="E49" s="20">
        <v>8</v>
      </c>
    </row>
    <row r="50" spans="1:5" ht="16.5" thickBot="1">
      <c r="A50" s="20" t="s">
        <v>149</v>
      </c>
      <c r="B50" s="20">
        <v>41</v>
      </c>
      <c r="C50" s="21">
        <v>0.35416666666666669</v>
      </c>
      <c r="D50" s="21">
        <v>0.70833333333333337</v>
      </c>
      <c r="E50" s="20">
        <v>8.5</v>
      </c>
    </row>
    <row r="51" spans="1:5" ht="16.5" thickBot="1">
      <c r="A51" s="20" t="s">
        <v>150</v>
      </c>
      <c r="B51" s="20">
        <v>15</v>
      </c>
      <c r="C51" s="21">
        <v>0.35416666666666669</v>
      </c>
      <c r="D51" s="21">
        <v>0.72916666666666663</v>
      </c>
      <c r="E51" s="20">
        <v>8</v>
      </c>
    </row>
    <row r="52" spans="1:5" ht="16.5" thickBot="1">
      <c r="A52" s="20" t="s">
        <v>151</v>
      </c>
      <c r="B52" s="20">
        <v>42</v>
      </c>
      <c r="C52" s="21">
        <v>0.35416666666666669</v>
      </c>
      <c r="D52" s="21">
        <v>0.75</v>
      </c>
      <c r="E52" s="20">
        <v>9.5</v>
      </c>
    </row>
    <row r="53" spans="1:5" ht="16.5" thickBot="1">
      <c r="A53" s="20" t="s">
        <v>267</v>
      </c>
      <c r="B53" s="20">
        <v>266</v>
      </c>
      <c r="C53" s="21">
        <v>0.35416666666666669</v>
      </c>
      <c r="D53" s="21">
        <v>0.77083333333333337</v>
      </c>
      <c r="E53" s="20">
        <v>10</v>
      </c>
    </row>
    <row r="54" spans="1:5" ht="16.5" thickBot="1">
      <c r="A54" s="20" t="s">
        <v>100</v>
      </c>
      <c r="B54" s="20">
        <v>44</v>
      </c>
      <c r="C54" s="21">
        <v>0.375</v>
      </c>
      <c r="D54" s="21">
        <v>0.58333333333333337</v>
      </c>
      <c r="E54" s="20">
        <v>5</v>
      </c>
    </row>
    <row r="55" spans="1:5" ht="16.5" thickBot="1">
      <c r="A55" s="20" t="s">
        <v>152</v>
      </c>
      <c r="B55" s="20">
        <v>209</v>
      </c>
      <c r="C55" s="21">
        <v>0.375</v>
      </c>
      <c r="D55" s="21">
        <v>0.60416666666666663</v>
      </c>
      <c r="E55" s="20">
        <v>5.5</v>
      </c>
    </row>
    <row r="56" spans="1:5" ht="16.5" thickBot="1">
      <c r="A56" s="20" t="s">
        <v>98</v>
      </c>
      <c r="B56" s="20">
        <v>45</v>
      </c>
      <c r="C56" s="21">
        <v>0.375</v>
      </c>
      <c r="D56" s="21">
        <v>0.625</v>
      </c>
      <c r="E56" s="20">
        <v>6</v>
      </c>
    </row>
    <row r="57" spans="1:5" ht="16.5" thickBot="1">
      <c r="A57" s="20" t="s">
        <v>153</v>
      </c>
      <c r="B57" s="20">
        <v>168</v>
      </c>
      <c r="C57" s="21">
        <v>0.375</v>
      </c>
      <c r="D57" s="21">
        <v>0.64583333333333337</v>
      </c>
      <c r="E57" s="20">
        <v>6.5</v>
      </c>
    </row>
    <row r="58" spans="1:5" ht="16.5" thickBot="1">
      <c r="A58" s="20" t="s">
        <v>73</v>
      </c>
      <c r="B58" s="20">
        <v>46</v>
      </c>
      <c r="C58" s="21">
        <v>0.375</v>
      </c>
      <c r="D58" s="21">
        <v>0.66666666666666663</v>
      </c>
      <c r="E58" s="20">
        <v>7</v>
      </c>
    </row>
    <row r="59" spans="1:5" ht="16.5" thickBot="1">
      <c r="A59" s="20" t="s">
        <v>154</v>
      </c>
      <c r="B59" s="20">
        <v>16</v>
      </c>
      <c r="C59" s="21">
        <v>0.375</v>
      </c>
      <c r="D59" s="21">
        <v>0.6875</v>
      </c>
      <c r="E59" s="20">
        <v>7.5</v>
      </c>
    </row>
    <row r="60" spans="1:5" ht="16.5" thickBot="1">
      <c r="A60" s="20" t="s">
        <v>71</v>
      </c>
      <c r="B60" s="20">
        <v>47</v>
      </c>
      <c r="C60" s="21">
        <v>0.375</v>
      </c>
      <c r="D60" s="21">
        <v>0.70833333333333337</v>
      </c>
      <c r="E60" s="20">
        <v>8</v>
      </c>
    </row>
    <row r="61" spans="1:5" ht="16.5" thickBot="1">
      <c r="A61" s="20" t="s">
        <v>155</v>
      </c>
      <c r="B61" s="20">
        <v>189</v>
      </c>
      <c r="C61" s="21">
        <v>0.375</v>
      </c>
      <c r="D61" s="21">
        <v>0.72916666666666663</v>
      </c>
      <c r="E61" s="20">
        <v>8.5</v>
      </c>
    </row>
    <row r="62" spans="1:5" ht="16.5" thickBot="1">
      <c r="A62" s="20" t="s">
        <v>65</v>
      </c>
      <c r="B62" s="20">
        <v>4</v>
      </c>
      <c r="C62" s="21">
        <v>0.375</v>
      </c>
      <c r="D62" s="21">
        <v>0.75</v>
      </c>
      <c r="E62" s="20">
        <v>8</v>
      </c>
    </row>
    <row r="63" spans="1:5" ht="16.5" thickBot="1">
      <c r="A63" s="20" t="s">
        <v>156</v>
      </c>
      <c r="B63" s="20">
        <v>222</v>
      </c>
      <c r="C63" s="21">
        <v>0.375</v>
      </c>
      <c r="D63" s="21">
        <v>0.77083333333333337</v>
      </c>
      <c r="E63" s="20">
        <v>9.5</v>
      </c>
    </row>
    <row r="64" spans="1:5" ht="16.5" thickBot="1">
      <c r="A64" s="20" t="s">
        <v>96</v>
      </c>
      <c r="B64" s="20">
        <v>48</v>
      </c>
      <c r="C64" s="21">
        <v>0.375</v>
      </c>
      <c r="D64" s="21">
        <v>0.79166666666666663</v>
      </c>
      <c r="E64" s="20">
        <v>10</v>
      </c>
    </row>
    <row r="65" spans="1:5" ht="16.5" thickBot="1">
      <c r="A65" s="20" t="s">
        <v>268</v>
      </c>
      <c r="B65" s="20">
        <v>218</v>
      </c>
      <c r="C65" s="21">
        <v>0.375</v>
      </c>
      <c r="D65" s="21">
        <v>0.8125</v>
      </c>
      <c r="E65" s="20">
        <v>10.5</v>
      </c>
    </row>
    <row r="66" spans="1:5" ht="16.5" thickBot="1">
      <c r="A66" s="20" t="s">
        <v>83</v>
      </c>
      <c r="B66" s="20">
        <v>219</v>
      </c>
      <c r="C66" s="21">
        <v>0.375</v>
      </c>
      <c r="D66" s="21">
        <v>0.83333333333333337</v>
      </c>
      <c r="E66" s="20">
        <v>11</v>
      </c>
    </row>
    <row r="67" spans="1:5" ht="16.5" thickBot="1">
      <c r="A67" s="20" t="s">
        <v>81</v>
      </c>
      <c r="B67" s="20">
        <v>154</v>
      </c>
      <c r="C67" s="21">
        <v>0.375</v>
      </c>
      <c r="D67" s="21">
        <v>0.875</v>
      </c>
      <c r="E67" s="20">
        <v>12</v>
      </c>
    </row>
    <row r="68" spans="1:5" ht="16.5" thickBot="1">
      <c r="A68" s="20" t="s">
        <v>157</v>
      </c>
      <c r="B68" s="20">
        <v>181</v>
      </c>
      <c r="C68" s="21">
        <v>0.39583333333333331</v>
      </c>
      <c r="D68" s="21">
        <v>0.625</v>
      </c>
      <c r="E68" s="20">
        <v>5.5</v>
      </c>
    </row>
    <row r="69" spans="1:5" ht="16.5" thickBot="1">
      <c r="A69" s="20" t="s">
        <v>158</v>
      </c>
      <c r="B69" s="20">
        <v>239</v>
      </c>
      <c r="C69" s="21">
        <v>0.39583333333333331</v>
      </c>
      <c r="D69" s="21">
        <v>0.64583333333333337</v>
      </c>
      <c r="E69" s="20">
        <v>6</v>
      </c>
    </row>
    <row r="70" spans="1:5" ht="16.5" thickBot="1">
      <c r="A70" s="20" t="s">
        <v>159</v>
      </c>
      <c r="B70" s="20">
        <v>175</v>
      </c>
      <c r="C70" s="21">
        <v>0.39583333333333331</v>
      </c>
      <c r="D70" s="21">
        <v>0.66666666666666663</v>
      </c>
      <c r="E70" s="20">
        <v>6.5</v>
      </c>
    </row>
    <row r="71" spans="1:5" ht="16.5" thickBot="1">
      <c r="A71" s="20" t="s">
        <v>160</v>
      </c>
      <c r="B71" s="20">
        <v>268</v>
      </c>
      <c r="C71" s="21">
        <v>0.39583333333333331</v>
      </c>
      <c r="D71" s="21">
        <v>0.6875</v>
      </c>
      <c r="E71" s="20">
        <v>7</v>
      </c>
    </row>
    <row r="72" spans="1:5" ht="16.5" thickBot="1">
      <c r="A72" s="20" t="s">
        <v>161</v>
      </c>
      <c r="B72" s="20">
        <v>147</v>
      </c>
      <c r="C72" s="21">
        <v>0.39583333333333331</v>
      </c>
      <c r="D72" s="21">
        <v>0.70833333333333337</v>
      </c>
      <c r="E72" s="20">
        <v>7.5</v>
      </c>
    </row>
    <row r="73" spans="1:5" ht="16.5" thickBot="1">
      <c r="A73" s="20" t="s">
        <v>162</v>
      </c>
      <c r="B73" s="20">
        <v>192</v>
      </c>
      <c r="C73" s="21">
        <v>0.39583333333333331</v>
      </c>
      <c r="D73" s="21">
        <v>0.72916666666666663</v>
      </c>
      <c r="E73" s="20">
        <v>8</v>
      </c>
    </row>
    <row r="74" spans="1:5" ht="16.5" thickBot="1">
      <c r="A74" s="20" t="s">
        <v>163</v>
      </c>
      <c r="B74" s="20">
        <v>190</v>
      </c>
      <c r="C74" s="21">
        <v>0.39583333333333331</v>
      </c>
      <c r="D74" s="21">
        <v>0.75</v>
      </c>
      <c r="E74" s="20">
        <v>8.5</v>
      </c>
    </row>
    <row r="75" spans="1:5" ht="16.5" thickBot="1">
      <c r="A75" s="20" t="s">
        <v>164</v>
      </c>
      <c r="B75" s="20">
        <v>11</v>
      </c>
      <c r="C75" s="21">
        <v>0.39583333333333331</v>
      </c>
      <c r="D75" s="21">
        <v>0.77083333333333337</v>
      </c>
      <c r="E75" s="20">
        <v>9</v>
      </c>
    </row>
    <row r="76" spans="1:5" ht="16.5" thickBot="1">
      <c r="A76" s="20" t="s">
        <v>165</v>
      </c>
      <c r="B76" s="20">
        <v>232</v>
      </c>
      <c r="C76" s="21">
        <v>0.39583333333333331</v>
      </c>
      <c r="D76" s="21">
        <v>0.79166666666666663</v>
      </c>
      <c r="E76" s="20">
        <v>9.5</v>
      </c>
    </row>
    <row r="77" spans="1:5" ht="16.5" thickBot="1">
      <c r="A77" s="20" t="s">
        <v>269</v>
      </c>
      <c r="B77" s="20">
        <v>235</v>
      </c>
      <c r="C77" s="21">
        <v>0.39583333333333331</v>
      </c>
      <c r="D77" s="21">
        <v>0.83333333333333337</v>
      </c>
      <c r="E77" s="20">
        <v>10.5</v>
      </c>
    </row>
    <row r="78" spans="1:5" ht="16.5" thickBot="1">
      <c r="A78" s="20" t="s">
        <v>87</v>
      </c>
      <c r="B78" s="20">
        <v>55</v>
      </c>
      <c r="C78" s="21">
        <v>0.41666666666666669</v>
      </c>
      <c r="D78" s="21">
        <v>0.625</v>
      </c>
      <c r="E78" s="20">
        <v>5</v>
      </c>
    </row>
    <row r="79" spans="1:5" ht="16.5" thickBot="1">
      <c r="A79" s="20" t="s">
        <v>77</v>
      </c>
      <c r="B79" s="20">
        <v>56</v>
      </c>
      <c r="C79" s="21">
        <v>0.41666666666666669</v>
      </c>
      <c r="D79" s="21">
        <v>0.66666666666666663</v>
      </c>
      <c r="E79" s="20">
        <v>6</v>
      </c>
    </row>
    <row r="80" spans="1:5" ht="16.5" thickBot="1">
      <c r="A80" s="20" t="s">
        <v>166</v>
      </c>
      <c r="B80" s="20">
        <v>205</v>
      </c>
      <c r="C80" s="21">
        <v>0.41666666666666669</v>
      </c>
      <c r="D80" s="21">
        <v>0.6875</v>
      </c>
      <c r="E80" s="20">
        <v>6.5</v>
      </c>
    </row>
    <row r="81" spans="1:5" ht="16.5" thickBot="1">
      <c r="A81" s="20" t="s">
        <v>75</v>
      </c>
      <c r="B81" s="20">
        <v>57</v>
      </c>
      <c r="C81" s="21">
        <v>0.41666666666666669</v>
      </c>
      <c r="D81" s="21">
        <v>0.70833333333333337</v>
      </c>
      <c r="E81" s="20">
        <v>7</v>
      </c>
    </row>
    <row r="82" spans="1:5" ht="16.5" thickBot="1">
      <c r="A82" s="20" t="s">
        <v>167</v>
      </c>
      <c r="B82" s="20">
        <v>208</v>
      </c>
      <c r="C82" s="21">
        <v>0.41666666666666669</v>
      </c>
      <c r="D82" s="21">
        <v>0.72916666666666663</v>
      </c>
      <c r="E82" s="20">
        <v>7.5</v>
      </c>
    </row>
    <row r="83" spans="1:5" ht="16.5" thickBot="1">
      <c r="A83" s="20" t="s">
        <v>74</v>
      </c>
      <c r="B83" s="20">
        <v>58</v>
      </c>
      <c r="C83" s="21">
        <v>0.41666666666666669</v>
      </c>
      <c r="D83" s="21">
        <v>0.75</v>
      </c>
      <c r="E83" s="20">
        <v>7</v>
      </c>
    </row>
    <row r="84" spans="1:5" ht="16.5" thickBot="1">
      <c r="A84" s="20" t="s">
        <v>168</v>
      </c>
      <c r="B84" s="20">
        <v>211</v>
      </c>
      <c r="C84" s="21">
        <v>0.41666666666666669</v>
      </c>
      <c r="D84" s="21">
        <v>0.77083333333333337</v>
      </c>
      <c r="E84" s="20">
        <v>8.5</v>
      </c>
    </row>
    <row r="85" spans="1:5" ht="16.5" thickBot="1">
      <c r="A85" s="20" t="s">
        <v>84</v>
      </c>
      <c r="B85" s="20">
        <v>59</v>
      </c>
      <c r="C85" s="21">
        <v>0.41666666666666669</v>
      </c>
      <c r="D85" s="21">
        <v>0.79166666666666663</v>
      </c>
      <c r="E85" s="20">
        <v>9</v>
      </c>
    </row>
    <row r="86" spans="1:5" ht="16.5" thickBot="1">
      <c r="A86" s="20" t="s">
        <v>80</v>
      </c>
      <c r="B86" s="20">
        <v>54</v>
      </c>
      <c r="C86" s="21">
        <v>0.41666666666666669</v>
      </c>
      <c r="D86" s="21">
        <v>0.83333333333333337</v>
      </c>
      <c r="E86" s="20">
        <v>10</v>
      </c>
    </row>
    <row r="87" spans="1:5" ht="16.5" thickBot="1">
      <c r="A87" s="20" t="s">
        <v>169</v>
      </c>
      <c r="B87" s="20">
        <v>178</v>
      </c>
      <c r="C87" s="21">
        <v>0.4375</v>
      </c>
      <c r="D87" s="21">
        <v>0.64583333333333337</v>
      </c>
      <c r="E87" s="20">
        <v>5</v>
      </c>
    </row>
    <row r="88" spans="1:5" ht="16.5" thickBot="1">
      <c r="A88" s="20" t="s">
        <v>170</v>
      </c>
      <c r="B88" s="20">
        <v>236</v>
      </c>
      <c r="C88" s="21">
        <v>0.4375</v>
      </c>
      <c r="D88" s="21">
        <v>0.66666666666666663</v>
      </c>
      <c r="E88" s="20">
        <v>5.5</v>
      </c>
    </row>
    <row r="89" spans="1:5" ht="16.5" thickBot="1">
      <c r="A89" s="20" t="s">
        <v>171</v>
      </c>
      <c r="B89" s="20">
        <v>176</v>
      </c>
      <c r="C89" s="21">
        <v>0.4375</v>
      </c>
      <c r="D89" s="21">
        <v>0.6875</v>
      </c>
      <c r="E89" s="20">
        <v>6</v>
      </c>
    </row>
    <row r="90" spans="1:5" ht="16.5" thickBot="1">
      <c r="A90" s="20" t="s">
        <v>172</v>
      </c>
      <c r="B90" s="20">
        <v>193</v>
      </c>
      <c r="C90" s="21">
        <v>0.4375</v>
      </c>
      <c r="D90" s="21">
        <v>0.70833333333333337</v>
      </c>
      <c r="E90" s="20">
        <v>6.5</v>
      </c>
    </row>
    <row r="91" spans="1:5" ht="16.5" thickBot="1">
      <c r="A91" s="20" t="s">
        <v>173</v>
      </c>
      <c r="B91" s="20">
        <v>191</v>
      </c>
      <c r="C91" s="21">
        <v>0.4375</v>
      </c>
      <c r="D91" s="21">
        <v>0.75</v>
      </c>
      <c r="E91" s="20">
        <v>7.5</v>
      </c>
    </row>
    <row r="92" spans="1:5" ht="16.5" thickBot="1">
      <c r="A92" s="20" t="s">
        <v>174</v>
      </c>
      <c r="B92" s="20">
        <v>177</v>
      </c>
      <c r="C92" s="21">
        <v>0.4375</v>
      </c>
      <c r="D92" s="21">
        <v>0.77083333333333337</v>
      </c>
      <c r="E92" s="20">
        <v>8</v>
      </c>
    </row>
    <row r="93" spans="1:5" ht="16.5" thickBot="1">
      <c r="A93" s="20" t="s">
        <v>175</v>
      </c>
      <c r="B93" s="20">
        <v>241</v>
      </c>
      <c r="C93" s="21">
        <v>0.4375</v>
      </c>
      <c r="D93" s="21">
        <v>0.8125</v>
      </c>
      <c r="E93" s="20">
        <v>9</v>
      </c>
    </row>
    <row r="94" spans="1:5" ht="16.5" thickBot="1">
      <c r="A94" s="20" t="s">
        <v>270</v>
      </c>
      <c r="B94" s="20">
        <v>254</v>
      </c>
      <c r="C94" s="21">
        <v>0.4375</v>
      </c>
      <c r="D94" s="21">
        <v>0.83333333333333337</v>
      </c>
      <c r="E94" s="20">
        <v>9.5</v>
      </c>
    </row>
    <row r="95" spans="1:5" ht="16.5" thickBot="1">
      <c r="A95" s="20" t="s">
        <v>86</v>
      </c>
      <c r="B95" s="20">
        <v>66</v>
      </c>
      <c r="C95" s="21">
        <v>0.45833333333333331</v>
      </c>
      <c r="D95" s="21">
        <v>0.66666666666666663</v>
      </c>
      <c r="E95" s="20">
        <v>5</v>
      </c>
    </row>
    <row r="96" spans="1:5" ht="16.5" thickBot="1">
      <c r="A96" s="20" t="s">
        <v>176</v>
      </c>
      <c r="B96" s="20">
        <v>158</v>
      </c>
      <c r="C96" s="21">
        <v>0.45833333333333331</v>
      </c>
      <c r="D96" s="21">
        <v>0.6875</v>
      </c>
      <c r="E96" s="20">
        <v>5.5</v>
      </c>
    </row>
    <row r="97" spans="1:5" ht="16.5" thickBot="1">
      <c r="A97" s="20" t="s">
        <v>104</v>
      </c>
      <c r="B97" s="20">
        <v>67</v>
      </c>
      <c r="C97" s="21">
        <v>0.45833333333333331</v>
      </c>
      <c r="D97" s="21">
        <v>0.70833333333333337</v>
      </c>
      <c r="E97" s="20">
        <v>6</v>
      </c>
    </row>
    <row r="98" spans="1:5" ht="16.5" thickBot="1">
      <c r="A98" s="20" t="s">
        <v>177</v>
      </c>
      <c r="B98" s="20">
        <v>180</v>
      </c>
      <c r="C98" s="21">
        <v>0.45833333333333331</v>
      </c>
      <c r="D98" s="21">
        <v>0.72916666666666663</v>
      </c>
      <c r="E98" s="20">
        <v>6.5</v>
      </c>
    </row>
    <row r="99" spans="1:5" ht="16.5" thickBot="1">
      <c r="A99" s="20" t="s">
        <v>76</v>
      </c>
      <c r="B99" s="20">
        <v>68</v>
      </c>
      <c r="C99" s="21">
        <v>0.45833333333333331</v>
      </c>
      <c r="D99" s="21">
        <v>0.75</v>
      </c>
      <c r="E99" s="20">
        <v>6</v>
      </c>
    </row>
    <row r="100" spans="1:5" ht="16.5" thickBot="1">
      <c r="A100" s="20" t="s">
        <v>178</v>
      </c>
      <c r="B100" s="20">
        <v>69</v>
      </c>
      <c r="C100" s="21">
        <v>0.45833333333333331</v>
      </c>
      <c r="D100" s="21">
        <v>0.79166666666666663</v>
      </c>
      <c r="E100" s="20">
        <v>8</v>
      </c>
    </row>
    <row r="101" spans="1:5" ht="16.5" thickBot="1">
      <c r="A101" s="20" t="s">
        <v>92</v>
      </c>
      <c r="B101" s="20">
        <v>70</v>
      </c>
      <c r="C101" s="21">
        <v>0.45833333333333331</v>
      </c>
      <c r="D101" s="21">
        <v>0.83333333333333337</v>
      </c>
      <c r="E101" s="20">
        <v>8</v>
      </c>
    </row>
    <row r="102" spans="1:5" ht="16.5" thickBot="1">
      <c r="A102" s="20" t="s">
        <v>179</v>
      </c>
      <c r="B102" s="20">
        <v>249</v>
      </c>
      <c r="C102" s="21">
        <v>0.47916666666666669</v>
      </c>
      <c r="D102" s="21">
        <v>0.6875</v>
      </c>
      <c r="E102" s="20">
        <v>5</v>
      </c>
    </row>
    <row r="103" spans="1:5" ht="16.5" thickBot="1">
      <c r="A103" s="20" t="s">
        <v>180</v>
      </c>
      <c r="B103" s="20">
        <v>247</v>
      </c>
      <c r="C103" s="21">
        <v>0.47916666666666669</v>
      </c>
      <c r="D103" s="21">
        <v>0.77083333333333337</v>
      </c>
      <c r="E103" s="20">
        <v>7</v>
      </c>
    </row>
    <row r="104" spans="1:5" ht="16.5" thickBot="1">
      <c r="A104" s="20" t="s">
        <v>181</v>
      </c>
      <c r="B104" s="20">
        <v>243</v>
      </c>
      <c r="C104" s="21">
        <v>0.47916666666666669</v>
      </c>
      <c r="D104" s="21">
        <v>0.8125</v>
      </c>
      <c r="E104" s="20">
        <v>8</v>
      </c>
    </row>
    <row r="105" spans="1:5" ht="16.5" thickBot="1">
      <c r="A105" s="20" t="s">
        <v>182</v>
      </c>
      <c r="B105" s="20">
        <v>202</v>
      </c>
      <c r="C105" s="21">
        <v>0.47916666666666669</v>
      </c>
      <c r="D105" s="21">
        <v>0.83333333333333337</v>
      </c>
      <c r="E105" s="20">
        <v>8.5</v>
      </c>
    </row>
    <row r="106" spans="1:5" ht="16.5" thickBot="1">
      <c r="A106" s="20" t="s">
        <v>271</v>
      </c>
      <c r="B106" s="20">
        <v>250</v>
      </c>
      <c r="C106" s="21">
        <v>0.47916666666666669</v>
      </c>
      <c r="D106" s="21">
        <v>0.875</v>
      </c>
      <c r="E106" s="20">
        <v>9.5</v>
      </c>
    </row>
    <row r="107" spans="1:5" ht="16.5" thickBot="1">
      <c r="A107" s="20" t="s">
        <v>183</v>
      </c>
      <c r="B107" s="20">
        <v>271</v>
      </c>
      <c r="C107" s="21">
        <v>0.48958333333333331</v>
      </c>
      <c r="D107" s="21">
        <v>0.82291666666666663</v>
      </c>
      <c r="E107" s="20">
        <v>8</v>
      </c>
    </row>
    <row r="108" spans="1:5" ht="16.5" thickBot="1">
      <c r="A108" s="20" t="s">
        <v>260</v>
      </c>
      <c r="B108" s="20">
        <v>244</v>
      </c>
      <c r="C108" s="21">
        <v>0.5</v>
      </c>
      <c r="D108" s="21">
        <v>0</v>
      </c>
      <c r="E108" s="20">
        <v>12</v>
      </c>
    </row>
    <row r="109" spans="1:5" ht="16.5" thickBot="1">
      <c r="A109" s="20" t="s">
        <v>184</v>
      </c>
      <c r="B109" s="20">
        <v>76</v>
      </c>
      <c r="C109" s="21">
        <v>0.5</v>
      </c>
      <c r="D109" s="21">
        <v>0.70833333333333337</v>
      </c>
      <c r="E109" s="20">
        <v>5</v>
      </c>
    </row>
    <row r="110" spans="1:5" ht="16.5" thickBot="1">
      <c r="A110" s="20" t="s">
        <v>185</v>
      </c>
      <c r="B110" s="20">
        <v>197</v>
      </c>
      <c r="C110" s="21">
        <v>0.5</v>
      </c>
      <c r="D110" s="21">
        <v>0.72916666666666663</v>
      </c>
      <c r="E110" s="20">
        <v>5.5</v>
      </c>
    </row>
    <row r="111" spans="1:5" ht="16.5" thickBot="1">
      <c r="A111" s="20" t="s">
        <v>85</v>
      </c>
      <c r="B111" s="20">
        <v>122</v>
      </c>
      <c r="C111" s="21">
        <v>0.5</v>
      </c>
      <c r="D111" s="21">
        <v>0.75</v>
      </c>
      <c r="E111" s="20">
        <v>6</v>
      </c>
    </row>
    <row r="112" spans="1:5" ht="16.5" thickBot="1">
      <c r="A112" s="20" t="s">
        <v>186</v>
      </c>
      <c r="B112" s="20">
        <v>74</v>
      </c>
      <c r="C112" s="21">
        <v>0.5</v>
      </c>
      <c r="D112" s="21">
        <v>0.79166666666666663</v>
      </c>
      <c r="E112" s="20">
        <v>7</v>
      </c>
    </row>
    <row r="113" spans="1:5" ht="16.5" thickBot="1">
      <c r="A113" s="20" t="s">
        <v>103</v>
      </c>
      <c r="B113" s="20">
        <v>121</v>
      </c>
      <c r="C113" s="21">
        <v>0.5</v>
      </c>
      <c r="D113" s="21">
        <v>0.83333333333333337</v>
      </c>
      <c r="E113" s="20">
        <v>8</v>
      </c>
    </row>
    <row r="114" spans="1:5" ht="16.5" thickBot="1">
      <c r="A114" s="20" t="s">
        <v>101</v>
      </c>
      <c r="B114" s="20">
        <v>75</v>
      </c>
      <c r="C114" s="21">
        <v>0.5</v>
      </c>
      <c r="D114" s="21">
        <v>0.875</v>
      </c>
      <c r="E114" s="20">
        <v>8</v>
      </c>
    </row>
    <row r="115" spans="1:5" ht="16.5" thickBot="1">
      <c r="A115" s="20" t="s">
        <v>272</v>
      </c>
      <c r="B115" s="20">
        <v>164</v>
      </c>
      <c r="C115" s="21">
        <v>0.5</v>
      </c>
      <c r="D115" s="21">
        <v>0.91666666666666663</v>
      </c>
      <c r="E115" s="20">
        <v>10</v>
      </c>
    </row>
    <row r="116" spans="1:5" ht="16.5" thickBot="1">
      <c r="A116" s="20" t="s">
        <v>187</v>
      </c>
      <c r="B116" s="20">
        <v>264</v>
      </c>
      <c r="C116" s="21">
        <v>0.52083333333333337</v>
      </c>
      <c r="D116" s="21">
        <v>0.75</v>
      </c>
      <c r="E116" s="20">
        <v>5.5</v>
      </c>
    </row>
    <row r="117" spans="1:5" ht="16.5" thickBot="1">
      <c r="A117" s="20" t="s">
        <v>188</v>
      </c>
      <c r="B117" s="20">
        <v>125</v>
      </c>
      <c r="C117" s="21">
        <v>0.52083333333333337</v>
      </c>
      <c r="D117" s="21">
        <v>0.8125</v>
      </c>
      <c r="E117" s="20">
        <v>7</v>
      </c>
    </row>
    <row r="118" spans="1:5" ht="16.5" thickBot="1">
      <c r="A118" s="20" t="s">
        <v>189</v>
      </c>
      <c r="B118" s="20">
        <v>221</v>
      </c>
      <c r="C118" s="21">
        <v>0.52083333333333337</v>
      </c>
      <c r="D118" s="21">
        <v>0.875</v>
      </c>
      <c r="E118" s="20">
        <v>8.5</v>
      </c>
    </row>
    <row r="119" spans="1:5" ht="16.5" thickBot="1">
      <c r="A119" s="20" t="s">
        <v>190</v>
      </c>
      <c r="B119" s="20">
        <v>184</v>
      </c>
      <c r="C119" s="21">
        <v>0.54166666666666663</v>
      </c>
      <c r="D119" s="21">
        <v>0</v>
      </c>
      <c r="E119" s="20">
        <v>11</v>
      </c>
    </row>
    <row r="120" spans="1:5" ht="16.5" thickBot="1">
      <c r="A120" s="20" t="s">
        <v>99</v>
      </c>
      <c r="B120" s="20">
        <v>82</v>
      </c>
      <c r="C120" s="21">
        <v>0.54166666666666663</v>
      </c>
      <c r="D120" s="21">
        <v>0.75</v>
      </c>
      <c r="E120" s="20">
        <v>5</v>
      </c>
    </row>
    <row r="121" spans="1:5" ht="16.5" thickBot="1">
      <c r="A121" s="20" t="s">
        <v>191</v>
      </c>
      <c r="B121" s="20">
        <v>83</v>
      </c>
      <c r="C121" s="21">
        <v>0.54166666666666663</v>
      </c>
      <c r="D121" s="21">
        <v>0.79166666666666663</v>
      </c>
      <c r="E121" s="20">
        <v>6</v>
      </c>
    </row>
    <row r="122" spans="1:5" ht="16.5" thickBot="1">
      <c r="A122" s="20" t="s">
        <v>95</v>
      </c>
      <c r="B122" s="20">
        <v>84</v>
      </c>
      <c r="C122" s="21">
        <v>0.54166666666666663</v>
      </c>
      <c r="D122" s="21">
        <v>0.83333333333333337</v>
      </c>
      <c r="E122" s="20">
        <v>7</v>
      </c>
    </row>
    <row r="123" spans="1:5" ht="16.5" thickBot="1">
      <c r="A123" s="20" t="s">
        <v>192</v>
      </c>
      <c r="B123" s="20">
        <v>270</v>
      </c>
      <c r="C123" s="21">
        <v>0.54166666666666663</v>
      </c>
      <c r="D123" s="21">
        <v>0.85416666666666663</v>
      </c>
      <c r="E123" s="20">
        <v>7.5</v>
      </c>
    </row>
    <row r="124" spans="1:5" ht="16.5" thickBot="1">
      <c r="A124" s="20" t="s">
        <v>97</v>
      </c>
      <c r="B124" s="20">
        <v>85</v>
      </c>
      <c r="C124" s="21">
        <v>0.54166666666666663</v>
      </c>
      <c r="D124" s="21">
        <v>0.875</v>
      </c>
      <c r="E124" s="20">
        <v>8</v>
      </c>
    </row>
    <row r="125" spans="1:5" ht="16.5" thickBot="1">
      <c r="A125" s="20" t="s">
        <v>91</v>
      </c>
      <c r="B125" s="20">
        <v>161</v>
      </c>
      <c r="C125" s="21">
        <v>0.54166666666666663</v>
      </c>
      <c r="D125" s="21">
        <v>0.91666666666666663</v>
      </c>
      <c r="E125" s="20">
        <v>9</v>
      </c>
    </row>
    <row r="126" spans="1:5" ht="16.5" thickBot="1">
      <c r="A126" s="20" t="s">
        <v>273</v>
      </c>
      <c r="B126" s="20">
        <v>141</v>
      </c>
      <c r="C126" s="21">
        <v>0.54166666666666663</v>
      </c>
      <c r="D126" s="21">
        <v>0.95833333333333337</v>
      </c>
      <c r="E126" s="20">
        <v>10</v>
      </c>
    </row>
    <row r="127" spans="1:5" ht="16.5" thickBot="1">
      <c r="A127" s="20" t="s">
        <v>274</v>
      </c>
      <c r="B127" s="20">
        <v>228</v>
      </c>
      <c r="C127" s="21">
        <v>0.5625</v>
      </c>
      <c r="D127" s="21">
        <v>0</v>
      </c>
      <c r="E127" s="20">
        <v>10.5</v>
      </c>
    </row>
    <row r="128" spans="1:5" ht="16.5" thickBot="1">
      <c r="A128" s="20" t="s">
        <v>193</v>
      </c>
      <c r="B128" s="20">
        <v>153</v>
      </c>
      <c r="C128" s="21">
        <v>0.5625</v>
      </c>
      <c r="D128" s="21">
        <v>0.77083333333333337</v>
      </c>
      <c r="E128" s="20">
        <v>5</v>
      </c>
    </row>
    <row r="129" spans="1:5" ht="16.5" thickBot="1">
      <c r="A129" s="20" t="s">
        <v>194</v>
      </c>
      <c r="B129" s="20">
        <v>248</v>
      </c>
      <c r="C129" s="21">
        <v>0.5625</v>
      </c>
      <c r="D129" s="21">
        <v>0.79166666666666663</v>
      </c>
      <c r="E129" s="20">
        <v>5.5</v>
      </c>
    </row>
    <row r="130" spans="1:5" ht="16.5" thickBot="1">
      <c r="A130" s="20" t="s">
        <v>195</v>
      </c>
      <c r="B130" s="20">
        <v>213</v>
      </c>
      <c r="C130" s="21">
        <v>0.5625</v>
      </c>
      <c r="D130" s="21">
        <v>0.85416666666666663</v>
      </c>
      <c r="E130" s="20">
        <v>7</v>
      </c>
    </row>
    <row r="131" spans="1:5" ht="16.5" thickBot="1">
      <c r="A131" s="20" t="s">
        <v>196</v>
      </c>
      <c r="B131" s="20">
        <v>207</v>
      </c>
      <c r="C131" s="21">
        <v>0.5625</v>
      </c>
      <c r="D131" s="21">
        <v>0.875</v>
      </c>
      <c r="E131" s="20">
        <v>7.5</v>
      </c>
    </row>
    <row r="132" spans="1:5" ht="16.5" thickBot="1">
      <c r="A132" s="20" t="s">
        <v>197</v>
      </c>
      <c r="B132" s="20">
        <v>204</v>
      </c>
      <c r="C132" s="21">
        <v>0.5625</v>
      </c>
      <c r="D132" s="21">
        <v>0.89583333333333337</v>
      </c>
      <c r="E132" s="20">
        <v>8</v>
      </c>
    </row>
    <row r="133" spans="1:5" ht="16.5" thickBot="1">
      <c r="A133" s="20" t="s">
        <v>198</v>
      </c>
      <c r="B133" s="20">
        <v>89</v>
      </c>
      <c r="C133" s="21">
        <v>0.58333333333333337</v>
      </c>
      <c r="D133" s="21">
        <v>0.79166666666666663</v>
      </c>
      <c r="E133" s="20">
        <v>5</v>
      </c>
    </row>
    <row r="134" spans="1:5" ht="16.5" thickBot="1">
      <c r="A134" s="20" t="s">
        <v>199</v>
      </c>
      <c r="B134" s="20">
        <v>13</v>
      </c>
      <c r="C134" s="21">
        <v>0.58333333333333337</v>
      </c>
      <c r="D134" s="21">
        <v>0.83333333333333337</v>
      </c>
      <c r="E134" s="20">
        <v>6</v>
      </c>
    </row>
    <row r="135" spans="1:5" ht="16.5" thickBot="1">
      <c r="A135" s="20" t="s">
        <v>79</v>
      </c>
      <c r="B135" s="20">
        <v>90</v>
      </c>
      <c r="C135" s="21">
        <v>0.58333333333333337</v>
      </c>
      <c r="D135" s="21">
        <v>0.875</v>
      </c>
      <c r="E135" s="20">
        <v>7</v>
      </c>
    </row>
    <row r="136" spans="1:5" ht="16.5" thickBot="1">
      <c r="A136" s="20" t="s">
        <v>200</v>
      </c>
      <c r="B136" s="20">
        <v>91</v>
      </c>
      <c r="C136" s="21">
        <v>0.58333333333333337</v>
      </c>
      <c r="D136" s="21">
        <v>0.91666666666666663</v>
      </c>
      <c r="E136" s="20">
        <v>8</v>
      </c>
    </row>
    <row r="137" spans="1:5" ht="16.5" thickBot="1">
      <c r="A137" s="20" t="s">
        <v>201</v>
      </c>
      <c r="B137" s="20">
        <v>92</v>
      </c>
      <c r="C137" s="21">
        <v>0.58333333333333337</v>
      </c>
      <c r="D137" s="21">
        <v>0.95833333333333337</v>
      </c>
      <c r="E137" s="20">
        <v>9</v>
      </c>
    </row>
    <row r="138" spans="1:5" ht="16.5" thickBot="1">
      <c r="A138" s="20" t="s">
        <v>202</v>
      </c>
      <c r="B138" s="20">
        <v>159</v>
      </c>
      <c r="C138" s="21">
        <v>0.60416666666666663</v>
      </c>
      <c r="D138" s="21">
        <v>0.8125</v>
      </c>
      <c r="E138" s="20">
        <v>5</v>
      </c>
    </row>
    <row r="139" spans="1:5" ht="16.5" thickBot="1">
      <c r="A139" s="20" t="s">
        <v>203</v>
      </c>
      <c r="B139" s="20">
        <v>93</v>
      </c>
      <c r="C139" s="21">
        <v>0.60416666666666663</v>
      </c>
      <c r="D139" s="21">
        <v>0.83333333333333337</v>
      </c>
      <c r="E139" s="20">
        <v>5.5</v>
      </c>
    </row>
    <row r="140" spans="1:5" ht="16.5" thickBot="1">
      <c r="A140" s="20" t="s">
        <v>204</v>
      </c>
      <c r="B140" s="20">
        <v>5</v>
      </c>
      <c r="C140" s="21">
        <v>0.60416666666666663</v>
      </c>
      <c r="D140" s="21">
        <v>0.875</v>
      </c>
      <c r="E140" s="20">
        <v>6.5</v>
      </c>
    </row>
    <row r="141" spans="1:5" ht="16.5" thickBot="1">
      <c r="A141" s="20" t="s">
        <v>205</v>
      </c>
      <c r="B141" s="20">
        <v>129</v>
      </c>
      <c r="C141" s="21">
        <v>0.625</v>
      </c>
      <c r="D141" s="21">
        <v>0</v>
      </c>
      <c r="E141" s="20">
        <v>9</v>
      </c>
    </row>
    <row r="142" spans="1:5" ht="16.5" thickBot="1">
      <c r="A142" s="20" t="s">
        <v>205</v>
      </c>
      <c r="B142" s="20">
        <v>94</v>
      </c>
      <c r="C142" s="21">
        <v>0.625</v>
      </c>
      <c r="D142" s="21">
        <v>0</v>
      </c>
      <c r="E142" s="20">
        <v>9</v>
      </c>
    </row>
    <row r="143" spans="1:5" ht="16.5" thickBot="1">
      <c r="A143" s="20" t="s">
        <v>206</v>
      </c>
      <c r="B143" s="20">
        <v>96</v>
      </c>
      <c r="C143" s="21">
        <v>0.625</v>
      </c>
      <c r="D143" s="21">
        <v>0.83333333333333337</v>
      </c>
      <c r="E143" s="20">
        <v>5</v>
      </c>
    </row>
    <row r="144" spans="1:5" ht="16.5" thickBot="1">
      <c r="A144" s="20" t="s">
        <v>90</v>
      </c>
      <c r="B144" s="20">
        <v>97</v>
      </c>
      <c r="C144" s="21">
        <v>0.625</v>
      </c>
      <c r="D144" s="21">
        <v>0.875</v>
      </c>
      <c r="E144" s="20">
        <v>6</v>
      </c>
    </row>
    <row r="145" spans="1:5" ht="16.5" thickBot="1">
      <c r="A145" s="20" t="s">
        <v>207</v>
      </c>
      <c r="B145" s="20">
        <v>210</v>
      </c>
      <c r="C145" s="21">
        <v>0.625</v>
      </c>
      <c r="D145" s="21">
        <v>0.89583333333333337</v>
      </c>
      <c r="E145" s="20">
        <v>6.5</v>
      </c>
    </row>
    <row r="146" spans="1:5" ht="16.5" thickBot="1">
      <c r="A146" s="20" t="s">
        <v>89</v>
      </c>
      <c r="B146" s="20">
        <v>98</v>
      </c>
      <c r="C146" s="21">
        <v>0.625</v>
      </c>
      <c r="D146" s="21">
        <v>0.91666666666666663</v>
      </c>
      <c r="E146" s="20">
        <v>7</v>
      </c>
    </row>
    <row r="147" spans="1:5" ht="16.5" thickBot="1">
      <c r="A147" s="20" t="s">
        <v>208</v>
      </c>
      <c r="B147" s="20">
        <v>99</v>
      </c>
      <c r="C147" s="21">
        <v>0.625</v>
      </c>
      <c r="D147" s="21">
        <v>0.95833333333333337</v>
      </c>
      <c r="E147" s="20">
        <v>8</v>
      </c>
    </row>
    <row r="148" spans="1:5" ht="16.5" thickBot="1">
      <c r="A148" s="20" t="s">
        <v>209</v>
      </c>
      <c r="B148" s="20">
        <v>123</v>
      </c>
      <c r="C148" s="21">
        <v>0.64583333333333337</v>
      </c>
      <c r="D148" s="21">
        <v>0</v>
      </c>
      <c r="E148" s="20">
        <v>8.5</v>
      </c>
    </row>
    <row r="149" spans="1:5" ht="16.5" thickBot="1">
      <c r="A149" s="20" t="s">
        <v>210</v>
      </c>
      <c r="B149" s="20">
        <v>223</v>
      </c>
      <c r="C149" s="21">
        <v>0.64583333333333337</v>
      </c>
      <c r="D149" s="21">
        <v>0.875</v>
      </c>
      <c r="E149" s="20">
        <v>5.5</v>
      </c>
    </row>
    <row r="150" spans="1:5" ht="16.5" thickBot="1">
      <c r="A150" s="20" t="s">
        <v>211</v>
      </c>
      <c r="B150" s="20">
        <v>14</v>
      </c>
      <c r="C150" s="21">
        <v>0.66666666666666663</v>
      </c>
      <c r="D150" s="21">
        <v>0</v>
      </c>
      <c r="E150" s="20">
        <v>8</v>
      </c>
    </row>
    <row r="151" spans="1:5" ht="16.5" thickBot="1">
      <c r="A151" s="20" t="s">
        <v>211</v>
      </c>
      <c r="B151" s="20">
        <v>127</v>
      </c>
      <c r="C151" s="21">
        <v>0.66666666666666663</v>
      </c>
      <c r="D151" s="21">
        <v>0</v>
      </c>
      <c r="E151" s="20">
        <v>8</v>
      </c>
    </row>
    <row r="152" spans="1:5" ht="16.5" thickBot="1">
      <c r="A152" s="20" t="s">
        <v>212</v>
      </c>
      <c r="B152" s="20">
        <v>101</v>
      </c>
      <c r="C152" s="21">
        <v>0.66666666666666663</v>
      </c>
      <c r="D152" s="21">
        <v>4.1666666666666664E-2</v>
      </c>
      <c r="E152" s="20">
        <v>9</v>
      </c>
    </row>
    <row r="153" spans="1:5" ht="16.5" thickBot="1">
      <c r="A153" s="20" t="s">
        <v>275</v>
      </c>
      <c r="B153" s="20">
        <v>171</v>
      </c>
      <c r="C153" s="21">
        <v>0.66666666666666663</v>
      </c>
      <c r="D153" s="21">
        <v>8.3333333333333329E-2</v>
      </c>
      <c r="E153" s="20">
        <v>10</v>
      </c>
    </row>
    <row r="154" spans="1:5" ht="16.5" thickBot="1">
      <c r="A154" s="20" t="s">
        <v>213</v>
      </c>
      <c r="B154" s="20">
        <v>103</v>
      </c>
      <c r="C154" s="21">
        <v>0.66666666666666663</v>
      </c>
      <c r="D154" s="21">
        <v>0.875</v>
      </c>
      <c r="E154" s="20">
        <v>5</v>
      </c>
    </row>
    <row r="155" spans="1:5" ht="16.5" thickBot="1">
      <c r="A155" s="20" t="s">
        <v>93</v>
      </c>
      <c r="B155" s="20">
        <v>104</v>
      </c>
      <c r="C155" s="21">
        <v>0.66666666666666663</v>
      </c>
      <c r="D155" s="21">
        <v>0.91666666666666663</v>
      </c>
      <c r="E155" s="20">
        <v>6</v>
      </c>
    </row>
    <row r="156" spans="1:5" ht="16.5" thickBot="1">
      <c r="A156" s="20" t="s">
        <v>214</v>
      </c>
      <c r="B156" s="20">
        <v>105</v>
      </c>
      <c r="C156" s="21">
        <v>0.66666666666666663</v>
      </c>
      <c r="D156" s="21">
        <v>0.95833333333333337</v>
      </c>
      <c r="E156" s="20">
        <v>7</v>
      </c>
    </row>
    <row r="157" spans="1:5" ht="16.5" thickBot="1">
      <c r="A157" s="20" t="s">
        <v>215</v>
      </c>
      <c r="B157" s="20">
        <v>143</v>
      </c>
      <c r="C157" s="21">
        <v>0.66666666666666663</v>
      </c>
      <c r="D157" s="21">
        <v>0</v>
      </c>
      <c r="E157" s="20">
        <v>8</v>
      </c>
    </row>
    <row r="158" spans="1:5" ht="16.5" thickBot="1">
      <c r="A158" s="20" t="s">
        <v>216</v>
      </c>
      <c r="B158" s="20">
        <v>106</v>
      </c>
      <c r="C158" s="21">
        <v>0.70833333333333337</v>
      </c>
      <c r="D158" s="21">
        <v>0</v>
      </c>
      <c r="E158" s="20">
        <v>7</v>
      </c>
    </row>
    <row r="159" spans="1:5" ht="16.5" thickBot="1">
      <c r="A159" s="20" t="s">
        <v>217</v>
      </c>
      <c r="B159" s="20">
        <v>107</v>
      </c>
      <c r="C159" s="21">
        <v>0.70833333333333337</v>
      </c>
      <c r="D159" s="21">
        <v>4.1666666666666664E-2</v>
      </c>
      <c r="E159" s="20">
        <v>8</v>
      </c>
    </row>
    <row r="160" spans="1:5" ht="16.5" thickBot="1">
      <c r="A160" s="20" t="s">
        <v>218</v>
      </c>
      <c r="B160" s="20">
        <v>136</v>
      </c>
      <c r="C160" s="21">
        <v>0.70833333333333337</v>
      </c>
      <c r="D160" s="21">
        <v>8.3333333333333329E-2</v>
      </c>
      <c r="E160" s="20">
        <v>9</v>
      </c>
    </row>
    <row r="161" spans="1:5" ht="16.5" thickBot="1">
      <c r="A161" s="20" t="s">
        <v>102</v>
      </c>
      <c r="B161" s="20">
        <v>109</v>
      </c>
      <c r="C161" s="21">
        <v>0.70833333333333337</v>
      </c>
      <c r="D161" s="21">
        <v>0.91666666666666663</v>
      </c>
      <c r="E161" s="20">
        <v>5</v>
      </c>
    </row>
    <row r="162" spans="1:5" ht="16.5" thickBot="1">
      <c r="A162" s="20" t="s">
        <v>219</v>
      </c>
      <c r="B162" s="20">
        <v>110</v>
      </c>
      <c r="C162" s="21">
        <v>0.70833333333333337</v>
      </c>
      <c r="D162" s="21">
        <v>0.95833333333333337</v>
      </c>
      <c r="E162" s="20">
        <v>6</v>
      </c>
    </row>
    <row r="163" spans="1:5" ht="16.5" thickBot="1">
      <c r="A163" s="20" t="s">
        <v>220</v>
      </c>
      <c r="B163" s="20">
        <v>261</v>
      </c>
      <c r="C163" s="21">
        <v>0.72916666666666663</v>
      </c>
      <c r="D163" s="21">
        <v>0</v>
      </c>
      <c r="E163" s="20">
        <v>6.5</v>
      </c>
    </row>
    <row r="164" spans="1:5" ht="16.5" thickBot="1">
      <c r="A164" s="20" t="s">
        <v>221</v>
      </c>
      <c r="B164" s="20">
        <v>111</v>
      </c>
      <c r="C164" s="21">
        <v>0.75</v>
      </c>
      <c r="D164" s="21">
        <v>0</v>
      </c>
      <c r="E164" s="20">
        <v>6</v>
      </c>
    </row>
    <row r="165" spans="1:5" ht="16.5" thickBot="1">
      <c r="A165" s="20" t="s">
        <v>222</v>
      </c>
      <c r="B165" s="20">
        <v>112</v>
      </c>
      <c r="C165" s="21">
        <v>0.75</v>
      </c>
      <c r="D165" s="21">
        <v>4.1666666666666664E-2</v>
      </c>
      <c r="E165" s="20">
        <v>7</v>
      </c>
    </row>
    <row r="166" spans="1:5" ht="16.5" thickBot="1">
      <c r="A166" s="20" t="s">
        <v>223</v>
      </c>
      <c r="B166" s="20">
        <v>137</v>
      </c>
      <c r="C166" s="21">
        <v>0.75</v>
      </c>
      <c r="D166" s="21">
        <v>8.3333333333333329E-2</v>
      </c>
      <c r="E166" s="20">
        <v>8</v>
      </c>
    </row>
    <row r="167" spans="1:5" ht="16.5" thickBot="1">
      <c r="A167" s="20" t="s">
        <v>224</v>
      </c>
      <c r="B167" s="20">
        <v>113</v>
      </c>
      <c r="C167" s="21">
        <v>0.75</v>
      </c>
      <c r="D167" s="21">
        <v>0.95833333333333337</v>
      </c>
      <c r="E167" s="20">
        <v>5</v>
      </c>
    </row>
    <row r="168" spans="1:5" ht="16.5" thickBot="1">
      <c r="A168" s="20" t="s">
        <v>225</v>
      </c>
      <c r="B168" s="20">
        <v>145</v>
      </c>
      <c r="C168" s="21">
        <v>0.75</v>
      </c>
      <c r="D168" s="21">
        <v>0</v>
      </c>
      <c r="E168" s="20">
        <v>6</v>
      </c>
    </row>
    <row r="169" spans="1:5" ht="16.5" thickBot="1">
      <c r="A169" s="20" t="s">
        <v>226</v>
      </c>
      <c r="B169" s="20">
        <v>114</v>
      </c>
      <c r="C169" s="21">
        <v>0.79166666666666663</v>
      </c>
      <c r="D169" s="21">
        <v>0</v>
      </c>
      <c r="E169" s="20">
        <v>5</v>
      </c>
    </row>
    <row r="170" spans="1:5" ht="16.5" thickBot="1">
      <c r="A170" s="20" t="s">
        <v>227</v>
      </c>
      <c r="B170" s="20">
        <v>115</v>
      </c>
      <c r="C170" s="21">
        <v>0.79166666666666663</v>
      </c>
      <c r="D170" s="21">
        <v>4.1666666666666664E-2</v>
      </c>
      <c r="E170" s="20">
        <v>6</v>
      </c>
    </row>
    <row r="171" spans="1:5" ht="16.5" thickBot="1">
      <c r="A171" s="20" t="s">
        <v>228</v>
      </c>
      <c r="B171" s="20">
        <v>138</v>
      </c>
      <c r="C171" s="21">
        <v>0.79166666666666663</v>
      </c>
      <c r="D171" s="21">
        <v>8.3333333333333329E-2</v>
      </c>
      <c r="E171" s="20">
        <v>7</v>
      </c>
    </row>
    <row r="172" spans="1:5" ht="16.5" thickBot="1">
      <c r="A172" s="20" t="s">
        <v>229</v>
      </c>
      <c r="B172" s="20">
        <v>224</v>
      </c>
      <c r="C172" s="21">
        <v>0.79166666666666663</v>
      </c>
      <c r="D172" s="21">
        <v>0.125</v>
      </c>
      <c r="E172" s="20">
        <v>8</v>
      </c>
    </row>
    <row r="173" spans="1:5" ht="16.5" thickBot="1">
      <c r="A173" s="20" t="s">
        <v>230</v>
      </c>
      <c r="B173" s="20">
        <v>139</v>
      </c>
      <c r="C173" s="21">
        <v>0.83333333333333337</v>
      </c>
      <c r="D173" s="21">
        <v>4.1666666666666664E-2</v>
      </c>
      <c r="E173" s="20">
        <v>5</v>
      </c>
    </row>
    <row r="174" spans="1:5" ht="16.5" thickBot="1">
      <c r="A174" s="20" t="s">
        <v>231</v>
      </c>
      <c r="B174" s="20">
        <v>140</v>
      </c>
      <c r="C174" s="21">
        <v>0.83333333333333337</v>
      </c>
      <c r="D174" s="21">
        <v>8.3333333333333329E-2</v>
      </c>
      <c r="E174" s="20">
        <v>6</v>
      </c>
    </row>
    <row r="175" spans="1:5" ht="16.5" thickBot="1">
      <c r="A175" s="20" t="s">
        <v>232</v>
      </c>
      <c r="B175" s="20">
        <v>116</v>
      </c>
      <c r="C175" s="21">
        <v>0.875</v>
      </c>
      <c r="D175" s="21">
        <v>0.25</v>
      </c>
      <c r="E175" s="20">
        <v>9</v>
      </c>
    </row>
    <row r="176" spans="1:5" ht="16.5" thickBot="1">
      <c r="A176" s="20" t="s">
        <v>233</v>
      </c>
      <c r="B176" s="20">
        <v>215</v>
      </c>
      <c r="C176" s="21">
        <v>0.875</v>
      </c>
      <c r="D176" s="21">
        <v>0.29166666666666669</v>
      </c>
      <c r="E176" s="20">
        <v>10</v>
      </c>
    </row>
    <row r="177" spans="1:5" ht="16.5" thickBot="1">
      <c r="A177" s="20" t="s">
        <v>234</v>
      </c>
      <c r="B177" s="20">
        <v>117</v>
      </c>
      <c r="C177" s="21">
        <v>0.91666666666666663</v>
      </c>
      <c r="D177" s="21">
        <v>0.25</v>
      </c>
      <c r="E177" s="20">
        <v>8</v>
      </c>
    </row>
    <row r="178" spans="1:5" ht="16.5" thickBot="1">
      <c r="A178" s="20" t="s">
        <v>235</v>
      </c>
      <c r="B178" s="20">
        <v>162</v>
      </c>
      <c r="C178" s="21">
        <v>0.91666666666666663</v>
      </c>
      <c r="D178" s="21">
        <v>0.29166666666666669</v>
      </c>
      <c r="E178" s="20">
        <v>9</v>
      </c>
    </row>
    <row r="179" spans="1:5" ht="15.75">
      <c r="A179" s="26" t="s">
        <v>236</v>
      </c>
      <c r="B179" s="26">
        <v>118</v>
      </c>
      <c r="C179" s="27">
        <v>0.95833333333333337</v>
      </c>
      <c r="D179" s="27">
        <v>0.29166666666666669</v>
      </c>
      <c r="E179" s="26">
        <v>8</v>
      </c>
    </row>
    <row r="180" spans="1:5" ht="15.75">
      <c r="A180" s="26" t="s">
        <v>237</v>
      </c>
      <c r="B180" s="26">
        <v>119</v>
      </c>
      <c r="C180" s="27">
        <v>0.95833333333333337</v>
      </c>
      <c r="D180" s="27">
        <v>0.33333333333333331</v>
      </c>
      <c r="E180" s="26">
        <v>9</v>
      </c>
    </row>
    <row r="181" spans="1:5" ht="15.75">
      <c r="A181" s="26" t="s">
        <v>39</v>
      </c>
      <c r="B181" s="26">
        <v>0</v>
      </c>
      <c r="C181" s="27" t="s">
        <v>39</v>
      </c>
      <c r="D181" s="27" t="s">
        <v>39</v>
      </c>
      <c r="E181" s="26">
        <v>0</v>
      </c>
    </row>
    <row r="182" spans="1:5" ht="15.75">
      <c r="A182" s="26" t="s">
        <v>16</v>
      </c>
      <c r="B182" s="26" t="s">
        <v>16</v>
      </c>
      <c r="C182" s="27" t="s">
        <v>39</v>
      </c>
      <c r="D182" s="27" t="s">
        <v>39</v>
      </c>
      <c r="E182" s="26">
        <v>0</v>
      </c>
    </row>
    <row r="183" spans="1:5" ht="15.75">
      <c r="A183" s="26" t="s">
        <v>22</v>
      </c>
      <c r="B183" s="26" t="s">
        <v>22</v>
      </c>
      <c r="C183" s="27" t="s">
        <v>39</v>
      </c>
      <c r="D183" s="27" t="s">
        <v>39</v>
      </c>
      <c r="E183" s="26">
        <v>0</v>
      </c>
    </row>
    <row r="184" spans="1:5" ht="15.75">
      <c r="A184" s="26" t="s">
        <v>14</v>
      </c>
      <c r="B184" s="26" t="s">
        <v>14</v>
      </c>
      <c r="C184" s="27" t="s">
        <v>39</v>
      </c>
      <c r="D184" s="27" t="s">
        <v>39</v>
      </c>
      <c r="E184" s="26">
        <v>0</v>
      </c>
    </row>
    <row r="185" spans="1:5" ht="15.75">
      <c r="A185" s="26" t="s">
        <v>11</v>
      </c>
      <c r="B185" s="26" t="s">
        <v>11</v>
      </c>
      <c r="C185" s="27" t="s">
        <v>39</v>
      </c>
      <c r="D185" s="27" t="s">
        <v>39</v>
      </c>
      <c r="E185" s="26">
        <v>0</v>
      </c>
    </row>
    <row r="186" spans="1:5" ht="15.75">
      <c r="A186" s="26" t="s">
        <v>37</v>
      </c>
      <c r="B186" s="26" t="s">
        <v>37</v>
      </c>
      <c r="C186" s="27" t="s">
        <v>39</v>
      </c>
      <c r="D186" s="27" t="s">
        <v>39</v>
      </c>
      <c r="E186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CONTROL INBOUND</vt:lpstr>
      <vt:lpstr>Adherencia_In</vt:lpstr>
      <vt:lpstr>apps_</vt:lpstr>
      <vt:lpstr>H_Biometrico</vt:lpstr>
      <vt:lpstr>Hoja2</vt:lpstr>
      <vt:lpstr>Nomenclatura</vt:lpstr>
      <vt:lpstr>id_horario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joel.vera</dc:creator>
  <cp:lastModifiedBy>Jonathan Zambrano</cp:lastModifiedBy>
  <cp:lastPrinted>2024-01-12T18:50:37Z</cp:lastPrinted>
  <dcterms:created xsi:type="dcterms:W3CDTF">2020-07-06T16:09:39Z</dcterms:created>
  <dcterms:modified xsi:type="dcterms:W3CDTF">2026-03-16T16:34:59Z</dcterms:modified>
</cp:coreProperties>
</file>